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r_man\Desktop\invigilation-auto\src\timetables\"/>
    </mc:Choice>
  </mc:AlternateContent>
  <xr:revisionPtr revIDLastSave="0" documentId="13_ncr:1_{6905DE15-40F1-46CB-85FA-88024932817B}" xr6:coauthVersionLast="47" xr6:coauthVersionMax="47" xr10:uidLastSave="{00000000-0000-0000-0000-000000000000}"/>
  <bookViews>
    <workbookView xWindow="28680" yWindow="-120" windowWidth="29040" windowHeight="16440" tabRatio="500" activeTab="9" xr2:uid="{00000000-000D-0000-FFFF-FFFF00000000}"/>
  </bookViews>
  <sheets>
    <sheet name="TT 1.0" sheetId="1" r:id="rId1"/>
    <sheet name="TTFINAL" sheetId="2" r:id="rId2"/>
    <sheet name="TT" sheetId="3" r:id="rId3"/>
    <sheet name="TALLY" sheetId="4" r:id="rId4"/>
    <sheet name="combined_data" sheetId="5" state="hidden" r:id="rId5"/>
    <sheet name="Combined Data" sheetId="6" state="hidden" r:id="rId6"/>
    <sheet name="Lectures_1" sheetId="7" r:id="rId7"/>
    <sheet name="ROOMS" sheetId="8" r:id="rId8"/>
    <sheet name="WATER" sheetId="9" r:id="rId9"/>
    <sheet name="Sheet1" sheetId="10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CLASS" localSheetId="6">#REF!</definedName>
    <definedName name="CLASS" localSheetId="7">#REF!</definedName>
    <definedName name="CLASS">#REF!</definedName>
    <definedName name="CODE" localSheetId="5">#REF!</definedName>
    <definedName name="CODE" localSheetId="4">#REF!</definedName>
    <definedName name="CODE" localSheetId="6">#REF!</definedName>
    <definedName name="CODE" localSheetId="7">#REF!</definedName>
    <definedName name="CODE" localSheetId="3">#REF!</definedName>
    <definedName name="CODE" localSheetId="8">#REF!</definedName>
    <definedName name="CODE">#REF!</definedName>
    <definedName name="COURSE_NAME" localSheetId="5">#REF!</definedName>
    <definedName name="COURSE_NAME" localSheetId="4">#REF!</definedName>
    <definedName name="COURSE_NAME" localSheetId="6">#REF!</definedName>
    <definedName name="COURSE_NAME" localSheetId="7">#REF!</definedName>
    <definedName name="COURSE_NAME" localSheetId="3">#REF!</definedName>
    <definedName name="COURSE_NAME" localSheetId="8">#REF!</definedName>
    <definedName name="COURSE_NAME">#REF!</definedName>
    <definedName name="EA" localSheetId="5">#REF!</definedName>
    <definedName name="EA" localSheetId="4">#REF!</definedName>
    <definedName name="EA" localSheetId="6">#REF!</definedName>
    <definedName name="EA" localSheetId="7">#REF!</definedName>
    <definedName name="EA">#REF!</definedName>
    <definedName name="ED3_TEL">[1]tt!#REF!</definedName>
    <definedName name="ED4_IND">[1]tt!#REF!</definedName>
    <definedName name="EXAMINER" localSheetId="5">#REF!</definedName>
    <definedName name="EXAMINER" localSheetId="4">#REF!</definedName>
    <definedName name="EXAMINER" localSheetId="6">#REF!</definedName>
    <definedName name="EXAMINER" localSheetId="7">#REF!</definedName>
    <definedName name="EXAMINER" localSheetId="3">#REF!</definedName>
    <definedName name="EXAMINER" localSheetId="8">#REF!</definedName>
    <definedName name="EXAMINER">#REF!</definedName>
    <definedName name="hy" localSheetId="5">#REF!</definedName>
    <definedName name="hy" localSheetId="4">#REF!</definedName>
    <definedName name="hy" localSheetId="6">#REF!</definedName>
    <definedName name="hy" localSheetId="7">#REF!</definedName>
    <definedName name="hy">#REF!</definedName>
    <definedName name="po" localSheetId="5">#REF!</definedName>
    <definedName name="po" localSheetId="4">#REF!</definedName>
    <definedName name="po" localSheetId="6">#REF!</definedName>
    <definedName name="po" localSheetId="7">#REF!</definedName>
    <definedName name="po">#REF!</definedName>
    <definedName name="_xlnm.Print_Area" localSheetId="7">ROOMS!$A$1:$F$29</definedName>
    <definedName name="_xlnm.Print_Area" localSheetId="2">TT!$A$1:$H$699</definedName>
    <definedName name="_xlnm.Print_Area" localSheetId="0">'TT 1.0'!$A$1:$H$711</definedName>
    <definedName name="_xlnm.Print_Area" localSheetId="1">TTFINAL!$A$1:$G$699</definedName>
    <definedName name="room_no" localSheetId="5">#REF!</definedName>
    <definedName name="room_no" localSheetId="4">#REF!</definedName>
    <definedName name="room_no" localSheetId="6">#REF!</definedName>
    <definedName name="room_no" localSheetId="7">#REF!</definedName>
    <definedName name="room_no">#REF!</definedName>
    <definedName name="ROOM_NO." localSheetId="5">#REF!</definedName>
    <definedName name="ROOM_NO." localSheetId="4">#REF!</definedName>
    <definedName name="ROOM_NO." localSheetId="6">#REF!</definedName>
    <definedName name="ROOM_NO." localSheetId="7">#REF!</definedName>
    <definedName name="ROOM_NO." localSheetId="3">#REF!</definedName>
    <definedName name="ROOM_NO." localSheetId="8">#REF!</definedName>
    <definedName name="ROOM_NO.">#REF!</definedName>
    <definedName name="STDS" localSheetId="5">#REF!</definedName>
    <definedName name="STDS" localSheetId="4">#REF!</definedName>
    <definedName name="STDS" localSheetId="6">#REF!</definedName>
    <definedName name="STDS" localSheetId="7">#REF!</definedName>
    <definedName name="STDS" localSheetId="3">#REF!</definedName>
    <definedName name="STDS" localSheetId="8">#REF!</definedName>
    <definedName name="STDS">#REF!</definedName>
    <definedName name="TO_PRT" localSheetId="5">#REF!</definedName>
    <definedName name="TO_PRT" localSheetId="4">#REF!</definedName>
    <definedName name="TO_PRT" localSheetId="6">#REF!</definedName>
    <definedName name="TO_PRT" localSheetId="7">#REF!</definedName>
    <definedName name="TO_PRT" localSheetId="3">#REF!</definedName>
    <definedName name="TO_PRT" localSheetId="8">#REF!</definedName>
    <definedName name="TO_PRT">#REF!</definedName>
    <definedName name="Total_F1" localSheetId="7">'[1]TT (Working)'!$D$668:$D$683</definedName>
    <definedName name="Total_F1">'[1]TT (Working)'!$D$668:$D$683</definedName>
    <definedName name="Total_F1_1" localSheetId="5">'[4]TT (Values)'!$D$176:$D$194</definedName>
    <definedName name="Total_F1_1" localSheetId="4">'[4]TT (Values)'!$D$176:$D$194</definedName>
    <definedName name="Total_F1_1" localSheetId="6">[5]TT!$D$206:$D$219</definedName>
    <definedName name="Total_F1_1" localSheetId="7">[5]TT!$D$206:$D$219</definedName>
    <definedName name="Total_F1_1" localSheetId="3">'[2]TT (MAIN)'!$D$179:$D$212</definedName>
    <definedName name="Total_F1_1" localSheetId="0">'TT 1.0'!$D$185:$D$197</definedName>
    <definedName name="Total_F1_1" localSheetId="1">TTFINAL!$D$184:$D$197</definedName>
    <definedName name="Total_F1_1">TT!$D$184:$D$197</definedName>
    <definedName name="Total_F1_2" localSheetId="5">[5]TT!$D$225:$D$227</definedName>
    <definedName name="Total_F1_2" localSheetId="4">[5]TT!$D$225:$D$227</definedName>
    <definedName name="Total_F1_2" localSheetId="6">[5]TT!$D$225:$D$227</definedName>
    <definedName name="Total_F1_2" localSheetId="7">[5]TT!$D$225:$D$227</definedName>
    <definedName name="Total_F1_2" localSheetId="3">[3]TT!$D$224:$D$238</definedName>
    <definedName name="Total_F1_2" localSheetId="0">'TT 1.0'!$D$74:$D$644</definedName>
    <definedName name="Total_F1_2" localSheetId="1">TTFINAL!$D$71:$D$634</definedName>
    <definedName name="Total_F1_2">TT!$D$70:$D$634</definedName>
    <definedName name="Total_F1_3" localSheetId="5">[5]TT!$D$245:$D$261</definedName>
    <definedName name="Total_F1_3" localSheetId="4">[5]TT!$D$245:$D$261</definedName>
    <definedName name="Total_F1_3" localSheetId="6">[5]TT!$D$245:$D$261</definedName>
    <definedName name="Total_F1_3" localSheetId="7">[5]TT!$D$245:$D$261</definedName>
    <definedName name="Total_F1_3">'[2]TT (MAIN)'!$D$218:$D$449</definedName>
    <definedName name="Total_F2" localSheetId="7">'[1]TT (Working)'!$D$690:$D$712</definedName>
    <definedName name="Total_F2">'[1]TT (Working)'!$D$690:$D$712</definedName>
    <definedName name="Total_F2_1" localSheetId="5">'[4]TT (Values)'!$D$450:$D$473</definedName>
    <definedName name="Total_F2_1" localSheetId="4">'[4]TT (Values)'!$D$450:$D$473</definedName>
    <definedName name="Total_F2_1" localSheetId="6">[5]TT!$D$503:$D$520</definedName>
    <definedName name="Total_F2_1" localSheetId="7">[5]TT!$D$503:$D$520</definedName>
    <definedName name="Total_F2_1" localSheetId="3">'[2]TT (MAIN)'!$D$458:$D$471</definedName>
    <definedName name="Total_F2_1" localSheetId="0">'TT 1.0'!$D$414:$D$428</definedName>
    <definedName name="Total_F2_1" localSheetId="1">TTFINAL!$D$412:$D$425</definedName>
    <definedName name="Total_F2_1">TT!$D$412:$D$425</definedName>
    <definedName name="Total_F2_2" localSheetId="5">'[4]TT (Values)'!$D$479:$D$483</definedName>
    <definedName name="Total_F2_2" localSheetId="4">'[4]TT (Values)'!$D$479:$D$483</definedName>
    <definedName name="Total_F2_2" localSheetId="6">[5]TT!$D$526:$D$536</definedName>
    <definedName name="Total_F2_2" localSheetId="7">[5]TT!$D$526:$D$536</definedName>
    <definedName name="Total_F2_2" localSheetId="3">'[2]TT (MAIN)'!$D$477:$D$492</definedName>
    <definedName name="Total_F2_2" localSheetId="0">'TT 1.0'!$D$432:$D$462</definedName>
    <definedName name="Total_F2_2" localSheetId="1">TTFINAL!$D$429:$D$458</definedName>
    <definedName name="Total_F2_2">TT!$D$429:$D$458</definedName>
    <definedName name="Total_F2_3" localSheetId="5">'[4]TT (Values)'!$D$489:$D$496</definedName>
    <definedName name="Total_F2_3" localSheetId="4">'[4]TT (Values)'!$D$489:$D$496</definedName>
    <definedName name="Total_F2_3" localSheetId="6">[5]TT!$D$542:$D$559</definedName>
    <definedName name="Total_F2_3" localSheetId="7">[5]TT!$D$542:$D$559</definedName>
    <definedName name="Total_F2_3" localSheetId="3">'[2]TT (MAIN)'!$D$498:$D$502</definedName>
    <definedName name="Total_F2_3" localSheetId="0">'TT 1.0'!$D$457:$D$461</definedName>
    <definedName name="Total_F2_3" localSheetId="1">TTFINAL!$D$453:$D$457</definedName>
    <definedName name="Total_F2_3">TT!$D$453:$D$457</definedName>
    <definedName name="Total_F3" localSheetId="7">'[1]TT (Working)'!$D$718:$D$731</definedName>
    <definedName name="Total_F3">'[1]TT (Working)'!$D$718:$D$731</definedName>
    <definedName name="Total_F3_1" localSheetId="5">'[4]TT (Values)'!$D$740:$D$753</definedName>
    <definedName name="Total_F3_1" localSheetId="4">'[4]TT (Values)'!$D$740:$D$753</definedName>
    <definedName name="Total_F3_1" localSheetId="6">[5]TT!$D$801:$D$817</definedName>
    <definedName name="Total_F3_1" localSheetId="7">[5]TT!$D$801:$D$817</definedName>
    <definedName name="Total_F3_1" localSheetId="3">'[2]TT (MAIN)'!$D$765:$D$779</definedName>
    <definedName name="Total_F3_1" localSheetId="0">'TT 1.0'!$D$673:$D$710</definedName>
    <definedName name="Total_F3_1" localSheetId="1">TTFINAL!$D$662:$D$698</definedName>
    <definedName name="Total_F3_1">TT!$D$662:$D$698</definedName>
    <definedName name="Total_F3_2" localSheetId="5">[5]TT!$D$823:$D$836</definedName>
    <definedName name="Total_F3_2" localSheetId="4">[5]TT!$D$823:$D$836</definedName>
    <definedName name="Total_F3_2" localSheetId="6">[5]TT!$D$823:$D$836</definedName>
    <definedName name="Total_F3_2" localSheetId="7">[5]TT!$D$823:$D$836</definedName>
    <definedName name="Total_F3_2">[3]TT!$D$822:$D$835</definedName>
    <definedName name="Total_F3_3" localSheetId="5">[5]TT!$D$842:$D$858</definedName>
    <definedName name="Total_F3_3" localSheetId="4">[5]TT!$D$842:$D$858</definedName>
    <definedName name="Total_F3_3" localSheetId="6">[5]TT!$D$842:$D$858</definedName>
    <definedName name="Total_F3_3" localSheetId="7">[5]TT!$D$842:$D$858</definedName>
    <definedName name="Total_F3_3">[3]TT!$D$841:$D$857</definedName>
    <definedName name="Total_F4" localSheetId="7">'[1]TT (Working)'!$D$737:$D$746</definedName>
    <definedName name="Total_F4">'[1]TT (Working)'!$D$737:$D$746</definedName>
    <definedName name="Total_F5" localSheetId="7">'[1]TT (Working)'!$D$753:$D$766</definedName>
    <definedName name="Total_F5">'[1]TT (Working)'!$D$753:$D$766</definedName>
    <definedName name="Total_F6" localSheetId="7">'[1]TT (Working)'!$D$773:$D$787</definedName>
    <definedName name="Total_F6">'[1]TT (Working)'!$D$773:$D$787</definedName>
    <definedName name="Total_F7" localSheetId="7">'[1]TT (Working)'!$D$793:$D$802</definedName>
    <definedName name="Total_F7">'[1]TT (Working)'!$D$793:$D$802</definedName>
    <definedName name="Total_H1" localSheetId="7">'[1]TT (Working)'!$D$510:$D$528</definedName>
    <definedName name="Total_H1">'[1]TT (Working)'!$D$510:$D$528</definedName>
    <definedName name="Total_H1_1" localSheetId="5">'[4]TT (Values)'!$D$113:$D$129</definedName>
    <definedName name="Total_H1_1" localSheetId="4">'[4]TT (Values)'!$D$113:$D$129</definedName>
    <definedName name="Total_H1_1" localSheetId="6">[5]TT!$D$147:$D$161</definedName>
    <definedName name="Total_H1_1" localSheetId="7">[5]TT!$D$147:$D$161</definedName>
    <definedName name="Total_H1_1" localSheetId="3">[3]TT!$D$147:$D$161</definedName>
    <definedName name="Total_H1_1" localSheetId="0">'TT 1.0'!$D$140:$D$152</definedName>
    <definedName name="Total_H1_1" localSheetId="1">TTFINAL!$D$138:$D$151</definedName>
    <definedName name="Total_H1_1">TT!$D$138:$D$151</definedName>
    <definedName name="Total_H1_2" localSheetId="5">'[4]TT (Values)'!$D$135:$D$148</definedName>
    <definedName name="Total_H1_2" localSheetId="4">'[4]TT (Values)'!$D$135:$D$148</definedName>
    <definedName name="Total_H1_2" localSheetId="6">[5]TT!$D$167:$D$178</definedName>
    <definedName name="Total_H1_2" localSheetId="7">[5]TT!$D$167:$D$178</definedName>
    <definedName name="Total_H1_2" localSheetId="3">[3]TT!$D$167:$D$177</definedName>
    <definedName name="Total_H1_2" localSheetId="0">'TT 1.0'!$D$169:$D$607</definedName>
    <definedName name="Total_H1_2" localSheetId="1">TTFINAL!$D$168:$D$598</definedName>
    <definedName name="Total_H1_2">TT!$D$168:$D$598</definedName>
    <definedName name="Total_H1_3" localSheetId="5">'[4]TT (Values)'!$D$154:$D$170</definedName>
    <definedName name="Total_H1_3" localSheetId="4">'[4]TT (Values)'!$D$154:$D$170</definedName>
    <definedName name="Total_H1_3" localSheetId="6">[5]TT!$D$184:$D$239</definedName>
    <definedName name="Total_H1_3" localSheetId="7">[5]TT!$D$184:$D$239</definedName>
    <definedName name="Total_H1_3" localSheetId="3">[3]TT!$D$183:$D$199</definedName>
    <definedName name="Total_H1_3" localSheetId="0">'TT 1.0'!#REF!</definedName>
    <definedName name="Total_H1_3" localSheetId="1">TTFINAL!#REF!</definedName>
    <definedName name="Total_H1_3">TT!#REF!</definedName>
    <definedName name="Total_H2" localSheetId="7">'[1]TT (Working)'!$D$540:$D$552</definedName>
    <definedName name="Total_H2">'[1]TT (Working)'!$D$540:$D$552</definedName>
    <definedName name="Total_H2_1" localSheetId="5">'[4]TT (Values)'!$D$392:$D$405</definedName>
    <definedName name="Total_H2_1" localSheetId="4">'[4]TT (Values)'!$D$392:$D$405</definedName>
    <definedName name="Total_H2_1" localSheetId="6">[5]TT!$D$450:$D$709</definedName>
    <definedName name="Total_H2_1" localSheetId="7">[5]TT!$D$450:$D$709</definedName>
    <definedName name="Total_H2_1" localSheetId="3">'[2]TT (MAIN)'!$D$400:$D$411</definedName>
    <definedName name="Total_H2_1" localSheetId="0">'TT 1.0'!$D$372:$D$382</definedName>
    <definedName name="Total_H2_1" localSheetId="1">TTFINAL!$D$369:$D$377</definedName>
    <definedName name="Total_H2_1">TT!$D$369:$D$377</definedName>
    <definedName name="Total_H2_2" localSheetId="5">'[4]TT (Values)'!$D$411:$D$425</definedName>
    <definedName name="Total_H2_2" localSheetId="4">'[4]TT (Values)'!$D$411:$D$425</definedName>
    <definedName name="Total_H2_2" localSheetId="6">[5]TT!$D$470:$D$692</definedName>
    <definedName name="Total_H2_2" localSheetId="7">[5]TT!$D$470:$D$692</definedName>
    <definedName name="Total_H2_2" localSheetId="3">'[2]TT (MAIN)'!$D$417:$D$433</definedName>
    <definedName name="Total_H2_2" localSheetId="0">'TT 1.0'!$D$386:$D$397</definedName>
    <definedName name="Total_H2_2" localSheetId="1">TTFINAL!$D$381:$D$393</definedName>
    <definedName name="Total_H2_2">TT!$D$381:$D$393</definedName>
    <definedName name="Total_H2_3" localSheetId="5">'[4]TT (Values)'!$D$431:$D$444</definedName>
    <definedName name="Total_H2_3" localSheetId="4">'[4]TT (Values)'!$D$431:$D$444</definedName>
    <definedName name="Total_H2_3" localSheetId="6">[5]TT!$D$486:$D$696</definedName>
    <definedName name="Total_H2_3" localSheetId="7">[5]TT!$D$486:$D$696</definedName>
    <definedName name="Total_H2_3" localSheetId="3">'[2]TT (MAIN)'!$D$439:$D$452</definedName>
    <definedName name="Total_H2_3" localSheetId="0">'TT 1.0'!$D$401:$D$470</definedName>
    <definedName name="Total_H2_3" localSheetId="1">TTFINAL!$D$397:$D$465</definedName>
    <definedName name="Total_H2_3">TT!$D$397:$D$465</definedName>
    <definedName name="Total_H3" localSheetId="7">'[1]TT (Working)'!$D$564:$D$577</definedName>
    <definedName name="Total_H3">'[1]TT (Working)'!$D$564:$D$577</definedName>
    <definedName name="Total_H3_1" localSheetId="5">'[4]TT (Values)'!$D$685:$D$697</definedName>
    <definedName name="Total_H3_1" localSheetId="4">'[4]TT (Values)'!$D$685:$D$697</definedName>
    <definedName name="Total_H3_1" localSheetId="6">[5]TT!$D$744:$D$760</definedName>
    <definedName name="Total_H3_1" localSheetId="7">[5]TT!$D$744:$D$760</definedName>
    <definedName name="Total_H3_1" localSheetId="3">'[2]TT (MAIN)'!$D$697:$D$715</definedName>
    <definedName name="Total_H3_1" localSheetId="0">'TT 1.0'!$D$618:$D$629</definedName>
    <definedName name="Total_H3_1" localSheetId="1">TTFINAL!$D$610:$D$620</definedName>
    <definedName name="Total_H3_1">TT!$D$610:$D$620</definedName>
    <definedName name="Total_H3_2" localSheetId="5">'[4]TT (Values)'!$D$703:$D$717</definedName>
    <definedName name="Total_H3_2" localSheetId="4">'[4]TT (Values)'!$D$703:$D$717</definedName>
    <definedName name="Total_H3_2" localSheetId="6">[5]TT!$D$766:$D$775</definedName>
    <definedName name="Total_H3_2" localSheetId="7">[5]TT!$D$766:$D$775</definedName>
    <definedName name="Total_H3_2" localSheetId="3">'[2]TT (MAIN)'!$D$721:$D$733</definedName>
    <definedName name="Total_H3_2" localSheetId="0">'TT 1.0'!$D$635:$D$646</definedName>
    <definedName name="Total_H3_2" localSheetId="1">TTFINAL!$D$626:$D$639</definedName>
    <definedName name="Total_H3_2">TT!$D$626:$D$639</definedName>
    <definedName name="Total_H3_3" localSheetId="5">'[4]TT (Values)'!$D$723:$D$734</definedName>
    <definedName name="Total_H3_3" localSheetId="4">'[4]TT (Values)'!$D$723:$D$734</definedName>
    <definedName name="Total_H3_3" localSheetId="6">[5]TT!$D$781:$D$795</definedName>
    <definedName name="Total_H3_3" localSheetId="7">[5]TT!$D$781:$D$795</definedName>
    <definedName name="Total_H3_3" localSheetId="3">'[2]TT (MAIN)'!$D$739:$D$759</definedName>
    <definedName name="Total_H3_3" localSheetId="0">'TT 1.0'!$D$651:$D$658</definedName>
    <definedName name="Total_H3_3" localSheetId="1">TTFINAL!$D$644:$D$650</definedName>
    <definedName name="Total_H3_3">TT!$D$644:$D$650</definedName>
    <definedName name="Total_H4" localSheetId="7">'[1]TT (Working)'!$D$585:$D$607</definedName>
    <definedName name="Total_H4">'[1]TT (Working)'!$D$585:$D$607</definedName>
    <definedName name="Total_H5" localSheetId="7">'[1]TT (Working)'!$D$614:$D$677</definedName>
    <definedName name="Total_H5">'[1]TT (Working)'!$D$614:$D$677</definedName>
    <definedName name="Total_H6" localSheetId="6">[1]tt!#REF!</definedName>
    <definedName name="Total_H6" localSheetId="7">'[1]TT (Working)'!$D$631:$D$646</definedName>
    <definedName name="Total_H6">'[1]TT (Working)'!$D$631:$D$646</definedName>
    <definedName name="Total_H7" localSheetId="6">[1]tt!#REF!</definedName>
    <definedName name="Total_H7" localSheetId="7">'[1]TT (Working)'!$D$653:$D$662</definedName>
    <definedName name="Total_H7">'[1]TT (Working)'!$D$653:$D$662</definedName>
    <definedName name="Total_M1" localSheetId="6">[1]tt!#REF!</definedName>
    <definedName name="Total_M1" localSheetId="7">'[1]TT (Working)'!$D$3:$D$471</definedName>
    <definedName name="Total_M1">'[1]TT (Working)'!$D$3:$D$471</definedName>
    <definedName name="Total_M1_1" localSheetId="5">'[4]TT (Values)'!$D$3:$D$6</definedName>
    <definedName name="Total_M1_1" localSheetId="4">'[4]TT (Values)'!$D$3:$D$6</definedName>
    <definedName name="Total_M1_1" localSheetId="6">[5]TT!$D$3:$D$13</definedName>
    <definedName name="Total_M1_1" localSheetId="7">[5]TT!$D$3:$D$13</definedName>
    <definedName name="Total_M1_1" localSheetId="3">'[2]TT (MAIN)'!$D$3:$D$15</definedName>
    <definedName name="Total_M1_1" localSheetId="0">'TT 1.0'!$D$3:$D$5</definedName>
    <definedName name="Total_M1_1" localSheetId="1">TTFINAL!$D$3:$D$5</definedName>
    <definedName name="Total_M1_1">TT!$D$3:$D$5</definedName>
    <definedName name="Total_M1_2" localSheetId="5">'[4]TT (Values)'!$D$12:$D$15</definedName>
    <definedName name="Total_M1_2" localSheetId="4">'[4]TT (Values)'!$D$12:$D$15</definedName>
    <definedName name="Total_M1_2" localSheetId="6">[5]TT!$D$19:$D$29</definedName>
    <definedName name="Total_M1_2" localSheetId="7">[5]TT!$D$19:$D$29</definedName>
    <definedName name="Total_M1_2" localSheetId="3">'[2]TT (MAIN)'!$D$21:$D$33</definedName>
    <definedName name="Total_M1_2" localSheetId="0">'TT 1.0'!$D$15:$D$20</definedName>
    <definedName name="Total_M1_2" localSheetId="1">TTFINAL!$D$14:$D$19</definedName>
    <definedName name="Total_M1_2">TT!$D$14:$D$19</definedName>
    <definedName name="Total_M1_3" localSheetId="5">[5]TT!$D$35:$D$45</definedName>
    <definedName name="Total_M1_3" localSheetId="4">[5]TT!$D$35:$D$45</definedName>
    <definedName name="Total_M1_3" localSheetId="6">[5]TT!$D$35:$D$45</definedName>
    <definedName name="Total_M1_3" localSheetId="7">[5]TT!$D$35:$D$45</definedName>
    <definedName name="Total_M1_3">'[2]TT (MAIN)'!$D$39:$D$52</definedName>
    <definedName name="Total_M2" localSheetId="7">'[1]TT (Working)'!$D$31:$D$240</definedName>
    <definedName name="Total_M2">'[1]TT (Working)'!$D$31:$D$240</definedName>
    <definedName name="Total_M2_1" localSheetId="5">'[4]TT (Values)'!$D$213:$D$228</definedName>
    <definedName name="Total_M2_1" localSheetId="4">'[4]TT (Values)'!$D$213:$D$228</definedName>
    <definedName name="Total_M2_1" localSheetId="6">[5]TT!$D$267:$D$285</definedName>
    <definedName name="Total_M2_1" localSheetId="7">[5]TT!$D$267:$D$285</definedName>
    <definedName name="Total_M2_1" localSheetId="3">'[2]TT (MAIN)'!$D$224:$D$240</definedName>
    <definedName name="Total_M2_1" localSheetId="0">'TT 1.0'!$D$224:$D$235</definedName>
    <definedName name="Total_M2_1" localSheetId="1">TTFINAL!$D$224:$D$239</definedName>
    <definedName name="Total_M2_1">TT!$D$224:$D$239</definedName>
    <definedName name="Total_M2_2" localSheetId="5">'[4]TT (Values)'!$D$234:$D$252</definedName>
    <definedName name="Total_M2_2" localSheetId="4">'[4]TT (Values)'!$D$234:$D$252</definedName>
    <definedName name="Total_M2_2" localSheetId="6">[5]TT!$D$291:$D$442</definedName>
    <definedName name="Total_M2_2" localSheetId="7">[5]TT!$D$291:$D$442</definedName>
    <definedName name="Total_M2_2" localSheetId="3">'[2]TT (MAIN)'!$D$246:$D$258</definedName>
    <definedName name="Total_M2_2" localSheetId="0">'TT 1.0'!$D$239:$D$252</definedName>
    <definedName name="Total_M2_2" localSheetId="1">TTFINAL!$D$243:$D$254</definedName>
    <definedName name="Total_M2_2">TT!$D$243:$D$254</definedName>
    <definedName name="Total_M2_3" localSheetId="5">'[4]TT (Values)'!$D$258:$D$270</definedName>
    <definedName name="Total_M2_3" localSheetId="4">'[4]TT (Values)'!$D$258:$D$270</definedName>
    <definedName name="Total_M2_3" localSheetId="6">[5]TT!$D$311:$D$325</definedName>
    <definedName name="Total_M2_3" localSheetId="7">[5]TT!$D$311:$D$325</definedName>
    <definedName name="Total_M2_3" localSheetId="3">'[2]TT (MAIN)'!$D$264:$D$280</definedName>
    <definedName name="Total_M2_3" localSheetId="0">'TT 1.0'!$D$256:$D$267</definedName>
    <definedName name="Total_M2_3" localSheetId="1">TTFINAL!$D$258:$D$268</definedName>
    <definedName name="Total_M2_3">TT!$D$258:$D$268</definedName>
    <definedName name="Total_M3" localSheetId="7">'[1]TT (Working)'!$D$62:$D$77</definedName>
    <definedName name="Total_M3">'[1]TT (Working)'!$D$62:$D$77</definedName>
    <definedName name="Total_M3_1" localSheetId="5">'[4]TT (Values)'!$D$502:$D$516</definedName>
    <definedName name="Total_M3_1" localSheetId="4">'[4]TT (Values)'!$D$502:$D$516</definedName>
    <definedName name="Total_M3_1" localSheetId="6">[5]TT!$D$565:$D$577</definedName>
    <definedName name="Total_M3_1" localSheetId="7">[5]TT!$D$565:$D$577</definedName>
    <definedName name="Total_M3_1" localSheetId="3">'[2]TT (MAIN)'!$D$563:$D$582</definedName>
    <definedName name="Total_M3_1" localSheetId="0">'TT 1.0'!$D$475:$D$485</definedName>
    <definedName name="Total_M3_1" localSheetId="1">TTFINAL!$D$470:$D$480</definedName>
    <definedName name="Total_M3_1">TT!$D$470:$D$480</definedName>
    <definedName name="Total_M3_2" localSheetId="5">'[4]TT (Values)'!$D$522:$D$535</definedName>
    <definedName name="Total_M3_2" localSheetId="4">'[4]TT (Values)'!$D$522:$D$535</definedName>
    <definedName name="Total_M3_2" localSheetId="6">[5]TT!$D$583:$D$595</definedName>
    <definedName name="Total_M3_2" localSheetId="7">[5]TT!$D$583:$D$595</definedName>
    <definedName name="Total_M3_2" localSheetId="3">'[2]TT (MAIN)'!$D$588:$D$600</definedName>
    <definedName name="Total_M3_2" localSheetId="0">'TT 1.0'!$D$491:$D$501</definedName>
    <definedName name="Total_M3_2" localSheetId="1">TTFINAL!$D$486:$D$496</definedName>
    <definedName name="Total_M3_2">TT!$D$486:$D$496</definedName>
    <definedName name="Total_M3_3" localSheetId="5">'[4]TT (Values)'!$D$541:$D$562</definedName>
    <definedName name="Total_M3_3" localSheetId="4">'[4]TT (Values)'!$D$541:$D$562</definedName>
    <definedName name="Total_M3_3" localSheetId="6">[5]TT!$D$601:$D$621</definedName>
    <definedName name="Total_M3_3" localSheetId="7">[5]TT!$D$601:$D$621</definedName>
    <definedName name="Total_M3_3" localSheetId="3">'[2]TT (MAIN)'!$D$606:$D$622</definedName>
    <definedName name="Total_M3_3" localSheetId="0">'TT 1.0'!$D$505:$D$524</definedName>
    <definedName name="Total_M3_3" localSheetId="1">TTFINAL!$D$500:$D$517</definedName>
    <definedName name="Total_M3_3">TT!$D$500:$D$517</definedName>
    <definedName name="Total_M4" localSheetId="7">'[1]TT (Working)'!$D$84:$D$100</definedName>
    <definedName name="Total_M4">'[1]TT (Working)'!$D$84:$D$100</definedName>
    <definedName name="Total_M5" localSheetId="7">'[1]TT (Working)'!$D$114:$D$124</definedName>
    <definedName name="Total_M5">'[1]TT (Working)'!$D$114:$D$124</definedName>
    <definedName name="Total_M6" localSheetId="7">'[1]TT (Working)'!$D$134:$D$146</definedName>
    <definedName name="Total_M6">'[1]TT (Working)'!$D$134:$D$146</definedName>
    <definedName name="Total_M7" localSheetId="7">'[1]TT (Working)'!$D$159:$D$173</definedName>
    <definedName name="Total_M7">'[1]TT (Working)'!$D$159:$D$173</definedName>
    <definedName name="Total_T1" localSheetId="7">'[1]TT (Working)'!$D$185:$D$196</definedName>
    <definedName name="Total_T1">'[1]TT (Working)'!$D$185:$D$196</definedName>
    <definedName name="Total_T1_1" localSheetId="5">'[4]TT (Values)'!$D$20:$D$26</definedName>
    <definedName name="Total_T1_1" localSheetId="4">'[4]TT (Values)'!$D$20:$D$26</definedName>
    <definedName name="Total_T1_1" localSheetId="6">[5]TT!$D$51:$D$61</definedName>
    <definedName name="Total_T1_1" localSheetId="7">[5]TT!$D$51:$D$61</definedName>
    <definedName name="Total_T1_1" localSheetId="3">'[2]TT (MAIN)'!$D$58:$D$68</definedName>
    <definedName name="Total_T1_1" localSheetId="0">'TT 1.0'!$D$47:$D$64</definedName>
    <definedName name="Total_T1_1" localSheetId="1">TTFINAL!$D$46:$D$61</definedName>
    <definedName name="Total_T1_1">TT!$D$46:$D$60</definedName>
    <definedName name="Total_T1_2" localSheetId="5">'[4]TT (Values)'!$D$32:$D$45</definedName>
    <definedName name="Total_T1_2" localSheetId="4">'[4]TT (Values)'!$D$32:$D$45</definedName>
    <definedName name="Total_T1_2" localSheetId="6">[5]TT!$D$67:$D$77</definedName>
    <definedName name="Total_T1_2" localSheetId="7">[5]TT!$D$67:$D$77</definedName>
    <definedName name="Total_T1_2" localSheetId="3">'[2]TT (MAIN)'!$D$74:$D$88</definedName>
    <definedName name="Total_T1_2" localSheetId="0">'TT 1.0'!$D$69:$D$213</definedName>
    <definedName name="Total_T1_2" localSheetId="1">TTFINAL!$D$66:$D$213</definedName>
    <definedName name="Total_T1_2">TT!$D$65:$D$213</definedName>
    <definedName name="Total_T1_3" localSheetId="5">'[4]TT (Values)'!$D$51:$D$58</definedName>
    <definedName name="Total_T1_3" localSheetId="4">'[4]TT (Values)'!$D$51:$D$58</definedName>
    <definedName name="Total_T1_3" localSheetId="6">[5]TT!$D$83:$D$93</definedName>
    <definedName name="Total_T1_3" localSheetId="7">[5]TT!$D$83:$D$93</definedName>
    <definedName name="Total_T1_3" localSheetId="3">'[2]TT (MAIN)'!$D$94:$D$107</definedName>
    <definedName name="Total_T1_3" localSheetId="0">'TT 1.0'!$D$86:$D$96</definedName>
    <definedName name="Total_T1_3" localSheetId="1">TTFINAL!$D$84:$D$94</definedName>
    <definedName name="Total_T1_3">TT!$D$83:$D$93</definedName>
    <definedName name="Total_T2" localSheetId="7">'[1]TT (Working)'!$D$211:$D$225</definedName>
    <definedName name="Total_T2">'[1]TT (Working)'!$D$211:$D$225</definedName>
    <definedName name="Total_T2_1" localSheetId="5">'[4]TT (Values)'!$D$276:$D$290</definedName>
    <definedName name="Total_T2_1" localSheetId="4">'[4]TT (Values)'!$D$276:$D$290</definedName>
    <definedName name="Total_T2_1" localSheetId="6">[5]TT!$D$331:$D$346</definedName>
    <definedName name="Total_T2_1" localSheetId="7">[5]TT!$D$331:$D$346</definedName>
    <definedName name="Total_T2_1" localSheetId="3">'[2]TT (MAIN)'!$D$286:$D$298</definedName>
    <definedName name="Total_T2_1" localSheetId="0">'TT 1.0'!$D$271:$D$281</definedName>
    <definedName name="Total_T2_1" localSheetId="1">TTFINAL!$D$272:$D$282</definedName>
    <definedName name="Total_T2_1">TT!$D$272:$D$282</definedName>
    <definedName name="Total_T2_2" localSheetId="5">'[4]TT (Values)'!$D$296:$D$310</definedName>
    <definedName name="Total_T2_2" localSheetId="4">'[4]TT (Values)'!$D$296:$D$310</definedName>
    <definedName name="Total_T2_2" localSheetId="6">[5]TT!$D$352:$D$365</definedName>
    <definedName name="Total_T2_2" localSheetId="7">[5]TT!$D$352:$D$365</definedName>
    <definedName name="Total_T2_2" localSheetId="3">'[2]TT (MAIN)'!$D$304:$D$316</definedName>
    <definedName name="Total_T2_2" localSheetId="0">'TT 1.0'!$D$285:$D$296</definedName>
    <definedName name="Total_T2_2" localSheetId="1">TTFINAL!$D$286:$D$298</definedName>
    <definedName name="Total_T2_2">TT!$D$286:$D$298</definedName>
    <definedName name="Total_T2_3" localSheetId="5">'[4]TT (Values)'!$D$316:$D$327</definedName>
    <definedName name="Total_T2_3" localSheetId="4">'[4]TT (Values)'!$D$316:$D$327</definedName>
    <definedName name="Total_T2_3" localSheetId="6">[5]TT!$D$371:$D$381</definedName>
    <definedName name="Total_T2_3" localSheetId="7">[5]TT!$D$371:$D$381</definedName>
    <definedName name="Total_T2_3" localSheetId="3">'[2]TT (MAIN)'!$D$322:$D$335</definedName>
    <definedName name="Total_T2_3" localSheetId="0">'TT 1.0'!$D$300:$D$312</definedName>
    <definedName name="Total_T2_3" localSheetId="1">TTFINAL!$D$302:$D$311</definedName>
    <definedName name="Total_T2_3">TT!$D$302:$D$311</definedName>
    <definedName name="Total_T3" localSheetId="7">'[1]TT (Working)'!$D$233:$D$247</definedName>
    <definedName name="Total_T3">'[1]TT (Working)'!$D$233:$D$247</definedName>
    <definedName name="Total_T3_1" localSheetId="5">'[4]TT (Values)'!$D$568:$D$584</definedName>
    <definedName name="Total_T3_1" localSheetId="4">'[4]TT (Values)'!$D$568:$D$584</definedName>
    <definedName name="Total_T3_1" localSheetId="6">[5]TT!$D$627:$D$642</definedName>
    <definedName name="Total_T3_1" localSheetId="7">[5]TT!$D$627:$D$642</definedName>
    <definedName name="Total_T3_1" localSheetId="3">'[2]TT (MAIN)'!$D$508:$D$523</definedName>
    <definedName name="Total_T3_1" localSheetId="0">'TT 1.0'!$D$528:$D$540</definedName>
    <definedName name="Total_T3_1" localSheetId="1">TTFINAL!$D$521:$D$533</definedName>
    <definedName name="Total_T3_1">TT!$D$521:$D$533</definedName>
    <definedName name="Total_T3_2" localSheetId="5">'[4]TT (Values)'!$D$590:$D$607</definedName>
    <definedName name="Total_T3_2" localSheetId="4">'[4]TT (Values)'!$D$590:$D$607</definedName>
    <definedName name="Total_T3_2" localSheetId="6">[5]TT!$D$648:$D$659</definedName>
    <definedName name="Total_T3_2" localSheetId="7">[5]TT!$D$648:$D$659</definedName>
    <definedName name="Total_T3_2" localSheetId="3">'[2]TT (MAIN)'!$D$529:$D$540</definedName>
    <definedName name="Total_T3_2" localSheetId="0">'TT 1.0'!$D$544:$D$557</definedName>
    <definedName name="Total_T3_2" localSheetId="1">TTFINAL!$D$537:$D$550</definedName>
    <definedName name="Total_T3_2">TT!$D$537:$D$550</definedName>
    <definedName name="Total_T3_3" localSheetId="5">'[4]TT (Values)'!$D$613:$D$627</definedName>
    <definedName name="Total_T3_3" localSheetId="4">'[4]TT (Values)'!$D$613:$D$627</definedName>
    <definedName name="Total_T3_3" localSheetId="6">[5]TT!$D$665:$D$680</definedName>
    <definedName name="Total_T3_3" localSheetId="7">[5]TT!$D$665:$D$680</definedName>
    <definedName name="Total_T3_3" localSheetId="3">'[2]TT (MAIN)'!$D$546:$D$557</definedName>
    <definedName name="Total_T3_3" localSheetId="0">'TT 1.0'!$D$561:$D$577</definedName>
    <definedName name="Total_T3_3" localSheetId="1">TTFINAL!$D$554:$D$569</definedName>
    <definedName name="Total_T3_3">TT!$D$554:$D$569</definedName>
    <definedName name="Total_T4" localSheetId="7">'[1]TT (Working)'!$D$261:$D$274</definedName>
    <definedName name="Total_T4">'[1]TT (Working)'!$D$261:$D$274</definedName>
    <definedName name="Total_T5" localSheetId="7">'[1]TT (Working)'!$D$284:$D$295</definedName>
    <definedName name="Total_T5">'[1]TT (Working)'!$D$284:$D$295</definedName>
    <definedName name="Total_T6" localSheetId="7">'[1]TT (Working)'!$D$304:$D$319</definedName>
    <definedName name="Total_T6">'[1]TT (Working)'!$D$304:$D$319</definedName>
    <definedName name="Total_T7" localSheetId="6">[1]tt!#REF!</definedName>
    <definedName name="Total_T7" localSheetId="7">'[1]TT (Working)'!$D$329:$D$338</definedName>
    <definedName name="Total_T7">'[1]TT (Working)'!$D$329:$D$338</definedName>
    <definedName name="Total_W1" localSheetId="7">'[1]TT (Working)'!$D$345:$D$359</definedName>
    <definedName name="Total_W1">'[1]TT (Working)'!$D$345:$D$359</definedName>
    <definedName name="Total_W1_1" localSheetId="5">'[4]TT (Values)'!$D$64:$D$72</definedName>
    <definedName name="Total_W1_1" localSheetId="4">'[4]TT (Values)'!$D$64:$D$72</definedName>
    <definedName name="Total_W1_1" localSheetId="6">[5]TT!$D$99:$D$109</definedName>
    <definedName name="Total_W1_1" localSheetId="7">[5]TT!$D$99:$D$109</definedName>
    <definedName name="Total_W1_1" localSheetId="3">'[2]TT (MAIN)'!$D$114:$D$124</definedName>
    <definedName name="Total_W1_1" localSheetId="0">'TT 1.0'!$D$100:$D$109</definedName>
    <definedName name="Total_W1_1" localSheetId="1">TTFINAL!$D$98:$D$107</definedName>
    <definedName name="Total_W1_1">TT!$D$97:$D$106</definedName>
    <definedName name="Total_W1_2" localSheetId="5">'[4]TT (Values)'!$D$78:$D$90</definedName>
    <definedName name="Total_W1_2" localSheetId="4">'[4]TT (Values)'!$D$78:$D$90</definedName>
    <definedName name="Total_W1_2" localSheetId="6">[5]TT!$D$115:$D$125</definedName>
    <definedName name="Total_W1_2" localSheetId="7">[5]TT!$D$115:$D$125</definedName>
    <definedName name="Total_W1_2" localSheetId="3">'[2]TT (MAIN)'!$D$130:$D$152</definedName>
    <definedName name="Total_W1_2" localSheetId="0">'TT 1.0'!$D$113:$D$124</definedName>
    <definedName name="Total_W1_2" localSheetId="1">TTFINAL!$D$111:$D$122</definedName>
    <definedName name="Total_W1_2">TT!$D$110:$D$121</definedName>
    <definedName name="Total_W1_3" localSheetId="5">'[4]TT (Values)'!$D$96:$D$107</definedName>
    <definedName name="Total_W1_3" localSheetId="4">'[4]TT (Values)'!$D$96:$D$107</definedName>
    <definedName name="Total_W1_3" localSheetId="6">[5]TT!$D$131:$D$141</definedName>
    <definedName name="Total_W1_3" localSheetId="7">[5]TT!$D$131:$D$141</definedName>
    <definedName name="Total_W1_3" localSheetId="3">'[2]TT (MAIN)'!$D$158:$D$173</definedName>
    <definedName name="Total_W1_3" localSheetId="0">'TT 1.0'!$D$128:$D$136</definedName>
    <definedName name="Total_W1_3" localSheetId="1">TTFINAL!$D$126:$D$134</definedName>
    <definedName name="Total_W1_3">TT!$D$125:$D$134</definedName>
    <definedName name="Total_W2" localSheetId="7">'[1]TT (Working)'!$D$368:$D$381</definedName>
    <definedName name="Total_W2">'[1]TT (Working)'!$D$368:$D$381</definedName>
    <definedName name="Total_W2_1" localSheetId="5">'[4]TT (Values)'!$D$333:$D$352</definedName>
    <definedName name="Total_W2_1" localSheetId="4">'[4]TT (Values)'!$D$333:$D$352</definedName>
    <definedName name="Total_W2_1" localSheetId="6">[5]TT!$D$387:$D$405</definedName>
    <definedName name="Total_W2_1" localSheetId="7">[5]TT!$D$387:$D$405</definedName>
    <definedName name="Total_W2_1" localSheetId="3">'[2]TT (MAIN)'!$D$341:$D$358</definedName>
    <definedName name="Total_W2_1" localSheetId="0">'TT 1.0'!$D$316:$D$339</definedName>
    <definedName name="Total_W2_1" localSheetId="1">TTFINAL!$D$315:$D$337</definedName>
    <definedName name="Total_W2_1">TT!$D$315:$D$337</definedName>
    <definedName name="Total_W2_2" localSheetId="5">'[4]TT (Values)'!$D$358:$D$369</definedName>
    <definedName name="Total_W2_2" localSheetId="4">'[4]TT (Values)'!$D$358:$D$369</definedName>
    <definedName name="Total_W2_2" localSheetId="6">[5]TT!$D$411:$D$424</definedName>
    <definedName name="Total_W2_2" localSheetId="7">[5]TT!$D$411:$D$424</definedName>
    <definedName name="Total_W2_2" localSheetId="3">'[2]TT (MAIN)'!$D$364:$D$373</definedName>
    <definedName name="Total_W2_2" localSheetId="0">'TT 1.0'!$D$343:$D$354</definedName>
    <definedName name="Total_W2_2" localSheetId="1">TTFINAL!$D$341:$D$350</definedName>
    <definedName name="Total_W2_2">TT!$D$341:$D$350</definedName>
    <definedName name="Total_W2_3" localSheetId="5">'[4]TT (Values)'!$D$375:$D$386</definedName>
    <definedName name="Total_W2_3" localSheetId="4">'[4]TT (Values)'!$D$375:$D$386</definedName>
    <definedName name="Total_W2_3" localSheetId="6">[5]TT!$D$430:$D$444</definedName>
    <definedName name="Total_W2_3" localSheetId="7">[5]TT!$D$430:$D$444</definedName>
    <definedName name="Total_W2_3" localSheetId="3">'[2]TT (MAIN)'!$D$379:$D$394</definedName>
    <definedName name="Total_W2_3" localSheetId="0">'TT 1.0'!$D$360:$D$368</definedName>
    <definedName name="Total_W2_3" localSheetId="1">TTFINAL!$D$356:$D$365</definedName>
    <definedName name="Total_W2_3">TT!$D$356:$D$365</definedName>
    <definedName name="Total_W3" localSheetId="7">'[1]TT (Working)'!$D$389:$D$402</definedName>
    <definedName name="Total_W3">'[1]TT (Working)'!$D$389:$D$402</definedName>
    <definedName name="Total_W3_1" localSheetId="5">'[4]TT (Values)'!$D$633:$D$642</definedName>
    <definedName name="Total_W3_1" localSheetId="4">'[4]TT (Values)'!$D$633:$D$642</definedName>
    <definedName name="Total_W3_1" localSheetId="6">[5]TT!$D$686:$D$696</definedName>
    <definedName name="Total_W3_1" localSheetId="7">[5]TT!$D$686:$D$696</definedName>
    <definedName name="Total_W3_1" localSheetId="3">'[2]TT (MAIN)'!$D$630:$D$658</definedName>
    <definedName name="Total_W3_1" localSheetId="0">'TT 1.0'!$D$581:$D$590</definedName>
    <definedName name="Total_W3_1" localSheetId="1">TTFINAL!$D$573:$D$582</definedName>
    <definedName name="Total_W3_1">TT!$D$573:$D$582</definedName>
    <definedName name="Total_W3_2" localSheetId="5">'[4]TT (Values)'!$D$648:$D$660</definedName>
    <definedName name="Total_W3_2" localSheetId="4">'[4]TT (Values)'!$D$648:$D$660</definedName>
    <definedName name="Total_W3_2" localSheetId="6">[5]TT!$D$702:$D$753</definedName>
    <definedName name="Total_W3_2" localSheetId="7">[5]TT!$D$702:$D$753</definedName>
    <definedName name="Total_W3_2" localSheetId="3">'[2]TT (MAIN)'!$D$664:$D$675</definedName>
    <definedName name="Total_W3_2" localSheetId="0">'TT 1.0'!$D$594:$D$602</definedName>
    <definedName name="Total_W3_2" localSheetId="1">TTFINAL!$D$586:$D$593</definedName>
    <definedName name="Total_W3_2">TT!$D$586:$D$593</definedName>
    <definedName name="Total_W3_3" localSheetId="5">'[4]TT (Values)'!$D$666:$D$679</definedName>
    <definedName name="Total_W3_3" localSheetId="4">'[4]TT (Values)'!$D$666:$D$679</definedName>
    <definedName name="Total_W3_3" localSheetId="6">[5]TT!$D$722:$D$738</definedName>
    <definedName name="Total_W3_3" localSheetId="7">[5]TT!$D$722:$D$738</definedName>
    <definedName name="Total_W3_3" localSheetId="3">'[2]TT (MAIN)'!$D$681:$D$691</definedName>
    <definedName name="Total_W3_3" localSheetId="0">'TT 1.0'!$D$606:$D$614</definedName>
    <definedName name="Total_W3_3" localSheetId="1">TTFINAL!$D$597:$D$606</definedName>
    <definedName name="Total_W3_3">TT!$D$597:$D$606</definedName>
    <definedName name="Total_W4" localSheetId="7">'[1]TT (Working)'!$D$410:$D$423</definedName>
    <definedName name="Total_W4">'[1]TT (Working)'!$D$410:$D$423</definedName>
    <definedName name="Total_W5" localSheetId="7">'[1]TT (Working)'!$D$432:$D$676</definedName>
    <definedName name="Total_W5">'[1]TT (Working)'!$D$432:$D$676</definedName>
    <definedName name="Total_W6" localSheetId="7">'[1]TT (Working)'!$D$464:$D$480</definedName>
    <definedName name="Total_W6">'[1]TT (Working)'!$D$464:$D$480</definedName>
    <definedName name="Total_W7" localSheetId="6">[1]tt!#REF!</definedName>
    <definedName name="Total_W7" localSheetId="7">'[1]TT (Working)'!$D$487:$D$502</definedName>
    <definedName name="Total_W7">'[1]TT (Working)'!$D$487:$D$502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99" i="10" l="1"/>
  <c r="E686" i="10"/>
  <c r="E551" i="10"/>
  <c r="L65" i="9"/>
  <c r="L64" i="9"/>
  <c r="L61" i="9"/>
  <c r="L60" i="9"/>
  <c r="D39" i="9"/>
  <c r="C39" i="9"/>
  <c r="B39" i="9"/>
  <c r="P37" i="9"/>
  <c r="F37" i="9"/>
  <c r="I37" i="9" s="1"/>
  <c r="P36" i="9"/>
  <c r="F36" i="9"/>
  <c r="I36" i="9" s="1"/>
  <c r="P35" i="9"/>
  <c r="I35" i="9"/>
  <c r="F35" i="9"/>
  <c r="G35" i="9" s="1"/>
  <c r="P34" i="9"/>
  <c r="I34" i="9"/>
  <c r="G34" i="9"/>
  <c r="F34" i="9"/>
  <c r="P33" i="9"/>
  <c r="I33" i="9"/>
  <c r="F33" i="9"/>
  <c r="G33" i="9" s="1"/>
  <c r="P32" i="9"/>
  <c r="I32" i="9"/>
  <c r="G32" i="9"/>
  <c r="F32" i="9"/>
  <c r="E31" i="9"/>
  <c r="F31" i="9" s="1"/>
  <c r="G31" i="9" s="1"/>
  <c r="P30" i="9"/>
  <c r="I30" i="9"/>
  <c r="E30" i="9"/>
  <c r="F30" i="9" s="1"/>
  <c r="G30" i="9" s="1"/>
  <c r="F29" i="9"/>
  <c r="G29" i="9" s="1"/>
  <c r="E29" i="9"/>
  <c r="I29" i="9" s="1"/>
  <c r="P28" i="9"/>
  <c r="F28" i="9"/>
  <c r="G28" i="9" s="1"/>
  <c r="E28" i="9"/>
  <c r="I28" i="9" s="1"/>
  <c r="P27" i="9"/>
  <c r="I27" i="9"/>
  <c r="G27" i="9"/>
  <c r="F27" i="9"/>
  <c r="E27" i="9"/>
  <c r="E26" i="9"/>
  <c r="F26" i="9" s="1"/>
  <c r="G26" i="9" s="1"/>
  <c r="P25" i="9"/>
  <c r="I25" i="9"/>
  <c r="F25" i="9"/>
  <c r="G25" i="9" s="1"/>
  <c r="E25" i="9"/>
  <c r="I24" i="9"/>
  <c r="G24" i="9"/>
  <c r="F24" i="9"/>
  <c r="E24" i="9"/>
  <c r="P24" i="9" s="1"/>
  <c r="I23" i="9"/>
  <c r="E23" i="9"/>
  <c r="F23" i="9" s="1"/>
  <c r="G23" i="9" s="1"/>
  <c r="P22" i="9"/>
  <c r="I22" i="9"/>
  <c r="E22" i="9"/>
  <c r="F22" i="9" s="1"/>
  <c r="G22" i="9" s="1"/>
  <c r="F21" i="9"/>
  <c r="G21" i="9" s="1"/>
  <c r="E21" i="9"/>
  <c r="I21" i="9" s="1"/>
  <c r="P20" i="9"/>
  <c r="G20" i="9"/>
  <c r="F20" i="9"/>
  <c r="E20" i="9"/>
  <c r="I20" i="9" s="1"/>
  <c r="P19" i="9"/>
  <c r="I19" i="9"/>
  <c r="G19" i="9"/>
  <c r="F19" i="9"/>
  <c r="E19" i="9"/>
  <c r="E18" i="9"/>
  <c r="F18" i="9" s="1"/>
  <c r="G18" i="9" s="1"/>
  <c r="P17" i="9"/>
  <c r="I17" i="9"/>
  <c r="F17" i="9"/>
  <c r="G17" i="9" s="1"/>
  <c r="E17" i="9"/>
  <c r="I16" i="9"/>
  <c r="G16" i="9"/>
  <c r="F16" i="9"/>
  <c r="E16" i="9"/>
  <c r="P16" i="9" s="1"/>
  <c r="I15" i="9"/>
  <c r="E15" i="9"/>
  <c r="F15" i="9" s="1"/>
  <c r="G15" i="9" s="1"/>
  <c r="P14" i="9"/>
  <c r="I14" i="9"/>
  <c r="E14" i="9"/>
  <c r="F14" i="9" s="1"/>
  <c r="G14" i="9" s="1"/>
  <c r="F13" i="9"/>
  <c r="G13" i="9" s="1"/>
  <c r="E13" i="9"/>
  <c r="I13" i="9" s="1"/>
  <c r="P12" i="9"/>
  <c r="E12" i="9"/>
  <c r="I12" i="9" s="1"/>
  <c r="P11" i="9"/>
  <c r="I11" i="9"/>
  <c r="G11" i="9"/>
  <c r="F11" i="9"/>
  <c r="E11" i="9"/>
  <c r="E10" i="9"/>
  <c r="F10" i="9" s="1"/>
  <c r="G10" i="9" s="1"/>
  <c r="P9" i="9"/>
  <c r="I9" i="9"/>
  <c r="F9" i="9"/>
  <c r="G9" i="9" s="1"/>
  <c r="E9" i="9"/>
  <c r="I8" i="9"/>
  <c r="G8" i="9"/>
  <c r="F8" i="9"/>
  <c r="E8" i="9"/>
  <c r="P8" i="9" s="1"/>
  <c r="I7" i="9"/>
  <c r="E7" i="9"/>
  <c r="F7" i="9" s="1"/>
  <c r="G7" i="9" s="1"/>
  <c r="P6" i="9"/>
  <c r="I6" i="9"/>
  <c r="E6" i="9"/>
  <c r="F6" i="9" s="1"/>
  <c r="G6" i="9" s="1"/>
  <c r="F5" i="9"/>
  <c r="E5" i="9"/>
  <c r="I5" i="9" s="1"/>
  <c r="B31" i="8"/>
  <c r="F29" i="8"/>
  <c r="F25" i="8"/>
  <c r="F20" i="8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1" i="6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C2" i="5" a="1"/>
  <c r="C542" i="5" s="1"/>
  <c r="A2" i="5"/>
  <c r="AT75" i="4"/>
  <c r="AS75" i="4"/>
  <c r="AN75" i="4"/>
  <c r="AB75" i="4"/>
  <c r="Y75" i="4"/>
  <c r="X75" i="4"/>
  <c r="P75" i="4"/>
  <c r="O75" i="4"/>
  <c r="M75" i="4"/>
  <c r="L75" i="4"/>
  <c r="H75" i="4"/>
  <c r="G75" i="4"/>
  <c r="BH74" i="4"/>
  <c r="BC74" i="4"/>
  <c r="BB74" i="4"/>
  <c r="AZ74" i="4"/>
  <c r="AT74" i="4"/>
  <c r="AS74" i="4"/>
  <c r="AR74" i="4"/>
  <c r="BJ74" i="4" s="1"/>
  <c r="AQ74" i="4"/>
  <c r="AP74" i="4"/>
  <c r="BI74" i="4" s="1"/>
  <c r="AO74" i="4"/>
  <c r="AN74" i="4"/>
  <c r="AM74" i="4"/>
  <c r="AL74" i="4"/>
  <c r="AK74" i="4"/>
  <c r="AJ74" i="4"/>
  <c r="AI74" i="4"/>
  <c r="BG74" i="4" s="1"/>
  <c r="AH74" i="4"/>
  <c r="AG74" i="4"/>
  <c r="BF74" i="4" s="1"/>
  <c r="AF74" i="4"/>
  <c r="AE74" i="4"/>
  <c r="AD74" i="4"/>
  <c r="AC74" i="4"/>
  <c r="BE74" i="4" s="1"/>
  <c r="AB74" i="4"/>
  <c r="AA74" i="4"/>
  <c r="Z74" i="4"/>
  <c r="BD74" i="4" s="1"/>
  <c r="Y74" i="4"/>
  <c r="X74" i="4"/>
  <c r="W74" i="4"/>
  <c r="V74" i="4"/>
  <c r="U74" i="4"/>
  <c r="T74" i="4"/>
  <c r="S74" i="4"/>
  <c r="R74" i="4"/>
  <c r="BA74" i="4" s="1"/>
  <c r="Q74" i="4"/>
  <c r="P74" i="4"/>
  <c r="O74" i="4"/>
  <c r="N74" i="4"/>
  <c r="M74" i="4"/>
  <c r="L74" i="4"/>
  <c r="K74" i="4"/>
  <c r="AY74" i="4" s="1"/>
  <c r="J74" i="4"/>
  <c r="I74" i="4"/>
  <c r="H74" i="4"/>
  <c r="G74" i="4"/>
  <c r="F74" i="4"/>
  <c r="E74" i="4"/>
  <c r="AW74" i="4" s="1"/>
  <c r="D74" i="4"/>
  <c r="C74" i="4"/>
  <c r="B74" i="4"/>
  <c r="AV74" i="4" s="1"/>
  <c r="BH73" i="4"/>
  <c r="BG73" i="4"/>
  <c r="AV73" i="4"/>
  <c r="AT73" i="4"/>
  <c r="AS73" i="4"/>
  <c r="AR73" i="4"/>
  <c r="BJ73" i="4" s="1"/>
  <c r="AQ73" i="4"/>
  <c r="AP73" i="4"/>
  <c r="AO73" i="4"/>
  <c r="AN73" i="4"/>
  <c r="AM73" i="4"/>
  <c r="AL73" i="4"/>
  <c r="AK73" i="4"/>
  <c r="AJ73" i="4"/>
  <c r="AI73" i="4"/>
  <c r="AH73" i="4"/>
  <c r="AG73" i="4"/>
  <c r="AF73" i="4"/>
  <c r="BF73" i="4" s="1"/>
  <c r="AE73" i="4"/>
  <c r="BE73" i="4" s="1"/>
  <c r="AD73" i="4"/>
  <c r="AC73" i="4"/>
  <c r="AB73" i="4"/>
  <c r="AA73" i="4"/>
  <c r="Z73" i="4"/>
  <c r="BD73" i="4" s="1"/>
  <c r="Y73" i="4"/>
  <c r="X73" i="4"/>
  <c r="W73" i="4"/>
  <c r="BC73" i="4" s="1"/>
  <c r="V73" i="4"/>
  <c r="U73" i="4"/>
  <c r="T73" i="4"/>
  <c r="BB73" i="4" s="1"/>
  <c r="S73" i="4"/>
  <c r="R73" i="4"/>
  <c r="Q73" i="4"/>
  <c r="P73" i="4"/>
  <c r="O73" i="4"/>
  <c r="AZ73" i="4" s="1"/>
  <c r="N73" i="4"/>
  <c r="M73" i="4"/>
  <c r="L73" i="4"/>
  <c r="K73" i="4"/>
  <c r="AY73" i="4" s="1"/>
  <c r="J73" i="4"/>
  <c r="I73" i="4"/>
  <c r="H73" i="4"/>
  <c r="AX73" i="4" s="1"/>
  <c r="G73" i="4"/>
  <c r="AW73" i="4" s="1"/>
  <c r="F73" i="4"/>
  <c r="E73" i="4"/>
  <c r="D73" i="4"/>
  <c r="C73" i="4"/>
  <c r="B73" i="4"/>
  <c r="BE72" i="4"/>
  <c r="BD72" i="4"/>
  <c r="AT72" i="4"/>
  <c r="AS72" i="4"/>
  <c r="AR72" i="4"/>
  <c r="BJ72" i="4" s="1"/>
  <c r="AQ72" i="4"/>
  <c r="BI72" i="4" s="1"/>
  <c r="AP72" i="4"/>
  <c r="AO72" i="4"/>
  <c r="AN72" i="4"/>
  <c r="AM72" i="4"/>
  <c r="AL72" i="4"/>
  <c r="BH72" i="4" s="1"/>
  <c r="AK72" i="4"/>
  <c r="AJ72" i="4"/>
  <c r="AI72" i="4"/>
  <c r="AH72" i="4"/>
  <c r="AG72" i="4"/>
  <c r="AF72" i="4"/>
  <c r="BF72" i="4" s="1"/>
  <c r="AE72" i="4"/>
  <c r="AD72" i="4"/>
  <c r="AC72" i="4"/>
  <c r="AB72" i="4"/>
  <c r="AA72" i="4"/>
  <c r="Z72" i="4"/>
  <c r="Y72" i="4"/>
  <c r="X72" i="4"/>
  <c r="W72" i="4"/>
  <c r="V72" i="4"/>
  <c r="U72" i="4"/>
  <c r="T72" i="4"/>
  <c r="BB72" i="4" s="1"/>
  <c r="S72" i="4"/>
  <c r="BA72" i="4" s="1"/>
  <c r="R72" i="4"/>
  <c r="Q72" i="4"/>
  <c r="P72" i="4"/>
  <c r="AZ72" i="4" s="1"/>
  <c r="O72" i="4"/>
  <c r="N72" i="4"/>
  <c r="M72" i="4"/>
  <c r="L72" i="4"/>
  <c r="K72" i="4"/>
  <c r="J72" i="4"/>
  <c r="I72" i="4"/>
  <c r="H72" i="4"/>
  <c r="AX72" i="4" s="1"/>
  <c r="G72" i="4"/>
  <c r="F72" i="4"/>
  <c r="E72" i="4"/>
  <c r="AW72" i="4" s="1"/>
  <c r="D72" i="4"/>
  <c r="C72" i="4"/>
  <c r="AV72" i="4" s="1"/>
  <c r="B72" i="4"/>
  <c r="BF71" i="4"/>
  <c r="BE71" i="4"/>
  <c r="BB71" i="4"/>
  <c r="AT71" i="4"/>
  <c r="AS71" i="4"/>
  <c r="AR71" i="4"/>
  <c r="BJ71" i="4" s="1"/>
  <c r="AQ71" i="4"/>
  <c r="BI71" i="4" s="1"/>
  <c r="AP71" i="4"/>
  <c r="AO71" i="4"/>
  <c r="AN71" i="4"/>
  <c r="BH71" i="4" s="1"/>
  <c r="AM71" i="4"/>
  <c r="AL71" i="4"/>
  <c r="AK71" i="4"/>
  <c r="AJ71" i="4"/>
  <c r="AI71" i="4"/>
  <c r="BG71" i="4" s="1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BA71" i="4" s="1"/>
  <c r="R71" i="4"/>
  <c r="Q71" i="4"/>
  <c r="P71" i="4"/>
  <c r="AZ71" i="4" s="1"/>
  <c r="O71" i="4"/>
  <c r="N71" i="4"/>
  <c r="M71" i="4"/>
  <c r="L71" i="4"/>
  <c r="K71" i="4"/>
  <c r="AY71" i="4" s="1"/>
  <c r="J71" i="4"/>
  <c r="I71" i="4"/>
  <c r="H71" i="4"/>
  <c r="AX71" i="4" s="1"/>
  <c r="G71" i="4"/>
  <c r="F71" i="4"/>
  <c r="E71" i="4"/>
  <c r="AW71" i="4" s="1"/>
  <c r="D71" i="4"/>
  <c r="C71" i="4"/>
  <c r="B71" i="4"/>
  <c r="BD70" i="4"/>
  <c r="BC70" i="4"/>
  <c r="AT70" i="4"/>
  <c r="AS70" i="4"/>
  <c r="AR70" i="4"/>
  <c r="AQ70" i="4"/>
  <c r="AP70" i="4"/>
  <c r="AO70" i="4"/>
  <c r="BI70" i="4" s="1"/>
  <c r="AN70" i="4"/>
  <c r="AM70" i="4"/>
  <c r="AL70" i="4"/>
  <c r="BH70" i="4" s="1"/>
  <c r="AK70" i="4"/>
  <c r="AJ70" i="4"/>
  <c r="BG70" i="4" s="1"/>
  <c r="AI70" i="4"/>
  <c r="AH70" i="4"/>
  <c r="AG70" i="4"/>
  <c r="BF70" i="4" s="1"/>
  <c r="AF70" i="4"/>
  <c r="AE70" i="4"/>
  <c r="AD70" i="4"/>
  <c r="AC70" i="4"/>
  <c r="BE70" i="4" s="1"/>
  <c r="AB70" i="4"/>
  <c r="AA70" i="4"/>
  <c r="Z70" i="4"/>
  <c r="Y70" i="4"/>
  <c r="X70" i="4"/>
  <c r="W70" i="4"/>
  <c r="V70" i="4"/>
  <c r="U70" i="4"/>
  <c r="T70" i="4"/>
  <c r="S70" i="4"/>
  <c r="R70" i="4"/>
  <c r="Q70" i="4"/>
  <c r="BA70" i="4" s="1"/>
  <c r="P70" i="4"/>
  <c r="O70" i="4"/>
  <c r="N70" i="4"/>
  <c r="AZ70" i="4" s="1"/>
  <c r="M70" i="4"/>
  <c r="L70" i="4"/>
  <c r="K70" i="4"/>
  <c r="J70" i="4"/>
  <c r="I70" i="4"/>
  <c r="AX70" i="4" s="1"/>
  <c r="H70" i="4"/>
  <c r="G70" i="4"/>
  <c r="F70" i="4"/>
  <c r="E70" i="4"/>
  <c r="D70" i="4"/>
  <c r="C70" i="4"/>
  <c r="B70" i="4"/>
  <c r="AV70" i="4" s="1"/>
  <c r="BH69" i="4"/>
  <c r="BG69" i="4"/>
  <c r="AZ69" i="4"/>
  <c r="AY69" i="4"/>
  <c r="AT69" i="4"/>
  <c r="AS69" i="4"/>
  <c r="AR69" i="4"/>
  <c r="BJ69" i="4" s="1"/>
  <c r="AQ69" i="4"/>
  <c r="AP69" i="4"/>
  <c r="AO69" i="4"/>
  <c r="BI69" i="4" s="1"/>
  <c r="AN69" i="4"/>
  <c r="AM69" i="4"/>
  <c r="AL69" i="4"/>
  <c r="AK69" i="4"/>
  <c r="AJ69" i="4"/>
  <c r="AI69" i="4"/>
  <c r="AH69" i="4"/>
  <c r="AG69" i="4"/>
  <c r="BF69" i="4" s="1"/>
  <c r="AF69" i="4"/>
  <c r="AE69" i="4"/>
  <c r="AD69" i="4"/>
  <c r="AC69" i="4"/>
  <c r="BE69" i="4" s="1"/>
  <c r="AB69" i="4"/>
  <c r="AA69" i="4"/>
  <c r="Z69" i="4"/>
  <c r="BD69" i="4" s="1"/>
  <c r="Y69" i="4"/>
  <c r="X69" i="4"/>
  <c r="W69" i="4"/>
  <c r="BC69" i="4" s="1"/>
  <c r="V69" i="4"/>
  <c r="U69" i="4"/>
  <c r="T69" i="4"/>
  <c r="BB69" i="4" s="1"/>
  <c r="S69" i="4"/>
  <c r="R69" i="4"/>
  <c r="Q69" i="4"/>
  <c r="BA69" i="4" s="1"/>
  <c r="P69" i="4"/>
  <c r="O69" i="4"/>
  <c r="N69" i="4"/>
  <c r="M69" i="4"/>
  <c r="L69" i="4"/>
  <c r="K69" i="4"/>
  <c r="J69" i="4"/>
  <c r="I69" i="4"/>
  <c r="AX69" i="4" s="1"/>
  <c r="H69" i="4"/>
  <c r="G69" i="4"/>
  <c r="F69" i="4"/>
  <c r="E69" i="4"/>
  <c r="AW69" i="4" s="1"/>
  <c r="D69" i="4"/>
  <c r="C69" i="4"/>
  <c r="B69" i="4"/>
  <c r="AV69" i="4" s="1"/>
  <c r="BE68" i="4"/>
  <c r="BD68" i="4"/>
  <c r="AV68" i="4"/>
  <c r="AT68" i="4"/>
  <c r="AS68" i="4"/>
  <c r="AR68" i="4"/>
  <c r="BJ68" i="4" s="1"/>
  <c r="AQ68" i="4"/>
  <c r="AP68" i="4"/>
  <c r="AO68" i="4"/>
  <c r="BI68" i="4" s="1"/>
  <c r="AN68" i="4"/>
  <c r="AM68" i="4"/>
  <c r="AL68" i="4"/>
  <c r="AK68" i="4"/>
  <c r="AJ68" i="4"/>
  <c r="AI68" i="4"/>
  <c r="BG68" i="4" s="1"/>
  <c r="AH68" i="4"/>
  <c r="AG68" i="4"/>
  <c r="AF68" i="4"/>
  <c r="BF68" i="4" s="1"/>
  <c r="AE68" i="4"/>
  <c r="AD68" i="4"/>
  <c r="AC68" i="4"/>
  <c r="AB68" i="4"/>
  <c r="AA68" i="4"/>
  <c r="Z68" i="4"/>
  <c r="Y68" i="4"/>
  <c r="X68" i="4"/>
  <c r="W68" i="4"/>
  <c r="V68" i="4"/>
  <c r="U68" i="4"/>
  <c r="T68" i="4"/>
  <c r="BB68" i="4" s="1"/>
  <c r="S68" i="4"/>
  <c r="R68" i="4"/>
  <c r="Q68" i="4"/>
  <c r="BA68" i="4" s="1"/>
  <c r="P68" i="4"/>
  <c r="O68" i="4"/>
  <c r="N68" i="4"/>
  <c r="M68" i="4"/>
  <c r="L68" i="4"/>
  <c r="K68" i="4"/>
  <c r="AY68" i="4" s="1"/>
  <c r="J68" i="4"/>
  <c r="I68" i="4"/>
  <c r="H68" i="4"/>
  <c r="AX68" i="4" s="1"/>
  <c r="G68" i="4"/>
  <c r="AW68" i="4" s="1"/>
  <c r="F68" i="4"/>
  <c r="E68" i="4"/>
  <c r="D68" i="4"/>
  <c r="C68" i="4"/>
  <c r="B68" i="4"/>
  <c r="BI67" i="4"/>
  <c r="BH67" i="4"/>
  <c r="BA67" i="4"/>
  <c r="AZ67" i="4"/>
  <c r="AT67" i="4"/>
  <c r="AS67" i="4"/>
  <c r="AR67" i="4"/>
  <c r="BJ67" i="4" s="1"/>
  <c r="AQ67" i="4"/>
  <c r="AP67" i="4"/>
  <c r="AO67" i="4"/>
  <c r="AN67" i="4"/>
  <c r="AM67" i="4"/>
  <c r="AL67" i="4"/>
  <c r="AK67" i="4"/>
  <c r="AJ67" i="4"/>
  <c r="AI67" i="4"/>
  <c r="AH67" i="4"/>
  <c r="AG67" i="4"/>
  <c r="AF67" i="4"/>
  <c r="BF67" i="4" s="1"/>
  <c r="AE67" i="4"/>
  <c r="AD67" i="4"/>
  <c r="AC67" i="4"/>
  <c r="BE67" i="4" s="1"/>
  <c r="AB67" i="4"/>
  <c r="AA67" i="4"/>
  <c r="Z67" i="4"/>
  <c r="Y67" i="4"/>
  <c r="X67" i="4"/>
  <c r="BC67" i="4" s="1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AX67" i="4" s="1"/>
  <c r="G67" i="4"/>
  <c r="F67" i="4"/>
  <c r="E67" i="4"/>
  <c r="AW67" i="4" s="1"/>
  <c r="D67" i="4"/>
  <c r="C67" i="4"/>
  <c r="B67" i="4"/>
  <c r="BG66" i="4"/>
  <c r="BF66" i="4"/>
  <c r="BE66" i="4"/>
  <c r="AY66" i="4"/>
  <c r="AX66" i="4"/>
  <c r="AW66" i="4"/>
  <c r="AT66" i="4"/>
  <c r="AS66" i="4"/>
  <c r="BJ66" i="4" s="1"/>
  <c r="AR66" i="4"/>
  <c r="AQ66" i="4"/>
  <c r="AP66" i="4"/>
  <c r="AO66" i="4"/>
  <c r="BI66" i="4" s="1"/>
  <c r="AN66" i="4"/>
  <c r="AM66" i="4"/>
  <c r="AL66" i="4"/>
  <c r="BH66" i="4" s="1"/>
  <c r="AK66" i="4"/>
  <c r="AJ66" i="4"/>
  <c r="AI66" i="4"/>
  <c r="AH66" i="4"/>
  <c r="AG66" i="4"/>
  <c r="AF66" i="4"/>
  <c r="AE66" i="4"/>
  <c r="AD66" i="4"/>
  <c r="AC66" i="4"/>
  <c r="AB66" i="4"/>
  <c r="AA66" i="4"/>
  <c r="Z66" i="4"/>
  <c r="BD66" i="4" s="1"/>
  <c r="Y66" i="4"/>
  <c r="X66" i="4"/>
  <c r="BC66" i="4" s="1"/>
  <c r="W66" i="4"/>
  <c r="V66" i="4"/>
  <c r="U66" i="4"/>
  <c r="BB66" i="4" s="1"/>
  <c r="T66" i="4"/>
  <c r="S66" i="4"/>
  <c r="R66" i="4"/>
  <c r="Q66" i="4"/>
  <c r="P66" i="4"/>
  <c r="O66" i="4"/>
  <c r="N66" i="4"/>
  <c r="AZ66" i="4" s="1"/>
  <c r="M66" i="4"/>
  <c r="L66" i="4"/>
  <c r="K66" i="4"/>
  <c r="J66" i="4"/>
  <c r="I66" i="4"/>
  <c r="H66" i="4"/>
  <c r="G66" i="4"/>
  <c r="F66" i="4"/>
  <c r="E66" i="4"/>
  <c r="D66" i="4"/>
  <c r="C66" i="4"/>
  <c r="B66" i="4"/>
  <c r="AV66" i="4" s="1"/>
  <c r="BD65" i="4"/>
  <c r="BC65" i="4"/>
  <c r="AV65" i="4"/>
  <c r="AT65" i="4"/>
  <c r="AS65" i="4"/>
  <c r="AR65" i="4"/>
  <c r="AQ65" i="4"/>
  <c r="AP65" i="4"/>
  <c r="AO65" i="4"/>
  <c r="BI65" i="4" s="1"/>
  <c r="AN65" i="4"/>
  <c r="AM65" i="4"/>
  <c r="AL65" i="4"/>
  <c r="AK65" i="4"/>
  <c r="AJ65" i="4"/>
  <c r="AI65" i="4"/>
  <c r="BG65" i="4" s="1"/>
  <c r="AH65" i="4"/>
  <c r="AG65" i="4"/>
  <c r="AF65" i="4"/>
  <c r="BF65" i="4" s="1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BA65" i="4" s="1"/>
  <c r="P65" i="4"/>
  <c r="O65" i="4"/>
  <c r="N65" i="4"/>
  <c r="M65" i="4"/>
  <c r="L65" i="4"/>
  <c r="K65" i="4"/>
  <c r="AY65" i="4" s="1"/>
  <c r="J65" i="4"/>
  <c r="I65" i="4"/>
  <c r="H65" i="4"/>
  <c r="AX65" i="4" s="1"/>
  <c r="G65" i="4"/>
  <c r="F65" i="4"/>
  <c r="E65" i="4"/>
  <c r="D65" i="4"/>
  <c r="C65" i="4"/>
  <c r="B65" i="4"/>
  <c r="BH64" i="4"/>
  <c r="BE64" i="4"/>
  <c r="AZ64" i="4"/>
  <c r="AW64" i="4"/>
  <c r="AT64" i="4"/>
  <c r="AS64" i="4"/>
  <c r="AR64" i="4"/>
  <c r="BJ64" i="4" s="1"/>
  <c r="AQ64" i="4"/>
  <c r="BI64" i="4" s="1"/>
  <c r="AP64" i="4"/>
  <c r="AO64" i="4"/>
  <c r="AN64" i="4"/>
  <c r="AM64" i="4"/>
  <c r="AL64" i="4"/>
  <c r="AK64" i="4"/>
  <c r="AJ64" i="4"/>
  <c r="AI64" i="4"/>
  <c r="BG64" i="4" s="1"/>
  <c r="AH64" i="4"/>
  <c r="AG64" i="4"/>
  <c r="AF64" i="4"/>
  <c r="BF64" i="4" s="1"/>
  <c r="AE64" i="4"/>
  <c r="AD64" i="4"/>
  <c r="AC64" i="4"/>
  <c r="AB64" i="4"/>
  <c r="AA64" i="4"/>
  <c r="Z64" i="4"/>
  <c r="Y64" i="4"/>
  <c r="X64" i="4"/>
  <c r="W64" i="4"/>
  <c r="BC64" i="4" s="1"/>
  <c r="V64" i="4"/>
  <c r="U64" i="4"/>
  <c r="T64" i="4"/>
  <c r="BB64" i="4" s="1"/>
  <c r="S64" i="4"/>
  <c r="BA64" i="4" s="1"/>
  <c r="R64" i="4"/>
  <c r="Q64" i="4"/>
  <c r="P64" i="4"/>
  <c r="O64" i="4"/>
  <c r="N64" i="4"/>
  <c r="M64" i="4"/>
  <c r="L64" i="4"/>
  <c r="K64" i="4"/>
  <c r="AY64" i="4" s="1"/>
  <c r="J64" i="4"/>
  <c r="I64" i="4"/>
  <c r="H64" i="4"/>
  <c r="AX64" i="4" s="1"/>
  <c r="G64" i="4"/>
  <c r="F64" i="4"/>
  <c r="E64" i="4"/>
  <c r="D64" i="4"/>
  <c r="C64" i="4"/>
  <c r="B64" i="4"/>
  <c r="BF63" i="4"/>
  <c r="BE63" i="4"/>
  <c r="BD63" i="4"/>
  <c r="AW63" i="4"/>
  <c r="AV63" i="4"/>
  <c r="AT63" i="4"/>
  <c r="AS63" i="4"/>
  <c r="BJ63" i="4" s="1"/>
  <c r="AR63" i="4"/>
  <c r="AQ63" i="4"/>
  <c r="AP63" i="4"/>
  <c r="AO63" i="4"/>
  <c r="BI63" i="4" s="1"/>
  <c r="AN63" i="4"/>
  <c r="AM63" i="4"/>
  <c r="AL63" i="4"/>
  <c r="BH63" i="4" s="1"/>
  <c r="AK63" i="4"/>
  <c r="BG63" i="4" s="1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BC63" i="4" s="1"/>
  <c r="V63" i="4"/>
  <c r="U63" i="4"/>
  <c r="BB63" i="4" s="1"/>
  <c r="T63" i="4"/>
  <c r="S63" i="4"/>
  <c r="R63" i="4"/>
  <c r="Q63" i="4"/>
  <c r="BA63" i="4" s="1"/>
  <c r="P63" i="4"/>
  <c r="O63" i="4"/>
  <c r="N63" i="4"/>
  <c r="AZ63" i="4" s="1"/>
  <c r="M63" i="4"/>
  <c r="L63" i="4"/>
  <c r="AY63" i="4" s="1"/>
  <c r="K63" i="4"/>
  <c r="J63" i="4"/>
  <c r="I63" i="4"/>
  <c r="H63" i="4"/>
  <c r="AX63" i="4" s="1"/>
  <c r="G63" i="4"/>
  <c r="F63" i="4"/>
  <c r="E63" i="4"/>
  <c r="D63" i="4"/>
  <c r="C63" i="4"/>
  <c r="B63" i="4"/>
  <c r="BI62" i="4"/>
  <c r="BC62" i="4"/>
  <c r="BA62" i="4"/>
  <c r="AT62" i="4"/>
  <c r="AS62" i="4"/>
  <c r="BJ62" i="4" s="1"/>
  <c r="AR62" i="4"/>
  <c r="AQ62" i="4"/>
  <c r="AP62" i="4"/>
  <c r="AO62" i="4"/>
  <c r="AN62" i="4"/>
  <c r="AM62" i="4"/>
  <c r="AL62" i="4"/>
  <c r="BH62" i="4" s="1"/>
  <c r="AK62" i="4"/>
  <c r="AJ62" i="4"/>
  <c r="AI62" i="4"/>
  <c r="AH62" i="4"/>
  <c r="AG62" i="4"/>
  <c r="BF62" i="4" s="1"/>
  <c r="AF62" i="4"/>
  <c r="AE62" i="4"/>
  <c r="AD62" i="4"/>
  <c r="AC62" i="4"/>
  <c r="BE62" i="4" s="1"/>
  <c r="AB62" i="4"/>
  <c r="AA62" i="4"/>
  <c r="Z62" i="4"/>
  <c r="BD62" i="4" s="1"/>
  <c r="Y62" i="4"/>
  <c r="X62" i="4"/>
  <c r="W62" i="4"/>
  <c r="V62" i="4"/>
  <c r="U62" i="4"/>
  <c r="BB62" i="4" s="1"/>
  <c r="T62" i="4"/>
  <c r="S62" i="4"/>
  <c r="R62" i="4"/>
  <c r="Q62" i="4"/>
  <c r="P62" i="4"/>
  <c r="O62" i="4"/>
  <c r="N62" i="4"/>
  <c r="AZ62" i="4" s="1"/>
  <c r="M62" i="4"/>
  <c r="L62" i="4"/>
  <c r="K62" i="4"/>
  <c r="J62" i="4"/>
  <c r="I62" i="4"/>
  <c r="AX62" i="4" s="1"/>
  <c r="H62" i="4"/>
  <c r="G62" i="4"/>
  <c r="F62" i="4"/>
  <c r="E62" i="4"/>
  <c r="AW62" i="4" s="1"/>
  <c r="D62" i="4"/>
  <c r="C62" i="4"/>
  <c r="B62" i="4"/>
  <c r="AV62" i="4" s="1"/>
  <c r="BH61" i="4"/>
  <c r="AZ61" i="4"/>
  <c r="AT61" i="4"/>
  <c r="AS61" i="4"/>
  <c r="AR61" i="4"/>
  <c r="BJ61" i="4" s="1"/>
  <c r="AQ61" i="4"/>
  <c r="AP61" i="4"/>
  <c r="AO61" i="4"/>
  <c r="AN61" i="4"/>
  <c r="AM61" i="4"/>
  <c r="AL61" i="4"/>
  <c r="AK61" i="4"/>
  <c r="AJ61" i="4"/>
  <c r="AI61" i="4"/>
  <c r="BG61" i="4" s="1"/>
  <c r="AH61" i="4"/>
  <c r="AG61" i="4"/>
  <c r="AF61" i="4"/>
  <c r="AE61" i="4"/>
  <c r="AD61" i="4"/>
  <c r="BE61" i="4" s="1"/>
  <c r="AC61" i="4"/>
  <c r="AB61" i="4"/>
  <c r="AA61" i="4"/>
  <c r="Z61" i="4"/>
  <c r="Y61" i="4"/>
  <c r="X61" i="4"/>
  <c r="W61" i="4"/>
  <c r="BC61" i="4" s="1"/>
  <c r="V61" i="4"/>
  <c r="U61" i="4"/>
  <c r="T61" i="4"/>
  <c r="BB61" i="4" s="1"/>
  <c r="S61" i="4"/>
  <c r="R61" i="4"/>
  <c r="Q61" i="4"/>
  <c r="P61" i="4"/>
  <c r="O61" i="4"/>
  <c r="N61" i="4"/>
  <c r="M61" i="4"/>
  <c r="L61" i="4"/>
  <c r="K61" i="4"/>
  <c r="AY61" i="4" s="1"/>
  <c r="J61" i="4"/>
  <c r="I61" i="4"/>
  <c r="H61" i="4"/>
  <c r="G61" i="4"/>
  <c r="F61" i="4"/>
  <c r="E61" i="4"/>
  <c r="AW61" i="4" s="1"/>
  <c r="D61" i="4"/>
  <c r="C61" i="4"/>
  <c r="B61" i="4"/>
  <c r="BI60" i="4"/>
  <c r="BE60" i="4"/>
  <c r="BD60" i="4"/>
  <c r="BA60" i="4"/>
  <c r="AV60" i="4"/>
  <c r="AT60" i="4"/>
  <c r="AS60" i="4"/>
  <c r="AR60" i="4"/>
  <c r="BJ60" i="4" s="1"/>
  <c r="AQ60" i="4"/>
  <c r="AP60" i="4"/>
  <c r="AO60" i="4"/>
  <c r="AN60" i="4"/>
  <c r="AM60" i="4"/>
  <c r="AL60" i="4"/>
  <c r="BH60" i="4" s="1"/>
  <c r="AK60" i="4"/>
  <c r="AJ60" i="4"/>
  <c r="AI60" i="4"/>
  <c r="BG60" i="4" s="1"/>
  <c r="AH60" i="4"/>
  <c r="AG60" i="4"/>
  <c r="AF60" i="4"/>
  <c r="BF60" i="4" s="1"/>
  <c r="AE60" i="4"/>
  <c r="AD60" i="4"/>
  <c r="AC60" i="4"/>
  <c r="AB60" i="4"/>
  <c r="AA60" i="4"/>
  <c r="Z60" i="4"/>
  <c r="Y60" i="4"/>
  <c r="X60" i="4"/>
  <c r="W60" i="4"/>
  <c r="V60" i="4"/>
  <c r="U60" i="4"/>
  <c r="T60" i="4"/>
  <c r="BB60" i="4" s="1"/>
  <c r="S60" i="4"/>
  <c r="R60" i="4"/>
  <c r="Q60" i="4"/>
  <c r="P60" i="4"/>
  <c r="O60" i="4"/>
  <c r="N60" i="4"/>
  <c r="AZ60" i="4" s="1"/>
  <c r="M60" i="4"/>
  <c r="L60" i="4"/>
  <c r="K60" i="4"/>
  <c r="AY60" i="4" s="1"/>
  <c r="J60" i="4"/>
  <c r="I60" i="4"/>
  <c r="H60" i="4"/>
  <c r="AX60" i="4" s="1"/>
  <c r="G60" i="4"/>
  <c r="AW60" i="4" s="1"/>
  <c r="F60" i="4"/>
  <c r="E60" i="4"/>
  <c r="D60" i="4"/>
  <c r="C60" i="4"/>
  <c r="B60" i="4"/>
  <c r="BI59" i="4"/>
  <c r="BH59" i="4"/>
  <c r="BB59" i="4"/>
  <c r="BA59" i="4"/>
  <c r="AZ59" i="4"/>
  <c r="AT59" i="4"/>
  <c r="AS59" i="4"/>
  <c r="AR59" i="4"/>
  <c r="BJ59" i="4" s="1"/>
  <c r="AQ59" i="4"/>
  <c r="AP59" i="4"/>
  <c r="AO59" i="4"/>
  <c r="AN59" i="4"/>
  <c r="AM59" i="4"/>
  <c r="AL59" i="4"/>
  <c r="AK59" i="4"/>
  <c r="AJ59" i="4"/>
  <c r="AI59" i="4"/>
  <c r="AH59" i="4"/>
  <c r="AG59" i="4"/>
  <c r="BF59" i="4" s="1"/>
  <c r="AF59" i="4"/>
  <c r="AE59" i="4"/>
  <c r="AD59" i="4"/>
  <c r="AC59" i="4"/>
  <c r="BE59" i="4" s="1"/>
  <c r="AB59" i="4"/>
  <c r="AA59" i="4"/>
  <c r="Z59" i="4"/>
  <c r="Y59" i="4"/>
  <c r="X59" i="4"/>
  <c r="BC59" i="4" s="1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AX59" i="4" s="1"/>
  <c r="H59" i="4"/>
  <c r="G59" i="4"/>
  <c r="F59" i="4"/>
  <c r="E59" i="4"/>
  <c r="AW59" i="4" s="1"/>
  <c r="D59" i="4"/>
  <c r="C59" i="4"/>
  <c r="B59" i="4"/>
  <c r="BG58" i="4"/>
  <c r="BF58" i="4"/>
  <c r="BE58" i="4"/>
  <c r="AY58" i="4"/>
  <c r="AW58" i="4"/>
  <c r="AT58" i="4"/>
  <c r="AS58" i="4"/>
  <c r="BJ58" i="4" s="1"/>
  <c r="AR58" i="4"/>
  <c r="AQ58" i="4"/>
  <c r="AP58" i="4"/>
  <c r="AO58" i="4"/>
  <c r="AN58" i="4"/>
  <c r="AM58" i="4"/>
  <c r="AL58" i="4"/>
  <c r="BH58" i="4" s="1"/>
  <c r="AK58" i="4"/>
  <c r="AJ58" i="4"/>
  <c r="AI58" i="4"/>
  <c r="AH58" i="4"/>
  <c r="AG58" i="4"/>
  <c r="AF58" i="4"/>
  <c r="AE58" i="4"/>
  <c r="AD58" i="4"/>
  <c r="AC58" i="4"/>
  <c r="AB58" i="4"/>
  <c r="AA58" i="4"/>
  <c r="Z58" i="4"/>
  <c r="BD58" i="4" s="1"/>
  <c r="Y58" i="4"/>
  <c r="X58" i="4"/>
  <c r="W58" i="4"/>
  <c r="V58" i="4"/>
  <c r="U58" i="4"/>
  <c r="BB58" i="4" s="1"/>
  <c r="T58" i="4"/>
  <c r="S58" i="4"/>
  <c r="R58" i="4"/>
  <c r="Q58" i="4"/>
  <c r="P58" i="4"/>
  <c r="O58" i="4"/>
  <c r="N58" i="4"/>
  <c r="AZ58" i="4" s="1"/>
  <c r="M58" i="4"/>
  <c r="L58" i="4"/>
  <c r="K58" i="4"/>
  <c r="J58" i="4"/>
  <c r="I58" i="4"/>
  <c r="AX58" i="4" s="1"/>
  <c r="H58" i="4"/>
  <c r="G58" i="4"/>
  <c r="F58" i="4"/>
  <c r="E58" i="4"/>
  <c r="D58" i="4"/>
  <c r="C58" i="4"/>
  <c r="B58" i="4"/>
  <c r="AV58" i="4" s="1"/>
  <c r="BI57" i="4"/>
  <c r="BD57" i="4"/>
  <c r="BA57" i="4"/>
  <c r="AV57" i="4"/>
  <c r="AT57" i="4"/>
  <c r="AS57" i="4"/>
  <c r="AR57" i="4"/>
  <c r="AQ57" i="4"/>
  <c r="AP57" i="4"/>
  <c r="AO57" i="4"/>
  <c r="AN57" i="4"/>
  <c r="AM57" i="4"/>
  <c r="AL57" i="4"/>
  <c r="BH57" i="4" s="1"/>
  <c r="AK57" i="4"/>
  <c r="AJ57" i="4"/>
  <c r="AI57" i="4"/>
  <c r="BG57" i="4" s="1"/>
  <c r="AH57" i="4"/>
  <c r="AG57" i="4"/>
  <c r="AF57" i="4"/>
  <c r="BF57" i="4" s="1"/>
  <c r="AE57" i="4"/>
  <c r="AD57" i="4"/>
  <c r="AC57" i="4"/>
  <c r="AB57" i="4"/>
  <c r="AA57" i="4"/>
  <c r="Z57" i="4"/>
  <c r="Y57" i="4"/>
  <c r="X57" i="4"/>
  <c r="W57" i="4"/>
  <c r="BC57" i="4" s="1"/>
  <c r="V57" i="4"/>
  <c r="U57" i="4"/>
  <c r="T57" i="4"/>
  <c r="S57" i="4"/>
  <c r="R57" i="4"/>
  <c r="Q57" i="4"/>
  <c r="P57" i="4"/>
  <c r="O57" i="4"/>
  <c r="N57" i="4"/>
  <c r="AZ57" i="4" s="1"/>
  <c r="M57" i="4"/>
  <c r="L57" i="4"/>
  <c r="K57" i="4"/>
  <c r="AY57" i="4" s="1"/>
  <c r="J57" i="4"/>
  <c r="I57" i="4"/>
  <c r="H57" i="4"/>
  <c r="AX57" i="4" s="1"/>
  <c r="G57" i="4"/>
  <c r="F57" i="4"/>
  <c r="E57" i="4"/>
  <c r="D57" i="4"/>
  <c r="C57" i="4"/>
  <c r="B57" i="4"/>
  <c r="BI56" i="4"/>
  <c r="BH56" i="4"/>
  <c r="BE56" i="4"/>
  <c r="BA56" i="4"/>
  <c r="AZ56" i="4"/>
  <c r="AW56" i="4"/>
  <c r="AT56" i="4"/>
  <c r="AS56" i="4"/>
  <c r="AR56" i="4"/>
  <c r="BJ56" i="4" s="1"/>
  <c r="AQ56" i="4"/>
  <c r="AP56" i="4"/>
  <c r="AO56" i="4"/>
  <c r="AN56" i="4"/>
  <c r="AM56" i="4"/>
  <c r="AL56" i="4"/>
  <c r="AK56" i="4"/>
  <c r="AJ56" i="4"/>
  <c r="AI56" i="4"/>
  <c r="AH56" i="4"/>
  <c r="AG56" i="4"/>
  <c r="BF56" i="4" s="1"/>
  <c r="AF56" i="4"/>
  <c r="AE56" i="4"/>
  <c r="AD56" i="4"/>
  <c r="AC56" i="4"/>
  <c r="AB56" i="4"/>
  <c r="AA56" i="4"/>
  <c r="Z56" i="4"/>
  <c r="BD56" i="4" s="1"/>
  <c r="Y56" i="4"/>
  <c r="X56" i="4"/>
  <c r="W56" i="4"/>
  <c r="BC56" i="4" s="1"/>
  <c r="V56" i="4"/>
  <c r="U56" i="4"/>
  <c r="T56" i="4"/>
  <c r="BB56" i="4" s="1"/>
  <c r="S56" i="4"/>
  <c r="R56" i="4"/>
  <c r="Q56" i="4"/>
  <c r="P56" i="4"/>
  <c r="O56" i="4"/>
  <c r="N56" i="4"/>
  <c r="M56" i="4"/>
  <c r="L56" i="4"/>
  <c r="K56" i="4"/>
  <c r="J56" i="4"/>
  <c r="I56" i="4"/>
  <c r="AX56" i="4" s="1"/>
  <c r="H56" i="4"/>
  <c r="G56" i="4"/>
  <c r="F56" i="4"/>
  <c r="E56" i="4"/>
  <c r="D56" i="4"/>
  <c r="C56" i="4"/>
  <c r="B56" i="4"/>
  <c r="AV56" i="4" s="1"/>
  <c r="BF55" i="4"/>
  <c r="BD55" i="4"/>
  <c r="AX55" i="4"/>
  <c r="AV55" i="4"/>
  <c r="AT55" i="4"/>
  <c r="AS55" i="4"/>
  <c r="AR55" i="4"/>
  <c r="AQ55" i="4"/>
  <c r="AP55" i="4"/>
  <c r="AO55" i="4"/>
  <c r="BI55" i="4" s="1"/>
  <c r="AN55" i="4"/>
  <c r="AM55" i="4"/>
  <c r="AL55" i="4"/>
  <c r="BH55" i="4" s="1"/>
  <c r="AK55" i="4"/>
  <c r="BG55" i="4" s="1"/>
  <c r="AJ55" i="4"/>
  <c r="AI55" i="4"/>
  <c r="AH55" i="4"/>
  <c r="AG55" i="4"/>
  <c r="AF55" i="4"/>
  <c r="AE55" i="4"/>
  <c r="AD55" i="4"/>
  <c r="BE55" i="4" s="1"/>
  <c r="AC55" i="4"/>
  <c r="AB55" i="4"/>
  <c r="AA55" i="4"/>
  <c r="Z55" i="4"/>
  <c r="Y55" i="4"/>
  <c r="X55" i="4"/>
  <c r="BC55" i="4" s="1"/>
  <c r="W55" i="4"/>
  <c r="V55" i="4"/>
  <c r="U55" i="4"/>
  <c r="T55" i="4"/>
  <c r="S55" i="4"/>
  <c r="R55" i="4"/>
  <c r="Q55" i="4"/>
  <c r="BA55" i="4" s="1"/>
  <c r="P55" i="4"/>
  <c r="O55" i="4"/>
  <c r="N55" i="4"/>
  <c r="AZ55" i="4" s="1"/>
  <c r="M55" i="4"/>
  <c r="AY55" i="4" s="1"/>
  <c r="L55" i="4"/>
  <c r="K55" i="4"/>
  <c r="J55" i="4"/>
  <c r="I55" i="4"/>
  <c r="H55" i="4"/>
  <c r="G55" i="4"/>
  <c r="F55" i="4"/>
  <c r="AW55" i="4" s="1"/>
  <c r="E55" i="4"/>
  <c r="D55" i="4"/>
  <c r="C55" i="4"/>
  <c r="B55" i="4"/>
  <c r="BJ54" i="4"/>
  <c r="BC54" i="4"/>
  <c r="BB54" i="4"/>
  <c r="AT54" i="4"/>
  <c r="AS54" i="4"/>
  <c r="AR54" i="4"/>
  <c r="AQ54" i="4"/>
  <c r="BI54" i="4" s="1"/>
  <c r="AP54" i="4"/>
  <c r="AO54" i="4"/>
  <c r="AN54" i="4"/>
  <c r="AM54" i="4"/>
  <c r="AL54" i="4"/>
  <c r="BH54" i="4" s="1"/>
  <c r="AK54" i="4"/>
  <c r="AJ54" i="4"/>
  <c r="AI54" i="4"/>
  <c r="BG54" i="4" s="1"/>
  <c r="AH54" i="4"/>
  <c r="AG54" i="4"/>
  <c r="BF54" i="4" s="1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BA54" i="4" s="1"/>
  <c r="R54" i="4"/>
  <c r="Q54" i="4"/>
  <c r="P54" i="4"/>
  <c r="O54" i="4"/>
  <c r="N54" i="4"/>
  <c r="AZ54" i="4" s="1"/>
  <c r="M54" i="4"/>
  <c r="L54" i="4"/>
  <c r="K54" i="4"/>
  <c r="AY54" i="4" s="1"/>
  <c r="J54" i="4"/>
  <c r="I54" i="4"/>
  <c r="AX54" i="4" s="1"/>
  <c r="H54" i="4"/>
  <c r="G54" i="4"/>
  <c r="F54" i="4"/>
  <c r="E54" i="4"/>
  <c r="D54" i="4"/>
  <c r="C54" i="4"/>
  <c r="B54" i="4"/>
  <c r="BH53" i="4"/>
  <c r="BG53" i="4"/>
  <c r="BE53" i="4"/>
  <c r="AW53" i="4"/>
  <c r="AT53" i="4"/>
  <c r="AS53" i="4"/>
  <c r="AR53" i="4"/>
  <c r="BJ53" i="4" s="1"/>
  <c r="AQ53" i="4"/>
  <c r="AP53" i="4"/>
  <c r="AO53" i="4"/>
  <c r="AN53" i="4"/>
  <c r="AM53" i="4"/>
  <c r="AL53" i="4"/>
  <c r="AK53" i="4"/>
  <c r="AJ53" i="4"/>
  <c r="AI53" i="4"/>
  <c r="AH53" i="4"/>
  <c r="AG53" i="4"/>
  <c r="AF53" i="4"/>
  <c r="BF53" i="4" s="1"/>
  <c r="AE53" i="4"/>
  <c r="AD53" i="4"/>
  <c r="AC53" i="4"/>
  <c r="AB53" i="4"/>
  <c r="AA53" i="4"/>
  <c r="Z53" i="4"/>
  <c r="Y53" i="4"/>
  <c r="X53" i="4"/>
  <c r="W53" i="4"/>
  <c r="V53" i="4"/>
  <c r="U53" i="4"/>
  <c r="T53" i="4"/>
  <c r="BB53" i="4" s="1"/>
  <c r="S53" i="4"/>
  <c r="R53" i="4"/>
  <c r="Q53" i="4"/>
  <c r="P53" i="4"/>
  <c r="AZ53" i="4" s="1"/>
  <c r="O53" i="4"/>
  <c r="N53" i="4"/>
  <c r="M53" i="4"/>
  <c r="L53" i="4"/>
  <c r="K53" i="4"/>
  <c r="AY53" i="4" s="1"/>
  <c r="J53" i="4"/>
  <c r="I53" i="4"/>
  <c r="H53" i="4"/>
  <c r="AX53" i="4" s="1"/>
  <c r="G53" i="4"/>
  <c r="F53" i="4"/>
  <c r="E53" i="4"/>
  <c r="D53" i="4"/>
  <c r="C53" i="4"/>
  <c r="B53" i="4"/>
  <c r="BJ52" i="4"/>
  <c r="BI52" i="4"/>
  <c r="BD52" i="4"/>
  <c r="BA52" i="4"/>
  <c r="AV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BG52" i="4" s="1"/>
  <c r="AH52" i="4"/>
  <c r="AG52" i="4"/>
  <c r="AF52" i="4"/>
  <c r="BF52" i="4" s="1"/>
  <c r="AE52" i="4"/>
  <c r="AD52" i="4"/>
  <c r="AC52" i="4"/>
  <c r="AB52" i="4"/>
  <c r="AA52" i="4"/>
  <c r="Z52" i="4"/>
  <c r="Y52" i="4"/>
  <c r="X52" i="4"/>
  <c r="W52" i="4"/>
  <c r="BC52" i="4" s="1"/>
  <c r="V52" i="4"/>
  <c r="BB52" i="4" s="1"/>
  <c r="U52" i="4"/>
  <c r="T52" i="4"/>
  <c r="S52" i="4"/>
  <c r="R52" i="4"/>
  <c r="Q52" i="4"/>
  <c r="P52" i="4"/>
  <c r="O52" i="4"/>
  <c r="N52" i="4"/>
  <c r="M52" i="4"/>
  <c r="L52" i="4"/>
  <c r="K52" i="4"/>
  <c r="AY52" i="4" s="1"/>
  <c r="J52" i="4"/>
  <c r="I52" i="4"/>
  <c r="H52" i="4"/>
  <c r="AX52" i="4" s="1"/>
  <c r="G52" i="4"/>
  <c r="F52" i="4"/>
  <c r="AW52" i="4" s="1"/>
  <c r="E52" i="4"/>
  <c r="D52" i="4"/>
  <c r="C52" i="4"/>
  <c r="B52" i="4"/>
  <c r="BH51" i="4"/>
  <c r="BA51" i="4"/>
  <c r="AZ51" i="4"/>
  <c r="AT51" i="4"/>
  <c r="AS51" i="4"/>
  <c r="AR51" i="4"/>
  <c r="BJ51" i="4" s="1"/>
  <c r="AQ51" i="4"/>
  <c r="BI51" i="4" s="1"/>
  <c r="AP51" i="4"/>
  <c r="AO51" i="4"/>
  <c r="AN51" i="4"/>
  <c r="AM51" i="4"/>
  <c r="AL51" i="4"/>
  <c r="AK51" i="4"/>
  <c r="AJ51" i="4"/>
  <c r="AI51" i="4"/>
  <c r="AH51" i="4"/>
  <c r="AG51" i="4"/>
  <c r="BF51" i="4" s="1"/>
  <c r="AF51" i="4"/>
  <c r="AE51" i="4"/>
  <c r="AD51" i="4"/>
  <c r="AC51" i="4"/>
  <c r="BE51" i="4" s="1"/>
  <c r="AB51" i="4"/>
  <c r="AA51" i="4"/>
  <c r="Z51" i="4"/>
  <c r="Y51" i="4"/>
  <c r="BC51" i="4" s="1"/>
  <c r="X51" i="4"/>
  <c r="W51" i="4"/>
  <c r="V51" i="4"/>
  <c r="U51" i="4"/>
  <c r="T51" i="4"/>
  <c r="BB51" i="4" s="1"/>
  <c r="S51" i="4"/>
  <c r="R51" i="4"/>
  <c r="Q51" i="4"/>
  <c r="P51" i="4"/>
  <c r="O51" i="4"/>
  <c r="N51" i="4"/>
  <c r="M51" i="4"/>
  <c r="L51" i="4"/>
  <c r="K51" i="4"/>
  <c r="J51" i="4"/>
  <c r="I51" i="4"/>
  <c r="AX51" i="4" s="1"/>
  <c r="H51" i="4"/>
  <c r="G51" i="4"/>
  <c r="F51" i="4"/>
  <c r="E51" i="4"/>
  <c r="AW51" i="4" s="1"/>
  <c r="D51" i="4"/>
  <c r="C51" i="4"/>
  <c r="B51" i="4"/>
  <c r="BG50" i="4"/>
  <c r="BE50" i="4"/>
  <c r="AY50" i="4"/>
  <c r="AW50" i="4"/>
  <c r="AT50" i="4"/>
  <c r="AS50" i="4"/>
  <c r="BJ50" i="4" s="1"/>
  <c r="AR50" i="4"/>
  <c r="AQ50" i="4"/>
  <c r="AP50" i="4"/>
  <c r="AO50" i="4"/>
  <c r="BI50" i="4" s="1"/>
  <c r="AN50" i="4"/>
  <c r="AM50" i="4"/>
  <c r="AL50" i="4"/>
  <c r="BH50" i="4" s="1"/>
  <c r="AK50" i="4"/>
  <c r="AJ50" i="4"/>
  <c r="AI50" i="4"/>
  <c r="AH50" i="4"/>
  <c r="AG50" i="4"/>
  <c r="BF50" i="4" s="1"/>
  <c r="AF50" i="4"/>
  <c r="AE50" i="4"/>
  <c r="AD50" i="4"/>
  <c r="AC50" i="4"/>
  <c r="AB50" i="4"/>
  <c r="AA50" i="4"/>
  <c r="Z50" i="4"/>
  <c r="BD50" i="4" s="1"/>
  <c r="Y50" i="4"/>
  <c r="X50" i="4"/>
  <c r="W50" i="4"/>
  <c r="V50" i="4"/>
  <c r="U50" i="4"/>
  <c r="BB50" i="4" s="1"/>
  <c r="T50" i="4"/>
  <c r="S50" i="4"/>
  <c r="R50" i="4"/>
  <c r="Q50" i="4"/>
  <c r="BA50" i="4" s="1"/>
  <c r="P50" i="4"/>
  <c r="O50" i="4"/>
  <c r="N50" i="4"/>
  <c r="AZ50" i="4" s="1"/>
  <c r="M50" i="4"/>
  <c r="L50" i="4"/>
  <c r="K50" i="4"/>
  <c r="J50" i="4"/>
  <c r="I50" i="4"/>
  <c r="AX50" i="4" s="1"/>
  <c r="H50" i="4"/>
  <c r="G50" i="4"/>
  <c r="F50" i="4"/>
  <c r="E50" i="4"/>
  <c r="D50" i="4"/>
  <c r="C50" i="4"/>
  <c r="B50" i="4"/>
  <c r="AV50" i="4" s="1"/>
  <c r="BI49" i="4"/>
  <c r="BD49" i="4"/>
  <c r="BC49" i="4"/>
  <c r="BA49" i="4"/>
  <c r="AT49" i="4"/>
  <c r="AS49" i="4"/>
  <c r="BJ49" i="4" s="1"/>
  <c r="AR49" i="4"/>
  <c r="AQ49" i="4"/>
  <c r="AP49" i="4"/>
  <c r="AO49" i="4"/>
  <c r="AN49" i="4"/>
  <c r="AM49" i="4"/>
  <c r="AL49" i="4"/>
  <c r="BH49" i="4" s="1"/>
  <c r="AK49" i="4"/>
  <c r="AJ49" i="4"/>
  <c r="AI49" i="4"/>
  <c r="BG49" i="4" s="1"/>
  <c r="AH49" i="4"/>
  <c r="AG49" i="4"/>
  <c r="AF49" i="4"/>
  <c r="BF49" i="4" s="1"/>
  <c r="AE49" i="4"/>
  <c r="AD49" i="4"/>
  <c r="AC49" i="4"/>
  <c r="AB49" i="4"/>
  <c r="AA49" i="4"/>
  <c r="Z49" i="4"/>
  <c r="Y49" i="4"/>
  <c r="X49" i="4"/>
  <c r="W49" i="4"/>
  <c r="V49" i="4"/>
  <c r="U49" i="4"/>
  <c r="BB49" i="4" s="1"/>
  <c r="T49" i="4"/>
  <c r="S49" i="4"/>
  <c r="R49" i="4"/>
  <c r="Q49" i="4"/>
  <c r="P49" i="4"/>
  <c r="O49" i="4"/>
  <c r="N49" i="4"/>
  <c r="AZ49" i="4" s="1"/>
  <c r="M49" i="4"/>
  <c r="L49" i="4"/>
  <c r="K49" i="4"/>
  <c r="AY49" i="4" s="1"/>
  <c r="J49" i="4"/>
  <c r="I49" i="4"/>
  <c r="H49" i="4"/>
  <c r="AX49" i="4" s="1"/>
  <c r="G49" i="4"/>
  <c r="F49" i="4"/>
  <c r="E49" i="4"/>
  <c r="D49" i="4"/>
  <c r="C49" i="4"/>
  <c r="AV49" i="4" s="1"/>
  <c r="B49" i="4"/>
  <c r="BF48" i="4"/>
  <c r="BE48" i="4"/>
  <c r="AZ48" i="4"/>
  <c r="AY48" i="4"/>
  <c r="AW48" i="4"/>
  <c r="AT48" i="4"/>
  <c r="AS48" i="4"/>
  <c r="AR48" i="4"/>
  <c r="BJ48" i="4" s="1"/>
  <c r="AQ48" i="4"/>
  <c r="AP48" i="4"/>
  <c r="AO48" i="4"/>
  <c r="BI48" i="4" s="1"/>
  <c r="AN48" i="4"/>
  <c r="BH48" i="4" s="1"/>
  <c r="AM48" i="4"/>
  <c r="AL48" i="4"/>
  <c r="AK48" i="4"/>
  <c r="AJ48" i="4"/>
  <c r="BG48" i="4" s="1"/>
  <c r="AI48" i="4"/>
  <c r="AH48" i="4"/>
  <c r="AG48" i="4"/>
  <c r="AF48" i="4"/>
  <c r="AE48" i="4"/>
  <c r="AD48" i="4"/>
  <c r="AC48" i="4"/>
  <c r="AB48" i="4"/>
  <c r="AA48" i="4"/>
  <c r="Z48" i="4"/>
  <c r="BD48" i="4" s="1"/>
  <c r="Y48" i="4"/>
  <c r="X48" i="4"/>
  <c r="W48" i="4"/>
  <c r="V48" i="4"/>
  <c r="U48" i="4"/>
  <c r="T48" i="4"/>
  <c r="BB48" i="4" s="1"/>
  <c r="S48" i="4"/>
  <c r="R48" i="4"/>
  <c r="Q48" i="4"/>
  <c r="BA48" i="4" s="1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V48" i="4" s="1"/>
  <c r="BD47" i="4"/>
  <c r="AW47" i="4"/>
  <c r="AV47" i="4"/>
  <c r="AT47" i="4"/>
  <c r="AS47" i="4"/>
  <c r="BJ47" i="4" s="1"/>
  <c r="AR47" i="4"/>
  <c r="AQ47" i="4"/>
  <c r="AP47" i="4"/>
  <c r="AO47" i="4"/>
  <c r="BI47" i="4" s="1"/>
  <c r="AN47" i="4"/>
  <c r="AM47" i="4"/>
  <c r="AL47" i="4"/>
  <c r="AK47" i="4"/>
  <c r="BG47" i="4" s="1"/>
  <c r="AJ47" i="4"/>
  <c r="AI47" i="4"/>
  <c r="AH47" i="4"/>
  <c r="AG47" i="4"/>
  <c r="AF47" i="4"/>
  <c r="AE47" i="4"/>
  <c r="AD47" i="4"/>
  <c r="AC47" i="4"/>
  <c r="BE47" i="4" s="1"/>
  <c r="AB47" i="4"/>
  <c r="AA47" i="4"/>
  <c r="Z47" i="4"/>
  <c r="Y47" i="4"/>
  <c r="X47" i="4"/>
  <c r="BC47" i="4" s="1"/>
  <c r="W47" i="4"/>
  <c r="V47" i="4"/>
  <c r="U47" i="4"/>
  <c r="BB47" i="4" s="1"/>
  <c r="T47" i="4"/>
  <c r="S47" i="4"/>
  <c r="R47" i="4"/>
  <c r="Q47" i="4"/>
  <c r="BA47" i="4" s="1"/>
  <c r="P47" i="4"/>
  <c r="O47" i="4"/>
  <c r="N47" i="4"/>
  <c r="M47" i="4"/>
  <c r="AY47" i="4" s="1"/>
  <c r="L47" i="4"/>
  <c r="K47" i="4"/>
  <c r="J47" i="4"/>
  <c r="I47" i="4"/>
  <c r="H47" i="4"/>
  <c r="AX47" i="4" s="1"/>
  <c r="G47" i="4"/>
  <c r="F47" i="4"/>
  <c r="E47" i="4"/>
  <c r="D47" i="4"/>
  <c r="C47" i="4"/>
  <c r="B47" i="4"/>
  <c r="BJ46" i="4"/>
  <c r="BC46" i="4"/>
  <c r="BB46" i="4"/>
  <c r="AZ46" i="4"/>
  <c r="AT46" i="4"/>
  <c r="AS46" i="4"/>
  <c r="AR46" i="4"/>
  <c r="AQ46" i="4"/>
  <c r="AP46" i="4"/>
  <c r="BI46" i="4" s="1"/>
  <c r="AO46" i="4"/>
  <c r="AN46" i="4"/>
  <c r="AM46" i="4"/>
  <c r="AL46" i="4"/>
  <c r="BH46" i="4" s="1"/>
  <c r="AK46" i="4"/>
  <c r="AJ46" i="4"/>
  <c r="AI46" i="4"/>
  <c r="BG46" i="4" s="1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BA46" i="4" s="1"/>
  <c r="Q46" i="4"/>
  <c r="P46" i="4"/>
  <c r="O46" i="4"/>
  <c r="N46" i="4"/>
  <c r="M46" i="4"/>
  <c r="L46" i="4"/>
  <c r="K46" i="4"/>
  <c r="AY46" i="4" s="1"/>
  <c r="J46" i="4"/>
  <c r="I46" i="4"/>
  <c r="H46" i="4"/>
  <c r="G46" i="4"/>
  <c r="F46" i="4"/>
  <c r="E46" i="4"/>
  <c r="D46" i="4"/>
  <c r="C46" i="4"/>
  <c r="B46" i="4"/>
  <c r="BG45" i="4"/>
  <c r="BF45" i="4"/>
  <c r="AY45" i="4"/>
  <c r="AT45" i="4"/>
  <c r="AS45" i="4"/>
  <c r="AR45" i="4"/>
  <c r="BJ45" i="4" s="1"/>
  <c r="AQ45" i="4"/>
  <c r="AP45" i="4"/>
  <c r="AO45" i="4"/>
  <c r="AN45" i="4"/>
  <c r="AM45" i="4"/>
  <c r="BH45" i="4" s="1"/>
  <c r="AL45" i="4"/>
  <c r="AK45" i="4"/>
  <c r="AJ45" i="4"/>
  <c r="AI45" i="4"/>
  <c r="AH45" i="4"/>
  <c r="AG45" i="4"/>
  <c r="AF45" i="4"/>
  <c r="AE45" i="4"/>
  <c r="BE45" i="4" s="1"/>
  <c r="AD45" i="4"/>
  <c r="AC45" i="4"/>
  <c r="AB45" i="4"/>
  <c r="AA45" i="4"/>
  <c r="Z45" i="4"/>
  <c r="BD45" i="4" s="1"/>
  <c r="Y45" i="4"/>
  <c r="X45" i="4"/>
  <c r="W45" i="4"/>
  <c r="BC45" i="4" s="1"/>
  <c r="V45" i="4"/>
  <c r="U45" i="4"/>
  <c r="T45" i="4"/>
  <c r="BB45" i="4" s="1"/>
  <c r="S45" i="4"/>
  <c r="R45" i="4"/>
  <c r="Q45" i="4"/>
  <c r="P45" i="4"/>
  <c r="O45" i="4"/>
  <c r="AZ45" i="4" s="1"/>
  <c r="N45" i="4"/>
  <c r="M45" i="4"/>
  <c r="L45" i="4"/>
  <c r="K45" i="4"/>
  <c r="J45" i="4"/>
  <c r="I45" i="4"/>
  <c r="H45" i="4"/>
  <c r="G45" i="4"/>
  <c r="AW45" i="4" s="1"/>
  <c r="F45" i="4"/>
  <c r="E45" i="4"/>
  <c r="D45" i="4"/>
  <c r="C45" i="4"/>
  <c r="B45" i="4"/>
  <c r="AV45" i="4" s="1"/>
  <c r="BI44" i="4"/>
  <c r="BA44" i="4"/>
  <c r="AT44" i="4"/>
  <c r="AS44" i="4"/>
  <c r="AR44" i="4"/>
  <c r="AQ44" i="4"/>
  <c r="AP44" i="4"/>
  <c r="AO44" i="4"/>
  <c r="AN44" i="4"/>
  <c r="AM44" i="4"/>
  <c r="AL44" i="4"/>
  <c r="BH44" i="4" s="1"/>
  <c r="AK44" i="4"/>
  <c r="AJ44" i="4"/>
  <c r="AI44" i="4"/>
  <c r="AH44" i="4"/>
  <c r="AG44" i="4"/>
  <c r="AF44" i="4"/>
  <c r="BF44" i="4" s="1"/>
  <c r="AE44" i="4"/>
  <c r="AD44" i="4"/>
  <c r="AC44" i="4"/>
  <c r="BE44" i="4" s="1"/>
  <c r="AB44" i="4"/>
  <c r="BD44" i="4" s="1"/>
  <c r="AA44" i="4"/>
  <c r="Z44" i="4"/>
  <c r="Y44" i="4"/>
  <c r="X44" i="4"/>
  <c r="BC44" i="4" s="1"/>
  <c r="W44" i="4"/>
  <c r="V44" i="4"/>
  <c r="U44" i="4"/>
  <c r="BB44" i="4" s="1"/>
  <c r="T44" i="4"/>
  <c r="S44" i="4"/>
  <c r="R44" i="4"/>
  <c r="Q44" i="4"/>
  <c r="P44" i="4"/>
  <c r="O44" i="4"/>
  <c r="N44" i="4"/>
  <c r="AZ44" i="4" s="1"/>
  <c r="M44" i="4"/>
  <c r="L44" i="4"/>
  <c r="K44" i="4"/>
  <c r="J44" i="4"/>
  <c r="I44" i="4"/>
  <c r="H44" i="4"/>
  <c r="AX44" i="4" s="1"/>
  <c r="G44" i="4"/>
  <c r="F44" i="4"/>
  <c r="E44" i="4"/>
  <c r="AW44" i="4" s="1"/>
  <c r="D44" i="4"/>
  <c r="AV44" i="4" s="1"/>
  <c r="C44" i="4"/>
  <c r="B44" i="4"/>
  <c r="BI43" i="4"/>
  <c r="BH43" i="4"/>
  <c r="BF43" i="4"/>
  <c r="AZ43" i="4"/>
  <c r="AY43" i="4"/>
  <c r="AX43" i="4"/>
  <c r="AT43" i="4"/>
  <c r="AS43" i="4"/>
  <c r="AR43" i="4"/>
  <c r="BJ43" i="4" s="1"/>
  <c r="AQ43" i="4"/>
  <c r="AP43" i="4"/>
  <c r="AO43" i="4"/>
  <c r="AN43" i="4"/>
  <c r="AM43" i="4"/>
  <c r="AL43" i="4"/>
  <c r="AK43" i="4"/>
  <c r="AJ43" i="4"/>
  <c r="BG43" i="4" s="1"/>
  <c r="AI43" i="4"/>
  <c r="AH43" i="4"/>
  <c r="AG43" i="4"/>
  <c r="AF43" i="4"/>
  <c r="AE43" i="4"/>
  <c r="AD43" i="4"/>
  <c r="AC43" i="4"/>
  <c r="BE43" i="4" s="1"/>
  <c r="AB43" i="4"/>
  <c r="AA43" i="4"/>
  <c r="Z43" i="4"/>
  <c r="Y43" i="4"/>
  <c r="BC43" i="4" s="1"/>
  <c r="X43" i="4"/>
  <c r="W43" i="4"/>
  <c r="V43" i="4"/>
  <c r="U43" i="4"/>
  <c r="T43" i="4"/>
  <c r="BB43" i="4" s="1"/>
  <c r="S43" i="4"/>
  <c r="R43" i="4"/>
  <c r="Q43" i="4"/>
  <c r="BA43" i="4" s="1"/>
  <c r="P43" i="4"/>
  <c r="O43" i="4"/>
  <c r="N43" i="4"/>
  <c r="M43" i="4"/>
  <c r="L43" i="4"/>
  <c r="K43" i="4"/>
  <c r="J43" i="4"/>
  <c r="I43" i="4"/>
  <c r="H43" i="4"/>
  <c r="G43" i="4"/>
  <c r="F43" i="4"/>
  <c r="E43" i="4"/>
  <c r="AW43" i="4" s="1"/>
  <c r="D43" i="4"/>
  <c r="C43" i="4"/>
  <c r="B43" i="4"/>
  <c r="BG42" i="4"/>
  <c r="BF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BE42" i="4" s="1"/>
  <c r="AC42" i="4"/>
  <c r="AB42" i="4"/>
  <c r="AA42" i="4"/>
  <c r="BD42" i="4" s="1"/>
  <c r="Z42" i="4"/>
  <c r="Y42" i="4"/>
  <c r="X42" i="4"/>
  <c r="W42" i="4"/>
  <c r="BC42" i="4" s="1"/>
  <c r="V42" i="4"/>
  <c r="U42" i="4"/>
  <c r="T42" i="4"/>
  <c r="S42" i="4"/>
  <c r="R42" i="4"/>
  <c r="Q42" i="4"/>
  <c r="P42" i="4"/>
  <c r="O42" i="4"/>
  <c r="N42" i="4"/>
  <c r="M42" i="4"/>
  <c r="L42" i="4"/>
  <c r="K42" i="4"/>
  <c r="AY42" i="4" s="1"/>
  <c r="J42" i="4"/>
  <c r="I42" i="4"/>
  <c r="H42" i="4"/>
  <c r="AX42" i="4" s="1"/>
  <c r="G42" i="4"/>
  <c r="F42" i="4"/>
  <c r="AW42" i="4" s="1"/>
  <c r="E42" i="4"/>
  <c r="D42" i="4"/>
  <c r="C42" i="4"/>
  <c r="AV42" i="4" s="1"/>
  <c r="B42" i="4"/>
  <c r="BI41" i="4"/>
  <c r="AT41" i="4"/>
  <c r="AS41" i="4"/>
  <c r="AR41" i="4"/>
  <c r="AQ41" i="4"/>
  <c r="AP41" i="4"/>
  <c r="AO41" i="4"/>
  <c r="AN41" i="4"/>
  <c r="AM41" i="4"/>
  <c r="BH41" i="4" s="1"/>
  <c r="AL41" i="4"/>
  <c r="AK41" i="4"/>
  <c r="AJ41" i="4"/>
  <c r="AI41" i="4"/>
  <c r="AH41" i="4"/>
  <c r="AG41" i="4"/>
  <c r="AF41" i="4"/>
  <c r="BF41" i="4" s="1"/>
  <c r="AE41" i="4"/>
  <c r="AD41" i="4"/>
  <c r="AC41" i="4"/>
  <c r="BE41" i="4" s="1"/>
  <c r="AB41" i="4"/>
  <c r="BD41" i="4" s="1"/>
  <c r="AA41" i="4"/>
  <c r="Z41" i="4"/>
  <c r="Y41" i="4"/>
  <c r="X41" i="4"/>
  <c r="BC41" i="4" s="1"/>
  <c r="W41" i="4"/>
  <c r="V41" i="4"/>
  <c r="U41" i="4"/>
  <c r="T41" i="4"/>
  <c r="S41" i="4"/>
  <c r="BA41" i="4" s="1"/>
  <c r="R41" i="4"/>
  <c r="Q41" i="4"/>
  <c r="P41" i="4"/>
  <c r="O41" i="4"/>
  <c r="AZ41" i="4" s="1"/>
  <c r="N41" i="4"/>
  <c r="M41" i="4"/>
  <c r="L41" i="4"/>
  <c r="K41" i="4"/>
  <c r="J41" i="4"/>
  <c r="I41" i="4"/>
  <c r="H41" i="4"/>
  <c r="AX41" i="4" s="1"/>
  <c r="G41" i="4"/>
  <c r="F41" i="4"/>
  <c r="E41" i="4"/>
  <c r="AW41" i="4" s="1"/>
  <c r="D41" i="4"/>
  <c r="C41" i="4"/>
  <c r="AV41" i="4" s="1"/>
  <c r="B41" i="4"/>
  <c r="AT40" i="4"/>
  <c r="AS40" i="4"/>
  <c r="AR40" i="4"/>
  <c r="BJ40" i="4" s="1"/>
  <c r="AQ40" i="4"/>
  <c r="AP40" i="4"/>
  <c r="AO40" i="4"/>
  <c r="BI40" i="4" s="1"/>
  <c r="AN40" i="4"/>
  <c r="BH40" i="4" s="1"/>
  <c r="AM40" i="4"/>
  <c r="AL40" i="4"/>
  <c r="AK40" i="4"/>
  <c r="AJ40" i="4"/>
  <c r="AI40" i="4"/>
  <c r="AH40" i="4"/>
  <c r="AG40" i="4"/>
  <c r="BF40" i="4" s="1"/>
  <c r="AF40" i="4"/>
  <c r="AE40" i="4"/>
  <c r="AD40" i="4"/>
  <c r="AC40" i="4"/>
  <c r="BE40" i="4" s="1"/>
  <c r="AB40" i="4"/>
  <c r="AA40" i="4"/>
  <c r="Z40" i="4"/>
  <c r="Y40" i="4"/>
  <c r="X40" i="4"/>
  <c r="W40" i="4"/>
  <c r="V40" i="4"/>
  <c r="U40" i="4"/>
  <c r="T40" i="4"/>
  <c r="BB40" i="4" s="1"/>
  <c r="S40" i="4"/>
  <c r="R40" i="4"/>
  <c r="Q40" i="4"/>
  <c r="BA40" i="4" s="1"/>
  <c r="P40" i="4"/>
  <c r="AZ40" i="4" s="1"/>
  <c r="O40" i="4"/>
  <c r="N40" i="4"/>
  <c r="M40" i="4"/>
  <c r="AY40" i="4" s="1"/>
  <c r="L40" i="4"/>
  <c r="K40" i="4"/>
  <c r="J40" i="4"/>
  <c r="I40" i="4"/>
  <c r="H40" i="4"/>
  <c r="G40" i="4"/>
  <c r="F40" i="4"/>
  <c r="E40" i="4"/>
  <c r="AW40" i="4" s="1"/>
  <c r="D40" i="4"/>
  <c r="C40" i="4"/>
  <c r="B40" i="4"/>
  <c r="AY39" i="4"/>
  <c r="AV39" i="4"/>
  <c r="AT39" i="4"/>
  <c r="BJ39" i="4" s="1"/>
  <c r="AS39" i="4"/>
  <c r="AR39" i="4"/>
  <c r="AQ39" i="4"/>
  <c r="AP39" i="4"/>
  <c r="AO39" i="4"/>
  <c r="AN39" i="4"/>
  <c r="AM39" i="4"/>
  <c r="AL39" i="4"/>
  <c r="AK39" i="4"/>
  <c r="BG39" i="4" s="1"/>
  <c r="AJ39" i="4"/>
  <c r="AI39" i="4"/>
  <c r="AH39" i="4"/>
  <c r="BF39" i="4" s="1"/>
  <c r="AG39" i="4"/>
  <c r="AF39" i="4"/>
  <c r="AE39" i="4"/>
  <c r="AD39" i="4"/>
  <c r="AC39" i="4"/>
  <c r="AB39" i="4"/>
  <c r="AA39" i="4"/>
  <c r="Z39" i="4"/>
  <c r="BD39" i="4" s="1"/>
  <c r="Y39" i="4"/>
  <c r="X39" i="4"/>
  <c r="W39" i="4"/>
  <c r="BC39" i="4" s="1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BH38" i="4"/>
  <c r="BB38" i="4"/>
  <c r="AY38" i="4"/>
  <c r="AT38" i="4"/>
  <c r="AS38" i="4"/>
  <c r="AR38" i="4"/>
  <c r="BJ38" i="4" s="1"/>
  <c r="AQ38" i="4"/>
  <c r="BI38" i="4" s="1"/>
  <c r="AP38" i="4"/>
  <c r="AO38" i="4"/>
  <c r="AN38" i="4"/>
  <c r="AM38" i="4"/>
  <c r="AL38" i="4"/>
  <c r="AK38" i="4"/>
  <c r="AJ38" i="4"/>
  <c r="AI38" i="4"/>
  <c r="BG38" i="4" s="1"/>
  <c r="AH38" i="4"/>
  <c r="AG38" i="4"/>
  <c r="AF38" i="4"/>
  <c r="AE38" i="4"/>
  <c r="AD38" i="4"/>
  <c r="AC38" i="4"/>
  <c r="AB38" i="4"/>
  <c r="AA38" i="4"/>
  <c r="Z38" i="4"/>
  <c r="BD38" i="4" s="1"/>
  <c r="Y38" i="4"/>
  <c r="X38" i="4"/>
  <c r="W38" i="4"/>
  <c r="BC38" i="4" s="1"/>
  <c r="V38" i="4"/>
  <c r="U38" i="4"/>
  <c r="T38" i="4"/>
  <c r="S38" i="4"/>
  <c r="R38" i="4"/>
  <c r="BA38" i="4" s="1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AV38" i="4" s="1"/>
  <c r="B38" i="4"/>
  <c r="BI37" i="4"/>
  <c r="BH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BG37" i="4" s="1"/>
  <c r="AH37" i="4"/>
  <c r="AG37" i="4"/>
  <c r="AF37" i="4"/>
  <c r="AE37" i="4"/>
  <c r="AD37" i="4"/>
  <c r="BE37" i="4" s="1"/>
  <c r="AC37" i="4"/>
  <c r="AB37" i="4"/>
  <c r="AA37" i="4"/>
  <c r="Z37" i="4"/>
  <c r="BD37" i="4" s="1"/>
  <c r="Y37" i="4"/>
  <c r="BC37" i="4" s="1"/>
  <c r="X37" i="4"/>
  <c r="W37" i="4"/>
  <c r="V37" i="4"/>
  <c r="U37" i="4"/>
  <c r="T37" i="4"/>
  <c r="S37" i="4"/>
  <c r="R37" i="4"/>
  <c r="Q37" i="4"/>
  <c r="P37" i="4"/>
  <c r="O37" i="4"/>
  <c r="N37" i="4"/>
  <c r="AZ37" i="4" s="1"/>
  <c r="M37" i="4"/>
  <c r="L37" i="4"/>
  <c r="K37" i="4"/>
  <c r="AY37" i="4" s="1"/>
  <c r="J37" i="4"/>
  <c r="I37" i="4"/>
  <c r="H37" i="4"/>
  <c r="G37" i="4"/>
  <c r="F37" i="4"/>
  <c r="AW37" i="4" s="1"/>
  <c r="E37" i="4"/>
  <c r="D37" i="4"/>
  <c r="C37" i="4"/>
  <c r="B37" i="4"/>
  <c r="AV37" i="4" s="1"/>
  <c r="BD36" i="4"/>
  <c r="BC36" i="4"/>
  <c r="AX36" i="4"/>
  <c r="AT36" i="4"/>
  <c r="AS36" i="4"/>
  <c r="AR36" i="4"/>
  <c r="BJ36" i="4" s="1"/>
  <c r="AQ36" i="4"/>
  <c r="AP36" i="4"/>
  <c r="AO36" i="4"/>
  <c r="BI36" i="4" s="1"/>
  <c r="AN36" i="4"/>
  <c r="AM36" i="4"/>
  <c r="AL36" i="4"/>
  <c r="BH36" i="4" s="1"/>
  <c r="AK36" i="4"/>
  <c r="AJ36" i="4"/>
  <c r="AI36" i="4"/>
  <c r="AH36" i="4"/>
  <c r="AG36" i="4"/>
  <c r="AF36" i="4"/>
  <c r="BF36" i="4" s="1"/>
  <c r="AE36" i="4"/>
  <c r="AD36" i="4"/>
  <c r="AC36" i="4"/>
  <c r="BE36" i="4" s="1"/>
  <c r="AB36" i="4"/>
  <c r="AA36" i="4"/>
  <c r="Z36" i="4"/>
  <c r="Y36" i="4"/>
  <c r="X36" i="4"/>
  <c r="W36" i="4"/>
  <c r="V36" i="4"/>
  <c r="U36" i="4"/>
  <c r="T36" i="4"/>
  <c r="BB36" i="4" s="1"/>
  <c r="S36" i="4"/>
  <c r="R36" i="4"/>
  <c r="Q36" i="4"/>
  <c r="BA36" i="4" s="1"/>
  <c r="P36" i="4"/>
  <c r="O36" i="4"/>
  <c r="N36" i="4"/>
  <c r="AZ36" i="4" s="1"/>
  <c r="M36" i="4"/>
  <c r="L36" i="4"/>
  <c r="K36" i="4"/>
  <c r="J36" i="4"/>
  <c r="I36" i="4"/>
  <c r="H36" i="4"/>
  <c r="G36" i="4"/>
  <c r="F36" i="4"/>
  <c r="E36" i="4"/>
  <c r="AW36" i="4" s="1"/>
  <c r="D36" i="4"/>
  <c r="C36" i="4"/>
  <c r="AV36" i="4" s="1"/>
  <c r="B36" i="4"/>
  <c r="BG35" i="4"/>
  <c r="BB35" i="4"/>
  <c r="AY35" i="4"/>
  <c r="AW35" i="4"/>
  <c r="AT35" i="4"/>
  <c r="AS35" i="4"/>
  <c r="AR35" i="4"/>
  <c r="BJ35" i="4" s="1"/>
  <c r="AQ35" i="4"/>
  <c r="AP35" i="4"/>
  <c r="AO35" i="4"/>
  <c r="BI35" i="4" s="1"/>
  <c r="AN35" i="4"/>
  <c r="BH35" i="4" s="1"/>
  <c r="AM35" i="4"/>
  <c r="AL35" i="4"/>
  <c r="AK35" i="4"/>
  <c r="AJ35" i="4"/>
  <c r="AI35" i="4"/>
  <c r="AH35" i="4"/>
  <c r="AG35" i="4"/>
  <c r="AF35" i="4"/>
  <c r="BF35" i="4" s="1"/>
  <c r="AE35" i="4"/>
  <c r="AD35" i="4"/>
  <c r="AC35" i="4"/>
  <c r="BE35" i="4" s="1"/>
  <c r="AB35" i="4"/>
  <c r="AA35" i="4"/>
  <c r="Z35" i="4"/>
  <c r="Y35" i="4"/>
  <c r="X35" i="4"/>
  <c r="BC35" i="4" s="1"/>
  <c r="W35" i="4"/>
  <c r="V35" i="4"/>
  <c r="U35" i="4"/>
  <c r="T35" i="4"/>
  <c r="S35" i="4"/>
  <c r="R35" i="4"/>
  <c r="Q35" i="4"/>
  <c r="BA35" i="4" s="1"/>
  <c r="P35" i="4"/>
  <c r="O35" i="4"/>
  <c r="N35" i="4"/>
  <c r="M35" i="4"/>
  <c r="L35" i="4"/>
  <c r="K35" i="4"/>
  <c r="J35" i="4"/>
  <c r="I35" i="4"/>
  <c r="H35" i="4"/>
  <c r="AX35" i="4" s="1"/>
  <c r="G35" i="4"/>
  <c r="F35" i="4"/>
  <c r="E35" i="4"/>
  <c r="D35" i="4"/>
  <c r="C35" i="4"/>
  <c r="B35" i="4"/>
  <c r="BJ34" i="4"/>
  <c r="BE34" i="4"/>
  <c r="BB34" i="4"/>
  <c r="AT34" i="4"/>
  <c r="AS34" i="4"/>
  <c r="AR34" i="4"/>
  <c r="AQ34" i="4"/>
  <c r="AP34" i="4"/>
  <c r="AO34" i="4"/>
  <c r="AN34" i="4"/>
  <c r="AM34" i="4"/>
  <c r="BH34" i="4" s="1"/>
  <c r="AL34" i="4"/>
  <c r="AK34" i="4"/>
  <c r="AJ34" i="4"/>
  <c r="AI34" i="4"/>
  <c r="BG34" i="4" s="1"/>
  <c r="AH34" i="4"/>
  <c r="AG34" i="4"/>
  <c r="AF34" i="4"/>
  <c r="BF34" i="4" s="1"/>
  <c r="AE34" i="4"/>
  <c r="AD34" i="4"/>
  <c r="AC34" i="4"/>
  <c r="AB34" i="4"/>
  <c r="AA34" i="4"/>
  <c r="Z34" i="4"/>
  <c r="Y34" i="4"/>
  <c r="X34" i="4"/>
  <c r="W34" i="4"/>
  <c r="BC34" i="4" s="1"/>
  <c r="V34" i="4"/>
  <c r="U34" i="4"/>
  <c r="T34" i="4"/>
  <c r="S34" i="4"/>
  <c r="R34" i="4"/>
  <c r="Q34" i="4"/>
  <c r="P34" i="4"/>
  <c r="O34" i="4"/>
  <c r="AZ34" i="4" s="1"/>
  <c r="N34" i="4"/>
  <c r="M34" i="4"/>
  <c r="L34" i="4"/>
  <c r="K34" i="4"/>
  <c r="AY34" i="4" s="1"/>
  <c r="J34" i="4"/>
  <c r="I34" i="4"/>
  <c r="H34" i="4"/>
  <c r="AX34" i="4" s="1"/>
  <c r="G34" i="4"/>
  <c r="F34" i="4"/>
  <c r="AW34" i="4" s="1"/>
  <c r="E34" i="4"/>
  <c r="D34" i="4"/>
  <c r="C34" i="4"/>
  <c r="AV34" i="4" s="1"/>
  <c r="B34" i="4"/>
  <c r="BI33" i="4"/>
  <c r="BD33" i="4"/>
  <c r="AV33" i="4"/>
  <c r="AT33" i="4"/>
  <c r="AS33" i="4"/>
  <c r="AR33" i="4"/>
  <c r="AQ33" i="4"/>
  <c r="AP33" i="4"/>
  <c r="AO33" i="4"/>
  <c r="AN33" i="4"/>
  <c r="AM33" i="4"/>
  <c r="AL33" i="4"/>
  <c r="BH33" i="4" s="1"/>
  <c r="AK33" i="4"/>
  <c r="AJ33" i="4"/>
  <c r="AI33" i="4"/>
  <c r="BG33" i="4" s="1"/>
  <c r="AH33" i="4"/>
  <c r="AG33" i="4"/>
  <c r="AF33" i="4"/>
  <c r="AE33" i="4"/>
  <c r="AD33" i="4"/>
  <c r="BE33" i="4" s="1"/>
  <c r="AC33" i="4"/>
  <c r="AB33" i="4"/>
  <c r="AA33" i="4"/>
  <c r="Z33" i="4"/>
  <c r="Y33" i="4"/>
  <c r="X33" i="4"/>
  <c r="W33" i="4"/>
  <c r="BC33" i="4" s="1"/>
  <c r="V33" i="4"/>
  <c r="U33" i="4"/>
  <c r="T33" i="4"/>
  <c r="S33" i="4"/>
  <c r="R33" i="4"/>
  <c r="Q33" i="4"/>
  <c r="BA33" i="4" s="1"/>
  <c r="P33" i="4"/>
  <c r="O33" i="4"/>
  <c r="N33" i="4"/>
  <c r="AZ33" i="4" s="1"/>
  <c r="M33" i="4"/>
  <c r="AY33" i="4" s="1"/>
  <c r="L33" i="4"/>
  <c r="K33" i="4"/>
  <c r="J33" i="4"/>
  <c r="I33" i="4"/>
  <c r="H33" i="4"/>
  <c r="G33" i="4"/>
  <c r="F33" i="4"/>
  <c r="E33" i="4"/>
  <c r="AW33" i="4" s="1"/>
  <c r="D33" i="4"/>
  <c r="C33" i="4"/>
  <c r="B33" i="4"/>
  <c r="BA32" i="4"/>
  <c r="AV32" i="4"/>
  <c r="AT32" i="4"/>
  <c r="AS32" i="4"/>
  <c r="AR32" i="4"/>
  <c r="BJ32" i="4" s="1"/>
  <c r="AQ32" i="4"/>
  <c r="BI32" i="4" s="1"/>
  <c r="AP32" i="4"/>
  <c r="AO32" i="4"/>
  <c r="AN32" i="4"/>
  <c r="AM32" i="4"/>
  <c r="BH32" i="4" s="1"/>
  <c r="AL32" i="4"/>
  <c r="AK32" i="4"/>
  <c r="AJ32" i="4"/>
  <c r="AI32" i="4"/>
  <c r="BG32" i="4" s="1"/>
  <c r="AH32" i="4"/>
  <c r="AG32" i="4"/>
  <c r="BF32" i="4" s="1"/>
  <c r="AF32" i="4"/>
  <c r="AE32" i="4"/>
  <c r="AD32" i="4"/>
  <c r="AC32" i="4"/>
  <c r="AB32" i="4"/>
  <c r="AA32" i="4"/>
  <c r="BD32" i="4" s="1"/>
  <c r="Z32" i="4"/>
  <c r="Y32" i="4"/>
  <c r="X32" i="4"/>
  <c r="W32" i="4"/>
  <c r="BC32" i="4" s="1"/>
  <c r="V32" i="4"/>
  <c r="U32" i="4"/>
  <c r="T32" i="4"/>
  <c r="BB32" i="4" s="1"/>
  <c r="S32" i="4"/>
  <c r="R32" i="4"/>
  <c r="Q32" i="4"/>
  <c r="P32" i="4"/>
  <c r="O32" i="4"/>
  <c r="AZ32" i="4" s="1"/>
  <c r="N32" i="4"/>
  <c r="M32" i="4"/>
  <c r="L32" i="4"/>
  <c r="K32" i="4"/>
  <c r="AY32" i="4" s="1"/>
  <c r="J32" i="4"/>
  <c r="I32" i="4"/>
  <c r="AX32" i="4" s="1"/>
  <c r="H32" i="4"/>
  <c r="G32" i="4"/>
  <c r="F32" i="4"/>
  <c r="E32" i="4"/>
  <c r="D32" i="4"/>
  <c r="C32" i="4"/>
  <c r="B32" i="4"/>
  <c r="BI31" i="4"/>
  <c r="BF31" i="4"/>
  <c r="BE31" i="4"/>
  <c r="AW31" i="4"/>
  <c r="AT31" i="4"/>
  <c r="AS31" i="4"/>
  <c r="AR31" i="4"/>
  <c r="BJ31" i="4" s="1"/>
  <c r="AQ31" i="4"/>
  <c r="AP31" i="4"/>
  <c r="AO31" i="4"/>
  <c r="AN31" i="4"/>
  <c r="AM31" i="4"/>
  <c r="BH31" i="4" s="1"/>
  <c r="AL31" i="4"/>
  <c r="AK31" i="4"/>
  <c r="AJ31" i="4"/>
  <c r="AI31" i="4"/>
  <c r="AH31" i="4"/>
  <c r="AG31" i="4"/>
  <c r="AF31" i="4"/>
  <c r="AE31" i="4"/>
  <c r="AD31" i="4"/>
  <c r="AC31" i="4"/>
  <c r="AB31" i="4"/>
  <c r="BD31" i="4" s="1"/>
  <c r="AA31" i="4"/>
  <c r="Z31" i="4"/>
  <c r="Y31" i="4"/>
  <c r="X31" i="4"/>
  <c r="W31" i="4"/>
  <c r="BC31" i="4" s="1"/>
  <c r="V31" i="4"/>
  <c r="U31" i="4"/>
  <c r="T31" i="4"/>
  <c r="BB31" i="4" s="1"/>
  <c r="S31" i="4"/>
  <c r="R31" i="4"/>
  <c r="Q31" i="4"/>
  <c r="BA31" i="4" s="1"/>
  <c r="P31" i="4"/>
  <c r="O31" i="4"/>
  <c r="AZ31" i="4" s="1"/>
  <c r="N31" i="4"/>
  <c r="M31" i="4"/>
  <c r="L31" i="4"/>
  <c r="K31" i="4"/>
  <c r="J31" i="4"/>
  <c r="I31" i="4"/>
  <c r="H31" i="4"/>
  <c r="AX31" i="4" s="1"/>
  <c r="G31" i="4"/>
  <c r="F31" i="4"/>
  <c r="E31" i="4"/>
  <c r="D31" i="4"/>
  <c r="AV31" i="4" s="1"/>
  <c r="C31" i="4"/>
  <c r="B31" i="4"/>
  <c r="AX30" i="4"/>
  <c r="AT30" i="4"/>
  <c r="AS30" i="4"/>
  <c r="AR30" i="4"/>
  <c r="AQ30" i="4"/>
  <c r="AP30" i="4"/>
  <c r="AO30" i="4"/>
  <c r="BI30" i="4" s="1"/>
  <c r="AN30" i="4"/>
  <c r="AM30" i="4"/>
  <c r="AL30" i="4"/>
  <c r="BH30" i="4" s="1"/>
  <c r="AK30" i="4"/>
  <c r="AJ30" i="4"/>
  <c r="AI30" i="4"/>
  <c r="AH30" i="4"/>
  <c r="AG30" i="4"/>
  <c r="BF30" i="4" s="1"/>
  <c r="AF30" i="4"/>
  <c r="AE30" i="4"/>
  <c r="AD30" i="4"/>
  <c r="AC30" i="4"/>
  <c r="AB30" i="4"/>
  <c r="BD30" i="4" s="1"/>
  <c r="AA30" i="4"/>
  <c r="Z30" i="4"/>
  <c r="Y30" i="4"/>
  <c r="BC30" i="4" s="1"/>
  <c r="X30" i="4"/>
  <c r="W30" i="4"/>
  <c r="V30" i="4"/>
  <c r="U30" i="4"/>
  <c r="T30" i="4"/>
  <c r="S30" i="4"/>
  <c r="R30" i="4"/>
  <c r="Q30" i="4"/>
  <c r="BA30" i="4" s="1"/>
  <c r="P30" i="4"/>
  <c r="O30" i="4"/>
  <c r="N30" i="4"/>
  <c r="AZ30" i="4" s="1"/>
  <c r="M30" i="4"/>
  <c r="L30" i="4"/>
  <c r="K30" i="4"/>
  <c r="J30" i="4"/>
  <c r="I30" i="4"/>
  <c r="H30" i="4"/>
  <c r="G30" i="4"/>
  <c r="F30" i="4"/>
  <c r="E30" i="4"/>
  <c r="D30" i="4"/>
  <c r="AV30" i="4" s="1"/>
  <c r="C30" i="4"/>
  <c r="B30" i="4"/>
  <c r="BH29" i="4"/>
  <c r="BG29" i="4"/>
  <c r="BC29" i="4"/>
  <c r="AZ29" i="4"/>
  <c r="AT29" i="4"/>
  <c r="AS29" i="4"/>
  <c r="BJ29" i="4" s="1"/>
  <c r="AR29" i="4"/>
  <c r="AQ29" i="4"/>
  <c r="AP29" i="4"/>
  <c r="AO29" i="4"/>
  <c r="BI29" i="4" s="1"/>
  <c r="AN29" i="4"/>
  <c r="AM29" i="4"/>
  <c r="AL29" i="4"/>
  <c r="AK29" i="4"/>
  <c r="AJ29" i="4"/>
  <c r="AI29" i="4"/>
  <c r="AH29" i="4"/>
  <c r="AG29" i="4"/>
  <c r="BF29" i="4" s="1"/>
  <c r="AF29" i="4"/>
  <c r="AE29" i="4"/>
  <c r="AD29" i="4"/>
  <c r="AC29" i="4"/>
  <c r="BE29" i="4" s="1"/>
  <c r="AB29" i="4"/>
  <c r="AA29" i="4"/>
  <c r="Z29" i="4"/>
  <c r="BD29" i="4" s="1"/>
  <c r="Y29" i="4"/>
  <c r="X29" i="4"/>
  <c r="W29" i="4"/>
  <c r="V29" i="4"/>
  <c r="U29" i="4"/>
  <c r="BB29" i="4" s="1"/>
  <c r="T29" i="4"/>
  <c r="S29" i="4"/>
  <c r="R29" i="4"/>
  <c r="Q29" i="4"/>
  <c r="BA29" i="4" s="1"/>
  <c r="P29" i="4"/>
  <c r="O29" i="4"/>
  <c r="N29" i="4"/>
  <c r="M29" i="4"/>
  <c r="L29" i="4"/>
  <c r="K29" i="4"/>
  <c r="AY29" i="4" s="1"/>
  <c r="J29" i="4"/>
  <c r="I29" i="4"/>
  <c r="AX29" i="4" s="1"/>
  <c r="H29" i="4"/>
  <c r="G29" i="4"/>
  <c r="F29" i="4"/>
  <c r="E29" i="4"/>
  <c r="AW29" i="4" s="1"/>
  <c r="D29" i="4"/>
  <c r="C29" i="4"/>
  <c r="B29" i="4"/>
  <c r="AV29" i="4" s="1"/>
  <c r="BH28" i="4"/>
  <c r="BE28" i="4"/>
  <c r="AT28" i="4"/>
  <c r="AS28" i="4"/>
  <c r="BJ28" i="4" s="1"/>
  <c r="AR28" i="4"/>
  <c r="AQ28" i="4"/>
  <c r="AP28" i="4"/>
  <c r="AO28" i="4"/>
  <c r="AN28" i="4"/>
  <c r="AM28" i="4"/>
  <c r="AL28" i="4"/>
  <c r="AK28" i="4"/>
  <c r="AJ28" i="4"/>
  <c r="AI28" i="4"/>
  <c r="BG28" i="4" s="1"/>
  <c r="AH28" i="4"/>
  <c r="AG28" i="4"/>
  <c r="AF28" i="4"/>
  <c r="BF28" i="4" s="1"/>
  <c r="AE28" i="4"/>
  <c r="AD28" i="4"/>
  <c r="AC28" i="4"/>
  <c r="AB28" i="4"/>
  <c r="AA28" i="4"/>
  <c r="BD28" i="4" s="1"/>
  <c r="Z28" i="4"/>
  <c r="Y28" i="4"/>
  <c r="X28" i="4"/>
  <c r="W28" i="4"/>
  <c r="BC28" i="4" s="1"/>
  <c r="V28" i="4"/>
  <c r="U28" i="4"/>
  <c r="BB28" i="4" s="1"/>
  <c r="T28" i="4"/>
  <c r="S28" i="4"/>
  <c r="R28" i="4"/>
  <c r="Q28" i="4"/>
  <c r="P28" i="4"/>
  <c r="O28" i="4"/>
  <c r="AZ28" i="4" s="1"/>
  <c r="N28" i="4"/>
  <c r="M28" i="4"/>
  <c r="L28" i="4"/>
  <c r="K28" i="4"/>
  <c r="AY28" i="4" s="1"/>
  <c r="J28" i="4"/>
  <c r="I28" i="4"/>
  <c r="H28" i="4"/>
  <c r="AX28" i="4" s="1"/>
  <c r="G28" i="4"/>
  <c r="AW28" i="4" s="1"/>
  <c r="F28" i="4"/>
  <c r="E28" i="4"/>
  <c r="D28" i="4"/>
  <c r="C28" i="4"/>
  <c r="AV28" i="4" s="1"/>
  <c r="B28" i="4"/>
  <c r="BI27" i="4"/>
  <c r="BE27" i="4"/>
  <c r="BB27" i="4"/>
  <c r="BA27" i="4"/>
  <c r="AW27" i="4"/>
  <c r="AT27" i="4"/>
  <c r="AS27" i="4"/>
  <c r="AR27" i="4"/>
  <c r="BJ27" i="4" s="1"/>
  <c r="AQ27" i="4"/>
  <c r="AP27" i="4"/>
  <c r="AO27" i="4"/>
  <c r="AN27" i="4"/>
  <c r="BH27" i="4" s="1"/>
  <c r="AM27" i="4"/>
  <c r="AL27" i="4"/>
  <c r="AK27" i="4"/>
  <c r="AJ27" i="4"/>
  <c r="AI27" i="4"/>
  <c r="BG27" i="4" s="1"/>
  <c r="AH27" i="4"/>
  <c r="AG27" i="4"/>
  <c r="AF27" i="4"/>
  <c r="BF27" i="4" s="1"/>
  <c r="AE27" i="4"/>
  <c r="AD27" i="4"/>
  <c r="AC27" i="4"/>
  <c r="AB27" i="4"/>
  <c r="AA27" i="4"/>
  <c r="BD27" i="4" s="1"/>
  <c r="Z27" i="4"/>
  <c r="Y27" i="4"/>
  <c r="X27" i="4"/>
  <c r="W27" i="4"/>
  <c r="V27" i="4"/>
  <c r="U27" i="4"/>
  <c r="T27" i="4"/>
  <c r="S27" i="4"/>
  <c r="R27" i="4"/>
  <c r="Q27" i="4"/>
  <c r="P27" i="4"/>
  <c r="AZ27" i="4" s="1"/>
  <c r="O27" i="4"/>
  <c r="N27" i="4"/>
  <c r="M27" i="4"/>
  <c r="L27" i="4"/>
  <c r="K27" i="4"/>
  <c r="AY27" i="4" s="1"/>
  <c r="J27" i="4"/>
  <c r="I27" i="4"/>
  <c r="H27" i="4"/>
  <c r="AX27" i="4" s="1"/>
  <c r="G27" i="4"/>
  <c r="F27" i="4"/>
  <c r="E27" i="4"/>
  <c r="D27" i="4"/>
  <c r="C27" i="4"/>
  <c r="AV27" i="4" s="1"/>
  <c r="B27" i="4"/>
  <c r="BG26" i="4"/>
  <c r="BB26" i="4"/>
  <c r="AT26" i="4"/>
  <c r="AS26" i="4"/>
  <c r="BJ26" i="4" s="1"/>
  <c r="AR26" i="4"/>
  <c r="AQ26" i="4"/>
  <c r="AP26" i="4"/>
  <c r="AO26" i="4"/>
  <c r="AN26" i="4"/>
  <c r="AM26" i="4"/>
  <c r="BH26" i="4" s="1"/>
  <c r="AL26" i="4"/>
  <c r="AK26" i="4"/>
  <c r="AJ26" i="4"/>
  <c r="AI26" i="4"/>
  <c r="AH26" i="4"/>
  <c r="BF26" i="4" s="1"/>
  <c r="AG26" i="4"/>
  <c r="AF26" i="4"/>
  <c r="AE26" i="4"/>
  <c r="AD26" i="4"/>
  <c r="AC26" i="4"/>
  <c r="BE26" i="4" s="1"/>
  <c r="AB26" i="4"/>
  <c r="AA26" i="4"/>
  <c r="Z26" i="4"/>
  <c r="BD26" i="4" s="1"/>
  <c r="Y26" i="4"/>
  <c r="X26" i="4"/>
  <c r="W26" i="4"/>
  <c r="V26" i="4"/>
  <c r="U26" i="4"/>
  <c r="T26" i="4"/>
  <c r="S26" i="4"/>
  <c r="R26" i="4"/>
  <c r="Q26" i="4"/>
  <c r="P26" i="4"/>
  <c r="O26" i="4"/>
  <c r="AZ26" i="4" s="1"/>
  <c r="N26" i="4"/>
  <c r="M26" i="4"/>
  <c r="AY26" i="4" s="1"/>
  <c r="L26" i="4"/>
  <c r="K26" i="4"/>
  <c r="J26" i="4"/>
  <c r="I26" i="4"/>
  <c r="H26" i="4"/>
  <c r="G26" i="4"/>
  <c r="F26" i="4"/>
  <c r="E26" i="4"/>
  <c r="AW26" i="4" s="1"/>
  <c r="D26" i="4"/>
  <c r="C26" i="4"/>
  <c r="B26" i="4"/>
  <c r="AV26" i="4" s="1"/>
  <c r="BG25" i="4"/>
  <c r="AY25" i="4"/>
  <c r="AV25" i="4"/>
  <c r="AT25" i="4"/>
  <c r="AS25" i="4"/>
  <c r="BJ25" i="4" s="1"/>
  <c r="AR25" i="4"/>
  <c r="AQ25" i="4"/>
  <c r="AP25" i="4"/>
  <c r="AO25" i="4"/>
  <c r="BI25" i="4" s="1"/>
  <c r="AN25" i="4"/>
  <c r="AM25" i="4"/>
  <c r="AL25" i="4"/>
  <c r="BH25" i="4" s="1"/>
  <c r="AK25" i="4"/>
  <c r="AJ25" i="4"/>
  <c r="AI25" i="4"/>
  <c r="AH25" i="4"/>
  <c r="AG25" i="4"/>
  <c r="BF25" i="4" s="1"/>
  <c r="AF25" i="4"/>
  <c r="AE25" i="4"/>
  <c r="AD25" i="4"/>
  <c r="AC25" i="4"/>
  <c r="BE25" i="4" s="1"/>
  <c r="AB25" i="4"/>
  <c r="AA25" i="4"/>
  <c r="Z25" i="4"/>
  <c r="BD25" i="4" s="1"/>
  <c r="BK25" i="4" s="1"/>
  <c r="Y25" i="4"/>
  <c r="X25" i="4"/>
  <c r="W25" i="4"/>
  <c r="BC25" i="4" s="1"/>
  <c r="V25" i="4"/>
  <c r="U25" i="4"/>
  <c r="BB25" i="4" s="1"/>
  <c r="T25" i="4"/>
  <c r="S25" i="4"/>
  <c r="R25" i="4"/>
  <c r="Q25" i="4"/>
  <c r="BA25" i="4" s="1"/>
  <c r="P25" i="4"/>
  <c r="O25" i="4"/>
  <c r="N25" i="4"/>
  <c r="AZ25" i="4" s="1"/>
  <c r="M25" i="4"/>
  <c r="L25" i="4"/>
  <c r="K25" i="4"/>
  <c r="J25" i="4"/>
  <c r="I25" i="4"/>
  <c r="AX25" i="4" s="1"/>
  <c r="H25" i="4"/>
  <c r="G25" i="4"/>
  <c r="F25" i="4"/>
  <c r="E25" i="4"/>
  <c r="AW25" i="4" s="1"/>
  <c r="D25" i="4"/>
  <c r="C25" i="4"/>
  <c r="B25" i="4"/>
  <c r="BA24" i="4"/>
  <c r="AV24" i="4"/>
  <c r="AT24" i="4"/>
  <c r="AS24" i="4"/>
  <c r="AR24" i="4"/>
  <c r="BJ24" i="4" s="1"/>
  <c r="AQ24" i="4"/>
  <c r="BI24" i="4" s="1"/>
  <c r="AP24" i="4"/>
  <c r="AO24" i="4"/>
  <c r="AN24" i="4"/>
  <c r="AM24" i="4"/>
  <c r="BH24" i="4" s="1"/>
  <c r="AL24" i="4"/>
  <c r="AK24" i="4"/>
  <c r="AJ24" i="4"/>
  <c r="AI24" i="4"/>
  <c r="BG24" i="4" s="1"/>
  <c r="AH24" i="4"/>
  <c r="AG24" i="4"/>
  <c r="BF24" i="4" s="1"/>
  <c r="AF24" i="4"/>
  <c r="AE24" i="4"/>
  <c r="AD24" i="4"/>
  <c r="AC24" i="4"/>
  <c r="AB24" i="4"/>
  <c r="AA24" i="4"/>
  <c r="BD24" i="4" s="1"/>
  <c r="Z24" i="4"/>
  <c r="Y24" i="4"/>
  <c r="X24" i="4"/>
  <c r="W24" i="4"/>
  <c r="BC24" i="4" s="1"/>
  <c r="V24" i="4"/>
  <c r="U24" i="4"/>
  <c r="T24" i="4"/>
  <c r="BB24" i="4" s="1"/>
  <c r="S24" i="4"/>
  <c r="R24" i="4"/>
  <c r="Q24" i="4"/>
  <c r="P24" i="4"/>
  <c r="O24" i="4"/>
  <c r="AZ24" i="4" s="1"/>
  <c r="N24" i="4"/>
  <c r="M24" i="4"/>
  <c r="L24" i="4"/>
  <c r="K24" i="4"/>
  <c r="AY24" i="4" s="1"/>
  <c r="J24" i="4"/>
  <c r="I24" i="4"/>
  <c r="AX24" i="4" s="1"/>
  <c r="H24" i="4"/>
  <c r="G24" i="4"/>
  <c r="F24" i="4"/>
  <c r="E24" i="4"/>
  <c r="D24" i="4"/>
  <c r="C24" i="4"/>
  <c r="B24" i="4"/>
  <c r="BI23" i="4"/>
  <c r="BF23" i="4"/>
  <c r="BE23" i="4"/>
  <c r="AW23" i="4"/>
  <c r="AT23" i="4"/>
  <c r="AS23" i="4"/>
  <c r="AR23" i="4"/>
  <c r="BJ23" i="4" s="1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BD23" i="4" s="1"/>
  <c r="AA23" i="4"/>
  <c r="Z23" i="4"/>
  <c r="Y23" i="4"/>
  <c r="X23" i="4"/>
  <c r="W23" i="4"/>
  <c r="V23" i="4"/>
  <c r="U23" i="4"/>
  <c r="T23" i="4"/>
  <c r="BB23" i="4" s="1"/>
  <c r="S23" i="4"/>
  <c r="R23" i="4"/>
  <c r="Q23" i="4"/>
  <c r="BA23" i="4" s="1"/>
  <c r="P23" i="4"/>
  <c r="O23" i="4"/>
  <c r="N23" i="4"/>
  <c r="M23" i="4"/>
  <c r="L23" i="4"/>
  <c r="K23" i="4"/>
  <c r="J23" i="4"/>
  <c r="I23" i="4"/>
  <c r="H23" i="4"/>
  <c r="AX23" i="4" s="1"/>
  <c r="G23" i="4"/>
  <c r="F23" i="4"/>
  <c r="E23" i="4"/>
  <c r="D23" i="4"/>
  <c r="AV23" i="4" s="1"/>
  <c r="C23" i="4"/>
  <c r="B23" i="4"/>
  <c r="AT22" i="4"/>
  <c r="AS22" i="4"/>
  <c r="BJ22" i="4" s="1"/>
  <c r="AR22" i="4"/>
  <c r="AQ22" i="4"/>
  <c r="AP22" i="4"/>
  <c r="AO22" i="4"/>
  <c r="BI22" i="4" s="1"/>
  <c r="AN22" i="4"/>
  <c r="AM22" i="4"/>
  <c r="AL22" i="4"/>
  <c r="BH22" i="4" s="1"/>
  <c r="AK22" i="4"/>
  <c r="AJ22" i="4"/>
  <c r="AI22" i="4"/>
  <c r="AH22" i="4"/>
  <c r="AG22" i="4"/>
  <c r="BF22" i="4" s="1"/>
  <c r="AF22" i="4"/>
  <c r="AE22" i="4"/>
  <c r="AD22" i="4"/>
  <c r="AC22" i="4"/>
  <c r="BE22" i="4" s="1"/>
  <c r="AB22" i="4"/>
  <c r="AA22" i="4"/>
  <c r="BD22" i="4" s="1"/>
  <c r="Z22" i="4"/>
  <c r="Y22" i="4"/>
  <c r="BC22" i="4" s="1"/>
  <c r="X22" i="4"/>
  <c r="W22" i="4"/>
  <c r="V22" i="4"/>
  <c r="U22" i="4"/>
  <c r="BB22" i="4" s="1"/>
  <c r="T22" i="4"/>
  <c r="S22" i="4"/>
  <c r="R22" i="4"/>
  <c r="Q22" i="4"/>
  <c r="BA22" i="4" s="1"/>
  <c r="P22" i="4"/>
  <c r="O22" i="4"/>
  <c r="N22" i="4"/>
  <c r="AZ22" i="4" s="1"/>
  <c r="M22" i="4"/>
  <c r="L22" i="4"/>
  <c r="K22" i="4"/>
  <c r="J22" i="4"/>
  <c r="I22" i="4"/>
  <c r="AX22" i="4" s="1"/>
  <c r="H22" i="4"/>
  <c r="G22" i="4"/>
  <c r="F22" i="4"/>
  <c r="E22" i="4"/>
  <c r="AW22" i="4" s="1"/>
  <c r="D22" i="4"/>
  <c r="C22" i="4"/>
  <c r="AV22" i="4" s="1"/>
  <c r="B22" i="4"/>
  <c r="AY21" i="4"/>
  <c r="AT21" i="4"/>
  <c r="AS21" i="4"/>
  <c r="AR21" i="4"/>
  <c r="AQ21" i="4"/>
  <c r="AP21" i="4"/>
  <c r="AO21" i="4"/>
  <c r="AN21" i="4"/>
  <c r="AM21" i="4"/>
  <c r="AL21" i="4"/>
  <c r="BH21" i="4" s="1"/>
  <c r="AK21" i="4"/>
  <c r="AJ21" i="4"/>
  <c r="AI21" i="4"/>
  <c r="BG21" i="4" s="1"/>
  <c r="AH21" i="4"/>
  <c r="AG21" i="4"/>
  <c r="AF21" i="4"/>
  <c r="BF21" i="4" s="1"/>
  <c r="AE21" i="4"/>
  <c r="AD21" i="4"/>
  <c r="BE21" i="4" s="1"/>
  <c r="AC21" i="4"/>
  <c r="AB21" i="4"/>
  <c r="AA21" i="4"/>
  <c r="Z21" i="4"/>
  <c r="BD21" i="4" s="1"/>
  <c r="Y21" i="4"/>
  <c r="X21" i="4"/>
  <c r="BC21" i="4" s="1"/>
  <c r="W21" i="4"/>
  <c r="V21" i="4"/>
  <c r="U21" i="4"/>
  <c r="T21" i="4"/>
  <c r="S21" i="4"/>
  <c r="R21" i="4"/>
  <c r="Q21" i="4"/>
  <c r="P21" i="4"/>
  <c r="O21" i="4"/>
  <c r="N21" i="4"/>
  <c r="AZ21" i="4" s="1"/>
  <c r="M21" i="4"/>
  <c r="L21" i="4"/>
  <c r="K21" i="4"/>
  <c r="J21" i="4"/>
  <c r="I21" i="4"/>
  <c r="H21" i="4"/>
  <c r="AX21" i="4" s="1"/>
  <c r="G21" i="4"/>
  <c r="F21" i="4"/>
  <c r="E21" i="4"/>
  <c r="D21" i="4"/>
  <c r="C21" i="4"/>
  <c r="B21" i="4"/>
  <c r="AV21" i="4" s="1"/>
  <c r="AZ20" i="4"/>
  <c r="AV20" i="4"/>
  <c r="AT20" i="4"/>
  <c r="AS20" i="4"/>
  <c r="BJ20" i="4" s="1"/>
  <c r="AR20" i="4"/>
  <c r="AQ20" i="4"/>
  <c r="AP20" i="4"/>
  <c r="AO20" i="4"/>
  <c r="BI20" i="4" s="1"/>
  <c r="AN20" i="4"/>
  <c r="AM20" i="4"/>
  <c r="AL20" i="4"/>
  <c r="BH20" i="4" s="1"/>
  <c r="AK20" i="4"/>
  <c r="AJ20" i="4"/>
  <c r="AI20" i="4"/>
  <c r="AH20" i="4"/>
  <c r="AG20" i="4"/>
  <c r="AF20" i="4"/>
  <c r="BF20" i="4" s="1"/>
  <c r="AE20" i="4"/>
  <c r="AD20" i="4"/>
  <c r="AC20" i="4"/>
  <c r="BE20" i="4" s="1"/>
  <c r="AB20" i="4"/>
  <c r="AA20" i="4"/>
  <c r="BD20" i="4" s="1"/>
  <c r="Z20" i="4"/>
  <c r="Y20" i="4"/>
  <c r="X20" i="4"/>
  <c r="W20" i="4"/>
  <c r="BC20" i="4" s="1"/>
  <c r="V20" i="4"/>
  <c r="U20" i="4"/>
  <c r="T20" i="4"/>
  <c r="S20" i="4"/>
  <c r="R20" i="4"/>
  <c r="Q20" i="4"/>
  <c r="BA20" i="4" s="1"/>
  <c r="P20" i="4"/>
  <c r="O20" i="4"/>
  <c r="N20" i="4"/>
  <c r="M20" i="4"/>
  <c r="L20" i="4"/>
  <c r="K20" i="4"/>
  <c r="J20" i="4"/>
  <c r="I20" i="4"/>
  <c r="H20" i="4"/>
  <c r="AX20" i="4" s="1"/>
  <c r="G20" i="4"/>
  <c r="F20" i="4"/>
  <c r="E20" i="4"/>
  <c r="D20" i="4"/>
  <c r="C20" i="4"/>
  <c r="B20" i="4"/>
  <c r="BI19" i="4"/>
  <c r="BH19" i="4"/>
  <c r="BG19" i="4"/>
  <c r="AT19" i="4"/>
  <c r="AS19" i="4"/>
  <c r="AR19" i="4"/>
  <c r="BJ19" i="4" s="1"/>
  <c r="AQ19" i="4"/>
  <c r="AP19" i="4"/>
  <c r="AO19" i="4"/>
  <c r="AN19" i="4"/>
  <c r="AM19" i="4"/>
  <c r="AL19" i="4"/>
  <c r="AK19" i="4"/>
  <c r="AJ19" i="4"/>
  <c r="AI19" i="4"/>
  <c r="AH19" i="4"/>
  <c r="AG19" i="4"/>
  <c r="AF19" i="4"/>
  <c r="BF19" i="4" s="1"/>
  <c r="AE19" i="4"/>
  <c r="AD19" i="4"/>
  <c r="AC19" i="4"/>
  <c r="BE19" i="4" s="1"/>
  <c r="AB19" i="4"/>
  <c r="AA19" i="4"/>
  <c r="Z19" i="4"/>
  <c r="Y19" i="4"/>
  <c r="X19" i="4"/>
  <c r="W19" i="4"/>
  <c r="V19" i="4"/>
  <c r="U19" i="4"/>
  <c r="T19" i="4"/>
  <c r="S19" i="4"/>
  <c r="R19" i="4"/>
  <c r="BA19" i="4" s="1"/>
  <c r="Q19" i="4"/>
  <c r="P19" i="4"/>
  <c r="AZ19" i="4" s="1"/>
  <c r="O19" i="4"/>
  <c r="N19" i="4"/>
  <c r="M19" i="4"/>
  <c r="AY19" i="4" s="1"/>
  <c r="L19" i="4"/>
  <c r="K19" i="4"/>
  <c r="J19" i="4"/>
  <c r="I19" i="4"/>
  <c r="H19" i="4"/>
  <c r="AX19" i="4" s="1"/>
  <c r="G19" i="4"/>
  <c r="F19" i="4"/>
  <c r="E19" i="4"/>
  <c r="AW19" i="4" s="1"/>
  <c r="D19" i="4"/>
  <c r="C19" i="4"/>
  <c r="B19" i="4"/>
  <c r="BG18" i="4"/>
  <c r="BF18" i="4"/>
  <c r="BD18" i="4"/>
  <c r="AV18" i="4"/>
  <c r="AT18" i="4"/>
  <c r="AS18" i="4"/>
  <c r="BJ18" i="4" s="1"/>
  <c r="AR18" i="4"/>
  <c r="AQ18" i="4"/>
  <c r="AP18" i="4"/>
  <c r="AO18" i="4"/>
  <c r="BI18" i="4" s="1"/>
  <c r="AN18" i="4"/>
  <c r="AM18" i="4"/>
  <c r="BH18" i="4" s="1"/>
  <c r="AL18" i="4"/>
  <c r="AK18" i="4"/>
  <c r="AJ18" i="4"/>
  <c r="AI18" i="4"/>
  <c r="AH18" i="4"/>
  <c r="AG18" i="4"/>
  <c r="AF18" i="4"/>
  <c r="AE18" i="4"/>
  <c r="AD18" i="4"/>
  <c r="AC18" i="4"/>
  <c r="BE18" i="4" s="1"/>
  <c r="AB18" i="4"/>
  <c r="AA18" i="4"/>
  <c r="Z18" i="4"/>
  <c r="Y18" i="4"/>
  <c r="X18" i="4"/>
  <c r="W18" i="4"/>
  <c r="BC18" i="4" s="1"/>
  <c r="V18" i="4"/>
  <c r="U18" i="4"/>
  <c r="BB18" i="4" s="1"/>
  <c r="T18" i="4"/>
  <c r="S18" i="4"/>
  <c r="R18" i="4"/>
  <c r="Q18" i="4"/>
  <c r="BA18" i="4" s="1"/>
  <c r="P18" i="4"/>
  <c r="O18" i="4"/>
  <c r="AZ18" i="4" s="1"/>
  <c r="N18" i="4"/>
  <c r="M18" i="4"/>
  <c r="AY18" i="4" s="1"/>
  <c r="L18" i="4"/>
  <c r="K18" i="4"/>
  <c r="J18" i="4"/>
  <c r="I18" i="4"/>
  <c r="H18" i="4"/>
  <c r="AX18" i="4" s="1"/>
  <c r="G18" i="4"/>
  <c r="F18" i="4"/>
  <c r="E18" i="4"/>
  <c r="AW18" i="4" s="1"/>
  <c r="D18" i="4"/>
  <c r="C18" i="4"/>
  <c r="B18" i="4"/>
  <c r="BD17" i="4"/>
  <c r="BC17" i="4"/>
  <c r="BB17" i="4"/>
  <c r="AT17" i="4"/>
  <c r="AS17" i="4"/>
  <c r="AR17" i="4"/>
  <c r="AQ17" i="4"/>
  <c r="AP17" i="4"/>
  <c r="BI17" i="4" s="1"/>
  <c r="AO17" i="4"/>
  <c r="AN17" i="4"/>
  <c r="AM17" i="4"/>
  <c r="AL17" i="4"/>
  <c r="BH17" i="4" s="1"/>
  <c r="AK17" i="4"/>
  <c r="AJ17" i="4"/>
  <c r="BG17" i="4" s="1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BA17" i="4" s="1"/>
  <c r="Q17" i="4"/>
  <c r="P17" i="4"/>
  <c r="O17" i="4"/>
  <c r="N17" i="4"/>
  <c r="AZ17" i="4" s="1"/>
  <c r="M17" i="4"/>
  <c r="L17" i="4"/>
  <c r="AY17" i="4" s="1"/>
  <c r="K17" i="4"/>
  <c r="J17" i="4"/>
  <c r="I17" i="4"/>
  <c r="H17" i="4"/>
  <c r="G17" i="4"/>
  <c r="F17" i="4"/>
  <c r="E17" i="4"/>
  <c r="D17" i="4"/>
  <c r="C17" i="4"/>
  <c r="B17" i="4"/>
  <c r="AZ16" i="4"/>
  <c r="AY16" i="4"/>
  <c r="AT16" i="4"/>
  <c r="AS16" i="4"/>
  <c r="AR16" i="4"/>
  <c r="BJ16" i="4" s="1"/>
  <c r="AQ16" i="4"/>
  <c r="AP16" i="4"/>
  <c r="AO16" i="4"/>
  <c r="AN16" i="4"/>
  <c r="AM16" i="4"/>
  <c r="BH16" i="4" s="1"/>
  <c r="AL16" i="4"/>
  <c r="AK16" i="4"/>
  <c r="AJ16" i="4"/>
  <c r="AI16" i="4"/>
  <c r="BG16" i="4" s="1"/>
  <c r="AH16" i="4"/>
  <c r="BF16" i="4" s="1"/>
  <c r="AG16" i="4"/>
  <c r="AF16" i="4"/>
  <c r="AE16" i="4"/>
  <c r="AD16" i="4"/>
  <c r="BE16" i="4" s="1"/>
  <c r="AC16" i="4"/>
  <c r="AB16" i="4"/>
  <c r="AA16" i="4"/>
  <c r="Z16" i="4"/>
  <c r="BD16" i="4" s="1"/>
  <c r="Y16" i="4"/>
  <c r="X16" i="4"/>
  <c r="W16" i="4"/>
  <c r="V16" i="4"/>
  <c r="U16" i="4"/>
  <c r="T16" i="4"/>
  <c r="BB16" i="4" s="1"/>
  <c r="S16" i="4"/>
  <c r="R16" i="4"/>
  <c r="Q16" i="4"/>
  <c r="BA16" i="4" s="1"/>
  <c r="P16" i="4"/>
  <c r="O16" i="4"/>
  <c r="N16" i="4"/>
  <c r="M16" i="4"/>
  <c r="L16" i="4"/>
  <c r="K16" i="4"/>
  <c r="J16" i="4"/>
  <c r="I16" i="4"/>
  <c r="H16" i="4"/>
  <c r="G16" i="4"/>
  <c r="F16" i="4"/>
  <c r="AW16" i="4" s="1"/>
  <c r="E16" i="4"/>
  <c r="D16" i="4"/>
  <c r="C16" i="4"/>
  <c r="B16" i="4"/>
  <c r="AV16" i="4" s="1"/>
  <c r="BE15" i="4"/>
  <c r="BD15" i="4"/>
  <c r="AW15" i="4"/>
  <c r="AT15" i="4"/>
  <c r="AS15" i="4"/>
  <c r="AR15" i="4"/>
  <c r="BJ15" i="4" s="1"/>
  <c r="AQ15" i="4"/>
  <c r="AP15" i="4"/>
  <c r="AO15" i="4"/>
  <c r="BI15" i="4" s="1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BB15" i="4" s="1"/>
  <c r="S15" i="4"/>
  <c r="R15" i="4"/>
  <c r="Q15" i="4"/>
  <c r="BA15" i="4" s="1"/>
  <c r="P15" i="4"/>
  <c r="O15" i="4"/>
  <c r="N15" i="4"/>
  <c r="M15" i="4"/>
  <c r="L15" i="4"/>
  <c r="K15" i="4"/>
  <c r="J15" i="4"/>
  <c r="I15" i="4"/>
  <c r="H15" i="4"/>
  <c r="AX15" i="4" s="1"/>
  <c r="G15" i="4"/>
  <c r="F15" i="4"/>
  <c r="E15" i="4"/>
  <c r="D15" i="4"/>
  <c r="AV15" i="4" s="1"/>
  <c r="C15" i="4"/>
  <c r="B15" i="4"/>
  <c r="BJ14" i="4"/>
  <c r="BB14" i="4"/>
  <c r="AZ14" i="4"/>
  <c r="AX14" i="4"/>
  <c r="AT14" i="4"/>
  <c r="AS14" i="4"/>
  <c r="AR14" i="4"/>
  <c r="AQ14" i="4"/>
  <c r="AP14" i="4"/>
  <c r="AO14" i="4"/>
  <c r="BI14" i="4" s="1"/>
  <c r="AN14" i="4"/>
  <c r="AM14" i="4"/>
  <c r="AL14" i="4"/>
  <c r="BH14" i="4" s="1"/>
  <c r="AK14" i="4"/>
  <c r="AJ14" i="4"/>
  <c r="AI14" i="4"/>
  <c r="BG14" i="4" s="1"/>
  <c r="AH14" i="4"/>
  <c r="AG14" i="4"/>
  <c r="BF14" i="4" s="1"/>
  <c r="AF14" i="4"/>
  <c r="AE14" i="4"/>
  <c r="AD14" i="4"/>
  <c r="AC14" i="4"/>
  <c r="AB14" i="4"/>
  <c r="AA14" i="4"/>
  <c r="Z14" i="4"/>
  <c r="Y14" i="4"/>
  <c r="BC14" i="4" s="1"/>
  <c r="X14" i="4"/>
  <c r="W14" i="4"/>
  <c r="V14" i="4"/>
  <c r="U14" i="4"/>
  <c r="T14" i="4"/>
  <c r="S14" i="4"/>
  <c r="R14" i="4"/>
  <c r="Q14" i="4"/>
  <c r="BA14" i="4" s="1"/>
  <c r="P14" i="4"/>
  <c r="O14" i="4"/>
  <c r="N14" i="4"/>
  <c r="M14" i="4"/>
  <c r="L14" i="4"/>
  <c r="K14" i="4"/>
  <c r="AY14" i="4" s="1"/>
  <c r="J14" i="4"/>
  <c r="I14" i="4"/>
  <c r="H14" i="4"/>
  <c r="G14" i="4"/>
  <c r="F14" i="4"/>
  <c r="E14" i="4"/>
  <c r="D14" i="4"/>
  <c r="C14" i="4"/>
  <c r="B14" i="4"/>
  <c r="BH13" i="4"/>
  <c r="BG13" i="4"/>
  <c r="AZ13" i="4"/>
  <c r="AY13" i="4"/>
  <c r="AW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BE13" i="4" s="1"/>
  <c r="AC13" i="4"/>
  <c r="AB13" i="4"/>
  <c r="AA13" i="4"/>
  <c r="Z13" i="4"/>
  <c r="BD13" i="4" s="1"/>
  <c r="Y13" i="4"/>
  <c r="X13" i="4"/>
  <c r="BC13" i="4" s="1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AX13" i="4" s="1"/>
  <c r="G13" i="4"/>
  <c r="F13" i="4"/>
  <c r="E13" i="4"/>
  <c r="D13" i="4"/>
  <c r="C13" i="4"/>
  <c r="B13" i="4"/>
  <c r="AV13" i="4" s="1"/>
  <c r="AV12" i="4"/>
  <c r="AT12" i="4"/>
  <c r="AS12" i="4"/>
  <c r="BJ12" i="4" s="1"/>
  <c r="AR12" i="4"/>
  <c r="AQ12" i="4"/>
  <c r="AP12" i="4"/>
  <c r="BI12" i="4" s="1"/>
  <c r="AO12" i="4"/>
  <c r="AN12" i="4"/>
  <c r="AM12" i="4"/>
  <c r="AL12" i="4"/>
  <c r="BH12" i="4" s="1"/>
  <c r="AK12" i="4"/>
  <c r="AJ12" i="4"/>
  <c r="AI12" i="4"/>
  <c r="AH12" i="4"/>
  <c r="AG12" i="4"/>
  <c r="AF12" i="4"/>
  <c r="BF12" i="4" s="1"/>
  <c r="AE12" i="4"/>
  <c r="AD12" i="4"/>
  <c r="AC12" i="4"/>
  <c r="BE12" i="4" s="1"/>
  <c r="AB12" i="4"/>
  <c r="AA12" i="4"/>
  <c r="BD12" i="4" s="1"/>
  <c r="Z12" i="4"/>
  <c r="Y12" i="4"/>
  <c r="X12" i="4"/>
  <c r="W12" i="4"/>
  <c r="BC12" i="4" s="1"/>
  <c r="V12" i="4"/>
  <c r="U12" i="4"/>
  <c r="BB12" i="4" s="1"/>
  <c r="T12" i="4"/>
  <c r="S12" i="4"/>
  <c r="R12" i="4"/>
  <c r="BA12" i="4" s="1"/>
  <c r="Q12" i="4"/>
  <c r="P12" i="4"/>
  <c r="O12" i="4"/>
  <c r="N12" i="4"/>
  <c r="AZ12" i="4" s="1"/>
  <c r="M12" i="4"/>
  <c r="L12" i="4"/>
  <c r="K12" i="4"/>
  <c r="J12" i="4"/>
  <c r="I12" i="4"/>
  <c r="H12" i="4"/>
  <c r="AX12" i="4" s="1"/>
  <c r="G12" i="4"/>
  <c r="F12" i="4"/>
  <c r="E12" i="4"/>
  <c r="AW12" i="4" s="1"/>
  <c r="D12" i="4"/>
  <c r="C12" i="4"/>
  <c r="B12" i="4"/>
  <c r="BI11" i="4"/>
  <c r="BE11" i="4"/>
  <c r="AY11" i="4"/>
  <c r="AT11" i="4"/>
  <c r="AS11" i="4"/>
  <c r="AR11" i="4"/>
  <c r="BJ11" i="4" s="1"/>
  <c r="AQ11" i="4"/>
  <c r="AP11" i="4"/>
  <c r="AO11" i="4"/>
  <c r="AN11" i="4"/>
  <c r="BH11" i="4" s="1"/>
  <c r="AM11" i="4"/>
  <c r="AL11" i="4"/>
  <c r="AK11" i="4"/>
  <c r="AJ11" i="4"/>
  <c r="BG11" i="4" s="1"/>
  <c r="AI11" i="4"/>
  <c r="AH11" i="4"/>
  <c r="AG11" i="4"/>
  <c r="AF11" i="4"/>
  <c r="BF11" i="4" s="1"/>
  <c r="AE11" i="4"/>
  <c r="AD11" i="4"/>
  <c r="AC11" i="4"/>
  <c r="AB11" i="4"/>
  <c r="AA11" i="4"/>
  <c r="Z11" i="4"/>
  <c r="Y11" i="4"/>
  <c r="X11" i="4"/>
  <c r="W11" i="4"/>
  <c r="V11" i="4"/>
  <c r="U11" i="4"/>
  <c r="T11" i="4"/>
  <c r="BB11" i="4" s="1"/>
  <c r="S11" i="4"/>
  <c r="R11" i="4"/>
  <c r="BA11" i="4" s="1"/>
  <c r="Q11" i="4"/>
  <c r="P11" i="4"/>
  <c r="AZ11" i="4" s="1"/>
  <c r="O11" i="4"/>
  <c r="N11" i="4"/>
  <c r="M11" i="4"/>
  <c r="L11" i="4"/>
  <c r="K11" i="4"/>
  <c r="J11" i="4"/>
  <c r="I11" i="4"/>
  <c r="H11" i="4"/>
  <c r="AX11" i="4" s="1"/>
  <c r="G11" i="4"/>
  <c r="F11" i="4"/>
  <c r="E11" i="4"/>
  <c r="AW11" i="4" s="1"/>
  <c r="D11" i="4"/>
  <c r="C11" i="4"/>
  <c r="B11" i="4"/>
  <c r="BF10" i="4"/>
  <c r="BE10" i="4"/>
  <c r="BD10" i="4"/>
  <c r="AV10" i="4"/>
  <c r="AT10" i="4"/>
  <c r="AS10" i="4"/>
  <c r="BJ10" i="4" s="1"/>
  <c r="AR10" i="4"/>
  <c r="AQ10" i="4"/>
  <c r="AP10" i="4"/>
  <c r="AO10" i="4"/>
  <c r="BI10" i="4" s="1"/>
  <c r="AN10" i="4"/>
  <c r="AM10" i="4"/>
  <c r="AL10" i="4"/>
  <c r="AK10" i="4"/>
  <c r="BG10" i="4" s="1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BC10" i="4" s="1"/>
  <c r="V10" i="4"/>
  <c r="U10" i="4"/>
  <c r="BB10" i="4" s="1"/>
  <c r="T10" i="4"/>
  <c r="S10" i="4"/>
  <c r="R10" i="4"/>
  <c r="Q10" i="4"/>
  <c r="P10" i="4"/>
  <c r="O10" i="4"/>
  <c r="N10" i="4"/>
  <c r="M10" i="4"/>
  <c r="AY10" i="4" s="1"/>
  <c r="L10" i="4"/>
  <c r="K10" i="4"/>
  <c r="J10" i="4"/>
  <c r="I10" i="4"/>
  <c r="H10" i="4"/>
  <c r="AX10" i="4" s="1"/>
  <c r="G10" i="4"/>
  <c r="F10" i="4"/>
  <c r="E10" i="4"/>
  <c r="AW10" i="4" s="1"/>
  <c r="D10" i="4"/>
  <c r="C10" i="4"/>
  <c r="B10" i="4"/>
  <c r="BC9" i="4"/>
  <c r="AT9" i="4"/>
  <c r="AS9" i="4"/>
  <c r="AR9" i="4"/>
  <c r="BJ9" i="4" s="1"/>
  <c r="AQ9" i="4"/>
  <c r="AP9" i="4"/>
  <c r="BI9" i="4" s="1"/>
  <c r="AO9" i="4"/>
  <c r="AN9" i="4"/>
  <c r="AM9" i="4"/>
  <c r="AL9" i="4"/>
  <c r="BH9" i="4" s="1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BB9" i="4" s="1"/>
  <c r="S9" i="4"/>
  <c r="R9" i="4"/>
  <c r="BA9" i="4" s="1"/>
  <c r="Q9" i="4"/>
  <c r="P9" i="4"/>
  <c r="O9" i="4"/>
  <c r="N9" i="4"/>
  <c r="AZ9" i="4" s="1"/>
  <c r="M9" i="4"/>
  <c r="L9" i="4"/>
  <c r="K9" i="4"/>
  <c r="J9" i="4"/>
  <c r="I9" i="4"/>
  <c r="H9" i="4"/>
  <c r="G9" i="4"/>
  <c r="F9" i="4"/>
  <c r="E9" i="4"/>
  <c r="D9" i="4"/>
  <c r="C9" i="4"/>
  <c r="B9" i="4"/>
  <c r="BF8" i="4"/>
  <c r="AZ8" i="4"/>
  <c r="AT8" i="4"/>
  <c r="AS8" i="4"/>
  <c r="AR8" i="4"/>
  <c r="BJ8" i="4" s="1"/>
  <c r="AQ8" i="4"/>
  <c r="AP8" i="4"/>
  <c r="BI8" i="4" s="1"/>
  <c r="AO8" i="4"/>
  <c r="AN8" i="4"/>
  <c r="AM8" i="4"/>
  <c r="BH8" i="4" s="1"/>
  <c r="AL8" i="4"/>
  <c r="AK8" i="4"/>
  <c r="AJ8" i="4"/>
  <c r="AI8" i="4"/>
  <c r="AH8" i="4"/>
  <c r="AG8" i="4"/>
  <c r="AF8" i="4"/>
  <c r="AE8" i="4"/>
  <c r="BE8" i="4" s="1"/>
  <c r="AD8" i="4"/>
  <c r="AC8" i="4"/>
  <c r="AB8" i="4"/>
  <c r="BD8" i="4" s="1"/>
  <c r="AA8" i="4"/>
  <c r="Z8" i="4"/>
  <c r="Y8" i="4"/>
  <c r="X8" i="4"/>
  <c r="W8" i="4"/>
  <c r="BC8" i="4" s="1"/>
  <c r="V8" i="4"/>
  <c r="U8" i="4"/>
  <c r="T8" i="4"/>
  <c r="BB8" i="4" s="1"/>
  <c r="S8" i="4"/>
  <c r="BA8" i="4" s="1"/>
  <c r="R8" i="4"/>
  <c r="Q8" i="4"/>
  <c r="P8" i="4"/>
  <c r="O8" i="4"/>
  <c r="N8" i="4"/>
  <c r="M8" i="4"/>
  <c r="L8" i="4"/>
  <c r="K8" i="4"/>
  <c r="J8" i="4"/>
  <c r="I8" i="4"/>
  <c r="H8" i="4"/>
  <c r="AX8" i="4" s="1"/>
  <c r="G8" i="4"/>
  <c r="AW8" i="4" s="1"/>
  <c r="F8" i="4"/>
  <c r="E8" i="4"/>
  <c r="D8" i="4"/>
  <c r="C8" i="4"/>
  <c r="AV8" i="4" s="1"/>
  <c r="B8" i="4"/>
  <c r="BI7" i="4"/>
  <c r="BC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BF7" i="4" s="1"/>
  <c r="AE7" i="4"/>
  <c r="AD7" i="4"/>
  <c r="BE7" i="4" s="1"/>
  <c r="AC7" i="4"/>
  <c r="AB7" i="4"/>
  <c r="BD7" i="4" s="1"/>
  <c r="AA7" i="4"/>
  <c r="Z7" i="4"/>
  <c r="Y7" i="4"/>
  <c r="X7" i="4"/>
  <c r="W7" i="4"/>
  <c r="V7" i="4"/>
  <c r="U7" i="4"/>
  <c r="T7" i="4"/>
  <c r="S7" i="4"/>
  <c r="R7" i="4"/>
  <c r="Q7" i="4"/>
  <c r="BA7" i="4" s="1"/>
  <c r="P7" i="4"/>
  <c r="O7" i="4"/>
  <c r="N7" i="4"/>
  <c r="M7" i="4"/>
  <c r="L7" i="4"/>
  <c r="K7" i="4"/>
  <c r="J7" i="4"/>
  <c r="I7" i="4"/>
  <c r="H7" i="4"/>
  <c r="AX7" i="4" s="1"/>
  <c r="G7" i="4"/>
  <c r="F7" i="4"/>
  <c r="AW7" i="4" s="1"/>
  <c r="E7" i="4"/>
  <c r="D7" i="4"/>
  <c r="AV7" i="4" s="1"/>
  <c r="C7" i="4"/>
  <c r="B7" i="4"/>
  <c r="BH6" i="4"/>
  <c r="BG6" i="4"/>
  <c r="BF6" i="4"/>
  <c r="AZ6" i="4"/>
  <c r="AT6" i="4"/>
  <c r="AS6" i="4"/>
  <c r="BJ6" i="4" s="1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BE6" i="4" s="1"/>
  <c r="AB6" i="4"/>
  <c r="AA6" i="4"/>
  <c r="Z6" i="4"/>
  <c r="BD6" i="4" s="1"/>
  <c r="Y6" i="4"/>
  <c r="BC6" i="4" s="1"/>
  <c r="X6" i="4"/>
  <c r="W6" i="4"/>
  <c r="V6" i="4"/>
  <c r="U6" i="4"/>
  <c r="T6" i="4"/>
  <c r="S6" i="4"/>
  <c r="R6" i="4"/>
  <c r="Q6" i="4"/>
  <c r="BA6" i="4" s="1"/>
  <c r="P6" i="4"/>
  <c r="O6" i="4"/>
  <c r="N6" i="4"/>
  <c r="M6" i="4"/>
  <c r="AY6" i="4" s="1"/>
  <c r="L6" i="4"/>
  <c r="K6" i="4"/>
  <c r="J6" i="4"/>
  <c r="I6" i="4"/>
  <c r="AX6" i="4" s="1"/>
  <c r="H6" i="4"/>
  <c r="G6" i="4"/>
  <c r="F6" i="4"/>
  <c r="E6" i="4"/>
  <c r="AW6" i="4" s="1"/>
  <c r="D6" i="4"/>
  <c r="C6" i="4"/>
  <c r="B6" i="4"/>
  <c r="AV6" i="4" s="1"/>
  <c r="BG5" i="4"/>
  <c r="BF5" i="4"/>
  <c r="AY5" i="4"/>
  <c r="AV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BD5" i="4" s="1"/>
  <c r="Y5" i="4"/>
  <c r="X5" i="4"/>
  <c r="W5" i="4"/>
  <c r="BC5" i="4" s="1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AX5" i="4" s="1"/>
  <c r="G5" i="4"/>
  <c r="F5" i="4"/>
  <c r="E5" i="4"/>
  <c r="D5" i="4"/>
  <c r="C5" i="4"/>
  <c r="B5" i="4"/>
  <c r="BJ4" i="4"/>
  <c r="BH4" i="4"/>
  <c r="AY4" i="4"/>
  <c r="AT4" i="4"/>
  <c r="AS4" i="4"/>
  <c r="AR4" i="4"/>
  <c r="AQ4" i="4"/>
  <c r="AP4" i="4"/>
  <c r="BI4" i="4" s="1"/>
  <c r="AO4" i="4"/>
  <c r="AN4" i="4"/>
  <c r="AM4" i="4"/>
  <c r="AL4" i="4"/>
  <c r="AK4" i="4"/>
  <c r="AJ4" i="4"/>
  <c r="AI4" i="4"/>
  <c r="BG4" i="4" s="1"/>
  <c r="AH4" i="4"/>
  <c r="AG4" i="4"/>
  <c r="AF4" i="4"/>
  <c r="AE4" i="4"/>
  <c r="AD4" i="4"/>
  <c r="AC4" i="4"/>
  <c r="AB4" i="4"/>
  <c r="AA4" i="4"/>
  <c r="Z4" i="4"/>
  <c r="Y4" i="4"/>
  <c r="X4" i="4"/>
  <c r="W4" i="4"/>
  <c r="BC4" i="4" s="1"/>
  <c r="V4" i="4"/>
  <c r="BB4" i="4" s="1"/>
  <c r="U4" i="4"/>
  <c r="T4" i="4"/>
  <c r="S4" i="4"/>
  <c r="R4" i="4"/>
  <c r="BA4" i="4" s="1"/>
  <c r="Q4" i="4"/>
  <c r="P4" i="4"/>
  <c r="O4" i="4"/>
  <c r="N4" i="4"/>
  <c r="AZ4" i="4" s="1"/>
  <c r="M4" i="4"/>
  <c r="L4" i="4"/>
  <c r="K4" i="4"/>
  <c r="J4" i="4"/>
  <c r="I4" i="4"/>
  <c r="H4" i="4"/>
  <c r="G4" i="4"/>
  <c r="F4" i="4"/>
  <c r="E4" i="4"/>
  <c r="D4" i="4"/>
  <c r="C4" i="4"/>
  <c r="B4" i="4"/>
  <c r="AV4" i="4" s="1"/>
  <c r="BH3" i="4"/>
  <c r="BG3" i="4"/>
  <c r="AW3" i="4"/>
  <c r="AT3" i="4"/>
  <c r="AS3" i="4"/>
  <c r="AR3" i="4"/>
  <c r="AQ3" i="4"/>
  <c r="AQ75" i="4" s="1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AZ3" i="4" s="1"/>
  <c r="O3" i="4"/>
  <c r="N3" i="4"/>
  <c r="M3" i="4"/>
  <c r="L3" i="4"/>
  <c r="K3" i="4"/>
  <c r="J3" i="4"/>
  <c r="I3" i="4"/>
  <c r="H3" i="4"/>
  <c r="AX3" i="4" s="1"/>
  <c r="G3" i="4"/>
  <c r="F3" i="4"/>
  <c r="E3" i="4"/>
  <c r="D3" i="4"/>
  <c r="C3" i="4"/>
  <c r="AV3" i="4" s="1"/>
  <c r="B3" i="4"/>
  <c r="I698" i="2"/>
  <c r="I697" i="2"/>
  <c r="I696" i="2"/>
  <c r="I695" i="2"/>
  <c r="I694" i="2"/>
  <c r="I693" i="2"/>
  <c r="I692" i="2"/>
  <c r="I691" i="2"/>
  <c r="I690" i="2"/>
  <c r="I688" i="2"/>
  <c r="I687" i="2"/>
  <c r="I685" i="2"/>
  <c r="I684" i="2"/>
  <c r="I683" i="2"/>
  <c r="I682" i="2"/>
  <c r="I681" i="2"/>
  <c r="I680" i="2"/>
  <c r="I679" i="2"/>
  <c r="E677" i="2" s="1" a="1"/>
  <c r="I678" i="2"/>
  <c r="I677" i="2"/>
  <c r="I675" i="2"/>
  <c r="I674" i="2"/>
  <c r="I671" i="2"/>
  <c r="I670" i="2"/>
  <c r="I669" i="2"/>
  <c r="I668" i="2"/>
  <c r="I667" i="2"/>
  <c r="I666" i="2"/>
  <c r="I665" i="2"/>
  <c r="I664" i="2"/>
  <c r="B663" i="2" s="1" a="1"/>
  <c r="I663" i="2"/>
  <c r="C663" i="2" a="1"/>
  <c r="I661" i="2"/>
  <c r="I660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3" i="2"/>
  <c r="I642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5" i="2"/>
  <c r="I624" i="2"/>
  <c r="I620" i="2"/>
  <c r="I619" i="2"/>
  <c r="I618" i="2"/>
  <c r="I617" i="2"/>
  <c r="I616" i="2"/>
  <c r="E611" i="2" s="1" a="1"/>
  <c r="I615" i="2"/>
  <c r="I614" i="2"/>
  <c r="I613" i="2"/>
  <c r="I612" i="2"/>
  <c r="I611" i="2"/>
  <c r="B611" i="2" s="1" a="1"/>
  <c r="B613" i="2" s="1"/>
  <c r="E614" i="2"/>
  <c r="G614" i="2" s="1"/>
  <c r="C613" i="2"/>
  <c r="C611" i="2" a="1"/>
  <c r="B615" i="2"/>
  <c r="B614" i="2"/>
  <c r="I609" i="2"/>
  <c r="I608" i="2"/>
  <c r="I606" i="2"/>
  <c r="I605" i="2"/>
  <c r="I604" i="2"/>
  <c r="I603" i="2"/>
  <c r="I602" i="2"/>
  <c r="I601" i="2"/>
  <c r="I600" i="2"/>
  <c r="I599" i="2"/>
  <c r="I598" i="2"/>
  <c r="I596" i="2"/>
  <c r="I595" i="2"/>
  <c r="I593" i="2"/>
  <c r="I592" i="2"/>
  <c r="I591" i="2"/>
  <c r="B587" i="2" s="1" a="1"/>
  <c r="I590" i="2"/>
  <c r="I589" i="2"/>
  <c r="I588" i="2"/>
  <c r="I587" i="2"/>
  <c r="E587" i="2" a="1"/>
  <c r="B593" i="2"/>
  <c r="B588" i="2"/>
  <c r="B587" i="2"/>
  <c r="I585" i="2"/>
  <c r="I584" i="2"/>
  <c r="I582" i="2"/>
  <c r="I581" i="2"/>
  <c r="I580" i="2"/>
  <c r="I579" i="2"/>
  <c r="I578" i="2"/>
  <c r="I577" i="2"/>
  <c r="I576" i="2"/>
  <c r="I575" i="2"/>
  <c r="I574" i="2"/>
  <c r="I572" i="2"/>
  <c r="I571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3" i="2"/>
  <c r="I552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6" i="2"/>
  <c r="I535" i="2"/>
  <c r="I533" i="2"/>
  <c r="I532" i="2"/>
  <c r="I531" i="2"/>
  <c r="I530" i="2"/>
  <c r="I529" i="2"/>
  <c r="I528" i="2"/>
  <c r="I527" i="2"/>
  <c r="I526" i="2"/>
  <c r="I525" i="2"/>
  <c r="E522" i="2" s="1" a="1"/>
  <c r="I524" i="2"/>
  <c r="I523" i="2"/>
  <c r="I522" i="2"/>
  <c r="C522" i="2" s="1" a="1"/>
  <c r="E525" i="2"/>
  <c r="G525" i="2" s="1"/>
  <c r="I520" i="2"/>
  <c r="I519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499" i="2"/>
  <c r="I498" i="2"/>
  <c r="I496" i="2"/>
  <c r="I495" i="2"/>
  <c r="I494" i="2"/>
  <c r="I493" i="2"/>
  <c r="I492" i="2"/>
  <c r="I491" i="2"/>
  <c r="I490" i="2"/>
  <c r="I489" i="2"/>
  <c r="I488" i="2"/>
  <c r="I487" i="2"/>
  <c r="I485" i="2"/>
  <c r="I484" i="2"/>
  <c r="I480" i="2"/>
  <c r="I479" i="2"/>
  <c r="I478" i="2"/>
  <c r="I477" i="2"/>
  <c r="I476" i="2"/>
  <c r="I475" i="2"/>
  <c r="I474" i="2"/>
  <c r="I473" i="2"/>
  <c r="I472" i="2"/>
  <c r="I471" i="2"/>
  <c r="I469" i="2"/>
  <c r="I468" i="2"/>
  <c r="I466" i="2"/>
  <c r="I465" i="2"/>
  <c r="I464" i="2"/>
  <c r="I463" i="2"/>
  <c r="I462" i="2"/>
  <c r="I461" i="2"/>
  <c r="I460" i="2"/>
  <c r="I459" i="2"/>
  <c r="I458" i="2"/>
  <c r="I457" i="2"/>
  <c r="B454" i="2" s="1" a="1"/>
  <c r="I456" i="2"/>
  <c r="I455" i="2"/>
  <c r="I454" i="2"/>
  <c r="I452" i="2"/>
  <c r="I451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8" i="2"/>
  <c r="I427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C413" i="2" a="1"/>
  <c r="I411" i="2"/>
  <c r="I410" i="2"/>
  <c r="I408" i="2"/>
  <c r="I407" i="2"/>
  <c r="I406" i="2"/>
  <c r="I405" i="2"/>
  <c r="I404" i="2"/>
  <c r="I403" i="2"/>
  <c r="I402" i="2"/>
  <c r="I401" i="2"/>
  <c r="I400" i="2"/>
  <c r="I399" i="2"/>
  <c r="E398" i="2" s="1" a="1"/>
  <c r="E406" i="2" s="1"/>
  <c r="G406" i="2" s="1"/>
  <c r="I398" i="2"/>
  <c r="E403" i="2"/>
  <c r="G403" i="2" s="1"/>
  <c r="B402" i="2"/>
  <c r="B400" i="2"/>
  <c r="B398" i="2" a="1"/>
  <c r="B406" i="2" s="1"/>
  <c r="I396" i="2"/>
  <c r="I395" i="2"/>
  <c r="I393" i="2"/>
  <c r="I392" i="2"/>
  <c r="I391" i="2"/>
  <c r="I390" i="2"/>
  <c r="I389" i="2"/>
  <c r="I388" i="2"/>
  <c r="I387" i="2"/>
  <c r="I386" i="2"/>
  <c r="I385" i="2"/>
  <c r="E382" i="2" s="1" a="1"/>
  <c r="I384" i="2"/>
  <c r="I383" i="2"/>
  <c r="I382" i="2"/>
  <c r="I380" i="2"/>
  <c r="I379" i="2"/>
  <c r="I377" i="2"/>
  <c r="I376" i="2"/>
  <c r="I375" i="2"/>
  <c r="I374" i="2"/>
  <c r="I373" i="2"/>
  <c r="I372" i="2"/>
  <c r="I371" i="2"/>
  <c r="E370" i="2" s="1" a="1"/>
  <c r="I370" i="2"/>
  <c r="C373" i="2"/>
  <c r="C371" i="2"/>
  <c r="C370" i="2" a="1"/>
  <c r="C376" i="2" s="1"/>
  <c r="B373" i="2"/>
  <c r="B371" i="2"/>
  <c r="B370" i="2" a="1"/>
  <c r="I368" i="2"/>
  <c r="I367" i="2"/>
  <c r="I365" i="2"/>
  <c r="I364" i="2"/>
  <c r="I363" i="2"/>
  <c r="I362" i="2"/>
  <c r="I361" i="2"/>
  <c r="I360" i="2"/>
  <c r="I359" i="2"/>
  <c r="I358" i="2"/>
  <c r="I357" i="2"/>
  <c r="C357" i="2" s="1" a="1"/>
  <c r="C365" i="2" s="1"/>
  <c r="E362" i="2"/>
  <c r="G362" i="2" s="1"/>
  <c r="E357" i="2" a="1"/>
  <c r="C364" i="2"/>
  <c r="C363" i="2"/>
  <c r="C362" i="2"/>
  <c r="C359" i="2"/>
  <c r="C358" i="2"/>
  <c r="B365" i="2"/>
  <c r="B364" i="2"/>
  <c r="B363" i="2"/>
  <c r="B358" i="2"/>
  <c r="B357" i="2" a="1"/>
  <c r="B359" i="2" s="1"/>
  <c r="B357" i="2"/>
  <c r="I355" i="2"/>
  <c r="I354" i="2"/>
  <c r="I350" i="2"/>
  <c r="I349" i="2"/>
  <c r="I348" i="2"/>
  <c r="I347" i="2"/>
  <c r="I346" i="2"/>
  <c r="I345" i="2"/>
  <c r="I344" i="2"/>
  <c r="I343" i="2"/>
  <c r="I342" i="2"/>
  <c r="I340" i="2"/>
  <c r="I339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4" i="2"/>
  <c r="I313" i="2"/>
  <c r="I311" i="2"/>
  <c r="I310" i="2"/>
  <c r="I309" i="2"/>
  <c r="B303" i="2" s="1" a="1"/>
  <c r="I308" i="2"/>
  <c r="I307" i="2"/>
  <c r="I306" i="2"/>
  <c r="I305" i="2"/>
  <c r="I304" i="2"/>
  <c r="I303" i="2"/>
  <c r="B306" i="2"/>
  <c r="I301" i="2"/>
  <c r="I300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B287" i="2" s="1" a="1"/>
  <c r="B296" i="2" s="1"/>
  <c r="I285" i="2"/>
  <c r="I284" i="2"/>
  <c r="I282" i="2"/>
  <c r="I281" i="2"/>
  <c r="I280" i="2"/>
  <c r="I279" i="2"/>
  <c r="I278" i="2"/>
  <c r="I277" i="2"/>
  <c r="I276" i="2"/>
  <c r="I275" i="2"/>
  <c r="I274" i="2"/>
  <c r="I273" i="2"/>
  <c r="I271" i="2"/>
  <c r="I270" i="2"/>
  <c r="I268" i="2"/>
  <c r="I267" i="2"/>
  <c r="I266" i="2"/>
  <c r="I265" i="2"/>
  <c r="I264" i="2"/>
  <c r="I263" i="2"/>
  <c r="I262" i="2"/>
  <c r="I261" i="2"/>
  <c r="C259" i="2" s="1" a="1"/>
  <c r="I260" i="2"/>
  <c r="I259" i="2"/>
  <c r="I257" i="2"/>
  <c r="I256" i="2"/>
  <c r="I254" i="2"/>
  <c r="I253" i="2"/>
  <c r="I252" i="2"/>
  <c r="I251" i="2"/>
  <c r="I250" i="2"/>
  <c r="I249" i="2"/>
  <c r="I248" i="2"/>
  <c r="I247" i="2"/>
  <c r="I246" i="2"/>
  <c r="I245" i="2"/>
  <c r="I244" i="2"/>
  <c r="I242" i="2"/>
  <c r="I241" i="2"/>
  <c r="I239" i="2"/>
  <c r="I238" i="2"/>
  <c r="I237" i="2"/>
  <c r="I236" i="2"/>
  <c r="I235" i="2"/>
  <c r="I234" i="2"/>
  <c r="I233" i="2"/>
  <c r="I232" i="2"/>
  <c r="I231" i="2"/>
  <c r="I230" i="2"/>
  <c r="I229" i="2"/>
  <c r="E225" i="2" s="1" a="1"/>
  <c r="I228" i="2"/>
  <c r="I227" i="2"/>
  <c r="I226" i="2"/>
  <c r="I225" i="2"/>
  <c r="E228" i="2"/>
  <c r="G228" i="2" s="1"/>
  <c r="I223" i="2"/>
  <c r="I222" i="2"/>
  <c r="I221" i="2"/>
  <c r="I220" i="2"/>
  <c r="I219" i="2"/>
  <c r="I218" i="2"/>
  <c r="E213" i="2" s="1" a="1"/>
  <c r="I217" i="2"/>
  <c r="I216" i="2"/>
  <c r="I215" i="2"/>
  <c r="I214" i="2"/>
  <c r="I213" i="2"/>
  <c r="I211" i="2"/>
  <c r="I210" i="2"/>
  <c r="I209" i="2"/>
  <c r="I208" i="2"/>
  <c r="I207" i="2"/>
  <c r="I206" i="2"/>
  <c r="I205" i="2"/>
  <c r="C202" i="2" s="1" a="1"/>
  <c r="I204" i="2"/>
  <c r="I203" i="2"/>
  <c r="I202" i="2"/>
  <c r="B202" i="2" s="1" a="1"/>
  <c r="E202" i="2" a="1"/>
  <c r="C202" i="2"/>
  <c r="I200" i="2"/>
  <c r="I199" i="2"/>
  <c r="I197" i="2"/>
  <c r="I196" i="2"/>
  <c r="I195" i="2"/>
  <c r="I194" i="2"/>
  <c r="I193" i="2"/>
  <c r="I192" i="2"/>
  <c r="I191" i="2"/>
  <c r="I190" i="2"/>
  <c r="I189" i="2"/>
  <c r="I188" i="2"/>
  <c r="I187" i="2"/>
  <c r="E185" i="2" s="1" a="1"/>
  <c r="E187" i="2" s="1"/>
  <c r="G187" i="2" s="1"/>
  <c r="I186" i="2"/>
  <c r="I185" i="2"/>
  <c r="E196" i="2"/>
  <c r="G196" i="2" s="1"/>
  <c r="E194" i="2"/>
  <c r="G194" i="2" s="1"/>
  <c r="E188" i="2"/>
  <c r="G188" i="2" s="1"/>
  <c r="E186" i="2"/>
  <c r="G186" i="2" s="1"/>
  <c r="B185" i="2" a="1"/>
  <c r="I183" i="2"/>
  <c r="I182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B169" i="2" s="1" a="1"/>
  <c r="I167" i="2"/>
  <c r="I166" i="2"/>
  <c r="I164" i="2"/>
  <c r="I163" i="2"/>
  <c r="I162" i="2"/>
  <c r="I161" i="2"/>
  <c r="I160" i="2"/>
  <c r="I159" i="2"/>
  <c r="I158" i="2"/>
  <c r="I157" i="2"/>
  <c r="I156" i="2"/>
  <c r="I154" i="2"/>
  <c r="I153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7" i="2"/>
  <c r="I136" i="2"/>
  <c r="I134" i="2"/>
  <c r="I133" i="2"/>
  <c r="I132" i="2"/>
  <c r="I131" i="2"/>
  <c r="I130" i="2"/>
  <c r="I129" i="2"/>
  <c r="I128" i="2"/>
  <c r="I127" i="2"/>
  <c r="I125" i="2"/>
  <c r="I124" i="2"/>
  <c r="I122" i="2"/>
  <c r="I121" i="2"/>
  <c r="I120" i="2"/>
  <c r="I119" i="2"/>
  <c r="I118" i="2"/>
  <c r="I117" i="2"/>
  <c r="I116" i="2"/>
  <c r="I115" i="2"/>
  <c r="I114" i="2"/>
  <c r="I113" i="2"/>
  <c r="I112" i="2"/>
  <c r="I110" i="2"/>
  <c r="I109" i="2"/>
  <c r="I107" i="2"/>
  <c r="I106" i="2"/>
  <c r="I105" i="2"/>
  <c r="I104" i="2"/>
  <c r="I103" i="2"/>
  <c r="I102" i="2"/>
  <c r="I101" i="2"/>
  <c r="I100" i="2"/>
  <c r="I99" i="2"/>
  <c r="E99" i="2" a="1"/>
  <c r="I97" i="2"/>
  <c r="I96" i="2"/>
  <c r="I94" i="2"/>
  <c r="I93" i="2"/>
  <c r="I92" i="2"/>
  <c r="I91" i="2"/>
  <c r="I90" i="2"/>
  <c r="I89" i="2"/>
  <c r="I88" i="2"/>
  <c r="I87" i="2"/>
  <c r="I86" i="2"/>
  <c r="I85" i="2"/>
  <c r="E94" i="2"/>
  <c r="G94" i="2" s="1"/>
  <c r="E91" i="2"/>
  <c r="G91" i="2" s="1"/>
  <c r="E85" i="2" a="1"/>
  <c r="B94" i="2"/>
  <c r="B92" i="2"/>
  <c r="B85" i="2" a="1"/>
  <c r="B85" i="2" s="1"/>
  <c r="I83" i="2"/>
  <c r="I82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B67" i="2" a="1"/>
  <c r="I65" i="2"/>
  <c r="I64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5" i="2"/>
  <c r="I44" i="2"/>
  <c r="I41" i="2"/>
  <c r="I40" i="2"/>
  <c r="I39" i="2"/>
  <c r="I38" i="2"/>
  <c r="C34" i="2" s="1" a="1"/>
  <c r="I37" i="2"/>
  <c r="I36" i="2"/>
  <c r="I35" i="2"/>
  <c r="I34" i="2"/>
  <c r="C37" i="2"/>
  <c r="I32" i="2"/>
  <c r="I31" i="2"/>
  <c r="I28" i="2"/>
  <c r="I27" i="2"/>
  <c r="I26" i="2"/>
  <c r="I25" i="2"/>
  <c r="I24" i="2"/>
  <c r="I23" i="2"/>
  <c r="C15" i="2" s="1" a="1"/>
  <c r="C26" i="2" s="1"/>
  <c r="I22" i="2"/>
  <c r="I21" i="2"/>
  <c r="I20" i="2"/>
  <c r="I19" i="2"/>
  <c r="I18" i="2"/>
  <c r="I17" i="2"/>
  <c r="I16" i="2"/>
  <c r="I15" i="2"/>
  <c r="I13" i="2"/>
  <c r="I12" i="2"/>
  <c r="I9" i="2"/>
  <c r="I8" i="2"/>
  <c r="I7" i="2"/>
  <c r="I6" i="2"/>
  <c r="I5" i="2"/>
  <c r="I4" i="2"/>
  <c r="C4" i="2" a="1"/>
  <c r="I2" i="2"/>
  <c r="I1" i="2"/>
  <c r="I710" i="1"/>
  <c r="I709" i="1"/>
  <c r="I708" i="1"/>
  <c r="I707" i="1"/>
  <c r="I706" i="1"/>
  <c r="C701" i="1" s="1" a="1"/>
  <c r="I705" i="1"/>
  <c r="I704" i="1"/>
  <c r="I703" i="1"/>
  <c r="I702" i="1"/>
  <c r="I701" i="1"/>
  <c r="I696" i="1"/>
  <c r="I695" i="1"/>
  <c r="I694" i="1"/>
  <c r="C688" i="1" s="1" a="1"/>
  <c r="I693" i="1"/>
  <c r="I692" i="1"/>
  <c r="I691" i="1"/>
  <c r="I690" i="1"/>
  <c r="I689" i="1"/>
  <c r="I688" i="1"/>
  <c r="I682" i="1"/>
  <c r="I681" i="1"/>
  <c r="I680" i="1"/>
  <c r="I679" i="1"/>
  <c r="I678" i="1"/>
  <c r="I677" i="1"/>
  <c r="I676" i="1"/>
  <c r="I675" i="1"/>
  <c r="I674" i="1"/>
  <c r="I665" i="1"/>
  <c r="I664" i="1"/>
  <c r="I663" i="1"/>
  <c r="I662" i="1"/>
  <c r="I661" i="1"/>
  <c r="I660" i="1"/>
  <c r="I659" i="1"/>
  <c r="I658" i="1"/>
  <c r="I657" i="1"/>
  <c r="B652" i="1" s="1" a="1"/>
  <c r="I656" i="1"/>
  <c r="I655" i="1"/>
  <c r="I654" i="1"/>
  <c r="E652" i="1" s="1" a="1"/>
  <c r="I653" i="1"/>
  <c r="I652" i="1"/>
  <c r="B655" i="1"/>
  <c r="I646" i="1"/>
  <c r="I645" i="1"/>
  <c r="I644" i="1"/>
  <c r="I643" i="1"/>
  <c r="I642" i="1"/>
  <c r="I641" i="1"/>
  <c r="I640" i="1"/>
  <c r="I639" i="1"/>
  <c r="I638" i="1"/>
  <c r="I637" i="1"/>
  <c r="I636" i="1"/>
  <c r="I629" i="1"/>
  <c r="I628" i="1"/>
  <c r="I627" i="1"/>
  <c r="I626" i="1"/>
  <c r="I625" i="1"/>
  <c r="I624" i="1"/>
  <c r="I623" i="1"/>
  <c r="I622" i="1"/>
  <c r="I621" i="1"/>
  <c r="I620" i="1"/>
  <c r="I619" i="1"/>
  <c r="I614" i="1"/>
  <c r="I613" i="1"/>
  <c r="I612" i="1"/>
  <c r="I611" i="1"/>
  <c r="I610" i="1"/>
  <c r="I609" i="1"/>
  <c r="I608" i="1"/>
  <c r="I607" i="1"/>
  <c r="I602" i="1"/>
  <c r="I601" i="1"/>
  <c r="I600" i="1"/>
  <c r="I599" i="1"/>
  <c r="I598" i="1"/>
  <c r="I597" i="1"/>
  <c r="I596" i="1"/>
  <c r="I595" i="1"/>
  <c r="I590" i="1"/>
  <c r="I589" i="1"/>
  <c r="I588" i="1"/>
  <c r="I587" i="1"/>
  <c r="I586" i="1"/>
  <c r="I585" i="1"/>
  <c r="I584" i="1"/>
  <c r="I583" i="1"/>
  <c r="I582" i="1"/>
  <c r="E582" i="1" a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B562" i="1" a="1"/>
  <c r="I557" i="1"/>
  <c r="I556" i="1"/>
  <c r="I555" i="1"/>
  <c r="I554" i="1"/>
  <c r="I553" i="1"/>
  <c r="I552" i="1"/>
  <c r="I551" i="1"/>
  <c r="I550" i="1"/>
  <c r="I549" i="1"/>
  <c r="I548" i="1"/>
  <c r="I547" i="1"/>
  <c r="C545" i="1" s="1" a="1"/>
  <c r="I546" i="1"/>
  <c r="I545" i="1"/>
  <c r="C554" i="1"/>
  <c r="C550" i="1"/>
  <c r="C549" i="1"/>
  <c r="C545" i="1"/>
  <c r="I540" i="1"/>
  <c r="I539" i="1"/>
  <c r="I538" i="1"/>
  <c r="I537" i="1"/>
  <c r="I536" i="1"/>
  <c r="I535" i="1"/>
  <c r="I534" i="1"/>
  <c r="I533" i="1"/>
  <c r="I532" i="1"/>
  <c r="I531" i="1"/>
  <c r="I530" i="1"/>
  <c r="C529" i="1" s="1" a="1"/>
  <c r="I529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1" i="1"/>
  <c r="I500" i="1"/>
  <c r="I499" i="1"/>
  <c r="I498" i="1"/>
  <c r="I497" i="1"/>
  <c r="I496" i="1"/>
  <c r="I495" i="1"/>
  <c r="I494" i="1"/>
  <c r="I493" i="1"/>
  <c r="E492" i="1" s="1" a="1"/>
  <c r="E493" i="1" s="1"/>
  <c r="G493" i="1" s="1"/>
  <c r="I492" i="1"/>
  <c r="I485" i="1"/>
  <c r="I484" i="1"/>
  <c r="I483" i="1"/>
  <c r="I482" i="1"/>
  <c r="I481" i="1"/>
  <c r="I480" i="1"/>
  <c r="I479" i="1"/>
  <c r="I478" i="1"/>
  <c r="I477" i="1"/>
  <c r="I476" i="1"/>
  <c r="C476" i="1" s="1" a="1"/>
  <c r="C476" i="1" s="1"/>
  <c r="E484" i="1"/>
  <c r="G484" i="1" s="1"/>
  <c r="E480" i="1"/>
  <c r="G480" i="1" s="1"/>
  <c r="E479" i="1"/>
  <c r="G479" i="1" s="1"/>
  <c r="E476" i="1" a="1"/>
  <c r="E476" i="1" s="1"/>
  <c r="G476" i="1" s="1"/>
  <c r="C485" i="1"/>
  <c r="C481" i="1"/>
  <c r="C479" i="1"/>
  <c r="C477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B458" i="1" s="1" a="1"/>
  <c r="B458" i="1" s="1"/>
  <c r="I458" i="1"/>
  <c r="B470" i="1"/>
  <c r="B468" i="1"/>
  <c r="B465" i="1"/>
  <c r="B461" i="1"/>
  <c r="B460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C433" i="1" s="1" a="1"/>
  <c r="I435" i="1"/>
  <c r="I434" i="1"/>
  <c r="I433" i="1"/>
  <c r="C446" i="1"/>
  <c r="C445" i="1"/>
  <c r="C438" i="1"/>
  <c r="I428" i="1"/>
  <c r="I427" i="1"/>
  <c r="I426" i="1"/>
  <c r="I425" i="1"/>
  <c r="I424" i="1"/>
  <c r="I423" i="1"/>
  <c r="I422" i="1"/>
  <c r="I421" i="1"/>
  <c r="I420" i="1"/>
  <c r="I419" i="1"/>
  <c r="I418" i="1"/>
  <c r="E415" i="1" s="1" a="1"/>
  <c r="I417" i="1"/>
  <c r="I416" i="1"/>
  <c r="I415" i="1"/>
  <c r="E427" i="1"/>
  <c r="G427" i="1" s="1"/>
  <c r="B415" i="1" a="1"/>
  <c r="I410" i="1"/>
  <c r="I409" i="1"/>
  <c r="I408" i="1"/>
  <c r="I407" i="1"/>
  <c r="I406" i="1"/>
  <c r="I405" i="1"/>
  <c r="E402" i="1" s="1" a="1"/>
  <c r="I404" i="1"/>
  <c r="I403" i="1"/>
  <c r="I402" i="1"/>
  <c r="C402" i="1" s="1" a="1"/>
  <c r="C409" i="1"/>
  <c r="C407" i="1"/>
  <c r="C402" i="1"/>
  <c r="I397" i="1"/>
  <c r="I396" i="1"/>
  <c r="I395" i="1"/>
  <c r="I394" i="1"/>
  <c r="I393" i="1"/>
  <c r="I392" i="1"/>
  <c r="I391" i="1"/>
  <c r="I390" i="1"/>
  <c r="I389" i="1"/>
  <c r="I388" i="1"/>
  <c r="I387" i="1"/>
  <c r="I382" i="1"/>
  <c r="I381" i="1"/>
  <c r="I380" i="1"/>
  <c r="I379" i="1"/>
  <c r="B373" i="1" s="1" a="1"/>
  <c r="I378" i="1"/>
  <c r="I377" i="1"/>
  <c r="I376" i="1"/>
  <c r="I375" i="1"/>
  <c r="I374" i="1"/>
  <c r="I373" i="1"/>
  <c r="I368" i="1"/>
  <c r="I367" i="1"/>
  <c r="I366" i="1"/>
  <c r="I365" i="1"/>
  <c r="I364" i="1"/>
  <c r="C361" i="1" s="1" a="1"/>
  <c r="I363" i="1"/>
  <c r="I362" i="1"/>
  <c r="I361" i="1"/>
  <c r="I354" i="1"/>
  <c r="I353" i="1"/>
  <c r="I352" i="1"/>
  <c r="I351" i="1"/>
  <c r="I350" i="1"/>
  <c r="I349" i="1"/>
  <c r="I348" i="1"/>
  <c r="I347" i="1"/>
  <c r="I346" i="1"/>
  <c r="I345" i="1"/>
  <c r="I344" i="1"/>
  <c r="C344" i="1" s="1" a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E317" i="1" s="1" a="1"/>
  <c r="I312" i="1"/>
  <c r="I311" i="1"/>
  <c r="I310" i="1"/>
  <c r="I309" i="1"/>
  <c r="I308" i="1"/>
  <c r="I307" i="1"/>
  <c r="I306" i="1"/>
  <c r="I305" i="1"/>
  <c r="I304" i="1"/>
  <c r="I303" i="1"/>
  <c r="I302" i="1"/>
  <c r="I301" i="1"/>
  <c r="E301" i="1" a="1"/>
  <c r="E306" i="1" s="1"/>
  <c r="G306" i="1" s="1"/>
  <c r="I296" i="1"/>
  <c r="I295" i="1"/>
  <c r="I294" i="1"/>
  <c r="I293" i="1"/>
  <c r="I292" i="1"/>
  <c r="I291" i="1"/>
  <c r="I290" i="1"/>
  <c r="I289" i="1"/>
  <c r="E286" i="1" s="1" a="1"/>
  <c r="I288" i="1"/>
  <c r="I287" i="1"/>
  <c r="I286" i="1"/>
  <c r="I281" i="1"/>
  <c r="I280" i="1"/>
  <c r="I279" i="1"/>
  <c r="I278" i="1"/>
  <c r="I277" i="1"/>
  <c r="I276" i="1"/>
  <c r="I275" i="1"/>
  <c r="I274" i="1"/>
  <c r="I273" i="1"/>
  <c r="I272" i="1"/>
  <c r="I267" i="1"/>
  <c r="I266" i="1"/>
  <c r="I265" i="1"/>
  <c r="I264" i="1"/>
  <c r="I263" i="1"/>
  <c r="I262" i="1"/>
  <c r="I261" i="1"/>
  <c r="I260" i="1"/>
  <c r="I259" i="1"/>
  <c r="I258" i="1"/>
  <c r="I257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C240" i="1" a="1"/>
  <c r="I235" i="1"/>
  <c r="I234" i="1"/>
  <c r="I233" i="1"/>
  <c r="I232" i="1"/>
  <c r="I231" i="1"/>
  <c r="I230" i="1"/>
  <c r="I229" i="1"/>
  <c r="I228" i="1"/>
  <c r="I227" i="1"/>
  <c r="I226" i="1"/>
  <c r="C225" i="1" s="1" a="1"/>
  <c r="I225" i="1"/>
  <c r="I221" i="1"/>
  <c r="I220" i="1"/>
  <c r="I219" i="1"/>
  <c r="I218" i="1"/>
  <c r="I217" i="1"/>
  <c r="I216" i="1"/>
  <c r="I215" i="1"/>
  <c r="I214" i="1"/>
  <c r="I213" i="1"/>
  <c r="B213" i="1" a="1"/>
  <c r="I209" i="1"/>
  <c r="I208" i="1"/>
  <c r="I207" i="1"/>
  <c r="I206" i="1"/>
  <c r="I205" i="1"/>
  <c r="I204" i="1"/>
  <c r="I203" i="1"/>
  <c r="I202" i="1"/>
  <c r="B202" i="1" a="1"/>
  <c r="B203" i="1" s="1"/>
  <c r="I197" i="1"/>
  <c r="I196" i="1"/>
  <c r="I195" i="1"/>
  <c r="I194" i="1"/>
  <c r="I193" i="1"/>
  <c r="I192" i="1"/>
  <c r="I191" i="1"/>
  <c r="I190" i="1"/>
  <c r="B186" i="1" s="1" a="1"/>
  <c r="I189" i="1"/>
  <c r="I188" i="1"/>
  <c r="I187" i="1"/>
  <c r="I186" i="1"/>
  <c r="I181" i="1"/>
  <c r="I180" i="1"/>
  <c r="I179" i="1"/>
  <c r="I178" i="1"/>
  <c r="I177" i="1"/>
  <c r="I176" i="1"/>
  <c r="I175" i="1"/>
  <c r="I174" i="1"/>
  <c r="I173" i="1"/>
  <c r="I172" i="1"/>
  <c r="I171" i="1"/>
  <c r="B170" i="1" s="1" a="1"/>
  <c r="I170" i="1"/>
  <c r="I165" i="1"/>
  <c r="I164" i="1"/>
  <c r="I163" i="1"/>
  <c r="I162" i="1"/>
  <c r="I161" i="1"/>
  <c r="I160" i="1"/>
  <c r="I159" i="1"/>
  <c r="I158" i="1"/>
  <c r="I157" i="1"/>
  <c r="I152" i="1"/>
  <c r="I151" i="1"/>
  <c r="I150" i="1"/>
  <c r="I149" i="1"/>
  <c r="I148" i="1"/>
  <c r="I147" i="1"/>
  <c r="I146" i="1"/>
  <c r="I145" i="1"/>
  <c r="I144" i="1"/>
  <c r="I143" i="1"/>
  <c r="I142" i="1"/>
  <c r="B141" i="1" s="1" a="1"/>
  <c r="I141" i="1"/>
  <c r="C141" i="1" a="1"/>
  <c r="C152" i="1" s="1"/>
  <c r="I136" i="1"/>
  <c r="I135" i="1"/>
  <c r="I134" i="1"/>
  <c r="I133" i="1"/>
  <c r="I132" i="1"/>
  <c r="I131" i="1"/>
  <c r="I130" i="1"/>
  <c r="I129" i="1"/>
  <c r="I124" i="1"/>
  <c r="I123" i="1"/>
  <c r="I122" i="1"/>
  <c r="I121" i="1"/>
  <c r="I120" i="1"/>
  <c r="I119" i="1"/>
  <c r="I118" i="1"/>
  <c r="I117" i="1"/>
  <c r="I116" i="1"/>
  <c r="I115" i="1"/>
  <c r="I114" i="1"/>
  <c r="E114" i="1" a="1"/>
  <c r="I109" i="1"/>
  <c r="I108" i="1"/>
  <c r="B101" i="1" s="1" a="1"/>
  <c r="I107" i="1"/>
  <c r="I106" i="1"/>
  <c r="I105" i="1"/>
  <c r="I104" i="1"/>
  <c r="I103" i="1"/>
  <c r="I102" i="1"/>
  <c r="I101" i="1"/>
  <c r="I96" i="1"/>
  <c r="I95" i="1"/>
  <c r="I94" i="1"/>
  <c r="I93" i="1"/>
  <c r="I92" i="1"/>
  <c r="I91" i="1"/>
  <c r="I90" i="1"/>
  <c r="I89" i="1"/>
  <c r="I88" i="1"/>
  <c r="I87" i="1"/>
  <c r="I82" i="1"/>
  <c r="I81" i="1"/>
  <c r="I80" i="1"/>
  <c r="I79" i="1"/>
  <c r="I78" i="1"/>
  <c r="I77" i="1"/>
  <c r="E70" i="1" s="1" a="1"/>
  <c r="I76" i="1"/>
  <c r="I75" i="1"/>
  <c r="I74" i="1"/>
  <c r="I73" i="1"/>
  <c r="I72" i="1"/>
  <c r="I71" i="1"/>
  <c r="I70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B48" i="1" s="1" a="1"/>
  <c r="I51" i="1"/>
  <c r="I50" i="1"/>
  <c r="I49" i="1"/>
  <c r="I48" i="1"/>
  <c r="I42" i="1"/>
  <c r="I41" i="1"/>
  <c r="I40" i="1"/>
  <c r="I39" i="1"/>
  <c r="I38" i="1"/>
  <c r="I37" i="1"/>
  <c r="I36" i="1"/>
  <c r="I35" i="1"/>
  <c r="I34" i="1"/>
  <c r="E39" i="1"/>
  <c r="G39" i="1" s="1"/>
  <c r="E37" i="1"/>
  <c r="G37" i="1" s="1"/>
  <c r="E34" i="1" a="1"/>
  <c r="I28" i="1"/>
  <c r="I27" i="1"/>
  <c r="I26" i="1"/>
  <c r="I25" i="1"/>
  <c r="I24" i="1"/>
  <c r="I23" i="1"/>
  <c r="I22" i="1"/>
  <c r="I21" i="1"/>
  <c r="E16" i="1" s="1" a="1"/>
  <c r="I20" i="1"/>
  <c r="I19" i="1"/>
  <c r="I18" i="1"/>
  <c r="I17" i="1"/>
  <c r="I16" i="1"/>
  <c r="I10" i="1"/>
  <c r="I9" i="1"/>
  <c r="I8" i="1"/>
  <c r="I7" i="1"/>
  <c r="I6" i="1"/>
  <c r="I5" i="1"/>
  <c r="I4" i="1"/>
  <c r="I698" i="3"/>
  <c r="I697" i="3"/>
  <c r="I696" i="3"/>
  <c r="I695" i="3"/>
  <c r="I694" i="3"/>
  <c r="B690" i="3" s="1" a="1"/>
  <c r="I693" i="3"/>
  <c r="I692" i="3"/>
  <c r="I691" i="3"/>
  <c r="C690" i="3" s="1" a="1"/>
  <c r="I690" i="3"/>
  <c r="I688" i="3"/>
  <c r="I687" i="3"/>
  <c r="I685" i="3"/>
  <c r="I684" i="3"/>
  <c r="I683" i="3"/>
  <c r="I682" i="3"/>
  <c r="I681" i="3"/>
  <c r="I680" i="3"/>
  <c r="C677" i="3" s="1" a="1"/>
  <c r="I679" i="3"/>
  <c r="I678" i="3"/>
  <c r="I677" i="3"/>
  <c r="I675" i="3"/>
  <c r="I674" i="3"/>
  <c r="I671" i="3"/>
  <c r="I670" i="3"/>
  <c r="I669" i="3"/>
  <c r="I668" i="3"/>
  <c r="I667" i="3"/>
  <c r="E663" i="3" s="1" a="1"/>
  <c r="I666" i="3"/>
  <c r="I665" i="3"/>
  <c r="I664" i="3"/>
  <c r="I663" i="3"/>
  <c r="C663" i="3" a="1"/>
  <c r="C671" i="3" s="1"/>
  <c r="B669" i="3"/>
  <c r="B663" i="3" a="1"/>
  <c r="I661" i="3"/>
  <c r="I660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3" i="3"/>
  <c r="I642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B627" i="3" s="1" a="1"/>
  <c r="E627" i="3" a="1"/>
  <c r="I625" i="3"/>
  <c r="I624" i="3"/>
  <c r="I620" i="3"/>
  <c r="I619" i="3"/>
  <c r="I618" i="3"/>
  <c r="I617" i="3"/>
  <c r="I616" i="3"/>
  <c r="I615" i="3"/>
  <c r="I614" i="3"/>
  <c r="I613" i="3"/>
  <c r="I612" i="3"/>
  <c r="E611" i="3" s="1" a="1"/>
  <c r="I611" i="3"/>
  <c r="I609" i="3"/>
  <c r="I608" i="3"/>
  <c r="I606" i="3"/>
  <c r="I605" i="3"/>
  <c r="I604" i="3"/>
  <c r="I603" i="3"/>
  <c r="I602" i="3"/>
  <c r="I601" i="3"/>
  <c r="I600" i="3"/>
  <c r="I599" i="3"/>
  <c r="B598" i="3" s="1" a="1"/>
  <c r="I598" i="3"/>
  <c r="I596" i="3"/>
  <c r="I595" i="3"/>
  <c r="I593" i="3"/>
  <c r="I592" i="3"/>
  <c r="I591" i="3"/>
  <c r="I590" i="3"/>
  <c r="I589" i="3"/>
  <c r="I588" i="3"/>
  <c r="C587" i="3" s="1" a="1"/>
  <c r="I587" i="3"/>
  <c r="E587" i="3" s="1" a="1"/>
  <c r="I585" i="3"/>
  <c r="I584" i="3"/>
  <c r="I582" i="3"/>
  <c r="I581" i="3"/>
  <c r="I580" i="3"/>
  <c r="I579" i="3"/>
  <c r="I578" i="3"/>
  <c r="I577" i="3"/>
  <c r="I576" i="3"/>
  <c r="I575" i="3"/>
  <c r="I574" i="3"/>
  <c r="E574" i="3" a="1"/>
  <c r="E575" i="3" s="1"/>
  <c r="G575" i="3" s="1"/>
  <c r="I572" i="3"/>
  <c r="I571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B555" i="3" s="1" a="1"/>
  <c r="I556" i="3"/>
  <c r="I555" i="3"/>
  <c r="C555" i="3" s="1" a="1"/>
  <c r="I553" i="3"/>
  <c r="I552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C550" i="3"/>
  <c r="C547" i="3"/>
  <c r="C545" i="3"/>
  <c r="C538" i="3" a="1"/>
  <c r="C538" i="3"/>
  <c r="I536" i="3"/>
  <c r="I535" i="3"/>
  <c r="I533" i="3"/>
  <c r="I532" i="3"/>
  <c r="I531" i="3"/>
  <c r="I530" i="3"/>
  <c r="I529" i="3"/>
  <c r="I528" i="3"/>
  <c r="I527" i="3"/>
  <c r="I526" i="3"/>
  <c r="I525" i="3"/>
  <c r="I524" i="3"/>
  <c r="C522" i="3" s="1" a="1"/>
  <c r="I523" i="3"/>
  <c r="I522" i="3"/>
  <c r="I520" i="3"/>
  <c r="I519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E501" i="3" s="1" a="1"/>
  <c r="I503" i="3"/>
  <c r="I502" i="3"/>
  <c r="B501" i="3" s="1" a="1"/>
  <c r="I501" i="3"/>
  <c r="I499" i="3"/>
  <c r="I498" i="3"/>
  <c r="I496" i="3"/>
  <c r="I495" i="3"/>
  <c r="I494" i="3"/>
  <c r="I493" i="3"/>
  <c r="I492" i="3"/>
  <c r="I491" i="3"/>
  <c r="I490" i="3"/>
  <c r="I489" i="3"/>
  <c r="I488" i="3"/>
  <c r="C487" i="3" s="1" a="1"/>
  <c r="I487" i="3"/>
  <c r="I485" i="3"/>
  <c r="I484" i="3"/>
  <c r="I480" i="3"/>
  <c r="I479" i="3"/>
  <c r="C471" i="3" s="1" a="1"/>
  <c r="I478" i="3"/>
  <c r="I477" i="3"/>
  <c r="I476" i="3"/>
  <c r="I475" i="3"/>
  <c r="E471" i="3" s="1" a="1"/>
  <c r="I474" i="3"/>
  <c r="I473" i="3"/>
  <c r="I472" i="3"/>
  <c r="I471" i="3"/>
  <c r="I469" i="3"/>
  <c r="I468" i="3"/>
  <c r="I466" i="3"/>
  <c r="I465" i="3"/>
  <c r="I464" i="3"/>
  <c r="I463" i="3"/>
  <c r="I462" i="3"/>
  <c r="I461" i="3"/>
  <c r="I460" i="3"/>
  <c r="I459" i="3"/>
  <c r="I458" i="3"/>
  <c r="C454" i="3" s="1" a="1"/>
  <c r="I457" i="3"/>
  <c r="I456" i="3"/>
  <c r="I455" i="3"/>
  <c r="I454" i="3"/>
  <c r="B454" i="3" a="1"/>
  <c r="I452" i="3"/>
  <c r="I451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E430" i="3" s="1" a="1"/>
  <c r="I430" i="3"/>
  <c r="I428" i="3"/>
  <c r="I427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1" i="3"/>
  <c r="I410" i="3"/>
  <c r="I408" i="3"/>
  <c r="I407" i="3"/>
  <c r="I406" i="3"/>
  <c r="I405" i="3"/>
  <c r="I404" i="3"/>
  <c r="I403" i="3"/>
  <c r="I402" i="3"/>
  <c r="I401" i="3"/>
  <c r="I400" i="3"/>
  <c r="I399" i="3"/>
  <c r="I398" i="3"/>
  <c r="C398" i="3" s="1" a="1"/>
  <c r="I396" i="3"/>
  <c r="I395" i="3"/>
  <c r="I393" i="3"/>
  <c r="I392" i="3"/>
  <c r="I391" i="3"/>
  <c r="I390" i="3"/>
  <c r="I389" i="3"/>
  <c r="B382" i="3" s="1" a="1"/>
  <c r="I388" i="3"/>
  <c r="I387" i="3"/>
  <c r="I386" i="3"/>
  <c r="I385" i="3"/>
  <c r="I384" i="3"/>
  <c r="I383" i="3"/>
  <c r="I382" i="3"/>
  <c r="C386" i="3"/>
  <c r="C385" i="3"/>
  <c r="C382" i="3" a="1"/>
  <c r="C391" i="3" s="1"/>
  <c r="I380" i="3"/>
  <c r="I379" i="3"/>
  <c r="I377" i="3"/>
  <c r="I376" i="3"/>
  <c r="I375" i="3"/>
  <c r="I374" i="3"/>
  <c r="I373" i="3"/>
  <c r="I372" i="3"/>
  <c r="C370" i="3" s="1" a="1"/>
  <c r="I371" i="3"/>
  <c r="I370" i="3"/>
  <c r="I368" i="3"/>
  <c r="I367" i="3"/>
  <c r="I365" i="3"/>
  <c r="I364" i="3"/>
  <c r="I363" i="3"/>
  <c r="I362" i="3"/>
  <c r="I361" i="3"/>
  <c r="I360" i="3"/>
  <c r="I359" i="3"/>
  <c r="C357" i="3" s="1" a="1"/>
  <c r="I358" i="3"/>
  <c r="I357" i="3"/>
  <c r="I355" i="3"/>
  <c r="I354" i="3"/>
  <c r="I350" i="3"/>
  <c r="I349" i="3"/>
  <c r="I348" i="3"/>
  <c r="I347" i="3"/>
  <c r="I346" i="3"/>
  <c r="I345" i="3"/>
  <c r="I344" i="3"/>
  <c r="I343" i="3"/>
  <c r="C342" i="3" s="1" a="1"/>
  <c r="I342" i="3"/>
  <c r="I340" i="3"/>
  <c r="I339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4" i="3"/>
  <c r="I313" i="3"/>
  <c r="I311" i="3"/>
  <c r="I310" i="3"/>
  <c r="I309" i="3"/>
  <c r="I308" i="3"/>
  <c r="I307" i="3"/>
  <c r="B303" i="3" s="1" a="1"/>
  <c r="I306" i="3"/>
  <c r="I305" i="3"/>
  <c r="I304" i="3"/>
  <c r="I303" i="3"/>
  <c r="E307" i="3"/>
  <c r="G307" i="3" s="1"/>
  <c r="E306" i="3"/>
  <c r="G306" i="3" s="1"/>
  <c r="E303" i="3" a="1"/>
  <c r="E303" i="3" s="1"/>
  <c r="B304" i="3"/>
  <c r="I301" i="3"/>
  <c r="I300" i="3"/>
  <c r="I298" i="3"/>
  <c r="I297" i="3"/>
  <c r="I296" i="3"/>
  <c r="I295" i="3"/>
  <c r="I294" i="3"/>
  <c r="I293" i="3"/>
  <c r="I292" i="3"/>
  <c r="B287" i="3" s="1" a="1"/>
  <c r="B296" i="3" s="1"/>
  <c r="I291" i="3"/>
  <c r="I290" i="3"/>
  <c r="I289" i="3"/>
  <c r="I288" i="3"/>
  <c r="E287" i="3" s="1" a="1"/>
  <c r="I287" i="3"/>
  <c r="I285" i="3"/>
  <c r="I284" i="3"/>
  <c r="I282" i="3"/>
  <c r="I281" i="3"/>
  <c r="I280" i="3"/>
  <c r="I279" i="3"/>
  <c r="I278" i="3"/>
  <c r="I277" i="3"/>
  <c r="I276" i="3"/>
  <c r="I275" i="3"/>
  <c r="I274" i="3"/>
  <c r="I273" i="3"/>
  <c r="B273" i="3" s="1" a="1"/>
  <c r="B276" i="3" s="1"/>
  <c r="I271" i="3"/>
  <c r="I270" i="3"/>
  <c r="I268" i="3"/>
  <c r="I267" i="3"/>
  <c r="B259" i="3" s="1" a="1"/>
  <c r="I266" i="3"/>
  <c r="I265" i="3"/>
  <c r="I264" i="3"/>
  <c r="I263" i="3"/>
  <c r="I262" i="3"/>
  <c r="I261" i="3"/>
  <c r="I260" i="3"/>
  <c r="E259" i="3" s="1" a="1"/>
  <c r="I259" i="3"/>
  <c r="E267" i="3"/>
  <c r="G267" i="3" s="1"/>
  <c r="I257" i="3"/>
  <c r="I256" i="3"/>
  <c r="I254" i="3"/>
  <c r="I253" i="3"/>
  <c r="I252" i="3"/>
  <c r="I251" i="3"/>
  <c r="B244" i="3" s="1" a="1"/>
  <c r="I250" i="3"/>
  <c r="I249" i="3"/>
  <c r="I248" i="3"/>
  <c r="I247" i="3"/>
  <c r="I246" i="3"/>
  <c r="I245" i="3"/>
  <c r="I244" i="3"/>
  <c r="I242" i="3"/>
  <c r="I241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E225" i="3" a="1"/>
  <c r="C225" i="3" a="1"/>
  <c r="B225" i="3" a="1"/>
  <c r="I223" i="3"/>
  <c r="I222" i="3"/>
  <c r="I221" i="3"/>
  <c r="I220" i="3"/>
  <c r="I219" i="3"/>
  <c r="I218" i="3"/>
  <c r="I217" i="3"/>
  <c r="I216" i="3"/>
  <c r="I215" i="3"/>
  <c r="B213" i="3" s="1" a="1"/>
  <c r="B213" i="3" s="1"/>
  <c r="I214" i="3"/>
  <c r="I213" i="3"/>
  <c r="I211" i="3"/>
  <c r="I210" i="3"/>
  <c r="I209" i="3"/>
  <c r="I208" i="3"/>
  <c r="I207" i="3"/>
  <c r="I206" i="3"/>
  <c r="I205" i="3"/>
  <c r="I204" i="3"/>
  <c r="I203" i="3"/>
  <c r="E202" i="3" s="1" a="1"/>
  <c r="I202" i="3"/>
  <c r="I200" i="3"/>
  <c r="I199" i="3"/>
  <c r="I197" i="3"/>
  <c r="I196" i="3"/>
  <c r="I195" i="3"/>
  <c r="I194" i="3"/>
  <c r="I193" i="3"/>
  <c r="I192" i="3"/>
  <c r="I191" i="3"/>
  <c r="I190" i="3"/>
  <c r="I189" i="3"/>
  <c r="I188" i="3"/>
  <c r="B185" i="3" s="1" a="1"/>
  <c r="I187" i="3"/>
  <c r="I186" i="3"/>
  <c r="I185" i="3"/>
  <c r="I183" i="3"/>
  <c r="I182" i="3"/>
  <c r="I180" i="3"/>
  <c r="I179" i="3"/>
  <c r="I178" i="3"/>
  <c r="I177" i="3"/>
  <c r="I176" i="3"/>
  <c r="I175" i="3"/>
  <c r="I174" i="3"/>
  <c r="I173" i="3"/>
  <c r="I172" i="3"/>
  <c r="I171" i="3"/>
  <c r="B169" i="3" s="1" a="1"/>
  <c r="I170" i="3"/>
  <c r="I169" i="3"/>
  <c r="C169" i="3" s="1" a="1"/>
  <c r="C174" i="3" s="1"/>
  <c r="E169" i="3" a="1"/>
  <c r="I167" i="3"/>
  <c r="I166" i="3"/>
  <c r="I164" i="3"/>
  <c r="I163" i="3"/>
  <c r="I162" i="3"/>
  <c r="I161" i="3"/>
  <c r="I160" i="3"/>
  <c r="I159" i="3"/>
  <c r="I158" i="3"/>
  <c r="I157" i="3"/>
  <c r="I156" i="3"/>
  <c r="E156" i="3" s="1" a="1"/>
  <c r="E157" i="3" s="1"/>
  <c r="I154" i="3"/>
  <c r="I153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E139" i="3" s="1" a="1"/>
  <c r="I139" i="3"/>
  <c r="B139" i="3" s="1" a="1"/>
  <c r="B151" i="3" s="1"/>
  <c r="I137" i="3"/>
  <c r="I136" i="3"/>
  <c r="I134" i="3"/>
  <c r="I133" i="3"/>
  <c r="I132" i="3"/>
  <c r="I131" i="3"/>
  <c r="I130" i="3"/>
  <c r="I129" i="3"/>
  <c r="I128" i="3"/>
  <c r="I127" i="3"/>
  <c r="E126" i="3" s="1" a="1"/>
  <c r="E129" i="3" s="1"/>
  <c r="G129" i="3" s="1"/>
  <c r="I126" i="3"/>
  <c r="C126" i="3" s="1" a="1"/>
  <c r="C131" i="3"/>
  <c r="B133" i="3"/>
  <c r="B126" i="3" a="1"/>
  <c r="B132" i="3" s="1"/>
  <c r="B126" i="3"/>
  <c r="I124" i="3"/>
  <c r="I123" i="3"/>
  <c r="I121" i="3"/>
  <c r="I120" i="3"/>
  <c r="I119" i="3"/>
  <c r="I118" i="3"/>
  <c r="I117" i="3"/>
  <c r="I116" i="3"/>
  <c r="I115" i="3"/>
  <c r="C111" i="3" s="1" a="1"/>
  <c r="I114" i="3"/>
  <c r="I113" i="3"/>
  <c r="I112" i="3"/>
  <c r="I111" i="3"/>
  <c r="I109" i="3"/>
  <c r="I108" i="3"/>
  <c r="I106" i="3"/>
  <c r="I105" i="3"/>
  <c r="I104" i="3"/>
  <c r="I103" i="3"/>
  <c r="I102" i="3"/>
  <c r="I101" i="3"/>
  <c r="I100" i="3"/>
  <c r="I99" i="3"/>
  <c r="E98" i="3" s="1" a="1"/>
  <c r="I98" i="3"/>
  <c r="C98" i="3" s="1" a="1"/>
  <c r="E101" i="3"/>
  <c r="G101" i="3" s="1"/>
  <c r="C103" i="3"/>
  <c r="B105" i="3"/>
  <c r="B98" i="3" a="1"/>
  <c r="B104" i="3" s="1"/>
  <c r="B98" i="3"/>
  <c r="I96" i="3"/>
  <c r="I95" i="3"/>
  <c r="I93" i="3"/>
  <c r="I92" i="3"/>
  <c r="I91" i="3"/>
  <c r="I90" i="3"/>
  <c r="I89" i="3"/>
  <c r="I88" i="3"/>
  <c r="I87" i="3"/>
  <c r="I86" i="3"/>
  <c r="I85" i="3"/>
  <c r="I84" i="3"/>
  <c r="I82" i="3"/>
  <c r="I81" i="3"/>
  <c r="I79" i="3"/>
  <c r="I78" i="3"/>
  <c r="I77" i="3"/>
  <c r="I76" i="3"/>
  <c r="I75" i="3"/>
  <c r="I74" i="3"/>
  <c r="I73" i="3"/>
  <c r="I72" i="3"/>
  <c r="I71" i="3"/>
  <c r="I70" i="3"/>
  <c r="I69" i="3"/>
  <c r="C66" i="3" s="1" a="1"/>
  <c r="I68" i="3"/>
  <c r="I67" i="3"/>
  <c r="I66" i="3"/>
  <c r="E66" i="3" s="1" a="1"/>
  <c r="E79" i="3" s="1"/>
  <c r="G79" i="3" s="1"/>
  <c r="C78" i="3"/>
  <c r="C70" i="3"/>
  <c r="I64" i="3"/>
  <c r="I63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B47" i="3" s="1" a="1"/>
  <c r="I47" i="3"/>
  <c r="C47" i="3" a="1"/>
  <c r="B54" i="3"/>
  <c r="B47" i="3"/>
  <c r="I45" i="3"/>
  <c r="I44" i="3"/>
  <c r="I41" i="3"/>
  <c r="I40" i="3"/>
  <c r="I39" i="3"/>
  <c r="I38" i="3"/>
  <c r="I37" i="3"/>
  <c r="I36" i="3"/>
  <c r="I35" i="3"/>
  <c r="I34" i="3"/>
  <c r="I32" i="3"/>
  <c r="I31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3" i="3"/>
  <c r="I12" i="3"/>
  <c r="I9" i="3"/>
  <c r="I8" i="3"/>
  <c r="I7" i="3"/>
  <c r="I6" i="3"/>
  <c r="I5" i="3"/>
  <c r="I4" i="3"/>
  <c r="I2" i="3"/>
  <c r="I1" i="3"/>
  <c r="E146" i="3" l="1"/>
  <c r="G146" i="3" s="1"/>
  <c r="E139" i="3"/>
  <c r="G139" i="3" s="1"/>
  <c r="E145" i="3"/>
  <c r="G145" i="3" s="1"/>
  <c r="E144" i="3"/>
  <c r="G144" i="3" s="1"/>
  <c r="E151" i="3"/>
  <c r="G151" i="3" s="1"/>
  <c r="E143" i="3"/>
  <c r="G143" i="3" s="1"/>
  <c r="E150" i="3"/>
  <c r="G150" i="3" s="1"/>
  <c r="E142" i="3"/>
  <c r="G142" i="3" s="1"/>
  <c r="E149" i="3"/>
  <c r="G149" i="3" s="1"/>
  <c r="E148" i="3"/>
  <c r="G148" i="3" s="1"/>
  <c r="E140" i="3"/>
  <c r="G140" i="3" s="1"/>
  <c r="E141" i="3"/>
  <c r="E147" i="3"/>
  <c r="G147" i="3" s="1"/>
  <c r="B253" i="3"/>
  <c r="B245" i="3"/>
  <c r="B252" i="3"/>
  <c r="B244" i="3"/>
  <c r="B251" i="3"/>
  <c r="B250" i="3"/>
  <c r="B249" i="3"/>
  <c r="B248" i="3"/>
  <c r="B247" i="3"/>
  <c r="B246" i="3"/>
  <c r="B254" i="3"/>
  <c r="C118" i="3"/>
  <c r="C111" i="3"/>
  <c r="C116" i="3"/>
  <c r="C117" i="3"/>
  <c r="C115" i="3"/>
  <c r="C114" i="3"/>
  <c r="C121" i="3"/>
  <c r="C113" i="3"/>
  <c r="C120" i="3"/>
  <c r="C112" i="3"/>
  <c r="C119" i="3"/>
  <c r="B192" i="3"/>
  <c r="B185" i="3"/>
  <c r="B191" i="3"/>
  <c r="B190" i="3"/>
  <c r="B197" i="3"/>
  <c r="B189" i="3"/>
  <c r="B196" i="3"/>
  <c r="B188" i="3"/>
  <c r="B194" i="3"/>
  <c r="B186" i="3"/>
  <c r="B195" i="3"/>
  <c r="B187" i="3"/>
  <c r="B193" i="3"/>
  <c r="G157" i="3"/>
  <c r="B636" i="3"/>
  <c r="B628" i="3"/>
  <c r="B639" i="3"/>
  <c r="B630" i="3"/>
  <c r="B635" i="3"/>
  <c r="B627" i="3"/>
  <c r="B634" i="3"/>
  <c r="B638" i="3"/>
  <c r="B637" i="3"/>
  <c r="B633" i="3"/>
  <c r="B632" i="3"/>
  <c r="B631" i="3"/>
  <c r="B629" i="3"/>
  <c r="C460" i="3"/>
  <c r="C465" i="3"/>
  <c r="C457" i="3"/>
  <c r="C461" i="3"/>
  <c r="C459" i="3"/>
  <c r="C458" i="3"/>
  <c r="C456" i="3"/>
  <c r="C466" i="3"/>
  <c r="C455" i="3"/>
  <c r="C463" i="3"/>
  <c r="C454" i="3"/>
  <c r="C462" i="3"/>
  <c r="C464" i="3"/>
  <c r="E478" i="3"/>
  <c r="G478" i="3" s="1"/>
  <c r="E471" i="3"/>
  <c r="E475" i="3"/>
  <c r="G475" i="3" s="1"/>
  <c r="E479" i="3"/>
  <c r="G479" i="3" s="1"/>
  <c r="E477" i="3"/>
  <c r="G477" i="3" s="1"/>
  <c r="E476" i="3"/>
  <c r="G476" i="3" s="1"/>
  <c r="E474" i="3"/>
  <c r="G474" i="3" s="1"/>
  <c r="E473" i="3"/>
  <c r="G473" i="3" s="1"/>
  <c r="E480" i="3"/>
  <c r="G480" i="3" s="1"/>
  <c r="E472" i="3"/>
  <c r="G472" i="3" s="1"/>
  <c r="B602" i="3"/>
  <c r="B604" i="3"/>
  <c r="B600" i="3"/>
  <c r="B599" i="3"/>
  <c r="B603" i="3"/>
  <c r="B601" i="3"/>
  <c r="B598" i="3"/>
  <c r="B606" i="3"/>
  <c r="B605" i="3"/>
  <c r="C54" i="3"/>
  <c r="C47" i="3"/>
  <c r="C53" i="3"/>
  <c r="C60" i="3"/>
  <c r="C52" i="3"/>
  <c r="C59" i="3"/>
  <c r="C51" i="3"/>
  <c r="C58" i="3"/>
  <c r="C50" i="3"/>
  <c r="C57" i="3"/>
  <c r="C49" i="3"/>
  <c r="C56" i="3"/>
  <c r="C48" i="3"/>
  <c r="E71" i="3"/>
  <c r="G71" i="3" s="1"/>
  <c r="B232" i="3"/>
  <c r="B225" i="3"/>
  <c r="B239" i="3"/>
  <c r="B231" i="3"/>
  <c r="B238" i="3"/>
  <c r="B230" i="3"/>
  <c r="B237" i="3"/>
  <c r="B229" i="3"/>
  <c r="B236" i="3"/>
  <c r="B228" i="3"/>
  <c r="B235" i="3"/>
  <c r="B227" i="3"/>
  <c r="B234" i="3"/>
  <c r="B226" i="3"/>
  <c r="E268" i="3"/>
  <c r="G268" i="3" s="1"/>
  <c r="E260" i="3"/>
  <c r="G260" i="3" s="1"/>
  <c r="E265" i="3"/>
  <c r="G265" i="3" s="1"/>
  <c r="E266" i="3"/>
  <c r="G266" i="3" s="1"/>
  <c r="E264" i="3"/>
  <c r="G264" i="3" s="1"/>
  <c r="E263" i="3"/>
  <c r="G263" i="3" s="1"/>
  <c r="E262" i="3"/>
  <c r="G262" i="3" s="1"/>
  <c r="E261" i="3"/>
  <c r="G261" i="3" s="1"/>
  <c r="E259" i="3"/>
  <c r="E292" i="3"/>
  <c r="G292" i="3" s="1"/>
  <c r="E297" i="3"/>
  <c r="G297" i="3" s="1"/>
  <c r="E289" i="3"/>
  <c r="G289" i="3" s="1"/>
  <c r="E290" i="3"/>
  <c r="G290" i="3" s="1"/>
  <c r="E288" i="3"/>
  <c r="G288" i="3" s="1"/>
  <c r="E298" i="3"/>
  <c r="G298" i="3" s="1"/>
  <c r="E296" i="3"/>
  <c r="G296" i="3" s="1"/>
  <c r="E287" i="3"/>
  <c r="E295" i="3"/>
  <c r="G295" i="3" s="1"/>
  <c r="E294" i="3"/>
  <c r="G294" i="3" s="1"/>
  <c r="E293" i="3"/>
  <c r="G293" i="3" s="1"/>
  <c r="G303" i="3"/>
  <c r="C489" i="3"/>
  <c r="C494" i="3"/>
  <c r="C487" i="3"/>
  <c r="C488" i="3"/>
  <c r="C496" i="3"/>
  <c r="C495" i="3"/>
  <c r="C493" i="3"/>
  <c r="C492" i="3"/>
  <c r="C491" i="3"/>
  <c r="C490" i="3"/>
  <c r="C527" i="3"/>
  <c r="C532" i="3"/>
  <c r="C524" i="3"/>
  <c r="C525" i="3"/>
  <c r="C523" i="3"/>
  <c r="C533" i="3"/>
  <c r="C531" i="3"/>
  <c r="C522" i="3"/>
  <c r="C530" i="3"/>
  <c r="C529" i="3"/>
  <c r="C528" i="3"/>
  <c r="C526" i="3"/>
  <c r="C564" i="3"/>
  <c r="C556" i="3"/>
  <c r="C566" i="3"/>
  <c r="C557" i="3"/>
  <c r="C562" i="3"/>
  <c r="C561" i="3"/>
  <c r="C559" i="3"/>
  <c r="C558" i="3"/>
  <c r="C569" i="3"/>
  <c r="C568" i="3"/>
  <c r="C555" i="3"/>
  <c r="C567" i="3"/>
  <c r="C565" i="3"/>
  <c r="C563" i="3"/>
  <c r="C560" i="3"/>
  <c r="C536" i="1"/>
  <c r="C529" i="1"/>
  <c r="C540" i="1"/>
  <c r="C532" i="1"/>
  <c r="C533" i="1"/>
  <c r="C531" i="1"/>
  <c r="C530" i="1"/>
  <c r="C538" i="1"/>
  <c r="C537" i="1"/>
  <c r="C539" i="1"/>
  <c r="C535" i="1"/>
  <c r="C534" i="1"/>
  <c r="B178" i="3"/>
  <c r="B170" i="3"/>
  <c r="B177" i="3"/>
  <c r="B176" i="3"/>
  <c r="B169" i="3"/>
  <c r="B175" i="3"/>
  <c r="B174" i="3"/>
  <c r="B180" i="3"/>
  <c r="B172" i="3"/>
  <c r="B173" i="3"/>
  <c r="E444" i="3"/>
  <c r="G444" i="3" s="1"/>
  <c r="E436" i="3"/>
  <c r="G436" i="3" s="1"/>
  <c r="E441" i="3"/>
  <c r="G441" i="3" s="1"/>
  <c r="E433" i="3"/>
  <c r="G433" i="3" s="1"/>
  <c r="E440" i="3"/>
  <c r="G440" i="3" s="1"/>
  <c r="E439" i="3"/>
  <c r="G439" i="3" s="1"/>
  <c r="E430" i="3"/>
  <c r="G430" i="3" s="1"/>
  <c r="E438" i="3"/>
  <c r="G438" i="3" s="1"/>
  <c r="E447" i="3"/>
  <c r="G447" i="3" s="1"/>
  <c r="E437" i="3"/>
  <c r="E446" i="3"/>
  <c r="G446" i="3" s="1"/>
  <c r="E435" i="3"/>
  <c r="G435" i="3" s="1"/>
  <c r="E443" i="3"/>
  <c r="G443" i="3" s="1"/>
  <c r="E432" i="3"/>
  <c r="G432" i="3" s="1"/>
  <c r="E445" i="3"/>
  <c r="G445" i="3" s="1"/>
  <c r="E434" i="3"/>
  <c r="G434" i="3" s="1"/>
  <c r="E442" i="3"/>
  <c r="G442" i="3" s="1"/>
  <c r="E431" i="3"/>
  <c r="G431" i="3" s="1"/>
  <c r="C102" i="3"/>
  <c r="C101" i="3"/>
  <c r="C100" i="3"/>
  <c r="C99" i="3"/>
  <c r="C106" i="3"/>
  <c r="C105" i="3"/>
  <c r="C98" i="3"/>
  <c r="C104" i="3"/>
  <c r="B179" i="3"/>
  <c r="E244" i="3" a="1"/>
  <c r="B266" i="3"/>
  <c r="B259" i="3"/>
  <c r="B263" i="3"/>
  <c r="B267" i="3"/>
  <c r="B265" i="3"/>
  <c r="B264" i="3"/>
  <c r="B262" i="3"/>
  <c r="B261" i="3"/>
  <c r="B260" i="3"/>
  <c r="C273" i="3" a="1"/>
  <c r="E273" i="3" a="1"/>
  <c r="B308" i="3"/>
  <c r="B305" i="3"/>
  <c r="B303" i="3"/>
  <c r="B311" i="3"/>
  <c r="B310" i="3"/>
  <c r="B309" i="3"/>
  <c r="B307" i="3"/>
  <c r="B306" i="3"/>
  <c r="B15" i="3" a="1"/>
  <c r="C55" i="3"/>
  <c r="C84" i="3" a="1"/>
  <c r="B233" i="3"/>
  <c r="B316" i="3" a="1"/>
  <c r="E316" i="3" a="1"/>
  <c r="C377" i="3"/>
  <c r="C370" i="3"/>
  <c r="C374" i="3"/>
  <c r="C371" i="3"/>
  <c r="C376" i="3"/>
  <c r="C375" i="3"/>
  <c r="C373" i="3"/>
  <c r="C372" i="3"/>
  <c r="B695" i="3"/>
  <c r="B697" i="3"/>
  <c r="B693" i="3"/>
  <c r="B692" i="3"/>
  <c r="B694" i="3"/>
  <c r="B691" i="3"/>
  <c r="B696" i="3"/>
  <c r="B690" i="3"/>
  <c r="B698" i="3"/>
  <c r="B196" i="1"/>
  <c r="B188" i="1"/>
  <c r="B191" i="1"/>
  <c r="B189" i="1"/>
  <c r="B187" i="1"/>
  <c r="B195" i="1"/>
  <c r="B186" i="1"/>
  <c r="B194" i="1"/>
  <c r="B193" i="1"/>
  <c r="B192" i="1"/>
  <c r="B197" i="1"/>
  <c r="B190" i="1"/>
  <c r="C358" i="3"/>
  <c r="C363" i="3"/>
  <c r="C359" i="3"/>
  <c r="C357" i="3"/>
  <c r="C365" i="3"/>
  <c r="C364" i="3"/>
  <c r="C362" i="3"/>
  <c r="C361" i="3"/>
  <c r="C360" i="3"/>
  <c r="C693" i="3"/>
  <c r="C696" i="3"/>
  <c r="C692" i="3"/>
  <c r="C691" i="3"/>
  <c r="C698" i="3"/>
  <c r="C697" i="3"/>
  <c r="C695" i="3"/>
  <c r="C694" i="3"/>
  <c r="C690" i="3"/>
  <c r="B219" i="3"/>
  <c r="B218" i="3"/>
  <c r="B217" i="3"/>
  <c r="B216" i="3"/>
  <c r="B215" i="3"/>
  <c r="B214" i="3"/>
  <c r="B84" i="3" a="1"/>
  <c r="E164" i="3"/>
  <c r="G164" i="3" s="1"/>
  <c r="E163" i="3"/>
  <c r="G163" i="3" s="1"/>
  <c r="E156" i="3"/>
  <c r="G156" i="3" s="1"/>
  <c r="E162" i="3"/>
  <c r="G162" i="3" s="1"/>
  <c r="E161" i="3"/>
  <c r="G161" i="3" s="1"/>
  <c r="E160" i="3"/>
  <c r="G160" i="3" s="1"/>
  <c r="E158" i="3"/>
  <c r="G158" i="3" s="1"/>
  <c r="E159" i="3"/>
  <c r="G159" i="3" s="1"/>
  <c r="C232" i="3"/>
  <c r="C225" i="3"/>
  <c r="C239" i="3"/>
  <c r="C231" i="3"/>
  <c r="C238" i="3"/>
  <c r="C230" i="3"/>
  <c r="C237" i="3"/>
  <c r="C229" i="3"/>
  <c r="C236" i="3"/>
  <c r="C228" i="3"/>
  <c r="C235" i="3"/>
  <c r="C227" i="3"/>
  <c r="C234" i="3"/>
  <c r="C226" i="3"/>
  <c r="C402" i="3"/>
  <c r="C407" i="3"/>
  <c r="C399" i="3"/>
  <c r="C404" i="3"/>
  <c r="C403" i="3"/>
  <c r="C405" i="3"/>
  <c r="C401" i="3"/>
  <c r="C400" i="3"/>
  <c r="C408" i="3"/>
  <c r="C398" i="3"/>
  <c r="C406" i="3"/>
  <c r="B564" i="3"/>
  <c r="B556" i="3"/>
  <c r="B563" i="3"/>
  <c r="B555" i="3"/>
  <c r="B569" i="3"/>
  <c r="B560" i="3"/>
  <c r="B568" i="3"/>
  <c r="B559" i="3"/>
  <c r="B561" i="3"/>
  <c r="B558" i="3"/>
  <c r="B562" i="3"/>
  <c r="B557" i="3"/>
  <c r="B567" i="3"/>
  <c r="B566" i="3"/>
  <c r="B565" i="3"/>
  <c r="E25" i="1"/>
  <c r="G25" i="1" s="1"/>
  <c r="E17" i="1"/>
  <c r="G17" i="1" s="1"/>
  <c r="E28" i="1"/>
  <c r="G28" i="1" s="1"/>
  <c r="E20" i="1"/>
  <c r="G20" i="1" s="1"/>
  <c r="E19" i="1"/>
  <c r="G19" i="1" s="1"/>
  <c r="E26" i="1"/>
  <c r="G26" i="1" s="1"/>
  <c r="E16" i="1"/>
  <c r="G16" i="1" s="1"/>
  <c r="E24" i="1"/>
  <c r="G24" i="1" s="1"/>
  <c r="E23" i="1"/>
  <c r="G23" i="1" s="1"/>
  <c r="E18" i="1"/>
  <c r="G18" i="1" s="1"/>
  <c r="E27" i="1"/>
  <c r="G27" i="1" s="1"/>
  <c r="E21" i="1"/>
  <c r="E22" i="1"/>
  <c r="G22" i="1" s="1"/>
  <c r="B63" i="1"/>
  <c r="B55" i="1"/>
  <c r="B48" i="1"/>
  <c r="B58" i="1"/>
  <c r="B50" i="1"/>
  <c r="B61" i="1"/>
  <c r="B51" i="1"/>
  <c r="B57" i="1"/>
  <c r="B56" i="1"/>
  <c r="B54" i="1"/>
  <c r="B49" i="1"/>
  <c r="B52" i="1"/>
  <c r="B64" i="1"/>
  <c r="B62" i="1"/>
  <c r="B60" i="1"/>
  <c r="B53" i="1"/>
  <c r="B59" i="1"/>
  <c r="B376" i="1"/>
  <c r="B382" i="1"/>
  <c r="B374" i="1"/>
  <c r="B380" i="1"/>
  <c r="B373" i="1"/>
  <c r="B379" i="1"/>
  <c r="B377" i="1"/>
  <c r="B375" i="1"/>
  <c r="B378" i="1"/>
  <c r="B381" i="1"/>
  <c r="E510" i="3"/>
  <c r="G510" i="3" s="1"/>
  <c r="E502" i="3"/>
  <c r="G502" i="3" s="1"/>
  <c r="E515" i="3"/>
  <c r="G515" i="3" s="1"/>
  <c r="E507" i="3"/>
  <c r="G507" i="3" s="1"/>
  <c r="E513" i="3"/>
  <c r="G513" i="3" s="1"/>
  <c r="E503" i="3"/>
  <c r="G503" i="3" s="1"/>
  <c r="E512" i="3"/>
  <c r="G512" i="3" s="1"/>
  <c r="E514" i="3"/>
  <c r="G514" i="3" s="1"/>
  <c r="E504" i="3"/>
  <c r="G504" i="3" s="1"/>
  <c r="E511" i="3"/>
  <c r="G511" i="3" s="1"/>
  <c r="E501" i="3"/>
  <c r="E509" i="3"/>
  <c r="G509" i="3" s="1"/>
  <c r="E508" i="3"/>
  <c r="G508" i="3" s="1"/>
  <c r="E517" i="3"/>
  <c r="G517" i="3" s="1"/>
  <c r="E506" i="3"/>
  <c r="G506" i="3" s="1"/>
  <c r="E516" i="3"/>
  <c r="G516" i="3" s="1"/>
  <c r="E505" i="3"/>
  <c r="G505" i="3" s="1"/>
  <c r="E84" i="3" a="1"/>
  <c r="E78" i="3"/>
  <c r="G78" i="3" s="1"/>
  <c r="E70" i="3"/>
  <c r="G70" i="3" s="1"/>
  <c r="E75" i="3"/>
  <c r="G75" i="3" s="1"/>
  <c r="E67" i="3"/>
  <c r="G67" i="3" s="1"/>
  <c r="E77" i="3"/>
  <c r="G77" i="3" s="1"/>
  <c r="E69" i="3"/>
  <c r="G69" i="3" s="1"/>
  <c r="E76" i="3"/>
  <c r="G76" i="3" s="1"/>
  <c r="E68" i="3"/>
  <c r="G68" i="3" s="1"/>
  <c r="E74" i="3"/>
  <c r="G74" i="3" s="1"/>
  <c r="E73" i="3"/>
  <c r="G73" i="3" s="1"/>
  <c r="E66" i="3"/>
  <c r="E72" i="3"/>
  <c r="G72" i="3" s="1"/>
  <c r="E100" i="3"/>
  <c r="G100" i="3" s="1"/>
  <c r="E106" i="3"/>
  <c r="G106" i="3" s="1"/>
  <c r="E99" i="3"/>
  <c r="G99" i="3" s="1"/>
  <c r="E105" i="3"/>
  <c r="G105" i="3" s="1"/>
  <c r="E98" i="3"/>
  <c r="E104" i="3"/>
  <c r="G104" i="3" s="1"/>
  <c r="E103" i="3"/>
  <c r="G103" i="3" s="1"/>
  <c r="E102" i="3"/>
  <c r="G102" i="3" s="1"/>
  <c r="E111" i="3" a="1"/>
  <c r="B111" i="3" a="1"/>
  <c r="B143" i="3"/>
  <c r="E176" i="3"/>
  <c r="G176" i="3" s="1"/>
  <c r="E169" i="3"/>
  <c r="E175" i="3"/>
  <c r="G175" i="3" s="1"/>
  <c r="E174" i="3"/>
  <c r="G174" i="3" s="1"/>
  <c r="E173" i="3"/>
  <c r="G173" i="3" s="1"/>
  <c r="E180" i="3"/>
  <c r="G180" i="3" s="1"/>
  <c r="E172" i="3"/>
  <c r="G172" i="3" s="1"/>
  <c r="E178" i="3"/>
  <c r="G178" i="3" s="1"/>
  <c r="E170" i="3"/>
  <c r="G170" i="3" s="1"/>
  <c r="E179" i="3"/>
  <c r="G179" i="3" s="1"/>
  <c r="E171" i="3"/>
  <c r="G171" i="3" s="1"/>
  <c r="B220" i="3"/>
  <c r="C346" i="3"/>
  <c r="C343" i="3"/>
  <c r="C345" i="3"/>
  <c r="C344" i="3"/>
  <c r="C342" i="3"/>
  <c r="C350" i="3"/>
  <c r="C349" i="3"/>
  <c r="C348" i="3"/>
  <c r="C347" i="3"/>
  <c r="B4" i="3" a="1"/>
  <c r="E4" i="3" a="1"/>
  <c r="C4" i="3" a="1"/>
  <c r="B66" i="3" a="1"/>
  <c r="E177" i="3"/>
  <c r="G177" i="3" s="1"/>
  <c r="C233" i="3"/>
  <c r="B392" i="3"/>
  <c r="B384" i="3"/>
  <c r="B389" i="3"/>
  <c r="B382" i="3"/>
  <c r="B386" i="3"/>
  <c r="B385" i="3"/>
  <c r="B387" i="3"/>
  <c r="B383" i="3"/>
  <c r="B393" i="3"/>
  <c r="B391" i="3"/>
  <c r="B390" i="3"/>
  <c r="B388" i="3"/>
  <c r="C473" i="3"/>
  <c r="C478" i="3"/>
  <c r="C471" i="3"/>
  <c r="C479" i="3"/>
  <c r="C477" i="3"/>
  <c r="C476" i="3"/>
  <c r="C475" i="3"/>
  <c r="C474" i="3"/>
  <c r="C480" i="3"/>
  <c r="C472" i="3"/>
  <c r="E670" i="3"/>
  <c r="G670" i="3" s="1"/>
  <c r="E663" i="3"/>
  <c r="E664" i="3"/>
  <c r="G664" i="3" s="1"/>
  <c r="E669" i="3"/>
  <c r="G669" i="3" s="1"/>
  <c r="E668" i="3"/>
  <c r="G668" i="3" s="1"/>
  <c r="E666" i="3"/>
  <c r="G666" i="3" s="1"/>
  <c r="E665" i="3"/>
  <c r="G665" i="3" s="1"/>
  <c r="E667" i="3"/>
  <c r="G667" i="3" s="1"/>
  <c r="E671" i="3"/>
  <c r="G671" i="3" s="1"/>
  <c r="C592" i="3"/>
  <c r="C589" i="3"/>
  <c r="C587" i="3"/>
  <c r="C588" i="3"/>
  <c r="C590" i="3"/>
  <c r="C591" i="3"/>
  <c r="C593" i="3"/>
  <c r="E202" i="3"/>
  <c r="E208" i="3"/>
  <c r="G208" i="3" s="1"/>
  <c r="E207" i="3"/>
  <c r="G207" i="3" s="1"/>
  <c r="E206" i="3"/>
  <c r="G206" i="3" s="1"/>
  <c r="E204" i="3"/>
  <c r="G204" i="3" s="1"/>
  <c r="E205" i="3"/>
  <c r="G205" i="3" s="1"/>
  <c r="B34" i="3" a="1"/>
  <c r="E47" i="3" a="1"/>
  <c r="C130" i="3"/>
  <c r="C129" i="3"/>
  <c r="C128" i="3"/>
  <c r="C127" i="3"/>
  <c r="C134" i="3"/>
  <c r="C133" i="3"/>
  <c r="C126" i="3"/>
  <c r="C132" i="3"/>
  <c r="C173" i="3"/>
  <c r="C180" i="3"/>
  <c r="C172" i="3"/>
  <c r="C179" i="3"/>
  <c r="C171" i="3"/>
  <c r="C178" i="3"/>
  <c r="C170" i="3"/>
  <c r="C177" i="3"/>
  <c r="C175" i="3"/>
  <c r="C176" i="3"/>
  <c r="C169" i="3"/>
  <c r="E203" i="3"/>
  <c r="G203" i="3" s="1"/>
  <c r="E235" i="3"/>
  <c r="G235" i="3" s="1"/>
  <c r="E232" i="3"/>
  <c r="G232" i="3" s="1"/>
  <c r="E225" i="3"/>
  <c r="E231" i="3"/>
  <c r="G231" i="3" s="1"/>
  <c r="E239" i="3"/>
  <c r="G239" i="3" s="1"/>
  <c r="E230" i="3"/>
  <c r="G230" i="3" s="1"/>
  <c r="E238" i="3"/>
  <c r="G238" i="3" s="1"/>
  <c r="E229" i="3"/>
  <c r="G229" i="3" s="1"/>
  <c r="E237" i="3"/>
  <c r="G237" i="3" s="1"/>
  <c r="E228" i="3"/>
  <c r="G228" i="3" s="1"/>
  <c r="E226" i="3"/>
  <c r="G226" i="3" s="1"/>
  <c r="E236" i="3"/>
  <c r="G236" i="3" s="1"/>
  <c r="E227" i="3"/>
  <c r="G227" i="3" s="1"/>
  <c r="E234" i="3"/>
  <c r="G234" i="3" s="1"/>
  <c r="B268" i="3"/>
  <c r="B294" i="3"/>
  <c r="B287" i="3"/>
  <c r="B291" i="3"/>
  <c r="B295" i="3"/>
  <c r="B293" i="3"/>
  <c r="B292" i="3"/>
  <c r="B290" i="3"/>
  <c r="B289" i="3"/>
  <c r="B298" i="3"/>
  <c r="B288" i="3"/>
  <c r="B297" i="3"/>
  <c r="B514" i="3"/>
  <c r="B506" i="3"/>
  <c r="B511" i="3"/>
  <c r="B503" i="3"/>
  <c r="B517" i="3"/>
  <c r="B507" i="3"/>
  <c r="B508" i="3"/>
  <c r="B516" i="3"/>
  <c r="B505" i="3"/>
  <c r="B515" i="3"/>
  <c r="B504" i="3"/>
  <c r="B513" i="3"/>
  <c r="B502" i="3"/>
  <c r="B512" i="3"/>
  <c r="B510" i="3"/>
  <c r="B501" i="3"/>
  <c r="B509" i="3"/>
  <c r="E128" i="3"/>
  <c r="G128" i="3" s="1"/>
  <c r="E127" i="3"/>
  <c r="G127" i="3" s="1"/>
  <c r="E134" i="3"/>
  <c r="G134" i="3" s="1"/>
  <c r="E133" i="3"/>
  <c r="G133" i="3" s="1"/>
  <c r="E126" i="3"/>
  <c r="E132" i="3"/>
  <c r="G132" i="3" s="1"/>
  <c r="E131" i="3"/>
  <c r="G131" i="3" s="1"/>
  <c r="E130" i="3"/>
  <c r="G130" i="3" s="1"/>
  <c r="E80" i="1"/>
  <c r="G80" i="1" s="1"/>
  <c r="E72" i="1"/>
  <c r="G72" i="1" s="1"/>
  <c r="E75" i="1"/>
  <c r="G75" i="1" s="1"/>
  <c r="E78" i="1"/>
  <c r="G78" i="1" s="1"/>
  <c r="E74" i="1"/>
  <c r="G74" i="1" s="1"/>
  <c r="E73" i="1"/>
  <c r="G73" i="1" s="1"/>
  <c r="E82" i="1"/>
  <c r="G82" i="1" s="1"/>
  <c r="E71" i="1"/>
  <c r="G71" i="1" s="1"/>
  <c r="E77" i="1"/>
  <c r="G77" i="1" s="1"/>
  <c r="E76" i="1"/>
  <c r="G76" i="1" s="1"/>
  <c r="E79" i="1"/>
  <c r="G79" i="1" s="1"/>
  <c r="E70" i="1"/>
  <c r="E81" i="1"/>
  <c r="G81" i="1" s="1"/>
  <c r="B150" i="3"/>
  <c r="B142" i="3"/>
  <c r="B149" i="3"/>
  <c r="B141" i="3"/>
  <c r="B148" i="3"/>
  <c r="B140" i="3"/>
  <c r="B147" i="3"/>
  <c r="B146" i="3"/>
  <c r="B139" i="3"/>
  <c r="B145" i="3"/>
  <c r="B144" i="3"/>
  <c r="B171" i="3"/>
  <c r="B280" i="3"/>
  <c r="B273" i="3"/>
  <c r="B277" i="3"/>
  <c r="B275" i="3"/>
  <c r="B274" i="3"/>
  <c r="B282" i="3"/>
  <c r="B281" i="3"/>
  <c r="B279" i="3"/>
  <c r="B278" i="3"/>
  <c r="E34" i="3" a="1"/>
  <c r="C34" i="3" a="1"/>
  <c r="B53" i="3"/>
  <c r="B60" i="3"/>
  <c r="B52" i="3"/>
  <c r="B59" i="3"/>
  <c r="B51" i="3"/>
  <c r="B58" i="3"/>
  <c r="B50" i="3"/>
  <c r="B57" i="3"/>
  <c r="B49" i="3"/>
  <c r="B56" i="3"/>
  <c r="B48" i="3"/>
  <c r="B55" i="3"/>
  <c r="C77" i="3"/>
  <c r="C69" i="3"/>
  <c r="C74" i="3"/>
  <c r="C76" i="3"/>
  <c r="C68" i="3"/>
  <c r="C75" i="3"/>
  <c r="C67" i="3"/>
  <c r="C73" i="3"/>
  <c r="C66" i="3"/>
  <c r="C72" i="3"/>
  <c r="C79" i="3"/>
  <c r="C71" i="3"/>
  <c r="C185" i="3" a="1"/>
  <c r="E213" i="3" a="1"/>
  <c r="E233" i="3"/>
  <c r="G233" i="3" s="1"/>
  <c r="E291" i="3"/>
  <c r="G291" i="3" s="1"/>
  <c r="C683" i="3"/>
  <c r="C682" i="3"/>
  <c r="C679" i="3"/>
  <c r="C678" i="3"/>
  <c r="C677" i="3"/>
  <c r="C685" i="3"/>
  <c r="C684" i="3"/>
  <c r="C681" i="3"/>
  <c r="C680" i="3"/>
  <c r="B104" i="1"/>
  <c r="B107" i="1"/>
  <c r="B102" i="1"/>
  <c r="B109" i="1"/>
  <c r="B108" i="1"/>
  <c r="B106" i="1"/>
  <c r="B103" i="1"/>
  <c r="B105" i="1"/>
  <c r="B101" i="1"/>
  <c r="C234" i="1"/>
  <c r="C226" i="1"/>
  <c r="C229" i="1"/>
  <c r="C228" i="1"/>
  <c r="C227" i="1"/>
  <c r="C235" i="1"/>
  <c r="C225" i="1"/>
  <c r="C233" i="1"/>
  <c r="C232" i="1"/>
  <c r="C231" i="1"/>
  <c r="C230" i="1"/>
  <c r="B424" i="1"/>
  <c r="B416" i="1"/>
  <c r="B422" i="1"/>
  <c r="B415" i="1"/>
  <c r="B428" i="1"/>
  <c r="B420" i="1"/>
  <c r="B427" i="1"/>
  <c r="B419" i="1"/>
  <c r="B426" i="1"/>
  <c r="B423" i="1"/>
  <c r="B421" i="1"/>
  <c r="B418" i="1"/>
  <c r="E589" i="1"/>
  <c r="G589" i="1" s="1"/>
  <c r="E582" i="1"/>
  <c r="E583" i="1"/>
  <c r="G583" i="1" s="1"/>
  <c r="E587" i="1"/>
  <c r="G587" i="1" s="1"/>
  <c r="E590" i="1"/>
  <c r="G590" i="1" s="1"/>
  <c r="E588" i="1"/>
  <c r="G588" i="1" s="1"/>
  <c r="E585" i="1"/>
  <c r="G585" i="1" s="1"/>
  <c r="E584" i="1"/>
  <c r="G584" i="1" s="1"/>
  <c r="E586" i="1"/>
  <c r="G586" i="1" s="1"/>
  <c r="C695" i="1"/>
  <c r="C688" i="1"/>
  <c r="C691" i="1"/>
  <c r="C689" i="1"/>
  <c r="C696" i="1"/>
  <c r="C693" i="1"/>
  <c r="C692" i="1"/>
  <c r="C694" i="1"/>
  <c r="C690" i="1"/>
  <c r="C5" i="2"/>
  <c r="C6" i="2"/>
  <c r="C4" i="2"/>
  <c r="C9" i="2"/>
  <c r="C8" i="2"/>
  <c r="C7" i="2"/>
  <c r="B76" i="2"/>
  <c r="B68" i="2"/>
  <c r="B74" i="2"/>
  <c r="B67" i="2"/>
  <c r="B77" i="2"/>
  <c r="B73" i="2"/>
  <c r="B71" i="2"/>
  <c r="B80" i="2"/>
  <c r="B70" i="2"/>
  <c r="B79" i="2"/>
  <c r="B75" i="2"/>
  <c r="B72" i="2"/>
  <c r="B78" i="2"/>
  <c r="B69" i="2"/>
  <c r="E632" i="3"/>
  <c r="G632" i="3" s="1"/>
  <c r="E638" i="3"/>
  <c r="G638" i="3" s="1"/>
  <c r="E629" i="3"/>
  <c r="G629" i="3" s="1"/>
  <c r="E635" i="3"/>
  <c r="G635" i="3" s="1"/>
  <c r="E627" i="3"/>
  <c r="E634" i="3"/>
  <c r="G634" i="3" s="1"/>
  <c r="B180" i="1"/>
  <c r="B172" i="1"/>
  <c r="B175" i="1"/>
  <c r="B177" i="1"/>
  <c r="B176" i="1"/>
  <c r="B173" i="1"/>
  <c r="B171" i="1"/>
  <c r="B181" i="1"/>
  <c r="C367" i="1"/>
  <c r="C365" i="1"/>
  <c r="C363" i="1"/>
  <c r="C362" i="1"/>
  <c r="C364" i="1"/>
  <c r="B106" i="3"/>
  <c r="B471" i="3" a="1"/>
  <c r="E614" i="3"/>
  <c r="G614" i="3" s="1"/>
  <c r="E615" i="3"/>
  <c r="G615" i="3" s="1"/>
  <c r="E620" i="3"/>
  <c r="G620" i="3" s="1"/>
  <c r="E619" i="3"/>
  <c r="G619" i="3" s="1"/>
  <c r="E611" i="3"/>
  <c r="C627" i="3" a="1"/>
  <c r="E628" i="3"/>
  <c r="G628" i="3" s="1"/>
  <c r="C666" i="3"/>
  <c r="E124" i="1"/>
  <c r="G124" i="1" s="1"/>
  <c r="E116" i="1"/>
  <c r="G116" i="1" s="1"/>
  <c r="E119" i="1"/>
  <c r="G119" i="1" s="1"/>
  <c r="E123" i="1"/>
  <c r="G123" i="1" s="1"/>
  <c r="E114" i="1"/>
  <c r="E122" i="1"/>
  <c r="G122" i="1" s="1"/>
  <c r="E120" i="1"/>
  <c r="G120" i="1" s="1"/>
  <c r="E118" i="1"/>
  <c r="G118" i="1" s="1"/>
  <c r="E117" i="1"/>
  <c r="G117" i="1" s="1"/>
  <c r="E129" i="1" a="1"/>
  <c r="B129" i="1" a="1"/>
  <c r="C129" i="1" a="1"/>
  <c r="C146" i="1"/>
  <c r="E290" i="1"/>
  <c r="G290" i="1" s="1"/>
  <c r="E293" i="1"/>
  <c r="G293" i="1" s="1"/>
  <c r="E286" i="1"/>
  <c r="E287" i="1"/>
  <c r="G287" i="1" s="1"/>
  <c r="E296" i="1"/>
  <c r="G296" i="1" s="1"/>
  <c r="E294" i="1"/>
  <c r="G294" i="1" s="1"/>
  <c r="E292" i="1"/>
  <c r="G292" i="1" s="1"/>
  <c r="E291" i="1"/>
  <c r="G291" i="1" s="1"/>
  <c r="C350" i="1"/>
  <c r="C348" i="1"/>
  <c r="C354" i="1"/>
  <c r="C346" i="1"/>
  <c r="C353" i="1"/>
  <c r="C345" i="1"/>
  <c r="C352" i="1"/>
  <c r="C349" i="1"/>
  <c r="C347" i="1"/>
  <c r="C366" i="1"/>
  <c r="B417" i="1"/>
  <c r="C139" i="3" a="1"/>
  <c r="C259" i="3" a="1"/>
  <c r="C388" i="3"/>
  <c r="C548" i="3"/>
  <c r="C540" i="3"/>
  <c r="C543" i="3"/>
  <c r="C549" i="3"/>
  <c r="C539" i="3"/>
  <c r="B587" i="3" a="1"/>
  <c r="E612" i="3"/>
  <c r="G612" i="3" s="1"/>
  <c r="E630" i="3"/>
  <c r="G630" i="3" s="1"/>
  <c r="B666" i="3"/>
  <c r="B665" i="3"/>
  <c r="B671" i="3"/>
  <c r="B663" i="3"/>
  <c r="B670" i="3"/>
  <c r="C667" i="3"/>
  <c r="B34" i="1" a="1"/>
  <c r="E87" i="1" a="1"/>
  <c r="C87" i="1" a="1"/>
  <c r="B87" i="1" a="1"/>
  <c r="C101" i="1" a="1"/>
  <c r="E115" i="1"/>
  <c r="G115" i="1" s="1"/>
  <c r="C151" i="1"/>
  <c r="C157" i="1" a="1"/>
  <c r="B157" i="1" a="1"/>
  <c r="B215" i="1"/>
  <c r="B218" i="1"/>
  <c r="B213" i="1"/>
  <c r="B219" i="1"/>
  <c r="B217" i="1"/>
  <c r="B216" i="1"/>
  <c r="C252" i="1"/>
  <c r="C244" i="1"/>
  <c r="C247" i="1"/>
  <c r="C240" i="1"/>
  <c r="C242" i="1"/>
  <c r="C251" i="1"/>
  <c r="C241" i="1"/>
  <c r="C249" i="1"/>
  <c r="C248" i="1"/>
  <c r="C246" i="1"/>
  <c r="E272" i="1" a="1"/>
  <c r="C272" i="1" a="1"/>
  <c r="B272" i="1" a="1"/>
  <c r="E288" i="1"/>
  <c r="G288" i="1" s="1"/>
  <c r="C317" i="1" a="1"/>
  <c r="C368" i="1"/>
  <c r="B425" i="1"/>
  <c r="C444" i="1"/>
  <c r="C436" i="1"/>
  <c r="C450" i="1"/>
  <c r="C442" i="1"/>
  <c r="C434" i="1"/>
  <c r="C448" i="1"/>
  <c r="C440" i="1"/>
  <c r="C433" i="1"/>
  <c r="C447" i="1"/>
  <c r="C439" i="1"/>
  <c r="C443" i="1"/>
  <c r="C441" i="1"/>
  <c r="C437" i="1"/>
  <c r="C451" i="1"/>
  <c r="C435" i="1"/>
  <c r="C449" i="1"/>
  <c r="E506" i="1" a="1"/>
  <c r="B506" i="1" a="1"/>
  <c r="B577" i="1"/>
  <c r="B569" i="1"/>
  <c r="B562" i="1"/>
  <c r="B573" i="1"/>
  <c r="B565" i="1"/>
  <c r="B576" i="1"/>
  <c r="B566" i="1"/>
  <c r="B575" i="1"/>
  <c r="B564" i="1"/>
  <c r="B574" i="1"/>
  <c r="B563" i="1"/>
  <c r="B571" i="1"/>
  <c r="B570" i="1"/>
  <c r="B572" i="1"/>
  <c r="B568" i="1"/>
  <c r="B567" i="1"/>
  <c r="E562" i="1" a="1"/>
  <c r="C562" i="1" a="1"/>
  <c r="E658" i="1"/>
  <c r="G658" i="1" s="1"/>
  <c r="E660" i="1"/>
  <c r="G660" i="1" s="1"/>
  <c r="E652" i="1"/>
  <c r="E657" i="1"/>
  <c r="G657" i="1" s="1"/>
  <c r="E664" i="1"/>
  <c r="G664" i="1" s="1"/>
  <c r="E655" i="1"/>
  <c r="G655" i="1" s="1"/>
  <c r="E661" i="1"/>
  <c r="G661" i="1" s="1"/>
  <c r="E659" i="1"/>
  <c r="G659" i="1" s="1"/>
  <c r="E656" i="1"/>
  <c r="G656" i="1" s="1"/>
  <c r="E653" i="1"/>
  <c r="G653" i="1" s="1"/>
  <c r="E665" i="1"/>
  <c r="G665" i="1" s="1"/>
  <c r="E663" i="1"/>
  <c r="G663" i="1" s="1"/>
  <c r="E662" i="1"/>
  <c r="G662" i="1" s="1"/>
  <c r="E654" i="1"/>
  <c r="G654" i="1" s="1"/>
  <c r="C706" i="1"/>
  <c r="C709" i="1"/>
  <c r="C701" i="1"/>
  <c r="C707" i="1"/>
  <c r="C704" i="1"/>
  <c r="C702" i="1"/>
  <c r="C710" i="1"/>
  <c r="C708" i="1"/>
  <c r="C705" i="1"/>
  <c r="C703" i="1"/>
  <c r="B466" i="3"/>
  <c r="B458" i="3"/>
  <c r="B463" i="3"/>
  <c r="B455" i="3"/>
  <c r="B465" i="3"/>
  <c r="E592" i="3"/>
  <c r="G592" i="3" s="1"/>
  <c r="E590" i="3"/>
  <c r="G590" i="3" s="1"/>
  <c r="E587" i="3"/>
  <c r="B4" i="1" a="1"/>
  <c r="C4" i="1" a="1"/>
  <c r="E334" i="1"/>
  <c r="G334" i="1" s="1"/>
  <c r="E326" i="1"/>
  <c r="G326" i="1" s="1"/>
  <c r="E318" i="1"/>
  <c r="G318" i="1" s="1"/>
  <c r="E332" i="1"/>
  <c r="G332" i="1" s="1"/>
  <c r="E324" i="1"/>
  <c r="G324" i="1" s="1"/>
  <c r="E317" i="1"/>
  <c r="G317" i="1" s="1"/>
  <c r="E338" i="1"/>
  <c r="G338" i="1" s="1"/>
  <c r="E330" i="1"/>
  <c r="G330" i="1" s="1"/>
  <c r="E322" i="1"/>
  <c r="G322" i="1" s="1"/>
  <c r="E337" i="1"/>
  <c r="G337" i="1" s="1"/>
  <c r="E329" i="1"/>
  <c r="G329" i="1" s="1"/>
  <c r="E321" i="1"/>
  <c r="G321" i="1" s="1"/>
  <c r="E327" i="1"/>
  <c r="G327" i="1" s="1"/>
  <c r="E325" i="1"/>
  <c r="G325" i="1" s="1"/>
  <c r="E336" i="1"/>
  <c r="G336" i="1" s="1"/>
  <c r="E320" i="1"/>
  <c r="G320" i="1" s="1"/>
  <c r="E335" i="1"/>
  <c r="G335" i="1" s="1"/>
  <c r="E319" i="1"/>
  <c r="G319" i="1" s="1"/>
  <c r="E333" i="1"/>
  <c r="G333" i="1" s="1"/>
  <c r="C361" i="1"/>
  <c r="B134" i="3"/>
  <c r="C430" i="3" a="1"/>
  <c r="B456" i="3"/>
  <c r="E578" i="3"/>
  <c r="G578" i="3" s="1"/>
  <c r="E582" i="3"/>
  <c r="G582" i="3" s="1"/>
  <c r="E574" i="3"/>
  <c r="E579" i="3"/>
  <c r="G579" i="3" s="1"/>
  <c r="E577" i="3"/>
  <c r="G577" i="3" s="1"/>
  <c r="B152" i="1"/>
  <c r="B144" i="1"/>
  <c r="B147" i="1"/>
  <c r="B151" i="1"/>
  <c r="B150" i="1"/>
  <c r="B141" i="1"/>
  <c r="B148" i="1"/>
  <c r="B146" i="1"/>
  <c r="B145" i="1"/>
  <c r="E308" i="1"/>
  <c r="G308" i="1" s="1"/>
  <c r="E301" i="1"/>
  <c r="E312" i="1"/>
  <c r="G312" i="1" s="1"/>
  <c r="E304" i="1"/>
  <c r="G304" i="1" s="1"/>
  <c r="E311" i="1"/>
  <c r="G311" i="1" s="1"/>
  <c r="E303" i="1"/>
  <c r="G303" i="1" s="1"/>
  <c r="E305" i="1"/>
  <c r="G305" i="1" s="1"/>
  <c r="E302" i="1"/>
  <c r="G302" i="1" s="1"/>
  <c r="E310" i="1"/>
  <c r="G310" i="1" s="1"/>
  <c r="E309" i="1"/>
  <c r="G309" i="1" s="1"/>
  <c r="E408" i="1"/>
  <c r="G408" i="1" s="1"/>
  <c r="E406" i="1"/>
  <c r="G406" i="1" s="1"/>
  <c r="E404" i="1"/>
  <c r="G404" i="1" s="1"/>
  <c r="E403" i="1"/>
  <c r="G403" i="1" s="1"/>
  <c r="E410" i="1"/>
  <c r="G410" i="1" s="1"/>
  <c r="E409" i="1"/>
  <c r="G409" i="1" s="1"/>
  <c r="E405" i="1"/>
  <c r="G405" i="1" s="1"/>
  <c r="E402" i="1"/>
  <c r="B99" i="3"/>
  <c r="B127" i="3"/>
  <c r="C213" i="3" a="1"/>
  <c r="E308" i="3"/>
  <c r="G308" i="3" s="1"/>
  <c r="B413" i="3" a="1"/>
  <c r="B457" i="3"/>
  <c r="B100" i="3"/>
  <c r="B128" i="3"/>
  <c r="B156" i="3" a="1"/>
  <c r="C287" i="3" a="1"/>
  <c r="E310" i="3"/>
  <c r="G310" i="3" s="1"/>
  <c r="C316" i="3" a="1"/>
  <c r="C389" i="3"/>
  <c r="B430" i="3" a="1"/>
  <c r="B459" i="3"/>
  <c r="C501" i="3" a="1"/>
  <c r="B522" i="3" a="1"/>
  <c r="E522" i="3" a="1"/>
  <c r="C541" i="3"/>
  <c r="E576" i="3"/>
  <c r="G576" i="3" s="1"/>
  <c r="E588" i="3"/>
  <c r="G588" i="3" s="1"/>
  <c r="E613" i="3"/>
  <c r="G613" i="3" s="1"/>
  <c r="E631" i="3"/>
  <c r="G631" i="3" s="1"/>
  <c r="B664" i="3"/>
  <c r="C668" i="3"/>
  <c r="C34" i="1" a="1"/>
  <c r="C48" i="1" a="1"/>
  <c r="E121" i="1"/>
  <c r="G121" i="1" s="1"/>
  <c r="B170" i="1"/>
  <c r="B214" i="1"/>
  <c r="C243" i="1"/>
  <c r="E289" i="1"/>
  <c r="G289" i="1" s="1"/>
  <c r="E307" i="1"/>
  <c r="G307" i="1" s="1"/>
  <c r="E407" i="1"/>
  <c r="G407" i="1" s="1"/>
  <c r="B433" i="1" a="1"/>
  <c r="C28" i="2"/>
  <c r="C20" i="2"/>
  <c r="C27" i="2"/>
  <c r="C18" i="2"/>
  <c r="C25" i="2"/>
  <c r="C16" i="2"/>
  <c r="C23" i="2"/>
  <c r="C15" i="2"/>
  <c r="C22" i="2"/>
  <c r="C21" i="2"/>
  <c r="C19" i="2"/>
  <c r="C17" i="2"/>
  <c r="C24" i="2"/>
  <c r="B204" i="1"/>
  <c r="B207" i="1"/>
  <c r="B202" i="1"/>
  <c r="B208" i="1"/>
  <c r="B206" i="1"/>
  <c r="B205" i="1"/>
  <c r="B101" i="3"/>
  <c r="B129" i="3"/>
  <c r="E185" i="3" a="1"/>
  <c r="E311" i="3"/>
  <c r="G311" i="3" s="1"/>
  <c r="E342" i="3" a="1"/>
  <c r="B370" i="3" a="1"/>
  <c r="C390" i="3"/>
  <c r="E382" i="3" a="1"/>
  <c r="B460" i="3"/>
  <c r="C542" i="3"/>
  <c r="E580" i="3"/>
  <c r="G580" i="3" s="1"/>
  <c r="E589" i="3"/>
  <c r="G589" i="3" s="1"/>
  <c r="C611" i="3" a="1"/>
  <c r="E616" i="3"/>
  <c r="G616" i="3" s="1"/>
  <c r="E633" i="3"/>
  <c r="G633" i="3" s="1"/>
  <c r="B667" i="3"/>
  <c r="E4" i="1" a="1"/>
  <c r="E48" i="1" a="1"/>
  <c r="E101" i="1" a="1"/>
  <c r="B142" i="1"/>
  <c r="B174" i="1"/>
  <c r="B220" i="1"/>
  <c r="C245" i="1"/>
  <c r="B240" i="1" a="1"/>
  <c r="E295" i="1"/>
  <c r="G295" i="1" s="1"/>
  <c r="C301" i="1" a="1"/>
  <c r="B301" i="1" a="1"/>
  <c r="E323" i="1"/>
  <c r="G323" i="1" s="1"/>
  <c r="C344" i="1"/>
  <c r="C410" i="1"/>
  <c r="C408" i="1"/>
  <c r="C406" i="1"/>
  <c r="C405" i="1"/>
  <c r="C404" i="1"/>
  <c r="C403" i="1"/>
  <c r="B173" i="2"/>
  <c r="B180" i="2"/>
  <c r="B172" i="2"/>
  <c r="B170" i="2"/>
  <c r="B178" i="2"/>
  <c r="B169" i="2"/>
  <c r="B177" i="2"/>
  <c r="B176" i="2"/>
  <c r="B174" i="2"/>
  <c r="B171" i="2"/>
  <c r="B179" i="2"/>
  <c r="B175" i="2"/>
  <c r="C156" i="3" a="1"/>
  <c r="C303" i="3" a="1"/>
  <c r="B342" i="3" a="1"/>
  <c r="E357" i="3" a="1"/>
  <c r="B357" i="3" a="1"/>
  <c r="E370" i="3" a="1"/>
  <c r="C382" i="3"/>
  <c r="E398" i="3" a="1"/>
  <c r="B398" i="3" a="1"/>
  <c r="C413" i="3" a="1"/>
  <c r="B461" i="3"/>
  <c r="C544" i="3"/>
  <c r="E581" i="3"/>
  <c r="G581" i="3" s="1"/>
  <c r="E591" i="3"/>
  <c r="G591" i="3" s="1"/>
  <c r="E617" i="3"/>
  <c r="G617" i="3" s="1"/>
  <c r="E636" i="3"/>
  <c r="G636" i="3" s="1"/>
  <c r="B668" i="3"/>
  <c r="C114" i="1" a="1"/>
  <c r="B114" i="1" a="1"/>
  <c r="B143" i="1"/>
  <c r="E157" i="1" a="1"/>
  <c r="B178" i="1"/>
  <c r="C213" i="1" a="1"/>
  <c r="C250" i="1"/>
  <c r="E328" i="1"/>
  <c r="G328" i="1" s="1"/>
  <c r="C351" i="1"/>
  <c r="E426" i="1"/>
  <c r="G426" i="1" s="1"/>
  <c r="E418" i="1"/>
  <c r="G418" i="1" s="1"/>
  <c r="E424" i="1"/>
  <c r="G424" i="1" s="1"/>
  <c r="E416" i="1"/>
  <c r="G416" i="1" s="1"/>
  <c r="E422" i="1"/>
  <c r="G422" i="1" s="1"/>
  <c r="E415" i="1"/>
  <c r="G415" i="1" s="1"/>
  <c r="E421" i="1"/>
  <c r="E428" i="1"/>
  <c r="G428" i="1" s="1"/>
  <c r="E425" i="1"/>
  <c r="G425" i="1" s="1"/>
  <c r="E423" i="1"/>
  <c r="G423" i="1" s="1"/>
  <c r="E420" i="1"/>
  <c r="G420" i="1" s="1"/>
  <c r="B607" i="1" a="1"/>
  <c r="E607" i="1" a="1"/>
  <c r="C607" i="1" a="1"/>
  <c r="E100" i="2"/>
  <c r="G100" i="2" s="1"/>
  <c r="E106" i="2"/>
  <c r="G106" i="2" s="1"/>
  <c r="E99" i="2"/>
  <c r="E105" i="2"/>
  <c r="G105" i="2" s="1"/>
  <c r="E103" i="2"/>
  <c r="G103" i="2" s="1"/>
  <c r="E102" i="2"/>
  <c r="G102" i="2" s="1"/>
  <c r="E104" i="2"/>
  <c r="G104" i="2" s="1"/>
  <c r="E101" i="2"/>
  <c r="G101" i="2" s="1"/>
  <c r="E107" i="2"/>
  <c r="G107" i="2" s="1"/>
  <c r="E139" i="2" a="1"/>
  <c r="B139" i="2" a="1"/>
  <c r="C664" i="3"/>
  <c r="C665" i="3"/>
  <c r="C670" i="3"/>
  <c r="C669" i="3"/>
  <c r="E202" i="1" a="1"/>
  <c r="E15" i="3" a="1"/>
  <c r="B102" i="3"/>
  <c r="B131" i="3"/>
  <c r="C244" i="3" a="1"/>
  <c r="E487" i="3" a="1"/>
  <c r="E593" i="3"/>
  <c r="G593" i="3" s="1"/>
  <c r="B611" i="3" a="1"/>
  <c r="E618" i="3"/>
  <c r="G618" i="3" s="1"/>
  <c r="E637" i="3"/>
  <c r="G637" i="3" s="1"/>
  <c r="C645" i="3" a="1"/>
  <c r="E645" i="3" a="1"/>
  <c r="B645" i="3" a="1"/>
  <c r="E38" i="1"/>
  <c r="G38" i="1" s="1"/>
  <c r="E41" i="1"/>
  <c r="G41" i="1" s="1"/>
  <c r="E34" i="1"/>
  <c r="E36" i="1"/>
  <c r="G36" i="1" s="1"/>
  <c r="E42" i="1"/>
  <c r="G42" i="1" s="1"/>
  <c r="E40" i="1"/>
  <c r="G40" i="1" s="1"/>
  <c r="B149" i="1"/>
  <c r="B179" i="1"/>
  <c r="C202" i="1" a="1"/>
  <c r="E240" i="1" a="1"/>
  <c r="C257" i="1" a="1"/>
  <c r="E331" i="1"/>
  <c r="E417" i="1"/>
  <c r="G417" i="1" s="1"/>
  <c r="C147" i="1"/>
  <c r="C150" i="1"/>
  <c r="C142" i="1"/>
  <c r="C149" i="1"/>
  <c r="C148" i="1"/>
  <c r="C145" i="1"/>
  <c r="C144" i="1"/>
  <c r="C143" i="1"/>
  <c r="B130" i="3"/>
  <c r="C15" i="3" a="1"/>
  <c r="B103" i="3"/>
  <c r="E304" i="3"/>
  <c r="G304" i="3" s="1"/>
  <c r="E309" i="3"/>
  <c r="G309" i="3" s="1"/>
  <c r="C387" i="3"/>
  <c r="C392" i="3"/>
  <c r="C384" i="3"/>
  <c r="C393" i="3"/>
  <c r="B462" i="3"/>
  <c r="B487" i="3" a="1"/>
  <c r="B202" i="3" a="1"/>
  <c r="C202" i="3" a="1"/>
  <c r="E305" i="3"/>
  <c r="G305" i="3" s="1"/>
  <c r="C383" i="3"/>
  <c r="E413" i="3" a="1"/>
  <c r="B454" i="3"/>
  <c r="B464" i="3"/>
  <c r="E454" i="3" a="1"/>
  <c r="C546" i="3"/>
  <c r="E555" i="3" a="1"/>
  <c r="B574" i="3" a="1"/>
  <c r="C574" i="3" a="1"/>
  <c r="C598" i="3" a="1"/>
  <c r="E639" i="3"/>
  <c r="G639" i="3" s="1"/>
  <c r="C663" i="3"/>
  <c r="E677" i="3" a="1"/>
  <c r="E690" i="3" a="1"/>
  <c r="C16" i="1" a="1"/>
  <c r="E35" i="1"/>
  <c r="G35" i="1" s="1"/>
  <c r="C141" i="1"/>
  <c r="E141" i="1" a="1"/>
  <c r="E339" i="1"/>
  <c r="G339" i="1" s="1"/>
  <c r="B361" i="1" a="1"/>
  <c r="C387" i="1" a="1"/>
  <c r="E419" i="1"/>
  <c r="G419" i="1" s="1"/>
  <c r="E499" i="1"/>
  <c r="G499" i="1" s="1"/>
  <c r="E492" i="1"/>
  <c r="E495" i="1"/>
  <c r="G495" i="1" s="1"/>
  <c r="E497" i="1"/>
  <c r="G497" i="1" s="1"/>
  <c r="E496" i="1"/>
  <c r="G496" i="1" s="1"/>
  <c r="E494" i="1"/>
  <c r="G494" i="1" s="1"/>
  <c r="E501" i="1"/>
  <c r="G501" i="1" s="1"/>
  <c r="E500" i="1"/>
  <c r="G500" i="1" s="1"/>
  <c r="E498" i="1"/>
  <c r="G498" i="1" s="1"/>
  <c r="C582" i="1" a="1"/>
  <c r="B582" i="1" a="1"/>
  <c r="E186" i="1" a="1"/>
  <c r="C186" i="1" a="1"/>
  <c r="C286" i="1" a="1"/>
  <c r="B317" i="1" a="1"/>
  <c r="E387" i="1" a="1"/>
  <c r="B387" i="1" a="1"/>
  <c r="C619" i="1" a="1"/>
  <c r="E619" i="1" a="1"/>
  <c r="B619" i="1" a="1"/>
  <c r="B538" i="3" a="1"/>
  <c r="C70" i="1" a="1"/>
  <c r="C551" i="1"/>
  <c r="C555" i="1"/>
  <c r="C547" i="1"/>
  <c r="C548" i="1"/>
  <c r="C557" i="1"/>
  <c r="C546" i="1"/>
  <c r="C556" i="1"/>
  <c r="C553" i="1"/>
  <c r="C552" i="1"/>
  <c r="B595" i="1" a="1"/>
  <c r="B688" i="1" a="1"/>
  <c r="C244" i="2" a="1"/>
  <c r="B244" i="2" a="1"/>
  <c r="E598" i="3" a="1"/>
  <c r="B677" i="3" a="1"/>
  <c r="B70" i="1" a="1"/>
  <c r="E213" i="1" a="1"/>
  <c r="B286" i="1" a="1"/>
  <c r="E433" i="1" a="1"/>
  <c r="B15" i="2" a="1"/>
  <c r="E15" i="2" a="1"/>
  <c r="E127" i="2" a="1"/>
  <c r="C262" i="2"/>
  <c r="C268" i="2"/>
  <c r="C266" i="2"/>
  <c r="C265" i="2"/>
  <c r="C267" i="2"/>
  <c r="C264" i="2"/>
  <c r="C263" i="2"/>
  <c r="C261" i="2"/>
  <c r="C260" i="2"/>
  <c r="C259" i="2"/>
  <c r="B664" i="1"/>
  <c r="B656" i="1"/>
  <c r="B662" i="1"/>
  <c r="B653" i="1"/>
  <c r="B660" i="1"/>
  <c r="B652" i="1"/>
  <c r="B658" i="1"/>
  <c r="B661" i="1"/>
  <c r="B659" i="1"/>
  <c r="B657" i="1"/>
  <c r="B654" i="1"/>
  <c r="E4" i="2" a="1"/>
  <c r="E257" i="1" a="1"/>
  <c r="B257" i="1" a="1"/>
  <c r="E344" i="1" a="1"/>
  <c r="B344" i="1" a="1"/>
  <c r="C373" i="1" a="1"/>
  <c r="C506" i="1" a="1"/>
  <c r="B663" i="1"/>
  <c r="C99" i="2" a="1"/>
  <c r="B99" i="2" a="1"/>
  <c r="B195" i="2"/>
  <c r="B187" i="2"/>
  <c r="B194" i="2"/>
  <c r="B186" i="2"/>
  <c r="B191" i="2"/>
  <c r="B189" i="2"/>
  <c r="B188" i="2"/>
  <c r="B185" i="2"/>
  <c r="B197" i="2"/>
  <c r="B193" i="2"/>
  <c r="B192" i="2"/>
  <c r="B196" i="2"/>
  <c r="B190" i="2"/>
  <c r="B205" i="2"/>
  <c r="B204" i="2"/>
  <c r="B207" i="2"/>
  <c r="B206" i="2"/>
  <c r="B203" i="2"/>
  <c r="B202" i="2"/>
  <c r="B208" i="2"/>
  <c r="E220" i="2"/>
  <c r="G220" i="2" s="1"/>
  <c r="E213" i="2"/>
  <c r="E219" i="2"/>
  <c r="G219" i="2" s="1"/>
  <c r="E218" i="2"/>
  <c r="G218" i="2" s="1"/>
  <c r="E217" i="2"/>
  <c r="G217" i="2" s="1"/>
  <c r="E216" i="2"/>
  <c r="G216" i="2" s="1"/>
  <c r="E215" i="2"/>
  <c r="G215" i="2" s="1"/>
  <c r="E214" i="2"/>
  <c r="G214" i="2" s="1"/>
  <c r="E538" i="3" a="1"/>
  <c r="B16" i="1" a="1"/>
  <c r="E170" i="1" a="1"/>
  <c r="C170" i="1" a="1"/>
  <c r="E225" i="1" a="1"/>
  <c r="B225" i="1" a="1"/>
  <c r="E361" i="1" a="1"/>
  <c r="C415" i="1" a="1"/>
  <c r="B471" i="1"/>
  <c r="B463" i="1"/>
  <c r="B467" i="1"/>
  <c r="B459" i="1"/>
  <c r="B469" i="1"/>
  <c r="B466" i="1"/>
  <c r="B464" i="1"/>
  <c r="B462" i="1"/>
  <c r="B529" i="1" a="1"/>
  <c r="E529" i="1" a="1"/>
  <c r="B665" i="1"/>
  <c r="C674" i="1" a="1"/>
  <c r="B674" i="1" a="1"/>
  <c r="E674" i="1" a="1"/>
  <c r="C41" i="2"/>
  <c r="C34" i="2"/>
  <c r="C40" i="2"/>
  <c r="C38" i="2"/>
  <c r="C36" i="2"/>
  <c r="C35" i="2"/>
  <c r="C39" i="2"/>
  <c r="E389" i="2"/>
  <c r="G389" i="2" s="1"/>
  <c r="E382" i="2"/>
  <c r="E390" i="2"/>
  <c r="G390" i="2" s="1"/>
  <c r="E388" i="2"/>
  <c r="G388" i="2" s="1"/>
  <c r="E387" i="2"/>
  <c r="G387" i="2" s="1"/>
  <c r="E386" i="2"/>
  <c r="G386" i="2" s="1"/>
  <c r="E385" i="2"/>
  <c r="G385" i="2" s="1"/>
  <c r="E392" i="2"/>
  <c r="G392" i="2" s="1"/>
  <c r="E383" i="2"/>
  <c r="G383" i="2" s="1"/>
  <c r="E393" i="2"/>
  <c r="G393" i="2" s="1"/>
  <c r="E391" i="2"/>
  <c r="G391" i="2" s="1"/>
  <c r="E384" i="2"/>
  <c r="G384" i="2" s="1"/>
  <c r="C169" i="2" a="1"/>
  <c r="E169" i="2" a="1"/>
  <c r="B307" i="2"/>
  <c r="B308" i="2"/>
  <c r="B305" i="2"/>
  <c r="B304" i="2"/>
  <c r="B311" i="2"/>
  <c r="B303" i="2"/>
  <c r="B310" i="2"/>
  <c r="B309" i="2"/>
  <c r="E373" i="1" a="1"/>
  <c r="C458" i="1" a="1"/>
  <c r="C482" i="1"/>
  <c r="E482" i="1"/>
  <c r="G482" i="1" s="1"/>
  <c r="E545" i="1" a="1"/>
  <c r="B545" i="1" a="1"/>
  <c r="E636" i="1" a="1"/>
  <c r="C636" i="1" a="1"/>
  <c r="C127" i="2" a="1"/>
  <c r="B225" i="2" a="1"/>
  <c r="E487" i="2" a="1"/>
  <c r="C487" i="2" a="1"/>
  <c r="C483" i="1"/>
  <c r="E483" i="1"/>
  <c r="G483" i="1" s="1"/>
  <c r="B492" i="1" a="1"/>
  <c r="C492" i="1" a="1"/>
  <c r="C652" i="1" a="1"/>
  <c r="E688" i="1" a="1"/>
  <c r="B34" i="2" a="1"/>
  <c r="C205" i="2"/>
  <c r="C204" i="2"/>
  <c r="C208" i="2"/>
  <c r="C207" i="2"/>
  <c r="C206" i="2"/>
  <c r="C203" i="2"/>
  <c r="B402" i="1" a="1"/>
  <c r="E458" i="1" a="1"/>
  <c r="B476" i="1" a="1"/>
  <c r="C595" i="1" a="1"/>
  <c r="B636" i="1" a="1"/>
  <c r="E237" i="2"/>
  <c r="G237" i="2" s="1"/>
  <c r="E229" i="2"/>
  <c r="G229" i="2" s="1"/>
  <c r="E231" i="2"/>
  <c r="G231" i="2" s="1"/>
  <c r="E239" i="2"/>
  <c r="G239" i="2" s="1"/>
  <c r="E230" i="2"/>
  <c r="G230" i="2" s="1"/>
  <c r="E235" i="2"/>
  <c r="G235" i="2" s="1"/>
  <c r="E225" i="2"/>
  <c r="E234" i="2"/>
  <c r="G234" i="2" s="1"/>
  <c r="E233" i="2"/>
  <c r="G233" i="2" s="1"/>
  <c r="E232" i="2"/>
  <c r="G232" i="2" s="1"/>
  <c r="E227" i="2"/>
  <c r="G227" i="2" s="1"/>
  <c r="E226" i="2"/>
  <c r="G226" i="2" s="1"/>
  <c r="E238" i="2"/>
  <c r="G238" i="2" s="1"/>
  <c r="E287" i="2" a="1"/>
  <c r="E481" i="1"/>
  <c r="G481" i="1" s="1"/>
  <c r="E485" i="1"/>
  <c r="G485" i="1" s="1"/>
  <c r="E477" i="1"/>
  <c r="G477" i="1" s="1"/>
  <c r="C484" i="1"/>
  <c r="C480" i="1"/>
  <c r="E47" i="2" a="1"/>
  <c r="C47" i="2" a="1"/>
  <c r="B47" i="2" a="1"/>
  <c r="B90" i="2"/>
  <c r="B88" i="2"/>
  <c r="B93" i="2"/>
  <c r="B91" i="2"/>
  <c r="B87" i="2"/>
  <c r="B86" i="2"/>
  <c r="E92" i="2"/>
  <c r="G92" i="2" s="1"/>
  <c r="E85" i="2"/>
  <c r="G85" i="2" s="1"/>
  <c r="E90" i="2"/>
  <c r="G90" i="2" s="1"/>
  <c r="E93" i="2"/>
  <c r="G93" i="2" s="1"/>
  <c r="E89" i="2"/>
  <c r="G89" i="2" s="1"/>
  <c r="E87" i="2"/>
  <c r="G87" i="2" s="1"/>
  <c r="E86" i="2"/>
  <c r="B293" i="2"/>
  <c r="B294" i="2"/>
  <c r="B291" i="2"/>
  <c r="B290" i="2"/>
  <c r="B297" i="2"/>
  <c r="B288" i="2"/>
  <c r="B289" i="2"/>
  <c r="B287" i="2"/>
  <c r="B298" i="2"/>
  <c r="B295" i="2"/>
  <c r="B292" i="2"/>
  <c r="C420" i="2"/>
  <c r="C413" i="2"/>
  <c r="C421" i="2"/>
  <c r="C422" i="2"/>
  <c r="C419" i="2"/>
  <c r="C418" i="2"/>
  <c r="C417" i="2"/>
  <c r="C416" i="2"/>
  <c r="C424" i="2"/>
  <c r="C414" i="2"/>
  <c r="C425" i="2"/>
  <c r="C423" i="2"/>
  <c r="C415" i="2"/>
  <c r="E590" i="2"/>
  <c r="G590" i="2" s="1"/>
  <c r="E593" i="2"/>
  <c r="G593" i="2" s="1"/>
  <c r="E592" i="2"/>
  <c r="G592" i="2" s="1"/>
  <c r="E588" i="2"/>
  <c r="G588" i="2" s="1"/>
  <c r="E589" i="2"/>
  <c r="G589" i="2" s="1"/>
  <c r="E587" i="2"/>
  <c r="E591" i="2"/>
  <c r="G591" i="2" s="1"/>
  <c r="C478" i="1"/>
  <c r="E478" i="1"/>
  <c r="G478" i="1" s="1"/>
  <c r="E701" i="1" a="1"/>
  <c r="E34" i="2" a="1"/>
  <c r="B89" i="2"/>
  <c r="E88" i="2"/>
  <c r="G88" i="2" s="1"/>
  <c r="E205" i="2"/>
  <c r="G205" i="2" s="1"/>
  <c r="E204" i="2"/>
  <c r="G204" i="2" s="1"/>
  <c r="E202" i="2"/>
  <c r="E208" i="2"/>
  <c r="G208" i="2" s="1"/>
  <c r="E207" i="2"/>
  <c r="G207" i="2" s="1"/>
  <c r="E206" i="2"/>
  <c r="G206" i="2" s="1"/>
  <c r="E203" i="2"/>
  <c r="G203" i="2" s="1"/>
  <c r="E236" i="2"/>
  <c r="G236" i="2" s="1"/>
  <c r="B4" i="2" a="1"/>
  <c r="C67" i="2" a="1"/>
  <c r="C85" i="2" a="1"/>
  <c r="E197" i="2"/>
  <c r="G197" i="2" s="1"/>
  <c r="C316" i="2" a="1"/>
  <c r="B413" i="2" a="1"/>
  <c r="E413" i="2" a="1"/>
  <c r="B701" i="1" a="1"/>
  <c r="C112" i="2" a="1"/>
  <c r="E156" i="2" a="1"/>
  <c r="E185" i="2"/>
  <c r="C225" i="2" a="1"/>
  <c r="B487" i="2" a="1"/>
  <c r="B627" i="2" a="1"/>
  <c r="E627" i="2" a="1"/>
  <c r="C139" i="2" a="1"/>
  <c r="C156" i="2" a="1"/>
  <c r="C185" i="2" a="1"/>
  <c r="C213" i="2" a="1"/>
  <c r="B213" i="2" a="1"/>
  <c r="E375" i="2"/>
  <c r="G375" i="2" s="1"/>
  <c r="E370" i="2"/>
  <c r="E377" i="2"/>
  <c r="G377" i="2" s="1"/>
  <c r="E376" i="2"/>
  <c r="G376" i="2" s="1"/>
  <c r="E374" i="2"/>
  <c r="G374" i="2" s="1"/>
  <c r="E372" i="2"/>
  <c r="G372" i="2" s="1"/>
  <c r="E373" i="2"/>
  <c r="G373" i="2" s="1"/>
  <c r="E371" i="2"/>
  <c r="G371" i="2" s="1"/>
  <c r="B382" i="2" a="1"/>
  <c r="E471" i="2" a="1"/>
  <c r="C471" i="2" a="1"/>
  <c r="B471" i="2" a="1"/>
  <c r="E191" i="2"/>
  <c r="G191" i="2" s="1"/>
  <c r="E190" i="2"/>
  <c r="G190" i="2" s="1"/>
  <c r="E195" i="2"/>
  <c r="G195" i="2" s="1"/>
  <c r="E193" i="2"/>
  <c r="G193" i="2" s="1"/>
  <c r="E192" i="2"/>
  <c r="G192" i="2" s="1"/>
  <c r="C273" i="2" a="1"/>
  <c r="E555" i="2" a="1"/>
  <c r="B555" i="2" a="1"/>
  <c r="E595" i="1" a="1"/>
  <c r="E67" i="2" a="1"/>
  <c r="B127" i="2" a="1"/>
  <c r="E189" i="2"/>
  <c r="G189" i="2" s="1"/>
  <c r="C529" i="2"/>
  <c r="C522" i="2"/>
  <c r="C527" i="2"/>
  <c r="C525" i="2"/>
  <c r="C523" i="2"/>
  <c r="C533" i="2"/>
  <c r="C532" i="2"/>
  <c r="C531" i="2"/>
  <c r="C530" i="2"/>
  <c r="C528" i="2"/>
  <c r="C526" i="2"/>
  <c r="B156" i="2" a="1"/>
  <c r="C342" i="2" a="1"/>
  <c r="B460" i="2"/>
  <c r="B462" i="2"/>
  <c r="B454" i="2"/>
  <c r="B458" i="2"/>
  <c r="B457" i="2"/>
  <c r="B466" i="2"/>
  <c r="B456" i="2"/>
  <c r="B465" i="2"/>
  <c r="B455" i="2"/>
  <c r="B464" i="2"/>
  <c r="B463" i="2"/>
  <c r="B461" i="2"/>
  <c r="B664" i="2"/>
  <c r="B670" i="2"/>
  <c r="B669" i="2"/>
  <c r="B666" i="2"/>
  <c r="B671" i="2"/>
  <c r="B668" i="2"/>
  <c r="B667" i="2"/>
  <c r="B665" i="2"/>
  <c r="B663" i="2"/>
  <c r="E363" i="2"/>
  <c r="G363" i="2" s="1"/>
  <c r="E361" i="2"/>
  <c r="G361" i="2" s="1"/>
  <c r="E360" i="2"/>
  <c r="G360" i="2" s="1"/>
  <c r="E359" i="2"/>
  <c r="G359" i="2" s="1"/>
  <c r="E358" i="2"/>
  <c r="G358" i="2" s="1"/>
  <c r="E365" i="2"/>
  <c r="G365" i="2" s="1"/>
  <c r="E357" i="2"/>
  <c r="B459" i="2"/>
  <c r="E342" i="2" a="1"/>
  <c r="E532" i="2"/>
  <c r="G532" i="2" s="1"/>
  <c r="E524" i="2"/>
  <c r="G524" i="2" s="1"/>
  <c r="E533" i="2"/>
  <c r="G533" i="2" s="1"/>
  <c r="E523" i="2"/>
  <c r="G523" i="2" s="1"/>
  <c r="E530" i="2"/>
  <c r="G530" i="2" s="1"/>
  <c r="E522" i="2"/>
  <c r="E531" i="2"/>
  <c r="G531" i="2" s="1"/>
  <c r="E529" i="2"/>
  <c r="G529" i="2" s="1"/>
  <c r="E528" i="2"/>
  <c r="G528" i="2" s="1"/>
  <c r="E527" i="2"/>
  <c r="G527" i="2" s="1"/>
  <c r="E526" i="2"/>
  <c r="G526" i="2" s="1"/>
  <c r="E538" i="2" a="1"/>
  <c r="C538" i="2" a="1"/>
  <c r="B538" i="2" a="1"/>
  <c r="B574" i="2" a="1"/>
  <c r="C574" i="2" a="1"/>
  <c r="E112" i="2" a="1"/>
  <c r="B112" i="2" a="1"/>
  <c r="E244" i="2" a="1"/>
  <c r="C303" i="2" a="1"/>
  <c r="E364" i="2"/>
  <c r="G364" i="2" s="1"/>
  <c r="C382" i="2" a="1"/>
  <c r="E408" i="2"/>
  <c r="G408" i="2" s="1"/>
  <c r="E405" i="2"/>
  <c r="G405" i="2" s="1"/>
  <c r="E398" i="2"/>
  <c r="E402" i="2"/>
  <c r="G402" i="2" s="1"/>
  <c r="E401" i="2"/>
  <c r="G401" i="2" s="1"/>
  <c r="E400" i="2"/>
  <c r="G400" i="2" s="1"/>
  <c r="E399" i="2"/>
  <c r="G399" i="2" s="1"/>
  <c r="E407" i="2"/>
  <c r="G407" i="2" s="1"/>
  <c r="E404" i="2"/>
  <c r="G404" i="2" s="1"/>
  <c r="B273" i="2" a="1"/>
  <c r="C287" i="2" a="1"/>
  <c r="E316" i="2" a="1"/>
  <c r="B377" i="2"/>
  <c r="B370" i="2"/>
  <c r="B376" i="2"/>
  <c r="B375" i="2"/>
  <c r="B374" i="2"/>
  <c r="B372" i="2"/>
  <c r="C524" i="2"/>
  <c r="E259" i="2" a="1"/>
  <c r="B316" i="2" a="1"/>
  <c r="C357" i="2"/>
  <c r="C372" i="2"/>
  <c r="B401" i="2"/>
  <c r="C398" i="2" a="1"/>
  <c r="E454" i="2" a="1"/>
  <c r="E501" i="2" a="1"/>
  <c r="C501" i="2" a="1"/>
  <c r="B501" i="2" a="1"/>
  <c r="C615" i="2"/>
  <c r="C619" i="2"/>
  <c r="C611" i="2"/>
  <c r="C618" i="2"/>
  <c r="C614" i="2"/>
  <c r="C620" i="2"/>
  <c r="C616" i="2"/>
  <c r="C612" i="2"/>
  <c r="E679" i="2"/>
  <c r="G679" i="2" s="1"/>
  <c r="E685" i="2"/>
  <c r="G685" i="2" s="1"/>
  <c r="E677" i="2"/>
  <c r="G677" i="2" s="1"/>
  <c r="E684" i="2"/>
  <c r="G684" i="2" s="1"/>
  <c r="E681" i="2"/>
  <c r="G681" i="2" s="1"/>
  <c r="E678" i="2"/>
  <c r="G678" i="2" s="1"/>
  <c r="E682" i="2"/>
  <c r="G682" i="2" s="1"/>
  <c r="BI6" i="4"/>
  <c r="AO75" i="4"/>
  <c r="BD9" i="4"/>
  <c r="E430" i="2" a="1"/>
  <c r="E663" i="2" a="1"/>
  <c r="E273" i="2" a="1"/>
  <c r="B360" i="2"/>
  <c r="C374" i="2"/>
  <c r="B403" i="2"/>
  <c r="C598" i="2" a="1"/>
  <c r="E598" i="2" a="1"/>
  <c r="B598" i="2" a="1"/>
  <c r="C617" i="2"/>
  <c r="C670" i="2"/>
  <c r="C663" i="2"/>
  <c r="C669" i="2"/>
  <c r="C668" i="2"/>
  <c r="C665" i="2"/>
  <c r="C671" i="2"/>
  <c r="C667" i="2"/>
  <c r="C664" i="2"/>
  <c r="B259" i="2" a="1"/>
  <c r="E303" i="2" a="1"/>
  <c r="B342" i="2" a="1"/>
  <c r="B361" i="2"/>
  <c r="C360" i="2"/>
  <c r="C375" i="2"/>
  <c r="B404" i="2"/>
  <c r="C454" i="2" a="1"/>
  <c r="E620" i="2"/>
  <c r="G620" i="2" s="1"/>
  <c r="E612" i="2"/>
  <c r="G612" i="2" s="1"/>
  <c r="E617" i="2"/>
  <c r="G617" i="2" s="1"/>
  <c r="E616" i="2"/>
  <c r="G616" i="2" s="1"/>
  <c r="E613" i="2"/>
  <c r="G613" i="2" s="1"/>
  <c r="E611" i="2"/>
  <c r="E619" i="2"/>
  <c r="G619" i="2" s="1"/>
  <c r="E615" i="2"/>
  <c r="G615" i="2" s="1"/>
  <c r="E645" i="2" a="1"/>
  <c r="C666" i="2"/>
  <c r="AW5" i="4"/>
  <c r="BE5" i="4"/>
  <c r="B362" i="2"/>
  <c r="C361" i="2"/>
  <c r="C377" i="2"/>
  <c r="C430" i="2" a="1"/>
  <c r="E574" i="2" a="1"/>
  <c r="E618" i="2"/>
  <c r="G618" i="2" s="1"/>
  <c r="E680" i="2"/>
  <c r="G680" i="2" s="1"/>
  <c r="C370" i="2"/>
  <c r="B405" i="2"/>
  <c r="B398" i="2"/>
  <c r="B407" i="2"/>
  <c r="B430" i="2" a="1"/>
  <c r="E683" i="2"/>
  <c r="G683" i="2" s="1"/>
  <c r="BF4" i="4"/>
  <c r="B399" i="2"/>
  <c r="B408" i="2"/>
  <c r="B522" i="2" a="1"/>
  <c r="C555" i="2" a="1"/>
  <c r="B590" i="2"/>
  <c r="B591" i="2"/>
  <c r="B589" i="2"/>
  <c r="B592" i="2"/>
  <c r="AZ7" i="4"/>
  <c r="BH7" i="4"/>
  <c r="AV9" i="4"/>
  <c r="AY22" i="4"/>
  <c r="BK22" i="4" s="1"/>
  <c r="BG22" i="4"/>
  <c r="BK45" i="4"/>
  <c r="C627" i="2" a="1"/>
  <c r="AZ5" i="4"/>
  <c r="BH5" i="4"/>
  <c r="BK6" i="4"/>
  <c r="AY9" i="4"/>
  <c r="BG9" i="4"/>
  <c r="AX26" i="4"/>
  <c r="BA26" i="4"/>
  <c r="BK26" i="4" s="1"/>
  <c r="BI26" i="4"/>
  <c r="AZ39" i="4"/>
  <c r="BE39" i="4"/>
  <c r="BK39" i="4" s="1"/>
  <c r="BH39" i="4"/>
  <c r="W75" i="4"/>
  <c r="BC3" i="4"/>
  <c r="AE75" i="4"/>
  <c r="BE3" i="4"/>
  <c r="AM75" i="4"/>
  <c r="BB6" i="4"/>
  <c r="AX16" i="4"/>
  <c r="BI16" i="4"/>
  <c r="BK18" i="4"/>
  <c r="BB19" i="4"/>
  <c r="BK29" i="4"/>
  <c r="AY31" i="4"/>
  <c r="BK31" i="4" s="1"/>
  <c r="BG31" i="4"/>
  <c r="BD34" i="4"/>
  <c r="BB41" i="4"/>
  <c r="BJ41" i="4"/>
  <c r="BJ44" i="4"/>
  <c r="BK63" i="4"/>
  <c r="B645" i="2" a="1"/>
  <c r="AF75" i="4"/>
  <c r="BK16" i="4"/>
  <c r="B618" i="2"/>
  <c r="B611" i="2"/>
  <c r="B612" i="2"/>
  <c r="B620" i="2"/>
  <c r="B616" i="2"/>
  <c r="C645" i="2" a="1"/>
  <c r="I75" i="4"/>
  <c r="Q75" i="4"/>
  <c r="BA3" i="4"/>
  <c r="AG75" i="4"/>
  <c r="BI3" i="4"/>
  <c r="BE4" i="4"/>
  <c r="AV17" i="4"/>
  <c r="BK28" i="4"/>
  <c r="BB33" i="4"/>
  <c r="BJ33" i="4"/>
  <c r="C587" i="2" a="1"/>
  <c r="B617" i="2"/>
  <c r="C677" i="2" a="1"/>
  <c r="BB7" i="4"/>
  <c r="BJ7" i="4"/>
  <c r="BK10" i="4"/>
  <c r="B619" i="2"/>
  <c r="B690" i="2" a="1"/>
  <c r="C75" i="4"/>
  <c r="K75" i="4"/>
  <c r="AY3" i="4"/>
  <c r="BK3" i="4" s="1"/>
  <c r="S75" i="4"/>
  <c r="AA75" i="4"/>
  <c r="AI75" i="4"/>
  <c r="BF3" i="4"/>
  <c r="AY8" i="4"/>
  <c r="BG8" i="4"/>
  <c r="BK8" i="4" s="1"/>
  <c r="BF13" i="4"/>
  <c r="BC15" i="4"/>
  <c r="BF15" i="4"/>
  <c r="BJ17" i="4"/>
  <c r="AW20" i="4"/>
  <c r="BB20" i="4"/>
  <c r="BC27" i="4"/>
  <c r="BK27" i="4" s="1"/>
  <c r="AW30" i="4"/>
  <c r="BK30" i="4" s="1"/>
  <c r="BB30" i="4"/>
  <c r="BE30" i="4"/>
  <c r="BJ30" i="4"/>
  <c r="BF47" i="4"/>
  <c r="E690" i="2" a="1"/>
  <c r="B75" i="4"/>
  <c r="J75" i="4"/>
  <c r="R75" i="4"/>
  <c r="Z75" i="4"/>
  <c r="AH75" i="4"/>
  <c r="AP75" i="4"/>
  <c r="AX4" i="4"/>
  <c r="BA5" i="4"/>
  <c r="BI5" i="4"/>
  <c r="AW9" i="4"/>
  <c r="BE9" i="4"/>
  <c r="AZ10" i="4"/>
  <c r="BH10" i="4"/>
  <c r="BC11" i="4"/>
  <c r="BA13" i="4"/>
  <c r="BK13" i="4" s="1"/>
  <c r="BI13" i="4"/>
  <c r="AV14" i="4"/>
  <c r="BD14" i="4"/>
  <c r="AY15" i="4"/>
  <c r="BK15" i="4" s="1"/>
  <c r="BG15" i="4"/>
  <c r="AW17" i="4"/>
  <c r="BE17" i="4"/>
  <c r="BC19" i="4"/>
  <c r="BA21" i="4"/>
  <c r="BK21" i="4" s="1"/>
  <c r="BI21" i="4"/>
  <c r="AZ23" i="4"/>
  <c r="BC23" i="4"/>
  <c r="BK23" i="4" s="1"/>
  <c r="BH23" i="4"/>
  <c r="AX39" i="4"/>
  <c r="AX48" i="4"/>
  <c r="BK48" i="4" s="1"/>
  <c r="AX40" i="4"/>
  <c r="C690" i="2" a="1"/>
  <c r="D75" i="4"/>
  <c r="T75" i="4"/>
  <c r="BB3" i="4"/>
  <c r="AJ75" i="4"/>
  <c r="AR75" i="4"/>
  <c r="BJ3" i="4"/>
  <c r="AY51" i="4"/>
  <c r="BG51" i="4"/>
  <c r="BB55" i="4"/>
  <c r="BJ55" i="4"/>
  <c r="BK55" i="4" s="1"/>
  <c r="BK62" i="4"/>
  <c r="B677" i="2" a="1"/>
  <c r="U75" i="4"/>
  <c r="BD3" i="4"/>
  <c r="BA10" i="4"/>
  <c r="AV11" i="4"/>
  <c r="BD11" i="4"/>
  <c r="AY12" i="4"/>
  <c r="BG12" i="4"/>
  <c r="BK12" i="4" s="1"/>
  <c r="AW14" i="4"/>
  <c r="BE14" i="4"/>
  <c r="AZ15" i="4"/>
  <c r="BH15" i="4"/>
  <c r="BC16" i="4"/>
  <c r="AV19" i="4"/>
  <c r="BD19" i="4"/>
  <c r="AY20" i="4"/>
  <c r="BK20" i="4" s="1"/>
  <c r="BG20" i="4"/>
  <c r="AW24" i="4"/>
  <c r="BK24" i="4" s="1"/>
  <c r="BE24" i="4"/>
  <c r="BC26" i="4"/>
  <c r="BA28" i="4"/>
  <c r="BI28" i="4"/>
  <c r="AY30" i="4"/>
  <c r="BG30" i="4"/>
  <c r="AW32" i="4"/>
  <c r="BK32" i="4" s="1"/>
  <c r="BE32" i="4"/>
  <c r="BF37" i="4"/>
  <c r="AZ38" i="4"/>
  <c r="AX45" i="4"/>
  <c r="AV61" i="4"/>
  <c r="BD61" i="4"/>
  <c r="BK65" i="4"/>
  <c r="BB67" i="4"/>
  <c r="V75" i="4"/>
  <c r="AW4" i="4"/>
  <c r="BK4" i="4" s="1"/>
  <c r="BB5" i="4"/>
  <c r="BJ5" i="4"/>
  <c r="AY7" i="4"/>
  <c r="BK7" i="4" s="1"/>
  <c r="BG7" i="4"/>
  <c r="AX9" i="4"/>
  <c r="BF9" i="4"/>
  <c r="BB13" i="4"/>
  <c r="BJ13" i="4"/>
  <c r="AX17" i="4"/>
  <c r="BF17" i="4"/>
  <c r="AW21" i="4"/>
  <c r="BB21" i="4"/>
  <c r="BJ21" i="4"/>
  <c r="AY23" i="4"/>
  <c r="BG23" i="4"/>
  <c r="AZ35" i="4"/>
  <c r="AX37" i="4"/>
  <c r="BA37" i="4"/>
  <c r="AW39" i="4"/>
  <c r="BB39" i="4"/>
  <c r="BG40" i="4"/>
  <c r="BE52" i="4"/>
  <c r="E75" i="4"/>
  <c r="AC75" i="4"/>
  <c r="AK75" i="4"/>
  <c r="AX33" i="4"/>
  <c r="BK33" i="4" s="1"/>
  <c r="BF33" i="4"/>
  <c r="AV35" i="4"/>
  <c r="BK35" i="4" s="1"/>
  <c r="BD35" i="4"/>
  <c r="BB37" i="4"/>
  <c r="BJ37" i="4"/>
  <c r="BK37" i="4" s="1"/>
  <c r="AX38" i="4"/>
  <c r="BF38" i="4"/>
  <c r="BC40" i="4"/>
  <c r="BB42" i="4"/>
  <c r="BJ42" i="4"/>
  <c r="AX46" i="4"/>
  <c r="BF46" i="4"/>
  <c r="BC50" i="4"/>
  <c r="BK50" i="4" s="1"/>
  <c r="AV51" i="4"/>
  <c r="BD51" i="4"/>
  <c r="AV54" i="4"/>
  <c r="BD54" i="4"/>
  <c r="AY56" i="4"/>
  <c r="BK56" i="4" s="1"/>
  <c r="BG56" i="4"/>
  <c r="AV59" i="4"/>
  <c r="BD59" i="4"/>
  <c r="BC60" i="4"/>
  <c r="BK60" i="4"/>
  <c r="BA66" i="4"/>
  <c r="BK69" i="4"/>
  <c r="BK74" i="4"/>
  <c r="F75" i="4"/>
  <c r="N75" i="4"/>
  <c r="AD75" i="4"/>
  <c r="AL75" i="4"/>
  <c r="BA39" i="4"/>
  <c r="BI39" i="4"/>
  <c r="AZ42" i="4"/>
  <c r="BK42" i="4" s="1"/>
  <c r="BH42" i="4"/>
  <c r="BA45" i="4"/>
  <c r="BI45" i="4"/>
  <c r="AV46" i="4"/>
  <c r="BK46" i="4" s="1"/>
  <c r="BD46" i="4"/>
  <c r="AW49" i="4"/>
  <c r="BK49" i="4" s="1"/>
  <c r="BE49" i="4"/>
  <c r="AZ52" i="4"/>
  <c r="BK52" i="4" s="1"/>
  <c r="BH52" i="4"/>
  <c r="BC53" i="4"/>
  <c r="AY59" i="4"/>
  <c r="BG59" i="4"/>
  <c r="AY62" i="4"/>
  <c r="BG62" i="4"/>
  <c r="BK66" i="4"/>
  <c r="AV40" i="4"/>
  <c r="BK40" i="4" s="1"/>
  <c r="BD40" i="4"/>
  <c r="BA53" i="4"/>
  <c r="BI53" i="4"/>
  <c r="AW54" i="4"/>
  <c r="BE54" i="4"/>
  <c r="BC58" i="4"/>
  <c r="AW65" i="4"/>
  <c r="BB65" i="4"/>
  <c r="BE65" i="4"/>
  <c r="BJ65" i="4"/>
  <c r="AZ68" i="4"/>
  <c r="BK68" i="4" s="1"/>
  <c r="BH68" i="4"/>
  <c r="AY70" i="4"/>
  <c r="BB70" i="4"/>
  <c r="BJ70" i="4"/>
  <c r="BK70" i="4" s="1"/>
  <c r="BA34" i="4"/>
  <c r="BK34" i="4" s="1"/>
  <c r="BI34" i="4"/>
  <c r="AY36" i="4"/>
  <c r="BG36" i="4"/>
  <c r="BK36" i="4" s="1"/>
  <c r="AW38" i="4"/>
  <c r="BK38" i="4" s="1"/>
  <c r="BE38" i="4"/>
  <c r="BA42" i="4"/>
  <c r="BI42" i="4"/>
  <c r="AV43" i="4"/>
  <c r="BK43" i="4" s="1"/>
  <c r="BD43" i="4"/>
  <c r="AY44" i="4"/>
  <c r="BK44" i="4" s="1"/>
  <c r="BG44" i="4"/>
  <c r="AW46" i="4"/>
  <c r="BE46" i="4"/>
  <c r="AZ47" i="4"/>
  <c r="BK47" i="4" s="1"/>
  <c r="BH47" i="4"/>
  <c r="BC48" i="4"/>
  <c r="AV53" i="4"/>
  <c r="BD53" i="4"/>
  <c r="BA58" i="4"/>
  <c r="BK58" i="4" s="1"/>
  <c r="BI58" i="4"/>
  <c r="AZ65" i="4"/>
  <c r="BH65" i="4"/>
  <c r="AV67" i="4"/>
  <c r="BC68" i="4"/>
  <c r="AW70" i="4"/>
  <c r="AY41" i="4"/>
  <c r="BK41" i="4" s="1"/>
  <c r="BG41" i="4"/>
  <c r="AW57" i="4"/>
  <c r="BB57" i="4"/>
  <c r="BE57" i="4"/>
  <c r="BJ57" i="4"/>
  <c r="BK57" i="4" s="1"/>
  <c r="AX61" i="4"/>
  <c r="BA61" i="4"/>
  <c r="BF61" i="4"/>
  <c r="BI61" i="4"/>
  <c r="AV64" i="4"/>
  <c r="BD64" i="4"/>
  <c r="AY67" i="4"/>
  <c r="BD67" i="4"/>
  <c r="BG67" i="4"/>
  <c r="BC71" i="4"/>
  <c r="BC72" i="4"/>
  <c r="BA73" i="4"/>
  <c r="BI73" i="4"/>
  <c r="BK73" i="4" s="1"/>
  <c r="AV71" i="4"/>
  <c r="BK71" i="4" s="1"/>
  <c r="BD71" i="4"/>
  <c r="AY72" i="4"/>
  <c r="BK72" i="4" s="1"/>
  <c r="BG72" i="4"/>
  <c r="AX74" i="4"/>
  <c r="F39" i="9"/>
  <c r="C7" i="5"/>
  <c r="C15" i="5"/>
  <c r="C23" i="5"/>
  <c r="C31" i="5"/>
  <c r="C39" i="5"/>
  <c r="C47" i="5"/>
  <c r="C55" i="5"/>
  <c r="C63" i="5"/>
  <c r="C71" i="5"/>
  <c r="C79" i="5"/>
  <c r="C87" i="5"/>
  <c r="C95" i="5"/>
  <c r="C103" i="5"/>
  <c r="C111" i="5"/>
  <c r="C119" i="5"/>
  <c r="C127" i="5"/>
  <c r="C135" i="5"/>
  <c r="C143" i="5"/>
  <c r="C151" i="5"/>
  <c r="C159" i="5"/>
  <c r="C167" i="5"/>
  <c r="C175" i="5"/>
  <c r="C183" i="5"/>
  <c r="C191" i="5"/>
  <c r="C199" i="5"/>
  <c r="C207" i="5"/>
  <c r="C215" i="5"/>
  <c r="C223" i="5"/>
  <c r="C231" i="5"/>
  <c r="C239" i="5"/>
  <c r="C247" i="5"/>
  <c r="C255" i="5"/>
  <c r="C263" i="5"/>
  <c r="C271" i="5"/>
  <c r="C279" i="5"/>
  <c r="C287" i="5"/>
  <c r="C295" i="5"/>
  <c r="C303" i="5"/>
  <c r="C311" i="5"/>
  <c r="C319" i="5"/>
  <c r="C327" i="5"/>
  <c r="C335" i="5"/>
  <c r="C343" i="5"/>
  <c r="C351" i="5"/>
  <c r="C359" i="5"/>
  <c r="C367" i="5"/>
  <c r="C375" i="5"/>
  <c r="C383" i="5"/>
  <c r="C391" i="5"/>
  <c r="C399" i="5"/>
  <c r="C407" i="5"/>
  <c r="C415" i="5"/>
  <c r="C423" i="5"/>
  <c r="C431" i="5"/>
  <c r="C439" i="5"/>
  <c r="C447" i="5"/>
  <c r="C455" i="5"/>
  <c r="C463" i="5"/>
  <c r="C471" i="5"/>
  <c r="C479" i="5"/>
  <c r="C487" i="5"/>
  <c r="C495" i="5"/>
  <c r="C503" i="5"/>
  <c r="C511" i="5"/>
  <c r="C519" i="5"/>
  <c r="C527" i="5"/>
  <c r="C535" i="5"/>
  <c r="C543" i="5"/>
  <c r="P5" i="9"/>
  <c r="I10" i="9"/>
  <c r="F12" i="9"/>
  <c r="G12" i="9" s="1"/>
  <c r="P13" i="9"/>
  <c r="I18" i="9"/>
  <c r="P21" i="9"/>
  <c r="I26" i="9"/>
  <c r="P29" i="9"/>
  <c r="G37" i="9"/>
  <c r="C8" i="5"/>
  <c r="C16" i="5"/>
  <c r="C24" i="5"/>
  <c r="C32" i="5"/>
  <c r="C40" i="5"/>
  <c r="C48" i="5"/>
  <c r="C56" i="5"/>
  <c r="C64" i="5"/>
  <c r="C72" i="5"/>
  <c r="C80" i="5"/>
  <c r="C88" i="5"/>
  <c r="C96" i="5"/>
  <c r="C104" i="5"/>
  <c r="C112" i="5"/>
  <c r="C120" i="5"/>
  <c r="C128" i="5"/>
  <c r="C136" i="5"/>
  <c r="C144" i="5"/>
  <c r="C152" i="5"/>
  <c r="C160" i="5"/>
  <c r="C168" i="5"/>
  <c r="C176" i="5"/>
  <c r="C184" i="5"/>
  <c r="C192" i="5"/>
  <c r="C200" i="5"/>
  <c r="C208" i="5"/>
  <c r="C216" i="5"/>
  <c r="C224" i="5"/>
  <c r="C232" i="5"/>
  <c r="C240" i="5"/>
  <c r="C248" i="5"/>
  <c r="C256" i="5"/>
  <c r="C264" i="5"/>
  <c r="C272" i="5"/>
  <c r="C280" i="5"/>
  <c r="C288" i="5"/>
  <c r="C296" i="5"/>
  <c r="C304" i="5"/>
  <c r="C312" i="5"/>
  <c r="C320" i="5"/>
  <c r="C328" i="5"/>
  <c r="C336" i="5"/>
  <c r="C344" i="5"/>
  <c r="C352" i="5"/>
  <c r="C360" i="5"/>
  <c r="C368" i="5"/>
  <c r="C376" i="5"/>
  <c r="C384" i="5"/>
  <c r="C392" i="5"/>
  <c r="C400" i="5"/>
  <c r="C408" i="5"/>
  <c r="C416" i="5"/>
  <c r="C424" i="5"/>
  <c r="C432" i="5"/>
  <c r="C440" i="5"/>
  <c r="C448" i="5"/>
  <c r="C456" i="5"/>
  <c r="C464" i="5"/>
  <c r="C472" i="5"/>
  <c r="C480" i="5"/>
  <c r="C488" i="5"/>
  <c r="C496" i="5"/>
  <c r="C504" i="5"/>
  <c r="C512" i="5"/>
  <c r="C520" i="5"/>
  <c r="C528" i="5"/>
  <c r="C536" i="5"/>
  <c r="C544" i="5"/>
  <c r="P10" i="9"/>
  <c r="P18" i="9"/>
  <c r="P26" i="9"/>
  <c r="I31" i="9"/>
  <c r="C2" i="5"/>
  <c r="C9" i="5"/>
  <c r="C17" i="5"/>
  <c r="C25" i="5"/>
  <c r="C33" i="5"/>
  <c r="C41" i="5"/>
  <c r="C49" i="5"/>
  <c r="C57" i="5"/>
  <c r="C65" i="5"/>
  <c r="C73" i="5"/>
  <c r="C81" i="5"/>
  <c r="C89" i="5"/>
  <c r="C97" i="5"/>
  <c r="C105" i="5"/>
  <c r="C113" i="5"/>
  <c r="C121" i="5"/>
  <c r="C129" i="5"/>
  <c r="C137" i="5"/>
  <c r="C145" i="5"/>
  <c r="C153" i="5"/>
  <c r="C161" i="5"/>
  <c r="C169" i="5"/>
  <c r="C177" i="5"/>
  <c r="C185" i="5"/>
  <c r="C193" i="5"/>
  <c r="C201" i="5"/>
  <c r="C209" i="5"/>
  <c r="C217" i="5"/>
  <c r="C225" i="5"/>
  <c r="C233" i="5"/>
  <c r="C241" i="5"/>
  <c r="C249" i="5"/>
  <c r="C257" i="5"/>
  <c r="C265" i="5"/>
  <c r="C273" i="5"/>
  <c r="C281" i="5"/>
  <c r="C289" i="5"/>
  <c r="C297" i="5"/>
  <c r="C305" i="5"/>
  <c r="C313" i="5"/>
  <c r="C321" i="5"/>
  <c r="C329" i="5"/>
  <c r="C337" i="5"/>
  <c r="C345" i="5"/>
  <c r="C353" i="5"/>
  <c r="C361" i="5"/>
  <c r="C369" i="5"/>
  <c r="C377" i="5"/>
  <c r="C385" i="5"/>
  <c r="C393" i="5"/>
  <c r="C401" i="5"/>
  <c r="C409" i="5"/>
  <c r="C417" i="5"/>
  <c r="C425" i="5"/>
  <c r="C433" i="5"/>
  <c r="C441" i="5"/>
  <c r="C449" i="5"/>
  <c r="C457" i="5"/>
  <c r="C465" i="5"/>
  <c r="C473" i="5"/>
  <c r="C481" i="5"/>
  <c r="C489" i="5"/>
  <c r="C497" i="5"/>
  <c r="C505" i="5"/>
  <c r="C513" i="5"/>
  <c r="C521" i="5"/>
  <c r="C529" i="5"/>
  <c r="C537" i="5"/>
  <c r="C545" i="5"/>
  <c r="P7" i="9"/>
  <c r="P15" i="9"/>
  <c r="P23" i="9"/>
  <c r="P31" i="9"/>
  <c r="C10" i="5"/>
  <c r="C18" i="5"/>
  <c r="C26" i="5"/>
  <c r="C34" i="5"/>
  <c r="C42" i="5"/>
  <c r="C50" i="5"/>
  <c r="C58" i="5"/>
  <c r="C66" i="5"/>
  <c r="C74" i="5"/>
  <c r="C82" i="5"/>
  <c r="C90" i="5"/>
  <c r="C98" i="5"/>
  <c r="C106" i="5"/>
  <c r="C114" i="5"/>
  <c r="C122" i="5"/>
  <c r="C130" i="5"/>
  <c r="C138" i="5"/>
  <c r="C146" i="5"/>
  <c r="C154" i="5"/>
  <c r="C162" i="5"/>
  <c r="C170" i="5"/>
  <c r="C178" i="5"/>
  <c r="C186" i="5"/>
  <c r="C194" i="5"/>
  <c r="C202" i="5"/>
  <c r="C210" i="5"/>
  <c r="C218" i="5"/>
  <c r="C226" i="5"/>
  <c r="C234" i="5"/>
  <c r="C242" i="5"/>
  <c r="C250" i="5"/>
  <c r="C258" i="5"/>
  <c r="C266" i="5"/>
  <c r="C274" i="5"/>
  <c r="C282" i="5"/>
  <c r="C290" i="5"/>
  <c r="C298" i="5"/>
  <c r="C306" i="5"/>
  <c r="C314" i="5"/>
  <c r="C322" i="5"/>
  <c r="C330" i="5"/>
  <c r="C338" i="5"/>
  <c r="C346" i="5"/>
  <c r="C354" i="5"/>
  <c r="C362" i="5"/>
  <c r="C370" i="5"/>
  <c r="C378" i="5"/>
  <c r="C386" i="5"/>
  <c r="C394" i="5"/>
  <c r="C402" i="5"/>
  <c r="C410" i="5"/>
  <c r="C418" i="5"/>
  <c r="C426" i="5"/>
  <c r="C434" i="5"/>
  <c r="C442" i="5"/>
  <c r="C450" i="5"/>
  <c r="C458" i="5"/>
  <c r="C466" i="5"/>
  <c r="C474" i="5"/>
  <c r="C482" i="5"/>
  <c r="C490" i="5"/>
  <c r="C498" i="5"/>
  <c r="C506" i="5"/>
  <c r="C514" i="5"/>
  <c r="C522" i="5"/>
  <c r="C530" i="5"/>
  <c r="C538" i="5"/>
  <c r="C3" i="5"/>
  <c r="C11" i="5"/>
  <c r="C19" i="5"/>
  <c r="C27" i="5"/>
  <c r="C35" i="5"/>
  <c r="C43" i="5"/>
  <c r="C51" i="5"/>
  <c r="C59" i="5"/>
  <c r="C67" i="5"/>
  <c r="C75" i="5"/>
  <c r="C83" i="5"/>
  <c r="C91" i="5"/>
  <c r="C99" i="5"/>
  <c r="C107" i="5"/>
  <c r="C115" i="5"/>
  <c r="C123" i="5"/>
  <c r="C131" i="5"/>
  <c r="C139" i="5"/>
  <c r="C147" i="5"/>
  <c r="C155" i="5"/>
  <c r="C163" i="5"/>
  <c r="C171" i="5"/>
  <c r="C179" i="5"/>
  <c r="C187" i="5"/>
  <c r="C195" i="5"/>
  <c r="C203" i="5"/>
  <c r="C211" i="5"/>
  <c r="C219" i="5"/>
  <c r="C227" i="5"/>
  <c r="C235" i="5"/>
  <c r="C243" i="5"/>
  <c r="C251" i="5"/>
  <c r="C259" i="5"/>
  <c r="C267" i="5"/>
  <c r="C275" i="5"/>
  <c r="C283" i="5"/>
  <c r="C291" i="5"/>
  <c r="C299" i="5"/>
  <c r="C307" i="5"/>
  <c r="C315" i="5"/>
  <c r="C323" i="5"/>
  <c r="C331" i="5"/>
  <c r="C339" i="5"/>
  <c r="C347" i="5"/>
  <c r="C355" i="5"/>
  <c r="C363" i="5"/>
  <c r="C371" i="5"/>
  <c r="C379" i="5"/>
  <c r="C387" i="5"/>
  <c r="C395" i="5"/>
  <c r="C403" i="5"/>
  <c r="C411" i="5"/>
  <c r="C419" i="5"/>
  <c r="C427" i="5"/>
  <c r="C435" i="5"/>
  <c r="C443" i="5"/>
  <c r="C451" i="5"/>
  <c r="C459" i="5"/>
  <c r="C467" i="5"/>
  <c r="C475" i="5"/>
  <c r="C483" i="5"/>
  <c r="C491" i="5"/>
  <c r="C499" i="5"/>
  <c r="C507" i="5"/>
  <c r="C515" i="5"/>
  <c r="C523" i="5"/>
  <c r="C531" i="5"/>
  <c r="C539" i="5"/>
  <c r="G36" i="9"/>
  <c r="C4" i="5"/>
  <c r="C12" i="5"/>
  <c r="C20" i="5"/>
  <c r="C28" i="5"/>
  <c r="C36" i="5"/>
  <c r="C44" i="5"/>
  <c r="C52" i="5"/>
  <c r="C60" i="5"/>
  <c r="C68" i="5"/>
  <c r="C76" i="5"/>
  <c r="C84" i="5"/>
  <c r="C92" i="5"/>
  <c r="C100" i="5"/>
  <c r="C108" i="5"/>
  <c r="C116" i="5"/>
  <c r="C124" i="5"/>
  <c r="C132" i="5"/>
  <c r="C140" i="5"/>
  <c r="C148" i="5"/>
  <c r="C156" i="5"/>
  <c r="C164" i="5"/>
  <c r="C172" i="5"/>
  <c r="C180" i="5"/>
  <c r="C188" i="5"/>
  <c r="C196" i="5"/>
  <c r="C204" i="5"/>
  <c r="C212" i="5"/>
  <c r="C220" i="5"/>
  <c r="C228" i="5"/>
  <c r="C236" i="5"/>
  <c r="C244" i="5"/>
  <c r="C252" i="5"/>
  <c r="C260" i="5"/>
  <c r="C268" i="5"/>
  <c r="C276" i="5"/>
  <c r="C284" i="5"/>
  <c r="C292" i="5"/>
  <c r="C300" i="5"/>
  <c r="C308" i="5"/>
  <c r="C316" i="5"/>
  <c r="C324" i="5"/>
  <c r="C332" i="5"/>
  <c r="C340" i="5"/>
  <c r="C348" i="5"/>
  <c r="C356" i="5"/>
  <c r="C364" i="5"/>
  <c r="C372" i="5"/>
  <c r="C380" i="5"/>
  <c r="C388" i="5"/>
  <c r="C396" i="5"/>
  <c r="C404" i="5"/>
  <c r="C412" i="5"/>
  <c r="C420" i="5"/>
  <c r="C428" i="5"/>
  <c r="C436" i="5"/>
  <c r="C444" i="5"/>
  <c r="C452" i="5"/>
  <c r="C460" i="5"/>
  <c r="C468" i="5"/>
  <c r="C476" i="5"/>
  <c r="C484" i="5"/>
  <c r="C492" i="5"/>
  <c r="C500" i="5"/>
  <c r="C508" i="5"/>
  <c r="C516" i="5"/>
  <c r="C524" i="5"/>
  <c r="C532" i="5"/>
  <c r="C540" i="5"/>
  <c r="C5" i="5"/>
  <c r="C13" i="5"/>
  <c r="C21" i="5"/>
  <c r="C29" i="5"/>
  <c r="C37" i="5"/>
  <c r="C45" i="5"/>
  <c r="C53" i="5"/>
  <c r="C61" i="5"/>
  <c r="C69" i="5"/>
  <c r="C77" i="5"/>
  <c r="C85" i="5"/>
  <c r="C93" i="5"/>
  <c r="C101" i="5"/>
  <c r="C109" i="5"/>
  <c r="C117" i="5"/>
  <c r="C125" i="5"/>
  <c r="C133" i="5"/>
  <c r="C141" i="5"/>
  <c r="C149" i="5"/>
  <c r="C157" i="5"/>
  <c r="C165" i="5"/>
  <c r="C173" i="5"/>
  <c r="C181" i="5"/>
  <c r="C189" i="5"/>
  <c r="C197" i="5"/>
  <c r="C205" i="5"/>
  <c r="C213" i="5"/>
  <c r="C221" i="5"/>
  <c r="C229" i="5"/>
  <c r="C237" i="5"/>
  <c r="C245" i="5"/>
  <c r="C253" i="5"/>
  <c r="C261" i="5"/>
  <c r="C269" i="5"/>
  <c r="C277" i="5"/>
  <c r="C285" i="5"/>
  <c r="C293" i="5"/>
  <c r="C301" i="5"/>
  <c r="C309" i="5"/>
  <c r="C317" i="5"/>
  <c r="C325" i="5"/>
  <c r="C333" i="5"/>
  <c r="C341" i="5"/>
  <c r="C349" i="5"/>
  <c r="C357" i="5"/>
  <c r="C365" i="5"/>
  <c r="C373" i="5"/>
  <c r="C381" i="5"/>
  <c r="C389" i="5"/>
  <c r="C397" i="5"/>
  <c r="C405" i="5"/>
  <c r="C413" i="5"/>
  <c r="C421" i="5"/>
  <c r="C429" i="5"/>
  <c r="C437" i="5"/>
  <c r="C445" i="5"/>
  <c r="C453" i="5"/>
  <c r="C461" i="5"/>
  <c r="C469" i="5"/>
  <c r="C477" i="5"/>
  <c r="C485" i="5"/>
  <c r="C493" i="5"/>
  <c r="C501" i="5"/>
  <c r="C509" i="5"/>
  <c r="C517" i="5"/>
  <c r="C525" i="5"/>
  <c r="C533" i="5"/>
  <c r="C541" i="5"/>
  <c r="G5" i="9"/>
  <c r="E39" i="9"/>
  <c r="C6" i="5"/>
  <c r="C14" i="5"/>
  <c r="C22" i="5"/>
  <c r="C30" i="5"/>
  <c r="C38" i="5"/>
  <c r="C46" i="5"/>
  <c r="C54" i="5"/>
  <c r="C62" i="5"/>
  <c r="C70" i="5"/>
  <c r="C78" i="5"/>
  <c r="C86" i="5"/>
  <c r="C94" i="5"/>
  <c r="C102" i="5"/>
  <c r="C110" i="5"/>
  <c r="C118" i="5"/>
  <c r="C126" i="5"/>
  <c r="C134" i="5"/>
  <c r="C142" i="5"/>
  <c r="C150" i="5"/>
  <c r="C158" i="5"/>
  <c r="C166" i="5"/>
  <c r="C174" i="5"/>
  <c r="C182" i="5"/>
  <c r="C190" i="5"/>
  <c r="C198" i="5"/>
  <c r="C206" i="5"/>
  <c r="C214" i="5"/>
  <c r="C222" i="5"/>
  <c r="C230" i="5"/>
  <c r="C238" i="5"/>
  <c r="C246" i="5"/>
  <c r="C254" i="5"/>
  <c r="C262" i="5"/>
  <c r="C270" i="5"/>
  <c r="C278" i="5"/>
  <c r="C286" i="5"/>
  <c r="C294" i="5"/>
  <c r="C302" i="5"/>
  <c r="C310" i="5"/>
  <c r="C318" i="5"/>
  <c r="C326" i="5"/>
  <c r="C334" i="5"/>
  <c r="C342" i="5"/>
  <c r="C350" i="5"/>
  <c r="C358" i="5"/>
  <c r="C366" i="5"/>
  <c r="C374" i="5"/>
  <c r="C382" i="5"/>
  <c r="C390" i="5"/>
  <c r="C398" i="5"/>
  <c r="C406" i="5"/>
  <c r="C414" i="5"/>
  <c r="C422" i="5"/>
  <c r="C430" i="5"/>
  <c r="C438" i="5"/>
  <c r="C446" i="5"/>
  <c r="C454" i="5"/>
  <c r="C462" i="5"/>
  <c r="C470" i="5"/>
  <c r="C478" i="5"/>
  <c r="C486" i="5"/>
  <c r="C494" i="5"/>
  <c r="C502" i="5"/>
  <c r="C510" i="5"/>
  <c r="C518" i="5"/>
  <c r="C526" i="5"/>
  <c r="C534" i="5"/>
  <c r="E446" i="2" l="1"/>
  <c r="G446" i="2" s="1"/>
  <c r="E438" i="2"/>
  <c r="G438" i="2" s="1"/>
  <c r="E442" i="2"/>
  <c r="G442" i="2" s="1"/>
  <c r="E433" i="2"/>
  <c r="G433" i="2" s="1"/>
  <c r="E445" i="2"/>
  <c r="G445" i="2" s="1"/>
  <c r="E435" i="2"/>
  <c r="G435" i="2" s="1"/>
  <c r="E444" i="2"/>
  <c r="G444" i="2" s="1"/>
  <c r="E434" i="2"/>
  <c r="G434" i="2" s="1"/>
  <c r="E443" i="2"/>
  <c r="G443" i="2" s="1"/>
  <c r="E432" i="2"/>
  <c r="G432" i="2" s="1"/>
  <c r="E441" i="2"/>
  <c r="G441" i="2" s="1"/>
  <c r="E431" i="2"/>
  <c r="G431" i="2" s="1"/>
  <c r="E440" i="2"/>
  <c r="G440" i="2" s="1"/>
  <c r="E430" i="2"/>
  <c r="G430" i="2" s="1"/>
  <c r="E437" i="2"/>
  <c r="E447" i="2"/>
  <c r="G447" i="2" s="1"/>
  <c r="E439" i="2"/>
  <c r="G439" i="2" s="1"/>
  <c r="E436" i="2"/>
  <c r="G436" i="2" s="1"/>
  <c r="C682" i="1"/>
  <c r="C674" i="1"/>
  <c r="C680" i="1"/>
  <c r="C678" i="1"/>
  <c r="C676" i="1"/>
  <c r="C675" i="1"/>
  <c r="C681" i="1"/>
  <c r="C679" i="1"/>
  <c r="C677" i="1"/>
  <c r="E150" i="1"/>
  <c r="G150" i="1" s="1"/>
  <c r="E142" i="1"/>
  <c r="G142" i="1" s="1"/>
  <c r="E145" i="1"/>
  <c r="G145" i="1" s="1"/>
  <c r="E147" i="1"/>
  <c r="G147" i="1" s="1"/>
  <c r="E146" i="1"/>
  <c r="G146" i="1" s="1"/>
  <c r="E143" i="1"/>
  <c r="E152" i="1"/>
  <c r="G152" i="1" s="1"/>
  <c r="E151" i="1"/>
  <c r="G151" i="1" s="1"/>
  <c r="E141" i="1"/>
  <c r="G141" i="1" s="1"/>
  <c r="E149" i="1"/>
  <c r="G149" i="1" s="1"/>
  <c r="E148" i="1"/>
  <c r="G148" i="1" s="1"/>
  <c r="E144" i="1"/>
  <c r="G144" i="1" s="1"/>
  <c r="E390" i="3"/>
  <c r="G390" i="3" s="1"/>
  <c r="E387" i="3"/>
  <c r="G387" i="3" s="1"/>
  <c r="E392" i="3"/>
  <c r="G392" i="3" s="1"/>
  <c r="E382" i="3"/>
  <c r="E391" i="3"/>
  <c r="G391" i="3" s="1"/>
  <c r="E389" i="3"/>
  <c r="G389" i="3" s="1"/>
  <c r="E388" i="3"/>
  <c r="G388" i="3" s="1"/>
  <c r="E386" i="3"/>
  <c r="G386" i="3" s="1"/>
  <c r="E385" i="3"/>
  <c r="G385" i="3" s="1"/>
  <c r="E384" i="3"/>
  <c r="G384" i="3" s="1"/>
  <c r="E393" i="3"/>
  <c r="G393" i="3" s="1"/>
  <c r="E383" i="3"/>
  <c r="G383" i="3" s="1"/>
  <c r="E575" i="1"/>
  <c r="G575" i="1" s="1"/>
  <c r="E567" i="1"/>
  <c r="G567" i="1" s="1"/>
  <c r="E571" i="1"/>
  <c r="G571" i="1" s="1"/>
  <c r="E563" i="1"/>
  <c r="G563" i="1" s="1"/>
  <c r="E574" i="1"/>
  <c r="G574" i="1" s="1"/>
  <c r="E564" i="1"/>
  <c r="G564" i="1" s="1"/>
  <c r="E573" i="1"/>
  <c r="G573" i="1" s="1"/>
  <c r="E572" i="1"/>
  <c r="G572" i="1" s="1"/>
  <c r="E562" i="1"/>
  <c r="E569" i="1"/>
  <c r="G569" i="1" s="1"/>
  <c r="E568" i="1"/>
  <c r="G568" i="1" s="1"/>
  <c r="E577" i="1"/>
  <c r="G577" i="1" s="1"/>
  <c r="E576" i="1"/>
  <c r="G576" i="1" s="1"/>
  <c r="E566" i="1"/>
  <c r="G566" i="1" s="1"/>
  <c r="E565" i="1"/>
  <c r="G565" i="1" s="1"/>
  <c r="E570" i="1"/>
  <c r="G570" i="1" s="1"/>
  <c r="C279" i="1"/>
  <c r="C272" i="1"/>
  <c r="C274" i="1"/>
  <c r="C278" i="1"/>
  <c r="C277" i="1"/>
  <c r="C275" i="1"/>
  <c r="C273" i="1"/>
  <c r="C276" i="1"/>
  <c r="C281" i="1"/>
  <c r="C280" i="1"/>
  <c r="C93" i="1"/>
  <c r="C96" i="1"/>
  <c r="C88" i="1"/>
  <c r="C92" i="1"/>
  <c r="C89" i="1"/>
  <c r="C87" i="1"/>
  <c r="C90" i="1"/>
  <c r="C95" i="1"/>
  <c r="C91" i="1"/>
  <c r="C94" i="1"/>
  <c r="C135" i="1"/>
  <c r="C130" i="1"/>
  <c r="C134" i="1"/>
  <c r="C133" i="1"/>
  <c r="C131" i="1"/>
  <c r="C129" i="1"/>
  <c r="C136" i="1"/>
  <c r="C132" i="1"/>
  <c r="G225" i="3"/>
  <c r="E240" i="3"/>
  <c r="B38" i="3"/>
  <c r="B37" i="3"/>
  <c r="B36" i="3"/>
  <c r="B35" i="3"/>
  <c r="B41" i="3"/>
  <c r="B34" i="3"/>
  <c r="B40" i="3"/>
  <c r="B39" i="3"/>
  <c r="C9" i="3"/>
  <c r="C7" i="3"/>
  <c r="C8" i="3"/>
  <c r="C6" i="3"/>
  <c r="C5" i="3"/>
  <c r="C4" i="3"/>
  <c r="B334" i="3"/>
  <c r="B326" i="3"/>
  <c r="B318" i="3"/>
  <c r="B331" i="3"/>
  <c r="B323" i="3"/>
  <c r="B316" i="3"/>
  <c r="B337" i="3"/>
  <c r="B327" i="3"/>
  <c r="B336" i="3"/>
  <c r="B325" i="3"/>
  <c r="B335" i="3"/>
  <c r="B324" i="3"/>
  <c r="B333" i="3"/>
  <c r="B322" i="3"/>
  <c r="B332" i="3"/>
  <c r="B321" i="3"/>
  <c r="B330" i="3"/>
  <c r="B320" i="3"/>
  <c r="B329" i="3"/>
  <c r="B319" i="3"/>
  <c r="B317" i="3"/>
  <c r="B328" i="3"/>
  <c r="E248" i="3"/>
  <c r="G248" i="3" s="1"/>
  <c r="E253" i="3"/>
  <c r="G253" i="3" s="1"/>
  <c r="E245" i="3"/>
  <c r="E250" i="3"/>
  <c r="G250" i="3" s="1"/>
  <c r="E249" i="3"/>
  <c r="G249" i="3" s="1"/>
  <c r="E247" i="3"/>
  <c r="G247" i="3" s="1"/>
  <c r="E246" i="3"/>
  <c r="G246" i="3" s="1"/>
  <c r="E244" i="3"/>
  <c r="G244" i="3" s="1"/>
  <c r="E254" i="3"/>
  <c r="G254" i="3" s="1"/>
  <c r="E252" i="3"/>
  <c r="G252" i="3" s="1"/>
  <c r="E251" i="3"/>
  <c r="G251" i="3" s="1"/>
  <c r="B683" i="2"/>
  <c r="B678" i="2"/>
  <c r="B682" i="2"/>
  <c r="B684" i="2"/>
  <c r="B681" i="2"/>
  <c r="B680" i="2"/>
  <c r="B679" i="2"/>
  <c r="B677" i="2"/>
  <c r="B685" i="2"/>
  <c r="BK14" i="4"/>
  <c r="C665" i="1"/>
  <c r="C657" i="1"/>
  <c r="C656" i="1"/>
  <c r="C663" i="1"/>
  <c r="C654" i="1"/>
  <c r="C661" i="1"/>
  <c r="C660" i="1"/>
  <c r="C659" i="1"/>
  <c r="C658" i="1"/>
  <c r="C653" i="1"/>
  <c r="C652" i="1"/>
  <c r="C655" i="1"/>
  <c r="C664" i="1"/>
  <c r="C662" i="1"/>
  <c r="E420" i="3"/>
  <c r="G420" i="3" s="1"/>
  <c r="E413" i="3"/>
  <c r="G413" i="3" s="1"/>
  <c r="E425" i="3"/>
  <c r="G425" i="3" s="1"/>
  <c r="E417" i="3"/>
  <c r="G417" i="3" s="1"/>
  <c r="E423" i="3"/>
  <c r="G423" i="3" s="1"/>
  <c r="E422" i="3"/>
  <c r="G422" i="3" s="1"/>
  <c r="E414" i="3"/>
  <c r="G414" i="3" s="1"/>
  <c r="E421" i="3"/>
  <c r="G421" i="3" s="1"/>
  <c r="E419" i="3"/>
  <c r="E418" i="3"/>
  <c r="G418" i="3" s="1"/>
  <c r="E416" i="3"/>
  <c r="G416" i="3" s="1"/>
  <c r="E415" i="3"/>
  <c r="G415" i="3" s="1"/>
  <c r="E424" i="3"/>
  <c r="G424" i="3" s="1"/>
  <c r="E335" i="2"/>
  <c r="G335" i="2" s="1"/>
  <c r="E327" i="2"/>
  <c r="G327" i="2" s="1"/>
  <c r="E319" i="2"/>
  <c r="G319" i="2" s="1"/>
  <c r="E331" i="2"/>
  <c r="G331" i="2" s="1"/>
  <c r="E322" i="2"/>
  <c r="G322" i="2" s="1"/>
  <c r="E330" i="2"/>
  <c r="E321" i="2"/>
  <c r="G321" i="2" s="1"/>
  <c r="E329" i="2"/>
  <c r="G329" i="2" s="1"/>
  <c r="E320" i="2"/>
  <c r="G320" i="2" s="1"/>
  <c r="E337" i="2"/>
  <c r="G337" i="2" s="1"/>
  <c r="E328" i="2"/>
  <c r="G328" i="2" s="1"/>
  <c r="E318" i="2"/>
  <c r="G318" i="2" s="1"/>
  <c r="E334" i="2"/>
  <c r="G334" i="2" s="1"/>
  <c r="E325" i="2"/>
  <c r="G325" i="2" s="1"/>
  <c r="E316" i="2"/>
  <c r="G316" i="2" s="1"/>
  <c r="E336" i="2"/>
  <c r="G336" i="2" s="1"/>
  <c r="E333" i="2"/>
  <c r="G333" i="2" s="1"/>
  <c r="E332" i="2"/>
  <c r="G332" i="2" s="1"/>
  <c r="E326" i="2"/>
  <c r="G326" i="2" s="1"/>
  <c r="E323" i="2"/>
  <c r="G323" i="2" s="1"/>
  <c r="E317" i="2"/>
  <c r="G317" i="2" s="1"/>
  <c r="E324" i="2"/>
  <c r="G324" i="2" s="1"/>
  <c r="C77" i="2"/>
  <c r="C69" i="2"/>
  <c r="C75" i="2"/>
  <c r="C72" i="2"/>
  <c r="C80" i="2"/>
  <c r="C70" i="2"/>
  <c r="C78" i="2"/>
  <c r="C67" i="2"/>
  <c r="C76" i="2"/>
  <c r="C71" i="2"/>
  <c r="C68" i="2"/>
  <c r="C79" i="2"/>
  <c r="C74" i="2"/>
  <c r="C73" i="2"/>
  <c r="C494" i="1"/>
  <c r="C498" i="1"/>
  <c r="C497" i="1"/>
  <c r="C496" i="1"/>
  <c r="C495" i="1"/>
  <c r="C501" i="1"/>
  <c r="C492" i="1"/>
  <c r="C500" i="1"/>
  <c r="C499" i="1"/>
  <c r="C493" i="1"/>
  <c r="C639" i="1"/>
  <c r="C638" i="1"/>
  <c r="C645" i="1"/>
  <c r="C643" i="1"/>
  <c r="C641" i="1"/>
  <c r="C640" i="1"/>
  <c r="C637" i="1"/>
  <c r="C646" i="1"/>
  <c r="C644" i="1"/>
  <c r="C642" i="1"/>
  <c r="C636" i="1"/>
  <c r="E179" i="2"/>
  <c r="G179" i="2" s="1"/>
  <c r="E171" i="2"/>
  <c r="G171" i="2" s="1"/>
  <c r="E178" i="2"/>
  <c r="G178" i="2" s="1"/>
  <c r="E170" i="2"/>
  <c r="G170" i="2" s="1"/>
  <c r="E176" i="2"/>
  <c r="G176" i="2" s="1"/>
  <c r="E174" i="2"/>
  <c r="G174" i="2" s="1"/>
  <c r="E173" i="2"/>
  <c r="G173" i="2" s="1"/>
  <c r="E172" i="2"/>
  <c r="G172" i="2" s="1"/>
  <c r="E169" i="2"/>
  <c r="E180" i="2"/>
  <c r="G180" i="2" s="1"/>
  <c r="E175" i="2"/>
  <c r="G175" i="2" s="1"/>
  <c r="E177" i="2"/>
  <c r="G177" i="2" s="1"/>
  <c r="E178" i="1"/>
  <c r="G178" i="1" s="1"/>
  <c r="E181" i="1"/>
  <c r="G181" i="1" s="1"/>
  <c r="E173" i="1"/>
  <c r="G173" i="1" s="1"/>
  <c r="E172" i="1"/>
  <c r="G172" i="1" s="1"/>
  <c r="E171" i="1"/>
  <c r="G171" i="1" s="1"/>
  <c r="E179" i="1"/>
  <c r="G179" i="1" s="1"/>
  <c r="E177" i="1"/>
  <c r="G177" i="1" s="1"/>
  <c r="E176" i="1"/>
  <c r="G176" i="1" s="1"/>
  <c r="E180" i="1"/>
  <c r="G180" i="1" s="1"/>
  <c r="E175" i="1"/>
  <c r="G175" i="1" s="1"/>
  <c r="E174" i="1"/>
  <c r="G174" i="1" s="1"/>
  <c r="E170" i="1"/>
  <c r="C102" i="2"/>
  <c r="C100" i="2"/>
  <c r="C107" i="2"/>
  <c r="C105" i="2"/>
  <c r="C103" i="2"/>
  <c r="C101" i="2"/>
  <c r="C104" i="2"/>
  <c r="C99" i="2"/>
  <c r="C106" i="2"/>
  <c r="E262" i="1"/>
  <c r="G262" i="1" s="1"/>
  <c r="E265" i="1"/>
  <c r="G265" i="1" s="1"/>
  <c r="E260" i="1"/>
  <c r="G260" i="1" s="1"/>
  <c r="E259" i="1"/>
  <c r="G259" i="1" s="1"/>
  <c r="E267" i="1"/>
  <c r="G267" i="1" s="1"/>
  <c r="E257" i="1"/>
  <c r="E266" i="1"/>
  <c r="G266" i="1" s="1"/>
  <c r="E264" i="1"/>
  <c r="G264" i="1" s="1"/>
  <c r="E263" i="1"/>
  <c r="G263" i="1" s="1"/>
  <c r="E261" i="1"/>
  <c r="G261" i="1" s="1"/>
  <c r="E258" i="1"/>
  <c r="G258" i="1" s="1"/>
  <c r="E21" i="2"/>
  <c r="G21" i="2" s="1"/>
  <c r="E22" i="2"/>
  <c r="G22" i="2" s="1"/>
  <c r="E28" i="2"/>
  <c r="G28" i="2" s="1"/>
  <c r="E19" i="2"/>
  <c r="G19" i="2" s="1"/>
  <c r="E26" i="2"/>
  <c r="G26" i="2" s="1"/>
  <c r="E17" i="2"/>
  <c r="G17" i="2" s="1"/>
  <c r="E25" i="2"/>
  <c r="G25" i="2" s="1"/>
  <c r="E16" i="2"/>
  <c r="G16" i="2" s="1"/>
  <c r="E24" i="2"/>
  <c r="G24" i="2" s="1"/>
  <c r="E23" i="2"/>
  <c r="G23" i="2" s="1"/>
  <c r="E20" i="2"/>
  <c r="E15" i="2"/>
  <c r="G15" i="2" s="1"/>
  <c r="E27" i="2"/>
  <c r="G27" i="2" s="1"/>
  <c r="E18" i="2"/>
  <c r="G18" i="2" s="1"/>
  <c r="B247" i="2"/>
  <c r="B251" i="2"/>
  <c r="B250" i="2"/>
  <c r="B254" i="2"/>
  <c r="B244" i="2"/>
  <c r="B253" i="2"/>
  <c r="B252" i="2"/>
  <c r="B249" i="2"/>
  <c r="B246" i="2"/>
  <c r="B245" i="2"/>
  <c r="B248" i="2"/>
  <c r="E629" i="1"/>
  <c r="G629" i="1" s="1"/>
  <c r="E621" i="1"/>
  <c r="G621" i="1" s="1"/>
  <c r="E625" i="1"/>
  <c r="G625" i="1" s="1"/>
  <c r="E620" i="1"/>
  <c r="G620" i="1" s="1"/>
  <c r="E623" i="1"/>
  <c r="G623" i="1" s="1"/>
  <c r="E622" i="1"/>
  <c r="G622" i="1" s="1"/>
  <c r="E628" i="1"/>
  <c r="G628" i="1" s="1"/>
  <c r="E627" i="1"/>
  <c r="G627" i="1" s="1"/>
  <c r="E624" i="1"/>
  <c r="G624" i="1" s="1"/>
  <c r="E619" i="1"/>
  <c r="E626" i="1"/>
  <c r="G626" i="1" s="1"/>
  <c r="B585" i="1"/>
  <c r="B589" i="1"/>
  <c r="B582" i="1"/>
  <c r="B587" i="1"/>
  <c r="B586" i="1"/>
  <c r="B584" i="1"/>
  <c r="B583" i="1"/>
  <c r="B590" i="1"/>
  <c r="B588" i="1"/>
  <c r="C580" i="3"/>
  <c r="C579" i="3"/>
  <c r="C578" i="3"/>
  <c r="C581" i="3"/>
  <c r="C577" i="3"/>
  <c r="C576" i="3"/>
  <c r="C575" i="3"/>
  <c r="C582" i="3"/>
  <c r="C574" i="3"/>
  <c r="E340" i="1"/>
  <c r="G331" i="1"/>
  <c r="E204" i="1"/>
  <c r="G204" i="1" s="1"/>
  <c r="E207" i="1"/>
  <c r="G207" i="1" s="1"/>
  <c r="E206" i="1"/>
  <c r="G206" i="1" s="1"/>
  <c r="E205" i="1"/>
  <c r="G205" i="1" s="1"/>
  <c r="E202" i="1"/>
  <c r="E208" i="1"/>
  <c r="G208" i="1" s="1"/>
  <c r="E203" i="1"/>
  <c r="G203" i="1" s="1"/>
  <c r="C612" i="1"/>
  <c r="C608" i="1"/>
  <c r="C613" i="1"/>
  <c r="C611" i="1"/>
  <c r="C610" i="1"/>
  <c r="C609" i="1"/>
  <c r="C607" i="1"/>
  <c r="C614" i="1"/>
  <c r="E406" i="3"/>
  <c r="G406" i="3" s="1"/>
  <c r="E403" i="3"/>
  <c r="G403" i="3" s="1"/>
  <c r="E402" i="3"/>
  <c r="G402" i="3" s="1"/>
  <c r="E401" i="3"/>
  <c r="G401" i="3" s="1"/>
  <c r="E404" i="3"/>
  <c r="G404" i="3" s="1"/>
  <c r="E400" i="3"/>
  <c r="G400" i="3" s="1"/>
  <c r="E399" i="3"/>
  <c r="G399" i="3" s="1"/>
  <c r="E408" i="3"/>
  <c r="G408" i="3" s="1"/>
  <c r="E398" i="3"/>
  <c r="E407" i="3"/>
  <c r="G407" i="3" s="1"/>
  <c r="E405" i="3"/>
  <c r="G405" i="3" s="1"/>
  <c r="B424" i="3"/>
  <c r="B416" i="3"/>
  <c r="B421" i="3"/>
  <c r="B419" i="3"/>
  <c r="B418" i="3"/>
  <c r="B417" i="3"/>
  <c r="B415" i="3"/>
  <c r="B425" i="3"/>
  <c r="B414" i="3"/>
  <c r="B423" i="3"/>
  <c r="B413" i="3"/>
  <c r="B422" i="3"/>
  <c r="B420" i="3"/>
  <c r="B521" i="1"/>
  <c r="B513" i="1"/>
  <c r="B506" i="1"/>
  <c r="B517" i="1"/>
  <c r="B509" i="1"/>
  <c r="B515" i="1"/>
  <c r="B524" i="1"/>
  <c r="B514" i="1"/>
  <c r="B523" i="1"/>
  <c r="B512" i="1"/>
  <c r="B520" i="1"/>
  <c r="B510" i="1"/>
  <c r="B519" i="1"/>
  <c r="B508" i="1"/>
  <c r="B516" i="1"/>
  <c r="B511" i="1"/>
  <c r="B522" i="1"/>
  <c r="B518" i="1"/>
  <c r="B507" i="1"/>
  <c r="E276" i="1"/>
  <c r="G276" i="1" s="1"/>
  <c r="E279" i="1"/>
  <c r="G279" i="1" s="1"/>
  <c r="E272" i="1"/>
  <c r="E278" i="1"/>
  <c r="G278" i="1" s="1"/>
  <c r="E277" i="1"/>
  <c r="G277" i="1" s="1"/>
  <c r="E274" i="1"/>
  <c r="G274" i="1" s="1"/>
  <c r="E273" i="1"/>
  <c r="G273" i="1" s="1"/>
  <c r="E281" i="1"/>
  <c r="G281" i="1" s="1"/>
  <c r="E280" i="1"/>
  <c r="G280" i="1" s="1"/>
  <c r="E275" i="1"/>
  <c r="G275" i="1" s="1"/>
  <c r="E90" i="1"/>
  <c r="G90" i="1" s="1"/>
  <c r="E93" i="1"/>
  <c r="G93" i="1" s="1"/>
  <c r="E92" i="1"/>
  <c r="G92" i="1" s="1"/>
  <c r="E88" i="1"/>
  <c r="G88" i="1" s="1"/>
  <c r="E96" i="1"/>
  <c r="G96" i="1" s="1"/>
  <c r="E87" i="1"/>
  <c r="G87" i="1" s="1"/>
  <c r="E95" i="1"/>
  <c r="G95" i="1" s="1"/>
  <c r="E94" i="1"/>
  <c r="G94" i="1" s="1"/>
  <c r="E91" i="1"/>
  <c r="G91" i="1" s="1"/>
  <c r="E89" i="1"/>
  <c r="B136" i="1"/>
  <c r="B129" i="1"/>
  <c r="B131" i="1"/>
  <c r="B133" i="1"/>
  <c r="B132" i="1"/>
  <c r="B135" i="1"/>
  <c r="B134" i="1"/>
  <c r="B130" i="1"/>
  <c r="E8" i="3"/>
  <c r="G8" i="3" s="1"/>
  <c r="E9" i="3"/>
  <c r="G9" i="3" s="1"/>
  <c r="E7" i="3"/>
  <c r="G7" i="3" s="1"/>
  <c r="E6" i="3"/>
  <c r="G6" i="3" s="1"/>
  <c r="E5" i="3"/>
  <c r="G5" i="3" s="1"/>
  <c r="E4" i="3"/>
  <c r="B114" i="3"/>
  <c r="B121" i="3"/>
  <c r="B120" i="3"/>
  <c r="B112" i="3"/>
  <c r="B113" i="3"/>
  <c r="B119" i="3"/>
  <c r="B118" i="3"/>
  <c r="B111" i="3"/>
  <c r="B117" i="3"/>
  <c r="B116" i="3"/>
  <c r="B115" i="3"/>
  <c r="B90" i="3"/>
  <c r="B89" i="3"/>
  <c r="B87" i="3"/>
  <c r="B88" i="3"/>
  <c r="B86" i="3"/>
  <c r="B93" i="3"/>
  <c r="B85" i="3"/>
  <c r="B92" i="3"/>
  <c r="B91" i="3"/>
  <c r="B84" i="3"/>
  <c r="E604" i="2"/>
  <c r="G604" i="2" s="1"/>
  <c r="E605" i="2"/>
  <c r="G605" i="2" s="1"/>
  <c r="E603" i="2"/>
  <c r="G603" i="2" s="1"/>
  <c r="E600" i="2"/>
  <c r="G600" i="2" s="1"/>
  <c r="E599" i="2"/>
  <c r="G599" i="2" s="1"/>
  <c r="E598" i="2"/>
  <c r="E602" i="2"/>
  <c r="G602" i="2" s="1"/>
  <c r="E606" i="2"/>
  <c r="G606" i="2" s="1"/>
  <c r="E601" i="2"/>
  <c r="G601" i="2" s="1"/>
  <c r="E159" i="2"/>
  <c r="G159" i="2" s="1"/>
  <c r="E158" i="2"/>
  <c r="G158" i="2" s="1"/>
  <c r="E161" i="2"/>
  <c r="G161" i="2" s="1"/>
  <c r="E157" i="2"/>
  <c r="E163" i="2"/>
  <c r="G163" i="2" s="1"/>
  <c r="E160" i="2"/>
  <c r="G160" i="2" s="1"/>
  <c r="E156" i="2"/>
  <c r="G156" i="2" s="1"/>
  <c r="E164" i="2"/>
  <c r="G164" i="2" s="1"/>
  <c r="E162" i="2"/>
  <c r="G162" i="2" s="1"/>
  <c r="G202" i="2"/>
  <c r="E209" i="2"/>
  <c r="E95" i="2"/>
  <c r="G86" i="2"/>
  <c r="B262" i="1"/>
  <c r="B265" i="1"/>
  <c r="B263" i="1"/>
  <c r="B261" i="1"/>
  <c r="B259" i="1"/>
  <c r="B258" i="1"/>
  <c r="B267" i="1"/>
  <c r="B257" i="1"/>
  <c r="B266" i="1"/>
  <c r="B264" i="1"/>
  <c r="B260" i="1"/>
  <c r="B629" i="1"/>
  <c r="B621" i="1"/>
  <c r="B622" i="1"/>
  <c r="B626" i="1"/>
  <c r="B623" i="1"/>
  <c r="B620" i="1"/>
  <c r="B628" i="1"/>
  <c r="B627" i="1"/>
  <c r="B625" i="1"/>
  <c r="B624" i="1"/>
  <c r="B619" i="1"/>
  <c r="B406" i="3"/>
  <c r="B403" i="3"/>
  <c r="B405" i="3"/>
  <c r="B404" i="3"/>
  <c r="B402" i="3"/>
  <c r="B401" i="3"/>
  <c r="B400" i="3"/>
  <c r="B399" i="3"/>
  <c r="B408" i="3"/>
  <c r="B398" i="3"/>
  <c r="B407" i="3"/>
  <c r="C655" i="2"/>
  <c r="C647" i="2"/>
  <c r="C649" i="2"/>
  <c r="C657" i="2"/>
  <c r="C648" i="2"/>
  <c r="C653" i="2"/>
  <c r="C645" i="2"/>
  <c r="C650" i="2"/>
  <c r="C646" i="2"/>
  <c r="C656" i="2"/>
  <c r="C652" i="2"/>
  <c r="C654" i="2"/>
  <c r="C651" i="2"/>
  <c r="E576" i="2"/>
  <c r="G576" i="2" s="1"/>
  <c r="E575" i="2"/>
  <c r="G575" i="2" s="1"/>
  <c r="E574" i="2"/>
  <c r="E582" i="2"/>
  <c r="G582" i="2" s="1"/>
  <c r="E580" i="2"/>
  <c r="G580" i="2" s="1"/>
  <c r="E581" i="2"/>
  <c r="G581" i="2" s="1"/>
  <c r="E579" i="2"/>
  <c r="G579" i="2" s="1"/>
  <c r="E578" i="2"/>
  <c r="G578" i="2" s="1"/>
  <c r="E577" i="2"/>
  <c r="G577" i="2" s="1"/>
  <c r="B265" i="2"/>
  <c r="B268" i="2"/>
  <c r="B267" i="2"/>
  <c r="B259" i="2"/>
  <c r="B264" i="2"/>
  <c r="B263" i="2"/>
  <c r="B262" i="2"/>
  <c r="B261" i="2"/>
  <c r="B260" i="2"/>
  <c r="B266" i="2"/>
  <c r="B121" i="2"/>
  <c r="B113" i="2"/>
  <c r="B120" i="2"/>
  <c r="B116" i="2"/>
  <c r="B114" i="2"/>
  <c r="B112" i="2"/>
  <c r="B119" i="2"/>
  <c r="B118" i="2"/>
  <c r="B122" i="2"/>
  <c r="B117" i="2"/>
  <c r="B115" i="2"/>
  <c r="E595" i="1"/>
  <c r="E599" i="1"/>
  <c r="G599" i="1" s="1"/>
  <c r="E601" i="1"/>
  <c r="G601" i="1" s="1"/>
  <c r="E600" i="1"/>
  <c r="G600" i="1" s="1"/>
  <c r="E598" i="1"/>
  <c r="G598" i="1" s="1"/>
  <c r="E596" i="1"/>
  <c r="G596" i="1" s="1"/>
  <c r="E597" i="1"/>
  <c r="G597" i="1" s="1"/>
  <c r="E602" i="1"/>
  <c r="G602" i="1" s="1"/>
  <c r="B694" i="2"/>
  <c r="B693" i="2"/>
  <c r="B692" i="2"/>
  <c r="B691" i="2"/>
  <c r="B698" i="2"/>
  <c r="B696" i="2"/>
  <c r="B695" i="2"/>
  <c r="B690" i="2"/>
  <c r="B697" i="2"/>
  <c r="C462" i="2"/>
  <c r="C466" i="2"/>
  <c r="C457" i="2"/>
  <c r="C465" i="2"/>
  <c r="C455" i="2"/>
  <c r="C464" i="2"/>
  <c r="C454" i="2"/>
  <c r="C463" i="2"/>
  <c r="C461" i="2"/>
  <c r="C460" i="2"/>
  <c r="C459" i="2"/>
  <c r="C458" i="2"/>
  <c r="C456" i="2"/>
  <c r="C296" i="2"/>
  <c r="C288" i="2"/>
  <c r="C290" i="2"/>
  <c r="C297" i="2"/>
  <c r="C295" i="2"/>
  <c r="C287" i="2"/>
  <c r="C293" i="2"/>
  <c r="C294" i="2"/>
  <c r="C292" i="2"/>
  <c r="C291" i="2"/>
  <c r="C289" i="2"/>
  <c r="C298" i="2"/>
  <c r="G398" i="2"/>
  <c r="E409" i="2"/>
  <c r="E121" i="2"/>
  <c r="G121" i="2" s="1"/>
  <c r="E113" i="2"/>
  <c r="G113" i="2" s="1"/>
  <c r="E120" i="2"/>
  <c r="G120" i="2" s="1"/>
  <c r="E114" i="2"/>
  <c r="G114" i="2" s="1"/>
  <c r="E122" i="2"/>
  <c r="G122" i="2" s="1"/>
  <c r="E117" i="2"/>
  <c r="G117" i="2" s="1"/>
  <c r="E115" i="2"/>
  <c r="G115" i="2" s="1"/>
  <c r="E119" i="2"/>
  <c r="G119" i="2" s="1"/>
  <c r="E116" i="2"/>
  <c r="G116" i="2" s="1"/>
  <c r="E112" i="2"/>
  <c r="E118" i="2"/>
  <c r="G118" i="2" s="1"/>
  <c r="B163" i="2"/>
  <c r="B156" i="2"/>
  <c r="B162" i="2"/>
  <c r="B159" i="2"/>
  <c r="B157" i="2"/>
  <c r="B161" i="2"/>
  <c r="B158" i="2"/>
  <c r="B160" i="2"/>
  <c r="B164" i="2"/>
  <c r="B566" i="2"/>
  <c r="B558" i="2"/>
  <c r="B562" i="2"/>
  <c r="B569" i="2"/>
  <c r="B560" i="2"/>
  <c r="B567" i="2"/>
  <c r="B557" i="2"/>
  <c r="B564" i="2"/>
  <c r="B563" i="2"/>
  <c r="B561" i="2"/>
  <c r="B559" i="2"/>
  <c r="B556" i="2"/>
  <c r="B568" i="2"/>
  <c r="B555" i="2"/>
  <c r="B565" i="2"/>
  <c r="B478" i="2"/>
  <c r="B471" i="2"/>
  <c r="B477" i="2"/>
  <c r="B480" i="2"/>
  <c r="B479" i="2"/>
  <c r="B476" i="2"/>
  <c r="B475" i="2"/>
  <c r="B474" i="2"/>
  <c r="B473" i="2"/>
  <c r="B472" i="2"/>
  <c r="C147" i="2"/>
  <c r="C146" i="2"/>
  <c r="C139" i="2"/>
  <c r="C151" i="2"/>
  <c r="C141" i="2"/>
  <c r="C149" i="2"/>
  <c r="C143" i="2"/>
  <c r="C140" i="2"/>
  <c r="C150" i="2"/>
  <c r="C148" i="2"/>
  <c r="C145" i="2"/>
  <c r="C144" i="2"/>
  <c r="C142" i="2"/>
  <c r="B709" i="1"/>
  <c r="B702" i="1"/>
  <c r="B708" i="1"/>
  <c r="B706" i="1"/>
  <c r="B710" i="1"/>
  <c r="B705" i="1"/>
  <c r="B704" i="1"/>
  <c r="B707" i="1"/>
  <c r="B703" i="1"/>
  <c r="B701" i="1"/>
  <c r="B4" i="2"/>
  <c r="B8" i="2"/>
  <c r="B7" i="2"/>
  <c r="B9" i="2"/>
  <c r="B6" i="2"/>
  <c r="B5" i="2"/>
  <c r="G587" i="2"/>
  <c r="E594" i="2"/>
  <c r="B497" i="1"/>
  <c r="B501" i="1"/>
  <c r="B493" i="1"/>
  <c r="B498" i="1"/>
  <c r="B496" i="1"/>
  <c r="B495" i="1"/>
  <c r="B492" i="1"/>
  <c r="B494" i="1"/>
  <c r="B500" i="1"/>
  <c r="B499" i="1"/>
  <c r="E643" i="1"/>
  <c r="G643" i="1" s="1"/>
  <c r="E636" i="1"/>
  <c r="E645" i="1"/>
  <c r="G645" i="1" s="1"/>
  <c r="E642" i="1"/>
  <c r="G642" i="1" s="1"/>
  <c r="E640" i="1"/>
  <c r="G640" i="1" s="1"/>
  <c r="E644" i="1"/>
  <c r="G644" i="1" s="1"/>
  <c r="E641" i="1"/>
  <c r="G641" i="1" s="1"/>
  <c r="E639" i="1"/>
  <c r="G639" i="1" s="1"/>
  <c r="E637" i="1"/>
  <c r="G637" i="1" s="1"/>
  <c r="E646" i="1"/>
  <c r="G646" i="1" s="1"/>
  <c r="E638" i="1"/>
  <c r="G638" i="1" s="1"/>
  <c r="C176" i="2"/>
  <c r="C169" i="2"/>
  <c r="C175" i="2"/>
  <c r="C179" i="2"/>
  <c r="C177" i="2"/>
  <c r="C174" i="2"/>
  <c r="C170" i="2"/>
  <c r="C178" i="2"/>
  <c r="C173" i="2"/>
  <c r="C180" i="2"/>
  <c r="C172" i="2"/>
  <c r="C171" i="2"/>
  <c r="E539" i="1"/>
  <c r="G539" i="1" s="1"/>
  <c r="E531" i="1"/>
  <c r="G531" i="1" s="1"/>
  <c r="E535" i="1"/>
  <c r="G535" i="1" s="1"/>
  <c r="E530" i="1"/>
  <c r="G530" i="1" s="1"/>
  <c r="E540" i="1"/>
  <c r="G540" i="1" s="1"/>
  <c r="E538" i="1"/>
  <c r="G538" i="1" s="1"/>
  <c r="E529" i="1"/>
  <c r="E536" i="1"/>
  <c r="G536" i="1" s="1"/>
  <c r="E534" i="1"/>
  <c r="G534" i="1" s="1"/>
  <c r="E537" i="1"/>
  <c r="G537" i="1" s="1"/>
  <c r="E532" i="1"/>
  <c r="G532" i="1" s="1"/>
  <c r="E533" i="1"/>
  <c r="G533" i="1" s="1"/>
  <c r="B21" i="1"/>
  <c r="B24" i="1"/>
  <c r="B26" i="1"/>
  <c r="B16" i="1"/>
  <c r="B22" i="1"/>
  <c r="B20" i="1"/>
  <c r="B23" i="1"/>
  <c r="B19" i="1"/>
  <c r="B18" i="1"/>
  <c r="B17" i="1"/>
  <c r="B27" i="1"/>
  <c r="B25" i="1"/>
  <c r="B28" i="1"/>
  <c r="E221" i="2"/>
  <c r="G213" i="2"/>
  <c r="E6" i="2"/>
  <c r="G6" i="2" s="1"/>
  <c r="E8" i="2"/>
  <c r="G8" i="2" s="1"/>
  <c r="E5" i="2"/>
  <c r="G5" i="2" s="1"/>
  <c r="E4" i="2"/>
  <c r="E9" i="2"/>
  <c r="G9" i="2" s="1"/>
  <c r="E7" i="2"/>
  <c r="G7" i="2" s="1"/>
  <c r="B27" i="2"/>
  <c r="B19" i="2"/>
  <c r="B24" i="2"/>
  <c r="B22" i="2"/>
  <c r="B20" i="2"/>
  <c r="B28" i="2"/>
  <c r="B18" i="2"/>
  <c r="B17" i="2"/>
  <c r="B16" i="2"/>
  <c r="B15" i="2"/>
  <c r="B26" i="2"/>
  <c r="B25" i="2"/>
  <c r="B23" i="2"/>
  <c r="B21" i="2"/>
  <c r="C251" i="2"/>
  <c r="C244" i="2"/>
  <c r="C248" i="2"/>
  <c r="C247" i="2"/>
  <c r="C254" i="2"/>
  <c r="C253" i="2"/>
  <c r="C252" i="2"/>
  <c r="C250" i="2"/>
  <c r="C249" i="2"/>
  <c r="C246" i="2"/>
  <c r="C245" i="2"/>
  <c r="C625" i="1"/>
  <c r="C628" i="1"/>
  <c r="C623" i="1"/>
  <c r="C622" i="1"/>
  <c r="C621" i="1"/>
  <c r="C620" i="1"/>
  <c r="C629" i="1"/>
  <c r="C627" i="1"/>
  <c r="C626" i="1"/>
  <c r="C624" i="1"/>
  <c r="C619" i="1"/>
  <c r="C583" i="1"/>
  <c r="C584" i="1"/>
  <c r="C588" i="1"/>
  <c r="C589" i="1"/>
  <c r="C587" i="1"/>
  <c r="C586" i="1"/>
  <c r="C582" i="1"/>
  <c r="C590" i="1"/>
  <c r="C585" i="1"/>
  <c r="E502" i="1"/>
  <c r="G492" i="1"/>
  <c r="B582" i="3"/>
  <c r="B575" i="3"/>
  <c r="B580" i="3"/>
  <c r="B579" i="3"/>
  <c r="B576" i="3"/>
  <c r="B574" i="3"/>
  <c r="B581" i="3"/>
  <c r="B578" i="3"/>
  <c r="B577" i="3"/>
  <c r="C266" i="1"/>
  <c r="C258" i="1"/>
  <c r="C261" i="1"/>
  <c r="C262" i="1"/>
  <c r="C260" i="1"/>
  <c r="C267" i="1"/>
  <c r="C257" i="1"/>
  <c r="C265" i="1"/>
  <c r="C259" i="1"/>
  <c r="C263" i="1"/>
  <c r="C264" i="1"/>
  <c r="E43" i="1"/>
  <c r="G34" i="1"/>
  <c r="B620" i="3"/>
  <c r="B612" i="3"/>
  <c r="B618" i="3"/>
  <c r="B615" i="3"/>
  <c r="B614" i="3"/>
  <c r="B613" i="3"/>
  <c r="B611" i="3"/>
  <c r="B617" i="3"/>
  <c r="B616" i="3"/>
  <c r="B619" i="3"/>
  <c r="E611" i="1"/>
  <c r="G611" i="1" s="1"/>
  <c r="E608" i="1"/>
  <c r="G608" i="1" s="1"/>
  <c r="E613" i="1"/>
  <c r="G613" i="1" s="1"/>
  <c r="E614" i="1"/>
  <c r="G614" i="1" s="1"/>
  <c r="E612" i="1"/>
  <c r="G612" i="1" s="1"/>
  <c r="E609" i="1"/>
  <c r="G609" i="1" s="1"/>
  <c r="E610" i="1"/>
  <c r="G610" i="1" s="1"/>
  <c r="E607" i="1"/>
  <c r="C214" i="1"/>
  <c r="C217" i="1"/>
  <c r="C213" i="1"/>
  <c r="C220" i="1"/>
  <c r="C219" i="1"/>
  <c r="C218" i="1"/>
  <c r="C216" i="1"/>
  <c r="C215" i="1"/>
  <c r="B375" i="3"/>
  <c r="B370" i="3"/>
  <c r="B377" i="3"/>
  <c r="B376" i="3"/>
  <c r="B374" i="3"/>
  <c r="B373" i="3"/>
  <c r="B372" i="3"/>
  <c r="B371" i="3"/>
  <c r="C335" i="3"/>
  <c r="C327" i="3"/>
  <c r="C319" i="3"/>
  <c r="C332" i="3"/>
  <c r="C324" i="3"/>
  <c r="C336" i="3"/>
  <c r="C325" i="3"/>
  <c r="C334" i="3"/>
  <c r="C323" i="3"/>
  <c r="C333" i="3"/>
  <c r="C322" i="3"/>
  <c r="C331" i="3"/>
  <c r="C321" i="3"/>
  <c r="C330" i="3"/>
  <c r="C320" i="3"/>
  <c r="C329" i="3"/>
  <c r="C318" i="3"/>
  <c r="C328" i="3"/>
  <c r="C317" i="3"/>
  <c r="C337" i="3"/>
  <c r="C326" i="3"/>
  <c r="C316" i="3"/>
  <c r="E521" i="1"/>
  <c r="G521" i="1" s="1"/>
  <c r="E513" i="1"/>
  <c r="G513" i="1" s="1"/>
  <c r="E506" i="1"/>
  <c r="G506" i="1" s="1"/>
  <c r="E517" i="1"/>
  <c r="G517" i="1" s="1"/>
  <c r="E509" i="1"/>
  <c r="G509" i="1" s="1"/>
  <c r="E518" i="1"/>
  <c r="G518" i="1" s="1"/>
  <c r="E507" i="1"/>
  <c r="E516" i="1"/>
  <c r="G516" i="1" s="1"/>
  <c r="E515" i="1"/>
  <c r="G515" i="1" s="1"/>
  <c r="E523" i="1"/>
  <c r="G523" i="1" s="1"/>
  <c r="E512" i="1"/>
  <c r="G512" i="1" s="1"/>
  <c r="E522" i="1"/>
  <c r="G522" i="1" s="1"/>
  <c r="E511" i="1"/>
  <c r="G511" i="1" s="1"/>
  <c r="E520" i="1"/>
  <c r="G520" i="1" s="1"/>
  <c r="E519" i="1"/>
  <c r="G519" i="1" s="1"/>
  <c r="E514" i="1"/>
  <c r="G514" i="1" s="1"/>
  <c r="E524" i="1"/>
  <c r="G524" i="1" s="1"/>
  <c r="E510" i="1"/>
  <c r="G510" i="1" s="1"/>
  <c r="E508" i="1"/>
  <c r="G508" i="1" s="1"/>
  <c r="B160" i="1"/>
  <c r="B163" i="1"/>
  <c r="B164" i="1"/>
  <c r="B162" i="1"/>
  <c r="B159" i="1"/>
  <c r="B158" i="1"/>
  <c r="B157" i="1"/>
  <c r="B161" i="1"/>
  <c r="B165" i="1"/>
  <c r="B42" i="1"/>
  <c r="B37" i="1"/>
  <c r="B35" i="1"/>
  <c r="B41" i="1"/>
  <c r="B40" i="1"/>
  <c r="B39" i="1"/>
  <c r="B34" i="1"/>
  <c r="B36" i="1"/>
  <c r="B38" i="1"/>
  <c r="C263" i="3"/>
  <c r="C268" i="3"/>
  <c r="C260" i="3"/>
  <c r="C266" i="3"/>
  <c r="C265" i="3"/>
  <c r="C264" i="3"/>
  <c r="C262" i="3"/>
  <c r="C261" i="3"/>
  <c r="C259" i="3"/>
  <c r="C267" i="3"/>
  <c r="E134" i="1"/>
  <c r="G134" i="1" s="1"/>
  <c r="E136" i="1"/>
  <c r="G136" i="1" s="1"/>
  <c r="E135" i="1"/>
  <c r="G135" i="1" s="1"/>
  <c r="E132" i="1"/>
  <c r="G132" i="1" s="1"/>
  <c r="E131" i="1"/>
  <c r="G131" i="1" s="1"/>
  <c r="E130" i="1"/>
  <c r="G130" i="1" s="1"/>
  <c r="E129" i="1"/>
  <c r="E133" i="1"/>
  <c r="G133" i="1" s="1"/>
  <c r="E217" i="3"/>
  <c r="G217" i="3" s="1"/>
  <c r="E216" i="3"/>
  <c r="G216" i="3" s="1"/>
  <c r="E215" i="3"/>
  <c r="G215" i="3" s="1"/>
  <c r="E214" i="3"/>
  <c r="G214" i="3" s="1"/>
  <c r="E220" i="3"/>
  <c r="G220" i="3" s="1"/>
  <c r="E213" i="3"/>
  <c r="E219" i="3"/>
  <c r="G219" i="3" s="1"/>
  <c r="E218" i="3"/>
  <c r="G218" i="3" s="1"/>
  <c r="B8" i="3"/>
  <c r="B6" i="3"/>
  <c r="B7" i="3"/>
  <c r="B5" i="3"/>
  <c r="B4" i="3"/>
  <c r="B9" i="3"/>
  <c r="E114" i="3"/>
  <c r="G114" i="3" s="1"/>
  <c r="E120" i="3"/>
  <c r="G120" i="3" s="1"/>
  <c r="E112" i="3"/>
  <c r="G112" i="3" s="1"/>
  <c r="E121" i="3"/>
  <c r="G121" i="3" s="1"/>
  <c r="E113" i="3"/>
  <c r="G113" i="3" s="1"/>
  <c r="E119" i="3"/>
  <c r="G119" i="3" s="1"/>
  <c r="E118" i="3"/>
  <c r="G118" i="3" s="1"/>
  <c r="E111" i="3"/>
  <c r="E117" i="3"/>
  <c r="G117" i="3" s="1"/>
  <c r="E116" i="3"/>
  <c r="G116" i="3" s="1"/>
  <c r="E115" i="3"/>
  <c r="G115" i="3" s="1"/>
  <c r="C87" i="3"/>
  <c r="C86" i="3"/>
  <c r="C93" i="3"/>
  <c r="C85" i="3"/>
  <c r="C92" i="3"/>
  <c r="C91" i="3"/>
  <c r="C84" i="3"/>
  <c r="C90" i="3"/>
  <c r="C89" i="3"/>
  <c r="C88" i="3"/>
  <c r="E448" i="3"/>
  <c r="G437" i="3"/>
  <c r="E481" i="3"/>
  <c r="G471" i="3"/>
  <c r="C197" i="2"/>
  <c r="C189" i="2"/>
  <c r="C196" i="2"/>
  <c r="C188" i="2"/>
  <c r="C187" i="2"/>
  <c r="C195" i="2"/>
  <c r="C194" i="2"/>
  <c r="C185" i="2"/>
  <c r="C190" i="2"/>
  <c r="C186" i="2"/>
  <c r="C193" i="2"/>
  <c r="C192" i="2"/>
  <c r="C191" i="2"/>
  <c r="C130" i="2"/>
  <c r="C129" i="2"/>
  <c r="C132" i="2"/>
  <c r="C128" i="2"/>
  <c r="C134" i="2"/>
  <c r="C131" i="2"/>
  <c r="C127" i="2"/>
  <c r="C133" i="2"/>
  <c r="E129" i="2"/>
  <c r="G129" i="2" s="1"/>
  <c r="E128" i="2"/>
  <c r="G128" i="2" s="1"/>
  <c r="E133" i="2"/>
  <c r="G133" i="2" s="1"/>
  <c r="E131" i="2"/>
  <c r="G131" i="2" s="1"/>
  <c r="E132" i="2"/>
  <c r="G132" i="2" s="1"/>
  <c r="E130" i="2"/>
  <c r="G130" i="2" s="1"/>
  <c r="E134" i="2"/>
  <c r="G134" i="2" s="1"/>
  <c r="E127" i="2"/>
  <c r="B442" i="3"/>
  <c r="B434" i="3"/>
  <c r="B447" i="3"/>
  <c r="B439" i="3"/>
  <c r="B431" i="3"/>
  <c r="B446" i="3"/>
  <c r="B436" i="3"/>
  <c r="B445" i="3"/>
  <c r="B435" i="3"/>
  <c r="B444" i="3"/>
  <c r="B433" i="3"/>
  <c r="B443" i="3"/>
  <c r="B432" i="3"/>
  <c r="B441" i="3"/>
  <c r="B440" i="3"/>
  <c r="B430" i="3"/>
  <c r="B438" i="3"/>
  <c r="B437" i="3"/>
  <c r="E657" i="2"/>
  <c r="G657" i="2" s="1"/>
  <c r="E649" i="2"/>
  <c r="G649" i="2" s="1"/>
  <c r="E653" i="2"/>
  <c r="G653" i="2" s="1"/>
  <c r="E645" i="2"/>
  <c r="E652" i="2"/>
  <c r="G652" i="2" s="1"/>
  <c r="E648" i="2"/>
  <c r="G648" i="2" s="1"/>
  <c r="E650" i="2"/>
  <c r="G650" i="2" s="1"/>
  <c r="E647" i="2"/>
  <c r="G647" i="2" s="1"/>
  <c r="E646" i="2"/>
  <c r="G646" i="2" s="1"/>
  <c r="E656" i="2"/>
  <c r="G656" i="2" s="1"/>
  <c r="E654" i="2"/>
  <c r="G654" i="2" s="1"/>
  <c r="E655" i="2"/>
  <c r="G655" i="2" s="1"/>
  <c r="E651" i="2"/>
  <c r="G651" i="2" s="1"/>
  <c r="C401" i="2"/>
  <c r="C405" i="2"/>
  <c r="C404" i="2"/>
  <c r="C403" i="2"/>
  <c r="C402" i="2"/>
  <c r="C400" i="2"/>
  <c r="C407" i="2"/>
  <c r="C398" i="2"/>
  <c r="C408" i="2"/>
  <c r="C406" i="2"/>
  <c r="C399" i="2"/>
  <c r="C117" i="2"/>
  <c r="C116" i="2"/>
  <c r="C114" i="2"/>
  <c r="C122" i="2"/>
  <c r="C115" i="2"/>
  <c r="C112" i="2"/>
  <c r="C121" i="2"/>
  <c r="C120" i="2"/>
  <c r="C113" i="2"/>
  <c r="C118" i="2"/>
  <c r="C119" i="2"/>
  <c r="BK54" i="4"/>
  <c r="BK17" i="4"/>
  <c r="C566" i="2"/>
  <c r="C558" i="2"/>
  <c r="C564" i="2"/>
  <c r="C562" i="2"/>
  <c r="C569" i="2"/>
  <c r="C560" i="2"/>
  <c r="C563" i="2"/>
  <c r="C561" i="2"/>
  <c r="C559" i="2"/>
  <c r="C557" i="2"/>
  <c r="C556" i="2"/>
  <c r="C568" i="2"/>
  <c r="C555" i="2"/>
  <c r="C567" i="2"/>
  <c r="C565" i="2"/>
  <c r="B653" i="2"/>
  <c r="B654" i="2"/>
  <c r="B645" i="2"/>
  <c r="B652" i="2"/>
  <c r="B649" i="2"/>
  <c r="B648" i="2"/>
  <c r="B647" i="2"/>
  <c r="B646" i="2"/>
  <c r="B656" i="2"/>
  <c r="B651" i="2"/>
  <c r="B657" i="2"/>
  <c r="B655" i="2"/>
  <c r="B650" i="2"/>
  <c r="B526" i="2"/>
  <c r="B531" i="2"/>
  <c r="B529" i="2"/>
  <c r="B524" i="2"/>
  <c r="B523" i="2"/>
  <c r="B533" i="2"/>
  <c r="B522" i="2"/>
  <c r="B532" i="2"/>
  <c r="B530" i="2"/>
  <c r="B528" i="2"/>
  <c r="B527" i="2"/>
  <c r="B525" i="2"/>
  <c r="C578" i="2"/>
  <c r="C576" i="2"/>
  <c r="C574" i="2"/>
  <c r="C581" i="2"/>
  <c r="C579" i="2"/>
  <c r="C582" i="2"/>
  <c r="C580" i="2"/>
  <c r="C577" i="2"/>
  <c r="C575" i="2"/>
  <c r="E343" i="2"/>
  <c r="G343" i="2" s="1"/>
  <c r="E350" i="2"/>
  <c r="G350" i="2" s="1"/>
  <c r="E342" i="2"/>
  <c r="E349" i="2"/>
  <c r="G349" i="2" s="1"/>
  <c r="E348" i="2"/>
  <c r="G348" i="2" s="1"/>
  <c r="E346" i="2"/>
  <c r="G346" i="2" s="1"/>
  <c r="E347" i="2"/>
  <c r="G347" i="2" s="1"/>
  <c r="E345" i="2"/>
  <c r="G345" i="2" s="1"/>
  <c r="E344" i="2"/>
  <c r="G344" i="2" s="1"/>
  <c r="C475" i="2"/>
  <c r="C476" i="2"/>
  <c r="C479" i="2"/>
  <c r="C478" i="2"/>
  <c r="C477" i="2"/>
  <c r="C474" i="2"/>
  <c r="C473" i="2"/>
  <c r="C472" i="2"/>
  <c r="C471" i="2"/>
  <c r="C480" i="2"/>
  <c r="E638" i="2"/>
  <c r="G638" i="2" s="1"/>
  <c r="E630" i="2"/>
  <c r="G630" i="2" s="1"/>
  <c r="E633" i="2"/>
  <c r="G633" i="2" s="1"/>
  <c r="E632" i="2"/>
  <c r="G632" i="2" s="1"/>
  <c r="E637" i="2"/>
  <c r="G637" i="2" s="1"/>
  <c r="E628" i="2"/>
  <c r="G628" i="2" s="1"/>
  <c r="E627" i="2"/>
  <c r="E639" i="2"/>
  <c r="G639" i="2" s="1"/>
  <c r="E636" i="2"/>
  <c r="G636" i="2" s="1"/>
  <c r="E634" i="2"/>
  <c r="G634" i="2" s="1"/>
  <c r="E629" i="2"/>
  <c r="G629" i="2" s="1"/>
  <c r="E635" i="2"/>
  <c r="G635" i="2" s="1"/>
  <c r="E631" i="2"/>
  <c r="G631" i="2" s="1"/>
  <c r="B643" i="1"/>
  <c r="B636" i="1"/>
  <c r="B641" i="1"/>
  <c r="B646" i="1"/>
  <c r="B637" i="1"/>
  <c r="B639" i="1"/>
  <c r="B638" i="1"/>
  <c r="B645" i="1"/>
  <c r="B644" i="1"/>
  <c r="B640" i="1"/>
  <c r="B642" i="1"/>
  <c r="B557" i="1"/>
  <c r="B549" i="1"/>
  <c r="B553" i="1"/>
  <c r="B551" i="1"/>
  <c r="B550" i="1"/>
  <c r="B548" i="1"/>
  <c r="B556" i="1"/>
  <c r="B546" i="1"/>
  <c r="B555" i="1"/>
  <c r="B545" i="1"/>
  <c r="B554" i="1"/>
  <c r="B552" i="1"/>
  <c r="B547" i="1"/>
  <c r="B533" i="1"/>
  <c r="B537" i="1"/>
  <c r="B535" i="1"/>
  <c r="B534" i="1"/>
  <c r="B532" i="1"/>
  <c r="B540" i="1"/>
  <c r="B530" i="1"/>
  <c r="B539" i="1"/>
  <c r="B529" i="1"/>
  <c r="B538" i="1"/>
  <c r="B536" i="1"/>
  <c r="B531" i="1"/>
  <c r="E550" i="3"/>
  <c r="G550" i="3" s="1"/>
  <c r="E542" i="3"/>
  <c r="G542" i="3" s="1"/>
  <c r="E547" i="3"/>
  <c r="G547" i="3" s="1"/>
  <c r="E544" i="3"/>
  <c r="G544" i="3" s="1"/>
  <c r="E545" i="3"/>
  <c r="G545" i="3" s="1"/>
  <c r="E543" i="3"/>
  <c r="G543" i="3" s="1"/>
  <c r="E541" i="3"/>
  <c r="G541" i="3" s="1"/>
  <c r="E540" i="3"/>
  <c r="G540" i="3" s="1"/>
  <c r="E539" i="3"/>
  <c r="G539" i="3" s="1"/>
  <c r="E549" i="3"/>
  <c r="G549" i="3" s="1"/>
  <c r="E538" i="3"/>
  <c r="G538" i="3" s="1"/>
  <c r="E548" i="3"/>
  <c r="G548" i="3" s="1"/>
  <c r="E546" i="3"/>
  <c r="G546" i="3" s="1"/>
  <c r="C517" i="1"/>
  <c r="C509" i="1"/>
  <c r="C521" i="1"/>
  <c r="C513" i="1"/>
  <c r="C506" i="1"/>
  <c r="C516" i="1"/>
  <c r="C515" i="1"/>
  <c r="C524" i="1"/>
  <c r="C514" i="1"/>
  <c r="C522" i="1"/>
  <c r="C511" i="1"/>
  <c r="C520" i="1"/>
  <c r="C510" i="1"/>
  <c r="C523" i="1"/>
  <c r="C519" i="1"/>
  <c r="C512" i="1"/>
  <c r="C508" i="1"/>
  <c r="C507" i="1"/>
  <c r="C518" i="1"/>
  <c r="E449" i="1"/>
  <c r="G449" i="1" s="1"/>
  <c r="E441" i="1"/>
  <c r="G441" i="1" s="1"/>
  <c r="E445" i="1"/>
  <c r="G445" i="1" s="1"/>
  <c r="E442" i="1"/>
  <c r="G442" i="1" s="1"/>
  <c r="E433" i="1"/>
  <c r="G433" i="1" s="1"/>
  <c r="E450" i="1"/>
  <c r="G450" i="1" s="1"/>
  <c r="E439" i="1"/>
  <c r="G439" i="1" s="1"/>
  <c r="E447" i="1"/>
  <c r="G447" i="1" s="1"/>
  <c r="E437" i="1"/>
  <c r="G437" i="1" s="1"/>
  <c r="E446" i="1"/>
  <c r="G446" i="1" s="1"/>
  <c r="E436" i="1"/>
  <c r="G436" i="1" s="1"/>
  <c r="E440" i="1"/>
  <c r="E438" i="1"/>
  <c r="G438" i="1" s="1"/>
  <c r="E434" i="1"/>
  <c r="G434" i="1" s="1"/>
  <c r="E451" i="1"/>
  <c r="G451" i="1" s="1"/>
  <c r="E448" i="1"/>
  <c r="G448" i="1" s="1"/>
  <c r="E444" i="1"/>
  <c r="G444" i="1" s="1"/>
  <c r="E443" i="1"/>
  <c r="G443" i="1" s="1"/>
  <c r="E435" i="1"/>
  <c r="G435" i="1" s="1"/>
  <c r="B689" i="1"/>
  <c r="B692" i="1"/>
  <c r="B690" i="1"/>
  <c r="B696" i="1"/>
  <c r="B688" i="1"/>
  <c r="B695" i="1"/>
  <c r="B694" i="1"/>
  <c r="B693" i="1"/>
  <c r="B691" i="1"/>
  <c r="B392" i="1"/>
  <c r="B390" i="1"/>
  <c r="B396" i="1"/>
  <c r="B388" i="1"/>
  <c r="B395" i="1"/>
  <c r="B394" i="1"/>
  <c r="B393" i="1"/>
  <c r="B391" i="1"/>
  <c r="B397" i="1"/>
  <c r="B389" i="1"/>
  <c r="B387" i="1"/>
  <c r="C23" i="1"/>
  <c r="C16" i="1"/>
  <c r="C26" i="1"/>
  <c r="C18" i="1"/>
  <c r="C22" i="1"/>
  <c r="C19" i="1"/>
  <c r="C28" i="1"/>
  <c r="C17" i="1"/>
  <c r="C27" i="1"/>
  <c r="C25" i="1"/>
  <c r="C24" i="1"/>
  <c r="C21" i="1"/>
  <c r="C20" i="1"/>
  <c r="E564" i="3"/>
  <c r="G564" i="3" s="1"/>
  <c r="E556" i="3"/>
  <c r="G556" i="3" s="1"/>
  <c r="E568" i="3"/>
  <c r="G568" i="3" s="1"/>
  <c r="E559" i="3"/>
  <c r="G559" i="3" s="1"/>
  <c r="E565" i="3"/>
  <c r="G565" i="3" s="1"/>
  <c r="E563" i="3"/>
  <c r="G563" i="3" s="1"/>
  <c r="E555" i="3"/>
  <c r="E558" i="3"/>
  <c r="G558" i="3" s="1"/>
  <c r="E557" i="3"/>
  <c r="G557" i="3" s="1"/>
  <c r="E569" i="3"/>
  <c r="G569" i="3" s="1"/>
  <c r="E567" i="3"/>
  <c r="G567" i="3" s="1"/>
  <c r="E566" i="3"/>
  <c r="G566" i="3" s="1"/>
  <c r="E562" i="3"/>
  <c r="G562" i="3" s="1"/>
  <c r="E561" i="3"/>
  <c r="G561" i="3" s="1"/>
  <c r="E560" i="3"/>
  <c r="G560" i="3" s="1"/>
  <c r="C202" i="3"/>
  <c r="C208" i="3"/>
  <c r="C207" i="3"/>
  <c r="C206" i="3"/>
  <c r="C204" i="3"/>
  <c r="C205" i="3"/>
  <c r="C203" i="3"/>
  <c r="E246" i="1"/>
  <c r="G246" i="1" s="1"/>
  <c r="E249" i="1"/>
  <c r="G249" i="1" s="1"/>
  <c r="E241" i="1"/>
  <c r="G241" i="1" s="1"/>
  <c r="E250" i="1"/>
  <c r="G250" i="1" s="1"/>
  <c r="E240" i="1"/>
  <c r="G240" i="1" s="1"/>
  <c r="E248" i="1"/>
  <c r="G248" i="1" s="1"/>
  <c r="E245" i="1"/>
  <c r="G245" i="1" s="1"/>
  <c r="E244" i="1"/>
  <c r="G244" i="1" s="1"/>
  <c r="E243" i="1"/>
  <c r="G243" i="1" s="1"/>
  <c r="E242" i="1"/>
  <c r="E247" i="1"/>
  <c r="G247" i="1" s="1"/>
  <c r="E251" i="1"/>
  <c r="G251" i="1" s="1"/>
  <c r="E252" i="1"/>
  <c r="G252" i="1" s="1"/>
  <c r="B613" i="1"/>
  <c r="B608" i="1"/>
  <c r="B612" i="1"/>
  <c r="B609" i="1"/>
  <c r="B607" i="1"/>
  <c r="B614" i="1"/>
  <c r="B611" i="1"/>
  <c r="B610" i="1"/>
  <c r="E376" i="3"/>
  <c r="G376" i="3" s="1"/>
  <c r="E373" i="3"/>
  <c r="G373" i="3" s="1"/>
  <c r="E372" i="3"/>
  <c r="G372" i="3" s="1"/>
  <c r="E371" i="3"/>
  <c r="G371" i="3" s="1"/>
  <c r="E370" i="3"/>
  <c r="E377" i="3"/>
  <c r="G377" i="3" s="1"/>
  <c r="E375" i="3"/>
  <c r="G375" i="3" s="1"/>
  <c r="E374" i="3"/>
  <c r="G374" i="3" s="1"/>
  <c r="C617" i="3"/>
  <c r="C616" i="3"/>
  <c r="C613" i="3"/>
  <c r="C612" i="3"/>
  <c r="C618" i="3"/>
  <c r="C615" i="3"/>
  <c r="C614" i="3"/>
  <c r="C611" i="3"/>
  <c r="C620" i="3"/>
  <c r="C619" i="3"/>
  <c r="E344" i="3"/>
  <c r="G344" i="3" s="1"/>
  <c r="E349" i="3"/>
  <c r="G349" i="3" s="1"/>
  <c r="E342" i="3"/>
  <c r="E346" i="3"/>
  <c r="G346" i="3" s="1"/>
  <c r="E345" i="3"/>
  <c r="G345" i="3" s="1"/>
  <c r="E343" i="3"/>
  <c r="G343" i="3" s="1"/>
  <c r="E350" i="3"/>
  <c r="G350" i="3" s="1"/>
  <c r="E348" i="3"/>
  <c r="G348" i="3" s="1"/>
  <c r="E347" i="3"/>
  <c r="G347" i="3" s="1"/>
  <c r="B448" i="1"/>
  <c r="B440" i="1"/>
  <c r="B433" i="1"/>
  <c r="B446" i="1"/>
  <c r="B438" i="1"/>
  <c r="B444" i="1"/>
  <c r="B436" i="1"/>
  <c r="B451" i="1"/>
  <c r="B443" i="1"/>
  <c r="B435" i="1"/>
  <c r="B447" i="1"/>
  <c r="B445" i="1"/>
  <c r="B441" i="1"/>
  <c r="B439" i="1"/>
  <c r="B437" i="1"/>
  <c r="B450" i="1"/>
  <c r="B449" i="1"/>
  <c r="B442" i="1"/>
  <c r="B434" i="1"/>
  <c r="C61" i="1"/>
  <c r="C53" i="1"/>
  <c r="C64" i="1"/>
  <c r="C56" i="1"/>
  <c r="C54" i="1"/>
  <c r="C60" i="1"/>
  <c r="C50" i="1"/>
  <c r="C59" i="1"/>
  <c r="C49" i="1"/>
  <c r="C58" i="1"/>
  <c r="C48" i="1"/>
  <c r="C52" i="1"/>
  <c r="C51" i="1"/>
  <c r="C55" i="1"/>
  <c r="C63" i="1"/>
  <c r="C57" i="1"/>
  <c r="C62" i="1"/>
  <c r="C218" i="3"/>
  <c r="C217" i="3"/>
  <c r="C216" i="3"/>
  <c r="C215" i="3"/>
  <c r="C214" i="3"/>
  <c r="C220" i="3"/>
  <c r="C213" i="3"/>
  <c r="C219" i="3"/>
  <c r="E583" i="3"/>
  <c r="G574" i="3"/>
  <c r="C158" i="1"/>
  <c r="C161" i="1"/>
  <c r="C164" i="1"/>
  <c r="C163" i="1"/>
  <c r="C160" i="1"/>
  <c r="C159" i="1"/>
  <c r="C165" i="1"/>
  <c r="C162" i="1"/>
  <c r="C157" i="1"/>
  <c r="B592" i="3"/>
  <c r="B588" i="3"/>
  <c r="B593" i="3"/>
  <c r="B591" i="3"/>
  <c r="B590" i="3"/>
  <c r="B589" i="3"/>
  <c r="B587" i="3"/>
  <c r="C144" i="3"/>
  <c r="C151" i="3"/>
  <c r="C143" i="3"/>
  <c r="C150" i="3"/>
  <c r="C142" i="3"/>
  <c r="C149" i="3"/>
  <c r="C141" i="3"/>
  <c r="C148" i="3"/>
  <c r="C140" i="3"/>
  <c r="C147" i="3"/>
  <c r="C146" i="3"/>
  <c r="C139" i="3"/>
  <c r="C145" i="3"/>
  <c r="C194" i="3"/>
  <c r="C186" i="3"/>
  <c r="C193" i="3"/>
  <c r="C192" i="3"/>
  <c r="C185" i="3"/>
  <c r="C191" i="3"/>
  <c r="C190" i="3"/>
  <c r="C196" i="3"/>
  <c r="C188" i="3"/>
  <c r="C197" i="3"/>
  <c r="C189" i="3"/>
  <c r="C195" i="3"/>
  <c r="C187" i="3"/>
  <c r="G126" i="3"/>
  <c r="E135" i="3"/>
  <c r="E78" i="2"/>
  <c r="G78" i="2" s="1"/>
  <c r="E70" i="2"/>
  <c r="G70" i="2" s="1"/>
  <c r="E76" i="2"/>
  <c r="G76" i="2" s="1"/>
  <c r="E68" i="2"/>
  <c r="G68" i="2" s="1"/>
  <c r="E79" i="2"/>
  <c r="G79" i="2" s="1"/>
  <c r="E75" i="2"/>
  <c r="G75" i="2" s="1"/>
  <c r="E73" i="2"/>
  <c r="G73" i="2" s="1"/>
  <c r="E72" i="2"/>
  <c r="G72" i="2" s="1"/>
  <c r="E77" i="2"/>
  <c r="G77" i="2" s="1"/>
  <c r="E74" i="2"/>
  <c r="G74" i="2" s="1"/>
  <c r="E71" i="2"/>
  <c r="G71" i="2" s="1"/>
  <c r="E67" i="2"/>
  <c r="E80" i="2"/>
  <c r="G80" i="2" s="1"/>
  <c r="E69" i="2"/>
  <c r="G69" i="2" s="1"/>
  <c r="B444" i="2"/>
  <c r="B436" i="2"/>
  <c r="B443" i="2"/>
  <c r="B434" i="2"/>
  <c r="B441" i="2"/>
  <c r="B431" i="2"/>
  <c r="B440" i="2"/>
  <c r="B439" i="2"/>
  <c r="B430" i="2"/>
  <c r="B438" i="2"/>
  <c r="B447" i="2"/>
  <c r="B437" i="2"/>
  <c r="B445" i="2"/>
  <c r="B433" i="2"/>
  <c r="B446" i="2"/>
  <c r="B442" i="2"/>
  <c r="B435" i="2"/>
  <c r="B432" i="2"/>
  <c r="C606" i="2"/>
  <c r="C605" i="2"/>
  <c r="C604" i="2"/>
  <c r="C601" i="2"/>
  <c r="C602" i="2"/>
  <c r="C599" i="2"/>
  <c r="C600" i="2"/>
  <c r="C598" i="2"/>
  <c r="C603" i="2"/>
  <c r="C345" i="2"/>
  <c r="C343" i="2"/>
  <c r="C350" i="2"/>
  <c r="C342" i="2"/>
  <c r="C349" i="2"/>
  <c r="C347" i="2"/>
  <c r="C348" i="2"/>
  <c r="C346" i="2"/>
  <c r="C344" i="2"/>
  <c r="C161" i="2"/>
  <c r="C160" i="2"/>
  <c r="C159" i="2"/>
  <c r="C157" i="2"/>
  <c r="C156" i="2"/>
  <c r="C164" i="2"/>
  <c r="C163" i="2"/>
  <c r="C162" i="2"/>
  <c r="C158" i="2"/>
  <c r="BK64" i="4"/>
  <c r="BK61" i="4"/>
  <c r="C441" i="2"/>
  <c r="C433" i="2"/>
  <c r="C443" i="2"/>
  <c r="C434" i="2"/>
  <c r="C444" i="2"/>
  <c r="C432" i="2"/>
  <c r="C442" i="2"/>
  <c r="C431" i="2"/>
  <c r="C440" i="2"/>
  <c r="C439" i="2"/>
  <c r="C430" i="2"/>
  <c r="C438" i="2"/>
  <c r="C446" i="2"/>
  <c r="C436" i="2"/>
  <c r="C437" i="2"/>
  <c r="C435" i="2"/>
  <c r="C445" i="2"/>
  <c r="C447" i="2"/>
  <c r="BK19" i="4"/>
  <c r="C636" i="2"/>
  <c r="C628" i="2"/>
  <c r="C638" i="2"/>
  <c r="C629" i="2"/>
  <c r="C637" i="2"/>
  <c r="C633" i="2"/>
  <c r="C639" i="2"/>
  <c r="C635" i="2"/>
  <c r="C632" i="2"/>
  <c r="C630" i="2"/>
  <c r="C634" i="2"/>
  <c r="C631" i="2"/>
  <c r="C627" i="2"/>
  <c r="BK9" i="4"/>
  <c r="B279" i="2"/>
  <c r="B282" i="2"/>
  <c r="B280" i="2"/>
  <c r="B278" i="2"/>
  <c r="B276" i="2"/>
  <c r="B274" i="2"/>
  <c r="B273" i="2"/>
  <c r="B275" i="2"/>
  <c r="B281" i="2"/>
  <c r="B277" i="2"/>
  <c r="E566" i="2"/>
  <c r="G566" i="2" s="1"/>
  <c r="E558" i="2"/>
  <c r="G558" i="2" s="1"/>
  <c r="E567" i="2"/>
  <c r="G567" i="2" s="1"/>
  <c r="E557" i="2"/>
  <c r="G557" i="2" s="1"/>
  <c r="E564" i="2"/>
  <c r="G564" i="2" s="1"/>
  <c r="E562" i="2"/>
  <c r="G562" i="2" s="1"/>
  <c r="E561" i="2"/>
  <c r="G561" i="2" s="1"/>
  <c r="E560" i="2"/>
  <c r="G560" i="2" s="1"/>
  <c r="E559" i="2"/>
  <c r="G559" i="2" s="1"/>
  <c r="E556" i="2"/>
  <c r="G556" i="2" s="1"/>
  <c r="E569" i="2"/>
  <c r="G569" i="2" s="1"/>
  <c r="E555" i="2"/>
  <c r="E568" i="2"/>
  <c r="G568" i="2" s="1"/>
  <c r="E565" i="2"/>
  <c r="G565" i="2" s="1"/>
  <c r="E563" i="2"/>
  <c r="G563" i="2" s="1"/>
  <c r="G39" i="9"/>
  <c r="BK51" i="4"/>
  <c r="BK11" i="4"/>
  <c r="C681" i="2"/>
  <c r="C685" i="2"/>
  <c r="C677" i="2"/>
  <c r="C682" i="2"/>
  <c r="C684" i="2"/>
  <c r="C683" i="2"/>
  <c r="C680" i="2"/>
  <c r="C678" i="2"/>
  <c r="C679" i="2"/>
  <c r="E621" i="2"/>
  <c r="G611" i="2"/>
  <c r="E686" i="2"/>
  <c r="B580" i="2"/>
  <c r="B577" i="2"/>
  <c r="B574" i="2"/>
  <c r="B581" i="2"/>
  <c r="B578" i="2"/>
  <c r="B575" i="2"/>
  <c r="B582" i="2"/>
  <c r="B579" i="2"/>
  <c r="B576" i="2"/>
  <c r="C276" i="2"/>
  <c r="C280" i="2"/>
  <c r="C278" i="2"/>
  <c r="C277" i="2"/>
  <c r="C274" i="2"/>
  <c r="C281" i="2"/>
  <c r="C279" i="2"/>
  <c r="C275" i="2"/>
  <c r="C273" i="2"/>
  <c r="C282" i="2"/>
  <c r="E480" i="2"/>
  <c r="G480" i="2" s="1"/>
  <c r="E472" i="2"/>
  <c r="G472" i="2" s="1"/>
  <c r="E474" i="2"/>
  <c r="G474" i="2" s="1"/>
  <c r="E479" i="2"/>
  <c r="G479" i="2" s="1"/>
  <c r="E478" i="2"/>
  <c r="G478" i="2" s="1"/>
  <c r="E477" i="2"/>
  <c r="G477" i="2" s="1"/>
  <c r="E476" i="2"/>
  <c r="G476" i="2" s="1"/>
  <c r="E475" i="2"/>
  <c r="G475" i="2" s="1"/>
  <c r="E473" i="2"/>
  <c r="G473" i="2" s="1"/>
  <c r="E471" i="2"/>
  <c r="E378" i="2"/>
  <c r="G370" i="2"/>
  <c r="B634" i="2"/>
  <c r="B627" i="2"/>
  <c r="B633" i="2"/>
  <c r="B632" i="2"/>
  <c r="B638" i="2"/>
  <c r="B629" i="2"/>
  <c r="B639" i="2"/>
  <c r="B637" i="2"/>
  <c r="B636" i="2"/>
  <c r="B631" i="2"/>
  <c r="B628" i="2"/>
  <c r="B630" i="2"/>
  <c r="B635" i="2"/>
  <c r="E422" i="2"/>
  <c r="G422" i="2" s="1"/>
  <c r="E414" i="2"/>
  <c r="G414" i="2" s="1"/>
  <c r="E425" i="2"/>
  <c r="G425" i="2" s="1"/>
  <c r="E416" i="2"/>
  <c r="G416" i="2" s="1"/>
  <c r="E418" i="2"/>
  <c r="G418" i="2" s="1"/>
  <c r="E417" i="2"/>
  <c r="G417" i="2" s="1"/>
  <c r="E415" i="2"/>
  <c r="G415" i="2" s="1"/>
  <c r="E424" i="2"/>
  <c r="G424" i="2" s="1"/>
  <c r="E423" i="2"/>
  <c r="G423" i="2" s="1"/>
  <c r="E413" i="2"/>
  <c r="G413" i="2" s="1"/>
  <c r="E420" i="2"/>
  <c r="G420" i="2" s="1"/>
  <c r="E421" i="2"/>
  <c r="G421" i="2" s="1"/>
  <c r="E419" i="2"/>
  <c r="G225" i="2"/>
  <c r="E240" i="2"/>
  <c r="C596" i="1"/>
  <c r="C595" i="1"/>
  <c r="C599" i="1"/>
  <c r="C598" i="1"/>
  <c r="C597" i="1"/>
  <c r="C602" i="1"/>
  <c r="C601" i="1"/>
  <c r="C600" i="1"/>
  <c r="E553" i="1"/>
  <c r="G553" i="1" s="1"/>
  <c r="E557" i="1"/>
  <c r="G557" i="1" s="1"/>
  <c r="E549" i="1"/>
  <c r="G549" i="1" s="1"/>
  <c r="E555" i="1"/>
  <c r="G555" i="1" s="1"/>
  <c r="E545" i="1"/>
  <c r="G545" i="1" s="1"/>
  <c r="E554" i="1"/>
  <c r="G554" i="1" s="1"/>
  <c r="E552" i="1"/>
  <c r="G552" i="1" s="1"/>
  <c r="E550" i="1"/>
  <c r="G550" i="1" s="1"/>
  <c r="E548" i="1"/>
  <c r="G548" i="1" s="1"/>
  <c r="E556" i="1"/>
  <c r="G556" i="1" s="1"/>
  <c r="E551" i="1"/>
  <c r="G551" i="1" s="1"/>
  <c r="E546" i="1"/>
  <c r="G546" i="1" s="1"/>
  <c r="E547" i="1"/>
  <c r="G547" i="1" s="1"/>
  <c r="C425" i="1"/>
  <c r="C417" i="1"/>
  <c r="C423" i="1"/>
  <c r="C421" i="1"/>
  <c r="C428" i="1"/>
  <c r="C420" i="1"/>
  <c r="C415" i="1"/>
  <c r="C427" i="1"/>
  <c r="C424" i="1"/>
  <c r="C422" i="1"/>
  <c r="C419" i="1"/>
  <c r="C426" i="1"/>
  <c r="C418" i="1"/>
  <c r="C416" i="1"/>
  <c r="E486" i="1"/>
  <c r="B290" i="1"/>
  <c r="B293" i="1"/>
  <c r="B286" i="1"/>
  <c r="B289" i="1"/>
  <c r="B288" i="1"/>
  <c r="B296" i="1"/>
  <c r="B295" i="1"/>
  <c r="B294" i="1"/>
  <c r="B292" i="1"/>
  <c r="B291" i="1"/>
  <c r="B287" i="1"/>
  <c r="B597" i="1"/>
  <c r="B595" i="1"/>
  <c r="B599" i="1"/>
  <c r="B601" i="1"/>
  <c r="B600" i="1"/>
  <c r="B602" i="1"/>
  <c r="B598" i="1"/>
  <c r="B596" i="1"/>
  <c r="E392" i="1"/>
  <c r="G392" i="1" s="1"/>
  <c r="E390" i="1"/>
  <c r="G390" i="1" s="1"/>
  <c r="E396" i="1"/>
  <c r="G396" i="1" s="1"/>
  <c r="E388" i="1"/>
  <c r="G388" i="1" s="1"/>
  <c r="E395" i="1"/>
  <c r="G395" i="1" s="1"/>
  <c r="E393" i="1"/>
  <c r="G393" i="1" s="1"/>
  <c r="E391" i="1"/>
  <c r="G391" i="1" s="1"/>
  <c r="E387" i="1"/>
  <c r="E389" i="1"/>
  <c r="G389" i="1" s="1"/>
  <c r="E397" i="1"/>
  <c r="G397" i="1" s="1"/>
  <c r="E394" i="1"/>
  <c r="G394" i="1" s="1"/>
  <c r="E691" i="3"/>
  <c r="G691" i="3" s="1"/>
  <c r="E695" i="3"/>
  <c r="G695" i="3" s="1"/>
  <c r="E692" i="3"/>
  <c r="G692" i="3" s="1"/>
  <c r="E690" i="3"/>
  <c r="G690" i="3" s="1"/>
  <c r="E698" i="3"/>
  <c r="G698" i="3" s="1"/>
  <c r="E697" i="3"/>
  <c r="G697" i="3" s="1"/>
  <c r="E696" i="3"/>
  <c r="G696" i="3" s="1"/>
  <c r="E693" i="3"/>
  <c r="G693" i="3" s="1"/>
  <c r="E694" i="3"/>
  <c r="G694" i="3" s="1"/>
  <c r="B202" i="3"/>
  <c r="B208" i="3"/>
  <c r="B207" i="3"/>
  <c r="B206" i="3"/>
  <c r="B204" i="3"/>
  <c r="B205" i="3"/>
  <c r="B203" i="3"/>
  <c r="C204" i="1"/>
  <c r="C207" i="1"/>
  <c r="C203" i="1"/>
  <c r="C208" i="1"/>
  <c r="C206" i="1"/>
  <c r="C205" i="1"/>
  <c r="C202" i="1"/>
  <c r="E494" i="3"/>
  <c r="G494" i="3" s="1"/>
  <c r="E487" i="3"/>
  <c r="E491" i="3"/>
  <c r="G491" i="3" s="1"/>
  <c r="E488" i="3"/>
  <c r="G488" i="3" s="1"/>
  <c r="E496" i="3"/>
  <c r="G496" i="3" s="1"/>
  <c r="E495" i="3"/>
  <c r="G495" i="3" s="1"/>
  <c r="E493" i="3"/>
  <c r="G493" i="3" s="1"/>
  <c r="E489" i="3"/>
  <c r="G489" i="3" s="1"/>
  <c r="E492" i="3"/>
  <c r="G492" i="3" s="1"/>
  <c r="E490" i="3"/>
  <c r="G490" i="3" s="1"/>
  <c r="E164" i="1"/>
  <c r="G164" i="1" s="1"/>
  <c r="E157" i="1"/>
  <c r="G157" i="1" s="1"/>
  <c r="E159" i="1"/>
  <c r="G159" i="1" s="1"/>
  <c r="E165" i="1"/>
  <c r="G165" i="1" s="1"/>
  <c r="E163" i="1"/>
  <c r="G163" i="1" s="1"/>
  <c r="E161" i="1"/>
  <c r="G161" i="1" s="1"/>
  <c r="E160" i="1"/>
  <c r="G160" i="1" s="1"/>
  <c r="E158" i="1"/>
  <c r="E162" i="1"/>
  <c r="G162" i="1" s="1"/>
  <c r="B360" i="3"/>
  <c r="B365" i="3"/>
  <c r="B358" i="3"/>
  <c r="B357" i="3"/>
  <c r="B364" i="3"/>
  <c r="B363" i="3"/>
  <c r="B362" i="3"/>
  <c r="B361" i="3"/>
  <c r="B359" i="3"/>
  <c r="C40" i="1"/>
  <c r="C35" i="1"/>
  <c r="C36" i="1"/>
  <c r="C42" i="1"/>
  <c r="C41" i="1"/>
  <c r="C39" i="1"/>
  <c r="C38" i="1"/>
  <c r="C37" i="1"/>
  <c r="C34" i="1"/>
  <c r="E530" i="3"/>
  <c r="G530" i="3" s="1"/>
  <c r="E527" i="3"/>
  <c r="G527" i="3" s="1"/>
  <c r="E533" i="3"/>
  <c r="G533" i="3" s="1"/>
  <c r="E523" i="3"/>
  <c r="G523" i="3" s="1"/>
  <c r="E532" i="3"/>
  <c r="G532" i="3" s="1"/>
  <c r="E522" i="3"/>
  <c r="E531" i="3"/>
  <c r="G531" i="3" s="1"/>
  <c r="E529" i="3"/>
  <c r="G529" i="3" s="1"/>
  <c r="E528" i="3"/>
  <c r="G528" i="3" s="1"/>
  <c r="E526" i="3"/>
  <c r="G526" i="3" s="1"/>
  <c r="E525" i="3"/>
  <c r="G525" i="3" s="1"/>
  <c r="E524" i="3"/>
  <c r="G524" i="3" s="1"/>
  <c r="C297" i="3"/>
  <c r="C289" i="3"/>
  <c r="C294" i="3"/>
  <c r="C287" i="3"/>
  <c r="C292" i="3"/>
  <c r="C291" i="3"/>
  <c r="C290" i="3"/>
  <c r="C288" i="3"/>
  <c r="C298" i="3"/>
  <c r="C296" i="3"/>
  <c r="C295" i="3"/>
  <c r="C293" i="3"/>
  <c r="G652" i="1"/>
  <c r="E666" i="1"/>
  <c r="G286" i="1"/>
  <c r="E297" i="1"/>
  <c r="B476" i="3"/>
  <c r="B473" i="3"/>
  <c r="B479" i="3"/>
  <c r="B478" i="3"/>
  <c r="B477" i="3"/>
  <c r="B475" i="3"/>
  <c r="B474" i="3"/>
  <c r="B480" i="3"/>
  <c r="B472" i="3"/>
  <c r="B471" i="3"/>
  <c r="G627" i="3"/>
  <c r="E640" i="3"/>
  <c r="C37" i="3"/>
  <c r="C36" i="3"/>
  <c r="C35" i="3"/>
  <c r="C41" i="3"/>
  <c r="C34" i="3"/>
  <c r="C40" i="3"/>
  <c r="C39" i="3"/>
  <c r="C38" i="3"/>
  <c r="G70" i="1"/>
  <c r="E83" i="1"/>
  <c r="E80" i="3"/>
  <c r="G66" i="3"/>
  <c r="B23" i="3"/>
  <c r="B21" i="3"/>
  <c r="B22" i="3"/>
  <c r="B15" i="3"/>
  <c r="B28" i="3"/>
  <c r="B20" i="3"/>
  <c r="B27" i="3"/>
  <c r="B19" i="3"/>
  <c r="B26" i="3"/>
  <c r="B25" i="3"/>
  <c r="B17" i="3"/>
  <c r="B18" i="3"/>
  <c r="B24" i="3"/>
  <c r="B16" i="3"/>
  <c r="G287" i="3"/>
  <c r="E299" i="3"/>
  <c r="E269" i="3"/>
  <c r="G259" i="3"/>
  <c r="E152" i="3"/>
  <c r="G141" i="3"/>
  <c r="C87" i="2"/>
  <c r="C93" i="2"/>
  <c r="C92" i="2"/>
  <c r="C90" i="2"/>
  <c r="C88" i="2"/>
  <c r="C86" i="2"/>
  <c r="C94" i="2"/>
  <c r="C89" i="2"/>
  <c r="C85" i="2"/>
  <c r="C91" i="2"/>
  <c r="B104" i="2"/>
  <c r="B102" i="2"/>
  <c r="B107" i="2"/>
  <c r="B105" i="2"/>
  <c r="B101" i="2"/>
  <c r="B100" i="2"/>
  <c r="B103" i="2"/>
  <c r="B106" i="2"/>
  <c r="B99" i="2"/>
  <c r="C600" i="3"/>
  <c r="C603" i="3"/>
  <c r="C599" i="3"/>
  <c r="C606" i="3"/>
  <c r="C605" i="3"/>
  <c r="C604" i="3"/>
  <c r="C602" i="3"/>
  <c r="C601" i="3"/>
  <c r="C598" i="3"/>
  <c r="C158" i="3"/>
  <c r="C157" i="3"/>
  <c r="C164" i="3"/>
  <c r="C163" i="3"/>
  <c r="C156" i="3"/>
  <c r="C162" i="3"/>
  <c r="C160" i="3"/>
  <c r="C161" i="3"/>
  <c r="C159" i="3"/>
  <c r="E281" i="2"/>
  <c r="G281" i="2" s="1"/>
  <c r="E278" i="2"/>
  <c r="G278" i="2" s="1"/>
  <c r="E276" i="2"/>
  <c r="G276" i="2" s="1"/>
  <c r="E275" i="2"/>
  <c r="G275" i="2" s="1"/>
  <c r="E282" i="2"/>
  <c r="G282" i="2" s="1"/>
  <c r="E273" i="2"/>
  <c r="E280" i="2"/>
  <c r="G280" i="2" s="1"/>
  <c r="E279" i="2"/>
  <c r="G279" i="2" s="1"/>
  <c r="E274" i="2"/>
  <c r="G274" i="2" s="1"/>
  <c r="E277" i="2"/>
  <c r="G277" i="2" s="1"/>
  <c r="C386" i="2"/>
  <c r="C393" i="2"/>
  <c r="C384" i="2"/>
  <c r="C392" i="2"/>
  <c r="C383" i="2"/>
  <c r="C391" i="2"/>
  <c r="C390" i="2"/>
  <c r="C382" i="2"/>
  <c r="C389" i="2"/>
  <c r="C387" i="2"/>
  <c r="C388" i="2"/>
  <c r="C385" i="2"/>
  <c r="B494" i="2"/>
  <c r="B487" i="2"/>
  <c r="B490" i="2"/>
  <c r="B488" i="2"/>
  <c r="B496" i="2"/>
  <c r="B495" i="2"/>
  <c r="B493" i="2"/>
  <c r="B492" i="2"/>
  <c r="B491" i="2"/>
  <c r="B489" i="2"/>
  <c r="E40" i="2"/>
  <c r="G40" i="2" s="1"/>
  <c r="E41" i="2"/>
  <c r="G41" i="2" s="1"/>
  <c r="E38" i="2"/>
  <c r="G38" i="2" s="1"/>
  <c r="E36" i="2"/>
  <c r="G36" i="2" s="1"/>
  <c r="E35" i="2"/>
  <c r="G35" i="2" s="1"/>
  <c r="E34" i="2"/>
  <c r="E39" i="2"/>
  <c r="G39" i="2" s="1"/>
  <c r="E37" i="2"/>
  <c r="G37" i="2" s="1"/>
  <c r="B479" i="1"/>
  <c r="B483" i="1"/>
  <c r="B476" i="1"/>
  <c r="B478" i="1"/>
  <c r="B484" i="1"/>
  <c r="B482" i="1"/>
  <c r="B480" i="1"/>
  <c r="B477" i="1"/>
  <c r="B485" i="1"/>
  <c r="B481" i="1"/>
  <c r="C491" i="2"/>
  <c r="C488" i="2"/>
  <c r="C495" i="2"/>
  <c r="C487" i="2"/>
  <c r="C496" i="2"/>
  <c r="C494" i="2"/>
  <c r="C493" i="2"/>
  <c r="C492" i="2"/>
  <c r="C490" i="2"/>
  <c r="C489" i="2"/>
  <c r="E394" i="2"/>
  <c r="G382" i="2"/>
  <c r="E366" i="1"/>
  <c r="G366" i="1" s="1"/>
  <c r="E364" i="1"/>
  <c r="G364" i="1" s="1"/>
  <c r="E362" i="1"/>
  <c r="G362" i="1" s="1"/>
  <c r="E368" i="1"/>
  <c r="G368" i="1" s="1"/>
  <c r="E365" i="1"/>
  <c r="G365" i="1" s="1"/>
  <c r="E363" i="1"/>
  <c r="G363" i="1" s="1"/>
  <c r="E361" i="1"/>
  <c r="E367" i="1"/>
  <c r="G367" i="1" s="1"/>
  <c r="C381" i="1"/>
  <c r="C379" i="1"/>
  <c r="C377" i="1"/>
  <c r="C376" i="1"/>
  <c r="C382" i="1"/>
  <c r="C380" i="1"/>
  <c r="C375" i="1"/>
  <c r="C374" i="1"/>
  <c r="C373" i="1"/>
  <c r="C378" i="1"/>
  <c r="E216" i="1"/>
  <c r="G216" i="1" s="1"/>
  <c r="E215" i="1"/>
  <c r="G215" i="1" s="1"/>
  <c r="E214" i="1"/>
  <c r="G214" i="1" s="1"/>
  <c r="E220" i="1"/>
  <c r="G220" i="1" s="1"/>
  <c r="E219" i="1"/>
  <c r="G219" i="1" s="1"/>
  <c r="E213" i="1"/>
  <c r="E217" i="1"/>
  <c r="G217" i="1" s="1"/>
  <c r="E218" i="1"/>
  <c r="G218" i="1" s="1"/>
  <c r="B334" i="1"/>
  <c r="B326" i="1"/>
  <c r="B318" i="1"/>
  <c r="B332" i="1"/>
  <c r="B324" i="1"/>
  <c r="B317" i="1"/>
  <c r="B338" i="1"/>
  <c r="B330" i="1"/>
  <c r="B322" i="1"/>
  <c r="B337" i="1"/>
  <c r="B329" i="1"/>
  <c r="B321" i="1"/>
  <c r="B327" i="1"/>
  <c r="B325" i="1"/>
  <c r="B336" i="1"/>
  <c r="B320" i="1"/>
  <c r="B335" i="1"/>
  <c r="B319" i="1"/>
  <c r="B333" i="1"/>
  <c r="B339" i="1"/>
  <c r="B331" i="1"/>
  <c r="B328" i="1"/>
  <c r="B323" i="1"/>
  <c r="C396" i="1"/>
  <c r="C388" i="1"/>
  <c r="C394" i="1"/>
  <c r="C387" i="1"/>
  <c r="C392" i="1"/>
  <c r="C391" i="1"/>
  <c r="C389" i="1"/>
  <c r="C397" i="1"/>
  <c r="C395" i="1"/>
  <c r="C393" i="1"/>
  <c r="C390" i="1"/>
  <c r="E681" i="3"/>
  <c r="G681" i="3" s="1"/>
  <c r="E682" i="3"/>
  <c r="G682" i="3" s="1"/>
  <c r="E678" i="3"/>
  <c r="G678" i="3" s="1"/>
  <c r="E679" i="3"/>
  <c r="G679" i="3" s="1"/>
  <c r="E677" i="3"/>
  <c r="G677" i="3" s="1"/>
  <c r="E680" i="3"/>
  <c r="G680" i="3" s="1"/>
  <c r="E685" i="3"/>
  <c r="G685" i="3" s="1"/>
  <c r="E686" i="3"/>
  <c r="E683" i="3"/>
  <c r="G683" i="3" s="1"/>
  <c r="E684" i="3"/>
  <c r="G684" i="3" s="1"/>
  <c r="E462" i="3"/>
  <c r="G462" i="3" s="1"/>
  <c r="E459" i="3"/>
  <c r="E457" i="3"/>
  <c r="G457" i="3" s="1"/>
  <c r="E466" i="3"/>
  <c r="G466" i="3" s="1"/>
  <c r="E456" i="3"/>
  <c r="G456" i="3" s="1"/>
  <c r="E458" i="3"/>
  <c r="G458" i="3" s="1"/>
  <c r="E465" i="3"/>
  <c r="G465" i="3" s="1"/>
  <c r="E455" i="3"/>
  <c r="G455" i="3" s="1"/>
  <c r="E464" i="3"/>
  <c r="G464" i="3" s="1"/>
  <c r="E454" i="3"/>
  <c r="G454" i="3" s="1"/>
  <c r="E463" i="3"/>
  <c r="G463" i="3" s="1"/>
  <c r="E460" i="3"/>
  <c r="G460" i="3" s="1"/>
  <c r="E461" i="3"/>
  <c r="G461" i="3" s="1"/>
  <c r="B492" i="3"/>
  <c r="B489" i="3"/>
  <c r="B488" i="3"/>
  <c r="B496" i="3"/>
  <c r="B487" i="3"/>
  <c r="B495" i="3"/>
  <c r="B494" i="3"/>
  <c r="B491" i="3"/>
  <c r="B493" i="3"/>
  <c r="B490" i="3"/>
  <c r="B655" i="3"/>
  <c r="B647" i="3"/>
  <c r="B650" i="3"/>
  <c r="B656" i="3"/>
  <c r="B646" i="3"/>
  <c r="B654" i="3"/>
  <c r="B649" i="3"/>
  <c r="B648" i="3"/>
  <c r="B645" i="3"/>
  <c r="B657" i="3"/>
  <c r="B651" i="3"/>
  <c r="B653" i="3"/>
  <c r="B652" i="3"/>
  <c r="C252" i="3"/>
  <c r="C249" i="3"/>
  <c r="C251" i="3"/>
  <c r="C250" i="3"/>
  <c r="C248" i="3"/>
  <c r="C247" i="3"/>
  <c r="C246" i="3"/>
  <c r="C245" i="3"/>
  <c r="C254" i="3"/>
  <c r="C244" i="3"/>
  <c r="C253" i="3"/>
  <c r="E364" i="3"/>
  <c r="G364" i="3" s="1"/>
  <c r="E357" i="3"/>
  <c r="E361" i="3"/>
  <c r="G361" i="3" s="1"/>
  <c r="E359" i="3"/>
  <c r="G359" i="3" s="1"/>
  <c r="E358" i="3"/>
  <c r="G358" i="3" s="1"/>
  <c r="E365" i="3"/>
  <c r="G365" i="3" s="1"/>
  <c r="E363" i="3"/>
  <c r="G363" i="3" s="1"/>
  <c r="E362" i="3"/>
  <c r="G362" i="3" s="1"/>
  <c r="E360" i="3"/>
  <c r="G360" i="3" s="1"/>
  <c r="B310" i="1"/>
  <c r="B302" i="1"/>
  <c r="B305" i="1"/>
  <c r="B306" i="1"/>
  <c r="B304" i="1"/>
  <c r="B312" i="1"/>
  <c r="B311" i="1"/>
  <c r="B301" i="1"/>
  <c r="B309" i="1"/>
  <c r="B308" i="1"/>
  <c r="B307" i="1"/>
  <c r="B303" i="1"/>
  <c r="E108" i="1"/>
  <c r="G108" i="1" s="1"/>
  <c r="E101" i="1"/>
  <c r="E103" i="1"/>
  <c r="G103" i="1" s="1"/>
  <c r="E104" i="1"/>
  <c r="G104" i="1" s="1"/>
  <c r="E102" i="1"/>
  <c r="G102" i="1" s="1"/>
  <c r="E109" i="1"/>
  <c r="G109" i="1" s="1"/>
  <c r="E107" i="1"/>
  <c r="G107" i="1" s="1"/>
  <c r="E106" i="1"/>
  <c r="G106" i="1" s="1"/>
  <c r="E105" i="1"/>
  <c r="G105" i="1" s="1"/>
  <c r="E196" i="3"/>
  <c r="G196" i="3" s="1"/>
  <c r="E188" i="3"/>
  <c r="G188" i="3" s="1"/>
  <c r="E195" i="3"/>
  <c r="G195" i="3" s="1"/>
  <c r="E187" i="3"/>
  <c r="G187" i="3" s="1"/>
  <c r="E194" i="3"/>
  <c r="G194" i="3" s="1"/>
  <c r="E186" i="3"/>
  <c r="G186" i="3" s="1"/>
  <c r="E193" i="3"/>
  <c r="G193" i="3" s="1"/>
  <c r="E192" i="3"/>
  <c r="G192" i="3" s="1"/>
  <c r="E185" i="3"/>
  <c r="E190" i="3"/>
  <c r="G190" i="3" s="1"/>
  <c r="E191" i="3"/>
  <c r="G191" i="3" s="1"/>
  <c r="E197" i="3"/>
  <c r="G197" i="3" s="1"/>
  <c r="E189" i="3"/>
  <c r="G189" i="3" s="1"/>
  <c r="B532" i="3"/>
  <c r="B524" i="3"/>
  <c r="B529" i="3"/>
  <c r="B522" i="3"/>
  <c r="B527" i="3"/>
  <c r="B526" i="3"/>
  <c r="B525" i="3"/>
  <c r="B523" i="3"/>
  <c r="B533" i="3"/>
  <c r="B531" i="3"/>
  <c r="B530" i="3"/>
  <c r="B528" i="3"/>
  <c r="B160" i="3"/>
  <c r="B159" i="3"/>
  <c r="B158" i="3"/>
  <c r="B157" i="3"/>
  <c r="B164" i="3"/>
  <c r="B162" i="3"/>
  <c r="B163" i="3"/>
  <c r="B156" i="3"/>
  <c r="B161" i="3"/>
  <c r="C8" i="1"/>
  <c r="C9" i="1"/>
  <c r="C5" i="1"/>
  <c r="C4" i="1"/>
  <c r="C6" i="1"/>
  <c r="C7" i="1"/>
  <c r="C10" i="1"/>
  <c r="C334" i="1"/>
  <c r="C326" i="1"/>
  <c r="C318" i="1"/>
  <c r="C332" i="1"/>
  <c r="C324" i="1"/>
  <c r="C317" i="1"/>
  <c r="C338" i="1"/>
  <c r="C330" i="1"/>
  <c r="C322" i="1"/>
  <c r="C337" i="1"/>
  <c r="C329" i="1"/>
  <c r="C321" i="1"/>
  <c r="C335" i="1"/>
  <c r="C319" i="1"/>
  <c r="C333" i="1"/>
  <c r="C328" i="1"/>
  <c r="C327" i="1"/>
  <c r="C325" i="1"/>
  <c r="C320" i="1"/>
  <c r="C323" i="1"/>
  <c r="C339" i="1"/>
  <c r="C331" i="1"/>
  <c r="C336" i="1"/>
  <c r="G582" i="1"/>
  <c r="E591" i="1"/>
  <c r="E36" i="3"/>
  <c r="G36" i="3" s="1"/>
  <c r="E35" i="3"/>
  <c r="G35" i="3" s="1"/>
  <c r="E41" i="3"/>
  <c r="G41" i="3" s="1"/>
  <c r="E34" i="3"/>
  <c r="E40" i="3"/>
  <c r="G40" i="3" s="1"/>
  <c r="E39" i="3"/>
  <c r="G39" i="3" s="1"/>
  <c r="E38" i="3"/>
  <c r="G38" i="3" s="1"/>
  <c r="E37" i="3"/>
  <c r="G37" i="3" s="1"/>
  <c r="E672" i="3"/>
  <c r="G663" i="3"/>
  <c r="G21" i="1"/>
  <c r="E29" i="1"/>
  <c r="E282" i="3"/>
  <c r="G282" i="3" s="1"/>
  <c r="E274" i="3"/>
  <c r="G274" i="3" s="1"/>
  <c r="E279" i="3"/>
  <c r="G279" i="3" s="1"/>
  <c r="E275" i="3"/>
  <c r="G275" i="3" s="1"/>
  <c r="E273" i="3"/>
  <c r="E281" i="3"/>
  <c r="G281" i="3" s="1"/>
  <c r="E280" i="3"/>
  <c r="G280" i="3" s="1"/>
  <c r="E278" i="3"/>
  <c r="G278" i="3" s="1"/>
  <c r="E277" i="3"/>
  <c r="G277" i="3" s="1"/>
  <c r="E276" i="3"/>
  <c r="G276" i="3" s="1"/>
  <c r="E464" i="2"/>
  <c r="G464" i="2" s="1"/>
  <c r="E456" i="2"/>
  <c r="G456" i="2" s="1"/>
  <c r="E461" i="2"/>
  <c r="G461" i="2" s="1"/>
  <c r="E462" i="2"/>
  <c r="G462" i="2" s="1"/>
  <c r="E460" i="2"/>
  <c r="G460" i="2" s="1"/>
  <c r="E459" i="2"/>
  <c r="E458" i="2"/>
  <c r="G458" i="2" s="1"/>
  <c r="E457" i="2"/>
  <c r="G457" i="2" s="1"/>
  <c r="E466" i="2"/>
  <c r="G466" i="2" s="1"/>
  <c r="E455" i="2"/>
  <c r="G455" i="2" s="1"/>
  <c r="E465" i="2"/>
  <c r="G465" i="2" s="1"/>
  <c r="E463" i="2"/>
  <c r="G463" i="2" s="1"/>
  <c r="E454" i="2"/>
  <c r="G454" i="2" s="1"/>
  <c r="E378" i="1"/>
  <c r="G378" i="1" s="1"/>
  <c r="E376" i="1"/>
  <c r="G376" i="1" s="1"/>
  <c r="E382" i="1"/>
  <c r="G382" i="1" s="1"/>
  <c r="E374" i="1"/>
  <c r="G374" i="1" s="1"/>
  <c r="E381" i="1"/>
  <c r="G381" i="1" s="1"/>
  <c r="E380" i="1"/>
  <c r="G380" i="1" s="1"/>
  <c r="E379" i="1"/>
  <c r="G379" i="1" s="1"/>
  <c r="E377" i="1"/>
  <c r="G377" i="1" s="1"/>
  <c r="E375" i="1"/>
  <c r="G375" i="1" s="1"/>
  <c r="E373" i="1"/>
  <c r="E606" i="3"/>
  <c r="G606" i="3" s="1"/>
  <c r="E602" i="3"/>
  <c r="G602" i="3" s="1"/>
  <c r="E599" i="3"/>
  <c r="G599" i="3" s="1"/>
  <c r="E598" i="3"/>
  <c r="E605" i="3"/>
  <c r="G605" i="3" s="1"/>
  <c r="E604" i="3"/>
  <c r="G604" i="3" s="1"/>
  <c r="E601" i="3"/>
  <c r="G601" i="3" s="1"/>
  <c r="E603" i="3"/>
  <c r="G603" i="3" s="1"/>
  <c r="E600" i="3"/>
  <c r="G600" i="3" s="1"/>
  <c r="E25" i="3"/>
  <c r="G25" i="3" s="1"/>
  <c r="E17" i="3"/>
  <c r="G17" i="3" s="1"/>
  <c r="E24" i="3"/>
  <c r="G24" i="3" s="1"/>
  <c r="E16" i="3"/>
  <c r="G16" i="3" s="1"/>
  <c r="E23" i="3"/>
  <c r="G23" i="3" s="1"/>
  <c r="E22" i="3"/>
  <c r="G22" i="3" s="1"/>
  <c r="E15" i="3"/>
  <c r="G15" i="3" s="1"/>
  <c r="E21" i="3"/>
  <c r="G21" i="3" s="1"/>
  <c r="E28" i="3"/>
  <c r="G28" i="3" s="1"/>
  <c r="E20" i="3"/>
  <c r="E27" i="3"/>
  <c r="G27" i="3" s="1"/>
  <c r="E19" i="3"/>
  <c r="G19" i="3" s="1"/>
  <c r="E26" i="3"/>
  <c r="G26" i="3" s="1"/>
  <c r="E18" i="3"/>
  <c r="G18" i="3" s="1"/>
  <c r="E429" i="1"/>
  <c r="G421" i="1"/>
  <c r="E698" i="2"/>
  <c r="G698" i="2" s="1"/>
  <c r="E697" i="2"/>
  <c r="G697" i="2" s="1"/>
  <c r="E690" i="2"/>
  <c r="G690" i="2" s="1"/>
  <c r="E694" i="2"/>
  <c r="G694" i="2" s="1"/>
  <c r="E693" i="2"/>
  <c r="G693" i="2" s="1"/>
  <c r="E692" i="2"/>
  <c r="G692" i="2" s="1"/>
  <c r="E696" i="2"/>
  <c r="G696" i="2" s="1"/>
  <c r="E695" i="2"/>
  <c r="G695" i="2" s="1"/>
  <c r="E699" i="2"/>
  <c r="E691" i="2"/>
  <c r="G691" i="2" s="1"/>
  <c r="B333" i="2"/>
  <c r="B325" i="2"/>
  <c r="B317" i="2"/>
  <c r="B331" i="2"/>
  <c r="B322" i="2"/>
  <c r="B329" i="2"/>
  <c r="B320" i="2"/>
  <c r="B337" i="2"/>
  <c r="B328" i="2"/>
  <c r="B319" i="2"/>
  <c r="B335" i="2"/>
  <c r="B326" i="2"/>
  <c r="B336" i="2"/>
  <c r="B318" i="2"/>
  <c r="B334" i="2"/>
  <c r="B316" i="2"/>
  <c r="B332" i="2"/>
  <c r="B330" i="2"/>
  <c r="B327" i="2"/>
  <c r="B324" i="2"/>
  <c r="B323" i="2"/>
  <c r="B321" i="2"/>
  <c r="B391" i="2"/>
  <c r="B383" i="2"/>
  <c r="B388" i="2"/>
  <c r="B387" i="2"/>
  <c r="B386" i="2"/>
  <c r="B385" i="2"/>
  <c r="B393" i="2"/>
  <c r="B384" i="2"/>
  <c r="B390" i="2"/>
  <c r="B382" i="2"/>
  <c r="B392" i="2"/>
  <c r="B389" i="2"/>
  <c r="B57" i="2"/>
  <c r="B49" i="2"/>
  <c r="B53" i="2"/>
  <c r="B60" i="2"/>
  <c r="B51" i="2"/>
  <c r="B58" i="2"/>
  <c r="B48" i="2"/>
  <c r="B56" i="2"/>
  <c r="B61" i="2"/>
  <c r="B59" i="2"/>
  <c r="B54" i="2"/>
  <c r="B52" i="2"/>
  <c r="B55" i="2"/>
  <c r="B50" i="2"/>
  <c r="B47" i="2"/>
  <c r="BK59" i="4"/>
  <c r="C590" i="2"/>
  <c r="C592" i="2"/>
  <c r="C591" i="2"/>
  <c r="C589" i="2"/>
  <c r="C587" i="2"/>
  <c r="C593" i="2"/>
  <c r="C588" i="2"/>
  <c r="E267" i="2"/>
  <c r="G267" i="2" s="1"/>
  <c r="E266" i="2"/>
  <c r="G266" i="2" s="1"/>
  <c r="E264" i="2"/>
  <c r="G264" i="2" s="1"/>
  <c r="E263" i="2"/>
  <c r="G263" i="2" s="1"/>
  <c r="E259" i="2"/>
  <c r="E268" i="2"/>
  <c r="G268" i="2" s="1"/>
  <c r="E265" i="2"/>
  <c r="G265" i="2" s="1"/>
  <c r="E260" i="2"/>
  <c r="G260" i="2" s="1"/>
  <c r="E261" i="2"/>
  <c r="G261" i="2" s="1"/>
  <c r="E262" i="2"/>
  <c r="G262" i="2" s="1"/>
  <c r="C550" i="2"/>
  <c r="C542" i="2"/>
  <c r="C549" i="2"/>
  <c r="C540" i="2"/>
  <c r="C547" i="2"/>
  <c r="C539" i="2"/>
  <c r="C538" i="2"/>
  <c r="C548" i="2"/>
  <c r="C546" i="2"/>
  <c r="C545" i="2"/>
  <c r="C544" i="2"/>
  <c r="C543" i="2"/>
  <c r="C541" i="2"/>
  <c r="B214" i="2"/>
  <c r="B216" i="2"/>
  <c r="B215" i="2"/>
  <c r="B213" i="2"/>
  <c r="B220" i="2"/>
  <c r="B219" i="2"/>
  <c r="B218" i="2"/>
  <c r="B217" i="2"/>
  <c r="C237" i="2"/>
  <c r="C229" i="2"/>
  <c r="C238" i="2"/>
  <c r="C228" i="2"/>
  <c r="C236" i="2"/>
  <c r="C227" i="2"/>
  <c r="C226" i="2"/>
  <c r="C239" i="2"/>
  <c r="C235" i="2"/>
  <c r="C225" i="2"/>
  <c r="C234" i="2"/>
  <c r="C232" i="2"/>
  <c r="C231" i="2"/>
  <c r="C233" i="2"/>
  <c r="C230" i="2"/>
  <c r="C334" i="2"/>
  <c r="C326" i="2"/>
  <c r="C318" i="2"/>
  <c r="C336" i="2"/>
  <c r="C327" i="2"/>
  <c r="C317" i="2"/>
  <c r="C335" i="2"/>
  <c r="C325" i="2"/>
  <c r="C333" i="2"/>
  <c r="C324" i="2"/>
  <c r="C316" i="2"/>
  <c r="C332" i="2"/>
  <c r="C323" i="2"/>
  <c r="C330" i="2"/>
  <c r="C321" i="2"/>
  <c r="C337" i="2"/>
  <c r="C331" i="2"/>
  <c r="C329" i="2"/>
  <c r="C328" i="2"/>
  <c r="C322" i="2"/>
  <c r="C319" i="2"/>
  <c r="C320" i="2"/>
  <c r="E703" i="1"/>
  <c r="G703" i="1" s="1"/>
  <c r="E707" i="1"/>
  <c r="G707" i="1" s="1"/>
  <c r="E705" i="1"/>
  <c r="G705" i="1" s="1"/>
  <c r="E702" i="1"/>
  <c r="G702" i="1" s="1"/>
  <c r="E710" i="1"/>
  <c r="G710" i="1" s="1"/>
  <c r="E708" i="1"/>
  <c r="G708" i="1" s="1"/>
  <c r="E706" i="1"/>
  <c r="G706" i="1" s="1"/>
  <c r="E704" i="1"/>
  <c r="G704" i="1" s="1"/>
  <c r="E709" i="1"/>
  <c r="G709" i="1" s="1"/>
  <c r="E701" i="1"/>
  <c r="G701" i="1" s="1"/>
  <c r="C57" i="2"/>
  <c r="C49" i="2"/>
  <c r="C55" i="2"/>
  <c r="C58" i="2"/>
  <c r="C47" i="2"/>
  <c r="C54" i="2"/>
  <c r="C52" i="2"/>
  <c r="C61" i="2"/>
  <c r="C51" i="2"/>
  <c r="C48" i="2"/>
  <c r="C59" i="2"/>
  <c r="C56" i="2"/>
  <c r="C60" i="2"/>
  <c r="C53" i="2"/>
  <c r="C50" i="2"/>
  <c r="E465" i="1"/>
  <c r="G465" i="1" s="1"/>
  <c r="E458" i="1"/>
  <c r="G458" i="1" s="1"/>
  <c r="E469" i="1"/>
  <c r="G469" i="1" s="1"/>
  <c r="E461" i="1"/>
  <c r="G461" i="1" s="1"/>
  <c r="E471" i="1"/>
  <c r="G471" i="1" s="1"/>
  <c r="E460" i="1"/>
  <c r="G460" i="1" s="1"/>
  <c r="E468" i="1"/>
  <c r="G468" i="1" s="1"/>
  <c r="E466" i="1"/>
  <c r="G466" i="1" s="1"/>
  <c r="E464" i="1"/>
  <c r="G464" i="1" s="1"/>
  <c r="E470" i="1"/>
  <c r="G470" i="1" s="1"/>
  <c r="E467" i="1"/>
  <c r="G467" i="1" s="1"/>
  <c r="E463" i="1"/>
  <c r="E462" i="1"/>
  <c r="G462" i="1" s="1"/>
  <c r="E459" i="1"/>
  <c r="G459" i="1" s="1"/>
  <c r="B40" i="2"/>
  <c r="B38" i="2"/>
  <c r="B36" i="2"/>
  <c r="B35" i="2"/>
  <c r="B34" i="2"/>
  <c r="B41" i="2"/>
  <c r="B39" i="2"/>
  <c r="B37" i="2"/>
  <c r="E496" i="2"/>
  <c r="G496" i="2" s="1"/>
  <c r="E488" i="2"/>
  <c r="G488" i="2" s="1"/>
  <c r="E495" i="2"/>
  <c r="G495" i="2" s="1"/>
  <c r="E487" i="2"/>
  <c r="E493" i="2"/>
  <c r="G493" i="2" s="1"/>
  <c r="E494" i="2"/>
  <c r="G494" i="2" s="1"/>
  <c r="E492" i="2"/>
  <c r="G492" i="2" s="1"/>
  <c r="E491" i="2"/>
  <c r="G491" i="2" s="1"/>
  <c r="E490" i="2"/>
  <c r="G490" i="2" s="1"/>
  <c r="E489" i="2"/>
  <c r="G489" i="2" s="1"/>
  <c r="E680" i="1"/>
  <c r="G680" i="1" s="1"/>
  <c r="E682" i="1"/>
  <c r="G682" i="1" s="1"/>
  <c r="E674" i="1"/>
  <c r="E679" i="1"/>
  <c r="G679" i="1" s="1"/>
  <c r="E677" i="1"/>
  <c r="G677" i="1" s="1"/>
  <c r="E681" i="1"/>
  <c r="G681" i="1" s="1"/>
  <c r="E678" i="1"/>
  <c r="G678" i="1" s="1"/>
  <c r="E676" i="1"/>
  <c r="G676" i="1" s="1"/>
  <c r="E675" i="1"/>
  <c r="G675" i="1" s="1"/>
  <c r="B230" i="1"/>
  <c r="B233" i="1"/>
  <c r="B229" i="1"/>
  <c r="B228" i="1"/>
  <c r="B226" i="1"/>
  <c r="B235" i="1"/>
  <c r="B225" i="1"/>
  <c r="B234" i="1"/>
  <c r="B231" i="1"/>
  <c r="B227" i="1"/>
  <c r="B232" i="1"/>
  <c r="B354" i="1"/>
  <c r="B346" i="1"/>
  <c r="B352" i="1"/>
  <c r="B350" i="1"/>
  <c r="B349" i="1"/>
  <c r="B351" i="1"/>
  <c r="B348" i="1"/>
  <c r="B345" i="1"/>
  <c r="B344" i="1"/>
  <c r="B353" i="1"/>
  <c r="B347" i="1"/>
  <c r="B76" i="1"/>
  <c r="B79" i="1"/>
  <c r="B71" i="1"/>
  <c r="B74" i="1"/>
  <c r="B81" i="1"/>
  <c r="B80" i="1"/>
  <c r="B70" i="1"/>
  <c r="B78" i="1"/>
  <c r="B82" i="1"/>
  <c r="B77" i="1"/>
  <c r="B75" i="1"/>
  <c r="B73" i="1"/>
  <c r="B72" i="1"/>
  <c r="C78" i="1"/>
  <c r="C81" i="1"/>
  <c r="C73" i="1"/>
  <c r="C82" i="1"/>
  <c r="C71" i="1"/>
  <c r="C77" i="1"/>
  <c r="C76" i="1"/>
  <c r="C75" i="1"/>
  <c r="C70" i="1"/>
  <c r="C72" i="1"/>
  <c r="C80" i="1"/>
  <c r="C74" i="1"/>
  <c r="C79" i="1"/>
  <c r="C294" i="1"/>
  <c r="C289" i="1"/>
  <c r="C288" i="1"/>
  <c r="C287" i="1"/>
  <c r="C295" i="1"/>
  <c r="C293" i="1"/>
  <c r="C292" i="1"/>
  <c r="C290" i="1"/>
  <c r="C286" i="1"/>
  <c r="C291" i="1"/>
  <c r="C296" i="1"/>
  <c r="B368" i="1"/>
  <c r="B361" i="1"/>
  <c r="B366" i="1"/>
  <c r="B364" i="1"/>
  <c r="B363" i="1"/>
  <c r="B367" i="1"/>
  <c r="B365" i="1"/>
  <c r="B362" i="1"/>
  <c r="C24" i="3"/>
  <c r="C16" i="3"/>
  <c r="C23" i="3"/>
  <c r="C22" i="3"/>
  <c r="C15" i="3"/>
  <c r="C21" i="3"/>
  <c r="C28" i="3"/>
  <c r="C20" i="3"/>
  <c r="C27" i="3"/>
  <c r="C19" i="3"/>
  <c r="C18" i="3"/>
  <c r="C26" i="3"/>
  <c r="C17" i="3"/>
  <c r="C25" i="3"/>
  <c r="E651" i="3"/>
  <c r="G651" i="3" s="1"/>
  <c r="E649" i="3"/>
  <c r="G649" i="3" s="1"/>
  <c r="E655" i="3"/>
  <c r="G655" i="3" s="1"/>
  <c r="E646" i="3"/>
  <c r="G646" i="3" s="1"/>
  <c r="E654" i="3"/>
  <c r="G654" i="3" s="1"/>
  <c r="E650" i="3"/>
  <c r="G650" i="3" s="1"/>
  <c r="E648" i="3"/>
  <c r="G648" i="3" s="1"/>
  <c r="E647" i="3"/>
  <c r="G647" i="3" s="1"/>
  <c r="E645" i="3"/>
  <c r="E657" i="3"/>
  <c r="G657" i="3" s="1"/>
  <c r="E656" i="3"/>
  <c r="G656" i="3" s="1"/>
  <c r="E653" i="3"/>
  <c r="G653" i="3" s="1"/>
  <c r="E652" i="3"/>
  <c r="G652" i="3" s="1"/>
  <c r="B145" i="2"/>
  <c r="B144" i="2"/>
  <c r="B143" i="2"/>
  <c r="B151" i="2"/>
  <c r="B141" i="2"/>
  <c r="B142" i="2"/>
  <c r="B149" i="2"/>
  <c r="B148" i="2"/>
  <c r="B150" i="2"/>
  <c r="B147" i="2"/>
  <c r="B146" i="2"/>
  <c r="B139" i="2"/>
  <c r="B140" i="2"/>
  <c r="G99" i="2"/>
  <c r="E108" i="2"/>
  <c r="B124" i="1"/>
  <c r="B116" i="1"/>
  <c r="B119" i="1"/>
  <c r="B115" i="1"/>
  <c r="B122" i="1"/>
  <c r="B121" i="1"/>
  <c r="B120" i="1"/>
  <c r="B123" i="1"/>
  <c r="B118" i="1"/>
  <c r="B117" i="1"/>
  <c r="B114" i="1"/>
  <c r="B348" i="3"/>
  <c r="B345" i="3"/>
  <c r="B344" i="3"/>
  <c r="B343" i="3"/>
  <c r="B342" i="3"/>
  <c r="B350" i="3"/>
  <c r="B349" i="3"/>
  <c r="B347" i="3"/>
  <c r="B346" i="3"/>
  <c r="C305" i="1"/>
  <c r="C309" i="1"/>
  <c r="C308" i="1"/>
  <c r="C301" i="1"/>
  <c r="C304" i="1"/>
  <c r="C303" i="1"/>
  <c r="C312" i="1"/>
  <c r="C311" i="1"/>
  <c r="C310" i="1"/>
  <c r="C306" i="1"/>
  <c r="C302" i="1"/>
  <c r="C307" i="1"/>
  <c r="E59" i="1"/>
  <c r="G59" i="1" s="1"/>
  <c r="E51" i="1"/>
  <c r="E62" i="1"/>
  <c r="G62" i="1" s="1"/>
  <c r="E54" i="1"/>
  <c r="G54" i="1" s="1"/>
  <c r="E57" i="1"/>
  <c r="G57" i="1" s="1"/>
  <c r="E48" i="1"/>
  <c r="G48" i="1" s="1"/>
  <c r="E64" i="1"/>
  <c r="G64" i="1" s="1"/>
  <c r="E53" i="1"/>
  <c r="G53" i="1" s="1"/>
  <c r="E63" i="1"/>
  <c r="G63" i="1" s="1"/>
  <c r="E52" i="1"/>
  <c r="G52" i="1" s="1"/>
  <c r="E61" i="1"/>
  <c r="G61" i="1" s="1"/>
  <c r="E50" i="1"/>
  <c r="G50" i="1" s="1"/>
  <c r="E56" i="1"/>
  <c r="G56" i="1" s="1"/>
  <c r="E55" i="1"/>
  <c r="G55" i="1" s="1"/>
  <c r="E49" i="1"/>
  <c r="G49" i="1" s="1"/>
  <c r="E60" i="1"/>
  <c r="G60" i="1" s="1"/>
  <c r="E58" i="1"/>
  <c r="G58" i="1" s="1"/>
  <c r="C512" i="3"/>
  <c r="C504" i="3"/>
  <c r="C517" i="3"/>
  <c r="C509" i="3"/>
  <c r="C510" i="3"/>
  <c r="C511" i="3"/>
  <c r="C501" i="3"/>
  <c r="C508" i="3"/>
  <c r="C507" i="3"/>
  <c r="C516" i="3"/>
  <c r="C506" i="3"/>
  <c r="C515" i="3"/>
  <c r="C505" i="3"/>
  <c r="C514" i="3"/>
  <c r="C503" i="3"/>
  <c r="C513" i="3"/>
  <c r="C502" i="3"/>
  <c r="G402" i="1"/>
  <c r="E411" i="1"/>
  <c r="G301" i="1"/>
  <c r="E313" i="1"/>
  <c r="B8" i="1"/>
  <c r="B7" i="1"/>
  <c r="B4" i="1"/>
  <c r="B10" i="1"/>
  <c r="B9" i="1"/>
  <c r="B6" i="1"/>
  <c r="B5" i="1"/>
  <c r="C102" i="1"/>
  <c r="C105" i="1"/>
  <c r="C103" i="1"/>
  <c r="C109" i="1"/>
  <c r="C108" i="1"/>
  <c r="C107" i="1"/>
  <c r="C106" i="1"/>
  <c r="C101" i="1"/>
  <c r="C104" i="1"/>
  <c r="C638" i="3"/>
  <c r="C630" i="3"/>
  <c r="C634" i="3"/>
  <c r="C631" i="3"/>
  <c r="C639" i="3"/>
  <c r="C629" i="3"/>
  <c r="C637" i="3"/>
  <c r="C636" i="3"/>
  <c r="C635" i="3"/>
  <c r="C633" i="3"/>
  <c r="C632" i="3"/>
  <c r="C627" i="3"/>
  <c r="C628" i="3"/>
  <c r="G202" i="3"/>
  <c r="E209" i="3"/>
  <c r="E181" i="3"/>
  <c r="G169" i="3"/>
  <c r="G98" i="3"/>
  <c r="E107" i="3"/>
  <c r="G501" i="3"/>
  <c r="E518" i="3"/>
  <c r="C277" i="3"/>
  <c r="C282" i="3"/>
  <c r="C274" i="3"/>
  <c r="C275" i="3"/>
  <c r="C273" i="3"/>
  <c r="C281" i="3"/>
  <c r="C280" i="3"/>
  <c r="C279" i="3"/>
  <c r="C278" i="3"/>
  <c r="C276" i="3"/>
  <c r="E165" i="3"/>
  <c r="E311" i="2"/>
  <c r="G311" i="2" s="1"/>
  <c r="E306" i="2"/>
  <c r="G306" i="2" s="1"/>
  <c r="E304" i="2"/>
  <c r="G304" i="2" s="1"/>
  <c r="E303" i="2"/>
  <c r="E309" i="2"/>
  <c r="G309" i="2" s="1"/>
  <c r="E310" i="2"/>
  <c r="G310" i="2" s="1"/>
  <c r="E308" i="2"/>
  <c r="G308" i="2" s="1"/>
  <c r="E307" i="2"/>
  <c r="G307" i="2" s="1"/>
  <c r="E305" i="2"/>
  <c r="G305" i="2" s="1"/>
  <c r="E247" i="2"/>
  <c r="G247" i="2" s="1"/>
  <c r="E254" i="2"/>
  <c r="G254" i="2" s="1"/>
  <c r="E245" i="2"/>
  <c r="E253" i="2"/>
  <c r="G253" i="2" s="1"/>
  <c r="E244" i="2"/>
  <c r="G244" i="2" s="1"/>
  <c r="E252" i="2"/>
  <c r="G252" i="2" s="1"/>
  <c r="E251" i="2"/>
  <c r="G251" i="2" s="1"/>
  <c r="E250" i="2"/>
  <c r="G250" i="2" s="1"/>
  <c r="E249" i="2"/>
  <c r="G249" i="2" s="1"/>
  <c r="E248" i="2"/>
  <c r="G248" i="2" s="1"/>
  <c r="E246" i="2"/>
  <c r="G246" i="2" s="1"/>
  <c r="C175" i="1"/>
  <c r="C178" i="1"/>
  <c r="C174" i="1"/>
  <c r="C173" i="1"/>
  <c r="C181" i="1"/>
  <c r="C171" i="1"/>
  <c r="C180" i="1"/>
  <c r="C170" i="1"/>
  <c r="C179" i="1"/>
  <c r="C172" i="1"/>
  <c r="C176" i="1"/>
  <c r="C177" i="1"/>
  <c r="E194" i="1"/>
  <c r="G194" i="1" s="1"/>
  <c r="E197" i="1"/>
  <c r="G197" i="1" s="1"/>
  <c r="E189" i="1"/>
  <c r="G189" i="1" s="1"/>
  <c r="E195" i="1"/>
  <c r="G195" i="1" s="1"/>
  <c r="E193" i="1"/>
  <c r="G193" i="1" s="1"/>
  <c r="E191" i="1"/>
  <c r="G191" i="1" s="1"/>
  <c r="E190" i="1"/>
  <c r="G190" i="1" s="1"/>
  <c r="E188" i="1"/>
  <c r="G188" i="1" s="1"/>
  <c r="E196" i="1"/>
  <c r="G196" i="1" s="1"/>
  <c r="E192" i="1"/>
  <c r="G192" i="1" s="1"/>
  <c r="E187" i="1"/>
  <c r="G187" i="1" s="1"/>
  <c r="E186" i="1"/>
  <c r="B250" i="1"/>
  <c r="B242" i="1"/>
  <c r="B245" i="1"/>
  <c r="B246" i="1"/>
  <c r="B244" i="1"/>
  <c r="B252" i="1"/>
  <c r="B241" i="1"/>
  <c r="B251" i="1"/>
  <c r="B249" i="1"/>
  <c r="B240" i="1"/>
  <c r="B243" i="1"/>
  <c r="B247" i="1"/>
  <c r="B248" i="1"/>
  <c r="BK67" i="4"/>
  <c r="B516" i="2"/>
  <c r="B508" i="2"/>
  <c r="B501" i="2"/>
  <c r="B510" i="2"/>
  <c r="B517" i="2"/>
  <c r="B507" i="2"/>
  <c r="B505" i="2"/>
  <c r="B515" i="2"/>
  <c r="B504" i="2"/>
  <c r="B514" i="2"/>
  <c r="B503" i="2"/>
  <c r="B513" i="2"/>
  <c r="B502" i="2"/>
  <c r="B512" i="2"/>
  <c r="B511" i="2"/>
  <c r="B509" i="2"/>
  <c r="B506" i="2"/>
  <c r="B548" i="2"/>
  <c r="B540" i="2"/>
  <c r="B545" i="2"/>
  <c r="B543" i="2"/>
  <c r="B541" i="2"/>
  <c r="B539" i="2"/>
  <c r="B550" i="2"/>
  <c r="B549" i="2"/>
  <c r="B538" i="2"/>
  <c r="B547" i="2"/>
  <c r="B546" i="2"/>
  <c r="B544" i="2"/>
  <c r="B542" i="2"/>
  <c r="E534" i="2"/>
  <c r="G522" i="2"/>
  <c r="E366" i="2"/>
  <c r="G357" i="2"/>
  <c r="B418" i="2"/>
  <c r="B425" i="2"/>
  <c r="B416" i="2"/>
  <c r="B424" i="2"/>
  <c r="B414" i="2"/>
  <c r="B423" i="2"/>
  <c r="B422" i="2"/>
  <c r="B413" i="2"/>
  <c r="B421" i="2"/>
  <c r="B420" i="2"/>
  <c r="B417" i="2"/>
  <c r="B419" i="2"/>
  <c r="B415" i="2"/>
  <c r="E291" i="2"/>
  <c r="G291" i="2" s="1"/>
  <c r="E295" i="2"/>
  <c r="G295" i="2" s="1"/>
  <c r="E287" i="2"/>
  <c r="E293" i="2"/>
  <c r="G293" i="2" s="1"/>
  <c r="E292" i="2"/>
  <c r="G292" i="2" s="1"/>
  <c r="E298" i="2"/>
  <c r="G298" i="2" s="1"/>
  <c r="E289" i="2"/>
  <c r="G289" i="2" s="1"/>
  <c r="E297" i="2"/>
  <c r="G297" i="2" s="1"/>
  <c r="E296" i="2"/>
  <c r="G296" i="2" s="1"/>
  <c r="E294" i="2"/>
  <c r="G294" i="2" s="1"/>
  <c r="E290" i="2"/>
  <c r="G290" i="2" s="1"/>
  <c r="E288" i="2"/>
  <c r="G288" i="2" s="1"/>
  <c r="C692" i="2"/>
  <c r="C691" i="2"/>
  <c r="C694" i="2"/>
  <c r="C693" i="2"/>
  <c r="C698" i="2"/>
  <c r="C697" i="2"/>
  <c r="C696" i="2"/>
  <c r="C690" i="2"/>
  <c r="C695" i="2"/>
  <c r="C514" i="2"/>
  <c r="C506" i="2"/>
  <c r="C510" i="2"/>
  <c r="C517" i="2"/>
  <c r="C508" i="2"/>
  <c r="C512" i="2"/>
  <c r="C501" i="2"/>
  <c r="C511" i="2"/>
  <c r="C509" i="2"/>
  <c r="C507" i="2"/>
  <c r="C505" i="2"/>
  <c r="C516" i="2"/>
  <c r="C504" i="2"/>
  <c r="C515" i="2"/>
  <c r="C503" i="2"/>
  <c r="C513" i="2"/>
  <c r="C502" i="2"/>
  <c r="BK53" i="4"/>
  <c r="BK5" i="4"/>
  <c r="B347" i="2"/>
  <c r="B344" i="2"/>
  <c r="B343" i="2"/>
  <c r="B350" i="2"/>
  <c r="B342" i="2"/>
  <c r="B348" i="2"/>
  <c r="B349" i="2"/>
  <c r="B346" i="2"/>
  <c r="B345" i="2"/>
  <c r="B600" i="2"/>
  <c r="B606" i="2"/>
  <c r="B598" i="2"/>
  <c r="B605" i="2"/>
  <c r="B602" i="2"/>
  <c r="B604" i="2"/>
  <c r="B603" i="2"/>
  <c r="B601" i="2"/>
  <c r="B599" i="2"/>
  <c r="E668" i="2"/>
  <c r="G668" i="2" s="1"/>
  <c r="E669" i="2"/>
  <c r="G669" i="2" s="1"/>
  <c r="E667" i="2"/>
  <c r="G667" i="2" s="1"/>
  <c r="E664" i="2"/>
  <c r="G664" i="2" s="1"/>
  <c r="E665" i="2"/>
  <c r="G665" i="2" s="1"/>
  <c r="E663" i="2"/>
  <c r="E670" i="2"/>
  <c r="G670" i="2" s="1"/>
  <c r="E671" i="2"/>
  <c r="G671" i="2" s="1"/>
  <c r="E666" i="2"/>
  <c r="G666" i="2" s="1"/>
  <c r="E512" i="2"/>
  <c r="G512" i="2" s="1"/>
  <c r="E504" i="2"/>
  <c r="G504" i="2" s="1"/>
  <c r="E510" i="2"/>
  <c r="G510" i="2" s="1"/>
  <c r="E517" i="2"/>
  <c r="G517" i="2" s="1"/>
  <c r="E508" i="2"/>
  <c r="G508" i="2" s="1"/>
  <c r="E506" i="2"/>
  <c r="G506" i="2" s="1"/>
  <c r="E516" i="2"/>
  <c r="G516" i="2" s="1"/>
  <c r="E505" i="2"/>
  <c r="G505" i="2" s="1"/>
  <c r="E515" i="2"/>
  <c r="G515" i="2" s="1"/>
  <c r="E503" i="2"/>
  <c r="G503" i="2" s="1"/>
  <c r="E514" i="2"/>
  <c r="G514" i="2" s="1"/>
  <c r="E502" i="2"/>
  <c r="G502" i="2" s="1"/>
  <c r="E513" i="2"/>
  <c r="G513" i="2" s="1"/>
  <c r="E501" i="2"/>
  <c r="E511" i="2"/>
  <c r="G511" i="2" s="1"/>
  <c r="E509" i="2"/>
  <c r="G509" i="2" s="1"/>
  <c r="E507" i="2"/>
  <c r="G507" i="2" s="1"/>
  <c r="C305" i="2"/>
  <c r="C307" i="2"/>
  <c r="C304" i="2"/>
  <c r="C310" i="2"/>
  <c r="C308" i="2"/>
  <c r="C306" i="2"/>
  <c r="C303" i="2"/>
  <c r="C311" i="2"/>
  <c r="C309" i="2"/>
  <c r="E544" i="2"/>
  <c r="G544" i="2" s="1"/>
  <c r="E547" i="2"/>
  <c r="G547" i="2" s="1"/>
  <c r="E545" i="2"/>
  <c r="G545" i="2" s="1"/>
  <c r="E542" i="2"/>
  <c r="G542" i="2" s="1"/>
  <c r="E539" i="2"/>
  <c r="G539" i="2" s="1"/>
  <c r="E550" i="2"/>
  <c r="G550" i="2" s="1"/>
  <c r="E538" i="2"/>
  <c r="G538" i="2" s="1"/>
  <c r="E549" i="2"/>
  <c r="G549" i="2" s="1"/>
  <c r="E548" i="2"/>
  <c r="G548" i="2" s="1"/>
  <c r="E546" i="2"/>
  <c r="G546" i="2" s="1"/>
  <c r="E543" i="2"/>
  <c r="G543" i="2" s="1"/>
  <c r="E541" i="2"/>
  <c r="G541" i="2" s="1"/>
  <c r="E540" i="2"/>
  <c r="G540" i="2" s="1"/>
  <c r="B131" i="2"/>
  <c r="B130" i="2"/>
  <c r="B129" i="2"/>
  <c r="B128" i="2"/>
  <c r="B134" i="2"/>
  <c r="B127" i="2"/>
  <c r="B133" i="2"/>
  <c r="B132" i="2"/>
  <c r="C220" i="2"/>
  <c r="C213" i="2"/>
  <c r="C217" i="2"/>
  <c r="C216" i="2"/>
  <c r="C215" i="2"/>
  <c r="C214" i="2"/>
  <c r="C219" i="2"/>
  <c r="C218" i="2"/>
  <c r="G185" i="2"/>
  <c r="E198" i="2"/>
  <c r="E57" i="2"/>
  <c r="G57" i="2" s="1"/>
  <c r="E49" i="2"/>
  <c r="G49" i="2" s="1"/>
  <c r="E55" i="2"/>
  <c r="G55" i="2" s="1"/>
  <c r="E52" i="2"/>
  <c r="G52" i="2" s="1"/>
  <c r="E60" i="2"/>
  <c r="G60" i="2" s="1"/>
  <c r="E50" i="2"/>
  <c r="E58" i="2"/>
  <c r="G58" i="2" s="1"/>
  <c r="E47" i="2"/>
  <c r="G47" i="2" s="1"/>
  <c r="E56" i="2"/>
  <c r="G56" i="2" s="1"/>
  <c r="E53" i="2"/>
  <c r="G53" i="2" s="1"/>
  <c r="E51" i="2"/>
  <c r="G51" i="2" s="1"/>
  <c r="E48" i="2"/>
  <c r="G48" i="2" s="1"/>
  <c r="E61" i="2"/>
  <c r="G61" i="2" s="1"/>
  <c r="E59" i="2"/>
  <c r="G59" i="2" s="1"/>
  <c r="E54" i="2"/>
  <c r="G54" i="2" s="1"/>
  <c r="B404" i="1"/>
  <c r="B410" i="1"/>
  <c r="B408" i="1"/>
  <c r="B407" i="1"/>
  <c r="B409" i="1"/>
  <c r="B406" i="1"/>
  <c r="B405" i="1"/>
  <c r="B403" i="1"/>
  <c r="B402" i="1"/>
  <c r="E693" i="1"/>
  <c r="G693" i="1" s="1"/>
  <c r="E690" i="1"/>
  <c r="G690" i="1" s="1"/>
  <c r="E695" i="1"/>
  <c r="G695" i="1" s="1"/>
  <c r="E691" i="1"/>
  <c r="G691" i="1" s="1"/>
  <c r="E689" i="1"/>
  <c r="G689" i="1" s="1"/>
  <c r="E688" i="1"/>
  <c r="G688" i="1" s="1"/>
  <c r="E696" i="1"/>
  <c r="G696" i="1" s="1"/>
  <c r="E692" i="1"/>
  <c r="G692" i="1" s="1"/>
  <c r="E694" i="1"/>
  <c r="G694" i="1" s="1"/>
  <c r="B237" i="2"/>
  <c r="B235" i="2"/>
  <c r="B227" i="2"/>
  <c r="B234" i="2"/>
  <c r="B226" i="2"/>
  <c r="B231" i="2"/>
  <c r="B230" i="2"/>
  <c r="B229" i="2"/>
  <c r="B239" i="2"/>
  <c r="B228" i="2"/>
  <c r="B236" i="2"/>
  <c r="B233" i="2"/>
  <c r="B232" i="2"/>
  <c r="B225" i="2"/>
  <c r="B238" i="2"/>
  <c r="C464" i="1"/>
  <c r="C468" i="1"/>
  <c r="C460" i="1"/>
  <c r="C465" i="1"/>
  <c r="C462" i="1"/>
  <c r="C470" i="1"/>
  <c r="C459" i="1"/>
  <c r="C469" i="1"/>
  <c r="C471" i="1"/>
  <c r="C467" i="1"/>
  <c r="C463" i="1"/>
  <c r="C461" i="1"/>
  <c r="C458" i="1"/>
  <c r="C466" i="1"/>
  <c r="B676" i="1"/>
  <c r="B681" i="1"/>
  <c r="B679" i="1"/>
  <c r="B682" i="1"/>
  <c r="B678" i="1"/>
  <c r="B677" i="1"/>
  <c r="B674" i="1"/>
  <c r="B680" i="1"/>
  <c r="B675" i="1"/>
  <c r="E230" i="1"/>
  <c r="G230" i="1" s="1"/>
  <c r="E233" i="1"/>
  <c r="G233" i="1" s="1"/>
  <c r="E227" i="1"/>
  <c r="G227" i="1" s="1"/>
  <c r="E226" i="1"/>
  <c r="G226" i="1" s="1"/>
  <c r="E234" i="1"/>
  <c r="G234" i="1" s="1"/>
  <c r="E232" i="1"/>
  <c r="G232" i="1" s="1"/>
  <c r="E231" i="1"/>
  <c r="G231" i="1" s="1"/>
  <c r="E235" i="1"/>
  <c r="G235" i="1" s="1"/>
  <c r="E229" i="1"/>
  <c r="G229" i="1" s="1"/>
  <c r="E228" i="1"/>
  <c r="G228" i="1" s="1"/>
  <c r="E225" i="1"/>
  <c r="E354" i="1"/>
  <c r="G354" i="1" s="1"/>
  <c r="E346" i="1"/>
  <c r="G346" i="1" s="1"/>
  <c r="E352" i="1"/>
  <c r="G352" i="1" s="1"/>
  <c r="E350" i="1"/>
  <c r="G350" i="1" s="1"/>
  <c r="E349" i="1"/>
  <c r="G349" i="1" s="1"/>
  <c r="E344" i="1"/>
  <c r="E353" i="1"/>
  <c r="G353" i="1" s="1"/>
  <c r="E351" i="1"/>
  <c r="G351" i="1" s="1"/>
  <c r="E348" i="1"/>
  <c r="G348" i="1" s="1"/>
  <c r="E347" i="1"/>
  <c r="G347" i="1" s="1"/>
  <c r="E345" i="1"/>
  <c r="G345" i="1" s="1"/>
  <c r="B685" i="3"/>
  <c r="B683" i="3"/>
  <c r="B680" i="3"/>
  <c r="B679" i="3"/>
  <c r="B684" i="3"/>
  <c r="B682" i="3"/>
  <c r="B681" i="3"/>
  <c r="B678" i="3"/>
  <c r="B677" i="3"/>
  <c r="B546" i="3"/>
  <c r="B548" i="3"/>
  <c r="B539" i="3"/>
  <c r="B544" i="3"/>
  <c r="B549" i="3"/>
  <c r="B547" i="3"/>
  <c r="B545" i="3"/>
  <c r="B543" i="3"/>
  <c r="B542" i="3"/>
  <c r="B541" i="3"/>
  <c r="B540" i="3"/>
  <c r="B550" i="3"/>
  <c r="B538" i="3"/>
  <c r="C191" i="1"/>
  <c r="C194" i="1"/>
  <c r="C197" i="1"/>
  <c r="C187" i="1"/>
  <c r="C196" i="1"/>
  <c r="C186" i="1"/>
  <c r="C193" i="1"/>
  <c r="C192" i="1"/>
  <c r="C190" i="1"/>
  <c r="C195" i="1"/>
  <c r="C188" i="1"/>
  <c r="C189" i="1"/>
  <c r="C657" i="3"/>
  <c r="C649" i="3"/>
  <c r="C654" i="3"/>
  <c r="C651" i="3"/>
  <c r="C650" i="3"/>
  <c r="C648" i="3"/>
  <c r="C647" i="3"/>
  <c r="C646" i="3"/>
  <c r="C645" i="3"/>
  <c r="C656" i="3"/>
  <c r="C652" i="3"/>
  <c r="C655" i="3"/>
  <c r="C653" i="3"/>
  <c r="E149" i="2"/>
  <c r="G149" i="2" s="1"/>
  <c r="E141" i="2"/>
  <c r="E148" i="2"/>
  <c r="G148" i="2" s="1"/>
  <c r="E140" i="2"/>
  <c r="G140" i="2" s="1"/>
  <c r="E147" i="2"/>
  <c r="G147" i="2" s="1"/>
  <c r="E145" i="2"/>
  <c r="G145" i="2" s="1"/>
  <c r="E143" i="2"/>
  <c r="G143" i="2" s="1"/>
  <c r="E151" i="2"/>
  <c r="G151" i="2" s="1"/>
  <c r="E150" i="2"/>
  <c r="G150" i="2" s="1"/>
  <c r="E146" i="2"/>
  <c r="G146" i="2" s="1"/>
  <c r="E144" i="2"/>
  <c r="G144" i="2" s="1"/>
  <c r="E139" i="2"/>
  <c r="G139" i="2" s="1"/>
  <c r="E142" i="2"/>
  <c r="G142" i="2" s="1"/>
  <c r="C120" i="1"/>
  <c r="C123" i="1"/>
  <c r="C115" i="1"/>
  <c r="C124" i="1"/>
  <c r="C114" i="1"/>
  <c r="C121" i="1"/>
  <c r="C119" i="1"/>
  <c r="C118" i="1"/>
  <c r="C117" i="1"/>
  <c r="C116" i="1"/>
  <c r="C122" i="1"/>
  <c r="C418" i="3"/>
  <c r="C423" i="3"/>
  <c r="C415" i="3"/>
  <c r="C416" i="3"/>
  <c r="C425" i="3"/>
  <c r="C414" i="3"/>
  <c r="C424" i="3"/>
  <c r="C422" i="3"/>
  <c r="C413" i="3"/>
  <c r="C421" i="3"/>
  <c r="C420" i="3"/>
  <c r="C419" i="3"/>
  <c r="C417" i="3"/>
  <c r="C306" i="3"/>
  <c r="C311" i="3"/>
  <c r="C304" i="3"/>
  <c r="C303" i="3"/>
  <c r="C310" i="3"/>
  <c r="C309" i="3"/>
  <c r="C308" i="3"/>
  <c r="C307" i="3"/>
  <c r="C305" i="3"/>
  <c r="E8" i="1"/>
  <c r="G8" i="1" s="1"/>
  <c r="E10" i="1"/>
  <c r="G10" i="1" s="1"/>
  <c r="E6" i="1"/>
  <c r="G6" i="1" s="1"/>
  <c r="E5" i="1"/>
  <c r="G5" i="1" s="1"/>
  <c r="E9" i="1"/>
  <c r="G9" i="1" s="1"/>
  <c r="E7" i="1"/>
  <c r="G7" i="1" s="1"/>
  <c r="E4" i="1"/>
  <c r="C447" i="3"/>
  <c r="C439" i="3"/>
  <c r="C431" i="3"/>
  <c r="C444" i="3"/>
  <c r="C436" i="3"/>
  <c r="C438" i="3"/>
  <c r="C437" i="3"/>
  <c r="C446" i="3"/>
  <c r="C435" i="3"/>
  <c r="C445" i="3"/>
  <c r="C434" i="3"/>
  <c r="C443" i="3"/>
  <c r="C433" i="3"/>
  <c r="C441" i="3"/>
  <c r="C442" i="3"/>
  <c r="C432" i="3"/>
  <c r="C440" i="3"/>
  <c r="C430" i="3"/>
  <c r="E594" i="3"/>
  <c r="G587" i="3"/>
  <c r="C576" i="1"/>
  <c r="C568" i="1"/>
  <c r="C572" i="1"/>
  <c r="C564" i="1"/>
  <c r="C570" i="1"/>
  <c r="C569" i="1"/>
  <c r="C567" i="1"/>
  <c r="C575" i="1"/>
  <c r="C565" i="1"/>
  <c r="C574" i="1"/>
  <c r="C563" i="1"/>
  <c r="C571" i="1"/>
  <c r="C566" i="1"/>
  <c r="C577" i="1"/>
  <c r="C573" i="1"/>
  <c r="C562" i="1"/>
  <c r="B274" i="1"/>
  <c r="B277" i="1"/>
  <c r="B279" i="1"/>
  <c r="B278" i="1"/>
  <c r="B275" i="1"/>
  <c r="B273" i="1"/>
  <c r="B281" i="1"/>
  <c r="B280" i="1"/>
  <c r="B276" i="1"/>
  <c r="B272" i="1"/>
  <c r="B96" i="1"/>
  <c r="B88" i="1"/>
  <c r="B91" i="1"/>
  <c r="B93" i="1"/>
  <c r="B89" i="1"/>
  <c r="B87" i="1"/>
  <c r="B95" i="1"/>
  <c r="B94" i="1"/>
  <c r="B92" i="1"/>
  <c r="B90" i="1"/>
  <c r="E125" i="1"/>
  <c r="G114" i="1"/>
  <c r="G611" i="3"/>
  <c r="E621" i="3"/>
  <c r="E55" i="3"/>
  <c r="G55" i="3" s="1"/>
  <c r="E54" i="3"/>
  <c r="G54" i="3" s="1"/>
  <c r="E47" i="3"/>
  <c r="G47" i="3" s="1"/>
  <c r="E53" i="3"/>
  <c r="G53" i="3" s="1"/>
  <c r="E60" i="3"/>
  <c r="G60" i="3" s="1"/>
  <c r="E52" i="3"/>
  <c r="G52" i="3" s="1"/>
  <c r="E59" i="3"/>
  <c r="G59" i="3" s="1"/>
  <c r="E51" i="3"/>
  <c r="G51" i="3" s="1"/>
  <c r="E58" i="3"/>
  <c r="G58" i="3" s="1"/>
  <c r="E50" i="3"/>
  <c r="E57" i="3"/>
  <c r="G57" i="3" s="1"/>
  <c r="E49" i="3"/>
  <c r="G49" i="3" s="1"/>
  <c r="E56" i="3"/>
  <c r="G56" i="3" s="1"/>
  <c r="E48" i="3"/>
  <c r="G48" i="3" s="1"/>
  <c r="B76" i="3"/>
  <c r="B68" i="3"/>
  <c r="B75" i="3"/>
  <c r="B67" i="3"/>
  <c r="B74" i="3"/>
  <c r="B66" i="3"/>
  <c r="B73" i="3"/>
  <c r="B72" i="3"/>
  <c r="B79" i="3"/>
  <c r="B71" i="3"/>
  <c r="B78" i="3"/>
  <c r="B70" i="3"/>
  <c r="B77" i="3"/>
  <c r="B69" i="3"/>
  <c r="E92" i="3"/>
  <c r="G92" i="3" s="1"/>
  <c r="E91" i="3"/>
  <c r="G91" i="3" s="1"/>
  <c r="E84" i="3"/>
  <c r="G84" i="3" s="1"/>
  <c r="E90" i="3"/>
  <c r="G90" i="3" s="1"/>
  <c r="E89" i="3"/>
  <c r="G89" i="3" s="1"/>
  <c r="E88" i="3"/>
  <c r="G88" i="3" s="1"/>
  <c r="E87" i="3"/>
  <c r="G87" i="3" s="1"/>
  <c r="E86" i="3"/>
  <c r="G86" i="3" s="1"/>
  <c r="E85" i="3"/>
  <c r="E93" i="3"/>
  <c r="G93" i="3" s="1"/>
  <c r="E336" i="3"/>
  <c r="G336" i="3" s="1"/>
  <c r="E328" i="3"/>
  <c r="G328" i="3" s="1"/>
  <c r="E320" i="3"/>
  <c r="G320" i="3" s="1"/>
  <c r="E333" i="3"/>
  <c r="G333" i="3" s="1"/>
  <c r="E325" i="3"/>
  <c r="G325" i="3" s="1"/>
  <c r="E317" i="3"/>
  <c r="G317" i="3" s="1"/>
  <c r="E334" i="3"/>
  <c r="G334" i="3" s="1"/>
  <c r="E323" i="3"/>
  <c r="G323" i="3" s="1"/>
  <c r="E332" i="3"/>
  <c r="G332" i="3" s="1"/>
  <c r="E322" i="3"/>
  <c r="G322" i="3" s="1"/>
  <c r="E331" i="3"/>
  <c r="G331" i="3" s="1"/>
  <c r="E321" i="3"/>
  <c r="G321" i="3" s="1"/>
  <c r="E330" i="3"/>
  <c r="E319" i="3"/>
  <c r="G319" i="3" s="1"/>
  <c r="E329" i="3"/>
  <c r="G329" i="3" s="1"/>
  <c r="E318" i="3"/>
  <c r="G318" i="3" s="1"/>
  <c r="E327" i="3"/>
  <c r="G327" i="3" s="1"/>
  <c r="E337" i="3"/>
  <c r="G337" i="3" s="1"/>
  <c r="E326" i="3"/>
  <c r="G326" i="3" s="1"/>
  <c r="E316" i="3"/>
  <c r="G316" i="3" s="1"/>
  <c r="E335" i="3"/>
  <c r="G335" i="3" s="1"/>
  <c r="E324" i="3"/>
  <c r="G324" i="3" s="1"/>
  <c r="E312" i="3"/>
  <c r="E198" i="1" l="1"/>
  <c r="G186" i="1"/>
  <c r="G303" i="2"/>
  <c r="E312" i="2"/>
  <c r="E452" i="1"/>
  <c r="G440" i="1"/>
  <c r="E165" i="2"/>
  <c r="G157" i="2"/>
  <c r="E97" i="1"/>
  <c r="G89" i="1"/>
  <c r="E255" i="3"/>
  <c r="G245" i="3"/>
  <c r="G259" i="2"/>
  <c r="E269" i="2"/>
  <c r="G522" i="3"/>
  <c r="E534" i="3"/>
  <c r="G419" i="2"/>
  <c r="E426" i="2"/>
  <c r="E570" i="3"/>
  <c r="G555" i="3"/>
  <c r="E551" i="3"/>
  <c r="E135" i="2"/>
  <c r="G127" i="2"/>
  <c r="E282" i="1"/>
  <c r="G272" i="1"/>
  <c r="E209" i="1"/>
  <c r="G202" i="1"/>
  <c r="E181" i="2"/>
  <c r="G169" i="2"/>
  <c r="G437" i="2"/>
  <c r="E448" i="2"/>
  <c r="E198" i="3"/>
  <c r="G185" i="3"/>
  <c r="E110" i="1"/>
  <c r="G101" i="1"/>
  <c r="G370" i="3"/>
  <c r="E378" i="3"/>
  <c r="G242" i="1"/>
  <c r="E253" i="1"/>
  <c r="E518" i="2"/>
  <c r="G501" i="2"/>
  <c r="E383" i="1"/>
  <c r="G373" i="1"/>
  <c r="G158" i="1"/>
  <c r="E166" i="1"/>
  <c r="E497" i="3"/>
  <c r="G487" i="3"/>
  <c r="E615" i="1"/>
  <c r="G607" i="1"/>
  <c r="E603" i="1"/>
  <c r="G595" i="1"/>
  <c r="G4" i="3"/>
  <c r="E10" i="3"/>
  <c r="G170" i="1"/>
  <c r="E182" i="1"/>
  <c r="G245" i="2"/>
  <c r="E255" i="2"/>
  <c r="E65" i="1"/>
  <c r="G51" i="1"/>
  <c r="E351" i="3"/>
  <c r="G342" i="3"/>
  <c r="E711" i="1"/>
  <c r="E467" i="2"/>
  <c r="G459" i="2"/>
  <c r="E42" i="3"/>
  <c r="G34" i="3"/>
  <c r="E699" i="3"/>
  <c r="G645" i="2"/>
  <c r="E658" i="2"/>
  <c r="E10" i="2"/>
  <c r="G4" i="2"/>
  <c r="G529" i="1"/>
  <c r="E541" i="1"/>
  <c r="G619" i="1"/>
  <c r="E630" i="1"/>
  <c r="G20" i="2"/>
  <c r="E29" i="2"/>
  <c r="G257" i="1"/>
  <c r="E268" i="1"/>
  <c r="E94" i="3"/>
  <c r="G85" i="3"/>
  <c r="E697" i="1"/>
  <c r="G663" i="2"/>
  <c r="E672" i="2"/>
  <c r="G463" i="1"/>
  <c r="E472" i="1"/>
  <c r="G459" i="3"/>
  <c r="E467" i="3"/>
  <c r="E221" i="1"/>
  <c r="G213" i="1"/>
  <c r="E42" i="2"/>
  <c r="G34" i="2"/>
  <c r="E283" i="2"/>
  <c r="G273" i="2"/>
  <c r="G555" i="2"/>
  <c r="E570" i="2"/>
  <c r="E81" i="2"/>
  <c r="G67" i="2"/>
  <c r="E578" i="1"/>
  <c r="G562" i="1"/>
  <c r="G225" i="1"/>
  <c r="E236" i="1"/>
  <c r="G645" i="3"/>
  <c r="E658" i="3"/>
  <c r="E683" i="1"/>
  <c r="G674" i="1"/>
  <c r="E366" i="3"/>
  <c r="G357" i="3"/>
  <c r="E369" i="1"/>
  <c r="G361" i="1"/>
  <c r="G471" i="2"/>
  <c r="E481" i="2"/>
  <c r="G507" i="1"/>
  <c r="E525" i="1"/>
  <c r="E123" i="2"/>
  <c r="G112" i="2"/>
  <c r="E338" i="2"/>
  <c r="G330" i="2"/>
  <c r="E394" i="3"/>
  <c r="G382" i="3"/>
  <c r="G4" i="1"/>
  <c r="E11" i="1"/>
  <c r="G50" i="3"/>
  <c r="E61" i="3"/>
  <c r="G487" i="2"/>
  <c r="E497" i="2"/>
  <c r="G598" i="3"/>
  <c r="E607" i="3"/>
  <c r="E283" i="3"/>
  <c r="G273" i="3"/>
  <c r="G342" i="2"/>
  <c r="E351" i="2"/>
  <c r="E137" i="1"/>
  <c r="G129" i="1"/>
  <c r="G574" i="2"/>
  <c r="E583" i="2"/>
  <c r="E409" i="3"/>
  <c r="G398" i="3"/>
  <c r="E62" i="2"/>
  <c r="G50" i="2"/>
  <c r="E299" i="2"/>
  <c r="G287" i="2"/>
  <c r="E551" i="2"/>
  <c r="G330" i="3"/>
  <c r="E338" i="3"/>
  <c r="E355" i="1"/>
  <c r="G344" i="1"/>
  <c r="G141" i="2"/>
  <c r="E152" i="2"/>
  <c r="E29" i="3"/>
  <c r="G20" i="3"/>
  <c r="G387" i="1"/>
  <c r="E398" i="1"/>
  <c r="E558" i="1"/>
  <c r="G627" i="2"/>
  <c r="E640" i="2"/>
  <c r="G111" i="3"/>
  <c r="E122" i="3"/>
  <c r="E221" i="3"/>
  <c r="G213" i="3"/>
  <c r="G636" i="1"/>
  <c r="E647" i="1"/>
  <c r="E607" i="2"/>
  <c r="G598" i="2"/>
  <c r="E426" i="3"/>
  <c r="G419" i="3"/>
  <c r="E153" i="1"/>
  <c r="G1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EXAMINATION OFFICE</author>
  </authors>
  <commentList>
    <comment ref="AZ69" authorId="0" shapeId="0" xr:uid="{00000000-0006-0000-0300-000001000000}">
      <text>
        <r>
          <rPr>
            <sz val="10"/>
            <rFont val="Noto Sans"/>
            <family val="2"/>
          </rPr>
          <t xml:space="preserve">EXAMINATION OFFICE:
</t>
        </r>
        <r>
          <rPr>
            <sz val="9"/>
            <color rgb="FF000000"/>
            <rFont val="Tahoma"/>
            <family val="2"/>
            <charset val="1"/>
          </rPr>
          <t>Elective</t>
        </r>
      </text>
    </comment>
    <comment ref="BE69" authorId="0" shapeId="0" xr:uid="{00000000-0006-0000-0300-000002000000}">
      <text>
        <r>
          <rPr>
            <sz val="10"/>
            <rFont val="Noto Sans"/>
            <family val="2"/>
          </rPr>
          <t xml:space="preserve">EXAMINATION OFFICE:
</t>
        </r>
        <r>
          <rPr>
            <sz val="9"/>
            <color rgb="FF000000"/>
            <rFont val="Tahoma"/>
            <family val="2"/>
            <charset val="1"/>
          </rPr>
          <t>Elective</t>
        </r>
      </text>
    </comment>
    <comment ref="BJ69" authorId="0" shapeId="0" xr:uid="{00000000-0006-0000-0300-000003000000}">
      <text>
        <r>
          <rPr>
            <sz val="10"/>
            <rFont val="Noto Sans"/>
            <family val="2"/>
          </rPr>
          <t xml:space="preserve">EXAMINATION OFFICE:
</t>
        </r>
        <r>
          <rPr>
            <sz val="9"/>
            <color rgb="FF000000"/>
            <rFont val="Tahoma"/>
            <family val="2"/>
            <charset val="1"/>
          </rPr>
          <t>Elective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EXAMINATION OFFICE</author>
    <author>Admin</author>
  </authors>
  <commentList>
    <comment ref="AZ12" authorId="0" shapeId="0" xr:uid="{00000000-0006-0000-0800-000009000000}">
      <text>
        <r>
          <rPr>
            <sz val="10"/>
            <rFont val="Noto Sans"/>
            <family val="2"/>
          </rPr>
          <t xml:space="preserve">EXAMINATION OFFICE:
</t>
        </r>
        <r>
          <rPr>
            <sz val="9"/>
            <color rgb="FF000000"/>
            <rFont val="Tahoma"/>
            <family val="2"/>
            <charset val="1"/>
          </rPr>
          <t xml:space="preserve">Elective
</t>
        </r>
      </text>
    </comment>
    <comment ref="AZ24" authorId="0" shapeId="0" xr:uid="{00000000-0006-0000-0800-00000A000000}">
      <text>
        <r>
          <rPr>
            <sz val="10"/>
            <rFont val="Noto Sans"/>
            <family val="2"/>
          </rPr>
          <t xml:space="preserve">EXAMINATION OFFICE:
</t>
        </r>
        <r>
          <rPr>
            <sz val="9"/>
            <color rgb="FF000000"/>
            <rFont val="Tahoma"/>
            <family val="2"/>
            <charset val="1"/>
          </rPr>
          <t xml:space="preserve">Elective
</t>
        </r>
      </text>
    </comment>
    <comment ref="AW27" authorId="1" shapeId="0" xr:uid="{00000000-0006-0000-0800-000002000000}">
      <text>
        <r>
          <rPr>
            <sz val="10"/>
            <rFont val="Noto Sans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>two electives</t>
        </r>
      </text>
    </comment>
    <comment ref="AZ27" authorId="0" shapeId="0" xr:uid="{00000000-0006-0000-0800-00000B000000}">
      <text>
        <r>
          <rPr>
            <sz val="10"/>
            <rFont val="Noto Sans"/>
            <family val="2"/>
          </rPr>
          <t xml:space="preserve">EXAMINATION OFFICE:
</t>
        </r>
        <r>
          <rPr>
            <sz val="9"/>
            <color rgb="FF000000"/>
            <rFont val="Tahoma"/>
            <family val="2"/>
            <charset val="1"/>
          </rPr>
          <t>Elective</t>
        </r>
      </text>
    </comment>
    <comment ref="AW36" authorId="1" shapeId="0" xr:uid="{00000000-0006-0000-0800-000003000000}">
      <text>
        <r>
          <rPr>
            <sz val="10"/>
            <rFont val="Noto Sans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>elective</t>
        </r>
      </text>
    </comment>
    <comment ref="AZ36" authorId="0" shapeId="0" xr:uid="{00000000-0006-0000-0800-00000C000000}">
      <text>
        <r>
          <rPr>
            <sz val="10"/>
            <rFont val="Noto Sans"/>
            <family val="2"/>
          </rPr>
          <t xml:space="preserve">EXAMINATION OFFICE:
</t>
        </r>
        <r>
          <rPr>
            <sz val="9"/>
            <color rgb="FF000000"/>
            <rFont val="Tahoma"/>
            <family val="2"/>
            <charset val="1"/>
          </rPr>
          <t>Elective</t>
        </r>
      </text>
    </comment>
    <comment ref="AW48" authorId="1" shapeId="0" xr:uid="{00000000-0006-0000-0800-000004000000}">
      <text>
        <r>
          <rPr>
            <sz val="10"/>
            <rFont val="Noto Sans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electives
</t>
        </r>
      </text>
    </comment>
    <comment ref="AZ48" authorId="0" shapeId="0" xr:uid="{00000000-0006-0000-0800-00000D000000}">
      <text>
        <r>
          <rPr>
            <sz val="10"/>
            <rFont val="Noto Sans"/>
            <family val="2"/>
          </rPr>
          <t xml:space="preserve">EXAMINATION OFFICE:
</t>
        </r>
        <r>
          <rPr>
            <sz val="9"/>
            <color rgb="FF000000"/>
            <rFont val="Tahoma"/>
            <family val="2"/>
            <charset val="1"/>
          </rPr>
          <t>Elective</t>
        </r>
      </text>
    </comment>
    <comment ref="AY51" authorId="0" shapeId="0" xr:uid="{00000000-0006-0000-0800-000007000000}">
      <text>
        <r>
          <rPr>
            <sz val="10"/>
            <rFont val="Noto Sans"/>
            <family val="2"/>
          </rPr>
          <t xml:space="preserve">EXAMINATION OFFICE:
</t>
        </r>
        <r>
          <rPr>
            <sz val="9"/>
            <color rgb="FF000000"/>
            <rFont val="Tahoma"/>
            <family val="2"/>
            <charset val="1"/>
          </rPr>
          <t>Elective</t>
        </r>
      </text>
    </comment>
    <comment ref="AW52" authorId="1" shapeId="0" xr:uid="{00000000-0006-0000-0800-000005000000}">
      <text>
        <r>
          <rPr>
            <sz val="10"/>
            <rFont val="Noto Sans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electives
</t>
        </r>
      </text>
    </comment>
    <comment ref="AZ52" authorId="0" shapeId="0" xr:uid="{00000000-0006-0000-0800-00000E000000}">
      <text>
        <r>
          <rPr>
            <sz val="10"/>
            <rFont val="Noto Sans"/>
            <family val="2"/>
          </rPr>
          <t xml:space="preserve">EXAMINATION OFFICE:
</t>
        </r>
        <r>
          <rPr>
            <sz val="9"/>
            <color rgb="FF000000"/>
            <rFont val="Tahoma"/>
            <family val="2"/>
            <charset val="1"/>
          </rPr>
          <t>Elective</t>
        </r>
      </text>
    </comment>
    <comment ref="AZ58" authorId="0" shapeId="0" xr:uid="{00000000-0006-0000-0800-00000F000000}">
      <text>
        <r>
          <rPr>
            <sz val="10"/>
            <rFont val="Noto Sans"/>
            <family val="2"/>
          </rPr>
          <t xml:space="preserve">EXAMINATION OFFICE:
</t>
        </r>
        <r>
          <rPr>
            <sz val="9"/>
            <color rgb="FF000000"/>
            <rFont val="Tahoma"/>
            <family val="2"/>
            <charset val="1"/>
          </rPr>
          <t xml:space="preserve">Elective
</t>
        </r>
      </text>
    </comment>
    <comment ref="AV69" authorId="0" shapeId="0" xr:uid="{00000000-0006-0000-0800-000001000000}">
      <text>
        <r>
          <rPr>
            <sz val="10"/>
            <rFont val="Noto Sans"/>
            <family val="2"/>
          </rPr>
          <t xml:space="preserve">EXAMINATION OFFICE:
</t>
        </r>
        <r>
          <rPr>
            <sz val="9"/>
            <color rgb="FF000000"/>
            <rFont val="Tahoma"/>
            <family val="2"/>
            <charset val="1"/>
          </rPr>
          <t>Elective</t>
        </r>
      </text>
    </comment>
    <comment ref="AW69" authorId="0" shapeId="0" xr:uid="{00000000-0006-0000-0800-000006000000}">
      <text>
        <r>
          <rPr>
            <sz val="10"/>
            <rFont val="Noto Sans"/>
            <family val="2"/>
          </rPr>
          <t xml:space="preserve">EXAMINATION OFFICE:
</t>
        </r>
        <r>
          <rPr>
            <sz val="9"/>
            <color rgb="FF000000"/>
            <rFont val="Tahoma"/>
            <family val="2"/>
            <charset val="1"/>
          </rPr>
          <t>Elective</t>
        </r>
      </text>
    </comment>
    <comment ref="AY69" authorId="0" shapeId="0" xr:uid="{00000000-0006-0000-0800-000008000000}">
      <text>
        <r>
          <rPr>
            <sz val="10"/>
            <rFont val="Noto Sans"/>
            <family val="2"/>
          </rPr>
          <t xml:space="preserve">EXAMINATION OFFICE:
</t>
        </r>
        <r>
          <rPr>
            <sz val="9"/>
            <color rgb="FF000000"/>
            <rFont val="Tahoma"/>
            <family val="2"/>
            <charset val="1"/>
          </rPr>
          <t>Elective</t>
        </r>
      </text>
    </comment>
    <comment ref="AZ69" authorId="0" shapeId="0" xr:uid="{00000000-0006-0000-0800-000010000000}">
      <text>
        <r>
          <rPr>
            <sz val="10"/>
            <rFont val="Noto Sans"/>
            <family val="2"/>
          </rPr>
          <t xml:space="preserve">EXAMINATION OFFICE:
</t>
        </r>
        <r>
          <rPr>
            <sz val="9"/>
            <color rgb="FF000000"/>
            <rFont val="Tahoma"/>
            <family val="2"/>
            <charset val="1"/>
          </rPr>
          <t>Elective</t>
        </r>
      </text>
    </comment>
    <comment ref="BC69" authorId="0" shapeId="0" xr:uid="{00000000-0006-0000-0800-000011000000}">
      <text>
        <r>
          <rPr>
            <sz val="10"/>
            <rFont val="Noto Sans"/>
            <family val="2"/>
          </rPr>
          <t xml:space="preserve">EXAMINATION OFFICE:
</t>
        </r>
        <r>
          <rPr>
            <sz val="9"/>
            <color rgb="FF000000"/>
            <rFont val="Tahoma"/>
            <family val="2"/>
            <charset val="1"/>
          </rPr>
          <t>Elective</t>
        </r>
      </text>
    </comment>
  </commentList>
</comments>
</file>

<file path=xl/sharedStrings.xml><?xml version="1.0" encoding="utf-8"?>
<sst xmlns="http://schemas.openxmlformats.org/spreadsheetml/2006/main" count="16111" uniqueCount="2079">
  <si>
    <t>Monday, 17 August 2026</t>
  </si>
  <si>
    <t>Tuesday, 11 April 2023,,</t>
  </si>
  <si>
    <t>Session, 1 (8:30 AM - 10:30 AM)</t>
  </si>
  <si>
    <t>Session, 1 (8:30 AM - 10:30 AM),,</t>
  </si>
  <si>
    <t xml:space="preserve">CODE </t>
  </si>
  <si>
    <t xml:space="preserve">COURSE NAME </t>
  </si>
  <si>
    <t xml:space="preserve">EXAMINER </t>
  </si>
  <si>
    <t>CLASS</t>
  </si>
  <si>
    <t># STDS</t>
  </si>
  <si>
    <t>ROOM NO.</t>
  </si>
  <si>
    <t>TO PRT</t>
  </si>
  <si>
    <t>CODE ,COURSE NAME ,# STDS</t>
  </si>
  <si>
    <t>CHE 258</t>
  </si>
  <si>
    <t>ED2-CHE</t>
  </si>
  <si>
    <t>ED2-PCE</t>
  </si>
  <si>
    <t>COE 354</t>
  </si>
  <si>
    <t>ED3-COE</t>
  </si>
  <si>
    <t>PE 360</t>
  </si>
  <si>
    <t>ED3-PE</t>
  </si>
  <si>
    <t>EE 156</t>
  </si>
  <si>
    <t>ED1-COE</t>
  </si>
  <si>
    <t>BYOD</t>
  </si>
  <si>
    <t>AME 376</t>
  </si>
  <si>
    <t>ED3-AUTO</t>
  </si>
  <si>
    <t>EE 272</t>
  </si>
  <si>
    <t>ED2-EE</t>
  </si>
  <si>
    <t>Total M1-1</t>
  </si>
  <si>
    <t>,Total T1-1</t>
  </si>
  <si>
    <t>Tuesday, 11 April 2023,</t>
  </si>
  <si>
    <t>Session, 2 (12:00 PM - 2:00 PM)</t>
  </si>
  <si>
    <t>Session, 2 (12:00 PM - 2:00 PM),</t>
  </si>
  <si>
    <t>CODE ,CLASS</t>
  </si>
  <si>
    <t>ME 274</t>
  </si>
  <si>
    <t>ED2-ME</t>
  </si>
  <si>
    <t>Computer Based</t>
  </si>
  <si>
    <t>AERO 274</t>
  </si>
  <si>
    <t>ED2-AERO</t>
  </si>
  <si>
    <t>IE 274</t>
  </si>
  <si>
    <t>ED2-IND</t>
  </si>
  <si>
    <t>AME 274</t>
  </si>
  <si>
    <t>ED2-AUTO</t>
  </si>
  <si>
    <t>MME 274</t>
  </si>
  <si>
    <t>ED2-MARI</t>
  </si>
  <si>
    <t>PCE 450</t>
  </si>
  <si>
    <t>ED4-PCE</t>
  </si>
  <si>
    <t>PE 464</t>
  </si>
  <si>
    <t>ED4-PE</t>
  </si>
  <si>
    <t>PCE 464</t>
  </si>
  <si>
    <t>ED4-CHE</t>
  </si>
  <si>
    <t>AE 458</t>
  </si>
  <si>
    <t>ED4-AE</t>
  </si>
  <si>
    <t>ED1-EE</t>
  </si>
  <si>
    <t>GE 286</t>
  </si>
  <si>
    <t>ED2-AE</t>
  </si>
  <si>
    <t>CE 256</t>
  </si>
  <si>
    <t>ED2-GEOL</t>
  </si>
  <si>
    <t>ED2-CE</t>
  </si>
  <si>
    <t>Total M1-2</t>
  </si>
  <si>
    <t>,Total T1-2</t>
  </si>
  <si>
    <t>Session, 3 (3:00 PM - 5:00 PM)</t>
  </si>
  <si>
    <t>ME 374</t>
  </si>
  <si>
    <t>ED3-ME</t>
  </si>
  <si>
    <t>PCE 354</t>
  </si>
  <si>
    <t>ED3-PCE</t>
  </si>
  <si>
    <t>BME 372</t>
  </si>
  <si>
    <t>ED3-BME</t>
  </si>
  <si>
    <t>ME 464</t>
  </si>
  <si>
    <t>ED4-ME</t>
  </si>
  <si>
    <t>MME 482</t>
  </si>
  <si>
    <t>ED4-MARI</t>
  </si>
  <si>
    <t>EE 362</t>
  </si>
  <si>
    <t>ED3-EE</t>
  </si>
  <si>
    <t>CHE 362</t>
  </si>
  <si>
    <t>ED3-CHE</t>
  </si>
  <si>
    <t>CE 154</t>
  </si>
  <si>
    <t>ED1-CE</t>
  </si>
  <si>
    <t>GE 372</t>
  </si>
  <si>
    <t>ED3-GEOM</t>
  </si>
  <si>
    <t>Tuesday, 18 August 2026</t>
  </si>
  <si>
    <t>PHY 170</t>
  </si>
  <si>
    <t>ED1-CHE</t>
  </si>
  <si>
    <t>ED1-PCE</t>
  </si>
  <si>
    <t>ED1-PE</t>
  </si>
  <si>
    <t>CHE 256</t>
  </si>
  <si>
    <t>MME 292</t>
  </si>
  <si>
    <t>MME 396</t>
  </si>
  <si>
    <t>ED3-MARI</t>
  </si>
  <si>
    <t>AE 358</t>
  </si>
  <si>
    <t>ED3-AE</t>
  </si>
  <si>
    <t>ARC 156</t>
  </si>
  <si>
    <t>TE 156</t>
  </si>
  <si>
    <t>ED1-TEL</t>
  </si>
  <si>
    <t>PE 254</t>
  </si>
  <si>
    <t>ED2-PE</t>
  </si>
  <si>
    <t>GE 162</t>
  </si>
  <si>
    <t>ED1-GEOM</t>
  </si>
  <si>
    <t>AME 482</t>
  </si>
  <si>
    <t>ED4-AUTO</t>
  </si>
  <si>
    <t>AERO 456</t>
  </si>
  <si>
    <t>ED4-AERO</t>
  </si>
  <si>
    <t>METE 256</t>
  </si>
  <si>
    <t>ED2-METE</t>
  </si>
  <si>
    <t>CE 464</t>
  </si>
  <si>
    <t>ED4-CE</t>
  </si>
  <si>
    <t>PE 466</t>
  </si>
  <si>
    <t>Total T1-1</t>
  </si>
  <si>
    <t>,</t>
  </si>
  <si>
    <t>COE 254</t>
  </si>
  <si>
    <t>ED2-COE</t>
  </si>
  <si>
    <t>ED2-BME</t>
  </si>
  <si>
    <t>ME 168</t>
  </si>
  <si>
    <t>ED1-IND</t>
  </si>
  <si>
    <t>ED1-MARI</t>
  </si>
  <si>
    <t>MSE 154</t>
  </si>
  <si>
    <t>ED1-METE</t>
  </si>
  <si>
    <t>ED1-MSE</t>
  </si>
  <si>
    <t>ME 482</t>
  </si>
  <si>
    <t>TE 384</t>
  </si>
  <si>
    <t>TE 356</t>
  </si>
  <si>
    <t>ED3-TEL</t>
  </si>
  <si>
    <t>IE 368</t>
  </si>
  <si>
    <t>ED3-IND</t>
  </si>
  <si>
    <t>CHE 368</t>
  </si>
  <si>
    <t>IE 452</t>
  </si>
  <si>
    <t>ED4-IND</t>
  </si>
  <si>
    <t>GED 164</t>
  </si>
  <si>
    <t>ED1-GEOL</t>
  </si>
  <si>
    <t>Total T1-2</t>
  </si>
  <si>
    <t>Session, 3 (3:00 PM - 5:00 PM),</t>
  </si>
  <si>
    <t>MATH 152</t>
  </si>
  <si>
    <t>ED1-BME</t>
  </si>
  <si>
    <t>ED1-AE</t>
  </si>
  <si>
    <t>AERO 396</t>
  </si>
  <si>
    <t>ED3-AERO</t>
  </si>
  <si>
    <t>MSE 458</t>
  </si>
  <si>
    <t>ED4-MSE</t>
  </si>
  <si>
    <t>ED4-METE</t>
  </si>
  <si>
    <t>EE 188</t>
  </si>
  <si>
    <t>CE 262</t>
  </si>
  <si>
    <t>MSE 364</t>
  </si>
  <si>
    <t>ED3-MSE</t>
  </si>
  <si>
    <t>METE 358</t>
  </si>
  <si>
    <t>ED3-METE</t>
  </si>
  <si>
    <t>EE 462</t>
  </si>
  <si>
    <t>ED4-EE</t>
  </si>
  <si>
    <t>Total T1-3</t>
  </si>
  <si>
    <t>,Total T1-3</t>
  </si>
  <si>
    <t>Wednesday, 19 August 2026</t>
  </si>
  <si>
    <t>Wednesday, 12 April 2023,</t>
  </si>
  <si>
    <t>Session, 1 (8:30 AM - 10:30 AM),</t>
  </si>
  <si>
    <t>PL 252</t>
  </si>
  <si>
    <t>ME 264</t>
  </si>
  <si>
    <t>MME 264</t>
  </si>
  <si>
    <t>GED 352</t>
  </si>
  <si>
    <t>ED3-GEOL</t>
  </si>
  <si>
    <t>CE 468</t>
  </si>
  <si>
    <t>CE 364</t>
  </si>
  <si>
    <t>ED3-CE</t>
  </si>
  <si>
    <t>Total W1-1</t>
  </si>
  <si>
    <t>,Total W1-1</t>
  </si>
  <si>
    <t>ME 160</t>
  </si>
  <si>
    <t>ED1-ME</t>
  </si>
  <si>
    <t>ED1-AUTO</t>
  </si>
  <si>
    <t>PE 356</t>
  </si>
  <si>
    <t>MME 462</t>
  </si>
  <si>
    <t>AME 368</t>
  </si>
  <si>
    <t>TE 262</t>
  </si>
  <si>
    <t>Total W1-2</t>
  </si>
  <si>
    <t>,Total W1-2</t>
  </si>
  <si>
    <t>GE 262</t>
  </si>
  <si>
    <t>ED2-GEOM</t>
  </si>
  <si>
    <t>TE 256</t>
  </si>
  <si>
    <t>ED2-TEL</t>
  </si>
  <si>
    <t>CHEM 280</t>
  </si>
  <si>
    <t>ME 352</t>
  </si>
  <si>
    <t>COE 158</t>
  </si>
  <si>
    <t>GED 464</t>
  </si>
  <si>
    <t>ED4-GEOL</t>
  </si>
  <si>
    <t>Total W1-3</t>
  </si>
  <si>
    <t>,Total W1-3</t>
  </si>
  <si>
    <t>Thursday, 20 August 2026</t>
  </si>
  <si>
    <t>Thursday, 13 April 2023,</t>
  </si>
  <si>
    <t>CE 164</t>
  </si>
  <si>
    <t>ME 456</t>
  </si>
  <si>
    <t>EE 166</t>
  </si>
  <si>
    <t>PCE 158</t>
  </si>
  <si>
    <t>CHE 158</t>
  </si>
  <si>
    <t>TE 352</t>
  </si>
  <si>
    <t>PE 154</t>
  </si>
  <si>
    <t>ME 478</t>
  </si>
  <si>
    <t>ME 158</t>
  </si>
  <si>
    <t>ED1-AERO</t>
  </si>
  <si>
    <t>AERO 368</t>
  </si>
  <si>
    <t>GE 464</t>
  </si>
  <si>
    <t>ED4-GEOM</t>
  </si>
  <si>
    <t>Total H1-1</t>
  </si>
  <si>
    <t>,Total H1-1</t>
  </si>
  <si>
    <t>SOC 152</t>
  </si>
  <si>
    <t>COE 368</t>
  </si>
  <si>
    <t>CHE 350</t>
  </si>
  <si>
    <t>PSYC 154</t>
  </si>
  <si>
    <t>GE 152</t>
  </si>
  <si>
    <t>COE 288</t>
  </si>
  <si>
    <t>Total H1-2</t>
  </si>
  <si>
    <t>,Total H1-2</t>
  </si>
  <si>
    <t>CE 480</t>
  </si>
  <si>
    <t>PE 458</t>
  </si>
  <si>
    <t>MSE 354</t>
  </si>
  <si>
    <t>METE 362</t>
  </si>
  <si>
    <t>MSE 262</t>
  </si>
  <si>
    <t>ED2-MSE</t>
  </si>
  <si>
    <t>PE 366</t>
  </si>
  <si>
    <t>PE 252</t>
  </si>
  <si>
    <t>AE 452</t>
  </si>
  <si>
    <t>GED 452</t>
  </si>
  <si>
    <t>CE 258</t>
  </si>
  <si>
    <t>IE 456</t>
  </si>
  <si>
    <t>Friday, 21 August 2026</t>
  </si>
  <si>
    <t>Friday, 14 April 2023,</t>
  </si>
  <si>
    <t>GE 272</t>
  </si>
  <si>
    <t>AE 360</t>
  </si>
  <si>
    <t>GE 354</t>
  </si>
  <si>
    <t>GED 368</t>
  </si>
  <si>
    <t>MSE 456</t>
  </si>
  <si>
    <t>GED 252</t>
  </si>
  <si>
    <t>IE 296</t>
  </si>
  <si>
    <t>TE 464</t>
  </si>
  <si>
    <t>ED4-TEL</t>
  </si>
  <si>
    <t>MME 486</t>
  </si>
  <si>
    <t>IE 362</t>
  </si>
  <si>
    <t>MME 296</t>
  </si>
  <si>
    <t>Total F1-1</t>
  </si>
  <si>
    <t>,Total F1-1</t>
  </si>
  <si>
    <t>EE 380</t>
  </si>
  <si>
    <t>EE 152</t>
  </si>
  <si>
    <t>TE 254</t>
  </si>
  <si>
    <t>ME 282</t>
  </si>
  <si>
    <t>Total F1-2</t>
  </si>
  <si>
    <t>MME 392</t>
  </si>
  <si>
    <t>ME 392</t>
  </si>
  <si>
    <t>ME 292</t>
  </si>
  <si>
    <t>AME 392</t>
  </si>
  <si>
    <t>AE 162</t>
  </si>
  <si>
    <t>Monday, 24 August 2026</t>
  </si>
  <si>
    <t>Monday, 17 April 2023,</t>
  </si>
  <si>
    <t>FC 182</t>
  </si>
  <si>
    <t>GED 354</t>
  </si>
  <si>
    <t>GED 262</t>
  </si>
  <si>
    <t>Total M2-1</t>
  </si>
  <si>
    <t>,Total M2-1</t>
  </si>
  <si>
    <t>COE 472</t>
  </si>
  <si>
    <t>ED4-COE</t>
  </si>
  <si>
    <t>ED4-BME</t>
  </si>
  <si>
    <t>MSE 260</t>
  </si>
  <si>
    <t>ME 462</t>
  </si>
  <si>
    <t>PE 358</t>
  </si>
  <si>
    <t>METE 352</t>
  </si>
  <si>
    <t>AME 476</t>
  </si>
  <si>
    <t>PCE 352</t>
  </si>
  <si>
    <t>COE 358</t>
  </si>
  <si>
    <t>COE 152</t>
  </si>
  <si>
    <t>Total M2-2</t>
  </si>
  <si>
    <t>,Total M2-2</t>
  </si>
  <si>
    <t>PE 262</t>
  </si>
  <si>
    <t>PE 452</t>
  </si>
  <si>
    <t>IE 358</t>
  </si>
  <si>
    <t>ME 376</t>
  </si>
  <si>
    <t>EE 468</t>
  </si>
  <si>
    <t>ME 164</t>
  </si>
  <si>
    <t>TE 458</t>
  </si>
  <si>
    <t>CE 478</t>
  </si>
  <si>
    <t>MSE 356</t>
  </si>
  <si>
    <t>Total M2-3</t>
  </si>
  <si>
    <t>,Total M2-3</t>
  </si>
  <si>
    <t>Tuesday, 25 August 2026</t>
  </si>
  <si>
    <t>Tuesday, 18 April 2023,</t>
  </si>
  <si>
    <t>ENGL 264</t>
  </si>
  <si>
    <t>AERO 362</t>
  </si>
  <si>
    <t>CE 264</t>
  </si>
  <si>
    <t>AME 384</t>
  </si>
  <si>
    <t>CHE 466</t>
  </si>
  <si>
    <t>MATH 252</t>
  </si>
  <si>
    <t>Total T2-1</t>
  </si>
  <si>
    <t>,Total T2-1</t>
  </si>
  <si>
    <t>GE 472</t>
  </si>
  <si>
    <t>PE 352</t>
  </si>
  <si>
    <t>EE 366</t>
  </si>
  <si>
    <t>Total T2-2</t>
  </si>
  <si>
    <t>,Total T2-2</t>
  </si>
  <si>
    <t>MSE 452</t>
  </si>
  <si>
    <t>METE 454</t>
  </si>
  <si>
    <t>CE 356</t>
  </si>
  <si>
    <t>MME 494</t>
  </si>
  <si>
    <t>ME 494</t>
  </si>
  <si>
    <t>MSE 152</t>
  </si>
  <si>
    <t>METE 152</t>
  </si>
  <si>
    <t>CHE 370</t>
  </si>
  <si>
    <t>CHE 252</t>
  </si>
  <si>
    <t>Total T2-3</t>
  </si>
  <si>
    <t>,Total T2-3</t>
  </si>
  <si>
    <t>Wednesday, 26 August 2026</t>
  </si>
  <si>
    <t>Wednesday, 19 April 2023,</t>
  </si>
  <si>
    <t>CHE 156</t>
  </si>
  <si>
    <t>AE 356</t>
  </si>
  <si>
    <t>MME 382</t>
  </si>
  <si>
    <t>EE 258</t>
  </si>
  <si>
    <t>TE 472</t>
  </si>
  <si>
    <t>EE 472</t>
  </si>
  <si>
    <t>TE 372</t>
  </si>
  <si>
    <t>GE 362</t>
  </si>
  <si>
    <t>ME 370</t>
  </si>
  <si>
    <t>Total W2-1</t>
  </si>
  <si>
    <t>,Total W2-1</t>
  </si>
  <si>
    <t>PHY 154</t>
  </si>
  <si>
    <t>AE 158</t>
  </si>
  <si>
    <t>CHE 358</t>
  </si>
  <si>
    <t>AME 356</t>
  </si>
  <si>
    <t>GED 454</t>
  </si>
  <si>
    <t>COE 356</t>
  </si>
  <si>
    <t>CHE 464</t>
  </si>
  <si>
    <t>BME 454</t>
  </si>
  <si>
    <t>MSE 362</t>
  </si>
  <si>
    <t>Total W2-2</t>
  </si>
  <si>
    <t>,Total W2-2</t>
  </si>
  <si>
    <t>PE 450</t>
  </si>
  <si>
    <t>AE 460</t>
  </si>
  <si>
    <t>TE 452</t>
  </si>
  <si>
    <t>ME 472</t>
  </si>
  <si>
    <t>CE 452</t>
  </si>
  <si>
    <t>EE 158</t>
  </si>
  <si>
    <t>BME 364</t>
  </si>
  <si>
    <t>Total W2-3</t>
  </si>
  <si>
    <t>,Total W2-3</t>
  </si>
  <si>
    <t>Thursday, 27 August 2025</t>
  </si>
  <si>
    <t>Thursday, 20 April 2023,</t>
  </si>
  <si>
    <t>GED 370</t>
  </si>
  <si>
    <t>CE 360</t>
  </si>
  <si>
    <t>ME 270</t>
  </si>
  <si>
    <t>CHE 250</t>
  </si>
  <si>
    <t>TE 354</t>
  </si>
  <si>
    <t>IE 366</t>
  </si>
  <si>
    <t>GE 476</t>
  </si>
  <si>
    <t>Total H2-1</t>
  </si>
  <si>
    <t>,Total H2-1</t>
  </si>
  <si>
    <t>ME 262</t>
  </si>
  <si>
    <t>CHE 458</t>
  </si>
  <si>
    <t>CE 476</t>
  </si>
  <si>
    <t>ME 366</t>
  </si>
  <si>
    <t>COE 458</t>
  </si>
  <si>
    <t>PE 364</t>
  </si>
  <si>
    <t>Total H2-2</t>
  </si>
  <si>
    <t>,Total H2-2</t>
  </si>
  <si>
    <t>TE 258</t>
  </si>
  <si>
    <t>EE 466</t>
  </si>
  <si>
    <t>GED 152</t>
  </si>
  <si>
    <t>GED 162</t>
  </si>
  <si>
    <t>AERO 256</t>
  </si>
  <si>
    <t>PE 472</t>
  </si>
  <si>
    <t>GED 462</t>
  </si>
  <si>
    <t>PE 264</t>
  </si>
  <si>
    <t>Total H2-3</t>
  </si>
  <si>
    <t>,Total H2-3</t>
  </si>
  <si>
    <t>Friday, 28 August 2026</t>
  </si>
  <si>
    <t>Friday, 21 April 2023,</t>
  </si>
  <si>
    <t>ENGL 158</t>
  </si>
  <si>
    <t>EE 262</t>
  </si>
  <si>
    <t>MSE 252</t>
  </si>
  <si>
    <t>CE 260</t>
  </si>
  <si>
    <t>BME 366</t>
  </si>
  <si>
    <t>GED 258</t>
  </si>
  <si>
    <t>CHE 364</t>
  </si>
  <si>
    <t>Total F2-1</t>
  </si>
  <si>
    <t>Computer based</t>
  </si>
  <si>
    <t>ME 492</t>
  </si>
  <si>
    <t>PE 468</t>
  </si>
  <si>
    <t>Total F2-2</t>
  </si>
  <si>
    <t>,Total F2-2</t>
  </si>
  <si>
    <t>COE 272</t>
  </si>
  <si>
    <t>CE 368</t>
  </si>
  <si>
    <t>GED 366</t>
  </si>
  <si>
    <t>MME 356</t>
  </si>
  <si>
    <t>EE 360</t>
  </si>
  <si>
    <t>CHE 366</t>
  </si>
  <si>
    <t>MSE 360</t>
  </si>
  <si>
    <t>CE 458</t>
  </si>
  <si>
    <t>Total F2-3</t>
  </si>
  <si>
    <t>,Total F2-3</t>
  </si>
  <si>
    <t>Monday, 31  August 2026</t>
  </si>
  <si>
    <t>Monday, 24 April 2023,</t>
  </si>
  <si>
    <t>ME 356</t>
  </si>
  <si>
    <t>METE 354</t>
  </si>
  <si>
    <t>TE 374</t>
  </si>
  <si>
    <t>ME 162</t>
  </si>
  <si>
    <t>PETE 450</t>
  </si>
  <si>
    <t>ME 252</t>
  </si>
  <si>
    <t>Total M3-1</t>
  </si>
  <si>
    <t>,Total M3-1</t>
  </si>
  <si>
    <t>CHE 254</t>
  </si>
  <si>
    <t>PE 258</t>
  </si>
  <si>
    <t>GED 254</t>
  </si>
  <si>
    <t>CE 352</t>
  </si>
  <si>
    <t>TE 468</t>
  </si>
  <si>
    <t>IE 360</t>
  </si>
  <si>
    <t>METE 252</t>
  </si>
  <si>
    <t>CE 462</t>
  </si>
  <si>
    <t>Total M3-2</t>
  </si>
  <si>
    <t>ECON 152</t>
  </si>
  <si>
    <t>ME 468</t>
  </si>
  <si>
    <t>PE 354</t>
  </si>
  <si>
    <t>PE 474</t>
  </si>
  <si>
    <t>GED 466</t>
  </si>
  <si>
    <t>BME 462</t>
  </si>
  <si>
    <t>COE 382</t>
  </si>
  <si>
    <t>COE 372</t>
  </si>
  <si>
    <t>MSE 352</t>
  </si>
  <si>
    <t>CHE 470</t>
  </si>
  <si>
    <t>Total M3-3</t>
  </si>
  <si>
    <t>,Total M3-3</t>
  </si>
  <si>
    <t>Tuesday, 1 September 2026</t>
  </si>
  <si>
    <t>Tuesday, 25 April 2023,</t>
  </si>
  <si>
    <t>ME 266</t>
  </si>
  <si>
    <t>ME 166</t>
  </si>
  <si>
    <t>AME 156</t>
  </si>
  <si>
    <t>TE 152</t>
  </si>
  <si>
    <t>ACF 256</t>
  </si>
  <si>
    <t>Total T3-1</t>
  </si>
  <si>
    <t>,Total T3-1</t>
  </si>
  <si>
    <t>IE 458</t>
  </si>
  <si>
    <t>BME 362</t>
  </si>
  <si>
    <t>AE 482</t>
  </si>
  <si>
    <t>GE 158</t>
  </si>
  <si>
    <t>CHE 468</t>
  </si>
  <si>
    <t>COE 456</t>
  </si>
  <si>
    <t>AME 256</t>
  </si>
  <si>
    <t>TE 456</t>
  </si>
  <si>
    <t>Total T3-2</t>
  </si>
  <si>
    <t>AERO 374</t>
  </si>
  <si>
    <t>GED 364</t>
  </si>
  <si>
    <t>PE 476</t>
  </si>
  <si>
    <t>PE 256</t>
  </si>
  <si>
    <t>MME 386</t>
  </si>
  <si>
    <t>MSE 454</t>
  </si>
  <si>
    <t>METE 452</t>
  </si>
  <si>
    <t>AME 386</t>
  </si>
  <si>
    <t>IE 356</t>
  </si>
  <si>
    <t>GED 476</t>
  </si>
  <si>
    <t>AME 496</t>
  </si>
  <si>
    <t>EE 484</t>
  </si>
  <si>
    <t>PETE 354</t>
  </si>
  <si>
    <t>MME 476</t>
  </si>
  <si>
    <t>Total T3-3</t>
  </si>
  <si>
    <t>,Total T3-3</t>
  </si>
  <si>
    <t>Wednesday, 2 September 2026</t>
  </si>
  <si>
    <t>Wednesday, 26 April 2023,</t>
  </si>
  <si>
    <t>AE 196</t>
  </si>
  <si>
    <t>AE 352</t>
  </si>
  <si>
    <t>SES 172</t>
  </si>
  <si>
    <t>COE 480</t>
  </si>
  <si>
    <t>ME 452</t>
  </si>
  <si>
    <t>CE 272</t>
  </si>
  <si>
    <t>TE 252</t>
  </si>
  <si>
    <t>CE 156</t>
  </si>
  <si>
    <t>Total W3-1</t>
  </si>
  <si>
    <t>,Total W3-1</t>
  </si>
  <si>
    <t>TE 358</t>
  </si>
  <si>
    <t>TE 386</t>
  </si>
  <si>
    <t>ME 258</t>
  </si>
  <si>
    <t>PE 350</t>
  </si>
  <si>
    <t>MSE 254</t>
  </si>
  <si>
    <t>CE 456</t>
  </si>
  <si>
    <t>Total W3-2</t>
  </si>
  <si>
    <t>GE 474</t>
  </si>
  <si>
    <t>AERO 492</t>
  </si>
  <si>
    <t>EE 252</t>
  </si>
  <si>
    <t>EE 172</t>
  </si>
  <si>
    <t>GE 284</t>
  </si>
  <si>
    <t>CHE 354</t>
  </si>
  <si>
    <t>AE 464</t>
  </si>
  <si>
    <t>Total W3-3</t>
  </si>
  <si>
    <t>,Total W3-3</t>
  </si>
  <si>
    <t>Thursday, 3 September 2026</t>
  </si>
  <si>
    <t>Thursday, 27 April 2023,</t>
  </si>
  <si>
    <t>IE 354</t>
  </si>
  <si>
    <t>AERO 174</t>
  </si>
  <si>
    <t>IE 174</t>
  </si>
  <si>
    <t>MME 174</t>
  </si>
  <si>
    <t>ME 174</t>
  </si>
  <si>
    <t>METE 254</t>
  </si>
  <si>
    <t>PE 156</t>
  </si>
  <si>
    <t>GE 282</t>
  </si>
  <si>
    <t>Total H3-1</t>
  </si>
  <si>
    <t>,Total H3-1</t>
  </si>
  <si>
    <t>TE 158</t>
  </si>
  <si>
    <t>AME 252</t>
  </si>
  <si>
    <t>PE 260</t>
  </si>
  <si>
    <t>CE 376</t>
  </si>
  <si>
    <t>PCE 350</t>
  </si>
  <si>
    <t>GED 342</t>
  </si>
  <si>
    <t>AE 362</t>
  </si>
  <si>
    <t>MSE 358</t>
  </si>
  <si>
    <t>METE 154</t>
  </si>
  <si>
    <t>Total H3-2</t>
  </si>
  <si>
    <t>PE 456</t>
  </si>
  <si>
    <t>BME 374</t>
  </si>
  <si>
    <t>COE 486</t>
  </si>
  <si>
    <t>COE 454</t>
  </si>
  <si>
    <t>MME 492</t>
  </si>
  <si>
    <t>TE 454</t>
  </si>
  <si>
    <t>IE 454</t>
  </si>
  <si>
    <t>PE 362</t>
  </si>
  <si>
    <t>GED 468</t>
  </si>
  <si>
    <t>MSE 256</t>
  </si>
  <si>
    <t>Total H3-3</t>
  </si>
  <si>
    <t>,Total H3-3</t>
  </si>
  <si>
    <t>Friday, 4 September 2026</t>
  </si>
  <si>
    <t>Friday, 28 April 2023,</t>
  </si>
  <si>
    <t>CHE 352</t>
  </si>
  <si>
    <t>EE 368</t>
  </si>
  <si>
    <t>EE 288</t>
  </si>
  <si>
    <t>ME 362</t>
  </si>
  <si>
    <t>BME 166</t>
  </si>
  <si>
    <t>AME 362</t>
  </si>
  <si>
    <t>BME 286</t>
  </si>
  <si>
    <t>Total F3-1</t>
  </si>
  <si>
    <t>,Total F3-1</t>
  </si>
  <si>
    <t>CHE 456</t>
  </si>
  <si>
    <t>AERO 452</t>
  </si>
  <si>
    <t>VSLA/303/RMA/RMB/206/304</t>
  </si>
  <si>
    <t>45/30/22/22/22/20</t>
  </si>
  <si>
    <t>NEB-FF2/NEB-FF1</t>
  </si>
  <si>
    <t>25/40</t>
  </si>
  <si>
    <t>PB001/PB014/PB020/PB201/PB214/PB008/PB208/PB212</t>
  </si>
  <si>
    <t>36/36/36/36/36/30/30/22</t>
  </si>
  <si>
    <t>NEB-TF/NEB-SF</t>
  </si>
  <si>
    <t>131/131</t>
  </si>
  <si>
    <t>NAF1/A110</t>
  </si>
  <si>
    <t>46/30</t>
  </si>
  <si>
    <t>PB001/PB014/PB020/PB201/PB214/PB008/PB208/PB212/NEB-FF1/NEB-FF2</t>
  </si>
  <si>
    <t>38/38/38/38/38/28/28/25/45/25</t>
  </si>
  <si>
    <t>VSLA/303</t>
  </si>
  <si>
    <t>35/20</t>
  </si>
  <si>
    <t>NEB-FF1</t>
  </si>
  <si>
    <t>ME 296</t>
  </si>
  <si>
    <t>40/30/22/22/22/20</t>
  </si>
  <si>
    <t>RMA</t>
  </si>
  <si>
    <t>NEB-SF</t>
  </si>
  <si>
    <t>NEB-TF</t>
  </si>
  <si>
    <t>35/35/35/35/35/25/25/20</t>
  </si>
  <si>
    <t>NAF1/A110/EA/VCR/NEB-FF1</t>
  </si>
  <si>
    <t>40/30/30/25/25</t>
  </si>
  <si>
    <t>36/36/36/36/36/25/25/20</t>
  </si>
  <si>
    <t>COMPUTER BASED</t>
  </si>
  <si>
    <t>VSLA/303/206/RMA/RMB</t>
  </si>
  <si>
    <t>40/30/22/22/21</t>
  </si>
  <si>
    <t>NEB-FF1/NEB-FF2/NEB-SF/NEB-TF</t>
  </si>
  <si>
    <t>50/30/75/75</t>
  </si>
  <si>
    <t>PB001/PB014/PB020/PB201/PB214/PB008/PB208</t>
  </si>
  <si>
    <t>37/37/37/37/37/28/28</t>
  </si>
  <si>
    <t>PB001/PB014</t>
  </si>
  <si>
    <t>20/20</t>
  </si>
  <si>
    <t>PB020</t>
  </si>
  <si>
    <t>40/40</t>
  </si>
  <si>
    <t>NAF1/A110/EA/VCR</t>
  </si>
  <si>
    <t>40/30/30/22</t>
  </si>
  <si>
    <t>PB001/PB020/PB014</t>
  </si>
  <si>
    <t>34/34/34</t>
  </si>
  <si>
    <t>NAF1/EA</t>
  </si>
  <si>
    <t>PB201/PB214/PB008</t>
  </si>
  <si>
    <t>33/32/30</t>
  </si>
  <si>
    <t>VSLA/303/RMA/RMB</t>
  </si>
  <si>
    <t>35/25/15/15</t>
  </si>
  <si>
    <t>NAF1/EA/A110</t>
  </si>
  <si>
    <t>43/30/30</t>
  </si>
  <si>
    <t>42/30/22/21</t>
  </si>
  <si>
    <t>NEB-FF1/NEB-FF2</t>
  </si>
  <si>
    <t>50/26</t>
  </si>
  <si>
    <t>170/85</t>
  </si>
  <si>
    <t>VSLA/303/206</t>
  </si>
  <si>
    <t>38/25/20</t>
  </si>
  <si>
    <t>PB008/PB208</t>
  </si>
  <si>
    <t>23/23</t>
  </si>
  <si>
    <t>30/45</t>
  </si>
  <si>
    <t>EA/A110/NAF1</t>
  </si>
  <si>
    <t>30/30/40</t>
  </si>
  <si>
    <t>EA</t>
  </si>
  <si>
    <t>PB001/PB014/PB201/PB214</t>
  </si>
  <si>
    <t>35/35/35/35</t>
  </si>
  <si>
    <t>PB214/PB020</t>
  </si>
  <si>
    <t>31/30</t>
  </si>
  <si>
    <t>35/22</t>
  </si>
  <si>
    <t>35/35</t>
  </si>
  <si>
    <t>PB208/PB008</t>
  </si>
  <si>
    <t>25/25</t>
  </si>
  <si>
    <t>PB020/PB201</t>
  </si>
  <si>
    <t>35/34</t>
  </si>
  <si>
    <t>PB001/PB020/PB201/PB214</t>
  </si>
  <si>
    <t>34/34/34/34</t>
  </si>
  <si>
    <t>VSLA/304</t>
  </si>
  <si>
    <t>40/15</t>
  </si>
  <si>
    <t>PB001/PB014/PB020/PB201/PB214/PB008/PB208/PB212/NEB-TF</t>
  </si>
  <si>
    <t>36/36/36/36/36/30/30/25/30</t>
  </si>
  <si>
    <t>VSLA/303/206/RMA/RMB/304</t>
  </si>
  <si>
    <t>40/30/30</t>
  </si>
  <si>
    <t>NAF1/A110/EA</t>
  </si>
  <si>
    <t>36/24/23</t>
  </si>
  <si>
    <t>PB014/PB008/PB208</t>
  </si>
  <si>
    <t>35/25/25</t>
  </si>
  <si>
    <t>303/RMA/RMA/206</t>
  </si>
  <si>
    <t>25/21/21/20</t>
  </si>
  <si>
    <t>NEB-TF/NEB-SF/NEB-FF1</t>
  </si>
  <si>
    <t>78/77/50</t>
  </si>
  <si>
    <t>NAF1/EA/A110/VCR</t>
  </si>
  <si>
    <t>34/34/34/34/34/25/25/20</t>
  </si>
  <si>
    <t>35/25/20</t>
  </si>
  <si>
    <t>NEB-SF/NEB-FF1</t>
  </si>
  <si>
    <t>52/30</t>
  </si>
  <si>
    <t>NAF1</t>
  </si>
  <si>
    <t>PB001/PB014/PB020/PB201/PB214</t>
  </si>
  <si>
    <t>30/30/30/30/30</t>
  </si>
  <si>
    <t>NEB-TF/NEB-SF/NEB-FF1/NEB-FF2</t>
  </si>
  <si>
    <t>75/75/50/30</t>
  </si>
  <si>
    <t>40/28/20/20/20</t>
  </si>
  <si>
    <t>303/206</t>
  </si>
  <si>
    <t>25/21</t>
  </si>
  <si>
    <t>PB201/PB214</t>
  </si>
  <si>
    <t>75/75/50/25</t>
  </si>
  <si>
    <t>NEB-TF/NEB-FF1</t>
  </si>
  <si>
    <t>55/30</t>
  </si>
  <si>
    <t>NEB-SF/NEB-FF2</t>
  </si>
  <si>
    <t>60/23</t>
  </si>
  <si>
    <t>PB001/PB020/PB208</t>
  </si>
  <si>
    <t>30/30/20</t>
  </si>
  <si>
    <t>PB014</t>
  </si>
  <si>
    <t>VSLA</t>
  </si>
  <si>
    <t>35/35/35/35/35/28/28/25</t>
  </si>
  <si>
    <t>40/30/21/21/20</t>
  </si>
  <si>
    <t>35/35/35/35/35</t>
  </si>
  <si>
    <t>38/38/38/38/38/25/25/22</t>
  </si>
  <si>
    <t>40/25</t>
  </si>
  <si>
    <t>NEB-TF/NEB-SF/NEB-FF2</t>
  </si>
  <si>
    <t>70/70/20</t>
  </si>
  <si>
    <t>A110/NAF1</t>
  </si>
  <si>
    <t>30/40</t>
  </si>
  <si>
    <t>75/75/50/22</t>
  </si>
  <si>
    <t>41/30/30</t>
  </si>
  <si>
    <t>PB001/PB014/PB020/PB201/PB214/PB008/PB208/NEB-FF1/NEB-FF2</t>
  </si>
  <si>
    <t>35/35/35/35/35/25/25/45/25</t>
  </si>
  <si>
    <t>40/28/21/21/20</t>
  </si>
  <si>
    <t>15/25</t>
  </si>
  <si>
    <t>25/45</t>
  </si>
  <si>
    <t>PB020/PB008</t>
  </si>
  <si>
    <t>35/26</t>
  </si>
  <si>
    <t>VSLA/303/206/RMA</t>
  </si>
  <si>
    <t>35/22/18/18</t>
  </si>
  <si>
    <t>133/132</t>
  </si>
  <si>
    <t>VSLA/303/RMA/206</t>
  </si>
  <si>
    <t>40/25/20/20</t>
  </si>
  <si>
    <t>30/23</t>
  </si>
  <si>
    <t>40/30/20/20/20</t>
  </si>
  <si>
    <t>A110/EA/NAF1</t>
  </si>
  <si>
    <t>30/30/43</t>
  </si>
  <si>
    <t>50/30</t>
  </si>
  <si>
    <t>36/36/36/36/36/25/25/25</t>
  </si>
  <si>
    <t>PB208</t>
  </si>
  <si>
    <t>35/25/20/19</t>
  </si>
  <si>
    <t>PB001/PB014/PB008</t>
  </si>
  <si>
    <t>33/33/20</t>
  </si>
  <si>
    <t>PB201/PB214/PB208</t>
  </si>
  <si>
    <t>30/30/27</t>
  </si>
  <si>
    <t>40/17</t>
  </si>
  <si>
    <t>35/25/23</t>
  </si>
  <si>
    <t>45/25</t>
  </si>
  <si>
    <t>38/38/38/38/38/30/30</t>
  </si>
  <si>
    <t>PB001/PB014/PB020</t>
  </si>
  <si>
    <t>34/34/33</t>
  </si>
  <si>
    <t>PB201/PB214/PB020/PB008</t>
  </si>
  <si>
    <t>35/35/35/17</t>
  </si>
  <si>
    <t>A110/VCR/ECR</t>
  </si>
  <si>
    <t>60/50/44</t>
  </si>
  <si>
    <t>30/25</t>
  </si>
  <si>
    <t>30/30</t>
  </si>
  <si>
    <t>75/75</t>
  </si>
  <si>
    <t>70/20</t>
  </si>
  <si>
    <t>PB001/PB014/PB020/PB208</t>
  </si>
  <si>
    <t>35/35/35/23</t>
  </si>
  <si>
    <t>PB001/PB020</t>
  </si>
  <si>
    <t>123/122</t>
  </si>
  <si>
    <t>PB001/PB020/PB014/PB201/PB214/PB008/PB208</t>
  </si>
  <si>
    <t>40/35/35/35/35/30/30</t>
  </si>
  <si>
    <t>VSLA/LT/RMA/RMB/303/206/304</t>
  </si>
  <si>
    <t>40/22/22/22/30/20/20</t>
  </si>
  <si>
    <t>37/28/28</t>
  </si>
  <si>
    <t>40/20/20</t>
  </si>
  <si>
    <t>VSLA/LT/RMA/RMB/303/206</t>
  </si>
  <si>
    <t>40/22/22/22/30/20</t>
  </si>
  <si>
    <t>N2/N1</t>
  </si>
  <si>
    <t>303/LT/304/RMA</t>
  </si>
  <si>
    <t>20/20/20/16</t>
  </si>
  <si>
    <t>28/28/39</t>
  </si>
  <si>
    <t>40/28/27/25</t>
  </si>
  <si>
    <t>NEB-SF/NEB-TF/NEB-FF1/NEB-FF2/PB001/PB014/PB008</t>
  </si>
  <si>
    <t>75/75/40/25/30/30/20</t>
  </si>
  <si>
    <t>VSLA/303/LT/304/206/RMA/RMB/N1/N2</t>
  </si>
  <si>
    <t>42/30/25/21/21/21/21/21/20</t>
  </si>
  <si>
    <t>VSLA/206</t>
  </si>
  <si>
    <t xml:space="preserve">NEB-SF </t>
  </si>
  <si>
    <t>PB001/PB014/PB020/PB201/PB008</t>
  </si>
  <si>
    <t>36/36/36/36/26</t>
  </si>
  <si>
    <t>VSLA/LT/303</t>
  </si>
  <si>
    <t>40/25/25</t>
  </si>
  <si>
    <t>NEB-SF/NEB-TF</t>
  </si>
  <si>
    <t>80/80</t>
  </si>
  <si>
    <t>206/304</t>
  </si>
  <si>
    <t>22/21</t>
  </si>
  <si>
    <t>PB008/PB014/PB020/PB201/PB001</t>
  </si>
  <si>
    <t>22/32/32/32/32</t>
  </si>
  <si>
    <t xml:space="preserve">VCR </t>
  </si>
  <si>
    <t>35/25</t>
  </si>
  <si>
    <t>303/LT</t>
  </si>
  <si>
    <t>A110/VCR</t>
  </si>
  <si>
    <t>30/24</t>
  </si>
  <si>
    <t>A110/VCR/NAF1</t>
  </si>
  <si>
    <t>24/23/40</t>
  </si>
  <si>
    <t>148/147</t>
  </si>
  <si>
    <t>NAF1/A110/VCR</t>
  </si>
  <si>
    <t>40/25/18</t>
  </si>
  <si>
    <t>25/32</t>
  </si>
  <si>
    <t xml:space="preserve">LT </t>
  </si>
  <si>
    <t>34/34/34/34/24</t>
  </si>
  <si>
    <t>VSLA/RMA/303</t>
  </si>
  <si>
    <t>40/20/25</t>
  </si>
  <si>
    <t>VSLA/303/LT/RMA/RMB</t>
  </si>
  <si>
    <t>40/25/25/23/23</t>
  </si>
  <si>
    <t>42/27/26</t>
  </si>
  <si>
    <t>VSLA/LT/RMA/303</t>
  </si>
  <si>
    <t>40/20/20/19</t>
  </si>
  <si>
    <t>40/30</t>
  </si>
  <si>
    <t>30/30/41</t>
  </si>
  <si>
    <t>95/95</t>
  </si>
  <si>
    <t>45/30/25/20/18</t>
  </si>
  <si>
    <t>PB001/PB014/PB020/PB201/PB214/PB208</t>
  </si>
  <si>
    <t>40/40/40/40/40/25</t>
  </si>
  <si>
    <t>PB214/PB212/PB208</t>
  </si>
  <si>
    <t>35/25/27</t>
  </si>
  <si>
    <t>33/33/33/33/22</t>
  </si>
  <si>
    <t>VSLA/303/LT/RMA/RMB/304</t>
  </si>
  <si>
    <t>40/30/25/20/20/20</t>
  </si>
  <si>
    <t>NEB-SF/NEB-FF1/NEB-FF2</t>
  </si>
  <si>
    <t>70/40/22</t>
  </si>
  <si>
    <t>303/LT/VSLA</t>
  </si>
  <si>
    <t>20/20/40</t>
  </si>
  <si>
    <t>36/36/36/36/36/24/24/22</t>
  </si>
  <si>
    <t>38/38/38/38/38/25/25</t>
  </si>
  <si>
    <t xml:space="preserve">RMA/303 </t>
  </si>
  <si>
    <t>20/26</t>
  </si>
  <si>
    <t>PB020/PB014/PB008</t>
  </si>
  <si>
    <t>32/32/19</t>
  </si>
  <si>
    <t>40/23/22</t>
  </si>
  <si>
    <t xml:space="preserve">VSLA/LT </t>
  </si>
  <si>
    <t>35/21</t>
  </si>
  <si>
    <t>PB212/PB214/PB201/PB001</t>
  </si>
  <si>
    <t>25/35/35/35</t>
  </si>
  <si>
    <t>40/22/22/22/22</t>
  </si>
  <si>
    <t>PB001/PB014/PB020/PB008</t>
  </si>
  <si>
    <t>35/35/35/25</t>
  </si>
  <si>
    <t>25/35</t>
  </si>
  <si>
    <t>A110/EA</t>
  </si>
  <si>
    <t>28/27</t>
  </si>
  <si>
    <t>PB001/PB014/PB020/PB201/PB214/PB008</t>
  </si>
  <si>
    <t>40/40/40/40/40/30</t>
  </si>
  <si>
    <t>NEB-FF2</t>
  </si>
  <si>
    <t>45/30/25/18/17</t>
  </si>
  <si>
    <t>25/44</t>
  </si>
  <si>
    <t>50/25</t>
  </si>
  <si>
    <t>32/32/32/32/32</t>
  </si>
  <si>
    <t>120/120</t>
  </si>
  <si>
    <t>VSLA/303/LT/304</t>
  </si>
  <si>
    <t>45/30/25/20</t>
  </si>
  <si>
    <t>170/170</t>
  </si>
  <si>
    <t>NEB-FF1/NEB-FF2/NAF1/A110</t>
  </si>
  <si>
    <t>50/30/38/20</t>
  </si>
  <si>
    <t>PB214</t>
  </si>
  <si>
    <t>PB001/PB014/PB020/PB201</t>
  </si>
  <si>
    <t>38/38/38/39/39/30</t>
  </si>
  <si>
    <t>68/68</t>
  </si>
  <si>
    <t>64/64</t>
  </si>
  <si>
    <t xml:space="preserve">PB208/PB214 </t>
  </si>
  <si>
    <t>20/33</t>
  </si>
  <si>
    <t>45/30/30</t>
  </si>
  <si>
    <t>30/20/45</t>
  </si>
  <si>
    <t>38/38/38/38/38/25/25/25</t>
  </si>
  <si>
    <t>VSLA/303/LT</t>
  </si>
  <si>
    <t>PB014/PB020/PB008</t>
  </si>
  <si>
    <t>33/33/21</t>
  </si>
  <si>
    <t>24/24/37</t>
  </si>
  <si>
    <t>303/LT/RMA/VSLA</t>
  </si>
  <si>
    <t>25/20/15/39</t>
  </si>
  <si>
    <t>VSLA/303/LT/RMA</t>
  </si>
  <si>
    <t>38/25/20/20</t>
  </si>
  <si>
    <t>34/20</t>
  </si>
  <si>
    <t>22/30</t>
  </si>
  <si>
    <t>30/30/33</t>
  </si>
  <si>
    <t>31/31/25</t>
  </si>
  <si>
    <t>NEB-FF1/NEB-FF2/NAF1</t>
  </si>
  <si>
    <t>50/30/42</t>
  </si>
  <si>
    <t>303/LT/RMA/RMB/304/VSLA</t>
  </si>
  <si>
    <t>26/22/22/22/22/40</t>
  </si>
  <si>
    <t>36/36/36/36/36/25/25</t>
  </si>
  <si>
    <t xml:space="preserve">PB020 </t>
  </si>
  <si>
    <t>32/25/25</t>
  </si>
  <si>
    <t>45/30/25/21/21/20</t>
  </si>
  <si>
    <t>PB201/PB214/PB014</t>
  </si>
  <si>
    <t>38/38/38</t>
  </si>
  <si>
    <t>303/LT/RMA/RMB/VSLA</t>
  </si>
  <si>
    <t>21/21/21/21/31</t>
  </si>
  <si>
    <t>35/35/33/33/33/27/26</t>
  </si>
  <si>
    <t>110/65</t>
  </si>
  <si>
    <t>35/35/35/35/25</t>
  </si>
  <si>
    <t>VCR/EA/A110/NAF1</t>
  </si>
  <si>
    <t>25/30/30/40</t>
  </si>
  <si>
    <t>45/30</t>
  </si>
  <si>
    <t>40/25/20</t>
  </si>
  <si>
    <t>LT/303/VSLA</t>
  </si>
  <si>
    <t>21/22/40</t>
  </si>
  <si>
    <t>20/37</t>
  </si>
  <si>
    <t>30/30/30/30/20</t>
  </si>
  <si>
    <t>44/26/25</t>
  </si>
  <si>
    <t>37/37/37/37/37/23/22/20</t>
  </si>
  <si>
    <t>37/30/25/20/20</t>
  </si>
  <si>
    <t>NEB-FF1/NEB-FF2/NAF1/EA</t>
  </si>
  <si>
    <t>45/30/45/30</t>
  </si>
  <si>
    <t>PB001/PB014/PB020/PB008/NEB-FF1</t>
  </si>
  <si>
    <t>30/30/30/20/45</t>
  </si>
  <si>
    <t>25/20</t>
  </si>
  <si>
    <t xml:space="preserve">NEB-SF/NEB-TF/NEB-FF1 </t>
  </si>
  <si>
    <t>VSLA/303/LT/206/304</t>
  </si>
  <si>
    <t>40/30/25/20/19</t>
  </si>
  <si>
    <t xml:space="preserve">PB014/PB020 </t>
  </si>
  <si>
    <t>25/25/37</t>
  </si>
  <si>
    <t>303/LT/206/304/VSLA</t>
  </si>
  <si>
    <t>26/22/24/24/42</t>
  </si>
  <si>
    <t>30/50</t>
  </si>
  <si>
    <t>VSLA/303/LT/304/206/RMA</t>
  </si>
  <si>
    <t>40/30/22/20/21/21</t>
  </si>
  <si>
    <t>95/90</t>
  </si>
  <si>
    <t>76/76/45/25</t>
  </si>
  <si>
    <t>35/30/22</t>
  </si>
  <si>
    <t>40/20/20/20/20/20</t>
  </si>
  <si>
    <t>45/30/30/23</t>
  </si>
  <si>
    <t>60/60</t>
  </si>
  <si>
    <t>VSLA/LT/RMA</t>
  </si>
  <si>
    <t>45/20/20</t>
  </si>
  <si>
    <t>RMB/303</t>
  </si>
  <si>
    <t>23/30</t>
  </si>
  <si>
    <t>PB001/PB020/PB014/PB201/PB214/PB008/PB208/PB212</t>
  </si>
  <si>
    <t>35/35/35/35/35/25/20/20</t>
  </si>
  <si>
    <t>40/30/25</t>
  </si>
  <si>
    <t>40/22/22/22/24/20</t>
  </si>
  <si>
    <t>70/60</t>
  </si>
  <si>
    <t>VSLA/LT/RMA/RMB</t>
  </si>
  <si>
    <t>40/20/20/20</t>
  </si>
  <si>
    <t>35/35/35/35/30/20/20/20</t>
  </si>
  <si>
    <t>LT</t>
  </si>
  <si>
    <t>PB201</t>
  </si>
  <si>
    <t>PB001</t>
  </si>
  <si>
    <t>37/25/25</t>
  </si>
  <si>
    <t>36/36/36/36/36/30/30/25</t>
  </si>
  <si>
    <t>37/25/23</t>
  </si>
  <si>
    <t>80/80/50/30</t>
  </si>
  <si>
    <t>35/20/20/20/25/16</t>
  </si>
  <si>
    <t>25/25/35</t>
  </si>
  <si>
    <t>PB001/PB020/PB014/PB201/PB214/PB008/PB208/PB212/NEB-FF1</t>
  </si>
  <si>
    <t>40/40/40/40/30/30/30/25/20</t>
  </si>
  <si>
    <t>VSLA/303/206/LT/RMA</t>
  </si>
  <si>
    <t>PB008</t>
  </si>
  <si>
    <t>45/24</t>
  </si>
  <si>
    <t>35/35/35/35/35/25/25</t>
  </si>
  <si>
    <t>35/30/25</t>
  </si>
  <si>
    <t>30/30/23</t>
  </si>
  <si>
    <t>PB014/PB008</t>
  </si>
  <si>
    <t>40/21/21/21</t>
  </si>
  <si>
    <t>LT/RMA/RMB/VSLA</t>
  </si>
  <si>
    <t>21/21/21/40</t>
  </si>
  <si>
    <t>69/69</t>
  </si>
  <si>
    <t>36/20/20</t>
  </si>
  <si>
    <t>40/24/24/22/24/20</t>
  </si>
  <si>
    <t>RMB</t>
  </si>
  <si>
    <t>30/25/20</t>
  </si>
  <si>
    <t>40/16</t>
  </si>
  <si>
    <t>PB001/PB020/PB014/PB201/PB214/PB008</t>
  </si>
  <si>
    <t>40/35/35/35/35/25</t>
  </si>
  <si>
    <t>33/20</t>
  </si>
  <si>
    <t>41/20/20/20</t>
  </si>
  <si>
    <t>VSLA/RMA/RMB</t>
  </si>
  <si>
    <t>40/40/35/35/35/25/20/20</t>
  </si>
  <si>
    <t>88/87</t>
  </si>
  <si>
    <t>45/30/30/20</t>
  </si>
  <si>
    <t>VSLA/LT/RMA/RMB/303</t>
  </si>
  <si>
    <t>40/25/24/24/27</t>
  </si>
  <si>
    <t>35/35/35/35/30</t>
  </si>
  <si>
    <t>35/22/24/24/27</t>
  </si>
  <si>
    <t>PB001/PB020/PB014/PB201/PB214/PB008/PB208/PB212/NEB-TF</t>
  </si>
  <si>
    <t>40/40/40/40/40/30/30/25/55</t>
  </si>
  <si>
    <t>80/50/30</t>
  </si>
  <si>
    <t>43/25/25</t>
  </si>
  <si>
    <t>35/35/35/35/35/25/22</t>
  </si>
  <si>
    <t>35/25/24/24/27/20</t>
  </si>
  <si>
    <t>40/21/22/22</t>
  </si>
  <si>
    <t>28/27/40</t>
  </si>
  <si>
    <t>PB020/PB201/PB214/PB208</t>
  </si>
  <si>
    <t>32/32/32/18</t>
  </si>
  <si>
    <t>40/40/23</t>
  </si>
  <si>
    <t>30/20/20</t>
  </si>
  <si>
    <t>43/20/20</t>
  </si>
  <si>
    <t>26/20</t>
  </si>
  <si>
    <t>RMB/303/206</t>
  </si>
  <si>
    <t>20/20/16</t>
  </si>
  <si>
    <t>65/65</t>
  </si>
  <si>
    <t>40/25/24/24/27/14</t>
  </si>
  <si>
    <t>PB001/PB020/PB008</t>
  </si>
  <si>
    <t>35/35/17</t>
  </si>
  <si>
    <t>PB014/PB201/PB208</t>
  </si>
  <si>
    <t>30/30/25</t>
  </si>
  <si>
    <t>35/30/20</t>
  </si>
  <si>
    <t>VSLA/LT</t>
  </si>
  <si>
    <t>37/20</t>
  </si>
  <si>
    <t>PB014/PB208/PB214</t>
  </si>
  <si>
    <t>30/15/30</t>
  </si>
  <si>
    <t>303/RMA/RMB/206</t>
  </si>
  <si>
    <t>30/24/24/22</t>
  </si>
  <si>
    <t>30/29/40</t>
  </si>
  <si>
    <t>35/35/20</t>
  </si>
  <si>
    <t>VCR</t>
  </si>
  <si>
    <t>PB014/PB214</t>
  </si>
  <si>
    <t>38/31</t>
  </si>
  <si>
    <t>35/35/25</t>
  </si>
  <si>
    <t>VSLA/LT/RMA/RMB/206</t>
  </si>
  <si>
    <t>40/21/21/20/20</t>
  </si>
  <si>
    <t>30/35</t>
  </si>
  <si>
    <t>VSLA/LT/206/RMA/RMB</t>
  </si>
  <si>
    <t>40/21/22/22/20</t>
  </si>
  <si>
    <t>35/24/24/20</t>
  </si>
  <si>
    <t>VSLA/LT/RMA/206/RMB</t>
  </si>
  <si>
    <t>40/23/22/20/20</t>
  </si>
  <si>
    <t>40/23/22/21/22</t>
  </si>
  <si>
    <t xml:space="preserve">EA/A110/NAF1              </t>
  </si>
  <si>
    <t>20/20/30</t>
  </si>
  <si>
    <t>38/38/38/38/38/26/26/20</t>
  </si>
  <si>
    <t>PB001/PB020/PB014/PB201/PB214/PB008/PB208/PB212/NEB-FF2</t>
  </si>
  <si>
    <t>35/30/20/20</t>
  </si>
  <si>
    <t>303/RMA/RMB/304/VSLA</t>
  </si>
  <si>
    <t>25/20/20/20/35</t>
  </si>
  <si>
    <t>128/127</t>
  </si>
  <si>
    <t>VSLA/RMA/LT</t>
  </si>
  <si>
    <t>BYOD1/BYOD2</t>
  </si>
  <si>
    <t>BYOD2</t>
  </si>
  <si>
    <t>BYOD1</t>
  </si>
  <si>
    <t>VSLA/303/304/N1/N2</t>
  </si>
  <si>
    <t>303/N1</t>
  </si>
  <si>
    <t>PB008/PB212/PB208</t>
  </si>
  <si>
    <t>25/22/25</t>
  </si>
  <si>
    <t>51/50</t>
  </si>
  <si>
    <t>BYOD2/BYOD1</t>
  </si>
  <si>
    <t>D/E</t>
  </si>
  <si>
    <t>M1</t>
  </si>
  <si>
    <t>T1</t>
  </si>
  <si>
    <t>W1</t>
  </si>
  <si>
    <t>H1</t>
  </si>
  <si>
    <t>F1</t>
  </si>
  <si>
    <t>M2</t>
  </si>
  <si>
    <t>T2</t>
  </si>
  <si>
    <t>W2</t>
  </si>
  <si>
    <t>H2</t>
  </si>
  <si>
    <t>F2</t>
  </si>
  <si>
    <t>M3</t>
  </si>
  <si>
    <t>T3</t>
  </si>
  <si>
    <t>W3</t>
  </si>
  <si>
    <t>H3</t>
  </si>
  <si>
    <t>F3</t>
  </si>
  <si>
    <t>S1</t>
  </si>
  <si>
    <t>S2</t>
  </si>
  <si>
    <t>S3</t>
  </si>
  <si>
    <t>Course Name</t>
  </si>
  <si>
    <t>Name of Lecturer</t>
  </si>
  <si>
    <t>No. of Students</t>
  </si>
  <si>
    <t>Unnamed: 1</t>
  </si>
  <si>
    <t>Course Code</t>
  </si>
  <si>
    <t>INTRODUCTION TO INFORMATION TECHNOLOGY</t>
  </si>
  <si>
    <t>BASIC AGRICULTURE</t>
  </si>
  <si>
    <t>ENGINEERING WORKSHOP PRACTICE</t>
  </si>
  <si>
    <t>BASIC ELECTRONICS</t>
  </si>
  <si>
    <t>COMMUNICATION SKILLS II</t>
  </si>
  <si>
    <t>CALCULUS WITH ANALYSIS</t>
  </si>
  <si>
    <t>ENGINEERING DRAWING</t>
  </si>
  <si>
    <t>BASIC MECHANICS</t>
  </si>
  <si>
    <t>ELECTRICAL ENGINEERING MACHINES</t>
  </si>
  <si>
    <t>LITERATURE IN ENGLISH II</t>
  </si>
  <si>
    <t>PRINCIPLES OF SURVEYING</t>
  </si>
  <si>
    <t>CALCULUS WITH SEVERAL VARIABLES</t>
  </si>
  <si>
    <t>THEORY OF MACHINES</t>
  </si>
  <si>
    <t>MECHANICAL ENGINEERING MATERIALS II</t>
  </si>
  <si>
    <t>MECHANICAL ENGINEERING LAB. II</t>
  </si>
  <si>
    <t>SOIL MECHANICS APPLICATION TO MECHANISATION</t>
  </si>
  <si>
    <t>FARM POWER AND MACHINERY</t>
  </si>
  <si>
    <t>RENEWABLE ENERGY SYSTEMS AND MANAGEMENT</t>
  </si>
  <si>
    <t>RURAL ENGINEERING</t>
  </si>
  <si>
    <t>RESEARCH METHODS FOR ENGINEERS</t>
  </si>
  <si>
    <t>HEAT TRANSFER</t>
  </si>
  <si>
    <t>MACHINE DESIGN II</t>
  </si>
  <si>
    <t>INTRODUCTION TO CAD/CAM</t>
  </si>
  <si>
    <t>SOIL AND WATER ENGINEERING II</t>
  </si>
  <si>
    <t>CROP LOSSES AND THEIR CONTROL</t>
  </si>
  <si>
    <t>MAINTENANCE AND REPAIRS OF AGRIC. MACHINERY</t>
  </si>
  <si>
    <t>CROP STORAGE AND STORAGE STRUCTURES</t>
  </si>
  <si>
    <t>FARM MACHINERY DESIGN</t>
  </si>
  <si>
    <t>MANAGEMENT AND ENTREPRENEURSHIP DEVELOPMENT</t>
  </si>
  <si>
    <t>AEROSPACE DESIGN PROJECT I</t>
  </si>
  <si>
    <t>ENGINEERING GRAPHICS</t>
  </si>
  <si>
    <t>STATICS OF SOLID MECHANICS</t>
  </si>
  <si>
    <t>COMPUTER PROGRAMMING FOR ENGINEERS</t>
  </si>
  <si>
    <t>AEROSPACE STRUCTURES</t>
  </si>
  <si>
    <t>AEROSPACE DESIGN PROJECT II</t>
  </si>
  <si>
    <t>COMPUTER-AIDED DESIGN AND MODELLING</t>
  </si>
  <si>
    <t>MECHANISMS SYNTHESIS AND ANALYSIS I</t>
  </si>
  <si>
    <t>THERMODYNAMICS I</t>
  </si>
  <si>
    <t>AIR VEHICLE STABILITY AND CONTROL</t>
  </si>
  <si>
    <t>PROPULSION</t>
  </si>
  <si>
    <t>AIRCRAFT PERFORMANCE AND DESIGN</t>
  </si>
  <si>
    <t>AEROSPACE ENGINEERING LAB II</t>
  </si>
  <si>
    <t>VIBRATIONS I</t>
  </si>
  <si>
    <t>INDUSTRIAL ENGINEERING AND ERGONOMICS</t>
  </si>
  <si>
    <t>AERODYNAMICS II</t>
  </si>
  <si>
    <t>APPLIED METEOROLOGY</t>
  </si>
  <si>
    <t>AEROSPACE SAFETY AND AIR SECURITY</t>
  </si>
  <si>
    <t>INTRODUCTION TO FINITE ELEMENT</t>
  </si>
  <si>
    <t>MECHANISMS SYNTHESIS AND ANALYSIS II</t>
  </si>
  <si>
    <t>INTERNAL COMBUSTION ENGINES</t>
  </si>
  <si>
    <t>MACHINE SHOP AND FACTORY DESIGN</t>
  </si>
  <si>
    <t>PRODUCTION PLANNING AND CONTROL</t>
  </si>
  <si>
    <t>ME 474</t>
  </si>
  <si>
    <t>MANAGEMENT AND ENTREPRENEURSHIP DEVELOPM</t>
  </si>
  <si>
    <t>HUMAN FACTORS AND ERGONOMICS</t>
  </si>
  <si>
    <t>ME 496</t>
  </si>
  <si>
    <t>PRODUCT DESIGN AND MANUFACTURING</t>
  </si>
  <si>
    <t xml:space="preserve">Basic Thermodynamics </t>
  </si>
  <si>
    <t>DESIGN OF AUTO MACHINE ELEMENTS</t>
  </si>
  <si>
    <t>AUTOMOTIVE ELECTRICAL SYSTEMS AND ELECTRONICS</t>
  </si>
  <si>
    <t>AME 284</t>
  </si>
  <si>
    <t>AUTOMOBILE ENGINEERING LABORATORY II</t>
  </si>
  <si>
    <t>AME 296</t>
  </si>
  <si>
    <t>MICROPROCESSORS AND MECHATRONICS APPLICATIONS</t>
  </si>
  <si>
    <t>FLUID DYNAMICS I</t>
  </si>
  <si>
    <t>MANUFACTURING TECHNOLOGY</t>
  </si>
  <si>
    <t>LAND VEHICLE STRUCTURES</t>
  </si>
  <si>
    <t>VIBRATIONS FOR AUTOMOBILE ENGINEERS</t>
  </si>
  <si>
    <t>AUTOMOTIVE SPARK-IGNITION ENGINES</t>
  </si>
  <si>
    <t>AUTOMOTIVE CHASSIS</t>
  </si>
  <si>
    <t>MANUAL POWER TRAIN</t>
  </si>
  <si>
    <t>AUTOMOBILE ENGINEERING LABORATORY IV</t>
  </si>
  <si>
    <t>AME 396</t>
  </si>
  <si>
    <t>ME 384</t>
  </si>
  <si>
    <t>MODERN AUTOMOBILE TECHNOLOGY</t>
  </si>
  <si>
    <t>SPECIAL VEHICLE DESIGN</t>
  </si>
  <si>
    <t>VEHICLE MAINTENANCE AND REGULATION</t>
  </si>
  <si>
    <t>FINAL YEAR PROJECT II</t>
  </si>
  <si>
    <t>AME 498</t>
  </si>
  <si>
    <t>Applied Electricity</t>
  </si>
  <si>
    <t>COE 181</t>
  </si>
  <si>
    <t>PROPERTIES OF MATTER</t>
  </si>
  <si>
    <t>Basic Mechanics</t>
  </si>
  <si>
    <t>ME 161</t>
  </si>
  <si>
    <t>INTRODUCTION TO SOCIOLOGY II</t>
  </si>
  <si>
    <t>CELL BIOLOGY</t>
  </si>
  <si>
    <t>BME 161</t>
  </si>
  <si>
    <t>BIOCHEMISTRY</t>
  </si>
  <si>
    <t>SSN 166</t>
  </si>
  <si>
    <t>FINANCIAL ACCOUNTING II</t>
  </si>
  <si>
    <t>BIOMEDICAL ENGINEERING DESIGN II</t>
  </si>
  <si>
    <t>BME 252</t>
  </si>
  <si>
    <t>ANATOMY AND PHYSIOLOGY FOR ENGINEERS II</t>
  </si>
  <si>
    <t>CHEMICAL PATHOLOGY</t>
  </si>
  <si>
    <t>BME 288</t>
  </si>
  <si>
    <t>OBJECT-ORIENTED PROGRAMMING</t>
  </si>
  <si>
    <t>DIGITAL SYSTEMS DESIGN I</t>
  </si>
  <si>
    <t>ELEMENTS OF ECONOMICS II</t>
  </si>
  <si>
    <t>FRENCH FOR COMMUNICATION II</t>
  </si>
  <si>
    <t>BIOMATERIALS I</t>
  </si>
  <si>
    <t>MEDICAL IMAGING I</t>
  </si>
  <si>
    <t>BIOSIGNAL PROCESSES AND ANALYSIS</t>
  </si>
  <si>
    <t>BIOINSTRUMENTATION I</t>
  </si>
  <si>
    <t>BIOMEDICAL OPTICS</t>
  </si>
  <si>
    <t>EMBEDDED SYSTEMS</t>
  </si>
  <si>
    <t>MEDICAL DEVICE REGULATION</t>
  </si>
  <si>
    <t>BIOMECHANICS II</t>
  </si>
  <si>
    <t>DIGITAL SIGNAL PROCESSING</t>
  </si>
  <si>
    <t>ENTREPRENEURSHIP DEVELOPMENT</t>
  </si>
  <si>
    <t>INTRODUCTION TO LIGHTING AND ACOUSTICS</t>
  </si>
  <si>
    <t>PROPERTIES OF CIVIL ENGINEERING MATERIAL</t>
  </si>
  <si>
    <t>ELEMENTARY FLUIDS MECHANICS</t>
  </si>
  <si>
    <t>CIVIL ENGINEERING DRAWING</t>
  </si>
  <si>
    <t>INTRODUCTION TO ECONOMICS II</t>
  </si>
  <si>
    <t>FLUID MECHANICS</t>
  </si>
  <si>
    <t>STRUCTURAL ANALYSIS</t>
  </si>
  <si>
    <t>SOIL AND ROCK MECHANICS</t>
  </si>
  <si>
    <t>SOIL AND ROCKS MECHANICS LABORATORY</t>
  </si>
  <si>
    <t>INTRO TO ENVIRONMENTAL ENG.</t>
  </si>
  <si>
    <t>PRINCIPLE OF DESIGN</t>
  </si>
  <si>
    <t>LARGE SCALE SURVEYING</t>
  </si>
  <si>
    <t>STEEL AND TIMBER DESIGN</t>
  </si>
  <si>
    <t>HYDRAULIC ENGINEERING</t>
  </si>
  <si>
    <t>FOUNDATION ENGINEERING</t>
  </si>
  <si>
    <t>ENVIRONMENTAL QUALITY ENGINEERING</t>
  </si>
  <si>
    <t>HIGHWAY ENGINEERING</t>
  </si>
  <si>
    <t>QUANTITIES AND COST ESTIMATION IN CIVIL ENGINEERING</t>
  </si>
  <si>
    <t>INTEGRATED DESIGN</t>
  </si>
  <si>
    <t>CE 378</t>
  </si>
  <si>
    <t>ROAD DESIGN AND MATERIAL EVOLOUTION LABORATORY</t>
  </si>
  <si>
    <t>CE 390</t>
  </si>
  <si>
    <t>COMPUTER APPLICATIONS IN CIVIL ENGINEERING</t>
  </si>
  <si>
    <t>STRUCTURAL DYNAMICS</t>
  </si>
  <si>
    <t>WATER RESOURCES ENGINEERING II</t>
  </si>
  <si>
    <t>CONSTRUCTION MANAGEMENT</t>
  </si>
  <si>
    <t>ENVIRONMENTAL QUALITY ENGINEERING II</t>
  </si>
  <si>
    <t>TRANSPORTATION ENGINEERING</t>
  </si>
  <si>
    <t>SYSTEM ENGINEERING II</t>
  </si>
  <si>
    <t>GROUND ENGINEERING</t>
  </si>
  <si>
    <t>FINITE ELEMENT ANALYSIS</t>
  </si>
  <si>
    <t>PHYSICAL CHEMISTRY FOR ENGINEERS</t>
  </si>
  <si>
    <t>COMMUNICATION  SKILLS II</t>
  </si>
  <si>
    <t>GENERAL PHYSICS</t>
  </si>
  <si>
    <t>STRENGTH OF MATERIALS FOR CHEMICAL ENGINEERS</t>
  </si>
  <si>
    <t>CHEMICAL PROCESS CALCULATIONS II</t>
  </si>
  <si>
    <t>CHEMICAL ENGINEERING THERMODYNAMICS II</t>
  </si>
  <si>
    <t>HEAT TRANSPORT PROCESSES</t>
  </si>
  <si>
    <t>DRAWING FOR ENGINEERS</t>
  </si>
  <si>
    <t>PRACTICAL CHEMISTRY II</t>
  </si>
  <si>
    <t>CALCULUS OF SEVERAL VARIABLES</t>
  </si>
  <si>
    <t>MATERIALS SCIENCE</t>
  </si>
  <si>
    <t>CHEMICAL REACTION ENGINEERING</t>
  </si>
  <si>
    <t>SIMULTANEOUS HEAT/MASS TRANSFER</t>
  </si>
  <si>
    <t>NUMERICAL METHODS FOR CHEMICAL ENGINEERS</t>
  </si>
  <si>
    <t>SILICATE TECHNOLOGY II</t>
  </si>
  <si>
    <t>PACKAGING TECHNOLOGY</t>
  </si>
  <si>
    <t>FOOD PROCESSING TECHNOLOGY</t>
  </si>
  <si>
    <t>INTRODUCTORY ECONOMICS II</t>
  </si>
  <si>
    <t>PROCESS CONTROL AND SIMULATION</t>
  </si>
  <si>
    <t>ENTREPRENEURSHIP AND BUSINESS DEVELOPMENT</t>
  </si>
  <si>
    <t>PULP AND PAPER TECHNOLOGY</t>
  </si>
  <si>
    <t>ENVIRONMENTAL ENG. TECHNOLOGY</t>
  </si>
  <si>
    <t>PHARMACEUTICAL TECHNOLOGY</t>
  </si>
  <si>
    <t>REFINING PROCESSES TECHNOLOGY</t>
  </si>
  <si>
    <t>ELECTRICAL ENG. DRAWING</t>
  </si>
  <si>
    <t>ELECTRICAL MACHINES</t>
  </si>
  <si>
    <t xml:space="preserve">Digital System Design II    </t>
  </si>
  <si>
    <t>CIRCUIT THEORY</t>
  </si>
  <si>
    <t>COMPUTER ENGINEERING LAB II</t>
  </si>
  <si>
    <t>COE 292</t>
  </si>
  <si>
    <t>ELECTRICAL MEASUREMENT AND INSTRUMENTATION</t>
  </si>
  <si>
    <t>FRENCH FOR COMMUNICATION</t>
  </si>
  <si>
    <t>ELECTROMAGNETIC FIELDS</t>
  </si>
  <si>
    <t>OPERATING SYSTEMS</t>
  </si>
  <si>
    <t>INTRODUCTION TO SOFTWARE ENG.</t>
  </si>
  <si>
    <t>DATABASE AND INFORMATION RETRIEVAL</t>
  </si>
  <si>
    <t>DIGITAL SYSTEMS DESIGN II</t>
  </si>
  <si>
    <t>AUTOTRONIC LAB.</t>
  </si>
  <si>
    <t>COE 392</t>
  </si>
  <si>
    <t>SOFTWARE ENGINEERING</t>
  </si>
  <si>
    <t>SECURE NETWORK SYSTEMS</t>
  </si>
  <si>
    <t>ROBOTICS AND COMPUTER VISION</t>
  </si>
  <si>
    <t>FAULT DIAGNOSIS AND FAILURE TOLERANCE</t>
  </si>
  <si>
    <t>VLSI CIRCUIT DESIGN</t>
  </si>
  <si>
    <t>Digital Control Systems</t>
  </si>
  <si>
    <t>COE 482</t>
  </si>
  <si>
    <t>Intro to Python &amp; Computer Networking</t>
  </si>
  <si>
    <t>ELECTRICAL MEASUREMENTS &amp; INSTRUMENTATION</t>
  </si>
  <si>
    <t>APPLIED THERMODYNAMICS I</t>
  </si>
  <si>
    <t>SYNCHRONOUS MACHINES</t>
  </si>
  <si>
    <t>DIGITAL SYSTEMS</t>
  </si>
  <si>
    <t>ELECTRICAL MEASUREMENTS AND INSTRUMENTATION</t>
  </si>
  <si>
    <t>ELECTRICAL ENGINEERING LAB. II</t>
  </si>
  <si>
    <t>EE 292</t>
  </si>
  <si>
    <t>COE 382,ED3-EE</t>
  </si>
  <si>
    <t>DIGITAL COMPUTER DESIGN</t>
  </si>
  <si>
    <t>HIGH VOLTAGE ENGINEERING</t>
  </si>
  <si>
    <t>SUBSTATIONS AND TRANSMISSION LINE DESIGN</t>
  </si>
  <si>
    <t>POWER ELECTRONICS</t>
  </si>
  <si>
    <t>POWER SYSTEMS ANALYSIS</t>
  </si>
  <si>
    <t>DIGITAL CONTROL SYSTEMS</t>
  </si>
  <si>
    <t>ELECTRICAL ENGINEERING LAB. III</t>
  </si>
  <si>
    <t>EE 392</t>
  </si>
  <si>
    <t>ANTENNAS AND PROPAGATION</t>
  </si>
  <si>
    <t>SWITCHING ENGINEERING IN COMMUNICATION</t>
  </si>
  <si>
    <t>DIGITAL COMMUNICATION SYSTEMS</t>
  </si>
  <si>
    <t>INDUSTRIAL AUTOMATIC CONTROL</t>
  </si>
  <si>
    <t>COE 484</t>
  </si>
  <si>
    <t>INTRODUCTION TO VLSI</t>
  </si>
  <si>
    <t>ELECTRIC DRIVES</t>
  </si>
  <si>
    <t>POWER SYSTEMS PLANNING AND OPTIMIZATION</t>
  </si>
  <si>
    <t>POWER SYSTEMS PROTECTION</t>
  </si>
  <si>
    <t>ENTREPRENEURSHIP DEVELOPMENT AND MANAGEMENT</t>
  </si>
  <si>
    <t>PRINCIPLES OF ACCOUNTING II</t>
  </si>
  <si>
    <t>BASIC MINERAL SCIENCE</t>
  </si>
  <si>
    <t>COMPUTER APPLICATIONS</t>
  </si>
  <si>
    <t>STRATIGRAPHY</t>
  </si>
  <si>
    <t>ROCK ENGINEERING</t>
  </si>
  <si>
    <t>OPTICAL MINERALOGY</t>
  </si>
  <si>
    <t>INTRODUCTION TO SOIL MECHANICS</t>
  </si>
  <si>
    <t>ANALYSIS IV</t>
  </si>
  <si>
    <t>MINING PRINCIPLES AND SYSTEMS</t>
  </si>
  <si>
    <t>PRINCIPLES OF GEOLCHEMISTRY</t>
  </si>
  <si>
    <t>PRINCIPLES OF GEOLPHYSICS</t>
  </si>
  <si>
    <t>STRUCTURAL GEOLOGY</t>
  </si>
  <si>
    <t>MINERAL ECONOMICS AND EVALUATION</t>
  </si>
  <si>
    <t>GIS APPLICATIONS</t>
  </si>
  <si>
    <t>ADVANCED ENGINEERING GEOLLOGY</t>
  </si>
  <si>
    <t>ENVIRONMENTAL GEOLLOGY</t>
  </si>
  <si>
    <t>ECONOMIC GEOLLOGY</t>
  </si>
  <si>
    <t>ENGINEERING MANAGEMENT</t>
  </si>
  <si>
    <t>PETROLEUM GEOLOGY</t>
  </si>
  <si>
    <t>GEOSTATISTICS</t>
  </si>
  <si>
    <t>GROUNDWATER DEVELOPMENT</t>
  </si>
  <si>
    <t>REPRODUCTION CARTOGRAPHY</t>
  </si>
  <si>
    <t>PRINCIPLES OF REMOTE SENSING</t>
  </si>
  <si>
    <t>ENGINEERING SURVEY II</t>
  </si>
  <si>
    <t>HYDROGRAPHIC SURVEYING AND MARINE SCIENCE</t>
  </si>
  <si>
    <t xml:space="preserve"> HIGHWAY ENGINEERING</t>
  </si>
  <si>
    <t>ACCOUNTING II</t>
  </si>
  <si>
    <t>FRENCH FOR COMMUNICATION  II</t>
  </si>
  <si>
    <t>SATELLITE SURVEYING</t>
  </si>
  <si>
    <t>PRINCIPLES OF GIS</t>
  </si>
  <si>
    <t>ANALYSIS OF ERRORS</t>
  </si>
  <si>
    <t>PLANNING THE PHYSICAL ENVIRONMENT</t>
  </si>
  <si>
    <t>PL 251/2</t>
  </si>
  <si>
    <t>DATABASE SYSTEMS</t>
  </si>
  <si>
    <t>LAND LAW AND REGISTRATION</t>
  </si>
  <si>
    <t>PRINCIPLES OF VALUATION OF LAND AND BUILDING</t>
  </si>
  <si>
    <t>PROFESSIONAL STUDIES AND DEVELOPMENT</t>
  </si>
  <si>
    <t>FIRST YEAR DESIGN PROJECT</t>
  </si>
  <si>
    <t>ENGINEERING MECHANICS I:STATICS</t>
  </si>
  <si>
    <t>INDUSTRIAL ENGINEEGING LABORATORY II</t>
  </si>
  <si>
    <t>SECOND YEAR DESIGN PROJECT</t>
  </si>
  <si>
    <t>LOGISTICS AND SUPPLY CHAIN ENGINEERING</t>
  </si>
  <si>
    <t>RELIABILITY ENGINEERING</t>
  </si>
  <si>
    <t>COMPUTER-AIDED DESIGN AND MANUFACTURING</t>
  </si>
  <si>
    <t>QUALITY ASSURANCE</t>
  </si>
  <si>
    <t>INDUSTRIAL ENGINEERING LAB III</t>
  </si>
  <si>
    <t>ADVANCED MANUFACTURING TECHNOLOGY I</t>
  </si>
  <si>
    <t>OPERATIONS RESEARCH II</t>
  </si>
  <si>
    <t>AUTOMATION AND PRODUCTION SYSTEM</t>
  </si>
  <si>
    <t>SYSTEMS INTEGRATION</t>
  </si>
  <si>
    <t xml:space="preserve">ENTREPRENEURSHIP MANAGEMENT </t>
  </si>
  <si>
    <t>MAINTENANCE ENGINEERING</t>
  </si>
  <si>
    <t>MARINE ENGINEERING DESIGN PROJECT I</t>
  </si>
  <si>
    <t>MARINE MECHANISMS, SYSTHESIS AND ANALYSIS</t>
  </si>
  <si>
    <t>MARINE ENGINEERING DESIGN PROJECT II</t>
  </si>
  <si>
    <t>SEAMANSHIP</t>
  </si>
  <si>
    <t>MARINE ENGINEERING LABORATORY I</t>
  </si>
  <si>
    <t>AQUATIC STROKES DEVELOPMENT AND REFINEMENT</t>
  </si>
  <si>
    <t>FLUID DYNAMICS II</t>
  </si>
  <si>
    <t>STRENGTH OF MARINE MATERIALS II</t>
  </si>
  <si>
    <t>NAVAL ARCHITECTURE I</t>
  </si>
  <si>
    <t>MARINE ELECTRICAL TECHNOLOGY AND ELECTRICAL MEASUREMENTS</t>
  </si>
  <si>
    <t>MARINE INDUSTRIAL ENGINEERING AND ERGONOMICS</t>
  </si>
  <si>
    <t>MARINE ENGINEERING LABORATORY III</t>
  </si>
  <si>
    <t>MARINE CONTROL ENGINEERING AND AUTOMATION</t>
  </si>
  <si>
    <t>SHIP CONSTRUCTION</t>
  </si>
  <si>
    <t>NAVAL ARCHITECTURE II</t>
  </si>
  <si>
    <t>SHIP SAFETY, ENVIRONMENTAL PROTECTION AND SAFE WATCH KEEPING</t>
  </si>
  <si>
    <t>SHIP OPERATION, REGULATION AND MANAGEMENT</t>
  </si>
  <si>
    <t>MARINE MAINTENANCE ENGINEERING</t>
  </si>
  <si>
    <t>ENVIRONMENTAL SCIENCE</t>
  </si>
  <si>
    <t>KINETICS OF CHEMICAL REACTIONS</t>
  </si>
  <si>
    <t>OPTICAL AND THERMAL BEHAVIOUR OF MATERIALS</t>
  </si>
  <si>
    <t>HEAT AND MASS TRANSPORT</t>
  </si>
  <si>
    <t>MATERIALS PROCESSING</t>
  </si>
  <si>
    <t>PHYSICAL METALLURGY OF NON-FERROUS METALS</t>
  </si>
  <si>
    <t>MSE 258</t>
  </si>
  <si>
    <t>PHASE TRANSFORMATIONS</t>
  </si>
  <si>
    <t>COMPUTER PROGRAMMING AND APPLICATION</t>
  </si>
  <si>
    <t>GLASS AND CEMENT TECHNOLOGIES</t>
  </si>
  <si>
    <t>PHYSICAL METALLURGY OF FERROUS METALS</t>
  </si>
  <si>
    <t>ENGINEERING PROPERTIES OF POLYMERS</t>
  </si>
  <si>
    <t>NUMERICAL METHODS FOR ENGINEERS</t>
  </si>
  <si>
    <t>MECHANICS OF MATERIALS</t>
  </si>
  <si>
    <t>MATERIALS JOINING PROCESSES</t>
  </si>
  <si>
    <t>MATERIALS CHARACTERIZATION LABORATORY</t>
  </si>
  <si>
    <t>THIRD YEAR DESIGN PROJECT</t>
  </si>
  <si>
    <t>MSE 396</t>
  </si>
  <si>
    <t>WASTE MANAGEMENT</t>
  </si>
  <si>
    <t>SURFACE TREATMENT OF MATERIALS</t>
  </si>
  <si>
    <t>MATERIALS QUALITY CONTROL, ASSURRANCE AND SELECTION</t>
  </si>
  <si>
    <t>PROCESS DYNAMICS AND CONTROL</t>
  </si>
  <si>
    <t>ENGINEERING MECHANICS I: STATICS</t>
  </si>
  <si>
    <t>MACHINE DESIGN PROJECT</t>
  </si>
  <si>
    <t>FLUID DYNAMICS  II</t>
  </si>
  <si>
    <t>STRENGTH OF MATERIALS II</t>
  </si>
  <si>
    <t>MACHINE ELEMENTS DESIGN II</t>
  </si>
  <si>
    <t>MECHANICAL ENGINEERING LABORATORY IV</t>
  </si>
  <si>
    <t>ME 396</t>
  </si>
  <si>
    <t>FLUID MACHINERY</t>
  </si>
  <si>
    <t>INSTRUMENTATION</t>
  </si>
  <si>
    <t>ME 476</t>
  </si>
  <si>
    <t>PRODUCTION ENGINEERING II</t>
  </si>
  <si>
    <t>MECHANICAL ENGINEERING MATERIALS III</t>
  </si>
  <si>
    <t>CHEMISTRY FOR METALLURGICAL ENGINEERS</t>
  </si>
  <si>
    <t>BASIC GEOLOGY</t>
  </si>
  <si>
    <t>METALLURGICAL RATE PROCESSES/SURFACE PHENOMENA</t>
  </si>
  <si>
    <t>ORE BENEFICIATION</t>
  </si>
  <si>
    <t>ASSAYING</t>
  </si>
  <si>
    <t>COMPUTER PROGRAMMING AND APPLICATIONS</t>
  </si>
  <si>
    <t>METE 258</t>
  </si>
  <si>
    <t>HYDROMETALLURGICAL APPLICATIONS</t>
  </si>
  <si>
    <t>METE 356</t>
  </si>
  <si>
    <t>METALLURGICAL CHARACTERIZATION LABORATORY</t>
  </si>
  <si>
    <t>METE 356,ED3-METE</t>
  </si>
  <si>
    <t>ELECTROMETALLURGY</t>
  </si>
  <si>
    <t>METALLURGICAL WASTE MANAGEMENT</t>
  </si>
  <si>
    <t>PROCESS DYNANICS AND CONTROL</t>
  </si>
  <si>
    <t>RENEWABLE ENERGY RESOURCES</t>
  </si>
  <si>
    <t>ENVIRONMENTAL IMPACT ASSESSMENT</t>
  </si>
  <si>
    <t>KINETICS AND REACTIONS ENGINEERING</t>
  </si>
  <si>
    <t>SEPARATION PROCESSES II</t>
  </si>
  <si>
    <t>PETROCHEMICAL ENGINEERING LABORATORY II</t>
  </si>
  <si>
    <t>PETROLEUM PRODUCTION ENGINEERING</t>
  </si>
  <si>
    <t>NATURAL GAS ENGINEERING</t>
  </si>
  <si>
    <t>ADSORPTION SEPARATION PROCESS TECHNOLOGY</t>
  </si>
  <si>
    <t>PETROLEUM REFINING ENGINEERING</t>
  </si>
  <si>
    <t>ED1-PETE</t>
  </si>
  <si>
    <t>INTRODUCTION TO PETROLEUM ENGINEERING</t>
  </si>
  <si>
    <t>ED2-PETE</t>
  </si>
  <si>
    <t>REGIONAL GEOLOGY</t>
  </si>
  <si>
    <t>PETROLEUM ENGINEERING THERMODYNAMICS II</t>
  </si>
  <si>
    <t>RESERVOIR FLUID PROPERTIES</t>
  </si>
  <si>
    <t>COMPUTER PROGRAMMING IN OIL AND GAS</t>
  </si>
  <si>
    <t>PRINCIPLES OF LAND SURVEYING AND HYDROGRAPHIC SCIENCE</t>
  </si>
  <si>
    <t>NUMERICAL METHODS FOR PETROLEUM ENGINEERS</t>
  </si>
  <si>
    <t>ED3-PETE</t>
  </si>
  <si>
    <t>DRILLING ENGINEERING II</t>
  </si>
  <si>
    <t>PETROLEUM ENGINEERING LAB II</t>
  </si>
  <si>
    <t>PETROLEUM PRODUCTION ENGINEERING II</t>
  </si>
  <si>
    <t>WELL TESTING</t>
  </si>
  <si>
    <t>OIL &amp; GAS GEOLPHYSICS</t>
  </si>
  <si>
    <t>HEALTH SAFETY AND ENVIRONMENT</t>
  </si>
  <si>
    <t>RESERVOIR RECOVERY TECHNIQUES</t>
  </si>
  <si>
    <t>ED4-PETE</t>
  </si>
  <si>
    <t>PETROLEUM PROJECT EVALUATION</t>
  </si>
  <si>
    <t>WELL COMPLETION AND STIMULATION</t>
  </si>
  <si>
    <t>OILFIELD GEOLCHEMISTRY</t>
  </si>
  <si>
    <t>REFINING PROCESS TECHNOLOGY</t>
  </si>
  <si>
    <t>FUNDAMENTALS OF PETROLEUM LAW</t>
  </si>
  <si>
    <t>PETROLEUM BUSINESS: STRUCTURES, LOGISTICS</t>
  </si>
  <si>
    <t>NATURAL GAS ENGINEERING II</t>
  </si>
  <si>
    <t>PIPELINE ENGINEERING</t>
  </si>
  <si>
    <t>ENERGY AND CLIMATE CHANGE</t>
  </si>
  <si>
    <t>INTRODUCTION TO PSYCHOLOGY</t>
  </si>
  <si>
    <t>ENGINEERING RESEARCH AND TECHNICAL REPORT WRITING</t>
  </si>
  <si>
    <t>INTRODUCTION TO COMMUNICATION NETWORKS</t>
  </si>
  <si>
    <t>INTRODUCTION TO PROGRAMMING - I</t>
  </si>
  <si>
    <t>FUNDAMENTALS OF DATA SCIENCE</t>
  </si>
  <si>
    <t>ELECTROMAGNETIC FIELD THEORY</t>
  </si>
  <si>
    <t>COMMUNICATION CIRCUITS</t>
  </si>
  <si>
    <t>MICROPROCESSORS</t>
  </si>
  <si>
    <t>DIGITAL ELECTRONICS AND MICROPROCESSORS LAB</t>
  </si>
  <si>
    <t>TE 292</t>
  </si>
  <si>
    <t>TELECOMMUNICATION INFRASTRUCTURE</t>
  </si>
  <si>
    <t>ENGINEERING PROJECT DESIGN AND MANAGEMENT</t>
  </si>
  <si>
    <t>DATA COMMUNICATION PRINCIPLES</t>
  </si>
  <si>
    <t>Switching Engineering In Communication</t>
  </si>
  <si>
    <t>Digital Communication Systems</t>
  </si>
  <si>
    <t xml:space="preserve">COMMUNICATION SYSTEMS LAB </t>
  </si>
  <si>
    <t>TE 392</t>
  </si>
  <si>
    <t>TELECOMMUNICATION POLICY</t>
  </si>
  <si>
    <t>TE 462</t>
  </si>
  <si>
    <t>MOBILE AND SATELLITE COMMUNICATION SYSTEM</t>
  </si>
  <si>
    <t>MICROWAVE ENGINEERING</t>
  </si>
  <si>
    <t>TE 474</t>
  </si>
  <si>
    <t>NETWORK PLANNING</t>
  </si>
  <si>
    <t>TE 484</t>
  </si>
  <si>
    <t>Introduction to Financial Accounting II</t>
  </si>
  <si>
    <t>Yeboah Edward</t>
  </si>
  <si>
    <t>Introduction To Information Technology</t>
  </si>
  <si>
    <t>Bessah Enoch</t>
  </si>
  <si>
    <t>Basic Agriculture</t>
  </si>
  <si>
    <t>Engineering Workshop Practice</t>
  </si>
  <si>
    <t>Asante Eric Amoah</t>
  </si>
  <si>
    <t>Soil Mechanics Application To Mechanisation</t>
  </si>
  <si>
    <t>Agodzo Sampson Kwaku</t>
  </si>
  <si>
    <t>Farm Power And Machinery</t>
  </si>
  <si>
    <t>Aikins Stephen Hill Mends</t>
  </si>
  <si>
    <t>Renewable Energy Systems And Management</t>
  </si>
  <si>
    <t>Kemausuor Francis</t>
  </si>
  <si>
    <t>Rural Engineering</t>
  </si>
  <si>
    <t>Mensah Ebenezer</t>
  </si>
  <si>
    <t>Research Methods For Engineers</t>
  </si>
  <si>
    <t>Amponsah William</t>
  </si>
  <si>
    <t>Soil And Water Engineering II</t>
  </si>
  <si>
    <t>Agyare Wilson Agyei</t>
  </si>
  <si>
    <t>Crop Losses And Their Control</t>
  </si>
  <si>
    <t xml:space="preserve">Darko Joseph Ofei </t>
  </si>
  <si>
    <t>Maintenance And Repairs Of Agric. Machinery</t>
  </si>
  <si>
    <t>Bobobee Emmanuel Yaovi Hunnuor</t>
  </si>
  <si>
    <t>Crop Storage And Storage Structures</t>
  </si>
  <si>
    <t>Bart Plange Ato</t>
  </si>
  <si>
    <t>Farm Machinery Design</t>
  </si>
  <si>
    <t>Aveyire Joseph</t>
  </si>
  <si>
    <t>Aerospace Design Project I</t>
  </si>
  <si>
    <t>Afriyie Nyarko Frank Kwabena</t>
  </si>
  <si>
    <t>Aerospace Structures</t>
  </si>
  <si>
    <t>Agyei Agyemang Anthony</t>
  </si>
  <si>
    <t>Aerospace Design Project II</t>
  </si>
  <si>
    <t>Andoh Prince Yaw</t>
  </si>
  <si>
    <t>Air Vehicle Stability And Control</t>
  </si>
  <si>
    <t>Eunice Akyereko Adjei</t>
  </si>
  <si>
    <t>Propulsion</t>
  </si>
  <si>
    <t>Bofah Kwasi Kete</t>
  </si>
  <si>
    <t>Aircraft Performance And Design</t>
  </si>
  <si>
    <t>Aerospace Engineering Lab II</t>
  </si>
  <si>
    <t>Oppong David Kofi</t>
  </si>
  <si>
    <t>Aerodynamics II</t>
  </si>
  <si>
    <t>Applied Meteorology</t>
  </si>
  <si>
    <t>Prince Junior Asilevi</t>
  </si>
  <si>
    <t>Aerospace Safety And Air Security</t>
  </si>
  <si>
    <t>Oppong Tawiah Peter</t>
  </si>
  <si>
    <t>Design Of Auto Machine Elements</t>
  </si>
  <si>
    <t>AutomotIVe Electrical Systems And Electronics</t>
  </si>
  <si>
    <t>Ayetor Godwin Kafui Kwesi</t>
  </si>
  <si>
    <t>Automobile Engineering Laboratory II</t>
  </si>
  <si>
    <t>Land Vehicle Structures</t>
  </si>
  <si>
    <t>Vibrations For Automobile Engineers</t>
  </si>
  <si>
    <t>Adam Faisal Wahib</t>
  </si>
  <si>
    <t>Automotive Spark-Ignition Engines</t>
  </si>
  <si>
    <t>Abu Frimpong Solomon</t>
  </si>
  <si>
    <t>Automotive Chassis</t>
  </si>
  <si>
    <t>Manual Power Train</t>
  </si>
  <si>
    <t>Industrial Engineering And Ergonomics</t>
  </si>
  <si>
    <t>Mensah Lena Dzifa</t>
  </si>
  <si>
    <t>Automobile Engineering Laboratory IV</t>
  </si>
  <si>
    <t>Microprocessors and Mechatronics Applications</t>
  </si>
  <si>
    <t>Sackey Samuel Mensah</t>
  </si>
  <si>
    <t>Modern Automobile Technology</t>
  </si>
  <si>
    <t>Special Vehicle Design</t>
  </si>
  <si>
    <t>Vehicle Maintenance And Regulation</t>
  </si>
  <si>
    <t>Introduction To Lighting And Acoustics</t>
  </si>
  <si>
    <t>Amos-Abanyie Samuel</t>
  </si>
  <si>
    <t>Biomedical Engineering Design II</t>
  </si>
  <si>
    <t>Addo Daniel Akwei</t>
  </si>
  <si>
    <t>Anatomy And Physiology For Engineers II</t>
  </si>
  <si>
    <t>Agyapong Dorothy Araba Yakoba</t>
  </si>
  <si>
    <t>Chemical Pathology</t>
  </si>
  <si>
    <t>Sakyi Samuel Asamoah</t>
  </si>
  <si>
    <t>Biomaterials I</t>
  </si>
  <si>
    <t>Odame Prince</t>
  </si>
  <si>
    <t>Medical Imaging I</t>
  </si>
  <si>
    <t>Kotei Addison Eric Clement</t>
  </si>
  <si>
    <t>Biosignal Processes And Analysis</t>
  </si>
  <si>
    <t>Adjei Prince Ebenezer</t>
  </si>
  <si>
    <t>Bioinstrumentation I</t>
  </si>
  <si>
    <t>Acquah Isaac</t>
  </si>
  <si>
    <t>Biomedical Optics</t>
  </si>
  <si>
    <t>Medical Device Regulation</t>
  </si>
  <si>
    <t>Biomechanics II</t>
  </si>
  <si>
    <t>Properties Of CIVil Engineering Material</t>
  </si>
  <si>
    <t>Sossou Gnida</t>
  </si>
  <si>
    <t>Elementary Fluids Mechanics</t>
  </si>
  <si>
    <t>Gyamfi Charles</t>
  </si>
  <si>
    <t>CIVil Engineering Drawing</t>
  </si>
  <si>
    <t>Osei Jack Banahene</t>
  </si>
  <si>
    <t>Fluid Mechanics</t>
  </si>
  <si>
    <t>Anornu Geophrey Kwame</t>
  </si>
  <si>
    <t>Structural Analysis</t>
  </si>
  <si>
    <t>Kankam Charles Kwame</t>
  </si>
  <si>
    <t>Soil And Rock Mechanics</t>
  </si>
  <si>
    <t>Charkley Frederick Nai</t>
  </si>
  <si>
    <t>Owusu-Nimo Frederick</t>
  </si>
  <si>
    <t>Soil And Rocks Mechanics Laboratory</t>
  </si>
  <si>
    <t>Dzikunu-Bansah Nancy Anataba Kyorku</t>
  </si>
  <si>
    <t>Intro To Environmental Eng.</t>
  </si>
  <si>
    <t>Essandoh Helen Michelle Korkor</t>
  </si>
  <si>
    <t>Principle Of Design</t>
  </si>
  <si>
    <t>Ayeh Felix Jojo Fianko</t>
  </si>
  <si>
    <t>Steel And Timber Design</t>
  </si>
  <si>
    <t>M. Adom-Asamoah</t>
  </si>
  <si>
    <t>Hydraulic Engineering</t>
  </si>
  <si>
    <t xml:space="preserve">Adjei Kwaku Amaning </t>
  </si>
  <si>
    <t>Foundation Engineering</t>
  </si>
  <si>
    <t>Acquaah Vincent Kofi Abaka</t>
  </si>
  <si>
    <t>Environmental Quality Engineering</t>
  </si>
  <si>
    <t>K.B. Nyarko</t>
  </si>
  <si>
    <t>Highway Engineering</t>
  </si>
  <si>
    <t>Tutu Kenneth Adomako</t>
  </si>
  <si>
    <t>Transportation And Highway II</t>
  </si>
  <si>
    <t>Ababio-Donkor Augustus</t>
  </si>
  <si>
    <t>Quantities And Cost Estimation In CIVil Engineering</t>
  </si>
  <si>
    <t>Integrated Design</t>
  </si>
  <si>
    <t>Road Design And Material Evoloution Laboratory</t>
  </si>
  <si>
    <t>Structural Dynamics</t>
  </si>
  <si>
    <t>Computer Applications in Civil Engineering</t>
  </si>
  <si>
    <t>E. Amponsah</t>
  </si>
  <si>
    <t>Water Resources Engineering II</t>
  </si>
  <si>
    <t>Construction Management</t>
  </si>
  <si>
    <t>Obeng Daniel Atuah</t>
  </si>
  <si>
    <t>Environmental Quality Engineering II</t>
  </si>
  <si>
    <t>Appiah-Effah Eugene</t>
  </si>
  <si>
    <t>Transportation Engineering</t>
  </si>
  <si>
    <t>Tuffour Yaw Adubofour</t>
  </si>
  <si>
    <t>System Engineering II</t>
  </si>
  <si>
    <t>Ground Engineering</t>
  </si>
  <si>
    <t>S. I. K. Ampadu</t>
  </si>
  <si>
    <t>Finite Element Analysis</t>
  </si>
  <si>
    <t>J. Owusu Twumasi</t>
  </si>
  <si>
    <t>Physical Chemistry For Engineers</t>
  </si>
  <si>
    <t>Afotey Benjamin</t>
  </si>
  <si>
    <t>Boakye Patrick</t>
  </si>
  <si>
    <t>Bonsu Jude Kwaku</t>
  </si>
  <si>
    <t>Strength Of Materials For Chemical Engineers</t>
  </si>
  <si>
    <t>Anang Daniel Adjah</t>
  </si>
  <si>
    <t>Baidoo Martina Francisca</t>
  </si>
  <si>
    <t>Chemical Process Calculations II</t>
  </si>
  <si>
    <t>Rockson Mizpah Ama Dziedzorm</t>
  </si>
  <si>
    <t>Ohemeng-Boahen Godfred</t>
  </si>
  <si>
    <t>Chemical Engineering Thermodynamics II</t>
  </si>
  <si>
    <t>E. Dogbe</t>
  </si>
  <si>
    <t>Heat Transport Processes</t>
  </si>
  <si>
    <t>Momade Zsuzsanna Gál</t>
  </si>
  <si>
    <t>Drawing For Engineers</t>
  </si>
  <si>
    <t>Darkwah Lawrence</t>
  </si>
  <si>
    <t>Materials Science</t>
  </si>
  <si>
    <t>Asiedu Nana Yaw</t>
  </si>
  <si>
    <t>Chemical Reaction Engineering</t>
  </si>
  <si>
    <t>Simultaneous Heat/Mass Transfer</t>
  </si>
  <si>
    <t>Dogbe Eunice Sefakor Aku</t>
  </si>
  <si>
    <t>Numerical Methods For Chemical Engineers</t>
  </si>
  <si>
    <t>Mensah Mary</t>
  </si>
  <si>
    <t>Silicate Technology II</t>
  </si>
  <si>
    <t>Packaging Technology</t>
  </si>
  <si>
    <t>Baah-Ennumh Emmanuel Kwaku</t>
  </si>
  <si>
    <t>Renewable Energy Resources</t>
  </si>
  <si>
    <t>Food Processing Technology</t>
  </si>
  <si>
    <t>Environmental Impact Assessment</t>
  </si>
  <si>
    <t>Process Control And Simulation</t>
  </si>
  <si>
    <t>Entrepreneurship And Business Development</t>
  </si>
  <si>
    <t>Asamoah Boateng Kenneth</t>
  </si>
  <si>
    <t>Adsorption Separation Process Technology</t>
  </si>
  <si>
    <t>Pulp And Paper Technology</t>
  </si>
  <si>
    <t>Environmental Eng. Technology</t>
  </si>
  <si>
    <t>Pharmaceutical Technology</t>
  </si>
  <si>
    <t>Johnson Raphael</t>
  </si>
  <si>
    <t>Practical Chemistry II</t>
  </si>
  <si>
    <t>Opoku Francis</t>
  </si>
  <si>
    <t>Basic Electronics</t>
  </si>
  <si>
    <t>K. O. Amoabeng</t>
  </si>
  <si>
    <t xml:space="preserve">Digital System Design II      </t>
  </si>
  <si>
    <t>Obeng Kwakye Kingsford Sarkodie</t>
  </si>
  <si>
    <t>Cell Biology</t>
  </si>
  <si>
    <t>P. Adjei</t>
  </si>
  <si>
    <t>Biochemistry</t>
  </si>
  <si>
    <t>Charles Apprey</t>
  </si>
  <si>
    <t>Klogo Griffith Selorm</t>
  </si>
  <si>
    <t>J. Okae</t>
  </si>
  <si>
    <t>C. M. Adrah</t>
  </si>
  <si>
    <t>Object-Oriented Programming</t>
  </si>
  <si>
    <t>Adjaidoo Theresa-Samuelle Maame Atwemaah</t>
  </si>
  <si>
    <t>Digital Systems Design I</t>
  </si>
  <si>
    <t>Nunoo-Mensah Henry</t>
  </si>
  <si>
    <t>Circuit Theory</t>
  </si>
  <si>
    <t>Yeboah-Akowuah Bright</t>
  </si>
  <si>
    <t>Computer Engineering Lab II</t>
  </si>
  <si>
    <t>Kommey Benjamin</t>
  </si>
  <si>
    <t>Operating Systems</t>
  </si>
  <si>
    <t xml:space="preserve">Software Engineering I             </t>
  </si>
  <si>
    <t>Embedded Systems</t>
  </si>
  <si>
    <t>Database And Information Retrieval</t>
  </si>
  <si>
    <t>Keelson Eliel</t>
  </si>
  <si>
    <t>Digital Systems Design II</t>
  </si>
  <si>
    <t>Boateng Kwame Osei</t>
  </si>
  <si>
    <t>Digital Computer Design</t>
  </si>
  <si>
    <t>Autotronic Lab.</t>
  </si>
  <si>
    <t>Software Engineering</t>
  </si>
  <si>
    <t>Secure Network Systems</t>
  </si>
  <si>
    <t>Tchao Eric Tutu</t>
  </si>
  <si>
    <t>Robotics And Computer Vision</t>
  </si>
  <si>
    <t>Digital Signal Processing</t>
  </si>
  <si>
    <t>Akowuah Emmanuel Kofi</t>
  </si>
  <si>
    <t>Fault Diagnosis And Failure Tolerance</t>
  </si>
  <si>
    <t>Agbemenu Andrew Selasi</t>
  </si>
  <si>
    <t>Industrial Automatic Control</t>
  </si>
  <si>
    <t>Opoku Daniel</t>
  </si>
  <si>
    <t>VLSI Circuit Design</t>
  </si>
  <si>
    <t>Introduction To VLSI</t>
  </si>
  <si>
    <t>J. B. Dramani</t>
  </si>
  <si>
    <t>B. Sarpong-Danquah</t>
  </si>
  <si>
    <t>Elements Of Economics II</t>
  </si>
  <si>
    <t>M. H. Yussif</t>
  </si>
  <si>
    <t>Introductory Economics II</t>
  </si>
  <si>
    <t>Takyi Paul Owusu</t>
  </si>
  <si>
    <t>Introduction To Economics II</t>
  </si>
  <si>
    <t>B. Sarpong- Danquah</t>
  </si>
  <si>
    <t>E. Yeboah</t>
  </si>
  <si>
    <t>N. K. Prah II</t>
  </si>
  <si>
    <t>Kwegyir Daniel</t>
  </si>
  <si>
    <t>Y. O. M. Sekyere</t>
  </si>
  <si>
    <t>Y. O. M Sekyere</t>
  </si>
  <si>
    <t>Environmental Science</t>
  </si>
  <si>
    <t>M. Appiah-Brimpong</t>
  </si>
  <si>
    <t>Affum Emmanuel Ampoma</t>
  </si>
  <si>
    <t>Electrical Eng. Drawing</t>
  </si>
  <si>
    <t>Twumasi Elvis</t>
  </si>
  <si>
    <t>Electrical Machines</t>
  </si>
  <si>
    <t>Electrical Measurement And Instrumentation</t>
  </si>
  <si>
    <t>Electrical Engineering Machines</t>
  </si>
  <si>
    <t>Synchronous Machines</t>
  </si>
  <si>
    <t>Asigri Peter</t>
  </si>
  <si>
    <t>Digital Systems</t>
  </si>
  <si>
    <t>Electrical Measurements And Instrumentation</t>
  </si>
  <si>
    <t>Electrical Engineering Lab. II</t>
  </si>
  <si>
    <t>Frimpong Emmanuel Asuming</t>
  </si>
  <si>
    <t>High Voltage Engineering</t>
  </si>
  <si>
    <t>Substations And Transmission Line Design</t>
  </si>
  <si>
    <t>Antoh Emmanuel Kwaku</t>
  </si>
  <si>
    <t>Power Electronics</t>
  </si>
  <si>
    <t>Effah Francis Boafo</t>
  </si>
  <si>
    <t>Power Systems Analysis</t>
  </si>
  <si>
    <t>Electrical Engineering Lab. III</t>
  </si>
  <si>
    <t>E. K. Anto</t>
  </si>
  <si>
    <t>Electric Drives</t>
  </si>
  <si>
    <t>Power Systems Planning And Optimization</t>
  </si>
  <si>
    <t>Power Systems Protection</t>
  </si>
  <si>
    <t>Kponyo Jerry John</t>
  </si>
  <si>
    <t>Communication Skills II</t>
  </si>
  <si>
    <t>Yeboah Philomena Ama Okyeso</t>
  </si>
  <si>
    <t>Sarfo-Adu Kwasi</t>
  </si>
  <si>
    <t>Z. Osei</t>
  </si>
  <si>
    <t>P.G. Asamoah</t>
  </si>
  <si>
    <t>B. Ampong</t>
  </si>
  <si>
    <t>Alhassan Yakubu</t>
  </si>
  <si>
    <t>Literature In English II</t>
  </si>
  <si>
    <t>French For Communication II</t>
  </si>
  <si>
    <t>Pharis Jeel Darko</t>
  </si>
  <si>
    <t>Boakye-Agyeman Candy</t>
  </si>
  <si>
    <t>Alexander Ocloo</t>
  </si>
  <si>
    <t>French For Communication  II</t>
  </si>
  <si>
    <t>Reproduction Cartography</t>
  </si>
  <si>
    <t>Quaye-Ballard Jonathan Arthur</t>
  </si>
  <si>
    <t>T. Tienaah</t>
  </si>
  <si>
    <t>Large Scale Surveying</t>
  </si>
  <si>
    <t>Ayer John Wise Divine</t>
  </si>
  <si>
    <t>Principles Of Remote Sensing</t>
  </si>
  <si>
    <t>Y. M. Asare</t>
  </si>
  <si>
    <t>Engineering Survey II</t>
  </si>
  <si>
    <t>Arko-Adjei Anthony</t>
  </si>
  <si>
    <t>Dadzie Isaac</t>
  </si>
  <si>
    <t xml:space="preserve">Hydrographic Surveying </t>
  </si>
  <si>
    <t>Asante Cosmas Yaw</t>
  </si>
  <si>
    <t>Principles Of Surveying</t>
  </si>
  <si>
    <t>A. Acheampong</t>
  </si>
  <si>
    <t>Satellite Surveying</t>
  </si>
  <si>
    <t>Andam-Akorful Samuel Ato</t>
  </si>
  <si>
    <t>Principles Of Gis</t>
  </si>
  <si>
    <t>Forkuo Eric Kwabena</t>
  </si>
  <si>
    <t>Analysis Of Errors</t>
  </si>
  <si>
    <t>C. Fosu</t>
  </si>
  <si>
    <t>Database Systems</t>
  </si>
  <si>
    <t>Land Law And Registration</t>
  </si>
  <si>
    <t>Principles Of Valuation Of Land And Building</t>
  </si>
  <si>
    <t>Ayitey Jonathan</t>
  </si>
  <si>
    <t>Professional Studies And Development</t>
  </si>
  <si>
    <t>Akrofi Emmanuel Offei</t>
  </si>
  <si>
    <t>Basic Mineral Science</t>
  </si>
  <si>
    <t>Appiah-Adjei Emmanuel Kwame</t>
  </si>
  <si>
    <t>Computer Applications</t>
  </si>
  <si>
    <t>A. K. Kwaw</t>
  </si>
  <si>
    <t>Stratigraphy</t>
  </si>
  <si>
    <t>Amedjoe Godfrey Chiri</t>
  </si>
  <si>
    <t>Rock Engineering</t>
  </si>
  <si>
    <t>Gidigasu Solomon Senyo Robert</t>
  </si>
  <si>
    <t>Optical Mineralogy</t>
  </si>
  <si>
    <t>Wilson Matthew Coffie / Blestmond Afrifa Brako</t>
  </si>
  <si>
    <t>Introduction To Soil Mechanics</t>
  </si>
  <si>
    <t>Amenuvor Andrew Cudzo</t>
  </si>
  <si>
    <t>Mining Principles</t>
  </si>
  <si>
    <t>Owusu-Sarpong Seth</t>
  </si>
  <si>
    <t>Principles Of Geochemistry</t>
  </si>
  <si>
    <t>Gawu Simon Kafui Yawo</t>
  </si>
  <si>
    <t>Principles Of Geophysics</t>
  </si>
  <si>
    <t>Bukari Ali</t>
  </si>
  <si>
    <t>Structural Geology</t>
  </si>
  <si>
    <t>Wilson Matthew Coffie</t>
  </si>
  <si>
    <t>Mineral Economics And Evaluation</t>
  </si>
  <si>
    <t>Foli Gordon</t>
  </si>
  <si>
    <t>Gis Applications</t>
  </si>
  <si>
    <t>Advanced Engineering Geology</t>
  </si>
  <si>
    <t>Environmental Geology</t>
  </si>
  <si>
    <t>Economic Geology</t>
  </si>
  <si>
    <t>Mensah Emmanuel</t>
  </si>
  <si>
    <t>Engineering Management</t>
  </si>
  <si>
    <t>Takyi Gabriel</t>
  </si>
  <si>
    <t>Petroleum Geology</t>
  </si>
  <si>
    <t>Geostatistics</t>
  </si>
  <si>
    <t>Nuamah Daniel Oduro Boatey</t>
  </si>
  <si>
    <t>Groundwater Development</t>
  </si>
  <si>
    <t>Ali Bukari</t>
  </si>
  <si>
    <t>First Year Design Project</t>
  </si>
  <si>
    <t>Second Year Design Project</t>
  </si>
  <si>
    <t>Industrial Engineeging Laboratory II</t>
  </si>
  <si>
    <t>Fiagbe Yesuenyeagbe Atsu Kwabla</t>
  </si>
  <si>
    <t>Logistics And Supply Chain Engineering</t>
  </si>
  <si>
    <t>Kesse Martin Appiah</t>
  </si>
  <si>
    <t>Reliability Engineering</t>
  </si>
  <si>
    <t>Computer-Aided Design And Manufacturing</t>
  </si>
  <si>
    <t>Quality Assurance</t>
  </si>
  <si>
    <t>Industrial Engineering Lab III</t>
  </si>
  <si>
    <t>Advanced Manufacturing Technology I</t>
  </si>
  <si>
    <t>Operations Research II</t>
  </si>
  <si>
    <t>Automation And Production System</t>
  </si>
  <si>
    <t>Production Planning And Control</t>
  </si>
  <si>
    <t>Dzebre Denis Edem Kwame</t>
  </si>
  <si>
    <t>Systems Integration</t>
  </si>
  <si>
    <t>Tay Godwin Fabiola Kwaku</t>
  </si>
  <si>
    <t>Human Factors And Ergonomics</t>
  </si>
  <si>
    <t>Calculus With Analysis</t>
  </si>
  <si>
    <t>Ezearn Jeffery</t>
  </si>
  <si>
    <t>Asamoah Joshua Kiddy Kwasi</t>
  </si>
  <si>
    <t>I. Azure</t>
  </si>
  <si>
    <t>Calculus With Several Variables</t>
  </si>
  <si>
    <t>Ayekple Yao Elikem</t>
  </si>
  <si>
    <t>Kwabi Prince Amponsah</t>
  </si>
  <si>
    <t>E. Abekah</t>
  </si>
  <si>
    <t>Wireko Fredrick Asenso</t>
  </si>
  <si>
    <t>Analysis IV</t>
  </si>
  <si>
    <t>Eghan Rhydal Esi</t>
  </si>
  <si>
    <t>Calculus Of Several Variables</t>
  </si>
  <si>
    <t>Isaac Addae</t>
  </si>
  <si>
    <t>Emmanuel Mensah</t>
  </si>
  <si>
    <t>E. BONYA</t>
  </si>
  <si>
    <t>Boateng Maxwell Akwasi</t>
  </si>
  <si>
    <t>R. N. Borkor</t>
  </si>
  <si>
    <t>Engineering Graphics</t>
  </si>
  <si>
    <t>Sackey Michael Nii</t>
  </si>
  <si>
    <t>Engineering Drawing</t>
  </si>
  <si>
    <t>Sekyere Charles Kofi Kafui</t>
  </si>
  <si>
    <t>P. O. Tawiah</t>
  </si>
  <si>
    <t>Quansah David Ato</t>
  </si>
  <si>
    <t>Boahen Samuel</t>
  </si>
  <si>
    <t>Engineering Mechanics I:Statics</t>
  </si>
  <si>
    <t>Samuel Boahen</t>
  </si>
  <si>
    <t>Statics Of Solid Mechanics</t>
  </si>
  <si>
    <t>Amoabeng Kofi Owura</t>
  </si>
  <si>
    <t xml:space="preserve">Engineering Mechanics I: Statics </t>
  </si>
  <si>
    <t>Applied Thermodynamics I</t>
  </si>
  <si>
    <t>Computer Programming For Engineers</t>
  </si>
  <si>
    <t xml:space="preserve">Product Design And Manufacturing </t>
  </si>
  <si>
    <t>Fluid Dynamics I</t>
  </si>
  <si>
    <t>Computer-Aided Design And Modelling</t>
  </si>
  <si>
    <t>Theory Of Machines</t>
  </si>
  <si>
    <t>Mechanisms Synthesis And Analysis I</t>
  </si>
  <si>
    <t>Ampofo Joshua</t>
  </si>
  <si>
    <t>Thermodynamics I</t>
  </si>
  <si>
    <t>Manufacturing Technology</t>
  </si>
  <si>
    <t>Francis Davis</t>
  </si>
  <si>
    <t xml:space="preserve">Machine Design Project </t>
  </si>
  <si>
    <t>Mechanical Engineering Materials II</t>
  </si>
  <si>
    <t>Arthur Emmanuel Kwesi</t>
  </si>
  <si>
    <t>Mechanical Engineering Lab. II</t>
  </si>
  <si>
    <t>Fluid Dynamics II</t>
  </si>
  <si>
    <t>Fluid Dynamics  II</t>
  </si>
  <si>
    <t>Strength Of Materials II</t>
  </si>
  <si>
    <t>Vibrations I</t>
  </si>
  <si>
    <t>Heat Transfer</t>
  </si>
  <si>
    <t>Forson Francis Kofi</t>
  </si>
  <si>
    <t>Machine Design II</t>
  </si>
  <si>
    <t>Machine Elements Design II</t>
  </si>
  <si>
    <t>Introduction To Cad/Cam</t>
  </si>
  <si>
    <t>Microprocessors And Mechatronics Applications</t>
  </si>
  <si>
    <t>Sackey Michael NII</t>
  </si>
  <si>
    <t xml:space="preserve">Industrial Engineering And Ergonomics </t>
  </si>
  <si>
    <t>Mechanical Engineering Laboratory IV</t>
  </si>
  <si>
    <t>Fluid Machinery</t>
  </si>
  <si>
    <t>Opoku Richard</t>
  </si>
  <si>
    <t>Special Vehicle Design (AME 482)</t>
  </si>
  <si>
    <t>G. K. K. Ayetor</t>
  </si>
  <si>
    <t>Introduction To Finite Element</t>
  </si>
  <si>
    <t>Finite Element Methods</t>
  </si>
  <si>
    <t>Mechanisms Synthesis And Analysis II</t>
  </si>
  <si>
    <t>D. K. Oppong</t>
  </si>
  <si>
    <t>Instrumentation</t>
  </si>
  <si>
    <t>Internal Combustion Engines</t>
  </si>
  <si>
    <t>Machine Shop And Factory Design</t>
  </si>
  <si>
    <t>Obeng George Yaw</t>
  </si>
  <si>
    <t>Production Engineering II</t>
  </si>
  <si>
    <t>Mechanical Engineering Materials III</t>
  </si>
  <si>
    <t>Management And Entrepreneurship Development</t>
  </si>
  <si>
    <t>Entrepreneurship Development</t>
  </si>
  <si>
    <t>Entrepreneurship Development And Management</t>
  </si>
  <si>
    <t>Asiedu Charlotte</t>
  </si>
  <si>
    <t xml:space="preserve">Maintenance Engineering </t>
  </si>
  <si>
    <t>Maintenance Engineering</t>
  </si>
  <si>
    <t>Chemistry For Metallurgical Engineers</t>
  </si>
  <si>
    <t>Agyemang Frank Ofori</t>
  </si>
  <si>
    <t>Richard Buamah</t>
  </si>
  <si>
    <t>Metallurgical Rate Processes/Surface Phenomena</t>
  </si>
  <si>
    <t>Gikunoo Emmanuel</t>
  </si>
  <si>
    <t>Ore Beneficiation</t>
  </si>
  <si>
    <t>Koomson Bennetta</t>
  </si>
  <si>
    <t>Assaying</t>
  </si>
  <si>
    <t>Computer Programming And Applications</t>
  </si>
  <si>
    <t>Mensah-Darkwa Kwadwo</t>
  </si>
  <si>
    <t>Hydrometallurgical Applications</t>
  </si>
  <si>
    <t>Agbe Henry</t>
  </si>
  <si>
    <t>Physical Metallurgy Of Non-Ferrous Metals</t>
  </si>
  <si>
    <t>Emmanuel Kwesi Arthur</t>
  </si>
  <si>
    <t>Third Year Design Project</t>
  </si>
  <si>
    <t>Bota Osei Sekyere</t>
  </si>
  <si>
    <t>Metallurgical Characterization Laboratory</t>
  </si>
  <si>
    <t>Physical Metallurgy Of Ferrous Metals</t>
  </si>
  <si>
    <t>Kwofie Samuel</t>
  </si>
  <si>
    <t>Electrometallurgy</t>
  </si>
  <si>
    <t>Marine Engineering Design Project I</t>
  </si>
  <si>
    <t>Marine Mechanisms, Systhesis And Analysis</t>
  </si>
  <si>
    <t>Marine Engineering Design Project II</t>
  </si>
  <si>
    <t>Seamanship</t>
  </si>
  <si>
    <t>Larkai Francis Laako</t>
  </si>
  <si>
    <t>Marine Engineering Laboratory II</t>
  </si>
  <si>
    <t>Strength Of Marine Materials II</t>
  </si>
  <si>
    <t>Naval Architecture I</t>
  </si>
  <si>
    <t>Kudzedzi Emmanuel Yaw Mawuko</t>
  </si>
  <si>
    <t>Marine Electrical Technology And Electrical Measurements</t>
  </si>
  <si>
    <t>Marine Industrial Engineering And Ergonomics</t>
  </si>
  <si>
    <t>Marine Engineering Laboratory III</t>
  </si>
  <si>
    <t>Marine Control Engineering And Automation</t>
  </si>
  <si>
    <t>Adjei Eunice Akyereko</t>
  </si>
  <si>
    <t>Ship Construction</t>
  </si>
  <si>
    <t>Naval Architecture II</t>
  </si>
  <si>
    <t>Ship Safety, Environmental Protection And Safe Watch Keeping</t>
  </si>
  <si>
    <t>Ship Operation, Regulation And Management</t>
  </si>
  <si>
    <t>Marine Maintenance Engineering</t>
  </si>
  <si>
    <t>Kinetics Of Chemical Reactions</t>
  </si>
  <si>
    <t>Optical and Thermal Behaviour of Materials</t>
  </si>
  <si>
    <t>Nartey Martinson Addo</t>
  </si>
  <si>
    <t>Introductory Geology</t>
  </si>
  <si>
    <t>Gawu Simon Kafui Yawo/Blestmond Afrifa Brako</t>
  </si>
  <si>
    <t>Heat And Mass Transport</t>
  </si>
  <si>
    <t>Materials Processing</t>
  </si>
  <si>
    <t>Asare Eric Kwame Anokye</t>
  </si>
  <si>
    <t>Phase Transformations</t>
  </si>
  <si>
    <t>Computer Programming And Application</t>
  </si>
  <si>
    <t>Glass And Cement Technologies</t>
  </si>
  <si>
    <t>Andrews Anthony</t>
  </si>
  <si>
    <t>Engineering Properties Of Polymers</t>
  </si>
  <si>
    <t>Numerical Methods For Engineers</t>
  </si>
  <si>
    <t>Mechanics Of Materials</t>
  </si>
  <si>
    <t>Materials Joining Processes</t>
  </si>
  <si>
    <t>Materials Characterization Laboratory</t>
  </si>
  <si>
    <t>Waste Management</t>
  </si>
  <si>
    <t>Metallurgical waste Management</t>
  </si>
  <si>
    <t>Surface Treatment Of Materials</t>
  </si>
  <si>
    <t>Materials Quality Control, Assurrance And Selection</t>
  </si>
  <si>
    <t>Process Dynamics And Control</t>
  </si>
  <si>
    <t>Adjaottor Albert Amatey</t>
  </si>
  <si>
    <t>Process Dynanics And Control</t>
  </si>
  <si>
    <t>Kinetics And Reactions Engineering</t>
  </si>
  <si>
    <t>Separation Processes II</t>
  </si>
  <si>
    <t>Petrochemical Engineering Laboratory II</t>
  </si>
  <si>
    <t>Petroleum Refining Engineering</t>
  </si>
  <si>
    <t>Kwao-Boateng Emmanuela</t>
  </si>
  <si>
    <t>Refining Processes Technology</t>
  </si>
  <si>
    <t>Introduction To Petroleum Engineering</t>
  </si>
  <si>
    <t>Erzuah Samuel</t>
  </si>
  <si>
    <t>Adjei Stephen</t>
  </si>
  <si>
    <t>Jones Twumasi</t>
  </si>
  <si>
    <t>Regional Geology</t>
  </si>
  <si>
    <t>Quaye Jonathan Atuquaye</t>
  </si>
  <si>
    <t>Petroleum Engineering Thermodynamics II</t>
  </si>
  <si>
    <t>Sokama-Neuyam Yen Adams</t>
  </si>
  <si>
    <t>Reservoir Fluid Properties</t>
  </si>
  <si>
    <t>Computer Programming In Oil And Gas</t>
  </si>
  <si>
    <t>Principles Of Land Surveying And Hydrographic Science</t>
  </si>
  <si>
    <t>Numerical Methods For Petroleum Engineers</t>
  </si>
  <si>
    <t>Borkloe Julius Kwame</t>
  </si>
  <si>
    <t>Drilling Engineering II</t>
  </si>
  <si>
    <t>Petroleum Engineering Lab II</t>
  </si>
  <si>
    <t>Petroleum Production Engineering II</t>
  </si>
  <si>
    <t>Sarkodie Kwame</t>
  </si>
  <si>
    <t>Well Testing</t>
  </si>
  <si>
    <t>Adenutsi Caspar Daniel</t>
  </si>
  <si>
    <t>D. O. B. Nuamah</t>
  </si>
  <si>
    <t>Oil &amp; Gas Geophysics</t>
  </si>
  <si>
    <t>Health Safety And Environment</t>
  </si>
  <si>
    <t>Reservoir Recovery Techniques</t>
  </si>
  <si>
    <t>Petroleum Project Evaluation</t>
  </si>
  <si>
    <t>Well Completion And Stimulation</t>
  </si>
  <si>
    <t>Oilfield Geochemistry</t>
  </si>
  <si>
    <t>Refining Process Technology</t>
  </si>
  <si>
    <t>Fundamentals Of Petroleum Law</t>
  </si>
  <si>
    <t>Amoah Enoch Kwabena</t>
  </si>
  <si>
    <t>Petroleum Business: Structures, Logistics</t>
  </si>
  <si>
    <t>Natural Gas Engineering II</t>
  </si>
  <si>
    <t>Pipeline Engineering</t>
  </si>
  <si>
    <t>Energy And Climate Change</t>
  </si>
  <si>
    <t>Petroleum Production Engineering</t>
  </si>
  <si>
    <t>Ankudey Emmanuel Godwin</t>
  </si>
  <si>
    <t>Natural Gas Engineering</t>
  </si>
  <si>
    <t>Properties Of Matter</t>
  </si>
  <si>
    <t>R. M. Noye</t>
  </si>
  <si>
    <t>General Physics</t>
  </si>
  <si>
    <t>Abavare Eric Kwabena Kyeh</t>
  </si>
  <si>
    <t>Boateng Cyril Dziedzorm</t>
  </si>
  <si>
    <t>Planning The Physical Environment</t>
  </si>
  <si>
    <t>Aboagye Prince Anokye</t>
  </si>
  <si>
    <t>Introduction To Psychology</t>
  </si>
  <si>
    <t>Sarfo Fordjour Elizabeth Anokyewaa</t>
  </si>
  <si>
    <t>Aquatic Strokes Development And Refinement</t>
  </si>
  <si>
    <t>Afrifa Daniel</t>
  </si>
  <si>
    <t>Introduction To Sociology II</t>
  </si>
  <si>
    <t>J. Opoku-Ware</t>
  </si>
  <si>
    <t>Engineering Research And Technical Report Writing</t>
  </si>
  <si>
    <t>Acheampong Francisca Adoma</t>
  </si>
  <si>
    <t>Introduction To Communication Networks</t>
  </si>
  <si>
    <t>Agyemang Justice Owusu</t>
  </si>
  <si>
    <t>Introduction To Programming - I</t>
  </si>
  <si>
    <t>Electromagnetic Field Theory</t>
  </si>
  <si>
    <t>Ellis Sani Mubarak</t>
  </si>
  <si>
    <t>Microprocessors</t>
  </si>
  <si>
    <t>Fundamentals of Data Science</t>
  </si>
  <si>
    <t>Kwame Oteng Gyasi</t>
  </si>
  <si>
    <t xml:space="preserve">Digital Electronics &amp; Microprocessor Lab </t>
  </si>
  <si>
    <t>Obour Agyekum Kwame Opuni-Boachie</t>
  </si>
  <si>
    <t>Electromagnetic Fields</t>
  </si>
  <si>
    <t>COMPUTER NETWORKING</t>
  </si>
  <si>
    <t>K. A.-B. Opare</t>
  </si>
  <si>
    <t>Communication Circuits</t>
  </si>
  <si>
    <t>Abdul-Rahman Ahmed</t>
  </si>
  <si>
    <t>Agyekum Kwame Agyeman-Prempeh</t>
  </si>
  <si>
    <t>ANTENNA THEORY AND DESIGN</t>
  </si>
  <si>
    <t>Antennas And Propagation</t>
  </si>
  <si>
    <t>Data Communication Principles</t>
  </si>
  <si>
    <t>Gadze James Dzisi</t>
  </si>
  <si>
    <t>Adrah Charles Mawutor</t>
  </si>
  <si>
    <t>Telecommunication Lab IV</t>
  </si>
  <si>
    <t>Telecommunication Policy</t>
  </si>
  <si>
    <t>K. S. O. Kwakye</t>
  </si>
  <si>
    <t>Mobile And Satellite Communication System</t>
  </si>
  <si>
    <t>Microwave Engineering</t>
  </si>
  <si>
    <t>Network Planning</t>
  </si>
  <si>
    <t>Opare Kwasi Adu-Boahen</t>
  </si>
  <si>
    <t>Class</t>
  </si>
  <si>
    <t>Michael Adusei-Bonsu</t>
  </si>
  <si>
    <t>Nicholas Kwesi Prah II</t>
  </si>
  <si>
    <t>Yaw Opoku Mensah Sekyere</t>
  </si>
  <si>
    <t>Akwasi Afrifa Acheampong</t>
  </si>
  <si>
    <t xml:space="preserve">Peter Oppong Tawiah </t>
  </si>
  <si>
    <t>David Kofi Oppong</t>
  </si>
  <si>
    <t>Lawton Adu-Ansah</t>
  </si>
  <si>
    <t>BASIC THERMODYNAMICS</t>
  </si>
  <si>
    <t>AUTOMOTIVE DESIGN PROJECT</t>
  </si>
  <si>
    <t>Reginald Mensah Noye</t>
  </si>
  <si>
    <t>Jones Opoku-Ware</t>
  </si>
  <si>
    <t xml:space="preserve">APPLIED THERMODYNAMICS </t>
  </si>
  <si>
    <t>Paul Owusu Takyi</t>
  </si>
  <si>
    <t>PRINCIPLES OF MATERIAL SCIENCE</t>
  </si>
  <si>
    <t>Patricia Gustafson-Asamoah</t>
  </si>
  <si>
    <t>Frederick Owusu-Nimo</t>
  </si>
  <si>
    <t>Reindorf Nartey Borkor</t>
  </si>
  <si>
    <t>Mark Adom-Asamoah</t>
  </si>
  <si>
    <t>Adjei Kwaku Amaning</t>
  </si>
  <si>
    <t>Samuel Innocent Kofi Ampadu</t>
  </si>
  <si>
    <t>Jones Owusu Twumasi</t>
  </si>
  <si>
    <t>Isaac Azure</t>
  </si>
  <si>
    <t>Benedict Barnes</t>
  </si>
  <si>
    <t>Patrick Boakye</t>
  </si>
  <si>
    <t>Bernard Ampong</t>
  </si>
  <si>
    <t>Daniel Opoku</t>
  </si>
  <si>
    <t>INTRO TO PYTHON &amp; COMPUTER NETWORKING</t>
  </si>
  <si>
    <t>Charles Mawutor Adrah</t>
  </si>
  <si>
    <t>POWER SUPPLY ELECTRONICS</t>
  </si>
  <si>
    <t>AC MACHINES</t>
  </si>
  <si>
    <t>Emmanuel Kpeglo</t>
  </si>
  <si>
    <t>Emmanuel Kwaku Antoh</t>
  </si>
  <si>
    <t>John Bosco Dramani</t>
  </si>
  <si>
    <t>Beatrice Sarpong-Danquah</t>
  </si>
  <si>
    <t>Albert Kwame Kwaw</t>
  </si>
  <si>
    <t>PRINCIPLES OF GEOPHYSICS</t>
  </si>
  <si>
    <t>Titus Tienaah</t>
  </si>
  <si>
    <t>Yaw Mensah Asare</t>
  </si>
  <si>
    <t>ROAD DESIGN AND MATERIAL EVALUATION LABORATORY</t>
  </si>
  <si>
    <t>Edward Yeboah</t>
  </si>
  <si>
    <t>Collins Fosu</t>
  </si>
  <si>
    <t>Jehoshaphat Eyram Deh</t>
  </si>
  <si>
    <t>Peter Oppong Tawiah</t>
  </si>
  <si>
    <t>Patrick Aggrey</t>
  </si>
  <si>
    <t>INTRODUCTION TO CERAMICS</t>
  </si>
  <si>
    <t>INTRODUCTION TO POLYMERIC MATERIALS</t>
  </si>
  <si>
    <t>STRESS AND STRAIN ANALYSIS OF RIGID BODIES</t>
  </si>
  <si>
    <t>A. K. Sunnu</t>
  </si>
  <si>
    <t>INTRODUCTORY GEOLOGY</t>
  </si>
  <si>
    <t>Eunice Sefakor Aku Dogbe</t>
  </si>
  <si>
    <t>Augustine Ntiamoah</t>
  </si>
  <si>
    <t>Casper Daniel Adenutsi</t>
  </si>
  <si>
    <t>Mustapha Hameed</t>
  </si>
  <si>
    <t>Kwasi Adu-Boahen Opare</t>
  </si>
  <si>
    <t>Intsiful Araba Kwegyirba</t>
  </si>
  <si>
    <t>TELECOMMUNICATION POLICY AND REGULATION</t>
  </si>
  <si>
    <t>Kingsford Sarkodie Obeng Kwakye</t>
  </si>
  <si>
    <t>SATELLITE COMMUNICATION AND NAVIGATION SYSTEMS</t>
  </si>
  <si>
    <t>NETWORK PLANNING AND OPTIMIZATION</t>
  </si>
  <si>
    <t>RADAR COMMUNICATIONS</t>
  </si>
  <si>
    <t>ELLis Sani Mubarak</t>
  </si>
  <si>
    <t>MILLIMETERWAVE TECHNOLOGY</t>
  </si>
  <si>
    <t>College of Engineering</t>
  </si>
  <si>
    <t>Available Rooms</t>
  </si>
  <si>
    <t>Rooms</t>
  </si>
  <si>
    <t>Exam Capacity</t>
  </si>
  <si>
    <t>COHORT A1</t>
  </si>
  <si>
    <r>
      <rPr>
        <sz val="12"/>
        <color theme="1"/>
        <rFont val="Times New Roman"/>
        <family val="1"/>
        <charset val="1"/>
      </rPr>
      <t xml:space="preserve">BAMFO 
KWAKYE 
</t>
    </r>
    <r>
      <rPr>
        <b/>
        <sz val="24"/>
        <color theme="1"/>
        <rFont val="Times New Roman"/>
        <family val="1"/>
        <charset val="1"/>
      </rPr>
      <t>A</t>
    </r>
  </si>
  <si>
    <t>COHORT A2</t>
  </si>
  <si>
    <t>N1</t>
  </si>
  <si>
    <t>COHORT A3</t>
  </si>
  <si>
    <t>N2</t>
  </si>
  <si>
    <t>COHORT B1</t>
  </si>
  <si>
    <r>
      <rPr>
        <sz val="12"/>
        <color theme="1"/>
        <rFont val="Times New Roman"/>
        <family val="1"/>
        <charset val="1"/>
      </rPr>
      <t xml:space="preserve">PETROLEUM
 BUILDING
</t>
    </r>
    <r>
      <rPr>
        <sz val="24"/>
        <color theme="1"/>
        <rFont val="Times New Roman"/>
        <family val="1"/>
        <charset val="1"/>
      </rPr>
      <t>B</t>
    </r>
  </si>
  <si>
    <t>COHORT B2</t>
  </si>
  <si>
    <t>PB212</t>
  </si>
  <si>
    <t>COHORT C1</t>
  </si>
  <si>
    <r>
      <rPr>
        <sz val="12"/>
        <rFont val="Times New Roman"/>
        <family val="1"/>
        <charset val="1"/>
      </rPr>
      <t xml:space="preserve">EXAMS
OFFICE
</t>
    </r>
    <r>
      <rPr>
        <sz val="26"/>
        <rFont val="Times New Roman"/>
        <family val="1"/>
        <charset val="1"/>
      </rPr>
      <t>C</t>
    </r>
  </si>
  <si>
    <t>ECR</t>
  </si>
  <si>
    <t>A110</t>
  </si>
  <si>
    <t>COHORT C2</t>
  </si>
  <si>
    <t>NEB-SF1</t>
  </si>
  <si>
    <t>COHORT D1</t>
  </si>
  <si>
    <r>
      <rPr>
        <sz val="12"/>
        <color theme="1"/>
        <rFont val="Times New Roman"/>
        <family val="1"/>
        <charset val="1"/>
      </rPr>
      <t xml:space="preserve">NEB
</t>
    </r>
    <r>
      <rPr>
        <sz val="24"/>
        <color theme="1"/>
        <rFont val="Times New Roman"/>
        <family val="1"/>
        <charset val="1"/>
      </rPr>
      <t>D</t>
    </r>
  </si>
  <si>
    <t>COHORT D2</t>
  </si>
  <si>
    <t>COHORT D3</t>
  </si>
  <si>
    <t>Total</t>
  </si>
  <si>
    <t>INVIGILATORS</t>
  </si>
  <si>
    <t>TOTAL BOTLES</t>
  </si>
  <si>
    <t>Bottles x 3S + 1</t>
  </si>
  <si>
    <t>Total Pack</t>
  </si>
  <si>
    <t>TOTAL BOTTLES</t>
  </si>
  <si>
    <t>TOTAL 
BOTTLES FOR PERIOD</t>
  </si>
  <si>
    <t>ROOM 
USAGE</t>
  </si>
  <si>
    <t xml:space="preserve">TAS </t>
  </si>
  <si>
    <t>ATTD</t>
  </si>
  <si>
    <t>PER SESSION</t>
  </si>
  <si>
    <t>TT BOTTLES</t>
  </si>
  <si>
    <t>PACKS PER DAY</t>
  </si>
  <si>
    <t>OVERALL</t>
  </si>
  <si>
    <t xml:space="preserve">Name </t>
  </si>
  <si>
    <t>Contact</t>
  </si>
  <si>
    <t xml:space="preserve">Signature </t>
  </si>
  <si>
    <t xml:space="preserve">Bottles/Packs Collected </t>
  </si>
  <si>
    <t>10btls</t>
  </si>
  <si>
    <t>RM A</t>
  </si>
  <si>
    <t>RM B</t>
  </si>
  <si>
    <t>13btls</t>
  </si>
  <si>
    <t>15btls</t>
  </si>
  <si>
    <t>PB012</t>
  </si>
  <si>
    <t>1pk 2btls</t>
  </si>
  <si>
    <t>1pks 5btls</t>
  </si>
  <si>
    <t>NEB OFFICE</t>
  </si>
  <si>
    <t>2pks</t>
  </si>
  <si>
    <t>FOSS OFFICE</t>
  </si>
  <si>
    <t>EXAMS OFFICE</t>
  </si>
  <si>
    <t>7pks</t>
  </si>
  <si>
    <t>BAMFO KWAKYE</t>
  </si>
  <si>
    <t>4pks</t>
  </si>
  <si>
    <t>PB SIMULATION LB</t>
  </si>
  <si>
    <t>SECURITY</t>
  </si>
  <si>
    <t xml:space="preserve">NURSES </t>
  </si>
  <si>
    <t>8btls</t>
  </si>
  <si>
    <t xml:space="preserve">Totals Per   Session </t>
  </si>
  <si>
    <t>Totals Per Day</t>
  </si>
  <si>
    <t>~ 37 packs a day 
(16 bottles per pack)</t>
  </si>
  <si>
    <t>~ 471 Overall packs  
(16 bottles per pack)</t>
  </si>
  <si>
    <t>Total Collected for the day</t>
  </si>
  <si>
    <t>Total to be collected  for the day</t>
  </si>
  <si>
    <t xml:space="preserve">Overall total left </t>
  </si>
  <si>
    <t>Total bottles for a Day</t>
  </si>
  <si>
    <t>A110/VCR/GIS Lab</t>
  </si>
  <si>
    <t>Thursday, 27 August 2026</t>
  </si>
  <si>
    <t>Monday, 31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</si>
</sst>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4" x14ac:knownFonts="1">
    <font>
      <sz val="11"/>
      <color theme="1"/>
      <name val="Arial"/>
      <family val="2"/>
      <charset val="1"/>
    </font>
    <font>
      <sz val="11"/>
      <color rgb="FF9C0006"/>
      <name val="Arial"/>
      <family val="2"/>
      <charset val="1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b/>
      <sz val="10"/>
      <name val="Arial"/>
      <family val="2"/>
      <charset val="1"/>
    </font>
    <font>
      <b/>
      <sz val="11"/>
      <name val="Calibri"/>
      <family val="2"/>
      <charset val="1"/>
    </font>
    <font>
      <sz val="10"/>
      <color theme="1"/>
      <name val="Times New Roman"/>
      <family val="1"/>
      <charset val="1"/>
    </font>
    <font>
      <b/>
      <sz val="10"/>
      <color theme="1"/>
      <name val="Times New Roman"/>
      <family val="1"/>
      <charset val="1"/>
    </font>
    <font>
      <b/>
      <sz val="11"/>
      <name val="Arial"/>
      <family val="2"/>
      <charset val="1"/>
    </font>
    <font>
      <sz val="8"/>
      <name val="Times New Roman"/>
      <family val="1"/>
      <charset val="1"/>
    </font>
    <font>
      <sz val="11"/>
      <name val="Times New Roman"/>
      <family val="1"/>
      <charset val="1"/>
    </font>
    <font>
      <sz val="11"/>
      <name val="Calibri"/>
      <family val="2"/>
      <charset val="1"/>
    </font>
    <font>
      <sz val="11"/>
      <color theme="1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2"/>
      <name val="Arial"/>
      <family val="2"/>
      <charset val="1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Arial"/>
      <family val="2"/>
      <charset val="1"/>
    </font>
    <font>
      <b/>
      <sz val="10"/>
      <color rgb="FFFF0000"/>
      <name val="Times New Roman"/>
      <family val="1"/>
      <charset val="1"/>
    </font>
    <font>
      <sz val="10"/>
      <color rgb="FFFF0000"/>
      <name val="Times New Roman"/>
      <family val="1"/>
      <charset val="1"/>
    </font>
    <font>
      <b/>
      <sz val="10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b/>
      <sz val="11"/>
      <color rgb="FFFF0000"/>
      <name val="Calibri"/>
      <family val="2"/>
      <charset val="1"/>
    </font>
    <font>
      <sz val="8"/>
      <color theme="1"/>
      <name val="Arial"/>
      <family val="2"/>
      <charset val="1"/>
    </font>
    <font>
      <sz val="8"/>
      <name val="Arial"/>
      <family val="2"/>
      <charset val="1"/>
    </font>
    <font>
      <sz val="10"/>
      <name val="Noto Sans"/>
      <family val="2"/>
    </font>
    <font>
      <sz val="9"/>
      <color rgb="FF000000"/>
      <name val="Tahoma"/>
      <family val="2"/>
      <charset val="1"/>
    </font>
    <font>
      <b/>
      <sz val="11"/>
      <color theme="1"/>
      <name val="Times New Roman"/>
      <family val="1"/>
      <charset val="1"/>
    </font>
    <font>
      <b/>
      <sz val="24"/>
      <color theme="1"/>
      <name val="Times New Roman"/>
      <family val="1"/>
      <charset val="1"/>
    </font>
    <font>
      <sz val="24"/>
      <color theme="1"/>
      <name val="Times New Roman"/>
      <family val="1"/>
      <charset val="1"/>
    </font>
    <font>
      <sz val="26"/>
      <name val="Times New Roman"/>
      <family val="1"/>
      <charset val="1"/>
    </font>
    <font>
      <sz val="12"/>
      <color rgb="FFFF0000"/>
      <name val="Times New Roman"/>
      <family val="1"/>
      <charset val="1"/>
    </font>
    <font>
      <b/>
      <sz val="18"/>
      <color theme="1"/>
      <name val="Times New Roman"/>
      <family val="1"/>
      <charset val="1"/>
    </font>
    <font>
      <sz val="12"/>
      <color theme="1"/>
      <name val="Arial"/>
      <family val="2"/>
      <charset val="1"/>
    </font>
    <font>
      <b/>
      <sz val="16"/>
      <color theme="1"/>
      <name val="Times New Roman"/>
      <family val="1"/>
      <charset val="1"/>
    </font>
    <font>
      <sz val="14"/>
      <color theme="1"/>
      <name val="Times New Roman"/>
      <family val="1"/>
      <charset val="1"/>
    </font>
    <font>
      <b/>
      <sz val="12"/>
      <color theme="1"/>
      <name val="Arial"/>
      <family val="2"/>
      <charset val="1"/>
    </font>
    <font>
      <b/>
      <sz val="20"/>
      <color theme="1"/>
      <name val="Times New Roman"/>
      <family val="1"/>
      <charset val="1"/>
    </font>
    <font>
      <b/>
      <sz val="9"/>
      <color theme="1"/>
      <name val="Times New Roman"/>
      <family val="1"/>
      <charset val="1"/>
    </font>
    <font>
      <sz val="18"/>
      <color theme="1"/>
      <name val="Times New Roman"/>
      <family val="1"/>
      <charset val="1"/>
    </font>
    <font>
      <sz val="18"/>
      <color theme="1"/>
      <name val="Arial"/>
      <family val="2"/>
      <charset val="1"/>
    </font>
    <font>
      <sz val="18"/>
      <name val="Times New Roman"/>
      <family val="1"/>
      <charset val="1"/>
    </font>
    <font>
      <b/>
      <sz val="18"/>
      <name val="Times New Roman"/>
      <family val="1"/>
      <charset val="1"/>
    </font>
    <font>
      <b/>
      <sz val="16"/>
      <name val="Times New Roman"/>
      <family val="1"/>
      <charset val="1"/>
    </font>
    <font>
      <b/>
      <sz val="1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8"/>
      <color rgb="FFFF0000"/>
      <name val="Times New Roman"/>
      <family val="1"/>
      <charset val="1"/>
    </font>
    <font>
      <b/>
      <sz val="12"/>
      <color rgb="FFFF0000"/>
      <name val="Times New Roman"/>
      <family val="1"/>
      <charset val="1"/>
    </font>
    <font>
      <b/>
      <sz val="11"/>
      <color rgb="FFFF0000"/>
      <name val="Times New Roman"/>
      <family val="1"/>
      <charset val="1"/>
    </font>
    <font>
      <sz val="11"/>
      <color rgb="FF006100"/>
      <name val="Arial"/>
      <family val="2"/>
      <charset val="1"/>
    </font>
    <font>
      <sz val="11"/>
      <color theme="1"/>
      <name val="Arial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FF0000"/>
        <bgColor rgb="FF9C0006"/>
      </patternFill>
    </fill>
    <fill>
      <patternFill patternType="solid">
        <fgColor rgb="FFC6EFCE"/>
        <bgColor rgb="FFD3F1DB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BFBFBF"/>
      </patternFill>
    </fill>
    <fill>
      <patternFill patternType="solid">
        <fgColor theme="7"/>
        <bgColor rgb="FF00B050"/>
      </patternFill>
    </fill>
    <fill>
      <patternFill patternType="solid">
        <fgColor rgb="FF00B050"/>
        <bgColor rgb="FF34A853"/>
      </patternFill>
    </fill>
    <fill>
      <patternFill patternType="solid">
        <fgColor rgb="FFFFC000"/>
        <bgColor rgb="FFFFBF00"/>
      </patternFill>
    </fill>
    <fill>
      <patternFill patternType="solid">
        <fgColor rgb="FFFFBF00"/>
        <bgColor rgb="FFFFC000"/>
      </patternFill>
    </fill>
    <fill>
      <patternFill patternType="solid">
        <fgColor theme="8"/>
        <bgColor rgb="FFFFBF00"/>
      </patternFill>
    </fill>
    <fill>
      <patternFill patternType="solid">
        <fgColor rgb="FFFF66CC"/>
        <bgColor rgb="FFCC99FF"/>
      </patternFill>
    </fill>
    <fill>
      <patternFill patternType="solid">
        <fgColor rgb="FFFFCCFF"/>
        <bgColor rgb="FFFFC7CE"/>
      </patternFill>
    </fill>
    <fill>
      <patternFill patternType="solid">
        <fgColor theme="4" tint="0.39988402966399123"/>
        <bgColor rgb="FF9999FF"/>
      </patternFill>
    </fill>
    <fill>
      <patternFill patternType="solid">
        <fgColor theme="0"/>
        <bgColor rgb="FFD9E7FD"/>
      </patternFill>
    </fill>
    <fill>
      <patternFill patternType="solid">
        <fgColor theme="4" tint="0.79989013336588644"/>
        <bgColor rgb="FFD3F1DB"/>
      </patternFill>
    </fill>
    <fill>
      <patternFill patternType="solid">
        <fgColor theme="0" tint="-0.14999847407452621"/>
        <bgColor rgb="FFD9E7FD"/>
      </patternFill>
    </fill>
    <fill>
      <patternFill patternType="solid">
        <fgColor rgb="FF00B0F0"/>
        <bgColor rgb="FF33CCCC"/>
      </patternFill>
    </fill>
    <fill>
      <patternFill patternType="solid">
        <fgColor theme="9" tint="0.59987182226020086"/>
        <bgColor rgb="FFC6EFCE"/>
      </patternFill>
    </fill>
    <fill>
      <patternFill patternType="solid">
        <fgColor theme="5" tint="0.79989013336588644"/>
        <bgColor rgb="FFFFC7CE"/>
      </patternFill>
    </fill>
    <fill>
      <patternFill patternType="solid">
        <fgColor theme="7" tint="0.79989013336588644"/>
        <bgColor rgb="FFC6EFCE"/>
      </patternFill>
    </fill>
    <fill>
      <patternFill patternType="solid">
        <fgColor theme="0" tint="-0.249977111117893"/>
        <bgColor rgb="FFD9D9D9"/>
      </patternFill>
    </fill>
  </fills>
  <borders count="29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9" fontId="53" fillId="0" borderId="0" applyBorder="0" applyProtection="0"/>
    <xf numFmtId="0" fontId="1" fillId="2" borderId="1"/>
    <xf numFmtId="0" fontId="2" fillId="0" borderId="0"/>
    <xf numFmtId="0" fontId="53" fillId="0" borderId="0"/>
    <xf numFmtId="0" fontId="52" fillId="3" borderId="0" applyBorder="0" applyProtection="0"/>
  </cellStyleXfs>
  <cellXfs count="352">
    <xf numFmtId="0" fontId="0" fillId="0" borderId="0" xfId="0"/>
    <xf numFmtId="0" fontId="0" fillId="1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/>
    <xf numFmtId="0" fontId="5" fillId="0" borderId="2" xfId="0" applyFont="1" applyBorder="1" applyAlignment="1">
      <alignment horizontal="left"/>
    </xf>
    <xf numFmtId="0" fontId="5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4" fillId="0" borderId="2" xfId="0" applyFont="1" applyBorder="1"/>
    <xf numFmtId="0" fontId="7" fillId="0" borderId="0" xfId="0" applyFont="1"/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1" fontId="5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0" fontId="5" fillId="0" borderId="2" xfId="1" applyNumberFormat="1" applyFont="1" applyBorder="1" applyAlignment="1" applyProtection="1">
      <alignment horizontal="right" vertical="center"/>
    </xf>
    <xf numFmtId="0" fontId="5" fillId="0" borderId="4" xfId="0" applyFont="1" applyBorder="1" applyAlignment="1">
      <alignment vertical="center"/>
    </xf>
    <xf numFmtId="0" fontId="8" fillId="0" borderId="2" xfId="0" applyFont="1" applyBorder="1"/>
    <xf numFmtId="0" fontId="8" fillId="0" borderId="2" xfId="0" applyFont="1" applyBorder="1" applyAlignment="1">
      <alignment horizontal="left"/>
    </xf>
    <xf numFmtId="0" fontId="9" fillId="0" borderId="2" xfId="0" applyFont="1" applyBorder="1" applyAlignment="1">
      <alignment vertical="center"/>
    </xf>
    <xf numFmtId="0" fontId="5" fillId="0" borderId="2" xfId="0" applyFont="1" applyBorder="1"/>
    <xf numFmtId="0" fontId="10" fillId="0" borderId="2" xfId="0" applyFont="1" applyBorder="1"/>
    <xf numFmtId="0" fontId="4" fillId="0" borderId="5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11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left"/>
    </xf>
    <xf numFmtId="0" fontId="13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0" borderId="2" xfId="0" applyFont="1" applyBorder="1" applyAlignment="1">
      <alignment horizontal="left"/>
    </xf>
    <xf numFmtId="0" fontId="5" fillId="0" borderId="6" xfId="0" applyFont="1" applyBorder="1"/>
    <xf numFmtId="0" fontId="7" fillId="0" borderId="2" xfId="0" applyFont="1" applyBorder="1"/>
    <xf numFmtId="0" fontId="8" fillId="0" borderId="2" xfId="3" applyFont="1" applyBorder="1" applyAlignment="1">
      <alignment vertical="center"/>
    </xf>
    <xf numFmtId="0" fontId="8" fillId="0" borderId="2" xfId="3" applyFont="1" applyBorder="1" applyAlignment="1">
      <alignment horizontal="left"/>
    </xf>
    <xf numFmtId="0" fontId="8" fillId="0" borderId="5" xfId="3" applyFont="1" applyBorder="1" applyAlignment="1">
      <alignment vertical="center"/>
    </xf>
    <xf numFmtId="0" fontId="8" fillId="0" borderId="2" xfId="3" applyFont="1" applyBorder="1" applyAlignment="1">
      <alignment horizontal="left" vertical="center"/>
    </xf>
    <xf numFmtId="0" fontId="8" fillId="0" borderId="4" xfId="3" applyFont="1" applyBorder="1" applyAlignment="1">
      <alignment vertical="center"/>
    </xf>
    <xf numFmtId="0" fontId="8" fillId="0" borderId="2" xfId="3" applyFont="1" applyBorder="1" applyAlignment="1">
      <alignment vertical="center" wrapText="1"/>
    </xf>
    <xf numFmtId="0" fontId="8" fillId="0" borderId="2" xfId="0" applyFont="1" applyBorder="1" applyAlignment="1">
      <alignment horizontal="left" vertical="center"/>
    </xf>
    <xf numFmtId="0" fontId="14" fillId="0" borderId="2" xfId="4" applyFont="1" applyBorder="1" applyAlignment="1">
      <alignment horizontal="left"/>
    </xf>
    <xf numFmtId="0" fontId="53" fillId="0" borderId="5" xfId="4" applyBorder="1"/>
    <xf numFmtId="0" fontId="53" fillId="0" borderId="7" xfId="4" applyBorder="1"/>
    <xf numFmtId="0" fontId="53" fillId="0" borderId="0" xfId="4"/>
    <xf numFmtId="0" fontId="53" fillId="0" borderId="2" xfId="4" applyBorder="1"/>
    <xf numFmtId="0" fontId="53" fillId="0" borderId="3" xfId="4" applyBorder="1"/>
    <xf numFmtId="0" fontId="3" fillId="0" borderId="8" xfId="0" applyFont="1" applyBorder="1"/>
    <xf numFmtId="0" fontId="15" fillId="0" borderId="2" xfId="0" applyFont="1" applyBorder="1"/>
    <xf numFmtId="0" fontId="15" fillId="0" borderId="2" xfId="0" applyFont="1" applyBorder="1" applyAlignment="1">
      <alignment horizontal="left"/>
    </xf>
    <xf numFmtId="0" fontId="15" fillId="0" borderId="3" xfId="0" applyFont="1" applyBorder="1"/>
    <xf numFmtId="0" fontId="15" fillId="0" borderId="6" xfId="0" applyFont="1" applyBorder="1"/>
    <xf numFmtId="0" fontId="16" fillId="0" borderId="2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6" fillId="0" borderId="3" xfId="0" applyFont="1" applyBorder="1" applyAlignment="1">
      <alignment horizontal="right" vertical="center"/>
    </xf>
    <xf numFmtId="1" fontId="16" fillId="0" borderId="6" xfId="0" applyNumberFormat="1" applyFont="1" applyBorder="1" applyAlignment="1">
      <alignment horizontal="right" vertical="center"/>
    </xf>
    <xf numFmtId="0" fontId="15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2" xfId="0" applyFont="1" applyBorder="1" applyAlignment="1">
      <alignment horizontal="left"/>
    </xf>
    <xf numFmtId="0" fontId="17" fillId="0" borderId="6" xfId="0" applyFont="1" applyBorder="1"/>
    <xf numFmtId="0" fontId="16" fillId="0" borderId="3" xfId="1" applyNumberFormat="1" applyFont="1" applyBorder="1" applyAlignment="1" applyProtection="1">
      <alignment horizontal="right" vertical="center"/>
    </xf>
    <xf numFmtId="0" fontId="15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9" fillId="0" borderId="2" xfId="3" applyFont="1" applyBorder="1" applyAlignment="1">
      <alignment horizontal="left" vertical="center"/>
    </xf>
    <xf numFmtId="0" fontId="19" fillId="0" borderId="2" xfId="0" applyFont="1" applyBorder="1"/>
    <xf numFmtId="0" fontId="15" fillId="0" borderId="3" xfId="0" applyFont="1" applyBorder="1" applyAlignment="1">
      <alignment horizontal="right" vertical="center"/>
    </xf>
    <xf numFmtId="0" fontId="16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/>
    <xf numFmtId="0" fontId="16" fillId="0" borderId="3" xfId="0" applyFont="1" applyBorder="1"/>
    <xf numFmtId="0" fontId="16" fillId="0" borderId="2" xfId="0" applyFont="1" applyBorder="1" applyAlignment="1">
      <alignment horizontal="left"/>
    </xf>
    <xf numFmtId="0" fontId="20" fillId="0" borderId="2" xfId="0" applyFont="1" applyBorder="1"/>
    <xf numFmtId="0" fontId="20" fillId="0" borderId="3" xfId="0" applyFont="1" applyBorder="1"/>
    <xf numFmtId="0" fontId="20" fillId="0" borderId="2" xfId="0" applyFont="1" applyBorder="1" applyAlignment="1">
      <alignment horizontal="left"/>
    </xf>
    <xf numFmtId="0" fontId="20" fillId="0" borderId="6" xfId="0" applyFont="1" applyBorder="1"/>
    <xf numFmtId="0" fontId="19" fillId="0" borderId="2" xfId="3" applyFont="1" applyBorder="1" applyAlignment="1">
      <alignment vertical="center"/>
    </xf>
    <xf numFmtId="49" fontId="8" fillId="0" borderId="2" xfId="0" applyNumberFormat="1" applyFont="1" applyBorder="1"/>
    <xf numFmtId="0" fontId="19" fillId="0" borderId="2" xfId="3" applyFont="1" applyBorder="1" applyAlignment="1">
      <alignment vertical="center" wrapText="1"/>
    </xf>
    <xf numFmtId="0" fontId="53" fillId="0" borderId="9" xfId="4" applyBorder="1"/>
    <xf numFmtId="0" fontId="53" fillId="0" borderId="8" xfId="4" applyBorder="1"/>
    <xf numFmtId="0" fontId="4" fillId="0" borderId="3" xfId="0" applyFont="1" applyBorder="1"/>
    <xf numFmtId="0" fontId="4" fillId="0" borderId="6" xfId="0" applyFont="1" applyBorder="1"/>
    <xf numFmtId="0" fontId="5" fillId="0" borderId="3" xfId="0" applyFont="1" applyBorder="1" applyAlignment="1">
      <alignment horizontal="right" vertical="center"/>
    </xf>
    <xf numFmtId="1" fontId="5" fillId="0" borderId="6" xfId="0" applyNumberFormat="1" applyFont="1" applyBorder="1" applyAlignment="1">
      <alignment horizontal="right" vertical="center"/>
    </xf>
    <xf numFmtId="0" fontId="5" fillId="4" borderId="0" xfId="0" applyFont="1" applyFill="1"/>
    <xf numFmtId="0" fontId="7" fillId="4" borderId="0" xfId="0" applyFont="1" applyFill="1"/>
    <xf numFmtId="0" fontId="3" fillId="4" borderId="0" xfId="0" applyFont="1" applyFill="1"/>
    <xf numFmtId="0" fontId="5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right" vertical="center"/>
    </xf>
    <xf numFmtId="1" fontId="5" fillId="5" borderId="6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vertical="center"/>
    </xf>
    <xf numFmtId="0" fontId="7" fillId="5" borderId="0" xfId="0" applyFont="1" applyFill="1"/>
    <xf numFmtId="0" fontId="3" fillId="5" borderId="0" xfId="0" applyFont="1" applyFill="1"/>
    <xf numFmtId="0" fontId="6" fillId="0" borderId="3" xfId="0" applyFont="1" applyBorder="1"/>
    <xf numFmtId="0" fontId="6" fillId="0" borderId="6" xfId="0" applyFont="1" applyBorder="1"/>
    <xf numFmtId="0" fontId="5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4" borderId="3" xfId="1" applyNumberFormat="1" applyFont="1" applyFill="1" applyBorder="1" applyAlignment="1" applyProtection="1">
      <alignment horizontal="right" vertical="center"/>
    </xf>
    <xf numFmtId="1" fontId="5" fillId="4" borderId="6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/>
    </xf>
    <xf numFmtId="0" fontId="5" fillId="5" borderId="0" xfId="0" applyFont="1" applyFill="1"/>
    <xf numFmtId="0" fontId="9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left"/>
    </xf>
    <xf numFmtId="0" fontId="21" fillId="0" borderId="0" xfId="0" applyFont="1"/>
    <xf numFmtId="0" fontId="23" fillId="0" borderId="0" xfId="0" applyFont="1"/>
    <xf numFmtId="0" fontId="24" fillId="0" borderId="0" xfId="0" applyFont="1"/>
    <xf numFmtId="0" fontId="10" fillId="0" borderId="3" xfId="0" applyFont="1" applyBorder="1"/>
    <xf numFmtId="0" fontId="5" fillId="6" borderId="0" xfId="0" applyFont="1" applyFill="1"/>
    <xf numFmtId="0" fontId="7" fillId="6" borderId="0" xfId="0" applyFont="1" applyFill="1"/>
    <xf numFmtId="0" fontId="3" fillId="6" borderId="0" xfId="0" applyFont="1" applyFill="1"/>
    <xf numFmtId="0" fontId="5" fillId="7" borderId="0" xfId="0" applyFont="1" applyFill="1"/>
    <xf numFmtId="0" fontId="7" fillId="7" borderId="0" xfId="0" applyFont="1" applyFill="1"/>
    <xf numFmtId="0" fontId="3" fillId="7" borderId="0" xfId="0" applyFont="1" applyFill="1"/>
    <xf numFmtId="0" fontId="4" fillId="0" borderId="3" xfId="0" applyFont="1" applyBorder="1" applyAlignment="1">
      <alignment horizontal="right" vertical="center"/>
    </xf>
    <xf numFmtId="0" fontId="25" fillId="0" borderId="0" xfId="0" applyFont="1"/>
    <xf numFmtId="0" fontId="4" fillId="4" borderId="2" xfId="0" applyFont="1" applyFill="1" applyBorder="1"/>
    <xf numFmtId="0" fontId="8" fillId="4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vertical="center"/>
    </xf>
    <xf numFmtId="0" fontId="5" fillId="8" borderId="3" xfId="0" applyFont="1" applyFill="1" applyBorder="1" applyAlignment="1">
      <alignment horizontal="right" vertical="center"/>
    </xf>
    <xf numFmtId="0" fontId="5" fillId="8" borderId="2" xfId="0" applyFont="1" applyFill="1" applyBorder="1" applyAlignment="1">
      <alignment horizontal="left" vertical="center"/>
    </xf>
    <xf numFmtId="1" fontId="5" fillId="8" borderId="6" xfId="0" applyNumberFormat="1" applyFont="1" applyFill="1" applyBorder="1" applyAlignment="1">
      <alignment horizontal="right" vertical="center"/>
    </xf>
    <xf numFmtId="0" fontId="5" fillId="8" borderId="2" xfId="0" applyFont="1" applyFill="1" applyBorder="1" applyAlignment="1">
      <alignment horizontal="left"/>
    </xf>
    <xf numFmtId="0" fontId="5" fillId="8" borderId="0" xfId="0" applyFont="1" applyFill="1"/>
    <xf numFmtId="0" fontId="7" fillId="8" borderId="0" xfId="0" applyFont="1" applyFill="1"/>
    <xf numFmtId="0" fontId="3" fillId="8" borderId="0" xfId="0" applyFont="1" applyFill="1"/>
    <xf numFmtId="0" fontId="5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/>
    </xf>
    <xf numFmtId="0" fontId="13" fillId="4" borderId="0" xfId="0" applyFont="1" applyFill="1"/>
    <xf numFmtId="0" fontId="5" fillId="0" borderId="3" xfId="0" applyFont="1" applyBorder="1"/>
    <xf numFmtId="0" fontId="5" fillId="9" borderId="2" xfId="0" applyFont="1" applyFill="1" applyBorder="1" applyAlignment="1">
      <alignment vertical="center"/>
    </xf>
    <xf numFmtId="0" fontId="4" fillId="9" borderId="2" xfId="0" applyFont="1" applyFill="1" applyBorder="1" applyAlignment="1">
      <alignment vertical="center"/>
    </xf>
    <xf numFmtId="0" fontId="4" fillId="9" borderId="2" xfId="0" applyFont="1" applyFill="1" applyBorder="1" applyAlignment="1">
      <alignment horizontal="left" vertical="center"/>
    </xf>
    <xf numFmtId="0" fontId="5" fillId="9" borderId="3" xfId="0" applyFont="1" applyFill="1" applyBorder="1" applyAlignment="1">
      <alignment horizontal="right" vertical="center"/>
    </xf>
    <xf numFmtId="0" fontId="5" fillId="9" borderId="2" xfId="0" applyFont="1" applyFill="1" applyBorder="1" applyAlignment="1">
      <alignment horizontal="left" vertical="center"/>
    </xf>
    <xf numFmtId="1" fontId="5" fillId="9" borderId="6" xfId="0" applyNumberFormat="1" applyFont="1" applyFill="1" applyBorder="1" applyAlignment="1">
      <alignment horizontal="right" vertical="center"/>
    </xf>
    <xf numFmtId="0" fontId="5" fillId="9" borderId="2" xfId="0" applyFont="1" applyFill="1" applyBorder="1" applyAlignment="1">
      <alignment horizontal="left"/>
    </xf>
    <xf numFmtId="0" fontId="5" fillId="9" borderId="0" xfId="0" applyFont="1" applyFill="1"/>
    <xf numFmtId="0" fontId="7" fillId="9" borderId="0" xfId="0" applyFont="1" applyFill="1"/>
    <xf numFmtId="0" fontId="3" fillId="9" borderId="0" xfId="0" applyFont="1" applyFill="1"/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/>
    <xf numFmtId="0" fontId="5" fillId="4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12" fillId="4" borderId="2" xfId="0" applyFont="1" applyFill="1" applyBorder="1" applyAlignment="1">
      <alignment horizontal="left"/>
    </xf>
    <xf numFmtId="0" fontId="8" fillId="5" borderId="2" xfId="0" applyFont="1" applyFill="1" applyBorder="1"/>
    <xf numFmtId="0" fontId="4" fillId="4" borderId="2" xfId="0" applyFont="1" applyFill="1" applyBorder="1" applyAlignment="1">
      <alignment horizontal="left"/>
    </xf>
    <xf numFmtId="0" fontId="4" fillId="4" borderId="3" xfId="0" applyFont="1" applyFill="1" applyBorder="1"/>
    <xf numFmtId="0" fontId="3" fillId="0" borderId="6" xfId="0" applyFont="1" applyBorder="1"/>
    <xf numFmtId="0" fontId="5" fillId="4" borderId="2" xfId="0" applyFont="1" applyFill="1" applyBorder="1" applyAlignment="1">
      <alignment horizontal="left" vertical="center" wrapText="1"/>
    </xf>
    <xf numFmtId="0" fontId="8" fillId="5" borderId="2" xfId="3" applyFont="1" applyFill="1" applyBorder="1" applyAlignment="1">
      <alignment vertical="center"/>
    </xf>
    <xf numFmtId="0" fontId="3" fillId="9" borderId="2" xfId="0" applyFont="1" applyFill="1" applyBorder="1" applyAlignment="1">
      <alignment horizontal="left"/>
    </xf>
    <xf numFmtId="0" fontId="8" fillId="5" borderId="2" xfId="3" applyFont="1" applyFill="1" applyBorder="1" applyAlignment="1">
      <alignment horizontal="left"/>
    </xf>
    <xf numFmtId="0" fontId="3" fillId="10" borderId="2" xfId="0" applyFont="1" applyFill="1" applyBorder="1" applyAlignment="1">
      <alignment horizontal="left"/>
    </xf>
    <xf numFmtId="0" fontId="5" fillId="10" borderId="0" xfId="0" applyFont="1" applyFill="1"/>
    <xf numFmtId="0" fontId="7" fillId="10" borderId="0" xfId="0" applyFont="1" applyFill="1"/>
    <xf numFmtId="0" fontId="3" fillId="10" borderId="0" xfId="0" applyFont="1" applyFill="1"/>
    <xf numFmtId="0" fontId="8" fillId="5" borderId="2" xfId="3" applyFont="1" applyFill="1" applyBorder="1" applyAlignment="1">
      <alignment horizontal="left" vertical="center"/>
    </xf>
    <xf numFmtId="0" fontId="5" fillId="11" borderId="2" xfId="0" applyFont="1" applyFill="1" applyBorder="1" applyAlignment="1">
      <alignment vertical="center"/>
    </xf>
    <xf numFmtId="0" fontId="8" fillId="4" borderId="2" xfId="0" applyFont="1" applyFill="1" applyBorder="1"/>
    <xf numFmtId="0" fontId="8" fillId="4" borderId="2" xfId="0" applyFont="1" applyFill="1" applyBorder="1" applyAlignment="1">
      <alignment horizontal="left" vertical="center"/>
    </xf>
    <xf numFmtId="49" fontId="8" fillId="4" borderId="2" xfId="0" applyNumberFormat="1" applyFont="1" applyFill="1" applyBorder="1"/>
    <xf numFmtId="0" fontId="0" fillId="12" borderId="0" xfId="0" applyFill="1"/>
    <xf numFmtId="0" fontId="0" fillId="13" borderId="0" xfId="0" applyFill="1"/>
    <xf numFmtId="0" fontId="0" fillId="12" borderId="4" xfId="0" applyFill="1" applyBorder="1"/>
    <xf numFmtId="0" fontId="0" fillId="0" borderId="4" xfId="0" applyBorder="1"/>
    <xf numFmtId="0" fontId="0" fillId="13" borderId="4" xfId="0" applyFill="1" applyBorder="1"/>
    <xf numFmtId="0" fontId="0" fillId="0" borderId="2" xfId="0" applyBorder="1"/>
    <xf numFmtId="0" fontId="26" fillId="0" borderId="2" xfId="0" applyFont="1" applyBorder="1"/>
    <xf numFmtId="0" fontId="0" fillId="12" borderId="2" xfId="0" applyFill="1" applyBorder="1"/>
    <xf numFmtId="0" fontId="0" fillId="13" borderId="2" xfId="0" applyFill="1" applyBorder="1"/>
    <xf numFmtId="0" fontId="27" fillId="14" borderId="2" xfId="0" applyFont="1" applyFill="1" applyBorder="1"/>
    <xf numFmtId="0" fontId="26" fillId="4" borderId="2" xfId="0" applyFont="1" applyFill="1" applyBorder="1"/>
    <xf numFmtId="0" fontId="26" fillId="8" borderId="2" xfId="0" applyFont="1" applyFill="1" applyBorder="1"/>
    <xf numFmtId="0" fontId="0" fillId="5" borderId="2" xfId="0" applyFill="1" applyBorder="1"/>
    <xf numFmtId="0" fontId="29" fillId="0" borderId="2" xfId="0" applyFont="1" applyBorder="1" applyAlignment="1">
      <alignment vertical="top" wrapText="1" readingOrder="1"/>
    </xf>
    <xf numFmtId="0" fontId="29" fillId="0" borderId="2" xfId="0" applyFont="1" applyBorder="1" applyAlignment="1">
      <alignment vertical="top" wrapText="1"/>
    </xf>
    <xf numFmtId="0" fontId="0" fillId="0" borderId="2" xfId="0" applyBorder="1" applyAlignment="1">
      <alignment vertical="top"/>
    </xf>
    <xf numFmtId="0" fontId="29" fillId="5" borderId="2" xfId="0" applyFont="1" applyFill="1" applyBorder="1" applyAlignment="1">
      <alignment vertical="top" wrapText="1"/>
    </xf>
    <xf numFmtId="0" fontId="29" fillId="5" borderId="2" xfId="0" applyFont="1" applyFill="1" applyBorder="1" applyAlignment="1">
      <alignment vertical="top" wrapText="1" readingOrder="1"/>
    </xf>
    <xf numFmtId="0" fontId="0" fillId="5" borderId="2" xfId="0" applyFill="1" applyBorder="1" applyAlignment="1">
      <alignment vertical="top"/>
    </xf>
    <xf numFmtId="0" fontId="0" fillId="5" borderId="0" xfId="0" applyFill="1"/>
    <xf numFmtId="0" fontId="0" fillId="4" borderId="0" xfId="0" applyFill="1"/>
    <xf numFmtId="0" fontId="14" fillId="0" borderId="0" xfId="0" applyFont="1"/>
    <xf numFmtId="0" fontId="30" fillId="0" borderId="2" xfId="0" applyFont="1" applyBorder="1" applyAlignment="1">
      <alignment horizontal="center"/>
    </xf>
    <xf numFmtId="0" fontId="30" fillId="0" borderId="2" xfId="0" applyFont="1" applyBorder="1"/>
    <xf numFmtId="0" fontId="19" fillId="4" borderId="2" xfId="0" applyFont="1" applyFill="1" applyBorder="1"/>
    <xf numFmtId="0" fontId="19" fillId="4" borderId="2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9" fillId="4" borderId="2" xfId="0" applyFont="1" applyFill="1" applyBorder="1" applyAlignment="1">
      <alignment horizontal="left"/>
    </xf>
    <xf numFmtId="0" fontId="19" fillId="15" borderId="2" xfId="0" applyFont="1" applyFill="1" applyBorder="1"/>
    <xf numFmtId="0" fontId="19" fillId="15" borderId="2" xfId="0" applyFont="1" applyFill="1" applyBorder="1" applyAlignment="1">
      <alignment horizontal="center"/>
    </xf>
    <xf numFmtId="0" fontId="19" fillId="16" borderId="2" xfId="0" applyFont="1" applyFill="1" applyBorder="1" applyAlignment="1">
      <alignment horizontal="center"/>
    </xf>
    <xf numFmtId="0" fontId="14" fillId="16" borderId="2" xfId="0" applyFont="1" applyFill="1" applyBorder="1" applyAlignment="1">
      <alignment horizontal="center"/>
    </xf>
    <xf numFmtId="0" fontId="30" fillId="16" borderId="2" xfId="0" applyFont="1" applyFill="1" applyBorder="1" applyAlignment="1">
      <alignment horizontal="center"/>
    </xf>
    <xf numFmtId="0" fontId="16" fillId="17" borderId="2" xfId="0" applyFont="1" applyFill="1" applyBorder="1"/>
    <xf numFmtId="0" fontId="16" fillId="17" borderId="2" xfId="0" applyFont="1" applyFill="1" applyBorder="1" applyAlignment="1">
      <alignment horizontal="center"/>
    </xf>
    <xf numFmtId="0" fontId="16" fillId="18" borderId="2" xfId="0" applyFont="1" applyFill="1" applyBorder="1" applyAlignment="1">
      <alignment horizontal="center"/>
    </xf>
    <xf numFmtId="0" fontId="12" fillId="18" borderId="2" xfId="0" applyFont="1" applyFill="1" applyBorder="1" applyAlignment="1">
      <alignment horizontal="center"/>
    </xf>
    <xf numFmtId="0" fontId="19" fillId="19" borderId="2" xfId="0" applyFont="1" applyFill="1" applyBorder="1"/>
    <xf numFmtId="0" fontId="19" fillId="19" borderId="2" xfId="0" applyFont="1" applyFill="1" applyBorder="1" applyAlignment="1">
      <alignment horizontal="center"/>
    </xf>
    <xf numFmtId="0" fontId="19" fillId="19" borderId="2" xfId="0" applyFont="1" applyFill="1" applyBorder="1" applyAlignment="1">
      <alignment horizontal="center" vertical="center"/>
    </xf>
    <xf numFmtId="0" fontId="19" fillId="20" borderId="2" xfId="0" applyFont="1" applyFill="1" applyBorder="1" applyAlignment="1">
      <alignment horizontal="center"/>
    </xf>
    <xf numFmtId="0" fontId="14" fillId="20" borderId="2" xfId="0" applyFont="1" applyFill="1" applyBorder="1" applyAlignment="1">
      <alignment horizontal="center"/>
    </xf>
    <xf numFmtId="0" fontId="34" fillId="19" borderId="2" xfId="0" applyFont="1" applyFill="1" applyBorder="1" applyAlignment="1">
      <alignment horizontal="center"/>
    </xf>
    <xf numFmtId="0" fontId="34" fillId="20" borderId="2" xfId="0" applyFont="1" applyFill="1" applyBorder="1" applyAlignment="1">
      <alignment horizontal="center"/>
    </xf>
    <xf numFmtId="0" fontId="30" fillId="20" borderId="2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8" fillId="0" borderId="2" xfId="0" applyFont="1" applyBorder="1"/>
    <xf numFmtId="0" fontId="18" fillId="0" borderId="2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1" fontId="14" fillId="0" borderId="0" xfId="0" applyNumberFormat="1" applyFont="1"/>
    <xf numFmtId="0" fontId="19" fillId="0" borderId="0" xfId="0" applyFont="1"/>
    <xf numFmtId="1" fontId="19" fillId="0" borderId="0" xfId="0" applyNumberFormat="1" applyFont="1"/>
    <xf numFmtId="0" fontId="38" fillId="0" borderId="0" xfId="0" applyFont="1"/>
    <xf numFmtId="0" fontId="18" fillId="0" borderId="10" xfId="0" applyFont="1" applyBorder="1" applyAlignment="1">
      <alignment horizontal="center"/>
    </xf>
    <xf numFmtId="0" fontId="18" fillId="0" borderId="10" xfId="0" applyFont="1" applyBorder="1"/>
    <xf numFmtId="1" fontId="18" fillId="0" borderId="12" xfId="0" applyNumberFormat="1" applyFont="1" applyBorder="1"/>
    <xf numFmtId="0" fontId="18" fillId="0" borderId="13" xfId="0" applyFont="1" applyBorder="1"/>
    <xf numFmtId="0" fontId="18" fillId="0" borderId="14" xfId="0" applyFont="1" applyBorder="1"/>
    <xf numFmtId="0" fontId="36" fillId="0" borderId="0" xfId="0" applyFont="1"/>
    <xf numFmtId="0" fontId="18" fillId="0" borderId="7" xfId="0" applyFont="1" applyBorder="1"/>
    <xf numFmtId="0" fontId="18" fillId="0" borderId="16" xfId="0" applyFont="1" applyBorder="1"/>
    <xf numFmtId="0" fontId="18" fillId="0" borderId="17" xfId="0" applyFont="1" applyBorder="1"/>
    <xf numFmtId="0" fontId="40" fillId="0" borderId="2" xfId="0" applyFont="1" applyBorder="1"/>
    <xf numFmtId="0" fontId="41" fillId="0" borderId="18" xfId="0" applyFont="1" applyBorder="1"/>
    <xf numFmtId="0" fontId="42" fillId="0" borderId="3" xfId="0" applyFont="1" applyBorder="1"/>
    <xf numFmtId="0" fontId="42" fillId="0" borderId="5" xfId="0" applyFont="1" applyBorder="1" applyAlignment="1">
      <alignment horizontal="center"/>
    </xf>
    <xf numFmtId="1" fontId="42" fillId="0" borderId="5" xfId="0" applyNumberFormat="1" applyFont="1" applyBorder="1"/>
    <xf numFmtId="1" fontId="42" fillId="0" borderId="7" xfId="0" applyNumberFormat="1" applyFont="1" applyBorder="1"/>
    <xf numFmtId="164" fontId="42" fillId="0" borderId="5" xfId="0" applyNumberFormat="1" applyFont="1" applyBorder="1"/>
    <xf numFmtId="0" fontId="42" fillId="0" borderId="5" xfId="0" applyFont="1" applyBorder="1"/>
    <xf numFmtId="0" fontId="43" fillId="0" borderId="5" xfId="0" applyFont="1" applyBorder="1"/>
    <xf numFmtId="0" fontId="43" fillId="0" borderId="2" xfId="0" applyFont="1" applyBorder="1"/>
    <xf numFmtId="0" fontId="37" fillId="0" borderId="2" xfId="0" applyFont="1" applyBorder="1"/>
    <xf numFmtId="0" fontId="9" fillId="0" borderId="2" xfId="0" applyFont="1" applyBorder="1"/>
    <xf numFmtId="1" fontId="35" fillId="0" borderId="5" xfId="0" applyNumberFormat="1" applyFont="1" applyBorder="1"/>
    <xf numFmtId="0" fontId="41" fillId="0" borderId="0" xfId="0" applyFont="1"/>
    <xf numFmtId="0" fontId="42" fillId="0" borderId="2" xfId="0" applyFont="1" applyBorder="1" applyAlignment="1">
      <alignment horizontal="center"/>
    </xf>
    <xf numFmtId="164" fontId="42" fillId="0" borderId="2" xfId="0" applyNumberFormat="1" applyFont="1" applyBorder="1"/>
    <xf numFmtId="0" fontId="19" fillId="0" borderId="0" xfId="0" applyFont="1" applyAlignment="1">
      <alignment horizontal="left"/>
    </xf>
    <xf numFmtId="0" fontId="42" fillId="0" borderId="3" xfId="0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42" fillId="16" borderId="3" xfId="0" applyFont="1" applyFill="1" applyBorder="1"/>
    <xf numFmtId="0" fontId="37" fillId="16" borderId="2" xfId="0" applyFont="1" applyFill="1" applyBorder="1"/>
    <xf numFmtId="0" fontId="42" fillId="8" borderId="3" xfId="0" applyFont="1" applyFill="1" applyBorder="1"/>
    <xf numFmtId="0" fontId="37" fillId="8" borderId="2" xfId="0" applyFont="1" applyFill="1" applyBorder="1"/>
    <xf numFmtId="0" fontId="42" fillId="21" borderId="3" xfId="0" applyFont="1" applyFill="1" applyBorder="1"/>
    <xf numFmtId="0" fontId="37" fillId="21" borderId="2" xfId="0" applyFont="1" applyFill="1" applyBorder="1"/>
    <xf numFmtId="0" fontId="44" fillId="0" borderId="2" xfId="0" applyFont="1" applyBorder="1"/>
    <xf numFmtId="0" fontId="19" fillId="0" borderId="3" xfId="0" applyFont="1" applyBorder="1"/>
    <xf numFmtId="0" fontId="19" fillId="0" borderId="5" xfId="0" applyFont="1" applyBorder="1" applyAlignment="1">
      <alignment horizontal="center"/>
    </xf>
    <xf numFmtId="0" fontId="14" fillId="0" borderId="2" xfId="0" applyFont="1" applyBorder="1"/>
    <xf numFmtId="164" fontId="14" fillId="0" borderId="2" xfId="0" applyNumberFormat="1" applyFont="1" applyBorder="1"/>
    <xf numFmtId="0" fontId="26" fillId="0" borderId="0" xfId="0" applyFont="1"/>
    <xf numFmtId="0" fontId="45" fillId="21" borderId="2" xfId="0" applyFont="1" applyFill="1" applyBorder="1"/>
    <xf numFmtId="0" fontId="45" fillId="21" borderId="2" xfId="0" applyFont="1" applyFill="1" applyBorder="1" applyAlignment="1">
      <alignment horizontal="center"/>
    </xf>
    <xf numFmtId="1" fontId="45" fillId="21" borderId="2" xfId="0" applyNumberFormat="1" applyFont="1" applyFill="1" applyBorder="1" applyAlignment="1">
      <alignment horizontal="center"/>
    </xf>
    <xf numFmtId="1" fontId="45" fillId="21" borderId="3" xfId="0" applyNumberFormat="1" applyFont="1" applyFill="1" applyBorder="1"/>
    <xf numFmtId="0" fontId="43" fillId="2" borderId="2" xfId="0" applyFont="1" applyFill="1" applyBorder="1"/>
    <xf numFmtId="0" fontId="36" fillId="2" borderId="0" xfId="0" applyFont="1" applyFill="1"/>
    <xf numFmtId="0" fontId="46" fillId="21" borderId="2" xfId="0" applyFont="1" applyFill="1" applyBorder="1"/>
    <xf numFmtId="0" fontId="47" fillId="21" borderId="2" xfId="0" applyFont="1" applyFill="1" applyBorder="1"/>
    <xf numFmtId="0" fontId="15" fillId="21" borderId="2" xfId="0" applyFont="1" applyFill="1" applyBorder="1" applyAlignment="1">
      <alignment horizontal="center"/>
    </xf>
    <xf numFmtId="0" fontId="12" fillId="0" borderId="0" xfId="0" applyFont="1"/>
    <xf numFmtId="0" fontId="0" fillId="2" borderId="0" xfId="0" applyFill="1"/>
    <xf numFmtId="0" fontId="26" fillId="2" borderId="0" xfId="0" applyFont="1" applyFill="1"/>
    <xf numFmtId="0" fontId="14" fillId="2" borderId="0" xfId="0" applyFont="1" applyFill="1"/>
    <xf numFmtId="0" fontId="48" fillId="21" borderId="2" xfId="0" applyFont="1" applyFill="1" applyBorder="1"/>
    <xf numFmtId="0" fontId="42" fillId="0" borderId="2" xfId="0" applyFont="1" applyBorder="1"/>
    <xf numFmtId="1" fontId="42" fillId="0" borderId="3" xfId="0" applyNumberFormat="1" applyFont="1" applyBorder="1"/>
    <xf numFmtId="1" fontId="42" fillId="0" borderId="19" xfId="0" applyNumberFormat="1" applyFont="1" applyBorder="1"/>
    <xf numFmtId="164" fontId="42" fillId="0" borderId="20" xfId="0" applyNumberFormat="1" applyFont="1" applyBorder="1"/>
    <xf numFmtId="0" fontId="42" fillId="0" borderId="0" xfId="0" applyFont="1"/>
    <xf numFmtId="0" fontId="43" fillId="0" borderId="0" xfId="0" applyFont="1"/>
    <xf numFmtId="0" fontId="15" fillId="21" borderId="2" xfId="0" applyFont="1" applyFill="1" applyBorder="1"/>
    <xf numFmtId="0" fontId="35" fillId="0" borderId="2" xfId="0" applyFont="1" applyBorder="1"/>
    <xf numFmtId="1" fontId="35" fillId="0" borderId="21" xfId="0" applyNumberFormat="1" applyFont="1" applyBorder="1"/>
    <xf numFmtId="164" fontId="42" fillId="0" borderId="22" xfId="0" applyNumberFormat="1" applyFont="1" applyBorder="1"/>
    <xf numFmtId="0" fontId="35" fillId="0" borderId="4" xfId="0" applyFont="1" applyBorder="1"/>
    <xf numFmtId="0" fontId="42" fillId="0" borderId="4" xfId="0" applyFont="1" applyBorder="1"/>
    <xf numFmtId="1" fontId="42" fillId="0" borderId="23" xfId="0" applyNumberFormat="1" applyFont="1" applyBorder="1"/>
    <xf numFmtId="0" fontId="35" fillId="0" borderId="24" xfId="0" applyFont="1" applyBorder="1" applyAlignment="1">
      <alignment vertical="center"/>
    </xf>
    <xf numFmtId="0" fontId="35" fillId="0" borderId="20" xfId="0" applyFont="1" applyBorder="1" applyAlignment="1">
      <alignment vertical="center"/>
    </xf>
    <xf numFmtId="0" fontId="49" fillId="0" borderId="12" xfId="0" applyFont="1" applyBorder="1"/>
    <xf numFmtId="0" fontId="35" fillId="0" borderId="2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49" fillId="0" borderId="10" xfId="0" applyFont="1" applyBorder="1"/>
    <xf numFmtId="0" fontId="35" fillId="0" borderId="27" xfId="0" applyFont="1" applyBorder="1" applyAlignment="1">
      <alignment vertical="center"/>
    </xf>
    <xf numFmtId="0" fontId="35" fillId="0" borderId="28" xfId="0" applyFont="1" applyBorder="1" applyAlignment="1">
      <alignment vertical="center"/>
    </xf>
    <xf numFmtId="0" fontId="50" fillId="0" borderId="2" xfId="0" applyFont="1" applyBorder="1"/>
    <xf numFmtId="0" fontId="51" fillId="0" borderId="2" xfId="0" applyFont="1" applyBorder="1"/>
    <xf numFmtId="0" fontId="52" fillId="3" borderId="2" xfId="5" applyBorder="1" applyAlignment="1" applyProtection="1">
      <alignment horizontal="center"/>
    </xf>
    <xf numFmtId="0" fontId="0" fillId="0" borderId="0" xfId="0" applyAlignment="1">
      <alignment horizontal="left"/>
    </xf>
    <xf numFmtId="0" fontId="30" fillId="0" borderId="2" xfId="0" applyFont="1" applyBorder="1" applyAlignment="1">
      <alignment horizontal="center"/>
    </xf>
    <xf numFmtId="0" fontId="19" fillId="4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 wrapText="1"/>
    </xf>
    <xf numFmtId="0" fontId="19" fillId="15" borderId="2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 wrapText="1"/>
    </xf>
    <xf numFmtId="0" fontId="19" fillId="19" borderId="2" xfId="0" applyFont="1" applyFill="1" applyBorder="1" applyAlignment="1">
      <alignment horizontal="center" vertical="center" wrapText="1"/>
    </xf>
    <xf numFmtId="0" fontId="19" fillId="19" borderId="2" xfId="0" applyFont="1" applyFill="1" applyBorder="1" applyAlignment="1">
      <alignment horizontal="center" vertical="center"/>
    </xf>
    <xf numFmtId="0" fontId="35" fillId="0" borderId="10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7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8" fillId="0" borderId="11" xfId="0" applyFont="1" applyBorder="1" applyAlignment="1">
      <alignment horizontal="center"/>
    </xf>
    <xf numFmtId="0" fontId="39" fillId="0" borderId="10" xfId="0" applyFont="1" applyBorder="1" applyAlignment="1">
      <alignment horizontal="center" wrapText="1"/>
    </xf>
    <xf numFmtId="0" fontId="39" fillId="0" borderId="15" xfId="0" applyFont="1" applyBorder="1" applyAlignment="1">
      <alignment horizontal="center" vertical="center" wrapText="1"/>
    </xf>
    <xf numFmtId="0" fontId="37" fillId="0" borderId="15" xfId="0" applyFont="1" applyBorder="1" applyAlignment="1">
      <alignment horizontal="center"/>
    </xf>
    <xf numFmtId="0" fontId="49" fillId="0" borderId="12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35" fillId="0" borderId="26" xfId="0" applyFont="1" applyBorder="1" applyAlignment="1">
      <alignment horizontal="center"/>
    </xf>
  </cellXfs>
  <cellStyles count="6">
    <cellStyle name="ERROR 1" xfId="2" xr:uid="{00000000-0005-0000-0000-000006000000}"/>
    <cellStyle name="Excel Built-in Good" xfId="5" xr:uid="{00000000-0005-0000-0000-000009000000}"/>
    <cellStyle name="Normal" xfId="0" builtinId="0"/>
    <cellStyle name="Normal 2" xfId="3" xr:uid="{00000000-0005-0000-0000-000007000000}"/>
    <cellStyle name="Normal 2 2" xfId="4" xr:uid="{00000000-0005-0000-0000-000008000000}"/>
    <cellStyle name="Percent" xfId="1" builtinId="5"/>
  </cellStyles>
  <dxfs count="4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B050"/>
      <rgbColor rgb="FFBFBFBF"/>
      <rgbColor rgb="FF808080"/>
      <rgbColor rgb="FF9999FF"/>
      <rgbColor rgb="FF993366"/>
      <rgbColor rgb="FFFBD9D7"/>
      <rgbColor rgb="FFD9E7FD"/>
      <rgbColor rgb="FF660066"/>
      <rgbColor rgb="FFFF66C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6EFCE"/>
      <rgbColor rgb="FFD3F1DB"/>
      <rgbColor rgb="FFB5E5E8"/>
      <rgbColor rgb="FF8EB6F8"/>
      <rgbColor rgb="FFFFCCFF"/>
      <rgbColor rgb="FFCC99FF"/>
      <rgbColor rgb="FFFFC7CE"/>
      <rgbColor rgb="FF3366FF"/>
      <rgbColor rgb="FF33CCCC"/>
      <rgbColor rgb="FF92D050"/>
      <rgbColor rgb="FFFFC000"/>
      <rgbColor rgb="FFFFBF00"/>
      <rgbColor rgb="FFFF6D01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/Desktop/WORKING%20FOLDER/FIRST%20SEMESTER/MID%20SEMESTER%20EXAMS/MID%20SEMESTER%20EXAMS%202023AA.xlsx" TargetMode="External"/><Relationship Id="rId1" Type="http://schemas.openxmlformats.org/officeDocument/2006/relationships/externalLinkPath" Target="/Users/user/Desktop/WORKING%20FOLDER/FIRST%20SEMESTER/MID%20SEMESTER%20EXAMS/MID%20SEMESTER%20EXAMS%202023A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/Desktop/WORKING%20FOLDER/FIRST%20SEMESTER/FINAL%20EXAMS/Examtt2k23_24_FS.xlsx" TargetMode="External"/><Relationship Id="rId1" Type="http://schemas.openxmlformats.org/officeDocument/2006/relationships/externalLinkPath" Target="/Users/user/Desktop/WORKING%20FOLDER/FIRST%20SEMESTER/FINAL%20EXAMS/Examtt2k23_24_F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/Dropbox/Exams%20Office_kmd/Examinations/Time%20Table/Exams/SS/2022_23_Exams%20TT/exams/Examtt2k22_23_ss_FINAL.xlsm" TargetMode="External"/><Relationship Id="rId1" Type="http://schemas.openxmlformats.org/officeDocument/2006/relationships/externalLinkPath" Target="/Users/user/Dropbox/Exams%20Office_kmd/Examinations/Time%20Table/Exams/SS/2022_23_Exams%20TT/exams/Examtt2k22_23_ss_FINAL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/Desktop/WORKING%20FOLDER/FIRST%20SEMESTER/FINAL%20EXAMS/Examtt2k22_24_SS_EXAMS.xlsx" TargetMode="External"/><Relationship Id="rId1" Type="http://schemas.openxmlformats.org/officeDocument/2006/relationships/externalLinkPath" Target="/Users/user/Desktop/WORKING%20FOLDER/FIRST%20SEMESTER/FINAL%20EXAMS/Examtt2k22_24_SS_EXAM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XAMINATION%20OFFICE/Dropbox/Exams%20Office_kmd/Examinations/Time%20Table/Exams/SS/2022_23_Exams%20TT/exams/Examtt2k22_23_ss_FINAL.xlsx" TargetMode="External"/><Relationship Id="rId1" Type="http://schemas.openxmlformats.org/officeDocument/2006/relationships/externalLinkPath" Target="/Users/EXAMINATION%20OFFICE/Dropbox/Exams%20Office_kmd/Examinations/Time%20Table/Exams/SS/2022_23_Exams%20TT/exams/Examtt2k22_23_ss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"/>
      <sheetName val="TT (Working)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 (MAIN)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 (Values)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eme1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M716"/>
  <sheetViews>
    <sheetView topLeftCell="A70" zoomScaleNormal="100" workbookViewId="0">
      <selection activeCell="A264" sqref="A264"/>
    </sheetView>
  </sheetViews>
  <sheetFormatPr defaultColWidth="7.75" defaultRowHeight="13" x14ac:dyDescent="0.3"/>
  <cols>
    <col min="1" max="1" width="9.33203125" style="15" customWidth="1"/>
    <col min="2" max="2" width="44.25" style="15" customWidth="1"/>
    <col min="3" max="3" width="32.1640625" style="16" customWidth="1"/>
    <col min="4" max="4" width="9.25" style="15" customWidth="1"/>
    <col min="5" max="5" width="7.33203125" style="15" customWidth="1"/>
    <col min="6" max="6" width="54.33203125" style="17" customWidth="1"/>
    <col min="7" max="7" width="10" style="18" customWidth="1"/>
    <col min="8" max="8" width="21.08203125" style="19" customWidth="1"/>
    <col min="9" max="9" width="32.75" style="20" customWidth="1"/>
    <col min="10" max="10" width="41" style="21" customWidth="1"/>
    <col min="11" max="16384" width="7.75" style="21"/>
  </cols>
  <sheetData>
    <row r="1" spans="1:12" x14ac:dyDescent="0.3">
      <c r="A1" s="14" t="s">
        <v>0</v>
      </c>
      <c r="B1" s="14"/>
      <c r="C1" s="14"/>
      <c r="D1" s="14"/>
      <c r="E1" s="14"/>
      <c r="F1" s="14"/>
      <c r="G1" s="14"/>
      <c r="I1" s="22" t="s">
        <v>1</v>
      </c>
      <c r="J1" s="23"/>
    </row>
    <row r="2" spans="1:12" x14ac:dyDescent="0.3">
      <c r="A2" s="14" t="s">
        <v>2</v>
      </c>
      <c r="B2" s="14"/>
      <c r="C2" s="14"/>
      <c r="D2" s="14"/>
      <c r="E2" s="14"/>
      <c r="F2" s="14"/>
      <c r="G2" s="14"/>
      <c r="I2" s="22" t="s">
        <v>3</v>
      </c>
      <c r="J2" s="23"/>
      <c r="L2" s="23"/>
    </row>
    <row r="3" spans="1:12" ht="14.5" x14ac:dyDescent="0.35">
      <c r="A3" s="24" t="s">
        <v>4</v>
      </c>
      <c r="B3" s="24" t="s">
        <v>5</v>
      </c>
      <c r="C3" s="16" t="s">
        <v>6</v>
      </c>
      <c r="D3" s="24" t="s">
        <v>7</v>
      </c>
      <c r="E3" s="24" t="s">
        <v>8</v>
      </c>
      <c r="F3" s="16" t="s">
        <v>9</v>
      </c>
      <c r="G3" s="24" t="s">
        <v>10</v>
      </c>
      <c r="I3" s="20" t="s">
        <v>11</v>
      </c>
      <c r="J3" s="25"/>
    </row>
    <row r="4" spans="1:12" ht="14.5" x14ac:dyDescent="0.35">
      <c r="A4" s="26" t="s">
        <v>12</v>
      </c>
      <c r="B4" s="27" t="str">
        <f t="array" ref="B4:B10">IFERROR(VLOOKUP(I4:I10,Lectures_1!A2:F534,2,FALSE()),0)</f>
        <v>DRAWING FOR ENGINEERS</v>
      </c>
      <c r="C4" s="27" t="str">
        <f t="array" ref="C4:C10">IFERROR(VLOOKUP(I4:I10,Lectures_1!A2:F534,3,FALSE()),0)</f>
        <v>Darkwah Lawrence</v>
      </c>
      <c r="D4" s="26" t="s">
        <v>13</v>
      </c>
      <c r="E4" s="28">
        <f t="array" ref="E4:E10">IFERROR(VLOOKUP(I4:I10,Lectures_1!A2:F534,4,FALSE()),0)</f>
        <v>160</v>
      </c>
      <c r="F4" s="29"/>
      <c r="G4" s="30">
        <f t="shared" ref="G4:G10" si="0">E4*1.1</f>
        <v>176</v>
      </c>
      <c r="I4" s="20" t="str">
        <f t="shared" ref="I4:I10" si="1">CONCATENATE(A4,",",D4)</f>
        <v>CHE 258,ED2-CHE</v>
      </c>
      <c r="J4" s="25"/>
    </row>
    <row r="5" spans="1:12" ht="14.5" x14ac:dyDescent="0.35">
      <c r="A5" s="26" t="s">
        <v>12</v>
      </c>
      <c r="B5" s="27" t="str">
        <v>DRAWING FOR ENGINEERS</v>
      </c>
      <c r="C5" s="27" t="str">
        <v>Darkwah Lawrence</v>
      </c>
      <c r="D5" s="26" t="s">
        <v>14</v>
      </c>
      <c r="E5" s="28">
        <v>65</v>
      </c>
      <c r="F5" s="27"/>
      <c r="G5" s="30">
        <f t="shared" si="0"/>
        <v>71.5</v>
      </c>
      <c r="I5" s="20" t="str">
        <f t="shared" si="1"/>
        <v>CHE 258,ED2-PCE</v>
      </c>
      <c r="J5" s="25"/>
    </row>
    <row r="6" spans="1:12" ht="14.5" x14ac:dyDescent="0.35">
      <c r="A6" s="26" t="s">
        <v>15</v>
      </c>
      <c r="B6" s="31" t="str">
        <v>OPERATING SYSTEMS</v>
      </c>
      <c r="C6" s="31" t="str">
        <v>Kommey Benjamin</v>
      </c>
      <c r="D6" s="26" t="s">
        <v>16</v>
      </c>
      <c r="E6" s="28">
        <v>265</v>
      </c>
      <c r="F6" s="32"/>
      <c r="G6" s="30">
        <f t="shared" si="0"/>
        <v>291.5</v>
      </c>
      <c r="I6" s="20" t="str">
        <f t="shared" si="1"/>
        <v>COE 354,ED3-COE</v>
      </c>
      <c r="J6" s="25"/>
    </row>
    <row r="7" spans="1:12" ht="14.5" x14ac:dyDescent="0.35">
      <c r="A7" s="26" t="s">
        <v>17</v>
      </c>
      <c r="B7" s="31" t="str">
        <v>WELL TESTING</v>
      </c>
      <c r="C7" s="27" t="str">
        <v>Adenutsi Caspar Daniel</v>
      </c>
      <c r="D7" s="26" t="s">
        <v>18</v>
      </c>
      <c r="E7" s="28">
        <v>80</v>
      </c>
      <c r="F7" s="32"/>
      <c r="G7" s="30">
        <f t="shared" si="0"/>
        <v>88</v>
      </c>
      <c r="I7" s="20" t="str">
        <f t="shared" si="1"/>
        <v>PE 360,ED3-PE</v>
      </c>
      <c r="J7" s="25"/>
    </row>
    <row r="8" spans="1:12" ht="14.5" x14ac:dyDescent="0.35">
      <c r="A8" s="26" t="s">
        <v>19</v>
      </c>
      <c r="B8" s="27" t="str">
        <v>ELECTRICAL ENG. DRAWING</v>
      </c>
      <c r="C8" s="27" t="str">
        <v>Kwegyir Daniel</v>
      </c>
      <c r="D8" s="26" t="s">
        <v>20</v>
      </c>
      <c r="E8" s="28">
        <v>262</v>
      </c>
      <c r="F8" s="13" t="s">
        <v>21</v>
      </c>
      <c r="G8" s="30">
        <f t="shared" si="0"/>
        <v>288.20000000000005</v>
      </c>
      <c r="I8" s="33" t="str">
        <f t="shared" si="1"/>
        <v>EE 156,ED1-COE</v>
      </c>
      <c r="J8" s="25"/>
    </row>
    <row r="9" spans="1:12" ht="14.5" x14ac:dyDescent="0.35">
      <c r="A9" s="26" t="s">
        <v>22</v>
      </c>
      <c r="B9" s="27" t="str">
        <v>AUTOMOTIVE CHASSIS</v>
      </c>
      <c r="C9" s="27" t="str">
        <v>Ayetor Godwin Kafui Kwesi</v>
      </c>
      <c r="D9" s="26" t="s">
        <v>23</v>
      </c>
      <c r="E9" s="28">
        <v>40</v>
      </c>
      <c r="F9" s="13"/>
      <c r="G9" s="30">
        <f t="shared" si="0"/>
        <v>44</v>
      </c>
      <c r="I9" s="20" t="str">
        <f t="shared" si="1"/>
        <v>AME 376,ED3-AUTO</v>
      </c>
      <c r="J9" s="25"/>
    </row>
    <row r="10" spans="1:12" ht="14.5" x14ac:dyDescent="0.35">
      <c r="A10" s="26" t="s">
        <v>24</v>
      </c>
      <c r="B10" s="31" t="str">
        <v>DIGITAL SYSTEMS</v>
      </c>
      <c r="C10" s="27" t="str">
        <v>Opoku Daniel</v>
      </c>
      <c r="D10" s="26" t="s">
        <v>25</v>
      </c>
      <c r="E10" s="28">
        <v>340</v>
      </c>
      <c r="F10" s="34"/>
      <c r="G10" s="30">
        <f t="shared" si="0"/>
        <v>374.00000000000006</v>
      </c>
      <c r="I10" s="20" t="str">
        <f t="shared" si="1"/>
        <v>EE 272,ED2-EE</v>
      </c>
      <c r="J10" s="25"/>
    </row>
    <row r="11" spans="1:12" ht="14.5" x14ac:dyDescent="0.35">
      <c r="A11" s="35"/>
      <c r="B11" s="35"/>
      <c r="D11" s="27" t="s">
        <v>26</v>
      </c>
      <c r="E11" s="35">
        <f>SUM(E4:E10)</f>
        <v>1212</v>
      </c>
      <c r="F11" s="36"/>
      <c r="G11" s="35"/>
      <c r="I11" s="22" t="s">
        <v>27</v>
      </c>
      <c r="J11" s="25"/>
    </row>
    <row r="12" spans="1:12" ht="14.5" x14ac:dyDescent="0.35">
      <c r="A12" s="35"/>
      <c r="B12" s="35"/>
      <c r="D12" s="27"/>
      <c r="E12" s="35"/>
      <c r="F12" s="36"/>
      <c r="G12" s="35"/>
      <c r="I12" s="22"/>
      <c r="J12" s="25"/>
    </row>
    <row r="13" spans="1:12" ht="14.5" x14ac:dyDescent="0.35">
      <c r="A13" s="14" t="s">
        <v>0</v>
      </c>
      <c r="B13" s="14"/>
      <c r="C13" s="14"/>
      <c r="D13" s="14"/>
      <c r="E13" s="14"/>
      <c r="F13" s="14"/>
      <c r="G13" s="14"/>
      <c r="I13" s="22" t="s">
        <v>28</v>
      </c>
      <c r="J13" s="25"/>
    </row>
    <row r="14" spans="1:12" s="23" customFormat="1" ht="14.5" x14ac:dyDescent="0.35">
      <c r="A14" s="14" t="s">
        <v>29</v>
      </c>
      <c r="B14" s="14"/>
      <c r="C14" s="14"/>
      <c r="D14" s="14"/>
      <c r="E14" s="14"/>
      <c r="F14" s="14"/>
      <c r="G14" s="14"/>
      <c r="H14" s="19"/>
      <c r="I14" s="22" t="s">
        <v>30</v>
      </c>
      <c r="J14" s="25"/>
    </row>
    <row r="15" spans="1:12" s="23" customFormat="1" ht="14.5" x14ac:dyDescent="0.35">
      <c r="A15" s="24" t="s">
        <v>4</v>
      </c>
      <c r="B15" s="24" t="s">
        <v>5</v>
      </c>
      <c r="C15" s="16" t="s">
        <v>6</v>
      </c>
      <c r="D15" s="24" t="s">
        <v>7</v>
      </c>
      <c r="E15" s="24" t="s">
        <v>8</v>
      </c>
      <c r="F15" s="16" t="s">
        <v>9</v>
      </c>
      <c r="G15" s="24" t="s">
        <v>10</v>
      </c>
      <c r="H15" s="19"/>
      <c r="I15" s="22" t="s">
        <v>31</v>
      </c>
      <c r="J15" s="25"/>
    </row>
    <row r="16" spans="1:12" ht="14.5" x14ac:dyDescent="0.35">
      <c r="A16" s="26" t="s">
        <v>32</v>
      </c>
      <c r="B16" s="27" t="str">
        <f t="array" ref="B16:B28">IFERROR(VLOOKUP(I16:I28,Lectures_1!A2:F534,2,FALSE()),0)</f>
        <v>MACHINE DESIGN PROJECT</v>
      </c>
      <c r="C16" s="27" t="str">
        <f t="array" ref="C16:C28">IFERROR(VLOOKUP(I16:I28,Lectures_1!A2:F534,3,FALSE()),0)</f>
        <v>Andoh Prince Yaw</v>
      </c>
      <c r="D16" s="26" t="s">
        <v>33</v>
      </c>
      <c r="E16" s="37">
        <f t="array" ref="E16:E28">IFERROR(VLOOKUP(I16:I28,Lectures_1!A2:F534,4,FALSE()),0)</f>
        <v>240</v>
      </c>
      <c r="F16" s="13" t="s">
        <v>34</v>
      </c>
      <c r="G16" s="30">
        <f t="shared" ref="G16:G28" si="2">E16*1.1</f>
        <v>264</v>
      </c>
      <c r="I16" s="20" t="str">
        <f t="shared" ref="I16:I28" si="3">CONCATENATE(A16,",",D16)</f>
        <v>ME 274,ED2-ME</v>
      </c>
      <c r="J16" s="25"/>
    </row>
    <row r="17" spans="1:10" ht="14.5" x14ac:dyDescent="0.35">
      <c r="A17" s="26" t="s">
        <v>35</v>
      </c>
      <c r="B17" s="31" t="str">
        <v>AEROSPACE DESIGN PROJECT II</v>
      </c>
      <c r="C17" s="31" t="str">
        <v>Andoh Prince Yaw</v>
      </c>
      <c r="D17" s="26" t="s">
        <v>36</v>
      </c>
      <c r="E17" s="28">
        <v>75</v>
      </c>
      <c r="F17" s="13"/>
      <c r="G17" s="30">
        <f t="shared" si="2"/>
        <v>82.5</v>
      </c>
      <c r="I17" s="20" t="str">
        <f t="shared" si="3"/>
        <v>AERO 274,ED2-AERO</v>
      </c>
      <c r="J17" s="25"/>
    </row>
    <row r="18" spans="1:10" ht="14.5" x14ac:dyDescent="0.35">
      <c r="A18" s="26" t="s">
        <v>37</v>
      </c>
      <c r="B18" s="27" t="str">
        <v>SECOND YEAR DESIGN PROJECT</v>
      </c>
      <c r="C18" s="31" t="str">
        <v>Andoh Prince Yaw</v>
      </c>
      <c r="D18" s="26" t="s">
        <v>38</v>
      </c>
      <c r="E18" s="28">
        <v>80</v>
      </c>
      <c r="F18" s="13"/>
      <c r="G18" s="30">
        <f t="shared" si="2"/>
        <v>88</v>
      </c>
      <c r="H18" s="17"/>
      <c r="I18" s="20" t="str">
        <f t="shared" si="3"/>
        <v>IE 274,ED2-IND</v>
      </c>
      <c r="J18" s="25"/>
    </row>
    <row r="19" spans="1:10" ht="14.5" x14ac:dyDescent="0.35">
      <c r="A19" s="26" t="s">
        <v>39</v>
      </c>
      <c r="B19" s="27" t="str">
        <v>AUTOMOTIVE DESIGN PROJECT</v>
      </c>
      <c r="C19" s="31" t="str">
        <v>Andoh Prince Yaw</v>
      </c>
      <c r="D19" s="26" t="s">
        <v>40</v>
      </c>
      <c r="E19" s="28">
        <v>82</v>
      </c>
      <c r="F19" s="13"/>
      <c r="G19" s="30">
        <f t="shared" si="2"/>
        <v>90.2</v>
      </c>
      <c r="H19" s="17"/>
      <c r="I19" s="20" t="str">
        <f t="shared" si="3"/>
        <v>AME 274,ED2-AUTO</v>
      </c>
      <c r="J19" s="25"/>
    </row>
    <row r="20" spans="1:10" ht="14.5" x14ac:dyDescent="0.35">
      <c r="A20" s="26" t="s">
        <v>41</v>
      </c>
      <c r="B20" s="27" t="str">
        <v>MARINE ENGINEERING DESIGN PROJECT II</v>
      </c>
      <c r="C20" s="31" t="str">
        <v>Andoh Prince Yaw</v>
      </c>
      <c r="D20" s="26" t="s">
        <v>42</v>
      </c>
      <c r="E20" s="28">
        <v>37</v>
      </c>
      <c r="F20" s="13"/>
      <c r="G20" s="30">
        <f t="shared" si="2"/>
        <v>40.700000000000003</v>
      </c>
      <c r="H20" s="17"/>
      <c r="I20" s="20" t="str">
        <f t="shared" si="3"/>
        <v>MME 274,ED2-MARI</v>
      </c>
      <c r="J20" s="25"/>
    </row>
    <row r="21" spans="1:10" ht="14.5" x14ac:dyDescent="0.35">
      <c r="A21" s="26" t="s">
        <v>43</v>
      </c>
      <c r="B21" s="31" t="str">
        <v>PETROLEUM REFINING ENGINEERING</v>
      </c>
      <c r="C21" s="31" t="str">
        <v>Kwao-Boateng Emmanuela</v>
      </c>
      <c r="D21" s="26" t="s">
        <v>44</v>
      </c>
      <c r="E21" s="28">
        <v>55</v>
      </c>
      <c r="F21" s="32"/>
      <c r="G21" s="30">
        <f t="shared" si="2"/>
        <v>60.500000000000007</v>
      </c>
      <c r="I21" s="20" t="str">
        <f t="shared" si="3"/>
        <v>PCE 450,ED4-PCE</v>
      </c>
      <c r="J21" s="25"/>
    </row>
    <row r="22" spans="1:10" ht="14.5" x14ac:dyDescent="0.35">
      <c r="A22" s="26" t="s">
        <v>45</v>
      </c>
      <c r="B22" s="31" t="str">
        <v>REFINING PROCESS TECHNOLOGY</v>
      </c>
      <c r="C22" s="31" t="str">
        <v>Kwao-Boateng Emmanuela</v>
      </c>
      <c r="D22" s="26" t="s">
        <v>46</v>
      </c>
      <c r="E22" s="28">
        <v>99</v>
      </c>
      <c r="F22" s="32"/>
      <c r="G22" s="30">
        <f t="shared" si="2"/>
        <v>108.9</v>
      </c>
      <c r="I22" s="20" t="str">
        <f t="shared" si="3"/>
        <v>PE 464,ED4-PE</v>
      </c>
      <c r="J22" s="25"/>
    </row>
    <row r="23" spans="1:10" ht="14.5" x14ac:dyDescent="0.35">
      <c r="A23" s="26" t="s">
        <v>47</v>
      </c>
      <c r="B23" s="31" t="str">
        <v>REFINING PROCESSES TECHNOLOGY</v>
      </c>
      <c r="C23" s="31" t="str">
        <v>Kwao-Boateng Emmanuela</v>
      </c>
      <c r="D23" s="26" t="s">
        <v>48</v>
      </c>
      <c r="E23" s="28">
        <v>50</v>
      </c>
      <c r="F23" s="32"/>
      <c r="G23" s="30">
        <f t="shared" si="2"/>
        <v>55.000000000000007</v>
      </c>
      <c r="I23" s="20" t="str">
        <f t="shared" si="3"/>
        <v>PCE 464,ED4-CHE</v>
      </c>
      <c r="J23" s="25"/>
    </row>
    <row r="24" spans="1:10" ht="14.5" x14ac:dyDescent="0.35">
      <c r="A24" s="26" t="s">
        <v>49</v>
      </c>
      <c r="B24" s="31" t="str">
        <v>CROP LOSSES AND THEIR CONTROL</v>
      </c>
      <c r="C24" s="31" t="str">
        <v xml:space="preserve">Darko Joseph Ofei </v>
      </c>
      <c r="D24" s="26" t="s">
        <v>50</v>
      </c>
      <c r="E24" s="28">
        <v>103</v>
      </c>
      <c r="F24" s="32"/>
      <c r="G24" s="30">
        <f t="shared" si="2"/>
        <v>113.30000000000001</v>
      </c>
      <c r="I24" s="20" t="str">
        <f t="shared" si="3"/>
        <v>AE 458,ED4-AE</v>
      </c>
      <c r="J24" s="25"/>
    </row>
    <row r="25" spans="1:10" ht="14.5" x14ac:dyDescent="0.35">
      <c r="A25" s="26" t="s">
        <v>19</v>
      </c>
      <c r="B25" s="27" t="str">
        <v>ELECTRICAL ENG. DRAWING</v>
      </c>
      <c r="C25" s="27" t="str">
        <v>Kwegyir Daniel</v>
      </c>
      <c r="D25" s="26" t="s">
        <v>51</v>
      </c>
      <c r="E25" s="28">
        <v>295</v>
      </c>
      <c r="F25" s="38" t="s">
        <v>21</v>
      </c>
      <c r="G25" s="30">
        <f t="shared" si="2"/>
        <v>324.5</v>
      </c>
      <c r="I25" s="20" t="str">
        <f t="shared" si="3"/>
        <v>EE 156,ED1-EE</v>
      </c>
      <c r="J25" s="25"/>
    </row>
    <row r="26" spans="1:10" ht="14.5" x14ac:dyDescent="0.35">
      <c r="A26" s="26" t="s">
        <v>52</v>
      </c>
      <c r="B26" s="27" t="str">
        <v>PRINCIPLES OF SURVEYING</v>
      </c>
      <c r="C26" s="27" t="str">
        <v>Akwasi Afrifa Acheampong</v>
      </c>
      <c r="D26" s="26" t="s">
        <v>53</v>
      </c>
      <c r="E26" s="28">
        <v>155</v>
      </c>
      <c r="F26" s="39"/>
      <c r="G26" s="30">
        <f t="shared" si="2"/>
        <v>170.5</v>
      </c>
      <c r="H26" s="40"/>
      <c r="I26" s="20" t="str">
        <f t="shared" si="3"/>
        <v>GE 286,ED2-AE</v>
      </c>
      <c r="J26" s="25"/>
    </row>
    <row r="27" spans="1:10" ht="14.5" x14ac:dyDescent="0.35">
      <c r="A27" s="26" t="s">
        <v>54</v>
      </c>
      <c r="B27" s="31" t="str">
        <v>FLUID MECHANICS</v>
      </c>
      <c r="C27" s="27" t="str">
        <v>Anornu Geophrey Kwame</v>
      </c>
      <c r="D27" s="26" t="s">
        <v>55</v>
      </c>
      <c r="E27" s="28">
        <v>150</v>
      </c>
      <c r="F27" s="32"/>
      <c r="G27" s="30">
        <f t="shared" si="2"/>
        <v>165</v>
      </c>
      <c r="I27" s="20" t="str">
        <f t="shared" si="3"/>
        <v>CE 256,ED2-GEOL</v>
      </c>
      <c r="J27" s="25"/>
    </row>
    <row r="28" spans="1:10" ht="14.5" x14ac:dyDescent="0.35">
      <c r="A28" s="26" t="s">
        <v>54</v>
      </c>
      <c r="B28" s="27" t="str">
        <v>FLUID MECHANICS</v>
      </c>
      <c r="C28" s="27" t="str">
        <v>Anornu Geophrey Kwame</v>
      </c>
      <c r="D28" s="26" t="s">
        <v>56</v>
      </c>
      <c r="E28" s="28">
        <v>250</v>
      </c>
      <c r="F28" s="32"/>
      <c r="G28" s="30">
        <f t="shared" si="2"/>
        <v>275</v>
      </c>
      <c r="I28" s="20" t="str">
        <f t="shared" si="3"/>
        <v>CE 256,ED2-CE</v>
      </c>
      <c r="J28" s="25"/>
    </row>
    <row r="29" spans="1:10" ht="14.5" x14ac:dyDescent="0.35">
      <c r="A29" s="26"/>
      <c r="B29" s="35"/>
      <c r="D29" s="27" t="s">
        <v>57</v>
      </c>
      <c r="E29" s="35">
        <f>SUM(E21:E28)</f>
        <v>1157</v>
      </c>
      <c r="F29" s="36"/>
      <c r="G29" s="35"/>
      <c r="I29" s="22" t="s">
        <v>58</v>
      </c>
      <c r="J29" s="25"/>
    </row>
    <row r="30" spans="1:10" ht="14.5" x14ac:dyDescent="0.35">
      <c r="A30" s="26"/>
      <c r="B30" s="35"/>
      <c r="D30" s="27"/>
      <c r="E30" s="35"/>
      <c r="F30" s="36"/>
      <c r="G30" s="35"/>
      <c r="I30" s="22"/>
      <c r="J30" s="25"/>
    </row>
    <row r="31" spans="1:10" ht="14.5" x14ac:dyDescent="0.35">
      <c r="A31" s="14" t="s">
        <v>0</v>
      </c>
      <c r="B31" s="14"/>
      <c r="C31" s="14"/>
      <c r="D31" s="14"/>
      <c r="E31" s="14"/>
      <c r="F31" s="14"/>
      <c r="G31" s="14"/>
      <c r="I31" s="22" t="s">
        <v>28</v>
      </c>
      <c r="J31" s="25"/>
    </row>
    <row r="32" spans="1:10" s="23" customFormat="1" ht="14.5" x14ac:dyDescent="0.35">
      <c r="A32" s="14" t="s">
        <v>59</v>
      </c>
      <c r="B32" s="14"/>
      <c r="C32" s="14"/>
      <c r="D32" s="14"/>
      <c r="E32" s="14"/>
      <c r="F32" s="14"/>
      <c r="G32" s="14"/>
      <c r="H32" s="19"/>
      <c r="I32" s="22" t="s">
        <v>30</v>
      </c>
      <c r="J32" s="25"/>
    </row>
    <row r="33" spans="1:12" s="23" customFormat="1" ht="14.5" x14ac:dyDescent="0.35">
      <c r="A33" s="24" t="s">
        <v>4</v>
      </c>
      <c r="B33" s="24" t="s">
        <v>5</v>
      </c>
      <c r="C33" s="16" t="s">
        <v>6</v>
      </c>
      <c r="D33" s="24" t="s">
        <v>7</v>
      </c>
      <c r="E33" s="24" t="s">
        <v>8</v>
      </c>
      <c r="F33" s="16" t="s">
        <v>9</v>
      </c>
      <c r="G33" s="24" t="s">
        <v>10</v>
      </c>
      <c r="H33" s="19"/>
      <c r="I33" s="22" t="s">
        <v>31</v>
      </c>
      <c r="J33" s="25"/>
    </row>
    <row r="34" spans="1:12" ht="14.5" x14ac:dyDescent="0.35">
      <c r="A34" s="26" t="s">
        <v>60</v>
      </c>
      <c r="B34" s="27" t="str">
        <f t="array" ref="B34:B42">IFERROR(VLOOKUP(I34:I42,Lectures_1!A2:F534,2,FALSE()),0)</f>
        <v>MACHINE ELEMENTS DESIGN II</v>
      </c>
      <c r="C34" s="41" t="str">
        <f t="array" ref="C34:C42">IFERROR(VLOOKUP(I34:I42,Lectures_1!A2:F534,3,FALSE()),0)</f>
        <v>Andoh Prince Yaw</v>
      </c>
      <c r="D34" s="32" t="s">
        <v>61</v>
      </c>
      <c r="E34" s="28">
        <f t="array" ref="E34:E42">IFERROR(VLOOKUP(I34:I42,Lectures_1!A2:F534,4,FALSE()),0)</f>
        <v>222</v>
      </c>
      <c r="F34" s="13" t="s">
        <v>21</v>
      </c>
      <c r="G34" s="30">
        <f t="shared" ref="G34:G42" si="4">E34*1.1</f>
        <v>244.20000000000002</v>
      </c>
      <c r="I34" s="20" t="str">
        <f t="shared" ref="I34:I42" si="5">CONCATENATE(A34,",",D34)</f>
        <v>ME 374,ED3-ME</v>
      </c>
      <c r="J34" s="25"/>
    </row>
    <row r="35" spans="1:12" ht="14.5" x14ac:dyDescent="0.35">
      <c r="A35" s="26" t="s">
        <v>62</v>
      </c>
      <c r="B35" s="27" t="str">
        <v>PETROCHEMICAL ENGINEERING LABORATORY II</v>
      </c>
      <c r="C35" s="27" t="str">
        <v>Bonsu Jude Kwaku</v>
      </c>
      <c r="D35" s="26" t="s">
        <v>63</v>
      </c>
      <c r="E35" s="28">
        <v>53</v>
      </c>
      <c r="F35" s="13"/>
      <c r="G35" s="30">
        <f t="shared" si="4"/>
        <v>58.300000000000004</v>
      </c>
      <c r="I35" s="20" t="str">
        <f t="shared" si="5"/>
        <v>PCE 354,ED3-PCE</v>
      </c>
      <c r="J35" s="25"/>
    </row>
    <row r="36" spans="1:12" ht="14.5" x14ac:dyDescent="0.35">
      <c r="A36" s="26" t="s">
        <v>64</v>
      </c>
      <c r="B36" s="27" t="str">
        <v>BIOINSTRUMENTATION I</v>
      </c>
      <c r="C36" s="31" t="str">
        <v>Acquah Isaac</v>
      </c>
      <c r="D36" s="26" t="s">
        <v>65</v>
      </c>
      <c r="E36" s="28">
        <v>90</v>
      </c>
      <c r="F36" s="26"/>
      <c r="G36" s="30">
        <f t="shared" si="4"/>
        <v>99.000000000000014</v>
      </c>
      <c r="I36" s="20" t="str">
        <f t="shared" si="5"/>
        <v>BME 372,ED3-BME</v>
      </c>
      <c r="J36" s="25"/>
    </row>
    <row r="37" spans="1:12" ht="14.5" x14ac:dyDescent="0.35">
      <c r="A37" s="26" t="s">
        <v>66</v>
      </c>
      <c r="B37" s="27" t="str">
        <v>INSTRUMENTATION</v>
      </c>
      <c r="C37" s="27" t="str">
        <v>Adam Faisal Wahib</v>
      </c>
      <c r="D37" s="26" t="s">
        <v>67</v>
      </c>
      <c r="E37" s="28">
        <v>135</v>
      </c>
      <c r="F37" s="32"/>
      <c r="G37" s="30">
        <f t="shared" si="4"/>
        <v>148.5</v>
      </c>
      <c r="I37" s="20" t="str">
        <f t="shared" si="5"/>
        <v>ME 464,ED4-ME</v>
      </c>
      <c r="J37" s="25"/>
    </row>
    <row r="38" spans="1:12" ht="14.5" x14ac:dyDescent="0.35">
      <c r="A38" s="26" t="s">
        <v>68</v>
      </c>
      <c r="B38" s="27" t="str">
        <v>NAVAL ARCHITECTURE II</v>
      </c>
      <c r="C38" s="27" t="str">
        <v>Kudzedzi Emmanuel Yaw Mawuko</v>
      </c>
      <c r="D38" s="26" t="s">
        <v>69</v>
      </c>
      <c r="E38" s="28">
        <v>23</v>
      </c>
      <c r="F38" s="32"/>
      <c r="G38" s="30">
        <f t="shared" si="4"/>
        <v>25.3</v>
      </c>
      <c r="I38" s="20" t="str">
        <f t="shared" si="5"/>
        <v>MME 482,ED4-MARI</v>
      </c>
      <c r="J38" s="25"/>
    </row>
    <row r="39" spans="1:12" ht="14.5" x14ac:dyDescent="0.35">
      <c r="A39" s="26" t="s">
        <v>70</v>
      </c>
      <c r="B39" s="27" t="str">
        <v>SUBSTATIONS AND TRANSMISSION LINE DESIGN</v>
      </c>
      <c r="C39" s="27" t="str">
        <v>Antoh Emmanuel Kwaku</v>
      </c>
      <c r="D39" s="26" t="s">
        <v>71</v>
      </c>
      <c r="E39" s="28">
        <v>240</v>
      </c>
      <c r="F39" s="32"/>
      <c r="G39" s="30">
        <f t="shared" si="4"/>
        <v>264</v>
      </c>
      <c r="I39" s="20" t="str">
        <f t="shared" si="5"/>
        <v>EE 362,ED3-EE</v>
      </c>
      <c r="J39" s="25"/>
    </row>
    <row r="40" spans="1:12" ht="14.5" x14ac:dyDescent="0.35">
      <c r="A40" s="26" t="s">
        <v>72</v>
      </c>
      <c r="B40" s="27" t="str">
        <v>SILICATE TECHNOLOGY II</v>
      </c>
      <c r="C40" s="31" t="str">
        <v>Momade Zsuzsanna Gál</v>
      </c>
      <c r="D40" s="26" t="s">
        <v>73</v>
      </c>
      <c r="E40" s="28">
        <v>15</v>
      </c>
      <c r="F40" s="32"/>
      <c r="G40" s="30">
        <f t="shared" si="4"/>
        <v>16.5</v>
      </c>
      <c r="I40" s="20" t="str">
        <f t="shared" si="5"/>
        <v>CHE 362,ED3-CHE</v>
      </c>
      <c r="J40" s="25"/>
    </row>
    <row r="41" spans="1:12" ht="14.5" x14ac:dyDescent="0.35">
      <c r="A41" s="26" t="s">
        <v>74</v>
      </c>
      <c r="B41" s="31" t="str">
        <v>PROPERTIES OF CIVIL ENGINEERING MATERIAL</v>
      </c>
      <c r="C41" s="31" t="str">
        <v>Kankam Charles Kwame</v>
      </c>
      <c r="D41" s="26" t="s">
        <v>75</v>
      </c>
      <c r="E41" s="28">
        <v>245</v>
      </c>
      <c r="F41" s="32"/>
      <c r="G41" s="30">
        <f t="shared" si="4"/>
        <v>269.5</v>
      </c>
      <c r="I41" s="20" t="str">
        <f t="shared" si="5"/>
        <v>CE 154,ED1-CE</v>
      </c>
      <c r="J41" s="25"/>
    </row>
    <row r="42" spans="1:12" ht="14.5" x14ac:dyDescent="0.35">
      <c r="A42" s="26" t="s">
        <v>76</v>
      </c>
      <c r="B42" s="27" t="str">
        <v>ANALYSIS OF ERRORS</v>
      </c>
      <c r="C42" s="31" t="str">
        <v>Collins Fosu</v>
      </c>
      <c r="D42" s="26" t="s">
        <v>77</v>
      </c>
      <c r="E42" s="28">
        <v>122</v>
      </c>
      <c r="F42" s="32"/>
      <c r="G42" s="30">
        <f t="shared" si="4"/>
        <v>134.20000000000002</v>
      </c>
      <c r="I42" s="20" t="str">
        <f t="shared" si="5"/>
        <v>GE 372,ED3-GEOM</v>
      </c>
      <c r="J42" s="25"/>
    </row>
    <row r="43" spans="1:12" ht="14.5" x14ac:dyDescent="0.35">
      <c r="A43" s="26"/>
      <c r="B43" s="35"/>
      <c r="D43" s="27" t="s">
        <v>57</v>
      </c>
      <c r="E43" s="35">
        <f>SUM(E34:E42)</f>
        <v>1145</v>
      </c>
      <c r="F43" s="36"/>
      <c r="G43" s="35"/>
      <c r="I43" s="22" t="s">
        <v>58</v>
      </c>
      <c r="J43" s="25"/>
    </row>
    <row r="44" spans="1:12" ht="14.5" x14ac:dyDescent="0.35">
      <c r="A44" s="26"/>
      <c r="B44" s="35"/>
      <c r="D44" s="27"/>
      <c r="E44" s="35"/>
      <c r="F44" s="36"/>
      <c r="G44" s="35"/>
      <c r="I44" s="22"/>
      <c r="J44" s="25"/>
    </row>
    <row r="45" spans="1:12" x14ac:dyDescent="0.3">
      <c r="A45" s="14" t="s">
        <v>78</v>
      </c>
      <c r="B45" s="14"/>
      <c r="C45" s="14"/>
      <c r="D45" s="14"/>
      <c r="E45" s="14"/>
      <c r="F45" s="14"/>
      <c r="G45" s="14"/>
      <c r="I45" s="22" t="s">
        <v>1</v>
      </c>
      <c r="J45" s="23"/>
    </row>
    <row r="46" spans="1:12" x14ac:dyDescent="0.3">
      <c r="A46" s="14" t="s">
        <v>2</v>
      </c>
      <c r="B46" s="14"/>
      <c r="C46" s="14"/>
      <c r="D46" s="14"/>
      <c r="E46" s="14"/>
      <c r="F46" s="14"/>
      <c r="G46" s="14"/>
      <c r="I46" s="22" t="s">
        <v>3</v>
      </c>
      <c r="J46" s="23"/>
      <c r="L46" s="23"/>
    </row>
    <row r="47" spans="1:12" ht="14.5" x14ac:dyDescent="0.35">
      <c r="A47" s="24" t="s">
        <v>4</v>
      </c>
      <c r="B47" s="24" t="s">
        <v>5</v>
      </c>
      <c r="C47" s="16" t="s">
        <v>6</v>
      </c>
      <c r="D47" s="24" t="s">
        <v>7</v>
      </c>
      <c r="E47" s="24" t="s">
        <v>8</v>
      </c>
      <c r="F47" s="16" t="s">
        <v>9</v>
      </c>
      <c r="G47" s="24" t="s">
        <v>10</v>
      </c>
      <c r="I47" s="20" t="s">
        <v>11</v>
      </c>
      <c r="J47" s="25"/>
    </row>
    <row r="48" spans="1:12" ht="14.5" x14ac:dyDescent="0.35">
      <c r="A48" s="26" t="s">
        <v>79</v>
      </c>
      <c r="B48" s="27" t="str">
        <f t="array" ref="B48:B64">IFERROR(VLOOKUP(I48:I64,Lectures_1!A2:F534,2,FALSE()),0)</f>
        <v>GENERAL PHYSICS</v>
      </c>
      <c r="C48" s="31" t="str">
        <f t="array" ref="C48:C64">IFERROR(VLOOKUP(I48:I64,Lectures_1!A2:F534,3,FALSE()),0)</f>
        <v>Boateng Cyril Dziedzorm</v>
      </c>
      <c r="D48" s="26" t="s">
        <v>80</v>
      </c>
      <c r="E48" s="28">
        <f t="array" ref="E48:E64">IFERROR(VLOOKUP(I48:I64,Lectures_1!A2:F534,4,FALSE()),0)</f>
        <v>120</v>
      </c>
      <c r="F48" s="13" t="s">
        <v>34</v>
      </c>
      <c r="G48" s="30">
        <f t="shared" ref="G48:G64" si="6">E48*1.1</f>
        <v>132</v>
      </c>
      <c r="I48" s="20" t="str">
        <f t="shared" ref="I48:I64" si="7">CONCATENATE(A48,",",D48)</f>
        <v>PHY 170,ED1-CHE</v>
      </c>
      <c r="J48" s="25"/>
    </row>
    <row r="49" spans="1:13" ht="14.5" x14ac:dyDescent="0.35">
      <c r="A49" s="26" t="s">
        <v>79</v>
      </c>
      <c r="B49" s="27" t="str">
        <v>GENERAL PHYSICS</v>
      </c>
      <c r="C49" s="31" t="str">
        <v>Abavare Eric Kwabena Kyeh</v>
      </c>
      <c r="D49" s="26" t="s">
        <v>81</v>
      </c>
      <c r="E49" s="28">
        <v>56</v>
      </c>
      <c r="F49" s="13"/>
      <c r="G49" s="30">
        <f t="shared" si="6"/>
        <v>61.600000000000009</v>
      </c>
      <c r="I49" s="20" t="str">
        <f t="shared" si="7"/>
        <v>PHY 170,ED1-PCE</v>
      </c>
      <c r="J49" s="25"/>
    </row>
    <row r="50" spans="1:13" ht="14.5" x14ac:dyDescent="0.35">
      <c r="A50" s="26" t="s">
        <v>79</v>
      </c>
      <c r="B50" s="27" t="str">
        <v>GENERAL PHYSICS</v>
      </c>
      <c r="C50" s="31" t="str">
        <v>Boateng Cyril Dziedzorm</v>
      </c>
      <c r="D50" s="26" t="s">
        <v>82</v>
      </c>
      <c r="E50" s="28">
        <v>130</v>
      </c>
      <c r="F50" s="13"/>
      <c r="G50" s="30">
        <f t="shared" si="6"/>
        <v>143</v>
      </c>
      <c r="I50" s="20" t="str">
        <f t="shared" si="7"/>
        <v>PHY 170,ED1-PE</v>
      </c>
      <c r="J50" s="25"/>
    </row>
    <row r="51" spans="1:13" ht="14.5" x14ac:dyDescent="0.35">
      <c r="A51" s="26" t="s">
        <v>83</v>
      </c>
      <c r="B51" s="27" t="str">
        <v>HEAT TRANSPORT PROCESSES</v>
      </c>
      <c r="C51" s="31" t="str">
        <v>Ohemeng-Boahen Godfred</v>
      </c>
      <c r="D51" s="32" t="s">
        <v>14</v>
      </c>
      <c r="E51" s="28">
        <v>65</v>
      </c>
      <c r="F51" s="32"/>
      <c r="G51" s="30">
        <f t="shared" si="6"/>
        <v>71.5</v>
      </c>
      <c r="I51" s="20" t="str">
        <f t="shared" si="7"/>
        <v>CHE 256,ED2-PCE</v>
      </c>
      <c r="J51" s="25"/>
    </row>
    <row r="52" spans="1:13" ht="14.5" x14ac:dyDescent="0.35">
      <c r="A52" s="26" t="s">
        <v>83</v>
      </c>
      <c r="B52" s="27" t="str">
        <v>HEAT TRANSPORT PROCESSES</v>
      </c>
      <c r="C52" s="31" t="str">
        <v>Momade Zsuzsanna Gál</v>
      </c>
      <c r="D52" s="26" t="s">
        <v>13</v>
      </c>
      <c r="E52" s="28">
        <v>160</v>
      </c>
      <c r="F52" s="32"/>
      <c r="G52" s="30">
        <f t="shared" si="6"/>
        <v>176</v>
      </c>
      <c r="I52" s="20" t="str">
        <f t="shared" si="7"/>
        <v>CHE 256,ED2-CHE</v>
      </c>
      <c r="J52" s="25"/>
    </row>
    <row r="53" spans="1:13" ht="14.5" x14ac:dyDescent="0.35">
      <c r="A53" s="26" t="s">
        <v>84</v>
      </c>
      <c r="B53" s="27" t="str">
        <v>SEAMANSHIP</v>
      </c>
      <c r="C53" s="31" t="str">
        <v>Larkai Francis Laako</v>
      </c>
      <c r="D53" s="26" t="s">
        <v>42</v>
      </c>
      <c r="E53" s="28">
        <v>37</v>
      </c>
      <c r="F53" s="32"/>
      <c r="G53" s="30">
        <f t="shared" si="6"/>
        <v>40.700000000000003</v>
      </c>
      <c r="I53" s="20" t="str">
        <f t="shared" si="7"/>
        <v>MME 292,ED2-MARI</v>
      </c>
      <c r="J53" s="25"/>
    </row>
    <row r="54" spans="1:13" ht="14.5" x14ac:dyDescent="0.35">
      <c r="A54" s="26" t="s">
        <v>85</v>
      </c>
      <c r="B54" s="27" t="str">
        <v>MARINE ENGINEERING LABORATORY III</v>
      </c>
      <c r="C54" s="27" t="str">
        <v>Tay Godwin Fabiola Kwaku</v>
      </c>
      <c r="D54" s="26" t="s">
        <v>86</v>
      </c>
      <c r="E54" s="28">
        <v>40</v>
      </c>
      <c r="F54" s="32"/>
      <c r="G54" s="30">
        <f t="shared" si="6"/>
        <v>44</v>
      </c>
      <c r="I54" s="20" t="str">
        <f t="shared" si="7"/>
        <v>MME 396,ED3-MARI</v>
      </c>
      <c r="J54" s="25"/>
    </row>
    <row r="55" spans="1:13" ht="14.5" x14ac:dyDescent="0.35">
      <c r="A55" s="26" t="s">
        <v>87</v>
      </c>
      <c r="B55" s="31" t="str">
        <v>RENEWABLE ENERGY SYSTEMS AND MANAGEMENT</v>
      </c>
      <c r="C55" s="31" t="str">
        <v>Kemausuor Francis</v>
      </c>
      <c r="D55" s="26" t="s">
        <v>88</v>
      </c>
      <c r="E55" s="28">
        <v>101</v>
      </c>
      <c r="F55" s="32"/>
      <c r="G55" s="30">
        <f t="shared" si="6"/>
        <v>111.10000000000001</v>
      </c>
      <c r="I55" s="20" t="str">
        <f t="shared" si="7"/>
        <v>AE 358,ED3-AE</v>
      </c>
      <c r="J55" s="25"/>
    </row>
    <row r="56" spans="1:13" ht="14.5" x14ac:dyDescent="0.35">
      <c r="A56" s="26" t="s">
        <v>89</v>
      </c>
      <c r="B56" s="31" t="str">
        <v>INTRODUCTION TO LIGHTING AND ACOUSTICS</v>
      </c>
      <c r="C56" s="31" t="str">
        <v>Amos-Abanyie Samuel</v>
      </c>
      <c r="D56" s="26" t="s">
        <v>75</v>
      </c>
      <c r="E56" s="28">
        <v>55</v>
      </c>
      <c r="F56" s="32"/>
      <c r="G56" s="30">
        <f t="shared" si="6"/>
        <v>60.500000000000007</v>
      </c>
      <c r="I56" s="20" t="str">
        <f t="shared" si="7"/>
        <v>ARC 156,ED1-CE</v>
      </c>
      <c r="J56" s="25"/>
    </row>
    <row r="57" spans="1:13" ht="14.5" x14ac:dyDescent="0.35">
      <c r="A57" s="26" t="s">
        <v>90</v>
      </c>
      <c r="B57" s="31" t="str">
        <v>INTRODUCTION TO COMMUNICATION NETWORKS</v>
      </c>
      <c r="C57" s="31" t="str">
        <v>Agyemang Justice Owusu</v>
      </c>
      <c r="D57" s="26" t="s">
        <v>91</v>
      </c>
      <c r="E57" s="28">
        <v>130</v>
      </c>
      <c r="F57" s="32" t="s">
        <v>21</v>
      </c>
      <c r="G57" s="30">
        <f t="shared" si="6"/>
        <v>143</v>
      </c>
      <c r="I57" s="20" t="str">
        <f t="shared" si="7"/>
        <v>TE 156,ED1-TEL</v>
      </c>
      <c r="J57" s="25"/>
    </row>
    <row r="58" spans="1:13" ht="14.5" x14ac:dyDescent="0.35">
      <c r="A58" s="26" t="s">
        <v>92</v>
      </c>
      <c r="B58" s="27" t="str">
        <v>DRAWING FOR ENGINEERS</v>
      </c>
      <c r="C58" s="27" t="str">
        <v>Jones Twumasi</v>
      </c>
      <c r="D58" s="26" t="s">
        <v>93</v>
      </c>
      <c r="E58" s="28">
        <v>95</v>
      </c>
      <c r="F58" s="26"/>
      <c r="G58" s="30">
        <f t="shared" si="6"/>
        <v>104.50000000000001</v>
      </c>
      <c r="I58" s="20" t="str">
        <f t="shared" si="7"/>
        <v>PE 254,ED2-PE</v>
      </c>
      <c r="J58" s="25"/>
    </row>
    <row r="59" spans="1:13" ht="14.5" x14ac:dyDescent="0.35">
      <c r="A59" s="26" t="s">
        <v>94</v>
      </c>
      <c r="B59" s="31" t="str">
        <v>LARGE SCALE SURVEYING</v>
      </c>
      <c r="C59" s="27" t="str">
        <v>Ayer John Wise Divine</v>
      </c>
      <c r="D59" s="26" t="s">
        <v>95</v>
      </c>
      <c r="E59" s="28">
        <v>103</v>
      </c>
      <c r="F59" s="32"/>
      <c r="G59" s="30">
        <f t="shared" si="6"/>
        <v>113.30000000000001</v>
      </c>
      <c r="I59" s="20" t="str">
        <f t="shared" si="7"/>
        <v>GE 162,ED1-GEOM</v>
      </c>
      <c r="J59" s="25"/>
    </row>
    <row r="60" spans="1:13" ht="14.5" x14ac:dyDescent="0.35">
      <c r="A60" s="42" t="s">
        <v>96</v>
      </c>
      <c r="B60" s="27" t="str">
        <v>SPECIAL VEHICLE DESIGN</v>
      </c>
      <c r="C60" s="27" t="str">
        <v>Ayetor Godwin Kafui Kwesi</v>
      </c>
      <c r="D60" s="42" t="s">
        <v>97</v>
      </c>
      <c r="E60" s="28">
        <v>32</v>
      </c>
      <c r="F60" s="32"/>
      <c r="G60" s="30">
        <f t="shared" si="6"/>
        <v>35.200000000000003</v>
      </c>
      <c r="I60" s="20" t="str">
        <f t="shared" si="7"/>
        <v>AME 482,ED4-AUTO</v>
      </c>
      <c r="J60" s="25"/>
    </row>
    <row r="61" spans="1:13" s="15" customFormat="1" ht="14.5" x14ac:dyDescent="0.35">
      <c r="A61" s="26" t="s">
        <v>98</v>
      </c>
      <c r="B61" s="27" t="str">
        <v>APPLIED METEOROLOGY</v>
      </c>
      <c r="C61" s="31" t="str">
        <v>Prince Junior Asilevi</v>
      </c>
      <c r="D61" s="26" t="s">
        <v>99</v>
      </c>
      <c r="E61" s="28">
        <v>61</v>
      </c>
      <c r="F61" s="32"/>
      <c r="G61" s="30">
        <f t="shared" si="6"/>
        <v>67.100000000000009</v>
      </c>
      <c r="H61" s="19"/>
      <c r="I61" s="20" t="str">
        <f t="shared" si="7"/>
        <v>AERO 456,ED4-AERO</v>
      </c>
      <c r="J61" s="25"/>
      <c r="K61" s="21"/>
      <c r="L61" s="21"/>
      <c r="M61" s="21"/>
    </row>
    <row r="62" spans="1:13" ht="14.5" x14ac:dyDescent="0.35">
      <c r="A62" s="26" t="s">
        <v>100</v>
      </c>
      <c r="B62" s="31" t="str">
        <v>ASSAYING</v>
      </c>
      <c r="C62" s="31" t="str">
        <v>Koomson Bennetta</v>
      </c>
      <c r="D62" s="26" t="s">
        <v>101</v>
      </c>
      <c r="E62" s="28">
        <v>57</v>
      </c>
      <c r="F62" s="32"/>
      <c r="G62" s="30">
        <f t="shared" si="6"/>
        <v>62.7</v>
      </c>
      <c r="I62" s="20" t="str">
        <f t="shared" si="7"/>
        <v>METE 256,ED2-METE</v>
      </c>
      <c r="J62" s="25"/>
    </row>
    <row r="63" spans="1:13" ht="14.5" x14ac:dyDescent="0.35">
      <c r="A63" s="26" t="s">
        <v>102</v>
      </c>
      <c r="B63" s="27" t="str">
        <v>ENVIRONMENTAL QUALITY ENGINEERING II</v>
      </c>
      <c r="C63" s="31" t="str">
        <v>Appiah-Effah Eugene</v>
      </c>
      <c r="D63" s="26" t="s">
        <v>103</v>
      </c>
      <c r="E63" s="28">
        <v>115</v>
      </c>
      <c r="F63" s="32"/>
      <c r="G63" s="30">
        <f t="shared" si="6"/>
        <v>126.50000000000001</v>
      </c>
      <c r="I63" s="20" t="str">
        <f t="shared" si="7"/>
        <v>CE 464,ED4-CE</v>
      </c>
      <c r="J63" s="25"/>
    </row>
    <row r="64" spans="1:13" ht="14.5" x14ac:dyDescent="0.35">
      <c r="A64" s="26" t="s">
        <v>104</v>
      </c>
      <c r="B64" s="31" t="str">
        <v>FUNDAMENTALS OF PETROLEUM LAW</v>
      </c>
      <c r="C64" s="31" t="str">
        <v>Amoah Enoch Kwabena</v>
      </c>
      <c r="D64" s="26" t="s">
        <v>46</v>
      </c>
      <c r="E64" s="28">
        <v>99</v>
      </c>
      <c r="F64" s="32"/>
      <c r="G64" s="30">
        <f t="shared" si="6"/>
        <v>108.9</v>
      </c>
      <c r="I64" s="20" t="str">
        <f t="shared" si="7"/>
        <v>PE 466,ED4-PE</v>
      </c>
      <c r="J64" s="25"/>
    </row>
    <row r="65" spans="1:10" ht="14.5" x14ac:dyDescent="0.35">
      <c r="A65" s="35"/>
      <c r="B65" s="35"/>
      <c r="D65" s="27" t="s">
        <v>105</v>
      </c>
      <c r="E65" s="35">
        <f>SUM(E51:E64)</f>
        <v>1150</v>
      </c>
      <c r="F65" s="36"/>
      <c r="G65" s="35"/>
      <c r="I65" s="22" t="s">
        <v>27</v>
      </c>
      <c r="J65" s="25"/>
    </row>
    <row r="66" spans="1:10" ht="14.5" x14ac:dyDescent="0.35">
      <c r="A66" s="35"/>
      <c r="B66" s="35"/>
      <c r="D66" s="35"/>
      <c r="E66" s="43"/>
      <c r="F66" s="36"/>
      <c r="G66" s="35"/>
      <c r="I66" s="22" t="s">
        <v>106</v>
      </c>
      <c r="J66" s="25"/>
    </row>
    <row r="67" spans="1:10" ht="14.5" x14ac:dyDescent="0.35">
      <c r="A67" s="14" t="s">
        <v>78</v>
      </c>
      <c r="B67" s="14"/>
      <c r="C67" s="14"/>
      <c r="D67" s="14"/>
      <c r="E67" s="14"/>
      <c r="F67" s="14"/>
      <c r="G67" s="14"/>
      <c r="I67" s="22" t="s">
        <v>28</v>
      </c>
      <c r="J67" s="25"/>
    </row>
    <row r="68" spans="1:10" s="23" customFormat="1" ht="14.5" x14ac:dyDescent="0.35">
      <c r="A68" s="14" t="s">
        <v>29</v>
      </c>
      <c r="B68" s="14"/>
      <c r="C68" s="14"/>
      <c r="D68" s="14"/>
      <c r="E68" s="14"/>
      <c r="F68" s="14"/>
      <c r="G68" s="14"/>
      <c r="H68" s="19"/>
      <c r="I68" s="22" t="s">
        <v>30</v>
      </c>
      <c r="J68" s="25"/>
    </row>
    <row r="69" spans="1:10" s="23" customFormat="1" ht="14.5" x14ac:dyDescent="0.35">
      <c r="A69" s="24" t="s">
        <v>4</v>
      </c>
      <c r="B69" s="24" t="s">
        <v>5</v>
      </c>
      <c r="C69" s="16" t="s">
        <v>6</v>
      </c>
      <c r="D69" s="24" t="s">
        <v>7</v>
      </c>
      <c r="E69" s="24" t="s">
        <v>8</v>
      </c>
      <c r="F69" s="16" t="s">
        <v>9</v>
      </c>
      <c r="G69" s="24" t="s">
        <v>10</v>
      </c>
      <c r="H69" s="19"/>
      <c r="I69" s="22" t="s">
        <v>31</v>
      </c>
      <c r="J69" s="25"/>
    </row>
    <row r="70" spans="1:10" ht="14.5" x14ac:dyDescent="0.35">
      <c r="A70" s="26" t="s">
        <v>107</v>
      </c>
      <c r="B70" s="27" t="str">
        <f t="array" ref="B70:B82">IFERROR(VLOOKUP(I70:I82,Lectures_1!A2:F534,2,FALSE()),0)</f>
        <v>OBJECT-ORIENTED PROGRAMMING</v>
      </c>
      <c r="C70" s="31" t="str">
        <f t="array" ref="C70:C82">IFERROR(VLOOKUP(I70:I82,Lectures_1!A2:F534,3,FALSE()),0)</f>
        <v>Adjaidoo Theresa-Samuelle Maame Atwemaah</v>
      </c>
      <c r="D70" s="26" t="s">
        <v>108</v>
      </c>
      <c r="E70" s="28">
        <f t="array" ref="E70:E82">IFERROR(VLOOKUP(I70:I82,Lectures_1!A2:F534,4,FALSE()),0)</f>
        <v>255</v>
      </c>
      <c r="F70" s="13" t="s">
        <v>21</v>
      </c>
      <c r="G70" s="30">
        <f t="shared" ref="G70:G82" si="8">E70*1.1</f>
        <v>280.5</v>
      </c>
      <c r="I70" s="20" t="str">
        <f t="shared" ref="I70:I82" si="9">CONCATENATE(A70,",",D70)</f>
        <v>COE 254,ED2-COE</v>
      </c>
      <c r="J70" s="25"/>
    </row>
    <row r="71" spans="1:10" ht="14.5" x14ac:dyDescent="0.35">
      <c r="A71" s="26" t="s">
        <v>107</v>
      </c>
      <c r="B71" s="27" t="str">
        <v>OBJECT-ORIENTED PROGRAMMING</v>
      </c>
      <c r="C71" s="31" t="str">
        <v>Adjaidoo Theresa-Samuelle Maame Atwemaah</v>
      </c>
      <c r="D71" s="26" t="s">
        <v>109</v>
      </c>
      <c r="E71" s="28">
        <v>80</v>
      </c>
      <c r="F71" s="13"/>
      <c r="G71" s="30">
        <f t="shared" si="8"/>
        <v>88</v>
      </c>
      <c r="I71" s="20" t="str">
        <f t="shared" si="9"/>
        <v>COE 254,ED2-BME</v>
      </c>
      <c r="J71" s="25"/>
    </row>
    <row r="72" spans="1:10" ht="14.5" x14ac:dyDescent="0.35">
      <c r="A72" s="26" t="s">
        <v>110</v>
      </c>
      <c r="B72" s="27" t="str">
        <v>COMPUTER PROGRAMMING FOR ENGINEERS</v>
      </c>
      <c r="C72" s="31" t="str">
        <v>Dzebre Denis Edem Kwame</v>
      </c>
      <c r="D72" s="26" t="s">
        <v>111</v>
      </c>
      <c r="E72" s="28">
        <v>83</v>
      </c>
      <c r="F72" s="32"/>
      <c r="G72" s="30">
        <f t="shared" si="8"/>
        <v>91.300000000000011</v>
      </c>
      <c r="I72" s="20" t="str">
        <f t="shared" si="9"/>
        <v>ME 168,ED1-IND</v>
      </c>
      <c r="J72" s="25"/>
    </row>
    <row r="73" spans="1:10" ht="14.5" x14ac:dyDescent="0.35">
      <c r="A73" s="26" t="s">
        <v>110</v>
      </c>
      <c r="B73" s="27" t="str">
        <v>COMPUTER PROGRAMMING FOR ENGINEERS</v>
      </c>
      <c r="C73" s="31" t="str">
        <v>Dzebre Denis Edem Kwame</v>
      </c>
      <c r="D73" s="26" t="s">
        <v>112</v>
      </c>
      <c r="E73" s="28">
        <v>46</v>
      </c>
      <c r="F73" s="32"/>
      <c r="G73" s="30">
        <f t="shared" si="8"/>
        <v>50.6</v>
      </c>
      <c r="I73" s="20" t="str">
        <f t="shared" si="9"/>
        <v>ME 168,ED1-MARI</v>
      </c>
      <c r="J73" s="25"/>
    </row>
    <row r="74" spans="1:10" ht="14.5" x14ac:dyDescent="0.35">
      <c r="A74" s="26" t="s">
        <v>113</v>
      </c>
      <c r="B74" s="27" t="str">
        <v>OPTICAL AND THERMAL BEHAVIOUR OF MATERIALS</v>
      </c>
      <c r="C74" s="31" t="str">
        <v>Nartey Martinson Addo</v>
      </c>
      <c r="D74" s="26" t="s">
        <v>114</v>
      </c>
      <c r="E74" s="28">
        <v>75</v>
      </c>
      <c r="F74" s="32"/>
      <c r="G74" s="30">
        <f t="shared" si="8"/>
        <v>82.5</v>
      </c>
      <c r="I74" s="20" t="str">
        <f t="shared" si="9"/>
        <v>MSE 154,ED1-METE</v>
      </c>
      <c r="J74" s="25"/>
    </row>
    <row r="75" spans="1:10" ht="14.5" x14ac:dyDescent="0.35">
      <c r="A75" s="26" t="s">
        <v>113</v>
      </c>
      <c r="B75" s="27" t="str">
        <v>OPTICAL AND THERMAL BEHAVIOUR OF MATERIALS</v>
      </c>
      <c r="C75" s="31" t="str">
        <v>Nartey Martinson Addo</v>
      </c>
      <c r="D75" s="26" t="s">
        <v>115</v>
      </c>
      <c r="E75" s="28">
        <v>100</v>
      </c>
      <c r="F75" s="32"/>
      <c r="G75" s="30">
        <f t="shared" si="8"/>
        <v>110.00000000000001</v>
      </c>
      <c r="I75" s="20" t="str">
        <f t="shared" si="9"/>
        <v>MSE 154,ED1-MSE</v>
      </c>
      <c r="J75" s="25"/>
    </row>
    <row r="76" spans="1:10" ht="14.5" x14ac:dyDescent="0.35">
      <c r="A76" s="26" t="s">
        <v>116</v>
      </c>
      <c r="B76" s="31" t="str">
        <v>MECHANICAL ENGINEERING MATERIALS III</v>
      </c>
      <c r="C76" s="31" t="str">
        <v>Sackey Samuel Mensah</v>
      </c>
      <c r="D76" s="26" t="s">
        <v>67</v>
      </c>
      <c r="E76" s="28">
        <v>55</v>
      </c>
      <c r="F76" s="32"/>
      <c r="G76" s="30">
        <f t="shared" si="8"/>
        <v>60.500000000000007</v>
      </c>
      <c r="I76" s="20" t="str">
        <f t="shared" si="9"/>
        <v>ME 482,ED4-ME</v>
      </c>
      <c r="J76" s="25"/>
    </row>
    <row r="77" spans="1:10" ht="14.5" x14ac:dyDescent="0.35">
      <c r="A77" s="26" t="s">
        <v>117</v>
      </c>
      <c r="B77" s="27" t="str">
        <v>SWITCHING ENGINEERING IN COMMUNICATION</v>
      </c>
      <c r="C77" s="27" t="str">
        <v>Obour Agyekum Kwame Opuni-Boachie</v>
      </c>
      <c r="D77" s="26" t="s">
        <v>71</v>
      </c>
      <c r="E77" s="28">
        <v>10</v>
      </c>
      <c r="F77" s="32"/>
      <c r="G77" s="30">
        <f t="shared" si="8"/>
        <v>11</v>
      </c>
      <c r="I77" s="20" t="str">
        <f t="shared" si="9"/>
        <v>TE 384,ED3-EE</v>
      </c>
      <c r="J77" s="25"/>
    </row>
    <row r="78" spans="1:10" ht="14.5" x14ac:dyDescent="0.35">
      <c r="A78" s="26" t="s">
        <v>118</v>
      </c>
      <c r="B78" s="27" t="str">
        <v>SWITCHING ENGINEERING IN COMMUNICATION</v>
      </c>
      <c r="C78" s="27" t="str">
        <v>Agyekum Kwame Agyeman-Prempeh</v>
      </c>
      <c r="D78" s="26" t="s">
        <v>119</v>
      </c>
      <c r="E78" s="28">
        <v>140</v>
      </c>
      <c r="F78" s="32"/>
      <c r="G78" s="30">
        <f t="shared" si="8"/>
        <v>154</v>
      </c>
      <c r="I78" s="20" t="str">
        <f t="shared" si="9"/>
        <v>TE 356,ED3-TEL</v>
      </c>
      <c r="J78" s="25"/>
    </row>
    <row r="79" spans="1:10" ht="14.5" x14ac:dyDescent="0.35">
      <c r="A79" s="26" t="s">
        <v>120</v>
      </c>
      <c r="B79" s="31" t="str">
        <v>OPERATIONS RESEARCH II</v>
      </c>
      <c r="C79" s="31" t="str">
        <v>Asiedu Charlotte</v>
      </c>
      <c r="D79" s="26" t="s">
        <v>121</v>
      </c>
      <c r="E79" s="28">
        <v>70</v>
      </c>
      <c r="F79" s="32"/>
      <c r="G79" s="30">
        <f t="shared" si="8"/>
        <v>77</v>
      </c>
      <c r="I79" s="20" t="str">
        <f t="shared" si="9"/>
        <v>IE 368,ED3-IND</v>
      </c>
      <c r="J79" s="25"/>
    </row>
    <row r="80" spans="1:10" ht="14.5" x14ac:dyDescent="0.35">
      <c r="A80" s="26" t="s">
        <v>122</v>
      </c>
      <c r="B80" s="31" t="str">
        <v>FOOD PROCESSING TECHNOLOGY</v>
      </c>
      <c r="C80" s="27" t="str">
        <v>Anang Daniel Adjah</v>
      </c>
      <c r="D80" s="26" t="s">
        <v>73</v>
      </c>
      <c r="E80" s="28">
        <v>50</v>
      </c>
      <c r="F80" s="32"/>
      <c r="G80" s="30">
        <f t="shared" si="8"/>
        <v>55.000000000000007</v>
      </c>
      <c r="I80" s="20" t="str">
        <f t="shared" si="9"/>
        <v>CHE 368,ED3-CHE</v>
      </c>
      <c r="J80" s="25"/>
    </row>
    <row r="81" spans="1:10" ht="14.5" x14ac:dyDescent="0.35">
      <c r="A81" s="26" t="s">
        <v>123</v>
      </c>
      <c r="B81" s="27" t="str">
        <v>AUTOMATION AND PRODUCTION SYSTEM</v>
      </c>
      <c r="C81" s="31" t="str">
        <v>Sackey Samuel Mensah</v>
      </c>
      <c r="D81" s="26" t="s">
        <v>124</v>
      </c>
      <c r="E81" s="28">
        <v>69</v>
      </c>
      <c r="F81" s="26"/>
      <c r="G81" s="30">
        <f t="shared" si="8"/>
        <v>75.900000000000006</v>
      </c>
      <c r="I81" s="20" t="str">
        <f t="shared" si="9"/>
        <v>IE 452,ED4-IND</v>
      </c>
      <c r="J81" s="25"/>
    </row>
    <row r="82" spans="1:10" ht="14.5" x14ac:dyDescent="0.35">
      <c r="A82" s="26" t="s">
        <v>125</v>
      </c>
      <c r="B82" s="31" t="str">
        <v>COMPUTER APPLICATIONS</v>
      </c>
      <c r="C82" s="31" t="str">
        <v>Albert Kwame Kwaw</v>
      </c>
      <c r="D82" s="26" t="s">
        <v>126</v>
      </c>
      <c r="E82" s="28">
        <v>125</v>
      </c>
      <c r="F82" s="32"/>
      <c r="G82" s="30">
        <f t="shared" si="8"/>
        <v>137.5</v>
      </c>
      <c r="I82" s="20" t="str">
        <f t="shared" si="9"/>
        <v>GED 164,ED1-GEOL</v>
      </c>
      <c r="J82" s="25"/>
    </row>
    <row r="83" spans="1:10" ht="14.5" x14ac:dyDescent="0.35">
      <c r="A83" s="26"/>
      <c r="B83" s="35"/>
      <c r="D83" s="27" t="s">
        <v>127</v>
      </c>
      <c r="E83" s="35">
        <f>SUM(E70:E82)</f>
        <v>1158</v>
      </c>
      <c r="F83" s="36"/>
      <c r="G83" s="35"/>
      <c r="I83" s="22" t="s">
        <v>58</v>
      </c>
      <c r="J83" s="25"/>
    </row>
    <row r="84" spans="1:10" ht="14.5" x14ac:dyDescent="0.35">
      <c r="A84" s="14" t="s">
        <v>78</v>
      </c>
      <c r="B84" s="14"/>
      <c r="C84" s="14"/>
      <c r="D84" s="14"/>
      <c r="E84" s="14"/>
      <c r="F84" s="14"/>
      <c r="G84" s="14"/>
      <c r="I84" s="22" t="s">
        <v>28</v>
      </c>
      <c r="J84" s="25"/>
    </row>
    <row r="85" spans="1:10" ht="14.5" x14ac:dyDescent="0.35">
      <c r="A85" s="14" t="s">
        <v>59</v>
      </c>
      <c r="B85" s="14"/>
      <c r="C85" s="14"/>
      <c r="D85" s="14"/>
      <c r="E85" s="14"/>
      <c r="F85" s="14"/>
      <c r="G85" s="14"/>
      <c r="I85" s="22" t="s">
        <v>128</v>
      </c>
      <c r="J85" s="25"/>
    </row>
    <row r="86" spans="1:10" ht="14.5" x14ac:dyDescent="0.35">
      <c r="A86" s="24" t="s">
        <v>4</v>
      </c>
      <c r="B86" s="24" t="s">
        <v>5</v>
      </c>
      <c r="C86" s="16" t="s">
        <v>6</v>
      </c>
      <c r="D86" s="24" t="s">
        <v>7</v>
      </c>
      <c r="E86" s="24" t="s">
        <v>8</v>
      </c>
      <c r="F86" s="16" t="s">
        <v>9</v>
      </c>
      <c r="G86" s="24" t="s">
        <v>10</v>
      </c>
      <c r="I86" s="22" t="s">
        <v>31</v>
      </c>
      <c r="J86" s="25"/>
    </row>
    <row r="87" spans="1:10" ht="14.5" x14ac:dyDescent="0.35">
      <c r="A87" s="26" t="s">
        <v>129</v>
      </c>
      <c r="B87" s="27" t="str">
        <f t="array" ref="B87:B96">IFERROR(VLOOKUP(I87:I96,Lectures_1!A2:F534,2,FALSE()),0)</f>
        <v>CALCULUS WITH ANALYSIS</v>
      </c>
      <c r="C87" s="27" t="str">
        <f t="array" ref="C87:C96">IFERROR(VLOOKUP(I87:I96,Lectures_1!A2:F534,3,FALSE()),0)</f>
        <v>Ezearn Jeffery</v>
      </c>
      <c r="D87" s="26" t="s">
        <v>130</v>
      </c>
      <c r="E87" s="28">
        <f t="array" ref="E87:E96">IFERROR(VLOOKUP(I87:I96,Lectures_1!A2:F534,4,FALSE()),0)</f>
        <v>136</v>
      </c>
      <c r="F87" s="9" t="s">
        <v>34</v>
      </c>
      <c r="G87" s="30">
        <f t="shared" ref="G87:G96" si="10">E87*1.1</f>
        <v>149.60000000000002</v>
      </c>
      <c r="I87" s="20" t="str">
        <f t="shared" ref="I87:I96" si="11">CONCATENATE(A87,",",D87)</f>
        <v>MATH 152,ED1-BME</v>
      </c>
      <c r="J87" s="25"/>
    </row>
    <row r="88" spans="1:10" ht="14.5" x14ac:dyDescent="0.35">
      <c r="A88" s="26" t="s">
        <v>129</v>
      </c>
      <c r="B88" s="27" t="str">
        <v>CALCULUS WITH ANALYSIS</v>
      </c>
      <c r="C88" s="27" t="str">
        <v>Ezearn Jeffery</v>
      </c>
      <c r="D88" s="26" t="s">
        <v>131</v>
      </c>
      <c r="E88" s="28">
        <v>128</v>
      </c>
      <c r="F88" s="9"/>
      <c r="G88" s="30">
        <f t="shared" si="10"/>
        <v>140.80000000000001</v>
      </c>
      <c r="H88" s="40"/>
      <c r="I88" s="20" t="str">
        <f t="shared" si="11"/>
        <v>MATH 152,ED1-AE</v>
      </c>
      <c r="J88" s="25"/>
    </row>
    <row r="89" spans="1:10" ht="14.5" x14ac:dyDescent="0.35">
      <c r="A89" s="26" t="s">
        <v>132</v>
      </c>
      <c r="B89" s="27" t="str">
        <v>AEROSPACE ENGINEERING LAB II</v>
      </c>
      <c r="C89" s="27" t="str">
        <v>Oppong David Kofi</v>
      </c>
      <c r="D89" s="26" t="s">
        <v>133</v>
      </c>
      <c r="E89" s="28">
        <v>76</v>
      </c>
      <c r="F89" s="44"/>
      <c r="G89" s="30">
        <f t="shared" si="10"/>
        <v>83.600000000000009</v>
      </c>
      <c r="H89" s="40"/>
      <c r="I89" s="20" t="str">
        <f t="shared" si="11"/>
        <v>AERO 396,ED3-AERO</v>
      </c>
      <c r="J89" s="25"/>
    </row>
    <row r="90" spans="1:10" ht="14.5" x14ac:dyDescent="0.35">
      <c r="A90" s="26" t="s">
        <v>134</v>
      </c>
      <c r="B90" s="27" t="str">
        <v>PROCESS DYNAMICS AND CONTROL</v>
      </c>
      <c r="C90" s="31" t="str">
        <v>Adjaottor Albert Amatey</v>
      </c>
      <c r="D90" s="26" t="s">
        <v>135</v>
      </c>
      <c r="E90" s="28">
        <v>60</v>
      </c>
      <c r="F90" s="32"/>
      <c r="G90" s="30">
        <f t="shared" si="10"/>
        <v>66</v>
      </c>
      <c r="I90" s="20" t="str">
        <f t="shared" si="11"/>
        <v>MSE 458,ED4-MSE</v>
      </c>
      <c r="J90" s="25"/>
    </row>
    <row r="91" spans="1:10" ht="14.5" x14ac:dyDescent="0.35">
      <c r="A91" s="26" t="s">
        <v>134</v>
      </c>
      <c r="B91" s="27" t="str">
        <v>PROCESS DYNANICS AND CONTROL</v>
      </c>
      <c r="C91" s="31" t="str">
        <v>Adjaottor Albert Amatey</v>
      </c>
      <c r="D91" s="26" t="s">
        <v>136</v>
      </c>
      <c r="E91" s="28">
        <v>55</v>
      </c>
      <c r="F91" s="32"/>
      <c r="G91" s="30">
        <f t="shared" si="10"/>
        <v>60.500000000000007</v>
      </c>
      <c r="I91" s="20" t="str">
        <f t="shared" si="11"/>
        <v>MSE 458,ED4-METE</v>
      </c>
      <c r="J91" s="25"/>
    </row>
    <row r="92" spans="1:10" ht="14.5" x14ac:dyDescent="0.35">
      <c r="A92" s="26" t="s">
        <v>137</v>
      </c>
      <c r="B92" s="27" t="str">
        <v>ELECTRICAL MEASUREMENTS &amp; INSTRUMENTATION</v>
      </c>
      <c r="C92" s="31" t="str">
        <v>Nicholas Kwesi Prah II</v>
      </c>
      <c r="D92" s="26" t="s">
        <v>51</v>
      </c>
      <c r="E92" s="28">
        <v>295</v>
      </c>
      <c r="F92" s="32"/>
      <c r="G92" s="30">
        <f t="shared" si="10"/>
        <v>324.5</v>
      </c>
      <c r="I92" s="20" t="str">
        <f t="shared" si="11"/>
        <v>EE 188,ED1-EE</v>
      </c>
      <c r="J92" s="25"/>
    </row>
    <row r="93" spans="1:10" ht="14.5" x14ac:dyDescent="0.35">
      <c r="A93" s="26" t="s">
        <v>138</v>
      </c>
      <c r="B93" s="31" t="str">
        <v>SOIL AND ROCKS MECHANICS LABORATORY</v>
      </c>
      <c r="C93" s="31" t="str">
        <v>Dzikunu-Bansah Nancy Anataba Kyorku</v>
      </c>
      <c r="D93" s="26" t="s">
        <v>56</v>
      </c>
      <c r="E93" s="28">
        <v>250</v>
      </c>
      <c r="F93" s="32"/>
      <c r="G93" s="30">
        <f t="shared" si="10"/>
        <v>275</v>
      </c>
      <c r="I93" s="20" t="str">
        <f t="shared" si="11"/>
        <v>CE 262,ED2-CE</v>
      </c>
      <c r="J93" s="25"/>
    </row>
    <row r="94" spans="1:10" ht="14.5" x14ac:dyDescent="0.35">
      <c r="A94" s="26" t="s">
        <v>139</v>
      </c>
      <c r="B94" s="31" t="str">
        <v>MATERIALS CHARACTERIZATION LABORATORY</v>
      </c>
      <c r="C94" s="31" t="str">
        <v>Arthur Emmanuel Kwesi</v>
      </c>
      <c r="D94" s="26" t="s">
        <v>140</v>
      </c>
      <c r="E94" s="28">
        <v>85</v>
      </c>
      <c r="F94" s="32"/>
      <c r="G94" s="30">
        <f t="shared" si="10"/>
        <v>93.500000000000014</v>
      </c>
      <c r="I94" s="20" t="str">
        <f t="shared" si="11"/>
        <v>MSE 364,ED3-MSE</v>
      </c>
      <c r="J94" s="25"/>
    </row>
    <row r="95" spans="1:10" ht="14.5" x14ac:dyDescent="0.35">
      <c r="A95" s="26" t="s">
        <v>141</v>
      </c>
      <c r="B95" s="31" t="str">
        <v>METALLURGICAL CHARACTERIZATION LABORATORY</v>
      </c>
      <c r="C95" s="31" t="str">
        <v>Arthur Emmanuel Kwesi</v>
      </c>
      <c r="D95" s="26" t="s">
        <v>142</v>
      </c>
      <c r="E95" s="28">
        <v>87</v>
      </c>
      <c r="F95" s="32"/>
      <c r="G95" s="30">
        <f t="shared" si="10"/>
        <v>95.7</v>
      </c>
      <c r="I95" s="20" t="str">
        <f t="shared" si="11"/>
        <v>METE 358,ED3-METE</v>
      </c>
      <c r="J95" s="25"/>
    </row>
    <row r="96" spans="1:10" ht="14.5" x14ac:dyDescent="0.35">
      <c r="A96" s="26" t="s">
        <v>143</v>
      </c>
      <c r="B96" s="27" t="str">
        <v>ELECTRIC DRIVES</v>
      </c>
      <c r="C96" s="27" t="str">
        <v>Effah Francis Boafo</v>
      </c>
      <c r="D96" s="26" t="s">
        <v>144</v>
      </c>
      <c r="E96" s="28">
        <v>189</v>
      </c>
      <c r="F96" s="32" t="s">
        <v>21</v>
      </c>
      <c r="G96" s="30">
        <f t="shared" si="10"/>
        <v>207.9</v>
      </c>
      <c r="I96" s="20" t="str">
        <f t="shared" si="11"/>
        <v>EE 462,ED4-EE</v>
      </c>
      <c r="J96" s="25"/>
    </row>
    <row r="97" spans="1:10" ht="14.5" x14ac:dyDescent="0.35">
      <c r="A97" s="35"/>
      <c r="B97" s="35"/>
      <c r="D97" s="27" t="s">
        <v>145</v>
      </c>
      <c r="E97" s="35">
        <f>SUM(E89:E96)</f>
        <v>1097</v>
      </c>
      <c r="F97" s="31"/>
      <c r="G97" s="35"/>
      <c r="I97" s="22" t="s">
        <v>146</v>
      </c>
      <c r="J97" s="25"/>
    </row>
    <row r="98" spans="1:10" ht="14.5" x14ac:dyDescent="0.35">
      <c r="A98" s="14" t="s">
        <v>147</v>
      </c>
      <c r="B98" s="14"/>
      <c r="C98" s="14"/>
      <c r="D98" s="14"/>
      <c r="E98" s="14"/>
      <c r="F98" s="14"/>
      <c r="G98" s="14"/>
      <c r="I98" s="22" t="s">
        <v>148</v>
      </c>
      <c r="J98" s="25"/>
    </row>
    <row r="99" spans="1:10" ht="14.5" x14ac:dyDescent="0.35">
      <c r="A99" s="14" t="s">
        <v>2</v>
      </c>
      <c r="B99" s="14"/>
      <c r="C99" s="14"/>
      <c r="D99" s="14"/>
      <c r="E99" s="14"/>
      <c r="F99" s="14"/>
      <c r="G99" s="14"/>
      <c r="I99" s="22" t="s">
        <v>149</v>
      </c>
      <c r="J99" s="25"/>
    </row>
    <row r="100" spans="1:10" ht="14.5" x14ac:dyDescent="0.35">
      <c r="A100" s="24" t="s">
        <v>4</v>
      </c>
      <c r="B100" s="24" t="s">
        <v>5</v>
      </c>
      <c r="C100" s="16" t="s">
        <v>6</v>
      </c>
      <c r="D100" s="24" t="s">
        <v>7</v>
      </c>
      <c r="E100" s="24" t="s">
        <v>8</v>
      </c>
      <c r="F100" s="16" t="s">
        <v>9</v>
      </c>
      <c r="G100" s="24" t="s">
        <v>10</v>
      </c>
      <c r="I100" s="22" t="s">
        <v>31</v>
      </c>
      <c r="J100" s="25"/>
    </row>
    <row r="101" spans="1:10" ht="14.5" x14ac:dyDescent="0.35">
      <c r="A101" s="26" t="s">
        <v>150</v>
      </c>
      <c r="B101" s="27" t="str">
        <f t="array" ref="B101:B109">IFERROR(VLOOKUP(I101:I109,Lectures_1!A2:F534,2,FALSE()),0)</f>
        <v>PLANNING THE PHYSICAL ENVIRONMENT</v>
      </c>
      <c r="C101" s="31" t="str">
        <f t="array" ref="C101:C109">IFERROR(VLOOKUP(I101:I109,Lectures_1!A2:F534,3,FALSE()),0)</f>
        <v>Aboagye Prince Anokye</v>
      </c>
      <c r="D101" s="26" t="s">
        <v>77</v>
      </c>
      <c r="E101" s="28">
        <f t="array" ref="E101:E109">IFERROR(VLOOKUP(I101:I109,Lectures_1!A2:F534,4,FALSE()),0)</f>
        <v>122</v>
      </c>
      <c r="F101" s="32"/>
      <c r="G101" s="30">
        <f t="shared" ref="G101:G109" si="12">E101*1.1</f>
        <v>134.20000000000002</v>
      </c>
      <c r="I101" s="20" t="str">
        <f t="shared" ref="I101:I109" si="13">CONCATENATE(A101,",",D101)</f>
        <v>PL 252,ED3-GEOM</v>
      </c>
      <c r="J101" s="25"/>
    </row>
    <row r="102" spans="1:10" ht="14.5" x14ac:dyDescent="0.35">
      <c r="A102" s="26" t="s">
        <v>151</v>
      </c>
      <c r="B102" s="27" t="str">
        <v>MECHANISMS SYNTHESIS AND ANALYSIS I</v>
      </c>
      <c r="C102" s="27" t="str">
        <v>Ampofo Joshua</v>
      </c>
      <c r="D102" s="26" t="s">
        <v>33</v>
      </c>
      <c r="E102" s="28">
        <v>240</v>
      </c>
      <c r="F102" s="32"/>
      <c r="G102" s="30">
        <f t="shared" si="12"/>
        <v>264</v>
      </c>
      <c r="I102" s="20" t="str">
        <f t="shared" si="13"/>
        <v>ME 264,ED2-ME</v>
      </c>
      <c r="J102" s="25"/>
    </row>
    <row r="103" spans="1:10" ht="14.5" x14ac:dyDescent="0.35">
      <c r="A103" s="26" t="s">
        <v>151</v>
      </c>
      <c r="B103" s="27" t="str">
        <v>MECHANISMS SYNTHESIS AND ANALYSIS I</v>
      </c>
      <c r="C103" s="27" t="str">
        <v>Ampofo Joshua</v>
      </c>
      <c r="D103" s="26" t="s">
        <v>36</v>
      </c>
      <c r="E103" s="28">
        <v>75</v>
      </c>
      <c r="F103" s="32"/>
      <c r="G103" s="30">
        <f t="shared" si="12"/>
        <v>82.5</v>
      </c>
      <c r="I103" s="20" t="str">
        <f t="shared" si="13"/>
        <v>ME 264,ED2-AERO</v>
      </c>
      <c r="J103" s="25"/>
    </row>
    <row r="104" spans="1:10" ht="14.5" x14ac:dyDescent="0.35">
      <c r="A104" s="26" t="s">
        <v>151</v>
      </c>
      <c r="B104" s="27" t="str">
        <v>MECHANISMS SYNTHESIS AND ANALYSIS I</v>
      </c>
      <c r="C104" s="27" t="str">
        <v>Ampofo Joshua</v>
      </c>
      <c r="D104" s="26" t="s">
        <v>38</v>
      </c>
      <c r="E104" s="28">
        <v>80</v>
      </c>
      <c r="F104" s="32"/>
      <c r="G104" s="30">
        <f t="shared" si="12"/>
        <v>88</v>
      </c>
      <c r="I104" s="20" t="str">
        <f t="shared" si="13"/>
        <v>ME 264,ED2-IND</v>
      </c>
      <c r="J104" s="25"/>
    </row>
    <row r="105" spans="1:10" ht="14.5" x14ac:dyDescent="0.35">
      <c r="A105" s="26" t="s">
        <v>151</v>
      </c>
      <c r="B105" s="31" t="str">
        <v>MECHANISMS SYNTHESIS AND ANALYSIS I</v>
      </c>
      <c r="C105" s="27" t="str">
        <v>Ampofo Joshua</v>
      </c>
      <c r="D105" s="26" t="s">
        <v>40</v>
      </c>
      <c r="E105" s="28">
        <v>82</v>
      </c>
      <c r="F105" s="32"/>
      <c r="G105" s="30">
        <f t="shared" si="12"/>
        <v>90.2</v>
      </c>
      <c r="I105" s="20" t="str">
        <f t="shared" si="13"/>
        <v>ME 264,ED2-AUTO</v>
      </c>
      <c r="J105" s="25"/>
    </row>
    <row r="106" spans="1:10" ht="14.5" x14ac:dyDescent="0.35">
      <c r="A106" s="26" t="s">
        <v>152</v>
      </c>
      <c r="B106" s="27" t="str">
        <v>MARINE MECHANISMS, SYSTHESIS AND ANALYSIS</v>
      </c>
      <c r="C106" s="31" t="str">
        <v>Ampofo Joshua</v>
      </c>
      <c r="D106" s="26" t="s">
        <v>42</v>
      </c>
      <c r="E106" s="28">
        <v>37</v>
      </c>
      <c r="F106" s="32"/>
      <c r="G106" s="30">
        <f t="shared" si="12"/>
        <v>40.700000000000003</v>
      </c>
      <c r="I106" s="20" t="str">
        <f t="shared" si="13"/>
        <v>MME 264,ED2-MARI</v>
      </c>
      <c r="J106" s="25"/>
    </row>
    <row r="107" spans="1:10" ht="14.5" x14ac:dyDescent="0.35">
      <c r="A107" s="26" t="s">
        <v>153</v>
      </c>
      <c r="B107" s="31" t="str">
        <v>PRINCIPLES OF GEOLCHEMISTRY</v>
      </c>
      <c r="C107" s="31" t="str">
        <v>Gawu Simon Kafui Yawo</v>
      </c>
      <c r="D107" s="26" t="s">
        <v>154</v>
      </c>
      <c r="E107" s="28">
        <v>154</v>
      </c>
      <c r="F107" s="32"/>
      <c r="G107" s="30">
        <f t="shared" si="12"/>
        <v>169.4</v>
      </c>
      <c r="I107" s="20" t="str">
        <f t="shared" si="13"/>
        <v>GED 352,ED3-GEOL</v>
      </c>
      <c r="J107" s="25"/>
    </row>
    <row r="108" spans="1:10" ht="14.5" x14ac:dyDescent="0.35">
      <c r="A108" s="26" t="s">
        <v>155</v>
      </c>
      <c r="B108" s="31" t="str">
        <v>TRANSPORTATION ENGINEERING</v>
      </c>
      <c r="C108" s="31" t="str">
        <v>Tuffour Yaw Adubofour</v>
      </c>
      <c r="D108" s="26" t="s">
        <v>103</v>
      </c>
      <c r="E108" s="28">
        <v>150</v>
      </c>
      <c r="F108" s="32"/>
      <c r="G108" s="30">
        <f t="shared" si="12"/>
        <v>165</v>
      </c>
      <c r="I108" s="20" t="str">
        <f t="shared" si="13"/>
        <v>CE 468,ED4-CE</v>
      </c>
      <c r="J108" s="25"/>
    </row>
    <row r="109" spans="1:10" ht="14.25" customHeight="1" x14ac:dyDescent="0.35">
      <c r="A109" s="26" t="s">
        <v>156</v>
      </c>
      <c r="B109" s="27" t="str">
        <v>ENVIRONMENTAL QUALITY ENGINEERING</v>
      </c>
      <c r="C109" s="27" t="str">
        <v>Appiah-Effah Eugene</v>
      </c>
      <c r="D109" s="26" t="s">
        <v>157</v>
      </c>
      <c r="E109" s="28">
        <v>230</v>
      </c>
      <c r="F109" s="32"/>
      <c r="G109" s="30">
        <f t="shared" si="12"/>
        <v>253.00000000000003</v>
      </c>
      <c r="I109" s="20" t="str">
        <f t="shared" si="13"/>
        <v>CE 364,ED3-CE</v>
      </c>
      <c r="J109" s="25"/>
    </row>
    <row r="110" spans="1:10" ht="14.5" x14ac:dyDescent="0.35">
      <c r="A110" s="35"/>
      <c r="B110" s="35"/>
      <c r="D110" s="27" t="s">
        <v>158</v>
      </c>
      <c r="E110" s="45">
        <f>SUM(E101:E109)</f>
        <v>1170</v>
      </c>
      <c r="F110" s="36"/>
      <c r="G110" s="35"/>
      <c r="I110" s="22" t="s">
        <v>159</v>
      </c>
      <c r="J110" s="25"/>
    </row>
    <row r="111" spans="1:10" ht="14.5" x14ac:dyDescent="0.35">
      <c r="A111" s="14" t="s">
        <v>147</v>
      </c>
      <c r="B111" s="14"/>
      <c r="C111" s="14"/>
      <c r="D111" s="14"/>
      <c r="E111" s="14"/>
      <c r="F111" s="14"/>
      <c r="G111" s="14"/>
      <c r="I111" s="22" t="s">
        <v>148</v>
      </c>
      <c r="J111" s="25"/>
    </row>
    <row r="112" spans="1:10" ht="14.5" x14ac:dyDescent="0.35">
      <c r="A112" s="14" t="s">
        <v>29</v>
      </c>
      <c r="B112" s="14"/>
      <c r="C112" s="14"/>
      <c r="D112" s="14"/>
      <c r="E112" s="14"/>
      <c r="F112" s="14"/>
      <c r="G112" s="14"/>
      <c r="I112" s="22" t="s">
        <v>30</v>
      </c>
      <c r="J112" s="25"/>
    </row>
    <row r="113" spans="1:10" ht="14.5" x14ac:dyDescent="0.35">
      <c r="A113" s="24" t="s">
        <v>4</v>
      </c>
      <c r="B113" s="24" t="s">
        <v>5</v>
      </c>
      <c r="C113" s="16" t="s">
        <v>6</v>
      </c>
      <c r="D113" s="24" t="s">
        <v>7</v>
      </c>
      <c r="E113" s="24" t="s">
        <v>8</v>
      </c>
      <c r="F113" s="16" t="s">
        <v>9</v>
      </c>
      <c r="G113" s="24" t="s">
        <v>10</v>
      </c>
      <c r="I113" s="22" t="s">
        <v>31</v>
      </c>
      <c r="J113" s="25"/>
    </row>
    <row r="114" spans="1:10" ht="14.5" x14ac:dyDescent="0.35">
      <c r="A114" s="26" t="s">
        <v>160</v>
      </c>
      <c r="B114" s="31" t="str">
        <f t="array" ref="B114:B124">IFERROR(VLOOKUP(I114:I124,Lectures_1!A2:F534,2,FALSE()),0)</f>
        <v>ENGINEERING DRAWING</v>
      </c>
      <c r="C114" s="31" t="str">
        <f t="array" ref="C114:C124">IFERROR(VLOOKUP(I114:I124,Lectures_1!A2:F534,3,FALSE()),0)</f>
        <v>Aveyire Joseph</v>
      </c>
      <c r="D114" s="26" t="s">
        <v>131</v>
      </c>
      <c r="E114" s="28">
        <f t="array" ref="E114:E124">IFERROR(VLOOKUP(I114:I124,Lectures_1!A2:F534,4,FALSE()),0)</f>
        <v>128</v>
      </c>
      <c r="F114" s="32"/>
      <c r="G114" s="30">
        <f t="shared" ref="G114:G124" si="14">E114*1.1</f>
        <v>140.80000000000001</v>
      </c>
      <c r="I114" s="20" t="str">
        <f t="shared" ref="I114:I124" si="15">CONCATENATE(A114,",",D114)</f>
        <v>ME 160,ED1-AE</v>
      </c>
      <c r="J114" s="25"/>
    </row>
    <row r="115" spans="1:10" ht="14.5" x14ac:dyDescent="0.35">
      <c r="A115" s="26" t="s">
        <v>160</v>
      </c>
      <c r="B115" s="31" t="str">
        <v>ENGINEERING DRAWING</v>
      </c>
      <c r="C115" s="31" t="str">
        <v>Sekyere Charles Kofi Kafui</v>
      </c>
      <c r="D115" s="26" t="s">
        <v>112</v>
      </c>
      <c r="E115" s="28">
        <v>46</v>
      </c>
      <c r="F115" s="32"/>
      <c r="G115" s="30">
        <f t="shared" si="14"/>
        <v>50.6</v>
      </c>
      <c r="I115" s="20" t="str">
        <f t="shared" si="15"/>
        <v>ME 160,ED1-MARI</v>
      </c>
      <c r="J115" s="25"/>
    </row>
    <row r="116" spans="1:10" ht="14.5" x14ac:dyDescent="0.35">
      <c r="A116" s="26" t="s">
        <v>160</v>
      </c>
      <c r="B116" s="31" t="str">
        <v>ENGINEERING DRAWING</v>
      </c>
      <c r="C116" s="31" t="str">
        <v>Aveyire Joseph</v>
      </c>
      <c r="D116" s="26" t="s">
        <v>114</v>
      </c>
      <c r="E116" s="28">
        <v>75</v>
      </c>
      <c r="F116" s="32"/>
      <c r="G116" s="30">
        <f t="shared" si="14"/>
        <v>82.5</v>
      </c>
      <c r="I116" s="20" t="str">
        <f t="shared" si="15"/>
        <v>ME 160,ED1-METE</v>
      </c>
      <c r="J116" s="25"/>
    </row>
    <row r="117" spans="1:10" ht="14.5" x14ac:dyDescent="0.35">
      <c r="A117" s="26" t="s">
        <v>160</v>
      </c>
      <c r="B117" s="31" t="str">
        <v>ENGINEERING DRAWING</v>
      </c>
      <c r="C117" s="31" t="str">
        <v>Peter Oppong Tawiah</v>
      </c>
      <c r="D117" s="26" t="s">
        <v>115</v>
      </c>
      <c r="E117" s="28">
        <v>100</v>
      </c>
      <c r="F117" s="32"/>
      <c r="G117" s="30">
        <f t="shared" si="14"/>
        <v>110.00000000000001</v>
      </c>
      <c r="I117" s="20" t="str">
        <f t="shared" si="15"/>
        <v>ME 160,ED1-MSE</v>
      </c>
      <c r="J117" s="25"/>
    </row>
    <row r="118" spans="1:10" ht="14.5" x14ac:dyDescent="0.35">
      <c r="A118" s="26" t="s">
        <v>160</v>
      </c>
      <c r="B118" s="31" t="str">
        <v>ENGINEERING DRAWING</v>
      </c>
      <c r="C118" s="31" t="str">
        <v>A. K. Sunnu</v>
      </c>
      <c r="D118" s="26" t="s">
        <v>161</v>
      </c>
      <c r="E118" s="28">
        <v>225</v>
      </c>
      <c r="F118" s="32"/>
      <c r="G118" s="30">
        <f t="shared" si="14"/>
        <v>247.50000000000003</v>
      </c>
      <c r="I118" s="20" t="str">
        <f t="shared" si="15"/>
        <v>ME 160,ED1-ME</v>
      </c>
      <c r="J118" s="25"/>
    </row>
    <row r="119" spans="1:10" ht="14.5" x14ac:dyDescent="0.35">
      <c r="A119" s="26" t="s">
        <v>160</v>
      </c>
      <c r="B119" s="31" t="str">
        <v>ENGINEERING DRAWING</v>
      </c>
      <c r="C119" s="31" t="str">
        <v>Sekyere Charles Kofi Kafui</v>
      </c>
      <c r="D119" s="26" t="s">
        <v>162</v>
      </c>
      <c r="E119" s="28">
        <v>85</v>
      </c>
      <c r="F119" s="32"/>
      <c r="G119" s="30">
        <f t="shared" si="14"/>
        <v>93.500000000000014</v>
      </c>
      <c r="I119" s="20" t="str">
        <f t="shared" si="15"/>
        <v>ME 160,ED1-AUTO</v>
      </c>
      <c r="J119" s="25"/>
    </row>
    <row r="120" spans="1:10" ht="14.5" x14ac:dyDescent="0.35">
      <c r="A120" s="26" t="s">
        <v>160</v>
      </c>
      <c r="B120" s="31" t="str">
        <v>ENGINEERING DRAWING</v>
      </c>
      <c r="C120" s="31" t="str">
        <v>Sekyere Charles Kofi Kafui</v>
      </c>
      <c r="D120" s="26" t="s">
        <v>111</v>
      </c>
      <c r="E120" s="28">
        <v>83</v>
      </c>
      <c r="F120" s="32"/>
      <c r="G120" s="30">
        <f t="shared" si="14"/>
        <v>91.300000000000011</v>
      </c>
      <c r="I120" s="20" t="str">
        <f t="shared" si="15"/>
        <v>ME 160,ED1-IND</v>
      </c>
      <c r="J120" s="25"/>
    </row>
    <row r="121" spans="1:10" ht="14.5" x14ac:dyDescent="0.35">
      <c r="A121" s="26" t="s">
        <v>163</v>
      </c>
      <c r="B121" s="31" t="str">
        <v>PETROLEUM ENGINEERING LAB II</v>
      </c>
      <c r="C121" s="27" t="str">
        <v>Erzuah Samuel</v>
      </c>
      <c r="D121" s="26" t="s">
        <v>18</v>
      </c>
      <c r="E121" s="28">
        <v>80</v>
      </c>
      <c r="F121" s="32"/>
      <c r="G121" s="30">
        <f t="shared" si="14"/>
        <v>88</v>
      </c>
      <c r="I121" s="20" t="str">
        <f t="shared" si="15"/>
        <v>PE 356,ED3-PE</v>
      </c>
      <c r="J121" s="25"/>
    </row>
    <row r="122" spans="1:10" ht="14.5" x14ac:dyDescent="0.35">
      <c r="A122" s="26" t="s">
        <v>164</v>
      </c>
      <c r="B122" s="27" t="str">
        <v>MARINE CONTROL ENGINEERING AND AUTOMATION</v>
      </c>
      <c r="C122" s="27" t="str">
        <v>Adjei Eunice Akyereko</v>
      </c>
      <c r="D122" s="26" t="s">
        <v>69</v>
      </c>
      <c r="E122" s="28">
        <v>23</v>
      </c>
      <c r="F122" s="32"/>
      <c r="G122" s="30">
        <f t="shared" si="14"/>
        <v>25.3</v>
      </c>
      <c r="I122" s="20" t="str">
        <f t="shared" si="15"/>
        <v>MME 462,ED4-MARI</v>
      </c>
      <c r="J122" s="25"/>
    </row>
    <row r="123" spans="1:10" ht="14.5" x14ac:dyDescent="0.35">
      <c r="A123" s="26" t="s">
        <v>165</v>
      </c>
      <c r="B123" s="27" t="str">
        <v>AUTOMOTIVE SPARK-IGNITION ENGINES</v>
      </c>
      <c r="C123" s="27" t="str">
        <v>Abu Frimpong Solomon</v>
      </c>
      <c r="D123" s="26" t="s">
        <v>23</v>
      </c>
      <c r="E123" s="28">
        <v>40</v>
      </c>
      <c r="F123" s="32"/>
      <c r="G123" s="30">
        <f t="shared" si="14"/>
        <v>44</v>
      </c>
      <c r="I123" s="20" t="str">
        <f t="shared" si="15"/>
        <v>AME 368,ED3-AUTO</v>
      </c>
      <c r="J123" s="25"/>
    </row>
    <row r="124" spans="1:10" ht="14.5" x14ac:dyDescent="0.35">
      <c r="A124" s="26" t="s">
        <v>166</v>
      </c>
      <c r="B124" s="31" t="str">
        <v>ELECTROMAGNETIC FIELDS</v>
      </c>
      <c r="C124" s="27" t="str">
        <v>Yeboah-Akowuah Bright</v>
      </c>
      <c r="D124" s="26" t="s">
        <v>108</v>
      </c>
      <c r="E124" s="28">
        <v>255</v>
      </c>
      <c r="F124" s="32"/>
      <c r="G124" s="30">
        <f t="shared" si="14"/>
        <v>280.5</v>
      </c>
      <c r="I124" s="20" t="str">
        <f t="shared" si="15"/>
        <v>TE 262,ED2-COE</v>
      </c>
      <c r="J124" s="25"/>
    </row>
    <row r="125" spans="1:10" ht="14.5" x14ac:dyDescent="0.35">
      <c r="A125" s="35"/>
      <c r="B125" s="35"/>
      <c r="D125" s="27" t="s">
        <v>167</v>
      </c>
      <c r="E125" s="35">
        <f>SUM(E114:E124)</f>
        <v>1140</v>
      </c>
      <c r="F125" s="36"/>
      <c r="G125" s="35"/>
      <c r="I125" s="22" t="s">
        <v>168</v>
      </c>
      <c r="J125" s="25"/>
    </row>
    <row r="126" spans="1:10" ht="14.5" x14ac:dyDescent="0.35">
      <c r="A126" s="14" t="s">
        <v>147</v>
      </c>
      <c r="B126" s="14"/>
      <c r="C126" s="14"/>
      <c r="D126" s="14"/>
      <c r="E126" s="14"/>
      <c r="F126" s="14"/>
      <c r="G126" s="14"/>
      <c r="I126" s="22" t="s">
        <v>148</v>
      </c>
      <c r="J126" s="25"/>
    </row>
    <row r="127" spans="1:10" ht="14.5" x14ac:dyDescent="0.35">
      <c r="A127" s="14" t="s">
        <v>59</v>
      </c>
      <c r="B127" s="14"/>
      <c r="C127" s="14"/>
      <c r="D127" s="14"/>
      <c r="E127" s="14"/>
      <c r="F127" s="14"/>
      <c r="G127" s="14"/>
      <c r="I127" s="22" t="s">
        <v>128</v>
      </c>
      <c r="J127" s="25"/>
    </row>
    <row r="128" spans="1:10" ht="14.5" x14ac:dyDescent="0.35">
      <c r="A128" s="24" t="s">
        <v>4</v>
      </c>
      <c r="B128" s="24" t="s">
        <v>5</v>
      </c>
      <c r="C128" s="16" t="s">
        <v>6</v>
      </c>
      <c r="D128" s="24" t="s">
        <v>7</v>
      </c>
      <c r="E128" s="24" t="s">
        <v>8</v>
      </c>
      <c r="F128" s="16" t="s">
        <v>9</v>
      </c>
      <c r="G128" s="24" t="s">
        <v>10</v>
      </c>
      <c r="I128" s="22" t="s">
        <v>31</v>
      </c>
      <c r="J128" s="25"/>
    </row>
    <row r="129" spans="1:10" ht="14.5" x14ac:dyDescent="0.35">
      <c r="A129" s="26" t="s">
        <v>169</v>
      </c>
      <c r="B129" s="27" t="str">
        <f t="array" ref="B129:B136">IFERROR(VLOOKUP(I129:I136,Lectures_1!A2:F534,2,FALSE()),0)</f>
        <v>PRINCIPLES OF REMOTE SENSING</v>
      </c>
      <c r="C129" s="27" t="str">
        <f t="array" ref="C129:C136">IFERROR(VLOOKUP(I129:I136,Lectures_1!A2:F534,3,FALSE()),0)</f>
        <v>Yaw Mensah Asare</v>
      </c>
      <c r="D129" s="26" t="s">
        <v>170</v>
      </c>
      <c r="E129" s="28">
        <f t="array" ref="E129:E136">IFERROR(VLOOKUP(I129:I136,Lectures_1!A2:F534,4,FALSE()),0)</f>
        <v>132</v>
      </c>
      <c r="F129" s="32"/>
      <c r="G129" s="30">
        <f t="shared" ref="G129:G136" si="16">E129*1.1</f>
        <v>145.20000000000002</v>
      </c>
      <c r="I129" s="20" t="str">
        <f t="shared" ref="I129:I136" si="17">CONCATENATE(A129,",",D129)</f>
        <v>GE 262,ED2-GEOM</v>
      </c>
      <c r="J129" s="25"/>
    </row>
    <row r="130" spans="1:10" ht="14.5" x14ac:dyDescent="0.35">
      <c r="A130" s="26" t="s">
        <v>171</v>
      </c>
      <c r="B130" s="31" t="str">
        <v>COMMUNICATION CIRCUITS</v>
      </c>
      <c r="C130" s="31" t="str">
        <v>Abdul-Rahman Ahmed</v>
      </c>
      <c r="D130" s="26" t="s">
        <v>172</v>
      </c>
      <c r="E130" s="28">
        <v>175</v>
      </c>
      <c r="F130" s="32"/>
      <c r="G130" s="30">
        <f t="shared" si="16"/>
        <v>192.50000000000003</v>
      </c>
      <c r="H130" s="40"/>
      <c r="I130" s="20" t="str">
        <f t="shared" si="17"/>
        <v>TE 256,ED2-TEL</v>
      </c>
      <c r="J130" s="25"/>
    </row>
    <row r="131" spans="1:10" ht="14.5" x14ac:dyDescent="0.35">
      <c r="A131" s="26" t="s">
        <v>173</v>
      </c>
      <c r="B131" s="27" t="str">
        <v>PRACTICAL CHEMISTRY II</v>
      </c>
      <c r="C131" s="31" t="str">
        <v>Opoku Francis</v>
      </c>
      <c r="D131" s="26" t="s">
        <v>14</v>
      </c>
      <c r="E131" s="28">
        <v>65</v>
      </c>
      <c r="F131" s="32"/>
      <c r="G131" s="30">
        <f t="shared" si="16"/>
        <v>71.5</v>
      </c>
      <c r="I131" s="20" t="str">
        <f t="shared" si="17"/>
        <v>CHEM 280,ED2-PCE</v>
      </c>
      <c r="J131" s="25"/>
    </row>
    <row r="132" spans="1:10" ht="14.5" x14ac:dyDescent="0.35">
      <c r="A132" s="26" t="s">
        <v>173</v>
      </c>
      <c r="B132" s="27" t="str">
        <v>PRACTICAL CHEMISTRY II</v>
      </c>
      <c r="C132" s="31" t="str">
        <v>Opoku Francis</v>
      </c>
      <c r="D132" s="26" t="s">
        <v>13</v>
      </c>
      <c r="E132" s="28">
        <v>160</v>
      </c>
      <c r="F132" s="32"/>
      <c r="G132" s="30">
        <f t="shared" si="16"/>
        <v>176</v>
      </c>
      <c r="I132" s="20" t="str">
        <f t="shared" si="17"/>
        <v>CHEM 280,ED2-CHE</v>
      </c>
      <c r="J132" s="25"/>
    </row>
    <row r="133" spans="1:10" ht="14.5" x14ac:dyDescent="0.35">
      <c r="A133" s="26" t="s">
        <v>174</v>
      </c>
      <c r="B133" s="27" t="str">
        <v>FLUID DYNAMICS  II</v>
      </c>
      <c r="C133" s="31" t="str">
        <v>A. K. Sunnu</v>
      </c>
      <c r="D133" s="32" t="s">
        <v>61</v>
      </c>
      <c r="E133" s="28">
        <v>222</v>
      </c>
      <c r="F133" s="32"/>
      <c r="G133" s="30">
        <f t="shared" si="16"/>
        <v>244.20000000000002</v>
      </c>
      <c r="I133" s="20" t="str">
        <f t="shared" si="17"/>
        <v>ME 352,ED3-ME</v>
      </c>
      <c r="J133" s="25"/>
    </row>
    <row r="134" spans="1:10" ht="14.5" x14ac:dyDescent="0.35">
      <c r="A134" s="26" t="s">
        <v>174</v>
      </c>
      <c r="B134" s="27" t="str">
        <v>FLUID DYNAMICS II</v>
      </c>
      <c r="C134" s="31" t="str">
        <v>Tay Godwin Fabiola Kwaku</v>
      </c>
      <c r="D134" s="32" t="s">
        <v>86</v>
      </c>
      <c r="E134" s="28">
        <v>40</v>
      </c>
      <c r="F134" s="32"/>
      <c r="G134" s="30">
        <f t="shared" si="16"/>
        <v>44</v>
      </c>
      <c r="I134" s="20" t="str">
        <f t="shared" si="17"/>
        <v>ME 352,ED3-MARI</v>
      </c>
      <c r="J134" s="25"/>
    </row>
    <row r="135" spans="1:10" ht="14.5" x14ac:dyDescent="0.35">
      <c r="A135" s="26" t="s">
        <v>175</v>
      </c>
      <c r="B135" s="27" t="str">
        <v>INTRODUCTION TO INFORMATION TECHNOLOGY</v>
      </c>
      <c r="C135" s="27" t="str">
        <v>Addo Daniel Akwei</v>
      </c>
      <c r="D135" s="26" t="s">
        <v>20</v>
      </c>
      <c r="E135" s="28">
        <v>262</v>
      </c>
      <c r="F135" s="32"/>
      <c r="G135" s="30">
        <f t="shared" si="16"/>
        <v>288.20000000000005</v>
      </c>
      <c r="I135" s="20" t="str">
        <f t="shared" si="17"/>
        <v>COE 158,ED1-COE</v>
      </c>
      <c r="J135" s="25"/>
    </row>
    <row r="136" spans="1:10" ht="14.5" x14ac:dyDescent="0.35">
      <c r="A136" s="26" t="s">
        <v>176</v>
      </c>
      <c r="B136" s="27" t="str">
        <v>ENGINEERING MANAGEMENT</v>
      </c>
      <c r="C136" s="31" t="str">
        <v>Takyi Gabriel</v>
      </c>
      <c r="D136" s="26" t="s">
        <v>177</v>
      </c>
      <c r="E136" s="28">
        <v>95</v>
      </c>
      <c r="F136" s="32"/>
      <c r="G136" s="30">
        <f t="shared" si="16"/>
        <v>104.50000000000001</v>
      </c>
      <c r="I136" s="20" t="str">
        <f t="shared" si="17"/>
        <v>GED 464,ED4-GEOL</v>
      </c>
      <c r="J136" s="25"/>
    </row>
    <row r="137" spans="1:10" ht="14.5" x14ac:dyDescent="0.35">
      <c r="A137" s="35"/>
      <c r="B137" s="35"/>
      <c r="D137" s="27" t="s">
        <v>178</v>
      </c>
      <c r="E137" s="35">
        <f>SUM(E129:E136)</f>
        <v>1151</v>
      </c>
      <c r="F137" s="36"/>
      <c r="G137" s="35"/>
      <c r="I137" s="22" t="s">
        <v>179</v>
      </c>
      <c r="J137" s="25"/>
    </row>
    <row r="138" spans="1:10" ht="14.5" x14ac:dyDescent="0.35">
      <c r="A138" s="14" t="s">
        <v>180</v>
      </c>
      <c r="B138" s="14"/>
      <c r="C138" s="14"/>
      <c r="D138" s="14"/>
      <c r="E138" s="14"/>
      <c r="F138" s="14"/>
      <c r="G138" s="14"/>
      <c r="I138" s="22" t="s">
        <v>181</v>
      </c>
      <c r="J138" s="25"/>
    </row>
    <row r="139" spans="1:10" ht="14.5" x14ac:dyDescent="0.35">
      <c r="A139" s="14" t="s">
        <v>2</v>
      </c>
      <c r="B139" s="14"/>
      <c r="C139" s="14"/>
      <c r="D139" s="14"/>
      <c r="E139" s="14"/>
      <c r="F139" s="14"/>
      <c r="G139" s="14"/>
      <c r="I139" s="22" t="s">
        <v>149</v>
      </c>
      <c r="J139" s="25"/>
    </row>
    <row r="140" spans="1:10" ht="14.5" x14ac:dyDescent="0.35">
      <c r="A140" s="24" t="s">
        <v>4</v>
      </c>
      <c r="B140" s="24" t="s">
        <v>5</v>
      </c>
      <c r="C140" s="16" t="s">
        <v>6</v>
      </c>
      <c r="D140" s="24" t="s">
        <v>7</v>
      </c>
      <c r="E140" s="24" t="s">
        <v>8</v>
      </c>
      <c r="F140" s="16" t="s">
        <v>9</v>
      </c>
      <c r="G140" s="24" t="s">
        <v>10</v>
      </c>
      <c r="I140" s="22" t="s">
        <v>31</v>
      </c>
      <c r="J140" s="25"/>
    </row>
    <row r="141" spans="1:10" ht="14.9" customHeight="1" x14ac:dyDescent="0.35">
      <c r="A141" s="26" t="s">
        <v>182</v>
      </c>
      <c r="B141" s="24" t="str">
        <f t="array" ref="B141:B152">IFERROR(VLOOKUP(I141:I152,Lectures_1!A2:F534,2,FALSE()),0)</f>
        <v>CIVIL ENGINEERING DRAWING</v>
      </c>
      <c r="C141" s="27" t="str">
        <f t="array" ref="C141:C152">IFERROR(VLOOKUP(I141:I152,Lectures_1!A2:F534,3,FALSE()),0)</f>
        <v>Osei Jack Banahene</v>
      </c>
      <c r="D141" s="26" t="s">
        <v>126</v>
      </c>
      <c r="E141" s="28">
        <f t="array" ref="E141:E152">IFERROR(VLOOKUP(I141:I152,Lectures_1!A2:F534,4,FALSE()),0)</f>
        <v>125</v>
      </c>
      <c r="F141" s="11" t="s">
        <v>34</v>
      </c>
      <c r="G141" s="30">
        <f t="shared" ref="G141:G152" si="18">E141*1.1</f>
        <v>137.5</v>
      </c>
      <c r="I141" s="20" t="str">
        <f t="shared" ref="I141:I152" si="19">CONCATENATE(A141,",",D141)</f>
        <v>CE 164,ED1-GEOL</v>
      </c>
      <c r="J141" s="25"/>
    </row>
    <row r="142" spans="1:10" ht="14.5" x14ac:dyDescent="0.35">
      <c r="A142" s="26" t="s">
        <v>183</v>
      </c>
      <c r="B142" s="27" t="str">
        <v>INTRODUCTION TO FINITE ELEMENT</v>
      </c>
      <c r="C142" s="31" t="str">
        <v>Andoh Prince Yaw</v>
      </c>
      <c r="D142" s="26" t="s">
        <v>97</v>
      </c>
      <c r="E142" s="28">
        <v>32</v>
      </c>
      <c r="F142" s="11"/>
      <c r="G142" s="30">
        <f t="shared" si="18"/>
        <v>35.200000000000003</v>
      </c>
      <c r="I142" s="20" t="str">
        <f t="shared" si="19"/>
        <v>ME 456,ED4-AUTO</v>
      </c>
      <c r="J142" s="25"/>
    </row>
    <row r="143" spans="1:10" ht="14.5" x14ac:dyDescent="0.35">
      <c r="A143" s="26" t="s">
        <v>60</v>
      </c>
      <c r="B143" s="31" t="str">
        <v>MACHINE DESIGN II</v>
      </c>
      <c r="C143" s="27" t="str">
        <v>Afriyie Nyarko Frank Kwabena</v>
      </c>
      <c r="D143" s="26" t="s">
        <v>88</v>
      </c>
      <c r="E143" s="28">
        <v>101</v>
      </c>
      <c r="F143" s="32"/>
      <c r="G143" s="30">
        <f t="shared" si="18"/>
        <v>111.10000000000001</v>
      </c>
      <c r="I143" s="20" t="str">
        <f t="shared" si="19"/>
        <v>ME 374,ED3-AE</v>
      </c>
      <c r="J143" s="25"/>
    </row>
    <row r="144" spans="1:10" ht="14.5" x14ac:dyDescent="0.35">
      <c r="A144" s="26" t="s">
        <v>184</v>
      </c>
      <c r="B144" s="31" t="str">
        <v>CIRCUIT THEORY</v>
      </c>
      <c r="C144" s="27" t="str">
        <v>Twumasi Elvis</v>
      </c>
      <c r="D144" s="26" t="s">
        <v>51</v>
      </c>
      <c r="E144" s="28">
        <v>295</v>
      </c>
      <c r="F144" s="32"/>
      <c r="G144" s="30">
        <f t="shared" si="18"/>
        <v>324.5</v>
      </c>
      <c r="I144" s="20" t="str">
        <f t="shared" si="19"/>
        <v>EE 166,ED1-EE</v>
      </c>
      <c r="J144" s="25"/>
    </row>
    <row r="145" spans="1:10" ht="14.5" x14ac:dyDescent="0.35">
      <c r="A145" s="26" t="s">
        <v>185</v>
      </c>
      <c r="B145" s="27" t="str">
        <v>INTRODUCTION TO INFORMATION TECHNOLOGY</v>
      </c>
      <c r="C145" s="27" t="str">
        <v>Baidoo Martina Francisca</v>
      </c>
      <c r="D145" s="26" t="s">
        <v>81</v>
      </c>
      <c r="E145" s="28">
        <v>56</v>
      </c>
      <c r="F145" s="13" t="s">
        <v>21</v>
      </c>
      <c r="G145" s="30">
        <f t="shared" si="18"/>
        <v>61.600000000000009</v>
      </c>
      <c r="I145" s="20" t="str">
        <f t="shared" si="19"/>
        <v>PCE 158,ED1-PCE</v>
      </c>
      <c r="J145" s="25"/>
    </row>
    <row r="146" spans="1:10" ht="14.5" x14ac:dyDescent="0.35">
      <c r="A146" s="26" t="s">
        <v>186</v>
      </c>
      <c r="B146" s="27" t="str">
        <v>INTRODUCTION TO INFORMATION TECHNOLOGY</v>
      </c>
      <c r="C146" s="27" t="str">
        <v>Baidoo Martina Francisca</v>
      </c>
      <c r="D146" s="26" t="s">
        <v>80</v>
      </c>
      <c r="E146" s="28">
        <v>120</v>
      </c>
      <c r="F146" s="13"/>
      <c r="G146" s="30">
        <f t="shared" si="18"/>
        <v>132</v>
      </c>
      <c r="I146" s="20" t="str">
        <f t="shared" si="19"/>
        <v>CHE 158,ED1-CHE</v>
      </c>
      <c r="J146" s="25"/>
    </row>
    <row r="147" spans="1:10" ht="14.5" x14ac:dyDescent="0.35">
      <c r="A147" s="26" t="s">
        <v>187</v>
      </c>
      <c r="B147" s="27" t="str">
        <v>DATA COMMUNICATION PRINCIPLES</v>
      </c>
      <c r="C147" s="31" t="str">
        <v>Gadze James Dzisi</v>
      </c>
      <c r="D147" s="46" t="s">
        <v>119</v>
      </c>
      <c r="E147" s="28">
        <v>140</v>
      </c>
      <c r="F147" s="32"/>
      <c r="G147" s="30">
        <f t="shared" si="18"/>
        <v>154</v>
      </c>
      <c r="I147" s="20" t="str">
        <f t="shared" si="19"/>
        <v>TE 352,ED3-TEL</v>
      </c>
      <c r="J147" s="25"/>
    </row>
    <row r="148" spans="1:10" ht="14.5" x14ac:dyDescent="0.35">
      <c r="A148" s="26" t="s">
        <v>188</v>
      </c>
      <c r="B148" s="31" t="str">
        <v>INTRODUCTION TO PETROLEUM ENGINEERING</v>
      </c>
      <c r="C148" s="27" t="str">
        <v>Erzuah Samuel</v>
      </c>
      <c r="D148" s="32" t="s">
        <v>82</v>
      </c>
      <c r="E148" s="28">
        <v>130</v>
      </c>
      <c r="F148" s="32"/>
      <c r="G148" s="30">
        <f t="shared" si="18"/>
        <v>143</v>
      </c>
      <c r="I148" s="20" t="str">
        <f t="shared" si="19"/>
        <v>PE 154,ED1-PE</v>
      </c>
      <c r="J148" s="25"/>
    </row>
    <row r="149" spans="1:10" ht="14.5" x14ac:dyDescent="0.35">
      <c r="A149" s="26" t="s">
        <v>189</v>
      </c>
      <c r="B149" s="31" t="str">
        <v>PRODUCTION ENGINEERING II</v>
      </c>
      <c r="C149" s="31" t="str">
        <v>Obeng George Yaw</v>
      </c>
      <c r="D149" s="26" t="s">
        <v>67</v>
      </c>
      <c r="E149" s="28">
        <v>40</v>
      </c>
      <c r="F149" s="32"/>
      <c r="G149" s="30">
        <f t="shared" si="18"/>
        <v>44</v>
      </c>
      <c r="I149" s="20" t="str">
        <f t="shared" si="19"/>
        <v>ME 478,ED4-ME</v>
      </c>
      <c r="J149" s="25"/>
    </row>
    <row r="150" spans="1:10" ht="15" customHeight="1" x14ac:dyDescent="0.35">
      <c r="A150" s="26" t="s">
        <v>190</v>
      </c>
      <c r="B150" s="27" t="str">
        <v>ENGINEERING GRAPHICS</v>
      </c>
      <c r="C150" s="27" t="str">
        <v>Sackey Michael Nii</v>
      </c>
      <c r="D150" s="26" t="s">
        <v>191</v>
      </c>
      <c r="E150" s="28">
        <v>70</v>
      </c>
      <c r="F150" s="32"/>
      <c r="G150" s="30">
        <f t="shared" si="18"/>
        <v>77</v>
      </c>
      <c r="I150" s="20" t="str">
        <f t="shared" si="19"/>
        <v>ME 158,ED1-AERO</v>
      </c>
      <c r="J150" s="25"/>
    </row>
    <row r="151" spans="1:10" ht="14.5" x14ac:dyDescent="0.35">
      <c r="A151" s="26" t="s">
        <v>192</v>
      </c>
      <c r="B151" s="27" t="str">
        <v>PROPULSION</v>
      </c>
      <c r="C151" s="31" t="str">
        <v>Bofah Kwasi Kete</v>
      </c>
      <c r="D151" s="26" t="s">
        <v>133</v>
      </c>
      <c r="E151" s="28">
        <v>76</v>
      </c>
      <c r="F151" s="32"/>
      <c r="G151" s="30">
        <f t="shared" si="18"/>
        <v>83.600000000000009</v>
      </c>
      <c r="I151" s="20" t="str">
        <f t="shared" si="19"/>
        <v>AERO 368,ED3-AERO</v>
      </c>
      <c r="J151" s="25"/>
    </row>
    <row r="152" spans="1:10" ht="15" customHeight="1" x14ac:dyDescent="0.35">
      <c r="A152" s="26" t="s">
        <v>193</v>
      </c>
      <c r="B152" s="27" t="str">
        <v>DATABASE SYSTEMS</v>
      </c>
      <c r="C152" s="27" t="str">
        <v>Ayer John Wise Divine</v>
      </c>
      <c r="D152" s="26" t="s">
        <v>194</v>
      </c>
      <c r="E152" s="28">
        <v>93</v>
      </c>
      <c r="F152" s="32"/>
      <c r="G152" s="30">
        <f t="shared" si="18"/>
        <v>102.30000000000001</v>
      </c>
      <c r="I152" s="20" t="str">
        <f t="shared" si="19"/>
        <v>GE 464,ED4-GEOM</v>
      </c>
      <c r="J152" s="25"/>
    </row>
    <row r="153" spans="1:10" ht="14.5" x14ac:dyDescent="0.35">
      <c r="A153" s="35"/>
      <c r="B153" s="35"/>
      <c r="D153" s="27" t="s">
        <v>195</v>
      </c>
      <c r="E153" s="35">
        <f>SUM(E143:E152)</f>
        <v>1121</v>
      </c>
      <c r="F153" s="36"/>
      <c r="G153" s="35"/>
      <c r="I153" s="22" t="s">
        <v>196</v>
      </c>
      <c r="J153" s="25"/>
    </row>
    <row r="154" spans="1:10" ht="14.5" x14ac:dyDescent="0.35">
      <c r="A154" s="14" t="s">
        <v>180</v>
      </c>
      <c r="B154" s="14"/>
      <c r="C154" s="14"/>
      <c r="D154" s="14"/>
      <c r="E154" s="14"/>
      <c r="F154" s="14"/>
      <c r="G154" s="14"/>
      <c r="I154" s="22" t="s">
        <v>181</v>
      </c>
      <c r="J154" s="25"/>
    </row>
    <row r="155" spans="1:10" ht="14.5" x14ac:dyDescent="0.35">
      <c r="A155" s="14" t="s">
        <v>29</v>
      </c>
      <c r="B155" s="14"/>
      <c r="C155" s="14"/>
      <c r="D155" s="14"/>
      <c r="E155" s="14"/>
      <c r="F155" s="14"/>
      <c r="G155" s="14"/>
      <c r="I155" s="22" t="s">
        <v>30</v>
      </c>
      <c r="J155" s="25"/>
    </row>
    <row r="156" spans="1:10" ht="14.5" x14ac:dyDescent="0.35">
      <c r="A156" s="24" t="s">
        <v>4</v>
      </c>
      <c r="B156" s="24" t="s">
        <v>5</v>
      </c>
      <c r="C156" s="16" t="s">
        <v>6</v>
      </c>
      <c r="D156" s="24" t="s">
        <v>7</v>
      </c>
      <c r="E156" s="24" t="s">
        <v>8</v>
      </c>
      <c r="F156" s="16" t="s">
        <v>9</v>
      </c>
      <c r="G156" s="24" t="s">
        <v>10</v>
      </c>
      <c r="I156" s="22" t="s">
        <v>31</v>
      </c>
      <c r="J156" s="25"/>
    </row>
    <row r="157" spans="1:10" ht="14.5" x14ac:dyDescent="0.35">
      <c r="A157" s="26" t="s">
        <v>182</v>
      </c>
      <c r="B157" s="31" t="str">
        <f t="array" ref="B157:B165">IFERROR(VLOOKUP(I157:I165,Lectures_1!A2:F534,2,FALSE()),0)</f>
        <v>CIVIL ENGINEERING DRAWING</v>
      </c>
      <c r="C157" s="31" t="str">
        <f t="array" ref="C157:C165">IFERROR(VLOOKUP(I157:I165,Lectures_1!A2:F534,3,FALSE()),0)</f>
        <v>Osei Jack Banahene</v>
      </c>
      <c r="D157" s="26" t="s">
        <v>75</v>
      </c>
      <c r="E157" s="28">
        <f t="array" ref="E157:E165">IFERROR(VLOOKUP(I157:I165,Lectures_1!A2:F534,4,FALSE()),0)</f>
        <v>245</v>
      </c>
      <c r="F157" s="29" t="s">
        <v>34</v>
      </c>
      <c r="G157" s="30">
        <f t="shared" ref="G157:G165" si="20">E157*1.1</f>
        <v>269.5</v>
      </c>
      <c r="H157" s="40"/>
      <c r="I157" s="20" t="str">
        <f t="shared" ref="I157:I165" si="21">CONCATENATE(A157,",",D157)</f>
        <v>CE 164,ED1-CE</v>
      </c>
      <c r="J157" s="25"/>
    </row>
    <row r="158" spans="1:10" ht="14.5" x14ac:dyDescent="0.35">
      <c r="A158" s="26" t="s">
        <v>197</v>
      </c>
      <c r="B158" s="27" t="str">
        <v>INTRODUCTION TO SOCIOLOGY II</v>
      </c>
      <c r="C158" s="31" t="str">
        <v>Jones Opoku-Ware</v>
      </c>
      <c r="D158" s="26" t="s">
        <v>130</v>
      </c>
      <c r="E158" s="28">
        <v>136</v>
      </c>
      <c r="F158" s="26"/>
      <c r="G158" s="30">
        <f t="shared" si="20"/>
        <v>149.60000000000002</v>
      </c>
      <c r="I158" s="20" t="str">
        <f t="shared" si="21"/>
        <v>SOC 152,ED1-BME</v>
      </c>
      <c r="J158" s="25"/>
    </row>
    <row r="159" spans="1:10" ht="14.5" x14ac:dyDescent="0.35">
      <c r="A159" s="26" t="s">
        <v>198</v>
      </c>
      <c r="B159" s="27" t="str">
        <v>DATABASE AND INFORMATION RETRIEVAL</v>
      </c>
      <c r="C159" s="27" t="str">
        <v>Keelson Eliel</v>
      </c>
      <c r="D159" s="26" t="s">
        <v>16</v>
      </c>
      <c r="E159" s="28">
        <v>265</v>
      </c>
      <c r="F159" s="44" t="s">
        <v>21</v>
      </c>
      <c r="G159" s="30">
        <f t="shared" si="20"/>
        <v>291.5</v>
      </c>
      <c r="I159" s="20" t="str">
        <f t="shared" si="21"/>
        <v>COE 368,ED3-COE</v>
      </c>
      <c r="J159" s="25"/>
    </row>
    <row r="160" spans="1:10" ht="14.5" x14ac:dyDescent="0.35">
      <c r="A160" s="26" t="s">
        <v>199</v>
      </c>
      <c r="B160" s="31" t="str">
        <v>MATERIALS SCIENCE</v>
      </c>
      <c r="C160" s="31" t="str">
        <v>Patrick Boakye</v>
      </c>
      <c r="D160" s="26" t="s">
        <v>73</v>
      </c>
      <c r="E160" s="28">
        <v>105</v>
      </c>
      <c r="F160" s="32"/>
      <c r="G160" s="30">
        <f t="shared" si="20"/>
        <v>115.50000000000001</v>
      </c>
      <c r="I160" s="20" t="str">
        <f t="shared" si="21"/>
        <v>CHE 350,ED3-CHE</v>
      </c>
      <c r="J160" s="25"/>
    </row>
    <row r="161" spans="1:10" ht="14.5" x14ac:dyDescent="0.35">
      <c r="A161" s="26" t="s">
        <v>199</v>
      </c>
      <c r="B161" s="31" t="str">
        <v>MATERIALS SCIENCE</v>
      </c>
      <c r="C161" s="31" t="str">
        <v>Anang Daniel Adjah</v>
      </c>
      <c r="D161" s="26" t="s">
        <v>63</v>
      </c>
      <c r="E161" s="28">
        <v>53</v>
      </c>
      <c r="F161" s="32"/>
      <c r="G161" s="30">
        <f t="shared" si="20"/>
        <v>58.300000000000004</v>
      </c>
      <c r="I161" s="20" t="str">
        <f t="shared" si="21"/>
        <v>CHE 350,ED3-PCE</v>
      </c>
      <c r="J161" s="25"/>
    </row>
    <row r="162" spans="1:10" ht="14.5" x14ac:dyDescent="0.35">
      <c r="A162" s="26" t="s">
        <v>200</v>
      </c>
      <c r="B162" s="27" t="str">
        <v>INTRODUCTION TO PSYCHOLOGY</v>
      </c>
      <c r="C162" s="31" t="str">
        <v>Sarfo Fordjour Elizabeth Anokyewaa</v>
      </c>
      <c r="D162" s="26" t="s">
        <v>91</v>
      </c>
      <c r="E162" s="28">
        <v>130</v>
      </c>
      <c r="F162" s="32"/>
      <c r="G162" s="30">
        <f t="shared" si="20"/>
        <v>143</v>
      </c>
      <c r="I162" s="20" t="str">
        <f t="shared" si="21"/>
        <v>PSYC 154,ED1-TEL</v>
      </c>
      <c r="J162" s="25"/>
    </row>
    <row r="163" spans="1:10" ht="14.5" x14ac:dyDescent="0.35">
      <c r="A163" s="26" t="s">
        <v>201</v>
      </c>
      <c r="B163" s="27" t="str">
        <v>REPRODUCTION CARTOGRAPHY</v>
      </c>
      <c r="C163" s="31" t="str">
        <v>Quaye-Ballard Jonathan Arthur</v>
      </c>
      <c r="D163" s="26" t="s">
        <v>95</v>
      </c>
      <c r="E163" s="28">
        <v>103</v>
      </c>
      <c r="F163" s="32"/>
      <c r="G163" s="30">
        <f t="shared" si="20"/>
        <v>113.30000000000001</v>
      </c>
      <c r="I163" s="20" t="str">
        <f t="shared" si="21"/>
        <v>GE 152,ED1-GEOM</v>
      </c>
      <c r="J163" s="25"/>
    </row>
    <row r="164" spans="1:10" ht="14.5" x14ac:dyDescent="0.35">
      <c r="A164" s="26" t="s">
        <v>202</v>
      </c>
      <c r="B164" s="27" t="str">
        <v>CIRCUIT THEORY</v>
      </c>
      <c r="C164" s="31" t="str">
        <v>Yeboah-Akowuah Bright</v>
      </c>
      <c r="D164" s="26" t="s">
        <v>109</v>
      </c>
      <c r="E164" s="28">
        <v>80</v>
      </c>
      <c r="F164" s="32"/>
      <c r="G164" s="30">
        <f t="shared" si="20"/>
        <v>88</v>
      </c>
      <c r="I164" s="20" t="str">
        <f t="shared" si="21"/>
        <v>COE 288,ED2-BME</v>
      </c>
      <c r="J164" s="25"/>
    </row>
    <row r="165" spans="1:10" ht="14.5" x14ac:dyDescent="0.35">
      <c r="A165" s="26" t="s">
        <v>202</v>
      </c>
      <c r="B165" s="27" t="str">
        <v>CIRCUIT THEORY</v>
      </c>
      <c r="C165" s="31" t="str">
        <v>Yeboah-Akowuah Bright</v>
      </c>
      <c r="D165" s="26" t="s">
        <v>108</v>
      </c>
      <c r="E165" s="28">
        <v>255</v>
      </c>
      <c r="F165" s="32"/>
      <c r="G165" s="30">
        <f t="shared" si="20"/>
        <v>280.5</v>
      </c>
      <c r="I165" s="20" t="str">
        <f t="shared" si="21"/>
        <v>COE 288,ED2-COE</v>
      </c>
      <c r="J165" s="25"/>
    </row>
    <row r="166" spans="1:10" ht="14.5" x14ac:dyDescent="0.35">
      <c r="A166" s="35"/>
      <c r="B166" s="35"/>
      <c r="D166" s="27" t="s">
        <v>203</v>
      </c>
      <c r="E166" s="35">
        <f>SUM(E158:E165)</f>
        <v>1127</v>
      </c>
      <c r="F166" s="36"/>
      <c r="G166" s="35"/>
      <c r="I166" s="22" t="s">
        <v>204</v>
      </c>
      <c r="J166" s="25"/>
    </row>
    <row r="167" spans="1:10" ht="14.5" x14ac:dyDescent="0.35">
      <c r="A167" s="14" t="s">
        <v>180</v>
      </c>
      <c r="B167" s="14"/>
      <c r="C167" s="14"/>
      <c r="D167" s="14"/>
      <c r="E167" s="14"/>
      <c r="F167" s="14"/>
      <c r="G167" s="14"/>
      <c r="I167" s="22" t="s">
        <v>181</v>
      </c>
      <c r="J167" s="25"/>
    </row>
    <row r="168" spans="1:10" ht="14.5" x14ac:dyDescent="0.35">
      <c r="A168" s="14" t="s">
        <v>59</v>
      </c>
      <c r="B168" s="14"/>
      <c r="C168" s="14"/>
      <c r="D168" s="14"/>
      <c r="E168" s="14"/>
      <c r="F168" s="14"/>
      <c r="G168" s="14"/>
      <c r="I168" s="22" t="s">
        <v>128</v>
      </c>
      <c r="J168" s="25"/>
    </row>
    <row r="169" spans="1:10" ht="14.5" x14ac:dyDescent="0.35">
      <c r="A169" s="24" t="s">
        <v>4</v>
      </c>
      <c r="B169" s="24" t="s">
        <v>5</v>
      </c>
      <c r="C169" s="16" t="s">
        <v>6</v>
      </c>
      <c r="D169" s="24" t="s">
        <v>7</v>
      </c>
      <c r="E169" s="24" t="s">
        <v>8</v>
      </c>
      <c r="F169" s="16" t="s">
        <v>9</v>
      </c>
      <c r="G169" s="24" t="s">
        <v>10</v>
      </c>
      <c r="I169" s="22" t="s">
        <v>31</v>
      </c>
      <c r="J169" s="25"/>
    </row>
    <row r="170" spans="1:10" ht="14.5" x14ac:dyDescent="0.35">
      <c r="A170" s="26" t="s">
        <v>205</v>
      </c>
      <c r="B170" s="31" t="str">
        <f t="array" ref="B170:B181">IFERROR(VLOOKUP(I170:I181,Lectures_1!A2:F534,2,FALSE()),0)</f>
        <v>FINITE ELEMENT ANALYSIS</v>
      </c>
      <c r="C170" s="31" t="str">
        <f t="array" ref="C170:C181">IFERROR(VLOOKUP(I170:I181,Lectures_1!A2:F534,3,FALSE()),0)</f>
        <v>Jones Owusu Twumasi</v>
      </c>
      <c r="D170" s="26" t="s">
        <v>103</v>
      </c>
      <c r="E170" s="28">
        <f t="array" ref="E170:E181">IFERROR(VLOOKUP(I170:I181,Lectures_1!A2:F534,4,FALSE()),0)</f>
        <v>18</v>
      </c>
      <c r="F170" s="29"/>
      <c r="G170" s="30">
        <f t="shared" ref="G170:G181" si="22">E170*1.1</f>
        <v>19.8</v>
      </c>
      <c r="H170" s="40"/>
      <c r="I170" s="20" t="str">
        <f t="shared" ref="I170:I181" si="23">CONCATENATE(A170,",",D170)</f>
        <v>CE 480,ED4-CE</v>
      </c>
      <c r="J170" s="25"/>
    </row>
    <row r="171" spans="1:10" ht="14.5" x14ac:dyDescent="0.35">
      <c r="A171" s="26" t="s">
        <v>206</v>
      </c>
      <c r="B171" s="31" t="str">
        <v>OILFIELD GEOLCHEMISTRY</v>
      </c>
      <c r="C171" s="31" t="str">
        <v>Adenutsi Caspar Daniel</v>
      </c>
      <c r="D171" s="26" t="s">
        <v>46</v>
      </c>
      <c r="E171" s="28">
        <v>99</v>
      </c>
      <c r="F171" s="47"/>
      <c r="G171" s="30">
        <f t="shared" si="22"/>
        <v>108.9</v>
      </c>
      <c r="I171" s="20" t="str">
        <f t="shared" si="23"/>
        <v>PE 458,ED4-PE</v>
      </c>
      <c r="J171" s="25"/>
    </row>
    <row r="172" spans="1:10" ht="14.5" x14ac:dyDescent="0.35">
      <c r="A172" s="26" t="s">
        <v>207</v>
      </c>
      <c r="B172" s="31" t="str">
        <v>PHYSICAL METALLURGY OF FERROUS METALS</v>
      </c>
      <c r="C172" s="31" t="str">
        <v>Kwofie Samuel</v>
      </c>
      <c r="D172" s="26" t="s">
        <v>140</v>
      </c>
      <c r="E172" s="28">
        <v>85</v>
      </c>
      <c r="F172" s="32"/>
      <c r="G172" s="30">
        <f t="shared" si="22"/>
        <v>93.500000000000014</v>
      </c>
      <c r="I172" s="20" t="str">
        <f t="shared" si="23"/>
        <v>MSE 354,ED3-MSE</v>
      </c>
      <c r="J172" s="25"/>
    </row>
    <row r="173" spans="1:10" ht="14.5" x14ac:dyDescent="0.35">
      <c r="A173" s="26" t="s">
        <v>208</v>
      </c>
      <c r="B173" s="27" t="str">
        <v>PHYSICAL METALLURGY OF FERROUS METALS</v>
      </c>
      <c r="C173" s="27" t="str">
        <v>Kwofie Samuel</v>
      </c>
      <c r="D173" s="26" t="s">
        <v>142</v>
      </c>
      <c r="E173" s="28">
        <v>87</v>
      </c>
      <c r="F173" s="32"/>
      <c r="G173" s="30">
        <f t="shared" si="22"/>
        <v>95.7</v>
      </c>
      <c r="I173" s="20" t="str">
        <f t="shared" si="23"/>
        <v>METE 362,ED3-METE</v>
      </c>
      <c r="J173" s="25"/>
    </row>
    <row r="174" spans="1:10" ht="14.5" x14ac:dyDescent="0.35">
      <c r="A174" s="26" t="s">
        <v>209</v>
      </c>
      <c r="B174" s="27" t="str">
        <v>STRESS AND STRAIN ANALYSIS OF RIGID BODIES</v>
      </c>
      <c r="C174" s="31" t="str">
        <v>Mensah-Darkwa Kwadwo</v>
      </c>
      <c r="D174" s="26" t="s">
        <v>101</v>
      </c>
      <c r="E174" s="28">
        <v>57</v>
      </c>
      <c r="F174" s="32"/>
      <c r="G174" s="30">
        <f t="shared" si="22"/>
        <v>62.7</v>
      </c>
      <c r="I174" s="20" t="str">
        <f t="shared" si="23"/>
        <v>MSE 262,ED2-METE</v>
      </c>
      <c r="J174" s="25"/>
    </row>
    <row r="175" spans="1:10" ht="14.5" x14ac:dyDescent="0.35">
      <c r="A175" s="26" t="s">
        <v>209</v>
      </c>
      <c r="B175" s="27" t="str">
        <v>STRESS AND STRAIN ANALYSIS OF RIGID BODIES</v>
      </c>
      <c r="C175" s="31" t="str">
        <v>Mensah-Darkwa Kwadwo</v>
      </c>
      <c r="D175" s="26" t="s">
        <v>210</v>
      </c>
      <c r="E175" s="28">
        <v>83</v>
      </c>
      <c r="F175" s="48"/>
      <c r="G175" s="30">
        <f t="shared" si="22"/>
        <v>91.300000000000011</v>
      </c>
      <c r="I175" s="20" t="str">
        <f t="shared" si="23"/>
        <v>MSE 262,ED2-MSE</v>
      </c>
      <c r="J175" s="25"/>
    </row>
    <row r="176" spans="1:10" ht="14.9" customHeight="1" x14ac:dyDescent="0.35">
      <c r="A176" s="26" t="s">
        <v>211</v>
      </c>
      <c r="B176" s="27" t="str">
        <v>HEALTH SAFETY AND ENVIRONMENT</v>
      </c>
      <c r="C176" s="31" t="str">
        <v>Adjei Stephen</v>
      </c>
      <c r="D176" s="26" t="s">
        <v>18</v>
      </c>
      <c r="E176" s="28">
        <v>80</v>
      </c>
      <c r="F176" s="11" t="s">
        <v>21</v>
      </c>
      <c r="G176" s="30">
        <f t="shared" si="22"/>
        <v>88</v>
      </c>
      <c r="I176" s="20" t="str">
        <f t="shared" si="23"/>
        <v>PE 366,ED3-PE</v>
      </c>
      <c r="J176" s="25"/>
    </row>
    <row r="177" spans="1:10" ht="14.5" x14ac:dyDescent="0.35">
      <c r="A177" s="26" t="s">
        <v>212</v>
      </c>
      <c r="B177" s="27" t="str">
        <v>HEAT TRANSPORT PROCESSES</v>
      </c>
      <c r="C177" s="31" t="str">
        <v>Adjei Stephen</v>
      </c>
      <c r="D177" s="26" t="s">
        <v>93</v>
      </c>
      <c r="E177" s="28">
        <v>95</v>
      </c>
      <c r="F177" s="11"/>
      <c r="G177" s="30">
        <f t="shared" si="22"/>
        <v>104.50000000000001</v>
      </c>
      <c r="I177" s="20" t="str">
        <f t="shared" si="23"/>
        <v>PE 252,ED2-PE</v>
      </c>
      <c r="J177" s="25"/>
    </row>
    <row r="178" spans="1:10" ht="14.5" x14ac:dyDescent="0.35">
      <c r="A178" s="26" t="s">
        <v>213</v>
      </c>
      <c r="B178" s="27" t="str">
        <v>SOIL AND WATER ENGINEERING II</v>
      </c>
      <c r="C178" s="31" t="str">
        <v>Agyare Wilson Agyei</v>
      </c>
      <c r="D178" s="26" t="s">
        <v>50</v>
      </c>
      <c r="E178" s="28">
        <v>103</v>
      </c>
      <c r="F178" s="32"/>
      <c r="G178" s="30">
        <f t="shared" si="22"/>
        <v>113.30000000000001</v>
      </c>
      <c r="I178" s="20" t="str">
        <f t="shared" si="23"/>
        <v>AE 452,ED4-AE</v>
      </c>
      <c r="J178" s="25"/>
    </row>
    <row r="179" spans="1:10" ht="14.5" x14ac:dyDescent="0.35">
      <c r="A179" s="26" t="s">
        <v>214</v>
      </c>
      <c r="B179" s="27" t="str">
        <v>ADVANCED ENGINEERING GEOLLOGY</v>
      </c>
      <c r="C179" s="31" t="str">
        <v>Gidigasu Solomon Senyo Robert</v>
      </c>
      <c r="D179" s="26" t="s">
        <v>177</v>
      </c>
      <c r="E179" s="28">
        <v>95</v>
      </c>
      <c r="F179" s="32"/>
      <c r="G179" s="30">
        <f t="shared" si="22"/>
        <v>104.50000000000001</v>
      </c>
      <c r="I179" s="20" t="str">
        <f t="shared" si="23"/>
        <v>GED 452,ED4-GEOL</v>
      </c>
      <c r="J179" s="25"/>
    </row>
    <row r="180" spans="1:10" ht="14.5" x14ac:dyDescent="0.35">
      <c r="A180" s="26" t="s">
        <v>215</v>
      </c>
      <c r="B180" s="31" t="str">
        <v>STRUCTURAL ANALYSIS</v>
      </c>
      <c r="C180" s="31" t="str">
        <v>Kankam Charles Kwame</v>
      </c>
      <c r="D180" s="26" t="s">
        <v>56</v>
      </c>
      <c r="E180" s="28">
        <v>250</v>
      </c>
      <c r="F180" s="32"/>
      <c r="G180" s="30">
        <f t="shared" si="22"/>
        <v>275</v>
      </c>
      <c r="I180" s="20" t="str">
        <f t="shared" si="23"/>
        <v>CE 258,ED2-CE</v>
      </c>
      <c r="J180" s="25"/>
    </row>
    <row r="181" spans="1:10" ht="14.5" x14ac:dyDescent="0.35">
      <c r="A181" s="26" t="s">
        <v>216</v>
      </c>
      <c r="B181" s="27" t="str">
        <v>SYSTEMS INTEGRATION</v>
      </c>
      <c r="C181" s="31" t="str">
        <v>Tay Godwin Fabiola Kwaku</v>
      </c>
      <c r="D181" s="26" t="s">
        <v>124</v>
      </c>
      <c r="E181" s="28">
        <v>69</v>
      </c>
      <c r="F181" s="32"/>
      <c r="G181" s="30">
        <f t="shared" si="22"/>
        <v>75.900000000000006</v>
      </c>
      <c r="I181" s="20" t="str">
        <f t="shared" si="23"/>
        <v>IE 456,ED4-IND</v>
      </c>
      <c r="J181" s="25"/>
    </row>
    <row r="182" spans="1:10" ht="14.5" x14ac:dyDescent="0.35">
      <c r="A182" s="35"/>
      <c r="B182" s="35"/>
      <c r="D182" s="27" t="s">
        <v>203</v>
      </c>
      <c r="E182" s="35">
        <f>SUM(E170:E181)</f>
        <v>1121</v>
      </c>
      <c r="F182" s="36"/>
      <c r="G182" s="35"/>
      <c r="I182" s="22" t="s">
        <v>204</v>
      </c>
      <c r="J182" s="25"/>
    </row>
    <row r="183" spans="1:10" ht="14.5" x14ac:dyDescent="0.35">
      <c r="A183" s="14" t="s">
        <v>217</v>
      </c>
      <c r="B183" s="14"/>
      <c r="C183" s="14"/>
      <c r="D183" s="14"/>
      <c r="E183" s="14"/>
      <c r="F183" s="14"/>
      <c r="G183" s="14"/>
      <c r="I183" s="22" t="s">
        <v>218</v>
      </c>
      <c r="J183" s="25"/>
    </row>
    <row r="184" spans="1:10" ht="14.5" x14ac:dyDescent="0.35">
      <c r="A184" s="14" t="s">
        <v>2</v>
      </c>
      <c r="B184" s="14"/>
      <c r="C184" s="14"/>
      <c r="D184" s="14"/>
      <c r="E184" s="14"/>
      <c r="F184" s="14"/>
      <c r="G184" s="14"/>
      <c r="I184" s="22" t="s">
        <v>149</v>
      </c>
      <c r="J184" s="25"/>
    </row>
    <row r="185" spans="1:10" ht="14.5" x14ac:dyDescent="0.35">
      <c r="A185" s="24" t="s">
        <v>4</v>
      </c>
      <c r="B185" s="24" t="s">
        <v>5</v>
      </c>
      <c r="C185" s="16" t="s">
        <v>6</v>
      </c>
      <c r="D185" s="24" t="s">
        <v>7</v>
      </c>
      <c r="E185" s="24" t="s">
        <v>8</v>
      </c>
      <c r="F185" s="16" t="s">
        <v>9</v>
      </c>
      <c r="G185" s="24" t="s">
        <v>10</v>
      </c>
      <c r="H185" s="49"/>
      <c r="I185" s="22" t="s">
        <v>31</v>
      </c>
      <c r="J185" s="25"/>
    </row>
    <row r="186" spans="1:10" ht="14.5" x14ac:dyDescent="0.35">
      <c r="A186" s="26" t="s">
        <v>219</v>
      </c>
      <c r="B186" s="31" t="str">
        <f t="array" ref="B186:B197">IFERROR(VLOOKUP(I186:I197,Lectures_1!A2:F534,2,FALSE()),0)</f>
        <v>ENGINEERING SURVEY II</v>
      </c>
      <c r="C186" s="27" t="str">
        <f t="array" ref="C186:C197">IFERROR(VLOOKUP(I186:I197,Lectures_1!A2:F534,3,FALSE()),0)</f>
        <v>Arko-Adjei Anthony</v>
      </c>
      <c r="D186" s="26" t="s">
        <v>170</v>
      </c>
      <c r="E186" s="28">
        <f t="array" ref="E186:E197">IFERROR(VLOOKUP(I186:I197,Lectures_1!A2:F534,4,FALSE()),0)</f>
        <v>132</v>
      </c>
      <c r="F186" s="32"/>
      <c r="G186" s="30">
        <f t="shared" ref="G186:G197" si="24">E186*1.1</f>
        <v>145.20000000000002</v>
      </c>
      <c r="I186" s="20" t="str">
        <f t="shared" ref="I186:I197" si="25">CONCATENATE(A186,",",D186)</f>
        <v>GE 272,ED2-GEOM</v>
      </c>
      <c r="J186" s="25"/>
    </row>
    <row r="187" spans="1:10" ht="14.5" x14ac:dyDescent="0.35">
      <c r="A187" s="26" t="s">
        <v>220</v>
      </c>
      <c r="B187" s="27" t="str">
        <v>RURAL ENGINEERING</v>
      </c>
      <c r="C187" s="31" t="str">
        <v>Mensah Ebenezer</v>
      </c>
      <c r="D187" s="26" t="s">
        <v>88</v>
      </c>
      <c r="E187" s="28">
        <v>101</v>
      </c>
      <c r="F187" s="32"/>
      <c r="G187" s="30">
        <f t="shared" si="24"/>
        <v>111.10000000000001</v>
      </c>
      <c r="I187" s="20" t="str">
        <f t="shared" si="25"/>
        <v>AE 360,ED3-AE</v>
      </c>
      <c r="J187" s="25"/>
    </row>
    <row r="188" spans="1:10" ht="14.5" x14ac:dyDescent="0.35">
      <c r="A188" s="26" t="s">
        <v>221</v>
      </c>
      <c r="B188" s="27" t="str">
        <v>SATELLITE SURVEYING</v>
      </c>
      <c r="C188" s="31" t="str">
        <v>Andam-Akorful Samuel Ato</v>
      </c>
      <c r="D188" s="26" t="s">
        <v>77</v>
      </c>
      <c r="E188" s="28">
        <v>122</v>
      </c>
      <c r="F188" s="32"/>
      <c r="G188" s="30">
        <f t="shared" si="24"/>
        <v>134.20000000000002</v>
      </c>
      <c r="I188" s="20" t="str">
        <f t="shared" si="25"/>
        <v>GE 354,ED3-GEOM</v>
      </c>
      <c r="J188" s="25"/>
    </row>
    <row r="189" spans="1:10" ht="14.5" x14ac:dyDescent="0.35">
      <c r="A189" s="26" t="s">
        <v>222</v>
      </c>
      <c r="B189" s="27" t="str">
        <v>GIS APPLICATIONS</v>
      </c>
      <c r="C189" s="27" t="str">
        <v>Appiah-Adjei Emmanuel Kwame</v>
      </c>
      <c r="D189" s="26" t="s">
        <v>154</v>
      </c>
      <c r="E189" s="28">
        <v>154</v>
      </c>
      <c r="F189" s="32"/>
      <c r="G189" s="30">
        <f t="shared" si="24"/>
        <v>169.4</v>
      </c>
      <c r="I189" s="20" t="str">
        <f t="shared" si="25"/>
        <v>GED 368,ED3-GEOL</v>
      </c>
      <c r="J189" s="25"/>
    </row>
    <row r="190" spans="1:10" ht="14.5" x14ac:dyDescent="0.35">
      <c r="A190" s="26" t="s">
        <v>223</v>
      </c>
      <c r="B190" s="27" t="str">
        <v>MATERIALS QUALITY CONTROL, ASSURRANCE AND SELECTION</v>
      </c>
      <c r="C190" s="27" t="str">
        <v>Arthur Emmanuel Kwesi</v>
      </c>
      <c r="D190" s="26" t="s">
        <v>136</v>
      </c>
      <c r="E190" s="28">
        <v>55</v>
      </c>
      <c r="F190" s="32"/>
      <c r="G190" s="30">
        <f t="shared" si="24"/>
        <v>60.500000000000007</v>
      </c>
      <c r="I190" s="20" t="str">
        <f t="shared" si="25"/>
        <v>MSE 456,ED4-METE</v>
      </c>
      <c r="J190" s="25"/>
    </row>
    <row r="191" spans="1:10" ht="14.5" x14ac:dyDescent="0.35">
      <c r="A191" s="26" t="s">
        <v>223</v>
      </c>
      <c r="B191" s="31" t="str">
        <v>MATERIALS QUALITY CONTROL, ASSURRANCE AND SELECTION</v>
      </c>
      <c r="C191" s="31" t="str">
        <v>Arthur Emmanuel Kwesi</v>
      </c>
      <c r="D191" s="26" t="s">
        <v>135</v>
      </c>
      <c r="E191" s="28">
        <v>60</v>
      </c>
      <c r="F191" s="32"/>
      <c r="G191" s="30">
        <f t="shared" si="24"/>
        <v>66</v>
      </c>
      <c r="I191" s="20" t="str">
        <f t="shared" si="25"/>
        <v>MSE 456,ED4-MSE</v>
      </c>
      <c r="J191" s="25"/>
    </row>
    <row r="192" spans="1:10" ht="14.5" x14ac:dyDescent="0.35">
      <c r="A192" s="26" t="s">
        <v>224</v>
      </c>
      <c r="B192" s="31" t="str">
        <v>STRATIGRAPHY</v>
      </c>
      <c r="C192" s="27" t="str">
        <v>Amedjoe Godfrey Chiri</v>
      </c>
      <c r="D192" s="26" t="s">
        <v>55</v>
      </c>
      <c r="E192" s="28">
        <v>150</v>
      </c>
      <c r="F192" s="32"/>
      <c r="G192" s="30">
        <f t="shared" si="24"/>
        <v>165</v>
      </c>
      <c r="H192" s="49"/>
      <c r="I192" s="20" t="str">
        <f t="shared" si="25"/>
        <v>GED 252,ED2-GEOL</v>
      </c>
      <c r="J192" s="25"/>
    </row>
    <row r="193" spans="1:10" ht="14.5" x14ac:dyDescent="0.35">
      <c r="A193" s="26" t="s">
        <v>225</v>
      </c>
      <c r="B193" s="27" t="str">
        <v>INDUSTRIAL ENGINEEGING LABORATORY II</v>
      </c>
      <c r="C193" s="27" t="str">
        <v>Fiagbe Yesuenyeagbe Atsu Kwabla</v>
      </c>
      <c r="D193" s="26" t="s">
        <v>38</v>
      </c>
      <c r="E193" s="28">
        <v>80</v>
      </c>
      <c r="F193" s="32"/>
      <c r="G193" s="30">
        <f t="shared" si="24"/>
        <v>88</v>
      </c>
      <c r="I193" s="20" t="str">
        <f t="shared" si="25"/>
        <v>IE 296,ED2-IND</v>
      </c>
      <c r="J193" s="25"/>
    </row>
    <row r="194" spans="1:10" ht="14.5" x14ac:dyDescent="0.35">
      <c r="A194" s="26" t="s">
        <v>226</v>
      </c>
      <c r="B194" s="27" t="str">
        <v>RADAR COMMUNICATIONS</v>
      </c>
      <c r="C194" s="31" t="str">
        <v>ELLis Sani Mubarak</v>
      </c>
      <c r="D194" s="26" t="s">
        <v>227</v>
      </c>
      <c r="E194" s="28">
        <v>105</v>
      </c>
      <c r="F194" s="32"/>
      <c r="G194" s="30">
        <f t="shared" si="24"/>
        <v>115.50000000000001</v>
      </c>
      <c r="I194" s="20" t="str">
        <f t="shared" si="25"/>
        <v>TE 464,ED4-TEL</v>
      </c>
      <c r="J194" s="25"/>
    </row>
    <row r="195" spans="1:10" ht="14.5" x14ac:dyDescent="0.35">
      <c r="A195" s="26" t="s">
        <v>228</v>
      </c>
      <c r="B195" s="31" t="str">
        <v>SHIP SAFETY, ENVIRONMENTAL PROTECTION AND SAFE WATCH KEEPING</v>
      </c>
      <c r="C195" s="31" t="str">
        <v>Larkai Francis Laako</v>
      </c>
      <c r="D195" s="26" t="s">
        <v>69</v>
      </c>
      <c r="E195" s="28">
        <v>23</v>
      </c>
      <c r="F195" s="32"/>
      <c r="G195" s="30">
        <f t="shared" si="24"/>
        <v>25.3</v>
      </c>
      <c r="I195" s="20" t="str">
        <f t="shared" si="25"/>
        <v>MME 486,ED4-MARI</v>
      </c>
      <c r="J195" s="25"/>
    </row>
    <row r="196" spans="1:10" ht="14.5" x14ac:dyDescent="0.35">
      <c r="A196" s="26" t="s">
        <v>229</v>
      </c>
      <c r="B196" s="27" t="str">
        <v>INDUSTRIAL ENGINEERING LAB III</v>
      </c>
      <c r="C196" s="31" t="str">
        <v>Oppong David Kofi</v>
      </c>
      <c r="D196" s="26" t="s">
        <v>121</v>
      </c>
      <c r="E196" s="28">
        <v>70</v>
      </c>
      <c r="F196" s="32"/>
      <c r="G196" s="30">
        <f t="shared" si="24"/>
        <v>77</v>
      </c>
      <c r="I196" s="20" t="str">
        <f t="shared" si="25"/>
        <v>IE 362,ED3-IND</v>
      </c>
      <c r="J196" s="25"/>
    </row>
    <row r="197" spans="1:10" ht="14.5" x14ac:dyDescent="0.35">
      <c r="A197" s="26" t="s">
        <v>230</v>
      </c>
      <c r="B197" s="27" t="str">
        <v>MARINE ENGINEERING LABORATORY I</v>
      </c>
      <c r="C197" s="27" t="str">
        <v>Fiagbe Yesuenyeagbe Atsu Kwabla</v>
      </c>
      <c r="D197" s="26" t="s">
        <v>42</v>
      </c>
      <c r="E197" s="28">
        <v>37</v>
      </c>
      <c r="F197" s="32"/>
      <c r="G197" s="30">
        <f t="shared" si="24"/>
        <v>40.700000000000003</v>
      </c>
      <c r="I197" s="20" t="str">
        <f t="shared" si="25"/>
        <v>MME 296,ED2-MARI</v>
      </c>
      <c r="J197" s="25"/>
    </row>
    <row r="198" spans="1:10" ht="14.5" x14ac:dyDescent="0.35">
      <c r="A198" s="35"/>
      <c r="B198" s="35"/>
      <c r="D198" s="27" t="s">
        <v>231</v>
      </c>
      <c r="E198" s="35">
        <f>SUM(E186:E197)</f>
        <v>1089</v>
      </c>
      <c r="F198" s="36"/>
      <c r="G198" s="35"/>
      <c r="I198" s="22" t="s">
        <v>232</v>
      </c>
      <c r="J198" s="25"/>
    </row>
    <row r="199" spans="1:10" ht="14.5" x14ac:dyDescent="0.35">
      <c r="A199" s="14" t="s">
        <v>217</v>
      </c>
      <c r="B199" s="14"/>
      <c r="C199" s="14"/>
      <c r="D199" s="14"/>
      <c r="E199" s="14"/>
      <c r="F199" s="14"/>
      <c r="G199" s="14"/>
      <c r="I199" s="22" t="s">
        <v>218</v>
      </c>
      <c r="J199" s="25"/>
    </row>
    <row r="200" spans="1:10" ht="14.5" x14ac:dyDescent="0.35">
      <c r="A200" s="14" t="s">
        <v>29</v>
      </c>
      <c r="B200" s="14"/>
      <c r="C200" s="14"/>
      <c r="D200" s="14"/>
      <c r="E200" s="14"/>
      <c r="F200" s="14"/>
      <c r="G200" s="14"/>
      <c r="I200" s="22" t="s">
        <v>149</v>
      </c>
      <c r="J200" s="25"/>
    </row>
    <row r="201" spans="1:10" ht="14.5" x14ac:dyDescent="0.35">
      <c r="A201" s="24" t="s">
        <v>4</v>
      </c>
      <c r="B201" s="24" t="s">
        <v>5</v>
      </c>
      <c r="C201" s="16" t="s">
        <v>6</v>
      </c>
      <c r="D201" s="24" t="s">
        <v>7</v>
      </c>
      <c r="E201" s="24" t="s">
        <v>8</v>
      </c>
      <c r="F201" s="16" t="s">
        <v>9</v>
      </c>
      <c r="G201" s="24" t="s">
        <v>10</v>
      </c>
      <c r="I201" s="22" t="s">
        <v>31</v>
      </c>
      <c r="J201" s="25"/>
    </row>
    <row r="202" spans="1:10" ht="14.5" x14ac:dyDescent="0.35">
      <c r="A202" s="26" t="s">
        <v>233</v>
      </c>
      <c r="B202" s="31" t="str">
        <f t="array" ref="B202:B208">IFERROR(VLOOKUP(I202:I208,Lectures_1!A2:F534,2,FALSE()),0)</f>
        <v>DIGITAL CONTROL SYSTEMS</v>
      </c>
      <c r="C202" s="27" t="str">
        <f t="array" ref="C202:C208">IFERROR(VLOOKUP(I202:I208,Lectures_1!A2:F534,3,FALSE()),0)</f>
        <v>Opoku Daniel</v>
      </c>
      <c r="D202" s="26" t="s">
        <v>71</v>
      </c>
      <c r="E202" s="28">
        <f t="array" ref="E202:E208">IFERROR(VLOOKUP(I202:I208,Lectures_1!A2:F534,4,FALSE()),0)</f>
        <v>70</v>
      </c>
      <c r="F202" s="26"/>
      <c r="G202" s="30">
        <f t="shared" ref="G202:G208" si="26">E202*1.1</f>
        <v>77</v>
      </c>
      <c r="I202" s="20" t="str">
        <f t="shared" ref="I202:I209" si="27">CONCATENATE(A202,",",D202)</f>
        <v>EE 380,ED3-EE</v>
      </c>
      <c r="J202" s="25"/>
    </row>
    <row r="203" spans="1:10" ht="14.5" x14ac:dyDescent="0.35">
      <c r="A203" s="26" t="s">
        <v>234</v>
      </c>
      <c r="B203" s="27" t="str">
        <v>BASIC ELECTRONICS</v>
      </c>
      <c r="C203" s="27" t="str">
        <v>Nicholas Kwesi Prah II</v>
      </c>
      <c r="D203" s="26" t="s">
        <v>162</v>
      </c>
      <c r="E203" s="28">
        <v>85</v>
      </c>
      <c r="F203" s="48"/>
      <c r="G203" s="30">
        <f t="shared" si="26"/>
        <v>93.500000000000014</v>
      </c>
      <c r="H203" s="17"/>
      <c r="I203" s="20" t="str">
        <f t="shared" si="27"/>
        <v>EE 152,ED1-AUTO</v>
      </c>
      <c r="J203" s="25"/>
    </row>
    <row r="204" spans="1:10" ht="14.5" x14ac:dyDescent="0.35">
      <c r="A204" s="26" t="s">
        <v>234</v>
      </c>
      <c r="B204" s="27" t="str">
        <v>BASIC ELECTRONICS</v>
      </c>
      <c r="C204" s="27" t="str">
        <v>Kwegyir Daniel</v>
      </c>
      <c r="D204" s="26" t="s">
        <v>75</v>
      </c>
      <c r="E204" s="28">
        <v>245</v>
      </c>
      <c r="F204" s="32" t="s">
        <v>21</v>
      </c>
      <c r="G204" s="30">
        <f t="shared" si="26"/>
        <v>269.5</v>
      </c>
      <c r="H204" s="17"/>
      <c r="I204" s="20" t="str">
        <f t="shared" si="27"/>
        <v>EE 152,ED1-CE</v>
      </c>
      <c r="J204" s="25"/>
    </row>
    <row r="205" spans="1:10" ht="14.5" x14ac:dyDescent="0.35">
      <c r="A205" s="26" t="s">
        <v>235</v>
      </c>
      <c r="B205" s="31" t="str">
        <v>ELECTROMAGNETIC FIELDS</v>
      </c>
      <c r="C205" s="31" t="str">
        <v>Kwame Oteng Gyasi</v>
      </c>
      <c r="D205" s="26" t="s">
        <v>25</v>
      </c>
      <c r="E205" s="28">
        <v>340</v>
      </c>
      <c r="F205" s="32"/>
      <c r="G205" s="30">
        <f t="shared" si="26"/>
        <v>374.00000000000006</v>
      </c>
      <c r="I205" s="20" t="str">
        <f t="shared" si="27"/>
        <v>TE 254,ED2-EE</v>
      </c>
      <c r="J205" s="25"/>
    </row>
    <row r="206" spans="1:10" ht="14.5" x14ac:dyDescent="0.35">
      <c r="A206" s="26" t="s">
        <v>235</v>
      </c>
      <c r="B206" s="31" t="str">
        <v>ELECTROMAGNETIC FIELD THEORY</v>
      </c>
      <c r="C206" s="31" t="str">
        <v>Kwame Oteng Gyasi</v>
      </c>
      <c r="D206" s="26" t="s">
        <v>172</v>
      </c>
      <c r="E206" s="28">
        <v>175</v>
      </c>
      <c r="F206" s="32"/>
      <c r="G206" s="30">
        <f t="shared" si="26"/>
        <v>192.50000000000003</v>
      </c>
      <c r="I206" s="20" t="str">
        <f t="shared" si="27"/>
        <v>TE 254,ED2-TEL</v>
      </c>
      <c r="J206" s="25"/>
    </row>
    <row r="207" spans="1:10" ht="15" customHeight="1" x14ac:dyDescent="0.35">
      <c r="A207" s="26" t="s">
        <v>113</v>
      </c>
      <c r="B207" s="27" t="str">
        <v>PRINCIPLES OF MATERIAL SCIENCE</v>
      </c>
      <c r="C207" s="27" t="str">
        <v>Agyemang Frank Ofori</v>
      </c>
      <c r="D207" s="26" t="s">
        <v>109</v>
      </c>
      <c r="E207" s="28">
        <v>80</v>
      </c>
      <c r="F207" s="32"/>
      <c r="G207" s="30">
        <f t="shared" si="26"/>
        <v>88</v>
      </c>
      <c r="I207" s="20" t="str">
        <f t="shared" si="27"/>
        <v>MSE 154,ED2-BME</v>
      </c>
      <c r="J207" s="25"/>
    </row>
    <row r="208" spans="1:10" ht="14.5" x14ac:dyDescent="0.35">
      <c r="A208" s="26" t="s">
        <v>236</v>
      </c>
      <c r="B208" s="31" t="str">
        <v>MECHANICAL ENGINEERING MATERIALS II</v>
      </c>
      <c r="C208" s="31" t="str">
        <v>Agyemang Frank Ofori</v>
      </c>
      <c r="D208" s="26" t="s">
        <v>53</v>
      </c>
      <c r="E208" s="28">
        <v>155</v>
      </c>
      <c r="F208" s="32"/>
      <c r="G208" s="30">
        <f t="shared" si="26"/>
        <v>170.5</v>
      </c>
      <c r="I208" s="20" t="str">
        <f t="shared" si="27"/>
        <v>ME 282,ED2-AE</v>
      </c>
      <c r="J208" s="25"/>
    </row>
    <row r="209" spans="1:10" ht="14.5" x14ac:dyDescent="0.35">
      <c r="A209" s="26"/>
      <c r="B209" s="27"/>
      <c r="C209" s="27"/>
      <c r="D209" s="27" t="s">
        <v>237</v>
      </c>
      <c r="E209" s="35">
        <f>SUM(E202:E208)</f>
        <v>1150</v>
      </c>
      <c r="F209" s="32"/>
      <c r="G209" s="30"/>
      <c r="I209" s="20" t="str">
        <f t="shared" si="27"/>
        <v>,Total F1-2</v>
      </c>
      <c r="J209" s="25"/>
    </row>
    <row r="210" spans="1:10" ht="14.5" x14ac:dyDescent="0.35">
      <c r="A210" s="14" t="s">
        <v>217</v>
      </c>
      <c r="B210" s="14"/>
      <c r="C210" s="14"/>
      <c r="D210" s="14"/>
      <c r="E210" s="14"/>
      <c r="F210" s="14"/>
      <c r="G210" s="14"/>
      <c r="I210" s="22" t="s">
        <v>218</v>
      </c>
      <c r="J210" s="25"/>
    </row>
    <row r="211" spans="1:10" ht="14.5" x14ac:dyDescent="0.35">
      <c r="A211" s="14" t="s">
        <v>59</v>
      </c>
      <c r="B211" s="14"/>
      <c r="C211" s="14"/>
      <c r="D211" s="14"/>
      <c r="E211" s="14"/>
      <c r="F211" s="14"/>
      <c r="G211" s="14"/>
      <c r="I211" s="22" t="s">
        <v>149</v>
      </c>
      <c r="J211" s="25"/>
    </row>
    <row r="212" spans="1:10" ht="14.5" x14ac:dyDescent="0.35">
      <c r="A212" s="24" t="s">
        <v>4</v>
      </c>
      <c r="B212" s="24" t="s">
        <v>5</v>
      </c>
      <c r="C212" s="16" t="s">
        <v>6</v>
      </c>
      <c r="D212" s="24" t="s">
        <v>7</v>
      </c>
      <c r="E212" s="24" t="s">
        <v>8</v>
      </c>
      <c r="F212" s="16" t="s">
        <v>9</v>
      </c>
      <c r="G212" s="24" t="s">
        <v>10</v>
      </c>
      <c r="I212" s="22" t="s">
        <v>31</v>
      </c>
      <c r="J212" s="25"/>
    </row>
    <row r="213" spans="1:10" ht="14.5" x14ac:dyDescent="0.35">
      <c r="A213" s="26" t="s">
        <v>238</v>
      </c>
      <c r="B213" s="31" t="str">
        <f t="array" ref="B213:B220">IFERROR(VLOOKUP(I213:I220,Lectures_1!A2:F534,2,FALSE()),0)</f>
        <v>MARINE INDUSTRIAL ENGINEERING AND ERGONOMICS</v>
      </c>
      <c r="C213" s="27" t="str">
        <f t="array" ref="C213:C220">IFERROR(VLOOKUP(I213:I220,Lectures_1!A2:F534,3,FALSE()),0)</f>
        <v>Mensah Lena Dzifa</v>
      </c>
      <c r="D213" s="26" t="s">
        <v>86</v>
      </c>
      <c r="E213" s="28">
        <f t="array" ref="E213:E220">IFERROR(VLOOKUP(I213:I220,Lectures_1!A2:F534,4,FALSE()),0)</f>
        <v>40</v>
      </c>
      <c r="F213" s="26"/>
      <c r="G213" s="30">
        <f t="shared" ref="G213:G220" si="28">E213*1.1</f>
        <v>44</v>
      </c>
      <c r="I213" s="20" t="str">
        <f t="shared" ref="I213:I221" si="29">CONCATENATE(A213,",",D213)</f>
        <v>MME 392,ED3-MARI</v>
      </c>
      <c r="J213" s="25"/>
    </row>
    <row r="214" spans="1:10" ht="15" customHeight="1" x14ac:dyDescent="0.35">
      <c r="A214" s="26" t="s">
        <v>239</v>
      </c>
      <c r="B214" s="31" t="str">
        <v>INDUSTRIAL ENGINEERING AND ERGONOMICS</v>
      </c>
      <c r="C214" s="31" t="str">
        <v>Mensah Lena Dzifa</v>
      </c>
      <c r="D214" s="26" t="s">
        <v>133</v>
      </c>
      <c r="E214" s="28">
        <v>76</v>
      </c>
      <c r="F214" s="32"/>
      <c r="G214" s="30">
        <f t="shared" si="28"/>
        <v>83.600000000000009</v>
      </c>
      <c r="I214" s="20" t="str">
        <f t="shared" si="29"/>
        <v>ME 392,ED3-AERO</v>
      </c>
      <c r="J214" s="25"/>
    </row>
    <row r="215" spans="1:10" ht="14.5" x14ac:dyDescent="0.35">
      <c r="A215" s="26" t="s">
        <v>240</v>
      </c>
      <c r="B215" s="31" t="str">
        <v>INDUSTRIAL ENGINEERING AND ERGONOMICS</v>
      </c>
      <c r="C215" s="31" t="str">
        <v>Mensah Lena Dzifa</v>
      </c>
      <c r="D215" s="26" t="s">
        <v>33</v>
      </c>
      <c r="E215" s="28">
        <v>240</v>
      </c>
      <c r="F215" s="32"/>
      <c r="G215" s="30">
        <f t="shared" si="28"/>
        <v>264</v>
      </c>
      <c r="I215" s="20" t="str">
        <f t="shared" si="29"/>
        <v>ME 292,ED2-ME</v>
      </c>
      <c r="J215" s="25"/>
    </row>
    <row r="216" spans="1:10" ht="14.5" x14ac:dyDescent="0.35">
      <c r="A216" s="26" t="s">
        <v>241</v>
      </c>
      <c r="B216" s="31" t="str">
        <v>INDUSTRIAL ENGINEERING AND ERGONOMICS</v>
      </c>
      <c r="C216" s="31" t="str">
        <v>Mensah Lena Dzifa</v>
      </c>
      <c r="D216" s="26" t="s">
        <v>23</v>
      </c>
      <c r="E216" s="28">
        <v>40</v>
      </c>
      <c r="F216" s="32"/>
      <c r="G216" s="30">
        <f t="shared" si="28"/>
        <v>44</v>
      </c>
      <c r="I216" s="20" t="str">
        <f t="shared" si="29"/>
        <v>AME 392,ED3-AUTO</v>
      </c>
      <c r="J216" s="25"/>
    </row>
    <row r="217" spans="1:10" ht="14.5" x14ac:dyDescent="0.35">
      <c r="A217" s="26" t="s">
        <v>242</v>
      </c>
      <c r="B217" s="31" t="str">
        <v>BASIC AGRICULTURE</v>
      </c>
      <c r="C217" s="31" t="str">
        <v>Bessah Enoch</v>
      </c>
      <c r="D217" s="26" t="s">
        <v>131</v>
      </c>
      <c r="E217" s="28">
        <v>128</v>
      </c>
      <c r="F217" s="32"/>
      <c r="G217" s="30">
        <f t="shared" si="28"/>
        <v>140.80000000000001</v>
      </c>
      <c r="I217" s="20" t="str">
        <f t="shared" si="29"/>
        <v>AE 162,ED1-AE</v>
      </c>
      <c r="J217" s="25"/>
    </row>
    <row r="218" spans="1:10" ht="14.5" x14ac:dyDescent="0.35">
      <c r="A218" s="26" t="s">
        <v>234</v>
      </c>
      <c r="B218" s="27" t="str">
        <v>BASIC ELECTRONICS</v>
      </c>
      <c r="C218" s="27" t="str">
        <v>Yaw Opoku Mensah Sekyere</v>
      </c>
      <c r="D218" s="26" t="s">
        <v>80</v>
      </c>
      <c r="E218" s="28">
        <v>120</v>
      </c>
      <c r="F218" s="32"/>
      <c r="G218" s="30">
        <f t="shared" si="28"/>
        <v>132</v>
      </c>
      <c r="H218" s="17"/>
      <c r="I218" s="20" t="str">
        <f t="shared" si="29"/>
        <v>EE 152,ED1-CHE</v>
      </c>
      <c r="J218" s="25"/>
    </row>
    <row r="219" spans="1:10" ht="14.5" x14ac:dyDescent="0.35">
      <c r="A219" s="26" t="s">
        <v>234</v>
      </c>
      <c r="B219" s="27" t="str">
        <v>BASIC ELECTRONICS</v>
      </c>
      <c r="C219" s="27" t="str">
        <v>Yaw Opoku Mensah Sekyere</v>
      </c>
      <c r="D219" s="26" t="s">
        <v>51</v>
      </c>
      <c r="E219" s="28">
        <v>295</v>
      </c>
      <c r="F219" s="47"/>
      <c r="G219" s="30">
        <f t="shared" si="28"/>
        <v>324.5</v>
      </c>
      <c r="I219" s="20" t="str">
        <f t="shared" si="29"/>
        <v>EE 152,ED1-EE</v>
      </c>
      <c r="J219" s="25"/>
    </row>
    <row r="220" spans="1:10" ht="14.5" x14ac:dyDescent="0.35">
      <c r="A220" s="26" t="s">
        <v>234</v>
      </c>
      <c r="B220" s="31" t="str">
        <v>BASIC ELECTRONICS</v>
      </c>
      <c r="C220" s="31" t="str">
        <v>Yaw Opoku Mensah Sekyere</v>
      </c>
      <c r="D220" s="26" t="s">
        <v>161</v>
      </c>
      <c r="E220" s="28">
        <v>225</v>
      </c>
      <c r="F220" s="32"/>
      <c r="G220" s="30">
        <f t="shared" si="28"/>
        <v>247.50000000000003</v>
      </c>
      <c r="I220" s="20" t="str">
        <f t="shared" si="29"/>
        <v>EE 152,ED1-ME</v>
      </c>
      <c r="J220" s="25"/>
    </row>
    <row r="221" spans="1:10" ht="14.5" x14ac:dyDescent="0.35">
      <c r="A221" s="26"/>
      <c r="B221" s="27"/>
      <c r="C221" s="27"/>
      <c r="D221" s="27" t="s">
        <v>237</v>
      </c>
      <c r="E221" s="35">
        <f>SUM(E213:E220)</f>
        <v>1164</v>
      </c>
      <c r="F221" s="32"/>
      <c r="G221" s="30"/>
      <c r="I221" s="20" t="str">
        <f t="shared" si="29"/>
        <v>,Total F1-2</v>
      </c>
      <c r="J221" s="25"/>
    </row>
    <row r="222" spans="1:10" ht="14.5" x14ac:dyDescent="0.35">
      <c r="A222" s="14" t="s">
        <v>243</v>
      </c>
      <c r="B222" s="14"/>
      <c r="C222" s="14"/>
      <c r="D222" s="14"/>
      <c r="E222" s="14"/>
      <c r="F222" s="14"/>
      <c r="G222" s="14"/>
      <c r="I222" s="22" t="s">
        <v>244</v>
      </c>
      <c r="J222" s="25"/>
    </row>
    <row r="223" spans="1:10" ht="14.5" x14ac:dyDescent="0.35">
      <c r="A223" s="14" t="s">
        <v>2</v>
      </c>
      <c r="B223" s="14"/>
      <c r="C223" s="14"/>
      <c r="D223" s="14"/>
      <c r="E223" s="14"/>
      <c r="F223" s="14"/>
      <c r="G223" s="14"/>
      <c r="I223" s="22" t="s">
        <v>149</v>
      </c>
      <c r="J223" s="25"/>
    </row>
    <row r="224" spans="1:10" ht="14.5" x14ac:dyDescent="0.35">
      <c r="A224" s="24" t="s">
        <v>4</v>
      </c>
      <c r="B224" s="24" t="s">
        <v>5</v>
      </c>
      <c r="C224" s="16" t="s">
        <v>6</v>
      </c>
      <c r="D224" s="24" t="s">
        <v>7</v>
      </c>
      <c r="E224" s="24" t="s">
        <v>8</v>
      </c>
      <c r="F224" s="31" t="s">
        <v>9</v>
      </c>
      <c r="G224" s="24" t="s">
        <v>10</v>
      </c>
      <c r="I224" s="22" t="s">
        <v>31</v>
      </c>
      <c r="J224" s="25"/>
    </row>
    <row r="225" spans="1:10" ht="14.5" x14ac:dyDescent="0.35">
      <c r="A225" s="26" t="s">
        <v>245</v>
      </c>
      <c r="B225" s="27" t="str">
        <f t="array" ref="B225:B235">IFERROR(VLOOKUP(I225:I235,Lectures_1!A2:F534,2,FALSE()),0)</f>
        <v>FRENCH FOR COMMUNICATION II</v>
      </c>
      <c r="C225" s="31" t="str">
        <f t="array" ref="C225:C235">IFERROR(VLOOKUP(I225:I235,Lectures_1!A2:F534,3,FALSE()),0)</f>
        <v>Boakye-Agyeman Candy</v>
      </c>
      <c r="D225" s="26" t="s">
        <v>172</v>
      </c>
      <c r="E225" s="28">
        <f t="array" ref="E225:E235">IFERROR(VLOOKUP(I225:I235,Lectures_1!A2:F534,4,FALSE()),0)</f>
        <v>103</v>
      </c>
      <c r="F225" s="33"/>
      <c r="G225" s="30">
        <f t="shared" ref="G225:G235" si="30">E225*1.1</f>
        <v>113.30000000000001</v>
      </c>
      <c r="I225" s="20" t="str">
        <f t="shared" ref="I225:I235" si="31">CONCATENATE(A225,",",D225)</f>
        <v>FC 182,ED2-TEL</v>
      </c>
      <c r="J225" s="25"/>
    </row>
    <row r="226" spans="1:10" ht="14.5" x14ac:dyDescent="0.35">
      <c r="A226" s="26" t="s">
        <v>245</v>
      </c>
      <c r="B226" s="27" t="str">
        <v>FRENCH FOR COMMUNICATION II</v>
      </c>
      <c r="C226" s="31" t="str">
        <v>Alexander Ocloo</v>
      </c>
      <c r="D226" s="26" t="s">
        <v>73</v>
      </c>
      <c r="E226" s="28">
        <v>55</v>
      </c>
      <c r="F226" s="26"/>
      <c r="G226" s="30">
        <f t="shared" si="30"/>
        <v>60.500000000000007</v>
      </c>
      <c r="I226" s="20" t="str">
        <f t="shared" si="31"/>
        <v>FC 182,ED3-CHE</v>
      </c>
      <c r="J226" s="25"/>
    </row>
    <row r="227" spans="1:10" ht="14.5" x14ac:dyDescent="0.35">
      <c r="A227" s="26" t="s">
        <v>245</v>
      </c>
      <c r="B227" s="31" t="str">
        <v>FRENCH FOR COMMUNICATION  II</v>
      </c>
      <c r="C227" s="31" t="str">
        <v>Pharis Jeel Darko</v>
      </c>
      <c r="D227" s="26" t="s">
        <v>77</v>
      </c>
      <c r="E227" s="28">
        <v>65</v>
      </c>
      <c r="F227" s="32"/>
      <c r="G227" s="30">
        <f t="shared" si="30"/>
        <v>71.5</v>
      </c>
      <c r="I227" s="20" t="str">
        <f t="shared" si="31"/>
        <v>FC 182,ED3-GEOM</v>
      </c>
      <c r="J227" s="25"/>
    </row>
    <row r="228" spans="1:10" ht="14.5" x14ac:dyDescent="0.35">
      <c r="A228" s="26" t="s">
        <v>245</v>
      </c>
      <c r="B228" s="31" t="str">
        <v>FRENCH FOR COMMUNICATION II</v>
      </c>
      <c r="C228" s="31" t="str">
        <v>Alexander Ocloo</v>
      </c>
      <c r="D228" s="26" t="s">
        <v>25</v>
      </c>
      <c r="E228" s="28">
        <v>170</v>
      </c>
      <c r="F228" s="32"/>
      <c r="G228" s="30">
        <f t="shared" si="30"/>
        <v>187.00000000000003</v>
      </c>
      <c r="I228" s="20" t="str">
        <f t="shared" si="31"/>
        <v>FC 182,ED2-EE</v>
      </c>
      <c r="J228" s="25"/>
    </row>
    <row r="229" spans="1:10" ht="14.5" x14ac:dyDescent="0.35">
      <c r="A229" s="26" t="s">
        <v>245</v>
      </c>
      <c r="B229" s="31" t="str">
        <v>FRENCH FOR COMMUNICATION II</v>
      </c>
      <c r="C229" s="31" t="str">
        <v>Boakye-Agyeman Candy</v>
      </c>
      <c r="D229" s="26" t="s">
        <v>126</v>
      </c>
      <c r="E229" s="28">
        <v>90</v>
      </c>
      <c r="F229" s="26"/>
      <c r="G229" s="30">
        <f t="shared" si="30"/>
        <v>99.000000000000014</v>
      </c>
      <c r="I229" s="20" t="str">
        <f t="shared" si="31"/>
        <v>FC 182,ED1-GEOL</v>
      </c>
      <c r="J229" s="25"/>
    </row>
    <row r="230" spans="1:10" ht="14.5" x14ac:dyDescent="0.35">
      <c r="A230" s="26" t="s">
        <v>245</v>
      </c>
      <c r="B230" s="31" t="str">
        <v>FRENCH FOR COMMUNICATION II</v>
      </c>
      <c r="C230" s="31" t="str">
        <v>Boakye-Agyeman Candy</v>
      </c>
      <c r="D230" s="26" t="s">
        <v>75</v>
      </c>
      <c r="E230" s="28">
        <v>160</v>
      </c>
      <c r="F230" s="26"/>
      <c r="G230" s="30">
        <f t="shared" si="30"/>
        <v>176</v>
      </c>
      <c r="I230" s="20" t="str">
        <f t="shared" si="31"/>
        <v>FC 182,ED1-CE</v>
      </c>
      <c r="J230" s="25"/>
    </row>
    <row r="231" spans="1:10" ht="14.5" x14ac:dyDescent="0.35">
      <c r="A231" s="26" t="s">
        <v>245</v>
      </c>
      <c r="B231" s="31" t="str">
        <v>FRENCH FOR COMMUNICATION II</v>
      </c>
      <c r="C231" s="31" t="str">
        <v>Boakye-Agyeman Candy</v>
      </c>
      <c r="D231" s="26" t="s">
        <v>112</v>
      </c>
      <c r="E231" s="28">
        <v>46</v>
      </c>
      <c r="F231" s="26"/>
      <c r="G231" s="30">
        <f t="shared" si="30"/>
        <v>50.6</v>
      </c>
      <c r="I231" s="20" t="str">
        <f t="shared" si="31"/>
        <v>FC 182,ED1-MARI</v>
      </c>
      <c r="J231" s="25"/>
    </row>
    <row r="232" spans="1:10" ht="14.5" x14ac:dyDescent="0.35">
      <c r="A232" s="26" t="s">
        <v>245</v>
      </c>
      <c r="B232" s="31" t="str">
        <v>FRENCH FOR COMMUNICATION II</v>
      </c>
      <c r="C232" s="31" t="str">
        <v>Pharis Jeel Darko</v>
      </c>
      <c r="D232" s="26" t="s">
        <v>109</v>
      </c>
      <c r="E232" s="28">
        <v>43</v>
      </c>
      <c r="F232" s="26"/>
      <c r="G232" s="30">
        <f t="shared" si="30"/>
        <v>47.300000000000004</v>
      </c>
      <c r="I232" s="20" t="str">
        <f t="shared" si="31"/>
        <v>FC 182,ED2-BME</v>
      </c>
      <c r="J232" s="25"/>
    </row>
    <row r="233" spans="1:10" ht="14.5" x14ac:dyDescent="0.35">
      <c r="A233" s="26" t="s">
        <v>245</v>
      </c>
      <c r="B233" s="31" t="str">
        <v>FRENCH FOR COMMUNICATION</v>
      </c>
      <c r="C233" s="31" t="str">
        <v>Pharis Jeel Darko</v>
      </c>
      <c r="D233" s="26" t="s">
        <v>108</v>
      </c>
      <c r="E233" s="28">
        <v>150</v>
      </c>
      <c r="F233" s="26"/>
      <c r="G233" s="30">
        <f t="shared" si="30"/>
        <v>165</v>
      </c>
      <c r="I233" s="20" t="str">
        <f t="shared" si="31"/>
        <v>FC 182,ED2-COE</v>
      </c>
      <c r="J233" s="25"/>
    </row>
    <row r="234" spans="1:10" ht="14.5" x14ac:dyDescent="0.35">
      <c r="A234" s="26" t="s">
        <v>246</v>
      </c>
      <c r="B234" s="27" t="str">
        <v>PRINCIPLES OF GEOPHYSICS</v>
      </c>
      <c r="C234" s="27" t="str">
        <v>Ali Bukari</v>
      </c>
      <c r="D234" s="26" t="s">
        <v>154</v>
      </c>
      <c r="E234" s="28">
        <v>154</v>
      </c>
      <c r="F234" s="32"/>
      <c r="G234" s="30">
        <f t="shared" si="30"/>
        <v>169.4</v>
      </c>
      <c r="I234" s="20" t="str">
        <f t="shared" si="31"/>
        <v>GED 354,ED3-GEOL</v>
      </c>
      <c r="J234" s="25"/>
    </row>
    <row r="235" spans="1:10" ht="14.5" x14ac:dyDescent="0.35">
      <c r="A235" s="26" t="s">
        <v>247</v>
      </c>
      <c r="B235" s="27" t="str">
        <v>INTRODUCTION TO SOIL MECHANICS</v>
      </c>
      <c r="C235" s="31" t="str">
        <v>Amenuvor Andrew Cudzo</v>
      </c>
      <c r="D235" s="26" t="s">
        <v>55</v>
      </c>
      <c r="E235" s="28">
        <v>150</v>
      </c>
      <c r="F235" s="32"/>
      <c r="G235" s="30">
        <f t="shared" si="30"/>
        <v>165</v>
      </c>
      <c r="I235" s="20" t="str">
        <f t="shared" si="31"/>
        <v>GED 262,ED2-GEOL</v>
      </c>
      <c r="J235" s="25"/>
    </row>
    <row r="236" spans="1:10" ht="14.5" x14ac:dyDescent="0.35">
      <c r="A236" s="35"/>
      <c r="B236" s="35"/>
      <c r="D236" s="27" t="s">
        <v>248</v>
      </c>
      <c r="E236" s="35">
        <f>SUM(E225:E235)</f>
        <v>1186</v>
      </c>
      <c r="F236" s="36"/>
      <c r="G236" s="35"/>
      <c r="I236" s="22" t="s">
        <v>249</v>
      </c>
      <c r="J236" s="25"/>
    </row>
    <row r="237" spans="1:10" ht="14.5" x14ac:dyDescent="0.35">
      <c r="A237" s="14" t="s">
        <v>243</v>
      </c>
      <c r="B237" s="14"/>
      <c r="C237" s="14"/>
      <c r="D237" s="14"/>
      <c r="E237" s="14"/>
      <c r="F237" s="14"/>
      <c r="G237" s="14"/>
      <c r="I237" s="22" t="s">
        <v>244</v>
      </c>
      <c r="J237" s="25"/>
    </row>
    <row r="238" spans="1:10" ht="14.5" x14ac:dyDescent="0.35">
      <c r="A238" s="14" t="s">
        <v>29</v>
      </c>
      <c r="B238" s="14"/>
      <c r="C238" s="14"/>
      <c r="D238" s="14"/>
      <c r="E238" s="14"/>
      <c r="F238" s="14"/>
      <c r="G238" s="14"/>
      <c r="I238" s="22" t="s">
        <v>30</v>
      </c>
      <c r="J238" s="25"/>
    </row>
    <row r="239" spans="1:10" ht="14.5" x14ac:dyDescent="0.35">
      <c r="A239" s="24" t="s">
        <v>4</v>
      </c>
      <c r="B239" s="24" t="s">
        <v>5</v>
      </c>
      <c r="C239" s="16" t="s">
        <v>6</v>
      </c>
      <c r="D239" s="24" t="s">
        <v>7</v>
      </c>
      <c r="E239" s="24" t="s">
        <v>8</v>
      </c>
      <c r="F239" s="16" t="s">
        <v>9</v>
      </c>
      <c r="G239" s="24" t="s">
        <v>10</v>
      </c>
      <c r="I239" s="22" t="s">
        <v>31</v>
      </c>
      <c r="J239" s="25"/>
    </row>
    <row r="240" spans="1:10" ht="14.5" x14ac:dyDescent="0.35">
      <c r="A240" s="26" t="s">
        <v>250</v>
      </c>
      <c r="B240" s="27" t="str">
        <f t="array" ref="B240:B252">IFERROR(VLOOKUP(I240:I252,Lectures_1!A2:F534,2,FALSE()),0)</f>
        <v>DIGITAL SIGNAL PROCESSING</v>
      </c>
      <c r="C240" s="27" t="str">
        <f t="array" ref="C240:C252">IFERROR(VLOOKUP(I240:I252,Lectures_1!A2:F534,3,FALSE()),0)</f>
        <v>Akowuah Emmanuel Kofi</v>
      </c>
      <c r="D240" s="26" t="s">
        <v>251</v>
      </c>
      <c r="E240" s="28">
        <f t="array" ref="E240:E252">IFERROR(VLOOKUP(I240:I252,Lectures_1!A2:F534,4,FALSE()),0)</f>
        <v>160</v>
      </c>
      <c r="F240" s="29" t="s">
        <v>34</v>
      </c>
      <c r="G240" s="30">
        <f t="shared" ref="G240:G252" si="32">E240*1.1</f>
        <v>176</v>
      </c>
      <c r="I240" s="20" t="str">
        <f t="shared" ref="I240:I252" si="33">CONCATENATE(A240,",",D240)</f>
        <v>COE 472,ED4-COE</v>
      </c>
      <c r="J240" s="25"/>
    </row>
    <row r="241" spans="1:10" ht="14.5" x14ac:dyDescent="0.35">
      <c r="A241" s="26" t="s">
        <v>250</v>
      </c>
      <c r="B241" s="27" t="str">
        <v>DIGITAL SIGNAL PROCESSING</v>
      </c>
      <c r="C241" s="27" t="str">
        <v>Adjei Prince Ebenezer</v>
      </c>
      <c r="D241" s="26" t="s">
        <v>252</v>
      </c>
      <c r="E241" s="28">
        <v>87</v>
      </c>
      <c r="F241" s="44"/>
      <c r="G241" s="30">
        <f t="shared" si="32"/>
        <v>95.7</v>
      </c>
      <c r="I241" s="20" t="str">
        <f t="shared" si="33"/>
        <v>COE 472,ED4-BME</v>
      </c>
      <c r="J241" s="25"/>
    </row>
    <row r="242" spans="1:10" ht="14.5" x14ac:dyDescent="0.35">
      <c r="A242" s="26" t="s">
        <v>253</v>
      </c>
      <c r="B242" s="31" t="str">
        <v>PHASE TRANSFORMATIONS</v>
      </c>
      <c r="C242" s="27" t="str">
        <v>Gikunoo Emmanuel</v>
      </c>
      <c r="D242" s="26" t="s">
        <v>210</v>
      </c>
      <c r="E242" s="28">
        <v>83</v>
      </c>
      <c r="F242" s="32"/>
      <c r="G242" s="30">
        <f t="shared" si="32"/>
        <v>91.300000000000011</v>
      </c>
      <c r="H242" s="49"/>
      <c r="I242" s="20" t="str">
        <f t="shared" si="33"/>
        <v>MSE 260,ED2-MSE</v>
      </c>
      <c r="J242" s="25"/>
    </row>
    <row r="243" spans="1:10" ht="14.5" x14ac:dyDescent="0.35">
      <c r="A243" s="26" t="s">
        <v>253</v>
      </c>
      <c r="B243" s="31" t="str">
        <v>PHASE TRANSFORMATIONS</v>
      </c>
      <c r="C243" s="27" t="str">
        <v>Gikunoo Emmanuel</v>
      </c>
      <c r="D243" s="26" t="s">
        <v>101</v>
      </c>
      <c r="E243" s="28">
        <v>57</v>
      </c>
      <c r="F243" s="32"/>
      <c r="G243" s="30">
        <f t="shared" si="32"/>
        <v>62.7</v>
      </c>
      <c r="I243" s="20" t="str">
        <f t="shared" si="33"/>
        <v>MSE 260,ED2-METE</v>
      </c>
      <c r="J243" s="25"/>
    </row>
    <row r="244" spans="1:10" ht="14.5" x14ac:dyDescent="0.35">
      <c r="A244" s="26" t="s">
        <v>254</v>
      </c>
      <c r="B244" s="27" t="str">
        <v>MECHANISMS SYNTHESIS AND ANALYSIS II</v>
      </c>
      <c r="C244" s="27" t="str">
        <v>David Kofi Oppong</v>
      </c>
      <c r="D244" s="26" t="s">
        <v>99</v>
      </c>
      <c r="E244" s="28">
        <v>17</v>
      </c>
      <c r="F244" s="32"/>
      <c r="G244" s="30">
        <f t="shared" si="32"/>
        <v>18.700000000000003</v>
      </c>
      <c r="I244" s="20" t="str">
        <f t="shared" si="33"/>
        <v>ME 462,ED4-AERO</v>
      </c>
      <c r="J244" s="25"/>
    </row>
    <row r="245" spans="1:10" ht="14.5" x14ac:dyDescent="0.35">
      <c r="A245" s="26" t="s">
        <v>255</v>
      </c>
      <c r="B245" s="27" t="str">
        <v>PETROLEUM PRODUCTION ENGINEERING II</v>
      </c>
      <c r="C245" s="27" t="str">
        <v>Sarkodie Kwame</v>
      </c>
      <c r="D245" s="26" t="s">
        <v>18</v>
      </c>
      <c r="E245" s="28">
        <v>80</v>
      </c>
      <c r="F245" s="32"/>
      <c r="G245" s="30">
        <f t="shared" si="32"/>
        <v>88</v>
      </c>
      <c r="I245" s="20" t="str">
        <f t="shared" si="33"/>
        <v>PE 358,ED3-PE</v>
      </c>
      <c r="J245" s="25"/>
    </row>
    <row r="246" spans="1:10" ht="14.5" x14ac:dyDescent="0.35">
      <c r="A246" s="26" t="s">
        <v>256</v>
      </c>
      <c r="B246" s="27" t="str">
        <v>HYDROMETALLURGICAL APPLICATIONS</v>
      </c>
      <c r="C246" s="31" t="str">
        <v>Agbe Henry</v>
      </c>
      <c r="D246" s="26" t="s">
        <v>142</v>
      </c>
      <c r="E246" s="28">
        <v>87</v>
      </c>
      <c r="F246" s="32"/>
      <c r="G246" s="30">
        <f t="shared" si="32"/>
        <v>95.7</v>
      </c>
      <c r="I246" s="20" t="str">
        <f t="shared" si="33"/>
        <v>METE 352,ED3-METE</v>
      </c>
      <c r="J246" s="25"/>
    </row>
    <row r="247" spans="1:10" ht="14.5" x14ac:dyDescent="0.35">
      <c r="A247" s="26" t="s">
        <v>257</v>
      </c>
      <c r="B247" s="31" t="str">
        <v>MODERN AUTOMOBILE TECHNOLOGY</v>
      </c>
      <c r="C247" s="27" t="str">
        <v>Ayetor Godwin Kafui Kwesi</v>
      </c>
      <c r="D247" s="26" t="s">
        <v>97</v>
      </c>
      <c r="E247" s="28">
        <v>32</v>
      </c>
      <c r="F247" s="32" t="s">
        <v>21</v>
      </c>
      <c r="G247" s="30">
        <f t="shared" si="32"/>
        <v>35.200000000000003</v>
      </c>
      <c r="I247" s="20" t="str">
        <f t="shared" si="33"/>
        <v>AME 476,ED4-AUTO</v>
      </c>
      <c r="J247" s="25"/>
    </row>
    <row r="248" spans="1:10" ht="14.5" x14ac:dyDescent="0.35">
      <c r="A248" s="26" t="s">
        <v>258</v>
      </c>
      <c r="B248" s="31" t="str">
        <v>SEPARATION PROCESSES II</v>
      </c>
      <c r="C248" s="27" t="str">
        <v>Augustine Ntiamoah</v>
      </c>
      <c r="D248" s="26" t="s">
        <v>63</v>
      </c>
      <c r="E248" s="28">
        <v>53</v>
      </c>
      <c r="F248" s="32"/>
      <c r="G248" s="30">
        <f t="shared" si="32"/>
        <v>58.300000000000004</v>
      </c>
      <c r="I248" s="20" t="str">
        <f t="shared" si="33"/>
        <v>PCE 352,ED3-PCE</v>
      </c>
      <c r="J248" s="25"/>
    </row>
    <row r="249" spans="1:10" ht="14.5" x14ac:dyDescent="0.35">
      <c r="A249" s="26" t="s">
        <v>259</v>
      </c>
      <c r="B249" s="27" t="str">
        <v>EMBEDDED SYSTEMS</v>
      </c>
      <c r="C249" s="31" t="str">
        <v>Kommey Benjamin</v>
      </c>
      <c r="D249" s="26" t="s">
        <v>16</v>
      </c>
      <c r="E249" s="28">
        <v>265</v>
      </c>
      <c r="F249" s="32"/>
      <c r="G249" s="30">
        <f t="shared" si="32"/>
        <v>291.5</v>
      </c>
      <c r="I249" s="20" t="str">
        <f t="shared" si="33"/>
        <v>COE 358,ED3-COE</v>
      </c>
      <c r="J249" s="25"/>
    </row>
    <row r="250" spans="1:10" ht="14.5" x14ac:dyDescent="0.35">
      <c r="A250" s="26" t="s">
        <v>259</v>
      </c>
      <c r="B250" s="27" t="str">
        <v>EMBEDDED SYSTEMS</v>
      </c>
      <c r="C250" s="31" t="str">
        <v>Kommey Benjamin</v>
      </c>
      <c r="D250" s="26" t="s">
        <v>65</v>
      </c>
      <c r="E250" s="28">
        <v>90</v>
      </c>
      <c r="F250" s="32"/>
      <c r="G250" s="30">
        <f t="shared" si="32"/>
        <v>99.000000000000014</v>
      </c>
      <c r="I250" s="20" t="str">
        <f t="shared" si="33"/>
        <v>COE 358,ED3-BME</v>
      </c>
      <c r="J250" s="25"/>
    </row>
    <row r="251" spans="1:10" ht="14.5" x14ac:dyDescent="0.35">
      <c r="A251" s="26" t="s">
        <v>260</v>
      </c>
      <c r="B251" s="31" t="str">
        <v>BASIC ELECTRONICS</v>
      </c>
      <c r="C251" s="31" t="str">
        <v>Addo Daniel Akwei</v>
      </c>
      <c r="D251" s="26" t="s">
        <v>130</v>
      </c>
      <c r="E251" s="28">
        <v>136</v>
      </c>
      <c r="F251" s="32"/>
      <c r="G251" s="30">
        <f t="shared" si="32"/>
        <v>149.60000000000002</v>
      </c>
      <c r="I251" s="20" t="str">
        <f t="shared" si="33"/>
        <v>COE 152,ED1-BME</v>
      </c>
      <c r="J251" s="25"/>
    </row>
    <row r="252" spans="1:10" ht="14.5" x14ac:dyDescent="0.35">
      <c r="A252" s="26" t="s">
        <v>260</v>
      </c>
      <c r="B252" s="27" t="str">
        <v>BASIC ELECTRONICS</v>
      </c>
      <c r="C252" s="31" t="str">
        <v>Klogo Griffith Selorm</v>
      </c>
      <c r="D252" s="26" t="s">
        <v>20</v>
      </c>
      <c r="E252" s="28">
        <v>262</v>
      </c>
      <c r="F252" s="32"/>
      <c r="G252" s="30">
        <f t="shared" si="32"/>
        <v>288.20000000000005</v>
      </c>
      <c r="I252" s="20" t="str">
        <f t="shared" si="33"/>
        <v>COE 152,ED1-COE</v>
      </c>
      <c r="J252" s="25"/>
    </row>
    <row r="253" spans="1:10" ht="14.5" x14ac:dyDescent="0.35">
      <c r="A253" s="35"/>
      <c r="B253" s="35"/>
      <c r="C253" s="27"/>
      <c r="D253" s="27" t="s">
        <v>261</v>
      </c>
      <c r="E253" s="35">
        <f>SUM(E242:E252)</f>
        <v>1162</v>
      </c>
      <c r="F253" s="36"/>
      <c r="G253" s="35"/>
      <c r="I253" s="22" t="s">
        <v>262</v>
      </c>
      <c r="J253" s="25"/>
    </row>
    <row r="254" spans="1:10" ht="14.5" x14ac:dyDescent="0.35">
      <c r="A254" s="14" t="s">
        <v>243</v>
      </c>
      <c r="B254" s="14"/>
      <c r="C254" s="14"/>
      <c r="D254" s="14"/>
      <c r="E254" s="14"/>
      <c r="F254" s="14"/>
      <c r="G254" s="14"/>
      <c r="I254" s="22" t="s">
        <v>244</v>
      </c>
      <c r="J254" s="25"/>
    </row>
    <row r="255" spans="1:10" ht="14.5" x14ac:dyDescent="0.35">
      <c r="A255" s="14" t="s">
        <v>59</v>
      </c>
      <c r="B255" s="14"/>
      <c r="C255" s="14"/>
      <c r="D255" s="14"/>
      <c r="E255" s="14"/>
      <c r="F255" s="14"/>
      <c r="G255" s="14"/>
      <c r="I255" s="22" t="s">
        <v>128</v>
      </c>
      <c r="J255" s="25"/>
    </row>
    <row r="256" spans="1:10" ht="14.5" x14ac:dyDescent="0.35">
      <c r="A256" s="24" t="s">
        <v>4</v>
      </c>
      <c r="B256" s="24" t="s">
        <v>5</v>
      </c>
      <c r="C256" s="16" t="s">
        <v>6</v>
      </c>
      <c r="D256" s="24" t="s">
        <v>7</v>
      </c>
      <c r="E256" s="24" t="s">
        <v>8</v>
      </c>
      <c r="F256" s="16" t="s">
        <v>9</v>
      </c>
      <c r="G256" s="24" t="s">
        <v>10</v>
      </c>
      <c r="I256" s="22" t="s">
        <v>31</v>
      </c>
      <c r="J256" s="25"/>
    </row>
    <row r="257" spans="1:10" ht="14.5" x14ac:dyDescent="0.35">
      <c r="A257" s="42" t="s">
        <v>263</v>
      </c>
      <c r="B257" s="27" t="str">
        <f t="array" ref="B257:B267">IFERROR(VLOOKUP(I257:I267,Lectures_1!A2:F534,2,FALSE()),0)</f>
        <v>COMPUTER PROGRAMMING IN OIL AND GAS</v>
      </c>
      <c r="C257" s="27" t="str">
        <f t="array" ref="C257:C267">IFERROR(VLOOKUP(I257:I267,Lectures_1!A2:F534,3,FALSE()),0)</f>
        <v>Sokama-Neuyam Yen Adams</v>
      </c>
      <c r="D257" s="42" t="s">
        <v>93</v>
      </c>
      <c r="E257" s="28">
        <f t="array" ref="E257:E267">IFERROR(VLOOKUP(I257:I267,Lectures_1!A2:F534,4,FALSE()),0)</f>
        <v>95</v>
      </c>
      <c r="F257" s="33"/>
      <c r="G257" s="30">
        <f t="shared" ref="G257:G267" si="34">E257*1.1</f>
        <v>104.50000000000001</v>
      </c>
      <c r="I257" s="20" t="str">
        <f t="shared" ref="I257:I267" si="35">CONCATENATE(A257,",",D257)</f>
        <v>PE 262,ED2-PE</v>
      </c>
      <c r="J257" s="50"/>
    </row>
    <row r="258" spans="1:10" ht="14.5" x14ac:dyDescent="0.35">
      <c r="A258" s="26" t="s">
        <v>264</v>
      </c>
      <c r="B258" s="31" t="str">
        <v>PETROLEUM PROJECT EVALUATION</v>
      </c>
      <c r="C258" s="31" t="str">
        <v>Sarkodie Kwame</v>
      </c>
      <c r="D258" s="26" t="s">
        <v>46</v>
      </c>
      <c r="E258" s="28">
        <v>99</v>
      </c>
      <c r="F258" s="32"/>
      <c r="G258" s="30">
        <f t="shared" si="34"/>
        <v>108.9</v>
      </c>
      <c r="I258" s="20" t="str">
        <f t="shared" si="35"/>
        <v>PE 452,ED4-PE</v>
      </c>
      <c r="J258" s="25"/>
    </row>
    <row r="259" spans="1:10" ht="14.5" x14ac:dyDescent="0.35">
      <c r="A259" s="26" t="s">
        <v>265</v>
      </c>
      <c r="B259" s="31" t="str">
        <v>COMPUTER-AIDED DESIGN AND MANUFACTURING</v>
      </c>
      <c r="C259" s="27" t="str">
        <v>Afriyie Nyarko Frank Kwabena</v>
      </c>
      <c r="D259" s="26" t="s">
        <v>121</v>
      </c>
      <c r="E259" s="42">
        <v>70</v>
      </c>
      <c r="F259" s="32"/>
      <c r="G259" s="30">
        <f t="shared" si="34"/>
        <v>77</v>
      </c>
      <c r="I259" s="20" t="str">
        <f t="shared" si="35"/>
        <v>IE 358,ED3-IND</v>
      </c>
      <c r="J259" s="25"/>
    </row>
    <row r="260" spans="1:10" ht="14.5" x14ac:dyDescent="0.35">
      <c r="A260" s="26" t="s">
        <v>266</v>
      </c>
      <c r="B260" s="27" t="str">
        <v>INTRODUCTION TO CAD/CAM</v>
      </c>
      <c r="C260" s="31" t="str">
        <v>Afriyie Nyarko Frank Kwabena</v>
      </c>
      <c r="D260" s="26" t="s">
        <v>88</v>
      </c>
      <c r="E260" s="28">
        <v>101</v>
      </c>
      <c r="F260" s="32"/>
      <c r="G260" s="30">
        <f t="shared" si="34"/>
        <v>111.10000000000001</v>
      </c>
      <c r="I260" s="20" t="str">
        <f t="shared" si="35"/>
        <v>ME 376,ED3-AE</v>
      </c>
      <c r="J260" s="25"/>
    </row>
    <row r="261" spans="1:10" ht="14.5" x14ac:dyDescent="0.35">
      <c r="A261" s="26" t="s">
        <v>267</v>
      </c>
      <c r="B261" s="27" t="str">
        <v>POWER SYSTEMS PROTECTION</v>
      </c>
      <c r="C261" s="31" t="str">
        <v>Frimpong Emmanuel Asuming</v>
      </c>
      <c r="D261" s="26" t="s">
        <v>144</v>
      </c>
      <c r="E261" s="28">
        <v>205</v>
      </c>
      <c r="F261" s="47"/>
      <c r="G261" s="30">
        <f t="shared" si="34"/>
        <v>225.50000000000003</v>
      </c>
      <c r="I261" s="20" t="str">
        <f t="shared" si="35"/>
        <v>EE 468,ED4-EE</v>
      </c>
      <c r="J261" s="25"/>
    </row>
    <row r="262" spans="1:10" ht="14.5" x14ac:dyDescent="0.35">
      <c r="A262" s="26" t="s">
        <v>268</v>
      </c>
      <c r="B262" s="27" t="str">
        <v>STATICS OF SOLID MECHANICS</v>
      </c>
      <c r="C262" s="31" t="str">
        <v>Dzebre Denis Edem Kwame</v>
      </c>
      <c r="D262" s="26" t="s">
        <v>191</v>
      </c>
      <c r="E262" s="28">
        <v>70</v>
      </c>
      <c r="F262" s="26"/>
      <c r="G262" s="30">
        <f t="shared" si="34"/>
        <v>77</v>
      </c>
      <c r="I262" s="20" t="str">
        <f t="shared" si="35"/>
        <v>ME 164,ED1-AERO</v>
      </c>
      <c r="J262" s="25"/>
    </row>
    <row r="263" spans="1:10" ht="14.5" x14ac:dyDescent="0.35">
      <c r="A263" s="26" t="s">
        <v>268</v>
      </c>
      <c r="B263" s="27" t="str">
        <v>ENGINEERING MECHANICS I: STATICS</v>
      </c>
      <c r="C263" s="31" t="str">
        <v>Dzebre Denis Edem Kwame</v>
      </c>
      <c r="D263" s="26" t="s">
        <v>161</v>
      </c>
      <c r="E263" s="28">
        <v>225</v>
      </c>
      <c r="F263" s="32"/>
      <c r="G263" s="30">
        <f t="shared" si="34"/>
        <v>247.50000000000003</v>
      </c>
      <c r="I263" s="20" t="str">
        <f t="shared" si="35"/>
        <v>ME 164,ED1-ME</v>
      </c>
      <c r="J263" s="25"/>
    </row>
    <row r="264" spans="1:10" ht="14.5" x14ac:dyDescent="0.35">
      <c r="A264" s="26" t="s">
        <v>269</v>
      </c>
      <c r="B264" s="27" t="str">
        <v>NETWORK PLANNING AND OPTIMIZATION</v>
      </c>
      <c r="C264" s="31" t="str">
        <v>Kwasi Adu-Boahen Opare</v>
      </c>
      <c r="D264" s="26" t="s">
        <v>227</v>
      </c>
      <c r="E264" s="28">
        <v>138</v>
      </c>
      <c r="F264" s="32"/>
      <c r="G264" s="30">
        <f t="shared" si="34"/>
        <v>151.80000000000001</v>
      </c>
      <c r="I264" s="20" t="str">
        <f t="shared" si="35"/>
        <v>TE 458,ED4-TEL</v>
      </c>
      <c r="J264" s="25"/>
    </row>
    <row r="265" spans="1:10" ht="14.25" customHeight="1" x14ac:dyDescent="0.35">
      <c r="A265" s="26" t="s">
        <v>270</v>
      </c>
      <c r="B265" s="31" t="str">
        <v>GROUND ENGINEERING</v>
      </c>
      <c r="C265" s="31" t="str">
        <v>Samuel Innocent Kofi Ampadu</v>
      </c>
      <c r="D265" s="26" t="s">
        <v>177</v>
      </c>
      <c r="E265" s="28">
        <v>2</v>
      </c>
      <c r="F265" s="32"/>
      <c r="G265" s="30">
        <f t="shared" si="34"/>
        <v>2.2000000000000002</v>
      </c>
      <c r="I265" s="20" t="str">
        <f t="shared" si="35"/>
        <v>CE 478,ED4-GEOL</v>
      </c>
      <c r="J265" s="25"/>
    </row>
    <row r="266" spans="1:10" ht="14.5" x14ac:dyDescent="0.35">
      <c r="A266" s="26" t="s">
        <v>270</v>
      </c>
      <c r="B266" s="31" t="str">
        <v>GROUND ENGINEERING</v>
      </c>
      <c r="C266" s="31" t="str">
        <v>Samuel Innocent Kofi Ampadu</v>
      </c>
      <c r="D266" s="26" t="s">
        <v>103</v>
      </c>
      <c r="E266" s="28">
        <v>60</v>
      </c>
      <c r="F266" s="32"/>
      <c r="G266" s="30">
        <f t="shared" si="34"/>
        <v>66</v>
      </c>
      <c r="I266" s="20" t="str">
        <f t="shared" si="35"/>
        <v>CE 478,ED4-CE</v>
      </c>
      <c r="J266" s="25"/>
    </row>
    <row r="267" spans="1:10" ht="14.5" x14ac:dyDescent="0.35">
      <c r="A267" s="26" t="s">
        <v>271</v>
      </c>
      <c r="B267" s="27" t="str">
        <v>ENGINEERING PROPERTIES OF POLYMERS</v>
      </c>
      <c r="C267" s="31" t="str">
        <v>Asare Eric Kwame Anokye</v>
      </c>
      <c r="D267" s="26" t="s">
        <v>140</v>
      </c>
      <c r="E267" s="28">
        <v>85</v>
      </c>
      <c r="F267" s="32"/>
      <c r="G267" s="30">
        <f t="shared" si="34"/>
        <v>93.500000000000014</v>
      </c>
      <c r="I267" s="20" t="str">
        <f t="shared" si="35"/>
        <v>MSE 356,ED3-MSE</v>
      </c>
      <c r="J267" s="25"/>
    </row>
    <row r="268" spans="1:10" ht="14.5" x14ac:dyDescent="0.35">
      <c r="A268" s="26"/>
      <c r="B268" s="35"/>
      <c r="D268" s="27" t="s">
        <v>272</v>
      </c>
      <c r="E268" s="35">
        <f>SUM(E257:E267)</f>
        <v>1150</v>
      </c>
      <c r="F268" s="36"/>
      <c r="G268" s="35"/>
      <c r="I268" s="22" t="s">
        <v>273</v>
      </c>
      <c r="J268" s="25"/>
    </row>
    <row r="269" spans="1:10" ht="14.5" x14ac:dyDescent="0.35">
      <c r="A269" s="14" t="s">
        <v>274</v>
      </c>
      <c r="B269" s="14"/>
      <c r="C269" s="14"/>
      <c r="D269" s="14"/>
      <c r="E269" s="14"/>
      <c r="F269" s="14"/>
      <c r="G269" s="14"/>
      <c r="I269" s="22" t="s">
        <v>275</v>
      </c>
      <c r="J269" s="25"/>
    </row>
    <row r="270" spans="1:10" ht="14.5" x14ac:dyDescent="0.35">
      <c r="A270" s="14" t="s">
        <v>2</v>
      </c>
      <c r="B270" s="14"/>
      <c r="C270" s="14"/>
      <c r="D270" s="14"/>
      <c r="E270" s="14"/>
      <c r="F270" s="14"/>
      <c r="G270" s="14"/>
      <c r="I270" s="22" t="s">
        <v>149</v>
      </c>
      <c r="J270" s="25"/>
    </row>
    <row r="271" spans="1:10" ht="14.5" x14ac:dyDescent="0.35">
      <c r="A271" s="24" t="s">
        <v>4</v>
      </c>
      <c r="B271" s="24" t="s">
        <v>5</v>
      </c>
      <c r="C271" s="16" t="s">
        <v>6</v>
      </c>
      <c r="D271" s="24" t="s">
        <v>7</v>
      </c>
      <c r="E271" s="24" t="s">
        <v>8</v>
      </c>
      <c r="F271" s="16" t="s">
        <v>9</v>
      </c>
      <c r="G271" s="24" t="s">
        <v>10</v>
      </c>
      <c r="I271" s="22" t="s">
        <v>31</v>
      </c>
      <c r="J271" s="25"/>
    </row>
    <row r="272" spans="1:10" ht="14.5" x14ac:dyDescent="0.35">
      <c r="A272" s="26" t="s">
        <v>276</v>
      </c>
      <c r="B272" s="27" t="str">
        <f t="array" ref="B272:B281">IFERROR(VLOOKUP(I272:I281,Lectures_1!A2:F534,2,FALSE()),0)</f>
        <v>LITERATURE IN ENGLISH II</v>
      </c>
      <c r="C272" s="27" t="str">
        <f t="array" ref="C272:C281">IFERROR(VLOOKUP(I272:I281,Lectures_1!A2:F534,3,FALSE()),0)</f>
        <v>Yeboah Philomena Ama Okyeso</v>
      </c>
      <c r="D272" s="26" t="s">
        <v>53</v>
      </c>
      <c r="E272" s="28">
        <f t="array" ref="E272:E281">IFERROR(VLOOKUP(I272:I281,Lectures_1!A2:F534,4,FALSE()),0)</f>
        <v>155</v>
      </c>
      <c r="F272" s="32"/>
      <c r="G272" s="30">
        <f t="shared" ref="G272:G281" si="36">E272*1.1</f>
        <v>170.5</v>
      </c>
      <c r="I272" s="20" t="str">
        <f t="shared" ref="I272:I281" si="37">CONCATENATE(A272,",",D272)</f>
        <v>ENGL 264,ED2-AE</v>
      </c>
      <c r="J272" s="25"/>
    </row>
    <row r="273" spans="1:10" ht="14.5" x14ac:dyDescent="0.35">
      <c r="A273" s="26" t="s">
        <v>276</v>
      </c>
      <c r="B273" s="31" t="str">
        <v>LITERATURE IN ENGLISH II</v>
      </c>
      <c r="C273" s="27" t="str">
        <v>Yeboah Philomena Ama Okyeso</v>
      </c>
      <c r="D273" s="26" t="s">
        <v>36</v>
      </c>
      <c r="E273" s="28">
        <v>75</v>
      </c>
      <c r="F273" s="26"/>
      <c r="G273" s="30">
        <f t="shared" si="36"/>
        <v>82.5</v>
      </c>
      <c r="I273" s="20" t="str">
        <f t="shared" si="37"/>
        <v>ENGL 264,ED2-AERO</v>
      </c>
      <c r="J273" s="25"/>
    </row>
    <row r="274" spans="1:10" ht="14.5" x14ac:dyDescent="0.35">
      <c r="A274" s="26" t="s">
        <v>276</v>
      </c>
      <c r="B274" s="31" t="str">
        <v>LITERATURE IN ENGLISH II</v>
      </c>
      <c r="C274" s="27" t="str">
        <v>Yeboah Philomena Ama Okyeso</v>
      </c>
      <c r="D274" s="26" t="s">
        <v>170</v>
      </c>
      <c r="E274" s="28">
        <v>132</v>
      </c>
      <c r="F274" s="42"/>
      <c r="G274" s="30">
        <f t="shared" si="36"/>
        <v>145.20000000000002</v>
      </c>
      <c r="I274" s="20" t="str">
        <f t="shared" si="37"/>
        <v>ENGL 264,ED2-GEOM</v>
      </c>
      <c r="J274" s="25"/>
    </row>
    <row r="275" spans="1:10" ht="14.5" x14ac:dyDescent="0.35">
      <c r="A275" s="26" t="s">
        <v>276</v>
      </c>
      <c r="B275" s="31" t="str">
        <v>LITERATURE IN ENGLISH II</v>
      </c>
      <c r="C275" s="27" t="str">
        <v>Yeboah Philomena Ama Okyeso</v>
      </c>
      <c r="D275" s="26" t="s">
        <v>38</v>
      </c>
      <c r="E275" s="28">
        <v>80</v>
      </c>
      <c r="F275" s="26"/>
      <c r="G275" s="30">
        <f t="shared" si="36"/>
        <v>88</v>
      </c>
      <c r="I275" s="20" t="str">
        <f t="shared" si="37"/>
        <v>ENGL 264,ED2-IND</v>
      </c>
      <c r="J275" s="25"/>
    </row>
    <row r="276" spans="1:10" ht="14.5" x14ac:dyDescent="0.35">
      <c r="A276" s="26" t="s">
        <v>277</v>
      </c>
      <c r="B276" s="27" t="str">
        <v>AIR VEHICLE STABILITY AND CONTROL</v>
      </c>
      <c r="C276" s="31" t="str">
        <v>Oppong David Kofi</v>
      </c>
      <c r="D276" s="26" t="s">
        <v>133</v>
      </c>
      <c r="E276" s="28">
        <v>76</v>
      </c>
      <c r="F276" s="32" t="s">
        <v>21</v>
      </c>
      <c r="G276" s="30">
        <f t="shared" si="36"/>
        <v>83.600000000000009</v>
      </c>
      <c r="I276" s="20" t="str">
        <f t="shared" si="37"/>
        <v>AERO 362,ED3-AERO</v>
      </c>
      <c r="J276" s="25"/>
    </row>
    <row r="277" spans="1:10" ht="14.5" x14ac:dyDescent="0.35">
      <c r="A277" s="26" t="s">
        <v>278</v>
      </c>
      <c r="B277" s="27" t="str">
        <v>INTRO TO ENVIRONMENTAL ENG.</v>
      </c>
      <c r="C277" s="31" t="str">
        <v>Essandoh Helen Michelle Korkor</v>
      </c>
      <c r="D277" s="26" t="s">
        <v>56</v>
      </c>
      <c r="E277" s="28">
        <v>250</v>
      </c>
      <c r="F277" s="42"/>
      <c r="G277" s="30">
        <f t="shared" si="36"/>
        <v>275</v>
      </c>
      <c r="I277" s="20" t="str">
        <f t="shared" si="37"/>
        <v>CE 264,ED2-CE</v>
      </c>
      <c r="J277" s="25"/>
    </row>
    <row r="278" spans="1:10" ht="14.5" x14ac:dyDescent="0.35">
      <c r="A278" s="26" t="s">
        <v>279</v>
      </c>
      <c r="B278" s="31" t="str">
        <v>MICROPROCESSORS AND MECHATRONICS APPLICATIONS</v>
      </c>
      <c r="C278" s="31" t="str">
        <v>Sackey Michael Nii</v>
      </c>
      <c r="D278" s="26" t="s">
        <v>23</v>
      </c>
      <c r="E278" s="28">
        <v>40</v>
      </c>
      <c r="F278" s="32"/>
      <c r="G278" s="30">
        <f t="shared" si="36"/>
        <v>44</v>
      </c>
      <c r="I278" s="20" t="str">
        <f t="shared" si="37"/>
        <v>AME 384,ED3-AUTO</v>
      </c>
      <c r="J278" s="25"/>
    </row>
    <row r="279" spans="1:10" ht="14.5" x14ac:dyDescent="0.35">
      <c r="A279" s="26" t="s">
        <v>280</v>
      </c>
      <c r="B279" s="31" t="str">
        <v>PULP AND PAPER TECHNOLOGY</v>
      </c>
      <c r="C279" s="31" t="str">
        <v>Rockson Mizpah Ama Dziedzorm</v>
      </c>
      <c r="D279" s="26" t="s">
        <v>48</v>
      </c>
      <c r="E279" s="28">
        <v>70</v>
      </c>
      <c r="F279" s="32"/>
      <c r="G279" s="30">
        <f t="shared" si="36"/>
        <v>77</v>
      </c>
      <c r="I279" s="20" t="str">
        <f t="shared" si="37"/>
        <v>CHE 466,ED4-CHE</v>
      </c>
      <c r="J279" s="25"/>
    </row>
    <row r="280" spans="1:10" s="53" customFormat="1" ht="14.5" x14ac:dyDescent="0.35">
      <c r="A280" s="26" t="s">
        <v>281</v>
      </c>
      <c r="B280" s="31" t="str">
        <v>CALCULUS WITH SEVERAL VARIABLES</v>
      </c>
      <c r="C280" s="27" t="str">
        <v>Boateng Maxwell Akwasi</v>
      </c>
      <c r="D280" s="26" t="s">
        <v>42</v>
      </c>
      <c r="E280" s="28">
        <v>37</v>
      </c>
      <c r="F280" s="32"/>
      <c r="G280" s="30">
        <f t="shared" si="36"/>
        <v>40.700000000000003</v>
      </c>
      <c r="H280" s="19"/>
      <c r="I280" s="51" t="str">
        <f t="shared" si="37"/>
        <v>MATH 252,ED2-MARI</v>
      </c>
      <c r="J280" s="52"/>
    </row>
    <row r="281" spans="1:10" s="53" customFormat="1" ht="14.5" x14ac:dyDescent="0.35">
      <c r="A281" s="26" t="s">
        <v>281</v>
      </c>
      <c r="B281" s="31" t="str">
        <v>CALCULUS WITH SEVERAL VARIABLES</v>
      </c>
      <c r="C281" s="27" t="str">
        <v>Boateng Maxwell Akwasi</v>
      </c>
      <c r="D281" s="26" t="s">
        <v>33</v>
      </c>
      <c r="E281" s="28">
        <v>240</v>
      </c>
      <c r="F281" s="32"/>
      <c r="G281" s="30">
        <f t="shared" si="36"/>
        <v>264</v>
      </c>
      <c r="H281" s="19"/>
      <c r="I281" s="51" t="str">
        <f t="shared" si="37"/>
        <v>MATH 252,ED2-ME</v>
      </c>
      <c r="J281" s="52"/>
    </row>
    <row r="282" spans="1:10" ht="14.5" x14ac:dyDescent="0.35">
      <c r="A282" s="35"/>
      <c r="B282" s="35"/>
      <c r="D282" s="27" t="s">
        <v>282</v>
      </c>
      <c r="E282" s="35">
        <f>SUM(E272:E281)</f>
        <v>1155</v>
      </c>
      <c r="F282" s="36"/>
      <c r="G282" s="35"/>
      <c r="I282" s="22" t="s">
        <v>283</v>
      </c>
      <c r="J282" s="25"/>
    </row>
    <row r="283" spans="1:10" ht="14.5" x14ac:dyDescent="0.35">
      <c r="A283" s="14" t="s">
        <v>274</v>
      </c>
      <c r="B283" s="14"/>
      <c r="C283" s="14"/>
      <c r="D283" s="14"/>
      <c r="E283" s="14"/>
      <c r="F283" s="14"/>
      <c r="G283" s="14"/>
      <c r="I283" s="22" t="s">
        <v>275</v>
      </c>
      <c r="J283" s="25"/>
    </row>
    <row r="284" spans="1:10" ht="14.5" x14ac:dyDescent="0.35">
      <c r="A284" s="14" t="s">
        <v>29</v>
      </c>
      <c r="B284" s="14"/>
      <c r="C284" s="14"/>
      <c r="D284" s="14"/>
      <c r="E284" s="14"/>
      <c r="F284" s="14"/>
      <c r="G284" s="14"/>
      <c r="I284" s="22" t="s">
        <v>30</v>
      </c>
      <c r="J284" s="25"/>
    </row>
    <row r="285" spans="1:10" ht="14.5" x14ac:dyDescent="0.35">
      <c r="A285" s="24" t="s">
        <v>4</v>
      </c>
      <c r="B285" s="24" t="s">
        <v>5</v>
      </c>
      <c r="C285" s="16" t="s">
        <v>6</v>
      </c>
      <c r="D285" s="24" t="s">
        <v>7</v>
      </c>
      <c r="E285" s="24" t="s">
        <v>8</v>
      </c>
      <c r="F285" s="16" t="s">
        <v>9</v>
      </c>
      <c r="G285" s="24" t="s">
        <v>10</v>
      </c>
      <c r="I285" s="22" t="s">
        <v>31</v>
      </c>
      <c r="J285" s="25"/>
    </row>
    <row r="286" spans="1:10" ht="14.5" x14ac:dyDescent="0.35">
      <c r="A286" s="26" t="s">
        <v>234</v>
      </c>
      <c r="B286" s="27" t="str">
        <f t="array" ref="B286:B296">IFERROR(VLOOKUP(I286:I296,Lectures_1!A2:F534,2,FALSE()),0)</f>
        <v>BASIC ELECTRONICS</v>
      </c>
      <c r="C286" s="27" t="str">
        <f t="array" ref="C286:C296">IFERROR(VLOOKUP(I286:I296,Lectures_1!A2:F5343,3,FALSE()),0)</f>
        <v>Nicholas Kwesi Prah II</v>
      </c>
      <c r="D286" s="26" t="s">
        <v>191</v>
      </c>
      <c r="E286" s="28">
        <f t="array" ref="E286:E296">IFERROR(VLOOKUP(I286:I296,Lectures_1!A2:F5343,4,FALSE()),0)</f>
        <v>70</v>
      </c>
      <c r="F286" s="32"/>
      <c r="G286" s="30">
        <f t="shared" ref="G286:G296" si="38">E286*1.1</f>
        <v>77</v>
      </c>
      <c r="I286" s="20" t="str">
        <f t="shared" ref="I286:I296" si="39">CONCATENATE(A286,",",D286)</f>
        <v>EE 152,ED1-AERO</v>
      </c>
      <c r="J286" s="25"/>
    </row>
    <row r="287" spans="1:10" ht="14.5" x14ac:dyDescent="0.35">
      <c r="A287" s="26" t="s">
        <v>234</v>
      </c>
      <c r="B287" s="27" t="str">
        <v>BASIC ELECTRONICS</v>
      </c>
      <c r="C287" s="27" t="str">
        <v>Nicholas Kwesi Prah II</v>
      </c>
      <c r="D287" s="26" t="s">
        <v>112</v>
      </c>
      <c r="E287" s="28">
        <v>46</v>
      </c>
      <c r="F287" s="42"/>
      <c r="G287" s="30">
        <f t="shared" si="38"/>
        <v>50.6</v>
      </c>
      <c r="H287" s="17"/>
      <c r="I287" s="20" t="str">
        <f t="shared" si="39"/>
        <v>EE 152,ED1-MARI</v>
      </c>
      <c r="J287" s="25"/>
    </row>
    <row r="288" spans="1:10" ht="14.5" x14ac:dyDescent="0.35">
      <c r="A288" s="26" t="s">
        <v>234</v>
      </c>
      <c r="B288" s="27" t="str">
        <v>BASIC ELECTRONICS</v>
      </c>
      <c r="C288" s="27" t="str">
        <v>Nicholas Kwesi Prah II</v>
      </c>
      <c r="D288" s="26" t="s">
        <v>111</v>
      </c>
      <c r="E288" s="28">
        <v>83</v>
      </c>
      <c r="F288" s="42"/>
      <c r="G288" s="30">
        <f t="shared" si="38"/>
        <v>91.300000000000011</v>
      </c>
      <c r="I288" s="20" t="str">
        <f t="shared" si="39"/>
        <v>EE 152,ED1-IND</v>
      </c>
      <c r="J288" s="25"/>
    </row>
    <row r="289" spans="1:10" ht="14.5" x14ac:dyDescent="0.35">
      <c r="A289" s="26" t="s">
        <v>234</v>
      </c>
      <c r="B289" s="27" t="str">
        <v>BASIC ELECTRONICS</v>
      </c>
      <c r="C289" s="27" t="str">
        <v>Twumasi Elvis</v>
      </c>
      <c r="D289" s="26" t="s">
        <v>81</v>
      </c>
      <c r="E289" s="28">
        <v>56</v>
      </c>
      <c r="F289" s="32"/>
      <c r="G289" s="30">
        <f t="shared" si="38"/>
        <v>61.600000000000009</v>
      </c>
      <c r="I289" s="20" t="str">
        <f t="shared" si="39"/>
        <v>EE 152,ED1-PCE</v>
      </c>
      <c r="J289" s="25"/>
    </row>
    <row r="290" spans="1:10" ht="14.5" x14ac:dyDescent="0.35">
      <c r="A290" s="26" t="s">
        <v>234</v>
      </c>
      <c r="B290" s="27" t="str">
        <v>BASIC ELECTRONICS</v>
      </c>
      <c r="C290" s="27" t="str">
        <v>Twumasi Elvis</v>
      </c>
      <c r="D290" s="26" t="s">
        <v>82</v>
      </c>
      <c r="E290" s="28">
        <v>130</v>
      </c>
      <c r="F290" s="32"/>
      <c r="G290" s="30">
        <f t="shared" si="38"/>
        <v>143</v>
      </c>
      <c r="I290" s="20" t="str">
        <f t="shared" si="39"/>
        <v>EE 152,ED1-PE</v>
      </c>
      <c r="J290" s="25"/>
    </row>
    <row r="291" spans="1:10" ht="14.5" x14ac:dyDescent="0.35">
      <c r="A291" s="26" t="s">
        <v>234</v>
      </c>
      <c r="B291" s="27" t="str">
        <v>BASIC ELECTRONICS</v>
      </c>
      <c r="C291" s="27" t="str">
        <v>Kwegyir Daniel</v>
      </c>
      <c r="D291" s="26" t="s">
        <v>126</v>
      </c>
      <c r="E291" s="28">
        <v>125</v>
      </c>
      <c r="F291" s="32"/>
      <c r="G291" s="30">
        <f t="shared" si="38"/>
        <v>137.5</v>
      </c>
      <c r="I291" s="20" t="str">
        <f t="shared" si="39"/>
        <v>EE 152,ED1-GEOL</v>
      </c>
      <c r="J291" s="25"/>
    </row>
    <row r="292" spans="1:10" ht="14.5" x14ac:dyDescent="0.35">
      <c r="A292" s="26" t="s">
        <v>234</v>
      </c>
      <c r="B292" s="27" t="str">
        <v>BASIC ELECTRONICS</v>
      </c>
      <c r="C292" s="27" t="str">
        <v>Kwegyir Daniel</v>
      </c>
      <c r="D292" s="26" t="s">
        <v>95</v>
      </c>
      <c r="E292" s="28">
        <v>103</v>
      </c>
      <c r="F292" s="42"/>
      <c r="G292" s="30">
        <f t="shared" si="38"/>
        <v>113.30000000000001</v>
      </c>
      <c r="I292" s="20" t="str">
        <f t="shared" si="39"/>
        <v>EE 152,ED1-GEOM</v>
      </c>
      <c r="J292" s="25"/>
    </row>
    <row r="293" spans="1:10" ht="14.5" x14ac:dyDescent="0.35">
      <c r="A293" s="26" t="s">
        <v>234</v>
      </c>
      <c r="B293" s="31" t="str">
        <v>BASIC ELECTRONICS</v>
      </c>
      <c r="C293" s="27" t="str">
        <v>Nicholas Kwesi Prah II</v>
      </c>
      <c r="D293" s="26" t="s">
        <v>131</v>
      </c>
      <c r="E293" s="28">
        <v>128</v>
      </c>
      <c r="F293" s="26"/>
      <c r="G293" s="30">
        <f t="shared" si="38"/>
        <v>140.80000000000001</v>
      </c>
      <c r="I293" s="20" t="str">
        <f t="shared" si="39"/>
        <v>EE 152,ED1-AE</v>
      </c>
      <c r="J293" s="25"/>
    </row>
    <row r="294" spans="1:10" ht="14.5" x14ac:dyDescent="0.35">
      <c r="A294" s="26" t="s">
        <v>284</v>
      </c>
      <c r="B294" s="27" t="str">
        <v>LAND LAW AND REGISTRATION</v>
      </c>
      <c r="C294" s="31" t="str">
        <v>Arko-Adjei Anthony</v>
      </c>
      <c r="D294" s="26" t="s">
        <v>194</v>
      </c>
      <c r="E294" s="28">
        <v>93</v>
      </c>
      <c r="F294" s="32"/>
      <c r="G294" s="30">
        <f t="shared" si="38"/>
        <v>102.30000000000001</v>
      </c>
      <c r="I294" s="20" t="str">
        <f t="shared" si="39"/>
        <v>GE 472,ED4-GEOM</v>
      </c>
      <c r="J294" s="25"/>
    </row>
    <row r="295" spans="1:10" ht="14.5" x14ac:dyDescent="0.35">
      <c r="A295" s="26" t="s">
        <v>285</v>
      </c>
      <c r="B295" s="27" t="str">
        <v>PETROLEUM GEOLOGY</v>
      </c>
      <c r="C295" s="31" t="str">
        <v>Borkloe Julius Kwame</v>
      </c>
      <c r="D295" s="26" t="s">
        <v>18</v>
      </c>
      <c r="E295" s="28">
        <v>80</v>
      </c>
      <c r="F295" s="42"/>
      <c r="G295" s="30">
        <f t="shared" si="38"/>
        <v>88</v>
      </c>
      <c r="I295" s="20" t="str">
        <f t="shared" si="39"/>
        <v>PE 352,ED3-PE</v>
      </c>
      <c r="J295" s="25"/>
    </row>
    <row r="296" spans="1:10" ht="14.5" x14ac:dyDescent="0.35">
      <c r="A296" s="26" t="s">
        <v>286</v>
      </c>
      <c r="B296" s="27" t="str">
        <v>POWER ELECTRONICS</v>
      </c>
      <c r="C296" s="27" t="str">
        <v>Effah Francis Boafo</v>
      </c>
      <c r="D296" s="26" t="s">
        <v>71</v>
      </c>
      <c r="E296" s="28">
        <v>240</v>
      </c>
      <c r="F296" s="42" t="s">
        <v>21</v>
      </c>
      <c r="G296" s="30">
        <f t="shared" si="38"/>
        <v>264</v>
      </c>
      <c r="I296" s="20" t="str">
        <f t="shared" si="39"/>
        <v>EE 366,ED3-EE</v>
      </c>
      <c r="J296" s="25"/>
    </row>
    <row r="297" spans="1:10" ht="14.5" x14ac:dyDescent="0.35">
      <c r="A297" s="35"/>
      <c r="B297" s="35"/>
      <c r="D297" s="27" t="s">
        <v>287</v>
      </c>
      <c r="E297" s="35">
        <f>SUM(E286:E296)</f>
        <v>1154</v>
      </c>
      <c r="F297" s="36"/>
      <c r="G297" s="35"/>
      <c r="I297" s="22" t="s">
        <v>288</v>
      </c>
      <c r="J297" s="25"/>
    </row>
    <row r="298" spans="1:10" ht="14.5" x14ac:dyDescent="0.35">
      <c r="A298" s="14" t="s">
        <v>274</v>
      </c>
      <c r="B298" s="14"/>
      <c r="C298" s="14"/>
      <c r="D298" s="14"/>
      <c r="E298" s="14"/>
      <c r="F298" s="14"/>
      <c r="G298" s="14"/>
      <c r="I298" s="22" t="s">
        <v>275</v>
      </c>
      <c r="J298" s="25"/>
    </row>
    <row r="299" spans="1:10" ht="14.5" x14ac:dyDescent="0.35">
      <c r="A299" s="14" t="s">
        <v>59</v>
      </c>
      <c r="B299" s="14"/>
      <c r="C299" s="14"/>
      <c r="D299" s="14"/>
      <c r="E299" s="14"/>
      <c r="F299" s="14"/>
      <c r="G299" s="14"/>
      <c r="I299" s="22" t="s">
        <v>128</v>
      </c>
      <c r="J299" s="25"/>
    </row>
    <row r="300" spans="1:10" ht="14.5" x14ac:dyDescent="0.35">
      <c r="A300" s="24" t="s">
        <v>4</v>
      </c>
      <c r="B300" s="24" t="s">
        <v>5</v>
      </c>
      <c r="C300" s="16" t="s">
        <v>6</v>
      </c>
      <c r="D300" s="24" t="s">
        <v>7</v>
      </c>
      <c r="E300" s="24" t="s">
        <v>8</v>
      </c>
      <c r="F300" s="31" t="s">
        <v>9</v>
      </c>
      <c r="G300" s="24" t="s">
        <v>10</v>
      </c>
      <c r="I300" s="22" t="s">
        <v>31</v>
      </c>
      <c r="J300" s="25"/>
    </row>
    <row r="301" spans="1:10" ht="14.5" x14ac:dyDescent="0.35">
      <c r="A301" s="26" t="s">
        <v>234</v>
      </c>
      <c r="B301" s="27" t="str">
        <f t="array" ref="B301:B312">IFERROR(VLOOKUP(I301:I312,Lectures_1!A2:F534,2,FALSE()),0)</f>
        <v>BASIC ELECTRONICS</v>
      </c>
      <c r="C301" s="27" t="str">
        <f t="array" ref="C301:C312">IFERROR(VLOOKUP(I301:I312,Lectures_1!A2:F534,3,FALSE()),0)</f>
        <v>Affum Emmanuel Ampoma</v>
      </c>
      <c r="D301" s="26" t="s">
        <v>91</v>
      </c>
      <c r="E301" s="28">
        <f t="array" ref="E301:E312">IFERROR(VLOOKUP(I301:I312,Lectures_1!A2:F534,4,FALSE()),0)</f>
        <v>130</v>
      </c>
      <c r="F301" s="32"/>
      <c r="G301" s="30">
        <f t="shared" ref="G301:G312" si="40">E301*1.1</f>
        <v>143</v>
      </c>
      <c r="I301" s="20" t="str">
        <f t="shared" ref="I301:I312" si="41">CONCATENATE(A301,",",D301)</f>
        <v>EE 152,ED1-TEL</v>
      </c>
      <c r="J301" s="25"/>
    </row>
    <row r="302" spans="1:10" ht="14.5" x14ac:dyDescent="0.35">
      <c r="A302" s="26" t="s">
        <v>289</v>
      </c>
      <c r="B302" s="31" t="str">
        <v>WASTE MANAGEMENT</v>
      </c>
      <c r="C302" s="31" t="str">
        <v>Koomson Bennetta</v>
      </c>
      <c r="D302" s="26" t="s">
        <v>135</v>
      </c>
      <c r="E302" s="28">
        <v>60</v>
      </c>
      <c r="F302" s="32"/>
      <c r="G302" s="30">
        <f t="shared" si="40"/>
        <v>66</v>
      </c>
      <c r="I302" s="20" t="str">
        <f t="shared" si="41"/>
        <v>MSE 452,ED4-MSE</v>
      </c>
      <c r="J302" s="25"/>
    </row>
    <row r="303" spans="1:10" ht="14.5" x14ac:dyDescent="0.35">
      <c r="A303" s="26" t="s">
        <v>290</v>
      </c>
      <c r="B303" s="27" t="str">
        <v>METALLURGICAL WASTE MANAGEMENT</v>
      </c>
      <c r="C303" s="31" t="str">
        <v>Koomson Bennetta</v>
      </c>
      <c r="D303" s="32" t="s">
        <v>136</v>
      </c>
      <c r="E303" s="28">
        <v>55</v>
      </c>
      <c r="F303" s="32"/>
      <c r="G303" s="30">
        <f t="shared" si="40"/>
        <v>60.500000000000007</v>
      </c>
      <c r="H303" s="40"/>
      <c r="I303" s="20" t="str">
        <f t="shared" si="41"/>
        <v>METE 454,ED4-METE</v>
      </c>
      <c r="J303" s="25"/>
    </row>
    <row r="304" spans="1:10" s="53" customFormat="1" ht="14.5" x14ac:dyDescent="0.35">
      <c r="A304" s="26" t="s">
        <v>291</v>
      </c>
      <c r="B304" s="31" t="str">
        <v>HYDRAULIC ENGINEERING</v>
      </c>
      <c r="C304" s="31" t="str">
        <v>Adjei Kwaku Amaning</v>
      </c>
      <c r="D304" s="26" t="s">
        <v>157</v>
      </c>
      <c r="E304" s="28">
        <v>230</v>
      </c>
      <c r="F304" s="32"/>
      <c r="G304" s="30">
        <f t="shared" si="40"/>
        <v>253.00000000000003</v>
      </c>
      <c r="H304" s="19"/>
      <c r="I304" s="51" t="str">
        <f t="shared" si="41"/>
        <v>CE 356,ED3-CE</v>
      </c>
      <c r="J304" s="52"/>
    </row>
    <row r="305" spans="1:10" ht="14.5" x14ac:dyDescent="0.35">
      <c r="A305" s="26" t="s">
        <v>292</v>
      </c>
      <c r="B305" s="27" t="str">
        <v>MARINE MAINTENANCE ENGINEERING</v>
      </c>
      <c r="C305" s="27" t="str">
        <v xml:space="preserve">Peter Oppong Tawiah </v>
      </c>
      <c r="D305" s="26" t="s">
        <v>69</v>
      </c>
      <c r="E305" s="28">
        <v>23</v>
      </c>
      <c r="F305" s="32"/>
      <c r="G305" s="30">
        <f t="shared" si="40"/>
        <v>25.3</v>
      </c>
      <c r="I305" s="20" t="str">
        <f t="shared" si="41"/>
        <v>MME 494,ED4-MARI</v>
      </c>
      <c r="J305" s="25"/>
    </row>
    <row r="306" spans="1:10" ht="14.5" x14ac:dyDescent="0.35">
      <c r="A306" s="26" t="s">
        <v>293</v>
      </c>
      <c r="B306" s="31" t="str">
        <v>MAINTENANCE ENGINEERING</v>
      </c>
      <c r="C306" s="31" t="str">
        <v xml:space="preserve">Peter Oppong Tawiah </v>
      </c>
      <c r="D306" s="26" t="s">
        <v>67</v>
      </c>
      <c r="E306" s="28">
        <v>135</v>
      </c>
      <c r="F306" s="32"/>
      <c r="G306" s="30">
        <f t="shared" si="40"/>
        <v>148.5</v>
      </c>
      <c r="I306" s="20" t="str">
        <f t="shared" si="41"/>
        <v>ME 494,ED4-ME</v>
      </c>
      <c r="J306" s="25"/>
    </row>
    <row r="307" spans="1:10" ht="14.5" x14ac:dyDescent="0.35">
      <c r="A307" s="26" t="s">
        <v>293</v>
      </c>
      <c r="B307" s="31" t="str">
        <v>MAINTENANCE ENGINEERING</v>
      </c>
      <c r="C307" s="31" t="str">
        <v xml:space="preserve">Peter Oppong Tawiah </v>
      </c>
      <c r="D307" s="26" t="s">
        <v>124</v>
      </c>
      <c r="E307" s="28">
        <v>69</v>
      </c>
      <c r="F307" s="32"/>
      <c r="G307" s="30">
        <f t="shared" si="40"/>
        <v>75.900000000000006</v>
      </c>
      <c r="I307" s="20" t="str">
        <f t="shared" si="41"/>
        <v>ME 494,ED4-IND</v>
      </c>
      <c r="J307" s="25"/>
    </row>
    <row r="308" spans="1:10" ht="14.5" x14ac:dyDescent="0.35">
      <c r="A308" s="26" t="s">
        <v>294</v>
      </c>
      <c r="B308" s="31" t="str">
        <v>KINETICS OF CHEMICAL REACTIONS</v>
      </c>
      <c r="C308" s="27" t="str">
        <v>Patrick Aggrey</v>
      </c>
      <c r="D308" s="26" t="s">
        <v>115</v>
      </c>
      <c r="E308" s="28">
        <v>100</v>
      </c>
      <c r="F308" s="26"/>
      <c r="G308" s="30">
        <f t="shared" si="40"/>
        <v>110.00000000000001</v>
      </c>
      <c r="I308" s="20" t="str">
        <f t="shared" si="41"/>
        <v>MSE 152,ED1-MSE</v>
      </c>
      <c r="J308" s="25"/>
    </row>
    <row r="309" spans="1:10" ht="14.5" x14ac:dyDescent="0.35">
      <c r="A309" s="26" t="s">
        <v>295</v>
      </c>
      <c r="B309" s="31" t="str">
        <v>CHEMISTRY FOR METALLURGICAL ENGINEERS</v>
      </c>
      <c r="C309" s="27" t="str">
        <v>Patrick Aggrey</v>
      </c>
      <c r="D309" s="26" t="s">
        <v>114</v>
      </c>
      <c r="E309" s="28">
        <v>75</v>
      </c>
      <c r="F309" s="32"/>
      <c r="G309" s="30">
        <f t="shared" si="40"/>
        <v>82.5</v>
      </c>
      <c r="I309" s="20" t="str">
        <f t="shared" si="41"/>
        <v>METE 152,ED1-METE</v>
      </c>
      <c r="J309" s="25"/>
    </row>
    <row r="310" spans="1:10" ht="14.5" x14ac:dyDescent="0.35">
      <c r="A310" s="26" t="s">
        <v>296</v>
      </c>
      <c r="B310" s="31" t="str">
        <v>ENVIRONMENTAL IMPACT ASSESSMENT</v>
      </c>
      <c r="C310" s="31" t="str">
        <v>Afotey Benjamin</v>
      </c>
      <c r="D310" s="26" t="s">
        <v>63</v>
      </c>
      <c r="E310" s="28">
        <v>30</v>
      </c>
      <c r="F310" s="32"/>
      <c r="G310" s="30">
        <f t="shared" si="40"/>
        <v>33</v>
      </c>
      <c r="I310" s="20" t="str">
        <f t="shared" si="41"/>
        <v>CHE 370,ED3-PCE</v>
      </c>
      <c r="J310" s="25"/>
    </row>
    <row r="311" spans="1:10" ht="14.5" x14ac:dyDescent="0.35">
      <c r="A311" s="26" t="s">
        <v>297</v>
      </c>
      <c r="B311" s="27" t="str">
        <v>CHEMICAL PROCESS CALCULATIONS II</v>
      </c>
      <c r="C311" s="31" t="str">
        <v>Rockson Mizpah Ama Dziedzorm</v>
      </c>
      <c r="D311" s="26" t="s">
        <v>13</v>
      </c>
      <c r="E311" s="28">
        <v>160</v>
      </c>
      <c r="F311" s="32"/>
      <c r="G311" s="30">
        <f t="shared" si="40"/>
        <v>176</v>
      </c>
      <c r="I311" s="20" t="str">
        <f t="shared" si="41"/>
        <v>CHE 252,ED2-CHE</v>
      </c>
      <c r="J311" s="25"/>
    </row>
    <row r="312" spans="1:10" ht="14.5" x14ac:dyDescent="0.35">
      <c r="A312" s="26" t="s">
        <v>297</v>
      </c>
      <c r="B312" s="31" t="str">
        <v>CHEMICAL PROCESS CALCULATIONS II</v>
      </c>
      <c r="C312" s="31" t="str">
        <v>Ohemeng-Boahen Godfred</v>
      </c>
      <c r="D312" s="26" t="s">
        <v>14</v>
      </c>
      <c r="E312" s="28">
        <v>65</v>
      </c>
      <c r="F312" s="32"/>
      <c r="G312" s="30">
        <f t="shared" si="40"/>
        <v>71.5</v>
      </c>
      <c r="I312" s="20" t="str">
        <f t="shared" si="41"/>
        <v>CHE 252,ED2-PCE</v>
      </c>
      <c r="J312" s="25"/>
    </row>
    <row r="313" spans="1:10" ht="14.5" x14ac:dyDescent="0.35">
      <c r="A313" s="35"/>
      <c r="B313" s="35"/>
      <c r="D313" s="27" t="s">
        <v>298</v>
      </c>
      <c r="E313" s="35">
        <f>SUM(E301:E312)</f>
        <v>1132</v>
      </c>
      <c r="F313" s="36"/>
      <c r="G313" s="35"/>
      <c r="I313" s="22" t="s">
        <v>299</v>
      </c>
      <c r="J313" s="25"/>
    </row>
    <row r="314" spans="1:10" ht="14.5" x14ac:dyDescent="0.35">
      <c r="A314" s="14" t="s">
        <v>300</v>
      </c>
      <c r="B314" s="14"/>
      <c r="C314" s="14"/>
      <c r="D314" s="14"/>
      <c r="E314" s="14"/>
      <c r="F314" s="14"/>
      <c r="G314" s="14"/>
      <c r="I314" s="22" t="s">
        <v>301</v>
      </c>
      <c r="J314" s="25"/>
    </row>
    <row r="315" spans="1:10" ht="14.5" x14ac:dyDescent="0.35">
      <c r="A315" s="14" t="s">
        <v>2</v>
      </c>
      <c r="B315" s="14"/>
      <c r="C315" s="14"/>
      <c r="D315" s="14"/>
      <c r="E315" s="14"/>
      <c r="F315" s="14"/>
      <c r="G315" s="14"/>
      <c r="I315" s="22" t="s">
        <v>149</v>
      </c>
      <c r="J315" s="25"/>
    </row>
    <row r="316" spans="1:10" ht="14.5" x14ac:dyDescent="0.35">
      <c r="A316" s="24" t="s">
        <v>4</v>
      </c>
      <c r="B316" s="24" t="s">
        <v>5</v>
      </c>
      <c r="C316" s="16" t="s">
        <v>6</v>
      </c>
      <c r="D316" s="24" t="s">
        <v>7</v>
      </c>
      <c r="E316" s="24" t="s">
        <v>8</v>
      </c>
      <c r="F316" s="31" t="s">
        <v>9</v>
      </c>
      <c r="G316" s="24" t="s">
        <v>10</v>
      </c>
      <c r="I316" s="22" t="s">
        <v>31</v>
      </c>
      <c r="J316" s="25"/>
    </row>
    <row r="317" spans="1:10" ht="14.5" x14ac:dyDescent="0.35">
      <c r="A317" s="26" t="s">
        <v>281</v>
      </c>
      <c r="B317" s="27" t="str">
        <f t="array" ref="B317:B339">IFERROR(VLOOKUP(I317:I339,Lectures_1!A2:F534,2,FALSE()),0)</f>
        <v>CALCULUS WITH SEVERAL VARIABLES</v>
      </c>
      <c r="C317" s="31" t="str">
        <f t="array" ref="C317:C339">IFERROR(VLOOKUP(I317:I339,Lectures_1!A2:F534,3,FALSE()),0)</f>
        <v>Eghan Rhydal Esi</v>
      </c>
      <c r="D317" s="26" t="s">
        <v>109</v>
      </c>
      <c r="E317" s="28">
        <f t="array" ref="E317:E339">IFERROR(VLOOKUP(I317:I339,Lectures_1!A2:F534,4,FALSE()),0)</f>
        <v>80</v>
      </c>
      <c r="F317" s="13" t="s">
        <v>34</v>
      </c>
      <c r="G317" s="30">
        <f t="shared" ref="G317:G339" si="42">E317*1.1</f>
        <v>88</v>
      </c>
      <c r="I317" s="20" t="str">
        <f t="shared" ref="I317:I339" si="43">CONCATENATE(A317,",",D317)</f>
        <v>MATH 252,ED2-BME</v>
      </c>
      <c r="J317" s="25"/>
    </row>
    <row r="318" spans="1:10" ht="14.5" x14ac:dyDescent="0.35">
      <c r="A318" s="26" t="s">
        <v>281</v>
      </c>
      <c r="B318" s="27" t="str">
        <v>CALCULUS WITH SEVERAL VARIABLES</v>
      </c>
      <c r="C318" s="31" t="str">
        <v>Eghan Rhydal Esi</v>
      </c>
      <c r="D318" s="26" t="s">
        <v>40</v>
      </c>
      <c r="E318" s="28">
        <v>82</v>
      </c>
      <c r="F318" s="13"/>
      <c r="G318" s="30">
        <f t="shared" si="42"/>
        <v>90.2</v>
      </c>
      <c r="I318" s="20" t="str">
        <f t="shared" si="43"/>
        <v>MATH 252,ED2-AUTO</v>
      </c>
      <c r="J318" s="25"/>
    </row>
    <row r="319" spans="1:10" s="53" customFormat="1" ht="14.5" x14ac:dyDescent="0.35">
      <c r="A319" s="26" t="s">
        <v>281</v>
      </c>
      <c r="B319" s="31" t="str">
        <v>CALCULUS WITH SEVERAL VARIABLES</v>
      </c>
      <c r="C319" s="27" t="str">
        <v>Reindorf Nartey Borkor</v>
      </c>
      <c r="D319" s="26" t="s">
        <v>56</v>
      </c>
      <c r="E319" s="28">
        <v>250</v>
      </c>
      <c r="F319" s="13"/>
      <c r="G319" s="30">
        <f t="shared" si="42"/>
        <v>275</v>
      </c>
      <c r="H319" s="19"/>
      <c r="I319" s="51" t="str">
        <f t="shared" si="43"/>
        <v>MATH 252,ED2-CE</v>
      </c>
      <c r="J319" s="52"/>
    </row>
    <row r="320" spans="1:10" ht="14.5" x14ac:dyDescent="0.35">
      <c r="A320" s="26" t="s">
        <v>281</v>
      </c>
      <c r="B320" s="27" t="str">
        <v>CALCULUS OF SEVERAL VARIABLES</v>
      </c>
      <c r="C320" s="31" t="str">
        <v>Eghan Rhydal Esi</v>
      </c>
      <c r="D320" s="26" t="s">
        <v>14</v>
      </c>
      <c r="E320" s="28">
        <v>65</v>
      </c>
      <c r="F320" s="13"/>
      <c r="G320" s="30">
        <f t="shared" si="42"/>
        <v>71.5</v>
      </c>
      <c r="I320" s="20" t="str">
        <f t="shared" si="43"/>
        <v>MATH 252,ED2-PCE</v>
      </c>
      <c r="J320" s="25"/>
    </row>
    <row r="321" spans="1:10" ht="14.5" x14ac:dyDescent="0.35">
      <c r="A321" s="26" t="s">
        <v>281</v>
      </c>
      <c r="B321" s="27" t="str">
        <v>CALCULUS OF SEVERAL VARIABLES</v>
      </c>
      <c r="C321" s="31" t="str">
        <v>Eghan Rhydal Esi</v>
      </c>
      <c r="D321" s="26" t="s">
        <v>93</v>
      </c>
      <c r="E321" s="28">
        <v>95</v>
      </c>
      <c r="F321" s="13"/>
      <c r="G321" s="30">
        <f t="shared" si="42"/>
        <v>104.50000000000001</v>
      </c>
      <c r="H321" s="49"/>
      <c r="I321" s="20" t="str">
        <f t="shared" si="43"/>
        <v>MATH 252,ED2-PE</v>
      </c>
      <c r="J321" s="25"/>
    </row>
    <row r="322" spans="1:10" ht="14.5" x14ac:dyDescent="0.35">
      <c r="A322" s="26" t="s">
        <v>281</v>
      </c>
      <c r="B322" s="27" t="str">
        <v>CALCULUS WITH SEVERAL VARIABLES</v>
      </c>
      <c r="C322" s="27" t="str">
        <v>Asamoah Joshua Kiddy Kwasi</v>
      </c>
      <c r="D322" s="26" t="s">
        <v>170</v>
      </c>
      <c r="E322" s="28">
        <v>132</v>
      </c>
      <c r="F322" s="13"/>
      <c r="G322" s="30">
        <f t="shared" si="42"/>
        <v>145.20000000000002</v>
      </c>
      <c r="I322" s="20" t="str">
        <f t="shared" si="43"/>
        <v>MATH 252,ED2-GEOM</v>
      </c>
      <c r="J322" s="25"/>
    </row>
    <row r="323" spans="1:10" ht="14.5" x14ac:dyDescent="0.35">
      <c r="A323" s="26" t="s">
        <v>281</v>
      </c>
      <c r="B323" s="27" t="str">
        <v>CALCULUS WITH SEVERAL VARIABLES</v>
      </c>
      <c r="C323" s="31" t="str">
        <v>Asamoah Joshua Kiddy Kwasi</v>
      </c>
      <c r="D323" s="26" t="s">
        <v>210</v>
      </c>
      <c r="E323" s="28">
        <v>83</v>
      </c>
      <c r="F323" s="13"/>
      <c r="G323" s="30">
        <f t="shared" si="42"/>
        <v>91.300000000000011</v>
      </c>
      <c r="I323" s="20" t="str">
        <f t="shared" si="43"/>
        <v>MATH 252,ED2-MSE</v>
      </c>
      <c r="J323" s="25"/>
    </row>
    <row r="324" spans="1:10" ht="14.5" x14ac:dyDescent="0.35">
      <c r="A324" s="26" t="s">
        <v>281</v>
      </c>
      <c r="B324" s="27" t="str">
        <v>CALCULUS WITH SEVERAL VARIABLES</v>
      </c>
      <c r="C324" s="31" t="str">
        <v>Asamoah Joshua Kiddy Kwasi</v>
      </c>
      <c r="D324" s="26" t="s">
        <v>101</v>
      </c>
      <c r="E324" s="28">
        <v>57</v>
      </c>
      <c r="F324" s="13"/>
      <c r="G324" s="30">
        <f t="shared" si="42"/>
        <v>62.7</v>
      </c>
      <c r="I324" s="20" t="str">
        <f t="shared" si="43"/>
        <v>MATH 252,ED2-METE</v>
      </c>
      <c r="J324" s="25"/>
    </row>
    <row r="325" spans="1:10" ht="14.5" x14ac:dyDescent="0.35">
      <c r="A325" s="26" t="s">
        <v>281</v>
      </c>
      <c r="B325" s="27" t="str">
        <v>CALCULUS WITH SEVERAL VARIABLES</v>
      </c>
      <c r="C325" s="27" t="str">
        <v>Wireko Fredrick Asenso</v>
      </c>
      <c r="D325" s="26" t="s">
        <v>108</v>
      </c>
      <c r="E325" s="28">
        <v>255</v>
      </c>
      <c r="F325" s="13"/>
      <c r="G325" s="30">
        <f t="shared" si="42"/>
        <v>280.5</v>
      </c>
      <c r="I325" s="20" t="str">
        <f t="shared" si="43"/>
        <v>MATH 252,ED2-COE</v>
      </c>
      <c r="J325" s="25"/>
    </row>
    <row r="326" spans="1:10" ht="14.5" x14ac:dyDescent="0.35">
      <c r="A326" s="26" t="s">
        <v>281</v>
      </c>
      <c r="B326" s="27" t="str">
        <v>CALCULUS WITH SEVERAL VARIABLES</v>
      </c>
      <c r="C326" s="27" t="str">
        <v>Wireko Fredrick Asenso</v>
      </c>
      <c r="D326" s="26" t="s">
        <v>55</v>
      </c>
      <c r="E326" s="28">
        <v>150</v>
      </c>
      <c r="F326" s="13"/>
      <c r="G326" s="30">
        <f t="shared" si="42"/>
        <v>165</v>
      </c>
      <c r="I326" s="20" t="str">
        <f t="shared" si="43"/>
        <v>MATH 252,ED2-GEOL</v>
      </c>
      <c r="J326" s="25"/>
    </row>
    <row r="327" spans="1:10" ht="14.5" x14ac:dyDescent="0.35">
      <c r="A327" s="26" t="s">
        <v>281</v>
      </c>
      <c r="B327" s="31" t="str">
        <v>CALCULUS WITH SEVERAL VARIABLES</v>
      </c>
      <c r="C327" s="27" t="str">
        <v>Wireko Fredrick Asenso</v>
      </c>
      <c r="D327" s="26" t="s">
        <v>172</v>
      </c>
      <c r="E327" s="28">
        <v>175</v>
      </c>
      <c r="F327" s="13"/>
      <c r="G327" s="30">
        <f t="shared" si="42"/>
        <v>192.50000000000003</v>
      </c>
      <c r="I327" s="20" t="str">
        <f t="shared" si="43"/>
        <v>MATH 252,ED2-TEL</v>
      </c>
      <c r="J327" s="25"/>
    </row>
    <row r="328" spans="1:10" s="53" customFormat="1" ht="14.5" x14ac:dyDescent="0.35">
      <c r="A328" s="26" t="s">
        <v>281</v>
      </c>
      <c r="B328" s="31" t="str">
        <v>CALCULUS WITH SEVERAL VARIABLES</v>
      </c>
      <c r="C328" s="27" t="str">
        <v>Wireko Fredrick Asenso</v>
      </c>
      <c r="D328" s="26" t="s">
        <v>53</v>
      </c>
      <c r="E328" s="28">
        <v>155</v>
      </c>
      <c r="F328" s="13"/>
      <c r="G328" s="30">
        <f t="shared" si="42"/>
        <v>170.5</v>
      </c>
      <c r="H328" s="19"/>
      <c r="I328" s="51" t="str">
        <f t="shared" si="43"/>
        <v>MATH 252,ED2-AE</v>
      </c>
      <c r="J328" s="52"/>
    </row>
    <row r="329" spans="1:10" s="53" customFormat="1" ht="14.5" x14ac:dyDescent="0.35">
      <c r="A329" s="26" t="s">
        <v>281</v>
      </c>
      <c r="B329" s="31" t="str">
        <v>CALCULUS WITH SEVERAL VARIABLES</v>
      </c>
      <c r="C329" s="27" t="str">
        <v>Wireko Fredrick Asenso</v>
      </c>
      <c r="D329" s="26" t="s">
        <v>36</v>
      </c>
      <c r="E329" s="28">
        <v>75</v>
      </c>
      <c r="F329" s="13"/>
      <c r="G329" s="30">
        <f t="shared" si="42"/>
        <v>82.5</v>
      </c>
      <c r="H329" s="19"/>
      <c r="I329" s="51" t="str">
        <f t="shared" si="43"/>
        <v>MATH 252,ED2-AERO</v>
      </c>
      <c r="J329" s="52"/>
    </row>
    <row r="330" spans="1:10" ht="14.5" x14ac:dyDescent="0.35">
      <c r="A330" s="26" t="s">
        <v>281</v>
      </c>
      <c r="B330" s="27" t="str">
        <v>CALCULUS WITH SEVERAL VARIABLES</v>
      </c>
      <c r="C330" s="27" t="str">
        <v>Wireko Fredrick Asenso</v>
      </c>
      <c r="D330" s="26" t="s">
        <v>38</v>
      </c>
      <c r="E330" s="28">
        <v>80</v>
      </c>
      <c r="F330" s="13"/>
      <c r="G330" s="30">
        <f t="shared" si="42"/>
        <v>88</v>
      </c>
      <c r="I330" s="20" t="str">
        <f t="shared" si="43"/>
        <v>MATH 252,ED2-IND</v>
      </c>
      <c r="J330" s="25"/>
    </row>
    <row r="331" spans="1:10" ht="14.5" x14ac:dyDescent="0.35">
      <c r="A331" s="26" t="s">
        <v>302</v>
      </c>
      <c r="B331" s="24" t="str">
        <v>PHYSICAL CHEMISTRY FOR ENGINEERS</v>
      </c>
      <c r="C331" s="31" t="str">
        <v>Anang Daniel Adjah</v>
      </c>
      <c r="D331" s="26" t="s">
        <v>80</v>
      </c>
      <c r="E331" s="42">
        <v>120</v>
      </c>
      <c r="F331" s="32"/>
      <c r="G331" s="30">
        <f t="shared" si="42"/>
        <v>132</v>
      </c>
      <c r="I331" s="20" t="str">
        <f t="shared" si="43"/>
        <v>CHE 156,ED1-CHE</v>
      </c>
      <c r="J331" s="25"/>
    </row>
    <row r="332" spans="1:10" ht="14.5" x14ac:dyDescent="0.35">
      <c r="A332" s="26" t="s">
        <v>303</v>
      </c>
      <c r="B332" s="27" t="str">
        <v>FARM POWER AND MACHINERY</v>
      </c>
      <c r="C332" s="31" t="str">
        <v>Aikins Stephen Hill Mends</v>
      </c>
      <c r="D332" s="26" t="s">
        <v>88</v>
      </c>
      <c r="E332" s="28">
        <v>101</v>
      </c>
      <c r="F332" s="47"/>
      <c r="G332" s="30">
        <f t="shared" si="42"/>
        <v>111.10000000000001</v>
      </c>
      <c r="H332" s="17"/>
      <c r="I332" s="20" t="str">
        <f t="shared" si="43"/>
        <v>AE 356,ED3-AE</v>
      </c>
      <c r="J332" s="25"/>
    </row>
    <row r="333" spans="1:10" ht="14.5" x14ac:dyDescent="0.35">
      <c r="A333" s="26" t="s">
        <v>304</v>
      </c>
      <c r="B333" s="31" t="str">
        <v>NAVAL ARCHITECTURE I</v>
      </c>
      <c r="C333" s="31" t="str">
        <v>Kudzedzi Emmanuel Yaw Mawuko</v>
      </c>
      <c r="D333" s="26" t="s">
        <v>86</v>
      </c>
      <c r="E333" s="28">
        <v>40</v>
      </c>
      <c r="F333" s="32"/>
      <c r="G333" s="30">
        <f t="shared" si="42"/>
        <v>44</v>
      </c>
      <c r="I333" s="20" t="str">
        <f t="shared" si="43"/>
        <v>MME 382,ED3-MARI</v>
      </c>
      <c r="J333" s="25"/>
    </row>
    <row r="334" spans="1:10" ht="14.5" x14ac:dyDescent="0.35">
      <c r="A334" s="26" t="s">
        <v>305</v>
      </c>
      <c r="B334" s="27" t="str">
        <v>POWER SUPPLY ELECTRONICS</v>
      </c>
      <c r="C334" s="27" t="str">
        <v>Effah Francis Boafo</v>
      </c>
      <c r="D334" s="26" t="s">
        <v>25</v>
      </c>
      <c r="E334" s="28">
        <v>340</v>
      </c>
      <c r="F334" s="32" t="s">
        <v>21</v>
      </c>
      <c r="G334" s="30">
        <f t="shared" si="42"/>
        <v>374.00000000000006</v>
      </c>
      <c r="I334" s="20" t="str">
        <f t="shared" si="43"/>
        <v>EE 258,ED2-EE</v>
      </c>
      <c r="J334" s="25"/>
    </row>
    <row r="335" spans="1:10" ht="14.5" x14ac:dyDescent="0.35">
      <c r="A335" s="26" t="s">
        <v>306</v>
      </c>
      <c r="B335" s="27" t="str">
        <v>MOBILE AND SATELLITE COMMUNICATION SYSTEM</v>
      </c>
      <c r="C335" s="31" t="str">
        <v>Gadze James Dzisi</v>
      </c>
      <c r="D335" s="26" t="s">
        <v>144</v>
      </c>
      <c r="E335" s="28">
        <v>4</v>
      </c>
      <c r="F335" s="26"/>
      <c r="G335" s="30">
        <f t="shared" si="42"/>
        <v>4.4000000000000004</v>
      </c>
      <c r="I335" s="20" t="str">
        <f t="shared" si="43"/>
        <v>TE 472,ED4-EE</v>
      </c>
      <c r="J335" s="25"/>
    </row>
    <row r="336" spans="1:10" ht="14.5" x14ac:dyDescent="0.35">
      <c r="A336" s="26" t="s">
        <v>307</v>
      </c>
      <c r="B336" s="27" t="str">
        <v>DIGITAL SIGNAL PROCESSING</v>
      </c>
      <c r="C336" s="31" t="str">
        <v>Kponyo Jerry John</v>
      </c>
      <c r="D336" s="26" t="s">
        <v>144</v>
      </c>
      <c r="E336" s="28">
        <v>12</v>
      </c>
      <c r="F336" s="26"/>
      <c r="G336" s="30">
        <f t="shared" si="42"/>
        <v>13.200000000000001</v>
      </c>
      <c r="I336" s="20" t="str">
        <f t="shared" si="43"/>
        <v>EE 472,ED4-EE</v>
      </c>
      <c r="J336" s="25"/>
    </row>
    <row r="337" spans="1:10" ht="14.5" x14ac:dyDescent="0.35">
      <c r="A337" s="26" t="s">
        <v>308</v>
      </c>
      <c r="B337" s="27" t="str">
        <v>ENGINEERING PROJECT DESIGN AND MANAGEMENT</v>
      </c>
      <c r="C337" s="27" t="str">
        <v>Agyekum Kwame Agyeman-Prempeh</v>
      </c>
      <c r="D337" s="26" t="s">
        <v>119</v>
      </c>
      <c r="E337" s="28">
        <v>140</v>
      </c>
      <c r="F337" s="32"/>
      <c r="G337" s="30">
        <f t="shared" si="42"/>
        <v>154</v>
      </c>
      <c r="I337" s="20" t="str">
        <f t="shared" si="43"/>
        <v>TE 372,ED3-TEL</v>
      </c>
      <c r="J337" s="25"/>
    </row>
    <row r="338" spans="1:10" ht="14.5" x14ac:dyDescent="0.35">
      <c r="A338" s="26" t="s">
        <v>309</v>
      </c>
      <c r="B338" s="27" t="str">
        <v>PRINCIPLES OF GIS</v>
      </c>
      <c r="C338" s="31" t="str">
        <v>Forkuo Eric Kwabena</v>
      </c>
      <c r="D338" s="26" t="s">
        <v>77</v>
      </c>
      <c r="E338" s="28">
        <v>122</v>
      </c>
      <c r="F338" s="42"/>
      <c r="G338" s="30">
        <f t="shared" si="42"/>
        <v>134.20000000000002</v>
      </c>
      <c r="I338" s="20" t="str">
        <f t="shared" si="43"/>
        <v>GE 362,ED3-GEOM</v>
      </c>
      <c r="J338" s="25"/>
    </row>
    <row r="339" spans="1:10" ht="14.5" x14ac:dyDescent="0.35">
      <c r="A339" s="26" t="s">
        <v>310</v>
      </c>
      <c r="B339" s="31" t="str">
        <v>MANUFACTURING TECHNOLOGY</v>
      </c>
      <c r="C339" s="31" t="str">
        <v>Francis Davis</v>
      </c>
      <c r="D339" s="26" t="s">
        <v>61</v>
      </c>
      <c r="E339" s="28">
        <v>222</v>
      </c>
      <c r="F339" s="32"/>
      <c r="G339" s="30">
        <f t="shared" si="42"/>
        <v>244.20000000000002</v>
      </c>
      <c r="I339" s="20" t="str">
        <f t="shared" si="43"/>
        <v>ME 370,ED3-ME</v>
      </c>
      <c r="J339" s="25"/>
    </row>
    <row r="340" spans="1:10" ht="14.5" x14ac:dyDescent="0.35">
      <c r="A340" s="35"/>
      <c r="B340" s="35"/>
      <c r="D340" s="27" t="s">
        <v>311</v>
      </c>
      <c r="E340" s="35">
        <f>SUM(E331:E339)</f>
        <v>1101</v>
      </c>
      <c r="F340" s="36"/>
      <c r="G340" s="35"/>
      <c r="I340" s="22" t="s">
        <v>312</v>
      </c>
      <c r="J340" s="25"/>
    </row>
    <row r="341" spans="1:10" ht="14.5" x14ac:dyDescent="0.35">
      <c r="A341" s="14" t="s">
        <v>300</v>
      </c>
      <c r="B341" s="14"/>
      <c r="C341" s="14"/>
      <c r="D341" s="14"/>
      <c r="E341" s="14"/>
      <c r="F341" s="14"/>
      <c r="G341" s="14"/>
      <c r="I341" s="22" t="s">
        <v>301</v>
      </c>
      <c r="J341" s="25"/>
    </row>
    <row r="342" spans="1:10" ht="14.5" x14ac:dyDescent="0.35">
      <c r="A342" s="14" t="s">
        <v>29</v>
      </c>
      <c r="B342" s="14"/>
      <c r="C342" s="14"/>
      <c r="D342" s="14"/>
      <c r="E342" s="14"/>
      <c r="F342" s="14"/>
      <c r="G342" s="14"/>
      <c r="I342" s="22" t="s">
        <v>30</v>
      </c>
      <c r="J342" s="25"/>
    </row>
    <row r="343" spans="1:10" ht="14.5" x14ac:dyDescent="0.35">
      <c r="A343" s="24" t="s">
        <v>4</v>
      </c>
      <c r="B343" s="24" t="s">
        <v>5</v>
      </c>
      <c r="C343" s="16" t="s">
        <v>6</v>
      </c>
      <c r="D343" s="24" t="s">
        <v>7</v>
      </c>
      <c r="E343" s="24" t="s">
        <v>8</v>
      </c>
      <c r="F343" s="16" t="s">
        <v>9</v>
      </c>
      <c r="G343" s="24" t="s">
        <v>10</v>
      </c>
      <c r="I343" s="22" t="s">
        <v>31</v>
      </c>
      <c r="J343" s="25"/>
    </row>
    <row r="344" spans="1:10" ht="14.5" x14ac:dyDescent="0.35">
      <c r="A344" s="26" t="s">
        <v>313</v>
      </c>
      <c r="B344" s="27" t="str">
        <f t="array" ref="B344:B354">IFERROR(VLOOKUP(I344:I354,Lectures_1!A2:F534,2,FALSE()),0)</f>
        <v>PROPERTIES OF MATTER</v>
      </c>
      <c r="C344" s="31" t="str">
        <f t="array" ref="C344:C354">IFERROR(VLOOKUP(I344:I354,Lectures_1!A2:F534,3,FALSE()),0)</f>
        <v>Reginald Mensah Noye</v>
      </c>
      <c r="D344" s="26" t="s">
        <v>130</v>
      </c>
      <c r="E344" s="28">
        <f t="array" ref="E344:E354">IFERROR(VLOOKUP(I344:I354,Lectures_1!A2:F534,4,FALSE()),0)</f>
        <v>136</v>
      </c>
      <c r="F344" s="32"/>
      <c r="G344" s="30">
        <f t="shared" ref="G344:G354" si="44">E344*1.1</f>
        <v>149.60000000000002</v>
      </c>
      <c r="I344" s="20" t="str">
        <f t="shared" ref="I344:I354" si="45">CONCATENATE(A344,",",D344)</f>
        <v>PHY 154,ED1-BME</v>
      </c>
      <c r="J344" s="25"/>
    </row>
    <row r="345" spans="1:10" ht="14.5" x14ac:dyDescent="0.35">
      <c r="A345" s="26" t="s">
        <v>314</v>
      </c>
      <c r="B345" s="27" t="str">
        <v>INTRODUCTION TO INFORMATION TECHNOLOGY</v>
      </c>
      <c r="C345" s="31" t="str">
        <v>Bessah Enoch</v>
      </c>
      <c r="D345" s="26" t="s">
        <v>131</v>
      </c>
      <c r="E345" s="28">
        <v>128</v>
      </c>
      <c r="F345" s="32"/>
      <c r="G345" s="30">
        <f t="shared" si="44"/>
        <v>140.80000000000001</v>
      </c>
      <c r="I345" s="20" t="str">
        <f t="shared" si="45"/>
        <v>AE 158,ED1-AE</v>
      </c>
      <c r="J345" s="25"/>
    </row>
    <row r="346" spans="1:10" ht="14.5" x14ac:dyDescent="0.35">
      <c r="A346" s="26" t="s">
        <v>315</v>
      </c>
      <c r="B346" s="27" t="str">
        <v>NUMERICAL METHODS FOR CHEMICAL ENGINEERS</v>
      </c>
      <c r="C346" s="31" t="str">
        <v>Mensah Mary</v>
      </c>
      <c r="D346" s="26" t="s">
        <v>63</v>
      </c>
      <c r="E346" s="28">
        <v>53</v>
      </c>
      <c r="F346" s="32"/>
      <c r="G346" s="30">
        <f t="shared" si="44"/>
        <v>58.300000000000004</v>
      </c>
      <c r="I346" s="20" t="str">
        <f t="shared" si="45"/>
        <v>CHE 358,ED3-PCE</v>
      </c>
      <c r="J346" s="25"/>
    </row>
    <row r="347" spans="1:10" ht="14.5" x14ac:dyDescent="0.35">
      <c r="A347" s="26" t="s">
        <v>315</v>
      </c>
      <c r="B347" s="27" t="str">
        <v>NUMERICAL METHODS FOR CHEMICAL ENGINEERS</v>
      </c>
      <c r="C347" s="31" t="str">
        <v>Mensah Mary</v>
      </c>
      <c r="D347" s="26" t="s">
        <v>73</v>
      </c>
      <c r="E347" s="28">
        <v>105</v>
      </c>
      <c r="F347" s="32"/>
      <c r="G347" s="30">
        <f t="shared" si="44"/>
        <v>115.50000000000001</v>
      </c>
      <c r="I347" s="20" t="str">
        <f t="shared" si="45"/>
        <v>CHE 358,ED3-CHE</v>
      </c>
      <c r="J347" s="25"/>
    </row>
    <row r="348" spans="1:10" ht="14.5" x14ac:dyDescent="0.35">
      <c r="A348" s="26" t="s">
        <v>316</v>
      </c>
      <c r="B348" s="27" t="str">
        <v>LAND VEHICLE STRUCTURES</v>
      </c>
      <c r="C348" s="27" t="str">
        <v>Ayetor Godwin Kafui Kwesi</v>
      </c>
      <c r="D348" s="26" t="s">
        <v>23</v>
      </c>
      <c r="E348" s="28">
        <v>40</v>
      </c>
      <c r="F348" s="32"/>
      <c r="G348" s="30">
        <f t="shared" si="44"/>
        <v>44</v>
      </c>
      <c r="I348" s="20" t="str">
        <f t="shared" si="45"/>
        <v>AME 356,ED3-AUTO</v>
      </c>
      <c r="J348" s="25"/>
    </row>
    <row r="349" spans="1:10" ht="14.5" x14ac:dyDescent="0.35">
      <c r="A349" s="26" t="s">
        <v>317</v>
      </c>
      <c r="B349" s="27" t="str">
        <v>ENVIRONMENTAL GEOLLOGY</v>
      </c>
      <c r="C349" s="27" t="str">
        <v>Foli Gordon</v>
      </c>
      <c r="D349" s="26" t="s">
        <v>177</v>
      </c>
      <c r="E349" s="28">
        <v>95</v>
      </c>
      <c r="F349" s="32"/>
      <c r="G349" s="30">
        <f t="shared" si="44"/>
        <v>104.50000000000001</v>
      </c>
      <c r="I349" s="20" t="str">
        <f t="shared" si="45"/>
        <v>GED 454,ED4-GEOL</v>
      </c>
      <c r="J349" s="25"/>
    </row>
    <row r="350" spans="1:10" ht="14.5" x14ac:dyDescent="0.35">
      <c r="A350" s="26" t="s">
        <v>318</v>
      </c>
      <c r="B350" s="27" t="str">
        <v>INTRODUCTION TO SOFTWARE ENG.</v>
      </c>
      <c r="C350" s="27" t="str">
        <v>Adjaidoo Theresa-Samuelle Maame Atwemaah</v>
      </c>
      <c r="D350" s="26" t="s">
        <v>16</v>
      </c>
      <c r="E350" s="28">
        <v>265</v>
      </c>
      <c r="F350" s="32" t="s">
        <v>21</v>
      </c>
      <c r="G350" s="30">
        <f t="shared" si="44"/>
        <v>291.5</v>
      </c>
      <c r="H350" s="17"/>
      <c r="I350" s="20" t="str">
        <f t="shared" si="45"/>
        <v>COE 356,ED3-COE</v>
      </c>
      <c r="J350" s="25"/>
    </row>
    <row r="351" spans="1:10" ht="14.5" x14ac:dyDescent="0.35">
      <c r="A351" s="26" t="s">
        <v>319</v>
      </c>
      <c r="B351" s="27" t="str">
        <v>ADSORPTION SEPARATION PROCESS TECHNOLOGY</v>
      </c>
      <c r="C351" s="27" t="str">
        <v>Ohemeng-Boahen Godfred</v>
      </c>
      <c r="D351" s="26" t="s">
        <v>44</v>
      </c>
      <c r="E351" s="28">
        <v>40</v>
      </c>
      <c r="F351" s="32"/>
      <c r="G351" s="30">
        <f t="shared" si="44"/>
        <v>44</v>
      </c>
      <c r="H351" s="54"/>
      <c r="I351" s="20" t="str">
        <f t="shared" si="45"/>
        <v>CHE 464,ED4-PCE</v>
      </c>
      <c r="J351" s="25"/>
    </row>
    <row r="352" spans="1:10" s="23" customFormat="1" ht="15" customHeight="1" x14ac:dyDescent="0.35">
      <c r="A352" s="26" t="s">
        <v>320</v>
      </c>
      <c r="B352" s="27" t="str">
        <v>MEDICAL DEVICE REGULATION</v>
      </c>
      <c r="C352" s="27" t="str">
        <v>Acquah Isaac</v>
      </c>
      <c r="D352" s="26" t="s">
        <v>252</v>
      </c>
      <c r="E352" s="28">
        <v>87</v>
      </c>
      <c r="F352" s="26"/>
      <c r="G352" s="30">
        <f t="shared" si="44"/>
        <v>95.7</v>
      </c>
      <c r="H352" s="19"/>
      <c r="I352" s="20" t="str">
        <f t="shared" si="45"/>
        <v>BME 454,ED4-BME</v>
      </c>
      <c r="J352" s="25"/>
    </row>
    <row r="353" spans="1:10" ht="14.5" x14ac:dyDescent="0.35">
      <c r="A353" s="26" t="s">
        <v>321</v>
      </c>
      <c r="B353" s="31" t="str">
        <v>MATERIALS JOINING PROCESSES</v>
      </c>
      <c r="C353" s="31" t="str">
        <v>Kwofie Samuel</v>
      </c>
      <c r="D353" s="26" t="s">
        <v>142</v>
      </c>
      <c r="E353" s="28">
        <v>87</v>
      </c>
      <c r="F353" s="32"/>
      <c r="G353" s="30">
        <f t="shared" si="44"/>
        <v>95.7</v>
      </c>
      <c r="H353" s="49"/>
      <c r="I353" s="20" t="str">
        <f t="shared" si="45"/>
        <v>MSE 362,ED3-METE</v>
      </c>
      <c r="J353" s="25"/>
    </row>
    <row r="354" spans="1:10" ht="14.5" x14ac:dyDescent="0.35">
      <c r="A354" s="26" t="s">
        <v>321</v>
      </c>
      <c r="B354" s="31" t="str">
        <v>MATERIALS JOINING PROCESSES</v>
      </c>
      <c r="C354" s="27" t="str">
        <v>Kwofie Samuel</v>
      </c>
      <c r="D354" s="26" t="s">
        <v>140</v>
      </c>
      <c r="E354" s="28">
        <v>85</v>
      </c>
      <c r="F354" s="32"/>
      <c r="G354" s="30">
        <f t="shared" si="44"/>
        <v>93.500000000000014</v>
      </c>
      <c r="I354" s="20" t="str">
        <f t="shared" si="45"/>
        <v>MSE 362,ED3-MSE</v>
      </c>
      <c r="J354" s="25"/>
    </row>
    <row r="355" spans="1:10" ht="14.5" x14ac:dyDescent="0.35">
      <c r="A355" s="35"/>
      <c r="B355" s="35"/>
      <c r="D355" s="27" t="s">
        <v>322</v>
      </c>
      <c r="E355" s="35">
        <f>SUM(E344:E354)</f>
        <v>1121</v>
      </c>
      <c r="F355" s="36"/>
      <c r="G355" s="35"/>
      <c r="I355" s="22" t="s">
        <v>323</v>
      </c>
      <c r="J355" s="25"/>
    </row>
    <row r="356" spans="1:10" ht="14.5" x14ac:dyDescent="0.35">
      <c r="A356" s="35"/>
      <c r="B356" s="35"/>
      <c r="D356" s="35"/>
      <c r="E356" s="35"/>
      <c r="F356" s="36"/>
      <c r="G356" s="35"/>
      <c r="I356" s="22" t="s">
        <v>106</v>
      </c>
      <c r="J356" s="25"/>
    </row>
    <row r="357" spans="1:10" ht="14.5" x14ac:dyDescent="0.35">
      <c r="A357" s="35"/>
      <c r="B357" s="35"/>
      <c r="D357" s="35"/>
      <c r="E357" s="35"/>
      <c r="F357" s="36"/>
      <c r="G357" s="35"/>
      <c r="I357" s="22" t="s">
        <v>106</v>
      </c>
      <c r="J357" s="25"/>
    </row>
    <row r="358" spans="1:10" ht="14.5" x14ac:dyDescent="0.35">
      <c r="A358" s="14" t="s">
        <v>300</v>
      </c>
      <c r="B358" s="14"/>
      <c r="C358" s="14"/>
      <c r="D358" s="14"/>
      <c r="E358" s="14"/>
      <c r="F358" s="14"/>
      <c r="G358" s="14"/>
      <c r="I358" s="22" t="s">
        <v>301</v>
      </c>
      <c r="J358" s="25"/>
    </row>
    <row r="359" spans="1:10" ht="14.5" x14ac:dyDescent="0.35">
      <c r="A359" s="14" t="s">
        <v>59</v>
      </c>
      <c r="B359" s="14"/>
      <c r="C359" s="14"/>
      <c r="D359" s="14"/>
      <c r="E359" s="14"/>
      <c r="F359" s="14"/>
      <c r="G359" s="14"/>
      <c r="I359" s="22" t="s">
        <v>128</v>
      </c>
      <c r="J359" s="25"/>
    </row>
    <row r="360" spans="1:10" ht="14.5" x14ac:dyDescent="0.35">
      <c r="A360" s="24" t="s">
        <v>4</v>
      </c>
      <c r="B360" s="24" t="s">
        <v>5</v>
      </c>
      <c r="C360" s="16" t="s">
        <v>6</v>
      </c>
      <c r="D360" s="24" t="s">
        <v>7</v>
      </c>
      <c r="E360" s="24" t="s">
        <v>8</v>
      </c>
      <c r="F360" s="16" t="s">
        <v>9</v>
      </c>
      <c r="G360" s="24" t="s">
        <v>10</v>
      </c>
      <c r="I360" s="22" t="s">
        <v>31</v>
      </c>
      <c r="J360" s="25"/>
    </row>
    <row r="361" spans="1:10" s="53" customFormat="1" ht="14.5" x14ac:dyDescent="0.35">
      <c r="A361" s="26" t="s">
        <v>324</v>
      </c>
      <c r="B361" s="31" t="str">
        <f t="array" ref="B361:B368">IFERROR(VLOOKUP(I361:I368,Lectures_1!A2:F534,2,FALSE()),0)</f>
        <v>RESERVOIR RECOVERY TECHNIQUES</v>
      </c>
      <c r="C361" s="31" t="str">
        <f t="array" ref="C361:C368">IFERROR(VLOOKUP(I361:I368,Lectures_1!A2:F534,3,FALSE()),0)</f>
        <v>Adenutsi Caspar Daniel</v>
      </c>
      <c r="D361" s="26" t="s">
        <v>46</v>
      </c>
      <c r="E361" s="28">
        <f t="array" ref="E361:E368">IFERROR(VLOOKUP(I361:I368,Lectures_1!A2:F534,4,FALSE()),0)</f>
        <v>99</v>
      </c>
      <c r="F361" s="32"/>
      <c r="G361" s="30">
        <f t="shared" ref="G361:G368" si="46">E361*1.1</f>
        <v>108.9</v>
      </c>
      <c r="H361" s="19"/>
      <c r="I361" s="51" t="str">
        <f t="shared" ref="I361:I368" si="47">CONCATENATE(A361,",",D361)</f>
        <v>PE 450,ED4-PE</v>
      </c>
      <c r="J361" s="52"/>
    </row>
    <row r="362" spans="1:10" ht="14.5" x14ac:dyDescent="0.35">
      <c r="A362" s="26" t="s">
        <v>325</v>
      </c>
      <c r="B362" s="31" t="str">
        <v>MAINTENANCE AND REPAIRS OF AGRIC. MACHINERY</v>
      </c>
      <c r="C362" s="27" t="str">
        <v>Bobobee Emmanuel Yaovi Hunnuor</v>
      </c>
      <c r="D362" s="26" t="s">
        <v>50</v>
      </c>
      <c r="E362" s="28">
        <v>103</v>
      </c>
      <c r="F362" s="32"/>
      <c r="G362" s="30">
        <f t="shared" si="46"/>
        <v>113.30000000000001</v>
      </c>
      <c r="I362" s="20" t="str">
        <f t="shared" si="47"/>
        <v>AE 460,ED4-AE</v>
      </c>
      <c r="J362" s="25"/>
    </row>
    <row r="363" spans="1:10" ht="14.5" x14ac:dyDescent="0.35">
      <c r="A363" s="26" t="s">
        <v>326</v>
      </c>
      <c r="B363" s="27" t="str">
        <v>TELECOMMUNICATION POLICY AND REGULATION</v>
      </c>
      <c r="C363" s="31" t="str">
        <v>Kingsford Sarkodie Obeng Kwakye</v>
      </c>
      <c r="D363" s="46" t="s">
        <v>227</v>
      </c>
      <c r="E363" s="28">
        <v>138</v>
      </c>
      <c r="F363" s="32"/>
      <c r="G363" s="30">
        <f t="shared" si="46"/>
        <v>151.80000000000001</v>
      </c>
      <c r="I363" s="20" t="str">
        <f t="shared" si="47"/>
        <v>TE 452,ED4-TEL</v>
      </c>
      <c r="J363" s="25"/>
    </row>
    <row r="364" spans="1:10" ht="14.5" x14ac:dyDescent="0.35">
      <c r="A364" s="26" t="s">
        <v>327</v>
      </c>
      <c r="B364" s="31" t="str">
        <v>MACHINE SHOP AND FACTORY DESIGN</v>
      </c>
      <c r="C364" s="31" t="str">
        <v>Obeng George Yaw</v>
      </c>
      <c r="D364" s="26" t="s">
        <v>67</v>
      </c>
      <c r="E364" s="28">
        <v>54</v>
      </c>
      <c r="F364" s="32"/>
      <c r="G364" s="30">
        <f t="shared" si="46"/>
        <v>59.400000000000006</v>
      </c>
      <c r="I364" s="20" t="str">
        <f t="shared" si="47"/>
        <v>ME 472,ED4-ME</v>
      </c>
      <c r="J364" s="25"/>
    </row>
    <row r="365" spans="1:10" ht="14.5" x14ac:dyDescent="0.35">
      <c r="A365" s="26" t="s">
        <v>327</v>
      </c>
      <c r="B365" s="31" t="str">
        <v>MACHINE SHOP AND FACTORY DESIGN</v>
      </c>
      <c r="C365" s="31" t="str">
        <v>Obeng George Yaw</v>
      </c>
      <c r="D365" s="26" t="s">
        <v>99</v>
      </c>
      <c r="E365" s="28">
        <v>52</v>
      </c>
      <c r="F365" s="32"/>
      <c r="G365" s="30">
        <f t="shared" si="46"/>
        <v>57.2</v>
      </c>
      <c r="I365" s="20" t="str">
        <f t="shared" si="47"/>
        <v>ME 472,ED4-AERO</v>
      </c>
      <c r="J365" s="25"/>
    </row>
    <row r="366" spans="1:10" ht="14.5" x14ac:dyDescent="0.35">
      <c r="A366" s="26" t="s">
        <v>328</v>
      </c>
      <c r="B366" s="31" t="str">
        <v>COMPUTER APPLICATIONS IN CIVIL ENGINEERING</v>
      </c>
      <c r="C366" s="27" t="str">
        <v>Ayeh Felix Jojo Fianko</v>
      </c>
      <c r="D366" s="26" t="s">
        <v>103</v>
      </c>
      <c r="E366" s="28">
        <v>240</v>
      </c>
      <c r="F366" s="32"/>
      <c r="G366" s="30">
        <f t="shared" si="46"/>
        <v>264</v>
      </c>
      <c r="I366" s="20" t="str">
        <f t="shared" si="47"/>
        <v>CE 452,ED4-CE</v>
      </c>
      <c r="J366" s="25"/>
    </row>
    <row r="367" spans="1:10" ht="14.5" x14ac:dyDescent="0.35">
      <c r="A367" s="26" t="s">
        <v>329</v>
      </c>
      <c r="B367" s="31" t="str">
        <v>INTRO TO PYTHON &amp; COMPUTER NETWORKING</v>
      </c>
      <c r="C367" s="27" t="str">
        <v>Charles Mawutor Adrah</v>
      </c>
      <c r="D367" s="26" t="s">
        <v>51</v>
      </c>
      <c r="E367" s="28">
        <v>340</v>
      </c>
      <c r="F367" s="32" t="s">
        <v>21</v>
      </c>
      <c r="G367" s="30">
        <f t="shared" si="46"/>
        <v>374.00000000000006</v>
      </c>
      <c r="I367" s="20" t="str">
        <f t="shared" si="47"/>
        <v>EE 158,ED1-EE</v>
      </c>
      <c r="J367" s="25"/>
    </row>
    <row r="368" spans="1:10" s="53" customFormat="1" ht="14.5" x14ac:dyDescent="0.35">
      <c r="A368" s="26" t="s">
        <v>330</v>
      </c>
      <c r="B368" s="31" t="str">
        <v>MEDICAL IMAGING I</v>
      </c>
      <c r="C368" s="31" t="str">
        <v>Kotei Addison Eric Clement</v>
      </c>
      <c r="D368" s="26" t="s">
        <v>65</v>
      </c>
      <c r="E368" s="28">
        <v>90</v>
      </c>
      <c r="F368" s="32"/>
      <c r="G368" s="30">
        <f t="shared" si="46"/>
        <v>99.000000000000014</v>
      </c>
      <c r="H368" s="19"/>
      <c r="I368" s="51" t="str">
        <f t="shared" si="47"/>
        <v>BME 364,ED3-BME</v>
      </c>
      <c r="J368" s="52"/>
    </row>
    <row r="369" spans="1:10" ht="14.5" x14ac:dyDescent="0.35">
      <c r="A369" s="35"/>
      <c r="B369" s="35"/>
      <c r="D369" s="27" t="s">
        <v>331</v>
      </c>
      <c r="E369" s="35">
        <f>SUM(E361:E368)</f>
        <v>1116</v>
      </c>
      <c r="F369" s="36"/>
      <c r="G369" s="35"/>
      <c r="I369" s="22" t="s">
        <v>332</v>
      </c>
      <c r="J369" s="25"/>
    </row>
    <row r="370" spans="1:10" ht="14.5" x14ac:dyDescent="0.35">
      <c r="A370" s="14" t="s">
        <v>333</v>
      </c>
      <c r="B370" s="14"/>
      <c r="C370" s="14"/>
      <c r="D370" s="14"/>
      <c r="E370" s="14"/>
      <c r="F370" s="14"/>
      <c r="G370" s="14"/>
      <c r="I370" s="22" t="s">
        <v>334</v>
      </c>
      <c r="J370" s="25"/>
    </row>
    <row r="371" spans="1:10" ht="14.5" x14ac:dyDescent="0.35">
      <c r="A371" s="14" t="s">
        <v>2</v>
      </c>
      <c r="B371" s="14"/>
      <c r="C371" s="14"/>
      <c r="D371" s="14"/>
      <c r="E371" s="14"/>
      <c r="F371" s="14"/>
      <c r="G371" s="14"/>
      <c r="I371" s="22" t="s">
        <v>149</v>
      </c>
      <c r="J371" s="25"/>
    </row>
    <row r="372" spans="1:10" ht="14.5" x14ac:dyDescent="0.35">
      <c r="A372" s="24" t="s">
        <v>4</v>
      </c>
      <c r="B372" s="24" t="s">
        <v>5</v>
      </c>
      <c r="C372" s="16" t="s">
        <v>6</v>
      </c>
      <c r="D372" s="24" t="s">
        <v>7</v>
      </c>
      <c r="E372" s="24" t="s">
        <v>8</v>
      </c>
      <c r="F372" s="16" t="s">
        <v>9</v>
      </c>
      <c r="G372" s="24" t="s">
        <v>10</v>
      </c>
      <c r="I372" s="22" t="s">
        <v>31</v>
      </c>
      <c r="J372" s="25"/>
    </row>
    <row r="373" spans="1:10" ht="14.5" x14ac:dyDescent="0.35">
      <c r="A373" s="26" t="s">
        <v>335</v>
      </c>
      <c r="B373" s="27" t="str">
        <f t="array" ref="B373:B382">IFERROR(VLOOKUP(I373:I382,Lectures_1!A2:F534,2,FALSE()),0)</f>
        <v>FOUNDATION ENGINEERING</v>
      </c>
      <c r="C373" s="27" t="str">
        <f t="array" ref="C373:C382">IFERROR(VLOOKUP(I373:I382,Lectures_1!A2:F534,3,FALSE()),0)</f>
        <v>Amenuvor Andrew Cudzo</v>
      </c>
      <c r="D373" s="26" t="s">
        <v>154</v>
      </c>
      <c r="E373" s="28">
        <f t="array" ref="E373:E382">IFERROR(VLOOKUP(I373:I382,Lectures_1!A2:F534,4,FALSE()),0)</f>
        <v>154</v>
      </c>
      <c r="F373" s="32"/>
      <c r="G373" s="30">
        <f t="shared" ref="G373:G382" si="48">E373*1.1</f>
        <v>169.4</v>
      </c>
      <c r="I373" s="20" t="str">
        <f t="shared" ref="I373:I382" si="49">CONCATENATE(A373,",",D373)</f>
        <v>GED 370,ED3-GEOL</v>
      </c>
      <c r="J373" s="25"/>
    </row>
    <row r="374" spans="1:10" ht="14.5" x14ac:dyDescent="0.35">
      <c r="A374" s="26" t="s">
        <v>336</v>
      </c>
      <c r="B374" s="27" t="str">
        <v>FOUNDATION ENGINEERING</v>
      </c>
      <c r="C374" s="31" t="str">
        <v>Acquaah Vincent Kofi Abaka</v>
      </c>
      <c r="D374" s="26" t="s">
        <v>157</v>
      </c>
      <c r="E374" s="28">
        <v>230</v>
      </c>
      <c r="F374" s="32"/>
      <c r="G374" s="30">
        <f t="shared" si="48"/>
        <v>253.00000000000003</v>
      </c>
      <c r="I374" s="20" t="str">
        <f t="shared" si="49"/>
        <v>CE 360,ED3-CE</v>
      </c>
      <c r="J374" s="25"/>
    </row>
    <row r="375" spans="1:10" ht="14.5" x14ac:dyDescent="0.35">
      <c r="A375" s="26" t="s">
        <v>337</v>
      </c>
      <c r="B375" s="27" t="str">
        <v>MANUFACTURING TECHNOLOGY</v>
      </c>
      <c r="C375" s="31" t="str">
        <v>Boahen Samuel</v>
      </c>
      <c r="D375" s="26" t="s">
        <v>38</v>
      </c>
      <c r="E375" s="28">
        <v>80</v>
      </c>
      <c r="F375" s="32"/>
      <c r="G375" s="30">
        <f t="shared" si="48"/>
        <v>88</v>
      </c>
      <c r="I375" s="20" t="str">
        <f t="shared" si="49"/>
        <v>ME 270,ED2-IND</v>
      </c>
      <c r="J375" s="25"/>
    </row>
    <row r="376" spans="1:10" ht="14.5" x14ac:dyDescent="0.35">
      <c r="A376" s="26" t="s">
        <v>337</v>
      </c>
      <c r="B376" s="31" t="str">
        <v>MANUFACTURING TECHNOLOGY</v>
      </c>
      <c r="C376" s="31" t="str">
        <v>Boahen Samuel</v>
      </c>
      <c r="D376" s="26" t="s">
        <v>42</v>
      </c>
      <c r="E376" s="28">
        <v>37</v>
      </c>
      <c r="F376" s="32"/>
      <c r="G376" s="30">
        <f t="shared" si="48"/>
        <v>40.700000000000003</v>
      </c>
      <c r="I376" s="20" t="str">
        <f t="shared" si="49"/>
        <v>ME 270,ED2-MARI</v>
      </c>
      <c r="J376" s="25"/>
    </row>
    <row r="377" spans="1:10" ht="14.5" x14ac:dyDescent="0.35">
      <c r="A377" s="26" t="s">
        <v>337</v>
      </c>
      <c r="B377" s="31" t="str">
        <v>MANUFACTURING TECHNOLOGY</v>
      </c>
      <c r="C377" s="31" t="str">
        <v>Boahen Samuel</v>
      </c>
      <c r="D377" s="26" t="s">
        <v>40</v>
      </c>
      <c r="E377" s="28">
        <v>82</v>
      </c>
      <c r="F377" s="32"/>
      <c r="G377" s="30">
        <f t="shared" si="48"/>
        <v>90.2</v>
      </c>
      <c r="I377" s="20" t="str">
        <f t="shared" si="49"/>
        <v>ME 270,ED2-AUTO</v>
      </c>
      <c r="J377" s="25"/>
    </row>
    <row r="378" spans="1:10" ht="14.5" x14ac:dyDescent="0.35">
      <c r="A378" s="26" t="s">
        <v>338</v>
      </c>
      <c r="B378" s="27" t="str">
        <v>STRENGTH OF MATERIALS FOR CHEMICAL ENGINEERS</v>
      </c>
      <c r="C378" s="31" t="str">
        <v>Anang Daniel Adjah</v>
      </c>
      <c r="D378" s="26" t="s">
        <v>13</v>
      </c>
      <c r="E378" s="28">
        <v>160</v>
      </c>
      <c r="F378" s="32"/>
      <c r="G378" s="30">
        <f t="shared" si="48"/>
        <v>176</v>
      </c>
      <c r="I378" s="20" t="str">
        <f t="shared" si="49"/>
        <v>CHE 250,ED2-CHE</v>
      </c>
      <c r="J378" s="25"/>
    </row>
    <row r="379" spans="1:10" ht="14.5" x14ac:dyDescent="0.35">
      <c r="A379" s="26" t="s">
        <v>339</v>
      </c>
      <c r="B379" s="27" t="str">
        <v>ANTENNA THEORY AND DESIGN</v>
      </c>
      <c r="C379" s="31" t="str">
        <v>Ellis Sani Mubarak</v>
      </c>
      <c r="D379" s="26" t="s">
        <v>119</v>
      </c>
      <c r="E379" s="28">
        <v>140</v>
      </c>
      <c r="F379" s="32"/>
      <c r="G379" s="30">
        <f t="shared" si="48"/>
        <v>154</v>
      </c>
      <c r="I379" s="20" t="str">
        <f t="shared" si="49"/>
        <v>TE 354,ED3-TEL</v>
      </c>
      <c r="J379" s="25"/>
    </row>
    <row r="380" spans="1:10" ht="14.5" x14ac:dyDescent="0.35">
      <c r="A380" s="26" t="s">
        <v>338</v>
      </c>
      <c r="B380" s="27" t="str">
        <v>STRENGTH OF MATERIALS FOR CHEMICAL ENGINEERS</v>
      </c>
      <c r="C380" s="31" t="str">
        <v>Baidoo Martina Francisca</v>
      </c>
      <c r="D380" s="26" t="s">
        <v>14</v>
      </c>
      <c r="E380" s="28">
        <v>65</v>
      </c>
      <c r="F380" s="32" t="s">
        <v>21</v>
      </c>
      <c r="G380" s="30">
        <f t="shared" si="48"/>
        <v>71.5</v>
      </c>
      <c r="I380" s="20" t="str">
        <f t="shared" si="49"/>
        <v>CHE 250,ED2-PCE</v>
      </c>
      <c r="J380" s="25"/>
    </row>
    <row r="381" spans="1:10" ht="14.5" x14ac:dyDescent="0.35">
      <c r="A381" s="26" t="s">
        <v>340</v>
      </c>
      <c r="B381" s="27" t="str">
        <v>ADVANCED MANUFACTURING TECHNOLOGY I</v>
      </c>
      <c r="C381" s="31" t="str">
        <v>Takyi Gabriel</v>
      </c>
      <c r="D381" s="26" t="s">
        <v>121</v>
      </c>
      <c r="E381" s="28">
        <v>70</v>
      </c>
      <c r="F381" s="32"/>
      <c r="G381" s="30">
        <f t="shared" si="48"/>
        <v>77</v>
      </c>
      <c r="I381" s="20" t="str">
        <f t="shared" si="49"/>
        <v>IE 366,ED3-IND</v>
      </c>
      <c r="J381" s="25"/>
    </row>
    <row r="382" spans="1:10" ht="14.5" x14ac:dyDescent="0.35">
      <c r="A382" s="26" t="s">
        <v>341</v>
      </c>
      <c r="B382" s="27" t="str">
        <v>PROFESSIONAL STUDIES AND DEVELOPMENT</v>
      </c>
      <c r="C382" s="31" t="str">
        <v>Akrofi Emmanuel Offei</v>
      </c>
      <c r="D382" s="26" t="s">
        <v>194</v>
      </c>
      <c r="E382" s="28">
        <v>93</v>
      </c>
      <c r="F382" s="32"/>
      <c r="G382" s="30">
        <f t="shared" si="48"/>
        <v>102.30000000000001</v>
      </c>
      <c r="I382" s="20" t="str">
        <f t="shared" si="49"/>
        <v>GE 476,ED4-GEOM</v>
      </c>
      <c r="J382" s="25"/>
    </row>
    <row r="383" spans="1:10" ht="14.5" x14ac:dyDescent="0.35">
      <c r="A383" s="35"/>
      <c r="B383" s="35"/>
      <c r="D383" s="27" t="s">
        <v>342</v>
      </c>
      <c r="E383" s="35">
        <f>SUM(E373:E382)</f>
        <v>1111</v>
      </c>
      <c r="F383" s="36"/>
      <c r="G383" s="35"/>
      <c r="I383" s="22" t="s">
        <v>343</v>
      </c>
      <c r="J383" s="25"/>
    </row>
    <row r="384" spans="1:10" ht="14.5" x14ac:dyDescent="0.35">
      <c r="A384" s="14" t="s">
        <v>333</v>
      </c>
      <c r="B384" s="14"/>
      <c r="C384" s="14"/>
      <c r="D384" s="14"/>
      <c r="E384" s="14"/>
      <c r="F384" s="14"/>
      <c r="G384" s="14"/>
      <c r="I384" s="22" t="s">
        <v>334</v>
      </c>
      <c r="J384" s="25"/>
    </row>
    <row r="385" spans="1:10" ht="14.5" x14ac:dyDescent="0.35">
      <c r="A385" s="14" t="s">
        <v>29</v>
      </c>
      <c r="B385" s="14"/>
      <c r="C385" s="14"/>
      <c r="D385" s="14"/>
      <c r="E385" s="14"/>
      <c r="F385" s="14"/>
      <c r="G385" s="14"/>
      <c r="I385" s="22" t="s">
        <v>30</v>
      </c>
      <c r="J385" s="25"/>
    </row>
    <row r="386" spans="1:10" ht="14.5" x14ac:dyDescent="0.35">
      <c r="A386" s="24" t="s">
        <v>4</v>
      </c>
      <c r="B386" s="24" t="s">
        <v>5</v>
      </c>
      <c r="C386" s="16" t="s">
        <v>6</v>
      </c>
      <c r="D386" s="24" t="s">
        <v>7</v>
      </c>
      <c r="E386" s="24" t="s">
        <v>8</v>
      </c>
      <c r="F386" s="16" t="s">
        <v>9</v>
      </c>
      <c r="G386" s="24" t="s">
        <v>10</v>
      </c>
      <c r="I386" s="22" t="s">
        <v>31</v>
      </c>
      <c r="J386" s="25"/>
    </row>
    <row r="387" spans="1:10" ht="14.5" x14ac:dyDescent="0.35">
      <c r="A387" s="26" t="s">
        <v>344</v>
      </c>
      <c r="B387" s="27" t="str">
        <f t="array" ref="B387:B397">IFERROR(VLOOKUP(I387:I397,Lectures_1!A2:F534,2,FALSE()),0)</f>
        <v>THEORY OF MACHINES</v>
      </c>
      <c r="C387" s="31" t="str">
        <f t="array" ref="C387:C397">IFERROR(VLOOKUP(I387:I397,Lectures_1!A2:F534,3,FALSE()),0)</f>
        <v>Adam Faisal Wahib</v>
      </c>
      <c r="D387" s="26" t="s">
        <v>53</v>
      </c>
      <c r="E387" s="28">
        <f t="array" ref="E387:E397">IFERROR(VLOOKUP(I387:I397,Lectures_1!A2:F534,4,FALSE()),0)</f>
        <v>155</v>
      </c>
      <c r="F387" s="32"/>
      <c r="G387" s="30">
        <f t="shared" ref="G387:G397" si="50">E387*1.1</f>
        <v>170.5</v>
      </c>
      <c r="I387" s="20" t="str">
        <f t="shared" ref="I387:I397" si="51">CONCATENATE(A387,",",D387)</f>
        <v>ME 262,ED2-AE</v>
      </c>
      <c r="J387" s="25"/>
    </row>
    <row r="388" spans="1:10" ht="14.5" x14ac:dyDescent="0.35">
      <c r="A388" s="26" t="s">
        <v>137</v>
      </c>
      <c r="B388" s="27" t="str">
        <v>ELECTRICAL MEASUREMENT AND INSTRUMENTATION</v>
      </c>
      <c r="C388" s="31" t="str">
        <v>Obeng Kwakye Kingsford Sarkodie</v>
      </c>
      <c r="D388" s="26" t="s">
        <v>91</v>
      </c>
      <c r="E388" s="28">
        <v>130</v>
      </c>
      <c r="F388" s="32"/>
      <c r="G388" s="30">
        <f t="shared" si="50"/>
        <v>143</v>
      </c>
      <c r="I388" s="20" t="str">
        <f t="shared" si="51"/>
        <v>EE 188,ED1-TEL</v>
      </c>
      <c r="J388" s="25"/>
    </row>
    <row r="389" spans="1:10" ht="14.5" x14ac:dyDescent="0.35">
      <c r="A389" s="26" t="s">
        <v>345</v>
      </c>
      <c r="B389" s="27" t="str">
        <v>ENTREPRENEURSHIP AND BUSINESS DEVELOPMENT</v>
      </c>
      <c r="C389" s="31" t="str">
        <v>Asamoah Boateng Kenneth</v>
      </c>
      <c r="D389" s="26" t="s">
        <v>48</v>
      </c>
      <c r="E389" s="28">
        <v>114</v>
      </c>
      <c r="F389" s="42"/>
      <c r="G389" s="30">
        <f t="shared" si="50"/>
        <v>125.4</v>
      </c>
      <c r="I389" s="20" t="str">
        <f t="shared" si="51"/>
        <v>CHE 458,ED4-CHE</v>
      </c>
      <c r="J389" s="25"/>
    </row>
    <row r="390" spans="1:10" ht="14.5" x14ac:dyDescent="0.35">
      <c r="A390" s="26" t="s">
        <v>345</v>
      </c>
      <c r="B390" s="27" t="str">
        <v>ENTREPRENEURSHIP AND BUSINESS DEVELOPMENT</v>
      </c>
      <c r="C390" s="31" t="str">
        <v>Asamoah Boateng Kenneth</v>
      </c>
      <c r="D390" s="26" t="s">
        <v>44</v>
      </c>
      <c r="E390" s="28">
        <v>55</v>
      </c>
      <c r="F390" s="32"/>
      <c r="G390" s="30">
        <f t="shared" si="50"/>
        <v>60.500000000000007</v>
      </c>
      <c r="I390" s="20" t="str">
        <f t="shared" si="51"/>
        <v>CHE 458,ED4-PCE</v>
      </c>
      <c r="J390" s="25"/>
    </row>
    <row r="391" spans="1:10" ht="14.5" x14ac:dyDescent="0.35">
      <c r="A391" s="26" t="s">
        <v>346</v>
      </c>
      <c r="B391" s="31" t="str">
        <v>SYSTEM ENGINEERING II</v>
      </c>
      <c r="C391" s="27" t="str">
        <v>Osei Jack Banahene</v>
      </c>
      <c r="D391" s="26" t="s">
        <v>103</v>
      </c>
      <c r="E391" s="28">
        <v>115</v>
      </c>
      <c r="F391" s="32"/>
      <c r="G391" s="30">
        <f t="shared" si="50"/>
        <v>126.50000000000001</v>
      </c>
      <c r="I391" s="20" t="str">
        <f t="shared" si="51"/>
        <v>CE 476,ED4-CE</v>
      </c>
      <c r="J391" s="25"/>
    </row>
    <row r="392" spans="1:10" ht="14.5" x14ac:dyDescent="0.35">
      <c r="A392" s="26" t="s">
        <v>347</v>
      </c>
      <c r="B392" s="27" t="str">
        <v>HEAT TRANSFER</v>
      </c>
      <c r="C392" s="31" t="str">
        <v>Forson Francis Kofi</v>
      </c>
      <c r="D392" s="26" t="s">
        <v>61</v>
      </c>
      <c r="E392" s="28">
        <v>222</v>
      </c>
      <c r="F392" s="42"/>
      <c r="G392" s="30">
        <f t="shared" si="50"/>
        <v>244.20000000000002</v>
      </c>
      <c r="I392" s="20" t="str">
        <f t="shared" si="51"/>
        <v>ME 366,ED3-ME</v>
      </c>
      <c r="J392" s="25"/>
    </row>
    <row r="393" spans="1:10" ht="14.5" x14ac:dyDescent="0.35">
      <c r="A393" s="26" t="s">
        <v>347</v>
      </c>
      <c r="B393" s="27" t="str">
        <v>HEAT TRANSFER</v>
      </c>
      <c r="C393" s="31" t="str">
        <v>Forson Francis Kofi</v>
      </c>
      <c r="D393" s="26" t="s">
        <v>133</v>
      </c>
      <c r="E393" s="28">
        <v>76</v>
      </c>
      <c r="F393" s="32"/>
      <c r="G393" s="30">
        <f t="shared" si="50"/>
        <v>83.600000000000009</v>
      </c>
      <c r="I393" s="20" t="str">
        <f t="shared" si="51"/>
        <v>ME 366,ED3-AERO</v>
      </c>
      <c r="J393" s="25"/>
    </row>
    <row r="394" spans="1:10" ht="14.5" x14ac:dyDescent="0.35">
      <c r="A394" s="26" t="s">
        <v>347</v>
      </c>
      <c r="B394" s="27" t="str">
        <v>HEAT TRANSFER</v>
      </c>
      <c r="C394" s="31" t="str">
        <v>Forson Francis Kofi</v>
      </c>
      <c r="D394" s="26" t="s">
        <v>88</v>
      </c>
      <c r="E394" s="28">
        <v>101</v>
      </c>
      <c r="F394" s="42"/>
      <c r="G394" s="30">
        <f t="shared" si="50"/>
        <v>111.10000000000001</v>
      </c>
      <c r="I394" s="20" t="str">
        <f t="shared" si="51"/>
        <v>ME 366,ED3-AE</v>
      </c>
      <c r="J394" s="25"/>
    </row>
    <row r="395" spans="1:10" ht="14.5" x14ac:dyDescent="0.35">
      <c r="A395" s="26" t="s">
        <v>347</v>
      </c>
      <c r="B395" s="27" t="str">
        <v>HEAT TRANSFER</v>
      </c>
      <c r="C395" s="31" t="str">
        <v>Forson Francis Kofi</v>
      </c>
      <c r="D395" s="26" t="s">
        <v>86</v>
      </c>
      <c r="E395" s="28">
        <v>40</v>
      </c>
      <c r="F395" s="32"/>
      <c r="G395" s="30">
        <f t="shared" si="50"/>
        <v>44</v>
      </c>
      <c r="I395" s="20" t="str">
        <f t="shared" si="51"/>
        <v>ME 366,ED3-MARI</v>
      </c>
      <c r="J395" s="25"/>
    </row>
    <row r="396" spans="1:10" ht="14.5" x14ac:dyDescent="0.35">
      <c r="A396" s="26" t="s">
        <v>348</v>
      </c>
      <c r="B396" s="27" t="str">
        <v>ROBOTICS AND COMPUTER VISION</v>
      </c>
      <c r="C396" s="27" t="str">
        <v>Klogo Griffith Selorm</v>
      </c>
      <c r="D396" s="26" t="s">
        <v>251</v>
      </c>
      <c r="E396" s="28">
        <v>45</v>
      </c>
      <c r="F396" s="32"/>
      <c r="G396" s="30">
        <f t="shared" si="50"/>
        <v>49.500000000000007</v>
      </c>
      <c r="I396" s="20" t="str">
        <f t="shared" si="51"/>
        <v>COE 458,ED4-COE</v>
      </c>
      <c r="J396" s="25"/>
    </row>
    <row r="397" spans="1:10" ht="14.5" x14ac:dyDescent="0.35">
      <c r="A397" s="26" t="s">
        <v>349</v>
      </c>
      <c r="B397" s="27" t="str">
        <v>OIL &amp; GAS GEOLPHYSICS</v>
      </c>
      <c r="C397" s="31" t="str">
        <v>Quaye Jonathan Atuquaye</v>
      </c>
      <c r="D397" s="26" t="s">
        <v>18</v>
      </c>
      <c r="E397" s="28">
        <v>80</v>
      </c>
      <c r="F397" s="32" t="s">
        <v>21</v>
      </c>
      <c r="G397" s="30">
        <f t="shared" si="50"/>
        <v>88</v>
      </c>
      <c r="I397" s="20" t="str">
        <f t="shared" si="51"/>
        <v>PE 364,ED3-PE</v>
      </c>
      <c r="J397" s="25"/>
    </row>
    <row r="398" spans="1:10" ht="14.5" x14ac:dyDescent="0.35">
      <c r="A398" s="35"/>
      <c r="B398" s="35"/>
      <c r="D398" s="27" t="s">
        <v>350</v>
      </c>
      <c r="E398" s="35">
        <f>SUM(E387:E397)</f>
        <v>1133</v>
      </c>
      <c r="F398" s="36"/>
      <c r="G398" s="35"/>
      <c r="I398" s="22" t="s">
        <v>351</v>
      </c>
      <c r="J398" s="25"/>
    </row>
    <row r="399" spans="1:10" ht="14.5" x14ac:dyDescent="0.35">
      <c r="A399" s="14" t="s">
        <v>333</v>
      </c>
      <c r="B399" s="14"/>
      <c r="C399" s="14"/>
      <c r="D399" s="14"/>
      <c r="E399" s="14"/>
      <c r="F399" s="14"/>
      <c r="G399" s="14"/>
      <c r="I399" s="22" t="s">
        <v>334</v>
      </c>
      <c r="J399" s="25"/>
    </row>
    <row r="400" spans="1:10" ht="14.5" x14ac:dyDescent="0.35">
      <c r="A400" s="14" t="s">
        <v>59</v>
      </c>
      <c r="B400" s="14"/>
      <c r="C400" s="14"/>
      <c r="D400" s="14"/>
      <c r="E400" s="14"/>
      <c r="F400" s="14"/>
      <c r="G400" s="14"/>
      <c r="I400" s="22" t="s">
        <v>128</v>
      </c>
      <c r="J400" s="25"/>
    </row>
    <row r="401" spans="1:13" ht="14.5" x14ac:dyDescent="0.35">
      <c r="A401" s="24" t="s">
        <v>4</v>
      </c>
      <c r="B401" s="24" t="s">
        <v>5</v>
      </c>
      <c r="C401" s="16" t="s">
        <v>6</v>
      </c>
      <c r="D401" s="24" t="s">
        <v>7</v>
      </c>
      <c r="E401" s="24" t="s">
        <v>8</v>
      </c>
      <c r="F401" s="16" t="s">
        <v>9</v>
      </c>
      <c r="G401" s="24" t="s">
        <v>10</v>
      </c>
      <c r="I401" s="22" t="s">
        <v>31</v>
      </c>
      <c r="J401" s="25"/>
    </row>
    <row r="402" spans="1:13" ht="14.5" x14ac:dyDescent="0.35">
      <c r="A402" s="26" t="s">
        <v>352</v>
      </c>
      <c r="B402" s="27" t="str">
        <f t="array" ref="B402:B410">IFERROR(VLOOKUP(I402:I410,Lectures_1!A2:F534,2,FALSE()),0)</f>
        <v>MICROPROCESSORS</v>
      </c>
      <c r="C402" s="31" t="str">
        <f t="array" ref="C402:C410">IFERROR(VLOOKUP(I402:I410,Lectures_1!A2:F534,3,FALSE()),0)</f>
        <v>Agyemang Justice Owusu</v>
      </c>
      <c r="D402" s="26" t="s">
        <v>172</v>
      </c>
      <c r="E402" s="28">
        <f t="array" ref="E402:E410">IFERROR(VLOOKUP(I402:I410,Lectures_1!A2:F534,4,FALSE()),0)</f>
        <v>175</v>
      </c>
      <c r="F402" s="32" t="s">
        <v>21</v>
      </c>
      <c r="G402" s="30">
        <f t="shared" ref="G402:G410" si="52">E402*1.1</f>
        <v>192.50000000000003</v>
      </c>
      <c r="I402" s="20" t="str">
        <f t="shared" ref="I402:I410" si="53">CONCATENATE(A402,",",D402)</f>
        <v>TE 258,ED2-TEL</v>
      </c>
      <c r="J402" s="25"/>
    </row>
    <row r="403" spans="1:13" s="15" customFormat="1" ht="14.5" x14ac:dyDescent="0.35">
      <c r="A403" s="26" t="s">
        <v>353</v>
      </c>
      <c r="B403" s="31" t="str">
        <v>POWER SYSTEMS PLANNING AND OPTIMIZATION</v>
      </c>
      <c r="C403" s="31" t="str">
        <v>Antoh Emmanuel Kwaku</v>
      </c>
      <c r="D403" s="26" t="s">
        <v>144</v>
      </c>
      <c r="E403" s="28">
        <v>165</v>
      </c>
      <c r="F403" s="32"/>
      <c r="G403" s="30">
        <f t="shared" si="52"/>
        <v>181.50000000000003</v>
      </c>
      <c r="H403" s="19"/>
      <c r="I403" s="55" t="str">
        <f t="shared" si="53"/>
        <v>EE 466,ED4-EE</v>
      </c>
      <c r="J403" s="56"/>
    </row>
    <row r="404" spans="1:13" ht="14.5" x14ac:dyDescent="0.35">
      <c r="A404" s="26" t="s">
        <v>308</v>
      </c>
      <c r="B404" s="27" t="str">
        <v>ANTENNAS AND PROPAGATION</v>
      </c>
      <c r="C404" s="31" t="str">
        <v>Ellis Sani Mubarak</v>
      </c>
      <c r="D404" s="26" t="s">
        <v>71</v>
      </c>
      <c r="E404" s="28">
        <v>170</v>
      </c>
      <c r="F404" s="32"/>
      <c r="G404" s="30">
        <f t="shared" si="52"/>
        <v>187.00000000000003</v>
      </c>
      <c r="I404" s="20" t="str">
        <f t="shared" si="53"/>
        <v>TE 372,ED3-EE</v>
      </c>
      <c r="J404" s="25"/>
    </row>
    <row r="405" spans="1:13" ht="14.5" x14ac:dyDescent="0.35">
      <c r="A405" s="26" t="s">
        <v>354</v>
      </c>
      <c r="B405" s="31" t="str">
        <v>BASIC MINERAL SCIENCE</v>
      </c>
      <c r="C405" s="31" t="str">
        <v>Appiah-Adjei Emmanuel Kwame</v>
      </c>
      <c r="D405" s="26" t="s">
        <v>126</v>
      </c>
      <c r="E405" s="28">
        <v>125</v>
      </c>
      <c r="F405" s="32"/>
      <c r="G405" s="30">
        <f t="shared" si="52"/>
        <v>137.5</v>
      </c>
      <c r="I405" s="20" t="str">
        <f t="shared" si="53"/>
        <v>GED 152,ED1-GEOL</v>
      </c>
      <c r="J405" s="25"/>
    </row>
    <row r="406" spans="1:13" ht="14.5" x14ac:dyDescent="0.35">
      <c r="A406" s="26" t="s">
        <v>355</v>
      </c>
      <c r="B406" s="31" t="str">
        <v>INTRODUCTORY GEOLOGY</v>
      </c>
      <c r="C406" s="31" t="str">
        <v>Gawu Simon Kafui Yawo</v>
      </c>
      <c r="D406" s="26" t="s">
        <v>114</v>
      </c>
      <c r="E406" s="28">
        <v>75</v>
      </c>
      <c r="F406" s="32"/>
      <c r="G406" s="30">
        <f t="shared" si="52"/>
        <v>82.5</v>
      </c>
      <c r="I406" s="20" t="str">
        <f t="shared" si="53"/>
        <v>GED 162,ED1-METE</v>
      </c>
      <c r="J406" s="25"/>
    </row>
    <row r="407" spans="1:13" s="15" customFormat="1" ht="14.5" x14ac:dyDescent="0.35">
      <c r="A407" s="26" t="s">
        <v>356</v>
      </c>
      <c r="B407" s="27" t="str">
        <v>AEROSPACE STRUCTURES</v>
      </c>
      <c r="C407" s="31" t="str">
        <v>Agyei Agyemang Anthony</v>
      </c>
      <c r="D407" s="46" t="s">
        <v>36</v>
      </c>
      <c r="E407" s="28">
        <v>75</v>
      </c>
      <c r="F407" s="32"/>
      <c r="G407" s="30">
        <f t="shared" si="52"/>
        <v>82.5</v>
      </c>
      <c r="H407" s="19"/>
      <c r="I407" s="20" t="str">
        <f t="shared" si="53"/>
        <v>AERO 256,ED2-AERO</v>
      </c>
      <c r="J407" s="25"/>
      <c r="K407" s="21"/>
      <c r="L407" s="21"/>
      <c r="M407" s="21"/>
    </row>
    <row r="408" spans="1:13" ht="14.5" x14ac:dyDescent="0.35">
      <c r="A408" s="26" t="s">
        <v>357</v>
      </c>
      <c r="B408" s="27" t="str">
        <v>NATURAL GAS ENGINEERING II</v>
      </c>
      <c r="C408" s="31" t="str">
        <v>Sarkodie Kwame</v>
      </c>
      <c r="D408" s="46" t="s">
        <v>46</v>
      </c>
      <c r="E408" s="28">
        <v>99</v>
      </c>
      <c r="F408" s="32"/>
      <c r="G408" s="30">
        <f t="shared" si="52"/>
        <v>108.9</v>
      </c>
      <c r="I408" s="20" t="str">
        <f t="shared" si="53"/>
        <v>PE 472,ED4-PE</v>
      </c>
      <c r="J408" s="25"/>
    </row>
    <row r="409" spans="1:13" ht="14.5" x14ac:dyDescent="0.35">
      <c r="A409" s="26" t="s">
        <v>358</v>
      </c>
      <c r="B409" s="27" t="str">
        <v>ECONOMIC GEOLLOGY</v>
      </c>
      <c r="C409" s="31" t="str">
        <v>Mensah Emmanuel</v>
      </c>
      <c r="D409" s="46" t="s">
        <v>177</v>
      </c>
      <c r="E409" s="28">
        <v>95</v>
      </c>
      <c r="F409" s="32"/>
      <c r="G409" s="30">
        <f t="shared" si="52"/>
        <v>104.50000000000001</v>
      </c>
      <c r="I409" s="20" t="str">
        <f t="shared" si="53"/>
        <v>GED 462,ED4-GEOL</v>
      </c>
      <c r="J409" s="25"/>
    </row>
    <row r="410" spans="1:13" ht="14.5" x14ac:dyDescent="0.35">
      <c r="A410" s="26" t="s">
        <v>359</v>
      </c>
      <c r="B410" s="31" t="str">
        <v>PRINCIPLES OF LAND SURVEYING AND HYDROGRAPHIC SCIENCE</v>
      </c>
      <c r="C410" s="31" t="str">
        <v>Asante Cosmas Yaw</v>
      </c>
      <c r="D410" s="32" t="s">
        <v>93</v>
      </c>
      <c r="E410" s="28">
        <v>95</v>
      </c>
      <c r="F410" s="32"/>
      <c r="G410" s="30">
        <f t="shared" si="52"/>
        <v>104.50000000000001</v>
      </c>
      <c r="I410" s="20" t="str">
        <f t="shared" si="53"/>
        <v>PE 264,ED2-PE</v>
      </c>
      <c r="J410" s="25"/>
    </row>
    <row r="411" spans="1:13" ht="14.5" x14ac:dyDescent="0.35">
      <c r="A411" s="35"/>
      <c r="B411" s="36"/>
      <c r="D411" s="27" t="s">
        <v>360</v>
      </c>
      <c r="E411" s="35">
        <f>SUM(E402:E410)</f>
        <v>1074</v>
      </c>
      <c r="F411" s="36"/>
      <c r="G411" s="35"/>
      <c r="I411" s="22" t="s">
        <v>361</v>
      </c>
      <c r="J411" s="25"/>
    </row>
    <row r="412" spans="1:13" ht="14.5" x14ac:dyDescent="0.35">
      <c r="A412" s="14" t="s">
        <v>362</v>
      </c>
      <c r="B412" s="14"/>
      <c r="C412" s="14"/>
      <c r="D412" s="14"/>
      <c r="E412" s="14"/>
      <c r="F412" s="14"/>
      <c r="G412" s="14"/>
      <c r="I412" s="22" t="s">
        <v>363</v>
      </c>
      <c r="J412" s="25"/>
    </row>
    <row r="413" spans="1:13" ht="14.5" x14ac:dyDescent="0.35">
      <c r="A413" s="14" t="s">
        <v>2</v>
      </c>
      <c r="B413" s="14"/>
      <c r="C413" s="14"/>
      <c r="D413" s="14"/>
      <c r="E413" s="14"/>
      <c r="F413" s="14"/>
      <c r="G413" s="14"/>
      <c r="I413" s="22" t="s">
        <v>149</v>
      </c>
      <c r="J413" s="25"/>
    </row>
    <row r="414" spans="1:13" ht="14.5" x14ac:dyDescent="0.35">
      <c r="A414" s="24" t="s">
        <v>4</v>
      </c>
      <c r="B414" s="24" t="s">
        <v>5</v>
      </c>
      <c r="C414" s="16" t="s">
        <v>6</v>
      </c>
      <c r="D414" s="24" t="s">
        <v>7</v>
      </c>
      <c r="E414" s="24" t="s">
        <v>8</v>
      </c>
      <c r="F414" s="16" t="s">
        <v>9</v>
      </c>
      <c r="G414" s="24" t="s">
        <v>10</v>
      </c>
      <c r="I414" s="22" t="s">
        <v>31</v>
      </c>
      <c r="J414" s="25"/>
    </row>
    <row r="415" spans="1:13" ht="14.5" x14ac:dyDescent="0.35">
      <c r="A415" s="26" t="s">
        <v>364</v>
      </c>
      <c r="B415" s="27" t="str">
        <f t="array" ref="B415:B428">IFERROR(VLOOKUP(I415:I428,Lectures_1!A2:F534,2,FALSE()),0)</f>
        <v>COMMUNICATION SKILLS II</v>
      </c>
      <c r="C415" s="27" t="str">
        <f t="array" ref="C415:C428">IFERROR(VLOOKUP(I415:I428,Lectures_1!A2:F534,3,FALSE()),0)</f>
        <v>Yeboah Philomena Ama Okyeso</v>
      </c>
      <c r="D415" s="26" t="s">
        <v>191</v>
      </c>
      <c r="E415" s="28">
        <f t="array" ref="E415:E428">IFERROR(VLOOKUP(I415:I428,Lectures_1!A2:F534,4,FALSE()),0)</f>
        <v>70</v>
      </c>
      <c r="F415" s="13" t="s">
        <v>34</v>
      </c>
      <c r="G415" s="30">
        <f t="shared" ref="G415:G428" si="54">E415*1.1</f>
        <v>77</v>
      </c>
      <c r="I415" s="20" t="str">
        <f t="shared" ref="I415:I428" si="55">CONCATENATE(A415,",",D415)</f>
        <v>ENGL 158,ED1-AERO</v>
      </c>
      <c r="J415" s="25"/>
    </row>
    <row r="416" spans="1:13" ht="14.5" x14ac:dyDescent="0.35">
      <c r="A416" s="26" t="s">
        <v>364</v>
      </c>
      <c r="B416" s="27" t="str">
        <v>COMMUNICATION SKILLS II</v>
      </c>
      <c r="C416" s="27" t="str">
        <v>Yeboah Philomena Ama Okyeso</v>
      </c>
      <c r="D416" s="26" t="s">
        <v>131</v>
      </c>
      <c r="E416" s="28">
        <v>128</v>
      </c>
      <c r="F416" s="13"/>
      <c r="G416" s="30">
        <f t="shared" si="54"/>
        <v>140.80000000000001</v>
      </c>
      <c r="I416" s="20" t="str">
        <f t="shared" si="55"/>
        <v>ENGL 158,ED1-AE</v>
      </c>
      <c r="J416" s="25"/>
    </row>
    <row r="417" spans="1:10" ht="14.5" x14ac:dyDescent="0.35">
      <c r="A417" s="26" t="s">
        <v>364</v>
      </c>
      <c r="B417" s="27" t="str">
        <v>COMMUNICATION SKILLS II</v>
      </c>
      <c r="C417" s="27" t="str">
        <v>Yeboah Philomena Ama Okyeso</v>
      </c>
      <c r="D417" s="26" t="s">
        <v>130</v>
      </c>
      <c r="E417" s="28">
        <v>136</v>
      </c>
      <c r="F417" s="13"/>
      <c r="G417" s="30">
        <f t="shared" si="54"/>
        <v>149.60000000000002</v>
      </c>
      <c r="I417" s="20" t="str">
        <f t="shared" si="55"/>
        <v>ENGL 158,ED1-BME</v>
      </c>
      <c r="J417" s="25"/>
    </row>
    <row r="418" spans="1:10" ht="14.5" x14ac:dyDescent="0.35">
      <c r="A418" s="26" t="s">
        <v>364</v>
      </c>
      <c r="B418" s="27" t="str">
        <v>COMMUNICATION SKILLS II</v>
      </c>
      <c r="C418" s="31" t="str">
        <v>Patricia Gustafson-Asamoah</v>
      </c>
      <c r="D418" s="26" t="s">
        <v>75</v>
      </c>
      <c r="E418" s="28">
        <v>245</v>
      </c>
      <c r="F418" s="13"/>
      <c r="G418" s="30">
        <f t="shared" si="54"/>
        <v>269.5</v>
      </c>
      <c r="I418" s="20" t="str">
        <f t="shared" si="55"/>
        <v>ENGL 158,ED1-CE</v>
      </c>
      <c r="J418" s="25"/>
    </row>
    <row r="419" spans="1:10" ht="14.5" x14ac:dyDescent="0.35">
      <c r="A419" s="26" t="s">
        <v>364</v>
      </c>
      <c r="B419" s="27" t="str">
        <v>COMMUNICATION  SKILLS II</v>
      </c>
      <c r="C419" s="27" t="str">
        <v>Yeboah Philomena Ama Okyeso</v>
      </c>
      <c r="D419" s="26" t="s">
        <v>80</v>
      </c>
      <c r="E419" s="28">
        <v>120</v>
      </c>
      <c r="F419" s="13"/>
      <c r="G419" s="30">
        <f t="shared" si="54"/>
        <v>132</v>
      </c>
      <c r="I419" s="20" t="str">
        <f t="shared" si="55"/>
        <v>ENGL 158,ED1-CHE</v>
      </c>
      <c r="J419" s="25"/>
    </row>
    <row r="420" spans="1:10" ht="14.5" x14ac:dyDescent="0.35">
      <c r="A420" s="26" t="s">
        <v>364</v>
      </c>
      <c r="B420" s="27" t="str">
        <v>COMMUNICATION SKILLS II</v>
      </c>
      <c r="C420" s="27" t="str">
        <v>Bernard Ampong</v>
      </c>
      <c r="D420" s="26" t="s">
        <v>20</v>
      </c>
      <c r="E420" s="28">
        <v>262</v>
      </c>
      <c r="F420" s="13"/>
      <c r="G420" s="30">
        <f t="shared" si="54"/>
        <v>288.20000000000005</v>
      </c>
      <c r="I420" s="20" t="str">
        <f t="shared" si="55"/>
        <v>ENGL 158,ED1-COE</v>
      </c>
      <c r="J420" s="25"/>
    </row>
    <row r="421" spans="1:10" ht="14.5" x14ac:dyDescent="0.35">
      <c r="A421" s="26" t="s">
        <v>365</v>
      </c>
      <c r="B421" s="27" t="str">
        <v>AC MACHINES</v>
      </c>
      <c r="C421" s="31" t="str">
        <v>Asigri Peter</v>
      </c>
      <c r="D421" s="26" t="s">
        <v>25</v>
      </c>
      <c r="E421" s="28">
        <v>340</v>
      </c>
      <c r="F421" s="39" t="s">
        <v>21</v>
      </c>
      <c r="G421" s="30">
        <f t="shared" si="54"/>
        <v>374.00000000000006</v>
      </c>
      <c r="I421" s="20" t="str">
        <f t="shared" si="55"/>
        <v>EE 262,ED2-EE</v>
      </c>
      <c r="J421" s="25"/>
    </row>
    <row r="422" spans="1:10" ht="14.5" x14ac:dyDescent="0.35">
      <c r="A422" s="26" t="s">
        <v>366</v>
      </c>
      <c r="B422" s="27" t="str">
        <v>HEAT AND MASS TRANSPORT</v>
      </c>
      <c r="C422" s="31" t="str">
        <v>Agyemang Frank Ofori</v>
      </c>
      <c r="D422" s="26" t="s">
        <v>210</v>
      </c>
      <c r="E422" s="28">
        <v>83</v>
      </c>
      <c r="F422" s="32"/>
      <c r="G422" s="30">
        <f t="shared" si="54"/>
        <v>91.300000000000011</v>
      </c>
      <c r="I422" s="20" t="str">
        <f t="shared" si="55"/>
        <v>MSE 252,ED2-MSE</v>
      </c>
      <c r="J422" s="25"/>
    </row>
    <row r="423" spans="1:10" ht="14.5" x14ac:dyDescent="0.35">
      <c r="A423" s="26" t="s">
        <v>366</v>
      </c>
      <c r="B423" s="27" t="str">
        <v>HEAT AND MASS TRANSPORT</v>
      </c>
      <c r="C423" s="31" t="str">
        <v>Agyemang Frank Ofori</v>
      </c>
      <c r="D423" s="26" t="s">
        <v>101</v>
      </c>
      <c r="E423" s="28">
        <v>57</v>
      </c>
      <c r="F423" s="32"/>
      <c r="G423" s="30">
        <f t="shared" si="54"/>
        <v>62.7</v>
      </c>
      <c r="I423" s="20" t="str">
        <f t="shared" si="55"/>
        <v>MSE 252,ED2-METE</v>
      </c>
      <c r="J423" s="25"/>
    </row>
    <row r="424" spans="1:10" ht="14.5" x14ac:dyDescent="0.35">
      <c r="A424" s="26" t="s">
        <v>367</v>
      </c>
      <c r="B424" s="24" t="str">
        <v>SOIL AND ROCK MECHANICS</v>
      </c>
      <c r="C424" s="31" t="str">
        <v>Frederick Owusu-Nimo</v>
      </c>
      <c r="D424" s="26" t="s">
        <v>56</v>
      </c>
      <c r="E424" s="42">
        <v>250</v>
      </c>
      <c r="F424" s="32"/>
      <c r="G424" s="30">
        <f t="shared" si="54"/>
        <v>275</v>
      </c>
      <c r="I424" s="20" t="str">
        <f t="shared" si="55"/>
        <v>CE 260,ED2-CE</v>
      </c>
      <c r="J424" s="25"/>
    </row>
    <row r="425" spans="1:10" ht="14.5" x14ac:dyDescent="0.35">
      <c r="A425" s="26" t="s">
        <v>367</v>
      </c>
      <c r="B425" s="24" t="str">
        <v>SOIL AND ROCK MECHANICS</v>
      </c>
      <c r="C425" s="31" t="str">
        <v>Owusu-Nimo Frederick</v>
      </c>
      <c r="D425" s="26" t="s">
        <v>170</v>
      </c>
      <c r="E425" s="42">
        <v>132</v>
      </c>
      <c r="F425" s="42"/>
      <c r="G425" s="30">
        <f t="shared" si="54"/>
        <v>145.20000000000002</v>
      </c>
      <c r="I425" s="20" t="str">
        <f t="shared" si="55"/>
        <v>CE 260,ED2-GEOM</v>
      </c>
      <c r="J425" s="25"/>
    </row>
    <row r="426" spans="1:10" ht="14.5" x14ac:dyDescent="0.35">
      <c r="A426" s="26" t="s">
        <v>368</v>
      </c>
      <c r="B426" s="31" t="str">
        <v>BIOSIGNAL PROCESSES AND ANALYSIS</v>
      </c>
      <c r="C426" s="31" t="str">
        <v>Adjei Prince Ebenezer</v>
      </c>
      <c r="D426" s="26" t="s">
        <v>65</v>
      </c>
      <c r="E426" s="28">
        <v>90</v>
      </c>
      <c r="F426" s="32"/>
      <c r="G426" s="30">
        <f t="shared" si="54"/>
        <v>99.000000000000014</v>
      </c>
      <c r="I426" s="20" t="str">
        <f t="shared" si="55"/>
        <v>BME 366,ED3-BME</v>
      </c>
      <c r="J426" s="25"/>
    </row>
    <row r="427" spans="1:10" ht="14.5" x14ac:dyDescent="0.35">
      <c r="A427" s="26" t="s">
        <v>369</v>
      </c>
      <c r="B427" s="27" t="str">
        <v>OPTICAL MINERALOGY</v>
      </c>
      <c r="C427" s="31" t="str">
        <v>Wilson Matthew Coffie</v>
      </c>
      <c r="D427" s="26" t="s">
        <v>55</v>
      </c>
      <c r="E427" s="28">
        <v>150</v>
      </c>
      <c r="F427" s="42"/>
      <c r="G427" s="30">
        <f t="shared" si="54"/>
        <v>165</v>
      </c>
      <c r="I427" s="20" t="str">
        <f t="shared" si="55"/>
        <v>GED 258,ED2-GEOL</v>
      </c>
      <c r="J427" s="25"/>
    </row>
    <row r="428" spans="1:10" ht="14.5" x14ac:dyDescent="0.35">
      <c r="A428" s="26" t="s">
        <v>370</v>
      </c>
      <c r="B428" s="27" t="str">
        <v>PACKAGING TECHNOLOGY</v>
      </c>
      <c r="C428" s="31" t="str">
        <v>Baah-Ennumh Emmanuel Kwaku</v>
      </c>
      <c r="D428" s="26" t="s">
        <v>73</v>
      </c>
      <c r="E428" s="28">
        <v>45</v>
      </c>
      <c r="F428" s="32"/>
      <c r="G428" s="30">
        <f t="shared" si="54"/>
        <v>49.500000000000007</v>
      </c>
      <c r="I428" s="20" t="str">
        <f t="shared" si="55"/>
        <v>CHE 364,ED3-CHE</v>
      </c>
      <c r="J428" s="25"/>
    </row>
    <row r="429" spans="1:10" ht="14.5" x14ac:dyDescent="0.35">
      <c r="A429" s="35"/>
      <c r="B429" s="35"/>
      <c r="D429" s="27" t="s">
        <v>371</v>
      </c>
      <c r="E429" s="35">
        <f>SUM(E421:E428)</f>
        <v>1147</v>
      </c>
      <c r="F429" s="36"/>
      <c r="G429" s="35"/>
      <c r="I429" s="22"/>
      <c r="J429" s="25"/>
    </row>
    <row r="430" spans="1:10" ht="14.5" x14ac:dyDescent="0.35">
      <c r="A430" s="14" t="s">
        <v>362</v>
      </c>
      <c r="B430" s="14"/>
      <c r="C430" s="14"/>
      <c r="D430" s="14"/>
      <c r="E430" s="14"/>
      <c r="F430" s="14"/>
      <c r="G430" s="14"/>
      <c r="I430" s="22" t="s">
        <v>363</v>
      </c>
      <c r="J430" s="25"/>
    </row>
    <row r="431" spans="1:10" ht="14.5" x14ac:dyDescent="0.35">
      <c r="A431" s="14" t="s">
        <v>29</v>
      </c>
      <c r="B431" s="14"/>
      <c r="C431" s="14"/>
      <c r="D431" s="14"/>
      <c r="E431" s="14"/>
      <c r="F431" s="14"/>
      <c r="G431" s="14"/>
      <c r="I431" s="22" t="s">
        <v>30</v>
      </c>
      <c r="J431" s="25"/>
    </row>
    <row r="432" spans="1:10" ht="14.5" x14ac:dyDescent="0.35">
      <c r="A432" s="24" t="s">
        <v>4</v>
      </c>
      <c r="B432" s="24" t="s">
        <v>5</v>
      </c>
      <c r="C432" s="16" t="s">
        <v>6</v>
      </c>
      <c r="D432" s="24" t="s">
        <v>7</v>
      </c>
      <c r="E432" s="24" t="s">
        <v>8</v>
      </c>
      <c r="F432" s="16" t="s">
        <v>9</v>
      </c>
      <c r="G432" s="24" t="s">
        <v>10</v>
      </c>
      <c r="I432" s="22" t="s">
        <v>31</v>
      </c>
      <c r="J432" s="25"/>
    </row>
    <row r="433" spans="1:10" ht="14.5" x14ac:dyDescent="0.35">
      <c r="A433" s="26" t="s">
        <v>364</v>
      </c>
      <c r="B433" s="27" t="str">
        <f t="array" ref="B433:B451">IFERROR(VLOOKUP(I433:I451,Lectures_1!A2:F534,2,FALSE()),0)</f>
        <v>COMMUNICATION SKILLS II</v>
      </c>
      <c r="C433" s="27" t="str">
        <f t="array" ref="C433:C451">IFERROR(VLOOKUP(I433:I451,Lectures_1!A2:F534,3,FALSE()),0)</f>
        <v>Yeboah Philomena Ama Okyeso</v>
      </c>
      <c r="D433" s="26" t="s">
        <v>81</v>
      </c>
      <c r="E433" s="28">
        <f t="array" ref="E433:E451">IFERROR(VLOOKUP(I433:I451,Lectures_1!A2:F534,4,FALSE()),0)</f>
        <v>56</v>
      </c>
      <c r="F433" s="13" t="s">
        <v>372</v>
      </c>
      <c r="G433" s="30">
        <f t="shared" ref="G433:G451" si="56">E433*1.1</f>
        <v>61.600000000000009</v>
      </c>
      <c r="I433" s="20" t="str">
        <f t="shared" ref="I433:I451" si="57">CONCATENATE(A433,",",D433)</f>
        <v>ENGL 158,ED1-PCE</v>
      </c>
      <c r="J433" s="25"/>
    </row>
    <row r="434" spans="1:10" ht="14.5" x14ac:dyDescent="0.35">
      <c r="A434" s="26" t="s">
        <v>364</v>
      </c>
      <c r="B434" s="27" t="str">
        <v>COMMUNICATION SKILLS II</v>
      </c>
      <c r="C434" s="27" t="str">
        <v>Sarfo-Adu Kwasi</v>
      </c>
      <c r="D434" s="26" t="s">
        <v>162</v>
      </c>
      <c r="E434" s="28">
        <v>85</v>
      </c>
      <c r="F434" s="13"/>
      <c r="G434" s="30">
        <f t="shared" si="56"/>
        <v>93.500000000000014</v>
      </c>
      <c r="I434" s="20" t="str">
        <f t="shared" si="57"/>
        <v>ENGL 158,ED1-AUTO</v>
      </c>
      <c r="J434" s="25"/>
    </row>
    <row r="435" spans="1:10" ht="14.5" x14ac:dyDescent="0.35">
      <c r="A435" s="26" t="s">
        <v>364</v>
      </c>
      <c r="B435" s="27" t="str">
        <v>COMMUNICATION SKILLS II</v>
      </c>
      <c r="C435" s="31" t="str">
        <v>Yeboah Philomena Ama Okyeso</v>
      </c>
      <c r="D435" s="26" t="s">
        <v>51</v>
      </c>
      <c r="E435" s="28">
        <v>295</v>
      </c>
      <c r="F435" s="13"/>
      <c r="G435" s="30">
        <f t="shared" si="56"/>
        <v>324.5</v>
      </c>
      <c r="I435" s="20" t="str">
        <f t="shared" si="57"/>
        <v>ENGL 158,ED1-EE</v>
      </c>
      <c r="J435" s="25"/>
    </row>
    <row r="436" spans="1:10" ht="14.5" x14ac:dyDescent="0.35">
      <c r="A436" s="26" t="s">
        <v>364</v>
      </c>
      <c r="B436" s="27" t="str">
        <v>COMMUNICATION SKILLS II</v>
      </c>
      <c r="C436" s="16" t="str">
        <v>Yeboah Philomena Ama Okyeso</v>
      </c>
      <c r="D436" s="26" t="s">
        <v>111</v>
      </c>
      <c r="E436" s="28">
        <v>83</v>
      </c>
      <c r="F436" s="13"/>
      <c r="G436" s="30">
        <f t="shared" si="56"/>
        <v>91.300000000000011</v>
      </c>
      <c r="I436" s="20" t="str">
        <f t="shared" si="57"/>
        <v>ENGL 158,ED1-IND</v>
      </c>
      <c r="J436" s="25"/>
    </row>
    <row r="437" spans="1:10" ht="14.5" x14ac:dyDescent="0.35">
      <c r="A437" s="26" t="s">
        <v>364</v>
      </c>
      <c r="B437" s="27" t="str">
        <v>COMMUNICATION SKILLS II</v>
      </c>
      <c r="C437" s="31" t="str">
        <v>Yeboah Philomena Ama Okyeso</v>
      </c>
      <c r="D437" s="26" t="s">
        <v>126</v>
      </c>
      <c r="E437" s="28">
        <v>125</v>
      </c>
      <c r="F437" s="13"/>
      <c r="G437" s="30">
        <f t="shared" si="56"/>
        <v>137.5</v>
      </c>
      <c r="I437" s="20" t="str">
        <f t="shared" si="57"/>
        <v>ENGL 158,ED1-GEOL</v>
      </c>
      <c r="J437" s="25"/>
    </row>
    <row r="438" spans="1:10" ht="14.5" x14ac:dyDescent="0.35">
      <c r="A438" s="26" t="s">
        <v>364</v>
      </c>
      <c r="B438" s="16" t="str">
        <v>COMMUNICATION SKILLS II</v>
      </c>
      <c r="C438" s="16" t="str">
        <v>Alhassan Yakubu</v>
      </c>
      <c r="D438" s="26" t="s">
        <v>115</v>
      </c>
      <c r="E438" s="24">
        <v>100</v>
      </c>
      <c r="F438" s="13"/>
      <c r="G438" s="30">
        <f t="shared" si="56"/>
        <v>110.00000000000001</v>
      </c>
      <c r="I438" s="20" t="str">
        <f t="shared" si="57"/>
        <v>ENGL 158,ED1-MSE</v>
      </c>
      <c r="J438" s="25"/>
    </row>
    <row r="439" spans="1:10" ht="14.5" x14ac:dyDescent="0.35">
      <c r="A439" s="26" t="s">
        <v>364</v>
      </c>
      <c r="B439" s="16" t="str">
        <v>COMMUNICATION SKILLS II</v>
      </c>
      <c r="C439" s="16" t="str">
        <v>Yeboah Philomena Ama Okyeso</v>
      </c>
      <c r="D439" s="26" t="s">
        <v>95</v>
      </c>
      <c r="E439" s="24">
        <v>103</v>
      </c>
      <c r="F439" s="13"/>
      <c r="G439" s="30">
        <f t="shared" si="56"/>
        <v>113.30000000000001</v>
      </c>
      <c r="I439" s="20" t="str">
        <f t="shared" si="57"/>
        <v>ENGL 158,ED1-GEOM</v>
      </c>
      <c r="J439" s="25"/>
    </row>
    <row r="440" spans="1:10" ht="14.5" x14ac:dyDescent="0.35">
      <c r="A440" s="26" t="s">
        <v>373</v>
      </c>
      <c r="B440" s="31" t="str">
        <v>MANAGEMENT AND ENTREPRENEURSHIP DEVELOPMENT</v>
      </c>
      <c r="C440" s="31" t="str">
        <v>Aikins Stephen Hill Mends</v>
      </c>
      <c r="D440" s="26" t="s">
        <v>251</v>
      </c>
      <c r="E440" s="28">
        <v>160</v>
      </c>
      <c r="F440" s="32"/>
      <c r="G440" s="30">
        <f t="shared" si="56"/>
        <v>176</v>
      </c>
      <c r="I440" s="20" t="str">
        <f t="shared" si="57"/>
        <v>ME 492,ED4-COE</v>
      </c>
      <c r="J440" s="25"/>
    </row>
    <row r="441" spans="1:10" ht="14.5" x14ac:dyDescent="0.35">
      <c r="A441" s="26" t="s">
        <v>373</v>
      </c>
      <c r="B441" s="31" t="str">
        <v>ENTREPRENEURSHIP DEVELOPMENT AND MANAGEMENT</v>
      </c>
      <c r="C441" s="31" t="str">
        <v>Mensah Lena Dzifa</v>
      </c>
      <c r="D441" s="26" t="s">
        <v>144</v>
      </c>
      <c r="E441" s="28">
        <v>205</v>
      </c>
      <c r="F441" s="47"/>
      <c r="G441" s="30">
        <f t="shared" si="56"/>
        <v>225.50000000000003</v>
      </c>
      <c r="I441" s="20" t="str">
        <f t="shared" si="57"/>
        <v>ME 492,ED4-EE</v>
      </c>
      <c r="J441" s="25"/>
    </row>
    <row r="442" spans="1:10" ht="14.5" x14ac:dyDescent="0.35">
      <c r="A442" s="26" t="s">
        <v>373</v>
      </c>
      <c r="B442" s="31" t="str">
        <v xml:space="preserve">ENTREPRENEURSHIP MANAGEMENT </v>
      </c>
      <c r="C442" s="31" t="str">
        <v>Asiedu Charlotte</v>
      </c>
      <c r="D442" s="26" t="s">
        <v>124</v>
      </c>
      <c r="E442" s="28">
        <v>69</v>
      </c>
      <c r="F442" s="32"/>
      <c r="G442" s="30">
        <f t="shared" si="56"/>
        <v>75.900000000000006</v>
      </c>
      <c r="I442" s="20" t="str">
        <f t="shared" si="57"/>
        <v>ME 492,ED4-IND</v>
      </c>
      <c r="J442" s="25"/>
    </row>
    <row r="443" spans="1:10" ht="14.5" x14ac:dyDescent="0.35">
      <c r="A443" s="26" t="s">
        <v>373</v>
      </c>
      <c r="B443" s="31" t="str">
        <v>MANAGEMENT AND ENTREPRENEURSHIP DEVELOPMENT</v>
      </c>
      <c r="C443" s="31" t="str">
        <v>Mensah Lena Dzifa</v>
      </c>
      <c r="D443" s="26" t="s">
        <v>67</v>
      </c>
      <c r="E443" s="28">
        <v>135</v>
      </c>
      <c r="F443" s="47"/>
      <c r="G443" s="30">
        <f t="shared" si="56"/>
        <v>148.5</v>
      </c>
      <c r="I443" s="20" t="str">
        <f t="shared" si="57"/>
        <v>ME 492,ED4-ME</v>
      </c>
      <c r="J443" s="25"/>
    </row>
    <row r="444" spans="1:10" ht="14.5" x14ac:dyDescent="0.35">
      <c r="A444" s="26" t="s">
        <v>373</v>
      </c>
      <c r="B444" s="31" t="str">
        <v>MANAGEMENT AND ENTREPRENEURSHIP DEVELOPMENT</v>
      </c>
      <c r="C444" s="31" t="str">
        <v>Mensah Lena Dzifa</v>
      </c>
      <c r="D444" s="26" t="s">
        <v>136</v>
      </c>
      <c r="E444" s="28">
        <v>55</v>
      </c>
      <c r="F444" s="32"/>
      <c r="G444" s="30">
        <f t="shared" si="56"/>
        <v>60.500000000000007</v>
      </c>
      <c r="I444" s="20" t="str">
        <f t="shared" si="57"/>
        <v>ME 492,ED4-METE</v>
      </c>
      <c r="J444" s="25"/>
    </row>
    <row r="445" spans="1:10" ht="14.5" x14ac:dyDescent="0.35">
      <c r="A445" s="26" t="s">
        <v>373</v>
      </c>
      <c r="B445" s="31" t="str">
        <v>MANAGEMENT AND ENTREPRENEURSHIP DEVELOPMENT</v>
      </c>
      <c r="C445" s="31" t="str">
        <v>Mensah Lena Dzifa</v>
      </c>
      <c r="D445" s="26" t="s">
        <v>99</v>
      </c>
      <c r="E445" s="28">
        <v>61</v>
      </c>
      <c r="F445" s="32"/>
      <c r="G445" s="30">
        <f t="shared" si="56"/>
        <v>67.100000000000009</v>
      </c>
      <c r="I445" s="20" t="str">
        <f t="shared" si="57"/>
        <v>ME 492,ED4-AERO</v>
      </c>
      <c r="J445" s="25"/>
    </row>
    <row r="446" spans="1:10" ht="14.5" x14ac:dyDescent="0.35">
      <c r="A446" s="26" t="s">
        <v>373</v>
      </c>
      <c r="B446" s="31" t="str">
        <v>MANAGEMENT AND ENTREPRENEURSHIP DEVELOPMENT</v>
      </c>
      <c r="C446" s="31" t="str">
        <v>Mensah Lena Dzifa</v>
      </c>
      <c r="D446" s="26" t="s">
        <v>97</v>
      </c>
      <c r="E446" s="28">
        <v>32</v>
      </c>
      <c r="F446" s="32"/>
      <c r="G446" s="30">
        <f t="shared" si="56"/>
        <v>35.200000000000003</v>
      </c>
      <c r="I446" s="20" t="str">
        <f t="shared" si="57"/>
        <v>ME 492,ED4-AUTO</v>
      </c>
      <c r="J446" s="25"/>
    </row>
    <row r="447" spans="1:10" ht="14.5" x14ac:dyDescent="0.35">
      <c r="A447" s="26" t="s">
        <v>373</v>
      </c>
      <c r="B447" s="31" t="str">
        <v>ENTREPRENEURSHIP DEVELOPMENT</v>
      </c>
      <c r="C447" s="31" t="str">
        <v>Aikins Stephen Hill Mends</v>
      </c>
      <c r="D447" s="26" t="s">
        <v>252</v>
      </c>
      <c r="E447" s="28">
        <v>87</v>
      </c>
      <c r="F447" s="32"/>
      <c r="G447" s="30">
        <f t="shared" si="56"/>
        <v>95.7</v>
      </c>
      <c r="I447" s="20" t="str">
        <f t="shared" si="57"/>
        <v>ME 492,ED4-BME</v>
      </c>
      <c r="J447" s="25"/>
    </row>
    <row r="448" spans="1:10" ht="14.5" x14ac:dyDescent="0.35">
      <c r="A448" s="26" t="s">
        <v>373</v>
      </c>
      <c r="B448" s="31" t="str">
        <v>MANAGEMENT AND ENTREPRENEURSHIP DEVELOPMENT</v>
      </c>
      <c r="C448" s="31" t="str">
        <v>Aikins Stephen Hill Mends</v>
      </c>
      <c r="D448" s="26" t="s">
        <v>50</v>
      </c>
      <c r="E448" s="28">
        <v>103</v>
      </c>
      <c r="F448" s="32"/>
      <c r="G448" s="30">
        <f t="shared" si="56"/>
        <v>113.30000000000001</v>
      </c>
      <c r="I448" s="20" t="str">
        <f t="shared" si="57"/>
        <v>ME 492,ED4-AE</v>
      </c>
      <c r="J448" s="25"/>
    </row>
    <row r="449" spans="1:10" ht="14.5" x14ac:dyDescent="0.35">
      <c r="A449" s="26" t="s">
        <v>373</v>
      </c>
      <c r="B449" s="31" t="str">
        <v>MANAGEMENT AND ENTREPRENEURSHIP DEVELOPMENT</v>
      </c>
      <c r="C449" s="31" t="str">
        <v>Mensah Lena Dzifa</v>
      </c>
      <c r="D449" s="26" t="s">
        <v>135</v>
      </c>
      <c r="E449" s="28">
        <v>60</v>
      </c>
      <c r="F449" s="32"/>
      <c r="G449" s="30">
        <f t="shared" si="56"/>
        <v>66</v>
      </c>
      <c r="I449" s="20" t="str">
        <f t="shared" si="57"/>
        <v>ME 492,ED4-MSE</v>
      </c>
      <c r="J449" s="25"/>
    </row>
    <row r="450" spans="1:10" ht="14.5" x14ac:dyDescent="0.35">
      <c r="A450" s="26" t="s">
        <v>373</v>
      </c>
      <c r="B450" s="31" t="str">
        <v>MANAGEMENT AND ENTREPRENEURSHIP DEVELOPMENT</v>
      </c>
      <c r="C450" s="31" t="str">
        <v>Intsiful Araba Kwegyirba</v>
      </c>
      <c r="D450" s="26" t="s">
        <v>227</v>
      </c>
      <c r="E450" s="28">
        <v>138</v>
      </c>
      <c r="F450" s="32"/>
      <c r="G450" s="30">
        <f t="shared" si="56"/>
        <v>151.80000000000001</v>
      </c>
      <c r="I450" s="20" t="str">
        <f t="shared" si="57"/>
        <v>ME 492,ED4-TEL</v>
      </c>
      <c r="J450" s="25"/>
    </row>
    <row r="451" spans="1:10" ht="14.5" x14ac:dyDescent="0.35">
      <c r="A451" s="26" t="s">
        <v>374</v>
      </c>
      <c r="B451" s="31" t="str">
        <v>PETROLEUM BUSINESS: STRUCTURES, LOGISTICS</v>
      </c>
      <c r="C451" s="31" t="str">
        <v>Quaye Jonathan Atuquaye</v>
      </c>
      <c r="D451" s="26" t="s">
        <v>46</v>
      </c>
      <c r="E451" s="28">
        <v>77</v>
      </c>
      <c r="F451" s="32" t="s">
        <v>21</v>
      </c>
      <c r="G451" s="30">
        <f t="shared" si="56"/>
        <v>84.7</v>
      </c>
      <c r="I451" s="20" t="str">
        <f t="shared" si="57"/>
        <v>PE 468,ED4-PE</v>
      </c>
      <c r="J451" s="25"/>
    </row>
    <row r="452" spans="1:10" ht="14.5" x14ac:dyDescent="0.35">
      <c r="A452" s="35"/>
      <c r="B452" s="35"/>
      <c r="D452" s="27" t="s">
        <v>375</v>
      </c>
      <c r="E452" s="35">
        <f>SUM(E440:E451)</f>
        <v>1182</v>
      </c>
      <c r="F452" s="36"/>
      <c r="G452" s="35"/>
      <c r="I452" s="22" t="s">
        <v>376</v>
      </c>
      <c r="J452" s="25"/>
    </row>
    <row r="453" spans="1:10" ht="14.5" x14ac:dyDescent="0.35">
      <c r="G453" s="15"/>
      <c r="J453" s="50"/>
    </row>
    <row r="454" spans="1:10" ht="14.5" x14ac:dyDescent="0.35">
      <c r="G454" s="15"/>
      <c r="J454" s="50"/>
    </row>
    <row r="455" spans="1:10" ht="14.5" x14ac:dyDescent="0.35">
      <c r="A455" s="14" t="s">
        <v>362</v>
      </c>
      <c r="B455" s="14"/>
      <c r="C455" s="14"/>
      <c r="D455" s="14"/>
      <c r="E455" s="14"/>
      <c r="F455" s="14"/>
      <c r="G455" s="14"/>
      <c r="I455" s="22" t="s">
        <v>363</v>
      </c>
      <c r="J455" s="25"/>
    </row>
    <row r="456" spans="1:10" ht="14.5" x14ac:dyDescent="0.35">
      <c r="A456" s="14" t="s">
        <v>59</v>
      </c>
      <c r="B456" s="14"/>
      <c r="C456" s="14"/>
      <c r="D456" s="14"/>
      <c r="E456" s="14"/>
      <c r="F456" s="14"/>
      <c r="G456" s="14"/>
      <c r="I456" s="22" t="s">
        <v>128</v>
      </c>
      <c r="J456" s="25"/>
    </row>
    <row r="457" spans="1:10" ht="14.5" x14ac:dyDescent="0.35">
      <c r="A457" s="24" t="s">
        <v>4</v>
      </c>
      <c r="B457" s="24" t="s">
        <v>5</v>
      </c>
      <c r="C457" s="16" t="s">
        <v>6</v>
      </c>
      <c r="D457" s="24" t="s">
        <v>7</v>
      </c>
      <c r="E457" s="24" t="s">
        <v>8</v>
      </c>
      <c r="F457" s="16" t="s">
        <v>9</v>
      </c>
      <c r="G457" s="24" t="s">
        <v>10</v>
      </c>
      <c r="I457" s="22" t="s">
        <v>31</v>
      </c>
      <c r="J457" s="25"/>
    </row>
    <row r="458" spans="1:10" ht="14.5" x14ac:dyDescent="0.35">
      <c r="A458" s="26" t="s">
        <v>364</v>
      </c>
      <c r="B458" s="16" t="str">
        <f t="array" ref="B458:B471">IFERROR(VLOOKUP(I458:I471,Lectures_1!A2:F534,2,FALSE()),0)</f>
        <v>COMMUNICATION SKILLS II</v>
      </c>
      <c r="C458" s="16" t="str">
        <f t="array" ref="C458:C471">IFERROR(VLOOKUP(I458:I471,Lectures_1!A2:F534,3,FALSE()),0)</f>
        <v>Yeboah Philomena Ama Okyeso</v>
      </c>
      <c r="D458" s="26" t="s">
        <v>112</v>
      </c>
      <c r="E458" s="24">
        <f t="array" ref="E458:E471">IFERROR(VLOOKUP(I458:I471,Lectures_1!A2:F534,4,FALSE()),0)</f>
        <v>46</v>
      </c>
      <c r="F458" s="13" t="s">
        <v>34</v>
      </c>
      <c r="G458" s="30">
        <f t="shared" ref="G458:G471" si="58">E458*1.1</f>
        <v>50.6</v>
      </c>
      <c r="I458" s="20" t="str">
        <f t="shared" ref="I458:I471" si="59">CONCATENATE(A458,",",D458)</f>
        <v>ENGL 158,ED1-MARI</v>
      </c>
      <c r="J458" s="25"/>
    </row>
    <row r="459" spans="1:10" ht="14.5" x14ac:dyDescent="0.35">
      <c r="A459" s="26" t="s">
        <v>364</v>
      </c>
      <c r="B459" s="16" t="str">
        <v>COMMUNICATION SKILLS II</v>
      </c>
      <c r="C459" s="16" t="str">
        <v>Yeboah Philomena Ama Okyeso</v>
      </c>
      <c r="D459" s="26" t="s">
        <v>161</v>
      </c>
      <c r="E459" s="24">
        <v>225</v>
      </c>
      <c r="F459" s="13"/>
      <c r="G459" s="30">
        <f t="shared" si="58"/>
        <v>247.50000000000003</v>
      </c>
      <c r="I459" s="20" t="str">
        <f t="shared" si="59"/>
        <v>ENGL 158,ED1-ME</v>
      </c>
      <c r="J459" s="25"/>
    </row>
    <row r="460" spans="1:10" ht="14.5" x14ac:dyDescent="0.35">
      <c r="A460" s="26" t="s">
        <v>364</v>
      </c>
      <c r="B460" s="27" t="str">
        <v>COMMUNICATION SKILLS II</v>
      </c>
      <c r="C460" s="16" t="str">
        <v>Alhassan Yakubu</v>
      </c>
      <c r="D460" s="26" t="s">
        <v>82</v>
      </c>
      <c r="E460" s="28">
        <v>130</v>
      </c>
      <c r="F460" s="13"/>
      <c r="G460" s="30">
        <f t="shared" si="58"/>
        <v>143</v>
      </c>
      <c r="I460" s="20" t="str">
        <f t="shared" si="59"/>
        <v>ENGL 158,ED1-PE</v>
      </c>
      <c r="J460" s="25"/>
    </row>
    <row r="461" spans="1:10" ht="14.5" x14ac:dyDescent="0.35">
      <c r="A461" s="26" t="s">
        <v>364</v>
      </c>
      <c r="B461" s="27" t="str">
        <v>COMMUNICATION SKILLS II</v>
      </c>
      <c r="C461" s="16" t="str">
        <v>Alhassan Yakubu</v>
      </c>
      <c r="D461" s="26" t="s">
        <v>91</v>
      </c>
      <c r="E461" s="28">
        <v>130</v>
      </c>
      <c r="F461" s="13"/>
      <c r="G461" s="30">
        <f t="shared" si="58"/>
        <v>143</v>
      </c>
      <c r="I461" s="20" t="str">
        <f t="shared" si="59"/>
        <v>ENGL 158,ED1-TEL</v>
      </c>
      <c r="J461" s="25"/>
    </row>
    <row r="462" spans="1:10" ht="14.5" x14ac:dyDescent="0.35">
      <c r="A462" s="26" t="s">
        <v>364</v>
      </c>
      <c r="B462" s="27" t="str">
        <v>COMMUNICATION SKILLS II</v>
      </c>
      <c r="C462" s="31" t="str">
        <v>Alhassan Yakubu</v>
      </c>
      <c r="D462" s="26" t="s">
        <v>114</v>
      </c>
      <c r="E462" s="28">
        <v>75</v>
      </c>
      <c r="F462" s="13"/>
      <c r="G462" s="30">
        <f t="shared" si="58"/>
        <v>82.5</v>
      </c>
      <c r="I462" s="20" t="str">
        <f t="shared" si="59"/>
        <v>ENGL 158,ED1-METE</v>
      </c>
      <c r="J462" s="25"/>
    </row>
    <row r="463" spans="1:10" ht="14.5" x14ac:dyDescent="0.35">
      <c r="A463" s="26" t="s">
        <v>377</v>
      </c>
      <c r="B463" s="27" t="str">
        <v>DIGITAL SYSTEMS DESIGN I</v>
      </c>
      <c r="C463" s="31" t="str">
        <v>Nunoo-Mensah Henry</v>
      </c>
      <c r="D463" s="26" t="s">
        <v>109</v>
      </c>
      <c r="E463" s="28">
        <v>80</v>
      </c>
      <c r="F463" s="32"/>
      <c r="G463" s="30">
        <f t="shared" si="58"/>
        <v>88</v>
      </c>
      <c r="I463" s="20" t="str">
        <f t="shared" si="59"/>
        <v>COE 272,ED2-BME</v>
      </c>
      <c r="J463" s="25"/>
    </row>
    <row r="464" spans="1:10" ht="14.5" x14ac:dyDescent="0.35">
      <c r="A464" s="26" t="s">
        <v>377</v>
      </c>
      <c r="B464" s="27" t="str">
        <v>DIGITAL SYSTEMS DESIGN I</v>
      </c>
      <c r="C464" s="31" t="str">
        <v>Nunoo-Mensah Henry</v>
      </c>
      <c r="D464" s="26" t="s">
        <v>108</v>
      </c>
      <c r="E464" s="28">
        <v>255</v>
      </c>
      <c r="F464" s="32"/>
      <c r="G464" s="30">
        <f t="shared" si="58"/>
        <v>280.5</v>
      </c>
      <c r="H464" s="40"/>
      <c r="I464" s="20" t="str">
        <f t="shared" si="59"/>
        <v>COE 272,ED2-COE</v>
      </c>
      <c r="J464" s="25"/>
    </row>
    <row r="465" spans="1:10" ht="14.5" x14ac:dyDescent="0.35">
      <c r="A465" s="26" t="s">
        <v>378</v>
      </c>
      <c r="B465" s="27" t="str">
        <v>HIGHWAY ENGINEERING</v>
      </c>
      <c r="C465" s="27" t="str">
        <v>Tutu Kenneth Adomako</v>
      </c>
      <c r="D465" s="26" t="s">
        <v>157</v>
      </c>
      <c r="E465" s="28">
        <v>230</v>
      </c>
      <c r="F465" s="39"/>
      <c r="G465" s="30">
        <f t="shared" si="58"/>
        <v>253.00000000000003</v>
      </c>
      <c r="I465" s="20" t="str">
        <f t="shared" si="59"/>
        <v>CE 368,ED3-CE</v>
      </c>
      <c r="J465" s="25"/>
    </row>
    <row r="466" spans="1:10" ht="14.5" x14ac:dyDescent="0.35">
      <c r="A466" s="26" t="s">
        <v>379</v>
      </c>
      <c r="B466" s="31" t="str">
        <v>MINERAL ECONOMICS AND EVALUATION</v>
      </c>
      <c r="C466" s="31" t="str">
        <v>Foli Gordon</v>
      </c>
      <c r="D466" s="26" t="s">
        <v>154</v>
      </c>
      <c r="E466" s="28">
        <v>154</v>
      </c>
      <c r="F466" s="32"/>
      <c r="G466" s="30">
        <f t="shared" si="58"/>
        <v>169.4</v>
      </c>
      <c r="I466" s="20" t="str">
        <f t="shared" si="59"/>
        <v>GED 366,ED3-GEOL</v>
      </c>
      <c r="J466" s="25"/>
    </row>
    <row r="467" spans="1:10" ht="14.5" x14ac:dyDescent="0.35">
      <c r="A467" s="26" t="s">
        <v>380</v>
      </c>
      <c r="B467" s="24" t="str">
        <v>STRENGTH OF MARINE MATERIALS II</v>
      </c>
      <c r="C467" s="31" t="str">
        <v>Adam Faisal Wahib</v>
      </c>
      <c r="D467" s="32" t="s">
        <v>86</v>
      </c>
      <c r="E467" s="42">
        <v>40</v>
      </c>
      <c r="F467" s="42"/>
      <c r="G467" s="30">
        <f t="shared" si="58"/>
        <v>44</v>
      </c>
      <c r="I467" s="20" t="str">
        <f t="shared" si="59"/>
        <v>MME 356,ED3-MARI</v>
      </c>
      <c r="J467" s="25"/>
    </row>
    <row r="468" spans="1:10" ht="14.5" x14ac:dyDescent="0.35">
      <c r="A468" s="26" t="s">
        <v>381</v>
      </c>
      <c r="B468" s="27" t="str">
        <v>HIGH VOLTAGE ENGINEERING</v>
      </c>
      <c r="C468" s="31" t="str">
        <v>Asigri Peter</v>
      </c>
      <c r="D468" s="26" t="s">
        <v>71</v>
      </c>
      <c r="E468" s="28">
        <v>185</v>
      </c>
      <c r="F468" s="32" t="s">
        <v>21</v>
      </c>
      <c r="G468" s="30">
        <f t="shared" si="58"/>
        <v>203.50000000000003</v>
      </c>
      <c r="I468" s="20" t="str">
        <f t="shared" si="59"/>
        <v>EE 360,ED3-EE</v>
      </c>
      <c r="J468" s="25"/>
    </row>
    <row r="469" spans="1:10" ht="14.5" x14ac:dyDescent="0.35">
      <c r="A469" s="26" t="s">
        <v>382</v>
      </c>
      <c r="B469" s="27" t="str">
        <v>RENEWABLE ENERGY RESOURCES</v>
      </c>
      <c r="C469" s="31" t="str">
        <v>Baah-Ennumh Emmanuel Kwaku</v>
      </c>
      <c r="D469" s="26" t="s">
        <v>63</v>
      </c>
      <c r="E469" s="28">
        <v>20</v>
      </c>
      <c r="F469" s="19"/>
      <c r="G469" s="30">
        <f t="shared" si="58"/>
        <v>22</v>
      </c>
      <c r="I469" s="20" t="str">
        <f t="shared" si="59"/>
        <v>CHE 366,ED3-PCE</v>
      </c>
      <c r="J469" s="25"/>
    </row>
    <row r="470" spans="1:10" s="53" customFormat="1" ht="14.5" x14ac:dyDescent="0.35">
      <c r="A470" s="26" t="s">
        <v>383</v>
      </c>
      <c r="B470" s="31" t="str">
        <v>MECHANICS OF MATERIALS</v>
      </c>
      <c r="C470" s="31" t="str">
        <v>Mensah-Darkwa Kwadwo</v>
      </c>
      <c r="D470" s="26" t="s">
        <v>140</v>
      </c>
      <c r="E470" s="28">
        <v>85</v>
      </c>
      <c r="F470" s="47"/>
      <c r="G470" s="30">
        <f t="shared" si="58"/>
        <v>93.500000000000014</v>
      </c>
      <c r="H470" s="40"/>
      <c r="I470" s="51" t="str">
        <f t="shared" si="59"/>
        <v>MSE 360,ED3-MSE</v>
      </c>
      <c r="J470" s="52"/>
    </row>
    <row r="471" spans="1:10" ht="14.5" x14ac:dyDescent="0.35">
      <c r="A471" s="26" t="s">
        <v>384</v>
      </c>
      <c r="B471" s="27" t="str">
        <v>WATER RESOURCES ENGINEERING II</v>
      </c>
      <c r="C471" s="31" t="str">
        <v>Anornu Geophrey Kwame</v>
      </c>
      <c r="D471" s="26" t="s">
        <v>103</v>
      </c>
      <c r="E471" s="28">
        <v>105</v>
      </c>
      <c r="F471" s="32"/>
      <c r="G471" s="30">
        <f t="shared" si="58"/>
        <v>115.50000000000001</v>
      </c>
      <c r="I471" s="20" t="str">
        <f t="shared" si="59"/>
        <v>CE 458,ED4-CE</v>
      </c>
      <c r="J471" s="25"/>
    </row>
    <row r="472" spans="1:10" ht="14.5" x14ac:dyDescent="0.35">
      <c r="A472" s="35"/>
      <c r="B472" s="35"/>
      <c r="D472" s="27" t="s">
        <v>385</v>
      </c>
      <c r="E472" s="35">
        <f>SUM(E463:E471)</f>
        <v>1154</v>
      </c>
      <c r="F472" s="36"/>
      <c r="G472" s="35"/>
      <c r="I472" s="22" t="s">
        <v>386</v>
      </c>
      <c r="J472" s="25"/>
    </row>
    <row r="473" spans="1:10" ht="14.5" x14ac:dyDescent="0.35">
      <c r="A473" s="14" t="s">
        <v>387</v>
      </c>
      <c r="B473" s="14"/>
      <c r="C473" s="14"/>
      <c r="D473" s="14"/>
      <c r="E473" s="14"/>
      <c r="F473" s="14"/>
      <c r="G473" s="14"/>
      <c r="I473" s="22" t="s">
        <v>388</v>
      </c>
      <c r="J473" s="25"/>
    </row>
    <row r="474" spans="1:10" ht="14.5" x14ac:dyDescent="0.35">
      <c r="A474" s="14" t="s">
        <v>2</v>
      </c>
      <c r="B474" s="14"/>
      <c r="C474" s="14"/>
      <c r="D474" s="14"/>
      <c r="E474" s="14"/>
      <c r="F474" s="14"/>
      <c r="G474" s="14"/>
      <c r="I474" s="22" t="s">
        <v>149</v>
      </c>
      <c r="J474" s="25"/>
    </row>
    <row r="475" spans="1:10" ht="14.5" x14ac:dyDescent="0.35">
      <c r="A475" s="24" t="s">
        <v>4</v>
      </c>
      <c r="B475" s="24" t="s">
        <v>5</v>
      </c>
      <c r="C475" s="16" t="s">
        <v>6</v>
      </c>
      <c r="D475" s="24" t="s">
        <v>7</v>
      </c>
      <c r="E475" s="24" t="s">
        <v>8</v>
      </c>
      <c r="F475" s="16" t="s">
        <v>9</v>
      </c>
      <c r="G475" s="24" t="s">
        <v>10</v>
      </c>
      <c r="I475" s="22" t="s">
        <v>31</v>
      </c>
      <c r="J475" s="25"/>
    </row>
    <row r="476" spans="1:10" ht="14.5" x14ac:dyDescent="0.35">
      <c r="A476" s="26" t="s">
        <v>389</v>
      </c>
      <c r="B476" s="31" t="str">
        <f t="array" ref="B476:B485">IFERROR(VLOOKUP(I476:I485,Lectures_1!A2:F534,2,FALSE()),0)</f>
        <v>STRENGTH OF MATERIALS II</v>
      </c>
      <c r="C476" s="27" t="str">
        <f t="array" ref="C476:C485">IFERROR(VLOOKUP(I476:I485,Lectures_1!A2:F534,3,FALSE()),0)</f>
        <v>Tay Godwin Fabiola Kwaku</v>
      </c>
      <c r="D476" s="26" t="s">
        <v>61</v>
      </c>
      <c r="E476" s="28">
        <f t="array" ref="E476:E485">IFERROR(VLOOKUP(I476:I485,Lectures_1!A2:F534,4,FALSE()),0)</f>
        <v>222</v>
      </c>
      <c r="F476" s="32"/>
      <c r="G476" s="30">
        <f t="shared" ref="G476:G485" si="60">E476*1.1</f>
        <v>244.20000000000002</v>
      </c>
      <c r="I476" s="20" t="str">
        <f t="shared" ref="I476:I485" si="61">CONCATENATE(A476,",",D476)</f>
        <v>ME 356,ED3-ME</v>
      </c>
      <c r="J476" s="25"/>
    </row>
    <row r="477" spans="1:10" ht="14.5" x14ac:dyDescent="0.35">
      <c r="A477" s="26" t="s">
        <v>390</v>
      </c>
      <c r="B477" s="27" t="str">
        <v>PHYSICAL METALLURGY OF NON-FERROUS METALS</v>
      </c>
      <c r="C477" s="31" t="str">
        <v>Agyemang Frank Ofori</v>
      </c>
      <c r="D477" s="26" t="s">
        <v>142</v>
      </c>
      <c r="E477" s="28">
        <v>87</v>
      </c>
      <c r="F477" s="32"/>
      <c r="G477" s="30">
        <f t="shared" si="60"/>
        <v>95.7</v>
      </c>
      <c r="I477" s="20" t="str">
        <f t="shared" si="61"/>
        <v>METE 354,ED3-METE</v>
      </c>
      <c r="J477" s="25"/>
    </row>
    <row r="478" spans="1:10" ht="14.5" x14ac:dyDescent="0.35">
      <c r="A478" s="26" t="s">
        <v>391</v>
      </c>
      <c r="B478" s="27" t="str">
        <v>COMPUTER NETWORKING</v>
      </c>
      <c r="C478" s="31" t="str">
        <v>Kwasi Adu-Boahen Opare</v>
      </c>
      <c r="D478" s="26" t="s">
        <v>119</v>
      </c>
      <c r="E478" s="28">
        <v>140</v>
      </c>
      <c r="F478" s="32"/>
      <c r="G478" s="30">
        <f t="shared" si="60"/>
        <v>154</v>
      </c>
      <c r="I478" s="20" t="str">
        <f t="shared" si="61"/>
        <v>TE 374,ED3-TEL</v>
      </c>
      <c r="J478" s="25"/>
    </row>
    <row r="479" spans="1:10" ht="18" customHeight="1" x14ac:dyDescent="0.35">
      <c r="A479" s="26" t="s">
        <v>392</v>
      </c>
      <c r="B479" s="27" t="str">
        <v>BASIC MECHANICS</v>
      </c>
      <c r="C479" s="31" t="str">
        <v>Oppong David Kofi</v>
      </c>
      <c r="D479" s="26" t="s">
        <v>131</v>
      </c>
      <c r="E479" s="28">
        <v>128</v>
      </c>
      <c r="F479" s="32"/>
      <c r="G479" s="30">
        <f t="shared" si="60"/>
        <v>140.80000000000001</v>
      </c>
      <c r="I479" s="20" t="str">
        <f t="shared" si="61"/>
        <v>ME 162,ED1-AE</v>
      </c>
      <c r="J479" s="25"/>
    </row>
    <row r="480" spans="1:10" ht="14.5" x14ac:dyDescent="0.35">
      <c r="A480" s="26" t="s">
        <v>392</v>
      </c>
      <c r="B480" s="31" t="str">
        <v>BASIC MECHANICS</v>
      </c>
      <c r="C480" s="27" t="str">
        <v>Oppong David Kofi</v>
      </c>
      <c r="D480" s="26" t="s">
        <v>80</v>
      </c>
      <c r="E480" s="28">
        <v>120</v>
      </c>
      <c r="F480" s="32"/>
      <c r="G480" s="30">
        <f t="shared" si="60"/>
        <v>132</v>
      </c>
      <c r="H480" s="49"/>
      <c r="I480" s="20" t="str">
        <f t="shared" si="61"/>
        <v>ME 162,ED1-CHE</v>
      </c>
      <c r="J480" s="25"/>
    </row>
    <row r="481" spans="1:10" ht="14.5" x14ac:dyDescent="0.35">
      <c r="A481" s="26" t="s">
        <v>268</v>
      </c>
      <c r="B481" s="31" t="str">
        <v>STATICS OF SOLID MECHANICS</v>
      </c>
      <c r="C481" s="27" t="str">
        <v>Oppong David Kofi</v>
      </c>
      <c r="D481" s="26" t="s">
        <v>162</v>
      </c>
      <c r="E481" s="28">
        <v>85</v>
      </c>
      <c r="F481" s="32"/>
      <c r="G481" s="30">
        <f t="shared" si="60"/>
        <v>93.500000000000014</v>
      </c>
      <c r="H481" s="49"/>
      <c r="I481" s="20" t="str">
        <f t="shared" si="61"/>
        <v>ME 164,ED1-AUTO</v>
      </c>
      <c r="J481" s="25"/>
    </row>
    <row r="482" spans="1:10" ht="14.5" x14ac:dyDescent="0.35">
      <c r="A482" s="26" t="s">
        <v>393</v>
      </c>
      <c r="B482" s="27" t="str">
        <v>NATURAL GAS ENGINEERING</v>
      </c>
      <c r="C482" s="27" t="str">
        <v>Ankudey Emmanuel Godwin</v>
      </c>
      <c r="D482" s="26" t="s">
        <v>63</v>
      </c>
      <c r="E482" s="28">
        <v>53</v>
      </c>
      <c r="F482" s="32"/>
      <c r="G482" s="30">
        <f t="shared" si="60"/>
        <v>58.300000000000004</v>
      </c>
      <c r="H482" s="54"/>
      <c r="I482" s="20" t="str">
        <f t="shared" si="61"/>
        <v>PETE 450,ED3-PCE</v>
      </c>
      <c r="J482" s="25"/>
    </row>
    <row r="483" spans="1:10" ht="14.5" x14ac:dyDescent="0.35">
      <c r="A483" s="26" t="s">
        <v>394</v>
      </c>
      <c r="B483" s="31" t="str">
        <v>FLUID DYNAMICS I</v>
      </c>
      <c r="C483" s="31" t="str">
        <v>Fiagbe Yesuenyeagbe Atsu Kwabla</v>
      </c>
      <c r="D483" s="26" t="s">
        <v>38</v>
      </c>
      <c r="E483" s="28">
        <v>80</v>
      </c>
      <c r="F483" s="32"/>
      <c r="G483" s="30">
        <f t="shared" si="60"/>
        <v>88</v>
      </c>
      <c r="I483" s="20" t="str">
        <f t="shared" si="61"/>
        <v>ME 252,ED2-IND</v>
      </c>
      <c r="J483" s="25"/>
    </row>
    <row r="484" spans="1:10" ht="14.5" x14ac:dyDescent="0.35">
      <c r="A484" s="26" t="s">
        <v>394</v>
      </c>
      <c r="B484" s="31" t="str">
        <v>FLUID DYNAMICS I</v>
      </c>
      <c r="C484" s="31" t="str">
        <v>Fiagbe Yesuenyeagbe Atsu Kwabla</v>
      </c>
      <c r="D484" s="26" t="s">
        <v>42</v>
      </c>
      <c r="E484" s="28">
        <v>37</v>
      </c>
      <c r="F484" s="32"/>
      <c r="G484" s="30">
        <f t="shared" si="60"/>
        <v>40.700000000000003</v>
      </c>
      <c r="I484" s="20" t="str">
        <f t="shared" si="61"/>
        <v>ME 252,ED2-MARI</v>
      </c>
      <c r="J484" s="25"/>
    </row>
    <row r="485" spans="1:10" ht="14.5" x14ac:dyDescent="0.35">
      <c r="A485" s="26" t="s">
        <v>394</v>
      </c>
      <c r="B485" s="31" t="str">
        <v>FLUID DYNAMICS I</v>
      </c>
      <c r="C485" s="31" t="str">
        <v>Fiagbe Yesuenyeagbe Atsu Kwabla</v>
      </c>
      <c r="D485" s="26" t="s">
        <v>33</v>
      </c>
      <c r="E485" s="28">
        <v>240</v>
      </c>
      <c r="F485" s="32"/>
      <c r="G485" s="30">
        <f t="shared" si="60"/>
        <v>264</v>
      </c>
      <c r="I485" s="20" t="str">
        <f t="shared" si="61"/>
        <v>ME 252,ED2-ME</v>
      </c>
      <c r="J485" s="25"/>
    </row>
    <row r="486" spans="1:10" ht="14.5" x14ac:dyDescent="0.35">
      <c r="A486" s="35"/>
      <c r="B486" s="35"/>
      <c r="D486" s="27" t="s">
        <v>395</v>
      </c>
      <c r="E486" s="35">
        <f>SUM(E476:E485)</f>
        <v>1192</v>
      </c>
      <c r="F486" s="36"/>
      <c r="G486" s="35"/>
      <c r="I486" s="22" t="s">
        <v>396</v>
      </c>
      <c r="J486" s="25"/>
    </row>
    <row r="487" spans="1:10" ht="14.5" x14ac:dyDescent="0.35">
      <c r="G487" s="15"/>
      <c r="J487" s="50"/>
    </row>
    <row r="488" spans="1:10" ht="15" customHeight="1" x14ac:dyDescent="0.3">
      <c r="G488" s="15"/>
    </row>
    <row r="489" spans="1:10" ht="14.5" x14ac:dyDescent="0.35">
      <c r="A489" s="14" t="s">
        <v>387</v>
      </c>
      <c r="B489" s="14"/>
      <c r="C489" s="14"/>
      <c r="D489" s="14"/>
      <c r="E489" s="14"/>
      <c r="F489" s="14"/>
      <c r="G489" s="14"/>
      <c r="I489" s="22" t="s">
        <v>388</v>
      </c>
      <c r="J489" s="25"/>
    </row>
    <row r="490" spans="1:10" ht="14.5" x14ac:dyDescent="0.35">
      <c r="A490" s="14" t="s">
        <v>29</v>
      </c>
      <c r="B490" s="14"/>
      <c r="C490" s="14"/>
      <c r="D490" s="14"/>
      <c r="E490" s="14"/>
      <c r="F490" s="14"/>
      <c r="G490" s="14"/>
      <c r="I490" s="22" t="s">
        <v>30</v>
      </c>
      <c r="J490" s="25"/>
    </row>
    <row r="491" spans="1:10" ht="14.5" x14ac:dyDescent="0.35">
      <c r="A491" s="24" t="s">
        <v>4</v>
      </c>
      <c r="B491" s="24" t="s">
        <v>5</v>
      </c>
      <c r="C491" s="16" t="s">
        <v>6</v>
      </c>
      <c r="D491" s="24" t="s">
        <v>7</v>
      </c>
      <c r="E491" s="24" t="s">
        <v>8</v>
      </c>
      <c r="F491" s="16" t="s">
        <v>9</v>
      </c>
      <c r="G491" s="24" t="s">
        <v>10</v>
      </c>
      <c r="I491" s="22" t="s">
        <v>31</v>
      </c>
      <c r="J491" s="25"/>
    </row>
    <row r="492" spans="1:10" ht="14.5" x14ac:dyDescent="0.35">
      <c r="A492" s="26" t="s">
        <v>397</v>
      </c>
      <c r="B492" s="27" t="str">
        <f t="array" ref="B492:B501">IFERROR(VLOOKUP(I492:I501,Lectures_1!A2:F534,2,FALSE()),0)</f>
        <v>CHEMICAL ENGINEERING THERMODYNAMICS II</v>
      </c>
      <c r="C492" s="27" t="str">
        <f t="array" ref="C492:C501">IFERROR(VLOOKUP(I492:I501,Lectures_1!A2:F534,3,FALSE()),0)</f>
        <v>Eunice Sefakor Aku Dogbe</v>
      </c>
      <c r="D492" s="26" t="s">
        <v>14</v>
      </c>
      <c r="E492" s="28">
        <f t="array" ref="E492:E501">IFERROR(VLOOKUP(I492:I501,Lectures_1!A2:F534,4,FALSE()),0)</f>
        <v>65</v>
      </c>
      <c r="F492" s="32"/>
      <c r="G492" s="30">
        <f t="shared" ref="G492:G501" si="62">E492*1.1</f>
        <v>71.5</v>
      </c>
      <c r="H492" s="54"/>
      <c r="I492" s="20" t="str">
        <f t="shared" ref="I492:I501" si="63">CONCATENATE(A492,",",D492)</f>
        <v>CHE 254,ED2-PCE</v>
      </c>
      <c r="J492" s="25"/>
    </row>
    <row r="493" spans="1:10" ht="14.5" x14ac:dyDescent="0.35">
      <c r="A493" s="26" t="s">
        <v>398</v>
      </c>
      <c r="B493" s="31" t="str">
        <v>PETROLEUM ENGINEERING THERMODYNAMICS II</v>
      </c>
      <c r="C493" s="31" t="str">
        <v>Sokama-Neuyam Yen Adams</v>
      </c>
      <c r="D493" s="26" t="s">
        <v>93</v>
      </c>
      <c r="E493" s="28">
        <v>95</v>
      </c>
      <c r="F493" s="26"/>
      <c r="G493" s="30">
        <f t="shared" si="62"/>
        <v>104.50000000000001</v>
      </c>
      <c r="I493" s="20" t="str">
        <f t="shared" si="63"/>
        <v>PE 258,ED2-PE</v>
      </c>
      <c r="J493" s="25"/>
    </row>
    <row r="494" spans="1:10" ht="14.5" x14ac:dyDescent="0.35">
      <c r="A494" s="26" t="s">
        <v>399</v>
      </c>
      <c r="B494" s="27" t="str">
        <v>ROCK ENGINEERING</v>
      </c>
      <c r="C494" s="31" t="str">
        <v>Gidigasu Solomon Senyo Robert</v>
      </c>
      <c r="D494" s="26" t="s">
        <v>55</v>
      </c>
      <c r="E494" s="28">
        <v>150</v>
      </c>
      <c r="F494" s="57"/>
      <c r="G494" s="30">
        <f t="shared" si="62"/>
        <v>165</v>
      </c>
      <c r="H494" s="58"/>
      <c r="I494" s="20" t="str">
        <f t="shared" si="63"/>
        <v>GED 254,ED2-GEOL</v>
      </c>
      <c r="J494" s="25"/>
    </row>
    <row r="495" spans="1:10" ht="14.5" x14ac:dyDescent="0.35">
      <c r="A495" s="26" t="s">
        <v>392</v>
      </c>
      <c r="B495" s="27" t="str">
        <v>BASIC MECHANICS</v>
      </c>
      <c r="C495" s="27" t="str">
        <v>Quansah David Ato</v>
      </c>
      <c r="D495" s="26" t="s">
        <v>82</v>
      </c>
      <c r="E495" s="28">
        <v>130</v>
      </c>
      <c r="F495" s="32"/>
      <c r="G495" s="30">
        <f t="shared" si="62"/>
        <v>143</v>
      </c>
      <c r="I495" s="20" t="str">
        <f t="shared" si="63"/>
        <v>ME 162,ED1-PE</v>
      </c>
      <c r="J495" s="25"/>
    </row>
    <row r="496" spans="1:10" ht="14.5" x14ac:dyDescent="0.35">
      <c r="A496" s="26" t="s">
        <v>392</v>
      </c>
      <c r="B496" s="27" t="str">
        <v>BASIC MECHANICS</v>
      </c>
      <c r="C496" s="27" t="str">
        <v>Quansah David Ato</v>
      </c>
      <c r="D496" s="26" t="s">
        <v>115</v>
      </c>
      <c r="E496" s="28">
        <v>100</v>
      </c>
      <c r="F496" s="32"/>
      <c r="G496" s="30">
        <f t="shared" si="62"/>
        <v>110.00000000000001</v>
      </c>
      <c r="I496" s="20" t="str">
        <f t="shared" si="63"/>
        <v>ME 162,ED1-MSE</v>
      </c>
      <c r="J496" s="25"/>
    </row>
    <row r="497" spans="1:10" ht="14.5" x14ac:dyDescent="0.35">
      <c r="A497" s="26" t="s">
        <v>400</v>
      </c>
      <c r="B497" s="31" t="str">
        <v>STEEL AND TIMBER DESIGN</v>
      </c>
      <c r="C497" s="31" t="str">
        <v>Mark Adom-Asamoah</v>
      </c>
      <c r="D497" s="26" t="s">
        <v>157</v>
      </c>
      <c r="E497" s="28">
        <v>230</v>
      </c>
      <c r="F497" s="47"/>
      <c r="G497" s="30">
        <f t="shared" si="62"/>
        <v>253.00000000000003</v>
      </c>
      <c r="H497" s="17"/>
      <c r="I497" s="20" t="str">
        <f t="shared" si="63"/>
        <v>CE 352,ED3-CE</v>
      </c>
      <c r="J497" s="25"/>
    </row>
    <row r="498" spans="1:10" ht="14.5" x14ac:dyDescent="0.35">
      <c r="A498" s="26" t="s">
        <v>401</v>
      </c>
      <c r="B498" s="27" t="str">
        <v>MILLIMETERWAVE TECHNOLOGY</v>
      </c>
      <c r="C498" s="27" t="str">
        <v>Abdul-Rahman Ahmed</v>
      </c>
      <c r="D498" s="26" t="s">
        <v>227</v>
      </c>
      <c r="E498" s="28">
        <v>33</v>
      </c>
      <c r="F498" s="32"/>
      <c r="G498" s="30">
        <f t="shared" si="62"/>
        <v>36.300000000000004</v>
      </c>
      <c r="I498" s="20" t="str">
        <f t="shared" si="63"/>
        <v>TE 468,ED4-TEL</v>
      </c>
      <c r="J498" s="25"/>
    </row>
    <row r="499" spans="1:10" ht="14.5" x14ac:dyDescent="0.35">
      <c r="A499" s="26" t="s">
        <v>402</v>
      </c>
      <c r="B499" s="27" t="str">
        <v>QUALITY ASSURANCE</v>
      </c>
      <c r="C499" s="27" t="str">
        <v>Sackey Samuel Mensah</v>
      </c>
      <c r="D499" s="26" t="s">
        <v>121</v>
      </c>
      <c r="E499" s="28">
        <v>70</v>
      </c>
      <c r="F499" s="32"/>
      <c r="G499" s="30">
        <f t="shared" si="62"/>
        <v>77</v>
      </c>
      <c r="I499" s="20" t="str">
        <f t="shared" si="63"/>
        <v>IE 360,ED3-IND</v>
      </c>
      <c r="J499" s="25"/>
    </row>
    <row r="500" spans="1:10" ht="14.5" x14ac:dyDescent="0.35">
      <c r="A500" s="26" t="s">
        <v>403</v>
      </c>
      <c r="B500" s="27" t="str">
        <v>METALLURGICAL RATE PROCESSES/SURFACE PHENOMENA</v>
      </c>
      <c r="C500" s="27" t="str">
        <v>Patrick Aggrey</v>
      </c>
      <c r="D500" s="26" t="s">
        <v>101</v>
      </c>
      <c r="E500" s="28">
        <v>57</v>
      </c>
      <c r="F500" s="32"/>
      <c r="G500" s="30">
        <f t="shared" si="62"/>
        <v>62.7</v>
      </c>
      <c r="I500" s="20" t="str">
        <f t="shared" si="63"/>
        <v>METE 252,ED2-METE</v>
      </c>
      <c r="J500" s="25"/>
    </row>
    <row r="501" spans="1:10" ht="14.5" x14ac:dyDescent="0.35">
      <c r="A501" s="26" t="s">
        <v>404</v>
      </c>
      <c r="B501" s="27" t="str">
        <v>CONSTRUCTION MANAGEMENT</v>
      </c>
      <c r="C501" s="27" t="str">
        <v>Obeng Daniel Atuah</v>
      </c>
      <c r="D501" s="26" t="s">
        <v>103</v>
      </c>
      <c r="E501" s="28">
        <v>240</v>
      </c>
      <c r="F501" s="47"/>
      <c r="G501" s="30">
        <f t="shared" si="62"/>
        <v>264</v>
      </c>
      <c r="I501" s="20" t="str">
        <f t="shared" si="63"/>
        <v>CE 462,ED4-CE</v>
      </c>
      <c r="J501" s="25"/>
    </row>
    <row r="502" spans="1:10" ht="14.5" x14ac:dyDescent="0.35">
      <c r="A502" s="35"/>
      <c r="B502" s="35"/>
      <c r="D502" s="27" t="s">
        <v>405</v>
      </c>
      <c r="E502" s="35">
        <f>SUM(E492:E501)</f>
        <v>1170</v>
      </c>
      <c r="F502" s="36"/>
      <c r="G502" s="35"/>
      <c r="I502" s="22"/>
      <c r="J502" s="25"/>
    </row>
    <row r="503" spans="1:10" ht="14.5" x14ac:dyDescent="0.35">
      <c r="A503" s="14" t="s">
        <v>387</v>
      </c>
      <c r="B503" s="14"/>
      <c r="C503" s="14"/>
      <c r="D503" s="14"/>
      <c r="E503" s="14"/>
      <c r="F503" s="14"/>
      <c r="G503" s="14"/>
      <c r="I503" s="22" t="s">
        <v>388</v>
      </c>
      <c r="J503" s="25"/>
    </row>
    <row r="504" spans="1:10" ht="14.5" x14ac:dyDescent="0.35">
      <c r="A504" s="14" t="s">
        <v>59</v>
      </c>
      <c r="B504" s="14"/>
      <c r="C504" s="14"/>
      <c r="D504" s="14"/>
      <c r="E504" s="14"/>
      <c r="F504" s="14"/>
      <c r="G504" s="14"/>
      <c r="I504" s="22" t="s">
        <v>128</v>
      </c>
      <c r="J504" s="25"/>
    </row>
    <row r="505" spans="1:10" ht="16.5" customHeight="1" x14ac:dyDescent="0.35">
      <c r="A505" s="24" t="s">
        <v>4</v>
      </c>
      <c r="B505" s="24" t="s">
        <v>5</v>
      </c>
      <c r="C505" s="16" t="s">
        <v>6</v>
      </c>
      <c r="D505" s="24" t="s">
        <v>7</v>
      </c>
      <c r="E505" s="24" t="s">
        <v>8</v>
      </c>
      <c r="F505" s="16" t="s">
        <v>9</v>
      </c>
      <c r="G505" s="24" t="s">
        <v>10</v>
      </c>
      <c r="I505" s="22" t="s">
        <v>31</v>
      </c>
      <c r="J505" s="25"/>
    </row>
    <row r="506" spans="1:10" ht="14.5" x14ac:dyDescent="0.35">
      <c r="A506" s="26" t="s">
        <v>397</v>
      </c>
      <c r="B506" s="27" t="str">
        <f t="array" ref="B506:B524">IFERROR(VLOOKUP(I506:I524,Lectures_1!A2:F534,2,FALSE()),0)</f>
        <v>CHEMICAL ENGINEERING THERMODYNAMICS II</v>
      </c>
      <c r="C506" s="27" t="str">
        <f t="array" ref="C506:C524">IFERROR(VLOOKUP(I506:I524,Lectures_1!A2:F534,3,FALSE()),0)</f>
        <v>Bonsu Jude Kwaku</v>
      </c>
      <c r="D506" s="26" t="s">
        <v>13</v>
      </c>
      <c r="E506" s="28">
        <f t="array" ref="E506:E524">IFERROR(VLOOKUP(I506:I524,Lectures_1!A2:F534,4,FALSE()),0)</f>
        <v>160</v>
      </c>
      <c r="F506" s="33" t="s">
        <v>34</v>
      </c>
      <c r="G506" s="30">
        <f t="shared" ref="G506:G524" si="64">E506*1.1</f>
        <v>176</v>
      </c>
      <c r="I506" s="20" t="str">
        <f t="shared" ref="I506:I524" si="65">CONCATENATE(A506,",",D506)</f>
        <v>CHE 254,ED2-CHE</v>
      </c>
      <c r="J506" s="25"/>
    </row>
    <row r="507" spans="1:10" ht="14.5" x14ac:dyDescent="0.35">
      <c r="A507" s="26" t="s">
        <v>406</v>
      </c>
      <c r="B507" s="31" t="str">
        <v>INTRODUCTORY ECONOMICS II</v>
      </c>
      <c r="C507" s="31" t="str">
        <v>Takyi Paul Owusu</v>
      </c>
      <c r="D507" s="26" t="s">
        <v>25</v>
      </c>
      <c r="E507" s="28">
        <v>150</v>
      </c>
      <c r="F507" s="32"/>
      <c r="G507" s="30">
        <f t="shared" si="64"/>
        <v>165</v>
      </c>
      <c r="H507" s="17"/>
      <c r="I507" s="20" t="str">
        <f t="shared" si="65"/>
        <v>ECON 152,ED2-EE</v>
      </c>
      <c r="J507" s="25"/>
    </row>
    <row r="508" spans="1:10" ht="14.5" x14ac:dyDescent="0.35">
      <c r="A508" s="26" t="s">
        <v>406</v>
      </c>
      <c r="B508" s="31" t="str">
        <v>ELEMENTS OF ECONOMICS II</v>
      </c>
      <c r="C508" s="31" t="str">
        <v>Edward Yeboah</v>
      </c>
      <c r="D508" s="26" t="s">
        <v>77</v>
      </c>
      <c r="E508" s="28">
        <v>15</v>
      </c>
      <c r="F508" s="32"/>
      <c r="G508" s="30">
        <f t="shared" si="64"/>
        <v>16.5</v>
      </c>
      <c r="H508" s="17"/>
      <c r="I508" s="20" t="str">
        <f t="shared" si="65"/>
        <v>ECON 152,ED3-GEOM</v>
      </c>
      <c r="J508" s="25"/>
    </row>
    <row r="509" spans="1:10" ht="14.5" x14ac:dyDescent="0.35">
      <c r="A509" s="26" t="s">
        <v>406</v>
      </c>
      <c r="B509" s="31" t="str">
        <v>INTRODUCTION TO ECONOMICS II</v>
      </c>
      <c r="C509" s="31" t="str">
        <v>Takyi Paul Owusu</v>
      </c>
      <c r="D509" s="26" t="s">
        <v>75</v>
      </c>
      <c r="E509" s="28">
        <v>32</v>
      </c>
      <c r="F509" s="32"/>
      <c r="G509" s="30">
        <f t="shared" si="64"/>
        <v>35.200000000000003</v>
      </c>
      <c r="H509" s="17"/>
      <c r="I509" s="20" t="str">
        <f t="shared" si="65"/>
        <v>ECON 152,ED1-CE</v>
      </c>
      <c r="J509" s="25"/>
    </row>
    <row r="510" spans="1:10" ht="14.5" x14ac:dyDescent="0.35">
      <c r="A510" s="26" t="s">
        <v>406</v>
      </c>
      <c r="B510" s="31" t="str">
        <v>INTRODUCTORY ECONOMICS II</v>
      </c>
      <c r="C510" s="31" t="str">
        <v>Beatrice Sarpong-Danquah</v>
      </c>
      <c r="D510" s="26" t="s">
        <v>126</v>
      </c>
      <c r="E510" s="28">
        <v>30</v>
      </c>
      <c r="F510" s="19"/>
      <c r="G510" s="30">
        <f t="shared" si="64"/>
        <v>33</v>
      </c>
      <c r="H510" s="17"/>
      <c r="I510" s="20" t="str">
        <f t="shared" si="65"/>
        <v>ECON 152,ED1-GEOL</v>
      </c>
      <c r="J510" s="25"/>
    </row>
    <row r="511" spans="1:10" ht="14.5" x14ac:dyDescent="0.35">
      <c r="A511" s="26" t="s">
        <v>406</v>
      </c>
      <c r="B511" s="31" t="str">
        <v>ELEMENTS OF ECONOMICS II</v>
      </c>
      <c r="C511" s="31" t="str">
        <v>Paul Owusu Takyi</v>
      </c>
      <c r="D511" s="26" t="s">
        <v>109</v>
      </c>
      <c r="E511" s="28">
        <v>20</v>
      </c>
      <c r="F511" s="19"/>
      <c r="G511" s="30">
        <f t="shared" si="64"/>
        <v>22</v>
      </c>
      <c r="H511" s="17"/>
      <c r="I511" s="20" t="str">
        <f t="shared" si="65"/>
        <v>ECON 152,ED2-BME</v>
      </c>
      <c r="J511" s="25"/>
    </row>
    <row r="512" spans="1:10" ht="14.5" x14ac:dyDescent="0.35">
      <c r="A512" s="26" t="s">
        <v>406</v>
      </c>
      <c r="B512" s="31" t="str">
        <v>INTRODUCTION TO ECONOMICS II</v>
      </c>
      <c r="C512" s="31" t="str">
        <v>Takyi Paul Owusu</v>
      </c>
      <c r="D512" s="26" t="s">
        <v>108</v>
      </c>
      <c r="E512" s="28">
        <v>40</v>
      </c>
      <c r="F512" s="19"/>
      <c r="G512" s="30">
        <f t="shared" si="64"/>
        <v>44</v>
      </c>
      <c r="H512" s="17"/>
      <c r="I512" s="20" t="str">
        <f t="shared" si="65"/>
        <v>ECON 152,ED2-COE</v>
      </c>
      <c r="J512" s="25"/>
    </row>
    <row r="513" spans="1:10" ht="14.5" x14ac:dyDescent="0.35">
      <c r="A513" s="26" t="s">
        <v>406</v>
      </c>
      <c r="B513" s="31" t="str">
        <v>INTRODUCTORY ECONOMICS II</v>
      </c>
      <c r="C513" s="31" t="str">
        <v>Takyi Paul Owusu</v>
      </c>
      <c r="D513" s="26" t="s">
        <v>172</v>
      </c>
      <c r="E513" s="28">
        <v>30</v>
      </c>
      <c r="F513" s="32"/>
      <c r="G513" s="30">
        <f t="shared" si="64"/>
        <v>33</v>
      </c>
      <c r="H513" s="17"/>
      <c r="I513" s="20" t="str">
        <f t="shared" si="65"/>
        <v>ECON 152,ED2-TEL</v>
      </c>
      <c r="J513" s="25"/>
    </row>
    <row r="514" spans="1:10" ht="14.5" x14ac:dyDescent="0.35">
      <c r="A514" s="26" t="s">
        <v>406</v>
      </c>
      <c r="B514" s="31" t="str">
        <v>INTRODUCTORY ECONOMICS II</v>
      </c>
      <c r="C514" s="31" t="str">
        <v>Takyi Paul Owusu</v>
      </c>
      <c r="D514" s="26" t="s">
        <v>73</v>
      </c>
      <c r="E514" s="28">
        <v>80</v>
      </c>
      <c r="F514" s="47"/>
      <c r="G514" s="30">
        <f t="shared" si="64"/>
        <v>88</v>
      </c>
      <c r="H514" s="17"/>
      <c r="I514" s="20" t="str">
        <f t="shared" si="65"/>
        <v>ECON 152,ED3-CHE</v>
      </c>
      <c r="J514" s="25"/>
    </row>
    <row r="515" spans="1:10" ht="14.5" x14ac:dyDescent="0.35">
      <c r="A515" s="26" t="s">
        <v>407</v>
      </c>
      <c r="B515" s="31" t="str">
        <v>INTERNAL COMBUSTION ENGINES</v>
      </c>
      <c r="C515" s="31" t="str">
        <v>Forson Francis Kofi</v>
      </c>
      <c r="D515" s="26" t="s">
        <v>99</v>
      </c>
      <c r="E515" s="28">
        <v>5</v>
      </c>
      <c r="F515" s="32"/>
      <c r="G515" s="30">
        <f t="shared" si="64"/>
        <v>5.5</v>
      </c>
      <c r="H515" s="17"/>
      <c r="I515" s="20" t="str">
        <f t="shared" si="65"/>
        <v>ME 468,ED4-AERO</v>
      </c>
      <c r="J515" s="25"/>
    </row>
    <row r="516" spans="1:10" ht="14.5" x14ac:dyDescent="0.35">
      <c r="A516" s="26" t="s">
        <v>407</v>
      </c>
      <c r="B516" s="31" t="str">
        <v>INTERNAL COMBUSTION ENGINES</v>
      </c>
      <c r="C516" s="31" t="str">
        <v>Forson Francis Kofi</v>
      </c>
      <c r="D516" s="26" t="s">
        <v>67</v>
      </c>
      <c r="E516" s="28">
        <v>40</v>
      </c>
      <c r="F516" s="32"/>
      <c r="G516" s="30">
        <f t="shared" si="64"/>
        <v>44</v>
      </c>
      <c r="H516" s="17"/>
      <c r="I516" s="20" t="str">
        <f t="shared" si="65"/>
        <v>ME 468,ED4-ME</v>
      </c>
      <c r="J516" s="25"/>
    </row>
    <row r="517" spans="1:10" ht="14.5" x14ac:dyDescent="0.35">
      <c r="A517" s="26" t="s">
        <v>408</v>
      </c>
      <c r="B517" s="27" t="str">
        <v>DRILLING ENGINEERING II</v>
      </c>
      <c r="C517" s="31" t="str">
        <v>Erzuah Samuel</v>
      </c>
      <c r="D517" s="26" t="s">
        <v>18</v>
      </c>
      <c r="E517" s="28">
        <v>80</v>
      </c>
      <c r="F517" s="26"/>
      <c r="G517" s="30">
        <f t="shared" si="64"/>
        <v>88</v>
      </c>
      <c r="H517" s="17"/>
      <c r="I517" s="20" t="str">
        <f t="shared" si="65"/>
        <v>PE 354,ED3-PE</v>
      </c>
      <c r="J517" s="25"/>
    </row>
    <row r="518" spans="1:10" ht="14.5" x14ac:dyDescent="0.35">
      <c r="A518" s="26" t="s">
        <v>409</v>
      </c>
      <c r="B518" s="31" t="str">
        <v>PIPELINE ENGINEERING</v>
      </c>
      <c r="C518" s="31" t="str">
        <v>Adjei Stephen</v>
      </c>
      <c r="D518" s="26" t="s">
        <v>46</v>
      </c>
      <c r="E518" s="28">
        <v>99</v>
      </c>
      <c r="F518" s="32" t="s">
        <v>21</v>
      </c>
      <c r="G518" s="30">
        <f t="shared" si="64"/>
        <v>108.9</v>
      </c>
      <c r="H518" s="17"/>
      <c r="I518" s="20" t="str">
        <f t="shared" si="65"/>
        <v>PE 474,ED4-PE</v>
      </c>
      <c r="J518" s="25"/>
    </row>
    <row r="519" spans="1:10" ht="14.5" x14ac:dyDescent="0.35">
      <c r="A519" s="26" t="s">
        <v>410</v>
      </c>
      <c r="B519" s="27" t="str">
        <v>PETROLEUM GEOLOGY</v>
      </c>
      <c r="C519" s="27" t="str">
        <v>Foli Gordon</v>
      </c>
      <c r="D519" s="46" t="s">
        <v>177</v>
      </c>
      <c r="E519" s="28">
        <v>35</v>
      </c>
      <c r="F519" s="32"/>
      <c r="G519" s="30">
        <f t="shared" si="64"/>
        <v>38.5</v>
      </c>
      <c r="I519" s="20" t="str">
        <f t="shared" si="65"/>
        <v>GED 466,ED4-GEOL</v>
      </c>
      <c r="J519" s="25"/>
    </row>
    <row r="520" spans="1:10" ht="14.5" x14ac:dyDescent="0.35">
      <c r="A520" s="26" t="s">
        <v>411</v>
      </c>
      <c r="B520" s="31" t="str">
        <v>BIOMECHANICS II</v>
      </c>
      <c r="C520" s="27" t="str">
        <v>Odame Prince</v>
      </c>
      <c r="D520" s="26" t="s">
        <v>252</v>
      </c>
      <c r="E520" s="28">
        <v>87</v>
      </c>
      <c r="F520" s="32"/>
      <c r="G520" s="30">
        <f t="shared" si="64"/>
        <v>95.7</v>
      </c>
      <c r="H520" s="17"/>
      <c r="I520" s="20" t="str">
        <f t="shared" si="65"/>
        <v>BME 462,ED4-BME</v>
      </c>
      <c r="J520" s="25"/>
    </row>
    <row r="521" spans="1:10" ht="14.5" x14ac:dyDescent="0.35">
      <c r="A521" s="26" t="s">
        <v>412</v>
      </c>
      <c r="B521" s="27" t="str">
        <v>DIGITAL COMPUTER DESIGN</v>
      </c>
      <c r="C521" s="27" t="str">
        <v>Boateng Kwame Osei</v>
      </c>
      <c r="D521" s="26" t="s">
        <v>71</v>
      </c>
      <c r="E521" s="28">
        <v>29</v>
      </c>
      <c r="F521" s="32"/>
      <c r="G521" s="30">
        <f t="shared" si="64"/>
        <v>31.900000000000002</v>
      </c>
      <c r="H521" s="17"/>
      <c r="I521" s="20" t="str">
        <f t="shared" si="65"/>
        <v>COE 382,ED3-EE</v>
      </c>
      <c r="J521" s="25"/>
    </row>
    <row r="522" spans="1:10" ht="14.5" x14ac:dyDescent="0.35">
      <c r="A522" s="26" t="s">
        <v>413</v>
      </c>
      <c r="B522" s="27" t="str">
        <v>DIGITAL SYSTEMS DESIGN II</v>
      </c>
      <c r="C522" s="27" t="str">
        <v>Boateng Kwame Osei</v>
      </c>
      <c r="D522" s="26" t="s">
        <v>16</v>
      </c>
      <c r="E522" s="28">
        <v>265</v>
      </c>
      <c r="F522" s="32"/>
      <c r="G522" s="30">
        <f t="shared" si="64"/>
        <v>291.5</v>
      </c>
      <c r="H522" s="17"/>
      <c r="I522" s="20" t="str">
        <f t="shared" si="65"/>
        <v>COE 372,ED3-COE</v>
      </c>
      <c r="J522" s="25"/>
    </row>
    <row r="523" spans="1:10" ht="14.5" x14ac:dyDescent="0.35">
      <c r="A523" s="26" t="s">
        <v>414</v>
      </c>
      <c r="B523" s="27" t="str">
        <v>GLASS AND CEMENT TECHNOLOGIES</v>
      </c>
      <c r="C523" s="31" t="str">
        <v>Andrews Anthony</v>
      </c>
      <c r="D523" s="26" t="s">
        <v>140</v>
      </c>
      <c r="E523" s="28">
        <v>85</v>
      </c>
      <c r="F523" s="19"/>
      <c r="G523" s="30">
        <f t="shared" si="64"/>
        <v>93.500000000000014</v>
      </c>
      <c r="H523" s="17"/>
      <c r="I523" s="20" t="str">
        <f t="shared" si="65"/>
        <v>MSE 352,ED3-MSE</v>
      </c>
      <c r="J523" s="25"/>
    </row>
    <row r="524" spans="1:10" ht="14.5" x14ac:dyDescent="0.35">
      <c r="A524" s="26" t="s">
        <v>415</v>
      </c>
      <c r="B524" s="31" t="str">
        <v>PHARMACEUTICAL TECHNOLOGY</v>
      </c>
      <c r="C524" s="31" t="str">
        <v>Johnson Raphael</v>
      </c>
      <c r="D524" s="26" t="s">
        <v>48</v>
      </c>
      <c r="E524" s="28">
        <v>71</v>
      </c>
      <c r="F524" s="32"/>
      <c r="G524" s="30">
        <f t="shared" si="64"/>
        <v>78.100000000000009</v>
      </c>
      <c r="H524" s="17"/>
      <c r="I524" s="20" t="str">
        <f t="shared" si="65"/>
        <v>CHE 470,ED4-CHE</v>
      </c>
      <c r="J524" s="25"/>
    </row>
    <row r="525" spans="1:10" ht="14.5" x14ac:dyDescent="0.35">
      <c r="A525" s="35"/>
      <c r="B525" s="35"/>
      <c r="D525" s="27" t="s">
        <v>416</v>
      </c>
      <c r="E525" s="35">
        <f>SUM(E507:E524)</f>
        <v>1193</v>
      </c>
      <c r="F525" s="36"/>
      <c r="G525" s="35"/>
      <c r="I525" s="22" t="s">
        <v>417</v>
      </c>
      <c r="J525" s="25"/>
    </row>
    <row r="526" spans="1:10" ht="14.5" x14ac:dyDescent="0.35">
      <c r="A526" s="14" t="s">
        <v>418</v>
      </c>
      <c r="B526" s="14"/>
      <c r="C526" s="14"/>
      <c r="D526" s="14"/>
      <c r="E526" s="14"/>
      <c r="F526" s="14"/>
      <c r="G526" s="14"/>
      <c r="I526" s="22" t="s">
        <v>419</v>
      </c>
      <c r="J526" s="25"/>
    </row>
    <row r="527" spans="1:10" ht="14.5" x14ac:dyDescent="0.35">
      <c r="A527" s="14" t="s">
        <v>2</v>
      </c>
      <c r="B527" s="14"/>
      <c r="C527" s="14"/>
      <c r="D527" s="14"/>
      <c r="E527" s="14"/>
      <c r="F527" s="14"/>
      <c r="G527" s="14"/>
      <c r="I527" s="22" t="s">
        <v>149</v>
      </c>
      <c r="J527" s="25"/>
    </row>
    <row r="528" spans="1:10" ht="14.5" x14ac:dyDescent="0.35">
      <c r="A528" s="24" t="s">
        <v>4</v>
      </c>
      <c r="B528" s="24" t="s">
        <v>5</v>
      </c>
      <c r="C528" s="16" t="s">
        <v>6</v>
      </c>
      <c r="D528" s="24" t="s">
        <v>7</v>
      </c>
      <c r="E528" s="24" t="s">
        <v>8</v>
      </c>
      <c r="F528" s="16" t="s">
        <v>9</v>
      </c>
      <c r="G528" s="24" t="s">
        <v>10</v>
      </c>
      <c r="I528" s="22" t="s">
        <v>31</v>
      </c>
      <c r="J528" s="25"/>
    </row>
    <row r="529" spans="1:10" ht="14.5" x14ac:dyDescent="0.35">
      <c r="A529" s="26" t="s">
        <v>420</v>
      </c>
      <c r="B529" s="31" t="str">
        <f t="array" ref="B529:B540">IFERROR(VLOOKUP(I529:I540,Lectures_1!A2:F534,2,FALSE()),0)</f>
        <v>THERMODYNAMICS I</v>
      </c>
      <c r="C529" s="27" t="str">
        <f t="array" ref="C529:C540">IFERROR(VLOOKUP(I529:I540,Lectures_1!A2:F534,3,FALSE()),0)</f>
        <v>Amoabeng Kofi Owura</v>
      </c>
      <c r="D529" s="26" t="s">
        <v>38</v>
      </c>
      <c r="E529" s="28">
        <f t="array" ref="E529:E540">IFERROR(VLOOKUP(I529:I540,Lectures_1!A2:F534,4,FALSE()),0)</f>
        <v>80</v>
      </c>
      <c r="F529" s="32"/>
      <c r="G529" s="30">
        <f t="shared" ref="G529:G540" si="66">E529*1.1</f>
        <v>88</v>
      </c>
      <c r="H529" s="17"/>
      <c r="I529" s="20" t="str">
        <f t="shared" ref="I529:I540" si="67">CONCATENATE(A529,",",D529)</f>
        <v>ME 266,ED2-IND</v>
      </c>
      <c r="J529" s="25"/>
    </row>
    <row r="530" spans="1:10" ht="14.5" x14ac:dyDescent="0.35">
      <c r="A530" s="26" t="s">
        <v>420</v>
      </c>
      <c r="B530" s="31" t="str">
        <v>THERMODYNAMICS I</v>
      </c>
      <c r="C530" s="27" t="str">
        <v>Amoabeng Kofi Owura</v>
      </c>
      <c r="D530" s="26" t="s">
        <v>33</v>
      </c>
      <c r="E530" s="28">
        <v>240</v>
      </c>
      <c r="F530" s="32"/>
      <c r="G530" s="30">
        <f t="shared" si="66"/>
        <v>264</v>
      </c>
      <c r="H530" s="17"/>
      <c r="I530" s="20" t="str">
        <f t="shared" si="67"/>
        <v>ME 266,ED2-ME</v>
      </c>
      <c r="J530" s="25"/>
    </row>
    <row r="531" spans="1:10" ht="14.5" x14ac:dyDescent="0.35">
      <c r="A531" s="26" t="s">
        <v>421</v>
      </c>
      <c r="B531" s="27" t="str">
        <v xml:space="preserve">APPLIED THERMODYNAMICS </v>
      </c>
      <c r="C531" s="31" t="str">
        <v>Amoabeng Kofi Owura</v>
      </c>
      <c r="D531" s="32" t="s">
        <v>130</v>
      </c>
      <c r="E531" s="28">
        <v>136</v>
      </c>
      <c r="F531" s="42"/>
      <c r="G531" s="30">
        <f t="shared" si="66"/>
        <v>149.60000000000002</v>
      </c>
      <c r="H531" s="42"/>
      <c r="I531" s="20" t="str">
        <f t="shared" si="67"/>
        <v>ME 166,ED1-BME</v>
      </c>
      <c r="J531" s="25"/>
    </row>
    <row r="532" spans="1:10" ht="14.5" x14ac:dyDescent="0.35">
      <c r="A532" s="26" t="s">
        <v>422</v>
      </c>
      <c r="B532" s="27" t="str">
        <v>BASIC THERMODYNAMICS</v>
      </c>
      <c r="C532" s="31" t="str">
        <v>Samuel Boahen</v>
      </c>
      <c r="D532" s="26" t="s">
        <v>162</v>
      </c>
      <c r="E532" s="28">
        <v>85</v>
      </c>
      <c r="F532" s="42"/>
      <c r="G532" s="30">
        <f t="shared" si="66"/>
        <v>93.500000000000014</v>
      </c>
      <c r="H532" s="17"/>
      <c r="I532" s="20" t="str">
        <f t="shared" si="67"/>
        <v>AME 156,ED1-AUTO</v>
      </c>
      <c r="J532" s="25"/>
    </row>
    <row r="533" spans="1:10" ht="14.5" x14ac:dyDescent="0.35">
      <c r="A533" s="26" t="s">
        <v>420</v>
      </c>
      <c r="B533" s="31" t="str">
        <v>THERMODYNAMICS I</v>
      </c>
      <c r="C533" s="27" t="str">
        <v>Boahen Samuel</v>
      </c>
      <c r="D533" s="26" t="s">
        <v>36</v>
      </c>
      <c r="E533" s="28">
        <v>75</v>
      </c>
      <c r="F533" s="32"/>
      <c r="G533" s="30">
        <f t="shared" si="66"/>
        <v>82.5</v>
      </c>
      <c r="H533" s="17"/>
      <c r="I533" s="20" t="str">
        <f t="shared" si="67"/>
        <v>ME 266,ED2-AERO</v>
      </c>
      <c r="J533" s="25"/>
    </row>
    <row r="534" spans="1:10" ht="14.5" x14ac:dyDescent="0.35">
      <c r="A534" s="26" t="s">
        <v>421</v>
      </c>
      <c r="B534" s="31" t="str">
        <v>APPLIED THERMODYNAMICS I</v>
      </c>
      <c r="C534" s="27" t="str">
        <v>Quansah David Ato</v>
      </c>
      <c r="D534" s="26" t="s">
        <v>51</v>
      </c>
      <c r="E534" s="28">
        <v>295</v>
      </c>
      <c r="F534" s="57"/>
      <c r="G534" s="30">
        <f t="shared" si="66"/>
        <v>324.5</v>
      </c>
      <c r="H534" s="58"/>
      <c r="I534" s="20" t="str">
        <f t="shared" si="67"/>
        <v>ME 166,ED1-EE</v>
      </c>
      <c r="J534" s="25"/>
    </row>
    <row r="535" spans="1:10" ht="14.5" x14ac:dyDescent="0.35">
      <c r="A535" s="26" t="s">
        <v>423</v>
      </c>
      <c r="B535" s="31" t="str">
        <v>ENGINEERING RESEARCH AND TECHNICAL REPORT WRITING</v>
      </c>
      <c r="C535" s="27" t="str">
        <v>Obeng Kwakye Kingsford Sarkodie</v>
      </c>
      <c r="D535" s="26" t="s">
        <v>91</v>
      </c>
      <c r="E535" s="28">
        <v>130</v>
      </c>
      <c r="F535" s="32"/>
      <c r="G535" s="30">
        <f t="shared" si="66"/>
        <v>143</v>
      </c>
      <c r="H535" s="17"/>
      <c r="I535" s="20" t="str">
        <f t="shared" si="67"/>
        <v>TE 152,ED1-TEL</v>
      </c>
      <c r="J535" s="25"/>
    </row>
    <row r="536" spans="1:10" ht="14.5" x14ac:dyDescent="0.35">
      <c r="A536" s="26" t="s">
        <v>424</v>
      </c>
      <c r="B536" s="27" t="str">
        <v>FINANCIAL ACCOUNTING II</v>
      </c>
      <c r="C536" s="27" t="str">
        <v>Yeboah Edward</v>
      </c>
      <c r="D536" s="26" t="s">
        <v>108</v>
      </c>
      <c r="E536" s="28">
        <v>65</v>
      </c>
      <c r="F536" s="32"/>
      <c r="G536" s="30">
        <f t="shared" si="66"/>
        <v>71.5</v>
      </c>
      <c r="H536" s="17"/>
      <c r="I536" s="20" t="str">
        <f t="shared" si="67"/>
        <v>ACF 256,ED2-COE</v>
      </c>
      <c r="J536" s="25"/>
    </row>
    <row r="537" spans="1:10" ht="14.5" x14ac:dyDescent="0.35">
      <c r="A537" s="26" t="s">
        <v>424</v>
      </c>
      <c r="B537" s="27" t="str">
        <v>FINANCIAL ACCOUNTING II</v>
      </c>
      <c r="C537" s="27" t="str">
        <v>Yeboah Edward</v>
      </c>
      <c r="D537" s="26" t="s">
        <v>109</v>
      </c>
      <c r="E537" s="28">
        <v>18</v>
      </c>
      <c r="F537" s="32"/>
      <c r="G537" s="30">
        <f t="shared" si="66"/>
        <v>19.8</v>
      </c>
      <c r="H537" s="17"/>
      <c r="I537" s="20" t="str">
        <f t="shared" si="67"/>
        <v>ACF 256,ED2-BME</v>
      </c>
      <c r="J537" s="25"/>
    </row>
    <row r="538" spans="1:10" ht="14.5" x14ac:dyDescent="0.35">
      <c r="A538" s="26" t="s">
        <v>424</v>
      </c>
      <c r="B538" s="27" t="str">
        <v>FINANCIAL ACCOUNTING II</v>
      </c>
      <c r="C538" s="27" t="str">
        <v>Yeboah Edward</v>
      </c>
      <c r="D538" s="26" t="s">
        <v>172</v>
      </c>
      <c r="E538" s="28">
        <v>40</v>
      </c>
      <c r="F538" s="32"/>
      <c r="G538" s="30">
        <f t="shared" si="66"/>
        <v>44</v>
      </c>
      <c r="H538" s="17"/>
      <c r="I538" s="20" t="str">
        <f t="shared" si="67"/>
        <v>ACF 256,ED2-TEL</v>
      </c>
      <c r="J538" s="25"/>
    </row>
    <row r="539" spans="1:10" ht="14.5" x14ac:dyDescent="0.35">
      <c r="A539" s="26" t="s">
        <v>424</v>
      </c>
      <c r="B539" s="31" t="str">
        <v>PRINCIPLES OF ACCOUNTING II</v>
      </c>
      <c r="C539" s="27" t="str">
        <v>John Bosco Dramani</v>
      </c>
      <c r="D539" s="26" t="s">
        <v>126</v>
      </c>
      <c r="E539" s="28">
        <v>5</v>
      </c>
      <c r="F539" s="32"/>
      <c r="G539" s="30">
        <f t="shared" si="66"/>
        <v>5.5</v>
      </c>
      <c r="H539" s="17"/>
      <c r="I539" s="20" t="str">
        <f t="shared" si="67"/>
        <v>ACF 256,ED1-GEOL</v>
      </c>
      <c r="J539" s="25"/>
    </row>
    <row r="540" spans="1:10" ht="14.5" x14ac:dyDescent="0.35">
      <c r="A540" s="26" t="s">
        <v>424</v>
      </c>
      <c r="B540" s="27" t="str">
        <v>PRINCIPLES OF ACCOUNTING II</v>
      </c>
      <c r="C540" s="27" t="str">
        <v>Beatrice Sarpong-Danquah</v>
      </c>
      <c r="D540" s="26" t="s">
        <v>77</v>
      </c>
      <c r="E540" s="28">
        <v>35</v>
      </c>
      <c r="F540" s="32"/>
      <c r="G540" s="30">
        <f t="shared" si="66"/>
        <v>38.5</v>
      </c>
      <c r="H540" s="17"/>
      <c r="I540" s="20" t="str">
        <f t="shared" si="67"/>
        <v>ACF 256,ED3-GEOM</v>
      </c>
      <c r="J540" s="25"/>
    </row>
    <row r="541" spans="1:10" ht="14.5" x14ac:dyDescent="0.35">
      <c r="A541" s="35"/>
      <c r="B541" s="35"/>
      <c r="D541" s="27" t="s">
        <v>425</v>
      </c>
      <c r="E541" s="35">
        <f>SUM(E529:E540)</f>
        <v>1204</v>
      </c>
      <c r="F541" s="36"/>
      <c r="G541" s="35"/>
      <c r="I541" s="22" t="s">
        <v>426</v>
      </c>
      <c r="J541" s="25"/>
    </row>
    <row r="542" spans="1:10" ht="14.5" x14ac:dyDescent="0.35">
      <c r="A542" s="14" t="s">
        <v>418</v>
      </c>
      <c r="B542" s="14"/>
      <c r="C542" s="14"/>
      <c r="D542" s="14"/>
      <c r="E542" s="14"/>
      <c r="F542" s="14"/>
      <c r="G542" s="14"/>
      <c r="I542" s="22" t="s">
        <v>419</v>
      </c>
      <c r="J542" s="25"/>
    </row>
    <row r="543" spans="1:10" ht="14.5" x14ac:dyDescent="0.35">
      <c r="A543" s="14" t="s">
        <v>29</v>
      </c>
      <c r="B543" s="14"/>
      <c r="C543" s="14"/>
      <c r="D543" s="14"/>
      <c r="E543" s="14"/>
      <c r="F543" s="14"/>
      <c r="G543" s="14"/>
      <c r="I543" s="22" t="s">
        <v>30</v>
      </c>
      <c r="J543" s="25"/>
    </row>
    <row r="544" spans="1:10" ht="14.5" x14ac:dyDescent="0.35">
      <c r="A544" s="24" t="s">
        <v>4</v>
      </c>
      <c r="B544" s="24" t="s">
        <v>5</v>
      </c>
      <c r="C544" s="16" t="s">
        <v>6</v>
      </c>
      <c r="D544" s="24" t="s">
        <v>7</v>
      </c>
      <c r="E544" s="24" t="s">
        <v>8</v>
      </c>
      <c r="F544" s="16" t="s">
        <v>9</v>
      </c>
      <c r="G544" s="24" t="s">
        <v>10</v>
      </c>
      <c r="I544" s="22" t="s">
        <v>31</v>
      </c>
      <c r="J544" s="25"/>
    </row>
    <row r="545" spans="1:10" ht="14.5" x14ac:dyDescent="0.35">
      <c r="A545" s="26" t="s">
        <v>427</v>
      </c>
      <c r="B545" s="27" t="str">
        <f t="array" ref="B545:B557">IFERROR(VLOOKUP(I545:I557,Lectures_1!A2:F534,2,FALSE()),0)</f>
        <v>HUMAN FACTORS AND ERGONOMICS</v>
      </c>
      <c r="C545" s="31" t="str">
        <f t="array" ref="C545:C557">IFERROR(VLOOKUP(I545:I557,Lectures_1!A2:F534,3,FALSE()),0)</f>
        <v>Sackey Samuel Mensah</v>
      </c>
      <c r="D545" s="26" t="s">
        <v>124</v>
      </c>
      <c r="E545" s="28">
        <f t="array" ref="E545:E557">IFERROR(VLOOKUP(I545:I557,Lectures_1!A2:F534,4,FALSE()),0)</f>
        <v>69</v>
      </c>
      <c r="F545" s="32"/>
      <c r="G545" s="30">
        <f t="shared" ref="G545:G557" si="68">E545*1.1</f>
        <v>75.900000000000006</v>
      </c>
      <c r="H545" s="17"/>
      <c r="I545" s="20" t="str">
        <f t="shared" ref="I545:I557" si="69">CONCATENATE(A545,",",D545)</f>
        <v>IE 458,ED4-IND</v>
      </c>
      <c r="J545" s="25"/>
    </row>
    <row r="546" spans="1:10" ht="14.5" x14ac:dyDescent="0.35">
      <c r="A546" s="26" t="s">
        <v>427</v>
      </c>
      <c r="B546" s="27" t="str">
        <v>HUMAN FACTORS AND ERGONOMICS</v>
      </c>
      <c r="C546" s="31" t="str">
        <v>Sackey Samuel Mensah</v>
      </c>
      <c r="D546" s="26" t="s">
        <v>99</v>
      </c>
      <c r="E546" s="28">
        <v>5</v>
      </c>
      <c r="F546" s="32"/>
      <c r="G546" s="30">
        <f t="shared" si="68"/>
        <v>5.5</v>
      </c>
      <c r="H546" s="17"/>
      <c r="I546" s="20" t="str">
        <f t="shared" si="69"/>
        <v>IE 458,ED4-AERO</v>
      </c>
      <c r="J546" s="25"/>
    </row>
    <row r="547" spans="1:10" ht="14.5" x14ac:dyDescent="0.35">
      <c r="A547" s="26" t="s">
        <v>110</v>
      </c>
      <c r="B547" s="27" t="str">
        <v>COMPUTER PROGRAMMING FOR ENGINEERS</v>
      </c>
      <c r="C547" s="31" t="str">
        <v>Tay Godwin Fabiola Kwaku</v>
      </c>
      <c r="D547" s="26" t="s">
        <v>191</v>
      </c>
      <c r="E547" s="28">
        <v>70</v>
      </c>
      <c r="F547" s="32"/>
      <c r="G547" s="30">
        <f t="shared" si="68"/>
        <v>77</v>
      </c>
      <c r="H547" s="17"/>
      <c r="I547" s="20" t="str">
        <f t="shared" si="69"/>
        <v>ME 168,ED1-AERO</v>
      </c>
      <c r="J547" s="25"/>
    </row>
    <row r="548" spans="1:10" ht="14.5" x14ac:dyDescent="0.35">
      <c r="A548" s="26" t="s">
        <v>110</v>
      </c>
      <c r="B548" s="27" t="str">
        <v>COMPUTER PROGRAMMING FOR ENGINEERS</v>
      </c>
      <c r="C548" s="31" t="str">
        <v>Tay Godwin Fabiola Kwaku</v>
      </c>
      <c r="D548" s="26" t="s">
        <v>161</v>
      </c>
      <c r="E548" s="28">
        <v>225</v>
      </c>
      <c r="F548" s="32"/>
      <c r="G548" s="30">
        <f t="shared" si="68"/>
        <v>247.50000000000003</v>
      </c>
      <c r="H548" s="17"/>
      <c r="I548" s="20" t="str">
        <f t="shared" si="69"/>
        <v>ME 168,ED1-ME</v>
      </c>
      <c r="J548" s="25"/>
    </row>
    <row r="549" spans="1:10" ht="14.5" x14ac:dyDescent="0.35">
      <c r="A549" s="26" t="s">
        <v>428</v>
      </c>
      <c r="B549" s="27" t="str">
        <v>BIOMATERIALS I</v>
      </c>
      <c r="C549" s="31" t="str">
        <v>Odame Prince</v>
      </c>
      <c r="D549" s="26" t="s">
        <v>65</v>
      </c>
      <c r="E549" s="28">
        <v>90</v>
      </c>
      <c r="F549" s="32"/>
      <c r="G549" s="30">
        <f t="shared" si="68"/>
        <v>99.000000000000014</v>
      </c>
      <c r="H549" s="17"/>
      <c r="I549" s="20" t="str">
        <f t="shared" si="69"/>
        <v>BME 362,ED3-BME</v>
      </c>
      <c r="J549" s="25"/>
    </row>
    <row r="550" spans="1:10" ht="14.5" x14ac:dyDescent="0.35">
      <c r="A550" s="26" t="s">
        <v>268</v>
      </c>
      <c r="B550" s="31" t="str">
        <v>ENGINEERING MECHANICS I:STATICS</v>
      </c>
      <c r="C550" s="31" t="str">
        <v>Amoabeng Kofi Owura</v>
      </c>
      <c r="D550" s="26" t="s">
        <v>111</v>
      </c>
      <c r="E550" s="28">
        <v>83</v>
      </c>
      <c r="F550" s="19"/>
      <c r="G550" s="30">
        <f t="shared" si="68"/>
        <v>91.300000000000011</v>
      </c>
      <c r="H550" s="17"/>
      <c r="I550" s="20" t="str">
        <f t="shared" si="69"/>
        <v>ME 164,ED1-IND</v>
      </c>
      <c r="J550" s="25"/>
    </row>
    <row r="551" spans="1:10" ht="14.5" x14ac:dyDescent="0.35">
      <c r="A551" s="26" t="s">
        <v>268</v>
      </c>
      <c r="B551" s="27" t="str">
        <v>ENGINEERING MECHANICS I:STATICS</v>
      </c>
      <c r="C551" s="31" t="str">
        <v>Amoabeng Kofi Owura</v>
      </c>
      <c r="D551" s="26" t="s">
        <v>112</v>
      </c>
      <c r="E551" s="28">
        <v>46</v>
      </c>
      <c r="F551" s="26"/>
      <c r="G551" s="30">
        <f t="shared" si="68"/>
        <v>50.6</v>
      </c>
      <c r="H551" s="17"/>
      <c r="I551" s="20" t="str">
        <f t="shared" si="69"/>
        <v>ME 164,ED1-MARI</v>
      </c>
      <c r="J551" s="25"/>
    </row>
    <row r="552" spans="1:10" ht="14.5" x14ac:dyDescent="0.35">
      <c r="A552" s="42" t="s">
        <v>429</v>
      </c>
      <c r="B552" s="24" t="str">
        <v>FARM MACHINERY DESIGN</v>
      </c>
      <c r="C552" s="27" t="str">
        <v>Aveyire Joseph</v>
      </c>
      <c r="D552" s="42" t="s">
        <v>50</v>
      </c>
      <c r="E552" s="42">
        <v>103</v>
      </c>
      <c r="F552" s="42"/>
      <c r="G552" s="30">
        <f t="shared" si="68"/>
        <v>113.30000000000001</v>
      </c>
      <c r="H552" s="17"/>
      <c r="I552" s="20" t="str">
        <f t="shared" si="69"/>
        <v>AE 482,ED4-AE</v>
      </c>
      <c r="J552" s="25"/>
    </row>
    <row r="553" spans="1:10" ht="14.5" x14ac:dyDescent="0.35">
      <c r="A553" s="26" t="s">
        <v>430</v>
      </c>
      <c r="B553" s="31" t="str">
        <v>INTRODUCTION TO INFORMATION TECHNOLOGY</v>
      </c>
      <c r="C553" s="27" t="str">
        <v>Titus Tienaah</v>
      </c>
      <c r="D553" s="26" t="s">
        <v>95</v>
      </c>
      <c r="E553" s="28">
        <v>103</v>
      </c>
      <c r="F553" s="32"/>
      <c r="G553" s="30">
        <f t="shared" si="68"/>
        <v>113.30000000000001</v>
      </c>
      <c r="H553" s="17"/>
      <c r="I553" s="20" t="str">
        <f t="shared" si="69"/>
        <v>GE 158,ED1-GEOM</v>
      </c>
      <c r="J553" s="25"/>
    </row>
    <row r="554" spans="1:10" ht="14.5" x14ac:dyDescent="0.35">
      <c r="A554" s="26" t="s">
        <v>431</v>
      </c>
      <c r="B554" s="31" t="str">
        <v>ENVIRONMENTAL ENG. TECHNOLOGY</v>
      </c>
      <c r="C554" s="27" t="str">
        <v>Afotey Benjamin</v>
      </c>
      <c r="D554" s="26" t="s">
        <v>48</v>
      </c>
      <c r="E554" s="42">
        <v>54</v>
      </c>
      <c r="F554" s="32"/>
      <c r="G554" s="30">
        <f t="shared" si="68"/>
        <v>59.400000000000006</v>
      </c>
      <c r="H554" s="17"/>
      <c r="I554" s="20" t="str">
        <f t="shared" si="69"/>
        <v>CHE 468,ED4-CHE</v>
      </c>
      <c r="J554" s="25"/>
    </row>
    <row r="555" spans="1:10" ht="14.5" x14ac:dyDescent="0.35">
      <c r="A555" s="26" t="s">
        <v>432</v>
      </c>
      <c r="B555" s="31" t="str">
        <v>SECURE NETWORK SYSTEMS</v>
      </c>
      <c r="C555" s="27" t="str">
        <v>Tchao Eric Tutu</v>
      </c>
      <c r="D555" s="26" t="s">
        <v>251</v>
      </c>
      <c r="E555" s="42">
        <v>90</v>
      </c>
      <c r="F555" s="32"/>
      <c r="G555" s="30">
        <f t="shared" si="68"/>
        <v>99.000000000000014</v>
      </c>
      <c r="H555" s="17"/>
      <c r="I555" s="20" t="str">
        <f t="shared" si="69"/>
        <v>COE 456,ED4-COE</v>
      </c>
      <c r="J555" s="25"/>
    </row>
    <row r="556" spans="1:10" ht="14.5" x14ac:dyDescent="0.35">
      <c r="A556" s="26" t="s">
        <v>433</v>
      </c>
      <c r="B556" s="27" t="str">
        <v>AUTOMOTIVE CHASSIS</v>
      </c>
      <c r="C556" s="31" t="str">
        <v>Ayetor Godwin Kafui Kwesi</v>
      </c>
      <c r="D556" s="26" t="s">
        <v>40</v>
      </c>
      <c r="E556" s="28">
        <v>82</v>
      </c>
      <c r="F556" s="8" t="s">
        <v>21</v>
      </c>
      <c r="G556" s="30">
        <f t="shared" si="68"/>
        <v>90.2</v>
      </c>
      <c r="H556" s="17"/>
      <c r="I556" s="20" t="str">
        <f t="shared" si="69"/>
        <v>AME 256,ED2-AUTO</v>
      </c>
      <c r="J556" s="25"/>
    </row>
    <row r="557" spans="1:10" ht="14.5" x14ac:dyDescent="0.35">
      <c r="A557" s="26" t="s">
        <v>434</v>
      </c>
      <c r="B557" s="27" t="str">
        <v>SATELLITE COMMUNICATION AND NAVIGATION SYSTEMS</v>
      </c>
      <c r="C557" s="27" t="str">
        <v>Gadze James Dzisi</v>
      </c>
      <c r="D557" s="32" t="s">
        <v>227</v>
      </c>
      <c r="E557" s="28">
        <v>138</v>
      </c>
      <c r="F557" s="8"/>
      <c r="G557" s="30">
        <f t="shared" si="68"/>
        <v>151.80000000000001</v>
      </c>
      <c r="H557" s="17"/>
      <c r="I557" s="20" t="str">
        <f t="shared" si="69"/>
        <v>TE 456,ED4-TEL</v>
      </c>
      <c r="J557" s="25"/>
    </row>
    <row r="558" spans="1:10" ht="14.5" x14ac:dyDescent="0.35">
      <c r="A558" s="35"/>
      <c r="B558" s="35"/>
      <c r="D558" s="27" t="s">
        <v>435</v>
      </c>
      <c r="E558" s="35">
        <f>SUM(_xlfn.ANCHORARRAY(E545))</f>
        <v>1158</v>
      </c>
      <c r="F558" s="36"/>
      <c r="G558" s="35"/>
      <c r="I558" s="22"/>
      <c r="J558" s="25"/>
    </row>
    <row r="559" spans="1:10" ht="14.5" x14ac:dyDescent="0.35">
      <c r="A559" s="14" t="s">
        <v>418</v>
      </c>
      <c r="B559" s="14"/>
      <c r="C559" s="14"/>
      <c r="D559" s="14"/>
      <c r="E559" s="14"/>
      <c r="F559" s="14"/>
      <c r="G559" s="14"/>
      <c r="I559" s="22" t="s">
        <v>419</v>
      </c>
      <c r="J559" s="25"/>
    </row>
    <row r="560" spans="1:10" ht="14.5" x14ac:dyDescent="0.35">
      <c r="A560" s="14" t="s">
        <v>59</v>
      </c>
      <c r="B560" s="14"/>
      <c r="C560" s="14"/>
      <c r="D560" s="14"/>
      <c r="E560" s="14"/>
      <c r="F560" s="14"/>
      <c r="G560" s="14"/>
      <c r="I560" s="22" t="s">
        <v>128</v>
      </c>
      <c r="J560" s="25"/>
    </row>
    <row r="561" spans="1:10" ht="14.5" x14ac:dyDescent="0.35">
      <c r="A561" s="24" t="s">
        <v>4</v>
      </c>
      <c r="B561" s="24" t="s">
        <v>5</v>
      </c>
      <c r="C561" s="16" t="s">
        <v>6</v>
      </c>
      <c r="D561" s="24" t="s">
        <v>7</v>
      </c>
      <c r="E561" s="24" t="s">
        <v>8</v>
      </c>
      <c r="F561" s="16" t="s">
        <v>9</v>
      </c>
      <c r="G561" s="24" t="s">
        <v>10</v>
      </c>
      <c r="I561" s="22" t="s">
        <v>31</v>
      </c>
      <c r="J561" s="25"/>
    </row>
    <row r="562" spans="1:10" ht="14.5" x14ac:dyDescent="0.35">
      <c r="A562" s="26" t="s">
        <v>436</v>
      </c>
      <c r="B562" s="31" t="str">
        <f t="array" ref="B562:B577">IFERROR(VLOOKUP(I562:I577,Lectures_1!A2:F534,2,FALSE()),0)</f>
        <v>AIRCRAFT PERFORMANCE AND DESIGN</v>
      </c>
      <c r="C562" s="31" t="str">
        <f t="array" ref="C562:C577">IFERROR(VLOOKUP(I562:I577,Lectures_1!A2:F534,3,FALSE()),0)</f>
        <v>Agyei Agyemang Anthony</v>
      </c>
      <c r="D562" s="26" t="s">
        <v>133</v>
      </c>
      <c r="E562" s="28">
        <f t="array" ref="E562:E577">IFERROR(VLOOKUP(I562:I577,Lectures_1!A2:F534,4,FALSE()),0)</f>
        <v>76</v>
      </c>
      <c r="F562" s="32"/>
      <c r="G562" s="30">
        <f t="shared" ref="G562:G577" si="70">E562*1.1</f>
        <v>83.600000000000009</v>
      </c>
      <c r="H562" s="17"/>
      <c r="I562" s="20" t="str">
        <f t="shared" ref="I562:I577" si="71">CONCATENATE(A562,",",D562)</f>
        <v>AERO 374,ED3-AERO</v>
      </c>
      <c r="J562" s="25"/>
    </row>
    <row r="563" spans="1:10" ht="14.5" x14ac:dyDescent="0.35">
      <c r="A563" s="26" t="s">
        <v>437</v>
      </c>
      <c r="B563" s="31" t="str">
        <v>STRUCTURAL GEOLOGY</v>
      </c>
      <c r="C563" s="31" t="str">
        <v>Wilson Matthew Coffie</v>
      </c>
      <c r="D563" s="26" t="s">
        <v>154</v>
      </c>
      <c r="E563" s="28">
        <v>154</v>
      </c>
      <c r="F563" s="32"/>
      <c r="G563" s="30">
        <f t="shared" si="70"/>
        <v>169.4</v>
      </c>
      <c r="H563" s="17"/>
      <c r="I563" s="20" t="str">
        <f t="shared" si="71"/>
        <v>GED 364,ED3-GEOL</v>
      </c>
      <c r="J563" s="25"/>
    </row>
    <row r="564" spans="1:10" ht="14.5" x14ac:dyDescent="0.35">
      <c r="A564" s="26" t="s">
        <v>438</v>
      </c>
      <c r="B564" s="31" t="str">
        <v>ENERGY AND CLIMATE CHANGE</v>
      </c>
      <c r="C564" s="31" t="str">
        <v>Sokama-Neuyam Yen Adams</v>
      </c>
      <c r="D564" s="26" t="s">
        <v>46</v>
      </c>
      <c r="E564" s="28">
        <v>22</v>
      </c>
      <c r="F564" s="32"/>
      <c r="G564" s="30">
        <f t="shared" si="70"/>
        <v>24.200000000000003</v>
      </c>
      <c r="H564" s="17"/>
      <c r="I564" s="20" t="str">
        <f t="shared" si="71"/>
        <v>PE 476,ED4-PE</v>
      </c>
      <c r="J564" s="25"/>
    </row>
    <row r="565" spans="1:10" ht="14.5" x14ac:dyDescent="0.35">
      <c r="A565" s="26" t="s">
        <v>439</v>
      </c>
      <c r="B565" s="31" t="str">
        <v>REGIONAL GEOLOGY</v>
      </c>
      <c r="C565" s="31" t="str">
        <v>Quaye Jonathan Atuquaye</v>
      </c>
      <c r="D565" s="26" t="s">
        <v>93</v>
      </c>
      <c r="E565" s="28">
        <v>95</v>
      </c>
      <c r="F565" s="32" t="s">
        <v>21</v>
      </c>
      <c r="G565" s="30">
        <f t="shared" si="70"/>
        <v>104.50000000000001</v>
      </c>
      <c r="H565" s="17"/>
      <c r="I565" s="20" t="str">
        <f t="shared" si="71"/>
        <v>PE 256,ED2-PE</v>
      </c>
      <c r="J565" s="25"/>
    </row>
    <row r="566" spans="1:10" ht="14.5" x14ac:dyDescent="0.35">
      <c r="A566" s="26" t="s">
        <v>440</v>
      </c>
      <c r="B566" s="31" t="str">
        <v>MARINE ELECTRICAL TECHNOLOGY AND ELECTRICAL MEASUREMENTS</v>
      </c>
      <c r="C566" s="31" t="str">
        <v>Frimpong Emmanuel Asuming</v>
      </c>
      <c r="D566" s="26" t="s">
        <v>86</v>
      </c>
      <c r="E566" s="28">
        <v>40</v>
      </c>
      <c r="F566" s="32"/>
      <c r="G566" s="30">
        <f t="shared" si="70"/>
        <v>44</v>
      </c>
      <c r="H566" s="17"/>
      <c r="I566" s="20" t="str">
        <f t="shared" si="71"/>
        <v>MME 386,ED3-MARI</v>
      </c>
      <c r="J566" s="25"/>
    </row>
    <row r="567" spans="1:10" ht="14.5" x14ac:dyDescent="0.35">
      <c r="A567" s="26" t="s">
        <v>441</v>
      </c>
      <c r="B567" s="31" t="str">
        <v>SURFACE TREATMENT OF MATERIALS</v>
      </c>
      <c r="C567" s="31" t="str">
        <v>Andrews Anthony</v>
      </c>
      <c r="D567" s="26" t="s">
        <v>135</v>
      </c>
      <c r="E567" s="28">
        <v>60</v>
      </c>
      <c r="F567" s="26"/>
      <c r="G567" s="30">
        <f t="shared" si="70"/>
        <v>66</v>
      </c>
      <c r="H567" s="17"/>
      <c r="I567" s="20" t="str">
        <f t="shared" si="71"/>
        <v>MSE 454,ED4-MSE</v>
      </c>
      <c r="J567" s="25"/>
    </row>
    <row r="568" spans="1:10" ht="14.5" x14ac:dyDescent="0.35">
      <c r="A568" s="26" t="s">
        <v>442</v>
      </c>
      <c r="B568" s="27" t="str">
        <v>ELECTROMETALLURGY</v>
      </c>
      <c r="C568" s="27" t="str">
        <v>Agbe Henry</v>
      </c>
      <c r="D568" s="26" t="s">
        <v>136</v>
      </c>
      <c r="E568" s="28">
        <v>55</v>
      </c>
      <c r="F568" s="32"/>
      <c r="G568" s="30">
        <f t="shared" si="70"/>
        <v>60.500000000000007</v>
      </c>
      <c r="H568" s="17"/>
      <c r="I568" s="20" t="str">
        <f t="shared" si="71"/>
        <v>METE 452,ED4-METE</v>
      </c>
      <c r="J568" s="25"/>
    </row>
    <row r="569" spans="1:10" ht="14.5" x14ac:dyDescent="0.35">
      <c r="A569" s="26" t="s">
        <v>392</v>
      </c>
      <c r="B569" s="27" t="str">
        <v>BASIC MECHANICS</v>
      </c>
      <c r="C569" s="31" t="str">
        <v>Opoku Richard</v>
      </c>
      <c r="D569" s="26" t="s">
        <v>114</v>
      </c>
      <c r="E569" s="28">
        <v>75</v>
      </c>
      <c r="F569" s="32"/>
      <c r="G569" s="30">
        <f t="shared" si="70"/>
        <v>82.5</v>
      </c>
      <c r="H569" s="17"/>
      <c r="I569" s="20" t="str">
        <f t="shared" si="71"/>
        <v>ME 162,ED1-METE</v>
      </c>
      <c r="J569" s="25"/>
    </row>
    <row r="570" spans="1:10" ht="14.5" x14ac:dyDescent="0.35">
      <c r="A570" s="26" t="s">
        <v>392</v>
      </c>
      <c r="B570" s="27" t="str">
        <v>BASIC MECHANICS</v>
      </c>
      <c r="C570" s="31" t="str">
        <v>Boahen Samuel</v>
      </c>
      <c r="D570" s="26" t="s">
        <v>81</v>
      </c>
      <c r="E570" s="28">
        <v>56</v>
      </c>
      <c r="F570" s="42"/>
      <c r="G570" s="30">
        <f t="shared" si="70"/>
        <v>61.600000000000009</v>
      </c>
      <c r="H570" s="17"/>
      <c r="I570" s="20" t="str">
        <f t="shared" si="71"/>
        <v>ME 162,ED1-PCE</v>
      </c>
      <c r="J570" s="25"/>
    </row>
    <row r="571" spans="1:10" ht="14.5" x14ac:dyDescent="0.35">
      <c r="A571" s="26" t="s">
        <v>443</v>
      </c>
      <c r="B571" s="27" t="str">
        <v>MANUAL POWER TRAIN</v>
      </c>
      <c r="C571" s="31" t="str">
        <v>Abu Frimpong Solomon</v>
      </c>
      <c r="D571" s="26" t="s">
        <v>23</v>
      </c>
      <c r="E571" s="28">
        <v>40</v>
      </c>
      <c r="F571" s="32"/>
      <c r="G571" s="30">
        <f t="shared" si="70"/>
        <v>44</v>
      </c>
      <c r="H571" s="17"/>
      <c r="I571" s="20" t="str">
        <f t="shared" si="71"/>
        <v>AME 386,ED3-AUTO</v>
      </c>
      <c r="J571" s="25"/>
    </row>
    <row r="572" spans="1:10" ht="14.5" x14ac:dyDescent="0.35">
      <c r="A572" s="26" t="s">
        <v>444</v>
      </c>
      <c r="B572" s="27" t="str">
        <v>RELIABILITY ENGINEERING</v>
      </c>
      <c r="C572" s="27" t="str">
        <v>Takyi Gabriel</v>
      </c>
      <c r="D572" s="26" t="s">
        <v>121</v>
      </c>
      <c r="E572" s="28">
        <v>70</v>
      </c>
      <c r="F572" s="32"/>
      <c r="G572" s="30">
        <f t="shared" si="70"/>
        <v>77</v>
      </c>
      <c r="H572" s="17"/>
      <c r="I572" s="20" t="str">
        <f t="shared" si="71"/>
        <v>IE 356,ED3-IND</v>
      </c>
      <c r="J572" s="25"/>
    </row>
    <row r="573" spans="1:10" ht="14.5" x14ac:dyDescent="0.35">
      <c r="A573" s="26" t="s">
        <v>445</v>
      </c>
      <c r="B573" s="27" t="str">
        <v>GROUNDWATER DEVELOPMENT</v>
      </c>
      <c r="C573" s="31" t="str">
        <v>Ali Bukari</v>
      </c>
      <c r="D573" s="26" t="s">
        <v>177</v>
      </c>
      <c r="E573" s="28">
        <v>95</v>
      </c>
      <c r="F573" s="32"/>
      <c r="G573" s="30">
        <f t="shared" si="70"/>
        <v>104.50000000000001</v>
      </c>
      <c r="H573" s="17"/>
      <c r="I573" s="20" t="str">
        <f t="shared" si="71"/>
        <v>GED 476,ED4-GEOL</v>
      </c>
      <c r="J573" s="25"/>
    </row>
    <row r="574" spans="1:10" ht="14.5" x14ac:dyDescent="0.35">
      <c r="A574" s="26" t="s">
        <v>446</v>
      </c>
      <c r="B574" s="24" t="str">
        <v>VEHICLE MAINTENANCE AND REGULATION</v>
      </c>
      <c r="C574" s="31" t="str">
        <v>Abu Frimpong Solomon</v>
      </c>
      <c r="D574" s="26" t="s">
        <v>97</v>
      </c>
      <c r="E574" s="42">
        <v>32</v>
      </c>
      <c r="F574" s="32"/>
      <c r="G574" s="30">
        <f t="shared" si="70"/>
        <v>35.200000000000003</v>
      </c>
      <c r="H574" s="17"/>
      <c r="I574" s="20" t="str">
        <f t="shared" si="71"/>
        <v>AME 496,ED4-AUTO</v>
      </c>
      <c r="J574" s="25"/>
    </row>
    <row r="575" spans="1:10" ht="14.5" x14ac:dyDescent="0.35">
      <c r="A575" s="26" t="s">
        <v>447</v>
      </c>
      <c r="B575" s="31" t="str">
        <v>INDUSTRIAL AUTOMATIC CONTROL</v>
      </c>
      <c r="C575" s="27" t="str">
        <v>Opoku Daniel</v>
      </c>
      <c r="D575" s="26" t="s">
        <v>144</v>
      </c>
      <c r="E575" s="28">
        <v>205</v>
      </c>
      <c r="F575" s="32"/>
      <c r="G575" s="30">
        <f t="shared" si="70"/>
        <v>225.50000000000003</v>
      </c>
      <c r="H575" s="17"/>
      <c r="I575" s="20" t="str">
        <f t="shared" si="71"/>
        <v>EE 484,ED4-EE</v>
      </c>
      <c r="J575" s="25"/>
    </row>
    <row r="576" spans="1:10" ht="14.5" x14ac:dyDescent="0.35">
      <c r="A576" s="26" t="s">
        <v>448</v>
      </c>
      <c r="B576" s="27" t="str">
        <v>PETROLEUM PRODUCTION ENGINEERING</v>
      </c>
      <c r="C576" s="31" t="str">
        <v>Ankudey Emmanuel Godwin</v>
      </c>
      <c r="D576" s="26" t="s">
        <v>63</v>
      </c>
      <c r="E576" s="28">
        <v>53</v>
      </c>
      <c r="F576" s="32"/>
      <c r="G576" s="30">
        <f t="shared" si="70"/>
        <v>58.300000000000004</v>
      </c>
      <c r="H576" s="17"/>
      <c r="I576" s="20" t="str">
        <f t="shared" si="71"/>
        <v>PETE 354,ED3-PCE</v>
      </c>
      <c r="J576" s="25"/>
    </row>
    <row r="577" spans="1:10" ht="14.5" x14ac:dyDescent="0.35">
      <c r="A577" s="26" t="s">
        <v>449</v>
      </c>
      <c r="B577" s="31" t="str">
        <v>SHIP CONSTRUCTION</v>
      </c>
      <c r="C577" s="27" t="str">
        <v>Jehoshaphat Eyram Deh</v>
      </c>
      <c r="D577" s="26" t="s">
        <v>69</v>
      </c>
      <c r="E577" s="28">
        <v>23</v>
      </c>
      <c r="F577" s="32"/>
      <c r="G577" s="30">
        <f t="shared" si="70"/>
        <v>25.3</v>
      </c>
      <c r="H577" s="17"/>
      <c r="I577" s="20" t="str">
        <f t="shared" si="71"/>
        <v>MME 476,ED4-MARI</v>
      </c>
      <c r="J577" s="25"/>
    </row>
    <row r="578" spans="1:10" ht="14.5" x14ac:dyDescent="0.35">
      <c r="A578" s="35"/>
      <c r="B578" s="35"/>
      <c r="D578" s="27" t="s">
        <v>450</v>
      </c>
      <c r="E578" s="35">
        <f>SUM(E562:E577)</f>
        <v>1151</v>
      </c>
      <c r="F578" s="36"/>
      <c r="G578" s="35"/>
      <c r="I578" s="22" t="s">
        <v>451</v>
      </c>
      <c r="J578" s="25"/>
    </row>
    <row r="579" spans="1:10" ht="14.5" x14ac:dyDescent="0.35">
      <c r="A579" s="14" t="s">
        <v>452</v>
      </c>
      <c r="B579" s="14"/>
      <c r="C579" s="14"/>
      <c r="D579" s="14"/>
      <c r="E579" s="14"/>
      <c r="F579" s="14"/>
      <c r="G579" s="14"/>
      <c r="I579" s="22" t="s">
        <v>453</v>
      </c>
      <c r="J579" s="25"/>
    </row>
    <row r="580" spans="1:10" ht="14.5" x14ac:dyDescent="0.35">
      <c r="A580" s="14" t="s">
        <v>2</v>
      </c>
      <c r="B580" s="14"/>
      <c r="C580" s="14"/>
      <c r="D580" s="14"/>
      <c r="E580" s="14"/>
      <c r="F580" s="14"/>
      <c r="G580" s="14"/>
      <c r="I580" s="22" t="s">
        <v>149</v>
      </c>
      <c r="J580" s="25"/>
    </row>
    <row r="581" spans="1:10" ht="14.5" x14ac:dyDescent="0.35">
      <c r="A581" s="24" t="s">
        <v>4</v>
      </c>
      <c r="B581" s="24" t="s">
        <v>5</v>
      </c>
      <c r="C581" s="16" t="s">
        <v>6</v>
      </c>
      <c r="D581" s="24" t="s">
        <v>7</v>
      </c>
      <c r="E581" s="24" t="s">
        <v>8</v>
      </c>
      <c r="F581" s="16" t="s">
        <v>9</v>
      </c>
      <c r="G581" s="24" t="s">
        <v>10</v>
      </c>
      <c r="I581" s="22" t="s">
        <v>31</v>
      </c>
      <c r="J581" s="25"/>
    </row>
    <row r="582" spans="1:10" ht="14.5" x14ac:dyDescent="0.35">
      <c r="A582" s="26" t="s">
        <v>454</v>
      </c>
      <c r="B582" s="31" t="str">
        <f t="array" ref="B582:B590">IFERROR(VLOOKUP(I582:I590,Lectures_1!A2:F534,2,FALSE()),0)</f>
        <v>ENGINEERING WORKSHOP PRACTICE</v>
      </c>
      <c r="C582" s="31" t="str">
        <f t="array" ref="C582:C590">IFERROR(VLOOKUP(I582:I590,Lectures_1!A2:F534,3,FALSE()),0)</f>
        <v>Michael Adusei-Bonsu</v>
      </c>
      <c r="D582" s="26" t="s">
        <v>131</v>
      </c>
      <c r="E582" s="28">
        <f t="array" ref="E582:E590">IFERROR(VLOOKUP(I582:I590,Lectures_1!A2:F534,4,FALSE()),0)</f>
        <v>128</v>
      </c>
      <c r="F582" s="32"/>
      <c r="G582" s="30">
        <f t="shared" ref="G582:G590" si="72">E582*1.1</f>
        <v>140.80000000000001</v>
      </c>
      <c r="H582" s="17"/>
      <c r="I582" s="20" t="str">
        <f t="shared" ref="I582:I590" si="73">CONCATENATE(A582,",",D582)</f>
        <v>AE 196,ED1-AE</v>
      </c>
      <c r="J582" s="25"/>
    </row>
    <row r="583" spans="1:10" ht="14.5" x14ac:dyDescent="0.35">
      <c r="A583" s="26" t="s">
        <v>455</v>
      </c>
      <c r="B583" s="31" t="str">
        <v>SOIL MECHANICS APPLICATION TO MECHANISATION</v>
      </c>
      <c r="C583" s="31" t="str">
        <v>Agodzo Sampson Kwaku</v>
      </c>
      <c r="D583" s="26" t="s">
        <v>88</v>
      </c>
      <c r="E583" s="28">
        <v>101</v>
      </c>
      <c r="F583" s="32"/>
      <c r="G583" s="30">
        <f t="shared" si="72"/>
        <v>111.10000000000001</v>
      </c>
      <c r="H583" s="17"/>
      <c r="I583" s="20" t="str">
        <f t="shared" si="73"/>
        <v>AE 352,ED3-AE</v>
      </c>
      <c r="J583" s="25"/>
    </row>
    <row r="584" spans="1:10" ht="14.5" x14ac:dyDescent="0.35">
      <c r="A584" s="26" t="s">
        <v>456</v>
      </c>
      <c r="B584" s="27" t="str">
        <v>AQUATIC STROKES DEVELOPMENT AND REFINEMENT</v>
      </c>
      <c r="C584" s="27" t="str">
        <v>Afrifa Daniel</v>
      </c>
      <c r="D584" s="26" t="s">
        <v>42</v>
      </c>
      <c r="E584" s="28">
        <v>37</v>
      </c>
      <c r="F584" s="32"/>
      <c r="G584" s="30">
        <f t="shared" si="72"/>
        <v>40.700000000000003</v>
      </c>
      <c r="I584" s="20" t="str">
        <f t="shared" si="73"/>
        <v>SES 172,ED2-MARI</v>
      </c>
      <c r="J584" s="25"/>
    </row>
    <row r="585" spans="1:10" ht="14.5" x14ac:dyDescent="0.35">
      <c r="A585" s="26" t="s">
        <v>457</v>
      </c>
      <c r="B585" s="31" t="str">
        <v>FAULT DIAGNOSIS AND FAILURE TOLERANCE</v>
      </c>
      <c r="C585" s="31" t="str">
        <v>Agbemenu Andrew Selasi</v>
      </c>
      <c r="D585" s="26" t="s">
        <v>251</v>
      </c>
      <c r="E585" s="28">
        <v>70</v>
      </c>
      <c r="F585" s="32"/>
      <c r="G585" s="30">
        <f t="shared" si="72"/>
        <v>77</v>
      </c>
      <c r="H585" s="17"/>
      <c r="I585" s="20" t="str">
        <f t="shared" si="73"/>
        <v>COE 480,ED4-COE</v>
      </c>
      <c r="J585" s="25"/>
    </row>
    <row r="586" spans="1:10" ht="14.5" x14ac:dyDescent="0.35">
      <c r="A586" s="26" t="s">
        <v>458</v>
      </c>
      <c r="B586" s="27" t="str">
        <v>FLUID MACHINERY</v>
      </c>
      <c r="C586" s="31" t="str">
        <v>Opoku Richard</v>
      </c>
      <c r="D586" s="26" t="s">
        <v>67</v>
      </c>
      <c r="E586" s="28">
        <v>80</v>
      </c>
      <c r="F586" s="32"/>
      <c r="G586" s="30">
        <f t="shared" si="72"/>
        <v>88</v>
      </c>
      <c r="H586" s="17"/>
      <c r="I586" s="20" t="str">
        <f t="shared" si="73"/>
        <v>ME 452,ED4-ME</v>
      </c>
      <c r="J586" s="25"/>
    </row>
    <row r="587" spans="1:10" ht="14.5" x14ac:dyDescent="0.35">
      <c r="A587" s="26" t="s">
        <v>459</v>
      </c>
      <c r="B587" s="31" t="str">
        <v>PRINCIPLE OF DESIGN</v>
      </c>
      <c r="C587" s="27" t="str">
        <v>Ayeh Felix Jojo Fianko</v>
      </c>
      <c r="D587" s="26" t="s">
        <v>56</v>
      </c>
      <c r="E587" s="28">
        <v>250</v>
      </c>
      <c r="F587" s="57"/>
      <c r="G587" s="30">
        <f t="shared" si="72"/>
        <v>275</v>
      </c>
      <c r="H587" s="58"/>
      <c r="I587" s="20" t="str">
        <f t="shared" si="73"/>
        <v>CE 272,ED2-CE</v>
      </c>
      <c r="J587" s="25"/>
    </row>
    <row r="588" spans="1:10" ht="14.5" x14ac:dyDescent="0.35">
      <c r="A588" s="26" t="s">
        <v>460</v>
      </c>
      <c r="B588" s="27" t="str">
        <v>FUNDAMENTALS OF DATA SCIENCE</v>
      </c>
      <c r="C588" s="27" t="str">
        <v>Obour Agyekum Kwame Opuni-Boachie</v>
      </c>
      <c r="D588" s="26" t="s">
        <v>172</v>
      </c>
      <c r="E588" s="28">
        <v>175</v>
      </c>
      <c r="F588" s="59" t="s">
        <v>21</v>
      </c>
      <c r="G588" s="30">
        <f t="shared" si="72"/>
        <v>192.50000000000003</v>
      </c>
      <c r="I588" s="20" t="str">
        <f t="shared" si="73"/>
        <v>TE 252,ED2-TEL</v>
      </c>
      <c r="J588" s="25"/>
    </row>
    <row r="589" spans="1:10" s="53" customFormat="1" ht="14.5" x14ac:dyDescent="0.35">
      <c r="A589" s="26" t="s">
        <v>461</v>
      </c>
      <c r="B589" s="31" t="str">
        <v>ELEMENTARY FLUIDS MECHANICS</v>
      </c>
      <c r="C589" s="31" t="str">
        <v>Gyamfi Charles</v>
      </c>
      <c r="D589" s="26" t="s">
        <v>75</v>
      </c>
      <c r="E589" s="28">
        <v>245</v>
      </c>
      <c r="F589" s="60"/>
      <c r="G589" s="30">
        <f t="shared" si="72"/>
        <v>269.5</v>
      </c>
      <c r="H589" s="17"/>
      <c r="I589" s="51" t="str">
        <f t="shared" si="73"/>
        <v>CE 156,ED1-CE</v>
      </c>
      <c r="J589" s="52"/>
    </row>
    <row r="590" spans="1:10" ht="14.5" x14ac:dyDescent="0.35">
      <c r="A590" s="26" t="s">
        <v>461</v>
      </c>
      <c r="B590" s="27" t="str">
        <v>ELEMENTARY FLUIDS MECHANICS</v>
      </c>
      <c r="C590" s="27" t="str">
        <v>Gyamfi Charles</v>
      </c>
      <c r="D590" s="26" t="s">
        <v>126</v>
      </c>
      <c r="E590" s="28">
        <v>125</v>
      </c>
      <c r="F590" s="32"/>
      <c r="G590" s="30">
        <f t="shared" si="72"/>
        <v>137.5</v>
      </c>
      <c r="H590" s="17"/>
      <c r="I590" s="20" t="str">
        <f t="shared" si="73"/>
        <v>CE 156,ED1-GEOL</v>
      </c>
      <c r="J590" s="25"/>
    </row>
    <row r="591" spans="1:10" ht="14.5" x14ac:dyDescent="0.35">
      <c r="A591" s="35"/>
      <c r="B591" s="35"/>
      <c r="D591" s="27" t="s">
        <v>462</v>
      </c>
      <c r="E591" s="35">
        <f>SUM(E582:E590)</f>
        <v>1211</v>
      </c>
      <c r="F591" s="36"/>
      <c r="G591" s="35"/>
      <c r="I591" s="22" t="s">
        <v>463</v>
      </c>
      <c r="J591" s="25"/>
    </row>
    <row r="592" spans="1:10" ht="14.5" x14ac:dyDescent="0.35">
      <c r="A592" s="14" t="s">
        <v>452</v>
      </c>
      <c r="B592" s="14"/>
      <c r="C592" s="14"/>
      <c r="D592" s="14"/>
      <c r="E592" s="14"/>
      <c r="F592" s="14"/>
      <c r="G592" s="14"/>
      <c r="I592" s="22" t="s">
        <v>453</v>
      </c>
      <c r="J592" s="25"/>
    </row>
    <row r="593" spans="1:10" ht="14.5" x14ac:dyDescent="0.35">
      <c r="A593" s="14" t="s">
        <v>29</v>
      </c>
      <c r="B593" s="14"/>
      <c r="C593" s="14"/>
      <c r="D593" s="14"/>
      <c r="E593" s="14"/>
      <c r="F593" s="14"/>
      <c r="G593" s="14"/>
      <c r="I593" s="22" t="s">
        <v>30</v>
      </c>
      <c r="J593" s="25"/>
    </row>
    <row r="594" spans="1:10" ht="14.5" x14ac:dyDescent="0.35">
      <c r="A594" s="24" t="s">
        <v>4</v>
      </c>
      <c r="B594" s="24" t="s">
        <v>5</v>
      </c>
      <c r="C594" s="16" t="s">
        <v>6</v>
      </c>
      <c r="D594" s="24" t="s">
        <v>7</v>
      </c>
      <c r="E594" s="24" t="s">
        <v>8</v>
      </c>
      <c r="F594" s="16" t="s">
        <v>9</v>
      </c>
      <c r="G594" s="24" t="s">
        <v>10</v>
      </c>
      <c r="I594" s="22" t="s">
        <v>31</v>
      </c>
      <c r="J594" s="25"/>
    </row>
    <row r="595" spans="1:10" ht="14.5" x14ac:dyDescent="0.35">
      <c r="A595" s="26" t="s">
        <v>464</v>
      </c>
      <c r="B595" s="31" t="str">
        <f t="array" ref="B595:B602">IFERROR(VLOOKUP(I595:I602,Lectures_1!A2:F534,2,FALSE()),0)</f>
        <v>DIGITAL COMMUNICATION SYSTEMS</v>
      </c>
      <c r="C595" s="31" t="str">
        <f t="array" ref="C595:C602">IFERROR(VLOOKUP(I595:I602,Lectures_1!A2:F534,3,FALSE()),0)</f>
        <v>Affum Emmanuel Ampoma</v>
      </c>
      <c r="D595" s="26" t="s">
        <v>119</v>
      </c>
      <c r="E595" s="28">
        <f t="array" ref="E595:E602">IFERROR(VLOOKUP(I595:I602,Lectures_1!A2:F534,4,FALSE()),0)</f>
        <v>140</v>
      </c>
      <c r="F595" s="32"/>
      <c r="G595" s="30">
        <f t="shared" ref="G595:G602" si="74">E595*1.1</f>
        <v>154</v>
      </c>
      <c r="H595" s="17"/>
      <c r="I595" s="20" t="str">
        <f t="shared" ref="I595:I602" si="75">CONCATENATE(A595,",",D595)</f>
        <v>TE 358,ED3-TEL</v>
      </c>
      <c r="J595" s="25"/>
    </row>
    <row r="596" spans="1:10" ht="14.5" x14ac:dyDescent="0.35">
      <c r="A596" s="26" t="s">
        <v>465</v>
      </c>
      <c r="B596" s="31" t="str">
        <v>DIGITAL COMMUNICATION SYSTEMS</v>
      </c>
      <c r="C596" s="31" t="str">
        <v>Charles Mawutor Adrah</v>
      </c>
      <c r="D596" s="26" t="s">
        <v>71</v>
      </c>
      <c r="E596" s="28">
        <v>240</v>
      </c>
      <c r="F596" s="32" t="s">
        <v>21</v>
      </c>
      <c r="G596" s="30">
        <f t="shared" si="74"/>
        <v>264</v>
      </c>
      <c r="H596" s="17"/>
      <c r="I596" s="20" t="str">
        <f t="shared" si="75"/>
        <v>TE 386,ED3-EE</v>
      </c>
      <c r="J596" s="25"/>
    </row>
    <row r="597" spans="1:10" ht="14.5" x14ac:dyDescent="0.35">
      <c r="A597" s="26" t="s">
        <v>466</v>
      </c>
      <c r="B597" s="27" t="str">
        <v>COMPUTER-AIDED DESIGN AND MODELLING</v>
      </c>
      <c r="C597" s="31" t="str">
        <v>Sackey Michael Nii</v>
      </c>
      <c r="D597" s="26" t="s">
        <v>36</v>
      </c>
      <c r="E597" s="28">
        <v>75</v>
      </c>
      <c r="F597" s="32"/>
      <c r="G597" s="30">
        <f t="shared" si="74"/>
        <v>82.5</v>
      </c>
      <c r="H597" s="17"/>
      <c r="I597" s="20" t="str">
        <f t="shared" si="75"/>
        <v>ME 258,ED2-AERO</v>
      </c>
      <c r="J597" s="25"/>
    </row>
    <row r="598" spans="1:10" ht="14.5" x14ac:dyDescent="0.35">
      <c r="A598" s="26" t="s">
        <v>467</v>
      </c>
      <c r="B598" s="27" t="str">
        <v>NUMERICAL METHODS FOR PETROLEUM ENGINEERS</v>
      </c>
      <c r="C598" s="27" t="str">
        <v>Sokama-Neuyam Yen Adams</v>
      </c>
      <c r="D598" s="26" t="s">
        <v>18</v>
      </c>
      <c r="E598" s="28">
        <v>80</v>
      </c>
      <c r="F598" s="32"/>
      <c r="G598" s="30">
        <f t="shared" si="74"/>
        <v>88</v>
      </c>
      <c r="H598" s="17"/>
      <c r="I598" s="20" t="str">
        <f t="shared" si="75"/>
        <v>PE 350,ED3-PE</v>
      </c>
      <c r="J598" s="25"/>
    </row>
    <row r="599" spans="1:10" ht="14.5" x14ac:dyDescent="0.35">
      <c r="A599" s="26" t="s">
        <v>468</v>
      </c>
      <c r="B599" s="27" t="str">
        <v>INTRODUCTION TO CERAMICS</v>
      </c>
      <c r="C599" s="27" t="str">
        <v>Andrews Anthony</v>
      </c>
      <c r="D599" s="26" t="s">
        <v>210</v>
      </c>
      <c r="E599" s="28">
        <v>83</v>
      </c>
      <c r="F599" s="32"/>
      <c r="G599" s="30">
        <f t="shared" si="74"/>
        <v>91.300000000000011</v>
      </c>
      <c r="H599" s="17"/>
      <c r="I599" s="20" t="str">
        <f t="shared" si="75"/>
        <v>MSE 254,ED2-MSE</v>
      </c>
      <c r="J599" s="25"/>
    </row>
    <row r="600" spans="1:10" ht="14.5" x14ac:dyDescent="0.35">
      <c r="A600" s="26" t="s">
        <v>469</v>
      </c>
      <c r="B600" s="27" t="str">
        <v>STRUCTURAL DYNAMICS</v>
      </c>
      <c r="C600" s="31" t="str">
        <v>Mark Adom-Asamoah</v>
      </c>
      <c r="D600" s="26" t="s">
        <v>103</v>
      </c>
      <c r="E600" s="28">
        <v>95</v>
      </c>
      <c r="F600" s="32"/>
      <c r="G600" s="30">
        <f t="shared" si="74"/>
        <v>104.50000000000001</v>
      </c>
      <c r="H600" s="17"/>
      <c r="I600" s="20" t="str">
        <f t="shared" si="75"/>
        <v>CE 456,ED4-CE</v>
      </c>
      <c r="J600" s="25"/>
    </row>
    <row r="601" spans="1:10" s="53" customFormat="1" ht="14.5" x14ac:dyDescent="0.35">
      <c r="A601" s="26" t="s">
        <v>281</v>
      </c>
      <c r="B601" s="31" t="str">
        <v>CALCULUS WITH SEVERAL VARIABLES</v>
      </c>
      <c r="C601" s="27" t="str">
        <v>Emmanuel Kpeglo</v>
      </c>
      <c r="D601" s="26" t="s">
        <v>25</v>
      </c>
      <c r="E601" s="28">
        <v>340</v>
      </c>
      <c r="F601" s="60"/>
      <c r="G601" s="30">
        <f t="shared" si="74"/>
        <v>374.00000000000006</v>
      </c>
      <c r="H601" s="58"/>
      <c r="I601" s="51" t="str">
        <f t="shared" si="75"/>
        <v>MATH 252,ED2-EE</v>
      </c>
      <c r="J601" s="52"/>
    </row>
    <row r="602" spans="1:10" s="53" customFormat="1" ht="14.5" x14ac:dyDescent="0.35">
      <c r="A602" s="26" t="s">
        <v>281</v>
      </c>
      <c r="B602" s="31" t="str">
        <v>CALCULUS OF SEVERAL VARIABLES</v>
      </c>
      <c r="C602" s="27" t="str">
        <v>Benedict Barnes</v>
      </c>
      <c r="D602" s="26" t="s">
        <v>13</v>
      </c>
      <c r="E602" s="28">
        <v>160</v>
      </c>
      <c r="F602" s="32"/>
      <c r="G602" s="30">
        <f t="shared" si="74"/>
        <v>176</v>
      </c>
      <c r="H602" s="17"/>
      <c r="I602" s="51" t="str">
        <f t="shared" si="75"/>
        <v>MATH 252,ED2-CHE</v>
      </c>
      <c r="J602" s="52"/>
    </row>
    <row r="603" spans="1:10" ht="14.5" x14ac:dyDescent="0.35">
      <c r="A603" s="35"/>
      <c r="B603" s="35"/>
      <c r="D603" s="27" t="s">
        <v>470</v>
      </c>
      <c r="E603" s="35">
        <f>SUM(E595:E602)</f>
        <v>1213</v>
      </c>
      <c r="F603" s="36"/>
      <c r="G603" s="35"/>
      <c r="I603" s="22"/>
      <c r="J603" s="25"/>
    </row>
    <row r="604" spans="1:10" ht="14.5" x14ac:dyDescent="0.35">
      <c r="A604" s="14" t="s">
        <v>452</v>
      </c>
      <c r="B604" s="14"/>
      <c r="C604" s="14"/>
      <c r="D604" s="14"/>
      <c r="E604" s="14"/>
      <c r="F604" s="14"/>
      <c r="G604" s="14"/>
      <c r="I604" s="22" t="s">
        <v>453</v>
      </c>
      <c r="J604" s="25"/>
    </row>
    <row r="605" spans="1:10" ht="14.5" x14ac:dyDescent="0.35">
      <c r="A605" s="14" t="s">
        <v>59</v>
      </c>
      <c r="B605" s="14"/>
      <c r="C605" s="14"/>
      <c r="D605" s="14"/>
      <c r="E605" s="14"/>
      <c r="F605" s="14"/>
      <c r="G605" s="14"/>
      <c r="I605" s="22" t="s">
        <v>128</v>
      </c>
      <c r="J605" s="25"/>
    </row>
    <row r="606" spans="1:10" ht="14.5" x14ac:dyDescent="0.35">
      <c r="A606" s="24" t="s">
        <v>4</v>
      </c>
      <c r="B606" s="24" t="s">
        <v>5</v>
      </c>
      <c r="C606" s="16" t="s">
        <v>6</v>
      </c>
      <c r="D606" s="24" t="s">
        <v>7</v>
      </c>
      <c r="E606" s="24" t="s">
        <v>8</v>
      </c>
      <c r="F606" s="16" t="s">
        <v>9</v>
      </c>
      <c r="G606" s="24" t="s">
        <v>10</v>
      </c>
      <c r="I606" s="22" t="s">
        <v>31</v>
      </c>
      <c r="J606" s="25"/>
    </row>
    <row r="607" spans="1:10" ht="14.5" x14ac:dyDescent="0.35">
      <c r="A607" s="26" t="s">
        <v>471</v>
      </c>
      <c r="B607" s="31" t="str">
        <f t="array" ref="B607:B614">IFERROR(VLOOKUP(I607:I614,Lectures_1!A2:F534,2,FALSE()),0)</f>
        <v>PRINCIPLES OF VALUATION OF LAND AND BUILDING</v>
      </c>
      <c r="C607" s="31" t="str">
        <f t="array" ref="C607:C614">IFERROR(VLOOKUP(I607:I614,Lectures_1!A2:F534,3,FALSE()),0)</f>
        <v>Ayitey Jonathan</v>
      </c>
      <c r="D607" s="26" t="s">
        <v>194</v>
      </c>
      <c r="E607" s="28">
        <f t="array" ref="E607:E614">IFERROR(VLOOKUP(I607:I614,Lectures_1!A2:F534,4,FALSE()),0)</f>
        <v>93</v>
      </c>
      <c r="F607" s="32"/>
      <c r="G607" s="30">
        <f t="shared" ref="G607:G614" si="76">E607*1.1</f>
        <v>102.30000000000001</v>
      </c>
      <c r="H607" s="17"/>
      <c r="I607" s="20" t="str">
        <f t="shared" ref="I607:I614" si="77">CONCATENATE(A607,",",D607)</f>
        <v>GE 474,ED4-GEOM</v>
      </c>
      <c r="J607" s="25"/>
    </row>
    <row r="608" spans="1:10" ht="14.5" x14ac:dyDescent="0.35">
      <c r="A608" s="26" t="s">
        <v>472</v>
      </c>
      <c r="B608" s="27" t="str">
        <v>AEROSPACE SAFETY AND AIR SECURITY</v>
      </c>
      <c r="C608" s="31" t="str">
        <v xml:space="preserve">Peter Oppong Tawiah </v>
      </c>
      <c r="D608" s="26" t="s">
        <v>99</v>
      </c>
      <c r="E608" s="28">
        <v>61</v>
      </c>
      <c r="F608" s="26"/>
      <c r="G608" s="30">
        <f t="shared" si="76"/>
        <v>67.100000000000009</v>
      </c>
      <c r="H608" s="17"/>
      <c r="I608" s="20" t="str">
        <f t="shared" si="77"/>
        <v>AERO 492,ED4-AERO</v>
      </c>
      <c r="J608" s="25"/>
    </row>
    <row r="609" spans="1:10" ht="14.5" x14ac:dyDescent="0.35">
      <c r="A609" s="26" t="s">
        <v>473</v>
      </c>
      <c r="B609" s="24" t="str">
        <v>ELECTRICAL ENGINEERING MACHINES</v>
      </c>
      <c r="C609" s="27" t="str">
        <v>Yaw Opoku Mensah Sekyere</v>
      </c>
      <c r="D609" s="26" t="s">
        <v>61</v>
      </c>
      <c r="E609" s="28">
        <v>222</v>
      </c>
      <c r="F609" s="32"/>
      <c r="G609" s="30">
        <f t="shared" si="76"/>
        <v>244.20000000000002</v>
      </c>
      <c r="H609" s="17"/>
      <c r="I609" s="20" t="str">
        <f t="shared" si="77"/>
        <v>EE 252,ED3-ME</v>
      </c>
      <c r="J609" s="25"/>
    </row>
    <row r="610" spans="1:10" ht="14.5" x14ac:dyDescent="0.35">
      <c r="A610" s="26" t="s">
        <v>473</v>
      </c>
      <c r="B610" s="24" t="str">
        <v>ELECTRICAL ENGINEERING MACHINES</v>
      </c>
      <c r="C610" s="27" t="str">
        <v>Yaw Opoku Mensah Sekyere</v>
      </c>
      <c r="D610" s="26" t="s">
        <v>53</v>
      </c>
      <c r="E610" s="28">
        <v>155</v>
      </c>
      <c r="F610" s="32"/>
      <c r="G610" s="30">
        <f t="shared" si="76"/>
        <v>170.5</v>
      </c>
      <c r="H610" s="17"/>
      <c r="I610" s="20" t="str">
        <f t="shared" si="77"/>
        <v>EE 252,ED2-AE</v>
      </c>
      <c r="J610" s="25"/>
    </row>
    <row r="611" spans="1:10" ht="14.5" x14ac:dyDescent="0.35">
      <c r="A611" s="26" t="s">
        <v>474</v>
      </c>
      <c r="B611" s="27" t="str">
        <v>ELECTRICAL MACHINES</v>
      </c>
      <c r="C611" s="27" t="str">
        <v>Asigri Peter</v>
      </c>
      <c r="D611" s="26" t="s">
        <v>20</v>
      </c>
      <c r="E611" s="28">
        <v>262</v>
      </c>
      <c r="F611" s="61" t="s">
        <v>21</v>
      </c>
      <c r="G611" s="30">
        <f t="shared" si="76"/>
        <v>288.20000000000005</v>
      </c>
      <c r="H611" s="58"/>
      <c r="I611" s="20" t="str">
        <f t="shared" si="77"/>
        <v>EE 172,ED1-COE</v>
      </c>
      <c r="J611" s="25"/>
    </row>
    <row r="612" spans="1:10" ht="14.5" x14ac:dyDescent="0.35">
      <c r="A612" s="26" t="s">
        <v>475</v>
      </c>
      <c r="B612" s="31" t="str">
        <v>HYDROGRAPHIC SURVEYING AND MARINE SCIENCE</v>
      </c>
      <c r="C612" s="27" t="str">
        <v>Asante Cosmas Yaw</v>
      </c>
      <c r="D612" s="26" t="s">
        <v>170</v>
      </c>
      <c r="E612" s="28">
        <v>132</v>
      </c>
      <c r="F612" s="32"/>
      <c r="G612" s="30">
        <f t="shared" si="76"/>
        <v>145.20000000000002</v>
      </c>
      <c r="H612" s="17"/>
      <c r="I612" s="20" t="str">
        <f t="shared" si="77"/>
        <v>GE 284,ED2-GEOM</v>
      </c>
      <c r="J612" s="25"/>
    </row>
    <row r="613" spans="1:10" ht="14.5" x14ac:dyDescent="0.35">
      <c r="A613" s="26" t="s">
        <v>476</v>
      </c>
      <c r="B613" s="31" t="str">
        <v>SIMULTANEOUS HEAT/MASS TRANSFER</v>
      </c>
      <c r="C613" s="27" t="str">
        <v>Dogbe Eunice Sefakor Aku</v>
      </c>
      <c r="D613" s="26" t="s">
        <v>73</v>
      </c>
      <c r="E613" s="28">
        <v>105</v>
      </c>
      <c r="F613" s="32"/>
      <c r="G613" s="30">
        <f t="shared" si="76"/>
        <v>115.50000000000001</v>
      </c>
      <c r="H613" s="17"/>
      <c r="I613" s="20" t="str">
        <f t="shared" si="77"/>
        <v>CHE 354,ED3-CHE</v>
      </c>
      <c r="J613" s="25"/>
    </row>
    <row r="614" spans="1:10" ht="14.5" x14ac:dyDescent="0.35">
      <c r="A614" s="26" t="s">
        <v>477</v>
      </c>
      <c r="B614" s="27" t="str">
        <v>CROP STORAGE AND STORAGE STRUCTURES</v>
      </c>
      <c r="C614" s="27" t="str">
        <v>Bart Plange Ato</v>
      </c>
      <c r="D614" s="26" t="s">
        <v>50</v>
      </c>
      <c r="E614" s="28">
        <v>103</v>
      </c>
      <c r="F614" s="32"/>
      <c r="G614" s="30">
        <f t="shared" si="76"/>
        <v>113.30000000000001</v>
      </c>
      <c r="H614" s="17"/>
      <c r="I614" s="20" t="str">
        <f t="shared" si="77"/>
        <v>AE 464,ED4-AE</v>
      </c>
      <c r="J614" s="25"/>
    </row>
    <row r="615" spans="1:10" ht="14.5" x14ac:dyDescent="0.35">
      <c r="A615" s="35"/>
      <c r="B615" s="35"/>
      <c r="D615" s="27" t="s">
        <v>478</v>
      </c>
      <c r="E615" s="35">
        <f>SUM(E607:E614)</f>
        <v>1133</v>
      </c>
      <c r="F615" s="36"/>
      <c r="G615" s="35"/>
      <c r="I615" s="22" t="s">
        <v>479</v>
      </c>
      <c r="J615" s="25"/>
    </row>
    <row r="616" spans="1:10" ht="14.5" x14ac:dyDescent="0.35">
      <c r="A616" s="14" t="s">
        <v>480</v>
      </c>
      <c r="B616" s="14"/>
      <c r="C616" s="14"/>
      <c r="D616" s="14"/>
      <c r="E616" s="14"/>
      <c r="F616" s="14"/>
      <c r="G616" s="14"/>
      <c r="I616" s="22" t="s">
        <v>481</v>
      </c>
      <c r="J616" s="25"/>
    </row>
    <row r="617" spans="1:10" ht="14.5" x14ac:dyDescent="0.35">
      <c r="A617" s="14" t="s">
        <v>2</v>
      </c>
      <c r="B617" s="14"/>
      <c r="C617" s="14"/>
      <c r="D617" s="14"/>
      <c r="E617" s="14"/>
      <c r="F617" s="14"/>
      <c r="G617" s="14"/>
      <c r="I617" s="22" t="s">
        <v>149</v>
      </c>
      <c r="J617" s="25"/>
    </row>
    <row r="618" spans="1:10" ht="14.5" x14ac:dyDescent="0.35">
      <c r="A618" s="24" t="s">
        <v>4</v>
      </c>
      <c r="B618" s="24" t="s">
        <v>5</v>
      </c>
      <c r="C618" s="16" t="s">
        <v>6</v>
      </c>
      <c r="D618" s="24" t="s">
        <v>7</v>
      </c>
      <c r="E618" s="24" t="s">
        <v>8</v>
      </c>
      <c r="F618" s="16" t="s">
        <v>9</v>
      </c>
      <c r="G618" s="24" t="s">
        <v>10</v>
      </c>
      <c r="I618" s="22" t="s">
        <v>31</v>
      </c>
      <c r="J618" s="25"/>
    </row>
    <row r="619" spans="1:10" ht="14.5" x14ac:dyDescent="0.35">
      <c r="A619" s="26" t="s">
        <v>482</v>
      </c>
      <c r="B619" s="31" t="str">
        <f t="array" ref="B619:B629">IFERROR(VLOOKUP(I619:I629,Lectures_1!A2:F534,2,FALSE()),0)</f>
        <v>LOGISTICS AND SUPPLY CHAIN ENGINEERING</v>
      </c>
      <c r="C619" s="27" t="str">
        <f t="array" ref="C619:C629">IFERROR(VLOOKUP(I619:I629,Lectures_1!A2:F534,3,FALSE()),0)</f>
        <v>Asiedu Charlotte</v>
      </c>
      <c r="D619" s="26" t="s">
        <v>121</v>
      </c>
      <c r="E619" s="28">
        <f t="array" ref="E619:E629">IFERROR(VLOOKUP(I619:I629,Lectures_1!A2:F534,4,FALSE()),0)</f>
        <v>70</v>
      </c>
      <c r="F619" s="26"/>
      <c r="G619" s="30">
        <f t="shared" ref="G619:G629" si="78">E619*1.1</f>
        <v>77</v>
      </c>
      <c r="H619" s="17"/>
      <c r="I619" s="20" t="str">
        <f t="shared" ref="I619:I629" si="79">CONCATENATE(A619,",",D619)</f>
        <v>IE 354,ED3-IND</v>
      </c>
      <c r="J619" s="25"/>
    </row>
    <row r="620" spans="1:10" ht="14.5" x14ac:dyDescent="0.35">
      <c r="A620" s="26" t="s">
        <v>483</v>
      </c>
      <c r="B620" s="27" t="str">
        <v>AEROSPACE DESIGN PROJECT I</v>
      </c>
      <c r="C620" s="31" t="str">
        <v>Afriyie Nyarko Frank Kwabena</v>
      </c>
      <c r="D620" s="26" t="s">
        <v>191</v>
      </c>
      <c r="E620" s="28">
        <v>70</v>
      </c>
      <c r="F620" s="32"/>
      <c r="G620" s="30">
        <f t="shared" si="78"/>
        <v>77</v>
      </c>
      <c r="H620" s="17"/>
      <c r="I620" s="20" t="str">
        <f t="shared" si="79"/>
        <v>AERO 174,ED1-AERO</v>
      </c>
      <c r="J620" s="25"/>
    </row>
    <row r="621" spans="1:10" ht="14.5" x14ac:dyDescent="0.35">
      <c r="A621" s="26" t="s">
        <v>484</v>
      </c>
      <c r="B621" s="31" t="str">
        <v>FIRST YEAR DESIGN PROJECT</v>
      </c>
      <c r="C621" s="27" t="str">
        <v>Afriyie Nyarko Frank Kwabena</v>
      </c>
      <c r="D621" s="26" t="s">
        <v>111</v>
      </c>
      <c r="E621" s="28">
        <v>83</v>
      </c>
      <c r="F621" s="32"/>
      <c r="G621" s="30">
        <f t="shared" si="78"/>
        <v>91.300000000000011</v>
      </c>
      <c r="H621" s="17"/>
      <c r="I621" s="20" t="str">
        <f t="shared" si="79"/>
        <v>IE 174,ED1-IND</v>
      </c>
      <c r="J621" s="25"/>
    </row>
    <row r="622" spans="1:10" ht="14.5" x14ac:dyDescent="0.35">
      <c r="A622" s="26" t="s">
        <v>485</v>
      </c>
      <c r="B622" s="31" t="str">
        <v>MARINE ENGINEERING DESIGN PROJECT I</v>
      </c>
      <c r="C622" s="27" t="str">
        <v>Afriyie Nyarko Frank Kwabena</v>
      </c>
      <c r="D622" s="26" t="s">
        <v>112</v>
      </c>
      <c r="E622" s="42">
        <v>46</v>
      </c>
      <c r="F622" s="32"/>
      <c r="G622" s="30">
        <f t="shared" si="78"/>
        <v>50.6</v>
      </c>
      <c r="H622" s="17"/>
      <c r="I622" s="20" t="str">
        <f t="shared" si="79"/>
        <v>MME 174,ED1-MARI</v>
      </c>
      <c r="J622" s="25"/>
    </row>
    <row r="623" spans="1:10" ht="14.5" x14ac:dyDescent="0.35">
      <c r="A623" s="26" t="s">
        <v>486</v>
      </c>
      <c r="B623" s="31" t="str">
        <v>PRODUCT DESIGN AND MANUFACTURING</v>
      </c>
      <c r="C623" s="31" t="str">
        <v>Afriyie Nyarko Frank Kwabena</v>
      </c>
      <c r="D623" s="26" t="s">
        <v>161</v>
      </c>
      <c r="E623" s="28">
        <v>225</v>
      </c>
      <c r="F623" s="62"/>
      <c r="G623" s="30">
        <f t="shared" si="78"/>
        <v>247.50000000000003</v>
      </c>
      <c r="H623" s="17"/>
      <c r="I623" s="20" t="str">
        <f t="shared" si="79"/>
        <v>ME 174,ED1-ME</v>
      </c>
      <c r="J623" s="25"/>
    </row>
    <row r="624" spans="1:10" ht="14.5" x14ac:dyDescent="0.35">
      <c r="A624" s="26" t="s">
        <v>486</v>
      </c>
      <c r="B624" s="31" t="str">
        <v>PRODUCT DESIGN AND MANUFACTURING</v>
      </c>
      <c r="C624" s="31" t="str">
        <v>Afriyie Nyarko Frank Kwabena</v>
      </c>
      <c r="D624" s="26" t="s">
        <v>162</v>
      </c>
      <c r="E624" s="28">
        <v>85</v>
      </c>
      <c r="F624" s="32"/>
      <c r="G624" s="30">
        <f t="shared" si="78"/>
        <v>93.500000000000014</v>
      </c>
      <c r="H624" s="17"/>
      <c r="I624" s="20" t="str">
        <f t="shared" si="79"/>
        <v>ME 174,ED1-AUTO</v>
      </c>
      <c r="J624" s="25"/>
    </row>
    <row r="625" spans="1:10" ht="14.5" x14ac:dyDescent="0.35">
      <c r="A625" s="26" t="s">
        <v>487</v>
      </c>
      <c r="B625" s="31" t="str">
        <v>ORE BENEFICIATION</v>
      </c>
      <c r="C625" s="31" t="str">
        <v>Koomson Bennetta</v>
      </c>
      <c r="D625" s="26" t="s">
        <v>101</v>
      </c>
      <c r="E625" s="28">
        <v>57</v>
      </c>
      <c r="F625" s="39"/>
      <c r="G625" s="30">
        <f t="shared" si="78"/>
        <v>62.7</v>
      </c>
      <c r="H625" s="39"/>
      <c r="I625" s="20" t="str">
        <f t="shared" si="79"/>
        <v>METE 254,ED2-METE</v>
      </c>
      <c r="J625" s="25"/>
    </row>
    <row r="626" spans="1:10" ht="14.5" x14ac:dyDescent="0.35">
      <c r="A626" s="26" t="s">
        <v>488</v>
      </c>
      <c r="B626" s="27" t="str">
        <v>PHYSICAL CHEMISTRY FOR ENGINEERS</v>
      </c>
      <c r="C626" s="31" t="str">
        <v>Boakye Patrick</v>
      </c>
      <c r="D626" s="26" t="s">
        <v>82</v>
      </c>
      <c r="E626" s="28">
        <v>130</v>
      </c>
      <c r="F626" s="32"/>
      <c r="G626" s="30">
        <f t="shared" si="78"/>
        <v>143</v>
      </c>
      <c r="H626" s="17"/>
      <c r="I626" s="20" t="str">
        <f t="shared" si="79"/>
        <v>PE 156,ED1-PE</v>
      </c>
      <c r="J626" s="25"/>
    </row>
    <row r="627" spans="1:10" ht="14.5" x14ac:dyDescent="0.35">
      <c r="A627" s="26" t="s">
        <v>302</v>
      </c>
      <c r="B627" s="27" t="str">
        <v>PHYSICAL CHEMISTRY FOR ENGINEERS</v>
      </c>
      <c r="C627" s="27" t="str">
        <v>Boakye Patrick</v>
      </c>
      <c r="D627" s="26" t="s">
        <v>81</v>
      </c>
      <c r="E627" s="28">
        <v>56</v>
      </c>
      <c r="F627" s="32"/>
      <c r="G627" s="30">
        <f t="shared" si="78"/>
        <v>61.600000000000009</v>
      </c>
      <c r="H627" s="17"/>
      <c r="I627" s="20" t="str">
        <f t="shared" si="79"/>
        <v>CHE 156,ED1-PCE</v>
      </c>
      <c r="J627" s="25"/>
    </row>
    <row r="628" spans="1:10" ht="14.5" x14ac:dyDescent="0.35">
      <c r="A628" s="26" t="s">
        <v>489</v>
      </c>
      <c r="B628" s="27" t="str">
        <v>LARGE SCALE SURVEYING</v>
      </c>
      <c r="C628" s="27" t="str">
        <v>Dadzie Isaac</v>
      </c>
      <c r="D628" s="26" t="s">
        <v>56</v>
      </c>
      <c r="E628" s="28">
        <v>250</v>
      </c>
      <c r="F628" s="32"/>
      <c r="G628" s="30">
        <f t="shared" si="78"/>
        <v>275</v>
      </c>
      <c r="H628" s="17"/>
      <c r="I628" s="20" t="str">
        <f t="shared" si="79"/>
        <v>GE 282,ED2-CE</v>
      </c>
      <c r="J628" s="25"/>
    </row>
    <row r="629" spans="1:10" ht="14.5" x14ac:dyDescent="0.35">
      <c r="A629" s="26" t="s">
        <v>489</v>
      </c>
      <c r="B629" s="27" t="str">
        <v>LARGE SCALE SURVEYING</v>
      </c>
      <c r="C629" s="27" t="str">
        <v>Dadzie Isaac</v>
      </c>
      <c r="D629" s="26" t="s">
        <v>55</v>
      </c>
      <c r="E629" s="28">
        <v>150</v>
      </c>
      <c r="F629" s="32"/>
      <c r="G629" s="30">
        <f t="shared" si="78"/>
        <v>165</v>
      </c>
      <c r="H629" s="17"/>
      <c r="I629" s="20" t="str">
        <f t="shared" si="79"/>
        <v>GE 282,ED2-GEOL</v>
      </c>
      <c r="J629" s="25"/>
    </row>
    <row r="630" spans="1:10" ht="14.5" x14ac:dyDescent="0.35">
      <c r="A630" s="35"/>
      <c r="B630" s="35"/>
      <c r="D630" s="27" t="s">
        <v>490</v>
      </c>
      <c r="E630" s="35">
        <f>SUM(E619:E629)</f>
        <v>1222</v>
      </c>
      <c r="F630" s="36"/>
      <c r="G630" s="35"/>
      <c r="I630" s="22" t="s">
        <v>491</v>
      </c>
      <c r="J630" s="25"/>
    </row>
    <row r="631" spans="1:10" ht="14.5" x14ac:dyDescent="0.35">
      <c r="G631" s="15"/>
      <c r="J631" s="50"/>
    </row>
    <row r="632" spans="1:10" x14ac:dyDescent="0.3">
      <c r="G632" s="15"/>
    </row>
    <row r="633" spans="1:10" ht="14.5" x14ac:dyDescent="0.35">
      <c r="A633" s="14" t="s">
        <v>480</v>
      </c>
      <c r="B633" s="14"/>
      <c r="C633" s="14"/>
      <c r="D633" s="14"/>
      <c r="E633" s="14"/>
      <c r="F633" s="14"/>
      <c r="G633" s="14"/>
      <c r="I633" s="22" t="s">
        <v>481</v>
      </c>
      <c r="J633" s="25"/>
    </row>
    <row r="634" spans="1:10" ht="14.5" x14ac:dyDescent="0.35">
      <c r="A634" s="14" t="s">
        <v>29</v>
      </c>
      <c r="B634" s="14"/>
      <c r="C634" s="14"/>
      <c r="D634" s="14"/>
      <c r="E634" s="14"/>
      <c r="F634" s="14"/>
      <c r="G634" s="14"/>
      <c r="I634" s="22" t="s">
        <v>30</v>
      </c>
      <c r="J634" s="25"/>
    </row>
    <row r="635" spans="1:10" ht="14.5" x14ac:dyDescent="0.35">
      <c r="A635" s="24" t="s">
        <v>4</v>
      </c>
      <c r="B635" s="24" t="s">
        <v>5</v>
      </c>
      <c r="C635" s="16" t="s">
        <v>6</v>
      </c>
      <c r="D635" s="24" t="s">
        <v>7</v>
      </c>
      <c r="E635" s="24" t="s">
        <v>8</v>
      </c>
      <c r="F635" s="16" t="s">
        <v>9</v>
      </c>
      <c r="G635" s="24" t="s">
        <v>10</v>
      </c>
      <c r="I635" s="22" t="s">
        <v>31</v>
      </c>
      <c r="J635" s="25"/>
    </row>
    <row r="636" spans="1:10" ht="14.5" x14ac:dyDescent="0.35">
      <c r="A636" s="26" t="s">
        <v>492</v>
      </c>
      <c r="B636" s="27" t="str">
        <f t="array" ref="B636:B646">IFERROR(VLOOKUP(I636:I646,Lectures_1!A2:F534,2,FALSE()),0)</f>
        <v>INTRODUCTION TO PROGRAMMING - I</v>
      </c>
      <c r="C636" s="27" t="str">
        <f t="array" ref="C636:C646">IFERROR(VLOOKUP(I636:I646,Lectures_1!A2:F534,3,FALSE()),0)</f>
        <v>Agyemang Justice Owusu</v>
      </c>
      <c r="D636" s="26" t="s">
        <v>91</v>
      </c>
      <c r="E636" s="28">
        <f t="array" ref="E636:E646">IFERROR(VLOOKUP(I636:I646,Lectures_1!A2:F534,4,FALSE()),0)</f>
        <v>130</v>
      </c>
      <c r="F636" s="60" t="s">
        <v>21</v>
      </c>
      <c r="G636" s="30">
        <f t="shared" ref="G636:G646" si="80">E636*1.1</f>
        <v>143</v>
      </c>
      <c r="H636" s="58"/>
      <c r="I636" s="20" t="str">
        <f t="shared" ref="I636:I646" si="81">CONCATENATE(A636,",",D636)</f>
        <v>TE 158,ED1-TEL</v>
      </c>
      <c r="J636" s="25"/>
    </row>
    <row r="637" spans="1:10" ht="14.5" x14ac:dyDescent="0.35">
      <c r="A637" s="26" t="s">
        <v>493</v>
      </c>
      <c r="B637" s="31" t="str">
        <v>AUTOMOTIVE ELECTRICAL SYSTEMS AND ELECTRONICS</v>
      </c>
      <c r="C637" s="31" t="str">
        <v>Ayetor Godwin Kafui Kwesi</v>
      </c>
      <c r="D637" s="26" t="s">
        <v>40</v>
      </c>
      <c r="E637" s="28">
        <v>82</v>
      </c>
      <c r="F637" s="26" t="s">
        <v>21</v>
      </c>
      <c r="G637" s="30">
        <f t="shared" si="80"/>
        <v>90.2</v>
      </c>
      <c r="H637" s="17"/>
      <c r="I637" s="20" t="str">
        <f t="shared" si="81"/>
        <v>AME 252,ED2-AUTO</v>
      </c>
      <c r="J637" s="25"/>
    </row>
    <row r="638" spans="1:10" ht="14.5" x14ac:dyDescent="0.35">
      <c r="A638" s="26" t="s">
        <v>494</v>
      </c>
      <c r="B638" s="27" t="str">
        <v>RESERVOIR FLUID PROPERTIES</v>
      </c>
      <c r="C638" s="27" t="str">
        <v>Casper Daniel Adenutsi</v>
      </c>
      <c r="D638" s="26" t="s">
        <v>93</v>
      </c>
      <c r="E638" s="28">
        <v>95</v>
      </c>
      <c r="F638" s="32"/>
      <c r="G638" s="30">
        <f t="shared" si="80"/>
        <v>104.50000000000001</v>
      </c>
      <c r="H638" s="17"/>
      <c r="I638" s="20" t="str">
        <f t="shared" si="81"/>
        <v>PE 260,ED2-PE</v>
      </c>
      <c r="J638" s="25"/>
    </row>
    <row r="639" spans="1:10" ht="14.5" x14ac:dyDescent="0.35">
      <c r="A639" s="26" t="s">
        <v>495</v>
      </c>
      <c r="B639" s="27" t="str">
        <v>QUANTITIES AND COST ESTIMATION IN CIVIL ENGINEERING</v>
      </c>
      <c r="C639" s="27" t="str">
        <v>Osei Jack Banahene</v>
      </c>
      <c r="D639" s="26" t="s">
        <v>157</v>
      </c>
      <c r="E639" s="28">
        <v>230</v>
      </c>
      <c r="F639" s="60"/>
      <c r="G639" s="30">
        <f t="shared" si="80"/>
        <v>253.00000000000003</v>
      </c>
      <c r="H639" s="58"/>
      <c r="I639" s="20" t="str">
        <f t="shared" si="81"/>
        <v>CE 376,ED3-CE</v>
      </c>
      <c r="J639" s="25"/>
    </row>
    <row r="640" spans="1:10" ht="14.5" x14ac:dyDescent="0.35">
      <c r="A640" s="26" t="s">
        <v>496</v>
      </c>
      <c r="B640" s="24" t="str">
        <v>KINETICS AND REACTIONS ENGINEERING</v>
      </c>
      <c r="C640" s="27" t="str">
        <v>Augustine Ntiamoah</v>
      </c>
      <c r="D640" s="26" t="s">
        <v>63</v>
      </c>
      <c r="E640" s="28">
        <v>53</v>
      </c>
      <c r="F640" s="39"/>
      <c r="G640" s="30">
        <f t="shared" si="80"/>
        <v>58.300000000000004</v>
      </c>
      <c r="H640" s="40"/>
      <c r="I640" s="20" t="str">
        <f t="shared" si="81"/>
        <v>PCE 350,ED3-PCE</v>
      </c>
      <c r="J640" s="25"/>
    </row>
    <row r="641" spans="1:10" ht="14.5" x14ac:dyDescent="0.35">
      <c r="A641" s="26" t="s">
        <v>497</v>
      </c>
      <c r="B641" s="27" t="str">
        <v>MINING PRINCIPLES AND SYSTEMS</v>
      </c>
      <c r="C641" s="27" t="str">
        <v>Owusu-Sarpong Seth</v>
      </c>
      <c r="D641" s="26" t="s">
        <v>154</v>
      </c>
      <c r="E641" s="28">
        <v>154</v>
      </c>
      <c r="F641" s="32"/>
      <c r="G641" s="30">
        <f t="shared" si="80"/>
        <v>169.4</v>
      </c>
      <c r="H641" s="17"/>
      <c r="I641" s="20" t="str">
        <f t="shared" si="81"/>
        <v>GED 342,ED3-GEOL</v>
      </c>
      <c r="J641" s="25"/>
    </row>
    <row r="642" spans="1:10" ht="14.5" x14ac:dyDescent="0.35">
      <c r="A642" s="26" t="s">
        <v>498</v>
      </c>
      <c r="B642" s="31" t="str">
        <v>RESEARCH METHODS FOR ENGINEERS</v>
      </c>
      <c r="C642" s="27" t="str">
        <v>Amponsah William</v>
      </c>
      <c r="D642" s="26" t="s">
        <v>88</v>
      </c>
      <c r="E642" s="28">
        <v>101</v>
      </c>
      <c r="F642" s="32"/>
      <c r="G642" s="30">
        <f t="shared" si="80"/>
        <v>111.10000000000001</v>
      </c>
      <c r="H642" s="17"/>
      <c r="I642" s="20" t="str">
        <f t="shared" si="81"/>
        <v>AE 362,ED3-AE</v>
      </c>
      <c r="J642" s="25"/>
    </row>
    <row r="643" spans="1:10" ht="14.5" x14ac:dyDescent="0.35">
      <c r="A643" s="26" t="s">
        <v>499</v>
      </c>
      <c r="B643" s="31" t="str">
        <v>NUMERICAL METHODS FOR ENGINEERS</v>
      </c>
      <c r="C643" s="31" t="str">
        <v>Nartey Martinson Addo</v>
      </c>
      <c r="D643" s="26" t="s">
        <v>142</v>
      </c>
      <c r="E643" s="28">
        <v>87</v>
      </c>
      <c r="F643" s="26"/>
      <c r="G643" s="30">
        <f t="shared" si="80"/>
        <v>95.7</v>
      </c>
      <c r="H643" s="17"/>
      <c r="I643" s="20" t="str">
        <f t="shared" si="81"/>
        <v>MSE 358,ED3-METE</v>
      </c>
      <c r="J643" s="25"/>
    </row>
    <row r="644" spans="1:10" ht="14.5" x14ac:dyDescent="0.35">
      <c r="A644" s="26" t="s">
        <v>499</v>
      </c>
      <c r="B644" s="31" t="str">
        <v>NUMERICAL METHODS FOR ENGINEERS</v>
      </c>
      <c r="C644" s="31" t="str">
        <v>Nartey Martinson Addo</v>
      </c>
      <c r="D644" s="26" t="s">
        <v>140</v>
      </c>
      <c r="E644" s="28">
        <v>85</v>
      </c>
      <c r="F644" s="26"/>
      <c r="G644" s="30">
        <f t="shared" si="80"/>
        <v>93.500000000000014</v>
      </c>
      <c r="H644" s="17"/>
      <c r="I644" s="20" t="str">
        <f t="shared" si="81"/>
        <v>MSE 358,ED3-MSE</v>
      </c>
      <c r="J644" s="25"/>
    </row>
    <row r="645" spans="1:10" ht="14.25" customHeight="1" x14ac:dyDescent="0.35">
      <c r="A645" s="26" t="s">
        <v>500</v>
      </c>
      <c r="B645" s="31" t="str">
        <v>ENVIRONMENTAL SCIENCE</v>
      </c>
      <c r="C645" s="27" t="str">
        <v>Koomson Bennetta</v>
      </c>
      <c r="D645" s="26" t="s">
        <v>114</v>
      </c>
      <c r="E645" s="28">
        <v>75</v>
      </c>
      <c r="F645" s="32"/>
      <c r="G645" s="30">
        <f t="shared" si="80"/>
        <v>82.5</v>
      </c>
      <c r="H645" s="17"/>
      <c r="I645" s="20" t="str">
        <f t="shared" si="81"/>
        <v>METE 154,ED1-METE</v>
      </c>
      <c r="J645" s="25"/>
    </row>
    <row r="646" spans="1:10" ht="14.5" x14ac:dyDescent="0.35">
      <c r="A646" s="26" t="s">
        <v>500</v>
      </c>
      <c r="B646" s="31" t="str">
        <v>ENVIRONMENTAL SCIENCE</v>
      </c>
      <c r="C646" s="27" t="str">
        <v>Koomson Bennetta</v>
      </c>
      <c r="D646" s="26" t="s">
        <v>115</v>
      </c>
      <c r="E646" s="28">
        <v>100</v>
      </c>
      <c r="F646" s="32"/>
      <c r="G646" s="30">
        <f t="shared" si="80"/>
        <v>110.00000000000001</v>
      </c>
      <c r="H646" s="17"/>
      <c r="I646" s="20" t="str">
        <f t="shared" si="81"/>
        <v>METE 154,ED1-MSE</v>
      </c>
      <c r="J646" s="25"/>
    </row>
    <row r="647" spans="1:10" ht="14.5" x14ac:dyDescent="0.35">
      <c r="A647" s="35"/>
      <c r="B647" s="35"/>
      <c r="D647" s="27" t="s">
        <v>501</v>
      </c>
      <c r="E647" s="35">
        <f>SUM(E636:E646)</f>
        <v>1192</v>
      </c>
      <c r="F647" s="36"/>
      <c r="G647" s="35"/>
      <c r="I647" s="22"/>
      <c r="J647" s="25"/>
    </row>
    <row r="648" spans="1:10" x14ac:dyDescent="0.3">
      <c r="G648" s="15"/>
    </row>
    <row r="649" spans="1:10" ht="14.5" x14ac:dyDescent="0.35">
      <c r="A649" s="14" t="s">
        <v>480</v>
      </c>
      <c r="B649" s="14"/>
      <c r="C649" s="14"/>
      <c r="D649" s="14"/>
      <c r="E649" s="14"/>
      <c r="F649" s="14"/>
      <c r="G649" s="14"/>
      <c r="I649" s="22" t="s">
        <v>481</v>
      </c>
      <c r="J649" s="25"/>
    </row>
    <row r="650" spans="1:10" ht="14.5" x14ac:dyDescent="0.35">
      <c r="A650" s="14" t="s">
        <v>59</v>
      </c>
      <c r="B650" s="14"/>
      <c r="C650" s="14"/>
      <c r="D650" s="14"/>
      <c r="E650" s="14"/>
      <c r="F650" s="14"/>
      <c r="G650" s="14"/>
      <c r="I650" s="22" t="s">
        <v>128</v>
      </c>
      <c r="J650" s="25"/>
    </row>
    <row r="651" spans="1:10" ht="14.5" x14ac:dyDescent="0.35">
      <c r="A651" s="24" t="s">
        <v>4</v>
      </c>
      <c r="B651" s="24" t="s">
        <v>5</v>
      </c>
      <c r="C651" s="16" t="s">
        <v>6</v>
      </c>
      <c r="D651" s="24" t="s">
        <v>7</v>
      </c>
      <c r="E651" s="24" t="s">
        <v>8</v>
      </c>
      <c r="F651" s="16" t="s">
        <v>9</v>
      </c>
      <c r="G651" s="24" t="s">
        <v>10</v>
      </c>
      <c r="H651" s="40"/>
      <c r="I651" s="22" t="s">
        <v>31</v>
      </c>
      <c r="J651" s="25"/>
    </row>
    <row r="652" spans="1:10" ht="14.5" x14ac:dyDescent="0.35">
      <c r="A652" s="26" t="s">
        <v>502</v>
      </c>
      <c r="B652" s="27" t="str">
        <f t="array" ref="B652:B665">IFERROR(VLOOKUP(I652:I665,Lectures_1!A2:F534,2,FALSE()),0)</f>
        <v>WELL COMPLETION AND STIMULATION</v>
      </c>
      <c r="C652" s="27" t="str">
        <f t="array" ref="C652:C665">IFERROR(VLOOKUP(I652:I665,Lectures_1!A2:F534,3,FALSE()),0)</f>
        <v>Erzuah Samuel</v>
      </c>
      <c r="D652" s="26" t="s">
        <v>46</v>
      </c>
      <c r="E652" s="28">
        <f t="array" ref="E652:E665">IFERROR(VLOOKUP(I652:I665,Lectures_1!A2:F534,4,FALSE()),0)</f>
        <v>99</v>
      </c>
      <c r="F652" s="39"/>
      <c r="G652" s="30">
        <f t="shared" ref="G652:G665" si="82">E652*1.1</f>
        <v>108.9</v>
      </c>
      <c r="H652" s="39"/>
      <c r="I652" s="20" t="str">
        <f t="shared" ref="I652:I665" si="83">CONCATENATE(A652,",",D652)</f>
        <v>PE 456,ED4-PE</v>
      </c>
      <c r="J652" s="25"/>
    </row>
    <row r="653" spans="1:10" ht="14.5" x14ac:dyDescent="0.35">
      <c r="A653" s="26" t="s">
        <v>503</v>
      </c>
      <c r="B653" s="27" t="str">
        <v>BIOMEDICAL OPTICS</v>
      </c>
      <c r="C653" s="27" t="str">
        <v>Kotei Addison Eric Clement</v>
      </c>
      <c r="D653" s="26" t="s">
        <v>65</v>
      </c>
      <c r="E653" s="28">
        <v>90</v>
      </c>
      <c r="F653" s="39"/>
      <c r="G653" s="30">
        <f t="shared" si="82"/>
        <v>99.000000000000014</v>
      </c>
      <c r="H653" s="39"/>
      <c r="I653" s="20" t="str">
        <f t="shared" si="83"/>
        <v>BME 374,ED3-BME</v>
      </c>
      <c r="J653" s="25"/>
    </row>
    <row r="654" spans="1:10" ht="14.5" x14ac:dyDescent="0.35">
      <c r="A654" s="26" t="s">
        <v>504</v>
      </c>
      <c r="B654" s="27" t="str">
        <v>INTRODUCTION TO VLSI</v>
      </c>
      <c r="C654" s="31" t="str">
        <v>Agbemenu Andrew Selasi</v>
      </c>
      <c r="D654" s="26" t="s">
        <v>144</v>
      </c>
      <c r="E654" s="28">
        <v>15</v>
      </c>
      <c r="F654" s="32"/>
      <c r="G654" s="30">
        <f t="shared" si="82"/>
        <v>16.5</v>
      </c>
      <c r="H654" s="17"/>
      <c r="I654" s="20" t="str">
        <f t="shared" si="83"/>
        <v>COE 486,ED4-EE</v>
      </c>
      <c r="J654" s="25"/>
    </row>
    <row r="655" spans="1:10" ht="14.5" x14ac:dyDescent="0.35">
      <c r="A655" s="26" t="s">
        <v>504</v>
      </c>
      <c r="B655" s="27" t="str">
        <v>VLSI CIRCUIT DESIGN</v>
      </c>
      <c r="C655" s="31" t="str">
        <v>Agbemenu Andrew Selasi</v>
      </c>
      <c r="D655" s="26" t="s">
        <v>251</v>
      </c>
      <c r="E655" s="28">
        <v>20</v>
      </c>
      <c r="F655" s="32"/>
      <c r="G655" s="30">
        <f t="shared" si="82"/>
        <v>22</v>
      </c>
      <c r="H655" s="17"/>
      <c r="I655" s="20" t="str">
        <f t="shared" si="83"/>
        <v>COE 486,ED4-COE</v>
      </c>
      <c r="J655" s="25"/>
    </row>
    <row r="656" spans="1:10" ht="14.5" x14ac:dyDescent="0.35">
      <c r="A656" s="26" t="s">
        <v>505</v>
      </c>
      <c r="B656" s="27" t="str">
        <v>SOFTWARE ENGINEERING</v>
      </c>
      <c r="C656" s="31" t="str">
        <v>Keelson Eliel</v>
      </c>
      <c r="D656" s="32" t="s">
        <v>251</v>
      </c>
      <c r="E656" s="28">
        <v>115</v>
      </c>
      <c r="F656" s="39"/>
      <c r="G656" s="30">
        <f t="shared" si="82"/>
        <v>126.50000000000001</v>
      </c>
      <c r="I656" s="20" t="str">
        <f t="shared" si="83"/>
        <v>COE 454,ED4-COE</v>
      </c>
      <c r="J656" s="25"/>
    </row>
    <row r="657" spans="1:10" ht="14.5" x14ac:dyDescent="0.35">
      <c r="A657" s="26" t="s">
        <v>506</v>
      </c>
      <c r="B657" s="27" t="str">
        <v>SHIP OPERATION, REGULATION AND MANAGEMENT</v>
      </c>
      <c r="C657" s="31" t="str">
        <v>Sackey Michael Nii</v>
      </c>
      <c r="D657" s="26" t="s">
        <v>69</v>
      </c>
      <c r="E657" s="28">
        <v>23</v>
      </c>
      <c r="F657" s="39"/>
      <c r="G657" s="30">
        <f t="shared" si="82"/>
        <v>25.3</v>
      </c>
      <c r="H657" s="40"/>
      <c r="I657" s="20" t="str">
        <f t="shared" si="83"/>
        <v>MME 492,ED4-MARI</v>
      </c>
      <c r="J657" s="25"/>
    </row>
    <row r="658" spans="1:10" ht="14.5" x14ac:dyDescent="0.35">
      <c r="A658" s="26" t="s">
        <v>507</v>
      </c>
      <c r="B658" s="27" t="str">
        <v>DIGITAL SIGNAL PROCESSING</v>
      </c>
      <c r="C658" s="31" t="str">
        <v>Kponyo Jerry John</v>
      </c>
      <c r="D658" s="26" t="s">
        <v>227</v>
      </c>
      <c r="E658" s="28">
        <v>138</v>
      </c>
      <c r="F658" s="39"/>
      <c r="G658" s="30">
        <f t="shared" si="82"/>
        <v>151.80000000000001</v>
      </c>
      <c r="H658" s="40"/>
      <c r="I658" s="20" t="str">
        <f t="shared" si="83"/>
        <v>TE 454,ED4-TEL</v>
      </c>
      <c r="J658" s="25"/>
    </row>
    <row r="659" spans="1:10" ht="14.5" x14ac:dyDescent="0.35">
      <c r="A659" s="26" t="s">
        <v>508</v>
      </c>
      <c r="B659" s="27" t="str">
        <v>PRODUCTION PLANNING AND CONTROL</v>
      </c>
      <c r="C659" s="31" t="str">
        <v>Dzebre Denis Edem Kwame</v>
      </c>
      <c r="D659" s="26" t="s">
        <v>124</v>
      </c>
      <c r="E659" s="28">
        <v>69</v>
      </c>
      <c r="F659" s="32"/>
      <c r="G659" s="30">
        <f t="shared" si="82"/>
        <v>75.900000000000006</v>
      </c>
      <c r="H659" s="17"/>
      <c r="I659" s="20" t="str">
        <f t="shared" si="83"/>
        <v>IE 454,ED4-IND</v>
      </c>
      <c r="J659" s="25"/>
    </row>
    <row r="660" spans="1:10" ht="14.5" x14ac:dyDescent="0.35">
      <c r="A660" s="26" t="s">
        <v>509</v>
      </c>
      <c r="B660" s="27" t="str">
        <v>GEOSTATISTICS</v>
      </c>
      <c r="C660" s="27" t="str">
        <v>Mustapha Hameed</v>
      </c>
      <c r="D660" s="26" t="s">
        <v>18</v>
      </c>
      <c r="E660" s="28">
        <v>80</v>
      </c>
      <c r="F660" s="32"/>
      <c r="G660" s="30">
        <f t="shared" si="82"/>
        <v>88</v>
      </c>
      <c r="H660" s="17"/>
      <c r="I660" s="20" t="str">
        <f t="shared" si="83"/>
        <v>PE 362,ED3-PE</v>
      </c>
      <c r="J660" s="25"/>
    </row>
    <row r="661" spans="1:10" ht="14.5" x14ac:dyDescent="0.35">
      <c r="A661" s="26" t="s">
        <v>510</v>
      </c>
      <c r="B661" s="31" t="str">
        <v>GEOSTATISTICS</v>
      </c>
      <c r="C661" s="31" t="str">
        <v>Nuamah Daniel Oduro Boatey</v>
      </c>
      <c r="D661" s="26" t="s">
        <v>177</v>
      </c>
      <c r="E661" s="28">
        <v>72</v>
      </c>
      <c r="F661" s="32"/>
      <c r="G661" s="30">
        <f t="shared" si="82"/>
        <v>79.2</v>
      </c>
      <c r="H661" s="17"/>
      <c r="I661" s="20" t="str">
        <f t="shared" si="83"/>
        <v>GED 468,ED4-GEOL</v>
      </c>
      <c r="J661" s="25"/>
    </row>
    <row r="662" spans="1:10" ht="14.5" x14ac:dyDescent="0.35">
      <c r="A662" s="26" t="s">
        <v>511</v>
      </c>
      <c r="B662" s="31" t="str">
        <v>INTRODUCTION TO POLYMERIC MATERIALS</v>
      </c>
      <c r="C662" s="27" t="str">
        <v>Asare Eric Kwame Anokye</v>
      </c>
      <c r="D662" s="26" t="s">
        <v>210</v>
      </c>
      <c r="E662" s="28">
        <v>83</v>
      </c>
      <c r="F662" s="32"/>
      <c r="G662" s="30">
        <f t="shared" si="82"/>
        <v>91.300000000000011</v>
      </c>
      <c r="H662" s="17"/>
      <c r="I662" s="20" t="str">
        <f t="shared" si="83"/>
        <v>MSE 256,ED2-MSE</v>
      </c>
      <c r="J662" s="25"/>
    </row>
    <row r="663" spans="1:10" ht="14.5" x14ac:dyDescent="0.35">
      <c r="A663" s="26" t="s">
        <v>378</v>
      </c>
      <c r="B663" s="31" t="str">
        <v xml:space="preserve"> HIGHWAY ENGINEERING</v>
      </c>
      <c r="C663" s="27" t="str">
        <v>Ababio-Donkor Augustus</v>
      </c>
      <c r="D663" s="26" t="s">
        <v>77</v>
      </c>
      <c r="E663" s="28">
        <v>122</v>
      </c>
      <c r="F663" s="32"/>
      <c r="G663" s="30">
        <f t="shared" si="82"/>
        <v>134.20000000000002</v>
      </c>
      <c r="H663" s="17"/>
      <c r="I663" s="20" t="str">
        <f t="shared" si="83"/>
        <v>CE 368,ED3-GEOM</v>
      </c>
      <c r="J663" s="25"/>
    </row>
    <row r="664" spans="1:10" ht="14.5" x14ac:dyDescent="0.35">
      <c r="A664" s="26" t="s">
        <v>234</v>
      </c>
      <c r="B664" s="31" t="str">
        <v>BASIC ELECTRONICS</v>
      </c>
      <c r="C664" s="31" t="str">
        <v>Kwegyir Daniel</v>
      </c>
      <c r="D664" s="26" t="s">
        <v>126</v>
      </c>
      <c r="E664" s="28">
        <v>125</v>
      </c>
      <c r="F664" s="7" t="s">
        <v>21</v>
      </c>
      <c r="G664" s="30">
        <f t="shared" si="82"/>
        <v>137.5</v>
      </c>
      <c r="H664" s="39"/>
      <c r="I664" s="20" t="str">
        <f t="shared" si="83"/>
        <v>EE 152,ED1-GEOL</v>
      </c>
      <c r="J664" s="25"/>
    </row>
    <row r="665" spans="1:10" ht="14.5" x14ac:dyDescent="0.35">
      <c r="A665" s="26" t="s">
        <v>234</v>
      </c>
      <c r="B665" s="31" t="str">
        <v>BASIC ELECTRONICS</v>
      </c>
      <c r="C665" s="31" t="str">
        <v>Kwegyir Daniel</v>
      </c>
      <c r="D665" s="26" t="s">
        <v>95</v>
      </c>
      <c r="E665" s="28">
        <v>103</v>
      </c>
      <c r="F665" s="7"/>
      <c r="G665" s="30">
        <f t="shared" si="82"/>
        <v>113.30000000000001</v>
      </c>
      <c r="H665" s="39"/>
      <c r="I665" s="20" t="str">
        <f t="shared" si="83"/>
        <v>EE 152,ED1-GEOM</v>
      </c>
      <c r="J665" s="25"/>
    </row>
    <row r="666" spans="1:10" ht="14.5" x14ac:dyDescent="0.35">
      <c r="A666" s="35"/>
      <c r="B666" s="35"/>
      <c r="D666" s="27" t="s">
        <v>512</v>
      </c>
      <c r="E666" s="35">
        <f>SUM(E652:E665)</f>
        <v>1154</v>
      </c>
      <c r="F666" s="36"/>
      <c r="G666" s="35"/>
      <c r="I666" s="22" t="s">
        <v>513</v>
      </c>
      <c r="J666" s="25"/>
    </row>
    <row r="667" spans="1:10" ht="14.5" x14ac:dyDescent="0.35">
      <c r="A667" s="35"/>
      <c r="B667" s="35"/>
      <c r="D667" s="27"/>
      <c r="E667" s="35"/>
      <c r="F667" s="36"/>
      <c r="G667" s="35"/>
      <c r="I667" s="22"/>
      <c r="J667" s="25"/>
    </row>
    <row r="668" spans="1:10" ht="14.5" x14ac:dyDescent="0.35">
      <c r="A668" s="35"/>
      <c r="B668" s="35"/>
      <c r="D668" s="27"/>
      <c r="E668" s="35"/>
      <c r="F668" s="36"/>
      <c r="G668" s="35"/>
      <c r="I668" s="22"/>
      <c r="J668" s="25"/>
    </row>
    <row r="669" spans="1:10" ht="14.5" x14ac:dyDescent="0.35">
      <c r="A669" s="35"/>
      <c r="B669" s="35"/>
      <c r="D669" s="27"/>
      <c r="E669" s="35"/>
      <c r="F669" s="36"/>
      <c r="G669" s="35"/>
      <c r="I669" s="22"/>
      <c r="J669" s="25"/>
    </row>
    <row r="670" spans="1:10" ht="14.5" x14ac:dyDescent="0.35">
      <c r="A670" s="35"/>
      <c r="B670" s="35"/>
      <c r="D670" s="27"/>
      <c r="E670" s="35"/>
      <c r="F670" s="36"/>
      <c r="G670" s="35"/>
      <c r="I670" s="22"/>
      <c r="J670" s="25"/>
    </row>
    <row r="671" spans="1:10" ht="14.5" x14ac:dyDescent="0.35">
      <c r="A671" s="14" t="s">
        <v>514</v>
      </c>
      <c r="B671" s="14"/>
      <c r="C671" s="14"/>
      <c r="D671" s="14"/>
      <c r="E671" s="14"/>
      <c r="F671" s="14"/>
      <c r="G671" s="14"/>
      <c r="I671" s="22" t="s">
        <v>515</v>
      </c>
      <c r="J671" s="25"/>
    </row>
    <row r="672" spans="1:10" ht="14.5" x14ac:dyDescent="0.35">
      <c r="A672" s="14" t="s">
        <v>2</v>
      </c>
      <c r="B672" s="14"/>
      <c r="C672" s="14"/>
      <c r="D672" s="14"/>
      <c r="E672" s="14"/>
      <c r="F672" s="14"/>
      <c r="G672" s="14"/>
      <c r="I672" s="22" t="s">
        <v>149</v>
      </c>
      <c r="J672" s="25"/>
    </row>
    <row r="673" spans="1:10" ht="14.5" x14ac:dyDescent="0.35">
      <c r="A673" s="24" t="s">
        <v>4</v>
      </c>
      <c r="B673" s="24" t="s">
        <v>5</v>
      </c>
      <c r="C673" s="16" t="s">
        <v>6</v>
      </c>
      <c r="D673" s="24" t="s">
        <v>7</v>
      </c>
      <c r="E673" s="24" t="s">
        <v>8</v>
      </c>
      <c r="F673" s="16" t="s">
        <v>9</v>
      </c>
      <c r="G673" s="24" t="s">
        <v>10</v>
      </c>
      <c r="H673" s="40"/>
      <c r="I673" s="22" t="s">
        <v>31</v>
      </c>
      <c r="J673" s="25"/>
    </row>
    <row r="674" spans="1:10" ht="14.5" x14ac:dyDescent="0.35">
      <c r="A674" s="26" t="s">
        <v>516</v>
      </c>
      <c r="B674" s="27" t="str">
        <f t="array" ref="B674:B682">IFERROR(VLOOKUP(I674:I682,Lectures_1!A2:F534,2,FALSE()),0)</f>
        <v>CHEMICAL REACTION ENGINEERING</v>
      </c>
      <c r="C674" s="31" t="str">
        <f t="array" ref="C674:C682">IFERROR(VLOOKUP(I674:I682,Lectures_1!A2:F534,3,FALSE()),0)</f>
        <v>Bonsu Jude Kwaku</v>
      </c>
      <c r="D674" s="32" t="s">
        <v>73</v>
      </c>
      <c r="E674" s="28">
        <f t="array" ref="E674:E682">IFERROR(VLOOKUP(I674:I682,Lectures_1!A2:F534,4,FALSE()),0)</f>
        <v>105</v>
      </c>
      <c r="F674" s="39"/>
      <c r="G674" s="30">
        <f t="shared" ref="G674:G682" si="84">E674*1.1</f>
        <v>115.50000000000001</v>
      </c>
      <c r="H674" s="39"/>
      <c r="I674" s="20" t="str">
        <f t="shared" ref="I674:I682" si="85">CONCATENATE(A674,",",D674)</f>
        <v>CHE 352,ED3-CHE</v>
      </c>
      <c r="J674" s="25"/>
    </row>
    <row r="675" spans="1:10" ht="14.5" x14ac:dyDescent="0.35">
      <c r="A675" s="26" t="s">
        <v>517</v>
      </c>
      <c r="B675" s="27" t="str">
        <v>POWER SYSTEMS ANALYSIS</v>
      </c>
      <c r="C675" s="27" t="str">
        <v>Twumasi Elvis</v>
      </c>
      <c r="D675" s="26" t="s">
        <v>71</v>
      </c>
      <c r="E675" s="28">
        <v>240</v>
      </c>
      <c r="F675" s="32"/>
      <c r="G675" s="30">
        <f t="shared" si="84"/>
        <v>264</v>
      </c>
      <c r="H675" s="17"/>
      <c r="I675" s="20" t="str">
        <f t="shared" si="85"/>
        <v>EE 368,ED3-EE</v>
      </c>
      <c r="J675" s="25"/>
    </row>
    <row r="676" spans="1:10" ht="14.5" x14ac:dyDescent="0.35">
      <c r="A676" s="26" t="s">
        <v>518</v>
      </c>
      <c r="B676" s="27" t="str">
        <v>ELECTRICAL MEASUREMENT AND INSTRUMENTATION</v>
      </c>
      <c r="C676" s="31" t="str">
        <v>Klogo Griffith Selorm</v>
      </c>
      <c r="D676" s="26" t="s">
        <v>108</v>
      </c>
      <c r="E676" s="28">
        <v>255</v>
      </c>
      <c r="F676" s="60"/>
      <c r="G676" s="30">
        <f t="shared" si="84"/>
        <v>280.5</v>
      </c>
      <c r="H676" s="58"/>
      <c r="I676" s="20" t="str">
        <f t="shared" si="85"/>
        <v>EE 288,ED2-COE</v>
      </c>
      <c r="J676" s="25"/>
    </row>
    <row r="677" spans="1:10" ht="14.5" x14ac:dyDescent="0.35">
      <c r="A677" s="26" t="s">
        <v>519</v>
      </c>
      <c r="B677" s="27" t="str">
        <v>VIBRATIONS I</v>
      </c>
      <c r="C677" s="27" t="str">
        <v>Adam Faisal Wahib</v>
      </c>
      <c r="D677" s="26" t="s">
        <v>133</v>
      </c>
      <c r="E677" s="28">
        <v>76</v>
      </c>
      <c r="F677" s="32"/>
      <c r="G677" s="30">
        <f t="shared" si="84"/>
        <v>83.600000000000009</v>
      </c>
      <c r="H677" s="17"/>
      <c r="I677" s="20" t="str">
        <f t="shared" si="85"/>
        <v>ME 362,ED3-AERO</v>
      </c>
      <c r="J677" s="25"/>
    </row>
    <row r="678" spans="1:10" ht="14.5" x14ac:dyDescent="0.35">
      <c r="A678" s="26" t="s">
        <v>519</v>
      </c>
      <c r="B678" s="27" t="str">
        <v>VIBRATIONS I</v>
      </c>
      <c r="C678" s="27" t="str">
        <v>Adam Faisal Wahib</v>
      </c>
      <c r="D678" s="26" t="s">
        <v>61</v>
      </c>
      <c r="E678" s="28">
        <v>222</v>
      </c>
      <c r="F678" s="32"/>
      <c r="G678" s="30">
        <f t="shared" si="84"/>
        <v>244.20000000000002</v>
      </c>
      <c r="H678" s="17"/>
      <c r="I678" s="20" t="str">
        <f t="shared" si="85"/>
        <v>ME 362,ED3-ME</v>
      </c>
      <c r="J678" s="25"/>
    </row>
    <row r="679" spans="1:10" ht="14.5" x14ac:dyDescent="0.35">
      <c r="A679" s="26" t="s">
        <v>519</v>
      </c>
      <c r="B679" s="27" t="str">
        <v>VIBRATIONS I</v>
      </c>
      <c r="C679" s="27" t="str">
        <v>Adam Faisal Wahib</v>
      </c>
      <c r="D679" s="26" t="s">
        <v>86</v>
      </c>
      <c r="E679" s="28">
        <v>40</v>
      </c>
      <c r="F679" s="32"/>
      <c r="G679" s="30">
        <f t="shared" si="84"/>
        <v>44</v>
      </c>
      <c r="H679" s="17"/>
      <c r="I679" s="20" t="str">
        <f t="shared" si="85"/>
        <v>ME 362,ED3-MARI</v>
      </c>
      <c r="J679" s="25"/>
    </row>
    <row r="680" spans="1:10" s="53" customFormat="1" ht="14.5" x14ac:dyDescent="0.35">
      <c r="A680" s="26" t="s">
        <v>520</v>
      </c>
      <c r="B680" s="31" t="str">
        <v>BIOCHEMISTRY</v>
      </c>
      <c r="C680" s="31" t="str">
        <v>Charles Apprey</v>
      </c>
      <c r="D680" s="26" t="s">
        <v>130</v>
      </c>
      <c r="E680" s="28">
        <v>136</v>
      </c>
      <c r="F680" s="60"/>
      <c r="G680" s="30">
        <f t="shared" si="84"/>
        <v>149.60000000000002</v>
      </c>
      <c r="H680" s="17"/>
      <c r="I680" s="51" t="str">
        <f t="shared" si="85"/>
        <v>BME 166,ED1-BME</v>
      </c>
      <c r="J680" s="52"/>
    </row>
    <row r="681" spans="1:10" ht="14.5" x14ac:dyDescent="0.35">
      <c r="A681" s="26" t="s">
        <v>521</v>
      </c>
      <c r="B681" s="27" t="str">
        <v>VIBRATIONS FOR AUTOMOBILE ENGINEERS</v>
      </c>
      <c r="C681" s="27" t="str">
        <v>Adam Faisal Wahib</v>
      </c>
      <c r="D681" s="26" t="s">
        <v>23</v>
      </c>
      <c r="E681" s="28">
        <v>40</v>
      </c>
      <c r="F681" s="32"/>
      <c r="G681" s="30">
        <f t="shared" si="84"/>
        <v>44</v>
      </c>
      <c r="H681" s="17"/>
      <c r="I681" s="20" t="str">
        <f t="shared" si="85"/>
        <v>AME 362,ED3-AUTO</v>
      </c>
      <c r="J681" s="25"/>
    </row>
    <row r="682" spans="1:10" ht="14.5" x14ac:dyDescent="0.35">
      <c r="A682" s="26" t="s">
        <v>522</v>
      </c>
      <c r="B682" s="27" t="str">
        <v>ANATOMY AND PHYSIOLOGY FOR ENGINEERS II</v>
      </c>
      <c r="C682" s="31" t="str">
        <v>Agyapong Dorothy Araba Yakoba</v>
      </c>
      <c r="D682" s="26" t="s">
        <v>109</v>
      </c>
      <c r="E682" s="28">
        <v>80</v>
      </c>
      <c r="F682" s="26"/>
      <c r="G682" s="30">
        <f t="shared" si="84"/>
        <v>88</v>
      </c>
      <c r="H682" s="17"/>
      <c r="I682" s="20" t="str">
        <f t="shared" si="85"/>
        <v>BME 286,ED2-BME</v>
      </c>
      <c r="J682" s="25"/>
    </row>
    <row r="683" spans="1:10" ht="14.5" x14ac:dyDescent="0.35">
      <c r="A683" s="35"/>
      <c r="B683" s="35"/>
      <c r="D683" s="27" t="s">
        <v>523</v>
      </c>
      <c r="E683" s="35">
        <f>SUM(E674:E682)</f>
        <v>1194</v>
      </c>
      <c r="F683" s="36"/>
      <c r="G683" s="35"/>
      <c r="I683" s="22" t="s">
        <v>524</v>
      </c>
      <c r="J683" s="25"/>
    </row>
    <row r="684" spans="1:10" ht="14.5" x14ac:dyDescent="0.35">
      <c r="A684" s="35"/>
      <c r="B684" s="35"/>
      <c r="D684" s="27"/>
      <c r="E684" s="35"/>
      <c r="F684" s="36"/>
      <c r="G684" s="35"/>
      <c r="I684" s="22"/>
      <c r="J684" s="25"/>
    </row>
    <row r="685" spans="1:10" ht="14.5" x14ac:dyDescent="0.35">
      <c r="A685" s="14" t="s">
        <v>514</v>
      </c>
      <c r="B685" s="14"/>
      <c r="C685" s="14"/>
      <c r="D685" s="14"/>
      <c r="E685" s="14"/>
      <c r="F685" s="14"/>
      <c r="G685" s="14"/>
      <c r="I685" s="22" t="s">
        <v>515</v>
      </c>
      <c r="J685" s="25"/>
    </row>
    <row r="686" spans="1:10" ht="14.5" x14ac:dyDescent="0.35">
      <c r="A686" s="14" t="s">
        <v>29</v>
      </c>
      <c r="B686" s="14"/>
      <c r="C686" s="14"/>
      <c r="D686" s="14"/>
      <c r="E686" s="14"/>
      <c r="F686" s="14"/>
      <c r="G686" s="14"/>
      <c r="I686" s="22" t="s">
        <v>30</v>
      </c>
      <c r="J686" s="25"/>
    </row>
    <row r="687" spans="1:10" ht="14.5" x14ac:dyDescent="0.35">
      <c r="A687" s="24" t="s">
        <v>4</v>
      </c>
      <c r="B687" s="24" t="s">
        <v>5</v>
      </c>
      <c r="C687" s="16" t="s">
        <v>6</v>
      </c>
      <c r="D687" s="24" t="s">
        <v>7</v>
      </c>
      <c r="E687" s="24" t="s">
        <v>8</v>
      </c>
      <c r="F687" s="16" t="s">
        <v>9</v>
      </c>
      <c r="G687" s="24" t="s">
        <v>10</v>
      </c>
      <c r="H687" s="40"/>
      <c r="I687" s="22" t="s">
        <v>31</v>
      </c>
      <c r="J687" s="25"/>
    </row>
    <row r="688" spans="1:10" ht="14.5" x14ac:dyDescent="0.35">
      <c r="A688" s="26" t="s">
        <v>129</v>
      </c>
      <c r="B688" s="27" t="str">
        <f t="array" ref="B688:B696">IFERROR(VLOOKUP(I688:I696,Lectures_1!A2:F534,2,FALSE()),0)</f>
        <v>CALCULUS WITH ANALYSIS</v>
      </c>
      <c r="C688" s="27" t="str">
        <f t="array" ref="C688:C696">IFERROR(VLOOKUP(I688:I696,Lectures_1!A2:F534,3,FALSE()),0)</f>
        <v>Ayekple Yao Elikem</v>
      </c>
      <c r="D688" s="26" t="s">
        <v>51</v>
      </c>
      <c r="E688" s="28">
        <f t="array" ref="E688:E696">IFERROR(VLOOKUP(I688:I696,Lectures_1!A2:F534,4,FALSE()),0)</f>
        <v>295</v>
      </c>
      <c r="F688" s="39"/>
      <c r="G688" s="30">
        <f t="shared" ref="G688:G696" si="86">E688*1.1</f>
        <v>324.5</v>
      </c>
      <c r="H688" s="39"/>
      <c r="I688" s="20" t="str">
        <f t="shared" ref="I688:I696" si="87">CONCATENATE(A688,",",D688)</f>
        <v>MATH 152,ED1-EE</v>
      </c>
      <c r="J688" s="25"/>
    </row>
    <row r="689" spans="1:10" ht="14.5" x14ac:dyDescent="0.35">
      <c r="A689" s="26" t="s">
        <v>129</v>
      </c>
      <c r="B689" s="31" t="str">
        <v>CALCULUS WITH ANALYSIS</v>
      </c>
      <c r="C689" s="27" t="str">
        <v>Lawton Adu-Ansah</v>
      </c>
      <c r="D689" s="26" t="s">
        <v>162</v>
      </c>
      <c r="E689" s="28">
        <v>85</v>
      </c>
      <c r="F689" s="26"/>
      <c r="G689" s="30">
        <f t="shared" si="86"/>
        <v>93.500000000000014</v>
      </c>
      <c r="H689" s="63"/>
      <c r="I689" s="20" t="str">
        <f t="shared" si="87"/>
        <v>MATH 152,ED1-AUTO</v>
      </c>
      <c r="J689" s="25"/>
    </row>
    <row r="690" spans="1:10" ht="14.5" x14ac:dyDescent="0.35">
      <c r="A690" s="26" t="s">
        <v>129</v>
      </c>
      <c r="B690" s="27" t="str">
        <v>CALCULUS WITH ANALYSIS</v>
      </c>
      <c r="C690" s="27" t="str">
        <v>Lawton Adu-Ansah</v>
      </c>
      <c r="D690" s="26" t="s">
        <v>161</v>
      </c>
      <c r="E690" s="28">
        <v>225</v>
      </c>
      <c r="F690" s="26"/>
      <c r="G690" s="30">
        <f t="shared" si="86"/>
        <v>247.50000000000003</v>
      </c>
      <c r="I690" s="20" t="str">
        <f t="shared" si="87"/>
        <v>MATH 152,ED1-ME</v>
      </c>
      <c r="J690" s="25"/>
    </row>
    <row r="691" spans="1:10" ht="14.5" x14ac:dyDescent="0.35">
      <c r="A691" s="26" t="s">
        <v>129</v>
      </c>
      <c r="B691" s="31" t="str">
        <v>CALCULUS WITH ANALYSIS</v>
      </c>
      <c r="C691" s="27" t="str">
        <v>Lawton Adu-Ansah</v>
      </c>
      <c r="D691" s="26" t="s">
        <v>91</v>
      </c>
      <c r="E691" s="28">
        <v>130</v>
      </c>
      <c r="F691" s="32"/>
      <c r="G691" s="30">
        <f t="shared" si="86"/>
        <v>143</v>
      </c>
      <c r="I691" s="20" t="str">
        <f t="shared" si="87"/>
        <v>MATH 152,ED1-TEL</v>
      </c>
      <c r="J691" s="25"/>
    </row>
    <row r="692" spans="1:10" ht="14.5" x14ac:dyDescent="0.35">
      <c r="A692" s="26" t="s">
        <v>129</v>
      </c>
      <c r="B692" s="31" t="str">
        <v>CALCULUS WITH ANALYSIS</v>
      </c>
      <c r="C692" s="27" t="str">
        <v>Lawton Adu-Ansah</v>
      </c>
      <c r="D692" s="26" t="s">
        <v>95</v>
      </c>
      <c r="E692" s="28">
        <v>103</v>
      </c>
      <c r="F692" s="26"/>
      <c r="G692" s="30">
        <f t="shared" si="86"/>
        <v>113.30000000000001</v>
      </c>
      <c r="I692" s="20" t="str">
        <f t="shared" si="87"/>
        <v>MATH 152,ED1-GEOM</v>
      </c>
      <c r="J692" s="25"/>
    </row>
    <row r="693" spans="1:10" ht="14.5" x14ac:dyDescent="0.35">
      <c r="A693" s="26" t="s">
        <v>129</v>
      </c>
      <c r="B693" s="31" t="str">
        <v>CALCULUS WITH ANALYSIS</v>
      </c>
      <c r="C693" s="27" t="str">
        <v>Emmanuel Kpeglo</v>
      </c>
      <c r="D693" s="26" t="s">
        <v>115</v>
      </c>
      <c r="E693" s="28">
        <v>100</v>
      </c>
      <c r="F693" s="26"/>
      <c r="G693" s="30">
        <f t="shared" si="86"/>
        <v>110.00000000000001</v>
      </c>
      <c r="I693" s="20" t="str">
        <f t="shared" si="87"/>
        <v>MATH 152,ED1-MSE</v>
      </c>
      <c r="J693" s="25"/>
    </row>
    <row r="694" spans="1:10" ht="14.5" x14ac:dyDescent="0.35">
      <c r="A694" s="26" t="s">
        <v>129</v>
      </c>
      <c r="B694" s="31" t="str">
        <v>CALCULUS WITH ANALYSIS</v>
      </c>
      <c r="C694" s="27" t="str">
        <v>Emmanuel Kpeglo</v>
      </c>
      <c r="D694" s="26" t="s">
        <v>114</v>
      </c>
      <c r="E694" s="28">
        <v>75</v>
      </c>
      <c r="F694" s="26"/>
      <c r="G694" s="30">
        <f t="shared" si="86"/>
        <v>82.5</v>
      </c>
      <c r="I694" s="20" t="str">
        <f t="shared" si="87"/>
        <v>MATH 152,ED1-METE</v>
      </c>
      <c r="J694" s="25"/>
    </row>
    <row r="695" spans="1:10" ht="14.5" x14ac:dyDescent="0.35">
      <c r="A695" s="26" t="s">
        <v>129</v>
      </c>
      <c r="B695" s="31" t="str">
        <v>CALCULUS WITH ANALYSIS</v>
      </c>
      <c r="C695" s="27" t="str">
        <v>Isaac Azure</v>
      </c>
      <c r="D695" s="26" t="s">
        <v>80</v>
      </c>
      <c r="E695" s="28">
        <v>120</v>
      </c>
      <c r="F695" s="26"/>
      <c r="G695" s="30">
        <f t="shared" si="86"/>
        <v>132</v>
      </c>
      <c r="I695" s="20" t="str">
        <f t="shared" si="87"/>
        <v>MATH 152,ED1-CHE</v>
      </c>
      <c r="J695" s="25"/>
    </row>
    <row r="696" spans="1:10" ht="14.5" x14ac:dyDescent="0.35">
      <c r="A696" s="26" t="s">
        <v>129</v>
      </c>
      <c r="B696" s="27" t="str">
        <v>CALCULUS WITH ANALYSIS</v>
      </c>
      <c r="C696" s="27" t="str">
        <v>Isaac Azure</v>
      </c>
      <c r="D696" s="26" t="s">
        <v>81</v>
      </c>
      <c r="E696" s="28">
        <v>56</v>
      </c>
      <c r="F696" s="32"/>
      <c r="G696" s="30">
        <f t="shared" si="86"/>
        <v>61.600000000000009</v>
      </c>
      <c r="H696" s="17"/>
      <c r="I696" s="20" t="str">
        <f t="shared" si="87"/>
        <v>MATH 152,ED1-PCE</v>
      </c>
      <c r="J696" s="25"/>
    </row>
    <row r="697" spans="1:10" ht="14.5" x14ac:dyDescent="0.35">
      <c r="A697" s="35"/>
      <c r="B697" s="35"/>
      <c r="D697" s="27" t="s">
        <v>523</v>
      </c>
      <c r="E697" s="35">
        <f>SUM(_xlfn.ANCHORARRAY(E688))</f>
        <v>1189</v>
      </c>
      <c r="F697" s="36"/>
      <c r="G697" s="35"/>
      <c r="H697" s="64"/>
      <c r="I697" s="22" t="s">
        <v>524</v>
      </c>
      <c r="J697" s="25"/>
    </row>
    <row r="698" spans="1:10" ht="14.5" x14ac:dyDescent="0.35">
      <c r="A698" s="14" t="s">
        <v>514</v>
      </c>
      <c r="B698" s="14"/>
      <c r="C698" s="14"/>
      <c r="D698" s="14"/>
      <c r="E698" s="14"/>
      <c r="F698" s="14"/>
      <c r="G698" s="14"/>
      <c r="I698" s="22" t="s">
        <v>515</v>
      </c>
      <c r="J698" s="25"/>
    </row>
    <row r="699" spans="1:10" ht="14.5" x14ac:dyDescent="0.35">
      <c r="A699" s="14" t="s">
        <v>59</v>
      </c>
      <c r="B699" s="14"/>
      <c r="C699" s="14"/>
      <c r="D699" s="14"/>
      <c r="E699" s="14"/>
      <c r="F699" s="14"/>
      <c r="G699" s="14"/>
      <c r="I699" s="22" t="s">
        <v>30</v>
      </c>
      <c r="J699" s="25"/>
    </row>
    <row r="700" spans="1:10" ht="14.5" x14ac:dyDescent="0.35">
      <c r="A700" s="24" t="s">
        <v>4</v>
      </c>
      <c r="B700" s="24" t="s">
        <v>5</v>
      </c>
      <c r="C700" s="16" t="s">
        <v>6</v>
      </c>
      <c r="D700" s="24" t="s">
        <v>7</v>
      </c>
      <c r="E700" s="24" t="s">
        <v>8</v>
      </c>
      <c r="F700" s="16" t="s">
        <v>9</v>
      </c>
      <c r="G700" s="24" t="s">
        <v>10</v>
      </c>
      <c r="H700" s="40"/>
      <c r="I700" s="22" t="s">
        <v>31</v>
      </c>
      <c r="J700" s="25"/>
    </row>
    <row r="701" spans="1:10" ht="14.5" x14ac:dyDescent="0.35">
      <c r="A701" s="26" t="s">
        <v>525</v>
      </c>
      <c r="B701" s="27" t="str">
        <f t="array" ref="B701:B710">IFERROR(VLOOKUP(I701:I710,Lectures_1!A2:F534,2,FALSE()),0)</f>
        <v>PROCESS CONTROL AND SIMULATION</v>
      </c>
      <c r="C701" s="27" t="str">
        <f t="array" ref="C701:C710">IFERROR(VLOOKUP(I701:I710,Lectures_1!A2:F534,3,FALSE()),0)</f>
        <v>Baah-Ennumh Emmanuel Kwaku</v>
      </c>
      <c r="D701" s="26" t="s">
        <v>48</v>
      </c>
      <c r="E701" s="28">
        <f t="array" ref="E701:E710">IFERROR(VLOOKUP(I701:I710,Lectures_1!A2:F534,4,FALSE()),0)</f>
        <v>114</v>
      </c>
      <c r="F701" s="39"/>
      <c r="G701" s="30">
        <f t="shared" ref="G701:G710" si="88">E701*1.1</f>
        <v>125.4</v>
      </c>
      <c r="H701" s="39"/>
      <c r="I701" s="20" t="str">
        <f t="shared" ref="I701:I710" si="89">CONCATENATE(A701,",",D701)</f>
        <v>CHE 456,ED4-CHE</v>
      </c>
      <c r="J701" s="25"/>
    </row>
    <row r="702" spans="1:10" ht="14.5" x14ac:dyDescent="0.35">
      <c r="A702" s="26" t="s">
        <v>525</v>
      </c>
      <c r="B702" s="27" t="str">
        <v>PROCESS CONTROL AND SIMULATION</v>
      </c>
      <c r="C702" s="27" t="str">
        <v>Baidoo Martina Francisca</v>
      </c>
      <c r="D702" s="26" t="s">
        <v>44</v>
      </c>
      <c r="E702" s="28">
        <v>55</v>
      </c>
      <c r="F702" s="39"/>
      <c r="G702" s="30">
        <f t="shared" si="88"/>
        <v>60.500000000000007</v>
      </c>
      <c r="H702" s="39"/>
      <c r="I702" s="20" t="str">
        <f t="shared" si="89"/>
        <v>CHE 456,ED4-PCE</v>
      </c>
      <c r="J702" s="25"/>
    </row>
    <row r="703" spans="1:10" ht="14.5" x14ac:dyDescent="0.35">
      <c r="A703" s="26" t="s">
        <v>526</v>
      </c>
      <c r="B703" s="27" t="str">
        <v>AERODYNAMICS II</v>
      </c>
      <c r="C703" s="16" t="str">
        <v>Bofah Kwasi Kete</v>
      </c>
      <c r="D703" s="26" t="s">
        <v>99</v>
      </c>
      <c r="E703" s="28">
        <v>61</v>
      </c>
      <c r="F703" s="32"/>
      <c r="G703" s="30">
        <f t="shared" si="88"/>
        <v>67.100000000000009</v>
      </c>
      <c r="H703" s="17"/>
      <c r="I703" s="20" t="str">
        <f t="shared" si="89"/>
        <v>AERO 452,ED4-AERO</v>
      </c>
      <c r="J703" s="25"/>
    </row>
    <row r="704" spans="1:10" ht="14.5" x14ac:dyDescent="0.35">
      <c r="A704" s="26" t="s">
        <v>129</v>
      </c>
      <c r="B704" s="27" t="str">
        <v>CALCULUS WITH ANALYSIS</v>
      </c>
      <c r="C704" s="27" t="str">
        <v>Kwabi Prince Amponsah</v>
      </c>
      <c r="D704" s="26" t="s">
        <v>82</v>
      </c>
      <c r="E704" s="28">
        <v>130</v>
      </c>
      <c r="F704" s="39"/>
      <c r="G704" s="30">
        <f t="shared" si="88"/>
        <v>143</v>
      </c>
      <c r="H704" s="39"/>
      <c r="I704" s="20" t="str">
        <f t="shared" si="89"/>
        <v>MATH 152,ED1-PE</v>
      </c>
      <c r="J704" s="25"/>
    </row>
    <row r="705" spans="1:10" ht="14.5" x14ac:dyDescent="0.35">
      <c r="A705" s="26" t="s">
        <v>129</v>
      </c>
      <c r="B705" s="27" t="str">
        <v>CALCULUS WITH ANALYSIS</v>
      </c>
      <c r="C705" s="27" t="str">
        <v>Kwabi Prince Amponsah</v>
      </c>
      <c r="D705" s="26" t="s">
        <v>126</v>
      </c>
      <c r="E705" s="28">
        <v>125</v>
      </c>
      <c r="F705" s="39"/>
      <c r="G705" s="30">
        <f t="shared" si="88"/>
        <v>137.5</v>
      </c>
      <c r="H705" s="39"/>
      <c r="I705" s="20" t="str">
        <f t="shared" si="89"/>
        <v>MATH 152,ED1-GEOL</v>
      </c>
      <c r="J705" s="25"/>
    </row>
    <row r="706" spans="1:10" ht="14.5" x14ac:dyDescent="0.35">
      <c r="A706" s="26" t="s">
        <v>129</v>
      </c>
      <c r="B706" s="31" t="str">
        <v>CALCULUS WITH ANALYSIS</v>
      </c>
      <c r="C706" s="27" t="str">
        <v>Ezearn Jeffery</v>
      </c>
      <c r="D706" s="26" t="s">
        <v>191</v>
      </c>
      <c r="E706" s="28">
        <v>70</v>
      </c>
      <c r="F706" s="39"/>
      <c r="G706" s="30">
        <f t="shared" si="88"/>
        <v>77</v>
      </c>
      <c r="H706" s="40"/>
      <c r="I706" s="20" t="str">
        <f t="shared" si="89"/>
        <v>MATH 152,ED1-AERO</v>
      </c>
      <c r="J706" s="25"/>
    </row>
    <row r="707" spans="1:10" ht="14.5" x14ac:dyDescent="0.35">
      <c r="A707" s="26" t="s">
        <v>129</v>
      </c>
      <c r="B707" s="31" t="str">
        <v>CALCULUS WITH ANALYSIS</v>
      </c>
      <c r="C707" s="27" t="str">
        <v>Ezearn Jeffery</v>
      </c>
      <c r="D707" s="26" t="s">
        <v>111</v>
      </c>
      <c r="E707" s="28">
        <v>83</v>
      </c>
      <c r="F707" s="39"/>
      <c r="G707" s="30">
        <f t="shared" si="88"/>
        <v>91.300000000000011</v>
      </c>
      <c r="H707" s="40"/>
      <c r="I707" s="20" t="str">
        <f t="shared" si="89"/>
        <v>MATH 152,ED1-IND</v>
      </c>
      <c r="J707" s="25"/>
    </row>
    <row r="708" spans="1:10" ht="14.5" x14ac:dyDescent="0.35">
      <c r="A708" s="26" t="s">
        <v>129</v>
      </c>
      <c r="B708" s="31" t="str">
        <v>CALCULUS WITH ANALYSIS</v>
      </c>
      <c r="C708" s="27" t="str">
        <v>Ezearn Jeffery</v>
      </c>
      <c r="D708" s="26" t="s">
        <v>75</v>
      </c>
      <c r="E708" s="28">
        <v>245</v>
      </c>
      <c r="F708" s="26"/>
      <c r="G708" s="30">
        <f t="shared" si="88"/>
        <v>269.5</v>
      </c>
      <c r="H708" s="40"/>
      <c r="I708" s="20" t="str">
        <f t="shared" si="89"/>
        <v>MATH 152,ED1-CE</v>
      </c>
      <c r="J708" s="25"/>
    </row>
    <row r="709" spans="1:10" ht="14.5" x14ac:dyDescent="0.35">
      <c r="A709" s="26" t="s">
        <v>129</v>
      </c>
      <c r="B709" s="31" t="str">
        <v>CALCULUS WITH ANALYSIS</v>
      </c>
      <c r="C709" s="27" t="str">
        <v>Ezearn Jeffery</v>
      </c>
      <c r="D709" s="26" t="s">
        <v>112</v>
      </c>
      <c r="E709" s="28">
        <v>46</v>
      </c>
      <c r="F709" s="39"/>
      <c r="G709" s="30">
        <f t="shared" si="88"/>
        <v>50.6</v>
      </c>
      <c r="I709" s="20" t="str">
        <f t="shared" si="89"/>
        <v>MATH 152,ED1-MARI</v>
      </c>
      <c r="J709" s="25"/>
    </row>
    <row r="710" spans="1:10" ht="14.5" x14ac:dyDescent="0.35">
      <c r="A710" s="26" t="s">
        <v>129</v>
      </c>
      <c r="B710" s="27" t="str">
        <v>CALCULUS WITH ANALYSIS</v>
      </c>
      <c r="C710" s="27" t="str">
        <v>Ezearn Jeffery</v>
      </c>
      <c r="D710" s="26" t="s">
        <v>20</v>
      </c>
      <c r="E710" s="28">
        <v>262</v>
      </c>
      <c r="F710" s="32"/>
      <c r="G710" s="30">
        <f t="shared" si="88"/>
        <v>288.20000000000005</v>
      </c>
      <c r="H710" s="17"/>
      <c r="I710" s="20" t="str">
        <f t="shared" si="89"/>
        <v>MATH 152,ED1-COE</v>
      </c>
      <c r="J710" s="25"/>
    </row>
    <row r="711" spans="1:10" ht="14.5" x14ac:dyDescent="0.35">
      <c r="A711" s="35"/>
      <c r="B711" s="35"/>
      <c r="D711" s="27" t="s">
        <v>523</v>
      </c>
      <c r="E711" s="35">
        <f>SUM(_xlfn.ANCHORARRAY(E701))</f>
        <v>1191</v>
      </c>
      <c r="F711" s="36"/>
      <c r="G711" s="35"/>
      <c r="H711" s="64"/>
      <c r="I711" s="22" t="s">
        <v>524</v>
      </c>
      <c r="J711" s="25"/>
    </row>
    <row r="712" spans="1:10" s="67" customFormat="1" ht="14" x14ac:dyDescent="0.3">
      <c r="A712" s="65"/>
      <c r="B712" s="65"/>
      <c r="C712" s="65"/>
      <c r="D712" s="65"/>
      <c r="E712" s="65"/>
      <c r="F712" s="65"/>
      <c r="G712" s="66"/>
      <c r="H712" s="64"/>
    </row>
    <row r="713" spans="1:10" s="67" customFormat="1" ht="14" x14ac:dyDescent="0.3">
      <c r="A713" s="68"/>
      <c r="B713" s="68"/>
      <c r="C713" s="68"/>
      <c r="D713" s="68"/>
      <c r="E713" s="68"/>
      <c r="F713" s="68"/>
      <c r="G713" s="69"/>
      <c r="H713" s="64"/>
    </row>
    <row r="714" spans="1:10" s="67" customFormat="1" ht="14" x14ac:dyDescent="0.3">
      <c r="A714" s="68"/>
      <c r="B714" s="68"/>
      <c r="C714" s="68"/>
      <c r="D714" s="68"/>
      <c r="E714" s="68"/>
      <c r="F714" s="68"/>
      <c r="G714" s="69"/>
      <c r="H714" s="64"/>
    </row>
    <row r="715" spans="1:10" s="67" customFormat="1" ht="14" x14ac:dyDescent="0.3">
      <c r="A715" s="68"/>
      <c r="B715" s="68"/>
      <c r="C715" s="68"/>
      <c r="D715" s="68"/>
      <c r="E715" s="68"/>
      <c r="F715" s="68"/>
      <c r="G715" s="69"/>
      <c r="H715" s="64"/>
    </row>
    <row r="716" spans="1:10" s="67" customFormat="1" ht="14" x14ac:dyDescent="0.3">
      <c r="A716" s="68"/>
      <c r="B716" s="68"/>
      <c r="C716" s="68"/>
      <c r="D716" s="68"/>
      <c r="E716" s="68"/>
      <c r="F716" s="68"/>
      <c r="G716" s="69"/>
      <c r="H716" s="19"/>
    </row>
  </sheetData>
  <mergeCells count="105">
    <mergeCell ref="A671:G671"/>
    <mergeCell ref="A672:G672"/>
    <mergeCell ref="A685:G685"/>
    <mergeCell ref="A686:G686"/>
    <mergeCell ref="A698:G698"/>
    <mergeCell ref="A699:G699"/>
    <mergeCell ref="A604:G604"/>
    <mergeCell ref="A605:G605"/>
    <mergeCell ref="A616:G616"/>
    <mergeCell ref="A617:G617"/>
    <mergeCell ref="A633:G633"/>
    <mergeCell ref="A634:G634"/>
    <mergeCell ref="A649:G649"/>
    <mergeCell ref="A650:G650"/>
    <mergeCell ref="F664:F665"/>
    <mergeCell ref="A542:G542"/>
    <mergeCell ref="A543:G543"/>
    <mergeCell ref="F556:F557"/>
    <mergeCell ref="A559:G559"/>
    <mergeCell ref="A560:G560"/>
    <mergeCell ref="A579:G579"/>
    <mergeCell ref="A580:G580"/>
    <mergeCell ref="A592:G592"/>
    <mergeCell ref="A593:G593"/>
    <mergeCell ref="F458:F462"/>
    <mergeCell ref="A473:G473"/>
    <mergeCell ref="A474:G474"/>
    <mergeCell ref="A489:G489"/>
    <mergeCell ref="A490:G490"/>
    <mergeCell ref="A503:G503"/>
    <mergeCell ref="A504:G504"/>
    <mergeCell ref="A526:G526"/>
    <mergeCell ref="A527:G527"/>
    <mergeCell ref="A400:G400"/>
    <mergeCell ref="A412:G412"/>
    <mergeCell ref="A413:G413"/>
    <mergeCell ref="F415:F420"/>
    <mergeCell ref="A430:G430"/>
    <mergeCell ref="A431:G431"/>
    <mergeCell ref="F433:F439"/>
    <mergeCell ref="A455:G455"/>
    <mergeCell ref="A456:G456"/>
    <mergeCell ref="A341:G341"/>
    <mergeCell ref="A342:G342"/>
    <mergeCell ref="A358:G358"/>
    <mergeCell ref="A359:G359"/>
    <mergeCell ref="A370:G370"/>
    <mergeCell ref="A371:G371"/>
    <mergeCell ref="A384:G384"/>
    <mergeCell ref="A385:G385"/>
    <mergeCell ref="A399:G399"/>
    <mergeCell ref="A269:G269"/>
    <mergeCell ref="A270:G270"/>
    <mergeCell ref="A283:G283"/>
    <mergeCell ref="A284:G284"/>
    <mergeCell ref="A298:G298"/>
    <mergeCell ref="A299:G299"/>
    <mergeCell ref="A314:G314"/>
    <mergeCell ref="A315:G315"/>
    <mergeCell ref="F317:F330"/>
    <mergeCell ref="A200:G200"/>
    <mergeCell ref="A210:G210"/>
    <mergeCell ref="A211:G211"/>
    <mergeCell ref="A222:G222"/>
    <mergeCell ref="A223:G223"/>
    <mergeCell ref="A237:G237"/>
    <mergeCell ref="A238:G238"/>
    <mergeCell ref="A254:G254"/>
    <mergeCell ref="A255:G255"/>
    <mergeCell ref="F145:F146"/>
    <mergeCell ref="A154:G154"/>
    <mergeCell ref="A155:G155"/>
    <mergeCell ref="A167:G167"/>
    <mergeCell ref="A168:G168"/>
    <mergeCell ref="F176:F177"/>
    <mergeCell ref="A183:G183"/>
    <mergeCell ref="A184:G184"/>
    <mergeCell ref="A199:G199"/>
    <mergeCell ref="A98:G98"/>
    <mergeCell ref="A99:G99"/>
    <mergeCell ref="A111:G111"/>
    <mergeCell ref="A112:G112"/>
    <mergeCell ref="A126:G126"/>
    <mergeCell ref="A127:G127"/>
    <mergeCell ref="A138:G138"/>
    <mergeCell ref="A139:G139"/>
    <mergeCell ref="F141:F142"/>
    <mergeCell ref="A45:G45"/>
    <mergeCell ref="A46:G46"/>
    <mergeCell ref="F48:F50"/>
    <mergeCell ref="A67:G67"/>
    <mergeCell ref="A68:G68"/>
    <mergeCell ref="F70:F71"/>
    <mergeCell ref="A84:G84"/>
    <mergeCell ref="A85:G85"/>
    <mergeCell ref="F87:F88"/>
    <mergeCell ref="A1:G1"/>
    <mergeCell ref="A2:G2"/>
    <mergeCell ref="F8:F9"/>
    <mergeCell ref="A13:G13"/>
    <mergeCell ref="A14:G14"/>
    <mergeCell ref="F16:F20"/>
    <mergeCell ref="A31:G31"/>
    <mergeCell ref="A32:G32"/>
    <mergeCell ref="F34:F35"/>
  </mergeCells>
  <conditionalFormatting sqref="D34">
    <cfRule type="duplicateValues" dxfId="448" priority="114"/>
  </conditionalFormatting>
  <conditionalFormatting sqref="D557">
    <cfRule type="duplicateValues" dxfId="447" priority="120"/>
  </conditionalFormatting>
  <conditionalFormatting sqref="D674 D656 D531">
    <cfRule type="duplicateValues" dxfId="446" priority="115"/>
  </conditionalFormatting>
  <conditionalFormatting sqref="I39">
    <cfRule type="duplicateValues" dxfId="445" priority="13"/>
    <cfRule type="duplicateValues" dxfId="444" priority="12"/>
  </conditionalFormatting>
  <conditionalFormatting sqref="I43:I44 I31:I33">
    <cfRule type="duplicateValues" dxfId="443" priority="118"/>
    <cfRule type="duplicateValues" dxfId="442" priority="119"/>
  </conditionalFormatting>
  <conditionalFormatting sqref="I62">
    <cfRule type="duplicateValues" dxfId="441" priority="73"/>
    <cfRule type="duplicateValues" dxfId="440" priority="72"/>
  </conditionalFormatting>
  <conditionalFormatting sqref="I88">
    <cfRule type="duplicateValues" dxfId="439" priority="90"/>
    <cfRule type="duplicateValues" dxfId="438" priority="91"/>
  </conditionalFormatting>
  <conditionalFormatting sqref="I131">
    <cfRule type="duplicateValues" dxfId="437" priority="10"/>
    <cfRule type="duplicateValues" dxfId="436" priority="11"/>
  </conditionalFormatting>
  <conditionalFormatting sqref="I135">
    <cfRule type="duplicateValues" dxfId="435" priority="4"/>
    <cfRule type="duplicateValues" dxfId="434" priority="5"/>
  </conditionalFormatting>
  <conditionalFormatting sqref="I145">
    <cfRule type="duplicateValues" dxfId="433" priority="19"/>
    <cfRule type="duplicateValues" dxfId="432" priority="18"/>
  </conditionalFormatting>
  <conditionalFormatting sqref="I146">
    <cfRule type="duplicateValues" dxfId="431" priority="20"/>
    <cfRule type="duplicateValues" dxfId="430" priority="21"/>
  </conditionalFormatting>
  <conditionalFormatting sqref="I149">
    <cfRule type="duplicateValues" dxfId="429" priority="58"/>
    <cfRule type="duplicateValues" dxfId="428" priority="59"/>
  </conditionalFormatting>
  <conditionalFormatting sqref="I150">
    <cfRule type="duplicateValues" dxfId="427" priority="16"/>
    <cfRule type="duplicateValues" dxfId="426" priority="17"/>
  </conditionalFormatting>
  <conditionalFormatting sqref="I163">
    <cfRule type="duplicateValues" dxfId="425" priority="75"/>
    <cfRule type="duplicateValues" dxfId="424" priority="74"/>
  </conditionalFormatting>
  <conditionalFormatting sqref="I164">
    <cfRule type="duplicateValues" dxfId="423" priority="51"/>
    <cfRule type="duplicateValues" dxfId="422" priority="50"/>
  </conditionalFormatting>
  <conditionalFormatting sqref="I180 I172:I173 I154:I161 I165:I166">
    <cfRule type="duplicateValues" dxfId="421" priority="123"/>
    <cfRule type="duplicateValues" dxfId="420" priority="124"/>
  </conditionalFormatting>
  <conditionalFormatting sqref="I190">
    <cfRule type="duplicateValues" dxfId="419" priority="84"/>
    <cfRule type="duplicateValues" dxfId="418" priority="85"/>
  </conditionalFormatting>
  <conditionalFormatting sqref="I195">
    <cfRule type="duplicateValues" dxfId="417" priority="3"/>
    <cfRule type="duplicateValues" dxfId="416" priority="2"/>
  </conditionalFormatting>
  <conditionalFormatting sqref="I196">
    <cfRule type="duplicateValues" dxfId="415" priority="9"/>
    <cfRule type="duplicateValues" dxfId="414" priority="8"/>
  </conditionalFormatting>
  <conditionalFormatting sqref="I205">
    <cfRule type="duplicateValues" dxfId="413" priority="36"/>
    <cfRule type="duplicateValues" dxfId="412" priority="37"/>
  </conditionalFormatting>
  <conditionalFormatting sqref="I207">
    <cfRule type="duplicateValues" dxfId="411" priority="49"/>
    <cfRule type="duplicateValues" dxfId="410" priority="48"/>
  </conditionalFormatting>
  <conditionalFormatting sqref="I217">
    <cfRule type="duplicateValues" dxfId="409" priority="34"/>
    <cfRule type="duplicateValues" dxfId="408" priority="35"/>
  </conditionalFormatting>
  <conditionalFormatting sqref="I247">
    <cfRule type="duplicateValues" dxfId="407" priority="14"/>
    <cfRule type="duplicateValues" dxfId="406" priority="15"/>
  </conditionalFormatting>
  <conditionalFormatting sqref="I251">
    <cfRule type="duplicateValues" dxfId="405" priority="77"/>
    <cfRule type="duplicateValues" dxfId="404" priority="76"/>
  </conditionalFormatting>
  <conditionalFormatting sqref="I277">
    <cfRule type="duplicateValues" dxfId="403" priority="47"/>
    <cfRule type="duplicateValues" dxfId="402" priority="46"/>
  </conditionalFormatting>
  <conditionalFormatting sqref="I293">
    <cfRule type="duplicateValues" dxfId="401" priority="60"/>
    <cfRule type="duplicateValues" dxfId="400" priority="61"/>
  </conditionalFormatting>
  <conditionalFormatting sqref="I310">
    <cfRule type="duplicateValues" dxfId="399" priority="68"/>
    <cfRule type="duplicateValues" dxfId="398" priority="69"/>
  </conditionalFormatting>
  <conditionalFormatting sqref="I311">
    <cfRule type="duplicateValues" dxfId="397" priority="70"/>
    <cfRule type="duplicateValues" dxfId="396" priority="71"/>
  </conditionalFormatting>
  <conditionalFormatting sqref="I333">
    <cfRule type="duplicateValues" dxfId="395" priority="28"/>
    <cfRule type="duplicateValues" dxfId="394" priority="29"/>
  </conditionalFormatting>
  <conditionalFormatting sqref="I334">
    <cfRule type="duplicateValues" dxfId="393" priority="38"/>
    <cfRule type="duplicateValues" dxfId="392" priority="39"/>
  </conditionalFormatting>
  <conditionalFormatting sqref="I335">
    <cfRule type="duplicateValues" dxfId="391" priority="31"/>
    <cfRule type="duplicateValues" dxfId="390" priority="30"/>
  </conditionalFormatting>
  <conditionalFormatting sqref="I348">
    <cfRule type="duplicateValues" dxfId="389" priority="54"/>
    <cfRule type="duplicateValues" dxfId="388" priority="55"/>
  </conditionalFormatting>
  <conditionalFormatting sqref="I366">
    <cfRule type="duplicateValues" dxfId="387" priority="42"/>
    <cfRule type="duplicateValues" dxfId="386" priority="43"/>
  </conditionalFormatting>
  <conditionalFormatting sqref="I408">
    <cfRule type="duplicateValues" dxfId="385" priority="26"/>
    <cfRule type="duplicateValues" dxfId="384" priority="27"/>
  </conditionalFormatting>
  <conditionalFormatting sqref="I409">
    <cfRule type="duplicateValues" dxfId="383" priority="96"/>
    <cfRule type="duplicateValues" dxfId="382" priority="97"/>
  </conditionalFormatting>
  <conditionalFormatting sqref="I436">
    <cfRule type="duplicateValues" dxfId="381" priority="112"/>
    <cfRule type="duplicateValues" dxfId="380" priority="113"/>
  </conditionalFormatting>
  <conditionalFormatting sqref="I439">
    <cfRule type="duplicateValues" dxfId="379" priority="82"/>
    <cfRule type="duplicateValues" dxfId="378" priority="83"/>
  </conditionalFormatting>
  <conditionalFormatting sqref="I449">
    <cfRule type="duplicateValues" dxfId="377" priority="67"/>
    <cfRule type="duplicateValues" dxfId="376" priority="66"/>
  </conditionalFormatting>
  <conditionalFormatting sqref="I498">
    <cfRule type="duplicateValues" dxfId="375" priority="6"/>
    <cfRule type="duplicateValues" dxfId="374" priority="7"/>
  </conditionalFormatting>
  <conditionalFormatting sqref="I534">
    <cfRule type="duplicateValues" dxfId="373" priority="44"/>
    <cfRule type="duplicateValues" dxfId="372" priority="45"/>
  </conditionalFormatting>
  <conditionalFormatting sqref="I537">
    <cfRule type="duplicateValues" dxfId="371" priority="93"/>
    <cfRule type="duplicateValues" dxfId="370" priority="92"/>
  </conditionalFormatting>
  <conditionalFormatting sqref="I546">
    <cfRule type="duplicateValues" dxfId="369" priority="57"/>
    <cfRule type="duplicateValues" dxfId="368" priority="56"/>
  </conditionalFormatting>
  <conditionalFormatting sqref="I547">
    <cfRule type="duplicateValues" dxfId="367" priority="63"/>
    <cfRule type="duplicateValues" dxfId="366" priority="62"/>
  </conditionalFormatting>
  <conditionalFormatting sqref="I556">
    <cfRule type="duplicateValues" dxfId="365" priority="24"/>
    <cfRule type="duplicateValues" dxfId="364" priority="25"/>
  </conditionalFormatting>
  <conditionalFormatting sqref="I575">
    <cfRule type="duplicateValues" dxfId="363" priority="33"/>
    <cfRule type="duplicateValues" dxfId="362" priority="32"/>
  </conditionalFormatting>
  <conditionalFormatting sqref="I599">
    <cfRule type="duplicateValues" dxfId="361" priority="41"/>
    <cfRule type="duplicateValues" dxfId="360" priority="40"/>
  </conditionalFormatting>
  <conditionalFormatting sqref="I637">
    <cfRule type="duplicateValues" dxfId="359" priority="23"/>
    <cfRule type="duplicateValues" dxfId="358" priority="22"/>
  </conditionalFormatting>
  <conditionalFormatting sqref="I657">
    <cfRule type="duplicateValues" dxfId="357" priority="94"/>
    <cfRule type="duplicateValues" dxfId="356" priority="95"/>
  </conditionalFormatting>
  <conditionalFormatting sqref="I662">
    <cfRule type="duplicateValues" dxfId="355" priority="65"/>
    <cfRule type="duplicateValues" dxfId="354" priority="64"/>
  </conditionalFormatting>
  <conditionalFormatting sqref="I680">
    <cfRule type="duplicateValues" dxfId="353" priority="53"/>
    <cfRule type="duplicateValues" dxfId="352" priority="52"/>
  </conditionalFormatting>
  <conditionalFormatting sqref="I681">
    <cfRule type="duplicateValues" dxfId="351" priority="80"/>
    <cfRule type="duplicateValues" dxfId="350" priority="81"/>
  </conditionalFormatting>
  <conditionalFormatting sqref="I685">
    <cfRule type="duplicateValues" dxfId="349" priority="104"/>
    <cfRule type="duplicateValues" dxfId="348" priority="105"/>
  </conditionalFormatting>
  <conditionalFormatting sqref="I686">
    <cfRule type="duplicateValues" dxfId="347" priority="100"/>
    <cfRule type="duplicateValues" dxfId="346" priority="101"/>
  </conditionalFormatting>
  <conditionalFormatting sqref="I687">
    <cfRule type="duplicateValues" dxfId="345" priority="99"/>
    <cfRule type="duplicateValues" dxfId="344" priority="98"/>
  </conditionalFormatting>
  <conditionalFormatting sqref="I689:I690 I692 I694:I695 I199:I202 I193 I208:I209">
    <cfRule type="duplicateValues" dxfId="343" priority="121"/>
    <cfRule type="duplicateValues" dxfId="342" priority="122"/>
  </conditionalFormatting>
  <conditionalFormatting sqref="I693">
    <cfRule type="duplicateValues" dxfId="341" priority="88"/>
    <cfRule type="duplicateValues" dxfId="340" priority="89"/>
  </conditionalFormatting>
  <conditionalFormatting sqref="I696 I688 I705">
    <cfRule type="duplicateValues" dxfId="339" priority="125"/>
    <cfRule type="duplicateValues" dxfId="338" priority="126"/>
  </conditionalFormatting>
  <conditionalFormatting sqref="I697">
    <cfRule type="duplicateValues" dxfId="337" priority="102"/>
    <cfRule type="duplicateValues" dxfId="336" priority="103"/>
  </conditionalFormatting>
  <conditionalFormatting sqref="I698">
    <cfRule type="duplicateValues" dxfId="335" priority="116"/>
    <cfRule type="duplicateValues" dxfId="334" priority="117"/>
  </conditionalFormatting>
  <conditionalFormatting sqref="I699">
    <cfRule type="duplicateValues" dxfId="333" priority="108"/>
    <cfRule type="duplicateValues" dxfId="332" priority="109"/>
  </conditionalFormatting>
  <conditionalFormatting sqref="I700">
    <cfRule type="duplicateValues" dxfId="331" priority="106"/>
    <cfRule type="duplicateValues" dxfId="330" priority="107"/>
  </conditionalFormatting>
  <conditionalFormatting sqref="I704">
    <cfRule type="duplicateValues" dxfId="329" priority="78"/>
    <cfRule type="duplicateValues" dxfId="328" priority="79"/>
  </conditionalFormatting>
  <conditionalFormatting sqref="I709">
    <cfRule type="duplicateValues" dxfId="327" priority="87"/>
    <cfRule type="duplicateValues" dxfId="326" priority="86"/>
  </conditionalFormatting>
  <conditionalFormatting sqref="I711">
    <cfRule type="duplicateValues" dxfId="325" priority="110"/>
    <cfRule type="duplicateValues" dxfId="324" priority="111"/>
  </conditionalFormatting>
  <conditionalFormatting sqref="I712:I1048576 I691 I437:I438 I410:I435 I710 I701:I703 I706:I708 I658:I661 I167:I171 I440:I448 I203:I204 I682:I684 I162 I45:I61 I63:I87 I147:I148 I151:I153 I210:I216 I181:I189 I191:I192 I450:I497 I499:I533 I312:I332 I538:I545 I278:I292 I252:I276 I294:I309 I206 I367:I407 I218:I246 I576:I598 I535:I536 I349:I365 I336:I347 I548:I555 I557:I574 I663:I679 I600:I636 I638:I656 I174:I179 I248:I250 I1:I30 I34:I38 I40:I42 I132:I134 I136:I144 I197:I198 I194 I89:I130">
    <cfRule type="duplicateValues" dxfId="323" priority="127"/>
    <cfRule type="duplicateValues" dxfId="322" priority="128"/>
  </conditionalFormatting>
  <pageMargins left="0.70833333333333304" right="0.70833333333333304" top="0.74861111111111101" bottom="0.74861111111111101" header="0.31527777777777799" footer="0.31527777777777799"/>
  <pageSetup paperSize="9" fitToHeight="0" orientation="landscape" horizontalDpi="300" verticalDpi="300"/>
  <headerFooter>
    <oddHeader>&amp;C&amp;"Times New Roman,Bold"&amp;12COLLEGE OF ENGINEERING             
DRAFT EXAMINATION TIMETABLE FOR THE SECOND SEMESTER, 2025/2026 ACADEMIC YEAR</oddHeader>
    <oddFooter>&amp;C&amp;"Times New Roman,Regular"&amp;18&amp;Kff0000For computer based exams, venues will be communicated.</oddFooter>
  </headerFooter>
  <rowBreaks count="45" manualBreakCount="45">
    <brk id="12" max="16383" man="1"/>
    <brk id="30" max="16383" man="1"/>
    <brk id="44" max="16383" man="1"/>
    <brk id="66" max="16383" man="1"/>
    <brk id="83" max="16383" man="1"/>
    <brk id="97" max="16383" man="1"/>
    <brk id="110" max="16383" man="1"/>
    <brk id="125" max="16383" man="1"/>
    <brk id="137" max="16383" man="1"/>
    <brk id="153" max="16383" man="1"/>
    <brk id="166" max="16383" man="1"/>
    <brk id="182" max="16383" man="1"/>
    <brk id="198" max="16383" man="1"/>
    <brk id="209" max="16383" man="1"/>
    <brk id="221" max="16383" man="1"/>
    <brk id="236" max="16383" man="1"/>
    <brk id="253" max="16383" man="1"/>
    <brk id="268" max="16383" man="1"/>
    <brk id="282" max="16383" man="1"/>
    <brk id="297" max="16383" man="1"/>
    <brk id="313" max="16383" man="1"/>
    <brk id="340" max="16383" man="1"/>
    <brk id="357" max="16383" man="1"/>
    <brk id="369" max="16383" man="1"/>
    <brk id="383" max="16383" man="1"/>
    <brk id="398" max="16383" man="1"/>
    <brk id="411" max="16383" man="1"/>
    <brk id="429" max="16383" man="1"/>
    <brk id="454" max="16383" man="1"/>
    <brk id="472" max="16383" man="1"/>
    <brk id="488" max="16383" man="1"/>
    <brk id="502" max="16383" man="1"/>
    <brk id="525" max="16383" man="1"/>
    <brk id="541" max="16383" man="1"/>
    <brk id="558" max="16383" man="1"/>
    <brk id="578" max="16383" man="1"/>
    <brk id="591" max="16383" man="1"/>
    <brk id="603" max="16383" man="1"/>
    <brk id="615" max="16383" man="1"/>
    <brk id="632" max="16383" man="1"/>
    <brk id="648" max="16383" man="1"/>
    <brk id="667" max="16383" man="1"/>
    <brk id="670" max="16383" man="1"/>
    <brk id="683" max="16383" man="1"/>
    <brk id="697" max="16383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M704"/>
  <sheetViews>
    <sheetView topLeftCell="H139" zoomScaleNormal="100" workbookViewId="0">
      <selection activeCell="B171" sqref="B171"/>
    </sheetView>
  </sheetViews>
  <sheetFormatPr defaultColWidth="7.75" defaultRowHeight="13" x14ac:dyDescent="0.3"/>
  <cols>
    <col min="1" max="1" width="9.33203125" style="15" customWidth="1"/>
    <col min="2" max="2" width="59.1640625" style="15" customWidth="1"/>
    <col min="3" max="3" width="34.1640625" style="16" customWidth="1"/>
    <col min="4" max="4" width="9.25" style="15" customWidth="1"/>
    <col min="5" max="5" width="7.33203125" style="18" customWidth="1"/>
    <col min="6" max="6" width="54.33203125" style="17" customWidth="1"/>
    <col min="7" max="7" width="10" style="70" customWidth="1"/>
    <col min="8" max="8" width="0.1640625" style="19" customWidth="1"/>
    <col min="9" max="9" width="32.75" style="20" customWidth="1"/>
    <col min="10" max="10" width="41" style="21" customWidth="1"/>
    <col min="11" max="16384" width="7.75" style="21"/>
  </cols>
  <sheetData>
    <row r="1" spans="1:12" ht="15" x14ac:dyDescent="0.3">
      <c r="A1" s="6" t="s">
        <v>0</v>
      </c>
      <c r="B1" s="6"/>
      <c r="C1" s="6"/>
      <c r="D1" s="6"/>
      <c r="E1" s="6"/>
      <c r="F1" s="6"/>
      <c r="G1" s="6"/>
      <c r="I1" s="22" t="str">
        <f>A1</f>
        <v>Monday, 17 August 2026</v>
      </c>
      <c r="J1" s="23"/>
    </row>
    <row r="2" spans="1:12" ht="15" x14ac:dyDescent="0.3">
      <c r="A2" s="6" t="s">
        <v>2</v>
      </c>
      <c r="B2" s="6"/>
      <c r="C2" s="6"/>
      <c r="D2" s="6"/>
      <c r="E2" s="6"/>
      <c r="F2" s="6"/>
      <c r="G2" s="6"/>
      <c r="I2" s="22" t="str">
        <f>A2</f>
        <v>Session, 1 (8:30 AM - 10:30 AM)</v>
      </c>
      <c r="J2" s="23"/>
      <c r="L2" s="23"/>
    </row>
    <row r="3" spans="1:12" ht="15.5" x14ac:dyDescent="0.35">
      <c r="A3" s="71" t="s">
        <v>4</v>
      </c>
      <c r="B3" s="71" t="s">
        <v>5</v>
      </c>
      <c r="C3" s="72" t="s">
        <v>6</v>
      </c>
      <c r="D3" s="71" t="s">
        <v>7</v>
      </c>
      <c r="E3" s="73" t="s">
        <v>8</v>
      </c>
      <c r="F3" s="72" t="s">
        <v>9</v>
      </c>
      <c r="G3" s="74" t="s">
        <v>10</v>
      </c>
      <c r="I3" s="20" t="s">
        <v>11</v>
      </c>
      <c r="J3" s="25"/>
    </row>
    <row r="4" spans="1:12" ht="15.5" x14ac:dyDescent="0.35">
      <c r="A4" s="75" t="s">
        <v>12</v>
      </c>
      <c r="B4" s="76" t="str">
        <f t="array" ref="B4:B9">IFERROR(VLOOKUP(I4:I9,Lectures_1!A2:F534,2,FALSE()),0)</f>
        <v>DRAWING FOR ENGINEERS</v>
      </c>
      <c r="C4" s="76" t="str">
        <f t="array" ref="C4:C9">IFERROR(VLOOKUP(I4:I9,Lectures_1!A2:F534,3,FALSE()),0)</f>
        <v>Darkwah Lawrence</v>
      </c>
      <c r="D4" s="75" t="s">
        <v>13</v>
      </c>
      <c r="E4" s="77">
        <f t="array" ref="E4:E9">IFERROR(VLOOKUP(I4:I9,Lectures_1!A2:F534,4,FALSE()),0)</f>
        <v>160</v>
      </c>
      <c r="F4" s="75" t="s">
        <v>527</v>
      </c>
      <c r="G4" s="78">
        <f t="shared" ref="G4:G9" si="0">E4*1.1</f>
        <v>176</v>
      </c>
      <c r="H4" s="19" t="s">
        <v>528</v>
      </c>
      <c r="I4" s="20" t="str">
        <f t="shared" ref="I4:I9" si="1">CONCATENATE(A4,",",D4)</f>
        <v>CHE 258,ED2-CHE</v>
      </c>
      <c r="J4" s="25"/>
    </row>
    <row r="5" spans="1:12" ht="15.5" x14ac:dyDescent="0.35">
      <c r="A5" s="75" t="s">
        <v>12</v>
      </c>
      <c r="B5" s="76" t="str">
        <v>DRAWING FOR ENGINEERS</v>
      </c>
      <c r="C5" s="76" t="str">
        <v>Darkwah Lawrence</v>
      </c>
      <c r="D5" s="75" t="s">
        <v>14</v>
      </c>
      <c r="E5" s="77">
        <v>65</v>
      </c>
      <c r="F5" s="75" t="s">
        <v>529</v>
      </c>
      <c r="G5" s="78">
        <f t="shared" si="0"/>
        <v>71.5</v>
      </c>
      <c r="H5" s="19" t="s">
        <v>530</v>
      </c>
      <c r="I5" s="20" t="str">
        <f t="shared" si="1"/>
        <v>CHE 258,ED2-PCE</v>
      </c>
      <c r="J5" s="25"/>
    </row>
    <row r="6" spans="1:12" ht="15.5" x14ac:dyDescent="0.35">
      <c r="A6" s="75" t="s">
        <v>15</v>
      </c>
      <c r="B6" s="79" t="str">
        <v>OPERATING SYSTEMS</v>
      </c>
      <c r="C6" s="79" t="str">
        <v>Kommey Benjamin</v>
      </c>
      <c r="D6" s="75" t="s">
        <v>16</v>
      </c>
      <c r="E6" s="77">
        <v>265</v>
      </c>
      <c r="F6" s="80" t="s">
        <v>531</v>
      </c>
      <c r="G6" s="78">
        <f t="shared" si="0"/>
        <v>291.5</v>
      </c>
      <c r="H6" s="19" t="s">
        <v>532</v>
      </c>
      <c r="I6" s="20" t="str">
        <f t="shared" si="1"/>
        <v>COE 354,ED3-COE</v>
      </c>
      <c r="J6" s="25"/>
    </row>
    <row r="7" spans="1:12" ht="15.5" x14ac:dyDescent="0.35">
      <c r="A7" s="75" t="s">
        <v>19</v>
      </c>
      <c r="B7" s="76" t="str">
        <v>ELECTRICAL ENG. DRAWING</v>
      </c>
      <c r="C7" s="76" t="str">
        <v>Kwegyir Daniel</v>
      </c>
      <c r="D7" s="75" t="s">
        <v>20</v>
      </c>
      <c r="E7" s="77">
        <v>262</v>
      </c>
      <c r="F7" s="75" t="s">
        <v>533</v>
      </c>
      <c r="G7" s="78">
        <f t="shared" si="0"/>
        <v>288.20000000000005</v>
      </c>
      <c r="H7" s="19" t="s">
        <v>534</v>
      </c>
      <c r="I7" s="31" t="str">
        <f t="shared" si="1"/>
        <v>EE 156,ED1-COE</v>
      </c>
      <c r="J7" s="25"/>
    </row>
    <row r="8" spans="1:12" ht="15.5" x14ac:dyDescent="0.35">
      <c r="A8" s="75" t="s">
        <v>192</v>
      </c>
      <c r="B8" s="76" t="str">
        <v>PROPULSION</v>
      </c>
      <c r="C8" s="79" t="str">
        <v>Bofah Kwasi Kete</v>
      </c>
      <c r="D8" s="75" t="s">
        <v>133</v>
      </c>
      <c r="E8" s="77">
        <v>76</v>
      </c>
      <c r="F8" s="80" t="s">
        <v>535</v>
      </c>
      <c r="G8" s="78">
        <f t="shared" si="0"/>
        <v>83.600000000000009</v>
      </c>
      <c r="H8" s="19" t="s">
        <v>536</v>
      </c>
      <c r="I8" s="20" t="str">
        <f t="shared" si="1"/>
        <v>AERO 368,ED3-AERO</v>
      </c>
      <c r="J8" s="25"/>
    </row>
    <row r="9" spans="1:12" ht="15.5" x14ac:dyDescent="0.35">
      <c r="A9" s="75" t="s">
        <v>24</v>
      </c>
      <c r="B9" s="79" t="str">
        <v>DIGITAL SYSTEMS</v>
      </c>
      <c r="C9" s="76" t="str">
        <v>Opoku Daniel</v>
      </c>
      <c r="D9" s="75" t="s">
        <v>25</v>
      </c>
      <c r="E9" s="77">
        <v>340</v>
      </c>
      <c r="F9" s="75" t="s">
        <v>537</v>
      </c>
      <c r="G9" s="78">
        <f t="shared" si="0"/>
        <v>374.00000000000006</v>
      </c>
      <c r="H9" s="19" t="s">
        <v>538</v>
      </c>
      <c r="I9" s="20" t="str">
        <f t="shared" si="1"/>
        <v>EE 272,ED2-EE</v>
      </c>
      <c r="J9" s="25"/>
    </row>
    <row r="10" spans="1:12" ht="15.5" x14ac:dyDescent="0.35">
      <c r="A10" s="81"/>
      <c r="B10" s="81"/>
      <c r="C10" s="72"/>
      <c r="D10" s="76" t="s">
        <v>26</v>
      </c>
      <c r="E10" s="82">
        <f>SUM(E4:E9)</f>
        <v>1168</v>
      </c>
      <c r="F10" s="83"/>
      <c r="G10" s="84"/>
      <c r="I10" s="22" t="s">
        <v>27</v>
      </c>
      <c r="J10" s="25"/>
    </row>
    <row r="11" spans="1:12" ht="15.5" x14ac:dyDescent="0.35">
      <c r="A11" s="81"/>
      <c r="B11" s="81"/>
      <c r="C11" s="72"/>
      <c r="D11" s="76"/>
      <c r="E11" s="82"/>
      <c r="F11" s="83"/>
      <c r="G11" s="84"/>
      <c r="I11" s="22"/>
      <c r="J11" s="25"/>
    </row>
    <row r="12" spans="1:12" ht="15.5" x14ac:dyDescent="0.35">
      <c r="A12" s="6" t="s">
        <v>0</v>
      </c>
      <c r="B12" s="6"/>
      <c r="C12" s="6"/>
      <c r="D12" s="6"/>
      <c r="E12" s="6"/>
      <c r="F12" s="6"/>
      <c r="G12" s="6"/>
      <c r="I12" s="22" t="str">
        <f>A12</f>
        <v>Monday, 17 August 2026</v>
      </c>
      <c r="J12" s="25"/>
    </row>
    <row r="13" spans="1:12" s="23" customFormat="1" ht="15.5" x14ac:dyDescent="0.35">
      <c r="A13" s="6" t="s">
        <v>29</v>
      </c>
      <c r="B13" s="6"/>
      <c r="C13" s="6"/>
      <c r="D13" s="6"/>
      <c r="E13" s="6"/>
      <c r="F13" s="6"/>
      <c r="G13" s="6"/>
      <c r="H13" s="19"/>
      <c r="I13" s="22" t="str">
        <f>A13</f>
        <v>Session, 2 (12:00 PM - 2:00 PM)</v>
      </c>
      <c r="J13" s="25"/>
    </row>
    <row r="14" spans="1:12" s="23" customFormat="1" ht="15.5" x14ac:dyDescent="0.35">
      <c r="A14" s="71" t="s">
        <v>4</v>
      </c>
      <c r="B14" s="71" t="s">
        <v>5</v>
      </c>
      <c r="C14" s="72" t="s">
        <v>6</v>
      </c>
      <c r="D14" s="71" t="s">
        <v>7</v>
      </c>
      <c r="E14" s="73" t="s">
        <v>8</v>
      </c>
      <c r="F14" s="72" t="s">
        <v>9</v>
      </c>
      <c r="G14" s="74" t="s">
        <v>10</v>
      </c>
      <c r="H14" s="19"/>
      <c r="I14" s="22" t="s">
        <v>31</v>
      </c>
      <c r="J14" s="25"/>
    </row>
    <row r="15" spans="1:12" ht="15.5" x14ac:dyDescent="0.35">
      <c r="A15" s="75" t="s">
        <v>32</v>
      </c>
      <c r="B15" s="76" t="str">
        <f t="array" ref="B15:B28">IFERROR(VLOOKUP(I15:I28,Lectures_1!A2:F534,2,FALSE()),0)</f>
        <v>MACHINE DESIGN PROJECT</v>
      </c>
      <c r="C15" s="76" t="str">
        <f t="array" ref="C15:C28">IFERROR(VLOOKUP(I15:I28,Lectures_1!A2:F534,3,FALSE()),0)</f>
        <v>Andoh Prince Yaw</v>
      </c>
      <c r="D15" s="75" t="s">
        <v>33</v>
      </c>
      <c r="E15" s="85">
        <f t="array" ref="E15:E28">IFERROR(VLOOKUP(I15:I28,Lectures_1!A2:F534,4,FALSE()),0)</f>
        <v>240</v>
      </c>
      <c r="F15" s="5" t="s">
        <v>34</v>
      </c>
      <c r="G15" s="78">
        <f t="shared" ref="G15:G28" si="2">E15*1.1</f>
        <v>264</v>
      </c>
      <c r="I15" s="20" t="str">
        <f t="shared" ref="I15:I28" si="3">CONCATENATE(A15,",",D15)</f>
        <v>ME 274,ED2-ME</v>
      </c>
      <c r="J15" s="25"/>
    </row>
    <row r="16" spans="1:12" ht="15.5" x14ac:dyDescent="0.35">
      <c r="A16" s="75" t="s">
        <v>35</v>
      </c>
      <c r="B16" s="79" t="str">
        <v>AEROSPACE DESIGN PROJECT II</v>
      </c>
      <c r="C16" s="79" t="str">
        <v>Andoh Prince Yaw</v>
      </c>
      <c r="D16" s="75" t="s">
        <v>36</v>
      </c>
      <c r="E16" s="77">
        <v>75</v>
      </c>
      <c r="F16" s="5"/>
      <c r="G16" s="78">
        <f t="shared" si="2"/>
        <v>82.5</v>
      </c>
      <c r="I16" s="20" t="str">
        <f t="shared" si="3"/>
        <v>AERO 274,ED2-AERO</v>
      </c>
      <c r="J16" s="25"/>
    </row>
    <row r="17" spans="1:10" ht="15.5" x14ac:dyDescent="0.35">
      <c r="A17" s="75" t="s">
        <v>37</v>
      </c>
      <c r="B17" s="76" t="str">
        <v>SECOND YEAR DESIGN PROJECT</v>
      </c>
      <c r="C17" s="79" t="str">
        <v>Andoh Prince Yaw</v>
      </c>
      <c r="D17" s="75" t="s">
        <v>38</v>
      </c>
      <c r="E17" s="77">
        <v>80</v>
      </c>
      <c r="F17" s="5"/>
      <c r="G17" s="78">
        <f t="shared" si="2"/>
        <v>88</v>
      </c>
      <c r="H17" s="17"/>
      <c r="I17" s="20" t="str">
        <f t="shared" si="3"/>
        <v>IE 274,ED2-IND</v>
      </c>
      <c r="J17" s="25"/>
    </row>
    <row r="18" spans="1:10" ht="15.5" x14ac:dyDescent="0.35">
      <c r="A18" s="75" t="s">
        <v>39</v>
      </c>
      <c r="B18" s="76" t="str">
        <v>AUTOMOTIVE DESIGN PROJECT</v>
      </c>
      <c r="C18" s="79" t="str">
        <v>Andoh Prince Yaw</v>
      </c>
      <c r="D18" s="75" t="s">
        <v>40</v>
      </c>
      <c r="E18" s="77">
        <v>82</v>
      </c>
      <c r="F18" s="5"/>
      <c r="G18" s="78">
        <f t="shared" si="2"/>
        <v>90.2</v>
      </c>
      <c r="H18" s="17"/>
      <c r="I18" s="20" t="str">
        <f t="shared" si="3"/>
        <v>AME 274,ED2-AUTO</v>
      </c>
      <c r="J18" s="25"/>
    </row>
    <row r="19" spans="1:10" ht="15.5" x14ac:dyDescent="0.35">
      <c r="A19" s="75" t="s">
        <v>41</v>
      </c>
      <c r="B19" s="76" t="str">
        <v>MARINE ENGINEERING DESIGN PROJECT II</v>
      </c>
      <c r="C19" s="79" t="str">
        <v>Andoh Prince Yaw</v>
      </c>
      <c r="D19" s="75" t="s">
        <v>42</v>
      </c>
      <c r="E19" s="77">
        <v>37</v>
      </c>
      <c r="F19" s="5"/>
      <c r="G19" s="78">
        <f t="shared" si="2"/>
        <v>40.700000000000003</v>
      </c>
      <c r="H19" s="17"/>
      <c r="I19" s="20" t="str">
        <f t="shared" si="3"/>
        <v>MME 274,ED2-MARI</v>
      </c>
      <c r="J19" s="25"/>
    </row>
    <row r="20" spans="1:10" ht="15.5" x14ac:dyDescent="0.35">
      <c r="A20" s="75" t="s">
        <v>43</v>
      </c>
      <c r="B20" s="79" t="str">
        <v>PETROLEUM REFINING ENGINEERING</v>
      </c>
      <c r="C20" s="79" t="str">
        <v>Kwao-Boateng Emmanuela</v>
      </c>
      <c r="D20" s="75" t="s">
        <v>44</v>
      </c>
      <c r="E20" s="77">
        <v>55</v>
      </c>
      <c r="F20" s="80" t="s">
        <v>539</v>
      </c>
      <c r="G20" s="78">
        <f t="shared" si="2"/>
        <v>60.500000000000007</v>
      </c>
      <c r="H20" s="19" t="s">
        <v>540</v>
      </c>
      <c r="I20" s="20" t="str">
        <f t="shared" si="3"/>
        <v>PCE 450,ED4-PCE</v>
      </c>
      <c r="J20" s="25"/>
    </row>
    <row r="21" spans="1:10" ht="15.5" x14ac:dyDescent="0.35">
      <c r="A21" s="75" t="s">
        <v>47</v>
      </c>
      <c r="B21" s="79" t="str">
        <v>REFINING PROCESSES TECHNOLOGY</v>
      </c>
      <c r="C21" s="79" t="str">
        <v>Kwao-Boateng Emmanuela</v>
      </c>
      <c r="D21" s="75" t="s">
        <v>48</v>
      </c>
      <c r="E21" s="77">
        <v>50</v>
      </c>
      <c r="F21" s="80" t="s">
        <v>541</v>
      </c>
      <c r="G21" s="78">
        <f t="shared" si="2"/>
        <v>55.000000000000007</v>
      </c>
      <c r="H21" s="19">
        <v>50</v>
      </c>
      <c r="I21" s="20" t="str">
        <f t="shared" si="3"/>
        <v>PCE 464,ED4-CHE</v>
      </c>
      <c r="J21" s="25"/>
    </row>
    <row r="22" spans="1:10" ht="15.5" x14ac:dyDescent="0.35">
      <c r="A22" s="75" t="s">
        <v>542</v>
      </c>
      <c r="B22" s="76" t="str">
        <v>MECHANICAL ENGINEERING LAB. II</v>
      </c>
      <c r="C22" s="79" t="str">
        <v>Boahen Samuel</v>
      </c>
      <c r="D22" s="75" t="s">
        <v>53</v>
      </c>
      <c r="E22" s="77">
        <v>155</v>
      </c>
      <c r="F22" s="80" t="s">
        <v>527</v>
      </c>
      <c r="G22" s="78">
        <f t="shared" si="2"/>
        <v>170.5</v>
      </c>
      <c r="H22" s="19" t="s">
        <v>543</v>
      </c>
      <c r="I22" s="20" t="str">
        <f t="shared" si="3"/>
        <v>ME 296,ED2-AE</v>
      </c>
      <c r="J22" s="25"/>
    </row>
    <row r="23" spans="1:10" ht="15.5" x14ac:dyDescent="0.35">
      <c r="A23" s="75" t="s">
        <v>72</v>
      </c>
      <c r="B23" s="76" t="str">
        <v>SILICATE TECHNOLOGY II</v>
      </c>
      <c r="C23" s="79" t="str">
        <v>Momade Zsuzsanna Gál</v>
      </c>
      <c r="D23" s="75" t="s">
        <v>73</v>
      </c>
      <c r="E23" s="77">
        <v>15</v>
      </c>
      <c r="F23" s="80" t="s">
        <v>544</v>
      </c>
      <c r="G23" s="78">
        <f t="shared" si="2"/>
        <v>16.5</v>
      </c>
      <c r="H23" s="19">
        <v>15</v>
      </c>
      <c r="I23" s="20" t="str">
        <f t="shared" si="3"/>
        <v>CHE 362,ED3-CHE</v>
      </c>
      <c r="J23" s="25"/>
    </row>
    <row r="24" spans="1:10" ht="15.5" x14ac:dyDescent="0.35">
      <c r="A24" s="75" t="s">
        <v>234</v>
      </c>
      <c r="B24" s="79" t="str">
        <v>BASIC ELECTRONICS</v>
      </c>
      <c r="C24" s="79" t="str">
        <v>Kwegyir Daniel</v>
      </c>
      <c r="D24" s="75" t="s">
        <v>95</v>
      </c>
      <c r="E24" s="77">
        <v>103</v>
      </c>
      <c r="F24" s="75" t="s">
        <v>545</v>
      </c>
      <c r="G24" s="78">
        <f t="shared" si="2"/>
        <v>113.30000000000001</v>
      </c>
      <c r="H24" s="19">
        <v>103</v>
      </c>
      <c r="I24" s="20" t="str">
        <f t="shared" si="3"/>
        <v>EE 152,ED1-GEOM</v>
      </c>
      <c r="J24" s="25"/>
    </row>
    <row r="25" spans="1:10" ht="15.5" x14ac:dyDescent="0.35">
      <c r="A25" s="75" t="s">
        <v>234</v>
      </c>
      <c r="B25" s="79" t="str">
        <v>BASIC ELECTRONICS</v>
      </c>
      <c r="C25" s="79" t="str">
        <v>Kwegyir Daniel</v>
      </c>
      <c r="D25" s="75" t="s">
        <v>126</v>
      </c>
      <c r="E25" s="77">
        <v>125</v>
      </c>
      <c r="F25" s="75" t="s">
        <v>546</v>
      </c>
      <c r="G25" s="78">
        <f t="shared" si="2"/>
        <v>137.5</v>
      </c>
      <c r="H25" s="19">
        <v>125</v>
      </c>
      <c r="I25" s="20" t="str">
        <f t="shared" si="3"/>
        <v>EE 152,ED1-GEOL</v>
      </c>
      <c r="J25" s="25"/>
    </row>
    <row r="26" spans="1:10" ht="15.5" x14ac:dyDescent="0.35">
      <c r="A26" s="75" t="s">
        <v>74</v>
      </c>
      <c r="B26" s="79" t="str">
        <v>PROPERTIES OF CIVIL ENGINEERING MATERIAL</v>
      </c>
      <c r="C26" s="79" t="str">
        <v>Kankam Charles Kwame</v>
      </c>
      <c r="D26" s="75" t="s">
        <v>75</v>
      </c>
      <c r="E26" s="77">
        <v>245</v>
      </c>
      <c r="F26" s="80" t="s">
        <v>531</v>
      </c>
      <c r="G26" s="78">
        <f t="shared" si="2"/>
        <v>269.5</v>
      </c>
      <c r="H26" s="19" t="s">
        <v>547</v>
      </c>
      <c r="I26" s="20" t="str">
        <f t="shared" si="3"/>
        <v>CE 154,ED1-CE</v>
      </c>
      <c r="J26" s="25"/>
    </row>
    <row r="27" spans="1:10" ht="15.5" x14ac:dyDescent="0.35">
      <c r="A27" s="75" t="s">
        <v>54</v>
      </c>
      <c r="B27" s="79" t="str">
        <v>FLUID MECHANICS</v>
      </c>
      <c r="C27" s="76" t="str">
        <v>Anornu Geophrey Kwame</v>
      </c>
      <c r="D27" s="75" t="s">
        <v>55</v>
      </c>
      <c r="E27" s="77">
        <v>150</v>
      </c>
      <c r="F27" s="80" t="s">
        <v>548</v>
      </c>
      <c r="G27" s="78">
        <f t="shared" si="2"/>
        <v>165</v>
      </c>
      <c r="H27" s="19" t="s">
        <v>549</v>
      </c>
      <c r="I27" s="20" t="str">
        <f t="shared" si="3"/>
        <v>CE 256,ED2-GEOL</v>
      </c>
      <c r="J27" s="25"/>
    </row>
    <row r="28" spans="1:10" ht="15.5" x14ac:dyDescent="0.35">
      <c r="A28" s="75" t="s">
        <v>54</v>
      </c>
      <c r="B28" s="76" t="str">
        <v>FLUID MECHANICS</v>
      </c>
      <c r="C28" s="76" t="str">
        <v>Anornu Geophrey Kwame</v>
      </c>
      <c r="D28" s="75" t="s">
        <v>56</v>
      </c>
      <c r="E28" s="77">
        <v>250</v>
      </c>
      <c r="F28" s="80" t="s">
        <v>531</v>
      </c>
      <c r="G28" s="78">
        <f t="shared" si="2"/>
        <v>275</v>
      </c>
      <c r="H28" s="19" t="s">
        <v>550</v>
      </c>
      <c r="I28" s="20" t="str">
        <f t="shared" si="3"/>
        <v>CE 256,ED2-CE</v>
      </c>
      <c r="J28" s="25"/>
    </row>
    <row r="29" spans="1:10" ht="15.5" x14ac:dyDescent="0.35">
      <c r="A29" s="75"/>
      <c r="B29" s="81"/>
      <c r="C29" s="72"/>
      <c r="D29" s="76" t="s">
        <v>57</v>
      </c>
      <c r="E29" s="82">
        <f>SUM(E20:E28)</f>
        <v>1148</v>
      </c>
      <c r="F29" s="83"/>
      <c r="G29" s="84"/>
      <c r="I29" s="22" t="s">
        <v>58</v>
      </c>
      <c r="J29" s="25"/>
    </row>
    <row r="30" spans="1:10" ht="15.5" x14ac:dyDescent="0.35">
      <c r="A30" s="75"/>
      <c r="B30" s="81"/>
      <c r="C30" s="72"/>
      <c r="D30" s="76"/>
      <c r="E30" s="82"/>
      <c r="F30" s="83"/>
      <c r="G30" s="84"/>
      <c r="I30" s="22"/>
      <c r="J30" s="25"/>
    </row>
    <row r="31" spans="1:10" ht="15.5" x14ac:dyDescent="0.35">
      <c r="A31" s="6" t="s">
        <v>0</v>
      </c>
      <c r="B31" s="6"/>
      <c r="C31" s="6"/>
      <c r="D31" s="6"/>
      <c r="E31" s="6"/>
      <c r="F31" s="6"/>
      <c r="G31" s="6"/>
      <c r="I31" s="22" t="str">
        <f>A31</f>
        <v>Monday, 17 August 2026</v>
      </c>
      <c r="J31" s="25"/>
    </row>
    <row r="32" spans="1:10" s="23" customFormat="1" ht="15.5" x14ac:dyDescent="0.35">
      <c r="A32" s="6" t="s">
        <v>59</v>
      </c>
      <c r="B32" s="6"/>
      <c r="C32" s="6"/>
      <c r="D32" s="6"/>
      <c r="E32" s="6"/>
      <c r="F32" s="6"/>
      <c r="G32" s="6"/>
      <c r="H32" s="19"/>
      <c r="I32" s="22" t="str">
        <f>A32</f>
        <v>Session, 3 (3:00 PM - 5:00 PM)</v>
      </c>
      <c r="J32" s="25"/>
    </row>
    <row r="33" spans="1:12" s="23" customFormat="1" ht="15.5" x14ac:dyDescent="0.35">
      <c r="A33" s="71" t="s">
        <v>4</v>
      </c>
      <c r="B33" s="71" t="s">
        <v>5</v>
      </c>
      <c r="C33" s="72" t="s">
        <v>6</v>
      </c>
      <c r="D33" s="71" t="s">
        <v>7</v>
      </c>
      <c r="E33" s="73" t="s">
        <v>8</v>
      </c>
      <c r="F33" s="72" t="s">
        <v>9</v>
      </c>
      <c r="G33" s="74" t="s">
        <v>10</v>
      </c>
      <c r="H33" s="19"/>
      <c r="I33" s="22" t="s">
        <v>31</v>
      </c>
      <c r="J33" s="25"/>
    </row>
    <row r="34" spans="1:12" ht="15.5" x14ac:dyDescent="0.35">
      <c r="A34" s="75" t="s">
        <v>60</v>
      </c>
      <c r="B34" s="76" t="str">
        <f t="array" ref="B34:B41">IFERROR(VLOOKUP(I34:I41,Lectures_1!A2:F534,2,FALSE()),0)</f>
        <v>MACHINE ELEMENTS DESIGN II</v>
      </c>
      <c r="C34" s="87" t="str">
        <f t="array" ref="C34:C41">IFERROR(VLOOKUP(I34:I41,Lectures_1!A2:F534,3,FALSE()),0)</f>
        <v>Andoh Prince Yaw</v>
      </c>
      <c r="D34" s="80" t="s">
        <v>61</v>
      </c>
      <c r="E34" s="77">
        <f t="array" ref="E34:E41">IFERROR(VLOOKUP(I34:I41,Lectures_1!A2:F534,4,FALSE()),0)</f>
        <v>222</v>
      </c>
      <c r="F34" s="86" t="s">
        <v>551</v>
      </c>
      <c r="G34" s="78">
        <f t="shared" ref="G34:G41" si="4">E34*1.1</f>
        <v>244.20000000000002</v>
      </c>
      <c r="I34" s="20" t="str">
        <f t="shared" ref="I34:I41" si="5">CONCATENATE(A34,",",D34)</f>
        <v>ME 374,ED3-ME</v>
      </c>
      <c r="J34" s="25"/>
    </row>
    <row r="35" spans="1:12" ht="15.5" x14ac:dyDescent="0.35">
      <c r="A35" s="75" t="s">
        <v>66</v>
      </c>
      <c r="B35" s="76" t="str">
        <v>INSTRUMENTATION</v>
      </c>
      <c r="C35" s="76" t="str">
        <v>Adam Faisal Wahib</v>
      </c>
      <c r="D35" s="75" t="s">
        <v>67</v>
      </c>
      <c r="E35" s="77">
        <v>135</v>
      </c>
      <c r="F35" s="80" t="s">
        <v>552</v>
      </c>
      <c r="G35" s="78">
        <f t="shared" si="4"/>
        <v>148.5</v>
      </c>
      <c r="H35" s="19" t="s">
        <v>553</v>
      </c>
      <c r="I35" s="20" t="str">
        <f t="shared" si="5"/>
        <v>ME 464,ED4-ME</v>
      </c>
      <c r="J35" s="25"/>
    </row>
    <row r="36" spans="1:12" ht="15.5" x14ac:dyDescent="0.35">
      <c r="A36" s="75" t="s">
        <v>495</v>
      </c>
      <c r="B36" s="76" t="str">
        <v>QUANTITIES AND COST ESTIMATION IN CIVIL ENGINEERING</v>
      </c>
      <c r="C36" s="76" t="str">
        <v>Osei Jack Banahene</v>
      </c>
      <c r="D36" s="75" t="s">
        <v>157</v>
      </c>
      <c r="E36" s="77">
        <v>230</v>
      </c>
      <c r="F36" s="88" t="s">
        <v>554</v>
      </c>
      <c r="G36" s="78">
        <f t="shared" si="4"/>
        <v>253.00000000000003</v>
      </c>
      <c r="H36" s="58" t="s">
        <v>555</v>
      </c>
      <c r="I36" s="20" t="str">
        <f t="shared" si="5"/>
        <v>CE 376,ED3-CE</v>
      </c>
      <c r="J36" s="25"/>
    </row>
    <row r="37" spans="1:12" ht="15.5" x14ac:dyDescent="0.35">
      <c r="A37" s="75" t="s">
        <v>70</v>
      </c>
      <c r="B37" s="76" t="str">
        <v>SUBSTATIONS AND TRANSMISSION LINE DESIGN</v>
      </c>
      <c r="C37" s="76" t="str">
        <v>Antoh Emmanuel Kwaku</v>
      </c>
      <c r="D37" s="75" t="s">
        <v>71</v>
      </c>
      <c r="E37" s="77">
        <v>240</v>
      </c>
      <c r="F37" s="80" t="s">
        <v>556</v>
      </c>
      <c r="G37" s="78">
        <f t="shared" si="4"/>
        <v>264</v>
      </c>
      <c r="H37" s="19" t="s">
        <v>557</v>
      </c>
      <c r="I37" s="20" t="str">
        <f t="shared" si="5"/>
        <v>EE 362,ED3-EE</v>
      </c>
      <c r="J37" s="25"/>
    </row>
    <row r="38" spans="1:12" ht="15.5" x14ac:dyDescent="0.35">
      <c r="A38" s="75" t="s">
        <v>443</v>
      </c>
      <c r="B38" s="76" t="str">
        <v>MANUAL POWER TRAIN</v>
      </c>
      <c r="C38" s="79" t="str">
        <v>Abu Frimpong Solomon</v>
      </c>
      <c r="D38" s="75" t="s">
        <v>23</v>
      </c>
      <c r="E38" s="77">
        <v>40</v>
      </c>
      <c r="F38" s="80" t="s">
        <v>558</v>
      </c>
      <c r="G38" s="78">
        <f t="shared" si="4"/>
        <v>44</v>
      </c>
      <c r="H38" s="17" t="s">
        <v>559</v>
      </c>
      <c r="I38" s="20" t="str">
        <f t="shared" si="5"/>
        <v>AME 386,ED3-AUTO</v>
      </c>
      <c r="J38" s="25"/>
    </row>
    <row r="39" spans="1:12" ht="15.5" x14ac:dyDescent="0.35">
      <c r="A39" s="75" t="s">
        <v>68</v>
      </c>
      <c r="B39" s="76" t="str">
        <v>NAVAL ARCHITECTURE II</v>
      </c>
      <c r="C39" s="76" t="str">
        <v>Kudzedzi Emmanuel Yaw Mawuko</v>
      </c>
      <c r="D39" s="75" t="s">
        <v>69</v>
      </c>
      <c r="E39" s="77">
        <v>23</v>
      </c>
      <c r="F39" s="80" t="s">
        <v>560</v>
      </c>
      <c r="G39" s="78">
        <f t="shared" si="4"/>
        <v>25.3</v>
      </c>
      <c r="H39" s="19">
        <v>23</v>
      </c>
      <c r="I39" s="20" t="str">
        <f t="shared" si="5"/>
        <v>MME 482,ED4-MARI</v>
      </c>
      <c r="J39" s="25"/>
    </row>
    <row r="40" spans="1:12" ht="15.5" x14ac:dyDescent="0.35">
      <c r="A40" s="75" t="s">
        <v>17</v>
      </c>
      <c r="B40" s="79" t="str">
        <v>WELL TESTING</v>
      </c>
      <c r="C40" s="76" t="str">
        <v>Adenutsi Caspar Daniel</v>
      </c>
      <c r="D40" s="75" t="s">
        <v>18</v>
      </c>
      <c r="E40" s="77">
        <v>80</v>
      </c>
      <c r="F40" s="80" t="s">
        <v>533</v>
      </c>
      <c r="G40" s="78">
        <f t="shared" si="4"/>
        <v>88</v>
      </c>
      <c r="H40" s="19" t="s">
        <v>561</v>
      </c>
      <c r="I40" s="20" t="str">
        <f t="shared" si="5"/>
        <v>PE 360,ED3-PE</v>
      </c>
      <c r="J40" s="25"/>
    </row>
    <row r="41" spans="1:12" ht="15.5" x14ac:dyDescent="0.35">
      <c r="A41" s="75" t="s">
        <v>76</v>
      </c>
      <c r="B41" s="76" t="str">
        <v>ANALYSIS OF ERRORS</v>
      </c>
      <c r="C41" s="79" t="str">
        <v>Collins Fosu</v>
      </c>
      <c r="D41" s="75" t="s">
        <v>77</v>
      </c>
      <c r="E41" s="77">
        <v>122</v>
      </c>
      <c r="F41" s="80" t="s">
        <v>562</v>
      </c>
      <c r="G41" s="78">
        <f t="shared" si="4"/>
        <v>134.20000000000002</v>
      </c>
      <c r="H41" s="19" t="s">
        <v>563</v>
      </c>
      <c r="I41" s="20" t="str">
        <f t="shared" si="5"/>
        <v>GE 372,ED3-GEOM</v>
      </c>
      <c r="J41" s="25"/>
    </row>
    <row r="42" spans="1:12" ht="15.5" x14ac:dyDescent="0.35">
      <c r="A42" s="75"/>
      <c r="B42" s="81"/>
      <c r="C42" s="72"/>
      <c r="D42" s="76" t="s">
        <v>57</v>
      </c>
      <c r="E42" s="82">
        <f>SUM(E34:E41)</f>
        <v>1092</v>
      </c>
      <c r="F42" s="83"/>
      <c r="G42" s="84"/>
      <c r="I42" s="22" t="s">
        <v>58</v>
      </c>
      <c r="J42" s="25"/>
    </row>
    <row r="43" spans="1:12" ht="15.5" x14ac:dyDescent="0.35">
      <c r="A43" s="75"/>
      <c r="B43" s="81"/>
      <c r="C43" s="72"/>
      <c r="D43" s="76"/>
      <c r="E43" s="82"/>
      <c r="F43" s="83"/>
      <c r="G43" s="84"/>
      <c r="I43" s="22"/>
      <c r="J43" s="25"/>
    </row>
    <row r="44" spans="1:12" ht="15" x14ac:dyDescent="0.3">
      <c r="A44" s="6" t="s">
        <v>78</v>
      </c>
      <c r="B44" s="6"/>
      <c r="C44" s="6"/>
      <c r="D44" s="6"/>
      <c r="E44" s="6"/>
      <c r="F44" s="6"/>
      <c r="G44" s="6"/>
      <c r="I44" s="22" t="str">
        <f>A44</f>
        <v>Tuesday, 18 August 2026</v>
      </c>
      <c r="J44" s="23"/>
    </row>
    <row r="45" spans="1:12" ht="15" x14ac:dyDescent="0.3">
      <c r="A45" s="6" t="s">
        <v>2</v>
      </c>
      <c r="B45" s="6"/>
      <c r="C45" s="6"/>
      <c r="D45" s="6"/>
      <c r="E45" s="6"/>
      <c r="F45" s="6"/>
      <c r="G45" s="6"/>
      <c r="I45" s="22" t="str">
        <f>A45</f>
        <v>Session, 1 (8:30 AM - 10:30 AM)</v>
      </c>
      <c r="J45" s="23"/>
      <c r="L45" s="23"/>
    </row>
    <row r="46" spans="1:12" ht="15.5" x14ac:dyDescent="0.35">
      <c r="A46" s="71" t="s">
        <v>4</v>
      </c>
      <c r="B46" s="71" t="s">
        <v>5</v>
      </c>
      <c r="C46" s="72" t="s">
        <v>6</v>
      </c>
      <c r="D46" s="71" t="s">
        <v>7</v>
      </c>
      <c r="E46" s="73" t="s">
        <v>8</v>
      </c>
      <c r="F46" s="72" t="s">
        <v>9</v>
      </c>
      <c r="G46" s="74" t="s">
        <v>10</v>
      </c>
      <c r="I46" s="20" t="s">
        <v>11</v>
      </c>
      <c r="J46" s="25"/>
    </row>
    <row r="47" spans="1:12" ht="15.5" x14ac:dyDescent="0.35">
      <c r="A47" s="75" t="s">
        <v>79</v>
      </c>
      <c r="B47" s="76" t="str">
        <f t="array" ref="B47:B61">IFERROR(VLOOKUP(I47:I61,Lectures_1!A2:F534,2,FALSE()),0)</f>
        <v>GENERAL PHYSICS</v>
      </c>
      <c r="C47" s="79" t="str">
        <f t="array" ref="C47:C61">IFERROR(VLOOKUP(I47:I61,Lectures_1!A2:F534,3,FALSE()),0)</f>
        <v>Boateng Cyril Dziedzorm</v>
      </c>
      <c r="D47" s="75" t="s">
        <v>80</v>
      </c>
      <c r="E47" s="77">
        <f t="array" ref="E47:E61">IFERROR(VLOOKUP(I47:I61,Lectures_1!A2:F534,4,FALSE()),0)</f>
        <v>120</v>
      </c>
      <c r="F47" s="5" t="s">
        <v>34</v>
      </c>
      <c r="G47" s="78">
        <f t="shared" ref="G47:G61" si="6">E47*1.1</f>
        <v>132</v>
      </c>
      <c r="I47" s="20" t="str">
        <f t="shared" ref="I47:I61" si="7">CONCATENATE(A47,",",D47)</f>
        <v>PHY 170,ED1-CHE</v>
      </c>
      <c r="J47" s="25"/>
    </row>
    <row r="48" spans="1:12" ht="15.5" x14ac:dyDescent="0.35">
      <c r="A48" s="75" t="s">
        <v>79</v>
      </c>
      <c r="B48" s="76" t="str">
        <v>GENERAL PHYSICS</v>
      </c>
      <c r="C48" s="79" t="str">
        <v>Abavare Eric Kwabena Kyeh</v>
      </c>
      <c r="D48" s="75" t="s">
        <v>81</v>
      </c>
      <c r="E48" s="77">
        <v>56</v>
      </c>
      <c r="F48" s="5"/>
      <c r="G48" s="78">
        <f t="shared" si="6"/>
        <v>61.600000000000009</v>
      </c>
      <c r="I48" s="20" t="str">
        <f t="shared" si="7"/>
        <v>PHY 170,ED1-PCE</v>
      </c>
      <c r="J48" s="25"/>
    </row>
    <row r="49" spans="1:10" ht="15.5" x14ac:dyDescent="0.35">
      <c r="A49" s="75" t="s">
        <v>79</v>
      </c>
      <c r="B49" s="76" t="str">
        <v>GENERAL PHYSICS</v>
      </c>
      <c r="C49" s="79" t="str">
        <v>Boateng Cyril Dziedzorm</v>
      </c>
      <c r="D49" s="75" t="s">
        <v>82</v>
      </c>
      <c r="E49" s="77">
        <v>130</v>
      </c>
      <c r="F49" s="5"/>
      <c r="G49" s="78">
        <f t="shared" si="6"/>
        <v>143</v>
      </c>
      <c r="I49" s="20" t="str">
        <f t="shared" si="7"/>
        <v>PHY 170,ED1-PE</v>
      </c>
      <c r="J49" s="25"/>
    </row>
    <row r="50" spans="1:10" ht="15.5" x14ac:dyDescent="0.35">
      <c r="A50" s="75" t="s">
        <v>84</v>
      </c>
      <c r="B50" s="76" t="str">
        <v>SEAMANSHIP</v>
      </c>
      <c r="C50" s="79" t="str">
        <v>Larkai Francis Laako</v>
      </c>
      <c r="D50" s="75" t="s">
        <v>42</v>
      </c>
      <c r="E50" s="77">
        <v>37</v>
      </c>
      <c r="F50" s="80" t="s">
        <v>560</v>
      </c>
      <c r="G50" s="78">
        <f t="shared" si="6"/>
        <v>40.700000000000003</v>
      </c>
      <c r="H50" s="19">
        <v>37</v>
      </c>
      <c r="I50" s="20" t="str">
        <f t="shared" si="7"/>
        <v>MME 292,ED2-MARI</v>
      </c>
      <c r="J50" s="25"/>
    </row>
    <row r="51" spans="1:10" ht="15.5" x14ac:dyDescent="0.35">
      <c r="A51" s="75" t="s">
        <v>85</v>
      </c>
      <c r="B51" s="76" t="str">
        <v>MARINE ENGINEERING LABORATORY III</v>
      </c>
      <c r="C51" s="76" t="str">
        <v>Tay Godwin Fabiola Kwaku</v>
      </c>
      <c r="D51" s="75" t="s">
        <v>86</v>
      </c>
      <c r="E51" s="77">
        <v>40</v>
      </c>
      <c r="F51" s="80" t="s">
        <v>541</v>
      </c>
      <c r="G51" s="78">
        <f t="shared" si="6"/>
        <v>44</v>
      </c>
      <c r="H51" s="19">
        <v>40</v>
      </c>
      <c r="I51" s="20" t="str">
        <f t="shared" si="7"/>
        <v>MME 396,ED3-MARI</v>
      </c>
      <c r="J51" s="25"/>
    </row>
    <row r="52" spans="1:10" ht="15.5" x14ac:dyDescent="0.35">
      <c r="A52" s="75" t="s">
        <v>87</v>
      </c>
      <c r="B52" s="79" t="str">
        <v>RENEWABLE ENERGY SYSTEMS AND MANAGEMENT</v>
      </c>
      <c r="C52" s="79" t="str">
        <v>Kemausuor Francis</v>
      </c>
      <c r="D52" s="75" t="s">
        <v>88</v>
      </c>
      <c r="E52" s="77">
        <v>101</v>
      </c>
      <c r="F52" s="80" t="s">
        <v>564</v>
      </c>
      <c r="G52" s="78">
        <f t="shared" si="6"/>
        <v>111.10000000000001</v>
      </c>
      <c r="H52" s="19" t="s">
        <v>565</v>
      </c>
      <c r="I52" s="20" t="str">
        <f t="shared" si="7"/>
        <v>AE 358,ED3-AE</v>
      </c>
      <c r="J52" s="25"/>
    </row>
    <row r="53" spans="1:10" ht="15.5" x14ac:dyDescent="0.35">
      <c r="A53" s="75" t="s">
        <v>89</v>
      </c>
      <c r="B53" s="79" t="str">
        <v>INTRODUCTION TO LIGHTING AND ACOUSTICS</v>
      </c>
      <c r="C53" s="79" t="str">
        <v>Amos-Abanyie Samuel</v>
      </c>
      <c r="D53" s="75" t="s">
        <v>75</v>
      </c>
      <c r="E53" s="77">
        <v>55</v>
      </c>
      <c r="F53" s="80" t="s">
        <v>566</v>
      </c>
      <c r="G53" s="78">
        <f t="shared" si="6"/>
        <v>60.500000000000007</v>
      </c>
      <c r="H53" s="19" t="s">
        <v>540</v>
      </c>
      <c r="I53" s="20" t="str">
        <f t="shared" si="7"/>
        <v>ARC 156,ED1-CE</v>
      </c>
      <c r="J53" s="25"/>
    </row>
    <row r="54" spans="1:10" ht="15.5" x14ac:dyDescent="0.35">
      <c r="A54" s="75" t="s">
        <v>90</v>
      </c>
      <c r="B54" s="79" t="str">
        <v>INTRODUCTION TO COMMUNICATION NETWORKS</v>
      </c>
      <c r="C54" s="79" t="str">
        <v>Agyemang Justice Owusu</v>
      </c>
      <c r="D54" s="75" t="s">
        <v>91</v>
      </c>
      <c r="E54" s="77">
        <v>130</v>
      </c>
      <c r="F54" s="75" t="s">
        <v>546</v>
      </c>
      <c r="G54" s="78">
        <f t="shared" si="6"/>
        <v>143</v>
      </c>
      <c r="H54" s="19">
        <v>130</v>
      </c>
      <c r="I54" s="20" t="str">
        <f t="shared" si="7"/>
        <v>TE 156,ED1-TEL</v>
      </c>
      <c r="J54" s="25"/>
    </row>
    <row r="55" spans="1:10" ht="15.5" x14ac:dyDescent="0.35">
      <c r="A55" s="75" t="s">
        <v>62</v>
      </c>
      <c r="B55" s="76" t="str">
        <v>PETROCHEMICAL ENGINEERING LABORATORY II</v>
      </c>
      <c r="C55" s="76" t="str">
        <v>Bonsu Jude Kwaku</v>
      </c>
      <c r="D55" s="75" t="s">
        <v>63</v>
      </c>
      <c r="E55" s="77">
        <v>53</v>
      </c>
      <c r="F55" s="75" t="s">
        <v>545</v>
      </c>
      <c r="G55" s="78">
        <f t="shared" si="6"/>
        <v>58.300000000000004</v>
      </c>
      <c r="H55" s="19">
        <v>53</v>
      </c>
      <c r="I55" s="20" t="str">
        <f t="shared" si="7"/>
        <v>PCE 354,ED3-PCE</v>
      </c>
      <c r="J55" s="25"/>
    </row>
    <row r="56" spans="1:10" ht="15.5" x14ac:dyDescent="0.35">
      <c r="A56" s="75" t="s">
        <v>92</v>
      </c>
      <c r="B56" s="76" t="str">
        <v>DRAWING FOR ENGINEERS</v>
      </c>
      <c r="C56" s="76" t="str">
        <v>Jones Twumasi</v>
      </c>
      <c r="D56" s="75" t="s">
        <v>93</v>
      </c>
      <c r="E56" s="77">
        <v>95</v>
      </c>
      <c r="F56" s="75" t="s">
        <v>567</v>
      </c>
      <c r="G56" s="78">
        <f t="shared" si="6"/>
        <v>104.50000000000001</v>
      </c>
      <c r="H56" s="19" t="s">
        <v>568</v>
      </c>
      <c r="I56" s="20" t="str">
        <f t="shared" si="7"/>
        <v>PE 254,ED2-PE</v>
      </c>
      <c r="J56" s="25"/>
    </row>
    <row r="57" spans="1:10" ht="15.5" x14ac:dyDescent="0.35">
      <c r="A57" s="75" t="s">
        <v>64</v>
      </c>
      <c r="B57" s="76" t="str">
        <v>BIOINSTRUMENTATION I</v>
      </c>
      <c r="C57" s="79" t="str">
        <v>Acquah Isaac</v>
      </c>
      <c r="D57" s="75" t="s">
        <v>65</v>
      </c>
      <c r="E57" s="77">
        <v>90</v>
      </c>
      <c r="F57" s="75" t="s">
        <v>569</v>
      </c>
      <c r="G57" s="78">
        <f t="shared" si="6"/>
        <v>99.000000000000014</v>
      </c>
      <c r="H57" s="19" t="s">
        <v>570</v>
      </c>
      <c r="I57" s="20" t="str">
        <f t="shared" si="7"/>
        <v>BME 372,ED3-BME</v>
      </c>
      <c r="J57" s="25"/>
    </row>
    <row r="58" spans="1:10" ht="15.5" x14ac:dyDescent="0.35">
      <c r="A58" s="75" t="s">
        <v>510</v>
      </c>
      <c r="B58" s="76" t="str">
        <v>GEOSTATISTICS</v>
      </c>
      <c r="C58" s="79" t="str">
        <v>Nuamah Daniel Oduro Boatey</v>
      </c>
      <c r="D58" s="75" t="s">
        <v>177</v>
      </c>
      <c r="E58" s="77">
        <v>72</v>
      </c>
      <c r="F58" s="80" t="s">
        <v>545</v>
      </c>
      <c r="G58" s="78">
        <f t="shared" si="6"/>
        <v>79.2</v>
      </c>
      <c r="H58" s="19">
        <v>72</v>
      </c>
      <c r="I58" s="20" t="str">
        <f t="shared" si="7"/>
        <v>GED 468,ED4-GEOL</v>
      </c>
      <c r="J58" s="25"/>
    </row>
    <row r="59" spans="1:10" ht="15.5" x14ac:dyDescent="0.35">
      <c r="A59" s="75" t="s">
        <v>49</v>
      </c>
      <c r="B59" s="79" t="str">
        <v>CROP LOSSES AND THEIR CONTROL</v>
      </c>
      <c r="C59" s="79" t="str">
        <v xml:space="preserve">Darko Joseph Ofei </v>
      </c>
      <c r="D59" s="75" t="s">
        <v>50</v>
      </c>
      <c r="E59" s="77">
        <v>103</v>
      </c>
      <c r="F59" s="80" t="s">
        <v>571</v>
      </c>
      <c r="G59" s="78">
        <f t="shared" si="6"/>
        <v>113.30000000000001</v>
      </c>
      <c r="H59" s="19" t="s">
        <v>572</v>
      </c>
      <c r="I59" s="20" t="str">
        <f t="shared" si="7"/>
        <v>AE 458,ED4-AE</v>
      </c>
      <c r="J59" s="25"/>
    </row>
    <row r="60" spans="1:10" ht="15.5" x14ac:dyDescent="0.35">
      <c r="A60" s="75" t="s">
        <v>102</v>
      </c>
      <c r="B60" s="76" t="str">
        <v>ENVIRONMENTAL QUALITY ENGINEERING II</v>
      </c>
      <c r="C60" s="79" t="str">
        <v>Appiah-Effah Eugene</v>
      </c>
      <c r="D60" s="75" t="s">
        <v>103</v>
      </c>
      <c r="E60" s="77">
        <v>115</v>
      </c>
      <c r="F60" s="80" t="s">
        <v>569</v>
      </c>
      <c r="G60" s="78">
        <f t="shared" si="6"/>
        <v>126.50000000000001</v>
      </c>
      <c r="H60" s="19" t="s">
        <v>573</v>
      </c>
      <c r="I60" s="20" t="str">
        <f t="shared" si="7"/>
        <v>CE 464,ED4-CE</v>
      </c>
      <c r="J60" s="25"/>
    </row>
    <row r="61" spans="1:10" ht="15.5" x14ac:dyDescent="0.35">
      <c r="A61" s="75" t="s">
        <v>132</v>
      </c>
      <c r="B61" s="79" t="str">
        <v>AEROSPACE ENGINEERING LAB II</v>
      </c>
      <c r="C61" s="79" t="str">
        <v>Oppong David Kofi</v>
      </c>
      <c r="D61" s="75" t="s">
        <v>133</v>
      </c>
      <c r="E61" s="77">
        <v>76</v>
      </c>
      <c r="F61" s="80" t="s">
        <v>574</v>
      </c>
      <c r="G61" s="78">
        <f t="shared" si="6"/>
        <v>83.600000000000009</v>
      </c>
      <c r="H61" s="19" t="s">
        <v>575</v>
      </c>
      <c r="I61" s="20" t="str">
        <f t="shared" si="7"/>
        <v>AERO 396,ED3-AERO</v>
      </c>
      <c r="J61" s="25"/>
    </row>
    <row r="62" spans="1:10" ht="15.5" x14ac:dyDescent="0.35">
      <c r="A62" s="81"/>
      <c r="B62" s="81"/>
      <c r="C62" s="72"/>
      <c r="D62" s="76" t="s">
        <v>105</v>
      </c>
      <c r="E62" s="82">
        <f>SUM(E50:E61)</f>
        <v>967</v>
      </c>
      <c r="F62" s="83"/>
      <c r="G62" s="84"/>
      <c r="I62" s="22" t="s">
        <v>27</v>
      </c>
      <c r="J62" s="25"/>
    </row>
    <row r="63" spans="1:10" ht="15.5" x14ac:dyDescent="0.35">
      <c r="A63" s="81"/>
      <c r="B63" s="81"/>
      <c r="C63" s="72"/>
      <c r="D63" s="81"/>
      <c r="E63" s="82"/>
      <c r="F63" s="83"/>
      <c r="G63" s="84"/>
      <c r="I63" s="22" t="s">
        <v>106</v>
      </c>
      <c r="J63" s="25"/>
    </row>
    <row r="64" spans="1:10" ht="15.5" x14ac:dyDescent="0.35">
      <c r="A64" s="6" t="s">
        <v>78</v>
      </c>
      <c r="B64" s="6"/>
      <c r="C64" s="6"/>
      <c r="D64" s="6"/>
      <c r="E64" s="6"/>
      <c r="F64" s="6"/>
      <c r="G64" s="6"/>
      <c r="I64" s="22" t="str">
        <f>A64</f>
        <v>Tuesday, 18 August 2026</v>
      </c>
      <c r="J64" s="25"/>
    </row>
    <row r="65" spans="1:10" s="23" customFormat="1" ht="15.5" x14ac:dyDescent="0.35">
      <c r="A65" s="6" t="s">
        <v>29</v>
      </c>
      <c r="B65" s="6"/>
      <c r="C65" s="6"/>
      <c r="D65" s="6"/>
      <c r="E65" s="6"/>
      <c r="F65" s="6"/>
      <c r="G65" s="6"/>
      <c r="H65" s="19"/>
      <c r="I65" s="22" t="str">
        <f>A65</f>
        <v>Session, 2 (12:00 PM - 2:00 PM)</v>
      </c>
      <c r="J65" s="25"/>
    </row>
    <row r="66" spans="1:10" s="23" customFormat="1" ht="15.5" x14ac:dyDescent="0.35">
      <c r="A66" s="71" t="s">
        <v>4</v>
      </c>
      <c r="B66" s="71" t="s">
        <v>5</v>
      </c>
      <c r="C66" s="72" t="s">
        <v>6</v>
      </c>
      <c r="D66" s="71" t="s">
        <v>7</v>
      </c>
      <c r="E66" s="73" t="s">
        <v>8</v>
      </c>
      <c r="F66" s="72" t="s">
        <v>9</v>
      </c>
      <c r="G66" s="74" t="s">
        <v>10</v>
      </c>
      <c r="H66" s="19"/>
      <c r="I66" s="22" t="s">
        <v>31</v>
      </c>
      <c r="J66" s="25"/>
    </row>
    <row r="67" spans="1:10" ht="15.5" x14ac:dyDescent="0.35">
      <c r="A67" s="75" t="s">
        <v>107</v>
      </c>
      <c r="B67" s="76" t="str">
        <f t="array" ref="B67:B80">IFERROR(VLOOKUP(I67:I80,Lectures_1!A2:F534,2,FALSE()),0)</f>
        <v>OBJECT-ORIENTED PROGRAMMING</v>
      </c>
      <c r="C67" s="79" t="str">
        <f t="array" ref="C67:C80">IFERROR(VLOOKUP(I67:I80,Lectures_1!A2:F534,3,FALSE()),0)</f>
        <v>Adjaidoo Theresa-Samuelle Maame Atwemaah</v>
      </c>
      <c r="D67" s="75" t="s">
        <v>108</v>
      </c>
      <c r="E67" s="77">
        <f t="array" ref="E67:E80">IFERROR(VLOOKUP(I67:I80,Lectures_1!A2:F534,4,FALSE()),0)</f>
        <v>255</v>
      </c>
      <c r="F67" s="76" t="s">
        <v>533</v>
      </c>
      <c r="G67" s="78">
        <f t="shared" ref="G67:G80" si="8">E67*1.1</f>
        <v>280.5</v>
      </c>
      <c r="H67" s="19" t="s">
        <v>576</v>
      </c>
      <c r="I67" s="20" t="str">
        <f t="shared" ref="I67:I80" si="9">CONCATENATE(A67,",",D67)</f>
        <v>COE 254,ED2-COE</v>
      </c>
      <c r="J67" s="25"/>
    </row>
    <row r="68" spans="1:10" ht="15.5" x14ac:dyDescent="0.35">
      <c r="A68" s="75" t="s">
        <v>107</v>
      </c>
      <c r="B68" s="76" t="str">
        <v>OBJECT-ORIENTED PROGRAMMING</v>
      </c>
      <c r="C68" s="79" t="str">
        <v>Adjaidoo Theresa-Samuelle Maame Atwemaah</v>
      </c>
      <c r="D68" s="75" t="s">
        <v>109</v>
      </c>
      <c r="E68" s="77">
        <v>80</v>
      </c>
      <c r="F68" s="76" t="s">
        <v>545</v>
      </c>
      <c r="G68" s="78">
        <f t="shared" si="8"/>
        <v>88</v>
      </c>
      <c r="H68" s="19">
        <v>80</v>
      </c>
      <c r="I68" s="20" t="str">
        <f t="shared" si="9"/>
        <v>COE 254,ED2-BME</v>
      </c>
      <c r="J68" s="25"/>
    </row>
    <row r="69" spans="1:10" ht="15.5" x14ac:dyDescent="0.35">
      <c r="A69" s="75" t="s">
        <v>110</v>
      </c>
      <c r="B69" s="76" t="str">
        <v>COMPUTER PROGRAMMING FOR ENGINEERS</v>
      </c>
      <c r="C69" s="79" t="str">
        <v>Dzebre Denis Edem Kwame</v>
      </c>
      <c r="D69" s="75" t="s">
        <v>111</v>
      </c>
      <c r="E69" s="77">
        <v>83</v>
      </c>
      <c r="F69" s="80" t="s">
        <v>577</v>
      </c>
      <c r="G69" s="78">
        <f t="shared" si="8"/>
        <v>91.300000000000011</v>
      </c>
      <c r="H69" s="19" t="s">
        <v>578</v>
      </c>
      <c r="I69" s="20" t="str">
        <f t="shared" si="9"/>
        <v>ME 168,ED1-IND</v>
      </c>
      <c r="J69" s="25"/>
    </row>
    <row r="70" spans="1:10" ht="15.5" x14ac:dyDescent="0.35">
      <c r="A70" s="75" t="s">
        <v>110</v>
      </c>
      <c r="B70" s="76" t="str">
        <v>COMPUTER PROGRAMMING FOR ENGINEERS</v>
      </c>
      <c r="C70" s="79" t="str">
        <v>Dzebre Denis Edem Kwame</v>
      </c>
      <c r="D70" s="75" t="s">
        <v>112</v>
      </c>
      <c r="E70" s="77">
        <v>46</v>
      </c>
      <c r="F70" s="80" t="s">
        <v>579</v>
      </c>
      <c r="G70" s="78">
        <f t="shared" si="8"/>
        <v>50.6</v>
      </c>
      <c r="H70" s="19" t="s">
        <v>580</v>
      </c>
      <c r="I70" s="20" t="str">
        <f t="shared" si="9"/>
        <v>ME 168,ED1-MARI</v>
      </c>
      <c r="J70" s="25"/>
    </row>
    <row r="71" spans="1:10" ht="15.5" x14ac:dyDescent="0.35">
      <c r="A71" s="75" t="s">
        <v>113</v>
      </c>
      <c r="B71" s="76" t="str">
        <v>OPTICAL AND THERMAL BEHAVIOUR OF MATERIALS</v>
      </c>
      <c r="C71" s="79" t="str">
        <v>Nartey Martinson Addo</v>
      </c>
      <c r="D71" s="75" t="s">
        <v>114</v>
      </c>
      <c r="E71" s="77">
        <v>75</v>
      </c>
      <c r="F71" s="80" t="s">
        <v>529</v>
      </c>
      <c r="G71" s="78">
        <f t="shared" si="8"/>
        <v>82.5</v>
      </c>
      <c r="H71" s="19" t="s">
        <v>581</v>
      </c>
      <c r="I71" s="20" t="str">
        <f t="shared" si="9"/>
        <v>MSE 154,ED1-METE</v>
      </c>
      <c r="J71" s="25"/>
    </row>
    <row r="72" spans="1:10" ht="15.5" x14ac:dyDescent="0.35">
      <c r="A72" s="75" t="s">
        <v>113</v>
      </c>
      <c r="B72" s="76" t="str">
        <v>OPTICAL AND THERMAL BEHAVIOUR OF MATERIALS</v>
      </c>
      <c r="C72" s="79" t="str">
        <v>Nartey Martinson Addo</v>
      </c>
      <c r="D72" s="75" t="s">
        <v>115</v>
      </c>
      <c r="E72" s="77">
        <v>100</v>
      </c>
      <c r="F72" s="80" t="s">
        <v>582</v>
      </c>
      <c r="G72" s="78">
        <f t="shared" si="8"/>
        <v>110.00000000000001</v>
      </c>
      <c r="H72" s="19" t="s">
        <v>583</v>
      </c>
      <c r="I72" s="20" t="str">
        <f t="shared" si="9"/>
        <v>MSE 154,ED1-MSE</v>
      </c>
      <c r="J72" s="25"/>
    </row>
    <row r="73" spans="1:10" ht="15.5" x14ac:dyDescent="0.35">
      <c r="A73" s="75" t="s">
        <v>116</v>
      </c>
      <c r="B73" s="79" t="str">
        <v>MECHANICAL ENGINEERING MATERIALS III</v>
      </c>
      <c r="C73" s="79" t="str">
        <v>Sackey Samuel Mensah</v>
      </c>
      <c r="D73" s="75" t="s">
        <v>67</v>
      </c>
      <c r="E73" s="77">
        <v>55</v>
      </c>
      <c r="F73" s="80" t="s">
        <v>539</v>
      </c>
      <c r="G73" s="78">
        <f t="shared" si="8"/>
        <v>60.500000000000007</v>
      </c>
      <c r="H73" s="19" t="s">
        <v>540</v>
      </c>
      <c r="I73" s="20" t="str">
        <f t="shared" si="9"/>
        <v>ME 482,ED4-ME</v>
      </c>
      <c r="J73" s="25"/>
    </row>
    <row r="74" spans="1:10" ht="15.5" x14ac:dyDescent="0.35">
      <c r="A74" s="75" t="s">
        <v>117</v>
      </c>
      <c r="B74" s="76" t="str">
        <v>SWITCHING ENGINEERING IN COMMUNICATION</v>
      </c>
      <c r="C74" s="76" t="str">
        <v>Obour Agyekum Kwame Opuni-Boachie</v>
      </c>
      <c r="D74" s="75" t="s">
        <v>71</v>
      </c>
      <c r="E74" s="77">
        <v>10</v>
      </c>
      <c r="F74" s="80" t="s">
        <v>584</v>
      </c>
      <c r="G74" s="78">
        <f t="shared" si="8"/>
        <v>11</v>
      </c>
      <c r="H74" s="19">
        <v>10</v>
      </c>
      <c r="I74" s="20" t="str">
        <f t="shared" si="9"/>
        <v>TE 384,ED3-EE</v>
      </c>
      <c r="J74" s="25"/>
    </row>
    <row r="75" spans="1:10" ht="15.5" x14ac:dyDescent="0.35">
      <c r="A75" s="75" t="s">
        <v>118</v>
      </c>
      <c r="B75" s="76" t="str">
        <v>SWITCHING ENGINEERING IN COMMUNICATION</v>
      </c>
      <c r="C75" s="76" t="str">
        <v>Agyekum Kwame Agyeman-Prempeh</v>
      </c>
      <c r="D75" s="75" t="s">
        <v>119</v>
      </c>
      <c r="E75" s="77">
        <v>140</v>
      </c>
      <c r="F75" s="80" t="s">
        <v>585</v>
      </c>
      <c r="G75" s="78">
        <f t="shared" si="8"/>
        <v>154</v>
      </c>
      <c r="H75" s="19" t="s">
        <v>586</v>
      </c>
      <c r="I75" s="20" t="str">
        <f t="shared" si="9"/>
        <v>TE 356,ED3-TEL</v>
      </c>
      <c r="J75" s="25"/>
    </row>
    <row r="76" spans="1:10" ht="15.5" x14ac:dyDescent="0.35">
      <c r="A76" s="75" t="s">
        <v>526</v>
      </c>
      <c r="B76" s="76" t="str">
        <v>AERODYNAMICS II</v>
      </c>
      <c r="C76" s="72" t="str">
        <v>Bofah Kwasi Kete</v>
      </c>
      <c r="D76" s="75" t="s">
        <v>99</v>
      </c>
      <c r="E76" s="77">
        <v>61</v>
      </c>
      <c r="F76" s="80" t="s">
        <v>587</v>
      </c>
      <c r="G76" s="78">
        <f t="shared" si="8"/>
        <v>67.100000000000009</v>
      </c>
      <c r="H76" s="17" t="s">
        <v>588</v>
      </c>
      <c r="I76" s="20" t="str">
        <f t="shared" si="9"/>
        <v>AERO 452,ED4-AERO</v>
      </c>
      <c r="J76" s="25"/>
    </row>
    <row r="77" spans="1:10" ht="15.5" x14ac:dyDescent="0.35">
      <c r="A77" s="75" t="s">
        <v>100</v>
      </c>
      <c r="B77" s="79" t="str">
        <v>ASSAYING</v>
      </c>
      <c r="C77" s="79" t="str">
        <v>Koomson Bennetta</v>
      </c>
      <c r="D77" s="75" t="s">
        <v>101</v>
      </c>
      <c r="E77" s="77">
        <v>57</v>
      </c>
      <c r="F77" s="80" t="s">
        <v>535</v>
      </c>
      <c r="G77" s="78">
        <f t="shared" si="8"/>
        <v>62.7</v>
      </c>
      <c r="H77" s="19" t="s">
        <v>589</v>
      </c>
      <c r="I77" s="20" t="str">
        <f t="shared" si="9"/>
        <v>METE 256,ED2-METE</v>
      </c>
      <c r="J77" s="25"/>
    </row>
    <row r="78" spans="1:10" ht="15.5" x14ac:dyDescent="0.35">
      <c r="A78" s="75" t="s">
        <v>120</v>
      </c>
      <c r="B78" s="79" t="str">
        <v>OPERATIONS RESEARCH II</v>
      </c>
      <c r="C78" s="79" t="str">
        <v>Asiedu Charlotte</v>
      </c>
      <c r="D78" s="75" t="s">
        <v>121</v>
      </c>
      <c r="E78" s="77">
        <v>70</v>
      </c>
      <c r="F78" s="80" t="s">
        <v>558</v>
      </c>
      <c r="G78" s="78">
        <f t="shared" si="8"/>
        <v>77</v>
      </c>
      <c r="H78" s="19" t="s">
        <v>590</v>
      </c>
      <c r="I78" s="20" t="str">
        <f t="shared" si="9"/>
        <v>IE 368,ED3-IND</v>
      </c>
      <c r="J78" s="25"/>
    </row>
    <row r="79" spans="1:10" ht="15.5" x14ac:dyDescent="0.35">
      <c r="A79" s="75" t="s">
        <v>122</v>
      </c>
      <c r="B79" s="79" t="str">
        <v>FOOD PROCESSING TECHNOLOGY</v>
      </c>
      <c r="C79" s="76" t="str">
        <v>Anang Daniel Adjah</v>
      </c>
      <c r="D79" s="75" t="s">
        <v>73</v>
      </c>
      <c r="E79" s="77">
        <v>50</v>
      </c>
      <c r="F79" s="80" t="s">
        <v>591</v>
      </c>
      <c r="G79" s="78">
        <f t="shared" si="8"/>
        <v>55.000000000000007</v>
      </c>
      <c r="H79" s="19" t="s">
        <v>592</v>
      </c>
      <c r="I79" s="20" t="str">
        <f t="shared" si="9"/>
        <v>CHE 368,ED3-CHE</v>
      </c>
      <c r="J79" s="25"/>
    </row>
    <row r="80" spans="1:10" ht="15.5" x14ac:dyDescent="0.35">
      <c r="A80" s="75" t="s">
        <v>123</v>
      </c>
      <c r="B80" s="79" t="str">
        <v>AUTOMATION AND PRODUCTION SYSTEM</v>
      </c>
      <c r="C80" s="79" t="str">
        <v>Sackey Samuel Mensah</v>
      </c>
      <c r="D80" s="75" t="s">
        <v>124</v>
      </c>
      <c r="E80" s="77">
        <v>69</v>
      </c>
      <c r="F80" s="80" t="s">
        <v>593</v>
      </c>
      <c r="G80" s="78">
        <f t="shared" si="8"/>
        <v>75.900000000000006</v>
      </c>
      <c r="H80" s="19" t="s">
        <v>594</v>
      </c>
      <c r="I80" s="20" t="str">
        <f t="shared" si="9"/>
        <v>IE 452,ED4-IND</v>
      </c>
      <c r="J80" s="25"/>
    </row>
    <row r="81" spans="1:10" ht="15.5" x14ac:dyDescent="0.35">
      <c r="A81" s="75"/>
      <c r="B81" s="81"/>
      <c r="C81" s="72"/>
      <c r="D81" s="76" t="s">
        <v>127</v>
      </c>
      <c r="E81" s="82">
        <f>SUM(E67:E80)</f>
        <v>1151</v>
      </c>
      <c r="F81" s="83"/>
      <c r="G81" s="84"/>
      <c r="I81" s="22" t="s">
        <v>58</v>
      </c>
      <c r="J81" s="25"/>
    </row>
    <row r="82" spans="1:10" ht="15.5" x14ac:dyDescent="0.35">
      <c r="A82" s="6" t="s">
        <v>78</v>
      </c>
      <c r="B82" s="6"/>
      <c r="C82" s="6"/>
      <c r="D82" s="6"/>
      <c r="E82" s="6"/>
      <c r="F82" s="6"/>
      <c r="G82" s="6"/>
      <c r="I82" s="22" t="str">
        <f>A82</f>
        <v>Tuesday, 18 August 2026</v>
      </c>
      <c r="J82" s="25"/>
    </row>
    <row r="83" spans="1:10" ht="15.5" x14ac:dyDescent="0.35">
      <c r="A83" s="6" t="s">
        <v>59</v>
      </c>
      <c r="B83" s="6"/>
      <c r="C83" s="6"/>
      <c r="D83" s="6"/>
      <c r="E83" s="6"/>
      <c r="F83" s="6"/>
      <c r="G83" s="6"/>
      <c r="I83" s="22" t="str">
        <f>A83</f>
        <v>Session, 3 (3:00 PM - 5:00 PM)</v>
      </c>
      <c r="J83" s="25"/>
    </row>
    <row r="84" spans="1:10" ht="15.5" x14ac:dyDescent="0.35">
      <c r="A84" s="71" t="s">
        <v>4</v>
      </c>
      <c r="B84" s="71" t="s">
        <v>5</v>
      </c>
      <c r="C84" s="72" t="s">
        <v>6</v>
      </c>
      <c r="D84" s="71" t="s">
        <v>7</v>
      </c>
      <c r="E84" s="73" t="s">
        <v>8</v>
      </c>
      <c r="F84" s="72" t="s">
        <v>9</v>
      </c>
      <c r="G84" s="74" t="s">
        <v>10</v>
      </c>
      <c r="I84" s="22" t="s">
        <v>31</v>
      </c>
      <c r="J84" s="25"/>
    </row>
    <row r="85" spans="1:10" ht="15.5" x14ac:dyDescent="0.35">
      <c r="A85" s="75" t="s">
        <v>520</v>
      </c>
      <c r="B85" s="76" t="str">
        <f t="array" ref="B85:B94">IFERROR(VLOOKUP(I85:I94,Lectures_1!A2:F534,2,FALSE()),0)</f>
        <v>BIOCHEMISTRY</v>
      </c>
      <c r="C85" s="76" t="str">
        <f t="array" ref="C85:C94">IFERROR(VLOOKUP(I85:I94,Lectures_1!A2:F534,3,FALSE()),0)</f>
        <v>Charles Apprey</v>
      </c>
      <c r="D85" s="75" t="s">
        <v>130</v>
      </c>
      <c r="E85" s="77">
        <f t="array" ref="E85:E94">IFERROR(VLOOKUP(I85:I94,Lectures_1!A2:F534,4,FALSE()),0)</f>
        <v>136</v>
      </c>
      <c r="F85" s="75" t="s">
        <v>595</v>
      </c>
      <c r="G85" s="78">
        <f t="shared" ref="G85:G94" si="10">E85*1.1</f>
        <v>149.60000000000002</v>
      </c>
      <c r="H85" s="19" t="s">
        <v>596</v>
      </c>
      <c r="I85" s="20" t="str">
        <f t="shared" ref="I85:I94" si="11">CONCATENATE(A85,",",D85)</f>
        <v>BME 166,ED1-BME</v>
      </c>
      <c r="J85" s="25"/>
    </row>
    <row r="86" spans="1:10" ht="15.5" x14ac:dyDescent="0.35">
      <c r="A86" s="75" t="s">
        <v>134</v>
      </c>
      <c r="B86" s="76" t="str">
        <v>PROCESS DYNAMICS AND CONTROL</v>
      </c>
      <c r="C86" s="79" t="str">
        <v>Adjaottor Albert Amatey</v>
      </c>
      <c r="D86" s="75" t="s">
        <v>135</v>
      </c>
      <c r="E86" s="77">
        <v>60</v>
      </c>
      <c r="F86" s="80" t="s">
        <v>545</v>
      </c>
      <c r="G86" s="78">
        <f t="shared" si="10"/>
        <v>66</v>
      </c>
      <c r="H86" s="19">
        <v>60</v>
      </c>
      <c r="I86" s="20" t="str">
        <f t="shared" si="11"/>
        <v>MSE 458,ED4-MSE</v>
      </c>
      <c r="J86" s="25"/>
    </row>
    <row r="87" spans="1:10" ht="15.5" x14ac:dyDescent="0.35">
      <c r="A87" s="75" t="s">
        <v>134</v>
      </c>
      <c r="B87" s="76" t="str">
        <v>PROCESS DYNANICS AND CONTROL</v>
      </c>
      <c r="C87" s="79" t="str">
        <v>Adjaottor Albert Amatey</v>
      </c>
      <c r="D87" s="75" t="s">
        <v>136</v>
      </c>
      <c r="E87" s="77">
        <v>55</v>
      </c>
      <c r="F87" s="80" t="s">
        <v>597</v>
      </c>
      <c r="G87" s="78">
        <f t="shared" si="10"/>
        <v>60.500000000000007</v>
      </c>
      <c r="H87" s="19" t="s">
        <v>598</v>
      </c>
      <c r="I87" s="20" t="str">
        <f t="shared" si="11"/>
        <v>MSE 458,ED4-METE</v>
      </c>
      <c r="J87" s="25"/>
    </row>
    <row r="88" spans="1:10" ht="15.5" x14ac:dyDescent="0.35">
      <c r="A88" s="75" t="s">
        <v>137</v>
      </c>
      <c r="B88" s="76" t="str">
        <v>ELECTRICAL MEASUREMENTS &amp; INSTRUMENTATION</v>
      </c>
      <c r="C88" s="79" t="str">
        <v>Nicholas Kwesi Prah II</v>
      </c>
      <c r="D88" s="75" t="s">
        <v>51</v>
      </c>
      <c r="E88" s="77">
        <v>295</v>
      </c>
      <c r="F88" s="80" t="s">
        <v>599</v>
      </c>
      <c r="G88" s="78">
        <f t="shared" si="10"/>
        <v>324.5</v>
      </c>
      <c r="H88" s="19" t="s">
        <v>600</v>
      </c>
      <c r="I88" s="20" t="str">
        <f t="shared" si="11"/>
        <v>EE 188,ED1-EE</v>
      </c>
      <c r="J88" s="25"/>
    </row>
    <row r="89" spans="1:10" ht="15.5" x14ac:dyDescent="0.35">
      <c r="A89" s="75" t="s">
        <v>52</v>
      </c>
      <c r="B89" s="76" t="str">
        <v>PRINCIPLES OF SURVEYING</v>
      </c>
      <c r="C89" s="76" t="str">
        <v>Akwasi Afrifa Acheampong</v>
      </c>
      <c r="D89" s="75" t="s">
        <v>53</v>
      </c>
      <c r="E89" s="77">
        <v>155</v>
      </c>
      <c r="F89" s="89" t="s">
        <v>601</v>
      </c>
      <c r="G89" s="78">
        <f t="shared" si="10"/>
        <v>170.5</v>
      </c>
      <c r="H89" s="40" t="s">
        <v>543</v>
      </c>
      <c r="I89" s="20" t="str">
        <f t="shared" si="11"/>
        <v>GE 286,ED2-AE</v>
      </c>
      <c r="J89" s="25"/>
    </row>
    <row r="90" spans="1:10" ht="15.5" x14ac:dyDescent="0.35">
      <c r="A90" s="75" t="s">
        <v>104</v>
      </c>
      <c r="B90" s="79" t="str">
        <v>FUNDAMENTALS OF PETROLEUM LAW</v>
      </c>
      <c r="C90" s="79" t="str">
        <v>Amoah Enoch Kwabena</v>
      </c>
      <c r="D90" s="75" t="s">
        <v>46</v>
      </c>
      <c r="E90" s="77">
        <v>99</v>
      </c>
      <c r="F90" s="80" t="s">
        <v>571</v>
      </c>
      <c r="G90" s="78">
        <f t="shared" si="10"/>
        <v>108.9</v>
      </c>
      <c r="H90" s="19" t="s">
        <v>602</v>
      </c>
      <c r="I90" s="20" t="str">
        <f t="shared" si="11"/>
        <v>PE 466,ED4-PE</v>
      </c>
      <c r="J90" s="25"/>
    </row>
    <row r="91" spans="1:10" ht="15.5" x14ac:dyDescent="0.35">
      <c r="A91" s="75" t="s">
        <v>468</v>
      </c>
      <c r="B91" s="76" t="str">
        <v>INTRODUCTION TO CERAMICS</v>
      </c>
      <c r="C91" s="76" t="str">
        <v>Andrews Anthony</v>
      </c>
      <c r="D91" s="75" t="s">
        <v>210</v>
      </c>
      <c r="E91" s="77">
        <v>83</v>
      </c>
      <c r="F91" s="80" t="s">
        <v>603</v>
      </c>
      <c r="G91" s="78">
        <f t="shared" si="10"/>
        <v>91.300000000000011</v>
      </c>
      <c r="H91" s="17" t="s">
        <v>604</v>
      </c>
      <c r="I91" s="20" t="str">
        <f t="shared" si="11"/>
        <v>MSE 254,ED2-MSE</v>
      </c>
      <c r="J91" s="25"/>
    </row>
    <row r="92" spans="1:10" ht="15.5" x14ac:dyDescent="0.35">
      <c r="A92" s="75" t="s">
        <v>139</v>
      </c>
      <c r="B92" s="79" t="str">
        <v>MATERIALS CHARACTERIZATION LABORATORY</v>
      </c>
      <c r="C92" s="79" t="str">
        <v>Arthur Emmanuel Kwesi</v>
      </c>
      <c r="D92" s="75" t="s">
        <v>140</v>
      </c>
      <c r="E92" s="77">
        <v>85</v>
      </c>
      <c r="F92" s="80" t="s">
        <v>605</v>
      </c>
      <c r="G92" s="78">
        <f t="shared" si="10"/>
        <v>93.500000000000014</v>
      </c>
      <c r="H92" s="19" t="s">
        <v>606</v>
      </c>
      <c r="I92" s="20" t="str">
        <f t="shared" si="11"/>
        <v>MSE 364,ED3-MSE</v>
      </c>
      <c r="J92" s="25"/>
    </row>
    <row r="93" spans="1:10" ht="15.5" x14ac:dyDescent="0.35">
      <c r="A93" s="75" t="s">
        <v>141</v>
      </c>
      <c r="B93" s="79" t="str">
        <v>METALLURGICAL CHARACTERIZATION LABORATORY</v>
      </c>
      <c r="C93" s="79" t="str">
        <v>Arthur Emmanuel Kwesi</v>
      </c>
      <c r="D93" s="75" t="s">
        <v>142</v>
      </c>
      <c r="E93" s="77">
        <v>87</v>
      </c>
      <c r="F93" s="80" t="s">
        <v>607</v>
      </c>
      <c r="G93" s="78">
        <f t="shared" si="10"/>
        <v>95.7</v>
      </c>
      <c r="H93" s="19" t="s">
        <v>608</v>
      </c>
      <c r="I93" s="20" t="str">
        <f t="shared" si="11"/>
        <v>METE 358,ED3-METE</v>
      </c>
      <c r="J93" s="25"/>
    </row>
    <row r="94" spans="1:10" ht="15.5" x14ac:dyDescent="0.35">
      <c r="A94" s="75" t="s">
        <v>267</v>
      </c>
      <c r="B94" s="76" t="str">
        <v>POWER SYSTEMS PROTECTION</v>
      </c>
      <c r="C94" s="76" t="str">
        <v>Frimpong Emmanuel Asuming</v>
      </c>
      <c r="D94" s="75" t="s">
        <v>144</v>
      </c>
      <c r="E94" s="77">
        <v>205</v>
      </c>
      <c r="F94" s="80" t="s">
        <v>609</v>
      </c>
      <c r="G94" s="78">
        <f t="shared" si="10"/>
        <v>225.50000000000003</v>
      </c>
      <c r="H94" s="19" t="s">
        <v>610</v>
      </c>
      <c r="I94" s="20" t="str">
        <f t="shared" si="11"/>
        <v>EE 468,ED4-EE</v>
      </c>
      <c r="J94" s="25"/>
    </row>
    <row r="95" spans="1:10" ht="15.5" x14ac:dyDescent="0.35">
      <c r="A95" s="81"/>
      <c r="B95" s="81"/>
      <c r="C95" s="72"/>
      <c r="D95" s="76" t="s">
        <v>145</v>
      </c>
      <c r="E95" s="82">
        <f>SUM(E86:E94)</f>
        <v>1124</v>
      </c>
      <c r="F95" s="79"/>
      <c r="G95" s="84"/>
      <c r="I95" s="22" t="s">
        <v>146</v>
      </c>
      <c r="J95" s="25"/>
    </row>
    <row r="96" spans="1:10" ht="15.5" x14ac:dyDescent="0.35">
      <c r="A96" s="6" t="s">
        <v>147</v>
      </c>
      <c r="B96" s="6"/>
      <c r="C96" s="6"/>
      <c r="D96" s="6"/>
      <c r="E96" s="6"/>
      <c r="F96" s="6"/>
      <c r="G96" s="6"/>
      <c r="I96" s="22" t="str">
        <f>A96</f>
        <v>Wednesday, 19 August 2026</v>
      </c>
      <c r="J96" s="25"/>
    </row>
    <row r="97" spans="1:10" ht="15.5" x14ac:dyDescent="0.35">
      <c r="A97" s="6" t="s">
        <v>2</v>
      </c>
      <c r="B97" s="6"/>
      <c r="C97" s="6"/>
      <c r="D97" s="6"/>
      <c r="E97" s="6"/>
      <c r="F97" s="6"/>
      <c r="G97" s="6"/>
      <c r="I97" s="22" t="str">
        <f>A97</f>
        <v>Session, 1 (8:30 AM - 10:30 AM)</v>
      </c>
      <c r="J97" s="25"/>
    </row>
    <row r="98" spans="1:10" ht="15.5" x14ac:dyDescent="0.35">
      <c r="A98" s="71" t="s">
        <v>4</v>
      </c>
      <c r="B98" s="71" t="s">
        <v>5</v>
      </c>
      <c r="C98" s="72" t="s">
        <v>6</v>
      </c>
      <c r="D98" s="71" t="s">
        <v>7</v>
      </c>
      <c r="E98" s="73" t="s">
        <v>8</v>
      </c>
      <c r="F98" s="72" t="s">
        <v>9</v>
      </c>
      <c r="G98" s="74" t="s">
        <v>10</v>
      </c>
      <c r="I98" s="22" t="s">
        <v>31</v>
      </c>
      <c r="J98" s="25"/>
    </row>
    <row r="99" spans="1:10" ht="15.5" x14ac:dyDescent="0.35">
      <c r="A99" s="75" t="s">
        <v>150</v>
      </c>
      <c r="B99" s="76" t="str">
        <f t="array" ref="B99:B107">IFERROR(VLOOKUP(I99:I107,Lectures_1!A2:F534,2,FALSE()),0)</f>
        <v>PLANNING THE PHYSICAL ENVIRONMENT</v>
      </c>
      <c r="C99" s="79" t="str">
        <f t="array" ref="C99:C107">IFERROR(VLOOKUP(I99:I107,Lectures_1!A2:F534,3,FALSE()),0)</f>
        <v>Aboagye Prince Anokye</v>
      </c>
      <c r="D99" s="75" t="s">
        <v>77</v>
      </c>
      <c r="E99" s="77">
        <f t="array" ref="E99:E107">IFERROR(VLOOKUP(I99:I107,Lectures_1!A2:F534,4,FALSE()),0)</f>
        <v>122</v>
      </c>
      <c r="F99" s="80" t="s">
        <v>611</v>
      </c>
      <c r="G99" s="78">
        <f t="shared" ref="G99:G107" si="12">E99*1.1</f>
        <v>134.20000000000002</v>
      </c>
      <c r="H99" s="19" t="s">
        <v>563</v>
      </c>
      <c r="I99" s="20" t="str">
        <f t="shared" ref="I99:I107" si="13">CONCATENATE(A99,",",D99)</f>
        <v>PL 252,ED3-GEOM</v>
      </c>
      <c r="J99" s="25"/>
    </row>
    <row r="100" spans="1:10" ht="15.5" x14ac:dyDescent="0.35">
      <c r="A100" s="75" t="s">
        <v>151</v>
      </c>
      <c r="B100" s="76" t="str">
        <v>MECHANISMS SYNTHESIS AND ANALYSIS I</v>
      </c>
      <c r="C100" s="76" t="str">
        <v>Ampofo Joshua</v>
      </c>
      <c r="D100" s="75" t="s">
        <v>33</v>
      </c>
      <c r="E100" s="77">
        <v>240</v>
      </c>
      <c r="F100" s="80" t="s">
        <v>531</v>
      </c>
      <c r="G100" s="78">
        <f t="shared" si="12"/>
        <v>264</v>
      </c>
      <c r="H100" s="19" t="s">
        <v>612</v>
      </c>
      <c r="I100" s="20" t="str">
        <f t="shared" si="13"/>
        <v>ME 264,ED2-ME</v>
      </c>
      <c r="J100" s="25"/>
    </row>
    <row r="101" spans="1:10" ht="15.5" x14ac:dyDescent="0.35">
      <c r="A101" s="75" t="s">
        <v>151</v>
      </c>
      <c r="B101" s="76" t="str">
        <v>MECHANISMS SYNTHESIS AND ANALYSIS I</v>
      </c>
      <c r="C101" s="76" t="str">
        <v>Ampofo Joshua</v>
      </c>
      <c r="D101" s="75" t="s">
        <v>36</v>
      </c>
      <c r="E101" s="77">
        <v>75</v>
      </c>
      <c r="F101" s="80" t="s">
        <v>546</v>
      </c>
      <c r="G101" s="78">
        <f t="shared" si="12"/>
        <v>82.5</v>
      </c>
      <c r="H101" s="19">
        <v>75</v>
      </c>
      <c r="I101" s="20" t="str">
        <f t="shared" si="13"/>
        <v>ME 264,ED2-AERO</v>
      </c>
      <c r="J101" s="25"/>
    </row>
    <row r="102" spans="1:10" ht="15.5" x14ac:dyDescent="0.35">
      <c r="A102" s="75" t="s">
        <v>151</v>
      </c>
      <c r="B102" s="76" t="str">
        <v>MECHANISMS SYNTHESIS AND ANALYSIS I</v>
      </c>
      <c r="C102" s="76" t="str">
        <v>Ampofo Joshua</v>
      </c>
      <c r="D102" s="75" t="s">
        <v>38</v>
      </c>
      <c r="E102" s="77">
        <v>80</v>
      </c>
      <c r="F102" s="80" t="s">
        <v>577</v>
      </c>
      <c r="G102" s="78">
        <f t="shared" si="12"/>
        <v>88</v>
      </c>
      <c r="H102" s="19" t="s">
        <v>613</v>
      </c>
      <c r="I102" s="20" t="str">
        <f t="shared" si="13"/>
        <v>ME 264,ED2-IND</v>
      </c>
      <c r="J102" s="25"/>
    </row>
    <row r="103" spans="1:10" ht="15.5" x14ac:dyDescent="0.35">
      <c r="A103" s="75" t="s">
        <v>151</v>
      </c>
      <c r="B103" s="79" t="str">
        <v>MECHANISMS SYNTHESIS AND ANALYSIS I</v>
      </c>
      <c r="C103" s="76" t="str">
        <v>Ampofo Joshua</v>
      </c>
      <c r="D103" s="75" t="s">
        <v>40</v>
      </c>
      <c r="E103" s="77">
        <v>82</v>
      </c>
      <c r="F103" s="80" t="s">
        <v>614</v>
      </c>
      <c r="G103" s="78">
        <f t="shared" si="12"/>
        <v>90.2</v>
      </c>
      <c r="H103" s="19" t="s">
        <v>615</v>
      </c>
      <c r="I103" s="20" t="str">
        <f t="shared" si="13"/>
        <v>ME 264,ED2-AUTO</v>
      </c>
      <c r="J103" s="25"/>
    </row>
    <row r="104" spans="1:10" ht="15.5" x14ac:dyDescent="0.35">
      <c r="A104" s="75" t="s">
        <v>152</v>
      </c>
      <c r="B104" s="76" t="str">
        <v>MARINE MECHANISMS, SYSTHESIS AND ANALYSIS</v>
      </c>
      <c r="C104" s="79" t="str">
        <v>Ampofo Joshua</v>
      </c>
      <c r="D104" s="75" t="s">
        <v>42</v>
      </c>
      <c r="E104" s="77">
        <v>37</v>
      </c>
      <c r="F104" s="80" t="s">
        <v>616</v>
      </c>
      <c r="G104" s="78">
        <f t="shared" si="12"/>
        <v>40.700000000000003</v>
      </c>
      <c r="H104" s="19">
        <v>37</v>
      </c>
      <c r="I104" s="20" t="str">
        <f t="shared" si="13"/>
        <v>MME 264,ED2-MARI</v>
      </c>
      <c r="J104" s="25"/>
    </row>
    <row r="105" spans="1:10" ht="15.5" x14ac:dyDescent="0.35">
      <c r="A105" s="75" t="s">
        <v>153</v>
      </c>
      <c r="B105" s="79" t="str">
        <v>PRINCIPLES OF GEOLCHEMISTRY</v>
      </c>
      <c r="C105" s="79" t="str">
        <v>Gawu Simon Kafui Yawo</v>
      </c>
      <c r="D105" s="75" t="s">
        <v>154</v>
      </c>
      <c r="E105" s="77">
        <v>154</v>
      </c>
      <c r="F105" s="80" t="s">
        <v>601</v>
      </c>
      <c r="G105" s="78">
        <f t="shared" si="12"/>
        <v>169.4</v>
      </c>
      <c r="H105" s="19" t="s">
        <v>543</v>
      </c>
      <c r="I105" s="20" t="str">
        <f t="shared" si="13"/>
        <v>GED 352,ED3-GEOL</v>
      </c>
      <c r="J105" s="25"/>
    </row>
    <row r="106" spans="1:10" ht="15.5" x14ac:dyDescent="0.35">
      <c r="A106" s="75" t="s">
        <v>155</v>
      </c>
      <c r="B106" s="79" t="str">
        <v>TRANSPORTATION ENGINEERING</v>
      </c>
      <c r="C106" s="79" t="str">
        <v>Tuffour Yaw Adubofour</v>
      </c>
      <c r="D106" s="75" t="s">
        <v>103</v>
      </c>
      <c r="E106" s="77">
        <v>150</v>
      </c>
      <c r="F106" s="80" t="s">
        <v>617</v>
      </c>
      <c r="G106" s="78">
        <f t="shared" si="12"/>
        <v>165</v>
      </c>
      <c r="H106" s="19" t="s">
        <v>618</v>
      </c>
      <c r="I106" s="20" t="str">
        <f t="shared" si="13"/>
        <v>CE 468,ED4-CE</v>
      </c>
      <c r="J106" s="25"/>
    </row>
    <row r="107" spans="1:10" ht="14.25" customHeight="1" x14ac:dyDescent="0.35">
      <c r="A107" s="75" t="s">
        <v>156</v>
      </c>
      <c r="B107" s="76" t="str">
        <v>ENVIRONMENTAL QUALITY ENGINEERING</v>
      </c>
      <c r="C107" s="76" t="str">
        <v>Appiah-Effah Eugene</v>
      </c>
      <c r="D107" s="75" t="s">
        <v>157</v>
      </c>
      <c r="E107" s="77">
        <v>230</v>
      </c>
      <c r="F107" s="80" t="s">
        <v>619</v>
      </c>
      <c r="G107" s="78">
        <f t="shared" si="12"/>
        <v>253.00000000000003</v>
      </c>
      <c r="H107" s="19" t="s">
        <v>620</v>
      </c>
      <c r="I107" s="20" t="str">
        <f t="shared" si="13"/>
        <v>CE 364,ED3-CE</v>
      </c>
      <c r="J107" s="25"/>
    </row>
    <row r="108" spans="1:10" ht="15.5" x14ac:dyDescent="0.35">
      <c r="A108" s="81"/>
      <c r="B108" s="81"/>
      <c r="C108" s="72"/>
      <c r="D108" s="76" t="s">
        <v>158</v>
      </c>
      <c r="E108" s="90">
        <f>SUM(E99:E107)</f>
        <v>1170</v>
      </c>
      <c r="F108" s="83"/>
      <c r="G108" s="84"/>
      <c r="I108" s="22" t="s">
        <v>159</v>
      </c>
      <c r="J108" s="25"/>
    </row>
    <row r="109" spans="1:10" ht="15.5" x14ac:dyDescent="0.35">
      <c r="A109" s="6" t="s">
        <v>147</v>
      </c>
      <c r="B109" s="6"/>
      <c r="C109" s="6"/>
      <c r="D109" s="6"/>
      <c r="E109" s="6"/>
      <c r="F109" s="6"/>
      <c r="G109" s="6"/>
      <c r="I109" s="22" t="str">
        <f>A109</f>
        <v>Wednesday, 19 August 2026</v>
      </c>
      <c r="J109" s="25"/>
    </row>
    <row r="110" spans="1:10" ht="15.5" x14ac:dyDescent="0.35">
      <c r="A110" s="6" t="s">
        <v>29</v>
      </c>
      <c r="B110" s="6"/>
      <c r="C110" s="6"/>
      <c r="D110" s="6"/>
      <c r="E110" s="6"/>
      <c r="F110" s="6"/>
      <c r="G110" s="6"/>
      <c r="I110" s="22" t="str">
        <f>A110</f>
        <v>Session, 2 (12:00 PM - 2:00 PM)</v>
      </c>
      <c r="J110" s="25"/>
    </row>
    <row r="111" spans="1:10" ht="15.5" x14ac:dyDescent="0.35">
      <c r="A111" s="71" t="s">
        <v>4</v>
      </c>
      <c r="B111" s="71" t="s">
        <v>5</v>
      </c>
      <c r="C111" s="72" t="s">
        <v>6</v>
      </c>
      <c r="D111" s="71" t="s">
        <v>7</v>
      </c>
      <c r="E111" s="73" t="s">
        <v>8</v>
      </c>
      <c r="F111" s="72" t="s">
        <v>9</v>
      </c>
      <c r="G111" s="74" t="s">
        <v>10</v>
      </c>
      <c r="I111" s="22" t="s">
        <v>31</v>
      </c>
      <c r="J111" s="25"/>
    </row>
    <row r="112" spans="1:10" ht="15.5" x14ac:dyDescent="0.35">
      <c r="A112" s="75" t="s">
        <v>160</v>
      </c>
      <c r="B112" s="79" t="str">
        <f t="array" ref="B112:B122">IFERROR(VLOOKUP(I112:I122,Lectures_1!A2:F534,2,FALSE()),0)</f>
        <v>ENGINEERING DRAWING</v>
      </c>
      <c r="C112" s="79" t="str">
        <f t="array" ref="C112:C122">IFERROR(VLOOKUP(I112:I122,Lectures_1!A2:F534,3,FALSE()),0)</f>
        <v>Aveyire Joseph</v>
      </c>
      <c r="D112" s="75" t="s">
        <v>131</v>
      </c>
      <c r="E112" s="77">
        <f t="array" ref="E112:E122">IFERROR(VLOOKUP(I112:I122,Lectures_1!A2:F534,4,FALSE()),0)</f>
        <v>128</v>
      </c>
      <c r="F112" s="80" t="s">
        <v>552</v>
      </c>
      <c r="G112" s="78">
        <f t="shared" ref="G112:G122" si="14">E112*1.1</f>
        <v>140.80000000000001</v>
      </c>
      <c r="H112" s="19" t="s">
        <v>621</v>
      </c>
      <c r="I112" s="20" t="str">
        <f t="shared" ref="I112:I122" si="15">CONCATENATE(A112,",",D112)</f>
        <v>ME 160,ED1-AE</v>
      </c>
      <c r="J112" s="25"/>
    </row>
    <row r="113" spans="1:10" ht="15.5" x14ac:dyDescent="0.35">
      <c r="A113" s="75" t="s">
        <v>160</v>
      </c>
      <c r="B113" s="79" t="str">
        <v>ENGINEERING DRAWING</v>
      </c>
      <c r="C113" s="79" t="str">
        <v>Sekyere Charles Kofi Kafui</v>
      </c>
      <c r="D113" s="75" t="s">
        <v>112</v>
      </c>
      <c r="E113" s="77">
        <v>46</v>
      </c>
      <c r="F113" s="80" t="s">
        <v>622</v>
      </c>
      <c r="G113" s="78">
        <f t="shared" si="14"/>
        <v>50.6</v>
      </c>
      <c r="H113" s="19" t="s">
        <v>623</v>
      </c>
      <c r="I113" s="20" t="str">
        <f t="shared" si="15"/>
        <v>ME 160,ED1-MARI</v>
      </c>
      <c r="J113" s="25"/>
    </row>
    <row r="114" spans="1:10" ht="15.5" x14ac:dyDescent="0.35">
      <c r="A114" s="75" t="s">
        <v>160</v>
      </c>
      <c r="B114" s="79" t="str">
        <v>ENGINEERING DRAWING</v>
      </c>
      <c r="C114" s="79" t="str">
        <v>Aveyire Joseph</v>
      </c>
      <c r="D114" s="75" t="s">
        <v>114</v>
      </c>
      <c r="E114" s="77">
        <v>75</v>
      </c>
      <c r="F114" s="80" t="s">
        <v>624</v>
      </c>
      <c r="G114" s="78">
        <f t="shared" si="14"/>
        <v>82.5</v>
      </c>
      <c r="H114" s="19" t="s">
        <v>590</v>
      </c>
      <c r="I114" s="20" t="str">
        <f t="shared" si="15"/>
        <v>ME 160,ED1-METE</v>
      </c>
      <c r="J114" s="25"/>
    </row>
    <row r="115" spans="1:10" ht="15.5" x14ac:dyDescent="0.35">
      <c r="A115" s="75" t="s">
        <v>160</v>
      </c>
      <c r="B115" s="79" t="str">
        <v>ENGINEERING DRAWING</v>
      </c>
      <c r="C115" s="79" t="str">
        <v>Peter Oppong Tawiah</v>
      </c>
      <c r="D115" s="75" t="s">
        <v>115</v>
      </c>
      <c r="E115" s="77">
        <v>100</v>
      </c>
      <c r="F115" s="80" t="s">
        <v>582</v>
      </c>
      <c r="G115" s="78">
        <f t="shared" si="14"/>
        <v>110.00000000000001</v>
      </c>
      <c r="H115" s="19" t="s">
        <v>583</v>
      </c>
      <c r="I115" s="20" t="str">
        <f t="shared" si="15"/>
        <v>ME 160,ED1-MSE</v>
      </c>
      <c r="J115" s="25"/>
    </row>
    <row r="116" spans="1:10" ht="15.5" x14ac:dyDescent="0.35">
      <c r="A116" s="75" t="s">
        <v>160</v>
      </c>
      <c r="B116" s="79" t="str">
        <v>ENGINEERING DRAWING</v>
      </c>
      <c r="C116" s="79" t="str">
        <v>A. K. Sunnu</v>
      </c>
      <c r="D116" s="75" t="s">
        <v>161</v>
      </c>
      <c r="E116" s="77">
        <v>225</v>
      </c>
      <c r="F116" s="80" t="s">
        <v>619</v>
      </c>
      <c r="G116" s="78">
        <f t="shared" si="14"/>
        <v>247.50000000000003</v>
      </c>
      <c r="H116" s="19" t="s">
        <v>625</v>
      </c>
      <c r="I116" s="20" t="str">
        <f t="shared" si="15"/>
        <v>ME 160,ED1-ME</v>
      </c>
      <c r="J116" s="25"/>
    </row>
    <row r="117" spans="1:10" ht="15.5" x14ac:dyDescent="0.35">
      <c r="A117" s="75" t="s">
        <v>160</v>
      </c>
      <c r="B117" s="79" t="str">
        <v>ENGINEERING DRAWING</v>
      </c>
      <c r="C117" s="79" t="str">
        <v>Sekyere Charles Kofi Kafui</v>
      </c>
      <c r="D117" s="75" t="s">
        <v>162</v>
      </c>
      <c r="E117" s="77">
        <v>85</v>
      </c>
      <c r="F117" s="80" t="s">
        <v>626</v>
      </c>
      <c r="G117" s="78">
        <f t="shared" si="14"/>
        <v>93.500000000000014</v>
      </c>
      <c r="H117" s="19" t="s">
        <v>627</v>
      </c>
      <c r="I117" s="20" t="str">
        <f t="shared" si="15"/>
        <v>ME 160,ED1-AUTO</v>
      </c>
      <c r="J117" s="25"/>
    </row>
    <row r="118" spans="1:10" ht="15.5" x14ac:dyDescent="0.35">
      <c r="A118" s="75" t="s">
        <v>160</v>
      </c>
      <c r="B118" s="79" t="str">
        <v>ENGINEERING DRAWING</v>
      </c>
      <c r="C118" s="79" t="str">
        <v>Sekyere Charles Kofi Kafui</v>
      </c>
      <c r="D118" s="75" t="s">
        <v>111</v>
      </c>
      <c r="E118" s="77">
        <v>83</v>
      </c>
      <c r="F118" s="80" t="s">
        <v>628</v>
      </c>
      <c r="G118" s="78">
        <f t="shared" si="14"/>
        <v>91.300000000000011</v>
      </c>
      <c r="H118" s="19" t="s">
        <v>629</v>
      </c>
      <c r="I118" s="20" t="str">
        <f t="shared" si="15"/>
        <v>ME 160,ED1-IND</v>
      </c>
      <c r="J118" s="25"/>
    </row>
    <row r="119" spans="1:10" ht="15.5" x14ac:dyDescent="0.35">
      <c r="A119" s="75" t="s">
        <v>163</v>
      </c>
      <c r="B119" s="79" t="str">
        <v>PETROLEUM ENGINEERING LAB II</v>
      </c>
      <c r="C119" s="76" t="str">
        <v>Erzuah Samuel</v>
      </c>
      <c r="D119" s="75" t="s">
        <v>18</v>
      </c>
      <c r="E119" s="77">
        <v>80</v>
      </c>
      <c r="F119" s="80" t="s">
        <v>630</v>
      </c>
      <c r="G119" s="78">
        <f t="shared" si="14"/>
        <v>88</v>
      </c>
      <c r="H119" s="19" t="s">
        <v>631</v>
      </c>
      <c r="I119" s="20" t="str">
        <f t="shared" si="15"/>
        <v>PE 356,ED3-PE</v>
      </c>
      <c r="J119" s="25"/>
    </row>
    <row r="120" spans="1:10" ht="15.5" x14ac:dyDescent="0.35">
      <c r="A120" s="75" t="s">
        <v>164</v>
      </c>
      <c r="B120" s="76" t="str">
        <v>MARINE CONTROL ENGINEERING AND AUTOMATION</v>
      </c>
      <c r="C120" s="76" t="str">
        <v>Adjei Eunice Akyereko</v>
      </c>
      <c r="D120" s="75" t="s">
        <v>69</v>
      </c>
      <c r="E120" s="77">
        <v>23</v>
      </c>
      <c r="F120" s="80" t="s">
        <v>632</v>
      </c>
      <c r="G120" s="78">
        <f t="shared" si="14"/>
        <v>25.3</v>
      </c>
      <c r="H120" s="19">
        <v>23</v>
      </c>
      <c r="I120" s="20" t="str">
        <f t="shared" si="15"/>
        <v>MME 462,ED4-MARI</v>
      </c>
      <c r="J120" s="25"/>
    </row>
    <row r="121" spans="1:10" ht="15.5" x14ac:dyDescent="0.35">
      <c r="A121" s="75" t="s">
        <v>165</v>
      </c>
      <c r="B121" s="76" t="str">
        <v>AUTOMOTIVE SPARK-IGNITION ENGINES</v>
      </c>
      <c r="C121" s="76" t="str">
        <v>Abu Frimpong Solomon</v>
      </c>
      <c r="D121" s="75" t="s">
        <v>23</v>
      </c>
      <c r="E121" s="77">
        <v>40</v>
      </c>
      <c r="F121" s="80" t="s">
        <v>633</v>
      </c>
      <c r="G121" s="78">
        <f t="shared" si="14"/>
        <v>44</v>
      </c>
      <c r="H121" s="19">
        <v>40</v>
      </c>
      <c r="I121" s="20" t="str">
        <f t="shared" si="15"/>
        <v>AME 368,ED3-AUTO</v>
      </c>
      <c r="J121" s="25"/>
    </row>
    <row r="122" spans="1:10" ht="15.5" x14ac:dyDescent="0.35">
      <c r="A122" s="75" t="s">
        <v>166</v>
      </c>
      <c r="B122" s="79" t="str">
        <v>ELECTROMAGNETIC FIELDS</v>
      </c>
      <c r="C122" s="76" t="str">
        <v>Yeboah-Akowuah Bright</v>
      </c>
      <c r="D122" s="75" t="s">
        <v>108</v>
      </c>
      <c r="E122" s="77">
        <v>255</v>
      </c>
      <c r="F122" s="80" t="s">
        <v>531</v>
      </c>
      <c r="G122" s="78">
        <f t="shared" si="14"/>
        <v>280.5</v>
      </c>
      <c r="H122" s="19" t="s">
        <v>634</v>
      </c>
      <c r="I122" s="20" t="str">
        <f t="shared" si="15"/>
        <v>TE 262,ED2-COE</v>
      </c>
      <c r="J122" s="25"/>
    </row>
    <row r="123" spans="1:10" ht="15.5" x14ac:dyDescent="0.35">
      <c r="A123" s="81"/>
      <c r="B123" s="81"/>
      <c r="C123" s="72"/>
      <c r="D123" s="76" t="s">
        <v>167</v>
      </c>
      <c r="E123" s="82">
        <f>SUM(E112:E122)</f>
        <v>1140</v>
      </c>
      <c r="F123" s="83"/>
      <c r="G123" s="84"/>
      <c r="I123" s="22" t="s">
        <v>168</v>
      </c>
      <c r="J123" s="25"/>
    </row>
    <row r="124" spans="1:10" ht="15.5" x14ac:dyDescent="0.35">
      <c r="A124" s="6" t="s">
        <v>147</v>
      </c>
      <c r="B124" s="6"/>
      <c r="C124" s="6"/>
      <c r="D124" s="6"/>
      <c r="E124" s="6"/>
      <c r="F124" s="6"/>
      <c r="G124" s="6"/>
      <c r="I124" s="22" t="str">
        <f>A124</f>
        <v>Wednesday, 19 August 2026</v>
      </c>
      <c r="J124" s="25"/>
    </row>
    <row r="125" spans="1:10" ht="15.5" x14ac:dyDescent="0.35">
      <c r="A125" s="6" t="s">
        <v>59</v>
      </c>
      <c r="B125" s="6"/>
      <c r="C125" s="6"/>
      <c r="D125" s="6"/>
      <c r="E125" s="6"/>
      <c r="F125" s="6"/>
      <c r="G125" s="6"/>
      <c r="I125" s="22" t="str">
        <f>A125</f>
        <v>Session, 3 (3:00 PM - 5:00 PM)</v>
      </c>
      <c r="J125" s="25"/>
    </row>
    <row r="126" spans="1:10" ht="15.5" x14ac:dyDescent="0.35">
      <c r="A126" s="71" t="s">
        <v>4</v>
      </c>
      <c r="B126" s="71" t="s">
        <v>5</v>
      </c>
      <c r="C126" s="72" t="s">
        <v>6</v>
      </c>
      <c r="D126" s="71" t="s">
        <v>7</v>
      </c>
      <c r="E126" s="73" t="s">
        <v>8</v>
      </c>
      <c r="F126" s="72" t="s">
        <v>9</v>
      </c>
      <c r="G126" s="74" t="s">
        <v>10</v>
      </c>
      <c r="I126" s="22" t="s">
        <v>31</v>
      </c>
      <c r="J126" s="25"/>
    </row>
    <row r="127" spans="1:10" ht="15.5" x14ac:dyDescent="0.35">
      <c r="A127" s="75" t="s">
        <v>169</v>
      </c>
      <c r="B127" s="76" t="str">
        <f t="array" ref="B127:B134">IFERROR(VLOOKUP(I127:I134,Lectures_1!A2:F534,2,FALSE()),0)</f>
        <v>PRINCIPLES OF REMOTE SENSING</v>
      </c>
      <c r="C127" s="76" t="str">
        <f t="array" ref="C127:C134">IFERROR(VLOOKUP(I127:I134,Lectures_1!A2:F534,3,FALSE()),0)</f>
        <v>Yaw Mensah Asare</v>
      </c>
      <c r="D127" s="75" t="s">
        <v>170</v>
      </c>
      <c r="E127" s="77">
        <f t="array" ref="E127:E134">IFERROR(VLOOKUP(I127:I134,Lectures_1!A2:F534,4,FALSE()),0)</f>
        <v>132</v>
      </c>
      <c r="F127" s="80" t="s">
        <v>552</v>
      </c>
      <c r="G127" s="78">
        <f t="shared" ref="G127:G134" si="16">E127*1.1</f>
        <v>145.20000000000002</v>
      </c>
      <c r="H127" s="19" t="s">
        <v>635</v>
      </c>
      <c r="I127" s="20" t="str">
        <f t="shared" ref="I127:I134" si="17">CONCATENATE(A127,",",D127)</f>
        <v>GE 262,ED2-GEOM</v>
      </c>
      <c r="J127" s="25"/>
    </row>
    <row r="128" spans="1:10" ht="15.5" x14ac:dyDescent="0.35">
      <c r="A128" s="75" t="s">
        <v>171</v>
      </c>
      <c r="B128" s="79" t="str">
        <v>COMMUNICATION CIRCUITS</v>
      </c>
      <c r="C128" s="79" t="str">
        <v>Abdul-Rahman Ahmed</v>
      </c>
      <c r="D128" s="75" t="s">
        <v>172</v>
      </c>
      <c r="E128" s="77">
        <v>175</v>
      </c>
      <c r="F128" s="80" t="s">
        <v>617</v>
      </c>
      <c r="G128" s="78">
        <f t="shared" si="16"/>
        <v>192.50000000000003</v>
      </c>
      <c r="H128" s="40" t="s">
        <v>636</v>
      </c>
      <c r="I128" s="20" t="str">
        <f t="shared" si="17"/>
        <v>TE 256,ED2-TEL</v>
      </c>
      <c r="J128" s="25"/>
    </row>
    <row r="129" spans="1:10" ht="15.5" x14ac:dyDescent="0.35">
      <c r="A129" s="75" t="s">
        <v>175</v>
      </c>
      <c r="B129" s="76" t="str">
        <v>INTRODUCTION TO INFORMATION TECHNOLOGY</v>
      </c>
      <c r="C129" s="76" t="str">
        <v>Addo Daniel Akwei</v>
      </c>
      <c r="D129" s="75" t="s">
        <v>20</v>
      </c>
      <c r="E129" s="77">
        <v>262</v>
      </c>
      <c r="F129" s="80" t="s">
        <v>531</v>
      </c>
      <c r="G129" s="78">
        <f t="shared" si="16"/>
        <v>288.20000000000005</v>
      </c>
      <c r="H129" s="19" t="s">
        <v>637</v>
      </c>
      <c r="I129" s="20" t="str">
        <f t="shared" si="17"/>
        <v>COE 158,ED1-COE</v>
      </c>
      <c r="J129" s="25"/>
    </row>
    <row r="130" spans="1:10" ht="15.5" x14ac:dyDescent="0.35">
      <c r="A130" s="75" t="s">
        <v>173</v>
      </c>
      <c r="B130" s="76" t="str">
        <v>PRACTICAL CHEMISTRY II</v>
      </c>
      <c r="C130" s="79" t="str">
        <v>Opoku Francis</v>
      </c>
      <c r="D130" s="75" t="s">
        <v>14</v>
      </c>
      <c r="E130" s="77">
        <v>65</v>
      </c>
      <c r="F130" s="80" t="s">
        <v>535</v>
      </c>
      <c r="G130" s="78">
        <f t="shared" si="16"/>
        <v>71.5</v>
      </c>
      <c r="H130" s="19" t="s">
        <v>638</v>
      </c>
      <c r="I130" s="20" t="str">
        <f t="shared" si="17"/>
        <v>CHEM 280,ED2-PCE</v>
      </c>
      <c r="J130" s="25"/>
    </row>
    <row r="131" spans="1:10" ht="15.5" x14ac:dyDescent="0.35">
      <c r="A131" s="75" t="s">
        <v>173</v>
      </c>
      <c r="B131" s="76" t="str">
        <v>PRACTICAL CHEMISTRY II</v>
      </c>
      <c r="C131" s="79" t="str">
        <v>Opoku Francis</v>
      </c>
      <c r="D131" s="75" t="s">
        <v>13</v>
      </c>
      <c r="E131" s="77">
        <v>160</v>
      </c>
      <c r="F131" s="80" t="s">
        <v>639</v>
      </c>
      <c r="G131" s="78">
        <f t="shared" si="16"/>
        <v>176</v>
      </c>
      <c r="H131" s="19" t="s">
        <v>640</v>
      </c>
      <c r="I131" s="20" t="str">
        <f t="shared" si="17"/>
        <v>CHEM 280,ED2-CHE</v>
      </c>
      <c r="J131" s="25"/>
    </row>
    <row r="132" spans="1:10" ht="15.5" x14ac:dyDescent="0.35">
      <c r="A132" s="75" t="s">
        <v>457</v>
      </c>
      <c r="B132" s="79" t="str">
        <v>FAULT DIAGNOSIS AND FAILURE TOLERANCE</v>
      </c>
      <c r="C132" s="79" t="str">
        <v>Agbemenu Andrew Selasi</v>
      </c>
      <c r="D132" s="75" t="s">
        <v>251</v>
      </c>
      <c r="E132" s="77">
        <v>70</v>
      </c>
      <c r="F132" s="80" t="s">
        <v>641</v>
      </c>
      <c r="G132" s="78">
        <f t="shared" si="16"/>
        <v>77</v>
      </c>
      <c r="H132" s="17" t="s">
        <v>642</v>
      </c>
      <c r="I132" s="20" t="str">
        <f t="shared" si="17"/>
        <v>COE 480,ED4-COE</v>
      </c>
      <c r="J132" s="25"/>
    </row>
    <row r="133" spans="1:10" ht="15.5" x14ac:dyDescent="0.35">
      <c r="A133" s="75" t="s">
        <v>174</v>
      </c>
      <c r="B133" s="76" t="str">
        <v>FLUID DYNAMICS  II</v>
      </c>
      <c r="C133" s="79" t="str">
        <v>A. K. Sunnu</v>
      </c>
      <c r="D133" s="80" t="s">
        <v>61</v>
      </c>
      <c r="E133" s="77">
        <v>222</v>
      </c>
      <c r="F133" s="80" t="s">
        <v>619</v>
      </c>
      <c r="G133" s="78">
        <f t="shared" si="16"/>
        <v>244.20000000000002</v>
      </c>
      <c r="H133" s="19" t="s">
        <v>643</v>
      </c>
      <c r="I133" s="20" t="str">
        <f t="shared" si="17"/>
        <v>ME 352,ED3-ME</v>
      </c>
      <c r="J133" s="25"/>
    </row>
    <row r="134" spans="1:10" ht="15.5" x14ac:dyDescent="0.35">
      <c r="A134" s="75" t="s">
        <v>174</v>
      </c>
      <c r="B134" s="76" t="str">
        <v>FLUID DYNAMICS II</v>
      </c>
      <c r="C134" s="79" t="str">
        <v>Tay Godwin Fabiola Kwaku</v>
      </c>
      <c r="D134" s="75" t="s">
        <v>86</v>
      </c>
      <c r="E134" s="77">
        <v>40</v>
      </c>
      <c r="F134" s="80" t="s">
        <v>633</v>
      </c>
      <c r="G134" s="78">
        <f t="shared" si="16"/>
        <v>44</v>
      </c>
      <c r="H134" s="19">
        <v>40</v>
      </c>
      <c r="I134" s="20" t="str">
        <f t="shared" si="17"/>
        <v>ME 352,ED3-MARI</v>
      </c>
      <c r="J134" s="25"/>
    </row>
    <row r="135" spans="1:10" ht="15.5" x14ac:dyDescent="0.35">
      <c r="A135" s="81"/>
      <c r="B135" s="81"/>
      <c r="C135" s="72"/>
      <c r="D135" s="76" t="s">
        <v>178</v>
      </c>
      <c r="E135" s="82">
        <f>SUM(E127:E134)</f>
        <v>1126</v>
      </c>
      <c r="F135" s="83"/>
      <c r="G135" s="84"/>
      <c r="I135" s="22" t="s">
        <v>179</v>
      </c>
      <c r="J135" s="25"/>
    </row>
    <row r="136" spans="1:10" ht="15.5" x14ac:dyDescent="0.35">
      <c r="A136" s="6" t="s">
        <v>180</v>
      </c>
      <c r="B136" s="6"/>
      <c r="C136" s="6"/>
      <c r="D136" s="6"/>
      <c r="E136" s="6"/>
      <c r="F136" s="6"/>
      <c r="G136" s="6"/>
      <c r="I136" s="22" t="str">
        <f>A136</f>
        <v>Thursday, 20 August 2026</v>
      </c>
      <c r="J136" s="25"/>
    </row>
    <row r="137" spans="1:10" ht="15.5" x14ac:dyDescent="0.35">
      <c r="A137" s="6" t="s">
        <v>2</v>
      </c>
      <c r="B137" s="6"/>
      <c r="C137" s="6"/>
      <c r="D137" s="6"/>
      <c r="E137" s="6"/>
      <c r="F137" s="6"/>
      <c r="G137" s="6"/>
      <c r="I137" s="22" t="str">
        <f>A137</f>
        <v>Session, 1 (8:30 AM - 10:30 AM)</v>
      </c>
      <c r="J137" s="25"/>
    </row>
    <row r="138" spans="1:10" ht="15.5" x14ac:dyDescent="0.35">
      <c r="A138" s="71" t="s">
        <v>4</v>
      </c>
      <c r="B138" s="71" t="s">
        <v>5</v>
      </c>
      <c r="C138" s="72" t="s">
        <v>6</v>
      </c>
      <c r="D138" s="71" t="s">
        <v>7</v>
      </c>
      <c r="E138" s="73" t="s">
        <v>8</v>
      </c>
      <c r="F138" s="72" t="s">
        <v>9</v>
      </c>
      <c r="G138" s="74" t="s">
        <v>10</v>
      </c>
      <c r="I138" s="22" t="s">
        <v>31</v>
      </c>
      <c r="J138" s="25"/>
    </row>
    <row r="139" spans="1:10" ht="15" customHeight="1" x14ac:dyDescent="0.35">
      <c r="A139" s="75" t="s">
        <v>182</v>
      </c>
      <c r="B139" s="71" t="str">
        <f t="array" ref="B139:B151">IFERROR(VLOOKUP(I139:I151,Lectures_1!A2:F534,2,FALSE()),0)</f>
        <v>CIVIL ENGINEERING DRAWING</v>
      </c>
      <c r="C139" s="76" t="str">
        <f t="array" ref="C139:C151">IFERROR(VLOOKUP(I139:I151,Lectures_1!A2:F534,3,FALSE()),0)</f>
        <v>Osei Jack Banahene</v>
      </c>
      <c r="D139" s="75" t="s">
        <v>126</v>
      </c>
      <c r="E139" s="77">
        <f t="array" ref="E139:E151">IFERROR(VLOOKUP(I139:I151,Lectures_1!A2:F534,4,FALSE()),0)</f>
        <v>125</v>
      </c>
      <c r="F139" s="4" t="s">
        <v>34</v>
      </c>
      <c r="G139" s="78">
        <f t="shared" ref="G139:G151" si="18">E139*1.1</f>
        <v>137.5</v>
      </c>
      <c r="I139" s="20" t="str">
        <f t="shared" ref="I139:I151" si="19">CONCATENATE(A139,",",D139)</f>
        <v>CE 164,ED1-GEOL</v>
      </c>
      <c r="J139" s="25"/>
    </row>
    <row r="140" spans="1:10" ht="15.5" x14ac:dyDescent="0.35">
      <c r="A140" s="75" t="s">
        <v>183</v>
      </c>
      <c r="B140" s="76" t="str">
        <v>INTRODUCTION TO FINITE ELEMENT</v>
      </c>
      <c r="C140" s="79" t="str">
        <v>Andoh Prince Yaw</v>
      </c>
      <c r="D140" s="75" t="s">
        <v>97</v>
      </c>
      <c r="E140" s="77">
        <v>32</v>
      </c>
      <c r="F140" s="4"/>
      <c r="G140" s="78">
        <f t="shared" si="18"/>
        <v>35.200000000000003</v>
      </c>
      <c r="I140" s="20" t="str">
        <f t="shared" si="19"/>
        <v>ME 456,ED4-AUTO</v>
      </c>
      <c r="J140" s="25"/>
    </row>
    <row r="141" spans="1:10" ht="15.5" x14ac:dyDescent="0.35">
      <c r="A141" s="75" t="s">
        <v>60</v>
      </c>
      <c r="B141" s="79" t="str">
        <v>MACHINE DESIGN II</v>
      </c>
      <c r="C141" s="76" t="str">
        <v>Afriyie Nyarko Frank Kwabena</v>
      </c>
      <c r="D141" s="75" t="s">
        <v>88</v>
      </c>
      <c r="E141" s="77">
        <v>101</v>
      </c>
      <c r="F141" s="80" t="s">
        <v>571</v>
      </c>
      <c r="G141" s="78">
        <f t="shared" si="18"/>
        <v>111.10000000000001</v>
      </c>
      <c r="H141" s="19" t="s">
        <v>644</v>
      </c>
      <c r="I141" s="20" t="str">
        <f t="shared" si="19"/>
        <v>ME 374,ED3-AE</v>
      </c>
      <c r="J141" s="25"/>
    </row>
    <row r="142" spans="1:10" ht="15.5" x14ac:dyDescent="0.35">
      <c r="A142" s="75" t="s">
        <v>184</v>
      </c>
      <c r="B142" s="79" t="str">
        <v>CIRCUIT THEORY</v>
      </c>
      <c r="C142" s="76" t="str">
        <v>Twumasi Elvis</v>
      </c>
      <c r="D142" s="75" t="s">
        <v>51</v>
      </c>
      <c r="E142" s="77">
        <v>295</v>
      </c>
      <c r="F142" s="80" t="s">
        <v>645</v>
      </c>
      <c r="G142" s="78">
        <f t="shared" si="18"/>
        <v>324.5</v>
      </c>
      <c r="H142" s="19" t="s">
        <v>646</v>
      </c>
      <c r="I142" s="20" t="str">
        <f t="shared" si="19"/>
        <v>EE 166,ED1-EE</v>
      </c>
      <c r="J142" s="25"/>
    </row>
    <row r="143" spans="1:10" ht="15.5" x14ac:dyDescent="0.35">
      <c r="A143" s="75" t="s">
        <v>185</v>
      </c>
      <c r="B143" s="76" t="str">
        <v>INTRODUCTION TO INFORMATION TECHNOLOGY</v>
      </c>
      <c r="C143" s="76" t="str">
        <v>Baidoo Martina Francisca</v>
      </c>
      <c r="D143" s="75" t="s">
        <v>81</v>
      </c>
      <c r="E143" s="77">
        <v>56</v>
      </c>
      <c r="F143" s="76" t="s">
        <v>545</v>
      </c>
      <c r="G143" s="78">
        <f t="shared" si="18"/>
        <v>61.600000000000009</v>
      </c>
      <c r="H143" s="19">
        <v>56</v>
      </c>
      <c r="I143" s="20" t="str">
        <f t="shared" si="19"/>
        <v>PCE 158,ED1-PCE</v>
      </c>
      <c r="J143" s="25"/>
    </row>
    <row r="144" spans="1:10" ht="15.5" x14ac:dyDescent="0.35">
      <c r="A144" s="75" t="s">
        <v>186</v>
      </c>
      <c r="B144" s="76" t="str">
        <v>INTRODUCTION TO INFORMATION TECHNOLOGY</v>
      </c>
      <c r="C144" s="76" t="str">
        <v>Baidoo Martina Francisca</v>
      </c>
      <c r="D144" s="75" t="s">
        <v>80</v>
      </c>
      <c r="E144" s="77">
        <v>120</v>
      </c>
      <c r="F144" s="76" t="s">
        <v>546</v>
      </c>
      <c r="G144" s="78">
        <f t="shared" si="18"/>
        <v>132</v>
      </c>
      <c r="H144" s="19">
        <v>120</v>
      </c>
      <c r="I144" s="20" t="str">
        <f t="shared" si="19"/>
        <v>CHE 158,ED1-CHE</v>
      </c>
      <c r="J144" s="25"/>
    </row>
    <row r="145" spans="1:13" ht="15.5" x14ac:dyDescent="0.35">
      <c r="A145" s="75" t="s">
        <v>187</v>
      </c>
      <c r="B145" s="76" t="str">
        <v>DATA COMMUNICATION PRINCIPLES</v>
      </c>
      <c r="C145" s="79" t="str">
        <v>Gadze James Dzisi</v>
      </c>
      <c r="D145" s="80" t="s">
        <v>119</v>
      </c>
      <c r="E145" s="77">
        <v>140</v>
      </c>
      <c r="F145" s="80" t="s">
        <v>585</v>
      </c>
      <c r="G145" s="78">
        <f t="shared" si="18"/>
        <v>154</v>
      </c>
      <c r="H145" s="19" t="s">
        <v>586</v>
      </c>
      <c r="I145" s="20" t="str">
        <f t="shared" si="19"/>
        <v>TE 352,ED3-TEL</v>
      </c>
      <c r="J145" s="25"/>
    </row>
    <row r="146" spans="1:13" ht="15.5" x14ac:dyDescent="0.35">
      <c r="A146" s="75" t="s">
        <v>188</v>
      </c>
      <c r="B146" s="79" t="str">
        <v>INTRODUCTION TO PETROLEUM ENGINEERING</v>
      </c>
      <c r="C146" s="76" t="str">
        <v>Erzuah Samuel</v>
      </c>
      <c r="D146" s="80" t="s">
        <v>82</v>
      </c>
      <c r="E146" s="77">
        <v>130</v>
      </c>
      <c r="F146" s="80" t="s">
        <v>552</v>
      </c>
      <c r="G146" s="78">
        <f t="shared" si="18"/>
        <v>143</v>
      </c>
      <c r="H146" s="19" t="s">
        <v>647</v>
      </c>
      <c r="I146" s="20" t="str">
        <f t="shared" si="19"/>
        <v>PE 154,ED1-PE</v>
      </c>
      <c r="J146" s="25"/>
    </row>
    <row r="147" spans="1:13" ht="15.5" x14ac:dyDescent="0.35">
      <c r="A147" s="75" t="s">
        <v>189</v>
      </c>
      <c r="B147" s="79" t="str">
        <v>PRODUCTION ENGINEERING II</v>
      </c>
      <c r="C147" s="79" t="str">
        <v>Obeng George Yaw</v>
      </c>
      <c r="D147" s="75" t="s">
        <v>67</v>
      </c>
      <c r="E147" s="77">
        <v>40</v>
      </c>
      <c r="F147" s="80" t="s">
        <v>641</v>
      </c>
      <c r="G147" s="78">
        <f t="shared" si="18"/>
        <v>44</v>
      </c>
      <c r="H147" s="19" t="s">
        <v>648</v>
      </c>
      <c r="I147" s="20" t="str">
        <f t="shared" si="19"/>
        <v>ME 478,ED4-ME</v>
      </c>
      <c r="J147" s="25"/>
    </row>
    <row r="148" spans="1:13" ht="15" customHeight="1" x14ac:dyDescent="0.35">
      <c r="A148" s="75" t="s">
        <v>190</v>
      </c>
      <c r="B148" s="76" t="str">
        <v>ENGINEERING GRAPHICS</v>
      </c>
      <c r="C148" s="76" t="str">
        <v>Sackey Michael Nii</v>
      </c>
      <c r="D148" s="75" t="s">
        <v>191</v>
      </c>
      <c r="E148" s="77">
        <v>70</v>
      </c>
      <c r="F148" s="80" t="s">
        <v>529</v>
      </c>
      <c r="G148" s="78">
        <f t="shared" si="18"/>
        <v>77</v>
      </c>
      <c r="H148" s="19" t="s">
        <v>649</v>
      </c>
      <c r="I148" s="20" t="str">
        <f t="shared" si="19"/>
        <v>ME 158,ED1-AERO</v>
      </c>
      <c r="J148" s="25"/>
    </row>
    <row r="149" spans="1:13" ht="15.5" x14ac:dyDescent="0.35">
      <c r="A149" s="75" t="s">
        <v>216</v>
      </c>
      <c r="B149" s="76" t="str">
        <v>SYSTEMS INTEGRATION</v>
      </c>
      <c r="C149" s="79" t="str">
        <v>Tay Godwin Fabiola Kwaku</v>
      </c>
      <c r="D149" s="75" t="s">
        <v>124</v>
      </c>
      <c r="E149" s="77">
        <v>69</v>
      </c>
      <c r="F149" s="80" t="s">
        <v>545</v>
      </c>
      <c r="G149" s="78">
        <f t="shared" si="18"/>
        <v>75.900000000000006</v>
      </c>
      <c r="H149" s="19">
        <v>69</v>
      </c>
      <c r="I149" s="20" t="str">
        <f t="shared" si="19"/>
        <v>IE 456,ED4-IND</v>
      </c>
      <c r="J149" s="25"/>
    </row>
    <row r="150" spans="1:13" s="15" customFormat="1" ht="15.5" x14ac:dyDescent="0.35">
      <c r="A150" s="75" t="s">
        <v>98</v>
      </c>
      <c r="B150" s="76" t="str">
        <v>APPLIED METEOROLOGY</v>
      </c>
      <c r="C150" s="79" t="str">
        <v>Prince Junior Asilevi</v>
      </c>
      <c r="D150" s="75" t="s">
        <v>99</v>
      </c>
      <c r="E150" s="77">
        <v>61</v>
      </c>
      <c r="F150" s="80" t="s">
        <v>650</v>
      </c>
      <c r="G150" s="78">
        <f t="shared" si="18"/>
        <v>67.100000000000009</v>
      </c>
      <c r="H150" s="19" t="s">
        <v>651</v>
      </c>
      <c r="I150" s="20" t="str">
        <f t="shared" si="19"/>
        <v>AERO 456,ED4-AERO</v>
      </c>
      <c r="J150" s="25"/>
      <c r="K150" s="21"/>
      <c r="L150" s="21"/>
      <c r="M150" s="21"/>
    </row>
    <row r="151" spans="1:13" ht="15" customHeight="1" x14ac:dyDescent="0.35">
      <c r="A151" s="75" t="s">
        <v>193</v>
      </c>
      <c r="B151" s="76" t="str">
        <v>DATABASE SYSTEMS</v>
      </c>
      <c r="C151" s="76" t="str">
        <v>Ayer John Wise Divine</v>
      </c>
      <c r="D151" s="75" t="s">
        <v>194</v>
      </c>
      <c r="E151" s="77">
        <v>93</v>
      </c>
      <c r="F151" s="80" t="s">
        <v>652</v>
      </c>
      <c r="G151" s="78">
        <f t="shared" si="18"/>
        <v>102.30000000000001</v>
      </c>
      <c r="H151" s="19" t="s">
        <v>653</v>
      </c>
      <c r="I151" s="20" t="str">
        <f t="shared" si="19"/>
        <v>GE 464,ED4-GEOM</v>
      </c>
      <c r="J151" s="25"/>
    </row>
    <row r="152" spans="1:13" ht="15.5" x14ac:dyDescent="0.35">
      <c r="A152" s="81"/>
      <c r="B152" s="81"/>
      <c r="C152" s="72"/>
      <c r="D152" s="76" t="s">
        <v>195</v>
      </c>
      <c r="E152" s="82">
        <f>SUM(E141:E151)</f>
        <v>1175</v>
      </c>
      <c r="F152" s="83"/>
      <c r="G152" s="84"/>
      <c r="I152" s="22" t="s">
        <v>196</v>
      </c>
      <c r="J152" s="25"/>
    </row>
    <row r="153" spans="1:13" ht="15.5" x14ac:dyDescent="0.35">
      <c r="A153" s="6" t="s">
        <v>180</v>
      </c>
      <c r="B153" s="6"/>
      <c r="C153" s="6"/>
      <c r="D153" s="6"/>
      <c r="E153" s="6"/>
      <c r="F153" s="6"/>
      <c r="G153" s="6"/>
      <c r="I153" s="22" t="str">
        <f>A153</f>
        <v>Thursday, 20 August 2026</v>
      </c>
      <c r="J153" s="25"/>
    </row>
    <row r="154" spans="1:13" ht="15.5" x14ac:dyDescent="0.35">
      <c r="A154" s="6" t="s">
        <v>29</v>
      </c>
      <c r="B154" s="6"/>
      <c r="C154" s="6"/>
      <c r="D154" s="6"/>
      <c r="E154" s="6"/>
      <c r="F154" s="6"/>
      <c r="G154" s="6"/>
      <c r="I154" s="22" t="str">
        <f>A154</f>
        <v>Session, 2 (12:00 PM - 2:00 PM)</v>
      </c>
      <c r="J154" s="25"/>
    </row>
    <row r="155" spans="1:13" ht="15.5" x14ac:dyDescent="0.35">
      <c r="A155" s="71" t="s">
        <v>4</v>
      </c>
      <c r="B155" s="71" t="s">
        <v>5</v>
      </c>
      <c r="C155" s="72" t="s">
        <v>6</v>
      </c>
      <c r="D155" s="71" t="s">
        <v>7</v>
      </c>
      <c r="E155" s="73" t="s">
        <v>8</v>
      </c>
      <c r="F155" s="72" t="s">
        <v>9</v>
      </c>
      <c r="G155" s="74" t="s">
        <v>10</v>
      </c>
      <c r="I155" s="22" t="s">
        <v>31</v>
      </c>
      <c r="J155" s="25"/>
    </row>
    <row r="156" spans="1:13" ht="15.5" x14ac:dyDescent="0.35">
      <c r="A156" s="75" t="s">
        <v>182</v>
      </c>
      <c r="B156" s="79" t="str">
        <f t="array" ref="B156:B164">IFERROR(VLOOKUP(I156:I164,Lectures_1!A2:F534,2,FALSE()),0)</f>
        <v>CIVIL ENGINEERING DRAWING</v>
      </c>
      <c r="C156" s="79" t="str">
        <f t="array" ref="C156:C164">IFERROR(VLOOKUP(I156:I164,Lectures_1!A2:F534,3,FALSE()),0)</f>
        <v>Osei Jack Banahene</v>
      </c>
      <c r="D156" s="75" t="s">
        <v>75</v>
      </c>
      <c r="E156" s="77">
        <f t="array" ref="E156:E164">IFERROR(VLOOKUP(I156:I164,Lectures_1!A2:F534,4,FALSE()),0)</f>
        <v>245</v>
      </c>
      <c r="F156" s="76" t="s">
        <v>34</v>
      </c>
      <c r="G156" s="78">
        <f t="shared" ref="G156:G164" si="20">E156*1.1</f>
        <v>269.5</v>
      </c>
      <c r="H156" s="40"/>
      <c r="I156" s="20" t="str">
        <f t="shared" ref="I156:I164" si="21">CONCATENATE(A156,",",D156)</f>
        <v>CE 164,ED1-CE</v>
      </c>
      <c r="J156" s="25"/>
    </row>
    <row r="157" spans="1:13" ht="15.5" x14ac:dyDescent="0.35">
      <c r="A157" s="75" t="s">
        <v>197</v>
      </c>
      <c r="B157" s="76" t="str">
        <v>INTRODUCTION TO SOCIOLOGY II</v>
      </c>
      <c r="C157" s="79" t="str">
        <v>Jones Opoku-Ware</v>
      </c>
      <c r="D157" s="75" t="s">
        <v>130</v>
      </c>
      <c r="E157" s="77">
        <v>136</v>
      </c>
      <c r="F157" s="75" t="s">
        <v>585</v>
      </c>
      <c r="G157" s="78">
        <f t="shared" si="20"/>
        <v>149.60000000000002</v>
      </c>
      <c r="H157" s="19" t="s">
        <v>596</v>
      </c>
      <c r="I157" s="20" t="str">
        <f t="shared" si="21"/>
        <v>SOC 152,ED1-BME</v>
      </c>
      <c r="J157" s="25"/>
    </row>
    <row r="158" spans="1:13" ht="15.5" x14ac:dyDescent="0.35">
      <c r="A158" s="75" t="s">
        <v>198</v>
      </c>
      <c r="B158" s="76" t="str">
        <v>DATABASE AND INFORMATION RETRIEVAL</v>
      </c>
      <c r="C158" s="76" t="str">
        <v>Keelson Eliel</v>
      </c>
      <c r="D158" s="75" t="s">
        <v>16</v>
      </c>
      <c r="E158" s="77">
        <v>265</v>
      </c>
      <c r="F158" s="76" t="s">
        <v>533</v>
      </c>
      <c r="G158" s="78">
        <f t="shared" si="20"/>
        <v>291.5</v>
      </c>
      <c r="H158" s="19" t="s">
        <v>654</v>
      </c>
      <c r="I158" s="20" t="str">
        <f t="shared" si="21"/>
        <v>COE 368,ED3-COE</v>
      </c>
      <c r="J158" s="25"/>
    </row>
    <row r="159" spans="1:13" ht="15.5" x14ac:dyDescent="0.35">
      <c r="A159" s="75" t="s">
        <v>199</v>
      </c>
      <c r="B159" s="79" t="str">
        <v>MATERIALS SCIENCE</v>
      </c>
      <c r="C159" s="79" t="str">
        <v>Patrick Boakye</v>
      </c>
      <c r="D159" s="75" t="s">
        <v>73</v>
      </c>
      <c r="E159" s="77">
        <v>105</v>
      </c>
      <c r="F159" s="80" t="s">
        <v>655</v>
      </c>
      <c r="G159" s="78">
        <f t="shared" si="20"/>
        <v>115.50000000000001</v>
      </c>
      <c r="H159" s="19" t="s">
        <v>656</v>
      </c>
      <c r="I159" s="20" t="str">
        <f t="shared" si="21"/>
        <v>CHE 350,ED3-CHE</v>
      </c>
      <c r="J159" s="25"/>
    </row>
    <row r="160" spans="1:13" ht="15.5" x14ac:dyDescent="0.35">
      <c r="A160" s="75" t="s">
        <v>199</v>
      </c>
      <c r="B160" s="79" t="str">
        <v>MATERIALS SCIENCE</v>
      </c>
      <c r="C160" s="79" t="str">
        <v>Anang Daniel Adjah</v>
      </c>
      <c r="D160" s="75" t="s">
        <v>63</v>
      </c>
      <c r="E160" s="77">
        <v>53</v>
      </c>
      <c r="F160" s="80" t="s">
        <v>535</v>
      </c>
      <c r="G160" s="78">
        <f t="shared" si="20"/>
        <v>58.300000000000004</v>
      </c>
      <c r="H160" s="19" t="s">
        <v>657</v>
      </c>
      <c r="I160" s="20" t="str">
        <f t="shared" si="21"/>
        <v>CHE 350,ED3-PCE</v>
      </c>
      <c r="J160" s="25"/>
    </row>
    <row r="161" spans="1:10" ht="15.5" x14ac:dyDescent="0.35">
      <c r="A161" s="75" t="s">
        <v>200</v>
      </c>
      <c r="B161" s="76" t="str">
        <v>INTRODUCTION TO PSYCHOLOGY</v>
      </c>
      <c r="C161" s="79" t="str">
        <v>Sarfo Fordjour Elizabeth Anokyewaa</v>
      </c>
      <c r="D161" s="75" t="s">
        <v>91</v>
      </c>
      <c r="E161" s="77">
        <v>130</v>
      </c>
      <c r="F161" s="80" t="s">
        <v>552</v>
      </c>
      <c r="G161" s="78">
        <f t="shared" si="20"/>
        <v>143</v>
      </c>
      <c r="H161" s="19" t="s">
        <v>658</v>
      </c>
      <c r="I161" s="20" t="str">
        <f t="shared" si="21"/>
        <v>PSYC 154,ED1-TEL</v>
      </c>
      <c r="J161" s="25"/>
    </row>
    <row r="162" spans="1:10" ht="15.5" x14ac:dyDescent="0.35">
      <c r="A162" s="75" t="s">
        <v>201</v>
      </c>
      <c r="B162" s="76" t="str">
        <v>REPRODUCTION CARTOGRAPHY</v>
      </c>
      <c r="C162" s="79" t="str">
        <v>Quaye-Ballard Jonathan Arthur</v>
      </c>
      <c r="D162" s="75" t="s">
        <v>95</v>
      </c>
      <c r="E162" s="77">
        <v>103</v>
      </c>
      <c r="F162" s="80" t="s">
        <v>659</v>
      </c>
      <c r="G162" s="78">
        <f t="shared" si="20"/>
        <v>113.30000000000001</v>
      </c>
      <c r="H162" s="19" t="s">
        <v>660</v>
      </c>
      <c r="I162" s="20" t="str">
        <f t="shared" si="21"/>
        <v>GE 152,ED1-GEOM</v>
      </c>
      <c r="J162" s="25"/>
    </row>
    <row r="163" spans="1:10" ht="15.5" x14ac:dyDescent="0.35">
      <c r="A163" s="75" t="s">
        <v>202</v>
      </c>
      <c r="B163" s="76" t="str">
        <v>CIRCUIT THEORY</v>
      </c>
      <c r="C163" s="79" t="str">
        <v>Yeboah-Akowuah Bright</v>
      </c>
      <c r="D163" s="75" t="s">
        <v>109</v>
      </c>
      <c r="E163" s="77">
        <v>80</v>
      </c>
      <c r="F163" s="80" t="s">
        <v>574</v>
      </c>
      <c r="G163" s="78">
        <f t="shared" si="20"/>
        <v>88</v>
      </c>
      <c r="H163" s="19" t="s">
        <v>661</v>
      </c>
      <c r="I163" s="20" t="str">
        <f t="shared" si="21"/>
        <v>COE 288,ED2-BME</v>
      </c>
      <c r="J163" s="25"/>
    </row>
    <row r="164" spans="1:10" ht="15.5" x14ac:dyDescent="0.35">
      <c r="A164" s="75" t="s">
        <v>202</v>
      </c>
      <c r="B164" s="76" t="str">
        <v>CIRCUIT THEORY</v>
      </c>
      <c r="C164" s="79" t="str">
        <v>Yeboah-Akowuah Bright</v>
      </c>
      <c r="D164" s="75" t="s">
        <v>108</v>
      </c>
      <c r="E164" s="77">
        <v>255</v>
      </c>
      <c r="F164" s="80" t="s">
        <v>531</v>
      </c>
      <c r="G164" s="78">
        <f t="shared" si="20"/>
        <v>280.5</v>
      </c>
      <c r="H164" s="19" t="s">
        <v>662</v>
      </c>
      <c r="I164" s="20" t="str">
        <f t="shared" si="21"/>
        <v>COE 288,ED2-COE</v>
      </c>
      <c r="J164" s="25"/>
    </row>
    <row r="165" spans="1:10" ht="15.5" x14ac:dyDescent="0.35">
      <c r="A165" s="81"/>
      <c r="B165" s="81"/>
      <c r="C165" s="72"/>
      <c r="D165" s="76" t="s">
        <v>203</v>
      </c>
      <c r="E165" s="82">
        <f>SUM(E157:E164)</f>
        <v>1127</v>
      </c>
      <c r="F165" s="83"/>
      <c r="G165" s="84"/>
      <c r="I165" s="22" t="s">
        <v>204</v>
      </c>
      <c r="J165" s="25"/>
    </row>
    <row r="166" spans="1:10" ht="15.5" x14ac:dyDescent="0.35">
      <c r="A166" s="6" t="s">
        <v>180</v>
      </c>
      <c r="B166" s="6"/>
      <c r="C166" s="6"/>
      <c r="D166" s="6"/>
      <c r="E166" s="6"/>
      <c r="F166" s="6"/>
      <c r="G166" s="6"/>
      <c r="I166" s="22" t="str">
        <f>A166</f>
        <v>Thursday, 20 August 2026</v>
      </c>
      <c r="J166" s="25"/>
    </row>
    <row r="167" spans="1:10" ht="15.5" x14ac:dyDescent="0.35">
      <c r="A167" s="6" t="s">
        <v>59</v>
      </c>
      <c r="B167" s="6"/>
      <c r="C167" s="6"/>
      <c r="D167" s="6"/>
      <c r="E167" s="6"/>
      <c r="F167" s="6"/>
      <c r="G167" s="6"/>
      <c r="I167" s="22" t="str">
        <f>A167</f>
        <v>Session, 3 (3:00 PM - 5:00 PM)</v>
      </c>
      <c r="J167" s="25"/>
    </row>
    <row r="168" spans="1:10" ht="15.5" x14ac:dyDescent="0.35">
      <c r="A168" s="71" t="s">
        <v>4</v>
      </c>
      <c r="B168" s="71" t="s">
        <v>5</v>
      </c>
      <c r="C168" s="72" t="s">
        <v>6</v>
      </c>
      <c r="D168" s="71" t="s">
        <v>7</v>
      </c>
      <c r="E168" s="73" t="s">
        <v>8</v>
      </c>
      <c r="F168" s="72" t="s">
        <v>9</v>
      </c>
      <c r="G168" s="74" t="s">
        <v>10</v>
      </c>
      <c r="I168" s="22" t="s">
        <v>31</v>
      </c>
      <c r="J168" s="25"/>
    </row>
    <row r="169" spans="1:10" ht="15.5" x14ac:dyDescent="0.35">
      <c r="A169" s="75" t="s">
        <v>205</v>
      </c>
      <c r="B169" s="79" t="str">
        <f t="array" ref="B169:B180">IFERROR(VLOOKUP(I169:I180,Lectures_1!A2:F534,2,FALSE()),0)</f>
        <v>FINITE ELEMENT ANALYSIS</v>
      </c>
      <c r="C169" s="79" t="str">
        <f t="array" ref="C169:C180">IFERROR(VLOOKUP(I169:I180,Lectures_1!A2:F534,3,FALSE()),0)</f>
        <v>Jones Owusu Twumasi</v>
      </c>
      <c r="D169" s="75" t="s">
        <v>103</v>
      </c>
      <c r="E169" s="77">
        <f t="array" ref="E169:E180">IFERROR(VLOOKUP(I169:I180,Lectures_1!A2:F534,4,FALSE()),0)</f>
        <v>18</v>
      </c>
      <c r="F169" s="76" t="s">
        <v>663</v>
      </c>
      <c r="G169" s="78">
        <f t="shared" ref="G169:G180" si="22">E169*1.1</f>
        <v>19.8</v>
      </c>
      <c r="H169" s="40">
        <v>18</v>
      </c>
      <c r="I169" s="20" t="str">
        <f t="shared" ref="I169:I180" si="23">CONCATENATE(A169,",",D169)</f>
        <v>CE 480,ED4-CE</v>
      </c>
      <c r="J169" s="25"/>
    </row>
    <row r="170" spans="1:10" ht="15.5" x14ac:dyDescent="0.35">
      <c r="A170" s="75" t="s">
        <v>206</v>
      </c>
      <c r="B170" s="79" t="str">
        <v>OILFIELD GEOLCHEMISTRY</v>
      </c>
      <c r="C170" s="79" t="str">
        <v>Adenutsi Caspar Daniel</v>
      </c>
      <c r="D170" s="75" t="s">
        <v>46</v>
      </c>
      <c r="E170" s="77">
        <v>99</v>
      </c>
      <c r="F170" s="91" t="s">
        <v>655</v>
      </c>
      <c r="G170" s="78">
        <f t="shared" si="22"/>
        <v>108.9</v>
      </c>
      <c r="H170" s="19" t="s">
        <v>664</v>
      </c>
      <c r="I170" s="20" t="str">
        <f t="shared" si="23"/>
        <v>PE 458,ED4-PE</v>
      </c>
      <c r="J170" s="25"/>
    </row>
    <row r="171" spans="1:10" ht="15.5" x14ac:dyDescent="0.35">
      <c r="A171" s="75" t="s">
        <v>321</v>
      </c>
      <c r="B171" s="79" t="str">
        <v>MATERIALS JOINING PROCESSES</v>
      </c>
      <c r="C171" s="79" t="str">
        <v>Kwofie Samuel</v>
      </c>
      <c r="D171" s="75" t="s">
        <v>140</v>
      </c>
      <c r="E171" s="77">
        <v>85</v>
      </c>
      <c r="F171" s="80" t="s">
        <v>665</v>
      </c>
      <c r="G171" s="78">
        <f t="shared" si="22"/>
        <v>93.500000000000014</v>
      </c>
      <c r="H171" s="19" t="s">
        <v>666</v>
      </c>
      <c r="I171" s="20" t="str">
        <f t="shared" si="23"/>
        <v>MSE 362,ED3-MSE</v>
      </c>
      <c r="J171" s="25"/>
    </row>
    <row r="172" spans="1:10" ht="15.5" x14ac:dyDescent="0.35">
      <c r="A172" s="75" t="s">
        <v>321</v>
      </c>
      <c r="B172" s="76" t="str">
        <v>MATERIALS JOINING PROCESSES</v>
      </c>
      <c r="C172" s="76" t="str">
        <v>Kwofie Samuel</v>
      </c>
      <c r="D172" s="75" t="s">
        <v>142</v>
      </c>
      <c r="E172" s="77">
        <v>87</v>
      </c>
      <c r="F172" s="80" t="s">
        <v>667</v>
      </c>
      <c r="G172" s="78">
        <f t="shared" si="22"/>
        <v>95.7</v>
      </c>
      <c r="H172" s="19" t="s">
        <v>668</v>
      </c>
      <c r="I172" s="20" t="str">
        <f t="shared" si="23"/>
        <v>MSE 362,ED3-METE</v>
      </c>
      <c r="J172" s="25"/>
    </row>
    <row r="173" spans="1:10" ht="15.5" x14ac:dyDescent="0.35">
      <c r="A173" s="75" t="s">
        <v>209</v>
      </c>
      <c r="B173" s="76" t="str">
        <v>STRESS AND STRAIN ANALYSIS OF RIGID BODIES</v>
      </c>
      <c r="C173" s="79" t="str">
        <v>Mensah-Darkwa Kwadwo</v>
      </c>
      <c r="D173" s="75" t="s">
        <v>101</v>
      </c>
      <c r="E173" s="77">
        <v>57</v>
      </c>
      <c r="F173" s="80" t="s">
        <v>574</v>
      </c>
      <c r="G173" s="78">
        <f t="shared" si="22"/>
        <v>62.7</v>
      </c>
      <c r="H173" s="19" t="s">
        <v>669</v>
      </c>
      <c r="I173" s="20" t="str">
        <f t="shared" si="23"/>
        <v>MSE 262,ED2-METE</v>
      </c>
      <c r="J173" s="25"/>
    </row>
    <row r="174" spans="1:10" ht="15.5" x14ac:dyDescent="0.35">
      <c r="A174" s="75" t="s">
        <v>209</v>
      </c>
      <c r="B174" s="76" t="str">
        <v>STRESS AND STRAIN ANALYSIS OF RIGID BODIES</v>
      </c>
      <c r="C174" s="79" t="str">
        <v>Mensah-Darkwa Kwadwo</v>
      </c>
      <c r="D174" s="75" t="s">
        <v>210</v>
      </c>
      <c r="E174" s="77">
        <v>83</v>
      </c>
      <c r="F174" s="92" t="s">
        <v>571</v>
      </c>
      <c r="G174" s="78">
        <f t="shared" si="22"/>
        <v>91.300000000000011</v>
      </c>
      <c r="H174" s="19" t="s">
        <v>670</v>
      </c>
      <c r="I174" s="20" t="str">
        <f t="shared" si="23"/>
        <v>MSE 262,ED2-MSE</v>
      </c>
      <c r="J174" s="25"/>
    </row>
    <row r="175" spans="1:10" ht="15.5" x14ac:dyDescent="0.35">
      <c r="A175" s="75" t="s">
        <v>211</v>
      </c>
      <c r="B175" s="76" t="str">
        <v>HEALTH SAFETY AND ENVIRONMENT</v>
      </c>
      <c r="C175" s="79" t="str">
        <v>Adjei Stephen</v>
      </c>
      <c r="D175" s="75" t="s">
        <v>18</v>
      </c>
      <c r="E175" s="77">
        <v>80</v>
      </c>
      <c r="F175" s="93" t="s">
        <v>545</v>
      </c>
      <c r="G175" s="78">
        <f t="shared" si="22"/>
        <v>88</v>
      </c>
      <c r="H175" s="19">
        <v>80</v>
      </c>
      <c r="I175" s="20" t="str">
        <f t="shared" si="23"/>
        <v>PE 366,ED3-PE</v>
      </c>
      <c r="J175" s="25"/>
    </row>
    <row r="176" spans="1:10" ht="15.5" x14ac:dyDescent="0.35">
      <c r="A176" s="75" t="s">
        <v>212</v>
      </c>
      <c r="B176" s="76" t="str">
        <v>HEAT TRANSPORT PROCESSES</v>
      </c>
      <c r="C176" s="79" t="str">
        <v>Adjei Stephen</v>
      </c>
      <c r="D176" s="75" t="s">
        <v>93</v>
      </c>
      <c r="E176" s="77">
        <v>95</v>
      </c>
      <c r="F176" s="93" t="s">
        <v>546</v>
      </c>
      <c r="G176" s="78">
        <f t="shared" si="22"/>
        <v>104.50000000000001</v>
      </c>
      <c r="H176" s="19">
        <v>95</v>
      </c>
      <c r="I176" s="20" t="str">
        <f t="shared" si="23"/>
        <v>PE 252,ED2-PE</v>
      </c>
      <c r="J176" s="25"/>
    </row>
    <row r="177" spans="1:10" ht="15.5" x14ac:dyDescent="0.35">
      <c r="A177" s="75" t="s">
        <v>226</v>
      </c>
      <c r="B177" s="76" t="str">
        <v>RADAR COMMUNICATIONS</v>
      </c>
      <c r="C177" s="79" t="str">
        <v>ELLis Sani Mubarak</v>
      </c>
      <c r="D177" s="75" t="s">
        <v>227</v>
      </c>
      <c r="E177" s="77">
        <v>105</v>
      </c>
      <c r="F177" s="80" t="s">
        <v>652</v>
      </c>
      <c r="G177" s="78">
        <f t="shared" si="22"/>
        <v>115.50000000000001</v>
      </c>
      <c r="H177" s="19" t="s">
        <v>656</v>
      </c>
      <c r="I177" s="20" t="str">
        <f t="shared" si="23"/>
        <v>TE 464,ED4-TEL</v>
      </c>
      <c r="J177" s="25"/>
    </row>
    <row r="178" spans="1:10" ht="15.5" x14ac:dyDescent="0.35">
      <c r="A178" s="75" t="s">
        <v>213</v>
      </c>
      <c r="B178" s="76" t="str">
        <v>SOIL AND WATER ENGINEERING II</v>
      </c>
      <c r="C178" s="79" t="str">
        <v>Agyare Wilson Agyei</v>
      </c>
      <c r="D178" s="75" t="s">
        <v>50</v>
      </c>
      <c r="E178" s="77">
        <v>103</v>
      </c>
      <c r="F178" s="80" t="s">
        <v>582</v>
      </c>
      <c r="G178" s="78">
        <f t="shared" si="22"/>
        <v>113.30000000000001</v>
      </c>
      <c r="H178" s="19" t="s">
        <v>660</v>
      </c>
      <c r="I178" s="20" t="str">
        <f t="shared" si="23"/>
        <v>AE 452,ED4-AE</v>
      </c>
      <c r="J178" s="25"/>
    </row>
    <row r="179" spans="1:10" ht="15.5" x14ac:dyDescent="0.35">
      <c r="A179" s="75" t="s">
        <v>280</v>
      </c>
      <c r="B179" s="79" t="str">
        <v>PULP AND PAPER TECHNOLOGY</v>
      </c>
      <c r="C179" s="76" t="str">
        <v>Rockson Mizpah Ama Dziedzorm</v>
      </c>
      <c r="D179" s="75" t="s">
        <v>48</v>
      </c>
      <c r="E179" s="77">
        <v>70</v>
      </c>
      <c r="F179" s="80" t="s">
        <v>574</v>
      </c>
      <c r="G179" s="78">
        <f t="shared" si="22"/>
        <v>77</v>
      </c>
      <c r="H179" s="19" t="s">
        <v>671</v>
      </c>
      <c r="I179" s="20" t="str">
        <f t="shared" si="23"/>
        <v>CHE 466,ED4-CHE</v>
      </c>
      <c r="J179" s="25"/>
    </row>
    <row r="180" spans="1:10" ht="15.5" x14ac:dyDescent="0.35">
      <c r="A180" s="75" t="s">
        <v>215</v>
      </c>
      <c r="B180" s="76" t="str">
        <v>STRUCTURAL ANALYSIS</v>
      </c>
      <c r="C180" s="79" t="str">
        <v>Kankam Charles Kwame</v>
      </c>
      <c r="D180" s="75" t="s">
        <v>56</v>
      </c>
      <c r="E180" s="77">
        <v>250</v>
      </c>
      <c r="F180" s="80" t="s">
        <v>556</v>
      </c>
      <c r="G180" s="78">
        <f t="shared" si="22"/>
        <v>275</v>
      </c>
      <c r="H180" s="19" t="s">
        <v>672</v>
      </c>
      <c r="I180" s="20" t="str">
        <f t="shared" si="23"/>
        <v>CE 258,ED2-CE</v>
      </c>
      <c r="J180" s="25"/>
    </row>
    <row r="181" spans="1:10" ht="15.5" x14ac:dyDescent="0.35">
      <c r="A181" s="81"/>
      <c r="B181" s="81"/>
      <c r="C181" s="72"/>
      <c r="D181" s="76" t="s">
        <v>203</v>
      </c>
      <c r="E181" s="82">
        <f>SUM(E169:E180)</f>
        <v>1132</v>
      </c>
      <c r="F181" s="83"/>
      <c r="G181" s="84"/>
      <c r="I181" s="22" t="s">
        <v>204</v>
      </c>
      <c r="J181" s="25"/>
    </row>
    <row r="182" spans="1:10" ht="15.5" x14ac:dyDescent="0.35">
      <c r="A182" s="6" t="s">
        <v>217</v>
      </c>
      <c r="B182" s="6"/>
      <c r="C182" s="6"/>
      <c r="D182" s="6"/>
      <c r="E182" s="6"/>
      <c r="F182" s="6"/>
      <c r="G182" s="6"/>
      <c r="I182" s="22" t="str">
        <f>A182</f>
        <v>Friday, 21 August 2026</v>
      </c>
      <c r="J182" s="25"/>
    </row>
    <row r="183" spans="1:10" ht="15.5" x14ac:dyDescent="0.35">
      <c r="A183" s="6" t="s">
        <v>2</v>
      </c>
      <c r="B183" s="6"/>
      <c r="C183" s="6"/>
      <c r="D183" s="6"/>
      <c r="E183" s="6"/>
      <c r="F183" s="6"/>
      <c r="G183" s="6"/>
      <c r="I183" s="22" t="str">
        <f>A183</f>
        <v>Session, 1 (8:30 AM - 10:30 AM)</v>
      </c>
      <c r="J183" s="25"/>
    </row>
    <row r="184" spans="1:10" ht="15.5" x14ac:dyDescent="0.35">
      <c r="A184" s="71" t="s">
        <v>4</v>
      </c>
      <c r="B184" s="71" t="s">
        <v>5</v>
      </c>
      <c r="C184" s="72" t="s">
        <v>6</v>
      </c>
      <c r="D184" s="71" t="s">
        <v>7</v>
      </c>
      <c r="E184" s="73" t="s">
        <v>8</v>
      </c>
      <c r="F184" s="72" t="s">
        <v>9</v>
      </c>
      <c r="G184" s="74" t="s">
        <v>10</v>
      </c>
      <c r="H184" s="49"/>
      <c r="I184" s="22" t="s">
        <v>31</v>
      </c>
      <c r="J184" s="25"/>
    </row>
    <row r="185" spans="1:10" ht="15.5" x14ac:dyDescent="0.35">
      <c r="A185" s="75" t="s">
        <v>219</v>
      </c>
      <c r="B185" s="79" t="str">
        <f t="array" ref="B185:B197">IFERROR(VLOOKUP(I185:I197,Lectures_1!A2:F534,2,FALSE()),0)</f>
        <v>ENGINEERING SURVEY II</v>
      </c>
      <c r="C185" s="76" t="str">
        <f t="array" ref="C185:C197">IFERROR(VLOOKUP(I185:I197,Lectures_1!A2:F534,3,FALSE()),0)</f>
        <v>Arko-Adjei Anthony</v>
      </c>
      <c r="D185" s="75" t="s">
        <v>170</v>
      </c>
      <c r="E185" s="77">
        <f t="array" ref="E185:E197">IFERROR(VLOOKUP(I185:I197,Lectures_1!A2:F534,4,FALSE()),0)</f>
        <v>132</v>
      </c>
      <c r="F185" s="80" t="s">
        <v>652</v>
      </c>
      <c r="G185" s="78">
        <f t="shared" ref="G185:G197" si="24">E185*1.1</f>
        <v>145.20000000000002</v>
      </c>
      <c r="H185" s="19" t="s">
        <v>635</v>
      </c>
      <c r="I185" s="20" t="str">
        <f t="shared" ref="I185:I197" si="25">CONCATENATE(A185,",",D185)</f>
        <v>GE 272,ED2-GEOM</v>
      </c>
      <c r="J185" s="25"/>
    </row>
    <row r="186" spans="1:10" ht="15.5" x14ac:dyDescent="0.35">
      <c r="A186" s="75" t="s">
        <v>220</v>
      </c>
      <c r="B186" s="76" t="str">
        <v>RURAL ENGINEERING</v>
      </c>
      <c r="C186" s="79" t="str">
        <v>Mensah Ebenezer</v>
      </c>
      <c r="D186" s="75" t="s">
        <v>88</v>
      </c>
      <c r="E186" s="77">
        <v>101</v>
      </c>
      <c r="F186" s="80" t="s">
        <v>673</v>
      </c>
      <c r="G186" s="78">
        <f t="shared" si="24"/>
        <v>111.10000000000001</v>
      </c>
      <c r="H186" s="19" t="s">
        <v>674</v>
      </c>
      <c r="I186" s="20" t="str">
        <f t="shared" si="25"/>
        <v>AE 360,ED3-AE</v>
      </c>
      <c r="J186" s="25"/>
    </row>
    <row r="187" spans="1:10" ht="15.5" x14ac:dyDescent="0.35">
      <c r="A187" s="75" t="s">
        <v>221</v>
      </c>
      <c r="B187" s="76" t="str">
        <v>SATELLITE SURVEYING</v>
      </c>
      <c r="C187" s="79" t="str">
        <v>Andam-Akorful Samuel Ato</v>
      </c>
      <c r="D187" s="75" t="s">
        <v>77</v>
      </c>
      <c r="E187" s="77">
        <v>122</v>
      </c>
      <c r="F187" s="80" t="s">
        <v>675</v>
      </c>
      <c r="G187" s="78">
        <f t="shared" si="24"/>
        <v>134.20000000000002</v>
      </c>
      <c r="H187" s="19" t="s">
        <v>676</v>
      </c>
      <c r="I187" s="20" t="str">
        <f t="shared" si="25"/>
        <v>GE 354,ED3-GEOM</v>
      </c>
      <c r="J187" s="25"/>
    </row>
    <row r="188" spans="1:10" ht="15.5" x14ac:dyDescent="0.35">
      <c r="A188" s="75" t="s">
        <v>222</v>
      </c>
      <c r="B188" s="76" t="str">
        <v>GIS APPLICATIONS</v>
      </c>
      <c r="C188" s="76" t="str">
        <v>Appiah-Adjei Emmanuel Kwame</v>
      </c>
      <c r="D188" s="75" t="s">
        <v>154</v>
      </c>
      <c r="E188" s="77">
        <v>154</v>
      </c>
      <c r="F188" s="80" t="s">
        <v>677</v>
      </c>
      <c r="G188" s="78">
        <f t="shared" si="24"/>
        <v>169.4</v>
      </c>
      <c r="H188" s="19" t="s">
        <v>678</v>
      </c>
      <c r="I188" s="20" t="str">
        <f t="shared" si="25"/>
        <v>GED 368,ED3-GEOL</v>
      </c>
      <c r="J188" s="25"/>
    </row>
    <row r="189" spans="1:10" ht="15.5" x14ac:dyDescent="0.35">
      <c r="A189" s="75" t="s">
        <v>223</v>
      </c>
      <c r="B189" s="76" t="str">
        <v>MATERIALS QUALITY CONTROL, ASSURRANCE AND SELECTION</v>
      </c>
      <c r="C189" s="76" t="str">
        <v>Arthur Emmanuel Kwesi</v>
      </c>
      <c r="D189" s="75" t="s">
        <v>136</v>
      </c>
      <c r="E189" s="77">
        <v>55</v>
      </c>
      <c r="F189" s="80" t="s">
        <v>539</v>
      </c>
      <c r="G189" s="78">
        <f t="shared" si="24"/>
        <v>60.500000000000007</v>
      </c>
      <c r="H189" s="19" t="s">
        <v>679</v>
      </c>
      <c r="I189" s="20" t="str">
        <f t="shared" si="25"/>
        <v>MSE 456,ED4-METE</v>
      </c>
      <c r="J189" s="25"/>
    </row>
    <row r="190" spans="1:10" ht="15.5" x14ac:dyDescent="0.35">
      <c r="A190" s="75" t="s">
        <v>223</v>
      </c>
      <c r="B190" s="79" t="str">
        <v>MATERIALS QUALITY CONTROL, ASSURRANCE AND SELECTION</v>
      </c>
      <c r="C190" s="79" t="str">
        <v>Arthur Emmanuel Kwesi</v>
      </c>
      <c r="D190" s="75" t="s">
        <v>135</v>
      </c>
      <c r="E190" s="77">
        <v>60</v>
      </c>
      <c r="F190" s="80" t="s">
        <v>579</v>
      </c>
      <c r="G190" s="78">
        <f t="shared" si="24"/>
        <v>66</v>
      </c>
      <c r="H190" s="19" t="s">
        <v>680</v>
      </c>
      <c r="I190" s="20" t="str">
        <f t="shared" si="25"/>
        <v>MSE 456,ED4-MSE</v>
      </c>
      <c r="J190" s="25"/>
    </row>
    <row r="191" spans="1:10" ht="15.5" x14ac:dyDescent="0.35">
      <c r="A191" s="75" t="s">
        <v>224</v>
      </c>
      <c r="B191" s="79" t="str">
        <v>STRATIGRAPHY</v>
      </c>
      <c r="C191" s="76" t="str">
        <v>Amedjoe Godfrey Chiri</v>
      </c>
      <c r="D191" s="75" t="s">
        <v>55</v>
      </c>
      <c r="E191" s="77">
        <v>150</v>
      </c>
      <c r="F191" s="80" t="s">
        <v>533</v>
      </c>
      <c r="G191" s="78">
        <f t="shared" si="24"/>
        <v>165</v>
      </c>
      <c r="H191" s="49" t="s">
        <v>681</v>
      </c>
      <c r="I191" s="20" t="str">
        <f t="shared" si="25"/>
        <v>GED 252,ED2-GEOL</v>
      </c>
      <c r="J191" s="25"/>
    </row>
    <row r="192" spans="1:10" ht="15.5" x14ac:dyDescent="0.35">
      <c r="A192" s="75" t="s">
        <v>225</v>
      </c>
      <c r="B192" s="76" t="str">
        <v>INDUSTRIAL ENGINEEGING LABORATORY II</v>
      </c>
      <c r="C192" s="76" t="str">
        <v>Fiagbe Yesuenyeagbe Atsu Kwabla</v>
      </c>
      <c r="D192" s="75" t="s">
        <v>38</v>
      </c>
      <c r="E192" s="77">
        <v>80</v>
      </c>
      <c r="F192" s="80" t="s">
        <v>574</v>
      </c>
      <c r="G192" s="78">
        <f t="shared" si="24"/>
        <v>88</v>
      </c>
      <c r="H192" s="19" t="s">
        <v>661</v>
      </c>
      <c r="I192" s="20" t="str">
        <f t="shared" si="25"/>
        <v>IE 296,ED2-IND</v>
      </c>
      <c r="J192" s="25"/>
    </row>
    <row r="193" spans="1:10" ht="15.5" x14ac:dyDescent="0.35">
      <c r="A193" s="75" t="s">
        <v>228</v>
      </c>
      <c r="B193" s="79" t="str">
        <v>SHIP SAFETY, ENVIRONMENTAL PROTECTION AND SAFE WATCH KEEPING</v>
      </c>
      <c r="C193" s="79" t="str">
        <v>Larkai Francis Laako</v>
      </c>
      <c r="D193" s="75" t="s">
        <v>69</v>
      </c>
      <c r="E193" s="77">
        <v>23</v>
      </c>
      <c r="F193" s="80" t="s">
        <v>616</v>
      </c>
      <c r="G193" s="78">
        <f t="shared" si="24"/>
        <v>25.3</v>
      </c>
      <c r="H193" s="19">
        <v>23</v>
      </c>
      <c r="I193" s="20" t="str">
        <f t="shared" si="25"/>
        <v>MME 486,ED4-MARI</v>
      </c>
      <c r="J193" s="25"/>
    </row>
    <row r="194" spans="1:10" s="53" customFormat="1" ht="15.5" x14ac:dyDescent="0.35">
      <c r="A194" s="75" t="s">
        <v>330</v>
      </c>
      <c r="B194" s="79" t="str">
        <v>MEDICAL IMAGING I</v>
      </c>
      <c r="C194" s="79" t="str">
        <v>Kotei Addison Eric Clement</v>
      </c>
      <c r="D194" s="75" t="s">
        <v>65</v>
      </c>
      <c r="E194" s="77">
        <v>90</v>
      </c>
      <c r="F194" s="80" t="s">
        <v>628</v>
      </c>
      <c r="G194" s="78">
        <f t="shared" si="24"/>
        <v>99.000000000000014</v>
      </c>
      <c r="H194" s="19" t="s">
        <v>682</v>
      </c>
      <c r="I194" s="51" t="str">
        <f t="shared" si="25"/>
        <v>BME 364,ED3-BME</v>
      </c>
      <c r="J194" s="52"/>
    </row>
    <row r="195" spans="1:10" ht="15.5" x14ac:dyDescent="0.35">
      <c r="A195" s="75" t="s">
        <v>242</v>
      </c>
      <c r="B195" s="79" t="str">
        <v>BASIC AGRICULTURE</v>
      </c>
      <c r="C195" s="79" t="str">
        <v>Bessah Enoch</v>
      </c>
      <c r="D195" s="75" t="s">
        <v>131</v>
      </c>
      <c r="E195" s="77">
        <v>128</v>
      </c>
      <c r="F195" s="80" t="s">
        <v>683</v>
      </c>
      <c r="G195" s="78">
        <f t="shared" si="24"/>
        <v>140.80000000000001</v>
      </c>
      <c r="H195" s="19" t="s">
        <v>684</v>
      </c>
      <c r="I195" s="20" t="str">
        <f t="shared" si="25"/>
        <v>AE 162,ED1-AE</v>
      </c>
      <c r="J195" s="25"/>
    </row>
    <row r="196" spans="1:10" ht="15.5" x14ac:dyDescent="0.35">
      <c r="A196" s="75" t="s">
        <v>229</v>
      </c>
      <c r="B196" s="76" t="str">
        <v>INDUSTRIAL ENGINEERING LAB III</v>
      </c>
      <c r="C196" s="79" t="str">
        <v>Oppong David Kofi</v>
      </c>
      <c r="D196" s="75" t="s">
        <v>121</v>
      </c>
      <c r="E196" s="77">
        <v>70</v>
      </c>
      <c r="F196" s="80" t="s">
        <v>546</v>
      </c>
      <c r="G196" s="78">
        <f t="shared" si="24"/>
        <v>77</v>
      </c>
      <c r="H196" s="19">
        <v>70</v>
      </c>
      <c r="I196" s="20" t="str">
        <f t="shared" si="25"/>
        <v>IE 362,ED3-IND</v>
      </c>
      <c r="J196" s="25"/>
    </row>
    <row r="197" spans="1:10" ht="15.5" x14ac:dyDescent="0.35">
      <c r="A197" s="75" t="s">
        <v>230</v>
      </c>
      <c r="B197" s="76" t="str">
        <v>MARINE ENGINEERING LABORATORY I</v>
      </c>
      <c r="C197" s="76" t="str">
        <v>Fiagbe Yesuenyeagbe Atsu Kwabla</v>
      </c>
      <c r="D197" s="75" t="s">
        <v>42</v>
      </c>
      <c r="E197" s="77">
        <v>37</v>
      </c>
      <c r="F197" s="80" t="s">
        <v>541</v>
      </c>
      <c r="G197" s="78">
        <f t="shared" si="24"/>
        <v>40.700000000000003</v>
      </c>
      <c r="H197" s="19">
        <v>37</v>
      </c>
      <c r="I197" s="20" t="str">
        <f t="shared" si="25"/>
        <v>MME 296,ED2-MARI</v>
      </c>
      <c r="J197" s="25"/>
    </row>
    <row r="198" spans="1:10" ht="15.5" x14ac:dyDescent="0.35">
      <c r="A198" s="81"/>
      <c r="B198" s="81"/>
      <c r="C198" s="72"/>
      <c r="D198" s="76" t="s">
        <v>231</v>
      </c>
      <c r="E198" s="82">
        <f>SUM(E185:E197)</f>
        <v>1202</v>
      </c>
      <c r="F198" s="83"/>
      <c r="G198" s="84"/>
      <c r="I198" s="22" t="s">
        <v>232</v>
      </c>
      <c r="J198" s="25"/>
    </row>
    <row r="199" spans="1:10" ht="15.5" x14ac:dyDescent="0.35">
      <c r="A199" s="6" t="s">
        <v>217</v>
      </c>
      <c r="B199" s="6"/>
      <c r="C199" s="6"/>
      <c r="D199" s="6"/>
      <c r="E199" s="6"/>
      <c r="F199" s="6"/>
      <c r="G199" s="6"/>
      <c r="I199" s="22" t="str">
        <f>A199</f>
        <v>Friday, 21 August 2026</v>
      </c>
      <c r="J199" s="25"/>
    </row>
    <row r="200" spans="1:10" ht="15.5" x14ac:dyDescent="0.35">
      <c r="A200" s="6" t="s">
        <v>29</v>
      </c>
      <c r="B200" s="6"/>
      <c r="C200" s="6"/>
      <c r="D200" s="6"/>
      <c r="E200" s="6"/>
      <c r="F200" s="6"/>
      <c r="G200" s="6"/>
      <c r="I200" s="22" t="str">
        <f>A200</f>
        <v>Session, 2 (12:00 PM - 2:00 PM)</v>
      </c>
      <c r="J200" s="25"/>
    </row>
    <row r="201" spans="1:10" ht="15.5" x14ac:dyDescent="0.35">
      <c r="A201" s="71" t="s">
        <v>4</v>
      </c>
      <c r="B201" s="71" t="s">
        <v>5</v>
      </c>
      <c r="C201" s="72" t="s">
        <v>6</v>
      </c>
      <c r="D201" s="71" t="s">
        <v>7</v>
      </c>
      <c r="E201" s="73" t="s">
        <v>8</v>
      </c>
      <c r="F201" s="72" t="s">
        <v>9</v>
      </c>
      <c r="G201" s="74" t="s">
        <v>10</v>
      </c>
      <c r="I201" s="22" t="s">
        <v>31</v>
      </c>
      <c r="J201" s="25"/>
    </row>
    <row r="202" spans="1:10" ht="15.5" x14ac:dyDescent="0.35">
      <c r="A202" s="75" t="s">
        <v>233</v>
      </c>
      <c r="B202" s="79" t="str">
        <f t="array" ref="B202:B208">IFERROR(VLOOKUP(I202:I208,Lectures_1!A2:F534,2,FALSE()),0)</f>
        <v>DIGITAL CONTROL SYSTEMS</v>
      </c>
      <c r="C202" s="76" t="str">
        <f t="array" ref="C202:C208">IFERROR(VLOOKUP(I202:I208,Lectures_1!A2:F534,3,FALSE()),0)</f>
        <v>Opoku Daniel</v>
      </c>
      <c r="D202" s="75" t="s">
        <v>71</v>
      </c>
      <c r="E202" s="77">
        <f t="array" ref="E202:E208">IFERROR(VLOOKUP(I202:I208,Lectures_1!A2:F534,4,FALSE()),0)</f>
        <v>70</v>
      </c>
      <c r="F202" s="75" t="s">
        <v>685</v>
      </c>
      <c r="G202" s="78">
        <f t="shared" ref="G202:G208" si="26">E202*1.1</f>
        <v>77</v>
      </c>
      <c r="H202" s="19" t="s">
        <v>590</v>
      </c>
      <c r="I202" s="20" t="str">
        <f t="shared" ref="I202:I209" si="27">CONCATENATE(A202,",",D202)</f>
        <v>EE 380,ED3-EE</v>
      </c>
      <c r="J202" s="25"/>
    </row>
    <row r="203" spans="1:10" ht="15.5" x14ac:dyDescent="0.35">
      <c r="A203" s="75" t="s">
        <v>234</v>
      </c>
      <c r="B203" s="76" t="str">
        <v>BASIC ELECTRONICS</v>
      </c>
      <c r="C203" s="76" t="str">
        <v>Kwegyir Daniel</v>
      </c>
      <c r="D203" s="75" t="s">
        <v>75</v>
      </c>
      <c r="E203" s="77">
        <v>245</v>
      </c>
      <c r="F203" s="80" t="s">
        <v>533</v>
      </c>
      <c r="G203" s="78">
        <f t="shared" si="26"/>
        <v>269.5</v>
      </c>
      <c r="H203" s="17" t="s">
        <v>686</v>
      </c>
      <c r="I203" s="20" t="str">
        <f t="shared" si="27"/>
        <v>EE 152,ED1-CE</v>
      </c>
      <c r="J203" s="25"/>
    </row>
    <row r="204" spans="1:10" ht="15.5" x14ac:dyDescent="0.35">
      <c r="A204" s="75" t="s">
        <v>235</v>
      </c>
      <c r="B204" s="79" t="str">
        <v>ELECTROMAGNETIC FIELDS</v>
      </c>
      <c r="C204" s="79" t="str">
        <v>Kwame Oteng Gyasi</v>
      </c>
      <c r="D204" s="75" t="s">
        <v>25</v>
      </c>
      <c r="E204" s="77">
        <v>340</v>
      </c>
      <c r="F204" s="80" t="s">
        <v>687</v>
      </c>
      <c r="G204" s="78">
        <f t="shared" si="26"/>
        <v>374.00000000000006</v>
      </c>
      <c r="H204" s="19" t="s">
        <v>688</v>
      </c>
      <c r="I204" s="20" t="str">
        <f t="shared" si="27"/>
        <v>TE 254,ED2-EE</v>
      </c>
      <c r="J204" s="25"/>
    </row>
    <row r="205" spans="1:10" ht="15.5" x14ac:dyDescent="0.35">
      <c r="A205" s="75" t="s">
        <v>235</v>
      </c>
      <c r="B205" s="79" t="str">
        <v>ELECTROMAGNETIC FIELD THEORY</v>
      </c>
      <c r="C205" s="79" t="str">
        <v>Kwame Oteng Gyasi</v>
      </c>
      <c r="D205" s="75" t="s">
        <v>172</v>
      </c>
      <c r="E205" s="77">
        <v>175</v>
      </c>
      <c r="F205" s="80" t="s">
        <v>689</v>
      </c>
      <c r="G205" s="78">
        <f t="shared" si="26"/>
        <v>192.50000000000003</v>
      </c>
      <c r="H205" s="19" t="s">
        <v>690</v>
      </c>
      <c r="I205" s="20" t="str">
        <f t="shared" si="27"/>
        <v>TE 254,ED2-TEL</v>
      </c>
      <c r="J205" s="25"/>
    </row>
    <row r="206" spans="1:10" ht="15.5" x14ac:dyDescent="0.35">
      <c r="A206" s="75" t="s">
        <v>284</v>
      </c>
      <c r="B206" s="76" t="str">
        <v>LAND LAW AND REGISTRATION</v>
      </c>
      <c r="C206" s="79" t="str">
        <v>Arko-Adjei Anthony</v>
      </c>
      <c r="D206" s="75" t="s">
        <v>194</v>
      </c>
      <c r="E206" s="77">
        <v>93</v>
      </c>
      <c r="F206" s="80" t="s">
        <v>571</v>
      </c>
      <c r="G206" s="78">
        <f t="shared" si="26"/>
        <v>102.30000000000001</v>
      </c>
      <c r="H206" s="19" t="s">
        <v>691</v>
      </c>
      <c r="I206" s="20" t="str">
        <f t="shared" si="27"/>
        <v>GE 472,ED4-GEOM</v>
      </c>
      <c r="J206" s="25"/>
    </row>
    <row r="207" spans="1:10" ht="15" customHeight="1" x14ac:dyDescent="0.35">
      <c r="A207" s="75" t="s">
        <v>113</v>
      </c>
      <c r="B207" s="76" t="str">
        <v>PRINCIPLES OF MATERIAL SCIENCE</v>
      </c>
      <c r="C207" s="76" t="str">
        <v>Agyemang Frank Ofori</v>
      </c>
      <c r="D207" s="75" t="s">
        <v>109</v>
      </c>
      <c r="E207" s="77">
        <v>80</v>
      </c>
      <c r="F207" s="80" t="s">
        <v>571</v>
      </c>
      <c r="G207" s="78">
        <f t="shared" si="26"/>
        <v>88</v>
      </c>
      <c r="H207" s="19" t="s">
        <v>692</v>
      </c>
      <c r="I207" s="20" t="str">
        <f t="shared" si="27"/>
        <v>MSE 154,ED2-BME</v>
      </c>
      <c r="J207" s="25"/>
    </row>
    <row r="208" spans="1:10" ht="15.5" x14ac:dyDescent="0.35">
      <c r="A208" s="75" t="s">
        <v>236</v>
      </c>
      <c r="B208" s="79" t="str">
        <v>MECHANICAL ENGINEERING MATERIALS II</v>
      </c>
      <c r="C208" s="79" t="str">
        <v>Agyemang Frank Ofori</v>
      </c>
      <c r="D208" s="75" t="s">
        <v>53</v>
      </c>
      <c r="E208" s="77">
        <v>155</v>
      </c>
      <c r="F208" s="80" t="s">
        <v>693</v>
      </c>
      <c r="G208" s="78">
        <f t="shared" si="26"/>
        <v>170.5</v>
      </c>
      <c r="H208" s="19" t="s">
        <v>694</v>
      </c>
      <c r="I208" s="20" t="str">
        <f t="shared" si="27"/>
        <v>ME 282,ED2-AE</v>
      </c>
      <c r="J208" s="25"/>
    </row>
    <row r="209" spans="1:10" ht="15.5" x14ac:dyDescent="0.35">
      <c r="A209" s="75"/>
      <c r="B209" s="76"/>
      <c r="C209" s="76"/>
      <c r="D209" s="76" t="s">
        <v>237</v>
      </c>
      <c r="E209" s="82">
        <f>SUM(E202:E208)</f>
        <v>1158</v>
      </c>
      <c r="F209" s="80"/>
      <c r="G209" s="78"/>
      <c r="I209" s="20" t="str">
        <f t="shared" si="27"/>
        <v>,Total F1-2</v>
      </c>
      <c r="J209" s="25"/>
    </row>
    <row r="210" spans="1:10" ht="15.5" x14ac:dyDescent="0.35">
      <c r="A210" s="6" t="s">
        <v>217</v>
      </c>
      <c r="B210" s="6"/>
      <c r="C210" s="6"/>
      <c r="D210" s="6"/>
      <c r="E210" s="6"/>
      <c r="F210" s="6"/>
      <c r="G210" s="6"/>
      <c r="I210" s="22" t="str">
        <f>A210</f>
        <v>Friday, 21 August 2026</v>
      </c>
      <c r="J210" s="25"/>
    </row>
    <row r="211" spans="1:10" ht="15.5" x14ac:dyDescent="0.35">
      <c r="A211" s="6" t="s">
        <v>59</v>
      </c>
      <c r="B211" s="6"/>
      <c r="C211" s="6"/>
      <c r="D211" s="6"/>
      <c r="E211" s="6"/>
      <c r="F211" s="6"/>
      <c r="G211" s="6"/>
      <c r="I211" s="22" t="str">
        <f>A211</f>
        <v>Session, 3 (3:00 PM - 5:00 PM)</v>
      </c>
      <c r="J211" s="25"/>
    </row>
    <row r="212" spans="1:10" ht="15.5" x14ac:dyDescent="0.35">
      <c r="A212" s="71" t="s">
        <v>4</v>
      </c>
      <c r="B212" s="71" t="s">
        <v>5</v>
      </c>
      <c r="C212" s="72" t="s">
        <v>6</v>
      </c>
      <c r="D212" s="71" t="s">
        <v>7</v>
      </c>
      <c r="E212" s="73" t="s">
        <v>8</v>
      </c>
      <c r="F212" s="72" t="s">
        <v>9</v>
      </c>
      <c r="G212" s="74" t="s">
        <v>10</v>
      </c>
      <c r="I212" s="22" t="s">
        <v>31</v>
      </c>
      <c r="J212" s="25"/>
    </row>
    <row r="213" spans="1:10" ht="15.5" x14ac:dyDescent="0.35">
      <c r="A213" s="75" t="s">
        <v>238</v>
      </c>
      <c r="B213" s="79" t="str">
        <f t="array" ref="B213:B220">IFERROR(VLOOKUP(I213:I220,Lectures_1!A2:F534,2,FALSE()),0)</f>
        <v>MARINE INDUSTRIAL ENGINEERING AND ERGONOMICS</v>
      </c>
      <c r="C213" s="76" t="str">
        <f t="array" ref="C213:C220">IFERROR(VLOOKUP(I213:I220,Lectures_1!A2:F534,3,FALSE()),0)</f>
        <v>Mensah Lena Dzifa</v>
      </c>
      <c r="D213" s="75" t="s">
        <v>86</v>
      </c>
      <c r="E213" s="77">
        <f t="array" ref="E213:E220">IFERROR(VLOOKUP(I213:I220,Lectures_1!A2:F534,4,FALSE()),0)</f>
        <v>40</v>
      </c>
      <c r="F213" s="75" t="s">
        <v>695</v>
      </c>
      <c r="G213" s="78">
        <f t="shared" ref="G213:G220" si="28">E213*1.1</f>
        <v>44</v>
      </c>
      <c r="H213" s="19" t="s">
        <v>559</v>
      </c>
      <c r="I213" s="20" t="str">
        <f t="shared" ref="I213:I221" si="29">CONCATENATE(A213,",",D213)</f>
        <v>MME 392,ED3-MARI</v>
      </c>
      <c r="J213" s="25"/>
    </row>
    <row r="214" spans="1:10" ht="15" customHeight="1" x14ac:dyDescent="0.35">
      <c r="A214" s="75" t="s">
        <v>239</v>
      </c>
      <c r="B214" s="79" t="str">
        <v>INDUSTRIAL ENGINEERING AND ERGONOMICS</v>
      </c>
      <c r="C214" s="79" t="str">
        <v>Mensah Lena Dzifa</v>
      </c>
      <c r="D214" s="75" t="s">
        <v>133</v>
      </c>
      <c r="E214" s="77">
        <v>76</v>
      </c>
      <c r="F214" s="80" t="s">
        <v>696</v>
      </c>
      <c r="G214" s="78">
        <f t="shared" si="28"/>
        <v>83.600000000000009</v>
      </c>
      <c r="H214" s="19" t="s">
        <v>697</v>
      </c>
      <c r="I214" s="20" t="str">
        <f t="shared" si="29"/>
        <v>ME 392,ED3-AERO</v>
      </c>
      <c r="J214" s="25"/>
    </row>
    <row r="215" spans="1:10" ht="15.5" x14ac:dyDescent="0.35">
      <c r="A215" s="75" t="s">
        <v>240</v>
      </c>
      <c r="B215" s="79" t="str">
        <v>INDUSTRIAL ENGINEERING AND ERGONOMICS</v>
      </c>
      <c r="C215" s="79" t="str">
        <v>Mensah Lena Dzifa</v>
      </c>
      <c r="D215" s="75" t="s">
        <v>33</v>
      </c>
      <c r="E215" s="77">
        <v>240</v>
      </c>
      <c r="F215" s="80" t="s">
        <v>531</v>
      </c>
      <c r="G215" s="78">
        <f t="shared" si="28"/>
        <v>264</v>
      </c>
      <c r="H215" s="19" t="s">
        <v>612</v>
      </c>
      <c r="I215" s="20" t="str">
        <f t="shared" si="29"/>
        <v>ME 292,ED2-ME</v>
      </c>
      <c r="J215" s="25"/>
    </row>
    <row r="216" spans="1:10" ht="15.5" x14ac:dyDescent="0.35">
      <c r="A216" s="75" t="s">
        <v>241</v>
      </c>
      <c r="B216" s="79" t="str">
        <v>INDUSTRIAL ENGINEERING AND ERGONOMICS</v>
      </c>
      <c r="C216" s="79" t="str">
        <v>Mensah Lena Dzifa</v>
      </c>
      <c r="D216" s="75" t="s">
        <v>23</v>
      </c>
      <c r="E216" s="77">
        <v>40</v>
      </c>
      <c r="F216" s="80" t="s">
        <v>633</v>
      </c>
      <c r="G216" s="78">
        <f t="shared" si="28"/>
        <v>44</v>
      </c>
      <c r="H216" s="19">
        <v>40</v>
      </c>
      <c r="I216" s="20" t="str">
        <f t="shared" si="29"/>
        <v>AME 392,ED3-AUTO</v>
      </c>
      <c r="J216" s="25"/>
    </row>
    <row r="217" spans="1:10" ht="15.5" x14ac:dyDescent="0.35">
      <c r="A217" s="75" t="s">
        <v>214</v>
      </c>
      <c r="B217" s="76" t="str">
        <v>ADVANCED ENGINEERING GEOLLOGY</v>
      </c>
      <c r="C217" s="79" t="str">
        <v>Gidigasu Solomon Senyo Robert</v>
      </c>
      <c r="D217" s="75" t="s">
        <v>177</v>
      </c>
      <c r="E217" s="77">
        <v>95</v>
      </c>
      <c r="F217" s="80" t="s">
        <v>582</v>
      </c>
      <c r="G217" s="78">
        <f t="shared" si="28"/>
        <v>104.50000000000001</v>
      </c>
      <c r="H217" s="19" t="s">
        <v>698</v>
      </c>
      <c r="I217" s="20" t="str">
        <f t="shared" si="29"/>
        <v>GED 452,ED4-GEOL</v>
      </c>
      <c r="J217" s="25"/>
    </row>
    <row r="218" spans="1:10" ht="15.5" x14ac:dyDescent="0.35">
      <c r="A218" s="75" t="s">
        <v>234</v>
      </c>
      <c r="B218" s="76" t="str">
        <v>BASIC ELECTRONICS</v>
      </c>
      <c r="C218" s="76" t="str">
        <v>Yaw Opoku Mensah Sekyere</v>
      </c>
      <c r="D218" s="75" t="s">
        <v>80</v>
      </c>
      <c r="E218" s="77">
        <v>120</v>
      </c>
      <c r="F218" s="80" t="s">
        <v>611</v>
      </c>
      <c r="G218" s="78">
        <f t="shared" si="28"/>
        <v>132</v>
      </c>
      <c r="H218" s="17" t="s">
        <v>699</v>
      </c>
      <c r="I218" s="20" t="str">
        <f t="shared" si="29"/>
        <v>EE 152,ED1-CHE</v>
      </c>
      <c r="J218" s="25"/>
    </row>
    <row r="219" spans="1:10" ht="15.5" x14ac:dyDescent="0.35">
      <c r="A219" s="75" t="s">
        <v>234</v>
      </c>
      <c r="B219" s="76" t="str">
        <v>BASIC ELECTRONICS</v>
      </c>
      <c r="C219" s="76" t="str">
        <v>Yaw Opoku Mensah Sekyere</v>
      </c>
      <c r="D219" s="75" t="s">
        <v>51</v>
      </c>
      <c r="E219" s="77">
        <v>295</v>
      </c>
      <c r="F219" s="91" t="s">
        <v>700</v>
      </c>
      <c r="G219" s="78">
        <f t="shared" si="28"/>
        <v>324.5</v>
      </c>
      <c r="H219" s="19" t="s">
        <v>701</v>
      </c>
      <c r="I219" s="20" t="str">
        <f t="shared" si="29"/>
        <v>EE 152,ED1-EE</v>
      </c>
      <c r="J219" s="25"/>
    </row>
    <row r="220" spans="1:10" ht="15.5" x14ac:dyDescent="0.35">
      <c r="A220" s="75" t="s">
        <v>234</v>
      </c>
      <c r="B220" s="79" t="str">
        <v>BASIC ELECTRONICS</v>
      </c>
      <c r="C220" s="79" t="str">
        <v>Yaw Opoku Mensah Sekyere</v>
      </c>
      <c r="D220" s="75" t="s">
        <v>161</v>
      </c>
      <c r="E220" s="77">
        <v>225</v>
      </c>
      <c r="F220" s="80" t="s">
        <v>702</v>
      </c>
      <c r="G220" s="78">
        <f t="shared" si="28"/>
        <v>247.50000000000003</v>
      </c>
      <c r="H220" s="19" t="s">
        <v>703</v>
      </c>
      <c r="I220" s="20" t="str">
        <f t="shared" si="29"/>
        <v>EE 152,ED1-ME</v>
      </c>
      <c r="J220" s="25"/>
    </row>
    <row r="221" spans="1:10" ht="15.5" x14ac:dyDescent="0.35">
      <c r="A221" s="75"/>
      <c r="B221" s="76"/>
      <c r="C221" s="76"/>
      <c r="D221" s="76" t="s">
        <v>237</v>
      </c>
      <c r="E221" s="82">
        <f>SUM(E213:E220)</f>
        <v>1131</v>
      </c>
      <c r="F221" s="80"/>
      <c r="G221" s="78"/>
      <c r="I221" s="20" t="str">
        <f t="shared" si="29"/>
        <v>,Total F1-2</v>
      </c>
      <c r="J221" s="25"/>
    </row>
    <row r="222" spans="1:10" ht="15.5" x14ac:dyDescent="0.35">
      <c r="A222" s="6" t="s">
        <v>243</v>
      </c>
      <c r="B222" s="6"/>
      <c r="C222" s="6"/>
      <c r="D222" s="6"/>
      <c r="E222" s="6"/>
      <c r="F222" s="6"/>
      <c r="G222" s="6"/>
      <c r="I222" s="22" t="str">
        <f>A222</f>
        <v>Monday, 24 August 2026</v>
      </c>
      <c r="J222" s="25"/>
    </row>
    <row r="223" spans="1:10" ht="15.5" x14ac:dyDescent="0.35">
      <c r="A223" s="6" t="s">
        <v>2</v>
      </c>
      <c r="B223" s="6"/>
      <c r="C223" s="6"/>
      <c r="D223" s="6"/>
      <c r="E223" s="6"/>
      <c r="F223" s="6"/>
      <c r="G223" s="6"/>
      <c r="I223" s="22" t="str">
        <f>A223</f>
        <v>Session, 1 (8:30 AM - 10:30 AM)</v>
      </c>
      <c r="J223" s="25"/>
    </row>
    <row r="224" spans="1:10" ht="15.5" x14ac:dyDescent="0.35">
      <c r="A224" s="71" t="s">
        <v>4</v>
      </c>
      <c r="B224" s="71" t="s">
        <v>5</v>
      </c>
      <c r="C224" s="72" t="s">
        <v>6</v>
      </c>
      <c r="D224" s="71" t="s">
        <v>7</v>
      </c>
      <c r="E224" s="73" t="s">
        <v>8</v>
      </c>
      <c r="F224" s="79" t="s">
        <v>9</v>
      </c>
      <c r="G224" s="74" t="s">
        <v>10</v>
      </c>
      <c r="I224" s="22" t="s">
        <v>31</v>
      </c>
      <c r="J224" s="25"/>
    </row>
    <row r="225" spans="1:10" ht="15.5" x14ac:dyDescent="0.35">
      <c r="A225" s="75" t="s">
        <v>245</v>
      </c>
      <c r="B225" s="76" t="str">
        <f t="array" ref="B225:B239">IFERROR(VLOOKUP(I225:I239,Lectures_1!A2:F534,2,FALSE()),0)</f>
        <v>FRENCH FOR COMMUNICATION II</v>
      </c>
      <c r="C225" s="79" t="str">
        <f t="array" ref="C225:C239">IFERROR(VLOOKUP(I225:I239,Lectures_1!A2:F534,3,FALSE()),0)</f>
        <v>Boakye-Agyeman Candy</v>
      </c>
      <c r="D225" s="75" t="s">
        <v>172</v>
      </c>
      <c r="E225" s="77">
        <f t="array" ref="E225:E239">IFERROR(VLOOKUP(I225:I239,Lectures_1!A2:F534,4,FALSE()),0)</f>
        <v>103</v>
      </c>
      <c r="F225" s="80" t="s">
        <v>582</v>
      </c>
      <c r="G225" s="78">
        <f t="shared" ref="G225:G239" si="30">E225*1.1</f>
        <v>113.30000000000001</v>
      </c>
      <c r="H225" s="19" t="s">
        <v>660</v>
      </c>
      <c r="I225" s="20" t="str">
        <f t="shared" ref="I225:I239" si="31">CONCATENATE(A225,",",D225)</f>
        <v>FC 182,ED2-TEL</v>
      </c>
      <c r="J225" s="25"/>
    </row>
    <row r="226" spans="1:10" ht="15.5" x14ac:dyDescent="0.35">
      <c r="A226" s="75" t="s">
        <v>245</v>
      </c>
      <c r="B226" s="76" t="str">
        <v>FRENCH FOR COMMUNICATION II</v>
      </c>
      <c r="C226" s="79" t="str">
        <v>Alexander Ocloo</v>
      </c>
      <c r="D226" s="75" t="s">
        <v>73</v>
      </c>
      <c r="E226" s="77">
        <v>55</v>
      </c>
      <c r="F226" s="80" t="s">
        <v>704</v>
      </c>
      <c r="G226" s="78">
        <f t="shared" si="30"/>
        <v>60.500000000000007</v>
      </c>
      <c r="H226" s="19" t="s">
        <v>598</v>
      </c>
      <c r="I226" s="20" t="str">
        <f t="shared" si="31"/>
        <v>FC 182,ED3-CHE</v>
      </c>
      <c r="J226" s="25"/>
    </row>
    <row r="227" spans="1:10" ht="15.5" x14ac:dyDescent="0.35">
      <c r="A227" s="75" t="s">
        <v>245</v>
      </c>
      <c r="B227" s="79" t="str">
        <v>FRENCH FOR COMMUNICATION  II</v>
      </c>
      <c r="C227" s="79" t="str">
        <v>Pharis Jeel Darko</v>
      </c>
      <c r="D227" s="75" t="s">
        <v>77</v>
      </c>
      <c r="E227" s="77">
        <v>65</v>
      </c>
      <c r="F227" s="80" t="s">
        <v>705</v>
      </c>
      <c r="G227" s="78">
        <f t="shared" si="30"/>
        <v>71.5</v>
      </c>
      <c r="H227" s="19">
        <v>65</v>
      </c>
      <c r="I227" s="20" t="str">
        <f t="shared" si="31"/>
        <v>FC 182,ED3-GEOM</v>
      </c>
      <c r="J227" s="25"/>
    </row>
    <row r="228" spans="1:10" ht="15.5" x14ac:dyDescent="0.35">
      <c r="A228" s="75" t="s">
        <v>245</v>
      </c>
      <c r="B228" s="79" t="str">
        <v>FRENCH FOR COMMUNICATION II</v>
      </c>
      <c r="C228" s="79" t="str">
        <v>Alexander Ocloo</v>
      </c>
      <c r="D228" s="75" t="s">
        <v>25</v>
      </c>
      <c r="E228" s="77">
        <v>170</v>
      </c>
      <c r="F228" s="80" t="s">
        <v>706</v>
      </c>
      <c r="G228" s="78">
        <f t="shared" si="30"/>
        <v>187.00000000000003</v>
      </c>
      <c r="H228" s="19" t="s">
        <v>707</v>
      </c>
      <c r="I228" s="20" t="str">
        <f t="shared" si="31"/>
        <v>FC 182,ED2-EE</v>
      </c>
      <c r="J228" s="25"/>
    </row>
    <row r="229" spans="1:10" ht="15.5" x14ac:dyDescent="0.35">
      <c r="A229" s="75" t="s">
        <v>245</v>
      </c>
      <c r="B229" s="79" t="str">
        <v>FRENCH FOR COMMUNICATION II</v>
      </c>
      <c r="C229" s="79" t="str">
        <v>Boakye-Agyeman Candy</v>
      </c>
      <c r="D229" s="75" t="s">
        <v>126</v>
      </c>
      <c r="E229" s="77">
        <v>90</v>
      </c>
      <c r="F229" s="80" t="s">
        <v>708</v>
      </c>
      <c r="G229" s="78">
        <f t="shared" si="30"/>
        <v>99.000000000000014</v>
      </c>
      <c r="H229" s="19" t="s">
        <v>709</v>
      </c>
      <c r="I229" s="20" t="str">
        <f t="shared" si="31"/>
        <v>FC 182,ED1-GEOL</v>
      </c>
      <c r="J229" s="25"/>
    </row>
    <row r="230" spans="1:10" ht="15.5" x14ac:dyDescent="0.35">
      <c r="A230" s="75" t="s">
        <v>245</v>
      </c>
      <c r="B230" s="79" t="str">
        <v>FRENCH FOR COMMUNICATION II</v>
      </c>
      <c r="C230" s="79" t="str">
        <v>Boakye-Agyeman Candy</v>
      </c>
      <c r="D230" s="75" t="s">
        <v>75</v>
      </c>
      <c r="E230" s="77">
        <v>160</v>
      </c>
      <c r="F230" s="80" t="s">
        <v>710</v>
      </c>
      <c r="G230" s="78">
        <f t="shared" si="30"/>
        <v>176</v>
      </c>
      <c r="H230" s="19" t="s">
        <v>711</v>
      </c>
      <c r="I230" s="20" t="str">
        <f t="shared" si="31"/>
        <v>FC 182,ED1-CE</v>
      </c>
      <c r="J230" s="25"/>
    </row>
    <row r="231" spans="1:10" ht="15.5" x14ac:dyDescent="0.35">
      <c r="A231" s="75" t="s">
        <v>245</v>
      </c>
      <c r="B231" s="79" t="str">
        <v>FRENCH FOR COMMUNICATION II</v>
      </c>
      <c r="C231" s="79" t="str">
        <v>Boakye-Agyeman Candy</v>
      </c>
      <c r="D231" s="75" t="s">
        <v>112</v>
      </c>
      <c r="E231" s="77">
        <v>46</v>
      </c>
      <c r="F231" s="80" t="s">
        <v>541</v>
      </c>
      <c r="G231" s="78">
        <f t="shared" si="30"/>
        <v>50.6</v>
      </c>
      <c r="H231" s="19">
        <v>46</v>
      </c>
      <c r="I231" s="20" t="str">
        <f t="shared" si="31"/>
        <v>FC 182,ED1-MARI</v>
      </c>
      <c r="J231" s="25"/>
    </row>
    <row r="232" spans="1:10" ht="15.5" x14ac:dyDescent="0.35">
      <c r="A232" s="75" t="s">
        <v>245</v>
      </c>
      <c r="B232" s="79" t="str">
        <v>FRENCH FOR COMMUNICATION II</v>
      </c>
      <c r="C232" s="79" t="str">
        <v>Pharis Jeel Darko</v>
      </c>
      <c r="D232" s="75" t="s">
        <v>109</v>
      </c>
      <c r="E232" s="77">
        <v>43</v>
      </c>
      <c r="F232" s="80" t="s">
        <v>712</v>
      </c>
      <c r="G232" s="78">
        <f t="shared" si="30"/>
        <v>47.300000000000004</v>
      </c>
      <c r="H232" s="19" t="s">
        <v>713</v>
      </c>
      <c r="I232" s="20" t="str">
        <f t="shared" si="31"/>
        <v>FC 182,ED2-BME</v>
      </c>
      <c r="J232" s="25"/>
    </row>
    <row r="233" spans="1:10" ht="15.5" x14ac:dyDescent="0.35">
      <c r="A233" s="75" t="s">
        <v>245</v>
      </c>
      <c r="B233" s="79" t="str">
        <v>FRENCH FOR COMMUNICATION</v>
      </c>
      <c r="C233" s="79" t="str">
        <v>Pharis Jeel Darko</v>
      </c>
      <c r="D233" s="75" t="s">
        <v>108</v>
      </c>
      <c r="E233" s="77">
        <v>150</v>
      </c>
      <c r="F233" s="80" t="s">
        <v>714</v>
      </c>
      <c r="G233" s="78">
        <f t="shared" si="30"/>
        <v>165</v>
      </c>
      <c r="H233" s="19" t="s">
        <v>715</v>
      </c>
      <c r="I233" s="20" t="str">
        <f t="shared" si="31"/>
        <v>FC 182,ED2-COE</v>
      </c>
      <c r="J233" s="25"/>
    </row>
    <row r="234" spans="1:10" ht="14.25" customHeight="1" x14ac:dyDescent="0.35">
      <c r="A234" s="75" t="s">
        <v>270</v>
      </c>
      <c r="B234" s="79" t="str">
        <v>GROUND ENGINEERING</v>
      </c>
      <c r="C234" s="79" t="str">
        <v>Samuel Innocent Kofi Ampadu</v>
      </c>
      <c r="D234" s="75" t="s">
        <v>177</v>
      </c>
      <c r="E234" s="77">
        <v>2</v>
      </c>
      <c r="F234" s="80" t="s">
        <v>716</v>
      </c>
      <c r="G234" s="78">
        <f t="shared" si="30"/>
        <v>2.2000000000000002</v>
      </c>
      <c r="H234" s="19">
        <v>2</v>
      </c>
      <c r="I234" s="20" t="str">
        <f t="shared" si="31"/>
        <v>CE 478,ED4-GEOL</v>
      </c>
      <c r="J234" s="25"/>
    </row>
    <row r="235" spans="1:10" ht="15.5" x14ac:dyDescent="0.35">
      <c r="A235" s="75" t="s">
        <v>270</v>
      </c>
      <c r="B235" s="79" t="str">
        <v>GROUND ENGINEERING</v>
      </c>
      <c r="C235" s="79" t="str">
        <v>Samuel Innocent Kofi Ampadu</v>
      </c>
      <c r="D235" s="75" t="s">
        <v>103</v>
      </c>
      <c r="E235" s="77">
        <v>60</v>
      </c>
      <c r="F235" s="80" t="s">
        <v>566</v>
      </c>
      <c r="G235" s="78">
        <f t="shared" si="30"/>
        <v>66</v>
      </c>
      <c r="H235" s="19" t="s">
        <v>717</v>
      </c>
      <c r="I235" s="20" t="str">
        <f t="shared" si="31"/>
        <v>CE 478,ED4-CE</v>
      </c>
      <c r="J235" s="25"/>
    </row>
    <row r="236" spans="1:10" ht="15.5" x14ac:dyDescent="0.35">
      <c r="A236" s="75" t="s">
        <v>258</v>
      </c>
      <c r="B236" s="76" t="str">
        <v>SEPARATION PROCESSES II</v>
      </c>
      <c r="C236" s="79" t="str">
        <v>Augustine Ntiamoah</v>
      </c>
      <c r="D236" s="75" t="s">
        <v>63</v>
      </c>
      <c r="E236" s="77">
        <v>53</v>
      </c>
      <c r="F236" s="80" t="s">
        <v>718</v>
      </c>
      <c r="G236" s="78">
        <f t="shared" si="30"/>
        <v>58.300000000000004</v>
      </c>
      <c r="H236" s="19" t="s">
        <v>657</v>
      </c>
      <c r="I236" s="20" t="str">
        <f t="shared" si="31"/>
        <v>PCE 352,ED3-PCE</v>
      </c>
      <c r="J236" s="25"/>
    </row>
    <row r="237" spans="1:10" ht="15.5" x14ac:dyDescent="0.35">
      <c r="A237" s="75" t="s">
        <v>319</v>
      </c>
      <c r="B237" s="76" t="str">
        <v>ADSORPTION SEPARATION PROCESS TECHNOLOGY</v>
      </c>
      <c r="C237" s="76" t="str">
        <v>Ohemeng-Boahen Godfred</v>
      </c>
      <c r="D237" s="75" t="s">
        <v>44</v>
      </c>
      <c r="E237" s="77">
        <v>40</v>
      </c>
      <c r="F237" s="80" t="s">
        <v>541</v>
      </c>
      <c r="G237" s="78">
        <f t="shared" si="30"/>
        <v>44</v>
      </c>
      <c r="H237" s="54">
        <v>40</v>
      </c>
      <c r="I237" s="20" t="str">
        <f t="shared" si="31"/>
        <v>CHE 464,ED4-PCE</v>
      </c>
      <c r="J237" s="25"/>
    </row>
    <row r="238" spans="1:10" ht="15.5" x14ac:dyDescent="0.35">
      <c r="A238" s="75" t="s">
        <v>415</v>
      </c>
      <c r="B238" s="79" t="str">
        <v>PHARMACEUTICAL TECHNOLOGY</v>
      </c>
      <c r="C238" s="79" t="str">
        <v>Johnson Raphael</v>
      </c>
      <c r="D238" s="75" t="s">
        <v>48</v>
      </c>
      <c r="E238" s="77">
        <v>71</v>
      </c>
      <c r="F238" s="80" t="s">
        <v>546</v>
      </c>
      <c r="G238" s="78">
        <f t="shared" si="30"/>
        <v>78.100000000000009</v>
      </c>
      <c r="H238" s="19">
        <v>71</v>
      </c>
      <c r="I238" s="20" t="str">
        <f t="shared" si="31"/>
        <v>CHE 470,ED4-CHE</v>
      </c>
      <c r="J238" s="25"/>
    </row>
    <row r="239" spans="1:10" ht="15.5" x14ac:dyDescent="0.35">
      <c r="A239" s="75" t="s">
        <v>431</v>
      </c>
      <c r="B239" s="76" t="str">
        <v>ENVIRONMENTAL ENG. TECHNOLOGY</v>
      </c>
      <c r="C239" s="79" t="str">
        <v>Afotey Benjamin</v>
      </c>
      <c r="D239" s="75" t="s">
        <v>48</v>
      </c>
      <c r="E239" s="77">
        <v>54</v>
      </c>
      <c r="F239" s="80" t="s">
        <v>719</v>
      </c>
      <c r="G239" s="78">
        <f t="shared" si="30"/>
        <v>59.400000000000006</v>
      </c>
      <c r="H239" s="19" t="s">
        <v>720</v>
      </c>
      <c r="I239" s="20" t="str">
        <f t="shared" si="31"/>
        <v>CHE 468,ED4-CHE</v>
      </c>
      <c r="J239" s="25"/>
    </row>
    <row r="240" spans="1:10" ht="15.5" x14ac:dyDescent="0.35">
      <c r="A240" s="81"/>
      <c r="B240" s="81"/>
      <c r="C240" s="72"/>
      <c r="D240" s="76" t="s">
        <v>248</v>
      </c>
      <c r="E240" s="82">
        <f>SUM(E225:E239)</f>
        <v>1162</v>
      </c>
      <c r="F240" s="83"/>
      <c r="G240" s="84"/>
      <c r="I240" s="22" t="s">
        <v>249</v>
      </c>
      <c r="J240" s="25"/>
    </row>
    <row r="241" spans="1:10" ht="15.5" x14ac:dyDescent="0.35">
      <c r="A241" s="6" t="s">
        <v>243</v>
      </c>
      <c r="B241" s="6"/>
      <c r="C241" s="6"/>
      <c r="D241" s="6"/>
      <c r="E241" s="6"/>
      <c r="F241" s="6"/>
      <c r="G241" s="6"/>
      <c r="I241" s="22" t="str">
        <f>A241</f>
        <v>Monday, 24 August 2026</v>
      </c>
      <c r="J241" s="25"/>
    </row>
    <row r="242" spans="1:10" ht="15.5" x14ac:dyDescent="0.35">
      <c r="A242" s="6" t="s">
        <v>29</v>
      </c>
      <c r="B242" s="6"/>
      <c r="C242" s="6"/>
      <c r="D242" s="6"/>
      <c r="E242" s="6"/>
      <c r="F242" s="6"/>
      <c r="G242" s="6"/>
      <c r="I242" s="22" t="str">
        <f>A242</f>
        <v>Session, 2 (12:00 PM - 2:00 PM)</v>
      </c>
      <c r="J242" s="25"/>
    </row>
    <row r="243" spans="1:10" ht="15.5" x14ac:dyDescent="0.35">
      <c r="A243" s="71" t="s">
        <v>4</v>
      </c>
      <c r="B243" s="71" t="s">
        <v>5</v>
      </c>
      <c r="C243" s="72" t="s">
        <v>6</v>
      </c>
      <c r="D243" s="71" t="s">
        <v>7</v>
      </c>
      <c r="E243" s="73" t="s">
        <v>8</v>
      </c>
      <c r="F243" s="72" t="s">
        <v>9</v>
      </c>
      <c r="G243" s="74" t="s">
        <v>10</v>
      </c>
      <c r="I243" s="22" t="s">
        <v>31</v>
      </c>
      <c r="J243" s="25"/>
    </row>
    <row r="244" spans="1:10" ht="15.5" x14ac:dyDescent="0.35">
      <c r="A244" s="75" t="s">
        <v>250</v>
      </c>
      <c r="B244" s="76" t="str">
        <f t="array" ref="B244:B254">IFERROR(VLOOKUP(I244:I254,Lectures_1!A2:F534,2,FALSE()),0)</f>
        <v>DIGITAL SIGNAL PROCESSING</v>
      </c>
      <c r="C244" s="76" t="str">
        <f t="array" ref="C244:C254">IFERROR(VLOOKUP(I244:I254,Lectures_1!A2:F534,3,FALSE()),0)</f>
        <v>Akowuah Emmanuel Kofi</v>
      </c>
      <c r="D244" s="75" t="s">
        <v>251</v>
      </c>
      <c r="E244" s="77">
        <f t="array" ref="E244:E254">IFERROR(VLOOKUP(I244:I254,Lectures_1!A2:F534,4,FALSE()),0)</f>
        <v>160</v>
      </c>
      <c r="F244" s="76" t="s">
        <v>34</v>
      </c>
      <c r="G244" s="78">
        <f t="shared" ref="G244:G254" si="32">E244*1.1</f>
        <v>176</v>
      </c>
      <c r="I244" s="20" t="str">
        <f t="shared" ref="I244:I254" si="33">CONCATENATE(A244,",",D244)</f>
        <v>COE 472,ED4-COE</v>
      </c>
      <c r="J244" s="25"/>
    </row>
    <row r="245" spans="1:10" ht="15.5" x14ac:dyDescent="0.35">
      <c r="A245" s="75" t="s">
        <v>250</v>
      </c>
      <c r="B245" s="76" t="str">
        <v>DIGITAL SIGNAL PROCESSING</v>
      </c>
      <c r="C245" s="76" t="str">
        <v>Adjei Prince Ebenezer</v>
      </c>
      <c r="D245" s="75" t="s">
        <v>252</v>
      </c>
      <c r="E245" s="77">
        <v>87</v>
      </c>
      <c r="F245" s="75" t="s">
        <v>721</v>
      </c>
      <c r="G245" s="78">
        <f t="shared" si="32"/>
        <v>95.7</v>
      </c>
      <c r="H245" s="19" t="s">
        <v>722</v>
      </c>
      <c r="I245" s="20" t="str">
        <f t="shared" si="33"/>
        <v>COE 472,ED4-BME</v>
      </c>
      <c r="J245" s="25"/>
    </row>
    <row r="246" spans="1:10" ht="15.5" x14ac:dyDescent="0.35">
      <c r="A246" s="75" t="s">
        <v>19</v>
      </c>
      <c r="B246" s="76" t="str">
        <v>ELECTRICAL ENG. DRAWING</v>
      </c>
      <c r="C246" s="79" t="str">
        <v>Kwegyir Daniel</v>
      </c>
      <c r="D246" s="75" t="s">
        <v>51</v>
      </c>
      <c r="E246" s="77">
        <v>295</v>
      </c>
      <c r="F246" s="80" t="s">
        <v>533</v>
      </c>
      <c r="G246" s="78">
        <f t="shared" si="32"/>
        <v>324.5</v>
      </c>
      <c r="H246" s="19" t="s">
        <v>723</v>
      </c>
      <c r="I246" s="20" t="str">
        <f t="shared" si="33"/>
        <v>EE 156,ED1-EE</v>
      </c>
      <c r="J246" s="25"/>
    </row>
    <row r="247" spans="1:10" ht="15.5" x14ac:dyDescent="0.35">
      <c r="A247" s="75" t="s">
        <v>253</v>
      </c>
      <c r="B247" s="79" t="str">
        <v>PHASE TRANSFORMATIONS</v>
      </c>
      <c r="C247" s="76" t="str">
        <v>Gikunoo Emmanuel</v>
      </c>
      <c r="D247" s="75" t="s">
        <v>210</v>
      </c>
      <c r="E247" s="77">
        <v>83</v>
      </c>
      <c r="F247" s="80" t="s">
        <v>724</v>
      </c>
      <c r="G247" s="78">
        <f t="shared" si="32"/>
        <v>91.300000000000011</v>
      </c>
      <c r="H247" s="49" t="s">
        <v>725</v>
      </c>
      <c r="I247" s="20" t="str">
        <f t="shared" si="33"/>
        <v>MSE 260,ED2-MSE</v>
      </c>
      <c r="J247" s="25"/>
    </row>
    <row r="248" spans="1:10" ht="15.5" x14ac:dyDescent="0.35">
      <c r="A248" s="75" t="s">
        <v>253</v>
      </c>
      <c r="B248" s="79" t="str">
        <v>PHASE TRANSFORMATIONS</v>
      </c>
      <c r="C248" s="76" t="str">
        <v>Gikunoo Emmanuel</v>
      </c>
      <c r="D248" s="75" t="s">
        <v>101</v>
      </c>
      <c r="E248" s="77">
        <v>57</v>
      </c>
      <c r="F248" s="80" t="s">
        <v>529</v>
      </c>
      <c r="G248" s="78">
        <f t="shared" si="32"/>
        <v>62.7</v>
      </c>
      <c r="H248" s="19" t="s">
        <v>726</v>
      </c>
      <c r="I248" s="20" t="str">
        <f t="shared" si="33"/>
        <v>MSE 260,ED2-METE</v>
      </c>
      <c r="J248" s="25"/>
    </row>
    <row r="249" spans="1:10" ht="15.5" x14ac:dyDescent="0.35">
      <c r="A249" s="75" t="s">
        <v>247</v>
      </c>
      <c r="B249" s="76" t="str">
        <v>INTRODUCTION TO SOIL MECHANICS</v>
      </c>
      <c r="C249" s="79" t="str">
        <v>Amenuvor Andrew Cudzo</v>
      </c>
      <c r="D249" s="75" t="s">
        <v>55</v>
      </c>
      <c r="E249" s="77">
        <v>150</v>
      </c>
      <c r="F249" s="80" t="s">
        <v>714</v>
      </c>
      <c r="G249" s="78">
        <f t="shared" si="32"/>
        <v>165</v>
      </c>
      <c r="H249" s="19" t="s">
        <v>715</v>
      </c>
      <c r="I249" s="20" t="str">
        <f t="shared" si="33"/>
        <v>GED 262,ED2-GEOL</v>
      </c>
      <c r="J249" s="25"/>
    </row>
    <row r="250" spans="1:10" ht="15.5" x14ac:dyDescent="0.35">
      <c r="A250" s="75" t="s">
        <v>254</v>
      </c>
      <c r="B250" s="76" t="str">
        <v>MECHANISMS SYNTHESIS AND ANALYSIS II</v>
      </c>
      <c r="C250" s="76" t="str">
        <v>David Kofi Oppong</v>
      </c>
      <c r="D250" s="75" t="s">
        <v>99</v>
      </c>
      <c r="E250" s="77">
        <v>17</v>
      </c>
      <c r="F250" s="80" t="s">
        <v>727</v>
      </c>
      <c r="G250" s="78">
        <f t="shared" si="32"/>
        <v>18.700000000000003</v>
      </c>
      <c r="H250" s="19">
        <v>17</v>
      </c>
      <c r="I250" s="20" t="str">
        <f t="shared" si="33"/>
        <v>ME 462,ED4-AERO</v>
      </c>
      <c r="J250" s="25"/>
    </row>
    <row r="251" spans="1:10" ht="15.5" x14ac:dyDescent="0.35">
      <c r="A251" s="75" t="s">
        <v>297</v>
      </c>
      <c r="B251" s="76" t="str">
        <v>CHEMICAL PROCESS CALCULATIONS II</v>
      </c>
      <c r="C251" s="76" t="str">
        <v>Ohemeng-Boahen Godfred</v>
      </c>
      <c r="D251" s="75" t="s">
        <v>14</v>
      </c>
      <c r="E251" s="77">
        <v>65</v>
      </c>
      <c r="F251" s="94" t="s">
        <v>574</v>
      </c>
      <c r="G251" s="78">
        <f t="shared" si="32"/>
        <v>71.5</v>
      </c>
      <c r="H251" s="19" t="s">
        <v>638</v>
      </c>
      <c r="I251" s="20" t="str">
        <f t="shared" si="33"/>
        <v>CHE 252,ED2-PCE</v>
      </c>
      <c r="J251" s="25"/>
    </row>
    <row r="252" spans="1:10" ht="15.5" x14ac:dyDescent="0.35">
      <c r="A252" s="75" t="s">
        <v>297</v>
      </c>
      <c r="B252" s="76" t="str">
        <v>CHEMICAL PROCESS CALCULATIONS II</v>
      </c>
      <c r="C252" s="79" t="str">
        <v>Rockson Mizpah Ama Dziedzorm</v>
      </c>
      <c r="D252" s="75" t="s">
        <v>13</v>
      </c>
      <c r="E252" s="77">
        <v>160</v>
      </c>
      <c r="F252" s="80" t="s">
        <v>706</v>
      </c>
      <c r="G252" s="78">
        <f t="shared" si="32"/>
        <v>176</v>
      </c>
      <c r="H252" s="19" t="s">
        <v>728</v>
      </c>
      <c r="I252" s="20" t="str">
        <f t="shared" si="33"/>
        <v>CHE 252,ED2-CHE</v>
      </c>
      <c r="J252" s="25"/>
    </row>
    <row r="253" spans="1:10" ht="15.5" x14ac:dyDescent="0.35">
      <c r="A253" s="75" t="s">
        <v>271</v>
      </c>
      <c r="B253" s="76" t="str">
        <v>ENGINEERING PROPERTIES OF POLYMERS</v>
      </c>
      <c r="C253" s="79" t="str">
        <v>Asare Eric Kwame Anokye</v>
      </c>
      <c r="D253" s="75" t="s">
        <v>140</v>
      </c>
      <c r="E253" s="77">
        <v>85</v>
      </c>
      <c r="F253" s="80" t="s">
        <v>729</v>
      </c>
      <c r="G253" s="78">
        <f t="shared" si="32"/>
        <v>93.500000000000014</v>
      </c>
      <c r="H253" s="19" t="s">
        <v>730</v>
      </c>
      <c r="I253" s="20" t="str">
        <f t="shared" si="33"/>
        <v>MSE 356,ED3-MSE</v>
      </c>
      <c r="J253" s="25"/>
    </row>
    <row r="254" spans="1:10" ht="15.5" x14ac:dyDescent="0.35">
      <c r="A254" s="75" t="s">
        <v>260</v>
      </c>
      <c r="B254" s="76" t="str">
        <v>BASIC ELECTRONICS</v>
      </c>
      <c r="C254" s="79" t="str">
        <v>Addo Daniel Akwei</v>
      </c>
      <c r="D254" s="75" t="s">
        <v>130</v>
      </c>
      <c r="E254" s="77">
        <v>136</v>
      </c>
      <c r="F254" s="80" t="s">
        <v>731</v>
      </c>
      <c r="G254" s="78">
        <f t="shared" si="32"/>
        <v>149.60000000000002</v>
      </c>
      <c r="H254" s="19" t="s">
        <v>732</v>
      </c>
      <c r="I254" s="20" t="str">
        <f t="shared" si="33"/>
        <v>COE 152,ED1-BME</v>
      </c>
      <c r="J254" s="25"/>
    </row>
    <row r="255" spans="1:10" ht="15.5" x14ac:dyDescent="0.35">
      <c r="A255" s="81"/>
      <c r="B255" s="81"/>
      <c r="C255" s="76"/>
      <c r="D255" s="76" t="s">
        <v>261</v>
      </c>
      <c r="E255" s="82">
        <f>SUM(E245:E254)</f>
        <v>1135</v>
      </c>
      <c r="F255" s="83"/>
      <c r="G255" s="84"/>
      <c r="I255" s="22" t="s">
        <v>262</v>
      </c>
      <c r="J255" s="25"/>
    </row>
    <row r="256" spans="1:10" ht="15.5" x14ac:dyDescent="0.35">
      <c r="A256" s="6" t="s">
        <v>243</v>
      </c>
      <c r="B256" s="6"/>
      <c r="C256" s="6"/>
      <c r="D256" s="6"/>
      <c r="E256" s="6"/>
      <c r="F256" s="6"/>
      <c r="G256" s="6"/>
      <c r="I256" s="22" t="str">
        <f>A256</f>
        <v>Monday, 24 August 2026</v>
      </c>
      <c r="J256" s="25"/>
    </row>
    <row r="257" spans="1:10" ht="15.5" x14ac:dyDescent="0.35">
      <c r="A257" s="6" t="s">
        <v>59</v>
      </c>
      <c r="B257" s="6"/>
      <c r="C257" s="6"/>
      <c r="D257" s="6"/>
      <c r="E257" s="6"/>
      <c r="F257" s="6"/>
      <c r="G257" s="6"/>
      <c r="I257" s="22" t="str">
        <f>A257</f>
        <v>Session, 3 (3:00 PM - 5:00 PM)</v>
      </c>
      <c r="J257" s="25"/>
    </row>
    <row r="258" spans="1:10" ht="15.5" x14ac:dyDescent="0.35">
      <c r="A258" s="71" t="s">
        <v>4</v>
      </c>
      <c r="B258" s="71" t="s">
        <v>5</v>
      </c>
      <c r="C258" s="72" t="s">
        <v>6</v>
      </c>
      <c r="D258" s="71" t="s">
        <v>7</v>
      </c>
      <c r="E258" s="73" t="s">
        <v>8</v>
      </c>
      <c r="F258" s="72" t="s">
        <v>9</v>
      </c>
      <c r="G258" s="74" t="s">
        <v>10</v>
      </c>
      <c r="I258" s="22" t="s">
        <v>31</v>
      </c>
      <c r="J258" s="25"/>
    </row>
    <row r="259" spans="1:10" ht="15.5" x14ac:dyDescent="0.35">
      <c r="A259" s="94" t="s">
        <v>263</v>
      </c>
      <c r="B259" s="76" t="str">
        <f t="array" ref="B259:B268">IFERROR(VLOOKUP(I259:I268,Lectures_1!A2:F534,2,FALSE()),0)</f>
        <v>COMPUTER PROGRAMMING IN OIL AND GAS</v>
      </c>
      <c r="C259" s="76" t="str">
        <f t="array" ref="C259:C268">IFERROR(VLOOKUP(I259:I268,Lectures_1!A2:F534,3,FALSE()),0)</f>
        <v>Sokama-Neuyam Yen Adams</v>
      </c>
      <c r="D259" s="94" t="s">
        <v>93</v>
      </c>
      <c r="E259" s="77">
        <f t="array" ref="E259:E268">IFERROR(VLOOKUP(I259:I268,Lectures_1!A2:F534,4,FALSE()),0)</f>
        <v>95</v>
      </c>
      <c r="F259" s="80" t="s">
        <v>571</v>
      </c>
      <c r="G259" s="78">
        <f t="shared" ref="G259:G268" si="34">E259*1.1</f>
        <v>104.50000000000001</v>
      </c>
      <c r="H259" s="19" t="s">
        <v>733</v>
      </c>
      <c r="I259" s="20" t="str">
        <f t="shared" ref="I259:I268" si="35">CONCATENATE(A259,",",D259)</f>
        <v>PE 262,ED2-PE</v>
      </c>
      <c r="J259" s="50"/>
    </row>
    <row r="260" spans="1:10" ht="15.5" x14ac:dyDescent="0.35">
      <c r="A260" s="75" t="s">
        <v>264</v>
      </c>
      <c r="B260" s="79" t="str">
        <v>PETROLEUM PROJECT EVALUATION</v>
      </c>
      <c r="C260" s="79" t="str">
        <v>Sarkodie Kwame</v>
      </c>
      <c r="D260" s="75" t="s">
        <v>46</v>
      </c>
      <c r="E260" s="77">
        <v>99</v>
      </c>
      <c r="F260" s="80" t="s">
        <v>734</v>
      </c>
      <c r="G260" s="78">
        <f t="shared" si="34"/>
        <v>108.9</v>
      </c>
      <c r="H260" s="19" t="s">
        <v>735</v>
      </c>
      <c r="I260" s="20" t="str">
        <f t="shared" si="35"/>
        <v>PE 452,ED4-PE</v>
      </c>
      <c r="J260" s="25"/>
    </row>
    <row r="261" spans="1:10" ht="15.5" x14ac:dyDescent="0.35">
      <c r="A261" s="75" t="s">
        <v>265</v>
      </c>
      <c r="B261" s="79" t="str">
        <v>COMPUTER-AIDED DESIGN AND MANUFACTURING</v>
      </c>
      <c r="C261" s="76" t="str">
        <v>Afriyie Nyarko Frank Kwabena</v>
      </c>
      <c r="D261" s="75" t="s">
        <v>121</v>
      </c>
      <c r="E261" s="95">
        <v>70</v>
      </c>
      <c r="F261" s="80" t="s">
        <v>574</v>
      </c>
      <c r="G261" s="78">
        <f t="shared" si="34"/>
        <v>77</v>
      </c>
      <c r="H261" s="19" t="s">
        <v>736</v>
      </c>
      <c r="I261" s="20" t="str">
        <f t="shared" si="35"/>
        <v>IE 358,ED3-IND</v>
      </c>
      <c r="J261" s="25"/>
    </row>
    <row r="262" spans="1:10" ht="15.5" x14ac:dyDescent="0.35">
      <c r="A262" s="75" t="s">
        <v>266</v>
      </c>
      <c r="B262" s="76" t="str">
        <v>INTRODUCTION TO CAD/CAM</v>
      </c>
      <c r="C262" s="79" t="str">
        <v>Afriyie Nyarko Frank Kwabena</v>
      </c>
      <c r="D262" s="75" t="s">
        <v>88</v>
      </c>
      <c r="E262" s="77">
        <v>101</v>
      </c>
      <c r="F262" s="80" t="s">
        <v>582</v>
      </c>
      <c r="G262" s="78">
        <f t="shared" si="34"/>
        <v>111.10000000000001</v>
      </c>
      <c r="H262" s="19" t="s">
        <v>737</v>
      </c>
      <c r="I262" s="20" t="str">
        <f t="shared" si="35"/>
        <v>ME 376,ED3-AE</v>
      </c>
      <c r="J262" s="25"/>
    </row>
    <row r="263" spans="1:10" ht="15.5" x14ac:dyDescent="0.35">
      <c r="A263" s="75" t="s">
        <v>143</v>
      </c>
      <c r="B263" s="76" t="str">
        <v>ELECTRIC DRIVES</v>
      </c>
      <c r="C263" s="79" t="str">
        <v>Effah Francis Boafo</v>
      </c>
      <c r="D263" s="75" t="s">
        <v>144</v>
      </c>
      <c r="E263" s="77">
        <v>189</v>
      </c>
      <c r="F263" s="91" t="s">
        <v>533</v>
      </c>
      <c r="G263" s="78">
        <f t="shared" si="34"/>
        <v>207.9</v>
      </c>
      <c r="H263" s="19" t="s">
        <v>738</v>
      </c>
      <c r="I263" s="20" t="str">
        <f t="shared" si="35"/>
        <v>EE 462,ED4-EE</v>
      </c>
      <c r="J263" s="25"/>
    </row>
    <row r="264" spans="1:10" ht="15.5" x14ac:dyDescent="0.35">
      <c r="A264" s="75" t="s">
        <v>268</v>
      </c>
      <c r="B264" s="76" t="str">
        <v>STATICS OF SOLID MECHANICS</v>
      </c>
      <c r="C264" s="79" t="str">
        <v>Dzebre Denis Edem Kwame</v>
      </c>
      <c r="D264" s="75" t="s">
        <v>191</v>
      </c>
      <c r="E264" s="77">
        <v>70</v>
      </c>
      <c r="F264" s="80" t="s">
        <v>529</v>
      </c>
      <c r="G264" s="78">
        <f t="shared" si="34"/>
        <v>77</v>
      </c>
      <c r="H264" s="19" t="s">
        <v>649</v>
      </c>
      <c r="I264" s="20" t="str">
        <f t="shared" si="35"/>
        <v>ME 164,ED1-AERO</v>
      </c>
      <c r="J264" s="25"/>
    </row>
    <row r="265" spans="1:10" ht="15.5" x14ac:dyDescent="0.35">
      <c r="A265" s="75" t="s">
        <v>269</v>
      </c>
      <c r="B265" s="76" t="str">
        <v>NETWORK PLANNING AND OPTIMIZATION</v>
      </c>
      <c r="C265" s="79" t="str">
        <v>Kwasi Adu-Boahen Opare</v>
      </c>
      <c r="D265" s="75" t="s">
        <v>227</v>
      </c>
      <c r="E265" s="77">
        <v>138</v>
      </c>
      <c r="F265" s="80" t="s">
        <v>731</v>
      </c>
      <c r="G265" s="78">
        <f t="shared" si="34"/>
        <v>151.80000000000001</v>
      </c>
      <c r="H265" s="19" t="s">
        <v>739</v>
      </c>
      <c r="I265" s="20" t="str">
        <f t="shared" si="35"/>
        <v>TE 458,ED4-TEL</v>
      </c>
      <c r="J265" s="25"/>
    </row>
    <row r="266" spans="1:10" ht="15.5" x14ac:dyDescent="0.35">
      <c r="A266" s="75" t="s">
        <v>268</v>
      </c>
      <c r="B266" s="76" t="str">
        <v>ENGINEERING MECHANICS I: STATICS</v>
      </c>
      <c r="C266" s="79" t="str">
        <v>Dzebre Denis Edem Kwame</v>
      </c>
      <c r="D266" s="75" t="s">
        <v>161</v>
      </c>
      <c r="E266" s="77">
        <v>225</v>
      </c>
      <c r="F266" s="80" t="s">
        <v>740</v>
      </c>
      <c r="G266" s="78">
        <f t="shared" si="34"/>
        <v>247.50000000000003</v>
      </c>
      <c r="H266" s="19" t="s">
        <v>741</v>
      </c>
      <c r="I266" s="20" t="str">
        <f t="shared" si="35"/>
        <v>ME 164,ED1-ME</v>
      </c>
      <c r="J266" s="25"/>
    </row>
    <row r="267" spans="1:10" ht="15.5" x14ac:dyDescent="0.35">
      <c r="A267" s="75" t="s">
        <v>256</v>
      </c>
      <c r="B267" s="76" t="str">
        <v>HYDROMETALLURGICAL APPLICATIONS</v>
      </c>
      <c r="C267" s="79" t="str">
        <v>Agbe Henry</v>
      </c>
      <c r="D267" s="75" t="s">
        <v>142</v>
      </c>
      <c r="E267" s="77">
        <v>87</v>
      </c>
      <c r="F267" s="80" t="s">
        <v>742</v>
      </c>
      <c r="G267" s="78">
        <f t="shared" si="34"/>
        <v>95.7</v>
      </c>
      <c r="H267" s="19" t="s">
        <v>743</v>
      </c>
      <c r="I267" s="20" t="str">
        <f t="shared" si="35"/>
        <v>METE 352,ED3-METE</v>
      </c>
      <c r="J267" s="25"/>
    </row>
    <row r="268" spans="1:10" ht="15.5" x14ac:dyDescent="0.35">
      <c r="A268" s="75" t="s">
        <v>246</v>
      </c>
      <c r="B268" s="76" t="str">
        <v>PRINCIPLES OF GEOPHYSICS</v>
      </c>
      <c r="C268" s="79" t="str">
        <v>Ali Bukari</v>
      </c>
      <c r="D268" s="75" t="s">
        <v>154</v>
      </c>
      <c r="E268" s="77">
        <v>154</v>
      </c>
      <c r="F268" s="80" t="s">
        <v>706</v>
      </c>
      <c r="G268" s="78">
        <f t="shared" si="34"/>
        <v>169.4</v>
      </c>
      <c r="H268" s="19" t="s">
        <v>744</v>
      </c>
      <c r="I268" s="20" t="str">
        <f t="shared" si="35"/>
        <v>GED 354,ED3-GEOL</v>
      </c>
      <c r="J268" s="25"/>
    </row>
    <row r="269" spans="1:10" ht="15.5" x14ac:dyDescent="0.35">
      <c r="A269" s="75"/>
      <c r="B269" s="81"/>
      <c r="C269" s="72"/>
      <c r="D269" s="76" t="s">
        <v>272</v>
      </c>
      <c r="E269" s="82">
        <f>SUM(E259:E268)</f>
        <v>1228</v>
      </c>
      <c r="F269" s="83"/>
      <c r="G269" s="84"/>
      <c r="I269" s="22" t="s">
        <v>273</v>
      </c>
      <c r="J269" s="25"/>
    </row>
    <row r="270" spans="1:10" ht="15.5" x14ac:dyDescent="0.35">
      <c r="A270" s="6" t="s">
        <v>274</v>
      </c>
      <c r="B270" s="6"/>
      <c r="C270" s="6"/>
      <c r="D270" s="6"/>
      <c r="E270" s="6"/>
      <c r="F270" s="6"/>
      <c r="G270" s="6"/>
      <c r="I270" s="22" t="str">
        <f>A270</f>
        <v>Tuesday, 25 August 2026</v>
      </c>
      <c r="J270" s="25"/>
    </row>
    <row r="271" spans="1:10" ht="15.5" x14ac:dyDescent="0.35">
      <c r="A271" s="6" t="s">
        <v>2</v>
      </c>
      <c r="B271" s="6"/>
      <c r="C271" s="6"/>
      <c r="D271" s="6"/>
      <c r="E271" s="6"/>
      <c r="F271" s="6"/>
      <c r="G271" s="6"/>
      <c r="I271" s="22" t="str">
        <f>A271</f>
        <v>Session, 1 (8:30 AM - 10:30 AM)</v>
      </c>
      <c r="J271" s="25"/>
    </row>
    <row r="272" spans="1:10" ht="15.5" x14ac:dyDescent="0.35">
      <c r="A272" s="71" t="s">
        <v>4</v>
      </c>
      <c r="B272" s="71" t="s">
        <v>5</v>
      </c>
      <c r="C272" s="72" t="s">
        <v>6</v>
      </c>
      <c r="D272" s="71" t="s">
        <v>7</v>
      </c>
      <c r="E272" s="73" t="s">
        <v>8</v>
      </c>
      <c r="F272" s="72" t="s">
        <v>9</v>
      </c>
      <c r="G272" s="74" t="s">
        <v>10</v>
      </c>
      <c r="I272" s="22" t="s">
        <v>31</v>
      </c>
      <c r="J272" s="25"/>
    </row>
    <row r="273" spans="1:10" ht="15.5" x14ac:dyDescent="0.35">
      <c r="A273" s="75" t="s">
        <v>276</v>
      </c>
      <c r="B273" s="76" t="str">
        <f t="array" ref="B273:B282">IFERROR(VLOOKUP(I273:I282,Lectures_1!A2:F534,2,FALSE()),0)</f>
        <v>LITERATURE IN ENGLISH II</v>
      </c>
      <c r="C273" s="76" t="str">
        <f t="array" ref="C273:C282">IFERROR(VLOOKUP(I273:I282,Lectures_1!A2:F534,3,FALSE()),0)</f>
        <v>Yeboah Philomena Ama Okyeso</v>
      </c>
      <c r="D273" s="75" t="s">
        <v>53</v>
      </c>
      <c r="E273" s="77">
        <f t="array" ref="E273:E282">IFERROR(VLOOKUP(I273:I282,Lectures_1!A2:F534,4,FALSE()),0)</f>
        <v>155</v>
      </c>
      <c r="F273" s="80" t="s">
        <v>745</v>
      </c>
      <c r="G273" s="78">
        <f t="shared" ref="G273:G282" si="36">E273*1.1</f>
        <v>170.5</v>
      </c>
      <c r="H273" s="19" t="s">
        <v>746</v>
      </c>
      <c r="I273" s="20" t="str">
        <f t="shared" ref="I273:I282" si="37">CONCATENATE(A273,",",D273)</f>
        <v>ENGL 264,ED2-AE</v>
      </c>
      <c r="J273" s="25"/>
    </row>
    <row r="274" spans="1:10" ht="15.5" x14ac:dyDescent="0.35">
      <c r="A274" s="75" t="s">
        <v>276</v>
      </c>
      <c r="B274" s="79" t="str">
        <v>LITERATURE IN ENGLISH II</v>
      </c>
      <c r="C274" s="76" t="str">
        <v>Yeboah Philomena Ama Okyeso</v>
      </c>
      <c r="D274" s="75" t="s">
        <v>36</v>
      </c>
      <c r="E274" s="77">
        <v>75</v>
      </c>
      <c r="F274" s="75" t="s">
        <v>545</v>
      </c>
      <c r="G274" s="78">
        <f t="shared" si="36"/>
        <v>82.5</v>
      </c>
      <c r="H274" s="19">
        <v>75</v>
      </c>
      <c r="I274" s="20" t="str">
        <f t="shared" si="37"/>
        <v>ENGL 264,ED2-AERO</v>
      </c>
      <c r="J274" s="25"/>
    </row>
    <row r="275" spans="1:10" ht="15.5" x14ac:dyDescent="0.35">
      <c r="A275" s="75" t="s">
        <v>276</v>
      </c>
      <c r="B275" s="79" t="str">
        <v>LITERATURE IN ENGLISH II</v>
      </c>
      <c r="C275" s="76" t="str">
        <v>Yeboah Philomena Ama Okyeso</v>
      </c>
      <c r="D275" s="75" t="s">
        <v>170</v>
      </c>
      <c r="E275" s="77">
        <v>132</v>
      </c>
      <c r="F275" s="94" t="s">
        <v>747</v>
      </c>
      <c r="G275" s="78">
        <f t="shared" si="36"/>
        <v>145.20000000000002</v>
      </c>
      <c r="H275" s="19" t="s">
        <v>748</v>
      </c>
      <c r="I275" s="20" t="str">
        <f t="shared" si="37"/>
        <v>ENGL 264,ED2-GEOM</v>
      </c>
      <c r="J275" s="25"/>
    </row>
    <row r="276" spans="1:10" ht="15.5" x14ac:dyDescent="0.35">
      <c r="A276" s="75" t="s">
        <v>276</v>
      </c>
      <c r="B276" s="79" t="str">
        <v>LITERATURE IN ENGLISH II</v>
      </c>
      <c r="C276" s="76" t="str">
        <v>Yeboah Philomena Ama Okyeso</v>
      </c>
      <c r="D276" s="75" t="s">
        <v>38</v>
      </c>
      <c r="E276" s="77">
        <v>80</v>
      </c>
      <c r="F276" s="75" t="s">
        <v>724</v>
      </c>
      <c r="G276" s="78">
        <f t="shared" si="36"/>
        <v>88</v>
      </c>
      <c r="H276" s="19" t="s">
        <v>692</v>
      </c>
      <c r="I276" s="20" t="str">
        <f t="shared" si="37"/>
        <v>ENGL 264,ED2-IND</v>
      </c>
      <c r="J276" s="25"/>
    </row>
    <row r="277" spans="1:10" ht="15.5" x14ac:dyDescent="0.35">
      <c r="A277" s="75" t="s">
        <v>277</v>
      </c>
      <c r="B277" s="76" t="str">
        <v>AIR VEHICLE STABILITY AND CONTROL</v>
      </c>
      <c r="C277" s="79" t="str">
        <v>Oppong David Kofi</v>
      </c>
      <c r="D277" s="75" t="s">
        <v>133</v>
      </c>
      <c r="E277" s="77">
        <v>76</v>
      </c>
      <c r="F277" s="75" t="s">
        <v>546</v>
      </c>
      <c r="G277" s="78">
        <f t="shared" si="36"/>
        <v>83.600000000000009</v>
      </c>
      <c r="H277" s="19">
        <v>76</v>
      </c>
      <c r="I277" s="20" t="str">
        <f t="shared" si="37"/>
        <v>AERO 362,ED3-AERO</v>
      </c>
      <c r="J277" s="25"/>
    </row>
    <row r="278" spans="1:10" ht="15.5" x14ac:dyDescent="0.35">
      <c r="A278" s="75" t="s">
        <v>257</v>
      </c>
      <c r="B278" s="79" t="str">
        <v>MODERN AUTOMOBILE TECHNOLOGY</v>
      </c>
      <c r="C278" s="76" t="str">
        <v>Ayetor Godwin Kafui Kwesi</v>
      </c>
      <c r="D278" s="75" t="s">
        <v>97</v>
      </c>
      <c r="E278" s="77">
        <v>32</v>
      </c>
      <c r="F278" s="75" t="s">
        <v>546</v>
      </c>
      <c r="G278" s="78">
        <f t="shared" si="36"/>
        <v>35.200000000000003</v>
      </c>
      <c r="H278" s="19">
        <v>32</v>
      </c>
      <c r="I278" s="20" t="str">
        <f t="shared" si="37"/>
        <v>AME 476,ED4-AUTO</v>
      </c>
      <c r="J278" s="25"/>
    </row>
    <row r="279" spans="1:10" ht="15.5" x14ac:dyDescent="0.35">
      <c r="A279" s="75" t="s">
        <v>285</v>
      </c>
      <c r="B279" s="76" t="str">
        <v>PETROLEUM GEOLOGY</v>
      </c>
      <c r="C279" s="79" t="str">
        <v>Borkloe Julius Kwame</v>
      </c>
      <c r="D279" s="75" t="s">
        <v>18</v>
      </c>
      <c r="E279" s="77">
        <v>80</v>
      </c>
      <c r="F279" s="94" t="s">
        <v>749</v>
      </c>
      <c r="G279" s="78">
        <f t="shared" si="36"/>
        <v>88</v>
      </c>
      <c r="H279" s="19" t="s">
        <v>750</v>
      </c>
      <c r="I279" s="20" t="str">
        <f t="shared" si="37"/>
        <v>PE 352,ED3-PE</v>
      </c>
      <c r="J279" s="25"/>
    </row>
    <row r="280" spans="1:10" ht="15.5" x14ac:dyDescent="0.35">
      <c r="A280" s="75" t="s">
        <v>278</v>
      </c>
      <c r="B280" s="76" t="str">
        <v>INTRO TO ENVIRONMENTAL ENG.</v>
      </c>
      <c r="C280" s="79" t="str">
        <v>Essandoh Helen Michelle Korkor</v>
      </c>
      <c r="D280" s="75" t="s">
        <v>56</v>
      </c>
      <c r="E280" s="77">
        <v>250</v>
      </c>
      <c r="F280" s="94" t="s">
        <v>531</v>
      </c>
      <c r="G280" s="78">
        <f t="shared" si="36"/>
        <v>275</v>
      </c>
      <c r="H280" s="19" t="s">
        <v>751</v>
      </c>
      <c r="I280" s="20" t="str">
        <f t="shared" si="37"/>
        <v>CE 264,ED2-CE</v>
      </c>
      <c r="J280" s="25"/>
    </row>
    <row r="281" spans="1:10" s="53" customFormat="1" ht="15.5" x14ac:dyDescent="0.35">
      <c r="A281" s="75" t="s">
        <v>281</v>
      </c>
      <c r="B281" s="79" t="str">
        <v>CALCULUS WITH SEVERAL VARIABLES</v>
      </c>
      <c r="C281" s="76" t="str">
        <v>Boateng Maxwell Akwasi</v>
      </c>
      <c r="D281" s="75" t="s">
        <v>42</v>
      </c>
      <c r="E281" s="77">
        <v>37</v>
      </c>
      <c r="F281" s="80" t="s">
        <v>616</v>
      </c>
      <c r="G281" s="78">
        <f t="shared" si="36"/>
        <v>40.700000000000003</v>
      </c>
      <c r="H281" s="19">
        <v>37</v>
      </c>
      <c r="I281" s="51" t="str">
        <f t="shared" si="37"/>
        <v>MATH 252,ED2-MARI</v>
      </c>
      <c r="J281" s="52"/>
    </row>
    <row r="282" spans="1:10" s="53" customFormat="1" ht="15.5" x14ac:dyDescent="0.35">
      <c r="A282" s="75" t="s">
        <v>281</v>
      </c>
      <c r="B282" s="79" t="str">
        <v>CALCULUS WITH SEVERAL VARIABLES</v>
      </c>
      <c r="C282" s="76" t="str">
        <v>Boateng Maxwell Akwasi</v>
      </c>
      <c r="D282" s="75" t="s">
        <v>33</v>
      </c>
      <c r="E282" s="77">
        <v>240</v>
      </c>
      <c r="F282" s="80" t="s">
        <v>556</v>
      </c>
      <c r="G282" s="78">
        <f t="shared" si="36"/>
        <v>264</v>
      </c>
      <c r="H282" s="19" t="s">
        <v>752</v>
      </c>
      <c r="I282" s="51" t="str">
        <f t="shared" si="37"/>
        <v>MATH 252,ED2-ME</v>
      </c>
      <c r="J282" s="52"/>
    </row>
    <row r="283" spans="1:10" ht="15.5" x14ac:dyDescent="0.35">
      <c r="A283" s="81"/>
      <c r="B283" s="81"/>
      <c r="C283" s="72"/>
      <c r="D283" s="76" t="s">
        <v>282</v>
      </c>
      <c r="E283" s="82">
        <f>SUM(E273:E282)</f>
        <v>1157</v>
      </c>
      <c r="F283" s="83"/>
      <c r="G283" s="84"/>
      <c r="I283" s="22" t="s">
        <v>283</v>
      </c>
      <c r="J283" s="25"/>
    </row>
    <row r="284" spans="1:10" ht="15.5" x14ac:dyDescent="0.35">
      <c r="A284" s="6" t="s">
        <v>274</v>
      </c>
      <c r="B284" s="6"/>
      <c r="C284" s="6"/>
      <c r="D284" s="6"/>
      <c r="E284" s="6"/>
      <c r="F284" s="6"/>
      <c r="G284" s="6"/>
      <c r="I284" s="22" t="str">
        <f>A284</f>
        <v>Tuesday, 25 August 2026</v>
      </c>
      <c r="J284" s="25"/>
    </row>
    <row r="285" spans="1:10" ht="15.5" x14ac:dyDescent="0.35">
      <c r="A285" s="6" t="s">
        <v>29</v>
      </c>
      <c r="B285" s="6"/>
      <c r="C285" s="6"/>
      <c r="D285" s="6"/>
      <c r="E285" s="6"/>
      <c r="F285" s="6"/>
      <c r="G285" s="6"/>
      <c r="I285" s="22" t="str">
        <f>A285</f>
        <v>Session, 2 (12:00 PM - 2:00 PM)</v>
      </c>
      <c r="J285" s="25"/>
    </row>
    <row r="286" spans="1:10" ht="15.5" x14ac:dyDescent="0.35">
      <c r="A286" s="71" t="s">
        <v>4</v>
      </c>
      <c r="B286" s="71" t="s">
        <v>5</v>
      </c>
      <c r="C286" s="72" t="s">
        <v>6</v>
      </c>
      <c r="D286" s="71" t="s">
        <v>7</v>
      </c>
      <c r="E286" s="73" t="s">
        <v>8</v>
      </c>
      <c r="F286" s="72" t="s">
        <v>9</v>
      </c>
      <c r="G286" s="74" t="s">
        <v>10</v>
      </c>
      <c r="I286" s="22" t="s">
        <v>31</v>
      </c>
      <c r="J286" s="25"/>
    </row>
    <row r="287" spans="1:10" ht="15.5" x14ac:dyDescent="0.35">
      <c r="A287" s="75" t="s">
        <v>234</v>
      </c>
      <c r="B287" s="76" t="str">
        <f t="array" ref="B287:B298">IFERROR(VLOOKUP(I287:I298,Lectures_1!A2:F534,2,FALSE()),0)</f>
        <v>BASIC ELECTRONICS</v>
      </c>
      <c r="C287" s="76" t="str">
        <f t="array" ref="C287:C298">IFERROR(VLOOKUP(I287:I298,Lectures_1!A2:F5343,3,FALSE()),0)</f>
        <v>Nicholas Kwesi Prah II</v>
      </c>
      <c r="D287" s="75" t="s">
        <v>191</v>
      </c>
      <c r="E287" s="77">
        <f t="array" ref="E287:E298">IFERROR(VLOOKUP(I287:I298,Lectures_1!A2:F5343,4,FALSE()),0)</f>
        <v>70</v>
      </c>
      <c r="F287" s="80" t="s">
        <v>574</v>
      </c>
      <c r="G287" s="78">
        <f t="shared" ref="G287:G298" si="38">E287*1.1</f>
        <v>77</v>
      </c>
      <c r="H287" s="19" t="s">
        <v>671</v>
      </c>
      <c r="I287" s="20" t="str">
        <f t="shared" ref="I287:I298" si="39">CONCATENATE(A287,",",D287)</f>
        <v>EE 152,ED1-AERO</v>
      </c>
      <c r="J287" s="25"/>
    </row>
    <row r="288" spans="1:10" ht="15.5" x14ac:dyDescent="0.35">
      <c r="A288" s="75" t="s">
        <v>234</v>
      </c>
      <c r="B288" s="76" t="str">
        <v>BASIC ELECTRONICS</v>
      </c>
      <c r="C288" s="76" t="str">
        <v>Nicholas Kwesi Prah II</v>
      </c>
      <c r="D288" s="75" t="s">
        <v>112</v>
      </c>
      <c r="E288" s="77">
        <v>46</v>
      </c>
      <c r="F288" s="94" t="s">
        <v>753</v>
      </c>
      <c r="G288" s="78">
        <f t="shared" si="38"/>
        <v>50.6</v>
      </c>
      <c r="H288" s="17" t="s">
        <v>754</v>
      </c>
      <c r="I288" s="20" t="str">
        <f t="shared" si="39"/>
        <v>EE 152,ED1-MARI</v>
      </c>
      <c r="J288" s="25"/>
    </row>
    <row r="289" spans="1:10" ht="15.5" x14ac:dyDescent="0.35">
      <c r="A289" s="75" t="s">
        <v>234</v>
      </c>
      <c r="B289" s="76" t="str">
        <v>BASIC ELECTRONICS</v>
      </c>
      <c r="C289" s="76" t="str">
        <v>Nicholas Kwesi Prah II</v>
      </c>
      <c r="D289" s="75" t="s">
        <v>111</v>
      </c>
      <c r="E289" s="77">
        <v>83</v>
      </c>
      <c r="F289" s="94" t="s">
        <v>755</v>
      </c>
      <c r="G289" s="78">
        <f t="shared" si="38"/>
        <v>91.300000000000011</v>
      </c>
      <c r="H289" s="19" t="s">
        <v>756</v>
      </c>
      <c r="I289" s="20" t="str">
        <f t="shared" si="39"/>
        <v>EE 152,ED1-IND</v>
      </c>
      <c r="J289" s="25"/>
    </row>
    <row r="290" spans="1:10" ht="15.5" x14ac:dyDescent="0.35">
      <c r="A290" s="75" t="s">
        <v>234</v>
      </c>
      <c r="B290" s="76" t="str">
        <v>BASIC ELECTRONICS</v>
      </c>
      <c r="C290" s="76" t="str">
        <v>Nicholas Kwesi Prah II</v>
      </c>
      <c r="D290" s="75" t="s">
        <v>162</v>
      </c>
      <c r="E290" s="77">
        <v>85</v>
      </c>
      <c r="F290" s="92" t="s">
        <v>571</v>
      </c>
      <c r="G290" s="78">
        <f t="shared" si="38"/>
        <v>93.500000000000014</v>
      </c>
      <c r="H290" s="17" t="s">
        <v>757</v>
      </c>
      <c r="I290" s="20" t="str">
        <f t="shared" si="39"/>
        <v>EE 152,ED1-AUTO</v>
      </c>
      <c r="J290" s="25"/>
    </row>
    <row r="291" spans="1:10" ht="15.5" x14ac:dyDescent="0.35">
      <c r="A291" s="75" t="s">
        <v>234</v>
      </c>
      <c r="B291" s="76" t="str">
        <v>BASIC ELECTRONICS</v>
      </c>
      <c r="C291" s="76" t="str">
        <v>Twumasi Elvis</v>
      </c>
      <c r="D291" s="75" t="s">
        <v>81</v>
      </c>
      <c r="E291" s="77">
        <v>56</v>
      </c>
      <c r="F291" s="80" t="s">
        <v>758</v>
      </c>
      <c r="G291" s="78">
        <f t="shared" si="38"/>
        <v>61.600000000000009</v>
      </c>
      <c r="H291" s="19" t="s">
        <v>759</v>
      </c>
      <c r="I291" s="20" t="str">
        <f t="shared" si="39"/>
        <v>EE 152,ED1-PCE</v>
      </c>
      <c r="J291" s="25"/>
    </row>
    <row r="292" spans="1:10" ht="15.5" x14ac:dyDescent="0.35">
      <c r="A292" s="75" t="s">
        <v>234</v>
      </c>
      <c r="B292" s="76" t="str">
        <v>BASIC ELECTRONICS</v>
      </c>
      <c r="C292" s="76" t="str">
        <v>Twumasi Elvis</v>
      </c>
      <c r="D292" s="75" t="s">
        <v>82</v>
      </c>
      <c r="E292" s="77">
        <v>130</v>
      </c>
      <c r="F292" s="80" t="s">
        <v>760</v>
      </c>
      <c r="G292" s="78">
        <f t="shared" si="38"/>
        <v>143</v>
      </c>
      <c r="H292" s="19" t="s">
        <v>761</v>
      </c>
      <c r="I292" s="20" t="str">
        <f t="shared" si="39"/>
        <v>EE 152,ED1-PE</v>
      </c>
      <c r="J292" s="25"/>
    </row>
    <row r="293" spans="1:10" ht="15.5" x14ac:dyDescent="0.35">
      <c r="A293" s="75" t="s">
        <v>234</v>
      </c>
      <c r="B293" s="79" t="str">
        <v>BASIC ELECTRONICS</v>
      </c>
      <c r="C293" s="76" t="str">
        <v>Nicholas Kwesi Prah II</v>
      </c>
      <c r="D293" s="75" t="s">
        <v>131</v>
      </c>
      <c r="E293" s="77">
        <v>128</v>
      </c>
      <c r="F293" s="75" t="s">
        <v>731</v>
      </c>
      <c r="G293" s="78">
        <f t="shared" si="38"/>
        <v>140.80000000000001</v>
      </c>
      <c r="H293" s="19" t="s">
        <v>762</v>
      </c>
      <c r="I293" s="20" t="str">
        <f t="shared" si="39"/>
        <v>EE 152,ED1-AE</v>
      </c>
      <c r="J293" s="25"/>
    </row>
    <row r="294" spans="1:10" ht="15.5" x14ac:dyDescent="0.35">
      <c r="A294" s="75" t="s">
        <v>234</v>
      </c>
      <c r="B294" s="79" t="str">
        <v>BASIC ELECTRONICS</v>
      </c>
      <c r="C294" s="79" t="str">
        <v>Affum Emmanuel Ampoma</v>
      </c>
      <c r="D294" s="75" t="s">
        <v>91</v>
      </c>
      <c r="E294" s="77">
        <v>130</v>
      </c>
      <c r="F294" s="80" t="s">
        <v>763</v>
      </c>
      <c r="G294" s="78">
        <f t="shared" si="38"/>
        <v>143</v>
      </c>
      <c r="H294" s="19" t="s">
        <v>764</v>
      </c>
      <c r="I294" s="20" t="str">
        <f t="shared" si="39"/>
        <v>EE 152,ED1-TEL</v>
      </c>
      <c r="J294" s="25"/>
    </row>
    <row r="295" spans="1:10" ht="15.5" x14ac:dyDescent="0.35">
      <c r="A295" s="75" t="s">
        <v>260</v>
      </c>
      <c r="B295" s="76" t="str">
        <v>BASIC ELECTRONICS</v>
      </c>
      <c r="C295" s="79" t="str">
        <v>Klogo Griffith Selorm</v>
      </c>
      <c r="D295" s="75" t="s">
        <v>20</v>
      </c>
      <c r="E295" s="77">
        <v>262</v>
      </c>
      <c r="F295" s="80" t="s">
        <v>533</v>
      </c>
      <c r="G295" s="78">
        <f t="shared" si="38"/>
        <v>288.20000000000005</v>
      </c>
      <c r="H295" s="19" t="s">
        <v>534</v>
      </c>
      <c r="I295" s="20" t="str">
        <f t="shared" si="39"/>
        <v>COE 152,ED1-COE</v>
      </c>
      <c r="J295" s="25"/>
    </row>
    <row r="296" spans="1:10" ht="15.5" x14ac:dyDescent="0.35">
      <c r="A296" s="75" t="s">
        <v>289</v>
      </c>
      <c r="B296" s="79" t="str">
        <v>WASTE MANAGEMENT</v>
      </c>
      <c r="C296" s="79" t="str">
        <v>Koomson Bennetta</v>
      </c>
      <c r="D296" s="75" t="s">
        <v>135</v>
      </c>
      <c r="E296" s="77">
        <v>60</v>
      </c>
      <c r="F296" s="80" t="s">
        <v>529</v>
      </c>
      <c r="G296" s="78">
        <f t="shared" si="38"/>
        <v>66</v>
      </c>
      <c r="H296" s="19" t="s">
        <v>765</v>
      </c>
      <c r="I296" s="20" t="str">
        <f t="shared" si="39"/>
        <v>MSE 452,ED4-MSE</v>
      </c>
      <c r="J296" s="25"/>
    </row>
    <row r="297" spans="1:10" ht="15.5" x14ac:dyDescent="0.35">
      <c r="A297" s="75" t="s">
        <v>290</v>
      </c>
      <c r="B297" s="76" t="str">
        <v>METALLURGICAL WASTE MANAGEMENT</v>
      </c>
      <c r="C297" s="79" t="str">
        <v>Koomson Bennetta</v>
      </c>
      <c r="D297" s="80" t="s">
        <v>136</v>
      </c>
      <c r="E297" s="77">
        <v>55</v>
      </c>
      <c r="F297" s="80" t="s">
        <v>766</v>
      </c>
      <c r="G297" s="78">
        <f t="shared" si="38"/>
        <v>60.500000000000007</v>
      </c>
      <c r="H297" s="40" t="s">
        <v>767</v>
      </c>
      <c r="I297" s="20" t="str">
        <f t="shared" si="39"/>
        <v>METE 454,ED4-METE</v>
      </c>
      <c r="J297" s="25"/>
    </row>
    <row r="298" spans="1:10" ht="15.5" x14ac:dyDescent="0.35">
      <c r="A298" s="75" t="s">
        <v>279</v>
      </c>
      <c r="B298" s="76" t="str">
        <v>MICROPROCESSORS AND MECHATRONICS APPLICATIONS</v>
      </c>
      <c r="C298" s="76" t="str">
        <v>Sackey Michael Nii</v>
      </c>
      <c r="D298" s="75" t="s">
        <v>23</v>
      </c>
      <c r="E298" s="77">
        <v>40</v>
      </c>
      <c r="F298" s="94" t="s">
        <v>616</v>
      </c>
      <c r="G298" s="78">
        <f t="shared" si="38"/>
        <v>44</v>
      </c>
      <c r="H298" s="19">
        <v>40</v>
      </c>
      <c r="I298" s="20" t="str">
        <f t="shared" si="39"/>
        <v>AME 384,ED3-AUTO</v>
      </c>
      <c r="J298" s="25"/>
    </row>
    <row r="299" spans="1:10" ht="15.5" x14ac:dyDescent="0.35">
      <c r="A299" s="81"/>
      <c r="B299" s="81"/>
      <c r="C299" s="72"/>
      <c r="D299" s="76" t="s">
        <v>287</v>
      </c>
      <c r="E299" s="82">
        <f>SUM(E287:E298)</f>
        <v>1145</v>
      </c>
      <c r="F299" s="83"/>
      <c r="G299" s="84"/>
      <c r="I299" s="22" t="s">
        <v>288</v>
      </c>
      <c r="J299" s="25"/>
    </row>
    <row r="300" spans="1:10" ht="15.5" x14ac:dyDescent="0.35">
      <c r="A300" s="6" t="s">
        <v>274</v>
      </c>
      <c r="B300" s="6"/>
      <c r="C300" s="6"/>
      <c r="D300" s="6"/>
      <c r="E300" s="6"/>
      <c r="F300" s="6"/>
      <c r="G300" s="6"/>
      <c r="I300" s="22" t="str">
        <f>A300</f>
        <v>Tuesday, 25 August 2026</v>
      </c>
      <c r="J300" s="25"/>
    </row>
    <row r="301" spans="1:10" ht="15.5" x14ac:dyDescent="0.35">
      <c r="A301" s="6" t="s">
        <v>59</v>
      </c>
      <c r="B301" s="6"/>
      <c r="C301" s="6"/>
      <c r="D301" s="6"/>
      <c r="E301" s="6"/>
      <c r="F301" s="6"/>
      <c r="G301" s="6"/>
      <c r="I301" s="22" t="str">
        <f>A301</f>
        <v>Session, 3 (3:00 PM - 5:00 PM)</v>
      </c>
      <c r="J301" s="25"/>
    </row>
    <row r="302" spans="1:10" ht="15.5" x14ac:dyDescent="0.35">
      <c r="A302" s="71" t="s">
        <v>4</v>
      </c>
      <c r="B302" s="71" t="s">
        <v>5</v>
      </c>
      <c r="C302" s="72" t="s">
        <v>6</v>
      </c>
      <c r="D302" s="71" t="s">
        <v>7</v>
      </c>
      <c r="E302" s="73" t="s">
        <v>8</v>
      </c>
      <c r="F302" s="79" t="s">
        <v>9</v>
      </c>
      <c r="G302" s="74" t="s">
        <v>10</v>
      </c>
      <c r="I302" s="22" t="s">
        <v>31</v>
      </c>
      <c r="J302" s="25"/>
    </row>
    <row r="303" spans="1:10" ht="15.5" x14ac:dyDescent="0.35">
      <c r="A303" s="75" t="s">
        <v>296</v>
      </c>
      <c r="B303" s="76" t="str">
        <f t="array" ref="B303:B311">IFERROR(VLOOKUP(I303:I311,Lectures_1!A2:F534,2,FALSE()),0)</f>
        <v>ENVIRONMENTAL IMPACT ASSESSMENT</v>
      </c>
      <c r="C303" s="76" t="str">
        <f t="array" ref="C303:C311">IFERROR(VLOOKUP(I303:I311,Lectures_1!A2:F534,3,FALSE()),0)</f>
        <v>Afotey Benjamin</v>
      </c>
      <c r="D303" s="75" t="s">
        <v>63</v>
      </c>
      <c r="E303" s="77">
        <f t="array" ref="E303:E311">IFERROR(VLOOKUP(I303:I311,Lectures_1!A2:F534,4,FALSE()),0)</f>
        <v>30</v>
      </c>
      <c r="F303" s="80" t="s">
        <v>541</v>
      </c>
      <c r="G303" s="78">
        <f t="shared" ref="G303:G311" si="40">E303*1.1</f>
        <v>33</v>
      </c>
      <c r="H303" s="19">
        <v>30</v>
      </c>
      <c r="I303" s="20" t="str">
        <f t="shared" ref="I303:I311" si="41">CONCATENATE(A303,",",D303)</f>
        <v>CHE 370,ED3-PCE</v>
      </c>
      <c r="J303" s="25"/>
    </row>
    <row r="304" spans="1:10" s="53" customFormat="1" ht="15.5" x14ac:dyDescent="0.35">
      <c r="A304" s="75" t="s">
        <v>291</v>
      </c>
      <c r="B304" s="79" t="str">
        <v>HYDRAULIC ENGINEERING</v>
      </c>
      <c r="C304" s="79" t="str">
        <v>Adjei Kwaku Amaning</v>
      </c>
      <c r="D304" s="75" t="s">
        <v>157</v>
      </c>
      <c r="E304" s="77">
        <v>230</v>
      </c>
      <c r="F304" s="80" t="s">
        <v>768</v>
      </c>
      <c r="G304" s="78">
        <f t="shared" si="40"/>
        <v>253.00000000000003</v>
      </c>
      <c r="H304" s="19" t="s">
        <v>769</v>
      </c>
      <c r="I304" s="51" t="str">
        <f t="shared" si="41"/>
        <v>CE 356,ED3-CE</v>
      </c>
      <c r="J304" s="52"/>
    </row>
    <row r="305" spans="1:10" ht="15.5" x14ac:dyDescent="0.35">
      <c r="A305" s="75" t="s">
        <v>292</v>
      </c>
      <c r="B305" s="76" t="str">
        <v>MARINE MAINTENANCE ENGINEERING</v>
      </c>
      <c r="C305" s="76" t="str">
        <v xml:space="preserve">Peter Oppong Tawiah </v>
      </c>
      <c r="D305" s="75" t="s">
        <v>69</v>
      </c>
      <c r="E305" s="77">
        <v>23</v>
      </c>
      <c r="F305" s="80" t="s">
        <v>770</v>
      </c>
      <c r="G305" s="78">
        <f t="shared" si="40"/>
        <v>25.3</v>
      </c>
      <c r="H305" s="19">
        <v>23</v>
      </c>
      <c r="I305" s="20" t="str">
        <f t="shared" si="41"/>
        <v>MME 494,ED4-MARI</v>
      </c>
      <c r="J305" s="25"/>
    </row>
    <row r="306" spans="1:10" ht="15.5" x14ac:dyDescent="0.35">
      <c r="A306" s="75" t="s">
        <v>293</v>
      </c>
      <c r="B306" s="79" t="str">
        <v>MAINTENANCE ENGINEERING</v>
      </c>
      <c r="C306" s="79" t="str">
        <v xml:space="preserve">Peter Oppong Tawiah </v>
      </c>
      <c r="D306" s="75" t="s">
        <v>67</v>
      </c>
      <c r="E306" s="77">
        <v>135</v>
      </c>
      <c r="F306" s="80" t="s">
        <v>731</v>
      </c>
      <c r="G306" s="78">
        <f t="shared" si="40"/>
        <v>148.5</v>
      </c>
      <c r="H306" s="19" t="s">
        <v>771</v>
      </c>
      <c r="I306" s="20" t="str">
        <f t="shared" si="41"/>
        <v>ME 494,ED4-ME</v>
      </c>
      <c r="J306" s="25"/>
    </row>
    <row r="307" spans="1:10" ht="15.5" x14ac:dyDescent="0.35">
      <c r="A307" s="75" t="s">
        <v>293</v>
      </c>
      <c r="B307" s="79" t="str">
        <v>MAINTENANCE ENGINEERING</v>
      </c>
      <c r="C307" s="79" t="str">
        <v xml:space="preserve">Peter Oppong Tawiah </v>
      </c>
      <c r="D307" s="75" t="s">
        <v>124</v>
      </c>
      <c r="E307" s="77">
        <v>69</v>
      </c>
      <c r="F307" s="80" t="s">
        <v>641</v>
      </c>
      <c r="G307" s="78">
        <f t="shared" si="40"/>
        <v>75.900000000000006</v>
      </c>
      <c r="H307" s="19" t="s">
        <v>772</v>
      </c>
      <c r="I307" s="20" t="str">
        <f t="shared" si="41"/>
        <v>ME 494,ED4-IND</v>
      </c>
      <c r="J307" s="25"/>
    </row>
    <row r="308" spans="1:10" ht="15.5" x14ac:dyDescent="0.35">
      <c r="A308" s="75" t="s">
        <v>294</v>
      </c>
      <c r="B308" s="79" t="str">
        <v>KINETICS OF CHEMICAL REACTIONS</v>
      </c>
      <c r="C308" s="76" t="str">
        <v>Patrick Aggrey</v>
      </c>
      <c r="D308" s="75" t="s">
        <v>115</v>
      </c>
      <c r="E308" s="77">
        <v>100</v>
      </c>
      <c r="F308" s="75" t="s">
        <v>571</v>
      </c>
      <c r="G308" s="78">
        <f t="shared" si="40"/>
        <v>110.00000000000001</v>
      </c>
      <c r="H308" s="19" t="s">
        <v>602</v>
      </c>
      <c r="I308" s="20" t="str">
        <f t="shared" si="41"/>
        <v>MSE 152,ED1-MSE</v>
      </c>
      <c r="J308" s="25"/>
    </row>
    <row r="309" spans="1:10" ht="15.5" x14ac:dyDescent="0.35">
      <c r="A309" s="75" t="s">
        <v>295</v>
      </c>
      <c r="B309" s="79" t="str">
        <v>CHEMISTRY FOR METALLURGICAL ENGINEERS</v>
      </c>
      <c r="C309" s="76" t="str">
        <v>Patrick Aggrey</v>
      </c>
      <c r="D309" s="75" t="s">
        <v>114</v>
      </c>
      <c r="E309" s="77">
        <v>75</v>
      </c>
      <c r="F309" s="80" t="s">
        <v>574</v>
      </c>
      <c r="G309" s="78">
        <f t="shared" si="40"/>
        <v>82.5</v>
      </c>
      <c r="H309" s="19" t="s">
        <v>773</v>
      </c>
      <c r="I309" s="20" t="str">
        <f t="shared" si="41"/>
        <v>METE 152,ED1-METE</v>
      </c>
      <c r="J309" s="25"/>
    </row>
    <row r="310" spans="1:10" ht="15.5" x14ac:dyDescent="0.35">
      <c r="A310" s="75" t="s">
        <v>397</v>
      </c>
      <c r="B310" s="79" t="str">
        <v>CHEMICAL ENGINEERING THERMODYNAMICS II</v>
      </c>
      <c r="C310" s="79" t="str">
        <v>Bonsu Jude Kwaku</v>
      </c>
      <c r="D310" s="75" t="s">
        <v>13</v>
      </c>
      <c r="E310" s="77">
        <v>160</v>
      </c>
      <c r="F310" s="80" t="s">
        <v>617</v>
      </c>
      <c r="G310" s="78">
        <f t="shared" si="40"/>
        <v>176</v>
      </c>
      <c r="H310" s="19" t="s">
        <v>774</v>
      </c>
      <c r="I310" s="20" t="str">
        <f t="shared" si="41"/>
        <v>CHE 254,ED2-CHE</v>
      </c>
      <c r="J310" s="25"/>
    </row>
    <row r="311" spans="1:10" ht="15.5" x14ac:dyDescent="0.35">
      <c r="A311" s="75" t="s">
        <v>286</v>
      </c>
      <c r="B311" s="79" t="str">
        <v>POWER ELECTRONICS</v>
      </c>
      <c r="C311" s="79" t="str">
        <v>Effah Francis Boafo</v>
      </c>
      <c r="D311" s="75" t="s">
        <v>71</v>
      </c>
      <c r="E311" s="77">
        <v>240</v>
      </c>
      <c r="F311" s="80" t="s">
        <v>533</v>
      </c>
      <c r="G311" s="78">
        <f t="shared" si="40"/>
        <v>264</v>
      </c>
      <c r="H311" s="19" t="s">
        <v>775</v>
      </c>
      <c r="I311" s="20" t="str">
        <f t="shared" si="41"/>
        <v>EE 366,ED3-EE</v>
      </c>
      <c r="J311" s="25"/>
    </row>
    <row r="312" spans="1:10" ht="15.5" x14ac:dyDescent="0.35">
      <c r="A312" s="81"/>
      <c r="B312" s="81"/>
      <c r="C312" s="72"/>
      <c r="D312" s="76" t="s">
        <v>298</v>
      </c>
      <c r="E312" s="82">
        <f>SUM(E303:E311)</f>
        <v>1062</v>
      </c>
      <c r="F312" s="83"/>
      <c r="G312" s="84"/>
      <c r="I312" s="22" t="s">
        <v>299</v>
      </c>
      <c r="J312" s="25"/>
    </row>
    <row r="313" spans="1:10" ht="15.5" x14ac:dyDescent="0.35">
      <c r="A313" s="6" t="s">
        <v>300</v>
      </c>
      <c r="B313" s="6"/>
      <c r="C313" s="6"/>
      <c r="D313" s="6"/>
      <c r="E313" s="6"/>
      <c r="F313" s="6"/>
      <c r="G313" s="6"/>
      <c r="I313" s="22" t="str">
        <f>A313</f>
        <v>Wednesday, 26 August 2026</v>
      </c>
      <c r="J313" s="25"/>
    </row>
    <row r="314" spans="1:10" ht="15.5" x14ac:dyDescent="0.35">
      <c r="A314" s="6" t="s">
        <v>2</v>
      </c>
      <c r="B314" s="6"/>
      <c r="C314" s="6"/>
      <c r="D314" s="6"/>
      <c r="E314" s="6"/>
      <c r="F314" s="6"/>
      <c r="G314" s="6"/>
      <c r="I314" s="22" t="str">
        <f>A314</f>
        <v>Session, 1 (8:30 AM - 10:30 AM)</v>
      </c>
      <c r="J314" s="25"/>
    </row>
    <row r="315" spans="1:10" ht="15.5" x14ac:dyDescent="0.35">
      <c r="A315" s="71" t="s">
        <v>4</v>
      </c>
      <c r="B315" s="71" t="s">
        <v>5</v>
      </c>
      <c r="C315" s="72" t="s">
        <v>6</v>
      </c>
      <c r="D315" s="71" t="s">
        <v>7</v>
      </c>
      <c r="E315" s="73" t="s">
        <v>8</v>
      </c>
      <c r="F315" s="79" t="s">
        <v>9</v>
      </c>
      <c r="G315" s="74" t="s">
        <v>10</v>
      </c>
      <c r="I315" s="22" t="s">
        <v>31</v>
      </c>
      <c r="J315" s="25"/>
    </row>
    <row r="316" spans="1:10" ht="15.5" x14ac:dyDescent="0.35">
      <c r="A316" s="75" t="s">
        <v>281</v>
      </c>
      <c r="B316" s="76" t="str">
        <f t="array" ref="B316:B337">IFERROR(VLOOKUP(I316:I337,Lectures_1!A2:F534,2,FALSE()),0)</f>
        <v>CALCULUS WITH SEVERAL VARIABLES</v>
      </c>
      <c r="C316" s="79" t="str">
        <f t="array" ref="C316:C337">IFERROR(VLOOKUP(I316:I337,Lectures_1!A2:F534,3,FALSE()),0)</f>
        <v>Eghan Rhydal Esi</v>
      </c>
      <c r="D316" s="75" t="s">
        <v>109</v>
      </c>
      <c r="E316" s="77">
        <f t="array" ref="E316:E337">IFERROR(VLOOKUP(I316:I337,Lectures_1!A2:F534,4,FALSE()),0)</f>
        <v>80</v>
      </c>
      <c r="F316" s="5" t="s">
        <v>34</v>
      </c>
      <c r="G316" s="78">
        <f t="shared" ref="G316:G337" si="42">E316*1.1</f>
        <v>88</v>
      </c>
      <c r="I316" s="20" t="str">
        <f t="shared" ref="I316:I337" si="43">CONCATENATE(A316,",",D316)</f>
        <v>MATH 252,ED2-BME</v>
      </c>
      <c r="J316" s="25"/>
    </row>
    <row r="317" spans="1:10" ht="15.5" x14ac:dyDescent="0.35">
      <c r="A317" s="75" t="s">
        <v>281</v>
      </c>
      <c r="B317" s="76" t="str">
        <v>CALCULUS WITH SEVERAL VARIABLES</v>
      </c>
      <c r="C317" s="79" t="str">
        <v>Eghan Rhydal Esi</v>
      </c>
      <c r="D317" s="75" t="s">
        <v>40</v>
      </c>
      <c r="E317" s="77">
        <v>82</v>
      </c>
      <c r="F317" s="5"/>
      <c r="G317" s="78">
        <f t="shared" si="42"/>
        <v>90.2</v>
      </c>
      <c r="I317" s="20" t="str">
        <f t="shared" si="43"/>
        <v>MATH 252,ED2-AUTO</v>
      </c>
      <c r="J317" s="25"/>
    </row>
    <row r="318" spans="1:10" s="53" customFormat="1" ht="15.5" x14ac:dyDescent="0.35">
      <c r="A318" s="75" t="s">
        <v>281</v>
      </c>
      <c r="B318" s="79" t="str">
        <v>CALCULUS WITH SEVERAL VARIABLES</v>
      </c>
      <c r="C318" s="76" t="str">
        <v>Reindorf Nartey Borkor</v>
      </c>
      <c r="D318" s="75" t="s">
        <v>56</v>
      </c>
      <c r="E318" s="77">
        <v>250</v>
      </c>
      <c r="F318" s="5"/>
      <c r="G318" s="78">
        <f t="shared" si="42"/>
        <v>275</v>
      </c>
      <c r="H318" s="19"/>
      <c r="I318" s="51" t="str">
        <f t="shared" si="43"/>
        <v>MATH 252,ED2-CE</v>
      </c>
      <c r="J318" s="52"/>
    </row>
    <row r="319" spans="1:10" ht="15.5" x14ac:dyDescent="0.35">
      <c r="A319" s="75" t="s">
        <v>281</v>
      </c>
      <c r="B319" s="76" t="str">
        <v>CALCULUS OF SEVERAL VARIABLES</v>
      </c>
      <c r="C319" s="79" t="str">
        <v>Eghan Rhydal Esi</v>
      </c>
      <c r="D319" s="75" t="s">
        <v>14</v>
      </c>
      <c r="E319" s="77">
        <v>65</v>
      </c>
      <c r="F319" s="5"/>
      <c r="G319" s="78">
        <f t="shared" si="42"/>
        <v>71.5</v>
      </c>
      <c r="I319" s="20" t="str">
        <f t="shared" si="43"/>
        <v>MATH 252,ED2-PCE</v>
      </c>
      <c r="J319" s="25"/>
    </row>
    <row r="320" spans="1:10" ht="15.5" x14ac:dyDescent="0.35">
      <c r="A320" s="75" t="s">
        <v>281</v>
      </c>
      <c r="B320" s="76" t="str">
        <v>CALCULUS OF SEVERAL VARIABLES</v>
      </c>
      <c r="C320" s="79" t="str">
        <v>Eghan Rhydal Esi</v>
      </c>
      <c r="D320" s="75" t="s">
        <v>93</v>
      </c>
      <c r="E320" s="77">
        <v>95</v>
      </c>
      <c r="F320" s="5"/>
      <c r="G320" s="78">
        <f t="shared" si="42"/>
        <v>104.50000000000001</v>
      </c>
      <c r="H320" s="49"/>
      <c r="I320" s="20" t="str">
        <f t="shared" si="43"/>
        <v>MATH 252,ED2-PE</v>
      </c>
      <c r="J320" s="25"/>
    </row>
    <row r="321" spans="1:10" ht="15.5" x14ac:dyDescent="0.35">
      <c r="A321" s="75" t="s">
        <v>281</v>
      </c>
      <c r="B321" s="76" t="str">
        <v>CALCULUS WITH SEVERAL VARIABLES</v>
      </c>
      <c r="C321" s="76" t="str">
        <v>Asamoah Joshua Kiddy Kwasi</v>
      </c>
      <c r="D321" s="75" t="s">
        <v>170</v>
      </c>
      <c r="E321" s="77">
        <v>132</v>
      </c>
      <c r="F321" s="5"/>
      <c r="G321" s="78">
        <f t="shared" si="42"/>
        <v>145.20000000000002</v>
      </c>
      <c r="I321" s="20" t="str">
        <f t="shared" si="43"/>
        <v>MATH 252,ED2-GEOM</v>
      </c>
      <c r="J321" s="25"/>
    </row>
    <row r="322" spans="1:10" ht="15.5" x14ac:dyDescent="0.35">
      <c r="A322" s="75" t="s">
        <v>281</v>
      </c>
      <c r="B322" s="76" t="str">
        <v>CALCULUS WITH SEVERAL VARIABLES</v>
      </c>
      <c r="C322" s="79" t="str">
        <v>Asamoah Joshua Kiddy Kwasi</v>
      </c>
      <c r="D322" s="75" t="s">
        <v>210</v>
      </c>
      <c r="E322" s="77">
        <v>83</v>
      </c>
      <c r="F322" s="5"/>
      <c r="G322" s="78">
        <f t="shared" si="42"/>
        <v>91.300000000000011</v>
      </c>
      <c r="I322" s="20" t="str">
        <f t="shared" si="43"/>
        <v>MATH 252,ED2-MSE</v>
      </c>
      <c r="J322" s="25"/>
    </row>
    <row r="323" spans="1:10" ht="15.5" x14ac:dyDescent="0.35">
      <c r="A323" s="75" t="s">
        <v>281</v>
      </c>
      <c r="B323" s="76" t="str">
        <v>CALCULUS WITH SEVERAL VARIABLES</v>
      </c>
      <c r="C323" s="79" t="str">
        <v>Asamoah Joshua Kiddy Kwasi</v>
      </c>
      <c r="D323" s="75" t="s">
        <v>101</v>
      </c>
      <c r="E323" s="77">
        <v>57</v>
      </c>
      <c r="F323" s="5"/>
      <c r="G323" s="78">
        <f t="shared" si="42"/>
        <v>62.7</v>
      </c>
      <c r="I323" s="20" t="str">
        <f t="shared" si="43"/>
        <v>MATH 252,ED2-METE</v>
      </c>
      <c r="J323" s="25"/>
    </row>
    <row r="324" spans="1:10" ht="15.5" x14ac:dyDescent="0.35">
      <c r="A324" s="75" t="s">
        <v>281</v>
      </c>
      <c r="B324" s="76" t="str">
        <v>CALCULUS WITH SEVERAL VARIABLES</v>
      </c>
      <c r="C324" s="76" t="str">
        <v>Wireko Fredrick Asenso</v>
      </c>
      <c r="D324" s="75" t="s">
        <v>108</v>
      </c>
      <c r="E324" s="77">
        <v>255</v>
      </c>
      <c r="F324" s="5"/>
      <c r="G324" s="78">
        <f t="shared" si="42"/>
        <v>280.5</v>
      </c>
      <c r="I324" s="20" t="str">
        <f t="shared" si="43"/>
        <v>MATH 252,ED2-COE</v>
      </c>
      <c r="J324" s="25"/>
    </row>
    <row r="325" spans="1:10" ht="15.5" x14ac:dyDescent="0.35">
      <c r="A325" s="75" t="s">
        <v>281</v>
      </c>
      <c r="B325" s="76" t="str">
        <v>CALCULUS WITH SEVERAL VARIABLES</v>
      </c>
      <c r="C325" s="76" t="str">
        <v>Wireko Fredrick Asenso</v>
      </c>
      <c r="D325" s="75" t="s">
        <v>55</v>
      </c>
      <c r="E325" s="77">
        <v>150</v>
      </c>
      <c r="F325" s="5"/>
      <c r="G325" s="78">
        <f t="shared" si="42"/>
        <v>165</v>
      </c>
      <c r="I325" s="20" t="str">
        <f t="shared" si="43"/>
        <v>MATH 252,ED2-GEOL</v>
      </c>
      <c r="J325" s="25"/>
    </row>
    <row r="326" spans="1:10" ht="15.5" x14ac:dyDescent="0.35">
      <c r="A326" s="75" t="s">
        <v>281</v>
      </c>
      <c r="B326" s="79" t="str">
        <v>CALCULUS WITH SEVERAL VARIABLES</v>
      </c>
      <c r="C326" s="76" t="str">
        <v>Wireko Fredrick Asenso</v>
      </c>
      <c r="D326" s="75" t="s">
        <v>172</v>
      </c>
      <c r="E326" s="77">
        <v>175</v>
      </c>
      <c r="F326" s="5"/>
      <c r="G326" s="78">
        <f t="shared" si="42"/>
        <v>192.50000000000003</v>
      </c>
      <c r="I326" s="20" t="str">
        <f t="shared" si="43"/>
        <v>MATH 252,ED2-TEL</v>
      </c>
      <c r="J326" s="25"/>
    </row>
    <row r="327" spans="1:10" s="53" customFormat="1" ht="15.5" x14ac:dyDescent="0.35">
      <c r="A327" s="75" t="s">
        <v>281</v>
      </c>
      <c r="B327" s="79" t="str">
        <v>CALCULUS WITH SEVERAL VARIABLES</v>
      </c>
      <c r="C327" s="76" t="str">
        <v>Wireko Fredrick Asenso</v>
      </c>
      <c r="D327" s="75" t="s">
        <v>53</v>
      </c>
      <c r="E327" s="77">
        <v>155</v>
      </c>
      <c r="F327" s="5"/>
      <c r="G327" s="78">
        <f t="shared" si="42"/>
        <v>170.5</v>
      </c>
      <c r="H327" s="19"/>
      <c r="I327" s="51" t="str">
        <f t="shared" si="43"/>
        <v>MATH 252,ED2-AE</v>
      </c>
      <c r="J327" s="52"/>
    </row>
    <row r="328" spans="1:10" s="53" customFormat="1" ht="15.5" x14ac:dyDescent="0.35">
      <c r="A328" s="75" t="s">
        <v>281</v>
      </c>
      <c r="B328" s="79" t="str">
        <v>CALCULUS WITH SEVERAL VARIABLES</v>
      </c>
      <c r="C328" s="76" t="str">
        <v>Wireko Fredrick Asenso</v>
      </c>
      <c r="D328" s="75" t="s">
        <v>36</v>
      </c>
      <c r="E328" s="77">
        <v>75</v>
      </c>
      <c r="F328" s="5"/>
      <c r="G328" s="78">
        <f t="shared" si="42"/>
        <v>82.5</v>
      </c>
      <c r="H328" s="19"/>
      <c r="I328" s="51" t="str">
        <f t="shared" si="43"/>
        <v>MATH 252,ED2-AERO</v>
      </c>
      <c r="J328" s="52"/>
    </row>
    <row r="329" spans="1:10" ht="15.5" x14ac:dyDescent="0.35">
      <c r="A329" s="75" t="s">
        <v>281</v>
      </c>
      <c r="B329" s="76" t="str">
        <v>CALCULUS WITH SEVERAL VARIABLES</v>
      </c>
      <c r="C329" s="76" t="str">
        <v>Wireko Fredrick Asenso</v>
      </c>
      <c r="D329" s="75" t="s">
        <v>38</v>
      </c>
      <c r="E329" s="77">
        <v>80</v>
      </c>
      <c r="F329" s="5"/>
      <c r="G329" s="78">
        <f t="shared" si="42"/>
        <v>88</v>
      </c>
      <c r="I329" s="20" t="str">
        <f t="shared" si="43"/>
        <v>MATH 252,ED2-IND</v>
      </c>
      <c r="J329" s="25"/>
    </row>
    <row r="330" spans="1:10" ht="15.5" x14ac:dyDescent="0.35">
      <c r="A330" s="75" t="s">
        <v>302</v>
      </c>
      <c r="B330" s="71" t="str">
        <v>PHYSICAL CHEMISTRY FOR ENGINEERS</v>
      </c>
      <c r="C330" s="79" t="str">
        <v>Anang Daniel Adjah</v>
      </c>
      <c r="D330" s="75" t="s">
        <v>80</v>
      </c>
      <c r="E330" s="95">
        <v>120</v>
      </c>
      <c r="F330" s="80" t="s">
        <v>776</v>
      </c>
      <c r="G330" s="78">
        <f t="shared" si="42"/>
        <v>132</v>
      </c>
      <c r="H330" s="19" t="s">
        <v>777</v>
      </c>
      <c r="I330" s="20" t="str">
        <f t="shared" si="43"/>
        <v>CHE 156,ED1-CHE</v>
      </c>
      <c r="J330" s="25"/>
    </row>
    <row r="331" spans="1:10" ht="15.5" x14ac:dyDescent="0.35">
      <c r="A331" s="75" t="s">
        <v>303</v>
      </c>
      <c r="B331" s="76" t="str">
        <v>FARM POWER AND MACHINERY</v>
      </c>
      <c r="C331" s="79" t="str">
        <v>Aikins Stephen Hill Mends</v>
      </c>
      <c r="D331" s="75" t="s">
        <v>88</v>
      </c>
      <c r="E331" s="77">
        <v>101</v>
      </c>
      <c r="F331" s="91" t="s">
        <v>571</v>
      </c>
      <c r="G331" s="78">
        <f t="shared" si="42"/>
        <v>111.10000000000001</v>
      </c>
      <c r="H331" s="17" t="s">
        <v>644</v>
      </c>
      <c r="I331" s="20" t="str">
        <f t="shared" si="43"/>
        <v>AE 356,ED3-AE</v>
      </c>
      <c r="J331" s="25"/>
    </row>
    <row r="332" spans="1:10" ht="15.5" x14ac:dyDescent="0.35">
      <c r="A332" s="75" t="s">
        <v>304</v>
      </c>
      <c r="B332" s="79" t="str">
        <v>NAVAL ARCHITECTURE I</v>
      </c>
      <c r="C332" s="79" t="str">
        <v>Kudzedzi Emmanuel Yaw Mawuko</v>
      </c>
      <c r="D332" s="75" t="s">
        <v>86</v>
      </c>
      <c r="E332" s="77">
        <v>40</v>
      </c>
      <c r="F332" s="80" t="s">
        <v>541</v>
      </c>
      <c r="G332" s="78">
        <f t="shared" si="42"/>
        <v>44</v>
      </c>
      <c r="H332" s="19">
        <v>40</v>
      </c>
      <c r="I332" s="20" t="str">
        <f t="shared" si="43"/>
        <v>MME 382,ED3-MARI</v>
      </c>
      <c r="J332" s="25"/>
    </row>
    <row r="333" spans="1:10" ht="15.5" x14ac:dyDescent="0.35">
      <c r="A333" s="75" t="s">
        <v>305</v>
      </c>
      <c r="B333" s="76" t="str">
        <v>POWER SUPPLY ELECTRONICS</v>
      </c>
      <c r="C333" s="76" t="str">
        <v>Effah Francis Boafo</v>
      </c>
      <c r="D333" s="75" t="s">
        <v>25</v>
      </c>
      <c r="E333" s="77">
        <v>340</v>
      </c>
      <c r="F333" s="80" t="s">
        <v>533</v>
      </c>
      <c r="G333" s="78">
        <f t="shared" si="42"/>
        <v>374.00000000000006</v>
      </c>
      <c r="H333" s="19" t="s">
        <v>778</v>
      </c>
      <c r="I333" s="20" t="str">
        <f t="shared" si="43"/>
        <v>EE 258,ED2-EE</v>
      </c>
      <c r="J333" s="25"/>
    </row>
    <row r="334" spans="1:10" ht="15.5" x14ac:dyDescent="0.35">
      <c r="A334" s="75" t="s">
        <v>507</v>
      </c>
      <c r="B334" s="76" t="str">
        <v>DIGITAL SIGNAL PROCESSING</v>
      </c>
      <c r="C334" s="79" t="str">
        <v>Kponyo Jerry John</v>
      </c>
      <c r="D334" s="80" t="s">
        <v>227</v>
      </c>
      <c r="E334" s="77">
        <v>138</v>
      </c>
      <c r="F334" s="80" t="s">
        <v>779</v>
      </c>
      <c r="G334" s="78">
        <f t="shared" si="42"/>
        <v>151.80000000000001</v>
      </c>
      <c r="H334" s="19" t="s">
        <v>780</v>
      </c>
      <c r="I334" s="20" t="str">
        <f t="shared" si="43"/>
        <v>TE 454,ED4-TEL</v>
      </c>
      <c r="J334" s="25"/>
    </row>
    <row r="335" spans="1:10" ht="15.5" x14ac:dyDescent="0.35">
      <c r="A335" s="75" t="s">
        <v>307</v>
      </c>
      <c r="B335" s="76" t="str">
        <v>DIGITAL SIGNAL PROCESSING</v>
      </c>
      <c r="C335" s="79" t="str">
        <v>Kponyo Jerry John</v>
      </c>
      <c r="D335" s="75" t="s">
        <v>144</v>
      </c>
      <c r="E335" s="77">
        <v>12</v>
      </c>
      <c r="F335" s="75" t="s">
        <v>781</v>
      </c>
      <c r="G335" s="78">
        <f t="shared" si="42"/>
        <v>13.200000000000001</v>
      </c>
      <c r="H335" s="19">
        <v>12</v>
      </c>
      <c r="I335" s="20" t="str">
        <f t="shared" si="43"/>
        <v>EE 472,ED4-EE</v>
      </c>
      <c r="J335" s="25"/>
    </row>
    <row r="336" spans="1:10" ht="15.5" x14ac:dyDescent="0.35">
      <c r="A336" s="75" t="s">
        <v>308</v>
      </c>
      <c r="B336" s="76" t="str">
        <v>ENGINEERING PROJECT DESIGN AND MANAGEMENT</v>
      </c>
      <c r="C336" s="76" t="str">
        <v>Agyekum Kwame Agyeman-Prempeh</v>
      </c>
      <c r="D336" s="75" t="s">
        <v>119</v>
      </c>
      <c r="E336" s="77">
        <v>140</v>
      </c>
      <c r="F336" s="80" t="s">
        <v>782</v>
      </c>
      <c r="G336" s="78">
        <f t="shared" si="42"/>
        <v>154</v>
      </c>
      <c r="H336" s="19" t="s">
        <v>586</v>
      </c>
      <c r="I336" s="20" t="str">
        <f t="shared" si="43"/>
        <v>TE 372,ED3-TEL</v>
      </c>
      <c r="J336" s="25"/>
    </row>
    <row r="337" spans="1:10" ht="15.5" x14ac:dyDescent="0.35">
      <c r="A337" s="75" t="s">
        <v>310</v>
      </c>
      <c r="B337" s="79" t="str">
        <v>MANUFACTURING TECHNOLOGY</v>
      </c>
      <c r="C337" s="79" t="str">
        <v>Francis Davis</v>
      </c>
      <c r="D337" s="75" t="s">
        <v>61</v>
      </c>
      <c r="E337" s="77">
        <v>222</v>
      </c>
      <c r="F337" s="80" t="s">
        <v>768</v>
      </c>
      <c r="G337" s="78">
        <f t="shared" si="42"/>
        <v>244.20000000000002</v>
      </c>
      <c r="H337" s="19" t="s">
        <v>783</v>
      </c>
      <c r="I337" s="20" t="str">
        <f t="shared" si="43"/>
        <v>ME 370,ED3-ME</v>
      </c>
      <c r="J337" s="25"/>
    </row>
    <row r="338" spans="1:10" ht="15.5" x14ac:dyDescent="0.35">
      <c r="A338" s="81"/>
      <c r="B338" s="81"/>
      <c r="C338" s="72"/>
      <c r="D338" s="76" t="s">
        <v>311</v>
      </c>
      <c r="E338" s="82">
        <f>SUM(E330:E337)</f>
        <v>1113</v>
      </c>
      <c r="F338" s="83"/>
      <c r="G338" s="84"/>
      <c r="I338" s="22" t="s">
        <v>312</v>
      </c>
      <c r="J338" s="25"/>
    </row>
    <row r="339" spans="1:10" ht="15.5" x14ac:dyDescent="0.35">
      <c r="A339" s="6" t="s">
        <v>300</v>
      </c>
      <c r="B339" s="6"/>
      <c r="C339" s="6"/>
      <c r="D339" s="6"/>
      <c r="E339" s="6"/>
      <c r="F339" s="6"/>
      <c r="G339" s="6"/>
      <c r="I339" s="22" t="str">
        <f>A339</f>
        <v>Wednesday, 26 August 2026</v>
      </c>
      <c r="J339" s="25"/>
    </row>
    <row r="340" spans="1:10" ht="15.5" x14ac:dyDescent="0.35">
      <c r="A340" s="6" t="s">
        <v>29</v>
      </c>
      <c r="B340" s="6"/>
      <c r="C340" s="6"/>
      <c r="D340" s="6"/>
      <c r="E340" s="6"/>
      <c r="F340" s="6"/>
      <c r="G340" s="6"/>
      <c r="I340" s="22" t="str">
        <f>A340</f>
        <v>Session, 2 (12:00 PM - 2:00 PM)</v>
      </c>
      <c r="J340" s="25"/>
    </row>
    <row r="341" spans="1:10" ht="15.5" x14ac:dyDescent="0.35">
      <c r="A341" s="71" t="s">
        <v>4</v>
      </c>
      <c r="B341" s="71" t="s">
        <v>5</v>
      </c>
      <c r="C341" s="72" t="s">
        <v>6</v>
      </c>
      <c r="D341" s="71" t="s">
        <v>7</v>
      </c>
      <c r="E341" s="73" t="s">
        <v>8</v>
      </c>
      <c r="F341" s="72" t="s">
        <v>9</v>
      </c>
      <c r="G341" s="74" t="s">
        <v>10</v>
      </c>
      <c r="I341" s="22" t="s">
        <v>31</v>
      </c>
      <c r="J341" s="25"/>
    </row>
    <row r="342" spans="1:10" ht="15.5" x14ac:dyDescent="0.35">
      <c r="A342" s="75" t="s">
        <v>313</v>
      </c>
      <c r="B342" s="76" t="str">
        <f t="array" ref="B342:B350">IFERROR(VLOOKUP(I342:I350,Lectures_1!A2:F534,2,FALSE()),0)</f>
        <v>PROPERTIES OF MATTER</v>
      </c>
      <c r="C342" s="79" t="str">
        <f t="array" ref="C342:C350">IFERROR(VLOOKUP(I342:I350,Lectures_1!A2:F534,3,FALSE()),0)</f>
        <v>Reginald Mensah Noye</v>
      </c>
      <c r="D342" s="75" t="s">
        <v>130</v>
      </c>
      <c r="E342" s="77">
        <f t="array" ref="E342:E350">IFERROR(VLOOKUP(I342:I350,Lectures_1!A2:F534,4,FALSE()),0)</f>
        <v>136</v>
      </c>
      <c r="F342" s="80" t="s">
        <v>710</v>
      </c>
      <c r="G342" s="78">
        <f t="shared" ref="G342:G350" si="44">E342*1.1</f>
        <v>149.60000000000002</v>
      </c>
      <c r="H342" s="19" t="s">
        <v>784</v>
      </c>
      <c r="I342" s="20" t="str">
        <f t="shared" ref="I342:I350" si="45">CONCATENATE(A342,",",D342)</f>
        <v>PHY 154,ED1-BME</v>
      </c>
      <c r="J342" s="25"/>
    </row>
    <row r="343" spans="1:10" ht="15.5" x14ac:dyDescent="0.35">
      <c r="A343" s="75" t="s">
        <v>314</v>
      </c>
      <c r="B343" s="76" t="str">
        <v>INTRODUCTION TO INFORMATION TECHNOLOGY</v>
      </c>
      <c r="C343" s="79" t="str">
        <v>Bessah Enoch</v>
      </c>
      <c r="D343" s="75" t="s">
        <v>131</v>
      </c>
      <c r="E343" s="77">
        <v>128</v>
      </c>
      <c r="F343" s="80" t="s">
        <v>533</v>
      </c>
      <c r="G343" s="78">
        <f t="shared" si="44"/>
        <v>140.80000000000001</v>
      </c>
      <c r="H343" s="19" t="s">
        <v>785</v>
      </c>
      <c r="I343" s="20" t="str">
        <f t="shared" si="45"/>
        <v>AE 158,ED1-AE</v>
      </c>
      <c r="J343" s="25"/>
    </row>
    <row r="344" spans="1:10" ht="15.5" x14ac:dyDescent="0.35">
      <c r="A344" s="75" t="s">
        <v>315</v>
      </c>
      <c r="B344" s="76" t="str">
        <v>NUMERICAL METHODS FOR CHEMICAL ENGINEERS</v>
      </c>
      <c r="C344" s="79" t="str">
        <v>Mensah Mary</v>
      </c>
      <c r="D344" s="75" t="s">
        <v>63</v>
      </c>
      <c r="E344" s="77">
        <v>53</v>
      </c>
      <c r="F344" s="80" t="s">
        <v>786</v>
      </c>
      <c r="G344" s="78">
        <f t="shared" si="44"/>
        <v>58.300000000000004</v>
      </c>
      <c r="H344" s="19" t="s">
        <v>787</v>
      </c>
      <c r="I344" s="20" t="str">
        <f t="shared" si="45"/>
        <v>CHE 358,ED3-PCE</v>
      </c>
      <c r="J344" s="25"/>
    </row>
    <row r="345" spans="1:10" ht="15.5" x14ac:dyDescent="0.35">
      <c r="A345" s="75" t="s">
        <v>315</v>
      </c>
      <c r="B345" s="76" t="str">
        <v>NUMERICAL METHODS FOR CHEMICAL ENGINEERS</v>
      </c>
      <c r="C345" s="79" t="str">
        <v>Mensah Mary</v>
      </c>
      <c r="D345" s="75" t="s">
        <v>73</v>
      </c>
      <c r="E345" s="77">
        <v>105</v>
      </c>
      <c r="F345" s="80" t="s">
        <v>603</v>
      </c>
      <c r="G345" s="78">
        <f t="shared" si="44"/>
        <v>115.50000000000001</v>
      </c>
      <c r="H345" s="19" t="s">
        <v>788</v>
      </c>
      <c r="I345" s="20" t="str">
        <f t="shared" si="45"/>
        <v>CHE 358,ED3-CHE</v>
      </c>
      <c r="J345" s="25"/>
    </row>
    <row r="346" spans="1:10" ht="15.5" x14ac:dyDescent="0.35">
      <c r="A346" s="75" t="s">
        <v>317</v>
      </c>
      <c r="B346" s="76" t="str">
        <v>ENVIRONMENTAL GEOLLOGY</v>
      </c>
      <c r="C346" s="76" t="str">
        <v>Foli Gordon</v>
      </c>
      <c r="D346" s="75" t="s">
        <v>177</v>
      </c>
      <c r="E346" s="77">
        <v>95</v>
      </c>
      <c r="F346" s="80" t="s">
        <v>749</v>
      </c>
      <c r="G346" s="78">
        <f t="shared" si="44"/>
        <v>104.50000000000001</v>
      </c>
      <c r="H346" s="19" t="s">
        <v>789</v>
      </c>
      <c r="I346" s="20" t="str">
        <f t="shared" si="45"/>
        <v>GED 454,ED4-GEOL</v>
      </c>
      <c r="J346" s="25"/>
    </row>
    <row r="347" spans="1:10" ht="15.5" x14ac:dyDescent="0.35">
      <c r="A347" s="75" t="s">
        <v>259</v>
      </c>
      <c r="B347" s="76" t="str">
        <v>EMBEDDED SYSTEMS</v>
      </c>
      <c r="C347" s="79" t="str">
        <v>Kommey Benjamin</v>
      </c>
      <c r="D347" s="75" t="s">
        <v>16</v>
      </c>
      <c r="E347" s="77">
        <v>265</v>
      </c>
      <c r="F347" s="80" t="s">
        <v>531</v>
      </c>
      <c r="G347" s="78">
        <f t="shared" si="44"/>
        <v>291.5</v>
      </c>
      <c r="H347" s="19" t="s">
        <v>790</v>
      </c>
      <c r="I347" s="20" t="str">
        <f t="shared" si="45"/>
        <v>COE 358,ED3-COE</v>
      </c>
      <c r="J347" s="25"/>
    </row>
    <row r="348" spans="1:10" ht="15.5" x14ac:dyDescent="0.35">
      <c r="A348" s="75" t="s">
        <v>259</v>
      </c>
      <c r="B348" s="76" t="str">
        <v>EMBEDDED SYSTEMS</v>
      </c>
      <c r="C348" s="79" t="str">
        <v>Kommey Benjamin</v>
      </c>
      <c r="D348" s="75" t="s">
        <v>65</v>
      </c>
      <c r="E348" s="77">
        <v>90</v>
      </c>
      <c r="F348" s="80" t="s">
        <v>791</v>
      </c>
      <c r="G348" s="78">
        <f t="shared" si="44"/>
        <v>99.000000000000014</v>
      </c>
      <c r="H348" s="19" t="s">
        <v>709</v>
      </c>
      <c r="I348" s="20" t="str">
        <f t="shared" si="45"/>
        <v>COE 358,ED3-BME</v>
      </c>
      <c r="J348" s="25"/>
    </row>
    <row r="349" spans="1:10" ht="15.5" x14ac:dyDescent="0.35">
      <c r="A349" s="75" t="s">
        <v>208</v>
      </c>
      <c r="B349" s="79" t="str">
        <v>PHYSICAL METALLURGY OF FERROUS METALS</v>
      </c>
      <c r="C349" s="79" t="str">
        <v>Kwofie Samuel</v>
      </c>
      <c r="D349" s="75" t="s">
        <v>142</v>
      </c>
      <c r="E349" s="77">
        <v>87</v>
      </c>
      <c r="F349" s="80" t="s">
        <v>792</v>
      </c>
      <c r="G349" s="78">
        <f t="shared" si="44"/>
        <v>95.7</v>
      </c>
      <c r="H349" s="49" t="s">
        <v>793</v>
      </c>
      <c r="I349" s="20" t="str">
        <f t="shared" si="45"/>
        <v>METE 362,ED3-METE</v>
      </c>
      <c r="J349" s="25"/>
    </row>
    <row r="350" spans="1:10" ht="15.5" x14ac:dyDescent="0.35">
      <c r="A350" s="75" t="s">
        <v>207</v>
      </c>
      <c r="B350" s="79" t="str">
        <v>PHYSICAL METALLURGY OF FERROUS METALS</v>
      </c>
      <c r="C350" s="76" t="str">
        <v>Kwofie Samuel</v>
      </c>
      <c r="D350" s="75" t="s">
        <v>140</v>
      </c>
      <c r="E350" s="77">
        <v>85</v>
      </c>
      <c r="F350" s="80" t="s">
        <v>582</v>
      </c>
      <c r="G350" s="78">
        <f t="shared" si="44"/>
        <v>93.500000000000014</v>
      </c>
      <c r="H350" s="19" t="s">
        <v>794</v>
      </c>
      <c r="I350" s="20" t="str">
        <f t="shared" si="45"/>
        <v>MSE 354,ED3-MSE</v>
      </c>
      <c r="J350" s="25"/>
    </row>
    <row r="351" spans="1:10" ht="15.5" x14ac:dyDescent="0.35">
      <c r="A351" s="81"/>
      <c r="B351" s="81"/>
      <c r="C351" s="72"/>
      <c r="D351" s="76" t="s">
        <v>322</v>
      </c>
      <c r="E351" s="82">
        <f>SUM(E342:E350)</f>
        <v>1044</v>
      </c>
      <c r="F351" s="83"/>
      <c r="G351" s="84"/>
      <c r="I351" s="22" t="s">
        <v>323</v>
      </c>
      <c r="J351" s="25"/>
    </row>
    <row r="352" spans="1:10" ht="15.5" x14ac:dyDescent="0.35">
      <c r="A352" s="81"/>
      <c r="B352" s="81"/>
      <c r="C352" s="72"/>
      <c r="D352" s="81"/>
      <c r="E352" s="82"/>
      <c r="F352" s="83"/>
      <c r="G352" s="84"/>
      <c r="I352" s="22" t="s">
        <v>106</v>
      </c>
      <c r="J352" s="25"/>
    </row>
    <row r="353" spans="1:10" ht="15.5" x14ac:dyDescent="0.35">
      <c r="A353" s="81"/>
      <c r="B353" s="81"/>
      <c r="C353" s="72"/>
      <c r="D353" s="81"/>
      <c r="E353" s="82"/>
      <c r="F353" s="83"/>
      <c r="G353" s="84"/>
      <c r="I353" s="22" t="s">
        <v>106</v>
      </c>
      <c r="J353" s="25"/>
    </row>
    <row r="354" spans="1:10" ht="15.5" x14ac:dyDescent="0.35">
      <c r="A354" s="6" t="s">
        <v>300</v>
      </c>
      <c r="B354" s="6"/>
      <c r="C354" s="6"/>
      <c r="D354" s="6"/>
      <c r="E354" s="6"/>
      <c r="F354" s="6"/>
      <c r="G354" s="6"/>
      <c r="I354" s="22" t="str">
        <f>A354</f>
        <v>Wednesday, 26 August 2026</v>
      </c>
      <c r="J354" s="25"/>
    </row>
    <row r="355" spans="1:10" ht="15.5" x14ac:dyDescent="0.35">
      <c r="A355" s="6" t="s">
        <v>59</v>
      </c>
      <c r="B355" s="6"/>
      <c r="C355" s="6"/>
      <c r="D355" s="6"/>
      <c r="E355" s="6"/>
      <c r="F355" s="6"/>
      <c r="G355" s="6"/>
      <c r="I355" s="22" t="str">
        <f>A355</f>
        <v>Session, 3 (3:00 PM - 5:00 PM)</v>
      </c>
      <c r="J355" s="25"/>
    </row>
    <row r="356" spans="1:10" ht="15.5" x14ac:dyDescent="0.35">
      <c r="A356" s="71" t="s">
        <v>4</v>
      </c>
      <c r="B356" s="71" t="s">
        <v>5</v>
      </c>
      <c r="C356" s="72" t="s">
        <v>6</v>
      </c>
      <c r="D356" s="71" t="s">
        <v>7</v>
      </c>
      <c r="E356" s="73" t="s">
        <v>8</v>
      </c>
      <c r="F356" s="72" t="s">
        <v>9</v>
      </c>
      <c r="G356" s="74" t="s">
        <v>10</v>
      </c>
      <c r="I356" s="22" t="s">
        <v>31</v>
      </c>
      <c r="J356" s="25"/>
    </row>
    <row r="357" spans="1:10" s="53" customFormat="1" ht="15.5" x14ac:dyDescent="0.35">
      <c r="A357" s="75" t="s">
        <v>324</v>
      </c>
      <c r="B357" s="79" t="str">
        <f t="array" ref="B357:B365">IFERROR(VLOOKUP(I357:I365,Lectures_1!A2:F534,2,FALSE()),0)</f>
        <v>RESERVOIR RECOVERY TECHNIQUES</v>
      </c>
      <c r="C357" s="79" t="str">
        <f t="array" ref="C357:C365">IFERROR(VLOOKUP(I357:I365,Lectures_1!A2:F534,3,FALSE()),0)</f>
        <v>Adenutsi Caspar Daniel</v>
      </c>
      <c r="D357" s="75" t="s">
        <v>46</v>
      </c>
      <c r="E357" s="77">
        <f t="array" ref="E357:E365">IFERROR(VLOOKUP(I357:I365,Lectures_1!A2:F534,4,FALSE()),0)</f>
        <v>99</v>
      </c>
      <c r="F357" s="80" t="s">
        <v>795</v>
      </c>
      <c r="G357" s="78">
        <f t="shared" ref="G357:G365" si="46">E357*1.1</f>
        <v>108.9</v>
      </c>
      <c r="H357" s="19" t="s">
        <v>796</v>
      </c>
      <c r="I357" s="51" t="str">
        <f t="shared" ref="I357:I365" si="47">CONCATENATE(A357,",",D357)</f>
        <v>PE 450,ED4-PE</v>
      </c>
      <c r="J357" s="52"/>
    </row>
    <row r="358" spans="1:10" ht="15.5" x14ac:dyDescent="0.35">
      <c r="A358" s="75" t="s">
        <v>325</v>
      </c>
      <c r="B358" s="79" t="str">
        <v>MAINTENANCE AND REPAIRS OF AGRIC. MACHINERY</v>
      </c>
      <c r="C358" s="76" t="str">
        <v>Bobobee Emmanuel Yaovi Hunnuor</v>
      </c>
      <c r="D358" s="75" t="s">
        <v>50</v>
      </c>
      <c r="E358" s="77">
        <v>103</v>
      </c>
      <c r="F358" s="80" t="s">
        <v>797</v>
      </c>
      <c r="G358" s="78">
        <f t="shared" si="46"/>
        <v>113.30000000000001</v>
      </c>
      <c r="H358" s="19" t="s">
        <v>798</v>
      </c>
      <c r="I358" s="20" t="str">
        <f t="shared" si="47"/>
        <v>AE 460,ED4-AE</v>
      </c>
      <c r="J358" s="25"/>
    </row>
    <row r="359" spans="1:10" ht="15.5" x14ac:dyDescent="0.35">
      <c r="A359" s="75" t="s">
        <v>327</v>
      </c>
      <c r="B359" s="79" t="str">
        <v>MACHINE SHOP AND FACTORY DESIGN</v>
      </c>
      <c r="C359" s="79" t="str">
        <v>Obeng George Yaw</v>
      </c>
      <c r="D359" s="75" t="s">
        <v>67</v>
      </c>
      <c r="E359" s="77">
        <v>54</v>
      </c>
      <c r="F359" s="80" t="s">
        <v>574</v>
      </c>
      <c r="G359" s="78">
        <f t="shared" si="46"/>
        <v>59.400000000000006</v>
      </c>
      <c r="H359" s="19" t="s">
        <v>799</v>
      </c>
      <c r="I359" s="20" t="str">
        <f t="shared" si="47"/>
        <v>ME 472,ED4-ME</v>
      </c>
      <c r="J359" s="25"/>
    </row>
    <row r="360" spans="1:10" ht="15.5" x14ac:dyDescent="0.35">
      <c r="A360" s="75" t="s">
        <v>327</v>
      </c>
      <c r="B360" s="79" t="str">
        <v>MACHINE SHOP AND FACTORY DESIGN</v>
      </c>
      <c r="C360" s="79" t="str">
        <v>Obeng George Yaw</v>
      </c>
      <c r="D360" s="75" t="s">
        <v>99</v>
      </c>
      <c r="E360" s="77">
        <v>52</v>
      </c>
      <c r="F360" s="80" t="s">
        <v>786</v>
      </c>
      <c r="G360" s="78">
        <f t="shared" si="46"/>
        <v>57.2</v>
      </c>
      <c r="H360" s="19" t="s">
        <v>800</v>
      </c>
      <c r="I360" s="20" t="str">
        <f t="shared" si="47"/>
        <v>ME 472,ED4-AERO</v>
      </c>
      <c r="J360" s="25"/>
    </row>
    <row r="361" spans="1:10" ht="15.5" x14ac:dyDescent="0.35">
      <c r="A361" s="75" t="s">
        <v>328</v>
      </c>
      <c r="B361" s="79" t="str">
        <v>COMPUTER APPLICATIONS IN CIVIL ENGINEERING</v>
      </c>
      <c r="C361" s="76" t="str">
        <v>Ayeh Felix Jojo Fianko</v>
      </c>
      <c r="D361" s="75" t="s">
        <v>103</v>
      </c>
      <c r="E361" s="77">
        <v>240</v>
      </c>
      <c r="F361" s="80" t="s">
        <v>556</v>
      </c>
      <c r="G361" s="78">
        <f t="shared" si="46"/>
        <v>264</v>
      </c>
      <c r="H361" s="19" t="s">
        <v>752</v>
      </c>
      <c r="I361" s="20" t="str">
        <f t="shared" si="47"/>
        <v>CE 452,ED4-CE</v>
      </c>
      <c r="J361" s="25"/>
    </row>
    <row r="362" spans="1:10" ht="15.5" x14ac:dyDescent="0.35">
      <c r="A362" s="75" t="s">
        <v>341</v>
      </c>
      <c r="B362" s="76" t="str">
        <v>PROFESSIONAL STUDIES AND DEVELOPMENT</v>
      </c>
      <c r="C362" s="79" t="str">
        <v>Akrofi Emmanuel Offei</v>
      </c>
      <c r="D362" s="75" t="s">
        <v>194</v>
      </c>
      <c r="E362" s="77">
        <v>93</v>
      </c>
      <c r="F362" s="80" t="s">
        <v>582</v>
      </c>
      <c r="G362" s="78">
        <f t="shared" si="46"/>
        <v>102.30000000000001</v>
      </c>
      <c r="H362" s="19" t="s">
        <v>801</v>
      </c>
      <c r="I362" s="20" t="str">
        <f t="shared" si="47"/>
        <v>GE 476,ED4-GEOM</v>
      </c>
      <c r="J362" s="25"/>
    </row>
    <row r="363" spans="1:10" s="23" customFormat="1" ht="15" customHeight="1" x14ac:dyDescent="0.35">
      <c r="A363" s="75" t="s">
        <v>320</v>
      </c>
      <c r="B363" s="76" t="str">
        <v>MEDICAL DEVICE REGULATION</v>
      </c>
      <c r="C363" s="76" t="str">
        <v>Acquah Isaac</v>
      </c>
      <c r="D363" s="75" t="s">
        <v>252</v>
      </c>
      <c r="E363" s="77">
        <v>87</v>
      </c>
      <c r="F363" s="75" t="s">
        <v>792</v>
      </c>
      <c r="G363" s="78">
        <f t="shared" si="46"/>
        <v>95.7</v>
      </c>
      <c r="H363" s="19" t="s">
        <v>802</v>
      </c>
      <c r="I363" s="20" t="str">
        <f t="shared" si="47"/>
        <v>BME 454,ED4-BME</v>
      </c>
      <c r="J363" s="25"/>
    </row>
    <row r="364" spans="1:10" ht="15.5" x14ac:dyDescent="0.35">
      <c r="A364" s="75" t="s">
        <v>465</v>
      </c>
      <c r="B364" s="76" t="str">
        <v>DIGITAL COMMUNICATION SYSTEMS</v>
      </c>
      <c r="C364" s="79" t="str">
        <v>Charles Mawutor Adrah</v>
      </c>
      <c r="D364" s="75" t="s">
        <v>71</v>
      </c>
      <c r="E364" s="77">
        <v>240</v>
      </c>
      <c r="F364" s="80" t="s">
        <v>533</v>
      </c>
      <c r="G364" s="78">
        <f t="shared" si="46"/>
        <v>264</v>
      </c>
      <c r="H364" s="19" t="s">
        <v>775</v>
      </c>
      <c r="I364" s="20" t="str">
        <f t="shared" si="47"/>
        <v>TE 386,ED3-EE</v>
      </c>
      <c r="J364" s="25"/>
    </row>
    <row r="365" spans="1:10" ht="15.5" x14ac:dyDescent="0.35">
      <c r="A365" s="75" t="s">
        <v>309</v>
      </c>
      <c r="B365" s="76" t="str">
        <v>PRINCIPLES OF GIS</v>
      </c>
      <c r="C365" s="79" t="str">
        <v>Forkuo Eric Kwabena</v>
      </c>
      <c r="D365" s="75" t="s">
        <v>77</v>
      </c>
      <c r="E365" s="77">
        <v>122</v>
      </c>
      <c r="F365" s="94" t="s">
        <v>803</v>
      </c>
      <c r="G365" s="78">
        <f t="shared" si="46"/>
        <v>134.20000000000002</v>
      </c>
      <c r="H365" s="19" t="s">
        <v>804</v>
      </c>
      <c r="I365" s="20" t="str">
        <f t="shared" si="47"/>
        <v>GE 362,ED3-GEOM</v>
      </c>
      <c r="J365" s="25"/>
    </row>
    <row r="366" spans="1:10" ht="15.5" x14ac:dyDescent="0.35">
      <c r="A366" s="81"/>
      <c r="B366" s="81"/>
      <c r="C366" s="72"/>
      <c r="D366" s="76" t="s">
        <v>331</v>
      </c>
      <c r="E366" s="82">
        <f>SUM(E357:E365)</f>
        <v>1090</v>
      </c>
      <c r="F366" s="83"/>
      <c r="G366" s="84"/>
      <c r="I366" s="22" t="s">
        <v>332</v>
      </c>
      <c r="J366" s="25"/>
    </row>
    <row r="367" spans="1:10" ht="15.5" x14ac:dyDescent="0.35">
      <c r="A367" s="6" t="s">
        <v>333</v>
      </c>
      <c r="B367" s="6"/>
      <c r="C367" s="6"/>
      <c r="D367" s="6"/>
      <c r="E367" s="6"/>
      <c r="F367" s="6"/>
      <c r="G367" s="6"/>
      <c r="I367" s="22" t="str">
        <f>A367</f>
        <v>Thursday, 27 August 2025</v>
      </c>
      <c r="J367" s="25"/>
    </row>
    <row r="368" spans="1:10" ht="15.5" x14ac:dyDescent="0.35">
      <c r="A368" s="6" t="s">
        <v>2</v>
      </c>
      <c r="B368" s="6"/>
      <c r="C368" s="6"/>
      <c r="D368" s="6"/>
      <c r="E368" s="6"/>
      <c r="F368" s="6"/>
      <c r="G368" s="6"/>
      <c r="I368" s="22" t="str">
        <f>A368</f>
        <v>Session, 1 (8:30 AM - 10:30 AM)</v>
      </c>
      <c r="J368" s="25"/>
    </row>
    <row r="369" spans="1:10" ht="15.5" x14ac:dyDescent="0.35">
      <c r="A369" s="71" t="s">
        <v>4</v>
      </c>
      <c r="B369" s="71" t="s">
        <v>5</v>
      </c>
      <c r="C369" s="72" t="s">
        <v>6</v>
      </c>
      <c r="D369" s="71" t="s">
        <v>7</v>
      </c>
      <c r="E369" s="73" t="s">
        <v>8</v>
      </c>
      <c r="F369" s="72" t="s">
        <v>9</v>
      </c>
      <c r="G369" s="74" t="s">
        <v>10</v>
      </c>
      <c r="I369" s="22" t="s">
        <v>31</v>
      </c>
      <c r="J369" s="25"/>
    </row>
    <row r="370" spans="1:10" ht="15.5" x14ac:dyDescent="0.35">
      <c r="A370" s="75" t="s">
        <v>335</v>
      </c>
      <c r="B370" s="76" t="str">
        <f t="array" ref="B370:B377">IFERROR(VLOOKUP(I370:I377,Lectures_1!A2:F534,2,FALSE()),0)</f>
        <v>FOUNDATION ENGINEERING</v>
      </c>
      <c r="C370" s="76" t="str">
        <f t="array" ref="C370:C377">IFERROR(VLOOKUP(I370:I377,Lectures_1!A2:F534,3,FALSE()),0)</f>
        <v>Amenuvor Andrew Cudzo</v>
      </c>
      <c r="D370" s="75" t="s">
        <v>154</v>
      </c>
      <c r="E370" s="77">
        <f t="array" ref="E370:E377">IFERROR(VLOOKUP(I370:I377,Lectures_1!A2:F534,4,FALSE()),0)</f>
        <v>154</v>
      </c>
      <c r="F370" s="80" t="s">
        <v>805</v>
      </c>
      <c r="G370" s="78">
        <f t="shared" ref="G370:G377" si="48">E370*1.1</f>
        <v>169.4</v>
      </c>
      <c r="H370" s="19" t="s">
        <v>806</v>
      </c>
      <c r="I370" s="20" t="str">
        <f t="shared" ref="I370:I377" si="49">CONCATENATE(A370,",",D370)</f>
        <v>GED 370,ED3-GEOL</v>
      </c>
      <c r="J370" s="25"/>
    </row>
    <row r="371" spans="1:10" ht="15.5" x14ac:dyDescent="0.35">
      <c r="A371" s="75" t="s">
        <v>336</v>
      </c>
      <c r="B371" s="76" t="str">
        <v>FOUNDATION ENGINEERING</v>
      </c>
      <c r="C371" s="79" t="str">
        <v>Acquaah Vincent Kofi Abaka</v>
      </c>
      <c r="D371" s="75" t="s">
        <v>157</v>
      </c>
      <c r="E371" s="77">
        <v>230</v>
      </c>
      <c r="F371" s="80" t="s">
        <v>556</v>
      </c>
      <c r="G371" s="78">
        <f t="shared" si="48"/>
        <v>253.00000000000003</v>
      </c>
      <c r="H371" s="19" t="s">
        <v>807</v>
      </c>
      <c r="I371" s="20" t="str">
        <f t="shared" si="49"/>
        <v>CE 360,ED3-CE</v>
      </c>
      <c r="J371" s="25"/>
    </row>
    <row r="372" spans="1:10" ht="15.5" x14ac:dyDescent="0.35">
      <c r="A372" s="75" t="s">
        <v>337</v>
      </c>
      <c r="B372" s="76" t="str">
        <v>MANUFACTURING TECHNOLOGY</v>
      </c>
      <c r="C372" s="79" t="str">
        <v>Boahen Samuel</v>
      </c>
      <c r="D372" s="75" t="s">
        <v>38</v>
      </c>
      <c r="E372" s="77">
        <v>80</v>
      </c>
      <c r="F372" s="80" t="s">
        <v>574</v>
      </c>
      <c r="G372" s="78">
        <f t="shared" si="48"/>
        <v>88</v>
      </c>
      <c r="H372" s="19" t="s">
        <v>661</v>
      </c>
      <c r="I372" s="20" t="str">
        <f t="shared" si="49"/>
        <v>ME 270,ED2-IND</v>
      </c>
      <c r="J372" s="25"/>
    </row>
    <row r="373" spans="1:10" ht="15.5" x14ac:dyDescent="0.35">
      <c r="A373" s="75" t="s">
        <v>337</v>
      </c>
      <c r="B373" s="79" t="str">
        <v>MANUFACTURING TECHNOLOGY</v>
      </c>
      <c r="C373" s="79" t="str">
        <v>Boahen Samuel</v>
      </c>
      <c r="D373" s="75" t="s">
        <v>42</v>
      </c>
      <c r="E373" s="77">
        <v>37</v>
      </c>
      <c r="F373" s="80" t="s">
        <v>808</v>
      </c>
      <c r="G373" s="78">
        <f t="shared" si="48"/>
        <v>40.700000000000003</v>
      </c>
      <c r="H373" s="19">
        <v>37</v>
      </c>
      <c r="I373" s="20" t="str">
        <f t="shared" si="49"/>
        <v>ME 270,ED2-MARI</v>
      </c>
      <c r="J373" s="25"/>
    </row>
    <row r="374" spans="1:10" ht="15.5" x14ac:dyDescent="0.35">
      <c r="A374" s="75" t="s">
        <v>337</v>
      </c>
      <c r="B374" s="79" t="str">
        <v>MANUFACTURING TECHNOLOGY</v>
      </c>
      <c r="C374" s="79" t="str">
        <v>Boahen Samuel</v>
      </c>
      <c r="D374" s="75" t="s">
        <v>40</v>
      </c>
      <c r="E374" s="77">
        <v>82</v>
      </c>
      <c r="F374" s="80" t="s">
        <v>571</v>
      </c>
      <c r="G374" s="78">
        <f t="shared" si="48"/>
        <v>90.2</v>
      </c>
      <c r="H374" s="19" t="s">
        <v>809</v>
      </c>
      <c r="I374" s="20" t="str">
        <f t="shared" si="49"/>
        <v>ME 270,ED2-AUTO</v>
      </c>
      <c r="J374" s="25"/>
    </row>
    <row r="375" spans="1:10" ht="15.5" x14ac:dyDescent="0.35">
      <c r="A375" s="75" t="s">
        <v>338</v>
      </c>
      <c r="B375" s="76" t="str">
        <v>STRENGTH OF MATERIALS FOR CHEMICAL ENGINEERS</v>
      </c>
      <c r="C375" s="79" t="str">
        <v>Anang Daniel Adjah</v>
      </c>
      <c r="D375" s="75" t="s">
        <v>13</v>
      </c>
      <c r="E375" s="77">
        <v>160</v>
      </c>
      <c r="F375" s="80" t="s">
        <v>745</v>
      </c>
      <c r="G375" s="78">
        <f t="shared" si="48"/>
        <v>176</v>
      </c>
      <c r="H375" s="19" t="s">
        <v>810</v>
      </c>
      <c r="I375" s="20" t="str">
        <f t="shared" si="49"/>
        <v>CHE 250,ED2-CHE</v>
      </c>
      <c r="J375" s="25"/>
    </row>
    <row r="376" spans="1:10" ht="15.5" x14ac:dyDescent="0.35">
      <c r="A376" s="75" t="s">
        <v>329</v>
      </c>
      <c r="B376" s="79" t="str">
        <v>INTRO TO PYTHON &amp; COMPUTER NETWORKING</v>
      </c>
      <c r="C376" s="76" t="str">
        <v>Charles Mawutor Adrah</v>
      </c>
      <c r="D376" s="75" t="s">
        <v>51</v>
      </c>
      <c r="E376" s="77">
        <v>340</v>
      </c>
      <c r="F376" s="80" t="s">
        <v>533</v>
      </c>
      <c r="G376" s="78">
        <f t="shared" si="48"/>
        <v>374.00000000000006</v>
      </c>
      <c r="H376" s="19" t="s">
        <v>778</v>
      </c>
      <c r="I376" s="20" t="str">
        <f t="shared" si="49"/>
        <v>EE 158,ED1-EE</v>
      </c>
      <c r="J376" s="25"/>
    </row>
    <row r="377" spans="1:10" ht="15.5" x14ac:dyDescent="0.35">
      <c r="A377" s="75" t="s">
        <v>340</v>
      </c>
      <c r="B377" s="76" t="str">
        <v>ADVANCED MANUFACTURING TECHNOLOGY I</v>
      </c>
      <c r="C377" s="79" t="str">
        <v>Takyi Gabriel</v>
      </c>
      <c r="D377" s="75" t="s">
        <v>121</v>
      </c>
      <c r="E377" s="77">
        <v>70</v>
      </c>
      <c r="F377" s="80" t="s">
        <v>529</v>
      </c>
      <c r="G377" s="78">
        <f t="shared" si="48"/>
        <v>77</v>
      </c>
      <c r="H377" s="19" t="s">
        <v>649</v>
      </c>
      <c r="I377" s="20" t="str">
        <f t="shared" si="49"/>
        <v>IE 366,ED3-IND</v>
      </c>
      <c r="J377" s="25"/>
    </row>
    <row r="378" spans="1:10" ht="15.5" x14ac:dyDescent="0.35">
      <c r="A378" s="81"/>
      <c r="B378" s="81"/>
      <c r="C378" s="72"/>
      <c r="D378" s="76" t="s">
        <v>342</v>
      </c>
      <c r="E378" s="82">
        <f>SUM(E370:E377)</f>
        <v>1153</v>
      </c>
      <c r="F378" s="83"/>
      <c r="G378" s="84"/>
      <c r="I378" s="22" t="s">
        <v>343</v>
      </c>
      <c r="J378" s="25"/>
    </row>
    <row r="379" spans="1:10" ht="15.5" x14ac:dyDescent="0.35">
      <c r="A379" s="6" t="s">
        <v>333</v>
      </c>
      <c r="B379" s="6"/>
      <c r="C379" s="6"/>
      <c r="D379" s="6"/>
      <c r="E379" s="6"/>
      <c r="F379" s="6"/>
      <c r="G379" s="6"/>
      <c r="I379" s="22" t="str">
        <f>A379</f>
        <v>Thursday, 27 August 2025</v>
      </c>
      <c r="J379" s="25"/>
    </row>
    <row r="380" spans="1:10" ht="15.5" x14ac:dyDescent="0.35">
      <c r="A380" s="6" t="s">
        <v>29</v>
      </c>
      <c r="B380" s="6"/>
      <c r="C380" s="6"/>
      <c r="D380" s="6"/>
      <c r="E380" s="6"/>
      <c r="F380" s="6"/>
      <c r="G380" s="6"/>
      <c r="I380" s="22" t="str">
        <f>A380</f>
        <v>Session, 2 (12:00 PM - 2:00 PM)</v>
      </c>
      <c r="J380" s="25"/>
    </row>
    <row r="381" spans="1:10" ht="15.5" x14ac:dyDescent="0.35">
      <c r="A381" s="71" t="s">
        <v>4</v>
      </c>
      <c r="B381" s="71" t="s">
        <v>5</v>
      </c>
      <c r="C381" s="72" t="s">
        <v>6</v>
      </c>
      <c r="D381" s="71" t="s">
        <v>7</v>
      </c>
      <c r="E381" s="73" t="s">
        <v>8</v>
      </c>
      <c r="F381" s="72" t="s">
        <v>9</v>
      </c>
      <c r="G381" s="74" t="s">
        <v>10</v>
      </c>
      <c r="I381" s="22" t="s">
        <v>31</v>
      </c>
      <c r="J381" s="25"/>
    </row>
    <row r="382" spans="1:10" ht="15.5" x14ac:dyDescent="0.35">
      <c r="A382" s="75" t="s">
        <v>137</v>
      </c>
      <c r="B382" s="76" t="str">
        <f t="array" ref="B382:B393">IFERROR(VLOOKUP(I382:I393,Lectures_1!A2:F534,2,FALSE()),0)</f>
        <v>ELECTRICAL MEASUREMENT AND INSTRUMENTATION</v>
      </c>
      <c r="C382" s="79" t="str">
        <f t="array" ref="C382:C393">IFERROR(VLOOKUP(I382:I393,Lectures_1!A2:F534,3,FALSE()),0)</f>
        <v>Obeng Kwakye Kingsford Sarkodie</v>
      </c>
      <c r="D382" s="75" t="s">
        <v>91</v>
      </c>
      <c r="E382" s="77">
        <f t="array" ref="E382:E393">IFERROR(VLOOKUP(I382:I393,Lectures_1!A2:F534,4,FALSE()),0)</f>
        <v>130</v>
      </c>
      <c r="F382" s="80" t="s">
        <v>731</v>
      </c>
      <c r="G382" s="78">
        <f t="shared" ref="G382:G393" si="50">E382*1.1</f>
        <v>143</v>
      </c>
      <c r="H382" s="19" t="s">
        <v>658</v>
      </c>
      <c r="I382" s="20" t="str">
        <f t="shared" ref="I382:I393" si="51">CONCATENATE(A382,",",D382)</f>
        <v>EE 188,ED1-TEL</v>
      </c>
      <c r="J382" s="25"/>
    </row>
    <row r="383" spans="1:10" ht="15.5" x14ac:dyDescent="0.35">
      <c r="A383" s="75" t="s">
        <v>345</v>
      </c>
      <c r="B383" s="76" t="str">
        <v>ENTREPRENEURSHIP AND BUSINESS DEVELOPMENT</v>
      </c>
      <c r="C383" s="79" t="str">
        <v>Asamoah Boateng Kenneth</v>
      </c>
      <c r="D383" s="75" t="s">
        <v>48</v>
      </c>
      <c r="E383" s="77">
        <v>114</v>
      </c>
      <c r="F383" s="94" t="s">
        <v>811</v>
      </c>
      <c r="G383" s="78">
        <f t="shared" si="50"/>
        <v>125.4</v>
      </c>
      <c r="H383" s="19" t="s">
        <v>812</v>
      </c>
      <c r="I383" s="20" t="str">
        <f t="shared" si="51"/>
        <v>CHE 458,ED4-CHE</v>
      </c>
      <c r="J383" s="25"/>
    </row>
    <row r="384" spans="1:10" ht="15.5" x14ac:dyDescent="0.35">
      <c r="A384" s="75" t="s">
        <v>345</v>
      </c>
      <c r="B384" s="76" t="str">
        <v>ENTREPRENEURSHIP AND BUSINESS DEVELOPMENT</v>
      </c>
      <c r="C384" s="79" t="str">
        <v>Asamoah Boateng Kenneth</v>
      </c>
      <c r="D384" s="75" t="s">
        <v>44</v>
      </c>
      <c r="E384" s="77">
        <v>55</v>
      </c>
      <c r="F384" s="80" t="s">
        <v>545</v>
      </c>
      <c r="G384" s="78">
        <f t="shared" si="50"/>
        <v>60.500000000000007</v>
      </c>
      <c r="H384" s="19">
        <v>55</v>
      </c>
      <c r="I384" s="20" t="str">
        <f t="shared" si="51"/>
        <v>CHE 458,ED4-PCE</v>
      </c>
      <c r="J384" s="25"/>
    </row>
    <row r="385" spans="1:10" ht="15.5" x14ac:dyDescent="0.35">
      <c r="A385" s="75" t="s">
        <v>346</v>
      </c>
      <c r="B385" s="79" t="str">
        <v>SYSTEM ENGINEERING II</v>
      </c>
      <c r="C385" s="76" t="str">
        <v>Osei Jack Banahene</v>
      </c>
      <c r="D385" s="75" t="s">
        <v>103</v>
      </c>
      <c r="E385" s="77">
        <v>115</v>
      </c>
      <c r="F385" s="80" t="s">
        <v>813</v>
      </c>
      <c r="G385" s="78">
        <f t="shared" si="50"/>
        <v>126.50000000000001</v>
      </c>
      <c r="H385" s="19" t="s">
        <v>814</v>
      </c>
      <c r="I385" s="20" t="str">
        <f t="shared" si="51"/>
        <v>CE 476,ED4-CE</v>
      </c>
      <c r="J385" s="25"/>
    </row>
    <row r="386" spans="1:10" ht="15.5" x14ac:dyDescent="0.35">
      <c r="A386" s="75" t="s">
        <v>347</v>
      </c>
      <c r="B386" s="76" t="str">
        <v>HEAT TRANSFER</v>
      </c>
      <c r="C386" s="79" t="str">
        <v>Forson Francis Kofi</v>
      </c>
      <c r="D386" s="75" t="s">
        <v>61</v>
      </c>
      <c r="E386" s="77">
        <v>222</v>
      </c>
      <c r="F386" s="94" t="s">
        <v>556</v>
      </c>
      <c r="G386" s="78">
        <f t="shared" si="50"/>
        <v>244.20000000000002</v>
      </c>
      <c r="H386" s="19" t="s">
        <v>815</v>
      </c>
      <c r="I386" s="20" t="str">
        <f t="shared" si="51"/>
        <v>ME 366,ED3-ME</v>
      </c>
      <c r="J386" s="25"/>
    </row>
    <row r="387" spans="1:10" ht="15.5" x14ac:dyDescent="0.35">
      <c r="A387" s="75" t="s">
        <v>347</v>
      </c>
      <c r="B387" s="76" t="str">
        <v>HEAT TRANSFER</v>
      </c>
      <c r="C387" s="79" t="str">
        <v>Forson Francis Kofi</v>
      </c>
      <c r="D387" s="75" t="s">
        <v>133</v>
      </c>
      <c r="E387" s="77">
        <v>76</v>
      </c>
      <c r="F387" s="80" t="s">
        <v>574</v>
      </c>
      <c r="G387" s="78">
        <f t="shared" si="50"/>
        <v>83.600000000000009</v>
      </c>
      <c r="H387" s="19" t="s">
        <v>536</v>
      </c>
      <c r="I387" s="20" t="str">
        <f t="shared" si="51"/>
        <v>ME 366,ED3-AERO</v>
      </c>
      <c r="J387" s="25"/>
    </row>
    <row r="388" spans="1:10" ht="15.5" x14ac:dyDescent="0.35">
      <c r="A388" s="75" t="s">
        <v>347</v>
      </c>
      <c r="B388" s="76" t="str">
        <v>HEAT TRANSFER</v>
      </c>
      <c r="C388" s="79" t="str">
        <v>Forson Francis Kofi</v>
      </c>
      <c r="D388" s="75" t="s">
        <v>88</v>
      </c>
      <c r="E388" s="77">
        <v>101</v>
      </c>
      <c r="F388" s="94" t="s">
        <v>603</v>
      </c>
      <c r="G388" s="78">
        <f t="shared" si="50"/>
        <v>111.10000000000001</v>
      </c>
      <c r="H388" s="19" t="s">
        <v>644</v>
      </c>
      <c r="I388" s="20" t="str">
        <f t="shared" si="51"/>
        <v>ME 366,ED3-AE</v>
      </c>
      <c r="J388" s="25"/>
    </row>
    <row r="389" spans="1:10" ht="15.5" x14ac:dyDescent="0.35">
      <c r="A389" s="75" t="s">
        <v>347</v>
      </c>
      <c r="B389" s="76" t="str">
        <v>HEAT TRANSFER</v>
      </c>
      <c r="C389" s="79" t="str">
        <v>Forson Francis Kofi</v>
      </c>
      <c r="D389" s="75" t="s">
        <v>86</v>
      </c>
      <c r="E389" s="77">
        <v>40</v>
      </c>
      <c r="F389" s="80" t="s">
        <v>560</v>
      </c>
      <c r="G389" s="78">
        <f t="shared" si="50"/>
        <v>44</v>
      </c>
      <c r="H389" s="19">
        <v>40</v>
      </c>
      <c r="I389" s="20" t="str">
        <f t="shared" si="51"/>
        <v>ME 366,ED3-MARI</v>
      </c>
      <c r="J389" s="25"/>
    </row>
    <row r="390" spans="1:10" ht="15.5" x14ac:dyDescent="0.35">
      <c r="A390" s="75" t="s">
        <v>348</v>
      </c>
      <c r="B390" s="76" t="str">
        <v>ROBOTICS AND COMPUTER VISION</v>
      </c>
      <c r="C390" s="76" t="str">
        <v>Klogo Griffith Selorm</v>
      </c>
      <c r="D390" s="75" t="s">
        <v>251</v>
      </c>
      <c r="E390" s="77">
        <v>45</v>
      </c>
      <c r="F390" s="80" t="s">
        <v>541</v>
      </c>
      <c r="G390" s="78">
        <f t="shared" si="50"/>
        <v>49.500000000000007</v>
      </c>
      <c r="H390" s="19">
        <v>45</v>
      </c>
      <c r="I390" s="20" t="str">
        <f t="shared" si="51"/>
        <v>COE 458,ED4-COE</v>
      </c>
      <c r="J390" s="25"/>
    </row>
    <row r="391" spans="1:10" ht="15.5" x14ac:dyDescent="0.35">
      <c r="A391" s="75" t="s">
        <v>355</v>
      </c>
      <c r="B391" s="79" t="str">
        <v>INTRODUCTORY GEOLOGY</v>
      </c>
      <c r="C391" s="79" t="str">
        <v>Gawu Simon Kafui Yawo</v>
      </c>
      <c r="D391" s="75" t="s">
        <v>114</v>
      </c>
      <c r="E391" s="77">
        <v>75</v>
      </c>
      <c r="F391" s="80" t="s">
        <v>546</v>
      </c>
      <c r="G391" s="78">
        <f t="shared" si="50"/>
        <v>82.5</v>
      </c>
      <c r="H391" s="19">
        <v>75</v>
      </c>
      <c r="I391" s="20" t="str">
        <f t="shared" si="51"/>
        <v>GED 162,ED1-METE</v>
      </c>
      <c r="J391" s="25"/>
    </row>
    <row r="392" spans="1:10" ht="15.5" x14ac:dyDescent="0.35">
      <c r="A392" s="75" t="s">
        <v>374</v>
      </c>
      <c r="B392" s="79" t="str">
        <v>PETROLEUM BUSINESS: STRUCTURES, LOGISTICS</v>
      </c>
      <c r="C392" s="79" t="str">
        <v>Quaye Jonathan Atuquaye</v>
      </c>
      <c r="D392" s="75" t="s">
        <v>46</v>
      </c>
      <c r="E392" s="77">
        <v>77</v>
      </c>
      <c r="F392" s="75" t="s">
        <v>546</v>
      </c>
      <c r="G392" s="78">
        <f t="shared" si="50"/>
        <v>84.7</v>
      </c>
      <c r="H392" s="19">
        <v>77</v>
      </c>
      <c r="I392" s="20" t="str">
        <f t="shared" si="51"/>
        <v>PE 468,ED4-PE</v>
      </c>
      <c r="J392" s="25"/>
    </row>
    <row r="393" spans="1:10" ht="15.5" x14ac:dyDescent="0.35">
      <c r="A393" s="75" t="s">
        <v>349</v>
      </c>
      <c r="B393" s="76" t="str">
        <v>OIL &amp; GAS GEOLPHYSICS</v>
      </c>
      <c r="C393" s="79" t="str">
        <v>Quaye Jonathan Atuquaye</v>
      </c>
      <c r="D393" s="75" t="s">
        <v>18</v>
      </c>
      <c r="E393" s="77">
        <v>80</v>
      </c>
      <c r="F393" s="75" t="s">
        <v>545</v>
      </c>
      <c r="G393" s="78">
        <f t="shared" si="50"/>
        <v>88</v>
      </c>
      <c r="H393" s="19">
        <v>80</v>
      </c>
      <c r="I393" s="20" t="str">
        <f t="shared" si="51"/>
        <v>PE 364,ED3-PE</v>
      </c>
      <c r="J393" s="25"/>
    </row>
    <row r="394" spans="1:10" ht="15.5" x14ac:dyDescent="0.35">
      <c r="A394" s="81"/>
      <c r="B394" s="81"/>
      <c r="C394" s="72"/>
      <c r="D394" s="76" t="s">
        <v>350</v>
      </c>
      <c r="E394" s="82">
        <f>SUM(E382:E393)</f>
        <v>1130</v>
      </c>
      <c r="F394" s="83"/>
      <c r="G394" s="84"/>
      <c r="I394" s="22" t="s">
        <v>351</v>
      </c>
      <c r="J394" s="25"/>
    </row>
    <row r="395" spans="1:10" ht="15.5" x14ac:dyDescent="0.35">
      <c r="A395" s="6" t="s">
        <v>333</v>
      </c>
      <c r="B395" s="6"/>
      <c r="C395" s="6"/>
      <c r="D395" s="6"/>
      <c r="E395" s="6"/>
      <c r="F395" s="6"/>
      <c r="G395" s="6"/>
      <c r="I395" s="22" t="str">
        <f>A395</f>
        <v>Thursday, 27 August 2025</v>
      </c>
      <c r="J395" s="25"/>
    </row>
    <row r="396" spans="1:10" ht="15.5" x14ac:dyDescent="0.35">
      <c r="A396" s="6" t="s">
        <v>59</v>
      </c>
      <c r="B396" s="6"/>
      <c r="C396" s="6"/>
      <c r="D396" s="6"/>
      <c r="E396" s="6"/>
      <c r="F396" s="6"/>
      <c r="G396" s="6"/>
      <c r="I396" s="22" t="str">
        <f>A396</f>
        <v>Session, 3 (3:00 PM - 5:00 PM)</v>
      </c>
      <c r="J396" s="25"/>
    </row>
    <row r="397" spans="1:10" ht="15.5" x14ac:dyDescent="0.35">
      <c r="A397" s="71" t="s">
        <v>4</v>
      </c>
      <c r="B397" s="71" t="s">
        <v>5</v>
      </c>
      <c r="C397" s="72" t="s">
        <v>6</v>
      </c>
      <c r="D397" s="71" t="s">
        <v>7</v>
      </c>
      <c r="E397" s="73" t="s">
        <v>8</v>
      </c>
      <c r="F397" s="72" t="s">
        <v>9</v>
      </c>
      <c r="G397" s="74" t="s">
        <v>10</v>
      </c>
      <c r="I397" s="22" t="s">
        <v>31</v>
      </c>
      <c r="J397" s="25"/>
    </row>
    <row r="398" spans="1:10" ht="15.5" x14ac:dyDescent="0.35">
      <c r="A398" s="75" t="s">
        <v>352</v>
      </c>
      <c r="B398" s="76" t="str">
        <f t="array" ref="B398:B408">IFERROR(VLOOKUP(I398:I408,Lectures_1!A2:F534,2,FALSE()),0)</f>
        <v>MICROPROCESSORS</v>
      </c>
      <c r="C398" s="79" t="str">
        <f t="array" ref="C398:C408">IFERROR(VLOOKUP(I398:I408,Lectures_1!A2:F534,3,FALSE()),0)</f>
        <v>Agyemang Justice Owusu</v>
      </c>
      <c r="D398" s="75" t="s">
        <v>172</v>
      </c>
      <c r="E398" s="77">
        <f t="array" ref="E398:E408">IFERROR(VLOOKUP(I398:I408,Lectures_1!A2:F534,4,FALSE()),0)</f>
        <v>175</v>
      </c>
      <c r="F398" s="75" t="s">
        <v>710</v>
      </c>
      <c r="G398" s="78">
        <f t="shared" ref="G398:G408" si="52">E398*1.1</f>
        <v>192.50000000000003</v>
      </c>
      <c r="H398" s="19" t="s">
        <v>816</v>
      </c>
      <c r="I398" s="20" t="str">
        <f t="shared" ref="I398:I408" si="53">CONCATENATE(A398,",",D398)</f>
        <v>TE 258,ED2-TEL</v>
      </c>
      <c r="J398" s="25"/>
    </row>
    <row r="399" spans="1:10" ht="15.5" x14ac:dyDescent="0.35">
      <c r="A399" s="75" t="s">
        <v>338</v>
      </c>
      <c r="B399" s="76" t="str">
        <v>STRENGTH OF MATERIALS FOR CHEMICAL ENGINEERS</v>
      </c>
      <c r="C399" s="79" t="str">
        <v>Baidoo Martina Francisca</v>
      </c>
      <c r="D399" s="75" t="s">
        <v>14</v>
      </c>
      <c r="E399" s="77">
        <v>65</v>
      </c>
      <c r="F399" s="75" t="s">
        <v>546</v>
      </c>
      <c r="G399" s="78">
        <f t="shared" si="52"/>
        <v>71.5</v>
      </c>
      <c r="H399" s="19">
        <v>65</v>
      </c>
      <c r="I399" s="20" t="str">
        <f t="shared" si="53"/>
        <v>CHE 250,ED2-PCE</v>
      </c>
      <c r="J399" s="25"/>
    </row>
    <row r="400" spans="1:10" s="15" customFormat="1" ht="15.5" x14ac:dyDescent="0.35">
      <c r="A400" s="75" t="s">
        <v>353</v>
      </c>
      <c r="B400" s="79" t="str">
        <v>POWER SYSTEMS PLANNING AND OPTIMIZATION</v>
      </c>
      <c r="C400" s="79" t="str">
        <v>Antoh Emmanuel Kwaku</v>
      </c>
      <c r="D400" s="75" t="s">
        <v>144</v>
      </c>
      <c r="E400" s="77">
        <v>165</v>
      </c>
      <c r="F400" s="80" t="s">
        <v>706</v>
      </c>
      <c r="G400" s="78">
        <f t="shared" si="52"/>
        <v>181.50000000000003</v>
      </c>
      <c r="H400" s="19" t="s">
        <v>817</v>
      </c>
      <c r="I400" s="55" t="str">
        <f t="shared" si="53"/>
        <v>EE 466,ED4-EE</v>
      </c>
      <c r="J400" s="56"/>
    </row>
    <row r="401" spans="1:13" ht="15.5" x14ac:dyDescent="0.35">
      <c r="A401" s="75" t="s">
        <v>354</v>
      </c>
      <c r="B401" s="79" t="str">
        <v>BASIC MINERAL SCIENCE</v>
      </c>
      <c r="C401" s="79" t="str">
        <v>Appiah-Adjei Emmanuel Kwame</v>
      </c>
      <c r="D401" s="75" t="s">
        <v>126</v>
      </c>
      <c r="E401" s="77">
        <v>125</v>
      </c>
      <c r="F401" s="80" t="s">
        <v>818</v>
      </c>
      <c r="G401" s="78">
        <f t="shared" si="52"/>
        <v>137.5</v>
      </c>
      <c r="H401" s="19" t="s">
        <v>819</v>
      </c>
      <c r="I401" s="20" t="str">
        <f t="shared" si="53"/>
        <v>GED 152,ED1-GEOL</v>
      </c>
      <c r="J401" s="25"/>
    </row>
    <row r="402" spans="1:13" s="15" customFormat="1" ht="15.5" x14ac:dyDescent="0.35">
      <c r="A402" s="75" t="s">
        <v>356</v>
      </c>
      <c r="B402" s="76" t="str">
        <v>AEROSPACE STRUCTURES</v>
      </c>
      <c r="C402" s="79" t="str">
        <v>Agyei Agyemang Anthony</v>
      </c>
      <c r="D402" s="80" t="s">
        <v>36</v>
      </c>
      <c r="E402" s="77">
        <v>75</v>
      </c>
      <c r="F402" s="80" t="s">
        <v>574</v>
      </c>
      <c r="G402" s="78">
        <f t="shared" si="52"/>
        <v>82.5</v>
      </c>
      <c r="H402" s="19" t="s">
        <v>820</v>
      </c>
      <c r="I402" s="20" t="str">
        <f t="shared" si="53"/>
        <v>AERO 256,ED2-AERO</v>
      </c>
      <c r="J402" s="25"/>
      <c r="K402" s="21"/>
      <c r="L402" s="21"/>
      <c r="M402" s="21"/>
    </row>
    <row r="403" spans="1:13" s="53" customFormat="1" ht="15.5" x14ac:dyDescent="0.35">
      <c r="A403" s="75" t="s">
        <v>383</v>
      </c>
      <c r="B403" s="79" t="str">
        <v>MECHANICS OF MATERIALS</v>
      </c>
      <c r="C403" s="79" t="str">
        <v>Mensah-Darkwa Kwadwo</v>
      </c>
      <c r="D403" s="75" t="s">
        <v>140</v>
      </c>
      <c r="E403" s="77">
        <v>85</v>
      </c>
      <c r="F403" s="91" t="s">
        <v>791</v>
      </c>
      <c r="G403" s="78">
        <f t="shared" si="52"/>
        <v>93.500000000000014</v>
      </c>
      <c r="H403" s="40" t="s">
        <v>821</v>
      </c>
      <c r="I403" s="51" t="str">
        <f t="shared" si="53"/>
        <v>MSE 360,ED3-MSE</v>
      </c>
      <c r="J403" s="52"/>
    </row>
    <row r="404" spans="1:13" ht="15.5" x14ac:dyDescent="0.35">
      <c r="A404" s="75" t="s">
        <v>366</v>
      </c>
      <c r="B404" s="76" t="str">
        <v>HEAT AND MASS TRANSPORT</v>
      </c>
      <c r="C404" s="79" t="str">
        <v>Agyemang Frank Ofori</v>
      </c>
      <c r="D404" s="75" t="s">
        <v>210</v>
      </c>
      <c r="E404" s="77">
        <v>83</v>
      </c>
      <c r="F404" s="80" t="s">
        <v>822</v>
      </c>
      <c r="G404" s="78">
        <f t="shared" si="52"/>
        <v>91.300000000000011</v>
      </c>
      <c r="H404" s="19" t="s">
        <v>823</v>
      </c>
      <c r="I404" s="20" t="str">
        <f t="shared" si="53"/>
        <v>MSE 252,ED2-MSE</v>
      </c>
      <c r="J404" s="25"/>
    </row>
    <row r="405" spans="1:13" ht="15.5" x14ac:dyDescent="0.35">
      <c r="A405" s="75" t="s">
        <v>366</v>
      </c>
      <c r="B405" s="76" t="str">
        <v>HEAT AND MASS TRANSPORT</v>
      </c>
      <c r="C405" s="79" t="str">
        <v>Agyemang Frank Ofori</v>
      </c>
      <c r="D405" s="75" t="s">
        <v>101</v>
      </c>
      <c r="E405" s="77">
        <v>57</v>
      </c>
      <c r="F405" s="80" t="s">
        <v>529</v>
      </c>
      <c r="G405" s="78">
        <f t="shared" si="52"/>
        <v>62.7</v>
      </c>
      <c r="H405" s="19" t="s">
        <v>824</v>
      </c>
      <c r="I405" s="20" t="str">
        <f t="shared" si="53"/>
        <v>MSE 252,ED2-METE</v>
      </c>
      <c r="J405" s="25"/>
    </row>
    <row r="406" spans="1:13" ht="15.5" x14ac:dyDescent="0.35">
      <c r="A406" s="75" t="s">
        <v>382</v>
      </c>
      <c r="B406" s="76" t="str">
        <v>RENEWABLE ENERGY RESOURCES</v>
      </c>
      <c r="C406" s="79" t="str">
        <v>Baah-Ennumh Emmanuel Kwaku</v>
      </c>
      <c r="D406" s="75" t="s">
        <v>63</v>
      </c>
      <c r="E406" s="77">
        <v>20</v>
      </c>
      <c r="F406" s="96" t="s">
        <v>716</v>
      </c>
      <c r="G406" s="78">
        <f t="shared" si="52"/>
        <v>22</v>
      </c>
      <c r="H406" s="19">
        <v>20</v>
      </c>
      <c r="I406" s="20" t="str">
        <f t="shared" si="53"/>
        <v>CHE 366,ED3-PCE</v>
      </c>
      <c r="J406" s="25"/>
    </row>
    <row r="407" spans="1:13" ht="15.5" x14ac:dyDescent="0.35">
      <c r="A407" s="75" t="s">
        <v>339</v>
      </c>
      <c r="B407" s="76" t="str">
        <v>ANTENNA THEORY AND DESIGN</v>
      </c>
      <c r="C407" s="79" t="str">
        <v>Ellis Sani Mubarak</v>
      </c>
      <c r="D407" s="75" t="s">
        <v>119</v>
      </c>
      <c r="E407" s="77">
        <v>140</v>
      </c>
      <c r="F407" s="80" t="s">
        <v>706</v>
      </c>
      <c r="G407" s="78">
        <f t="shared" si="52"/>
        <v>154</v>
      </c>
      <c r="H407" s="19" t="s">
        <v>825</v>
      </c>
      <c r="I407" s="20" t="str">
        <f t="shared" si="53"/>
        <v>TE 354,ED3-TEL</v>
      </c>
      <c r="J407" s="25"/>
    </row>
    <row r="408" spans="1:13" ht="15.5" x14ac:dyDescent="0.35">
      <c r="A408" s="75" t="s">
        <v>359</v>
      </c>
      <c r="B408" s="79" t="str">
        <v>PRINCIPLES OF LAND SURVEYING AND HYDROGRAPHIC SCIENCE</v>
      </c>
      <c r="C408" s="79" t="str">
        <v>Asante Cosmas Yaw</v>
      </c>
      <c r="D408" s="80" t="s">
        <v>93</v>
      </c>
      <c r="E408" s="77">
        <v>95</v>
      </c>
      <c r="F408" s="80" t="s">
        <v>571</v>
      </c>
      <c r="G408" s="78">
        <f t="shared" si="52"/>
        <v>104.50000000000001</v>
      </c>
      <c r="H408" s="19" t="s">
        <v>826</v>
      </c>
      <c r="I408" s="20" t="str">
        <f t="shared" si="53"/>
        <v>PE 264,ED2-PE</v>
      </c>
      <c r="J408" s="25"/>
    </row>
    <row r="409" spans="1:13" ht="15.5" x14ac:dyDescent="0.35">
      <c r="A409" s="81"/>
      <c r="B409" s="83"/>
      <c r="C409" s="72"/>
      <c r="D409" s="76" t="s">
        <v>360</v>
      </c>
      <c r="E409" s="82">
        <f>SUM(E398:E408)</f>
        <v>1085</v>
      </c>
      <c r="F409" s="83"/>
      <c r="G409" s="84"/>
      <c r="I409" s="22" t="s">
        <v>361</v>
      </c>
      <c r="J409" s="25"/>
    </row>
    <row r="410" spans="1:13" ht="15.5" x14ac:dyDescent="0.35">
      <c r="A410" s="6" t="s">
        <v>362</v>
      </c>
      <c r="B410" s="6"/>
      <c r="C410" s="6"/>
      <c r="D410" s="6"/>
      <c r="E410" s="6"/>
      <c r="F410" s="6"/>
      <c r="G410" s="6"/>
      <c r="I410" s="22" t="str">
        <f>A410</f>
        <v>Friday, 28 August 2026</v>
      </c>
      <c r="J410" s="25"/>
    </row>
    <row r="411" spans="1:13" ht="15.5" x14ac:dyDescent="0.35">
      <c r="A411" s="6" t="s">
        <v>2</v>
      </c>
      <c r="B411" s="6"/>
      <c r="C411" s="6"/>
      <c r="D411" s="6"/>
      <c r="E411" s="6"/>
      <c r="F411" s="6"/>
      <c r="G411" s="6"/>
      <c r="I411" s="22" t="str">
        <f>A411</f>
        <v>Session, 1 (8:30 AM - 10:30 AM)</v>
      </c>
      <c r="J411" s="25"/>
    </row>
    <row r="412" spans="1:13" ht="15.5" x14ac:dyDescent="0.35">
      <c r="A412" s="71" t="s">
        <v>4</v>
      </c>
      <c r="B412" s="71" t="s">
        <v>5</v>
      </c>
      <c r="C412" s="72" t="s">
        <v>6</v>
      </c>
      <c r="D412" s="71" t="s">
        <v>7</v>
      </c>
      <c r="E412" s="73" t="s">
        <v>8</v>
      </c>
      <c r="F412" s="72" t="s">
        <v>9</v>
      </c>
      <c r="G412" s="74" t="s">
        <v>10</v>
      </c>
      <c r="I412" s="22" t="s">
        <v>31</v>
      </c>
      <c r="J412" s="25"/>
    </row>
    <row r="413" spans="1:13" ht="15.5" x14ac:dyDescent="0.35">
      <c r="A413" s="75" t="s">
        <v>364</v>
      </c>
      <c r="B413" s="76" t="str">
        <f t="array" ref="B413:B425">IFERROR(VLOOKUP(I413:I425,Lectures_1!A2:F534,2,FALSE()),0)</f>
        <v>COMMUNICATION SKILLS II</v>
      </c>
      <c r="C413" s="76" t="str">
        <f t="array" ref="C413:C425">IFERROR(VLOOKUP(I413:I425,Lectures_1!A2:F534,3,FALSE()),0)</f>
        <v>Yeboah Philomena Ama Okyeso</v>
      </c>
      <c r="D413" s="75" t="s">
        <v>191</v>
      </c>
      <c r="E413" s="77">
        <f t="array" ref="E413:E425">IFERROR(VLOOKUP(I413:I425,Lectures_1!A2:F534,4,FALSE()),0)</f>
        <v>70</v>
      </c>
      <c r="F413" s="5" t="s">
        <v>34</v>
      </c>
      <c r="G413" s="78">
        <f t="shared" ref="G413:G425" si="54">E413*1.1</f>
        <v>77</v>
      </c>
      <c r="I413" s="20" t="str">
        <f t="shared" ref="I413:I425" si="55">CONCATENATE(A413,",",D413)</f>
        <v>ENGL 158,ED1-AERO</v>
      </c>
      <c r="J413" s="25"/>
    </row>
    <row r="414" spans="1:13" ht="15.5" x14ac:dyDescent="0.35">
      <c r="A414" s="75" t="s">
        <v>364</v>
      </c>
      <c r="B414" s="76" t="str">
        <v>COMMUNICATION SKILLS II</v>
      </c>
      <c r="C414" s="76" t="str">
        <v>Yeboah Philomena Ama Okyeso</v>
      </c>
      <c r="D414" s="75" t="s">
        <v>131</v>
      </c>
      <c r="E414" s="77">
        <v>128</v>
      </c>
      <c r="F414" s="5"/>
      <c r="G414" s="78">
        <f t="shared" si="54"/>
        <v>140.80000000000001</v>
      </c>
      <c r="I414" s="20" t="str">
        <f t="shared" si="55"/>
        <v>ENGL 158,ED1-AE</v>
      </c>
      <c r="J414" s="25"/>
    </row>
    <row r="415" spans="1:13" ht="15.5" x14ac:dyDescent="0.35">
      <c r="A415" s="75" t="s">
        <v>364</v>
      </c>
      <c r="B415" s="76" t="str">
        <v>COMMUNICATION SKILLS II</v>
      </c>
      <c r="C415" s="76" t="str">
        <v>Yeboah Philomena Ama Okyeso</v>
      </c>
      <c r="D415" s="75" t="s">
        <v>130</v>
      </c>
      <c r="E415" s="77">
        <v>136</v>
      </c>
      <c r="F415" s="5"/>
      <c r="G415" s="78">
        <f t="shared" si="54"/>
        <v>149.60000000000002</v>
      </c>
      <c r="I415" s="20" t="str">
        <f t="shared" si="55"/>
        <v>ENGL 158,ED1-BME</v>
      </c>
      <c r="J415" s="25"/>
    </row>
    <row r="416" spans="1:13" ht="15.5" x14ac:dyDescent="0.35">
      <c r="A416" s="75" t="s">
        <v>364</v>
      </c>
      <c r="B416" s="76" t="str">
        <v>COMMUNICATION SKILLS II</v>
      </c>
      <c r="C416" s="79" t="str">
        <v>Patricia Gustafson-Asamoah</v>
      </c>
      <c r="D416" s="75" t="s">
        <v>75</v>
      </c>
      <c r="E416" s="77">
        <v>245</v>
      </c>
      <c r="F416" s="5"/>
      <c r="G416" s="78">
        <f t="shared" si="54"/>
        <v>269.5</v>
      </c>
      <c r="I416" s="20" t="str">
        <f t="shared" si="55"/>
        <v>ENGL 158,ED1-CE</v>
      </c>
      <c r="J416" s="25"/>
    </row>
    <row r="417" spans="1:10" ht="15.5" x14ac:dyDescent="0.35">
      <c r="A417" s="75" t="s">
        <v>364</v>
      </c>
      <c r="B417" s="76" t="str">
        <v>COMMUNICATION  SKILLS II</v>
      </c>
      <c r="C417" s="76" t="str">
        <v>Yeboah Philomena Ama Okyeso</v>
      </c>
      <c r="D417" s="75" t="s">
        <v>80</v>
      </c>
      <c r="E417" s="77">
        <v>120</v>
      </c>
      <c r="F417" s="5"/>
      <c r="G417" s="78">
        <f t="shared" si="54"/>
        <v>132</v>
      </c>
      <c r="I417" s="20" t="str">
        <f t="shared" si="55"/>
        <v>ENGL 158,ED1-CHE</v>
      </c>
      <c r="J417" s="25"/>
    </row>
    <row r="418" spans="1:10" ht="15.5" x14ac:dyDescent="0.35">
      <c r="A418" s="75" t="s">
        <v>364</v>
      </c>
      <c r="B418" s="76" t="str">
        <v>COMMUNICATION SKILLS II</v>
      </c>
      <c r="C418" s="76" t="str">
        <v>Bernard Ampong</v>
      </c>
      <c r="D418" s="75" t="s">
        <v>20</v>
      </c>
      <c r="E418" s="77">
        <v>262</v>
      </c>
      <c r="F418" s="5"/>
      <c r="G418" s="78">
        <f t="shared" si="54"/>
        <v>288.20000000000005</v>
      </c>
      <c r="I418" s="20" t="str">
        <f t="shared" si="55"/>
        <v>ENGL 158,ED1-COE</v>
      </c>
      <c r="J418" s="25"/>
    </row>
    <row r="419" spans="1:10" ht="15.5" x14ac:dyDescent="0.35">
      <c r="A419" s="75" t="s">
        <v>365</v>
      </c>
      <c r="B419" s="76" t="str">
        <v>AC MACHINES</v>
      </c>
      <c r="C419" s="79" t="str">
        <v>Asigri Peter</v>
      </c>
      <c r="D419" s="75" t="s">
        <v>25</v>
      </c>
      <c r="E419" s="77">
        <v>340</v>
      </c>
      <c r="F419" s="89" t="s">
        <v>533</v>
      </c>
      <c r="G419" s="78">
        <f t="shared" si="54"/>
        <v>374.00000000000006</v>
      </c>
      <c r="H419" s="19" t="s">
        <v>778</v>
      </c>
      <c r="I419" s="20" t="str">
        <f t="shared" si="55"/>
        <v>EE 262,ED2-EE</v>
      </c>
      <c r="J419" s="25"/>
    </row>
    <row r="420" spans="1:10" ht="15.5" x14ac:dyDescent="0.35">
      <c r="A420" s="75" t="s">
        <v>367</v>
      </c>
      <c r="B420" s="71" t="str">
        <v>SOIL AND ROCK MECHANICS</v>
      </c>
      <c r="C420" s="79" t="str">
        <v>Frederick Owusu-Nimo</v>
      </c>
      <c r="D420" s="75" t="s">
        <v>56</v>
      </c>
      <c r="E420" s="95">
        <v>250</v>
      </c>
      <c r="F420" s="80" t="s">
        <v>531</v>
      </c>
      <c r="G420" s="78">
        <f t="shared" si="54"/>
        <v>275</v>
      </c>
      <c r="H420" s="19" t="s">
        <v>827</v>
      </c>
      <c r="I420" s="20" t="str">
        <f t="shared" si="55"/>
        <v>CE 260,ED2-CE</v>
      </c>
      <c r="J420" s="25"/>
    </row>
    <row r="421" spans="1:10" ht="15.5" x14ac:dyDescent="0.35">
      <c r="A421" s="75" t="s">
        <v>367</v>
      </c>
      <c r="B421" s="71" t="str">
        <v>SOIL AND ROCK MECHANICS</v>
      </c>
      <c r="C421" s="79" t="str">
        <v>Owusu-Nimo Frederick</v>
      </c>
      <c r="D421" s="75" t="s">
        <v>170</v>
      </c>
      <c r="E421" s="95">
        <v>132</v>
      </c>
      <c r="F421" s="94" t="s">
        <v>731</v>
      </c>
      <c r="G421" s="78">
        <f t="shared" si="54"/>
        <v>145.20000000000002</v>
      </c>
      <c r="H421" s="19" t="s">
        <v>828</v>
      </c>
      <c r="I421" s="20" t="str">
        <f t="shared" si="55"/>
        <v>CE 260,ED2-GEOM</v>
      </c>
      <c r="J421" s="25"/>
    </row>
    <row r="422" spans="1:10" ht="15.5" x14ac:dyDescent="0.35">
      <c r="A422" s="75" t="s">
        <v>368</v>
      </c>
      <c r="B422" s="79" t="str">
        <v>BIOSIGNAL PROCESSES AND ANALYSIS</v>
      </c>
      <c r="C422" s="79" t="str">
        <v>Adjei Prince Ebenezer</v>
      </c>
      <c r="D422" s="75" t="s">
        <v>65</v>
      </c>
      <c r="E422" s="77">
        <v>90</v>
      </c>
      <c r="F422" s="80" t="s">
        <v>571</v>
      </c>
      <c r="G422" s="78">
        <f t="shared" si="54"/>
        <v>99.000000000000014</v>
      </c>
      <c r="H422" s="19" t="s">
        <v>709</v>
      </c>
      <c r="I422" s="20" t="str">
        <f t="shared" si="55"/>
        <v>BME 366,ED3-BME</v>
      </c>
      <c r="J422" s="25"/>
    </row>
    <row r="423" spans="1:10" ht="15.5" x14ac:dyDescent="0.35">
      <c r="A423" s="75" t="s">
        <v>369</v>
      </c>
      <c r="B423" s="76" t="str">
        <v>OPTICAL MINERALOGY</v>
      </c>
      <c r="C423" s="79" t="str">
        <v>Wilson Matthew Coffie</v>
      </c>
      <c r="D423" s="75" t="s">
        <v>55</v>
      </c>
      <c r="E423" s="77">
        <v>150</v>
      </c>
      <c r="F423" s="94" t="s">
        <v>829</v>
      </c>
      <c r="G423" s="78">
        <f t="shared" si="54"/>
        <v>165</v>
      </c>
      <c r="H423" s="19" t="s">
        <v>830</v>
      </c>
      <c r="I423" s="20" t="str">
        <f t="shared" si="55"/>
        <v>GED 258,ED2-GEOL</v>
      </c>
      <c r="J423" s="25"/>
    </row>
    <row r="424" spans="1:10" ht="15.5" x14ac:dyDescent="0.35">
      <c r="A424" s="75" t="s">
        <v>344</v>
      </c>
      <c r="B424" s="76" t="str">
        <v>THEORY OF MACHINES</v>
      </c>
      <c r="C424" s="79" t="str">
        <v>Adam Faisal Wahib</v>
      </c>
      <c r="D424" s="75" t="s">
        <v>53</v>
      </c>
      <c r="E424" s="77">
        <v>155</v>
      </c>
      <c r="F424" s="94" t="s">
        <v>831</v>
      </c>
      <c r="G424" s="78">
        <f t="shared" si="54"/>
        <v>170.5</v>
      </c>
      <c r="H424" s="19" t="s">
        <v>832</v>
      </c>
      <c r="I424" s="20" t="str">
        <f t="shared" si="55"/>
        <v>ME 262,ED2-AE</v>
      </c>
      <c r="J424" s="25"/>
    </row>
    <row r="425" spans="1:10" ht="15.5" x14ac:dyDescent="0.35">
      <c r="A425" s="75" t="s">
        <v>370</v>
      </c>
      <c r="B425" s="76" t="str">
        <v>PACKAGING TECHNOLOGY</v>
      </c>
      <c r="C425" s="79" t="str">
        <v>Baah-Ennumh Emmanuel Kwaku</v>
      </c>
      <c r="D425" s="75" t="s">
        <v>73</v>
      </c>
      <c r="E425" s="77">
        <v>45</v>
      </c>
      <c r="F425" s="80" t="s">
        <v>539</v>
      </c>
      <c r="G425" s="78">
        <f t="shared" si="54"/>
        <v>49.500000000000007</v>
      </c>
      <c r="H425" s="19" t="s">
        <v>833</v>
      </c>
      <c r="I425" s="20" t="str">
        <f t="shared" si="55"/>
        <v>CHE 364,ED3-CHE</v>
      </c>
      <c r="J425" s="25"/>
    </row>
    <row r="426" spans="1:10" ht="15.5" x14ac:dyDescent="0.35">
      <c r="A426" s="81"/>
      <c r="B426" s="81"/>
      <c r="C426" s="72"/>
      <c r="D426" s="76" t="s">
        <v>371</v>
      </c>
      <c r="E426" s="82">
        <f>SUM(E419:E425)</f>
        <v>1162</v>
      </c>
      <c r="F426" s="83"/>
      <c r="G426" s="84"/>
      <c r="I426" s="22"/>
      <c r="J426" s="25"/>
    </row>
    <row r="427" spans="1:10" ht="15.5" x14ac:dyDescent="0.35">
      <c r="A427" s="6" t="s">
        <v>362</v>
      </c>
      <c r="B427" s="6"/>
      <c r="C427" s="6"/>
      <c r="D427" s="6"/>
      <c r="E427" s="6"/>
      <c r="F427" s="6"/>
      <c r="G427" s="6"/>
      <c r="I427" s="22" t="str">
        <f>A427</f>
        <v>Friday, 28 August 2026</v>
      </c>
      <c r="J427" s="25"/>
    </row>
    <row r="428" spans="1:10" ht="15.5" x14ac:dyDescent="0.35">
      <c r="A428" s="6" t="s">
        <v>29</v>
      </c>
      <c r="B428" s="6"/>
      <c r="C428" s="6"/>
      <c r="D428" s="6"/>
      <c r="E428" s="6"/>
      <c r="F428" s="6"/>
      <c r="G428" s="6"/>
      <c r="I428" s="22" t="str">
        <f>A428</f>
        <v>Session, 2 (12:00 PM - 2:00 PM)</v>
      </c>
      <c r="J428" s="25"/>
    </row>
    <row r="429" spans="1:10" ht="15.5" x14ac:dyDescent="0.35">
      <c r="A429" s="71" t="s">
        <v>4</v>
      </c>
      <c r="B429" s="71" t="s">
        <v>5</v>
      </c>
      <c r="C429" s="72" t="s">
        <v>6</v>
      </c>
      <c r="D429" s="71" t="s">
        <v>7</v>
      </c>
      <c r="E429" s="73" t="s">
        <v>8</v>
      </c>
      <c r="F429" s="72" t="s">
        <v>9</v>
      </c>
      <c r="G429" s="74" t="s">
        <v>10</v>
      </c>
      <c r="I429" s="22" t="s">
        <v>31</v>
      </c>
      <c r="J429" s="25"/>
    </row>
    <row r="430" spans="1:10" ht="15.5" x14ac:dyDescent="0.35">
      <c r="A430" s="75" t="s">
        <v>364</v>
      </c>
      <c r="B430" s="76" t="str">
        <f t="array" ref="B430:B447">IFERROR(VLOOKUP(I430:I447,Lectures_1!A2:F534,2,FALSE()),0)</f>
        <v>COMMUNICATION SKILLS II</v>
      </c>
      <c r="C430" s="76" t="str">
        <f t="array" ref="C430:C447">IFERROR(VLOOKUP(I430:I447,Lectures_1!A2:F534,3,FALSE()),0)</f>
        <v>Yeboah Philomena Ama Okyeso</v>
      </c>
      <c r="D430" s="75" t="s">
        <v>81</v>
      </c>
      <c r="E430" s="77">
        <f t="array" ref="E430:E447">IFERROR(VLOOKUP(I430:I447,Lectures_1!A2:F534,4,FALSE()),0)</f>
        <v>56</v>
      </c>
      <c r="F430" s="5" t="s">
        <v>372</v>
      </c>
      <c r="G430" s="78">
        <f t="shared" ref="G430:G447" si="56">E430*1.1</f>
        <v>61.600000000000009</v>
      </c>
      <c r="I430" s="20" t="str">
        <f t="shared" ref="I430:I447" si="57">CONCATENATE(A430,",",D430)</f>
        <v>ENGL 158,ED1-PCE</v>
      </c>
      <c r="J430" s="25"/>
    </row>
    <row r="431" spans="1:10" ht="15.5" x14ac:dyDescent="0.35">
      <c r="A431" s="75" t="s">
        <v>364</v>
      </c>
      <c r="B431" s="76" t="str">
        <v>COMMUNICATION SKILLS II</v>
      </c>
      <c r="C431" s="76" t="str">
        <v>Sarfo-Adu Kwasi</v>
      </c>
      <c r="D431" s="75" t="s">
        <v>162</v>
      </c>
      <c r="E431" s="77">
        <v>85</v>
      </c>
      <c r="F431" s="5"/>
      <c r="G431" s="78">
        <f t="shared" si="56"/>
        <v>93.500000000000014</v>
      </c>
      <c r="I431" s="20" t="str">
        <f t="shared" si="57"/>
        <v>ENGL 158,ED1-AUTO</v>
      </c>
      <c r="J431" s="25"/>
    </row>
    <row r="432" spans="1:10" ht="15.5" x14ac:dyDescent="0.35">
      <c r="A432" s="75" t="s">
        <v>364</v>
      </c>
      <c r="B432" s="76" t="str">
        <v>COMMUNICATION SKILLS II</v>
      </c>
      <c r="C432" s="79" t="str">
        <v>Yeboah Philomena Ama Okyeso</v>
      </c>
      <c r="D432" s="75" t="s">
        <v>51</v>
      </c>
      <c r="E432" s="77">
        <v>295</v>
      </c>
      <c r="F432" s="5"/>
      <c r="G432" s="78">
        <f t="shared" si="56"/>
        <v>324.5</v>
      </c>
      <c r="I432" s="20" t="str">
        <f t="shared" si="57"/>
        <v>ENGL 158,ED1-EE</v>
      </c>
      <c r="J432" s="25"/>
    </row>
    <row r="433" spans="1:10" ht="15.5" x14ac:dyDescent="0.35">
      <c r="A433" s="75" t="s">
        <v>364</v>
      </c>
      <c r="B433" s="76" t="str">
        <v>COMMUNICATION SKILLS II</v>
      </c>
      <c r="C433" s="72" t="str">
        <v>Yeboah Philomena Ama Okyeso</v>
      </c>
      <c r="D433" s="75" t="s">
        <v>111</v>
      </c>
      <c r="E433" s="77">
        <v>83</v>
      </c>
      <c r="F433" s="5"/>
      <c r="G433" s="78">
        <f t="shared" si="56"/>
        <v>91.300000000000011</v>
      </c>
      <c r="I433" s="20" t="str">
        <f t="shared" si="57"/>
        <v>ENGL 158,ED1-IND</v>
      </c>
      <c r="J433" s="25"/>
    </row>
    <row r="434" spans="1:10" ht="15.5" x14ac:dyDescent="0.35">
      <c r="A434" s="75" t="s">
        <v>364</v>
      </c>
      <c r="B434" s="76" t="str">
        <v>COMMUNICATION SKILLS II</v>
      </c>
      <c r="C434" s="79" t="str">
        <v>Yeboah Philomena Ama Okyeso</v>
      </c>
      <c r="D434" s="75" t="s">
        <v>126</v>
      </c>
      <c r="E434" s="77">
        <v>125</v>
      </c>
      <c r="F434" s="5"/>
      <c r="G434" s="78">
        <f t="shared" si="56"/>
        <v>137.5</v>
      </c>
      <c r="I434" s="20" t="str">
        <f t="shared" si="57"/>
        <v>ENGL 158,ED1-GEOL</v>
      </c>
      <c r="J434" s="25"/>
    </row>
    <row r="435" spans="1:10" ht="15.5" x14ac:dyDescent="0.35">
      <c r="A435" s="75" t="s">
        <v>364</v>
      </c>
      <c r="B435" s="72" t="str">
        <v>COMMUNICATION SKILLS II</v>
      </c>
      <c r="C435" s="72" t="str">
        <v>Alhassan Yakubu</v>
      </c>
      <c r="D435" s="75" t="s">
        <v>115</v>
      </c>
      <c r="E435" s="73">
        <v>100</v>
      </c>
      <c r="F435" s="5"/>
      <c r="G435" s="78">
        <f t="shared" si="56"/>
        <v>110.00000000000001</v>
      </c>
      <c r="I435" s="20" t="str">
        <f t="shared" si="57"/>
        <v>ENGL 158,ED1-MSE</v>
      </c>
      <c r="J435" s="25"/>
    </row>
    <row r="436" spans="1:10" ht="15.5" x14ac:dyDescent="0.35">
      <c r="A436" s="75" t="s">
        <v>364</v>
      </c>
      <c r="B436" s="72" t="str">
        <v>COMMUNICATION SKILLS II</v>
      </c>
      <c r="C436" s="72" t="str">
        <v>Yeboah Philomena Ama Okyeso</v>
      </c>
      <c r="D436" s="75" t="s">
        <v>95</v>
      </c>
      <c r="E436" s="73">
        <v>103</v>
      </c>
      <c r="F436" s="5"/>
      <c r="G436" s="78">
        <f t="shared" si="56"/>
        <v>113.30000000000001</v>
      </c>
      <c r="I436" s="20" t="str">
        <f t="shared" si="57"/>
        <v>ENGL 158,ED1-GEOM</v>
      </c>
      <c r="J436" s="25"/>
    </row>
    <row r="437" spans="1:10" ht="15.5" x14ac:dyDescent="0.35">
      <c r="A437" s="75" t="s">
        <v>373</v>
      </c>
      <c r="B437" s="79" t="str">
        <v>MANAGEMENT AND ENTREPRENEURSHIP DEVELOPMENT</v>
      </c>
      <c r="C437" s="79" t="str">
        <v>Aikins Stephen Hill Mends</v>
      </c>
      <c r="D437" s="75" t="s">
        <v>251</v>
      </c>
      <c r="E437" s="77">
        <v>160</v>
      </c>
      <c r="F437" s="80" t="s">
        <v>617</v>
      </c>
      <c r="G437" s="78">
        <f t="shared" si="56"/>
        <v>176</v>
      </c>
      <c r="H437" s="19" t="s">
        <v>774</v>
      </c>
      <c r="I437" s="20" t="str">
        <f t="shared" si="57"/>
        <v>ME 492,ED4-COE</v>
      </c>
      <c r="J437" s="25"/>
    </row>
    <row r="438" spans="1:10" ht="15.5" x14ac:dyDescent="0.35">
      <c r="A438" s="75" t="s">
        <v>373</v>
      </c>
      <c r="B438" s="79" t="str">
        <v>ENTREPRENEURSHIP DEVELOPMENT AND MANAGEMENT</v>
      </c>
      <c r="C438" s="79" t="str">
        <v>Mensah Lena Dzifa</v>
      </c>
      <c r="D438" s="75" t="s">
        <v>144</v>
      </c>
      <c r="E438" s="77">
        <v>205</v>
      </c>
      <c r="F438" s="91" t="s">
        <v>834</v>
      </c>
      <c r="G438" s="78">
        <f t="shared" si="56"/>
        <v>225.50000000000003</v>
      </c>
      <c r="H438" s="19" t="s">
        <v>610</v>
      </c>
      <c r="I438" s="20" t="str">
        <f t="shared" si="57"/>
        <v>ME 492,ED4-EE</v>
      </c>
      <c r="J438" s="25"/>
    </row>
    <row r="439" spans="1:10" ht="15.5" x14ac:dyDescent="0.35">
      <c r="A439" s="75" t="s">
        <v>373</v>
      </c>
      <c r="B439" s="79" t="str">
        <v xml:space="preserve">ENTREPRENEURSHIP MANAGEMENT </v>
      </c>
      <c r="C439" s="79" t="str">
        <v>Asiedu Charlotte</v>
      </c>
      <c r="D439" s="75" t="s">
        <v>124</v>
      </c>
      <c r="E439" s="77">
        <v>69</v>
      </c>
      <c r="F439" s="80" t="s">
        <v>545</v>
      </c>
      <c r="G439" s="78">
        <f t="shared" si="56"/>
        <v>75.900000000000006</v>
      </c>
      <c r="H439" s="19">
        <v>69</v>
      </c>
      <c r="I439" s="20" t="str">
        <f t="shared" si="57"/>
        <v>ME 492,ED4-IND</v>
      </c>
      <c r="J439" s="25"/>
    </row>
    <row r="440" spans="1:10" ht="15.5" x14ac:dyDescent="0.35">
      <c r="A440" s="75" t="s">
        <v>373</v>
      </c>
      <c r="B440" s="79" t="str">
        <v>MANAGEMENT AND ENTREPRENEURSHIP DEVELOPMENT</v>
      </c>
      <c r="C440" s="79" t="str">
        <v>Mensah Lena Dzifa</v>
      </c>
      <c r="D440" s="75" t="s">
        <v>67</v>
      </c>
      <c r="E440" s="77">
        <v>135</v>
      </c>
      <c r="F440" s="91" t="s">
        <v>835</v>
      </c>
      <c r="G440" s="78">
        <f t="shared" si="56"/>
        <v>148.5</v>
      </c>
      <c r="H440" s="19" t="s">
        <v>836</v>
      </c>
      <c r="I440" s="20" t="str">
        <f t="shared" si="57"/>
        <v>ME 492,ED4-ME</v>
      </c>
      <c r="J440" s="25"/>
    </row>
    <row r="441" spans="1:10" ht="15.5" x14ac:dyDescent="0.35">
      <c r="A441" s="75" t="s">
        <v>373</v>
      </c>
      <c r="B441" s="79" t="str">
        <v>MANAGEMENT AND ENTREPRENEURSHIP DEVELOPMENT</v>
      </c>
      <c r="C441" s="79" t="str">
        <v>Mensah Lena Dzifa</v>
      </c>
      <c r="D441" s="75" t="s">
        <v>136</v>
      </c>
      <c r="E441" s="77">
        <v>55</v>
      </c>
      <c r="F441" s="80" t="s">
        <v>837</v>
      </c>
      <c r="G441" s="78">
        <f t="shared" si="56"/>
        <v>60.500000000000007</v>
      </c>
      <c r="H441" s="19" t="s">
        <v>767</v>
      </c>
      <c r="I441" s="20" t="str">
        <f t="shared" si="57"/>
        <v>ME 492,ED4-METE</v>
      </c>
      <c r="J441" s="25"/>
    </row>
    <row r="442" spans="1:10" ht="15.5" x14ac:dyDescent="0.35">
      <c r="A442" s="75" t="s">
        <v>373</v>
      </c>
      <c r="B442" s="79" t="str">
        <v>MANAGEMENT AND ENTREPRENEURSHIP DEVELOPMENT</v>
      </c>
      <c r="C442" s="79" t="str">
        <v>Mensah Lena Dzifa</v>
      </c>
      <c r="D442" s="75" t="s">
        <v>99</v>
      </c>
      <c r="E442" s="77">
        <v>61</v>
      </c>
      <c r="F442" s="80" t="s">
        <v>624</v>
      </c>
      <c r="G442" s="78">
        <f t="shared" si="56"/>
        <v>67.100000000000009</v>
      </c>
      <c r="H442" s="19" t="s">
        <v>588</v>
      </c>
      <c r="I442" s="20" t="str">
        <f t="shared" si="57"/>
        <v>ME 492,ED4-AERO</v>
      </c>
      <c r="J442" s="25"/>
    </row>
    <row r="443" spans="1:10" ht="15.5" x14ac:dyDescent="0.35">
      <c r="A443" s="75" t="s">
        <v>373</v>
      </c>
      <c r="B443" s="79" t="str">
        <v>MANAGEMENT AND ENTREPRENEURSHIP DEVELOPMENT</v>
      </c>
      <c r="C443" s="79" t="str">
        <v>Mensah Lena Dzifa</v>
      </c>
      <c r="D443" s="75" t="s">
        <v>97</v>
      </c>
      <c r="E443" s="77">
        <v>32</v>
      </c>
      <c r="F443" s="80" t="s">
        <v>541</v>
      </c>
      <c r="G443" s="78">
        <f t="shared" si="56"/>
        <v>35.200000000000003</v>
      </c>
      <c r="H443" s="19">
        <v>32</v>
      </c>
      <c r="I443" s="20" t="str">
        <f t="shared" si="57"/>
        <v>ME 492,ED4-AUTO</v>
      </c>
      <c r="J443" s="25"/>
    </row>
    <row r="444" spans="1:10" ht="15.5" x14ac:dyDescent="0.35">
      <c r="A444" s="75" t="s">
        <v>373</v>
      </c>
      <c r="B444" s="79" t="str">
        <v>ENTREPRENEURSHIP DEVELOPMENT</v>
      </c>
      <c r="C444" s="79" t="str">
        <v>Aikins Stephen Hill Mends</v>
      </c>
      <c r="D444" s="75" t="s">
        <v>252</v>
      </c>
      <c r="E444" s="77">
        <v>87</v>
      </c>
      <c r="F444" s="80" t="s">
        <v>582</v>
      </c>
      <c r="G444" s="78">
        <f t="shared" si="56"/>
        <v>95.7</v>
      </c>
      <c r="H444" s="19" t="s">
        <v>838</v>
      </c>
      <c r="I444" s="20" t="str">
        <f t="shared" si="57"/>
        <v>ME 492,ED4-BME</v>
      </c>
      <c r="J444" s="25"/>
    </row>
    <row r="445" spans="1:10" ht="15.5" x14ac:dyDescent="0.35">
      <c r="A445" s="75" t="s">
        <v>373</v>
      </c>
      <c r="B445" s="79" t="str">
        <v>MANAGEMENT AND ENTREPRENEURSHIP DEVELOPMENT</v>
      </c>
      <c r="C445" s="79" t="str">
        <v>Aikins Stephen Hill Mends</v>
      </c>
      <c r="D445" s="75" t="s">
        <v>50</v>
      </c>
      <c r="E445" s="77">
        <v>103</v>
      </c>
      <c r="F445" s="80" t="s">
        <v>571</v>
      </c>
      <c r="G445" s="78">
        <f t="shared" si="56"/>
        <v>113.30000000000001</v>
      </c>
      <c r="H445" s="19" t="s">
        <v>572</v>
      </c>
      <c r="I445" s="20" t="str">
        <f t="shared" si="57"/>
        <v>ME 492,ED4-AE</v>
      </c>
      <c r="J445" s="25"/>
    </row>
    <row r="446" spans="1:10" ht="15.5" x14ac:dyDescent="0.35">
      <c r="A446" s="75" t="s">
        <v>373</v>
      </c>
      <c r="B446" s="79" t="str">
        <v>MANAGEMENT AND ENTREPRENEURSHIP DEVELOPMENT</v>
      </c>
      <c r="C446" s="79" t="str">
        <v>Mensah Lena Dzifa</v>
      </c>
      <c r="D446" s="75" t="s">
        <v>135</v>
      </c>
      <c r="E446" s="77">
        <v>60</v>
      </c>
      <c r="F446" s="80" t="s">
        <v>546</v>
      </c>
      <c r="G446" s="78">
        <f t="shared" si="56"/>
        <v>66</v>
      </c>
      <c r="H446" s="19">
        <v>60</v>
      </c>
      <c r="I446" s="20" t="str">
        <f t="shared" si="57"/>
        <v>ME 492,ED4-MSE</v>
      </c>
      <c r="J446" s="25"/>
    </row>
    <row r="447" spans="1:10" ht="15.5" x14ac:dyDescent="0.35">
      <c r="A447" s="75" t="s">
        <v>373</v>
      </c>
      <c r="B447" s="79" t="str">
        <v>MANAGEMENT AND ENTREPRENEURSHIP DEVELOPMENT</v>
      </c>
      <c r="C447" s="79" t="str">
        <v>Intsiful Araba Kwegyirba</v>
      </c>
      <c r="D447" s="75" t="s">
        <v>227</v>
      </c>
      <c r="E447" s="77">
        <v>138</v>
      </c>
      <c r="F447" s="80" t="s">
        <v>839</v>
      </c>
      <c r="G447" s="78">
        <f t="shared" si="56"/>
        <v>151.80000000000001</v>
      </c>
      <c r="H447" s="19" t="s">
        <v>840</v>
      </c>
      <c r="I447" s="20" t="str">
        <f t="shared" si="57"/>
        <v>ME 492,ED4-TEL</v>
      </c>
      <c r="J447" s="25"/>
    </row>
    <row r="448" spans="1:10" ht="15.5" x14ac:dyDescent="0.35">
      <c r="A448" s="81"/>
      <c r="B448" s="81"/>
      <c r="C448" s="72"/>
      <c r="D448" s="76" t="s">
        <v>375</v>
      </c>
      <c r="E448" s="82">
        <f>SUM(E437:E447)</f>
        <v>1105</v>
      </c>
      <c r="F448" s="83"/>
      <c r="G448" s="84"/>
      <c r="I448" s="22" t="s">
        <v>376</v>
      </c>
      <c r="J448" s="25"/>
    </row>
    <row r="449" spans="1:10" ht="15.5" x14ac:dyDescent="0.35">
      <c r="A449" s="97"/>
      <c r="B449" s="97"/>
      <c r="C449" s="72"/>
      <c r="D449" s="97"/>
      <c r="E449" s="98"/>
      <c r="F449" s="99"/>
      <c r="G449" s="100"/>
      <c r="J449" s="50"/>
    </row>
    <row r="450" spans="1:10" ht="15.5" x14ac:dyDescent="0.35">
      <c r="A450" s="97"/>
      <c r="B450" s="97"/>
      <c r="C450" s="72"/>
      <c r="D450" s="97"/>
      <c r="E450" s="98"/>
      <c r="F450" s="99"/>
      <c r="G450" s="100"/>
      <c r="J450" s="50"/>
    </row>
    <row r="451" spans="1:10" ht="15.5" x14ac:dyDescent="0.35">
      <c r="A451" s="6" t="s">
        <v>362</v>
      </c>
      <c r="B451" s="6"/>
      <c r="C451" s="6"/>
      <c r="D451" s="6"/>
      <c r="E451" s="6"/>
      <c r="F451" s="6"/>
      <c r="G451" s="6"/>
      <c r="I451" s="22" t="str">
        <f>A451</f>
        <v>Friday, 28 August 2026</v>
      </c>
      <c r="J451" s="25"/>
    </row>
    <row r="452" spans="1:10" ht="15.5" x14ac:dyDescent="0.35">
      <c r="A452" s="6" t="s">
        <v>59</v>
      </c>
      <c r="B452" s="6"/>
      <c r="C452" s="6"/>
      <c r="D452" s="6"/>
      <c r="E452" s="6"/>
      <c r="F452" s="6"/>
      <c r="G452" s="6"/>
      <c r="I452" s="22" t="str">
        <f>A452</f>
        <v>Session, 3 (3:00 PM - 5:00 PM)</v>
      </c>
      <c r="J452" s="25"/>
    </row>
    <row r="453" spans="1:10" ht="15.5" x14ac:dyDescent="0.35">
      <c r="A453" s="71" t="s">
        <v>4</v>
      </c>
      <c r="B453" s="71" t="s">
        <v>5</v>
      </c>
      <c r="C453" s="72" t="s">
        <v>6</v>
      </c>
      <c r="D453" s="71" t="s">
        <v>7</v>
      </c>
      <c r="E453" s="73" t="s">
        <v>8</v>
      </c>
      <c r="F453" s="72" t="s">
        <v>9</v>
      </c>
      <c r="G453" s="74" t="s">
        <v>10</v>
      </c>
      <c r="I453" s="22" t="s">
        <v>31</v>
      </c>
      <c r="J453" s="25"/>
    </row>
    <row r="454" spans="1:10" ht="15.5" x14ac:dyDescent="0.35">
      <c r="A454" s="75" t="s">
        <v>364</v>
      </c>
      <c r="B454" s="72" t="str">
        <f t="array" ref="B454:B466">IFERROR(VLOOKUP(I454:I466,Lectures_1!A2:F534,2,FALSE()),0)</f>
        <v>COMMUNICATION SKILLS II</v>
      </c>
      <c r="C454" s="72" t="str">
        <f t="array" ref="C454:C466">IFERROR(VLOOKUP(I454:I466,Lectures_1!A2:F534,3,FALSE()),0)</f>
        <v>Yeboah Philomena Ama Okyeso</v>
      </c>
      <c r="D454" s="75" t="s">
        <v>112</v>
      </c>
      <c r="E454" s="73">
        <f t="array" ref="E454:E466">IFERROR(VLOOKUP(I454:I466,Lectures_1!A2:F534,4,FALSE()),0)</f>
        <v>46</v>
      </c>
      <c r="F454" s="5" t="s">
        <v>34</v>
      </c>
      <c r="G454" s="78">
        <f t="shared" ref="G454:G466" si="58">E454*1.1</f>
        <v>50.6</v>
      </c>
      <c r="I454" s="20" t="str">
        <f t="shared" ref="I454:I466" si="59">CONCATENATE(A454,",",D454)</f>
        <v>ENGL 158,ED1-MARI</v>
      </c>
      <c r="J454" s="25"/>
    </row>
    <row r="455" spans="1:10" ht="15.5" x14ac:dyDescent="0.35">
      <c r="A455" s="75" t="s">
        <v>364</v>
      </c>
      <c r="B455" s="72" t="str">
        <v>COMMUNICATION SKILLS II</v>
      </c>
      <c r="C455" s="72" t="str">
        <v>Yeboah Philomena Ama Okyeso</v>
      </c>
      <c r="D455" s="75" t="s">
        <v>161</v>
      </c>
      <c r="E455" s="73">
        <v>225</v>
      </c>
      <c r="F455" s="5"/>
      <c r="G455" s="78">
        <f t="shared" si="58"/>
        <v>247.50000000000003</v>
      </c>
      <c r="I455" s="20" t="str">
        <f t="shared" si="59"/>
        <v>ENGL 158,ED1-ME</v>
      </c>
      <c r="J455" s="25"/>
    </row>
    <row r="456" spans="1:10" ht="15.5" x14ac:dyDescent="0.35">
      <c r="A456" s="75" t="s">
        <v>364</v>
      </c>
      <c r="B456" s="76" t="str">
        <v>COMMUNICATION SKILLS II</v>
      </c>
      <c r="C456" s="72" t="str">
        <v>Alhassan Yakubu</v>
      </c>
      <c r="D456" s="75" t="s">
        <v>82</v>
      </c>
      <c r="E456" s="77">
        <v>130</v>
      </c>
      <c r="F456" s="5"/>
      <c r="G456" s="78">
        <f t="shared" si="58"/>
        <v>143</v>
      </c>
      <c r="I456" s="20" t="str">
        <f t="shared" si="59"/>
        <v>ENGL 158,ED1-PE</v>
      </c>
      <c r="J456" s="25"/>
    </row>
    <row r="457" spans="1:10" ht="15.5" x14ac:dyDescent="0.35">
      <c r="A457" s="75" t="s">
        <v>364</v>
      </c>
      <c r="B457" s="76" t="str">
        <v>COMMUNICATION SKILLS II</v>
      </c>
      <c r="C457" s="72" t="str">
        <v>Alhassan Yakubu</v>
      </c>
      <c r="D457" s="75" t="s">
        <v>91</v>
      </c>
      <c r="E457" s="77">
        <v>130</v>
      </c>
      <c r="F457" s="5"/>
      <c r="G457" s="78">
        <f t="shared" si="58"/>
        <v>143</v>
      </c>
      <c r="I457" s="20" t="str">
        <f t="shared" si="59"/>
        <v>ENGL 158,ED1-TEL</v>
      </c>
      <c r="J457" s="25"/>
    </row>
    <row r="458" spans="1:10" ht="15.5" x14ac:dyDescent="0.35">
      <c r="A458" s="75" t="s">
        <v>364</v>
      </c>
      <c r="B458" s="76" t="str">
        <v>COMMUNICATION SKILLS II</v>
      </c>
      <c r="C458" s="79" t="str">
        <v>Alhassan Yakubu</v>
      </c>
      <c r="D458" s="75" t="s">
        <v>114</v>
      </c>
      <c r="E458" s="77">
        <v>75</v>
      </c>
      <c r="F458" s="5"/>
      <c r="G458" s="78">
        <f t="shared" si="58"/>
        <v>82.5</v>
      </c>
      <c r="I458" s="20" t="str">
        <f t="shared" si="59"/>
        <v>ENGL 158,ED1-METE</v>
      </c>
      <c r="J458" s="25"/>
    </row>
    <row r="459" spans="1:10" ht="15.5" x14ac:dyDescent="0.35">
      <c r="A459" s="75" t="s">
        <v>377</v>
      </c>
      <c r="B459" s="76" t="str">
        <v>DIGITAL SYSTEMS DESIGN I</v>
      </c>
      <c r="C459" s="79" t="str">
        <v>Nunoo-Mensah Henry</v>
      </c>
      <c r="D459" s="75" t="s">
        <v>109</v>
      </c>
      <c r="E459" s="77">
        <v>80</v>
      </c>
      <c r="F459" s="80" t="s">
        <v>529</v>
      </c>
      <c r="G459" s="78">
        <f t="shared" si="58"/>
        <v>88</v>
      </c>
      <c r="H459" s="19" t="s">
        <v>841</v>
      </c>
      <c r="I459" s="20" t="str">
        <f t="shared" si="59"/>
        <v>COE 272,ED2-BME</v>
      </c>
      <c r="J459" s="25"/>
    </row>
    <row r="460" spans="1:10" ht="15.5" x14ac:dyDescent="0.35">
      <c r="A460" s="75" t="s">
        <v>377</v>
      </c>
      <c r="B460" s="76" t="str">
        <v>DIGITAL SYSTEMS DESIGN I</v>
      </c>
      <c r="C460" s="79" t="str">
        <v>Nunoo-Mensah Henry</v>
      </c>
      <c r="D460" s="75" t="s">
        <v>108</v>
      </c>
      <c r="E460" s="77">
        <v>255</v>
      </c>
      <c r="F460" s="80" t="s">
        <v>531</v>
      </c>
      <c r="G460" s="78">
        <f t="shared" si="58"/>
        <v>280.5</v>
      </c>
      <c r="H460" s="19" t="s">
        <v>662</v>
      </c>
      <c r="I460" s="20" t="str">
        <f t="shared" si="59"/>
        <v>COE 272,ED2-COE</v>
      </c>
      <c r="J460" s="25"/>
    </row>
    <row r="461" spans="1:10" ht="15.5" x14ac:dyDescent="0.35">
      <c r="A461" s="75" t="s">
        <v>378</v>
      </c>
      <c r="B461" s="76" t="str">
        <v>HIGHWAY ENGINEERING</v>
      </c>
      <c r="C461" s="76" t="str">
        <v>Tutu Kenneth Adomako</v>
      </c>
      <c r="D461" s="75" t="s">
        <v>157</v>
      </c>
      <c r="E461" s="77">
        <v>230</v>
      </c>
      <c r="F461" s="80" t="s">
        <v>556</v>
      </c>
      <c r="G461" s="78">
        <f t="shared" si="58"/>
        <v>253.00000000000003</v>
      </c>
      <c r="H461" s="19" t="s">
        <v>807</v>
      </c>
      <c r="I461" s="20" t="str">
        <f t="shared" si="59"/>
        <v>CE 368,ED3-CE</v>
      </c>
      <c r="J461" s="25"/>
    </row>
    <row r="462" spans="1:10" ht="15.5" x14ac:dyDescent="0.35">
      <c r="A462" s="75" t="s">
        <v>379</v>
      </c>
      <c r="B462" s="79" t="str">
        <v>MINERAL ECONOMICS AND EVALUATION</v>
      </c>
      <c r="C462" s="79" t="str">
        <v>Foli Gordon</v>
      </c>
      <c r="D462" s="75" t="s">
        <v>154</v>
      </c>
      <c r="E462" s="77">
        <v>154</v>
      </c>
      <c r="F462" s="80" t="s">
        <v>842</v>
      </c>
      <c r="G462" s="78">
        <f t="shared" si="58"/>
        <v>169.4</v>
      </c>
      <c r="H462" s="19" t="s">
        <v>843</v>
      </c>
      <c r="I462" s="20" t="str">
        <f t="shared" si="59"/>
        <v>GED 366,ED3-GEOL</v>
      </c>
      <c r="J462" s="25"/>
    </row>
    <row r="463" spans="1:10" ht="15.5" x14ac:dyDescent="0.35">
      <c r="A463" s="75" t="s">
        <v>380</v>
      </c>
      <c r="B463" s="71" t="str">
        <v>STRENGTH OF MARINE MATERIALS II</v>
      </c>
      <c r="C463" s="79" t="str">
        <v>Adam Faisal Wahib</v>
      </c>
      <c r="D463" s="80" t="s">
        <v>86</v>
      </c>
      <c r="E463" s="95">
        <v>40</v>
      </c>
      <c r="F463" s="94" t="s">
        <v>633</v>
      </c>
      <c r="G463" s="78">
        <f t="shared" si="58"/>
        <v>44</v>
      </c>
      <c r="H463" s="19">
        <v>40</v>
      </c>
      <c r="I463" s="20" t="str">
        <f t="shared" si="59"/>
        <v>MME 356,ED3-MARI</v>
      </c>
      <c r="J463" s="25"/>
    </row>
    <row r="464" spans="1:10" ht="15.5" x14ac:dyDescent="0.35">
      <c r="A464" s="75" t="s">
        <v>381</v>
      </c>
      <c r="B464" s="76" t="str">
        <v>HIGH VOLTAGE ENGINEERING</v>
      </c>
      <c r="C464" s="79" t="str">
        <v>Asigri Peter</v>
      </c>
      <c r="D464" s="75" t="s">
        <v>71</v>
      </c>
      <c r="E464" s="77">
        <v>185</v>
      </c>
      <c r="F464" s="80" t="s">
        <v>710</v>
      </c>
      <c r="G464" s="78">
        <f t="shared" si="58"/>
        <v>203.50000000000003</v>
      </c>
      <c r="H464" s="19" t="s">
        <v>844</v>
      </c>
      <c r="I464" s="20" t="str">
        <f t="shared" si="59"/>
        <v>EE 360,ED3-EE</v>
      </c>
      <c r="J464" s="25"/>
    </row>
    <row r="465" spans="1:10" ht="15.5" x14ac:dyDescent="0.35">
      <c r="A465" s="75" t="s">
        <v>358</v>
      </c>
      <c r="B465" s="76" t="str">
        <v>ECONOMIC GEOLLOGY</v>
      </c>
      <c r="C465" s="79" t="str">
        <v>Mensah Emmanuel</v>
      </c>
      <c r="D465" s="80" t="s">
        <v>177</v>
      </c>
      <c r="E465" s="77">
        <v>95</v>
      </c>
      <c r="F465" s="80" t="s">
        <v>582</v>
      </c>
      <c r="G465" s="78">
        <f t="shared" si="58"/>
        <v>104.50000000000001</v>
      </c>
      <c r="H465" s="19" t="s">
        <v>698</v>
      </c>
      <c r="I465" s="20" t="str">
        <f t="shared" si="59"/>
        <v>GED 462,ED4-GEOL</v>
      </c>
      <c r="J465" s="25"/>
    </row>
    <row r="466" spans="1:10" ht="15.5" x14ac:dyDescent="0.35">
      <c r="A466" s="75" t="s">
        <v>384</v>
      </c>
      <c r="B466" s="76" t="str">
        <v>WATER RESOURCES ENGINEERING II</v>
      </c>
      <c r="C466" s="79" t="str">
        <v>Anornu Geophrey Kwame</v>
      </c>
      <c r="D466" s="75" t="s">
        <v>103</v>
      </c>
      <c r="E466" s="77">
        <v>105</v>
      </c>
      <c r="F466" s="80" t="s">
        <v>571</v>
      </c>
      <c r="G466" s="78">
        <f t="shared" si="58"/>
        <v>115.50000000000001</v>
      </c>
      <c r="H466" s="19" t="s">
        <v>788</v>
      </c>
      <c r="I466" s="20" t="str">
        <f t="shared" si="59"/>
        <v>CE 458,ED4-CE</v>
      </c>
      <c r="J466" s="25"/>
    </row>
    <row r="467" spans="1:10" ht="15.5" x14ac:dyDescent="0.35">
      <c r="A467" s="81"/>
      <c r="B467" s="81"/>
      <c r="C467" s="72"/>
      <c r="D467" s="76" t="s">
        <v>385</v>
      </c>
      <c r="E467" s="82">
        <f>SUM(E459:E466)</f>
        <v>1144</v>
      </c>
      <c r="F467" s="83"/>
      <c r="G467" s="84"/>
      <c r="I467" s="22" t="s">
        <v>386</v>
      </c>
      <c r="J467" s="25"/>
    </row>
    <row r="468" spans="1:10" ht="15.5" x14ac:dyDescent="0.35">
      <c r="A468" s="6" t="s">
        <v>387</v>
      </c>
      <c r="B468" s="6"/>
      <c r="C468" s="6"/>
      <c r="D468" s="6"/>
      <c r="E468" s="6"/>
      <c r="F468" s="6"/>
      <c r="G468" s="6"/>
      <c r="I468" s="22" t="str">
        <f>A468</f>
        <v>Monday, 31  August 2026</v>
      </c>
      <c r="J468" s="25"/>
    </row>
    <row r="469" spans="1:10" ht="15.5" x14ac:dyDescent="0.35">
      <c r="A469" s="6" t="s">
        <v>2</v>
      </c>
      <c r="B469" s="6"/>
      <c r="C469" s="6"/>
      <c r="D469" s="6"/>
      <c r="E469" s="6"/>
      <c r="F469" s="6"/>
      <c r="G469" s="6"/>
      <c r="I469" s="22" t="str">
        <f>A469</f>
        <v>Session, 1 (8:30 AM - 10:30 AM)</v>
      </c>
      <c r="J469" s="25"/>
    </row>
    <row r="470" spans="1:10" ht="15.5" x14ac:dyDescent="0.35">
      <c r="A470" s="71" t="s">
        <v>4</v>
      </c>
      <c r="B470" s="71" t="s">
        <v>5</v>
      </c>
      <c r="C470" s="72" t="s">
        <v>6</v>
      </c>
      <c r="D470" s="71" t="s">
        <v>7</v>
      </c>
      <c r="E470" s="73" t="s">
        <v>8</v>
      </c>
      <c r="F470" s="72" t="s">
        <v>9</v>
      </c>
      <c r="G470" s="74" t="s">
        <v>10</v>
      </c>
      <c r="I470" s="22" t="s">
        <v>31</v>
      </c>
      <c r="J470" s="25"/>
    </row>
    <row r="471" spans="1:10" ht="15.5" x14ac:dyDescent="0.35">
      <c r="A471" s="75" t="s">
        <v>389</v>
      </c>
      <c r="B471" s="79" t="str">
        <f t="array" ref="B471:B480">IFERROR(VLOOKUP(I471:I480,Lectures_1!A2:F534,2,FALSE()),0)</f>
        <v>STRENGTH OF MATERIALS II</v>
      </c>
      <c r="C471" s="76" t="str">
        <f t="array" ref="C471:C480">IFERROR(VLOOKUP(I471:I480,Lectures_1!A2:F534,3,FALSE()),0)</f>
        <v>Tay Godwin Fabiola Kwaku</v>
      </c>
      <c r="D471" s="75" t="s">
        <v>61</v>
      </c>
      <c r="E471" s="77">
        <f t="array" ref="E471:E480">IFERROR(VLOOKUP(I471:I480,Lectures_1!A2:F534,4,FALSE()),0)</f>
        <v>222</v>
      </c>
      <c r="F471" s="80" t="s">
        <v>619</v>
      </c>
      <c r="G471" s="78">
        <f t="shared" ref="G471:G480" si="60">E471*1.1</f>
        <v>244.20000000000002</v>
      </c>
      <c r="H471" s="19" t="s">
        <v>845</v>
      </c>
      <c r="I471" s="20" t="str">
        <f t="shared" ref="I471:I480" si="61">CONCATENATE(A471,",",D471)</f>
        <v>ME 356,ED3-ME</v>
      </c>
      <c r="J471" s="25"/>
    </row>
    <row r="472" spans="1:10" ht="15.5" x14ac:dyDescent="0.35">
      <c r="A472" s="75" t="s">
        <v>390</v>
      </c>
      <c r="B472" s="76" t="str">
        <v>PHYSICAL METALLURGY OF NON-FERROUS METALS</v>
      </c>
      <c r="C472" s="79" t="str">
        <v>Agyemang Frank Ofori</v>
      </c>
      <c r="D472" s="75" t="s">
        <v>142</v>
      </c>
      <c r="E472" s="77">
        <v>87</v>
      </c>
      <c r="F472" s="80" t="s">
        <v>564</v>
      </c>
      <c r="G472" s="78">
        <f t="shared" si="60"/>
        <v>95.7</v>
      </c>
      <c r="H472" s="19" t="s">
        <v>846</v>
      </c>
      <c r="I472" s="20" t="str">
        <f t="shared" si="61"/>
        <v>METE 354,ED3-METE</v>
      </c>
      <c r="J472" s="25"/>
    </row>
    <row r="473" spans="1:10" ht="15.5" x14ac:dyDescent="0.35">
      <c r="A473" s="75" t="s">
        <v>391</v>
      </c>
      <c r="B473" s="76" t="str">
        <v>COMPUTER NETWORKING</v>
      </c>
      <c r="C473" s="79" t="str">
        <v>Kwasi Adu-Boahen Opare</v>
      </c>
      <c r="D473" s="75" t="s">
        <v>119</v>
      </c>
      <c r="E473" s="77">
        <v>140</v>
      </c>
      <c r="F473" s="80" t="s">
        <v>693</v>
      </c>
      <c r="G473" s="78">
        <f t="shared" si="60"/>
        <v>154</v>
      </c>
      <c r="H473" s="19" t="s">
        <v>847</v>
      </c>
      <c r="I473" s="20" t="str">
        <f t="shared" si="61"/>
        <v>TE 374,ED3-TEL</v>
      </c>
      <c r="J473" s="25"/>
    </row>
    <row r="474" spans="1:10" ht="18" customHeight="1" x14ac:dyDescent="0.35">
      <c r="A474" s="75" t="s">
        <v>392</v>
      </c>
      <c r="B474" s="76" t="str">
        <v>BASIC MECHANICS</v>
      </c>
      <c r="C474" s="79" t="str">
        <v>Oppong David Kofi</v>
      </c>
      <c r="D474" s="75" t="s">
        <v>131</v>
      </c>
      <c r="E474" s="77">
        <v>128</v>
      </c>
      <c r="F474" s="80" t="s">
        <v>611</v>
      </c>
      <c r="G474" s="78">
        <f t="shared" si="60"/>
        <v>140.80000000000001</v>
      </c>
      <c r="H474" s="19" t="s">
        <v>848</v>
      </c>
      <c r="I474" s="20" t="str">
        <f t="shared" si="61"/>
        <v>ME 162,ED1-AE</v>
      </c>
      <c r="J474" s="25"/>
    </row>
    <row r="475" spans="1:10" ht="15.5" x14ac:dyDescent="0.35">
      <c r="A475" s="75" t="s">
        <v>392</v>
      </c>
      <c r="B475" s="79" t="str">
        <v>BASIC MECHANICS</v>
      </c>
      <c r="C475" s="76" t="str">
        <v>Oppong David Kofi</v>
      </c>
      <c r="D475" s="75" t="s">
        <v>80</v>
      </c>
      <c r="E475" s="77">
        <v>120</v>
      </c>
      <c r="F475" s="80" t="s">
        <v>533</v>
      </c>
      <c r="G475" s="78">
        <f t="shared" si="60"/>
        <v>132</v>
      </c>
      <c r="H475" s="49" t="s">
        <v>849</v>
      </c>
      <c r="I475" s="20" t="str">
        <f t="shared" si="61"/>
        <v>ME 162,ED1-CHE</v>
      </c>
      <c r="J475" s="25"/>
    </row>
    <row r="476" spans="1:10" ht="15.5" x14ac:dyDescent="0.35">
      <c r="A476" s="75" t="s">
        <v>268</v>
      </c>
      <c r="B476" s="79" t="str">
        <v>STATICS OF SOLID MECHANICS</v>
      </c>
      <c r="C476" s="76" t="str">
        <v>Oppong David Kofi</v>
      </c>
      <c r="D476" s="75" t="s">
        <v>162</v>
      </c>
      <c r="E476" s="77">
        <v>85</v>
      </c>
      <c r="F476" s="80" t="s">
        <v>850</v>
      </c>
      <c r="G476" s="78">
        <f t="shared" si="60"/>
        <v>93.500000000000014</v>
      </c>
      <c r="H476" s="49" t="s">
        <v>851</v>
      </c>
      <c r="I476" s="20" t="str">
        <f t="shared" si="61"/>
        <v>ME 164,ED1-AUTO</v>
      </c>
      <c r="J476" s="25"/>
    </row>
    <row r="477" spans="1:10" ht="15.5" x14ac:dyDescent="0.35">
      <c r="A477" s="75" t="s">
        <v>393</v>
      </c>
      <c r="B477" s="76" t="str">
        <v>NATURAL GAS ENGINEERING</v>
      </c>
      <c r="C477" s="76" t="str">
        <v>Ankudey Emmanuel Godwin</v>
      </c>
      <c r="D477" s="75" t="s">
        <v>63</v>
      </c>
      <c r="E477" s="77">
        <v>53</v>
      </c>
      <c r="F477" s="80" t="s">
        <v>852</v>
      </c>
      <c r="G477" s="78">
        <f t="shared" si="60"/>
        <v>58.300000000000004</v>
      </c>
      <c r="H477" s="54" t="s">
        <v>853</v>
      </c>
      <c r="I477" s="20" t="str">
        <f t="shared" si="61"/>
        <v>PETE 450,ED3-PCE</v>
      </c>
      <c r="J477" s="25"/>
    </row>
    <row r="478" spans="1:10" ht="15.5" x14ac:dyDescent="0.35">
      <c r="A478" s="75" t="s">
        <v>394</v>
      </c>
      <c r="B478" s="79" t="str">
        <v>FLUID DYNAMICS I</v>
      </c>
      <c r="C478" s="79" t="str">
        <v>Fiagbe Yesuenyeagbe Atsu Kwabla</v>
      </c>
      <c r="D478" s="75" t="s">
        <v>38</v>
      </c>
      <c r="E478" s="77">
        <v>80</v>
      </c>
      <c r="F478" s="80" t="s">
        <v>574</v>
      </c>
      <c r="G478" s="78">
        <f t="shared" si="60"/>
        <v>88</v>
      </c>
      <c r="H478" s="19" t="s">
        <v>661</v>
      </c>
      <c r="I478" s="20" t="str">
        <f t="shared" si="61"/>
        <v>ME 252,ED2-IND</v>
      </c>
      <c r="J478" s="25"/>
    </row>
    <row r="479" spans="1:10" ht="15.5" x14ac:dyDescent="0.35">
      <c r="A479" s="75" t="s">
        <v>394</v>
      </c>
      <c r="B479" s="79" t="str">
        <v>FLUID DYNAMICS I</v>
      </c>
      <c r="C479" s="79" t="str">
        <v>Fiagbe Yesuenyeagbe Atsu Kwabla</v>
      </c>
      <c r="D479" s="75" t="s">
        <v>42</v>
      </c>
      <c r="E479" s="77">
        <v>37</v>
      </c>
      <c r="F479" s="80" t="s">
        <v>616</v>
      </c>
      <c r="G479" s="78">
        <f t="shared" si="60"/>
        <v>40.700000000000003</v>
      </c>
      <c r="H479" s="19">
        <v>37</v>
      </c>
      <c r="I479" s="20" t="str">
        <f t="shared" si="61"/>
        <v>ME 252,ED2-MARI</v>
      </c>
      <c r="J479" s="25"/>
    </row>
    <row r="480" spans="1:10" ht="15.5" x14ac:dyDescent="0.35">
      <c r="A480" s="75" t="s">
        <v>394</v>
      </c>
      <c r="B480" s="79" t="str">
        <v>FLUID DYNAMICS I</v>
      </c>
      <c r="C480" s="79" t="str">
        <v>Fiagbe Yesuenyeagbe Atsu Kwabla</v>
      </c>
      <c r="D480" s="75" t="s">
        <v>33</v>
      </c>
      <c r="E480" s="77">
        <v>240</v>
      </c>
      <c r="F480" s="80" t="s">
        <v>854</v>
      </c>
      <c r="G480" s="78">
        <f t="shared" si="60"/>
        <v>264</v>
      </c>
      <c r="H480" s="19" t="s">
        <v>855</v>
      </c>
      <c r="I480" s="20" t="str">
        <f t="shared" si="61"/>
        <v>ME 252,ED2-ME</v>
      </c>
      <c r="J480" s="25"/>
    </row>
    <row r="481" spans="1:10" ht="15.5" x14ac:dyDescent="0.35">
      <c r="A481" s="81"/>
      <c r="B481" s="81"/>
      <c r="C481" s="72"/>
      <c r="D481" s="76" t="s">
        <v>395</v>
      </c>
      <c r="E481" s="82">
        <f>SUM(E471:E480)</f>
        <v>1192</v>
      </c>
      <c r="F481" s="83"/>
      <c r="G481" s="84"/>
      <c r="I481" s="22" t="s">
        <v>396</v>
      </c>
      <c r="J481" s="25"/>
    </row>
    <row r="482" spans="1:10" ht="15.5" x14ac:dyDescent="0.35">
      <c r="A482" s="97"/>
      <c r="B482" s="97"/>
      <c r="C482" s="72"/>
      <c r="D482" s="97"/>
      <c r="E482" s="98"/>
      <c r="F482" s="99"/>
      <c r="G482" s="100"/>
      <c r="J482" s="50"/>
    </row>
    <row r="483" spans="1:10" ht="15" customHeight="1" x14ac:dyDescent="0.35">
      <c r="A483" s="97"/>
      <c r="B483" s="97"/>
      <c r="C483" s="72"/>
      <c r="D483" s="97"/>
      <c r="E483" s="98"/>
      <c r="F483" s="99"/>
      <c r="G483" s="100"/>
    </row>
    <row r="484" spans="1:10" ht="15.5" x14ac:dyDescent="0.35">
      <c r="A484" s="6" t="s">
        <v>387</v>
      </c>
      <c r="B484" s="6"/>
      <c r="C484" s="6"/>
      <c r="D484" s="6"/>
      <c r="E484" s="6"/>
      <c r="F484" s="6"/>
      <c r="G484" s="6"/>
      <c r="I484" s="22" t="str">
        <f>A484</f>
        <v>Monday, 31  August 2026</v>
      </c>
      <c r="J484" s="25"/>
    </row>
    <row r="485" spans="1:10" ht="15.5" x14ac:dyDescent="0.35">
      <c r="A485" s="6" t="s">
        <v>29</v>
      </c>
      <c r="B485" s="6"/>
      <c r="C485" s="6"/>
      <c r="D485" s="6"/>
      <c r="E485" s="6"/>
      <c r="F485" s="6"/>
      <c r="G485" s="6"/>
      <c r="I485" s="22" t="str">
        <f>A485</f>
        <v>Session, 2 (12:00 PM - 2:00 PM)</v>
      </c>
      <c r="J485" s="25"/>
    </row>
    <row r="486" spans="1:10" ht="15.5" x14ac:dyDescent="0.35">
      <c r="A486" s="71" t="s">
        <v>4</v>
      </c>
      <c r="B486" s="71" t="s">
        <v>5</v>
      </c>
      <c r="C486" s="72" t="s">
        <v>6</v>
      </c>
      <c r="D486" s="71" t="s">
        <v>7</v>
      </c>
      <c r="E486" s="73" t="s">
        <v>8</v>
      </c>
      <c r="F486" s="72" t="s">
        <v>9</v>
      </c>
      <c r="G486" s="74" t="s">
        <v>10</v>
      </c>
      <c r="I486" s="22" t="s">
        <v>31</v>
      </c>
      <c r="J486" s="25"/>
    </row>
    <row r="487" spans="1:10" ht="15.5" x14ac:dyDescent="0.35">
      <c r="A487" s="75" t="s">
        <v>397</v>
      </c>
      <c r="B487" s="76" t="str">
        <f t="array" ref="B487:B496">IFERROR(VLOOKUP(I487:I496,Lectures_1!A2:F534,2,FALSE()),0)</f>
        <v>CHEMICAL ENGINEERING THERMODYNAMICS II</v>
      </c>
      <c r="C487" s="76" t="str">
        <f t="array" ref="C487:C496">IFERROR(VLOOKUP(I487:I496,Lectures_1!A2:F534,3,FALSE()),0)</f>
        <v>Eunice Sefakor Aku Dogbe</v>
      </c>
      <c r="D487" s="75" t="s">
        <v>14</v>
      </c>
      <c r="E487" s="77">
        <f t="array" ref="E487:E496">IFERROR(VLOOKUP(I487:I496,Lectures_1!A2:F534,4,FALSE()),0)</f>
        <v>65</v>
      </c>
      <c r="F487" s="80" t="s">
        <v>546</v>
      </c>
      <c r="G487" s="78">
        <f t="shared" ref="G487:G496" si="62">E487*1.1</f>
        <v>71.5</v>
      </c>
      <c r="H487" s="54">
        <v>65</v>
      </c>
      <c r="I487" s="20" t="str">
        <f t="shared" ref="I487:I496" si="63">CONCATENATE(A487,",",D487)</f>
        <v>CHE 254,ED2-PCE</v>
      </c>
      <c r="J487" s="25"/>
    </row>
    <row r="488" spans="1:10" ht="15.5" x14ac:dyDescent="0.35">
      <c r="A488" s="75" t="s">
        <v>398</v>
      </c>
      <c r="B488" s="79" t="str">
        <v>PETROLEUM ENGINEERING THERMODYNAMICS II</v>
      </c>
      <c r="C488" s="79" t="str">
        <v>Sokama-Neuyam Yen Adams</v>
      </c>
      <c r="D488" s="75" t="s">
        <v>93</v>
      </c>
      <c r="E488" s="77">
        <v>95</v>
      </c>
      <c r="F488" s="75" t="s">
        <v>571</v>
      </c>
      <c r="G488" s="78">
        <f t="shared" si="62"/>
        <v>104.50000000000001</v>
      </c>
      <c r="H488" s="19" t="s">
        <v>856</v>
      </c>
      <c r="I488" s="20" t="str">
        <f t="shared" si="63"/>
        <v>PE 258,ED2-PE</v>
      </c>
      <c r="J488" s="25"/>
    </row>
    <row r="489" spans="1:10" ht="15.5" x14ac:dyDescent="0.35">
      <c r="A489" s="75" t="s">
        <v>399</v>
      </c>
      <c r="B489" s="76" t="str">
        <v>ROCK ENGINEERING</v>
      </c>
      <c r="C489" s="79" t="str">
        <v>Gidigasu Solomon Senyo Robert</v>
      </c>
      <c r="D489" s="75" t="s">
        <v>55</v>
      </c>
      <c r="E489" s="77">
        <v>150</v>
      </c>
      <c r="F489" s="101" t="s">
        <v>693</v>
      </c>
      <c r="G489" s="78">
        <f t="shared" si="62"/>
        <v>165</v>
      </c>
      <c r="H489" s="58" t="s">
        <v>857</v>
      </c>
      <c r="I489" s="20" t="str">
        <f t="shared" si="63"/>
        <v>GED 254,ED2-GEOL</v>
      </c>
      <c r="J489" s="25"/>
    </row>
    <row r="490" spans="1:10" ht="15.5" x14ac:dyDescent="0.35">
      <c r="A490" s="75" t="s">
        <v>392</v>
      </c>
      <c r="B490" s="76" t="str">
        <v>BASIC MECHANICS</v>
      </c>
      <c r="C490" s="76" t="str">
        <v>Quansah David Ato</v>
      </c>
      <c r="D490" s="75" t="s">
        <v>82</v>
      </c>
      <c r="E490" s="77">
        <v>130</v>
      </c>
      <c r="F490" s="80" t="s">
        <v>533</v>
      </c>
      <c r="G490" s="78">
        <f t="shared" si="62"/>
        <v>143</v>
      </c>
      <c r="H490" s="19" t="s">
        <v>858</v>
      </c>
      <c r="I490" s="20" t="str">
        <f t="shared" si="63"/>
        <v>ME 162,ED1-PE</v>
      </c>
      <c r="J490" s="25"/>
    </row>
    <row r="491" spans="1:10" ht="15.5" x14ac:dyDescent="0.35">
      <c r="A491" s="75" t="s">
        <v>392</v>
      </c>
      <c r="B491" s="76" t="str">
        <v>BASIC MECHANICS</v>
      </c>
      <c r="C491" s="76" t="str">
        <v>Quansah David Ato</v>
      </c>
      <c r="D491" s="75" t="s">
        <v>115</v>
      </c>
      <c r="E491" s="77">
        <v>100</v>
      </c>
      <c r="F491" s="80" t="s">
        <v>859</v>
      </c>
      <c r="G491" s="78">
        <f t="shared" si="62"/>
        <v>110.00000000000001</v>
      </c>
      <c r="H491" s="19" t="s">
        <v>860</v>
      </c>
      <c r="I491" s="20" t="str">
        <f t="shared" si="63"/>
        <v>ME 162,ED1-MSE</v>
      </c>
      <c r="J491" s="25"/>
    </row>
    <row r="492" spans="1:10" ht="15.5" x14ac:dyDescent="0.35">
      <c r="A492" s="75" t="s">
        <v>400</v>
      </c>
      <c r="B492" s="79" t="str">
        <v>STEEL AND TIMBER DESIGN</v>
      </c>
      <c r="C492" s="79" t="str">
        <v>Mark Adom-Asamoah</v>
      </c>
      <c r="D492" s="75" t="s">
        <v>157</v>
      </c>
      <c r="E492" s="77">
        <v>230</v>
      </c>
      <c r="F492" s="91" t="s">
        <v>854</v>
      </c>
      <c r="G492" s="78">
        <f t="shared" si="62"/>
        <v>253.00000000000003</v>
      </c>
      <c r="H492" s="17" t="s">
        <v>861</v>
      </c>
      <c r="I492" s="20" t="str">
        <f t="shared" si="63"/>
        <v>CE 352,ED3-CE</v>
      </c>
      <c r="J492" s="25"/>
    </row>
    <row r="493" spans="1:10" ht="15.5" x14ac:dyDescent="0.35">
      <c r="A493" s="75" t="s">
        <v>401</v>
      </c>
      <c r="B493" s="76" t="str">
        <v>MILLIMETERWAVE TECHNOLOGY</v>
      </c>
      <c r="C493" s="76" t="str">
        <v>Abdul-Rahman Ahmed</v>
      </c>
      <c r="D493" s="75" t="s">
        <v>227</v>
      </c>
      <c r="E493" s="77">
        <v>33</v>
      </c>
      <c r="F493" s="80" t="s">
        <v>770</v>
      </c>
      <c r="G493" s="78">
        <f t="shared" si="62"/>
        <v>36.300000000000004</v>
      </c>
      <c r="H493" s="19">
        <v>33</v>
      </c>
      <c r="I493" s="20" t="str">
        <f t="shared" si="63"/>
        <v>TE 468,ED4-TEL</v>
      </c>
      <c r="J493" s="25"/>
    </row>
    <row r="494" spans="1:10" ht="15.5" x14ac:dyDescent="0.35">
      <c r="A494" s="75" t="s">
        <v>402</v>
      </c>
      <c r="B494" s="76" t="str">
        <v>QUALITY ASSURANCE</v>
      </c>
      <c r="C494" s="76" t="str">
        <v>Sackey Samuel Mensah</v>
      </c>
      <c r="D494" s="75" t="s">
        <v>121</v>
      </c>
      <c r="E494" s="77">
        <v>70</v>
      </c>
      <c r="F494" s="80" t="s">
        <v>545</v>
      </c>
      <c r="G494" s="78">
        <f t="shared" si="62"/>
        <v>77</v>
      </c>
      <c r="H494" s="19">
        <v>70</v>
      </c>
      <c r="I494" s="20" t="str">
        <f t="shared" si="63"/>
        <v>IE 360,ED3-IND</v>
      </c>
      <c r="J494" s="25"/>
    </row>
    <row r="495" spans="1:10" ht="15.5" x14ac:dyDescent="0.35">
      <c r="A495" s="75" t="s">
        <v>403</v>
      </c>
      <c r="B495" s="76" t="str">
        <v>METALLURGICAL RATE PROCESSES/SURFACE PHENOMENA</v>
      </c>
      <c r="C495" s="76" t="str">
        <v>Patrick Aggrey</v>
      </c>
      <c r="D495" s="75" t="s">
        <v>101</v>
      </c>
      <c r="E495" s="77">
        <v>57</v>
      </c>
      <c r="F495" s="80" t="s">
        <v>566</v>
      </c>
      <c r="G495" s="78">
        <f t="shared" si="62"/>
        <v>62.7</v>
      </c>
      <c r="H495" s="19" t="s">
        <v>669</v>
      </c>
      <c r="I495" s="20" t="str">
        <f t="shared" si="63"/>
        <v>METE 252,ED2-METE</v>
      </c>
      <c r="J495" s="25"/>
    </row>
    <row r="496" spans="1:10" ht="15.5" x14ac:dyDescent="0.35">
      <c r="A496" s="75" t="s">
        <v>404</v>
      </c>
      <c r="B496" s="76" t="str">
        <v>CONSTRUCTION MANAGEMENT</v>
      </c>
      <c r="C496" s="76" t="str">
        <v>Obeng Daniel Atuah</v>
      </c>
      <c r="D496" s="75" t="s">
        <v>103</v>
      </c>
      <c r="E496" s="77">
        <v>240</v>
      </c>
      <c r="F496" s="91" t="s">
        <v>854</v>
      </c>
      <c r="G496" s="78">
        <f t="shared" si="62"/>
        <v>264</v>
      </c>
      <c r="H496" s="19" t="s">
        <v>855</v>
      </c>
      <c r="I496" s="20" t="str">
        <f t="shared" si="63"/>
        <v>CE 462,ED4-CE</v>
      </c>
      <c r="J496" s="25"/>
    </row>
    <row r="497" spans="1:10" ht="15.5" x14ac:dyDescent="0.35">
      <c r="A497" s="81"/>
      <c r="B497" s="81"/>
      <c r="C497" s="72"/>
      <c r="D497" s="76" t="s">
        <v>405</v>
      </c>
      <c r="E497" s="82">
        <f>SUM(E487:E496)</f>
        <v>1170</v>
      </c>
      <c r="F497" s="83"/>
      <c r="G497" s="84"/>
      <c r="I497" s="22"/>
      <c r="J497" s="25"/>
    </row>
    <row r="498" spans="1:10" ht="15.5" x14ac:dyDescent="0.35">
      <c r="A498" s="6" t="s">
        <v>387</v>
      </c>
      <c r="B498" s="6"/>
      <c r="C498" s="6"/>
      <c r="D498" s="6"/>
      <c r="E498" s="6"/>
      <c r="F498" s="6"/>
      <c r="G498" s="6"/>
      <c r="I498" s="22" t="str">
        <f>A498</f>
        <v>Monday, 31  August 2026</v>
      </c>
      <c r="J498" s="25"/>
    </row>
    <row r="499" spans="1:10" ht="15.5" x14ac:dyDescent="0.35">
      <c r="A499" s="6" t="s">
        <v>59</v>
      </c>
      <c r="B499" s="6"/>
      <c r="C499" s="6"/>
      <c r="D499" s="6"/>
      <c r="E499" s="6"/>
      <c r="F499" s="6"/>
      <c r="G499" s="6"/>
      <c r="I499" s="22" t="str">
        <f>A499</f>
        <v>Session, 3 (3:00 PM - 5:00 PM)</v>
      </c>
      <c r="J499" s="25"/>
    </row>
    <row r="500" spans="1:10" ht="16.5" customHeight="1" x14ac:dyDescent="0.35">
      <c r="A500" s="71" t="s">
        <v>4</v>
      </c>
      <c r="B500" s="71" t="s">
        <v>5</v>
      </c>
      <c r="C500" s="72" t="s">
        <v>6</v>
      </c>
      <c r="D500" s="71" t="s">
        <v>7</v>
      </c>
      <c r="E500" s="73" t="s">
        <v>8</v>
      </c>
      <c r="F500" s="72" t="s">
        <v>9</v>
      </c>
      <c r="G500" s="74" t="s">
        <v>10</v>
      </c>
      <c r="I500" s="22" t="s">
        <v>31</v>
      </c>
      <c r="J500" s="25"/>
    </row>
    <row r="501" spans="1:10" ht="15.5" x14ac:dyDescent="0.35">
      <c r="A501" s="75" t="s">
        <v>406</v>
      </c>
      <c r="B501" s="76" t="str">
        <f t="array" ref="B501:B517">IFERROR(VLOOKUP(I501:I517,Lectures_1!A2:F534,2,FALSE()),0)</f>
        <v>INTRODUCTORY ECONOMICS II</v>
      </c>
      <c r="C501" s="76" t="str">
        <f t="array" ref="C501:C517">IFERROR(VLOOKUP(I501:I517,Lectures_1!A2:F534,3,FALSE()),0)</f>
        <v>Takyi Paul Owusu</v>
      </c>
      <c r="D501" s="75" t="s">
        <v>25</v>
      </c>
      <c r="E501" s="77">
        <f t="array" ref="E501:E517">IFERROR(VLOOKUP(I501:I517,Lectures_1!A2:F534,4,FALSE()),0)</f>
        <v>150</v>
      </c>
      <c r="F501" s="80" t="s">
        <v>693</v>
      </c>
      <c r="G501" s="78">
        <f t="shared" ref="G501:G517" si="64">E501*1.1</f>
        <v>165</v>
      </c>
      <c r="H501" s="19" t="s">
        <v>857</v>
      </c>
      <c r="I501" s="20" t="str">
        <f t="shared" ref="I501:I517" si="65">CONCATENATE(A501,",",D501)</f>
        <v>ECON 152,ED2-EE</v>
      </c>
      <c r="J501" s="25"/>
    </row>
    <row r="502" spans="1:10" ht="15.5" x14ac:dyDescent="0.35">
      <c r="A502" s="75" t="s">
        <v>406</v>
      </c>
      <c r="B502" s="79" t="str">
        <v>ELEMENTS OF ECONOMICS II</v>
      </c>
      <c r="C502" s="79" t="str">
        <v>Edward Yeboah</v>
      </c>
      <c r="D502" s="75" t="s">
        <v>77</v>
      </c>
      <c r="E502" s="77">
        <v>15</v>
      </c>
      <c r="F502" s="80" t="s">
        <v>862</v>
      </c>
      <c r="G502" s="78">
        <f t="shared" si="64"/>
        <v>16.5</v>
      </c>
      <c r="H502" s="17">
        <v>15</v>
      </c>
      <c r="I502" s="20" t="str">
        <f t="shared" si="65"/>
        <v>ECON 152,ED3-GEOM</v>
      </c>
      <c r="J502" s="25"/>
    </row>
    <row r="503" spans="1:10" ht="15.5" x14ac:dyDescent="0.35">
      <c r="A503" s="75" t="s">
        <v>406</v>
      </c>
      <c r="B503" s="79" t="str">
        <v>INTRODUCTION TO ECONOMICS II</v>
      </c>
      <c r="C503" s="79" t="str">
        <v>Takyi Paul Owusu</v>
      </c>
      <c r="D503" s="75" t="s">
        <v>75</v>
      </c>
      <c r="E503" s="77">
        <v>32</v>
      </c>
      <c r="F503" s="80" t="s">
        <v>632</v>
      </c>
      <c r="G503" s="78">
        <f t="shared" si="64"/>
        <v>35.200000000000003</v>
      </c>
      <c r="H503" s="17">
        <v>32</v>
      </c>
      <c r="I503" s="20" t="str">
        <f t="shared" si="65"/>
        <v>ECON 152,ED1-CE</v>
      </c>
      <c r="J503" s="25"/>
    </row>
    <row r="504" spans="1:10" ht="15.5" x14ac:dyDescent="0.35">
      <c r="A504" s="75" t="s">
        <v>406</v>
      </c>
      <c r="B504" s="79" t="str">
        <v>INTRODUCTORY ECONOMICS II</v>
      </c>
      <c r="C504" s="79" t="str">
        <v>Beatrice Sarpong-Danquah</v>
      </c>
      <c r="D504" s="75" t="s">
        <v>126</v>
      </c>
      <c r="E504" s="77">
        <v>30</v>
      </c>
      <c r="F504" s="96" t="s">
        <v>863</v>
      </c>
      <c r="G504" s="78">
        <f t="shared" si="64"/>
        <v>33</v>
      </c>
      <c r="H504" s="17">
        <v>30</v>
      </c>
      <c r="I504" s="20" t="str">
        <f t="shared" si="65"/>
        <v>ECON 152,ED1-GEOL</v>
      </c>
      <c r="J504" s="25"/>
    </row>
    <row r="505" spans="1:10" ht="15.5" x14ac:dyDescent="0.35">
      <c r="A505" s="75" t="s">
        <v>406</v>
      </c>
      <c r="B505" s="79" t="str">
        <v>ELEMENTS OF ECONOMICS II</v>
      </c>
      <c r="C505" s="79" t="str">
        <v>Paul Owusu Takyi</v>
      </c>
      <c r="D505" s="75" t="s">
        <v>109</v>
      </c>
      <c r="E505" s="77">
        <v>20</v>
      </c>
      <c r="F505" s="96" t="s">
        <v>544</v>
      </c>
      <c r="G505" s="78">
        <f t="shared" si="64"/>
        <v>22</v>
      </c>
      <c r="H505" s="17">
        <v>20</v>
      </c>
      <c r="I505" s="20" t="str">
        <f t="shared" si="65"/>
        <v>ECON 152,ED2-BME</v>
      </c>
      <c r="J505" s="25"/>
    </row>
    <row r="506" spans="1:10" ht="15.5" x14ac:dyDescent="0.35">
      <c r="A506" s="75" t="s">
        <v>406</v>
      </c>
      <c r="B506" s="79" t="str">
        <v>INTRODUCTION TO ECONOMICS II</v>
      </c>
      <c r="C506" s="79" t="str">
        <v>Takyi Paul Owusu</v>
      </c>
      <c r="D506" s="75" t="s">
        <v>108</v>
      </c>
      <c r="E506" s="77">
        <v>40</v>
      </c>
      <c r="F506" s="96" t="s">
        <v>633</v>
      </c>
      <c r="G506" s="78">
        <f t="shared" si="64"/>
        <v>44</v>
      </c>
      <c r="H506" s="17">
        <v>40</v>
      </c>
      <c r="I506" s="20" t="str">
        <f t="shared" si="65"/>
        <v>ECON 152,ED2-COE</v>
      </c>
      <c r="J506" s="25"/>
    </row>
    <row r="507" spans="1:10" ht="15.5" x14ac:dyDescent="0.35">
      <c r="A507" s="75" t="s">
        <v>406</v>
      </c>
      <c r="B507" s="79" t="str">
        <v>INTRODUCTORY ECONOMICS II</v>
      </c>
      <c r="C507" s="79" t="str">
        <v>Takyi Paul Owusu</v>
      </c>
      <c r="D507" s="75" t="s">
        <v>172</v>
      </c>
      <c r="E507" s="77">
        <v>30</v>
      </c>
      <c r="F507" s="80" t="s">
        <v>864</v>
      </c>
      <c r="G507" s="78">
        <f t="shared" si="64"/>
        <v>33</v>
      </c>
      <c r="H507" s="17">
        <v>30</v>
      </c>
      <c r="I507" s="20" t="str">
        <f t="shared" si="65"/>
        <v>ECON 152,ED2-TEL</v>
      </c>
      <c r="J507" s="25"/>
    </row>
    <row r="508" spans="1:10" ht="15.5" x14ac:dyDescent="0.35">
      <c r="A508" s="75" t="s">
        <v>406</v>
      </c>
      <c r="B508" s="79" t="str">
        <v>INTRODUCTORY ECONOMICS II</v>
      </c>
      <c r="C508" s="79" t="str">
        <v>Takyi Paul Owusu</v>
      </c>
      <c r="D508" s="75" t="s">
        <v>73</v>
      </c>
      <c r="E508" s="77">
        <v>80</v>
      </c>
      <c r="F508" s="91" t="s">
        <v>545</v>
      </c>
      <c r="G508" s="78">
        <f t="shared" si="64"/>
        <v>88</v>
      </c>
      <c r="H508" s="17">
        <v>80</v>
      </c>
      <c r="I508" s="20" t="str">
        <f t="shared" si="65"/>
        <v>ECON 152,ED3-CHE</v>
      </c>
      <c r="J508" s="25"/>
    </row>
    <row r="509" spans="1:10" ht="15.5" x14ac:dyDescent="0.35">
      <c r="A509" s="75" t="s">
        <v>407</v>
      </c>
      <c r="B509" s="79" t="str">
        <v>INTERNAL COMBUSTION ENGINES</v>
      </c>
      <c r="C509" s="79" t="str">
        <v>Forson Francis Kofi</v>
      </c>
      <c r="D509" s="75" t="s">
        <v>99</v>
      </c>
      <c r="E509" s="77">
        <v>5</v>
      </c>
      <c r="F509" s="80" t="s">
        <v>663</v>
      </c>
      <c r="G509" s="78">
        <f t="shared" si="64"/>
        <v>5.5</v>
      </c>
      <c r="H509" s="17">
        <v>5</v>
      </c>
      <c r="I509" s="20" t="str">
        <f t="shared" si="65"/>
        <v>ME 468,ED4-AERO</v>
      </c>
      <c r="J509" s="25"/>
    </row>
    <row r="510" spans="1:10" ht="15.5" x14ac:dyDescent="0.35">
      <c r="A510" s="75" t="s">
        <v>407</v>
      </c>
      <c r="B510" s="79" t="str">
        <v>INTERNAL COMBUSTION ENGINES</v>
      </c>
      <c r="C510" s="79" t="str">
        <v>Forson Francis Kofi</v>
      </c>
      <c r="D510" s="75" t="s">
        <v>67</v>
      </c>
      <c r="E510" s="77">
        <v>40</v>
      </c>
      <c r="F510" s="80" t="s">
        <v>781</v>
      </c>
      <c r="G510" s="78">
        <f t="shared" si="64"/>
        <v>44</v>
      </c>
      <c r="H510" s="17">
        <v>40</v>
      </c>
      <c r="I510" s="20" t="str">
        <f t="shared" si="65"/>
        <v>ME 468,ED4-ME</v>
      </c>
      <c r="J510" s="25"/>
    </row>
    <row r="511" spans="1:10" ht="15.5" x14ac:dyDescent="0.35">
      <c r="A511" s="75" t="s">
        <v>408</v>
      </c>
      <c r="B511" s="76" t="str">
        <v>DRILLING ENGINEERING II</v>
      </c>
      <c r="C511" s="79" t="str">
        <v>Erzuah Samuel</v>
      </c>
      <c r="D511" s="75" t="s">
        <v>18</v>
      </c>
      <c r="E511" s="77">
        <v>80</v>
      </c>
      <c r="F511" s="80" t="s">
        <v>545</v>
      </c>
      <c r="G511" s="78">
        <f t="shared" si="64"/>
        <v>88</v>
      </c>
      <c r="H511" s="17">
        <v>80</v>
      </c>
      <c r="I511" s="20" t="str">
        <f t="shared" si="65"/>
        <v>PE 354,ED3-PE</v>
      </c>
      <c r="J511" s="25"/>
    </row>
    <row r="512" spans="1:10" ht="15.5" x14ac:dyDescent="0.35">
      <c r="A512" s="75" t="s">
        <v>409</v>
      </c>
      <c r="B512" s="79" t="str">
        <v>PIPELINE ENGINEERING</v>
      </c>
      <c r="C512" s="79" t="str">
        <v>Adjei Stephen</v>
      </c>
      <c r="D512" s="75" t="s">
        <v>46</v>
      </c>
      <c r="E512" s="77">
        <v>99</v>
      </c>
      <c r="F512" s="80" t="s">
        <v>546</v>
      </c>
      <c r="G512" s="78">
        <f t="shared" si="64"/>
        <v>108.9</v>
      </c>
      <c r="H512" s="17">
        <v>99</v>
      </c>
      <c r="I512" s="20" t="str">
        <f t="shared" si="65"/>
        <v>PE 474,ED4-PE</v>
      </c>
      <c r="J512" s="25"/>
    </row>
    <row r="513" spans="1:10" ht="15.5" x14ac:dyDescent="0.35">
      <c r="A513" s="75" t="s">
        <v>410</v>
      </c>
      <c r="B513" s="76" t="str">
        <v>PETROLEUM GEOLOGY</v>
      </c>
      <c r="C513" s="76" t="str">
        <v>Foli Gordon</v>
      </c>
      <c r="D513" s="80" t="s">
        <v>177</v>
      </c>
      <c r="E513" s="77">
        <v>35</v>
      </c>
      <c r="F513" s="80" t="s">
        <v>560</v>
      </c>
      <c r="G513" s="78">
        <f t="shared" si="64"/>
        <v>38.5</v>
      </c>
      <c r="H513" s="19">
        <v>35</v>
      </c>
      <c r="I513" s="20" t="str">
        <f t="shared" si="65"/>
        <v>GED 466,ED4-GEOL</v>
      </c>
      <c r="J513" s="25"/>
    </row>
    <row r="514" spans="1:10" ht="15.5" x14ac:dyDescent="0.35">
      <c r="A514" s="75" t="s">
        <v>411</v>
      </c>
      <c r="B514" s="79" t="str">
        <v>BIOMECHANICS II</v>
      </c>
      <c r="C514" s="76" t="str">
        <v>Odame Prince</v>
      </c>
      <c r="D514" s="75" t="s">
        <v>252</v>
      </c>
      <c r="E514" s="77">
        <v>87</v>
      </c>
      <c r="F514" s="80" t="s">
        <v>571</v>
      </c>
      <c r="G514" s="78">
        <f t="shared" si="64"/>
        <v>95.7</v>
      </c>
      <c r="H514" s="17" t="s">
        <v>865</v>
      </c>
      <c r="I514" s="20" t="str">
        <f t="shared" si="65"/>
        <v>BME 462,ED4-BME</v>
      </c>
      <c r="J514" s="25"/>
    </row>
    <row r="515" spans="1:10" ht="15.5" x14ac:dyDescent="0.35">
      <c r="A515" s="75" t="s">
        <v>412</v>
      </c>
      <c r="B515" s="76" t="str">
        <v>DIGITAL COMPUTER DESIGN</v>
      </c>
      <c r="C515" s="76" t="str">
        <v>Boateng Kwame Osei</v>
      </c>
      <c r="D515" s="75" t="s">
        <v>71</v>
      </c>
      <c r="E515" s="77">
        <v>29</v>
      </c>
      <c r="F515" s="80">
        <v>303</v>
      </c>
      <c r="G515" s="78">
        <f t="shared" si="64"/>
        <v>31.900000000000002</v>
      </c>
      <c r="H515" s="17">
        <v>29</v>
      </c>
      <c r="I515" s="20" t="str">
        <f t="shared" si="65"/>
        <v>COE 382,ED3-EE</v>
      </c>
      <c r="J515" s="25"/>
    </row>
    <row r="516" spans="1:10" ht="15.5" x14ac:dyDescent="0.35">
      <c r="A516" s="75" t="s">
        <v>413</v>
      </c>
      <c r="B516" s="76" t="str">
        <v>DIGITAL SYSTEMS DESIGN II</v>
      </c>
      <c r="C516" s="76" t="str">
        <v>Boateng Kwame Osei</v>
      </c>
      <c r="D516" s="75" t="s">
        <v>16</v>
      </c>
      <c r="E516" s="77">
        <v>265</v>
      </c>
      <c r="F516" s="80" t="s">
        <v>854</v>
      </c>
      <c r="G516" s="78">
        <f t="shared" si="64"/>
        <v>291.5</v>
      </c>
      <c r="H516" s="17" t="s">
        <v>866</v>
      </c>
      <c r="I516" s="20" t="str">
        <f t="shared" si="65"/>
        <v>COE 372,ED3-COE</v>
      </c>
      <c r="J516" s="25"/>
    </row>
    <row r="517" spans="1:10" ht="15.5" x14ac:dyDescent="0.35">
      <c r="A517" s="75" t="s">
        <v>414</v>
      </c>
      <c r="B517" s="79" t="str">
        <v>GLASS AND CEMENT TECHNOLOGIES</v>
      </c>
      <c r="C517" s="79" t="str">
        <v>Andrews Anthony</v>
      </c>
      <c r="D517" s="75" t="s">
        <v>140</v>
      </c>
      <c r="E517" s="77">
        <v>85</v>
      </c>
      <c r="F517" s="80" t="s">
        <v>571</v>
      </c>
      <c r="G517" s="78">
        <f t="shared" si="64"/>
        <v>93.500000000000014</v>
      </c>
      <c r="H517" s="17" t="s">
        <v>867</v>
      </c>
      <c r="I517" s="20" t="str">
        <f t="shared" si="65"/>
        <v>MSE 352,ED3-MSE</v>
      </c>
      <c r="J517" s="25"/>
    </row>
    <row r="518" spans="1:10" ht="15.5" x14ac:dyDescent="0.35">
      <c r="A518" s="81"/>
      <c r="B518" s="81"/>
      <c r="C518" s="72"/>
      <c r="D518" s="76" t="s">
        <v>416</v>
      </c>
      <c r="E518" s="82">
        <f>SUM(E501:E517)</f>
        <v>1122</v>
      </c>
      <c r="F518" s="83"/>
      <c r="G518" s="84"/>
      <c r="I518" s="22" t="s">
        <v>417</v>
      </c>
      <c r="J518" s="25"/>
    </row>
    <row r="519" spans="1:10" ht="15.5" x14ac:dyDescent="0.35">
      <c r="A519" s="6" t="s">
        <v>418</v>
      </c>
      <c r="B519" s="6"/>
      <c r="C519" s="6"/>
      <c r="D519" s="6"/>
      <c r="E519" s="6"/>
      <c r="F519" s="6"/>
      <c r="G519" s="6"/>
      <c r="I519" s="22" t="str">
        <f>A519</f>
        <v>Tuesday, 1 September 2026</v>
      </c>
      <c r="J519" s="25"/>
    </row>
    <row r="520" spans="1:10" ht="15.5" x14ac:dyDescent="0.35">
      <c r="A520" s="6" t="s">
        <v>2</v>
      </c>
      <c r="B520" s="6"/>
      <c r="C520" s="6"/>
      <c r="D520" s="6"/>
      <c r="E520" s="6"/>
      <c r="F520" s="6"/>
      <c r="G520" s="6"/>
      <c r="I520" s="22" t="str">
        <f>A520</f>
        <v>Session, 1 (8:30 AM - 10:30 AM)</v>
      </c>
      <c r="J520" s="25"/>
    </row>
    <row r="521" spans="1:10" ht="15.5" x14ac:dyDescent="0.35">
      <c r="A521" s="71" t="s">
        <v>4</v>
      </c>
      <c r="B521" s="71" t="s">
        <v>5</v>
      </c>
      <c r="C521" s="72" t="s">
        <v>6</v>
      </c>
      <c r="D521" s="71" t="s">
        <v>7</v>
      </c>
      <c r="E521" s="73" t="s">
        <v>8</v>
      </c>
      <c r="F521" s="72" t="s">
        <v>9</v>
      </c>
      <c r="G521" s="74" t="s">
        <v>10</v>
      </c>
      <c r="I521" s="22" t="s">
        <v>31</v>
      </c>
      <c r="J521" s="25"/>
    </row>
    <row r="522" spans="1:10" ht="15.5" x14ac:dyDescent="0.35">
      <c r="A522" s="75" t="s">
        <v>420</v>
      </c>
      <c r="B522" s="79" t="str">
        <f t="array" ref="B522:B533">IFERROR(VLOOKUP(I522:I533,Lectures_1!A2:F534,2,FALSE()),0)</f>
        <v>THERMODYNAMICS I</v>
      </c>
      <c r="C522" s="76" t="str">
        <f t="array" ref="C522:C533">IFERROR(VLOOKUP(I522:I533,Lectures_1!A2:F534,3,FALSE()),0)</f>
        <v>Amoabeng Kofi Owura</v>
      </c>
      <c r="D522" s="75" t="s">
        <v>38</v>
      </c>
      <c r="E522" s="77">
        <f t="array" ref="E522:E533">IFERROR(VLOOKUP(I522:I533,Lectures_1!A2:F534,4,FALSE()),0)</f>
        <v>80</v>
      </c>
      <c r="F522" s="80" t="s">
        <v>673</v>
      </c>
      <c r="G522" s="78">
        <f t="shared" ref="G522:G533" si="66">E522*1.1</f>
        <v>88</v>
      </c>
      <c r="H522" s="17" t="s">
        <v>631</v>
      </c>
      <c r="I522" s="20" t="str">
        <f t="shared" ref="I522:I533" si="67">CONCATENATE(A522,",",D522)</f>
        <v>ME 266,ED2-IND</v>
      </c>
      <c r="J522" s="25"/>
    </row>
    <row r="523" spans="1:10" ht="15.5" x14ac:dyDescent="0.35">
      <c r="A523" s="75" t="s">
        <v>420</v>
      </c>
      <c r="B523" s="79" t="str">
        <v>THERMODYNAMICS I</v>
      </c>
      <c r="C523" s="76" t="str">
        <v>Amoabeng Kofi Owura</v>
      </c>
      <c r="D523" s="75" t="s">
        <v>33</v>
      </c>
      <c r="E523" s="77">
        <v>240</v>
      </c>
      <c r="F523" s="80" t="s">
        <v>619</v>
      </c>
      <c r="G523" s="78">
        <f t="shared" si="66"/>
        <v>264</v>
      </c>
      <c r="H523" s="17" t="s">
        <v>868</v>
      </c>
      <c r="I523" s="20" t="str">
        <f t="shared" si="67"/>
        <v>ME 266,ED2-ME</v>
      </c>
      <c r="J523" s="25"/>
    </row>
    <row r="524" spans="1:10" ht="15.5" x14ac:dyDescent="0.35">
      <c r="A524" s="75" t="s">
        <v>421</v>
      </c>
      <c r="B524" s="76" t="str">
        <v xml:space="preserve">APPLIED THERMODYNAMICS </v>
      </c>
      <c r="C524" s="79" t="str">
        <v>Amoabeng Kofi Owura</v>
      </c>
      <c r="D524" s="80" t="s">
        <v>130</v>
      </c>
      <c r="E524" s="77">
        <v>136</v>
      </c>
      <c r="F524" s="94" t="s">
        <v>693</v>
      </c>
      <c r="G524" s="78">
        <f t="shared" si="66"/>
        <v>149.60000000000002</v>
      </c>
      <c r="H524" s="42" t="s">
        <v>869</v>
      </c>
      <c r="I524" s="20" t="str">
        <f t="shared" si="67"/>
        <v>ME 166,ED1-BME</v>
      </c>
      <c r="J524" s="25"/>
    </row>
    <row r="525" spans="1:10" ht="15.5" x14ac:dyDescent="0.35">
      <c r="A525" s="75" t="s">
        <v>422</v>
      </c>
      <c r="B525" s="76" t="str">
        <v>BASIC THERMODYNAMICS</v>
      </c>
      <c r="C525" s="79" t="str">
        <v>Samuel Boahen</v>
      </c>
      <c r="D525" s="75" t="s">
        <v>162</v>
      </c>
      <c r="E525" s="77">
        <v>85</v>
      </c>
      <c r="F525" s="94" t="s">
        <v>582</v>
      </c>
      <c r="G525" s="78">
        <f t="shared" si="66"/>
        <v>93.500000000000014</v>
      </c>
      <c r="H525" s="17" t="s">
        <v>870</v>
      </c>
      <c r="I525" s="20" t="str">
        <f t="shared" si="67"/>
        <v>AME 156,ED1-AUTO</v>
      </c>
      <c r="J525" s="25"/>
    </row>
    <row r="526" spans="1:10" ht="15.5" x14ac:dyDescent="0.35">
      <c r="A526" s="75" t="s">
        <v>420</v>
      </c>
      <c r="B526" s="79" t="str">
        <v>THERMODYNAMICS I</v>
      </c>
      <c r="C526" s="76" t="str">
        <v>Boahen Samuel</v>
      </c>
      <c r="D526" s="75" t="s">
        <v>36</v>
      </c>
      <c r="E526" s="77">
        <v>75</v>
      </c>
      <c r="F526" s="80" t="s">
        <v>545</v>
      </c>
      <c r="G526" s="78">
        <f t="shared" si="66"/>
        <v>82.5</v>
      </c>
      <c r="H526" s="17">
        <v>75</v>
      </c>
      <c r="I526" s="20" t="str">
        <f t="shared" si="67"/>
        <v>ME 266,ED2-AERO</v>
      </c>
      <c r="J526" s="25"/>
    </row>
    <row r="527" spans="1:10" ht="15.5" x14ac:dyDescent="0.35">
      <c r="A527" s="75" t="s">
        <v>421</v>
      </c>
      <c r="B527" s="79" t="str">
        <v>APPLIED THERMODYNAMICS I</v>
      </c>
      <c r="C527" s="76" t="str">
        <v>Quansah David Ato</v>
      </c>
      <c r="D527" s="75" t="s">
        <v>51</v>
      </c>
      <c r="E527" s="77">
        <v>295</v>
      </c>
      <c r="F527" s="101" t="s">
        <v>871</v>
      </c>
      <c r="G527" s="78">
        <f t="shared" si="66"/>
        <v>324.5</v>
      </c>
      <c r="H527" s="58" t="s">
        <v>872</v>
      </c>
      <c r="I527" s="20" t="str">
        <f t="shared" si="67"/>
        <v>ME 166,ED1-EE</v>
      </c>
      <c r="J527" s="25"/>
    </row>
    <row r="528" spans="1:10" ht="15.5" x14ac:dyDescent="0.35">
      <c r="A528" s="75" t="s">
        <v>423</v>
      </c>
      <c r="B528" s="79" t="str">
        <v>ENGINEERING RESEARCH AND TECHNICAL REPORT WRITING</v>
      </c>
      <c r="C528" s="76" t="str">
        <v>Obeng Kwakye Kingsford Sarkodie</v>
      </c>
      <c r="D528" s="75" t="s">
        <v>91</v>
      </c>
      <c r="E528" s="77">
        <v>130</v>
      </c>
      <c r="F528" s="80" t="s">
        <v>873</v>
      </c>
      <c r="G528" s="78">
        <f t="shared" si="66"/>
        <v>143</v>
      </c>
      <c r="H528" s="17" t="s">
        <v>658</v>
      </c>
      <c r="I528" s="20" t="str">
        <f t="shared" si="67"/>
        <v>TE 152,ED1-TEL</v>
      </c>
      <c r="J528" s="25"/>
    </row>
    <row r="529" spans="1:10" ht="15.5" x14ac:dyDescent="0.35">
      <c r="A529" s="75" t="s">
        <v>424</v>
      </c>
      <c r="B529" s="76" t="str">
        <v>FINANCIAL ACCOUNTING II</v>
      </c>
      <c r="C529" s="76" t="str">
        <v>Yeboah Edward</v>
      </c>
      <c r="D529" s="75" t="s">
        <v>108</v>
      </c>
      <c r="E529" s="77">
        <v>65</v>
      </c>
      <c r="F529" s="80" t="s">
        <v>546</v>
      </c>
      <c r="G529" s="78">
        <f t="shared" si="66"/>
        <v>71.5</v>
      </c>
      <c r="H529" s="17">
        <v>65</v>
      </c>
      <c r="I529" s="20" t="str">
        <f t="shared" si="67"/>
        <v>ACF 256,ED2-COE</v>
      </c>
      <c r="J529" s="25"/>
    </row>
    <row r="530" spans="1:10" ht="15.5" x14ac:dyDescent="0.35">
      <c r="A530" s="75" t="s">
        <v>424</v>
      </c>
      <c r="B530" s="76" t="str">
        <v>FINANCIAL ACCOUNTING II</v>
      </c>
      <c r="C530" s="76" t="str">
        <v>Yeboah Edward</v>
      </c>
      <c r="D530" s="75" t="s">
        <v>109</v>
      </c>
      <c r="E530" s="77">
        <v>18</v>
      </c>
      <c r="F530" s="80" t="s">
        <v>781</v>
      </c>
      <c r="G530" s="78">
        <f t="shared" si="66"/>
        <v>19.8</v>
      </c>
      <c r="H530" s="17">
        <v>18</v>
      </c>
      <c r="I530" s="20" t="str">
        <f t="shared" si="67"/>
        <v>ACF 256,ED2-BME</v>
      </c>
      <c r="J530" s="25"/>
    </row>
    <row r="531" spans="1:10" ht="15.5" x14ac:dyDescent="0.35">
      <c r="A531" s="75" t="s">
        <v>424</v>
      </c>
      <c r="B531" s="76" t="str">
        <v>FINANCIAL ACCOUNTING II</v>
      </c>
      <c r="C531" s="76" t="str">
        <v>Yeboah Edward</v>
      </c>
      <c r="D531" s="75" t="s">
        <v>172</v>
      </c>
      <c r="E531" s="77">
        <v>40</v>
      </c>
      <c r="F531" s="80" t="s">
        <v>616</v>
      </c>
      <c r="G531" s="78">
        <f t="shared" si="66"/>
        <v>44</v>
      </c>
      <c r="H531" s="17">
        <v>40</v>
      </c>
      <c r="I531" s="20" t="str">
        <f t="shared" si="67"/>
        <v>ACF 256,ED2-TEL</v>
      </c>
      <c r="J531" s="25"/>
    </row>
    <row r="532" spans="1:10" ht="15.5" x14ac:dyDescent="0.35">
      <c r="A532" s="75" t="s">
        <v>424</v>
      </c>
      <c r="B532" s="79" t="str">
        <v>PRINCIPLES OF ACCOUNTING II</v>
      </c>
      <c r="C532" s="76" t="str">
        <v>John Bosco Dramani</v>
      </c>
      <c r="D532" s="75" t="s">
        <v>126</v>
      </c>
      <c r="E532" s="77">
        <v>5</v>
      </c>
      <c r="F532" s="80" t="s">
        <v>874</v>
      </c>
      <c r="G532" s="78">
        <f t="shared" si="66"/>
        <v>5.5</v>
      </c>
      <c r="H532" s="17">
        <v>5</v>
      </c>
      <c r="I532" s="20" t="str">
        <f t="shared" si="67"/>
        <v>ACF 256,ED1-GEOL</v>
      </c>
      <c r="J532" s="25"/>
    </row>
    <row r="533" spans="1:10" ht="15.5" x14ac:dyDescent="0.35">
      <c r="A533" s="75" t="s">
        <v>424</v>
      </c>
      <c r="B533" s="76" t="str">
        <v>PRINCIPLES OF ACCOUNTING II</v>
      </c>
      <c r="C533" s="76" t="str">
        <v>Beatrice Sarpong-Danquah</v>
      </c>
      <c r="D533" s="75" t="s">
        <v>77</v>
      </c>
      <c r="E533" s="77">
        <v>35</v>
      </c>
      <c r="F533" s="80" t="s">
        <v>863</v>
      </c>
      <c r="G533" s="78">
        <f t="shared" si="66"/>
        <v>38.5</v>
      </c>
      <c r="H533" s="17">
        <v>35</v>
      </c>
      <c r="I533" s="20" t="str">
        <f t="shared" si="67"/>
        <v>ACF 256,ED3-GEOM</v>
      </c>
      <c r="J533" s="25"/>
    </row>
    <row r="534" spans="1:10" ht="15.5" x14ac:dyDescent="0.35">
      <c r="A534" s="81"/>
      <c r="B534" s="81"/>
      <c r="C534" s="72"/>
      <c r="D534" s="76" t="s">
        <v>425</v>
      </c>
      <c r="E534" s="82">
        <f>SUM(E522:E533)</f>
        <v>1204</v>
      </c>
      <c r="F534" s="83"/>
      <c r="G534" s="84"/>
      <c r="I534" s="22" t="s">
        <v>426</v>
      </c>
      <c r="J534" s="25"/>
    </row>
    <row r="535" spans="1:10" ht="15.5" x14ac:dyDescent="0.35">
      <c r="A535" s="6" t="s">
        <v>418</v>
      </c>
      <c r="B535" s="6"/>
      <c r="C535" s="6"/>
      <c r="D535" s="6"/>
      <c r="E535" s="6"/>
      <c r="F535" s="6"/>
      <c r="G535" s="6"/>
      <c r="I535" s="22" t="str">
        <f>A535</f>
        <v>Tuesday, 1 September 2026</v>
      </c>
      <c r="J535" s="25"/>
    </row>
    <row r="536" spans="1:10" ht="15.5" x14ac:dyDescent="0.35">
      <c r="A536" s="6" t="s">
        <v>29</v>
      </c>
      <c r="B536" s="6"/>
      <c r="C536" s="6"/>
      <c r="D536" s="6"/>
      <c r="E536" s="6"/>
      <c r="F536" s="6"/>
      <c r="G536" s="6"/>
      <c r="I536" s="22" t="str">
        <f>A536</f>
        <v>Session, 2 (12:00 PM - 2:00 PM)</v>
      </c>
      <c r="J536" s="25"/>
    </row>
    <row r="537" spans="1:10" ht="15.5" x14ac:dyDescent="0.35">
      <c r="A537" s="71" t="s">
        <v>4</v>
      </c>
      <c r="B537" s="71" t="s">
        <v>5</v>
      </c>
      <c r="C537" s="72" t="s">
        <v>6</v>
      </c>
      <c r="D537" s="71" t="s">
        <v>7</v>
      </c>
      <c r="E537" s="73" t="s">
        <v>8</v>
      </c>
      <c r="F537" s="72" t="s">
        <v>9</v>
      </c>
      <c r="G537" s="74" t="s">
        <v>10</v>
      </c>
      <c r="I537" s="22" t="s">
        <v>31</v>
      </c>
      <c r="J537" s="25"/>
    </row>
    <row r="538" spans="1:10" ht="15.5" x14ac:dyDescent="0.35">
      <c r="A538" s="75" t="s">
        <v>427</v>
      </c>
      <c r="B538" s="76" t="str">
        <f t="array" ref="B538:B550">IFERROR(VLOOKUP(I538:I550,Lectures_1!A2:F534,2,FALSE()),0)</f>
        <v>HUMAN FACTORS AND ERGONOMICS</v>
      </c>
      <c r="C538" s="79" t="str">
        <f t="array" ref="C538:C550">IFERROR(VLOOKUP(I538:I550,Lectures_1!A2:F534,3,FALSE()),0)</f>
        <v>Sackey Samuel Mensah</v>
      </c>
      <c r="D538" s="75" t="s">
        <v>124</v>
      </c>
      <c r="E538" s="77">
        <f t="array" ref="E538:E550">IFERROR(VLOOKUP(I538:I550,Lectures_1!A2:F534,4,FALSE()),0)</f>
        <v>69</v>
      </c>
      <c r="F538" s="80" t="s">
        <v>574</v>
      </c>
      <c r="G538" s="78">
        <f t="shared" ref="G538:G550" si="68">E538*1.1</f>
        <v>75.900000000000006</v>
      </c>
      <c r="H538" s="17" t="s">
        <v>875</v>
      </c>
      <c r="I538" s="20" t="str">
        <f t="shared" ref="I538:I550" si="69">CONCATENATE(A538,",",D538)</f>
        <v>IE 458,ED4-IND</v>
      </c>
      <c r="J538" s="25"/>
    </row>
    <row r="539" spans="1:10" ht="15.5" x14ac:dyDescent="0.35">
      <c r="A539" s="75" t="s">
        <v>427</v>
      </c>
      <c r="B539" s="76" t="str">
        <v>HUMAN FACTORS AND ERGONOMICS</v>
      </c>
      <c r="C539" s="79" t="str">
        <v>Sackey Samuel Mensah</v>
      </c>
      <c r="D539" s="75" t="s">
        <v>99</v>
      </c>
      <c r="E539" s="77">
        <v>5</v>
      </c>
      <c r="F539" s="80" t="s">
        <v>864</v>
      </c>
      <c r="G539" s="78">
        <f t="shared" si="68"/>
        <v>5.5</v>
      </c>
      <c r="H539" s="17">
        <v>5</v>
      </c>
      <c r="I539" s="20" t="str">
        <f t="shared" si="69"/>
        <v>IE 458,ED4-AERO</v>
      </c>
      <c r="J539" s="25"/>
    </row>
    <row r="540" spans="1:10" ht="15.5" x14ac:dyDescent="0.35">
      <c r="A540" s="75" t="s">
        <v>110</v>
      </c>
      <c r="B540" s="76" t="str">
        <v>COMPUTER PROGRAMMING FOR ENGINEERS</v>
      </c>
      <c r="C540" s="79" t="str">
        <v>Tay Godwin Fabiola Kwaku</v>
      </c>
      <c r="D540" s="75" t="s">
        <v>191</v>
      </c>
      <c r="E540" s="77">
        <v>70</v>
      </c>
      <c r="F540" s="80" t="s">
        <v>574</v>
      </c>
      <c r="G540" s="78">
        <f t="shared" si="68"/>
        <v>77</v>
      </c>
      <c r="H540" s="17" t="s">
        <v>671</v>
      </c>
      <c r="I540" s="20" t="str">
        <f t="shared" si="69"/>
        <v>ME 168,ED1-AERO</v>
      </c>
      <c r="J540" s="25"/>
    </row>
    <row r="541" spans="1:10" ht="15.5" x14ac:dyDescent="0.35">
      <c r="A541" s="75" t="s">
        <v>110</v>
      </c>
      <c r="B541" s="76" t="str">
        <v>COMPUTER PROGRAMMING FOR ENGINEERS</v>
      </c>
      <c r="C541" s="79" t="str">
        <v>Tay Godwin Fabiola Kwaku</v>
      </c>
      <c r="D541" s="75" t="s">
        <v>161</v>
      </c>
      <c r="E541" s="77">
        <v>225</v>
      </c>
      <c r="F541" s="80" t="s">
        <v>687</v>
      </c>
      <c r="G541" s="78">
        <f t="shared" si="68"/>
        <v>247.50000000000003</v>
      </c>
      <c r="H541" s="17" t="s">
        <v>876</v>
      </c>
      <c r="I541" s="20" t="str">
        <f t="shared" si="69"/>
        <v>ME 168,ED1-ME</v>
      </c>
      <c r="J541" s="25"/>
    </row>
    <row r="542" spans="1:10" ht="15.5" x14ac:dyDescent="0.35">
      <c r="A542" s="75" t="s">
        <v>428</v>
      </c>
      <c r="B542" s="76" t="str">
        <v>BIOMATERIALS I</v>
      </c>
      <c r="C542" s="79" t="str">
        <v>Odame Prince</v>
      </c>
      <c r="D542" s="75" t="s">
        <v>65</v>
      </c>
      <c r="E542" s="77">
        <v>90</v>
      </c>
      <c r="F542" s="80" t="s">
        <v>571</v>
      </c>
      <c r="G542" s="78">
        <f t="shared" si="68"/>
        <v>99.000000000000014</v>
      </c>
      <c r="H542" s="17" t="s">
        <v>877</v>
      </c>
      <c r="I542" s="20" t="str">
        <f t="shared" si="69"/>
        <v>BME 362,ED3-BME</v>
      </c>
      <c r="J542" s="25"/>
    </row>
    <row r="543" spans="1:10" ht="15.5" x14ac:dyDescent="0.35">
      <c r="A543" s="75" t="s">
        <v>268</v>
      </c>
      <c r="B543" s="79" t="str">
        <v>ENGINEERING MECHANICS I:STATICS</v>
      </c>
      <c r="C543" s="79" t="str">
        <v>Amoabeng Kofi Owura</v>
      </c>
      <c r="D543" s="75" t="s">
        <v>111</v>
      </c>
      <c r="E543" s="77">
        <v>83</v>
      </c>
      <c r="F543" s="96" t="s">
        <v>667</v>
      </c>
      <c r="G543" s="78">
        <f t="shared" si="68"/>
        <v>91.300000000000011</v>
      </c>
      <c r="H543" s="17" t="s">
        <v>878</v>
      </c>
      <c r="I543" s="20" t="str">
        <f t="shared" si="69"/>
        <v>ME 164,ED1-IND</v>
      </c>
      <c r="J543" s="25"/>
    </row>
    <row r="544" spans="1:10" ht="15.5" x14ac:dyDescent="0.35">
      <c r="A544" s="75" t="s">
        <v>268</v>
      </c>
      <c r="B544" s="76" t="str">
        <v>ENGINEERING MECHANICS I:STATICS</v>
      </c>
      <c r="C544" s="79" t="str">
        <v>Amoabeng Kofi Owura</v>
      </c>
      <c r="D544" s="75" t="s">
        <v>112</v>
      </c>
      <c r="E544" s="77">
        <v>46</v>
      </c>
      <c r="F544" s="75" t="s">
        <v>879</v>
      </c>
      <c r="G544" s="78">
        <f t="shared" si="68"/>
        <v>50.6</v>
      </c>
      <c r="H544" s="17" t="s">
        <v>623</v>
      </c>
      <c r="I544" s="20" t="str">
        <f t="shared" si="69"/>
        <v>ME 164,ED1-MARI</v>
      </c>
      <c r="J544" s="25"/>
    </row>
    <row r="545" spans="1:10" ht="15.5" x14ac:dyDescent="0.35">
      <c r="A545" s="94" t="s">
        <v>429</v>
      </c>
      <c r="B545" s="71" t="str">
        <v>FARM MACHINERY DESIGN</v>
      </c>
      <c r="C545" s="76" t="str">
        <v>Aveyire Joseph</v>
      </c>
      <c r="D545" s="94" t="s">
        <v>50</v>
      </c>
      <c r="E545" s="95">
        <v>103</v>
      </c>
      <c r="F545" s="94" t="s">
        <v>859</v>
      </c>
      <c r="G545" s="78">
        <f t="shared" si="68"/>
        <v>113.30000000000001</v>
      </c>
      <c r="H545" s="17" t="s">
        <v>880</v>
      </c>
      <c r="I545" s="20" t="str">
        <f t="shared" si="69"/>
        <v>AE 482,ED4-AE</v>
      </c>
      <c r="J545" s="25"/>
    </row>
    <row r="546" spans="1:10" ht="15.5" x14ac:dyDescent="0.35">
      <c r="A546" s="75" t="s">
        <v>430</v>
      </c>
      <c r="B546" s="79" t="str">
        <v>INTRODUCTION TO INFORMATION TECHNOLOGY</v>
      </c>
      <c r="C546" s="76" t="str">
        <v>Titus Tienaah</v>
      </c>
      <c r="D546" s="75" t="s">
        <v>95</v>
      </c>
      <c r="E546" s="77">
        <v>103</v>
      </c>
      <c r="F546" s="80" t="s">
        <v>881</v>
      </c>
      <c r="G546" s="78">
        <f t="shared" si="68"/>
        <v>113.30000000000001</v>
      </c>
      <c r="H546" s="17" t="s">
        <v>882</v>
      </c>
      <c r="I546" s="20" t="str">
        <f t="shared" si="69"/>
        <v>GE 158,ED1-GEOM</v>
      </c>
      <c r="J546" s="25"/>
    </row>
    <row r="547" spans="1:10" ht="15.5" x14ac:dyDescent="0.35">
      <c r="A547" s="75" t="s">
        <v>432</v>
      </c>
      <c r="B547" s="79" t="str">
        <v>SECURE NETWORK SYSTEMS</v>
      </c>
      <c r="C547" s="76" t="str">
        <v>Tchao Eric Tutu</v>
      </c>
      <c r="D547" s="75" t="s">
        <v>251</v>
      </c>
      <c r="E547" s="95">
        <v>90</v>
      </c>
      <c r="F547" s="80" t="s">
        <v>571</v>
      </c>
      <c r="G547" s="78">
        <f t="shared" si="68"/>
        <v>99.000000000000014</v>
      </c>
      <c r="H547" s="17" t="s">
        <v>877</v>
      </c>
      <c r="I547" s="20" t="str">
        <f t="shared" si="69"/>
        <v>COE 456,ED4-COE</v>
      </c>
      <c r="J547" s="25"/>
    </row>
    <row r="548" spans="1:10" ht="15.5" x14ac:dyDescent="0.35">
      <c r="A548" s="75" t="s">
        <v>22</v>
      </c>
      <c r="B548" s="76" t="str">
        <v>AUTOMOTIVE CHASSIS</v>
      </c>
      <c r="C548" s="76" t="str">
        <v>Ayetor Godwin Kafui Kwesi</v>
      </c>
      <c r="D548" s="75" t="s">
        <v>23</v>
      </c>
      <c r="E548" s="77">
        <v>40</v>
      </c>
      <c r="F548" s="75" t="s">
        <v>545</v>
      </c>
      <c r="G548" s="78">
        <f t="shared" si="68"/>
        <v>44</v>
      </c>
      <c r="H548" s="19">
        <v>40</v>
      </c>
      <c r="I548" s="20" t="str">
        <f t="shared" si="69"/>
        <v>AME 376,ED3-AUTO</v>
      </c>
      <c r="J548" s="25"/>
    </row>
    <row r="549" spans="1:10" ht="15.5" x14ac:dyDescent="0.35">
      <c r="A549" s="75" t="s">
        <v>433</v>
      </c>
      <c r="B549" s="76" t="str">
        <v>AUTOMOTIVE CHASSIS</v>
      </c>
      <c r="C549" s="79" t="str">
        <v>Ayetor Godwin Kafui Kwesi</v>
      </c>
      <c r="D549" s="75" t="s">
        <v>40</v>
      </c>
      <c r="E549" s="77">
        <v>82</v>
      </c>
      <c r="F549" s="75" t="s">
        <v>546</v>
      </c>
      <c r="G549" s="78">
        <f t="shared" si="68"/>
        <v>90.2</v>
      </c>
      <c r="H549" s="17">
        <v>82</v>
      </c>
      <c r="I549" s="20" t="str">
        <f t="shared" si="69"/>
        <v>AME 256,ED2-AUTO</v>
      </c>
      <c r="J549" s="25"/>
    </row>
    <row r="550" spans="1:10" ht="15.5" x14ac:dyDescent="0.35">
      <c r="A550" s="75" t="s">
        <v>434</v>
      </c>
      <c r="B550" s="76" t="str">
        <v>SATELLITE COMMUNICATION AND NAVIGATION SYSTEMS</v>
      </c>
      <c r="C550" s="76" t="str">
        <v>Gadze James Dzisi</v>
      </c>
      <c r="D550" s="80" t="s">
        <v>227</v>
      </c>
      <c r="E550" s="77">
        <v>138</v>
      </c>
      <c r="F550" s="75" t="s">
        <v>533</v>
      </c>
      <c r="G550" s="78">
        <f t="shared" si="68"/>
        <v>151.80000000000001</v>
      </c>
      <c r="H550" s="17" t="s">
        <v>883</v>
      </c>
      <c r="I550" s="20" t="str">
        <f t="shared" si="69"/>
        <v>TE 456,ED4-TEL</v>
      </c>
      <c r="J550" s="25"/>
    </row>
    <row r="551" spans="1:10" ht="15.5" x14ac:dyDescent="0.35">
      <c r="A551" s="81"/>
      <c r="B551" s="81"/>
      <c r="C551" s="72"/>
      <c r="D551" s="76" t="s">
        <v>435</v>
      </c>
      <c r="E551" s="82">
        <f>SUM(_xlfn.ANCHORARRAY(E538))</f>
        <v>1144</v>
      </c>
      <c r="F551" s="83"/>
      <c r="G551" s="84"/>
      <c r="I551" s="22"/>
      <c r="J551" s="25"/>
    </row>
    <row r="552" spans="1:10" ht="15.5" x14ac:dyDescent="0.35">
      <c r="A552" s="6" t="s">
        <v>418</v>
      </c>
      <c r="B552" s="6"/>
      <c r="C552" s="6"/>
      <c r="D552" s="6"/>
      <c r="E552" s="6"/>
      <c r="F552" s="6"/>
      <c r="G552" s="6"/>
      <c r="I552" s="22" t="str">
        <f>A552</f>
        <v>Tuesday, 1 September 2026</v>
      </c>
      <c r="J552" s="25"/>
    </row>
    <row r="553" spans="1:10" ht="15.5" x14ac:dyDescent="0.35">
      <c r="A553" s="6" t="s">
        <v>59</v>
      </c>
      <c r="B553" s="6"/>
      <c r="C553" s="6"/>
      <c r="D553" s="6"/>
      <c r="E553" s="6"/>
      <c r="F553" s="6"/>
      <c r="G553" s="6"/>
      <c r="I553" s="22" t="str">
        <f>A553</f>
        <v>Session, 3 (3:00 PM - 5:00 PM)</v>
      </c>
      <c r="J553" s="25"/>
    </row>
    <row r="554" spans="1:10" ht="15.5" x14ac:dyDescent="0.35">
      <c r="A554" s="71" t="s">
        <v>4</v>
      </c>
      <c r="B554" s="71" t="s">
        <v>5</v>
      </c>
      <c r="C554" s="72" t="s">
        <v>6</v>
      </c>
      <c r="D554" s="71" t="s">
        <v>7</v>
      </c>
      <c r="E554" s="73" t="s">
        <v>8</v>
      </c>
      <c r="F554" s="72" t="s">
        <v>9</v>
      </c>
      <c r="G554" s="74" t="s">
        <v>10</v>
      </c>
      <c r="I554" s="22" t="s">
        <v>31</v>
      </c>
      <c r="J554" s="25"/>
    </row>
    <row r="555" spans="1:10" ht="15.5" x14ac:dyDescent="0.35">
      <c r="A555" s="75" t="s">
        <v>436</v>
      </c>
      <c r="B555" s="79" t="str">
        <f t="array" ref="B555:B569">IFERROR(VLOOKUP(I555:I569,Lectures_1!A2:F534,2,FALSE()),0)</f>
        <v>AIRCRAFT PERFORMANCE AND DESIGN</v>
      </c>
      <c r="C555" s="79" t="str">
        <f t="array" ref="C555:C569">IFERROR(VLOOKUP(I555:I569,Lectures_1!A2:F534,3,FALSE()),0)</f>
        <v>Agyei Agyemang Anthony</v>
      </c>
      <c r="D555" s="75" t="s">
        <v>133</v>
      </c>
      <c r="E555" s="77">
        <f t="array" ref="E555:E569">IFERROR(VLOOKUP(I555:I569,Lectures_1!A2:F534,4,FALSE()),0)</f>
        <v>76</v>
      </c>
      <c r="F555" s="80" t="s">
        <v>850</v>
      </c>
      <c r="G555" s="78">
        <f t="shared" ref="G555:G569" si="70">E555*1.1</f>
        <v>83.600000000000009</v>
      </c>
      <c r="H555" s="17" t="s">
        <v>884</v>
      </c>
      <c r="I555" s="20" t="str">
        <f t="shared" ref="I555:I569" si="71">CONCATENATE(A555,",",D555)</f>
        <v>AERO 374,ED3-AERO</v>
      </c>
      <c r="J555" s="25"/>
    </row>
    <row r="556" spans="1:10" ht="15.5" x14ac:dyDescent="0.35">
      <c r="A556" s="75" t="s">
        <v>437</v>
      </c>
      <c r="B556" s="79" t="str">
        <v>STRUCTURAL GEOLOGY</v>
      </c>
      <c r="C556" s="79" t="str">
        <v>Wilson Matthew Coffie</v>
      </c>
      <c r="D556" s="75" t="s">
        <v>154</v>
      </c>
      <c r="E556" s="77">
        <v>154</v>
      </c>
      <c r="F556" s="80" t="s">
        <v>693</v>
      </c>
      <c r="G556" s="78">
        <f t="shared" si="70"/>
        <v>169.4</v>
      </c>
      <c r="H556" s="17" t="s">
        <v>885</v>
      </c>
      <c r="I556" s="20" t="str">
        <f t="shared" si="71"/>
        <v>GED 364,ED3-GEOL</v>
      </c>
      <c r="J556" s="25"/>
    </row>
    <row r="557" spans="1:10" ht="15.5" x14ac:dyDescent="0.35">
      <c r="A557" s="75" t="s">
        <v>438</v>
      </c>
      <c r="B557" s="79" t="str">
        <v>ENERGY AND CLIMATE CHANGE</v>
      </c>
      <c r="C557" s="79" t="str">
        <v>Sokama-Neuyam Yen Adams</v>
      </c>
      <c r="D557" s="75" t="s">
        <v>46</v>
      </c>
      <c r="E557" s="77">
        <v>22</v>
      </c>
      <c r="F557" s="80" t="s">
        <v>886</v>
      </c>
      <c r="G557" s="78">
        <f t="shared" si="70"/>
        <v>24.200000000000003</v>
      </c>
      <c r="H557" s="17">
        <v>22</v>
      </c>
      <c r="I557" s="20" t="str">
        <f t="shared" si="71"/>
        <v>PE 476,ED4-PE</v>
      </c>
      <c r="J557" s="25"/>
    </row>
    <row r="558" spans="1:10" ht="15.5" x14ac:dyDescent="0.35">
      <c r="A558" s="75" t="s">
        <v>439</v>
      </c>
      <c r="B558" s="79" t="str">
        <v>REGIONAL GEOLOGY</v>
      </c>
      <c r="C558" s="79" t="str">
        <v>Quaye Jonathan Atuquaye</v>
      </c>
      <c r="D558" s="75" t="s">
        <v>93</v>
      </c>
      <c r="E558" s="77">
        <v>95</v>
      </c>
      <c r="F558" s="80" t="s">
        <v>546</v>
      </c>
      <c r="G558" s="78">
        <f t="shared" si="70"/>
        <v>104.50000000000001</v>
      </c>
      <c r="H558" s="17">
        <v>95</v>
      </c>
      <c r="I558" s="20" t="str">
        <f t="shared" si="71"/>
        <v>PE 256,ED2-PE</v>
      </c>
      <c r="J558" s="25"/>
    </row>
    <row r="559" spans="1:10" ht="15.5" x14ac:dyDescent="0.35">
      <c r="A559" s="75" t="s">
        <v>440</v>
      </c>
      <c r="B559" s="79" t="str">
        <v>MARINE ELECTRICAL TECHNOLOGY AND ELECTRICAL MEASUREMENTS</v>
      </c>
      <c r="C559" s="79" t="str">
        <v>Frimpong Emmanuel Asuming</v>
      </c>
      <c r="D559" s="75" t="s">
        <v>86</v>
      </c>
      <c r="E559" s="77">
        <v>40</v>
      </c>
      <c r="F559" s="80" t="s">
        <v>864</v>
      </c>
      <c r="G559" s="78">
        <f t="shared" si="70"/>
        <v>44</v>
      </c>
      <c r="H559" s="17">
        <v>40</v>
      </c>
      <c r="I559" s="20" t="str">
        <f t="shared" si="71"/>
        <v>MME 386,ED3-MARI</v>
      </c>
      <c r="J559" s="25"/>
    </row>
    <row r="560" spans="1:10" ht="15.5" x14ac:dyDescent="0.35">
      <c r="A560" s="75" t="s">
        <v>441</v>
      </c>
      <c r="B560" s="79" t="str">
        <v>SURFACE TREATMENT OF MATERIALS</v>
      </c>
      <c r="C560" s="79" t="str">
        <v>Andrews Anthony</v>
      </c>
      <c r="D560" s="75" t="s">
        <v>135</v>
      </c>
      <c r="E560" s="77">
        <v>60</v>
      </c>
      <c r="F560" s="75" t="s">
        <v>545</v>
      </c>
      <c r="G560" s="78">
        <f t="shared" si="70"/>
        <v>66</v>
      </c>
      <c r="H560" s="17">
        <v>60</v>
      </c>
      <c r="I560" s="20" t="str">
        <f t="shared" si="71"/>
        <v>MSE 454,ED4-MSE</v>
      </c>
      <c r="J560" s="25"/>
    </row>
    <row r="561" spans="1:10" ht="15.5" x14ac:dyDescent="0.35">
      <c r="A561" s="75" t="s">
        <v>442</v>
      </c>
      <c r="B561" s="76" t="str">
        <v>ELECTROMETALLURGY</v>
      </c>
      <c r="C561" s="76" t="str">
        <v>Agbe Henry</v>
      </c>
      <c r="D561" s="75" t="s">
        <v>136</v>
      </c>
      <c r="E561" s="77">
        <v>55</v>
      </c>
      <c r="F561" s="80" t="s">
        <v>650</v>
      </c>
      <c r="G561" s="78">
        <f t="shared" si="70"/>
        <v>60.500000000000007</v>
      </c>
      <c r="H561" s="17" t="s">
        <v>540</v>
      </c>
      <c r="I561" s="20" t="str">
        <f t="shared" si="71"/>
        <v>METE 452,ED4-METE</v>
      </c>
      <c r="J561" s="25"/>
    </row>
    <row r="562" spans="1:10" ht="15.5" x14ac:dyDescent="0.35">
      <c r="A562" s="75" t="s">
        <v>392</v>
      </c>
      <c r="B562" s="76" t="str">
        <v>BASIC MECHANICS</v>
      </c>
      <c r="C562" s="79" t="str">
        <v>Opoku Richard</v>
      </c>
      <c r="D562" s="75" t="s">
        <v>114</v>
      </c>
      <c r="E562" s="77">
        <v>75</v>
      </c>
      <c r="F562" s="80" t="s">
        <v>571</v>
      </c>
      <c r="G562" s="78">
        <f t="shared" si="70"/>
        <v>82.5</v>
      </c>
      <c r="H562" s="17" t="s">
        <v>887</v>
      </c>
      <c r="I562" s="20" t="str">
        <f t="shared" si="71"/>
        <v>ME 162,ED1-METE</v>
      </c>
      <c r="J562" s="25"/>
    </row>
    <row r="563" spans="1:10" ht="15.5" x14ac:dyDescent="0.35">
      <c r="A563" s="75" t="s">
        <v>392</v>
      </c>
      <c r="B563" s="76" t="str">
        <v>BASIC MECHANICS</v>
      </c>
      <c r="C563" s="79" t="str">
        <v>Boahen Samuel</v>
      </c>
      <c r="D563" s="75" t="s">
        <v>81</v>
      </c>
      <c r="E563" s="77">
        <v>56</v>
      </c>
      <c r="F563" s="94" t="s">
        <v>574</v>
      </c>
      <c r="G563" s="78">
        <f t="shared" si="70"/>
        <v>61.600000000000009</v>
      </c>
      <c r="H563" s="17" t="s">
        <v>888</v>
      </c>
      <c r="I563" s="20" t="str">
        <f t="shared" si="71"/>
        <v>ME 162,ED1-PCE</v>
      </c>
      <c r="J563" s="25"/>
    </row>
    <row r="564" spans="1:10" ht="15.5" x14ac:dyDescent="0.35">
      <c r="A564" s="75" t="s">
        <v>444</v>
      </c>
      <c r="B564" s="76" t="str">
        <v>RELIABILITY ENGINEERING</v>
      </c>
      <c r="C564" s="76" t="str">
        <v>Takyi Gabriel</v>
      </c>
      <c r="D564" s="75" t="s">
        <v>121</v>
      </c>
      <c r="E564" s="77">
        <v>70</v>
      </c>
      <c r="F564" s="80" t="s">
        <v>545</v>
      </c>
      <c r="G564" s="78">
        <f t="shared" si="70"/>
        <v>77</v>
      </c>
      <c r="H564" s="17">
        <v>70</v>
      </c>
      <c r="I564" s="20" t="str">
        <f t="shared" si="71"/>
        <v>IE 356,ED3-IND</v>
      </c>
      <c r="J564" s="25"/>
    </row>
    <row r="565" spans="1:10" ht="15.5" x14ac:dyDescent="0.35">
      <c r="A565" s="75" t="s">
        <v>445</v>
      </c>
      <c r="B565" s="76" t="str">
        <v>GROUNDWATER DEVELOPMENT</v>
      </c>
      <c r="C565" s="79" t="str">
        <v>Ali Bukari</v>
      </c>
      <c r="D565" s="75" t="s">
        <v>177</v>
      </c>
      <c r="E565" s="77">
        <v>95</v>
      </c>
      <c r="F565" s="80" t="s">
        <v>571</v>
      </c>
      <c r="G565" s="78">
        <f t="shared" si="70"/>
        <v>104.50000000000001</v>
      </c>
      <c r="H565" s="17" t="s">
        <v>856</v>
      </c>
      <c r="I565" s="20" t="str">
        <f t="shared" si="71"/>
        <v>GED 476,ED4-GEOL</v>
      </c>
      <c r="J565" s="25"/>
    </row>
    <row r="566" spans="1:10" ht="15.5" x14ac:dyDescent="0.35">
      <c r="A566" s="75" t="s">
        <v>446</v>
      </c>
      <c r="B566" s="71" t="str">
        <v>VEHICLE MAINTENANCE AND REGULATION</v>
      </c>
      <c r="C566" s="79" t="str">
        <v>Abu Frimpong Solomon</v>
      </c>
      <c r="D566" s="75" t="s">
        <v>97</v>
      </c>
      <c r="E566" s="95">
        <v>32</v>
      </c>
      <c r="F566" s="80" t="s">
        <v>632</v>
      </c>
      <c r="G566" s="78">
        <f t="shared" si="70"/>
        <v>35.200000000000003</v>
      </c>
      <c r="H566" s="17">
        <v>32</v>
      </c>
      <c r="I566" s="20" t="str">
        <f t="shared" si="71"/>
        <v>AME 496,ED4-AUTO</v>
      </c>
      <c r="J566" s="25"/>
    </row>
    <row r="567" spans="1:10" ht="15.5" x14ac:dyDescent="0.35">
      <c r="A567" s="75" t="s">
        <v>447</v>
      </c>
      <c r="B567" s="79" t="str">
        <v>INDUSTRIAL AUTOMATIC CONTROL</v>
      </c>
      <c r="C567" s="76" t="str">
        <v>Opoku Daniel</v>
      </c>
      <c r="D567" s="75" t="s">
        <v>144</v>
      </c>
      <c r="E567" s="77">
        <v>205</v>
      </c>
      <c r="F567" s="80" t="s">
        <v>889</v>
      </c>
      <c r="G567" s="78">
        <f t="shared" si="70"/>
        <v>225.50000000000003</v>
      </c>
      <c r="H567" s="17" t="s">
        <v>890</v>
      </c>
      <c r="I567" s="20" t="str">
        <f t="shared" si="71"/>
        <v>EE 484,ED4-EE</v>
      </c>
      <c r="J567" s="25"/>
    </row>
    <row r="568" spans="1:10" ht="15.5" x14ac:dyDescent="0.35">
      <c r="A568" s="75" t="s">
        <v>448</v>
      </c>
      <c r="B568" s="76" t="str">
        <v>PETROLEUM PRODUCTION ENGINEERING</v>
      </c>
      <c r="C568" s="79" t="str">
        <v>Ankudey Emmanuel Godwin</v>
      </c>
      <c r="D568" s="75" t="s">
        <v>63</v>
      </c>
      <c r="E568" s="77">
        <v>53</v>
      </c>
      <c r="F568" s="80" t="s">
        <v>574</v>
      </c>
      <c r="G568" s="78">
        <f t="shared" si="70"/>
        <v>58.300000000000004</v>
      </c>
      <c r="H568" s="17" t="s">
        <v>891</v>
      </c>
      <c r="I568" s="20" t="str">
        <f t="shared" si="71"/>
        <v>PETE 354,ED3-PCE</v>
      </c>
      <c r="J568" s="25"/>
    </row>
    <row r="569" spans="1:10" ht="15.5" x14ac:dyDescent="0.35">
      <c r="A569" s="75" t="s">
        <v>449</v>
      </c>
      <c r="B569" s="79" t="str">
        <v>SHIP CONSTRUCTION</v>
      </c>
      <c r="C569" s="76" t="str">
        <v>Jehoshaphat Eyram Deh</v>
      </c>
      <c r="D569" s="75" t="s">
        <v>69</v>
      </c>
      <c r="E569" s="77">
        <v>23</v>
      </c>
      <c r="F569" s="80">
        <v>303</v>
      </c>
      <c r="G569" s="78">
        <f t="shared" si="70"/>
        <v>25.3</v>
      </c>
      <c r="H569" s="17">
        <v>23</v>
      </c>
      <c r="I569" s="20" t="str">
        <f t="shared" si="71"/>
        <v>MME 476,ED4-MARI</v>
      </c>
      <c r="J569" s="25"/>
    </row>
    <row r="570" spans="1:10" ht="15.5" x14ac:dyDescent="0.35">
      <c r="A570" s="81"/>
      <c r="B570" s="81"/>
      <c r="C570" s="72"/>
      <c r="D570" s="76" t="s">
        <v>450</v>
      </c>
      <c r="E570" s="82">
        <f>SUM(E555:E569)</f>
        <v>1111</v>
      </c>
      <c r="F570" s="83"/>
      <c r="G570" s="84"/>
      <c r="I570" s="22" t="s">
        <v>451</v>
      </c>
      <c r="J570" s="25"/>
    </row>
    <row r="571" spans="1:10" ht="15.5" x14ac:dyDescent="0.35">
      <c r="A571" s="6" t="s">
        <v>452</v>
      </c>
      <c r="B571" s="6"/>
      <c r="C571" s="6"/>
      <c r="D571" s="6"/>
      <c r="E571" s="6"/>
      <c r="F571" s="6"/>
      <c r="G571" s="6"/>
      <c r="I571" s="22" t="str">
        <f>A571</f>
        <v>Wednesday, 2 September 2026</v>
      </c>
      <c r="J571" s="25"/>
    </row>
    <row r="572" spans="1:10" ht="15.5" x14ac:dyDescent="0.35">
      <c r="A572" s="6" t="s">
        <v>2</v>
      </c>
      <c r="B572" s="6"/>
      <c r="C572" s="6"/>
      <c r="D572" s="6"/>
      <c r="E572" s="6"/>
      <c r="F572" s="6"/>
      <c r="G572" s="6"/>
      <c r="I572" s="22" t="str">
        <f>A572</f>
        <v>Session, 1 (8:30 AM - 10:30 AM)</v>
      </c>
      <c r="J572" s="25"/>
    </row>
    <row r="573" spans="1:10" ht="15.5" x14ac:dyDescent="0.35">
      <c r="A573" s="71" t="s">
        <v>4</v>
      </c>
      <c r="B573" s="71" t="s">
        <v>5</v>
      </c>
      <c r="C573" s="72" t="s">
        <v>6</v>
      </c>
      <c r="D573" s="71" t="s">
        <v>7</v>
      </c>
      <c r="E573" s="73" t="s">
        <v>8</v>
      </c>
      <c r="F573" s="72" t="s">
        <v>9</v>
      </c>
      <c r="G573" s="74" t="s">
        <v>10</v>
      </c>
      <c r="I573" s="22" t="s">
        <v>31</v>
      </c>
      <c r="J573" s="25"/>
    </row>
    <row r="574" spans="1:10" ht="15.5" x14ac:dyDescent="0.35">
      <c r="A574" s="75" t="s">
        <v>454</v>
      </c>
      <c r="B574" s="79" t="str">
        <f t="array" ref="B574:B582">IFERROR(VLOOKUP(I574:I582,Lectures_1!A2:F534,2,FALSE()),0)</f>
        <v>ENGINEERING WORKSHOP PRACTICE</v>
      </c>
      <c r="C574" s="79" t="str">
        <f t="array" ref="C574:C582">IFERROR(VLOOKUP(I574:I582,Lectures_1!A2:F534,3,FALSE()),0)</f>
        <v>Michael Adusei-Bonsu</v>
      </c>
      <c r="D574" s="75" t="s">
        <v>131</v>
      </c>
      <c r="E574" s="77">
        <f t="array" ref="E574:E582">IFERROR(VLOOKUP(I574:I582,Lectures_1!A2:F534,4,FALSE()),0)</f>
        <v>128</v>
      </c>
      <c r="F574" s="80" t="s">
        <v>611</v>
      </c>
      <c r="G574" s="78">
        <f t="shared" ref="G574:G582" si="72">E574*1.1</f>
        <v>140.80000000000001</v>
      </c>
      <c r="H574" s="17" t="s">
        <v>848</v>
      </c>
      <c r="I574" s="20" t="str">
        <f t="shared" ref="I574:I582" si="73">CONCATENATE(A574,",",D574)</f>
        <v>AE 196,ED1-AE</v>
      </c>
      <c r="J574" s="25"/>
    </row>
    <row r="575" spans="1:10" ht="15.5" x14ac:dyDescent="0.35">
      <c r="A575" s="75" t="s">
        <v>455</v>
      </c>
      <c r="B575" s="79" t="str">
        <v>SOIL MECHANICS APPLICATION TO MECHANISATION</v>
      </c>
      <c r="C575" s="79" t="str">
        <v>Agodzo Sampson Kwaku</v>
      </c>
      <c r="D575" s="75" t="s">
        <v>88</v>
      </c>
      <c r="E575" s="77">
        <v>101</v>
      </c>
      <c r="F575" s="80" t="s">
        <v>859</v>
      </c>
      <c r="G575" s="78">
        <f t="shared" si="72"/>
        <v>111.10000000000001</v>
      </c>
      <c r="H575" s="17" t="s">
        <v>892</v>
      </c>
      <c r="I575" s="20" t="str">
        <f t="shared" si="73"/>
        <v>AE 352,ED3-AE</v>
      </c>
      <c r="J575" s="25"/>
    </row>
    <row r="576" spans="1:10" ht="15.5" x14ac:dyDescent="0.35">
      <c r="A576" s="75" t="s">
        <v>456</v>
      </c>
      <c r="B576" s="76" t="str">
        <v>AQUATIC STROKES DEVELOPMENT AND REFINEMENT</v>
      </c>
      <c r="C576" s="76" t="str">
        <v>Afrifa Daniel</v>
      </c>
      <c r="D576" s="75" t="s">
        <v>42</v>
      </c>
      <c r="E576" s="77">
        <v>37</v>
      </c>
      <c r="F576" s="80" t="s">
        <v>541</v>
      </c>
      <c r="G576" s="78">
        <f t="shared" si="72"/>
        <v>40.700000000000003</v>
      </c>
      <c r="H576" s="19">
        <v>37</v>
      </c>
      <c r="I576" s="20" t="str">
        <f t="shared" si="73"/>
        <v>SES 172,ED2-MARI</v>
      </c>
      <c r="J576" s="25"/>
    </row>
    <row r="577" spans="1:10" ht="15.5" x14ac:dyDescent="0.35">
      <c r="A577" s="75" t="s">
        <v>458</v>
      </c>
      <c r="B577" s="76" t="str">
        <v>FLUID MACHINERY</v>
      </c>
      <c r="C577" s="79" t="str">
        <v>Opoku Richard</v>
      </c>
      <c r="D577" s="75" t="s">
        <v>67</v>
      </c>
      <c r="E577" s="77">
        <v>80</v>
      </c>
      <c r="F577" s="80" t="s">
        <v>893</v>
      </c>
      <c r="G577" s="78">
        <f t="shared" si="72"/>
        <v>88</v>
      </c>
      <c r="H577" s="17" t="s">
        <v>692</v>
      </c>
      <c r="I577" s="20" t="str">
        <f t="shared" si="73"/>
        <v>ME 452,ED4-ME</v>
      </c>
      <c r="J577" s="25"/>
    </row>
    <row r="578" spans="1:10" ht="15.5" x14ac:dyDescent="0.35">
      <c r="A578" s="75" t="s">
        <v>459</v>
      </c>
      <c r="B578" s="79" t="str">
        <v>PRINCIPLE OF DESIGN</v>
      </c>
      <c r="C578" s="76" t="str">
        <v>Ayeh Felix Jojo Fianko</v>
      </c>
      <c r="D578" s="75" t="s">
        <v>56</v>
      </c>
      <c r="E578" s="77">
        <v>250</v>
      </c>
      <c r="F578" s="101" t="s">
        <v>854</v>
      </c>
      <c r="G578" s="78">
        <f t="shared" si="72"/>
        <v>275</v>
      </c>
      <c r="H578" s="58" t="s">
        <v>894</v>
      </c>
      <c r="I578" s="20" t="str">
        <f t="shared" si="73"/>
        <v>CE 272,ED2-CE</v>
      </c>
      <c r="J578" s="25"/>
    </row>
    <row r="579" spans="1:10" ht="15.5" x14ac:dyDescent="0.35">
      <c r="A579" s="75" t="s">
        <v>472</v>
      </c>
      <c r="B579" s="76" t="str">
        <v>AEROSPACE SAFETY AND AIR SECURITY</v>
      </c>
      <c r="C579" s="79" t="str">
        <v xml:space="preserve">Peter Oppong Tawiah </v>
      </c>
      <c r="D579" s="75" t="s">
        <v>99</v>
      </c>
      <c r="E579" s="77">
        <v>61</v>
      </c>
      <c r="F579" s="75" t="s">
        <v>685</v>
      </c>
      <c r="G579" s="78">
        <f t="shared" si="72"/>
        <v>67.100000000000009</v>
      </c>
      <c r="H579" s="17" t="s">
        <v>588</v>
      </c>
      <c r="I579" s="20" t="str">
        <f t="shared" si="73"/>
        <v>AERO 492,ED4-AERO</v>
      </c>
      <c r="J579" s="25"/>
    </row>
    <row r="580" spans="1:10" ht="15.5" x14ac:dyDescent="0.35">
      <c r="A580" s="75" t="s">
        <v>460</v>
      </c>
      <c r="B580" s="76" t="str">
        <v>FUNDAMENTALS OF DATA SCIENCE</v>
      </c>
      <c r="C580" s="76" t="str">
        <v>Obour Agyekum Kwame Opuni-Boachie</v>
      </c>
      <c r="D580" s="75" t="s">
        <v>172</v>
      </c>
      <c r="E580" s="77">
        <v>175</v>
      </c>
      <c r="F580" s="101" t="s">
        <v>533</v>
      </c>
      <c r="G580" s="78">
        <f t="shared" si="72"/>
        <v>192.50000000000003</v>
      </c>
      <c r="H580" s="19" t="s">
        <v>895</v>
      </c>
      <c r="I580" s="20" t="str">
        <f t="shared" si="73"/>
        <v>TE 252,ED2-TEL</v>
      </c>
      <c r="J580" s="25"/>
    </row>
    <row r="581" spans="1:10" s="53" customFormat="1" ht="15.5" x14ac:dyDescent="0.35">
      <c r="A581" s="75" t="s">
        <v>461</v>
      </c>
      <c r="B581" s="79" t="str">
        <v>ELEMENTARY FLUIDS MECHANICS</v>
      </c>
      <c r="C581" s="79" t="str">
        <v>Gyamfi Charles</v>
      </c>
      <c r="D581" s="75" t="s">
        <v>75</v>
      </c>
      <c r="E581" s="77">
        <v>245</v>
      </c>
      <c r="F581" s="88" t="s">
        <v>854</v>
      </c>
      <c r="G581" s="78">
        <f t="shared" si="72"/>
        <v>269.5</v>
      </c>
      <c r="H581" s="17" t="s">
        <v>547</v>
      </c>
      <c r="I581" s="51" t="str">
        <f t="shared" si="73"/>
        <v>CE 156,ED1-CE</v>
      </c>
      <c r="J581" s="52"/>
    </row>
    <row r="582" spans="1:10" ht="15.5" x14ac:dyDescent="0.35">
      <c r="A582" s="75" t="s">
        <v>461</v>
      </c>
      <c r="B582" s="76" t="str">
        <v>ELEMENTARY FLUIDS MECHANICS</v>
      </c>
      <c r="C582" s="76" t="str">
        <v>Gyamfi Charles</v>
      </c>
      <c r="D582" s="75" t="s">
        <v>126</v>
      </c>
      <c r="E582" s="77">
        <v>125</v>
      </c>
      <c r="F582" s="80" t="s">
        <v>611</v>
      </c>
      <c r="G582" s="78">
        <f t="shared" si="72"/>
        <v>137.5</v>
      </c>
      <c r="H582" s="17" t="s">
        <v>896</v>
      </c>
      <c r="I582" s="20" t="str">
        <f t="shared" si="73"/>
        <v>CE 156,ED1-GEOL</v>
      </c>
      <c r="J582" s="25"/>
    </row>
    <row r="583" spans="1:10" ht="15.5" x14ac:dyDescent="0.35">
      <c r="A583" s="81"/>
      <c r="B583" s="81"/>
      <c r="C583" s="72"/>
      <c r="D583" s="76" t="s">
        <v>462</v>
      </c>
      <c r="E583" s="82">
        <f>SUM(E574:E582)</f>
        <v>1202</v>
      </c>
      <c r="F583" s="83"/>
      <c r="G583" s="84"/>
      <c r="I583" s="22" t="s">
        <v>463</v>
      </c>
      <c r="J583" s="25"/>
    </row>
    <row r="584" spans="1:10" ht="15.5" x14ac:dyDescent="0.35">
      <c r="A584" s="6" t="s">
        <v>452</v>
      </c>
      <c r="B584" s="6"/>
      <c r="C584" s="6"/>
      <c r="D584" s="6"/>
      <c r="E584" s="6"/>
      <c r="F584" s="6"/>
      <c r="G584" s="6"/>
      <c r="I584" s="22" t="str">
        <f>A584</f>
        <v>Wednesday, 2 September 2026</v>
      </c>
      <c r="J584" s="25"/>
    </row>
    <row r="585" spans="1:10" ht="15.5" x14ac:dyDescent="0.35">
      <c r="A585" s="6" t="s">
        <v>29</v>
      </c>
      <c r="B585" s="6"/>
      <c r="C585" s="6"/>
      <c r="D585" s="6"/>
      <c r="E585" s="6"/>
      <c r="F585" s="6"/>
      <c r="G585" s="6"/>
      <c r="I585" s="22" t="str">
        <f>A585</f>
        <v>Session, 2 (12:00 PM - 2:00 PM)</v>
      </c>
      <c r="J585" s="25"/>
    </row>
    <row r="586" spans="1:10" ht="15.5" x14ac:dyDescent="0.35">
      <c r="A586" s="71" t="s">
        <v>4</v>
      </c>
      <c r="B586" s="71" t="s">
        <v>5</v>
      </c>
      <c r="C586" s="72" t="s">
        <v>6</v>
      </c>
      <c r="D586" s="71" t="s">
        <v>7</v>
      </c>
      <c r="E586" s="73" t="s">
        <v>8</v>
      </c>
      <c r="F586" s="72" t="s">
        <v>9</v>
      </c>
      <c r="G586" s="74" t="s">
        <v>10</v>
      </c>
      <c r="I586" s="22" t="s">
        <v>31</v>
      </c>
      <c r="J586" s="25"/>
    </row>
    <row r="587" spans="1:10" ht="15.5" x14ac:dyDescent="0.35">
      <c r="A587" s="75" t="s">
        <v>464</v>
      </c>
      <c r="B587" s="79" t="str">
        <f t="array" ref="B587:B593">IFERROR(VLOOKUP(I587:I593,Lectures_1!A2:F534,2,FALSE()),0)</f>
        <v>DIGITAL COMMUNICATION SYSTEMS</v>
      </c>
      <c r="C587" s="79" t="str">
        <f t="array" ref="C587:C593">IFERROR(VLOOKUP(I587:I593,Lectures_1!A2:F534,3,FALSE()),0)</f>
        <v>Affum Emmanuel Ampoma</v>
      </c>
      <c r="D587" s="75" t="s">
        <v>119</v>
      </c>
      <c r="E587" s="77">
        <f t="array" ref="E587:E593">IFERROR(VLOOKUP(I587:I593,Lectures_1!A2:F534,4,FALSE()),0)</f>
        <v>140</v>
      </c>
      <c r="F587" s="80" t="s">
        <v>897</v>
      </c>
      <c r="G587" s="78">
        <f t="shared" ref="G587:G593" si="74">E587*1.1</f>
        <v>154</v>
      </c>
      <c r="H587" s="17" t="s">
        <v>898</v>
      </c>
      <c r="I587" s="20" t="str">
        <f t="shared" ref="I587:I593" si="75">CONCATENATE(A587,",",D587)</f>
        <v>TE 358,ED3-TEL</v>
      </c>
      <c r="J587" s="25"/>
    </row>
    <row r="588" spans="1:10" ht="15.5" x14ac:dyDescent="0.35">
      <c r="A588" s="75" t="s">
        <v>308</v>
      </c>
      <c r="B588" s="79" t="str">
        <v>ANTENNAS AND PROPAGATION</v>
      </c>
      <c r="C588" s="79" t="str">
        <v>Ellis Sani Mubarak</v>
      </c>
      <c r="D588" s="75" t="s">
        <v>71</v>
      </c>
      <c r="E588" s="77">
        <v>170</v>
      </c>
      <c r="F588" s="80" t="s">
        <v>706</v>
      </c>
      <c r="G588" s="78">
        <f t="shared" si="74"/>
        <v>187.00000000000003</v>
      </c>
      <c r="H588" s="17" t="s">
        <v>899</v>
      </c>
      <c r="I588" s="20" t="str">
        <f t="shared" si="75"/>
        <v>TE 372,ED3-EE</v>
      </c>
      <c r="J588" s="25"/>
    </row>
    <row r="589" spans="1:10" ht="15.5" x14ac:dyDescent="0.35">
      <c r="A589" s="75" t="s">
        <v>466</v>
      </c>
      <c r="B589" s="76" t="str">
        <v>COMPUTER-AIDED DESIGN AND MODELLING</v>
      </c>
      <c r="C589" s="79" t="str">
        <v>Sackey Michael Nii</v>
      </c>
      <c r="D589" s="75" t="s">
        <v>36</v>
      </c>
      <c r="E589" s="77">
        <v>75</v>
      </c>
      <c r="F589" s="80" t="s">
        <v>571</v>
      </c>
      <c r="G589" s="78">
        <f t="shared" si="74"/>
        <v>82.5</v>
      </c>
      <c r="H589" s="17" t="s">
        <v>606</v>
      </c>
      <c r="I589" s="20" t="str">
        <f t="shared" si="75"/>
        <v>ME 258,ED2-AERO</v>
      </c>
      <c r="J589" s="25"/>
    </row>
    <row r="590" spans="1:10" ht="15.5" x14ac:dyDescent="0.35">
      <c r="A590" s="75" t="s">
        <v>467</v>
      </c>
      <c r="B590" s="76" t="str">
        <v>NUMERICAL METHODS FOR PETROLEUM ENGINEERS</v>
      </c>
      <c r="C590" s="76" t="str">
        <v>Sokama-Neuyam Yen Adams</v>
      </c>
      <c r="D590" s="75" t="s">
        <v>18</v>
      </c>
      <c r="E590" s="77">
        <v>80</v>
      </c>
      <c r="F590" s="80" t="s">
        <v>571</v>
      </c>
      <c r="G590" s="78">
        <f t="shared" si="74"/>
        <v>88</v>
      </c>
      <c r="H590" s="17" t="s">
        <v>692</v>
      </c>
      <c r="I590" s="20" t="str">
        <f t="shared" si="75"/>
        <v>PE 350,ED3-PE</v>
      </c>
      <c r="J590" s="25"/>
    </row>
    <row r="591" spans="1:10" ht="15.5" x14ac:dyDescent="0.35">
      <c r="A591" s="75" t="s">
        <v>475</v>
      </c>
      <c r="B591" s="79" t="str">
        <v>HYDROGRAPHIC SURVEYING AND MARINE SCIENCE</v>
      </c>
      <c r="C591" s="76" t="str">
        <v>Asante Cosmas Yaw</v>
      </c>
      <c r="D591" s="75" t="s">
        <v>170</v>
      </c>
      <c r="E591" s="77">
        <v>132</v>
      </c>
      <c r="F591" s="80" t="s">
        <v>897</v>
      </c>
      <c r="G591" s="78">
        <f t="shared" si="74"/>
        <v>145.20000000000002</v>
      </c>
      <c r="H591" s="17" t="s">
        <v>900</v>
      </c>
      <c r="I591" s="20" t="str">
        <f t="shared" si="75"/>
        <v>GE 284,ED2-GEOM</v>
      </c>
      <c r="J591" s="25"/>
    </row>
    <row r="592" spans="1:10" s="53" customFormat="1" ht="15.5" x14ac:dyDescent="0.35">
      <c r="A592" s="75" t="s">
        <v>281</v>
      </c>
      <c r="B592" s="79" t="str">
        <v>CALCULUS WITH SEVERAL VARIABLES</v>
      </c>
      <c r="C592" s="76" t="str">
        <v>Emmanuel Kpeglo</v>
      </c>
      <c r="D592" s="75" t="s">
        <v>25</v>
      </c>
      <c r="E592" s="77">
        <v>340</v>
      </c>
      <c r="F592" s="88" t="s">
        <v>901</v>
      </c>
      <c r="G592" s="78">
        <f t="shared" si="74"/>
        <v>374.00000000000006</v>
      </c>
      <c r="H592" s="58" t="s">
        <v>902</v>
      </c>
      <c r="I592" s="51" t="str">
        <f t="shared" si="75"/>
        <v>MATH 252,ED2-EE</v>
      </c>
      <c r="J592" s="52"/>
    </row>
    <row r="593" spans="1:10" s="53" customFormat="1" ht="15.5" x14ac:dyDescent="0.35">
      <c r="A593" s="75" t="s">
        <v>281</v>
      </c>
      <c r="B593" s="79" t="str">
        <v>CALCULUS OF SEVERAL VARIABLES</v>
      </c>
      <c r="C593" s="76" t="str">
        <v>Benedict Barnes</v>
      </c>
      <c r="D593" s="75" t="s">
        <v>13</v>
      </c>
      <c r="E593" s="77">
        <v>160</v>
      </c>
      <c r="F593" s="80" t="s">
        <v>747</v>
      </c>
      <c r="G593" s="78">
        <f t="shared" si="74"/>
        <v>176</v>
      </c>
      <c r="H593" s="17" t="s">
        <v>903</v>
      </c>
      <c r="I593" s="51" t="str">
        <f t="shared" si="75"/>
        <v>MATH 252,ED2-CHE</v>
      </c>
      <c r="J593" s="52"/>
    </row>
    <row r="594" spans="1:10" ht="15.5" x14ac:dyDescent="0.35">
      <c r="A594" s="81"/>
      <c r="B594" s="81"/>
      <c r="C594" s="72"/>
      <c r="D594" s="76" t="s">
        <v>470</v>
      </c>
      <c r="E594" s="82">
        <f>SUM(E587:E593)</f>
        <v>1097</v>
      </c>
      <c r="F594" s="83"/>
      <c r="G594" s="84"/>
      <c r="I594" s="22"/>
      <c r="J594" s="25"/>
    </row>
    <row r="595" spans="1:10" ht="15.5" x14ac:dyDescent="0.35">
      <c r="A595" s="6" t="s">
        <v>452</v>
      </c>
      <c r="B595" s="6"/>
      <c r="C595" s="6"/>
      <c r="D595" s="6"/>
      <c r="E595" s="6"/>
      <c r="F595" s="6"/>
      <c r="G595" s="6"/>
      <c r="I595" s="22" t="str">
        <f>A595</f>
        <v>Wednesday, 2 September 2026</v>
      </c>
      <c r="J595" s="25"/>
    </row>
    <row r="596" spans="1:10" ht="15.5" x14ac:dyDescent="0.35">
      <c r="A596" s="6" t="s">
        <v>59</v>
      </c>
      <c r="B596" s="6"/>
      <c r="C596" s="6"/>
      <c r="D596" s="6"/>
      <c r="E596" s="6"/>
      <c r="F596" s="6"/>
      <c r="G596" s="6"/>
      <c r="I596" s="22" t="str">
        <f>A596</f>
        <v>Session, 3 (3:00 PM - 5:00 PM)</v>
      </c>
      <c r="J596" s="25"/>
    </row>
    <row r="597" spans="1:10" ht="15.5" x14ac:dyDescent="0.35">
      <c r="A597" s="71" t="s">
        <v>4</v>
      </c>
      <c r="B597" s="71" t="s">
        <v>5</v>
      </c>
      <c r="C597" s="72" t="s">
        <v>6</v>
      </c>
      <c r="D597" s="71" t="s">
        <v>7</v>
      </c>
      <c r="E597" s="73" t="s">
        <v>8</v>
      </c>
      <c r="F597" s="72" t="s">
        <v>9</v>
      </c>
      <c r="G597" s="74" t="s">
        <v>10</v>
      </c>
      <c r="I597" s="22" t="s">
        <v>31</v>
      </c>
      <c r="J597" s="25"/>
    </row>
    <row r="598" spans="1:10" ht="15.5" x14ac:dyDescent="0.35">
      <c r="A598" s="75" t="s">
        <v>471</v>
      </c>
      <c r="B598" s="79" t="str">
        <f t="array" ref="B598:B606">IFERROR(VLOOKUP(I598:I606,Lectures_1!A2:F534,2,FALSE()),0)</f>
        <v>PRINCIPLES OF VALUATION OF LAND AND BUILDING</v>
      </c>
      <c r="C598" s="79" t="str">
        <f t="array" ref="C598:C606">IFERROR(VLOOKUP(I598:I606,Lectures_1!A2:F534,3,FALSE()),0)</f>
        <v>Ayitey Jonathan</v>
      </c>
      <c r="D598" s="75" t="s">
        <v>194</v>
      </c>
      <c r="E598" s="77">
        <f t="array" ref="E598:E606">IFERROR(VLOOKUP(I598:I606,Lectures_1!A2:F534,4,FALSE()),0)</f>
        <v>93</v>
      </c>
      <c r="F598" s="80" t="s">
        <v>571</v>
      </c>
      <c r="G598" s="78">
        <f t="shared" ref="G598:G606" si="76">E598*1.1</f>
        <v>102.30000000000001</v>
      </c>
      <c r="H598" s="17" t="s">
        <v>904</v>
      </c>
      <c r="I598" s="20" t="str">
        <f t="shared" ref="I598:I606" si="77">CONCATENATE(A598,",",D598)</f>
        <v>GE 474,ED4-GEOM</v>
      </c>
      <c r="J598" s="25"/>
    </row>
    <row r="599" spans="1:10" ht="15.5" x14ac:dyDescent="0.35">
      <c r="A599" s="75" t="s">
        <v>473</v>
      </c>
      <c r="B599" s="71" t="str">
        <v>ELECTRICAL ENGINEERING MACHINES</v>
      </c>
      <c r="C599" s="76" t="str">
        <v>Yaw Opoku Mensah Sekyere</v>
      </c>
      <c r="D599" s="75" t="s">
        <v>61</v>
      </c>
      <c r="E599" s="77">
        <v>222</v>
      </c>
      <c r="F599" s="80" t="s">
        <v>687</v>
      </c>
      <c r="G599" s="78">
        <f t="shared" si="76"/>
        <v>244.20000000000002</v>
      </c>
      <c r="H599" s="17" t="s">
        <v>905</v>
      </c>
      <c r="I599" s="20" t="str">
        <f t="shared" si="77"/>
        <v>EE 252,ED3-ME</v>
      </c>
      <c r="J599" s="25"/>
    </row>
    <row r="600" spans="1:10" ht="15.5" x14ac:dyDescent="0.35">
      <c r="A600" s="75" t="s">
        <v>473</v>
      </c>
      <c r="B600" s="71" t="str">
        <v>ELECTRICAL ENGINEERING MACHINES</v>
      </c>
      <c r="C600" s="76" t="str">
        <v>Yaw Opoku Mensah Sekyere</v>
      </c>
      <c r="D600" s="75" t="s">
        <v>53</v>
      </c>
      <c r="E600" s="77">
        <v>155</v>
      </c>
      <c r="F600" s="80" t="s">
        <v>693</v>
      </c>
      <c r="G600" s="78">
        <f t="shared" si="76"/>
        <v>170.5</v>
      </c>
      <c r="H600" s="17" t="s">
        <v>906</v>
      </c>
      <c r="I600" s="20" t="str">
        <f t="shared" si="77"/>
        <v>EE 252,ED2-AE</v>
      </c>
      <c r="J600" s="25"/>
    </row>
    <row r="601" spans="1:10" ht="15.5" x14ac:dyDescent="0.35">
      <c r="A601" s="75" t="s">
        <v>474</v>
      </c>
      <c r="B601" s="76" t="str">
        <v>ELECTRICAL MACHINES</v>
      </c>
      <c r="C601" s="76" t="str">
        <v>Asigri Peter</v>
      </c>
      <c r="D601" s="75" t="s">
        <v>20</v>
      </c>
      <c r="E601" s="77">
        <v>262</v>
      </c>
      <c r="F601" s="101" t="s">
        <v>533</v>
      </c>
      <c r="G601" s="78">
        <f t="shared" si="76"/>
        <v>288.20000000000005</v>
      </c>
      <c r="H601" s="58" t="s">
        <v>534</v>
      </c>
      <c r="I601" s="20" t="str">
        <f t="shared" si="77"/>
        <v>EE 172,ED1-COE</v>
      </c>
      <c r="J601" s="25"/>
    </row>
    <row r="602" spans="1:10" ht="15.5" x14ac:dyDescent="0.35">
      <c r="A602" s="75" t="s">
        <v>476</v>
      </c>
      <c r="B602" s="79" t="str">
        <v>SIMULTANEOUS HEAT/MASS TRANSFER</v>
      </c>
      <c r="C602" s="76" t="str">
        <v>Dogbe Eunice Sefakor Aku</v>
      </c>
      <c r="D602" s="75" t="s">
        <v>73</v>
      </c>
      <c r="E602" s="77">
        <v>105</v>
      </c>
      <c r="F602" s="80" t="s">
        <v>859</v>
      </c>
      <c r="G602" s="78">
        <f t="shared" si="76"/>
        <v>115.50000000000001</v>
      </c>
      <c r="H602" s="17" t="s">
        <v>907</v>
      </c>
      <c r="I602" s="20" t="str">
        <f t="shared" si="77"/>
        <v>CHE 354,ED3-CHE</v>
      </c>
      <c r="J602" s="25"/>
    </row>
    <row r="603" spans="1:10" ht="15.5" x14ac:dyDescent="0.35">
      <c r="A603" s="75" t="s">
        <v>469</v>
      </c>
      <c r="B603" s="76" t="str">
        <v>STRUCTURAL DYNAMICS</v>
      </c>
      <c r="C603" s="79" t="str">
        <v>Mark Adom-Asamoah</v>
      </c>
      <c r="D603" s="75" t="s">
        <v>103</v>
      </c>
      <c r="E603" s="77">
        <v>95</v>
      </c>
      <c r="F603" s="80" t="s">
        <v>659</v>
      </c>
      <c r="G603" s="78">
        <f t="shared" si="76"/>
        <v>104.50000000000001</v>
      </c>
      <c r="H603" s="17" t="s">
        <v>908</v>
      </c>
      <c r="I603" s="20" t="str">
        <f t="shared" si="77"/>
        <v>CE 456,ED4-CE</v>
      </c>
      <c r="J603" s="25"/>
    </row>
    <row r="604" spans="1:10" ht="15.5" x14ac:dyDescent="0.35">
      <c r="A604" s="75" t="s">
        <v>525</v>
      </c>
      <c r="B604" s="76" t="str">
        <v>PROCESS CONTROL AND SIMULATION</v>
      </c>
      <c r="C604" s="76" t="str">
        <v>Baah-Ennumh Emmanuel Kwaku</v>
      </c>
      <c r="D604" s="75" t="s">
        <v>48</v>
      </c>
      <c r="E604" s="77">
        <v>114</v>
      </c>
      <c r="F604" s="89" t="s">
        <v>909</v>
      </c>
      <c r="G604" s="78">
        <f t="shared" si="76"/>
        <v>125.4</v>
      </c>
      <c r="H604" s="39" t="s">
        <v>910</v>
      </c>
      <c r="I604" s="20" t="str">
        <f t="shared" si="77"/>
        <v>CHE 456,ED4-CHE</v>
      </c>
      <c r="J604" s="25"/>
    </row>
    <row r="605" spans="1:10" ht="15.5" x14ac:dyDescent="0.35">
      <c r="A605" s="75" t="s">
        <v>525</v>
      </c>
      <c r="B605" s="76" t="str">
        <v>PROCESS CONTROL AND SIMULATION</v>
      </c>
      <c r="C605" s="76" t="str">
        <v>Baidoo Martina Francisca</v>
      </c>
      <c r="D605" s="75" t="s">
        <v>44</v>
      </c>
      <c r="E605" s="77">
        <v>55</v>
      </c>
      <c r="F605" s="89" t="s">
        <v>541</v>
      </c>
      <c r="G605" s="78">
        <f t="shared" si="76"/>
        <v>60.500000000000007</v>
      </c>
      <c r="H605" s="102">
        <v>55</v>
      </c>
      <c r="I605" s="20" t="str">
        <f t="shared" si="77"/>
        <v>CHE 456,ED4-PCE</v>
      </c>
      <c r="J605" s="25"/>
    </row>
    <row r="606" spans="1:10" ht="15.5" x14ac:dyDescent="0.35">
      <c r="A606" s="75" t="s">
        <v>477</v>
      </c>
      <c r="B606" s="76" t="str">
        <v>CROP STORAGE AND STORAGE STRUCTURES</v>
      </c>
      <c r="C606" s="76" t="str">
        <v>Bart Plange Ato</v>
      </c>
      <c r="D606" s="75" t="s">
        <v>50</v>
      </c>
      <c r="E606" s="77">
        <v>103</v>
      </c>
      <c r="F606" s="80" t="s">
        <v>665</v>
      </c>
      <c r="G606" s="78">
        <f t="shared" si="76"/>
        <v>113.30000000000001</v>
      </c>
      <c r="H606" s="17" t="s">
        <v>911</v>
      </c>
      <c r="I606" s="20" t="str">
        <f t="shared" si="77"/>
        <v>AE 464,ED4-AE</v>
      </c>
      <c r="J606" s="25"/>
    </row>
    <row r="607" spans="1:10" ht="15.5" x14ac:dyDescent="0.35">
      <c r="A607" s="81"/>
      <c r="B607" s="81"/>
      <c r="C607" s="72"/>
      <c r="D607" s="76" t="s">
        <v>478</v>
      </c>
      <c r="E607" s="82">
        <f>SUM(E598:E606)</f>
        <v>1204</v>
      </c>
      <c r="F607" s="83"/>
      <c r="G607" s="84"/>
      <c r="I607" s="22" t="s">
        <v>479</v>
      </c>
      <c r="J607" s="25"/>
    </row>
    <row r="608" spans="1:10" ht="15.5" x14ac:dyDescent="0.35">
      <c r="A608" s="6" t="s">
        <v>480</v>
      </c>
      <c r="B608" s="6"/>
      <c r="C608" s="6"/>
      <c r="D608" s="6"/>
      <c r="E608" s="6"/>
      <c r="F608" s="6"/>
      <c r="G608" s="6"/>
      <c r="I608" s="22" t="str">
        <f>A608</f>
        <v>Thursday, 3 September 2026</v>
      </c>
      <c r="J608" s="25"/>
    </row>
    <row r="609" spans="1:10" ht="15.5" x14ac:dyDescent="0.35">
      <c r="A609" s="6" t="s">
        <v>2</v>
      </c>
      <c r="B609" s="6"/>
      <c r="C609" s="6"/>
      <c r="D609" s="6"/>
      <c r="E609" s="6"/>
      <c r="F609" s="6"/>
      <c r="G609" s="6"/>
      <c r="I609" s="22" t="str">
        <f>A609</f>
        <v>Session, 1 (8:30 AM - 10:30 AM)</v>
      </c>
      <c r="J609" s="25"/>
    </row>
    <row r="610" spans="1:10" ht="15.5" x14ac:dyDescent="0.35">
      <c r="A610" s="71" t="s">
        <v>4</v>
      </c>
      <c r="B610" s="71" t="s">
        <v>5</v>
      </c>
      <c r="C610" s="72" t="s">
        <v>6</v>
      </c>
      <c r="D610" s="71" t="s">
        <v>7</v>
      </c>
      <c r="E610" s="73" t="s">
        <v>8</v>
      </c>
      <c r="F610" s="72" t="s">
        <v>9</v>
      </c>
      <c r="G610" s="74" t="s">
        <v>10</v>
      </c>
      <c r="I610" s="22" t="s">
        <v>31</v>
      </c>
      <c r="J610" s="25"/>
    </row>
    <row r="611" spans="1:10" ht="15.5" x14ac:dyDescent="0.35">
      <c r="A611" s="75" t="s">
        <v>482</v>
      </c>
      <c r="B611" s="79" t="str">
        <f t="array" ref="B611:B620">IFERROR(VLOOKUP(I611:I620,Lectures_1!A2:F534,2,FALSE()),0)</f>
        <v>LOGISTICS AND SUPPLY CHAIN ENGINEERING</v>
      </c>
      <c r="C611" s="76" t="str">
        <f t="array" ref="C611:C620">IFERROR(VLOOKUP(I611:I620,Lectures_1!A2:F534,3,FALSE()),0)</f>
        <v>Asiedu Charlotte</v>
      </c>
      <c r="D611" s="75" t="s">
        <v>121</v>
      </c>
      <c r="E611" s="77">
        <f t="array" ref="E611:E620">IFERROR(VLOOKUP(I611:I620,Lectures_1!A2:F534,4,FALSE()),0)</f>
        <v>70</v>
      </c>
      <c r="F611" s="75" t="s">
        <v>603</v>
      </c>
      <c r="G611" s="78">
        <f t="shared" ref="G611:G620" si="78">E611*1.1</f>
        <v>77</v>
      </c>
      <c r="H611" s="17" t="s">
        <v>912</v>
      </c>
      <c r="I611" s="20" t="str">
        <f t="shared" ref="I611:I620" si="79">CONCATENATE(A611,",",D611)</f>
        <v>IE 354,ED3-IND</v>
      </c>
      <c r="J611" s="25"/>
    </row>
    <row r="612" spans="1:10" ht="15.5" x14ac:dyDescent="0.35">
      <c r="A612" s="75" t="s">
        <v>483</v>
      </c>
      <c r="B612" s="76" t="str">
        <v>AEROSPACE DESIGN PROJECT I</v>
      </c>
      <c r="C612" s="79" t="str">
        <v>Afriyie Nyarko Frank Kwabena</v>
      </c>
      <c r="D612" s="75" t="s">
        <v>191</v>
      </c>
      <c r="E612" s="77">
        <v>70</v>
      </c>
      <c r="F612" s="80" t="s">
        <v>571</v>
      </c>
      <c r="G612" s="78">
        <f t="shared" si="78"/>
        <v>77</v>
      </c>
      <c r="H612" s="17" t="s">
        <v>912</v>
      </c>
      <c r="I612" s="20" t="str">
        <f t="shared" si="79"/>
        <v>AERO 174,ED1-AERO</v>
      </c>
      <c r="J612" s="25"/>
    </row>
    <row r="613" spans="1:10" ht="15.5" x14ac:dyDescent="0.35">
      <c r="A613" s="75" t="s">
        <v>484</v>
      </c>
      <c r="B613" s="79" t="str">
        <v>FIRST YEAR DESIGN PROJECT</v>
      </c>
      <c r="C613" s="76" t="str">
        <v>Afriyie Nyarko Frank Kwabena</v>
      </c>
      <c r="D613" s="75" t="s">
        <v>111</v>
      </c>
      <c r="E613" s="77">
        <v>83</v>
      </c>
      <c r="F613" s="80" t="s">
        <v>850</v>
      </c>
      <c r="G613" s="78">
        <f t="shared" si="78"/>
        <v>91.300000000000011</v>
      </c>
      <c r="H613" s="17" t="s">
        <v>913</v>
      </c>
      <c r="I613" s="20" t="str">
        <f t="shared" si="79"/>
        <v>IE 174,ED1-IND</v>
      </c>
      <c r="J613" s="25"/>
    </row>
    <row r="614" spans="1:10" ht="15.5" x14ac:dyDescent="0.35">
      <c r="A614" s="75" t="s">
        <v>485</v>
      </c>
      <c r="B614" s="79" t="str">
        <v>MARINE ENGINEERING DESIGN PROJECT I</v>
      </c>
      <c r="C614" s="76" t="str">
        <v>Afriyie Nyarko Frank Kwabena</v>
      </c>
      <c r="D614" s="75" t="s">
        <v>112</v>
      </c>
      <c r="E614" s="95">
        <v>46</v>
      </c>
      <c r="F614" s="80" t="s">
        <v>622</v>
      </c>
      <c r="G614" s="78">
        <f t="shared" si="78"/>
        <v>50.6</v>
      </c>
      <c r="H614" s="17" t="s">
        <v>914</v>
      </c>
      <c r="I614" s="20" t="str">
        <f t="shared" si="79"/>
        <v>MME 174,ED1-MARI</v>
      </c>
      <c r="J614" s="25"/>
    </row>
    <row r="615" spans="1:10" ht="15.5" x14ac:dyDescent="0.35">
      <c r="A615" s="75" t="s">
        <v>486</v>
      </c>
      <c r="B615" s="79" t="str">
        <v>PRODUCT DESIGN AND MANUFACTURING</v>
      </c>
      <c r="C615" s="79" t="str">
        <v>Afriyie Nyarko Frank Kwabena</v>
      </c>
      <c r="D615" s="75" t="s">
        <v>161</v>
      </c>
      <c r="E615" s="77">
        <v>225</v>
      </c>
      <c r="F615" s="103" t="s">
        <v>687</v>
      </c>
      <c r="G615" s="78">
        <f t="shared" si="78"/>
        <v>247.50000000000003</v>
      </c>
      <c r="H615" s="17" t="s">
        <v>876</v>
      </c>
      <c r="I615" s="20" t="str">
        <f t="shared" si="79"/>
        <v>ME 174,ED1-ME</v>
      </c>
      <c r="J615" s="25"/>
    </row>
    <row r="616" spans="1:10" ht="15.5" x14ac:dyDescent="0.35">
      <c r="A616" s="75" t="s">
        <v>486</v>
      </c>
      <c r="B616" s="79" t="str">
        <v>PRODUCT DESIGN AND MANUFACTURING</v>
      </c>
      <c r="C616" s="79" t="str">
        <v>Afriyie Nyarko Frank Kwabena</v>
      </c>
      <c r="D616" s="75" t="s">
        <v>162</v>
      </c>
      <c r="E616" s="77">
        <v>85</v>
      </c>
      <c r="F616" s="80" t="s">
        <v>850</v>
      </c>
      <c r="G616" s="78">
        <f t="shared" si="78"/>
        <v>93.500000000000014</v>
      </c>
      <c r="H616" s="17" t="s">
        <v>851</v>
      </c>
      <c r="I616" s="20" t="str">
        <f t="shared" si="79"/>
        <v>ME 174,ED1-AUTO</v>
      </c>
      <c r="J616" s="25"/>
    </row>
    <row r="617" spans="1:10" ht="15.5" x14ac:dyDescent="0.35">
      <c r="A617" s="75" t="s">
        <v>488</v>
      </c>
      <c r="B617" s="76" t="str">
        <v>PHYSICAL CHEMISTRY FOR ENGINEERS</v>
      </c>
      <c r="C617" s="79" t="str">
        <v>Boakye Patrick</v>
      </c>
      <c r="D617" s="75" t="s">
        <v>82</v>
      </c>
      <c r="E617" s="77">
        <v>130</v>
      </c>
      <c r="F617" s="80" t="s">
        <v>533</v>
      </c>
      <c r="G617" s="78">
        <f t="shared" si="78"/>
        <v>143</v>
      </c>
      <c r="H617" s="17" t="s">
        <v>858</v>
      </c>
      <c r="I617" s="20" t="str">
        <f t="shared" si="79"/>
        <v>PE 156,ED1-PE</v>
      </c>
      <c r="J617" s="25"/>
    </row>
    <row r="618" spans="1:10" ht="15.5" x14ac:dyDescent="0.35">
      <c r="A618" s="75" t="s">
        <v>302</v>
      </c>
      <c r="B618" s="76" t="str">
        <v>PHYSICAL CHEMISTRY FOR ENGINEERS</v>
      </c>
      <c r="C618" s="76" t="str">
        <v>Boakye Patrick</v>
      </c>
      <c r="D618" s="75" t="s">
        <v>81</v>
      </c>
      <c r="E618" s="77">
        <v>56</v>
      </c>
      <c r="F618" s="80" t="s">
        <v>915</v>
      </c>
      <c r="G618" s="78">
        <f t="shared" si="78"/>
        <v>61.600000000000009</v>
      </c>
      <c r="H618" s="17" t="s">
        <v>916</v>
      </c>
      <c r="I618" s="20" t="str">
        <f t="shared" si="79"/>
        <v>CHE 156,ED1-PCE</v>
      </c>
      <c r="J618" s="25"/>
    </row>
    <row r="619" spans="1:10" ht="15.5" x14ac:dyDescent="0.35">
      <c r="A619" s="75" t="s">
        <v>489</v>
      </c>
      <c r="B619" s="76" t="str">
        <v>LARGE SCALE SURVEYING</v>
      </c>
      <c r="C619" s="76" t="str">
        <v>Dadzie Isaac</v>
      </c>
      <c r="D619" s="75" t="s">
        <v>56</v>
      </c>
      <c r="E619" s="77">
        <v>250</v>
      </c>
      <c r="F619" s="80" t="s">
        <v>854</v>
      </c>
      <c r="G619" s="78">
        <f t="shared" si="78"/>
        <v>275</v>
      </c>
      <c r="H619" s="17" t="s">
        <v>894</v>
      </c>
      <c r="I619" s="20" t="str">
        <f t="shared" si="79"/>
        <v>GE 282,ED2-CE</v>
      </c>
      <c r="J619" s="25"/>
    </row>
    <row r="620" spans="1:10" ht="15.5" x14ac:dyDescent="0.35">
      <c r="A620" s="75" t="s">
        <v>489</v>
      </c>
      <c r="B620" s="76" t="str">
        <v>LARGE SCALE SURVEYING</v>
      </c>
      <c r="C620" s="76" t="str">
        <v>Dadzie Isaac</v>
      </c>
      <c r="D620" s="75" t="s">
        <v>55</v>
      </c>
      <c r="E620" s="77">
        <v>150</v>
      </c>
      <c r="F620" s="80" t="s">
        <v>533</v>
      </c>
      <c r="G620" s="78">
        <f t="shared" si="78"/>
        <v>165</v>
      </c>
      <c r="H620" s="17" t="s">
        <v>681</v>
      </c>
      <c r="I620" s="20" t="str">
        <f t="shared" si="79"/>
        <v>GE 282,ED2-GEOL</v>
      </c>
      <c r="J620" s="25"/>
    </row>
    <row r="621" spans="1:10" ht="15.5" x14ac:dyDescent="0.35">
      <c r="A621" s="81"/>
      <c r="B621" s="81"/>
      <c r="C621" s="72"/>
      <c r="D621" s="76" t="s">
        <v>490</v>
      </c>
      <c r="E621" s="82">
        <f>SUM(E611:E620)</f>
        <v>1165</v>
      </c>
      <c r="F621" s="83"/>
      <c r="G621" s="84"/>
      <c r="I621" s="22" t="s">
        <v>491</v>
      </c>
      <c r="J621" s="25"/>
    </row>
    <row r="622" spans="1:10" ht="15.5" x14ac:dyDescent="0.35">
      <c r="A622" s="97"/>
      <c r="B622" s="97"/>
      <c r="C622" s="72"/>
      <c r="D622" s="97"/>
      <c r="E622" s="98"/>
      <c r="F622" s="99"/>
      <c r="G622" s="100"/>
      <c r="J622" s="50"/>
    </row>
    <row r="623" spans="1:10" ht="15.5" x14ac:dyDescent="0.35">
      <c r="A623" s="97"/>
      <c r="B623" s="97"/>
      <c r="C623" s="72"/>
      <c r="D623" s="97"/>
      <c r="E623" s="98"/>
      <c r="F623" s="99"/>
      <c r="G623" s="100"/>
    </row>
    <row r="624" spans="1:10" ht="15.5" x14ac:dyDescent="0.35">
      <c r="A624" s="6" t="s">
        <v>480</v>
      </c>
      <c r="B624" s="6"/>
      <c r="C624" s="6"/>
      <c r="D624" s="6"/>
      <c r="E624" s="6"/>
      <c r="F624" s="6"/>
      <c r="G624" s="6"/>
      <c r="I624" s="22" t="str">
        <f>A624</f>
        <v>Thursday, 3 September 2026</v>
      </c>
      <c r="J624" s="25"/>
    </row>
    <row r="625" spans="1:10" ht="15.5" x14ac:dyDescent="0.35">
      <c r="A625" s="6" t="s">
        <v>29</v>
      </c>
      <c r="B625" s="6"/>
      <c r="C625" s="6"/>
      <c r="D625" s="6"/>
      <c r="E625" s="6"/>
      <c r="F625" s="6"/>
      <c r="G625" s="6"/>
      <c r="I625" s="22" t="str">
        <f>A625</f>
        <v>Session, 2 (12:00 PM - 2:00 PM)</v>
      </c>
      <c r="J625" s="25"/>
    </row>
    <row r="626" spans="1:10" ht="15.5" x14ac:dyDescent="0.35">
      <c r="A626" s="71" t="s">
        <v>4</v>
      </c>
      <c r="B626" s="71" t="s">
        <v>5</v>
      </c>
      <c r="C626" s="72" t="s">
        <v>6</v>
      </c>
      <c r="D626" s="71" t="s">
        <v>7</v>
      </c>
      <c r="E626" s="73" t="s">
        <v>8</v>
      </c>
      <c r="F626" s="72" t="s">
        <v>9</v>
      </c>
      <c r="G626" s="74" t="s">
        <v>10</v>
      </c>
      <c r="I626" s="22" t="s">
        <v>31</v>
      </c>
      <c r="J626" s="25"/>
    </row>
    <row r="627" spans="1:10" ht="15.5" x14ac:dyDescent="0.35">
      <c r="A627" s="75" t="s">
        <v>492</v>
      </c>
      <c r="B627" s="76" t="str">
        <f t="array" ref="B627:B639">IFERROR(VLOOKUP(I627:I639,Lectures_1!A2:F534,2,FALSE()),0)</f>
        <v>INTRODUCTION TO PROGRAMMING - I</v>
      </c>
      <c r="C627" s="76" t="str">
        <f t="array" ref="C627:C639">IFERROR(VLOOKUP(I627:I639,Lectures_1!A2:F534,3,FALSE()),0)</f>
        <v>Agyemang Justice Owusu</v>
      </c>
      <c r="D627" s="75" t="s">
        <v>91</v>
      </c>
      <c r="E627" s="77">
        <f t="array" ref="E627:E639">IFERROR(VLOOKUP(I627:I639,Lectures_1!A2:F534,4,FALSE()),0)</f>
        <v>130</v>
      </c>
      <c r="F627" s="88" t="s">
        <v>533</v>
      </c>
      <c r="G627" s="78">
        <f t="shared" ref="G627:G639" si="80">E627*1.1</f>
        <v>143</v>
      </c>
      <c r="H627" s="58" t="s">
        <v>917</v>
      </c>
      <c r="I627" s="20" t="str">
        <f t="shared" ref="I627:I639" si="81">CONCATENATE(A627,",",D627)</f>
        <v>TE 158,ED1-TEL</v>
      </c>
      <c r="J627" s="25"/>
    </row>
    <row r="628" spans="1:10" ht="15.5" x14ac:dyDescent="0.35">
      <c r="A628" s="75" t="s">
        <v>493</v>
      </c>
      <c r="B628" s="79" t="str">
        <v>AUTOMOTIVE ELECTRICAL SYSTEMS AND ELECTRONICS</v>
      </c>
      <c r="C628" s="79" t="str">
        <v>Ayetor Godwin Kafui Kwesi</v>
      </c>
      <c r="D628" s="75" t="s">
        <v>40</v>
      </c>
      <c r="E628" s="77">
        <v>82</v>
      </c>
      <c r="F628" s="75" t="s">
        <v>546</v>
      </c>
      <c r="G628" s="78">
        <f t="shared" si="80"/>
        <v>90.2</v>
      </c>
      <c r="H628" s="17">
        <v>82</v>
      </c>
      <c r="I628" s="20" t="str">
        <f t="shared" si="81"/>
        <v>AME 252,ED2-AUTO</v>
      </c>
      <c r="J628" s="25"/>
    </row>
    <row r="629" spans="1:10" ht="15.5" x14ac:dyDescent="0.35">
      <c r="A629" s="75" t="s">
        <v>494</v>
      </c>
      <c r="B629" s="76" t="str">
        <v>RESERVOIR FLUID PROPERTIES</v>
      </c>
      <c r="C629" s="76" t="str">
        <v>Casper Daniel Adenutsi</v>
      </c>
      <c r="D629" s="75" t="s">
        <v>93</v>
      </c>
      <c r="E629" s="77">
        <v>95</v>
      </c>
      <c r="F629" s="80" t="s">
        <v>571</v>
      </c>
      <c r="G629" s="78">
        <f t="shared" si="80"/>
        <v>104.50000000000001</v>
      </c>
      <c r="H629" s="17" t="s">
        <v>856</v>
      </c>
      <c r="I629" s="20" t="str">
        <f t="shared" si="81"/>
        <v>PE 260,ED2-PE</v>
      </c>
      <c r="J629" s="25"/>
    </row>
    <row r="630" spans="1:10" ht="15.5" x14ac:dyDescent="0.35">
      <c r="A630" s="75" t="s">
        <v>496</v>
      </c>
      <c r="B630" s="71" t="str">
        <v>KINETICS AND REACTIONS ENGINEERING</v>
      </c>
      <c r="C630" s="76" t="str">
        <v>Augustine Ntiamoah</v>
      </c>
      <c r="D630" s="75" t="s">
        <v>63</v>
      </c>
      <c r="E630" s="77">
        <v>53</v>
      </c>
      <c r="F630" s="89" t="s">
        <v>541</v>
      </c>
      <c r="G630" s="78">
        <f t="shared" si="80"/>
        <v>58.300000000000004</v>
      </c>
      <c r="H630" s="40">
        <v>53</v>
      </c>
      <c r="I630" s="20" t="str">
        <f t="shared" si="81"/>
        <v>PCE 350,ED3-PCE</v>
      </c>
      <c r="J630" s="25"/>
    </row>
    <row r="631" spans="1:10" ht="15.5" x14ac:dyDescent="0.35">
      <c r="A631" s="75" t="s">
        <v>497</v>
      </c>
      <c r="B631" s="76" t="str">
        <v>MINING PRINCIPLES AND SYSTEMS</v>
      </c>
      <c r="C631" s="76" t="str">
        <v>Owusu-Sarpong Seth</v>
      </c>
      <c r="D631" s="75" t="s">
        <v>154</v>
      </c>
      <c r="E631" s="77">
        <v>154</v>
      </c>
      <c r="F631" s="80" t="s">
        <v>693</v>
      </c>
      <c r="G631" s="78">
        <f t="shared" si="80"/>
        <v>169.4</v>
      </c>
      <c r="H631" s="17" t="s">
        <v>918</v>
      </c>
      <c r="I631" s="20" t="str">
        <f t="shared" si="81"/>
        <v>GED 342,ED3-GEOL</v>
      </c>
      <c r="J631" s="25"/>
    </row>
    <row r="632" spans="1:10" ht="15.5" x14ac:dyDescent="0.35">
      <c r="A632" s="75" t="s">
        <v>498</v>
      </c>
      <c r="B632" s="79" t="str">
        <v>RESEARCH METHODS FOR ENGINEERS</v>
      </c>
      <c r="C632" s="76" t="str">
        <v>Amponsah William</v>
      </c>
      <c r="D632" s="75" t="s">
        <v>88</v>
      </c>
      <c r="E632" s="77">
        <v>101</v>
      </c>
      <c r="F632" s="80" t="s">
        <v>582</v>
      </c>
      <c r="G632" s="78">
        <f t="shared" si="80"/>
        <v>111.10000000000001</v>
      </c>
      <c r="H632" s="17" t="s">
        <v>737</v>
      </c>
      <c r="I632" s="20" t="str">
        <f t="shared" si="81"/>
        <v>AE 362,ED3-AE</v>
      </c>
      <c r="J632" s="25"/>
    </row>
    <row r="633" spans="1:10" ht="15.5" x14ac:dyDescent="0.35">
      <c r="A633" s="75" t="s">
        <v>499</v>
      </c>
      <c r="B633" s="79" t="str">
        <v>NUMERICAL METHODS FOR ENGINEERS</v>
      </c>
      <c r="C633" s="79" t="str">
        <v>Nartey Martinson Addo</v>
      </c>
      <c r="D633" s="75" t="s">
        <v>142</v>
      </c>
      <c r="E633" s="77">
        <v>87</v>
      </c>
      <c r="F633" s="75" t="s">
        <v>919</v>
      </c>
      <c r="G633" s="78">
        <f t="shared" si="80"/>
        <v>95.7</v>
      </c>
      <c r="H633" s="17" t="s">
        <v>920</v>
      </c>
      <c r="I633" s="20" t="str">
        <f t="shared" si="81"/>
        <v>MSE 358,ED3-METE</v>
      </c>
      <c r="J633" s="25"/>
    </row>
    <row r="634" spans="1:10" ht="15.5" x14ac:dyDescent="0.35">
      <c r="A634" s="75" t="s">
        <v>499</v>
      </c>
      <c r="B634" s="79" t="str">
        <v>NUMERICAL METHODS FOR ENGINEERS</v>
      </c>
      <c r="C634" s="79" t="str">
        <v>Nartey Martinson Addo</v>
      </c>
      <c r="D634" s="75" t="s">
        <v>140</v>
      </c>
      <c r="E634" s="77">
        <v>85</v>
      </c>
      <c r="F634" s="75" t="s">
        <v>921</v>
      </c>
      <c r="G634" s="78">
        <f t="shared" si="80"/>
        <v>93.500000000000014</v>
      </c>
      <c r="H634" s="17" t="s">
        <v>922</v>
      </c>
      <c r="I634" s="20" t="str">
        <f t="shared" si="81"/>
        <v>MSE 358,ED3-MSE</v>
      </c>
      <c r="J634" s="25"/>
    </row>
    <row r="635" spans="1:10" ht="15.5" x14ac:dyDescent="0.35">
      <c r="A635" s="75" t="s">
        <v>511</v>
      </c>
      <c r="B635" s="79" t="str">
        <v>INTRODUCTION TO POLYMERIC MATERIALS</v>
      </c>
      <c r="C635" s="76" t="str">
        <v>Asare Eric Kwame Anokye</v>
      </c>
      <c r="D635" s="75" t="s">
        <v>210</v>
      </c>
      <c r="E635" s="77">
        <v>83</v>
      </c>
      <c r="F635" s="80" t="s">
        <v>567</v>
      </c>
      <c r="G635" s="78">
        <f t="shared" si="80"/>
        <v>91.300000000000011</v>
      </c>
      <c r="H635" s="17" t="s">
        <v>923</v>
      </c>
      <c r="I635" s="20" t="str">
        <f t="shared" si="81"/>
        <v>MSE 256,ED2-MSE</v>
      </c>
      <c r="J635" s="25"/>
    </row>
    <row r="636" spans="1:10" ht="15.5" x14ac:dyDescent="0.35">
      <c r="A636" s="75" t="s">
        <v>509</v>
      </c>
      <c r="B636" s="76" t="str">
        <v>GEOSTATISTICS</v>
      </c>
      <c r="C636" s="76" t="str">
        <v>Mustapha Hameed</v>
      </c>
      <c r="D636" s="75" t="s">
        <v>18</v>
      </c>
      <c r="E636" s="77">
        <v>80</v>
      </c>
      <c r="F636" s="80" t="s">
        <v>685</v>
      </c>
      <c r="G636" s="78">
        <f t="shared" si="80"/>
        <v>88</v>
      </c>
      <c r="H636" s="17" t="s">
        <v>561</v>
      </c>
      <c r="I636" s="20" t="str">
        <f t="shared" si="81"/>
        <v>PE 362,ED3-PE</v>
      </c>
      <c r="J636" s="25"/>
    </row>
    <row r="637" spans="1:10" ht="15.5" x14ac:dyDescent="0.35">
      <c r="A637" s="75" t="s">
        <v>487</v>
      </c>
      <c r="B637" s="79" t="str">
        <v>ORE BENEFICIATION</v>
      </c>
      <c r="C637" s="79" t="str">
        <v>Koomson Bennetta</v>
      </c>
      <c r="D637" s="75" t="s">
        <v>101</v>
      </c>
      <c r="E637" s="77">
        <v>57</v>
      </c>
      <c r="F637" s="89" t="s">
        <v>924</v>
      </c>
      <c r="G637" s="78">
        <f t="shared" si="80"/>
        <v>62.7</v>
      </c>
      <c r="H637" s="39" t="s">
        <v>925</v>
      </c>
      <c r="I637" s="20" t="str">
        <f t="shared" si="81"/>
        <v>METE 254,ED2-METE</v>
      </c>
      <c r="J637" s="25"/>
    </row>
    <row r="638" spans="1:10" ht="14.25" customHeight="1" x14ac:dyDescent="0.35">
      <c r="A638" s="75" t="s">
        <v>500</v>
      </c>
      <c r="B638" s="79" t="str">
        <v>ENVIRONMENTAL SCIENCE</v>
      </c>
      <c r="C638" s="76" t="str">
        <v>Koomson Bennetta</v>
      </c>
      <c r="D638" s="75" t="s">
        <v>114</v>
      </c>
      <c r="E638" s="77">
        <v>75</v>
      </c>
      <c r="F638" s="80" t="s">
        <v>926</v>
      </c>
      <c r="G638" s="78">
        <f t="shared" si="80"/>
        <v>82.5</v>
      </c>
      <c r="H638" s="17" t="s">
        <v>927</v>
      </c>
      <c r="I638" s="20" t="str">
        <f t="shared" si="81"/>
        <v>METE 154,ED1-METE</v>
      </c>
      <c r="J638" s="25"/>
    </row>
    <row r="639" spans="1:10" ht="15.5" x14ac:dyDescent="0.35">
      <c r="A639" s="75" t="s">
        <v>500</v>
      </c>
      <c r="B639" s="79" t="str">
        <v>ENVIRONMENTAL SCIENCE</v>
      </c>
      <c r="C639" s="76" t="str">
        <v>Koomson Bennetta</v>
      </c>
      <c r="D639" s="75" t="s">
        <v>115</v>
      </c>
      <c r="E639" s="77">
        <v>100</v>
      </c>
      <c r="F639" s="80" t="s">
        <v>928</v>
      </c>
      <c r="G639" s="78">
        <f t="shared" si="80"/>
        <v>110.00000000000001</v>
      </c>
      <c r="H639" s="17" t="s">
        <v>929</v>
      </c>
      <c r="I639" s="20" t="str">
        <f t="shared" si="81"/>
        <v>METE 154,ED1-MSE</v>
      </c>
      <c r="J639" s="25"/>
    </row>
    <row r="640" spans="1:10" ht="15.5" x14ac:dyDescent="0.35">
      <c r="A640" s="81"/>
      <c r="B640" s="81"/>
      <c r="C640" s="72"/>
      <c r="D640" s="76" t="s">
        <v>501</v>
      </c>
      <c r="E640" s="82">
        <f>SUM(E627:E639)</f>
        <v>1182</v>
      </c>
      <c r="F640" s="83"/>
      <c r="G640" s="84"/>
      <c r="I640" s="22"/>
      <c r="J640" s="25"/>
    </row>
    <row r="641" spans="1:10" ht="15.5" x14ac:dyDescent="0.35">
      <c r="A641" s="97"/>
      <c r="B641" s="97"/>
      <c r="C641" s="72"/>
      <c r="D641" s="97"/>
      <c r="E641" s="98"/>
      <c r="F641" s="99"/>
      <c r="G641" s="100"/>
    </row>
    <row r="642" spans="1:10" ht="15.5" x14ac:dyDescent="0.35">
      <c r="A642" s="6" t="s">
        <v>480</v>
      </c>
      <c r="B642" s="6"/>
      <c r="C642" s="6"/>
      <c r="D642" s="6"/>
      <c r="E642" s="6"/>
      <c r="F642" s="6"/>
      <c r="G642" s="6"/>
      <c r="I642" s="22" t="str">
        <f>A642</f>
        <v>Thursday, 3 September 2026</v>
      </c>
      <c r="J642" s="25"/>
    </row>
    <row r="643" spans="1:10" ht="15.5" x14ac:dyDescent="0.35">
      <c r="A643" s="6" t="s">
        <v>59</v>
      </c>
      <c r="B643" s="6"/>
      <c r="C643" s="6"/>
      <c r="D643" s="6"/>
      <c r="E643" s="6"/>
      <c r="F643" s="6"/>
      <c r="G643" s="6"/>
      <c r="I643" s="22" t="str">
        <f>A643</f>
        <v>Session, 3 (3:00 PM - 5:00 PM)</v>
      </c>
      <c r="J643" s="25"/>
    </row>
    <row r="644" spans="1:10" ht="15.5" x14ac:dyDescent="0.35">
      <c r="A644" s="71" t="s">
        <v>4</v>
      </c>
      <c r="B644" s="71" t="s">
        <v>5</v>
      </c>
      <c r="C644" s="72" t="s">
        <v>6</v>
      </c>
      <c r="D644" s="71" t="s">
        <v>7</v>
      </c>
      <c r="E644" s="73" t="s">
        <v>8</v>
      </c>
      <c r="F644" s="72" t="s">
        <v>9</v>
      </c>
      <c r="G644" s="74" t="s">
        <v>10</v>
      </c>
      <c r="H644" s="40"/>
      <c r="I644" s="22" t="s">
        <v>31</v>
      </c>
      <c r="J644" s="25"/>
    </row>
    <row r="645" spans="1:10" ht="15.5" x14ac:dyDescent="0.35">
      <c r="A645" s="75" t="s">
        <v>502</v>
      </c>
      <c r="B645" s="76" t="str">
        <f t="array" ref="B645:B657">IFERROR(VLOOKUP(I645:I657,Lectures_1!A2:F534,2,FALSE()),0)</f>
        <v>WELL COMPLETION AND STIMULATION</v>
      </c>
      <c r="C645" s="76" t="str">
        <f t="array" ref="C645:C657">IFERROR(VLOOKUP(I645:I657,Lectures_1!A2:F534,3,FALSE()),0)</f>
        <v>Erzuah Samuel</v>
      </c>
      <c r="D645" s="75" t="s">
        <v>46</v>
      </c>
      <c r="E645" s="77">
        <f t="array" ref="E645:E657">IFERROR(VLOOKUP(I645:I657,Lectures_1!A2:F534,4,FALSE()),0)</f>
        <v>99</v>
      </c>
      <c r="F645" s="89" t="s">
        <v>582</v>
      </c>
      <c r="G645" s="78">
        <f t="shared" ref="G645:G657" si="82">E645*1.1</f>
        <v>108.9</v>
      </c>
      <c r="H645" s="39" t="s">
        <v>930</v>
      </c>
      <c r="I645" s="20" t="str">
        <f t="shared" ref="I645:I657" si="83">CONCATENATE(A645,",",D645)</f>
        <v>PE 456,ED4-PE</v>
      </c>
      <c r="J645" s="25"/>
    </row>
    <row r="646" spans="1:10" ht="15.5" x14ac:dyDescent="0.35">
      <c r="A646" s="75" t="s">
        <v>503</v>
      </c>
      <c r="B646" s="76" t="str">
        <v>BIOMEDICAL OPTICS</v>
      </c>
      <c r="C646" s="76" t="str">
        <v>Kotei Addison Eric Clement</v>
      </c>
      <c r="D646" s="75" t="s">
        <v>65</v>
      </c>
      <c r="E646" s="77">
        <v>90</v>
      </c>
      <c r="F646" s="89" t="s">
        <v>919</v>
      </c>
      <c r="G646" s="78">
        <f t="shared" si="82"/>
        <v>99.000000000000014</v>
      </c>
      <c r="H646" s="39" t="s">
        <v>931</v>
      </c>
      <c r="I646" s="20" t="str">
        <f t="shared" si="83"/>
        <v>BME 374,ED3-BME</v>
      </c>
      <c r="J646" s="25"/>
    </row>
    <row r="647" spans="1:10" ht="15.5" x14ac:dyDescent="0.35">
      <c r="A647" s="75" t="s">
        <v>504</v>
      </c>
      <c r="B647" s="76" t="str">
        <v>INTRODUCTION TO VLSI</v>
      </c>
      <c r="C647" s="79" t="str">
        <v>Agbemenu Andrew Selasi</v>
      </c>
      <c r="D647" s="75" t="s">
        <v>144</v>
      </c>
      <c r="E647" s="77">
        <v>15</v>
      </c>
      <c r="F647" s="80" t="s">
        <v>932</v>
      </c>
      <c r="G647" s="78">
        <f t="shared" si="82"/>
        <v>16.5</v>
      </c>
      <c r="H647" s="17">
        <v>15</v>
      </c>
      <c r="I647" s="20" t="str">
        <f t="shared" si="83"/>
        <v>COE 486,ED4-EE</v>
      </c>
      <c r="J647" s="25"/>
    </row>
    <row r="648" spans="1:10" ht="15.5" x14ac:dyDescent="0.35">
      <c r="A648" s="75" t="s">
        <v>504</v>
      </c>
      <c r="B648" s="76" t="str">
        <v>VLSI CIRCUIT DESIGN</v>
      </c>
      <c r="C648" s="79" t="str">
        <v>Agbemenu Andrew Selasi</v>
      </c>
      <c r="D648" s="75" t="s">
        <v>251</v>
      </c>
      <c r="E648" s="77">
        <v>20</v>
      </c>
      <c r="F648" s="80" t="s">
        <v>632</v>
      </c>
      <c r="G648" s="78">
        <f t="shared" si="82"/>
        <v>22</v>
      </c>
      <c r="H648" s="17">
        <v>20</v>
      </c>
      <c r="I648" s="20" t="str">
        <f t="shared" si="83"/>
        <v>COE 486,ED4-COE</v>
      </c>
      <c r="J648" s="25"/>
    </row>
    <row r="649" spans="1:10" ht="15.5" x14ac:dyDescent="0.35">
      <c r="A649" s="75" t="s">
        <v>506</v>
      </c>
      <c r="B649" s="76" t="str">
        <v>SHIP OPERATION, REGULATION AND MANAGEMENT</v>
      </c>
      <c r="C649" s="79" t="str">
        <v>Sackey Michael Nii</v>
      </c>
      <c r="D649" s="75" t="s">
        <v>69</v>
      </c>
      <c r="E649" s="77">
        <v>23</v>
      </c>
      <c r="F649" s="89" t="s">
        <v>863</v>
      </c>
      <c r="G649" s="78">
        <f t="shared" si="82"/>
        <v>25.3</v>
      </c>
      <c r="H649" s="40">
        <v>23</v>
      </c>
      <c r="I649" s="20" t="str">
        <f t="shared" si="83"/>
        <v>MME 492,ED4-MARI</v>
      </c>
      <c r="J649" s="25"/>
    </row>
    <row r="650" spans="1:10" ht="15.5" x14ac:dyDescent="0.35">
      <c r="A650" s="75" t="s">
        <v>326</v>
      </c>
      <c r="B650" s="76" t="str">
        <v>TELECOMMUNICATION POLICY AND REGULATION</v>
      </c>
      <c r="C650" s="79" t="str">
        <v>Kingsford Sarkodie Obeng Kwakye</v>
      </c>
      <c r="D650" s="75" t="s">
        <v>227</v>
      </c>
      <c r="E650" s="77">
        <v>138</v>
      </c>
      <c r="F650" s="89" t="s">
        <v>533</v>
      </c>
      <c r="G650" s="78">
        <f t="shared" si="82"/>
        <v>151.80000000000001</v>
      </c>
      <c r="H650" s="40" t="s">
        <v>883</v>
      </c>
      <c r="I650" s="20" t="str">
        <f t="shared" si="83"/>
        <v>TE 452,ED4-TEL</v>
      </c>
      <c r="J650" s="25"/>
    </row>
    <row r="651" spans="1:10" ht="15.5" x14ac:dyDescent="0.35">
      <c r="A651" s="75" t="s">
        <v>508</v>
      </c>
      <c r="B651" s="76" t="str">
        <v>PRODUCTION PLANNING AND CONTROL</v>
      </c>
      <c r="C651" s="79" t="str">
        <v>Dzebre Denis Edem Kwame</v>
      </c>
      <c r="D651" s="75" t="s">
        <v>124</v>
      </c>
      <c r="E651" s="77">
        <v>69</v>
      </c>
      <c r="F651" s="80" t="s">
        <v>933</v>
      </c>
      <c r="G651" s="78">
        <f t="shared" si="82"/>
        <v>75.900000000000006</v>
      </c>
      <c r="H651" s="17" t="s">
        <v>934</v>
      </c>
      <c r="I651" s="20" t="str">
        <f t="shared" si="83"/>
        <v>IE 454,ED4-IND</v>
      </c>
      <c r="J651" s="25"/>
    </row>
    <row r="652" spans="1:10" ht="15.5" x14ac:dyDescent="0.35">
      <c r="A652" s="75" t="s">
        <v>176</v>
      </c>
      <c r="B652" s="79" t="str">
        <v>ENGINEERING MANAGEMENT</v>
      </c>
      <c r="C652" s="79" t="str">
        <v>Takyi Gabriel</v>
      </c>
      <c r="D652" s="75" t="s">
        <v>177</v>
      </c>
      <c r="E652" s="77">
        <v>95</v>
      </c>
      <c r="F652" s="80" t="s">
        <v>919</v>
      </c>
      <c r="G652" s="78">
        <f t="shared" si="82"/>
        <v>104.50000000000001</v>
      </c>
      <c r="H652" s="17" t="s">
        <v>935</v>
      </c>
      <c r="I652" s="20" t="str">
        <f t="shared" si="83"/>
        <v>GED 464,ED4-GEOL</v>
      </c>
      <c r="J652" s="25"/>
    </row>
    <row r="653" spans="1:10" ht="15.5" x14ac:dyDescent="0.35">
      <c r="A653" s="75" t="s">
        <v>378</v>
      </c>
      <c r="B653" s="79" t="str">
        <v xml:space="preserve"> HIGHWAY ENGINEERING</v>
      </c>
      <c r="C653" s="76" t="str">
        <v>Ababio-Donkor Augustus</v>
      </c>
      <c r="D653" s="75" t="s">
        <v>77</v>
      </c>
      <c r="E653" s="77">
        <v>122</v>
      </c>
      <c r="F653" s="80" t="s">
        <v>936</v>
      </c>
      <c r="G653" s="78">
        <f t="shared" si="82"/>
        <v>134.20000000000002</v>
      </c>
      <c r="H653" s="17" t="s">
        <v>937</v>
      </c>
      <c r="I653" s="20" t="str">
        <f t="shared" si="83"/>
        <v>CE 368,ED3-GEOM</v>
      </c>
      <c r="J653" s="25"/>
    </row>
    <row r="654" spans="1:10" ht="15.5" x14ac:dyDescent="0.35">
      <c r="A654" s="75" t="s">
        <v>83</v>
      </c>
      <c r="B654" s="76" t="str">
        <v>HEAT TRANSPORT PROCESSES</v>
      </c>
      <c r="C654" s="79" t="str">
        <v>Ohemeng-Boahen Godfred</v>
      </c>
      <c r="D654" s="80" t="s">
        <v>14</v>
      </c>
      <c r="E654" s="77">
        <v>65</v>
      </c>
      <c r="F654" s="80" t="s">
        <v>624</v>
      </c>
      <c r="G654" s="78">
        <f t="shared" si="82"/>
        <v>71.5</v>
      </c>
      <c r="H654" s="19" t="s">
        <v>938</v>
      </c>
      <c r="I654" s="20" t="str">
        <f t="shared" si="83"/>
        <v>CHE 256,ED2-PCE</v>
      </c>
      <c r="J654" s="25"/>
    </row>
    <row r="655" spans="1:10" ht="15.5" x14ac:dyDescent="0.35">
      <c r="A655" s="75" t="s">
        <v>83</v>
      </c>
      <c r="B655" s="76" t="str">
        <v>HEAT TRANSPORT PROCESSES</v>
      </c>
      <c r="C655" s="79" t="str">
        <v>Momade Zsuzsanna Gál</v>
      </c>
      <c r="D655" s="75" t="s">
        <v>13</v>
      </c>
      <c r="E655" s="77">
        <v>160</v>
      </c>
      <c r="F655" s="80" t="s">
        <v>710</v>
      </c>
      <c r="G655" s="78">
        <f t="shared" si="82"/>
        <v>176</v>
      </c>
      <c r="H655" s="19" t="s">
        <v>711</v>
      </c>
      <c r="I655" s="20" t="str">
        <f t="shared" si="83"/>
        <v>CHE 256,ED2-CHE</v>
      </c>
      <c r="J655" s="25"/>
    </row>
    <row r="656" spans="1:10" ht="15.5" x14ac:dyDescent="0.35">
      <c r="A656" s="75" t="s">
        <v>125</v>
      </c>
      <c r="B656" s="79" t="str">
        <v>COMPUTER APPLICATIONS</v>
      </c>
      <c r="C656" s="79" t="str">
        <v>Albert Kwame Kwaw</v>
      </c>
      <c r="D656" s="75" t="s">
        <v>126</v>
      </c>
      <c r="E656" s="77">
        <v>125</v>
      </c>
      <c r="F656" s="89" t="s">
        <v>939</v>
      </c>
      <c r="G656" s="78">
        <f t="shared" si="82"/>
        <v>137.5</v>
      </c>
      <c r="H656" s="39" t="s">
        <v>940</v>
      </c>
      <c r="I656" s="20" t="str">
        <f t="shared" si="83"/>
        <v>GED 164,ED1-GEOL</v>
      </c>
      <c r="J656" s="25"/>
    </row>
    <row r="657" spans="1:10" ht="15.5" x14ac:dyDescent="0.35">
      <c r="A657" s="75" t="s">
        <v>94</v>
      </c>
      <c r="B657" s="79" t="str">
        <v>LARGE SCALE SURVEYING</v>
      </c>
      <c r="C657" s="79" t="str">
        <v>Ayer John Wise Divine</v>
      </c>
      <c r="D657" s="75" t="s">
        <v>95</v>
      </c>
      <c r="E657" s="77">
        <v>103</v>
      </c>
      <c r="F657" s="89" t="s">
        <v>611</v>
      </c>
      <c r="G657" s="78">
        <f t="shared" si="82"/>
        <v>113.30000000000001</v>
      </c>
      <c r="H657" s="39" t="s">
        <v>941</v>
      </c>
      <c r="I657" s="20" t="str">
        <f t="shared" si="83"/>
        <v>GE 162,ED1-GEOM</v>
      </c>
      <c r="J657" s="25"/>
    </row>
    <row r="658" spans="1:10" ht="15.5" x14ac:dyDescent="0.35">
      <c r="A658" s="81"/>
      <c r="B658" s="81"/>
      <c r="C658" s="72"/>
      <c r="D658" s="76" t="s">
        <v>512</v>
      </c>
      <c r="E658" s="82">
        <f>SUM(E645:E657)</f>
        <v>1124</v>
      </c>
      <c r="F658" s="83"/>
      <c r="G658" s="84"/>
      <c r="I658" s="22" t="s">
        <v>513</v>
      </c>
      <c r="J658" s="25"/>
    </row>
    <row r="659" spans="1:10" ht="15.5" x14ac:dyDescent="0.35">
      <c r="A659" s="81"/>
      <c r="B659" s="81"/>
      <c r="C659" s="72"/>
      <c r="D659" s="76"/>
      <c r="E659" s="82"/>
      <c r="F659" s="83"/>
      <c r="G659" s="84"/>
      <c r="I659" s="22"/>
      <c r="J659" s="25"/>
    </row>
    <row r="660" spans="1:10" ht="15.5" x14ac:dyDescent="0.35">
      <c r="A660" s="6" t="s">
        <v>514</v>
      </c>
      <c r="B660" s="6"/>
      <c r="C660" s="6"/>
      <c r="D660" s="6"/>
      <c r="E660" s="6"/>
      <c r="F660" s="6"/>
      <c r="G660" s="6"/>
      <c r="I660" s="22" t="str">
        <f>A660</f>
        <v>Friday, 4 September 2026</v>
      </c>
      <c r="J660" s="25"/>
    </row>
    <row r="661" spans="1:10" ht="15.5" x14ac:dyDescent="0.35">
      <c r="A661" s="6" t="s">
        <v>2</v>
      </c>
      <c r="B661" s="6"/>
      <c r="C661" s="6"/>
      <c r="D661" s="6"/>
      <c r="E661" s="6"/>
      <c r="F661" s="6"/>
      <c r="G661" s="6"/>
      <c r="I661" s="22" t="str">
        <f>A661</f>
        <v>Session, 1 (8:30 AM - 10:30 AM)</v>
      </c>
      <c r="J661" s="25"/>
    </row>
    <row r="662" spans="1:10" ht="15.5" x14ac:dyDescent="0.35">
      <c r="A662" s="71" t="s">
        <v>4</v>
      </c>
      <c r="B662" s="71" t="s">
        <v>5</v>
      </c>
      <c r="C662" s="72" t="s">
        <v>6</v>
      </c>
      <c r="D662" s="71" t="s">
        <v>7</v>
      </c>
      <c r="E662" s="73" t="s">
        <v>8</v>
      </c>
      <c r="F662" s="72" t="s">
        <v>9</v>
      </c>
      <c r="G662" s="74" t="s">
        <v>10</v>
      </c>
      <c r="H662" s="40"/>
      <c r="I662" s="22" t="s">
        <v>31</v>
      </c>
      <c r="J662" s="25"/>
    </row>
    <row r="663" spans="1:10" ht="15.5" x14ac:dyDescent="0.35">
      <c r="A663" s="75" t="s">
        <v>129</v>
      </c>
      <c r="B663" s="76" t="str">
        <f t="array" ref="B663:B671">IFERROR(VLOOKUP(I663:I671,Lectures_1!A2:F534,2,FALSE()),0)</f>
        <v>CALCULUS WITH ANALYSIS</v>
      </c>
      <c r="C663" s="79" t="str">
        <f t="array" ref="C663:C671">IFERROR(VLOOKUP(I663:I671,Lectures_1!A2:F534,3,FALSE()),0)</f>
        <v>Kwabi Prince Amponsah</v>
      </c>
      <c r="D663" s="80" t="s">
        <v>82</v>
      </c>
      <c r="E663" s="77">
        <f t="array" ref="E663:E671">IFERROR(VLOOKUP(I663:I671,Lectures_1!A2:F534,4,FALSE()),0)</f>
        <v>130</v>
      </c>
      <c r="F663" s="89" t="s">
        <v>533</v>
      </c>
      <c r="G663" s="78">
        <f t="shared" ref="G663:G671" si="84">E663*1.1</f>
        <v>143</v>
      </c>
      <c r="H663" s="39" t="s">
        <v>917</v>
      </c>
      <c r="I663" s="20" t="str">
        <f t="shared" ref="I663:I671" si="85">CONCATENATE(A663,",",D663)</f>
        <v>MATH 152,ED1-PE</v>
      </c>
      <c r="J663" s="25"/>
    </row>
    <row r="664" spans="1:10" ht="15.5" x14ac:dyDescent="0.35">
      <c r="A664" s="75" t="s">
        <v>129</v>
      </c>
      <c r="B664" s="76" t="str">
        <v>CALCULUS WITH ANALYSIS</v>
      </c>
      <c r="C664" s="76" t="str">
        <v>Kwabi Prince Amponsah</v>
      </c>
      <c r="D664" s="75" t="s">
        <v>126</v>
      </c>
      <c r="E664" s="77">
        <v>125</v>
      </c>
      <c r="F664" s="89" t="s">
        <v>942</v>
      </c>
      <c r="G664" s="78">
        <f t="shared" si="84"/>
        <v>137.5</v>
      </c>
      <c r="H664" s="39" t="s">
        <v>943</v>
      </c>
      <c r="I664" s="20" t="str">
        <f t="shared" si="85"/>
        <v>MATH 152,ED1-GEOL</v>
      </c>
      <c r="J664" s="25"/>
    </row>
    <row r="665" spans="1:10" ht="15.5" x14ac:dyDescent="0.35">
      <c r="A665" s="75" t="s">
        <v>129</v>
      </c>
      <c r="B665" s="76" t="str">
        <v>CALCULUS WITH ANALYSIS</v>
      </c>
      <c r="C665" s="76" t="str">
        <v>Ezearn Jeffery</v>
      </c>
      <c r="D665" s="75" t="s">
        <v>131</v>
      </c>
      <c r="E665" s="77">
        <v>128</v>
      </c>
      <c r="F665" s="75" t="s">
        <v>936</v>
      </c>
      <c r="G665" s="78">
        <f t="shared" si="84"/>
        <v>140.80000000000001</v>
      </c>
      <c r="H665" s="40" t="s">
        <v>944</v>
      </c>
      <c r="I665" s="20" t="str">
        <f t="shared" si="85"/>
        <v>MATH 152,ED1-AE</v>
      </c>
      <c r="J665" s="25"/>
    </row>
    <row r="666" spans="1:10" ht="15.5" x14ac:dyDescent="0.35">
      <c r="A666" s="75" t="s">
        <v>129</v>
      </c>
      <c r="B666" s="76" t="str">
        <v>CALCULUS WITH ANALYSIS</v>
      </c>
      <c r="C666" s="76" t="str">
        <v>Ezearn Jeffery</v>
      </c>
      <c r="D666" s="75" t="s">
        <v>130</v>
      </c>
      <c r="E666" s="77">
        <v>136</v>
      </c>
      <c r="F666" s="75" t="s">
        <v>710</v>
      </c>
      <c r="G666" s="78">
        <f t="shared" si="84"/>
        <v>149.60000000000002</v>
      </c>
      <c r="H666" s="40" t="s">
        <v>784</v>
      </c>
      <c r="I666" s="20" t="str">
        <f t="shared" si="85"/>
        <v>MATH 152,ED1-BME</v>
      </c>
      <c r="J666" s="25"/>
    </row>
    <row r="667" spans="1:10" ht="15.5" x14ac:dyDescent="0.35">
      <c r="A667" s="75" t="s">
        <v>129</v>
      </c>
      <c r="B667" s="79" t="str">
        <v>CALCULUS WITH ANALYSIS</v>
      </c>
      <c r="C667" s="76" t="str">
        <v>Ezearn Jeffery</v>
      </c>
      <c r="D667" s="75" t="s">
        <v>191</v>
      </c>
      <c r="E667" s="77">
        <v>70</v>
      </c>
      <c r="F667" s="89" t="s">
        <v>945</v>
      </c>
      <c r="G667" s="78">
        <f t="shared" si="84"/>
        <v>77</v>
      </c>
      <c r="H667" s="40" t="s">
        <v>946</v>
      </c>
      <c r="I667" s="20" t="str">
        <f t="shared" si="85"/>
        <v>MATH 152,ED1-AERO</v>
      </c>
      <c r="J667" s="25"/>
    </row>
    <row r="668" spans="1:10" ht="15.5" x14ac:dyDescent="0.35">
      <c r="A668" s="75" t="s">
        <v>129</v>
      </c>
      <c r="B668" s="79" t="str">
        <v>CALCULUS WITH ANALYSIS</v>
      </c>
      <c r="C668" s="76" t="str">
        <v>Ezearn Jeffery</v>
      </c>
      <c r="D668" s="75" t="s">
        <v>111</v>
      </c>
      <c r="E668" s="77">
        <v>83</v>
      </c>
      <c r="F668" s="89" t="s">
        <v>571</v>
      </c>
      <c r="G668" s="78">
        <f t="shared" si="84"/>
        <v>91.300000000000011</v>
      </c>
      <c r="H668" s="40" t="s">
        <v>572</v>
      </c>
      <c r="I668" s="20" t="str">
        <f t="shared" si="85"/>
        <v>MATH 152,ED1-IND</v>
      </c>
      <c r="J668" s="25"/>
    </row>
    <row r="669" spans="1:10" ht="15.5" x14ac:dyDescent="0.35">
      <c r="A669" s="75" t="s">
        <v>129</v>
      </c>
      <c r="B669" s="79" t="str">
        <v>CALCULUS WITH ANALYSIS</v>
      </c>
      <c r="C669" s="76" t="str">
        <v>Ezearn Jeffery</v>
      </c>
      <c r="D669" s="75" t="s">
        <v>75</v>
      </c>
      <c r="E669" s="77">
        <v>245</v>
      </c>
      <c r="F669" s="75" t="s">
        <v>854</v>
      </c>
      <c r="G669" s="78">
        <f t="shared" si="84"/>
        <v>269.5</v>
      </c>
      <c r="H669" s="40" t="s">
        <v>547</v>
      </c>
      <c r="I669" s="20" t="str">
        <f t="shared" si="85"/>
        <v>MATH 152,ED1-CE</v>
      </c>
      <c r="J669" s="25"/>
    </row>
    <row r="670" spans="1:10" ht="15.5" x14ac:dyDescent="0.35">
      <c r="A670" s="75" t="s">
        <v>129</v>
      </c>
      <c r="B670" s="79" t="str">
        <v>CALCULUS WITH ANALYSIS</v>
      </c>
      <c r="C670" s="76" t="str">
        <v>Ezearn Jeffery</v>
      </c>
      <c r="D670" s="75" t="s">
        <v>112</v>
      </c>
      <c r="E670" s="77">
        <v>46</v>
      </c>
      <c r="F670" s="89" t="s">
        <v>541</v>
      </c>
      <c r="G670" s="78">
        <f t="shared" si="84"/>
        <v>50.6</v>
      </c>
      <c r="H670" s="19">
        <v>46</v>
      </c>
      <c r="I670" s="20" t="str">
        <f t="shared" si="85"/>
        <v>MATH 152,ED1-MARI</v>
      </c>
      <c r="J670" s="25"/>
    </row>
    <row r="671" spans="1:10" ht="15.5" x14ac:dyDescent="0.35">
      <c r="A671" s="75" t="s">
        <v>129</v>
      </c>
      <c r="B671" s="76" t="str">
        <v>CALCULUS WITH ANALYSIS</v>
      </c>
      <c r="C671" s="79" t="str">
        <v>Ezearn Jeffery</v>
      </c>
      <c r="D671" s="75" t="s">
        <v>20</v>
      </c>
      <c r="E671" s="77">
        <v>262</v>
      </c>
      <c r="F671" s="75" t="s">
        <v>854</v>
      </c>
      <c r="G671" s="78">
        <f t="shared" si="84"/>
        <v>288.20000000000005</v>
      </c>
      <c r="H671" s="17" t="s">
        <v>947</v>
      </c>
      <c r="I671" s="20" t="str">
        <f t="shared" si="85"/>
        <v>MATH 152,ED1-COE</v>
      </c>
      <c r="J671" s="25"/>
    </row>
    <row r="672" spans="1:10" ht="15.5" x14ac:dyDescent="0.35">
      <c r="A672" s="81"/>
      <c r="B672" s="81"/>
      <c r="C672" s="72"/>
      <c r="D672" s="76" t="s">
        <v>523</v>
      </c>
      <c r="E672" s="82">
        <f>SUM(E663:E671)</f>
        <v>1225</v>
      </c>
      <c r="F672" s="83"/>
      <c r="G672" s="84"/>
      <c r="I672" s="22" t="s">
        <v>524</v>
      </c>
      <c r="J672" s="25"/>
    </row>
    <row r="673" spans="1:10" ht="15.5" x14ac:dyDescent="0.35">
      <c r="A673" s="81"/>
      <c r="B673" s="81"/>
      <c r="C673" s="72"/>
      <c r="D673" s="76"/>
      <c r="E673" s="82"/>
      <c r="F673" s="83"/>
      <c r="G673" s="84"/>
      <c r="I673" s="22"/>
      <c r="J673" s="25"/>
    </row>
    <row r="674" spans="1:10" ht="15.5" x14ac:dyDescent="0.35">
      <c r="A674" s="6" t="s">
        <v>514</v>
      </c>
      <c r="B674" s="6"/>
      <c r="C674" s="6"/>
      <c r="D674" s="6"/>
      <c r="E674" s="6"/>
      <c r="F674" s="6"/>
      <c r="G674" s="6"/>
      <c r="I674" s="22" t="str">
        <f>A674</f>
        <v>Friday, 4 September 2026</v>
      </c>
      <c r="J674" s="25"/>
    </row>
    <row r="675" spans="1:10" ht="15.5" x14ac:dyDescent="0.35">
      <c r="A675" s="6" t="s">
        <v>29</v>
      </c>
      <c r="B675" s="6"/>
      <c r="C675" s="6"/>
      <c r="D675" s="6"/>
      <c r="E675" s="6"/>
      <c r="F675" s="6"/>
      <c r="G675" s="6"/>
      <c r="I675" s="22" t="str">
        <f>A675</f>
        <v>Session, 2 (12:00 PM - 2:00 PM)</v>
      </c>
      <c r="J675" s="25"/>
    </row>
    <row r="676" spans="1:10" ht="15.5" x14ac:dyDescent="0.35">
      <c r="A676" s="71" t="s">
        <v>4</v>
      </c>
      <c r="B676" s="71" t="s">
        <v>5</v>
      </c>
      <c r="C676" s="72" t="s">
        <v>6</v>
      </c>
      <c r="D676" s="71" t="s">
        <v>7</v>
      </c>
      <c r="E676" s="73" t="s">
        <v>8</v>
      </c>
      <c r="F676" s="72" t="s">
        <v>9</v>
      </c>
      <c r="G676" s="74" t="s">
        <v>10</v>
      </c>
      <c r="H676" s="40"/>
      <c r="I676" s="22" t="s">
        <v>31</v>
      </c>
      <c r="J676" s="25"/>
    </row>
    <row r="677" spans="1:10" ht="15.5" x14ac:dyDescent="0.35">
      <c r="A677" s="75" t="s">
        <v>129</v>
      </c>
      <c r="B677" s="76" t="str">
        <f t="array" ref="B677:B685">IFERROR(VLOOKUP(I677:I685,Lectures_1!A2:F534,2,FALSE()),0)</f>
        <v>CALCULUS WITH ANALYSIS</v>
      </c>
      <c r="C677" s="76" t="str">
        <f t="array" ref="C677:C685">IFERROR(VLOOKUP(I677:I685,Lectures_1!A2:F534,3,FALSE()),0)</f>
        <v>Ayekple Yao Elikem</v>
      </c>
      <c r="D677" s="75" t="s">
        <v>51</v>
      </c>
      <c r="E677" s="77">
        <f t="array" ref="E677:E685">IFERROR(VLOOKUP(I677:I685,Lectures_1!A2:F534,4,FALSE()),0)</f>
        <v>295</v>
      </c>
      <c r="F677" s="89" t="s">
        <v>948</v>
      </c>
      <c r="G677" s="78">
        <f t="shared" ref="G677:G685" si="86">E677*1.1</f>
        <v>324.5</v>
      </c>
      <c r="H677" s="39" t="s">
        <v>600</v>
      </c>
      <c r="I677" s="20" t="str">
        <f t="shared" ref="I677:I685" si="87">CONCATENATE(A677,",",D677)</f>
        <v>MATH 152,ED1-EE</v>
      </c>
      <c r="J677" s="25"/>
    </row>
    <row r="678" spans="1:10" ht="15.5" x14ac:dyDescent="0.35">
      <c r="A678" s="75" t="s">
        <v>129</v>
      </c>
      <c r="B678" s="79" t="str">
        <v>CALCULUS WITH ANALYSIS</v>
      </c>
      <c r="C678" s="76" t="str">
        <v>Lawton Adu-Ansah</v>
      </c>
      <c r="D678" s="75" t="s">
        <v>162</v>
      </c>
      <c r="E678" s="77">
        <v>85</v>
      </c>
      <c r="F678" s="75" t="s">
        <v>571</v>
      </c>
      <c r="G678" s="78">
        <f t="shared" si="86"/>
        <v>93.500000000000014</v>
      </c>
      <c r="H678" s="63" t="s">
        <v>757</v>
      </c>
      <c r="I678" s="20" t="str">
        <f t="shared" si="87"/>
        <v>MATH 152,ED1-AUTO</v>
      </c>
      <c r="J678" s="25"/>
    </row>
    <row r="679" spans="1:10" ht="15.5" x14ac:dyDescent="0.35">
      <c r="A679" s="75" t="s">
        <v>129</v>
      </c>
      <c r="B679" s="76" t="str">
        <v>CALCULUS WITH ANALYSIS</v>
      </c>
      <c r="C679" s="76" t="str">
        <v>Lawton Adu-Ansah</v>
      </c>
      <c r="D679" s="75" t="s">
        <v>161</v>
      </c>
      <c r="E679" s="77">
        <v>225</v>
      </c>
      <c r="F679" s="75" t="s">
        <v>687</v>
      </c>
      <c r="G679" s="78">
        <f t="shared" si="86"/>
        <v>247.50000000000003</v>
      </c>
      <c r="H679" s="19" t="s">
        <v>876</v>
      </c>
      <c r="I679" s="20" t="str">
        <f t="shared" si="87"/>
        <v>MATH 152,ED1-ME</v>
      </c>
      <c r="J679" s="25"/>
    </row>
    <row r="680" spans="1:10" ht="15.5" x14ac:dyDescent="0.35">
      <c r="A680" s="75" t="s">
        <v>129</v>
      </c>
      <c r="B680" s="79" t="str">
        <v>CALCULUS WITH ANALYSIS</v>
      </c>
      <c r="C680" s="76" t="str">
        <v>Lawton Adu-Ansah</v>
      </c>
      <c r="D680" s="75" t="s">
        <v>91</v>
      </c>
      <c r="E680" s="77">
        <v>130</v>
      </c>
      <c r="F680" s="80" t="s">
        <v>533</v>
      </c>
      <c r="G680" s="78">
        <f t="shared" si="86"/>
        <v>143</v>
      </c>
      <c r="H680" s="19" t="s">
        <v>917</v>
      </c>
      <c r="I680" s="20" t="str">
        <f t="shared" si="87"/>
        <v>MATH 152,ED1-TEL</v>
      </c>
      <c r="J680" s="25"/>
    </row>
    <row r="681" spans="1:10" ht="15.5" x14ac:dyDescent="0.35">
      <c r="A681" s="75" t="s">
        <v>129</v>
      </c>
      <c r="B681" s="79" t="str">
        <v>CALCULUS WITH ANALYSIS</v>
      </c>
      <c r="C681" s="76" t="str">
        <v>Lawton Adu-Ansah</v>
      </c>
      <c r="D681" s="75" t="s">
        <v>95</v>
      </c>
      <c r="E681" s="77">
        <v>103</v>
      </c>
      <c r="F681" s="75" t="s">
        <v>569</v>
      </c>
      <c r="G681" s="78">
        <f t="shared" si="86"/>
        <v>113.30000000000001</v>
      </c>
      <c r="H681" s="19" t="s">
        <v>949</v>
      </c>
      <c r="I681" s="20" t="str">
        <f t="shared" si="87"/>
        <v>MATH 152,ED1-GEOM</v>
      </c>
      <c r="J681" s="25"/>
    </row>
    <row r="682" spans="1:10" ht="15.5" x14ac:dyDescent="0.35">
      <c r="A682" s="75" t="s">
        <v>129</v>
      </c>
      <c r="B682" s="79" t="str">
        <v>CALCULUS WITH ANALYSIS</v>
      </c>
      <c r="C682" s="76" t="str">
        <v>Emmanuel Kpeglo</v>
      </c>
      <c r="D682" s="75" t="s">
        <v>115</v>
      </c>
      <c r="E682" s="77">
        <v>100</v>
      </c>
      <c r="F682" s="75" t="s">
        <v>582</v>
      </c>
      <c r="G682" s="78">
        <f t="shared" si="86"/>
        <v>110.00000000000001</v>
      </c>
      <c r="H682" s="19" t="s">
        <v>583</v>
      </c>
      <c r="I682" s="20" t="str">
        <f t="shared" si="87"/>
        <v>MATH 152,ED1-MSE</v>
      </c>
      <c r="J682" s="25"/>
    </row>
    <row r="683" spans="1:10" ht="15.5" x14ac:dyDescent="0.35">
      <c r="A683" s="75" t="s">
        <v>129</v>
      </c>
      <c r="B683" s="79" t="str">
        <v>CALCULUS WITH ANALYSIS</v>
      </c>
      <c r="C683" s="76" t="str">
        <v>Emmanuel Kpeglo</v>
      </c>
      <c r="D683" s="75" t="s">
        <v>114</v>
      </c>
      <c r="E683" s="77">
        <v>75</v>
      </c>
      <c r="F683" s="75" t="s">
        <v>545</v>
      </c>
      <c r="G683" s="78">
        <f t="shared" si="86"/>
        <v>82.5</v>
      </c>
      <c r="H683" s="19">
        <v>75</v>
      </c>
      <c r="I683" s="20" t="str">
        <f t="shared" si="87"/>
        <v>MATH 152,ED1-METE</v>
      </c>
      <c r="J683" s="25"/>
    </row>
    <row r="684" spans="1:10" ht="15.5" x14ac:dyDescent="0.35">
      <c r="A684" s="75" t="s">
        <v>129</v>
      </c>
      <c r="B684" s="79" t="str">
        <v>CALCULUS WITH ANALYSIS</v>
      </c>
      <c r="C684" s="76" t="str">
        <v>Isaac Azure</v>
      </c>
      <c r="D684" s="75" t="s">
        <v>80</v>
      </c>
      <c r="E684" s="77">
        <v>120</v>
      </c>
      <c r="F684" s="75" t="s">
        <v>950</v>
      </c>
      <c r="G684" s="78">
        <f t="shared" si="86"/>
        <v>132</v>
      </c>
      <c r="H684" s="19" t="s">
        <v>951</v>
      </c>
      <c r="I684" s="20" t="str">
        <f t="shared" si="87"/>
        <v>MATH 152,ED1-CHE</v>
      </c>
      <c r="J684" s="25"/>
    </row>
    <row r="685" spans="1:10" ht="15.5" x14ac:dyDescent="0.35">
      <c r="A685" s="75" t="s">
        <v>129</v>
      </c>
      <c r="B685" s="76" t="str">
        <v>CALCULUS WITH ANALYSIS</v>
      </c>
      <c r="C685" s="76" t="str">
        <v>Isaac Azure</v>
      </c>
      <c r="D685" s="75" t="s">
        <v>81</v>
      </c>
      <c r="E685" s="77">
        <v>56</v>
      </c>
      <c r="F685" s="80" t="s">
        <v>546</v>
      </c>
      <c r="G685" s="78">
        <f t="shared" si="86"/>
        <v>61.600000000000009</v>
      </c>
      <c r="H685" s="17">
        <v>56</v>
      </c>
      <c r="I685" s="20" t="str">
        <f t="shared" si="87"/>
        <v>MATH 152,ED1-PCE</v>
      </c>
      <c r="J685" s="25"/>
    </row>
    <row r="686" spans="1:10" ht="15.5" x14ac:dyDescent="0.35">
      <c r="A686" s="81"/>
      <c r="B686" s="81"/>
      <c r="C686" s="72"/>
      <c r="D686" s="76" t="s">
        <v>523</v>
      </c>
      <c r="E686" s="82">
        <f>SUM(_xlfn.ANCHORARRAY(E677))</f>
        <v>1189</v>
      </c>
      <c r="F686" s="83"/>
      <c r="G686" s="84"/>
      <c r="H686" s="64"/>
      <c r="I686" s="22" t="s">
        <v>524</v>
      </c>
      <c r="J686" s="25"/>
    </row>
    <row r="687" spans="1:10" ht="15.5" x14ac:dyDescent="0.35">
      <c r="A687" s="6" t="s">
        <v>514</v>
      </c>
      <c r="B687" s="6"/>
      <c r="C687" s="6"/>
      <c r="D687" s="6"/>
      <c r="E687" s="6"/>
      <c r="F687" s="6"/>
      <c r="G687" s="6"/>
      <c r="I687" s="22" t="str">
        <f>A687</f>
        <v>Friday, 4 September 2026</v>
      </c>
      <c r="J687" s="25"/>
    </row>
    <row r="688" spans="1:10" ht="15.5" x14ac:dyDescent="0.35">
      <c r="A688" s="6" t="s">
        <v>59</v>
      </c>
      <c r="B688" s="6"/>
      <c r="C688" s="6"/>
      <c r="D688" s="6"/>
      <c r="E688" s="6"/>
      <c r="F688" s="6"/>
      <c r="G688" s="6"/>
      <c r="I688" s="22" t="str">
        <f>A688</f>
        <v>Session, 3 (3:00 PM - 5:00 PM)</v>
      </c>
      <c r="J688" s="25"/>
    </row>
    <row r="689" spans="1:10" ht="15.5" x14ac:dyDescent="0.35">
      <c r="A689" s="71" t="s">
        <v>4</v>
      </c>
      <c r="B689" s="71" t="s">
        <v>5</v>
      </c>
      <c r="C689" s="72" t="s">
        <v>6</v>
      </c>
      <c r="D689" s="71" t="s">
        <v>7</v>
      </c>
      <c r="E689" s="73" t="s">
        <v>8</v>
      </c>
      <c r="F689" s="72" t="s">
        <v>9</v>
      </c>
      <c r="G689" s="74" t="s">
        <v>10</v>
      </c>
      <c r="H689" s="40"/>
      <c r="I689" s="22" t="s">
        <v>31</v>
      </c>
      <c r="J689" s="25"/>
    </row>
    <row r="690" spans="1:10" ht="15.5" x14ac:dyDescent="0.35">
      <c r="A690" s="75" t="s">
        <v>505</v>
      </c>
      <c r="B690" s="76" t="str">
        <f t="array" ref="B690:B698">IFERROR(VLOOKUP(I690:I698,Lectures_1!A2:F534,2,FALSE()),0)</f>
        <v>SOFTWARE ENGINEERING</v>
      </c>
      <c r="C690" s="76" t="str">
        <f t="array" ref="C690:C698">IFERROR(VLOOKUP(I690:I698,Lectures_1!A2:F534,3,FALSE()),0)</f>
        <v>Keelson Eliel</v>
      </c>
      <c r="D690" s="75" t="s">
        <v>251</v>
      </c>
      <c r="E690" s="77">
        <f t="array" ref="E690:E698">IFERROR(VLOOKUP(I690:I698,Lectures_1!A2:F534,4,FALSE()),0)</f>
        <v>115</v>
      </c>
      <c r="F690" s="89" t="s">
        <v>541</v>
      </c>
      <c r="G690" s="78">
        <f t="shared" ref="G690:G698" si="88">E690*1.1</f>
        <v>126.50000000000001</v>
      </c>
      <c r="H690" s="102">
        <v>115</v>
      </c>
      <c r="I690" s="20" t="str">
        <f t="shared" ref="I690:I698" si="89">CONCATENATE(A690,",",D690)</f>
        <v>COE 454,ED4-COE</v>
      </c>
      <c r="J690" s="25"/>
    </row>
    <row r="691" spans="1:10" ht="15.5" x14ac:dyDescent="0.35">
      <c r="A691" s="75" t="s">
        <v>516</v>
      </c>
      <c r="B691" s="76" t="str">
        <v>CHEMICAL REACTION ENGINEERING</v>
      </c>
      <c r="C691" s="76" t="str">
        <v>Bonsu Jude Kwaku</v>
      </c>
      <c r="D691" s="75" t="s">
        <v>73</v>
      </c>
      <c r="E691" s="77">
        <v>105</v>
      </c>
      <c r="F691" s="80" t="s">
        <v>571</v>
      </c>
      <c r="G691" s="78">
        <f t="shared" si="88"/>
        <v>115.50000000000001</v>
      </c>
      <c r="H691" s="17" t="s">
        <v>788</v>
      </c>
      <c r="I691" s="20" t="str">
        <f t="shared" si="89"/>
        <v>CHE 352,ED3-CHE</v>
      </c>
      <c r="J691" s="25"/>
    </row>
    <row r="692" spans="1:10" ht="15.5" x14ac:dyDescent="0.35">
      <c r="A692" s="75" t="s">
        <v>517</v>
      </c>
      <c r="B692" s="76" t="str">
        <v>POWER SYSTEMS ANALYSIS</v>
      </c>
      <c r="C692" s="76" t="str">
        <v>Twumasi Elvis</v>
      </c>
      <c r="D692" s="75" t="s">
        <v>71</v>
      </c>
      <c r="E692" s="77">
        <v>240</v>
      </c>
      <c r="F692" s="80" t="s">
        <v>854</v>
      </c>
      <c r="G692" s="78">
        <f t="shared" si="88"/>
        <v>264</v>
      </c>
      <c r="H692" s="17" t="s">
        <v>855</v>
      </c>
      <c r="I692" s="20" t="str">
        <f t="shared" si="89"/>
        <v>EE 368,ED3-EE</v>
      </c>
      <c r="J692" s="25"/>
    </row>
    <row r="693" spans="1:10" ht="15.5" x14ac:dyDescent="0.35">
      <c r="A693" s="75" t="s">
        <v>518</v>
      </c>
      <c r="B693" s="76" t="str">
        <v>ELECTRICAL MEASUREMENT AND INSTRUMENTATION</v>
      </c>
      <c r="C693" s="79" t="str">
        <v>Klogo Griffith Selorm</v>
      </c>
      <c r="D693" s="75" t="s">
        <v>108</v>
      </c>
      <c r="E693" s="77">
        <v>255</v>
      </c>
      <c r="F693" s="88" t="s">
        <v>533</v>
      </c>
      <c r="G693" s="78">
        <f t="shared" si="88"/>
        <v>280.5</v>
      </c>
      <c r="H693" s="58" t="s">
        <v>952</v>
      </c>
      <c r="I693" s="20" t="str">
        <f t="shared" si="89"/>
        <v>EE 288,ED2-COE</v>
      </c>
      <c r="J693" s="25"/>
    </row>
    <row r="694" spans="1:10" ht="15.5" x14ac:dyDescent="0.35">
      <c r="A694" s="75" t="s">
        <v>519</v>
      </c>
      <c r="B694" s="76" t="str">
        <v>VIBRATIONS I</v>
      </c>
      <c r="C694" s="76" t="str">
        <v>Adam Faisal Wahib</v>
      </c>
      <c r="D694" s="75" t="s">
        <v>133</v>
      </c>
      <c r="E694" s="77">
        <v>76</v>
      </c>
      <c r="F694" s="80" t="s">
        <v>850</v>
      </c>
      <c r="G694" s="78">
        <f t="shared" si="88"/>
        <v>83.600000000000009</v>
      </c>
      <c r="H694" s="17" t="s">
        <v>884</v>
      </c>
      <c r="I694" s="20" t="str">
        <f t="shared" si="89"/>
        <v>ME 362,ED3-AERO</v>
      </c>
      <c r="J694" s="25"/>
    </row>
    <row r="695" spans="1:10" ht="15.5" x14ac:dyDescent="0.35">
      <c r="A695" s="75" t="s">
        <v>519</v>
      </c>
      <c r="B695" s="76" t="str">
        <v>VIBRATIONS I</v>
      </c>
      <c r="C695" s="76" t="str">
        <v>Adam Faisal Wahib</v>
      </c>
      <c r="D695" s="75" t="s">
        <v>61</v>
      </c>
      <c r="E695" s="77">
        <v>222</v>
      </c>
      <c r="F695" s="80" t="s">
        <v>687</v>
      </c>
      <c r="G695" s="78">
        <f t="shared" si="88"/>
        <v>244.20000000000002</v>
      </c>
      <c r="H695" s="17" t="s">
        <v>905</v>
      </c>
      <c r="I695" s="20" t="str">
        <f t="shared" si="89"/>
        <v>ME 362,ED3-ME</v>
      </c>
      <c r="J695" s="25"/>
    </row>
    <row r="696" spans="1:10" ht="15.5" x14ac:dyDescent="0.35">
      <c r="A696" s="75" t="s">
        <v>519</v>
      </c>
      <c r="B696" s="76" t="str">
        <v>VIBRATIONS I</v>
      </c>
      <c r="C696" s="76" t="str">
        <v>Adam Faisal Wahib</v>
      </c>
      <c r="D696" s="75" t="s">
        <v>86</v>
      </c>
      <c r="E696" s="77">
        <v>40</v>
      </c>
      <c r="F696" s="80" t="s">
        <v>616</v>
      </c>
      <c r="G696" s="78">
        <f t="shared" si="88"/>
        <v>44</v>
      </c>
      <c r="H696" s="17">
        <v>40</v>
      </c>
      <c r="I696" s="20" t="str">
        <f t="shared" si="89"/>
        <v>ME 362,ED3-MARI</v>
      </c>
      <c r="J696" s="25"/>
    </row>
    <row r="697" spans="1:10" ht="15.5" x14ac:dyDescent="0.35">
      <c r="A697" s="75" t="s">
        <v>521</v>
      </c>
      <c r="B697" s="76" t="str">
        <v>VIBRATIONS FOR AUTOMOBILE ENGINEERS</v>
      </c>
      <c r="C697" s="76" t="str">
        <v>Adam Faisal Wahib</v>
      </c>
      <c r="D697" s="75" t="s">
        <v>23</v>
      </c>
      <c r="E697" s="77">
        <v>40</v>
      </c>
      <c r="F697" s="80" t="s">
        <v>766</v>
      </c>
      <c r="G697" s="78">
        <f t="shared" si="88"/>
        <v>44</v>
      </c>
      <c r="H697" s="17" t="s">
        <v>559</v>
      </c>
      <c r="I697" s="20" t="str">
        <f t="shared" si="89"/>
        <v>AME 362,ED3-AUTO</v>
      </c>
      <c r="J697" s="25"/>
    </row>
    <row r="698" spans="1:10" ht="15.5" x14ac:dyDescent="0.35">
      <c r="A698" s="75" t="s">
        <v>522</v>
      </c>
      <c r="B698" s="76" t="str">
        <v>ANATOMY AND PHYSIOLOGY FOR ENGINEERS II</v>
      </c>
      <c r="C698" s="76" t="str">
        <v>Agyapong Dorothy Araba Yakoba</v>
      </c>
      <c r="D698" s="75" t="s">
        <v>109</v>
      </c>
      <c r="E698" s="77">
        <v>80</v>
      </c>
      <c r="F698" s="80" t="s">
        <v>953</v>
      </c>
      <c r="G698" s="78">
        <f t="shared" si="88"/>
        <v>88</v>
      </c>
      <c r="H698" s="17" t="s">
        <v>692</v>
      </c>
      <c r="I698" s="20" t="str">
        <f t="shared" si="89"/>
        <v>BME 286,ED2-BME</v>
      </c>
      <c r="J698" s="25"/>
    </row>
    <row r="699" spans="1:10" ht="15.5" x14ac:dyDescent="0.35">
      <c r="A699" s="81"/>
      <c r="B699" s="81"/>
      <c r="C699" s="72"/>
      <c r="D699" s="76" t="s">
        <v>523</v>
      </c>
      <c r="E699" s="82">
        <f>SUM(_xlfn.ANCHORARRAY(E690))</f>
        <v>1173</v>
      </c>
      <c r="F699" s="83"/>
      <c r="G699" s="84"/>
      <c r="H699" s="64"/>
      <c r="I699" s="22" t="s">
        <v>524</v>
      </c>
      <c r="J699" s="25"/>
    </row>
    <row r="700" spans="1:10" s="67" customFormat="1" ht="14" x14ac:dyDescent="0.3">
      <c r="A700" s="65"/>
      <c r="B700" s="65"/>
      <c r="C700" s="65"/>
      <c r="D700" s="65"/>
      <c r="E700" s="66"/>
      <c r="F700" s="68"/>
      <c r="G700" s="104"/>
      <c r="H700" s="64"/>
    </row>
    <row r="701" spans="1:10" s="67" customFormat="1" ht="14" x14ac:dyDescent="0.3">
      <c r="A701" s="68"/>
      <c r="B701" s="68"/>
      <c r="C701" s="68"/>
      <c r="D701" s="68"/>
      <c r="E701" s="69"/>
      <c r="F701" s="68"/>
      <c r="G701" s="105"/>
      <c r="H701" s="64"/>
    </row>
    <row r="702" spans="1:10" s="67" customFormat="1" ht="14" x14ac:dyDescent="0.3">
      <c r="A702" s="68"/>
      <c r="B702" s="68"/>
      <c r="C702" s="68"/>
      <c r="D702" s="68"/>
      <c r="E702" s="69"/>
      <c r="F702" s="68"/>
      <c r="G702" s="105"/>
      <c r="H702" s="64"/>
    </row>
    <row r="703" spans="1:10" s="67" customFormat="1" ht="14" x14ac:dyDescent="0.3">
      <c r="A703" s="68"/>
      <c r="B703" s="68"/>
      <c r="C703" s="68"/>
      <c r="D703" s="68"/>
      <c r="E703" s="69"/>
      <c r="F703" s="68"/>
      <c r="G703" s="105"/>
      <c r="H703" s="64"/>
    </row>
    <row r="704" spans="1:10" s="67" customFormat="1" ht="14" x14ac:dyDescent="0.3">
      <c r="A704" s="68"/>
      <c r="B704" s="68"/>
      <c r="C704" s="68"/>
      <c r="D704" s="68"/>
      <c r="E704" s="69"/>
      <c r="F704" s="68"/>
      <c r="G704" s="105"/>
      <c r="H704" s="19"/>
    </row>
  </sheetData>
  <mergeCells count="97">
    <mergeCell ref="A687:G687"/>
    <mergeCell ref="A688:G688"/>
    <mergeCell ref="A643:G643"/>
    <mergeCell ref="A660:G660"/>
    <mergeCell ref="A661:G661"/>
    <mergeCell ref="A674:G674"/>
    <mergeCell ref="A675:G675"/>
    <mergeCell ref="A608:G608"/>
    <mergeCell ref="A609:G609"/>
    <mergeCell ref="A624:G624"/>
    <mergeCell ref="A625:G625"/>
    <mergeCell ref="A642:G642"/>
    <mergeCell ref="A572:G572"/>
    <mergeCell ref="A584:G584"/>
    <mergeCell ref="A585:G585"/>
    <mergeCell ref="A595:G595"/>
    <mergeCell ref="A596:G596"/>
    <mergeCell ref="A535:G535"/>
    <mergeCell ref="A536:G536"/>
    <mergeCell ref="A552:G552"/>
    <mergeCell ref="A553:G553"/>
    <mergeCell ref="A571:G571"/>
    <mergeCell ref="A485:G485"/>
    <mergeCell ref="A498:G498"/>
    <mergeCell ref="A499:G499"/>
    <mergeCell ref="A519:G519"/>
    <mergeCell ref="A520:G520"/>
    <mergeCell ref="A452:G452"/>
    <mergeCell ref="F454:F458"/>
    <mergeCell ref="A468:G468"/>
    <mergeCell ref="A469:G469"/>
    <mergeCell ref="A484:G484"/>
    <mergeCell ref="F413:F418"/>
    <mergeCell ref="A427:G427"/>
    <mergeCell ref="A428:G428"/>
    <mergeCell ref="F430:F436"/>
    <mergeCell ref="A451:G451"/>
    <mergeCell ref="A380:G380"/>
    <mergeCell ref="A395:G395"/>
    <mergeCell ref="A396:G396"/>
    <mergeCell ref="A410:G410"/>
    <mergeCell ref="A411:G411"/>
    <mergeCell ref="A354:G354"/>
    <mergeCell ref="A355:G355"/>
    <mergeCell ref="A367:G367"/>
    <mergeCell ref="A368:G368"/>
    <mergeCell ref="A379:G379"/>
    <mergeCell ref="A313:G313"/>
    <mergeCell ref="A314:G314"/>
    <mergeCell ref="F316:F329"/>
    <mergeCell ref="A339:G339"/>
    <mergeCell ref="A340:G340"/>
    <mergeCell ref="A271:G271"/>
    <mergeCell ref="A284:G284"/>
    <mergeCell ref="A285:G285"/>
    <mergeCell ref="A300:G300"/>
    <mergeCell ref="A301:G301"/>
    <mergeCell ref="A241:G241"/>
    <mergeCell ref="A242:G242"/>
    <mergeCell ref="A256:G256"/>
    <mergeCell ref="A257:G257"/>
    <mergeCell ref="A270:G270"/>
    <mergeCell ref="A200:G200"/>
    <mergeCell ref="A210:G210"/>
    <mergeCell ref="A211:G211"/>
    <mergeCell ref="A222:G222"/>
    <mergeCell ref="A223:G223"/>
    <mergeCell ref="A166:G166"/>
    <mergeCell ref="A167:G167"/>
    <mergeCell ref="A182:G182"/>
    <mergeCell ref="A183:G183"/>
    <mergeCell ref="A199:G199"/>
    <mergeCell ref="A136:G136"/>
    <mergeCell ref="A137:G137"/>
    <mergeCell ref="F139:F140"/>
    <mergeCell ref="A153:G153"/>
    <mergeCell ref="A154:G154"/>
    <mergeCell ref="A97:G97"/>
    <mergeCell ref="A109:G109"/>
    <mergeCell ref="A110:G110"/>
    <mergeCell ref="A124:G124"/>
    <mergeCell ref="A125:G125"/>
    <mergeCell ref="A64:G64"/>
    <mergeCell ref="A65:G65"/>
    <mergeCell ref="A82:G82"/>
    <mergeCell ref="A83:G83"/>
    <mergeCell ref="A96:G96"/>
    <mergeCell ref="A31:G31"/>
    <mergeCell ref="A32:G32"/>
    <mergeCell ref="A44:G44"/>
    <mergeCell ref="A45:G45"/>
    <mergeCell ref="F47:F49"/>
    <mergeCell ref="A1:G1"/>
    <mergeCell ref="A2:G2"/>
    <mergeCell ref="A12:G12"/>
    <mergeCell ref="A13:G13"/>
    <mergeCell ref="F15:F19"/>
  </mergeCells>
  <conditionalFormatting sqref="D34">
    <cfRule type="duplicateValues" dxfId="321" priority="146"/>
  </conditionalFormatting>
  <conditionalFormatting sqref="D550">
    <cfRule type="duplicateValues" dxfId="320" priority="151"/>
  </conditionalFormatting>
  <conditionalFormatting sqref="D663 D524">
    <cfRule type="duplicateValues" dxfId="319" priority="156"/>
  </conditionalFormatting>
  <conditionalFormatting sqref="I22">
    <cfRule type="duplicateValues" dxfId="318" priority="4"/>
    <cfRule type="duplicateValues" dxfId="317" priority="5"/>
  </conditionalFormatting>
  <conditionalFormatting sqref="I23">
    <cfRule type="duplicateValues" dxfId="316" priority="45"/>
    <cfRule type="duplicateValues" dxfId="315" priority="44"/>
  </conditionalFormatting>
  <conditionalFormatting sqref="I24">
    <cfRule type="duplicateValues" dxfId="314" priority="28"/>
    <cfRule type="duplicateValues" dxfId="313" priority="29"/>
  </conditionalFormatting>
  <conditionalFormatting sqref="I25">
    <cfRule type="duplicateValues" dxfId="312" priority="30"/>
    <cfRule type="duplicateValues" dxfId="311" priority="31"/>
  </conditionalFormatting>
  <conditionalFormatting sqref="I37">
    <cfRule type="duplicateValues" dxfId="310" priority="57"/>
    <cfRule type="duplicateValues" dxfId="309" priority="56"/>
  </conditionalFormatting>
  <conditionalFormatting sqref="I42:I43 I31:I33">
    <cfRule type="duplicateValues" dxfId="308" priority="149"/>
    <cfRule type="duplicateValues" dxfId="307" priority="150"/>
  </conditionalFormatting>
  <conditionalFormatting sqref="I58">
    <cfRule type="duplicateValues" dxfId="306" priority="16"/>
    <cfRule type="duplicateValues" dxfId="305" priority="17"/>
  </conditionalFormatting>
  <conditionalFormatting sqref="I77">
    <cfRule type="duplicateValues" dxfId="304" priority="109"/>
    <cfRule type="duplicateValues" dxfId="303" priority="108"/>
  </conditionalFormatting>
  <conditionalFormatting sqref="I79">
    <cfRule type="duplicateValues" dxfId="302" priority="10"/>
    <cfRule type="duplicateValues" dxfId="301" priority="11"/>
  </conditionalFormatting>
  <conditionalFormatting sqref="I90">
    <cfRule type="duplicateValues" dxfId="300" priority="19"/>
    <cfRule type="duplicateValues" dxfId="299" priority="18"/>
  </conditionalFormatting>
  <conditionalFormatting sqref="I91">
    <cfRule type="duplicateValues" dxfId="298" priority="81"/>
    <cfRule type="duplicateValues" dxfId="297" priority="80"/>
  </conditionalFormatting>
  <conditionalFormatting sqref="I129">
    <cfRule type="duplicateValues" dxfId="296" priority="49"/>
    <cfRule type="duplicateValues" dxfId="295" priority="48"/>
  </conditionalFormatting>
  <conditionalFormatting sqref="I130">
    <cfRule type="duplicateValues" dxfId="294" priority="55"/>
    <cfRule type="duplicateValues" dxfId="293" priority="54"/>
  </conditionalFormatting>
  <conditionalFormatting sqref="I143">
    <cfRule type="duplicateValues" dxfId="292" priority="63"/>
    <cfRule type="duplicateValues" dxfId="291" priority="62"/>
  </conditionalFormatting>
  <conditionalFormatting sqref="I144">
    <cfRule type="duplicateValues" dxfId="290" priority="64"/>
    <cfRule type="duplicateValues" dxfId="289" priority="65"/>
  </conditionalFormatting>
  <conditionalFormatting sqref="I147">
    <cfRule type="duplicateValues" dxfId="288" priority="94"/>
    <cfRule type="duplicateValues" dxfId="287" priority="95"/>
  </conditionalFormatting>
  <conditionalFormatting sqref="I148">
    <cfRule type="duplicateValues" dxfId="286" priority="60"/>
    <cfRule type="duplicateValues" dxfId="285" priority="61"/>
  </conditionalFormatting>
  <conditionalFormatting sqref="I149">
    <cfRule type="duplicateValues" dxfId="284" priority="6"/>
    <cfRule type="duplicateValues" dxfId="283" priority="7"/>
  </conditionalFormatting>
  <conditionalFormatting sqref="I162">
    <cfRule type="duplicateValues" dxfId="282" priority="110"/>
    <cfRule type="duplicateValues" dxfId="281" priority="111"/>
  </conditionalFormatting>
  <conditionalFormatting sqref="I163">
    <cfRule type="duplicateValues" dxfId="280" priority="91"/>
    <cfRule type="duplicateValues" dxfId="279" priority="90"/>
  </conditionalFormatting>
  <conditionalFormatting sqref="I171:I172 I153:I160 I164:I165">
    <cfRule type="duplicateValues" dxfId="278" priority="159"/>
    <cfRule type="duplicateValues" dxfId="277" priority="160"/>
  </conditionalFormatting>
  <conditionalFormatting sqref="I189">
    <cfRule type="duplicateValues" dxfId="276" priority="117"/>
    <cfRule type="duplicateValues" dxfId="275" priority="116"/>
  </conditionalFormatting>
  <conditionalFormatting sqref="I193">
    <cfRule type="duplicateValues" dxfId="274" priority="47"/>
    <cfRule type="duplicateValues" dxfId="273" priority="46"/>
  </conditionalFormatting>
  <conditionalFormatting sqref="I195">
    <cfRule type="duplicateValues" dxfId="272" priority="75"/>
    <cfRule type="duplicateValues" dxfId="271" priority="74"/>
  </conditionalFormatting>
  <conditionalFormatting sqref="I196">
    <cfRule type="duplicateValues" dxfId="270" priority="52"/>
    <cfRule type="duplicateValues" dxfId="269" priority="53"/>
  </conditionalFormatting>
  <conditionalFormatting sqref="I204">
    <cfRule type="duplicateValues" dxfId="268" priority="77"/>
    <cfRule type="duplicateValues" dxfId="267" priority="76"/>
  </conditionalFormatting>
  <conditionalFormatting sqref="I207">
    <cfRule type="duplicateValues" dxfId="266" priority="88"/>
    <cfRule type="duplicateValues" dxfId="265" priority="89"/>
  </conditionalFormatting>
  <conditionalFormatting sqref="I236">
    <cfRule type="duplicateValues" dxfId="264" priority="14"/>
    <cfRule type="duplicateValues" dxfId="263" priority="15"/>
  </conditionalFormatting>
  <conditionalFormatting sqref="I246">
    <cfRule type="duplicateValues" dxfId="262" priority="32"/>
    <cfRule type="duplicateValues" dxfId="261" priority="33"/>
  </conditionalFormatting>
  <conditionalFormatting sqref="I249">
    <cfRule type="duplicateValues" dxfId="260" priority="23"/>
    <cfRule type="duplicateValues" dxfId="259" priority="22"/>
  </conditionalFormatting>
  <conditionalFormatting sqref="I251">
    <cfRule type="duplicateValues" dxfId="258" priority="41"/>
    <cfRule type="duplicateValues" dxfId="257" priority="40"/>
  </conditionalFormatting>
  <conditionalFormatting sqref="I252">
    <cfRule type="duplicateValues" dxfId="256" priority="107"/>
    <cfRule type="duplicateValues" dxfId="255" priority="106"/>
  </conditionalFormatting>
  <conditionalFormatting sqref="I253">
    <cfRule type="duplicateValues" dxfId="254" priority="36"/>
    <cfRule type="duplicateValues" dxfId="253" priority="37"/>
  </conditionalFormatting>
  <conditionalFormatting sqref="I264">
    <cfRule type="duplicateValues" dxfId="252" priority="3"/>
    <cfRule type="duplicateValues" dxfId="251" priority="2"/>
  </conditionalFormatting>
  <conditionalFormatting sqref="I278">
    <cfRule type="duplicateValues" dxfId="250" priority="59"/>
    <cfRule type="duplicateValues" dxfId="249" priority="58"/>
  </conditionalFormatting>
  <conditionalFormatting sqref="I280">
    <cfRule type="duplicateValues" dxfId="248" priority="86"/>
    <cfRule type="duplicateValues" dxfId="247" priority="87"/>
  </conditionalFormatting>
  <conditionalFormatting sqref="I293">
    <cfRule type="duplicateValues" dxfId="246" priority="96"/>
    <cfRule type="duplicateValues" dxfId="245" priority="97"/>
  </conditionalFormatting>
  <conditionalFormatting sqref="I294">
    <cfRule type="duplicateValues" dxfId="244" priority="105"/>
    <cfRule type="duplicateValues" dxfId="243" priority="104"/>
  </conditionalFormatting>
  <conditionalFormatting sqref="I295">
    <cfRule type="duplicateValues" dxfId="242" priority="38"/>
    <cfRule type="duplicateValues" dxfId="241" priority="39"/>
  </conditionalFormatting>
  <conditionalFormatting sqref="I310">
    <cfRule type="duplicateValues" dxfId="240" priority="26"/>
    <cfRule type="duplicateValues" dxfId="239" priority="27"/>
  </conditionalFormatting>
  <conditionalFormatting sqref="I332">
    <cfRule type="duplicateValues" dxfId="238" priority="70"/>
    <cfRule type="duplicateValues" dxfId="237" priority="71"/>
  </conditionalFormatting>
  <conditionalFormatting sqref="I333">
    <cfRule type="duplicateValues" dxfId="236" priority="79"/>
    <cfRule type="duplicateValues" dxfId="235" priority="78"/>
  </conditionalFormatting>
  <conditionalFormatting sqref="I361">
    <cfRule type="duplicateValues" dxfId="234" priority="82"/>
    <cfRule type="duplicateValues" dxfId="233" priority="83"/>
  </conditionalFormatting>
  <conditionalFormatting sqref="I362">
    <cfRule type="duplicateValues" dxfId="232" priority="9"/>
    <cfRule type="duplicateValues" dxfId="231" priority="8"/>
  </conditionalFormatting>
  <conditionalFormatting sqref="I392">
    <cfRule type="duplicateValues" dxfId="230" priority="34"/>
    <cfRule type="duplicateValues" dxfId="229" priority="35"/>
  </conditionalFormatting>
  <conditionalFormatting sqref="I423">
    <cfRule type="duplicateValues" dxfId="228" priority="42"/>
    <cfRule type="duplicateValues" dxfId="227" priority="43"/>
  </conditionalFormatting>
  <conditionalFormatting sqref="I433">
    <cfRule type="duplicateValues" dxfId="226" priority="145"/>
    <cfRule type="duplicateValues" dxfId="225" priority="144"/>
  </conditionalFormatting>
  <conditionalFormatting sqref="I436">
    <cfRule type="duplicateValues" dxfId="224" priority="114"/>
    <cfRule type="duplicateValues" dxfId="223" priority="115"/>
  </conditionalFormatting>
  <conditionalFormatting sqref="I446">
    <cfRule type="duplicateValues" dxfId="222" priority="102"/>
    <cfRule type="duplicateValues" dxfId="221" priority="103"/>
  </conditionalFormatting>
  <conditionalFormatting sqref="I465">
    <cfRule type="duplicateValues" dxfId="220" priority="128"/>
    <cfRule type="duplicateValues" dxfId="219" priority="129"/>
  </conditionalFormatting>
  <conditionalFormatting sqref="I493">
    <cfRule type="duplicateValues" dxfId="218" priority="50"/>
    <cfRule type="duplicateValues" dxfId="217" priority="51"/>
  </conditionalFormatting>
  <conditionalFormatting sqref="I527">
    <cfRule type="duplicateValues" dxfId="216" priority="84"/>
    <cfRule type="duplicateValues" dxfId="215" priority="85"/>
  </conditionalFormatting>
  <conditionalFormatting sqref="I530">
    <cfRule type="duplicateValues" dxfId="214" priority="124"/>
    <cfRule type="duplicateValues" dxfId="213" priority="125"/>
  </conditionalFormatting>
  <conditionalFormatting sqref="I539">
    <cfRule type="duplicateValues" dxfId="212" priority="92"/>
    <cfRule type="duplicateValues" dxfId="211" priority="93"/>
  </conditionalFormatting>
  <conditionalFormatting sqref="I540">
    <cfRule type="duplicateValues" dxfId="210" priority="98"/>
    <cfRule type="duplicateValues" dxfId="209" priority="99"/>
  </conditionalFormatting>
  <conditionalFormatting sqref="I549">
    <cfRule type="duplicateValues" dxfId="208" priority="69"/>
    <cfRule type="duplicateValues" dxfId="207" priority="68"/>
  </conditionalFormatting>
  <conditionalFormatting sqref="I567">
    <cfRule type="duplicateValues" dxfId="206" priority="73"/>
    <cfRule type="duplicateValues" dxfId="205" priority="72"/>
  </conditionalFormatting>
  <conditionalFormatting sqref="I604">
    <cfRule type="duplicateValues" dxfId="204" priority="13"/>
    <cfRule type="duplicateValues" dxfId="203" priority="12"/>
  </conditionalFormatting>
  <conditionalFormatting sqref="I628">
    <cfRule type="duplicateValues" dxfId="202" priority="66"/>
    <cfRule type="duplicateValues" dxfId="201" priority="67"/>
  </conditionalFormatting>
  <conditionalFormatting sqref="I635">
    <cfRule type="duplicateValues" dxfId="200" priority="101"/>
    <cfRule type="duplicateValues" dxfId="199" priority="100"/>
  </conditionalFormatting>
  <conditionalFormatting sqref="I649">
    <cfRule type="duplicateValues" dxfId="198" priority="127"/>
    <cfRule type="duplicateValues" dxfId="197" priority="126"/>
  </conditionalFormatting>
  <conditionalFormatting sqref="I665">
    <cfRule type="duplicateValues" dxfId="196" priority="24"/>
    <cfRule type="duplicateValues" dxfId="195" priority="25"/>
  </conditionalFormatting>
  <conditionalFormatting sqref="I666">
    <cfRule type="duplicateValues" dxfId="194" priority="122"/>
    <cfRule type="duplicateValues" dxfId="193" priority="123"/>
  </conditionalFormatting>
  <conditionalFormatting sqref="I670">
    <cfRule type="duplicateValues" dxfId="192" priority="118"/>
    <cfRule type="duplicateValues" dxfId="191" priority="119"/>
  </conditionalFormatting>
  <conditionalFormatting sqref="I674">
    <cfRule type="duplicateValues" dxfId="190" priority="136"/>
    <cfRule type="duplicateValues" dxfId="189" priority="137"/>
  </conditionalFormatting>
  <conditionalFormatting sqref="I675">
    <cfRule type="duplicateValues" dxfId="188" priority="132"/>
    <cfRule type="duplicateValues" dxfId="187" priority="133"/>
  </conditionalFormatting>
  <conditionalFormatting sqref="I676">
    <cfRule type="duplicateValues" dxfId="186" priority="130"/>
    <cfRule type="duplicateValues" dxfId="185" priority="131"/>
  </conditionalFormatting>
  <conditionalFormatting sqref="I678:I679 I681 I683:I684 I199:I202 I192 I208:I209">
    <cfRule type="duplicateValues" dxfId="184" priority="152"/>
    <cfRule type="duplicateValues" dxfId="183" priority="153"/>
  </conditionalFormatting>
  <conditionalFormatting sqref="I682">
    <cfRule type="duplicateValues" dxfId="182" priority="120"/>
    <cfRule type="duplicateValues" dxfId="181" priority="121"/>
  </conditionalFormatting>
  <conditionalFormatting sqref="I685 I664 I677">
    <cfRule type="duplicateValues" dxfId="180" priority="154"/>
    <cfRule type="duplicateValues" dxfId="179" priority="155"/>
  </conditionalFormatting>
  <conditionalFormatting sqref="I686">
    <cfRule type="duplicateValues" dxfId="178" priority="135"/>
    <cfRule type="duplicateValues" dxfId="177" priority="134"/>
  </conditionalFormatting>
  <conditionalFormatting sqref="I687">
    <cfRule type="duplicateValues" dxfId="176" priority="147"/>
    <cfRule type="duplicateValues" dxfId="175" priority="148"/>
  </conditionalFormatting>
  <conditionalFormatting sqref="I688">
    <cfRule type="duplicateValues" dxfId="174" priority="140"/>
    <cfRule type="duplicateValues" dxfId="173" priority="141"/>
  </conditionalFormatting>
  <conditionalFormatting sqref="I689">
    <cfRule type="duplicateValues" dxfId="172" priority="139"/>
    <cfRule type="duplicateValues" dxfId="171" priority="138"/>
  </conditionalFormatting>
  <conditionalFormatting sqref="I691">
    <cfRule type="duplicateValues" dxfId="170" priority="20"/>
    <cfRule type="duplicateValues" dxfId="169" priority="21"/>
  </conditionalFormatting>
  <conditionalFormatting sqref="I697">
    <cfRule type="duplicateValues" dxfId="168" priority="112"/>
    <cfRule type="duplicateValues" dxfId="167" priority="113"/>
  </conditionalFormatting>
  <conditionalFormatting sqref="I699">
    <cfRule type="duplicateValues" dxfId="166" priority="142"/>
    <cfRule type="duplicateValues" dxfId="165" priority="143"/>
  </conditionalFormatting>
  <conditionalFormatting sqref="I700:I1048576 I667:I669 I680 I434:I435 I166:I170 I437:I445 I203 I671:I673 I161 I150:I152 I190:I191 I447:I464 I466:I492 I494:I526 I531:I538 I281:I292 I279 I296:I309 I205:I206 I528:I529 I550:I566 I629:I634 I650:I663 I636:I648 I197:I198 I541:I548 I34:I36 I44:I57 I78 I690 I698 I38:I41 I424:I432 I334:I360 I393:I422 I363:I391 I194 I247:I248 I26:I30 I311:I331 I250 I210:I235 I568:I603 I605:I627 I237:I245 I692:I696 I92:I128 I254:I263 I80:I89 I59:I76 I131:I142 I145:I146 I173:I188 I1:I21 I265:I277">
    <cfRule type="duplicateValues" dxfId="164" priority="157"/>
    <cfRule type="duplicateValues" dxfId="163" priority="158"/>
  </conditionalFormatting>
  <pageMargins left="0.70833333333333304" right="0.70833333333333304" top="0.74861111111111101" bottom="0.74861111111111101" header="0.31527777777777799" footer="0.31527777777777799"/>
  <pageSetup paperSize="9" fitToHeight="0" orientation="landscape" horizontalDpi="300" verticalDpi="300"/>
  <headerFooter>
    <oddHeader>&amp;C&amp;"Times New Roman,Bold"&amp;12COLLEGE OF ENGINEERING             
DRAFT EXAMINATION TIMETABLE FOR THE SECOND SEMESTER, 2025/2026 ACADEMIC YEAR</oddHeader>
    <oddFooter>&amp;C&amp;"Times New Roman,Regular"&amp;18&amp;Kff0000For computer based exams, venues will be communicated.</oddFooter>
  </headerFooter>
  <rowBreaks count="44" manualBreakCount="44">
    <brk id="11" max="16383" man="1"/>
    <brk id="30" max="16383" man="1"/>
    <brk id="43" max="16383" man="1"/>
    <brk id="63" max="16383" man="1"/>
    <brk id="81" max="16383" man="1"/>
    <brk id="95" max="16383" man="1"/>
    <brk id="108" max="16383" man="1"/>
    <brk id="123" max="16383" man="1"/>
    <brk id="135" max="16383" man="1"/>
    <brk id="152" max="16383" man="1"/>
    <brk id="165" max="16383" man="1"/>
    <brk id="181" max="16383" man="1"/>
    <brk id="198" max="16383" man="1"/>
    <brk id="209" max="16383" man="1"/>
    <brk id="221" max="16383" man="1"/>
    <brk id="240" max="16383" man="1"/>
    <brk id="255" max="16383" man="1"/>
    <brk id="269" max="16383" man="1"/>
    <brk id="283" max="16383" man="1"/>
    <brk id="299" max="16383" man="1"/>
    <brk id="312" max="16383" man="1"/>
    <brk id="338" max="16383" man="1"/>
    <brk id="353" max="16383" man="1"/>
    <brk id="366" max="16383" man="1"/>
    <brk id="378" max="16383" man="1"/>
    <brk id="394" max="16383" man="1"/>
    <brk id="409" max="16383" man="1"/>
    <brk id="426" max="16383" man="1"/>
    <brk id="450" max="16383" man="1"/>
    <brk id="467" max="16383" man="1"/>
    <brk id="483" max="16383" man="1"/>
    <brk id="497" max="16383" man="1"/>
    <brk id="518" max="16383" man="1"/>
    <brk id="534" max="16383" man="1"/>
    <brk id="551" max="16383" man="1"/>
    <brk id="570" max="16383" man="1"/>
    <brk id="583" max="16383" man="1"/>
    <brk id="594" max="16383" man="1"/>
    <brk id="607" max="16383" man="1"/>
    <brk id="623" max="16383" man="1"/>
    <brk id="641" max="16383" man="1"/>
    <brk id="659" max="16383" man="1"/>
    <brk id="672" max="16383" man="1"/>
    <brk id="686" max="16383" man="1"/>
  </rowBreaks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M704"/>
  <sheetViews>
    <sheetView topLeftCell="A248" zoomScaleNormal="100" workbookViewId="0">
      <selection activeCell="F259" sqref="F259"/>
    </sheetView>
  </sheetViews>
  <sheetFormatPr defaultColWidth="7.75" defaultRowHeight="13" x14ac:dyDescent="0.3"/>
  <cols>
    <col min="1" max="1" width="9.33203125" style="15" customWidth="1"/>
    <col min="2" max="2" width="59.1640625" style="15" customWidth="1"/>
    <col min="3" max="3" width="34.1640625" style="16" customWidth="1"/>
    <col min="4" max="4" width="9.25" style="15" customWidth="1"/>
    <col min="5" max="5" width="7.33203125" style="18" customWidth="1"/>
    <col min="6" max="6" width="58.25" style="17" customWidth="1"/>
    <col min="7" max="7" width="10" style="70" customWidth="1"/>
    <col min="8" max="8" width="21.08203125" style="19" customWidth="1"/>
    <col min="9" max="9" width="32.75" style="20" customWidth="1"/>
    <col min="10" max="10" width="41" style="21" customWidth="1"/>
    <col min="11" max="16384" width="7.75" style="21"/>
  </cols>
  <sheetData>
    <row r="1" spans="1:12" x14ac:dyDescent="0.3">
      <c r="A1" s="14" t="s">
        <v>0</v>
      </c>
      <c r="B1" s="14"/>
      <c r="C1" s="14"/>
      <c r="D1" s="14"/>
      <c r="E1" s="14"/>
      <c r="F1" s="14"/>
      <c r="G1" s="14"/>
      <c r="I1" s="22" t="str">
        <f>A1</f>
        <v>Monday, 17 August 2026</v>
      </c>
      <c r="J1" s="23"/>
    </row>
    <row r="2" spans="1:12" x14ac:dyDescent="0.3">
      <c r="A2" s="14" t="s">
        <v>2</v>
      </c>
      <c r="B2" s="14"/>
      <c r="C2" s="14"/>
      <c r="D2" s="14"/>
      <c r="E2" s="14"/>
      <c r="F2" s="14"/>
      <c r="G2" s="14"/>
      <c r="I2" s="22" t="str">
        <f>A2</f>
        <v>Session, 1 (8:30 AM - 10:30 AM)</v>
      </c>
      <c r="J2" s="23"/>
      <c r="L2" s="23"/>
    </row>
    <row r="3" spans="1:12" ht="14.5" x14ac:dyDescent="0.35">
      <c r="A3" s="24" t="s">
        <v>4</v>
      </c>
      <c r="B3" s="24" t="s">
        <v>5</v>
      </c>
      <c r="C3" s="16" t="s">
        <v>6</v>
      </c>
      <c r="D3" s="24" t="s">
        <v>7</v>
      </c>
      <c r="E3" s="106" t="s">
        <v>8</v>
      </c>
      <c r="F3" s="16" t="s">
        <v>9</v>
      </c>
      <c r="G3" s="107" t="s">
        <v>10</v>
      </c>
      <c r="I3" s="20" t="s">
        <v>11</v>
      </c>
      <c r="J3" s="25"/>
    </row>
    <row r="4" spans="1:12" ht="14.5" x14ac:dyDescent="0.35">
      <c r="A4" s="26" t="s">
        <v>12</v>
      </c>
      <c r="B4" s="27" t="str">
        <f t="array" ref="B4:B9">IFERROR(VLOOKUP(I4:I9,Lectures_1!A2:F534,2,FALSE()),0)</f>
        <v>DRAWING FOR ENGINEERS</v>
      </c>
      <c r="C4" s="27" t="str">
        <f t="array" ref="C4:C9">IFERROR(VLOOKUP(I4:I9,Lectures_1!A2:F534,3,FALSE()),0)</f>
        <v>Darkwah Lawrence</v>
      </c>
      <c r="D4" s="26" t="s">
        <v>13</v>
      </c>
      <c r="E4" s="108">
        <f t="array" ref="E4:E9">IFERROR(VLOOKUP(I4:I9,Lectures_1!A2:F534,4,FALSE()),0)</f>
        <v>160</v>
      </c>
      <c r="F4" s="26" t="s">
        <v>527</v>
      </c>
      <c r="G4" s="109">
        <f t="shared" ref="G4:G9" si="0">E4*1.1</f>
        <v>176</v>
      </c>
      <c r="H4" s="19" t="s">
        <v>528</v>
      </c>
      <c r="I4" s="20" t="str">
        <f t="shared" ref="I4:I9" si="1">CONCATENATE(A4,",",D4)</f>
        <v>CHE 258,ED2-CHE</v>
      </c>
      <c r="J4" s="25"/>
    </row>
    <row r="5" spans="1:12" s="112" customFormat="1" ht="14.5" x14ac:dyDescent="0.35">
      <c r="A5" s="26" t="s">
        <v>12</v>
      </c>
      <c r="B5" s="27" t="str">
        <v>DRAWING FOR ENGINEERS</v>
      </c>
      <c r="C5" s="27" t="str">
        <v>Darkwah Lawrence</v>
      </c>
      <c r="D5" s="26" t="s">
        <v>14</v>
      </c>
      <c r="E5" s="108">
        <v>65</v>
      </c>
      <c r="F5" s="26" t="s">
        <v>529</v>
      </c>
      <c r="G5" s="109">
        <f t="shared" si="0"/>
        <v>71.5</v>
      </c>
      <c r="H5" s="19" t="s">
        <v>530</v>
      </c>
      <c r="I5" s="110" t="str">
        <f t="shared" si="1"/>
        <v>CHE 258,ED2-PCE</v>
      </c>
      <c r="J5" s="111"/>
    </row>
    <row r="6" spans="1:12" s="112" customFormat="1" ht="14.5" x14ac:dyDescent="0.35">
      <c r="A6" s="26" t="s">
        <v>15</v>
      </c>
      <c r="B6" s="31" t="str">
        <v>OPERATING SYSTEMS</v>
      </c>
      <c r="C6" s="31" t="str">
        <v>Kommey Benjamin</v>
      </c>
      <c r="D6" s="26" t="s">
        <v>16</v>
      </c>
      <c r="E6" s="108">
        <v>265</v>
      </c>
      <c r="F6" s="32" t="s">
        <v>531</v>
      </c>
      <c r="G6" s="109">
        <f t="shared" si="0"/>
        <v>291.5</v>
      </c>
      <c r="H6" s="19" t="s">
        <v>532</v>
      </c>
      <c r="I6" s="110" t="str">
        <f t="shared" si="1"/>
        <v>COE 354,ED3-COE</v>
      </c>
      <c r="J6" s="111"/>
    </row>
    <row r="7" spans="1:12" s="120" customFormat="1" ht="14.5" x14ac:dyDescent="0.35">
      <c r="A7" s="113" t="s">
        <v>19</v>
      </c>
      <c r="B7" s="114" t="str">
        <v>ELECTRICAL ENG. DRAWING</v>
      </c>
      <c r="C7" s="114" t="str">
        <v>Kwegyir Daniel</v>
      </c>
      <c r="D7" s="113" t="s">
        <v>20</v>
      </c>
      <c r="E7" s="115">
        <v>262</v>
      </c>
      <c r="F7" s="113" t="s">
        <v>954</v>
      </c>
      <c r="G7" s="116">
        <f t="shared" si="0"/>
        <v>288.20000000000005</v>
      </c>
      <c r="H7" s="117" t="s">
        <v>534</v>
      </c>
      <c r="I7" s="118" t="str">
        <f t="shared" si="1"/>
        <v>EE 156,ED1-COE</v>
      </c>
      <c r="J7" s="119"/>
    </row>
    <row r="8" spans="1:12" ht="14.5" x14ac:dyDescent="0.35">
      <c r="A8" s="26" t="s">
        <v>192</v>
      </c>
      <c r="B8" s="27" t="str">
        <v>PROPULSION</v>
      </c>
      <c r="C8" s="31" t="str">
        <v>Bofah Kwasi Kete</v>
      </c>
      <c r="D8" s="26" t="s">
        <v>133</v>
      </c>
      <c r="E8" s="108">
        <v>76</v>
      </c>
      <c r="F8" s="32" t="s">
        <v>535</v>
      </c>
      <c r="G8" s="109">
        <f t="shared" si="0"/>
        <v>83.600000000000009</v>
      </c>
      <c r="H8" s="19" t="s">
        <v>536</v>
      </c>
      <c r="I8" s="20" t="str">
        <f t="shared" si="1"/>
        <v>AERO 368,ED3-AERO</v>
      </c>
      <c r="J8" s="25"/>
    </row>
    <row r="9" spans="1:12" ht="14.5" x14ac:dyDescent="0.35">
      <c r="A9" s="26" t="s">
        <v>24</v>
      </c>
      <c r="B9" s="31" t="str">
        <v>DIGITAL SYSTEMS</v>
      </c>
      <c r="C9" s="27" t="str">
        <v>Opoku Daniel</v>
      </c>
      <c r="D9" s="26" t="s">
        <v>25</v>
      </c>
      <c r="E9" s="108">
        <v>340</v>
      </c>
      <c r="F9" s="26" t="s">
        <v>537</v>
      </c>
      <c r="G9" s="109">
        <f t="shared" si="0"/>
        <v>374.00000000000006</v>
      </c>
      <c r="H9" s="19" t="s">
        <v>538</v>
      </c>
      <c r="I9" s="20" t="str">
        <f t="shared" si="1"/>
        <v>EE 272,ED2-EE</v>
      </c>
      <c r="J9" s="25"/>
    </row>
    <row r="10" spans="1:12" ht="14.5" x14ac:dyDescent="0.35">
      <c r="A10" s="35"/>
      <c r="B10" s="35"/>
      <c r="D10" s="27" t="s">
        <v>26</v>
      </c>
      <c r="E10" s="121">
        <f>SUM(E4:E9)</f>
        <v>1168</v>
      </c>
      <c r="F10" s="36"/>
      <c r="G10" s="122"/>
      <c r="I10" s="22" t="s">
        <v>27</v>
      </c>
      <c r="J10" s="25"/>
    </row>
    <row r="11" spans="1:12" ht="14.5" x14ac:dyDescent="0.35">
      <c r="A11" s="35"/>
      <c r="B11" s="35"/>
      <c r="D11" s="27"/>
      <c r="E11" s="121"/>
      <c r="F11" s="36"/>
      <c r="G11" s="122"/>
      <c r="I11" s="22"/>
      <c r="J11" s="25"/>
    </row>
    <row r="12" spans="1:12" ht="14.5" x14ac:dyDescent="0.35">
      <c r="A12" s="14" t="s">
        <v>0</v>
      </c>
      <c r="B12" s="14"/>
      <c r="C12" s="14"/>
      <c r="D12" s="14"/>
      <c r="E12" s="14"/>
      <c r="F12" s="14"/>
      <c r="G12" s="14"/>
      <c r="I12" s="22" t="str">
        <f>A12</f>
        <v>Monday, 17 August 2026</v>
      </c>
      <c r="J12" s="25"/>
    </row>
    <row r="13" spans="1:12" s="23" customFormat="1" ht="14.5" x14ac:dyDescent="0.35">
      <c r="A13" s="14" t="s">
        <v>29</v>
      </c>
      <c r="B13" s="14"/>
      <c r="C13" s="14"/>
      <c r="D13" s="14"/>
      <c r="E13" s="14"/>
      <c r="F13" s="14"/>
      <c r="G13" s="14"/>
      <c r="H13" s="19"/>
      <c r="I13" s="22" t="str">
        <f>A13</f>
        <v>Session, 2 (12:00 PM - 2:00 PM)</v>
      </c>
      <c r="J13" s="25"/>
    </row>
    <row r="14" spans="1:12" s="23" customFormat="1" ht="14.5" x14ac:dyDescent="0.35">
      <c r="A14" s="24" t="s">
        <v>4</v>
      </c>
      <c r="B14" s="24" t="s">
        <v>5</v>
      </c>
      <c r="C14" s="16" t="s">
        <v>6</v>
      </c>
      <c r="D14" s="24" t="s">
        <v>7</v>
      </c>
      <c r="E14" s="106" t="s">
        <v>8</v>
      </c>
      <c r="F14" s="16" t="s">
        <v>9</v>
      </c>
      <c r="G14" s="107" t="s">
        <v>10</v>
      </c>
      <c r="H14" s="19"/>
      <c r="I14" s="22" t="s">
        <v>31</v>
      </c>
      <c r="J14" s="25"/>
    </row>
    <row r="15" spans="1:12" s="112" customFormat="1" ht="14.5" x14ac:dyDescent="0.35">
      <c r="A15" s="123" t="s">
        <v>32</v>
      </c>
      <c r="B15" s="124" t="str">
        <f t="array" ref="B15:B28">IFERROR(VLOOKUP(I15:I28,Lectures_1!A2:F534,2,FALSE()),0)</f>
        <v>MACHINE DESIGN PROJECT</v>
      </c>
      <c r="C15" s="124" t="str">
        <f t="array" ref="C15:C28">IFERROR(VLOOKUP(I15:I28,Lectures_1!A2:F534,3,FALSE()),0)</f>
        <v>Andoh Prince Yaw</v>
      </c>
      <c r="D15" s="123" t="s">
        <v>33</v>
      </c>
      <c r="E15" s="125">
        <f t="array" ref="E15:E28">IFERROR(VLOOKUP(I15:I28,Lectures_1!A2:F534,4,FALSE()),0)</f>
        <v>240</v>
      </c>
      <c r="F15" s="13" t="s">
        <v>34</v>
      </c>
      <c r="G15" s="126">
        <f t="shared" ref="G15:G28" si="2">E15*1.1</f>
        <v>264</v>
      </c>
      <c r="H15" s="127"/>
      <c r="I15" s="110" t="str">
        <f t="shared" ref="I15:I28" si="3">CONCATENATE(A15,",",D15)</f>
        <v>ME 274,ED2-ME</v>
      </c>
      <c r="J15" s="111"/>
    </row>
    <row r="16" spans="1:12" s="112" customFormat="1" ht="14.5" x14ac:dyDescent="0.35">
      <c r="A16" s="123" t="s">
        <v>35</v>
      </c>
      <c r="B16" s="128" t="str">
        <v>AEROSPACE DESIGN PROJECT II</v>
      </c>
      <c r="C16" s="128" t="str">
        <v>Andoh Prince Yaw</v>
      </c>
      <c r="D16" s="123" t="s">
        <v>36</v>
      </c>
      <c r="E16" s="129">
        <v>75</v>
      </c>
      <c r="F16" s="13"/>
      <c r="G16" s="126">
        <f t="shared" si="2"/>
        <v>82.5</v>
      </c>
      <c r="H16" s="127"/>
      <c r="I16" s="110" t="str">
        <f t="shared" si="3"/>
        <v>AERO 274,ED2-AERO</v>
      </c>
      <c r="J16" s="111"/>
    </row>
    <row r="17" spans="1:10" s="112" customFormat="1" ht="14.5" x14ac:dyDescent="0.35">
      <c r="A17" s="123" t="s">
        <v>37</v>
      </c>
      <c r="B17" s="124" t="str">
        <v>SECOND YEAR DESIGN PROJECT</v>
      </c>
      <c r="C17" s="128" t="str">
        <v>Andoh Prince Yaw</v>
      </c>
      <c r="D17" s="123" t="s">
        <v>38</v>
      </c>
      <c r="E17" s="129">
        <v>80</v>
      </c>
      <c r="F17" s="13"/>
      <c r="G17" s="126">
        <f t="shared" si="2"/>
        <v>88</v>
      </c>
      <c r="H17" s="130"/>
      <c r="I17" s="110" t="str">
        <f t="shared" si="3"/>
        <v>IE 274,ED2-IND</v>
      </c>
      <c r="J17" s="111"/>
    </row>
    <row r="18" spans="1:10" s="112" customFormat="1" ht="14.5" x14ac:dyDescent="0.35">
      <c r="A18" s="123" t="s">
        <v>39</v>
      </c>
      <c r="B18" s="124" t="str">
        <v>AUTOMOTIVE DESIGN PROJECT</v>
      </c>
      <c r="C18" s="128" t="str">
        <v>Andoh Prince Yaw</v>
      </c>
      <c r="D18" s="123" t="s">
        <v>40</v>
      </c>
      <c r="E18" s="129">
        <v>82</v>
      </c>
      <c r="F18" s="13"/>
      <c r="G18" s="126">
        <f t="shared" si="2"/>
        <v>90.2</v>
      </c>
      <c r="H18" s="130"/>
      <c r="I18" s="110" t="str">
        <f t="shared" si="3"/>
        <v>AME 274,ED2-AUTO</v>
      </c>
      <c r="J18" s="111"/>
    </row>
    <row r="19" spans="1:10" s="112" customFormat="1" ht="14.5" x14ac:dyDescent="0.35">
      <c r="A19" s="123" t="s">
        <v>41</v>
      </c>
      <c r="B19" s="124" t="str">
        <v>MARINE ENGINEERING DESIGN PROJECT II</v>
      </c>
      <c r="C19" s="128" t="str">
        <v>Andoh Prince Yaw</v>
      </c>
      <c r="D19" s="123" t="s">
        <v>42</v>
      </c>
      <c r="E19" s="129">
        <v>37</v>
      </c>
      <c r="F19" s="13"/>
      <c r="G19" s="126">
        <f t="shared" si="2"/>
        <v>40.700000000000003</v>
      </c>
      <c r="H19" s="130"/>
      <c r="I19" s="110" t="str">
        <f t="shared" si="3"/>
        <v>MME 274,ED2-MARI</v>
      </c>
      <c r="J19" s="111"/>
    </row>
    <row r="20" spans="1:10" ht="14.5" x14ac:dyDescent="0.35">
      <c r="A20" s="26" t="s">
        <v>43</v>
      </c>
      <c r="B20" s="31" t="str">
        <v>PETROLEUM REFINING ENGINEERING</v>
      </c>
      <c r="C20" s="31" t="str">
        <v>Kwao-Boateng Emmanuela</v>
      </c>
      <c r="D20" s="26" t="s">
        <v>44</v>
      </c>
      <c r="E20" s="108">
        <v>55</v>
      </c>
      <c r="F20" s="32" t="s">
        <v>539</v>
      </c>
      <c r="G20" s="109">
        <f t="shared" si="2"/>
        <v>60.500000000000007</v>
      </c>
      <c r="H20" s="19" t="s">
        <v>540</v>
      </c>
      <c r="I20" s="20" t="str">
        <f t="shared" si="3"/>
        <v>PCE 450,ED4-PCE</v>
      </c>
      <c r="J20" s="25"/>
    </row>
    <row r="21" spans="1:10" ht="14.5" x14ac:dyDescent="0.35">
      <c r="A21" s="26" t="s">
        <v>47</v>
      </c>
      <c r="B21" s="31" t="str">
        <v>REFINING PROCESSES TECHNOLOGY</v>
      </c>
      <c r="C21" s="31" t="str">
        <v>Kwao-Boateng Emmanuela</v>
      </c>
      <c r="D21" s="26" t="s">
        <v>48</v>
      </c>
      <c r="E21" s="108">
        <v>50</v>
      </c>
      <c r="F21" s="32" t="s">
        <v>541</v>
      </c>
      <c r="G21" s="109">
        <f t="shared" si="2"/>
        <v>55.000000000000007</v>
      </c>
      <c r="H21" s="19">
        <v>50</v>
      </c>
      <c r="I21" s="20" t="str">
        <f t="shared" si="3"/>
        <v>PCE 464,ED4-CHE</v>
      </c>
      <c r="J21" s="25"/>
    </row>
    <row r="22" spans="1:10" ht="14.5" x14ac:dyDescent="0.35">
      <c r="A22" s="26" t="s">
        <v>542</v>
      </c>
      <c r="B22" s="27" t="str">
        <v>MECHANICAL ENGINEERING LAB. II</v>
      </c>
      <c r="C22" s="31" t="str">
        <v>Boahen Samuel</v>
      </c>
      <c r="D22" s="26" t="s">
        <v>53</v>
      </c>
      <c r="E22" s="108">
        <v>155</v>
      </c>
      <c r="F22" s="32" t="s">
        <v>527</v>
      </c>
      <c r="G22" s="109">
        <f t="shared" si="2"/>
        <v>170.5</v>
      </c>
      <c r="H22" s="19" t="s">
        <v>543</v>
      </c>
      <c r="I22" s="20" t="str">
        <f t="shared" si="3"/>
        <v>ME 296,ED2-AE</v>
      </c>
      <c r="J22" s="25"/>
    </row>
    <row r="23" spans="1:10" s="112" customFormat="1" ht="14.5" x14ac:dyDescent="0.35">
      <c r="A23" s="26" t="s">
        <v>72</v>
      </c>
      <c r="B23" s="27" t="str">
        <v>SILICATE TECHNOLOGY II</v>
      </c>
      <c r="C23" s="31" t="str">
        <v>Momade Zsuzsanna Gál</v>
      </c>
      <c r="D23" s="26" t="s">
        <v>73</v>
      </c>
      <c r="E23" s="108">
        <v>15</v>
      </c>
      <c r="F23" s="32" t="s">
        <v>544</v>
      </c>
      <c r="G23" s="109">
        <f t="shared" si="2"/>
        <v>16.5</v>
      </c>
      <c r="H23" s="19">
        <v>15</v>
      </c>
      <c r="I23" s="110" t="str">
        <f t="shared" si="3"/>
        <v>CHE 362,ED3-CHE</v>
      </c>
      <c r="J23" s="111"/>
    </row>
    <row r="24" spans="1:10" s="120" customFormat="1" ht="14.5" x14ac:dyDescent="0.35">
      <c r="A24" s="113" t="s">
        <v>234</v>
      </c>
      <c r="B24" s="118" t="str">
        <v>BASIC ELECTRONICS</v>
      </c>
      <c r="C24" s="118" t="str">
        <v>Kwegyir Daniel</v>
      </c>
      <c r="D24" s="113" t="s">
        <v>95</v>
      </c>
      <c r="E24" s="115">
        <v>103</v>
      </c>
      <c r="F24" s="113" t="s">
        <v>955</v>
      </c>
      <c r="G24" s="116">
        <f t="shared" si="2"/>
        <v>113.30000000000001</v>
      </c>
      <c r="H24" s="117">
        <v>103</v>
      </c>
      <c r="I24" s="131" t="str">
        <f t="shared" si="3"/>
        <v>EE 152,ED1-GEOM</v>
      </c>
      <c r="J24" s="119"/>
    </row>
    <row r="25" spans="1:10" s="120" customFormat="1" ht="14.5" x14ac:dyDescent="0.35">
      <c r="A25" s="113" t="s">
        <v>234</v>
      </c>
      <c r="B25" s="118" t="str">
        <v>BASIC ELECTRONICS</v>
      </c>
      <c r="C25" s="118" t="str">
        <v>Kwegyir Daniel</v>
      </c>
      <c r="D25" s="113" t="s">
        <v>126</v>
      </c>
      <c r="E25" s="115">
        <v>125</v>
      </c>
      <c r="F25" s="113" t="s">
        <v>956</v>
      </c>
      <c r="G25" s="116">
        <f t="shared" si="2"/>
        <v>137.5</v>
      </c>
      <c r="H25" s="117">
        <v>125</v>
      </c>
      <c r="I25" s="131" t="str">
        <f t="shared" si="3"/>
        <v>EE 152,ED1-GEOL</v>
      </c>
      <c r="J25" s="119"/>
    </row>
    <row r="26" spans="1:10" ht="14.5" x14ac:dyDescent="0.35">
      <c r="A26" s="26" t="s">
        <v>74</v>
      </c>
      <c r="B26" s="31" t="str">
        <v>PROPERTIES OF CIVIL ENGINEERING MATERIAL</v>
      </c>
      <c r="C26" s="31" t="str">
        <v>Kankam Charles Kwame</v>
      </c>
      <c r="D26" s="26" t="s">
        <v>75</v>
      </c>
      <c r="E26" s="108">
        <v>245</v>
      </c>
      <c r="F26" s="32" t="s">
        <v>531</v>
      </c>
      <c r="G26" s="109">
        <f t="shared" si="2"/>
        <v>269.5</v>
      </c>
      <c r="H26" s="19" t="s">
        <v>547</v>
      </c>
      <c r="I26" s="20" t="str">
        <f t="shared" si="3"/>
        <v>CE 154,ED1-CE</v>
      </c>
      <c r="J26" s="25"/>
    </row>
    <row r="27" spans="1:10" ht="14.5" x14ac:dyDescent="0.35">
      <c r="A27" s="26" t="s">
        <v>54</v>
      </c>
      <c r="B27" s="31" t="str">
        <v>FLUID MECHANICS</v>
      </c>
      <c r="C27" s="27" t="str">
        <v>Anornu Geophrey Kwame</v>
      </c>
      <c r="D27" s="26" t="s">
        <v>55</v>
      </c>
      <c r="E27" s="108">
        <v>150</v>
      </c>
      <c r="F27" s="32" t="s">
        <v>548</v>
      </c>
      <c r="G27" s="109">
        <f t="shared" si="2"/>
        <v>165</v>
      </c>
      <c r="H27" s="19" t="s">
        <v>549</v>
      </c>
      <c r="I27" s="20" t="str">
        <f t="shared" si="3"/>
        <v>CE 256,ED2-GEOL</v>
      </c>
      <c r="J27" s="25"/>
    </row>
    <row r="28" spans="1:10" ht="14.5" x14ac:dyDescent="0.35">
      <c r="A28" s="26" t="s">
        <v>54</v>
      </c>
      <c r="B28" s="27" t="str">
        <v>FLUID MECHANICS</v>
      </c>
      <c r="C28" s="27" t="str">
        <v>Anornu Geophrey Kwame</v>
      </c>
      <c r="D28" s="26" t="s">
        <v>56</v>
      </c>
      <c r="E28" s="108">
        <v>250</v>
      </c>
      <c r="F28" s="32" t="s">
        <v>531</v>
      </c>
      <c r="G28" s="109">
        <f t="shared" si="2"/>
        <v>275</v>
      </c>
      <c r="H28" s="19" t="s">
        <v>550</v>
      </c>
      <c r="I28" s="20" t="str">
        <f t="shared" si="3"/>
        <v>CE 256,ED2-CE</v>
      </c>
      <c r="J28" s="25"/>
    </row>
    <row r="29" spans="1:10" ht="14.5" x14ac:dyDescent="0.35">
      <c r="A29" s="26"/>
      <c r="B29" s="35"/>
      <c r="D29" s="27" t="s">
        <v>57</v>
      </c>
      <c r="E29" s="121">
        <f>SUM(E20:E28)</f>
        <v>1148</v>
      </c>
      <c r="F29" s="36"/>
      <c r="G29" s="122"/>
      <c r="I29" s="22" t="s">
        <v>58</v>
      </c>
      <c r="J29" s="25"/>
    </row>
    <row r="30" spans="1:10" ht="14.5" x14ac:dyDescent="0.35">
      <c r="A30" s="26"/>
      <c r="B30" s="35"/>
      <c r="D30" s="27"/>
      <c r="E30" s="121"/>
      <c r="F30" s="36"/>
      <c r="G30" s="122"/>
      <c r="I30" s="22"/>
      <c r="J30" s="25"/>
    </row>
    <row r="31" spans="1:10" ht="14.5" x14ac:dyDescent="0.35">
      <c r="A31" s="14" t="s">
        <v>0</v>
      </c>
      <c r="B31" s="14"/>
      <c r="C31" s="14"/>
      <c r="D31" s="14"/>
      <c r="E31" s="14"/>
      <c r="F31" s="14"/>
      <c r="G31" s="14"/>
      <c r="I31" s="22" t="str">
        <f>A31</f>
        <v>Monday, 17 August 2026</v>
      </c>
      <c r="J31" s="25"/>
    </row>
    <row r="32" spans="1:10" s="23" customFormat="1" ht="14.5" x14ac:dyDescent="0.35">
      <c r="A32" s="14" t="s">
        <v>59</v>
      </c>
      <c r="B32" s="14"/>
      <c r="C32" s="14"/>
      <c r="D32" s="14"/>
      <c r="E32" s="14"/>
      <c r="F32" s="14"/>
      <c r="G32" s="14"/>
      <c r="H32" s="19"/>
      <c r="I32" s="22" t="str">
        <f>A32</f>
        <v>Session, 3 (3:00 PM - 5:00 PM)</v>
      </c>
      <c r="J32" s="25"/>
    </row>
    <row r="33" spans="1:12" s="23" customFormat="1" ht="14.5" x14ac:dyDescent="0.35">
      <c r="A33" s="24" t="s">
        <v>4</v>
      </c>
      <c r="B33" s="24" t="s">
        <v>5</v>
      </c>
      <c r="C33" s="16" t="s">
        <v>6</v>
      </c>
      <c r="D33" s="24" t="s">
        <v>7</v>
      </c>
      <c r="E33" s="106" t="s">
        <v>8</v>
      </c>
      <c r="F33" s="16" t="s">
        <v>9</v>
      </c>
      <c r="G33" s="107" t="s">
        <v>10</v>
      </c>
      <c r="H33" s="19"/>
      <c r="I33" s="22" t="s">
        <v>31</v>
      </c>
      <c r="J33" s="25"/>
    </row>
    <row r="34" spans="1:12" s="112" customFormat="1" ht="14.5" x14ac:dyDescent="0.35">
      <c r="A34" s="123" t="s">
        <v>60</v>
      </c>
      <c r="B34" s="124" t="str">
        <f t="array" ref="B34:B41">IFERROR(VLOOKUP(I34:I41,Lectures_1!A2:F534,2,FALSE()),0)</f>
        <v>MACHINE ELEMENTS DESIGN II</v>
      </c>
      <c r="C34" s="132" t="str">
        <f t="array" ref="C34:C41">IFERROR(VLOOKUP(I34:I41,Lectures_1!A2:F534,3,FALSE()),0)</f>
        <v>Andoh Prince Yaw</v>
      </c>
      <c r="D34" s="133" t="s">
        <v>61</v>
      </c>
      <c r="E34" s="129">
        <f t="array" ref="E34:E41">IFERROR(VLOOKUP(I34:I41,Lectures_1!A2:F534,4,FALSE()),0)</f>
        <v>222</v>
      </c>
      <c r="F34" s="134" t="s">
        <v>551</v>
      </c>
      <c r="G34" s="126">
        <f t="shared" ref="G34:G41" si="4">E34*1.1</f>
        <v>244.20000000000002</v>
      </c>
      <c r="H34" s="127"/>
      <c r="I34" s="110" t="str">
        <f t="shared" ref="I34:I41" si="5">CONCATENATE(A34,",",D34)</f>
        <v>ME 374,ED3-ME</v>
      </c>
      <c r="J34" s="111"/>
    </row>
    <row r="35" spans="1:12" ht="14.5" x14ac:dyDescent="0.35">
      <c r="A35" s="26" t="s">
        <v>66</v>
      </c>
      <c r="B35" s="27" t="str">
        <v>INSTRUMENTATION</v>
      </c>
      <c r="C35" s="27" t="str">
        <v>Adam Faisal Wahib</v>
      </c>
      <c r="D35" s="26" t="s">
        <v>67</v>
      </c>
      <c r="E35" s="108">
        <v>135</v>
      </c>
      <c r="F35" s="32" t="s">
        <v>552</v>
      </c>
      <c r="G35" s="109">
        <f t="shared" si="4"/>
        <v>148.5</v>
      </c>
      <c r="H35" s="19" t="s">
        <v>553</v>
      </c>
      <c r="I35" s="20" t="str">
        <f t="shared" si="5"/>
        <v>ME 464,ED4-ME</v>
      </c>
      <c r="J35" s="25"/>
    </row>
    <row r="36" spans="1:12" s="112" customFormat="1" ht="14.5" x14ac:dyDescent="0.35">
      <c r="A36" s="26" t="s">
        <v>495</v>
      </c>
      <c r="B36" s="27" t="str">
        <v>QUANTITIES AND COST ESTIMATION IN CIVIL ENGINEERING</v>
      </c>
      <c r="C36" s="27" t="str">
        <v>Osei Jack Banahene</v>
      </c>
      <c r="D36" s="26" t="s">
        <v>157</v>
      </c>
      <c r="E36" s="108">
        <v>230</v>
      </c>
      <c r="F36" s="60" t="s">
        <v>554</v>
      </c>
      <c r="G36" s="109">
        <f t="shared" si="4"/>
        <v>253.00000000000003</v>
      </c>
      <c r="H36" s="58" t="s">
        <v>555</v>
      </c>
      <c r="I36" s="110" t="str">
        <f t="shared" si="5"/>
        <v>CE 376,ED3-CE</v>
      </c>
      <c r="J36" s="111"/>
    </row>
    <row r="37" spans="1:12" ht="14.5" x14ac:dyDescent="0.35">
      <c r="A37" s="26" t="s">
        <v>70</v>
      </c>
      <c r="B37" s="27" t="str">
        <v>SUBSTATIONS AND TRANSMISSION LINE DESIGN</v>
      </c>
      <c r="C37" s="27" t="str">
        <v>Antoh Emmanuel Kwaku</v>
      </c>
      <c r="D37" s="26" t="s">
        <v>71</v>
      </c>
      <c r="E37" s="108">
        <v>240</v>
      </c>
      <c r="F37" s="32" t="s">
        <v>556</v>
      </c>
      <c r="G37" s="109">
        <f t="shared" si="4"/>
        <v>264</v>
      </c>
      <c r="H37" s="19" t="s">
        <v>557</v>
      </c>
      <c r="I37" s="20" t="str">
        <f t="shared" si="5"/>
        <v>EE 362,ED3-EE</v>
      </c>
      <c r="J37" s="25"/>
    </row>
    <row r="38" spans="1:12" ht="14.5" x14ac:dyDescent="0.35">
      <c r="A38" s="26" t="s">
        <v>443</v>
      </c>
      <c r="B38" s="27" t="str">
        <v>MANUAL POWER TRAIN</v>
      </c>
      <c r="C38" s="31" t="str">
        <v>Abu Frimpong Solomon</v>
      </c>
      <c r="D38" s="26" t="s">
        <v>23</v>
      </c>
      <c r="E38" s="108">
        <v>40</v>
      </c>
      <c r="F38" s="32" t="s">
        <v>558</v>
      </c>
      <c r="G38" s="109">
        <f t="shared" si="4"/>
        <v>44</v>
      </c>
      <c r="H38" s="17" t="s">
        <v>559</v>
      </c>
      <c r="I38" s="20" t="str">
        <f t="shared" si="5"/>
        <v>AME 386,ED3-AUTO</v>
      </c>
      <c r="J38" s="25"/>
    </row>
    <row r="39" spans="1:12" ht="14.5" x14ac:dyDescent="0.35">
      <c r="A39" s="26" t="s">
        <v>68</v>
      </c>
      <c r="B39" s="27" t="str">
        <v>NAVAL ARCHITECTURE II</v>
      </c>
      <c r="C39" s="27" t="str">
        <v>Kudzedzi Emmanuel Yaw Mawuko</v>
      </c>
      <c r="D39" s="26" t="s">
        <v>69</v>
      </c>
      <c r="E39" s="108">
        <v>23</v>
      </c>
      <c r="F39" s="32" t="s">
        <v>560</v>
      </c>
      <c r="G39" s="109">
        <f t="shared" si="4"/>
        <v>25.3</v>
      </c>
      <c r="H39" s="19">
        <v>23</v>
      </c>
      <c r="I39" s="20" t="str">
        <f t="shared" si="5"/>
        <v>MME 482,ED4-MARI</v>
      </c>
      <c r="J39" s="25"/>
    </row>
    <row r="40" spans="1:12" ht="14.5" x14ac:dyDescent="0.35">
      <c r="A40" s="26" t="s">
        <v>17</v>
      </c>
      <c r="B40" s="31" t="str">
        <v>WELL TESTING</v>
      </c>
      <c r="C40" s="27" t="str">
        <v>Adenutsi Caspar Daniel</v>
      </c>
      <c r="D40" s="26" t="s">
        <v>18</v>
      </c>
      <c r="E40" s="108">
        <v>80</v>
      </c>
      <c r="F40" s="32" t="s">
        <v>533</v>
      </c>
      <c r="G40" s="109">
        <f t="shared" si="4"/>
        <v>88</v>
      </c>
      <c r="H40" s="19" t="s">
        <v>561</v>
      </c>
      <c r="I40" s="20" t="str">
        <f t="shared" si="5"/>
        <v>PE 360,ED3-PE</v>
      </c>
      <c r="J40" s="25"/>
    </row>
    <row r="41" spans="1:12" ht="14.5" x14ac:dyDescent="0.35">
      <c r="A41" s="26" t="s">
        <v>76</v>
      </c>
      <c r="B41" s="27" t="str">
        <v>ANALYSIS OF ERRORS</v>
      </c>
      <c r="C41" s="31" t="str">
        <v>Collins Fosu</v>
      </c>
      <c r="D41" s="26" t="s">
        <v>77</v>
      </c>
      <c r="E41" s="108">
        <v>122</v>
      </c>
      <c r="F41" s="32" t="s">
        <v>562</v>
      </c>
      <c r="G41" s="109">
        <f t="shared" si="4"/>
        <v>134.20000000000002</v>
      </c>
      <c r="H41" s="19" t="s">
        <v>563</v>
      </c>
      <c r="I41" s="20" t="str">
        <f t="shared" si="5"/>
        <v>GE 372,ED3-GEOM</v>
      </c>
      <c r="J41" s="25"/>
    </row>
    <row r="42" spans="1:12" ht="14.5" x14ac:dyDescent="0.35">
      <c r="A42" s="26"/>
      <c r="B42" s="35"/>
      <c r="D42" s="27" t="s">
        <v>57</v>
      </c>
      <c r="E42" s="121">
        <f>SUM(E34:E41)</f>
        <v>1092</v>
      </c>
      <c r="F42" s="36"/>
      <c r="G42" s="122"/>
      <c r="I42" s="22" t="s">
        <v>58</v>
      </c>
      <c r="J42" s="25"/>
    </row>
    <row r="43" spans="1:12" ht="14.5" x14ac:dyDescent="0.35">
      <c r="A43" s="26"/>
      <c r="B43" s="35"/>
      <c r="D43" s="27"/>
      <c r="E43" s="121"/>
      <c r="F43" s="36"/>
      <c r="G43" s="122"/>
      <c r="I43" s="22"/>
      <c r="J43" s="25"/>
    </row>
    <row r="44" spans="1:12" s="138" customFormat="1" x14ac:dyDescent="0.3">
      <c r="A44" s="12" t="s">
        <v>78</v>
      </c>
      <c r="B44" s="12"/>
      <c r="C44" s="12"/>
      <c r="D44" s="12"/>
      <c r="E44" s="12"/>
      <c r="F44" s="12"/>
      <c r="G44" s="12"/>
      <c r="H44" s="135"/>
      <c r="I44" s="136" t="str">
        <f>A44</f>
        <v>Tuesday, 18 August 2026</v>
      </c>
      <c r="J44" s="137"/>
    </row>
    <row r="45" spans="1:12" s="138" customFormat="1" x14ac:dyDescent="0.3">
      <c r="A45" s="12" t="s">
        <v>2</v>
      </c>
      <c r="B45" s="12"/>
      <c r="C45" s="12"/>
      <c r="D45" s="12"/>
      <c r="E45" s="12"/>
      <c r="F45" s="12"/>
      <c r="G45" s="12"/>
      <c r="H45" s="135"/>
      <c r="I45" s="136" t="str">
        <f>A45</f>
        <v>Session, 1 (8:30 AM - 10:30 AM)</v>
      </c>
      <c r="J45" s="137"/>
      <c r="L45" s="137"/>
    </row>
    <row r="46" spans="1:12" ht="14.5" x14ac:dyDescent="0.35">
      <c r="A46" s="24" t="s">
        <v>4</v>
      </c>
      <c r="B46" s="24" t="s">
        <v>5</v>
      </c>
      <c r="C46" s="16" t="s">
        <v>6</v>
      </c>
      <c r="D46" s="24" t="s">
        <v>7</v>
      </c>
      <c r="E46" s="106" t="s">
        <v>8</v>
      </c>
      <c r="F46" s="16" t="s">
        <v>9</v>
      </c>
      <c r="G46" s="107" t="s">
        <v>10</v>
      </c>
      <c r="I46" s="20" t="s">
        <v>11</v>
      </c>
      <c r="J46" s="25"/>
    </row>
    <row r="47" spans="1:12" s="112" customFormat="1" ht="14.5" x14ac:dyDescent="0.35">
      <c r="A47" s="123" t="s">
        <v>79</v>
      </c>
      <c r="B47" s="124" t="str">
        <f t="array" ref="B47:B60">IFERROR(VLOOKUP(I47:I60,Lectures_1!A2:F534,2,FALSE()),0)</f>
        <v>GENERAL PHYSICS</v>
      </c>
      <c r="C47" s="128" t="str">
        <f t="array" ref="C47:C60">IFERROR(VLOOKUP(I47:I60,Lectures_1!A2:F534,3,FALSE()),0)</f>
        <v>Boateng Cyril Dziedzorm</v>
      </c>
      <c r="D47" s="123" t="s">
        <v>80</v>
      </c>
      <c r="E47" s="129">
        <f t="array" ref="E47:E60">IFERROR(VLOOKUP(I47:I60,Lectures_1!A2:F534,4,FALSE()),0)</f>
        <v>120</v>
      </c>
      <c r="F47" s="13" t="s">
        <v>34</v>
      </c>
      <c r="G47" s="126">
        <f t="shared" ref="G47:G60" si="6">E47*1.1</f>
        <v>132</v>
      </c>
      <c r="H47" s="127"/>
      <c r="I47" s="110" t="str">
        <f t="shared" ref="I47:I60" si="7">CONCATENATE(A47,",",D47)</f>
        <v>PHY 170,ED1-CHE</v>
      </c>
      <c r="J47" s="111"/>
    </row>
    <row r="48" spans="1:12" s="112" customFormat="1" ht="14.5" x14ac:dyDescent="0.35">
      <c r="A48" s="123" t="s">
        <v>79</v>
      </c>
      <c r="B48" s="124" t="str">
        <v>GENERAL PHYSICS</v>
      </c>
      <c r="C48" s="128" t="str">
        <v>Abavare Eric Kwabena Kyeh</v>
      </c>
      <c r="D48" s="123" t="s">
        <v>81</v>
      </c>
      <c r="E48" s="129">
        <v>56</v>
      </c>
      <c r="F48" s="13"/>
      <c r="G48" s="126">
        <f t="shared" si="6"/>
        <v>61.600000000000009</v>
      </c>
      <c r="H48" s="127"/>
      <c r="I48" s="110" t="str">
        <f t="shared" si="7"/>
        <v>PHY 170,ED1-PCE</v>
      </c>
      <c r="J48" s="111"/>
    </row>
    <row r="49" spans="1:10" s="112" customFormat="1" ht="14.5" x14ac:dyDescent="0.35">
      <c r="A49" s="123" t="s">
        <v>79</v>
      </c>
      <c r="B49" s="124" t="str">
        <v>GENERAL PHYSICS</v>
      </c>
      <c r="C49" s="128" t="str">
        <v>Boateng Cyril Dziedzorm</v>
      </c>
      <c r="D49" s="123" t="s">
        <v>82</v>
      </c>
      <c r="E49" s="129">
        <v>130</v>
      </c>
      <c r="F49" s="13"/>
      <c r="G49" s="126">
        <f t="shared" si="6"/>
        <v>143</v>
      </c>
      <c r="H49" s="127"/>
      <c r="I49" s="110" t="str">
        <f t="shared" si="7"/>
        <v>PHY 170,ED1-PE</v>
      </c>
      <c r="J49" s="111"/>
    </row>
    <row r="50" spans="1:10" ht="14.5" x14ac:dyDescent="0.35">
      <c r="A50" s="26" t="s">
        <v>84</v>
      </c>
      <c r="B50" s="27" t="str">
        <v>SEAMANSHIP</v>
      </c>
      <c r="C50" s="31" t="str">
        <v>Larkai Francis Laako</v>
      </c>
      <c r="D50" s="26" t="s">
        <v>42</v>
      </c>
      <c r="E50" s="108">
        <v>37</v>
      </c>
      <c r="F50" s="32" t="s">
        <v>560</v>
      </c>
      <c r="G50" s="109">
        <f t="shared" si="6"/>
        <v>40.700000000000003</v>
      </c>
      <c r="H50" s="19">
        <v>37</v>
      </c>
      <c r="I50" s="20" t="str">
        <f t="shared" si="7"/>
        <v>MME 292,ED2-MARI</v>
      </c>
      <c r="J50" s="25"/>
    </row>
    <row r="51" spans="1:10" ht="14.5" x14ac:dyDescent="0.35">
      <c r="A51" s="26" t="s">
        <v>85</v>
      </c>
      <c r="B51" s="27" t="str">
        <v>MARINE ENGINEERING LABORATORY III</v>
      </c>
      <c r="C51" s="27" t="str">
        <v>Tay Godwin Fabiola Kwaku</v>
      </c>
      <c r="D51" s="26" t="s">
        <v>86</v>
      </c>
      <c r="E51" s="108">
        <v>40</v>
      </c>
      <c r="F51" s="32" t="s">
        <v>541</v>
      </c>
      <c r="G51" s="109">
        <f t="shared" si="6"/>
        <v>44</v>
      </c>
      <c r="H51" s="19">
        <v>40</v>
      </c>
      <c r="I51" s="20" t="str">
        <f t="shared" si="7"/>
        <v>MME 396,ED3-MARI</v>
      </c>
      <c r="J51" s="25"/>
    </row>
    <row r="52" spans="1:10" ht="14.5" x14ac:dyDescent="0.35">
      <c r="A52" s="26" t="s">
        <v>87</v>
      </c>
      <c r="B52" s="31" t="str">
        <v>RENEWABLE ENERGY SYSTEMS AND MANAGEMENT</v>
      </c>
      <c r="C52" s="31" t="str">
        <v>Kemausuor Francis</v>
      </c>
      <c r="D52" s="26" t="s">
        <v>88</v>
      </c>
      <c r="E52" s="108">
        <v>101</v>
      </c>
      <c r="F52" s="32" t="s">
        <v>564</v>
      </c>
      <c r="G52" s="109">
        <f t="shared" si="6"/>
        <v>111.10000000000001</v>
      </c>
      <c r="H52" s="19" t="s">
        <v>565</v>
      </c>
      <c r="I52" s="20" t="str">
        <f t="shared" si="7"/>
        <v>AE 358,ED3-AE</v>
      </c>
      <c r="J52" s="25"/>
    </row>
    <row r="53" spans="1:10" ht="14.5" x14ac:dyDescent="0.35">
      <c r="A53" s="26" t="s">
        <v>89</v>
      </c>
      <c r="B53" s="31" t="str">
        <v>INTRODUCTION TO LIGHTING AND ACOUSTICS</v>
      </c>
      <c r="C53" s="31" t="str">
        <v>Amos-Abanyie Samuel</v>
      </c>
      <c r="D53" s="26" t="s">
        <v>75</v>
      </c>
      <c r="E53" s="108">
        <v>55</v>
      </c>
      <c r="F53" s="32" t="s">
        <v>545</v>
      </c>
      <c r="G53" s="109">
        <f t="shared" si="6"/>
        <v>60.500000000000007</v>
      </c>
      <c r="H53" s="19">
        <v>55</v>
      </c>
      <c r="I53" s="20" t="str">
        <f t="shared" si="7"/>
        <v>ARC 156,ED1-CE</v>
      </c>
      <c r="J53" s="25"/>
    </row>
    <row r="54" spans="1:10" s="120" customFormat="1" ht="14.5" x14ac:dyDescent="0.35">
      <c r="A54" s="113" t="s">
        <v>90</v>
      </c>
      <c r="B54" s="118" t="str">
        <v>INTRODUCTION TO COMMUNICATION NETWORKS</v>
      </c>
      <c r="C54" s="118" t="str">
        <v>Agyemang Justice Owusu</v>
      </c>
      <c r="D54" s="113" t="s">
        <v>91</v>
      </c>
      <c r="E54" s="115">
        <v>130</v>
      </c>
      <c r="F54" s="113" t="s">
        <v>956</v>
      </c>
      <c r="G54" s="116">
        <f t="shared" si="6"/>
        <v>143</v>
      </c>
      <c r="H54" s="117">
        <v>130</v>
      </c>
      <c r="I54" s="131" t="str">
        <f t="shared" si="7"/>
        <v>TE 156,ED1-TEL</v>
      </c>
      <c r="J54" s="119"/>
    </row>
    <row r="55" spans="1:10" s="120" customFormat="1" ht="14.5" x14ac:dyDescent="0.35">
      <c r="A55" s="113" t="s">
        <v>62</v>
      </c>
      <c r="B55" s="114" t="str">
        <v>PETROCHEMICAL ENGINEERING LABORATORY II</v>
      </c>
      <c r="C55" s="114" t="str">
        <v>Bonsu Jude Kwaku</v>
      </c>
      <c r="D55" s="113" t="s">
        <v>63</v>
      </c>
      <c r="E55" s="115">
        <v>53</v>
      </c>
      <c r="F55" s="113" t="s">
        <v>955</v>
      </c>
      <c r="G55" s="116">
        <f t="shared" si="6"/>
        <v>58.300000000000004</v>
      </c>
      <c r="H55" s="117">
        <v>53</v>
      </c>
      <c r="I55" s="131" t="str">
        <f t="shared" si="7"/>
        <v>PCE 354,ED3-PCE</v>
      </c>
      <c r="J55" s="119"/>
    </row>
    <row r="56" spans="1:10" ht="14.5" x14ac:dyDescent="0.35">
      <c r="A56" s="26" t="s">
        <v>92</v>
      </c>
      <c r="B56" s="27" t="str">
        <v>DRAWING FOR ENGINEERS</v>
      </c>
      <c r="C56" s="27" t="str">
        <v>Jones Twumasi</v>
      </c>
      <c r="D56" s="26" t="s">
        <v>93</v>
      </c>
      <c r="E56" s="108">
        <v>95</v>
      </c>
      <c r="F56" s="26" t="s">
        <v>567</v>
      </c>
      <c r="G56" s="109">
        <f t="shared" si="6"/>
        <v>104.50000000000001</v>
      </c>
      <c r="H56" s="19" t="s">
        <v>568</v>
      </c>
      <c r="I56" s="20" t="str">
        <f t="shared" si="7"/>
        <v>PE 254,ED2-PE</v>
      </c>
      <c r="J56" s="25"/>
    </row>
    <row r="57" spans="1:10" ht="14.5" x14ac:dyDescent="0.35">
      <c r="A57" s="26" t="s">
        <v>64</v>
      </c>
      <c r="B57" s="27" t="str">
        <v>BIOINSTRUMENTATION I</v>
      </c>
      <c r="C57" s="31" t="str">
        <v>Acquah Isaac</v>
      </c>
      <c r="D57" s="26" t="s">
        <v>65</v>
      </c>
      <c r="E57" s="108">
        <v>90</v>
      </c>
      <c r="F57" s="26" t="s">
        <v>569</v>
      </c>
      <c r="G57" s="109">
        <f t="shared" si="6"/>
        <v>99.000000000000014</v>
      </c>
      <c r="H57" s="19" t="s">
        <v>570</v>
      </c>
      <c r="I57" s="20" t="str">
        <f t="shared" si="7"/>
        <v>BME 372,ED3-BME</v>
      </c>
      <c r="J57" s="25"/>
    </row>
    <row r="58" spans="1:10" ht="14.5" x14ac:dyDescent="0.35">
      <c r="A58" s="26" t="s">
        <v>49</v>
      </c>
      <c r="B58" s="31" t="str">
        <v>CROP LOSSES AND THEIR CONTROL</v>
      </c>
      <c r="C58" s="31" t="str">
        <v xml:space="preserve">Darko Joseph Ofei </v>
      </c>
      <c r="D58" s="26" t="s">
        <v>50</v>
      </c>
      <c r="E58" s="108">
        <v>103</v>
      </c>
      <c r="F58" s="32" t="s">
        <v>571</v>
      </c>
      <c r="G58" s="109">
        <f t="shared" si="6"/>
        <v>113.30000000000001</v>
      </c>
      <c r="H58" s="19" t="s">
        <v>572</v>
      </c>
      <c r="I58" s="20" t="str">
        <f t="shared" si="7"/>
        <v>AE 458,ED4-AE</v>
      </c>
      <c r="J58" s="25"/>
    </row>
    <row r="59" spans="1:10" ht="14.5" x14ac:dyDescent="0.35">
      <c r="A59" s="26" t="s">
        <v>102</v>
      </c>
      <c r="B59" s="27" t="str">
        <v>ENVIRONMENTAL QUALITY ENGINEERING II</v>
      </c>
      <c r="C59" s="31" t="str">
        <v>Appiah-Effah Eugene</v>
      </c>
      <c r="D59" s="26" t="s">
        <v>103</v>
      </c>
      <c r="E59" s="108">
        <v>115</v>
      </c>
      <c r="F59" s="32" t="s">
        <v>569</v>
      </c>
      <c r="G59" s="109">
        <f t="shared" si="6"/>
        <v>126.50000000000001</v>
      </c>
      <c r="H59" s="19" t="s">
        <v>573</v>
      </c>
      <c r="I59" s="20" t="str">
        <f t="shared" si="7"/>
        <v>CE 464,ED4-CE</v>
      </c>
      <c r="J59" s="25"/>
    </row>
    <row r="60" spans="1:10" ht="14.5" x14ac:dyDescent="0.35">
      <c r="A60" s="26" t="s">
        <v>132</v>
      </c>
      <c r="B60" s="31" t="str">
        <v>AEROSPACE ENGINEERING LAB II</v>
      </c>
      <c r="C60" s="31" t="str">
        <v>Oppong David Kofi</v>
      </c>
      <c r="D60" s="26" t="s">
        <v>133</v>
      </c>
      <c r="E60" s="108">
        <v>76</v>
      </c>
      <c r="F60" s="32" t="s">
        <v>574</v>
      </c>
      <c r="G60" s="109">
        <f t="shared" si="6"/>
        <v>83.600000000000009</v>
      </c>
      <c r="H60" s="19" t="s">
        <v>575</v>
      </c>
      <c r="I60" s="20" t="str">
        <f t="shared" si="7"/>
        <v>AERO 396,ED3-AERO</v>
      </c>
      <c r="J60" s="25"/>
    </row>
    <row r="61" spans="1:10" ht="14.5" x14ac:dyDescent="0.35">
      <c r="A61" s="35"/>
      <c r="B61" s="35"/>
      <c r="D61" s="27" t="s">
        <v>105</v>
      </c>
      <c r="E61" s="121">
        <f>SUM(E50:E60)</f>
        <v>895</v>
      </c>
      <c r="F61" s="36"/>
      <c r="G61" s="122"/>
      <c r="I61" s="22" t="s">
        <v>27</v>
      </c>
      <c r="J61" s="25"/>
    </row>
    <row r="62" spans="1:10" ht="14.5" x14ac:dyDescent="0.35">
      <c r="A62" s="35"/>
      <c r="B62" s="35"/>
      <c r="D62" s="35"/>
      <c r="E62" s="139"/>
      <c r="F62" s="36"/>
      <c r="G62" s="122"/>
      <c r="I62" s="22" t="s">
        <v>106</v>
      </c>
      <c r="J62" s="25"/>
    </row>
    <row r="63" spans="1:10" ht="14.5" x14ac:dyDescent="0.35">
      <c r="A63" s="14" t="s">
        <v>78</v>
      </c>
      <c r="B63" s="14"/>
      <c r="C63" s="14"/>
      <c r="D63" s="14"/>
      <c r="E63" s="14"/>
      <c r="F63" s="14"/>
      <c r="G63" s="14"/>
      <c r="I63" s="22" t="str">
        <f>A63</f>
        <v>Tuesday, 18 August 2026</v>
      </c>
      <c r="J63" s="25"/>
    </row>
    <row r="64" spans="1:10" s="23" customFormat="1" ht="14.5" x14ac:dyDescent="0.35">
      <c r="A64" s="14" t="s">
        <v>29</v>
      </c>
      <c r="B64" s="14"/>
      <c r="C64" s="14"/>
      <c r="D64" s="14"/>
      <c r="E64" s="14"/>
      <c r="F64" s="14"/>
      <c r="G64" s="14"/>
      <c r="H64" s="19"/>
      <c r="I64" s="22" t="str">
        <f>A64</f>
        <v>Session, 2 (12:00 PM - 2:00 PM)</v>
      </c>
      <c r="J64" s="25"/>
    </row>
    <row r="65" spans="1:10" s="23" customFormat="1" ht="14.5" x14ac:dyDescent="0.35">
      <c r="A65" s="24" t="s">
        <v>4</v>
      </c>
      <c r="B65" s="24" t="s">
        <v>5</v>
      </c>
      <c r="C65" s="16" t="s">
        <v>6</v>
      </c>
      <c r="D65" s="24" t="s">
        <v>7</v>
      </c>
      <c r="E65" s="106" t="s">
        <v>8</v>
      </c>
      <c r="F65" s="16" t="s">
        <v>9</v>
      </c>
      <c r="G65" s="107" t="s">
        <v>10</v>
      </c>
      <c r="H65" s="19"/>
      <c r="I65" s="22" t="s">
        <v>31</v>
      </c>
      <c r="J65" s="25"/>
    </row>
    <row r="66" spans="1:10" s="120" customFormat="1" ht="14.5" x14ac:dyDescent="0.35">
      <c r="A66" s="113" t="s">
        <v>107</v>
      </c>
      <c r="B66" s="114" t="str">
        <f t="array" ref="B66:B79">IFERROR(VLOOKUP(I66:I79,Lectures_1!A2:F534,2,FALSE()),0)</f>
        <v>OBJECT-ORIENTED PROGRAMMING</v>
      </c>
      <c r="C66" s="118" t="str">
        <f t="array" ref="C66:C79">IFERROR(VLOOKUP(I66:I79,Lectures_1!A2:F534,3,FALSE()),0)</f>
        <v>Adjaidoo Theresa-Samuelle Maame Atwemaah</v>
      </c>
      <c r="D66" s="113" t="s">
        <v>108</v>
      </c>
      <c r="E66" s="115">
        <f t="array" ref="E66:E79">IFERROR(VLOOKUP(I66:I79,Lectures_1!A2:F534,4,FALSE()),0)</f>
        <v>255</v>
      </c>
      <c r="F66" s="114" t="s">
        <v>956</v>
      </c>
      <c r="G66" s="116">
        <f t="shared" ref="G66:G79" si="8">E66*1.1</f>
        <v>280.5</v>
      </c>
      <c r="H66" s="117" t="s">
        <v>576</v>
      </c>
      <c r="I66" s="131" t="str">
        <f t="shared" ref="I66:I79" si="9">CONCATENATE(A66,",",D66)</f>
        <v>COE 254,ED2-COE</v>
      </c>
      <c r="J66" s="119"/>
    </row>
    <row r="67" spans="1:10" s="120" customFormat="1" ht="14.5" x14ac:dyDescent="0.35">
      <c r="A67" s="113" t="s">
        <v>107</v>
      </c>
      <c r="B67" s="114" t="str">
        <v>OBJECT-ORIENTED PROGRAMMING</v>
      </c>
      <c r="C67" s="118" t="str">
        <v>Adjaidoo Theresa-Samuelle Maame Atwemaah</v>
      </c>
      <c r="D67" s="113" t="s">
        <v>109</v>
      </c>
      <c r="E67" s="115">
        <v>80</v>
      </c>
      <c r="F67" s="114" t="s">
        <v>955</v>
      </c>
      <c r="G67" s="116">
        <f t="shared" si="8"/>
        <v>88</v>
      </c>
      <c r="H67" s="117">
        <v>80</v>
      </c>
      <c r="I67" s="131" t="str">
        <f t="shared" si="9"/>
        <v>COE 254,ED2-BME</v>
      </c>
      <c r="J67" s="119"/>
    </row>
    <row r="68" spans="1:10" s="142" customFormat="1" ht="14.5" x14ac:dyDescent="0.35">
      <c r="A68" s="26" t="s">
        <v>110</v>
      </c>
      <c r="B68" s="27" t="str">
        <v>COMPUTER PROGRAMMING FOR ENGINEERS</v>
      </c>
      <c r="C68" s="31" t="str">
        <v>Dzebre Denis Edem Kwame</v>
      </c>
      <c r="D68" s="26" t="s">
        <v>111</v>
      </c>
      <c r="E68" s="108">
        <v>83</v>
      </c>
      <c r="F68" s="32" t="s">
        <v>577</v>
      </c>
      <c r="G68" s="109">
        <f t="shared" si="8"/>
        <v>91.300000000000011</v>
      </c>
      <c r="H68" s="19" t="s">
        <v>578</v>
      </c>
      <c r="I68" s="140" t="str">
        <f t="shared" si="9"/>
        <v>ME 168,ED1-IND</v>
      </c>
      <c r="J68" s="141"/>
    </row>
    <row r="69" spans="1:10" s="142" customFormat="1" ht="14.5" x14ac:dyDescent="0.35">
      <c r="A69" s="26" t="s">
        <v>110</v>
      </c>
      <c r="B69" s="27" t="str">
        <v>COMPUTER PROGRAMMING FOR ENGINEERS</v>
      </c>
      <c r="C69" s="31" t="str">
        <v>Dzebre Denis Edem Kwame</v>
      </c>
      <c r="D69" s="26" t="s">
        <v>112</v>
      </c>
      <c r="E69" s="108">
        <v>46</v>
      </c>
      <c r="F69" s="32" t="s">
        <v>579</v>
      </c>
      <c r="G69" s="109">
        <f t="shared" si="8"/>
        <v>50.6</v>
      </c>
      <c r="H69" s="19" t="s">
        <v>580</v>
      </c>
      <c r="I69" s="140" t="str">
        <f t="shared" si="9"/>
        <v>ME 168,ED1-MARI</v>
      </c>
      <c r="J69" s="141"/>
    </row>
    <row r="70" spans="1:10" ht="14.5" x14ac:dyDescent="0.35">
      <c r="A70" s="26" t="s">
        <v>113</v>
      </c>
      <c r="B70" s="27" t="str">
        <v>OPTICAL AND THERMAL BEHAVIOUR OF MATERIALS</v>
      </c>
      <c r="C70" s="31" t="str">
        <v>Nartey Martinson Addo</v>
      </c>
      <c r="D70" s="26" t="s">
        <v>114</v>
      </c>
      <c r="E70" s="108">
        <v>75</v>
      </c>
      <c r="F70" s="32" t="s">
        <v>529</v>
      </c>
      <c r="G70" s="109">
        <f t="shared" si="8"/>
        <v>82.5</v>
      </c>
      <c r="H70" s="19" t="s">
        <v>581</v>
      </c>
      <c r="I70" s="20" t="str">
        <f t="shared" si="9"/>
        <v>MSE 154,ED1-METE</v>
      </c>
      <c r="J70" s="25"/>
    </row>
    <row r="71" spans="1:10" ht="14.5" x14ac:dyDescent="0.35">
      <c r="A71" s="26" t="s">
        <v>113</v>
      </c>
      <c r="B71" s="27" t="str">
        <v>OPTICAL AND THERMAL BEHAVIOUR OF MATERIALS</v>
      </c>
      <c r="C71" s="31" t="str">
        <v>Nartey Martinson Addo</v>
      </c>
      <c r="D71" s="26" t="s">
        <v>115</v>
      </c>
      <c r="E71" s="108">
        <v>100</v>
      </c>
      <c r="F71" s="32" t="s">
        <v>582</v>
      </c>
      <c r="G71" s="109">
        <f t="shared" si="8"/>
        <v>110.00000000000001</v>
      </c>
      <c r="H71" s="19" t="s">
        <v>583</v>
      </c>
      <c r="I71" s="20" t="str">
        <f t="shared" si="9"/>
        <v>MSE 154,ED1-MSE</v>
      </c>
      <c r="J71" s="25"/>
    </row>
    <row r="72" spans="1:10" ht="14.5" x14ac:dyDescent="0.35">
      <c r="A72" s="26" t="s">
        <v>116</v>
      </c>
      <c r="B72" s="31" t="str">
        <v>MECHANICAL ENGINEERING MATERIALS III</v>
      </c>
      <c r="C72" s="31" t="str">
        <v>Sackey Samuel Mensah</v>
      </c>
      <c r="D72" s="26" t="s">
        <v>67</v>
      </c>
      <c r="E72" s="108">
        <v>55</v>
      </c>
      <c r="F72" s="32" t="s">
        <v>539</v>
      </c>
      <c r="G72" s="109">
        <f t="shared" si="8"/>
        <v>60.500000000000007</v>
      </c>
      <c r="H72" s="19" t="s">
        <v>540</v>
      </c>
      <c r="I72" s="20" t="str">
        <f t="shared" si="9"/>
        <v>ME 482,ED4-ME</v>
      </c>
      <c r="J72" s="25"/>
    </row>
    <row r="73" spans="1:10" ht="14.5" x14ac:dyDescent="0.35">
      <c r="A73" s="26" t="s">
        <v>117</v>
      </c>
      <c r="B73" s="27" t="str">
        <v>SWITCHING ENGINEERING IN COMMUNICATION</v>
      </c>
      <c r="C73" s="27" t="str">
        <v>Obour Agyekum Kwame Opuni-Boachie</v>
      </c>
      <c r="D73" s="26" t="s">
        <v>71</v>
      </c>
      <c r="E73" s="108">
        <v>10</v>
      </c>
      <c r="F73" s="32" t="s">
        <v>584</v>
      </c>
      <c r="G73" s="109">
        <f t="shared" si="8"/>
        <v>11</v>
      </c>
      <c r="H73" s="19">
        <v>10</v>
      </c>
      <c r="I73" s="20" t="str">
        <f t="shared" si="9"/>
        <v>TE 384,ED3-EE</v>
      </c>
      <c r="J73" s="25"/>
    </row>
    <row r="74" spans="1:10" ht="14.5" x14ac:dyDescent="0.35">
      <c r="A74" s="26" t="s">
        <v>118</v>
      </c>
      <c r="B74" s="27" t="str">
        <v>SWITCHING ENGINEERING IN COMMUNICATION</v>
      </c>
      <c r="C74" s="27" t="str">
        <v>Agyekum Kwame Agyeman-Prempeh</v>
      </c>
      <c r="D74" s="26" t="s">
        <v>119</v>
      </c>
      <c r="E74" s="108">
        <v>140</v>
      </c>
      <c r="F74" s="32" t="s">
        <v>585</v>
      </c>
      <c r="G74" s="109">
        <f t="shared" si="8"/>
        <v>154</v>
      </c>
      <c r="H74" s="19" t="s">
        <v>586</v>
      </c>
      <c r="I74" s="20" t="str">
        <f t="shared" si="9"/>
        <v>TE 356,ED3-TEL</v>
      </c>
      <c r="J74" s="25"/>
    </row>
    <row r="75" spans="1:10" ht="14.5" x14ac:dyDescent="0.35">
      <c r="A75" s="26" t="s">
        <v>526</v>
      </c>
      <c r="B75" s="27" t="str">
        <v>AERODYNAMICS II</v>
      </c>
      <c r="C75" s="16" t="str">
        <v>Bofah Kwasi Kete</v>
      </c>
      <c r="D75" s="26" t="s">
        <v>99</v>
      </c>
      <c r="E75" s="108">
        <v>61</v>
      </c>
      <c r="F75" s="32" t="s">
        <v>587</v>
      </c>
      <c r="G75" s="109">
        <f t="shared" si="8"/>
        <v>67.100000000000009</v>
      </c>
      <c r="H75" s="17" t="s">
        <v>588</v>
      </c>
      <c r="I75" s="20" t="str">
        <f t="shared" si="9"/>
        <v>AERO 452,ED4-AERO</v>
      </c>
      <c r="J75" s="25"/>
    </row>
    <row r="76" spans="1:10" ht="14.5" x14ac:dyDescent="0.35">
      <c r="A76" s="26" t="s">
        <v>100</v>
      </c>
      <c r="B76" s="31" t="str">
        <v>ASSAYING</v>
      </c>
      <c r="C76" s="31" t="str">
        <v>Koomson Bennetta</v>
      </c>
      <c r="D76" s="26" t="s">
        <v>101</v>
      </c>
      <c r="E76" s="108">
        <v>57</v>
      </c>
      <c r="F76" s="32" t="s">
        <v>535</v>
      </c>
      <c r="G76" s="109">
        <f t="shared" si="8"/>
        <v>62.7</v>
      </c>
      <c r="H76" s="19" t="s">
        <v>589</v>
      </c>
      <c r="I76" s="20" t="str">
        <f t="shared" si="9"/>
        <v>METE 256,ED2-METE</v>
      </c>
      <c r="J76" s="25"/>
    </row>
    <row r="77" spans="1:10" s="145" customFormat="1" ht="14.5" x14ac:dyDescent="0.35">
      <c r="A77" s="26" t="s">
        <v>120</v>
      </c>
      <c r="B77" s="31" t="str">
        <v>OPERATIONS RESEARCH II</v>
      </c>
      <c r="C77" s="31" t="str">
        <v>Asiedu Charlotte</v>
      </c>
      <c r="D77" s="26" t="s">
        <v>121</v>
      </c>
      <c r="E77" s="108">
        <v>70</v>
      </c>
      <c r="F77" s="32" t="s">
        <v>558</v>
      </c>
      <c r="G77" s="109">
        <f t="shared" si="8"/>
        <v>77</v>
      </c>
      <c r="H77" s="19" t="s">
        <v>590</v>
      </c>
      <c r="I77" s="143" t="str">
        <f t="shared" si="9"/>
        <v>IE 368,ED3-IND</v>
      </c>
      <c r="J77" s="144"/>
    </row>
    <row r="78" spans="1:10" ht="14.5" x14ac:dyDescent="0.35">
      <c r="A78" s="26" t="s">
        <v>122</v>
      </c>
      <c r="B78" s="31" t="str">
        <v>FOOD PROCESSING TECHNOLOGY</v>
      </c>
      <c r="C78" s="27" t="str">
        <v>Anang Daniel Adjah</v>
      </c>
      <c r="D78" s="26" t="s">
        <v>73</v>
      </c>
      <c r="E78" s="108">
        <v>50</v>
      </c>
      <c r="F78" s="32" t="s">
        <v>591</v>
      </c>
      <c r="G78" s="109">
        <f t="shared" si="8"/>
        <v>55.000000000000007</v>
      </c>
      <c r="H78" s="19" t="s">
        <v>592</v>
      </c>
      <c r="I78" s="20" t="str">
        <f t="shared" si="9"/>
        <v>CHE 368,ED3-CHE</v>
      </c>
      <c r="J78" s="25"/>
    </row>
    <row r="79" spans="1:10" ht="14.5" x14ac:dyDescent="0.35">
      <c r="A79" s="26" t="s">
        <v>123</v>
      </c>
      <c r="B79" s="31" t="str">
        <v>AUTOMATION AND PRODUCTION SYSTEM</v>
      </c>
      <c r="C79" s="31" t="str">
        <v>Sackey Samuel Mensah</v>
      </c>
      <c r="D79" s="26" t="s">
        <v>124</v>
      </c>
      <c r="E79" s="108">
        <v>69</v>
      </c>
      <c r="F79" s="32" t="s">
        <v>593</v>
      </c>
      <c r="G79" s="109">
        <f t="shared" si="8"/>
        <v>75.900000000000006</v>
      </c>
      <c r="H79" s="19" t="s">
        <v>594</v>
      </c>
      <c r="I79" s="20" t="str">
        <f t="shared" si="9"/>
        <v>IE 452,ED4-IND</v>
      </c>
      <c r="J79" s="25"/>
    </row>
    <row r="80" spans="1:10" ht="14.5" x14ac:dyDescent="0.35">
      <c r="A80" s="26"/>
      <c r="B80" s="35"/>
      <c r="D80" s="27" t="s">
        <v>127</v>
      </c>
      <c r="E80" s="121">
        <f>SUM(E66:E79)</f>
        <v>1151</v>
      </c>
      <c r="F80" s="36"/>
      <c r="G80" s="122"/>
      <c r="I80" s="22" t="s">
        <v>58</v>
      </c>
      <c r="J80" s="25"/>
    </row>
    <row r="81" spans="1:10" ht="14.5" x14ac:dyDescent="0.35">
      <c r="A81" s="14" t="s">
        <v>78</v>
      </c>
      <c r="B81" s="14"/>
      <c r="C81" s="14"/>
      <c r="D81" s="14"/>
      <c r="E81" s="14"/>
      <c r="F81" s="14"/>
      <c r="G81" s="14"/>
      <c r="I81" s="22" t="str">
        <f>A81</f>
        <v>Tuesday, 18 August 2026</v>
      </c>
      <c r="J81" s="25"/>
    </row>
    <row r="82" spans="1:10" ht="14.5" x14ac:dyDescent="0.35">
      <c r="A82" s="14" t="s">
        <v>59</v>
      </c>
      <c r="B82" s="14"/>
      <c r="C82" s="14"/>
      <c r="D82" s="14"/>
      <c r="E82" s="14"/>
      <c r="F82" s="14"/>
      <c r="G82" s="14"/>
      <c r="I82" s="22" t="str">
        <f>A82</f>
        <v>Session, 3 (3:00 PM - 5:00 PM)</v>
      </c>
      <c r="J82" s="25"/>
    </row>
    <row r="83" spans="1:10" ht="14.5" x14ac:dyDescent="0.35">
      <c r="A83" s="24" t="s">
        <v>4</v>
      </c>
      <c r="B83" s="24" t="s">
        <v>5</v>
      </c>
      <c r="C83" s="16" t="s">
        <v>6</v>
      </c>
      <c r="D83" s="24" t="s">
        <v>7</v>
      </c>
      <c r="E83" s="106" t="s">
        <v>8</v>
      </c>
      <c r="F83" s="16" t="s">
        <v>9</v>
      </c>
      <c r="G83" s="107" t="s">
        <v>10</v>
      </c>
      <c r="I83" s="22" t="s">
        <v>31</v>
      </c>
      <c r="J83" s="25"/>
    </row>
    <row r="84" spans="1:10" ht="14.5" x14ac:dyDescent="0.35">
      <c r="A84" s="26" t="s">
        <v>520</v>
      </c>
      <c r="B84" s="27" t="str">
        <f t="array" ref="B84:B93">IFERROR(VLOOKUP(I84:I93,Lectures_1!A2:F534,2,FALSE()),0)</f>
        <v>BIOCHEMISTRY</v>
      </c>
      <c r="C84" s="27" t="str">
        <f t="array" ref="C84:C93">IFERROR(VLOOKUP(I84:I93,Lectures_1!A2:F534,3,FALSE()),0)</f>
        <v>Charles Apprey</v>
      </c>
      <c r="D84" s="26" t="s">
        <v>130</v>
      </c>
      <c r="E84" s="108">
        <f t="array" ref="E84:E93">IFERROR(VLOOKUP(I84:I93,Lectures_1!A2:F534,4,FALSE()),0)</f>
        <v>136</v>
      </c>
      <c r="F84" s="26" t="s">
        <v>595</v>
      </c>
      <c r="G84" s="109">
        <f t="shared" ref="G84:G93" si="10">E84*1.1</f>
        <v>149.60000000000002</v>
      </c>
      <c r="H84" s="19" t="s">
        <v>596</v>
      </c>
      <c r="I84" s="20" t="str">
        <f t="shared" ref="I84:I93" si="11">CONCATENATE(A84,",",D84)</f>
        <v>BME 166,ED1-BME</v>
      </c>
      <c r="J84" s="25"/>
    </row>
    <row r="85" spans="1:10" ht="14.5" x14ac:dyDescent="0.35">
      <c r="A85" s="26" t="s">
        <v>134</v>
      </c>
      <c r="B85" s="27" t="str">
        <v>PROCESS DYNAMICS AND CONTROL</v>
      </c>
      <c r="C85" s="31" t="str">
        <v>Adjaottor Albert Amatey</v>
      </c>
      <c r="D85" s="26" t="s">
        <v>135</v>
      </c>
      <c r="E85" s="108">
        <v>60</v>
      </c>
      <c r="F85" s="32" t="s">
        <v>545</v>
      </c>
      <c r="G85" s="109">
        <f t="shared" si="10"/>
        <v>66</v>
      </c>
      <c r="H85" s="19">
        <v>60</v>
      </c>
      <c r="I85" s="20" t="str">
        <f t="shared" si="11"/>
        <v>MSE 458,ED4-MSE</v>
      </c>
      <c r="J85" s="25"/>
    </row>
    <row r="86" spans="1:10" ht="14.5" x14ac:dyDescent="0.35">
      <c r="A86" s="26" t="s">
        <v>134</v>
      </c>
      <c r="B86" s="27" t="str">
        <v>PROCESS DYNANICS AND CONTROL</v>
      </c>
      <c r="C86" s="31" t="str">
        <v>Adjaottor Albert Amatey</v>
      </c>
      <c r="D86" s="26" t="s">
        <v>136</v>
      </c>
      <c r="E86" s="108">
        <v>55</v>
      </c>
      <c r="F86" s="32" t="s">
        <v>597</v>
      </c>
      <c r="G86" s="109">
        <f t="shared" si="10"/>
        <v>60.500000000000007</v>
      </c>
      <c r="H86" s="19" t="s">
        <v>598</v>
      </c>
      <c r="I86" s="20" t="str">
        <f t="shared" si="11"/>
        <v>MSE 458,ED4-METE</v>
      </c>
      <c r="J86" s="25"/>
    </row>
    <row r="87" spans="1:10" ht="14.5" x14ac:dyDescent="0.35">
      <c r="A87" s="26" t="s">
        <v>137</v>
      </c>
      <c r="B87" s="27" t="str">
        <v>ELECTRICAL MEASUREMENTS &amp; INSTRUMENTATION</v>
      </c>
      <c r="C87" s="31" t="str">
        <v>Nicholas Kwesi Prah II</v>
      </c>
      <c r="D87" s="26" t="s">
        <v>51</v>
      </c>
      <c r="E87" s="108">
        <v>295</v>
      </c>
      <c r="F87" s="32" t="s">
        <v>599</v>
      </c>
      <c r="G87" s="109">
        <f t="shared" si="10"/>
        <v>324.5</v>
      </c>
      <c r="H87" s="19" t="s">
        <v>600</v>
      </c>
      <c r="I87" s="20" t="str">
        <f t="shared" si="11"/>
        <v>EE 188,ED1-EE</v>
      </c>
      <c r="J87" s="25"/>
    </row>
    <row r="88" spans="1:10" ht="14.5" x14ac:dyDescent="0.35">
      <c r="A88" s="26" t="s">
        <v>52</v>
      </c>
      <c r="B88" s="27" t="str">
        <v>PRINCIPLES OF SURVEYING</v>
      </c>
      <c r="C88" s="27" t="str">
        <v>Akwasi Afrifa Acheampong</v>
      </c>
      <c r="D88" s="26" t="s">
        <v>53</v>
      </c>
      <c r="E88" s="108">
        <v>155</v>
      </c>
      <c r="F88" s="39" t="s">
        <v>601</v>
      </c>
      <c r="G88" s="109">
        <f t="shared" si="10"/>
        <v>170.5</v>
      </c>
      <c r="H88" s="40" t="s">
        <v>543</v>
      </c>
      <c r="I88" s="20" t="str">
        <f t="shared" si="11"/>
        <v>GE 286,ED2-AE</v>
      </c>
      <c r="J88" s="25"/>
    </row>
    <row r="89" spans="1:10" ht="14.5" x14ac:dyDescent="0.35">
      <c r="A89" s="26" t="s">
        <v>104</v>
      </c>
      <c r="B89" s="31" t="str">
        <v>FUNDAMENTALS OF PETROLEUM LAW</v>
      </c>
      <c r="C89" s="31" t="str">
        <v>Amoah Enoch Kwabena</v>
      </c>
      <c r="D89" s="26" t="s">
        <v>46</v>
      </c>
      <c r="E89" s="108">
        <v>99</v>
      </c>
      <c r="F89" s="32" t="s">
        <v>571</v>
      </c>
      <c r="G89" s="109">
        <f t="shared" si="10"/>
        <v>108.9</v>
      </c>
      <c r="H89" s="19" t="s">
        <v>602</v>
      </c>
      <c r="I89" s="20" t="str">
        <f t="shared" si="11"/>
        <v>PE 466,ED4-PE</v>
      </c>
      <c r="J89" s="25"/>
    </row>
    <row r="90" spans="1:10" ht="14.5" x14ac:dyDescent="0.35">
      <c r="A90" s="26" t="s">
        <v>468</v>
      </c>
      <c r="B90" s="27" t="str">
        <v>INTRODUCTION TO CERAMICS</v>
      </c>
      <c r="C90" s="27" t="str">
        <v>Andrews Anthony</v>
      </c>
      <c r="D90" s="26" t="s">
        <v>210</v>
      </c>
      <c r="E90" s="108">
        <v>83</v>
      </c>
      <c r="F90" s="32" t="s">
        <v>603</v>
      </c>
      <c r="G90" s="109">
        <f t="shared" si="10"/>
        <v>91.300000000000011</v>
      </c>
      <c r="H90" s="17" t="s">
        <v>604</v>
      </c>
      <c r="I90" s="20" t="str">
        <f t="shared" si="11"/>
        <v>MSE 254,ED2-MSE</v>
      </c>
      <c r="J90" s="25"/>
    </row>
    <row r="91" spans="1:10" ht="14.5" x14ac:dyDescent="0.35">
      <c r="A91" s="26" t="s">
        <v>139</v>
      </c>
      <c r="B91" s="31" t="str">
        <v>MATERIALS CHARACTERIZATION LABORATORY</v>
      </c>
      <c r="C91" s="31" t="str">
        <v>Arthur Emmanuel Kwesi</v>
      </c>
      <c r="D91" s="26" t="s">
        <v>140</v>
      </c>
      <c r="E91" s="108">
        <v>85</v>
      </c>
      <c r="F91" s="32" t="s">
        <v>605</v>
      </c>
      <c r="G91" s="109">
        <f t="shared" si="10"/>
        <v>93.500000000000014</v>
      </c>
      <c r="H91" s="19" t="s">
        <v>606</v>
      </c>
      <c r="I91" s="20" t="str">
        <f t="shared" si="11"/>
        <v>MSE 364,ED3-MSE</v>
      </c>
      <c r="J91" s="25"/>
    </row>
    <row r="92" spans="1:10" ht="14.5" x14ac:dyDescent="0.35">
      <c r="A92" s="26" t="s">
        <v>141</v>
      </c>
      <c r="B92" s="31" t="str">
        <v>METALLURGICAL CHARACTERIZATION LABORATORY</v>
      </c>
      <c r="C92" s="31" t="str">
        <v>Arthur Emmanuel Kwesi</v>
      </c>
      <c r="D92" s="26" t="s">
        <v>142</v>
      </c>
      <c r="E92" s="108">
        <v>87</v>
      </c>
      <c r="F92" s="32" t="s">
        <v>607</v>
      </c>
      <c r="G92" s="109">
        <f t="shared" si="10"/>
        <v>95.7</v>
      </c>
      <c r="H92" s="19" t="s">
        <v>608</v>
      </c>
      <c r="I92" s="20" t="str">
        <f t="shared" si="11"/>
        <v>METE 358,ED3-METE</v>
      </c>
      <c r="J92" s="25"/>
    </row>
    <row r="93" spans="1:10" ht="14.5" x14ac:dyDescent="0.35">
      <c r="A93" s="26" t="s">
        <v>267</v>
      </c>
      <c r="B93" s="27" t="str">
        <v>POWER SYSTEMS PROTECTION</v>
      </c>
      <c r="C93" s="27" t="str">
        <v>Frimpong Emmanuel Asuming</v>
      </c>
      <c r="D93" s="26" t="s">
        <v>144</v>
      </c>
      <c r="E93" s="108">
        <v>205</v>
      </c>
      <c r="F93" s="32" t="s">
        <v>609</v>
      </c>
      <c r="G93" s="109">
        <f t="shared" si="10"/>
        <v>225.50000000000003</v>
      </c>
      <c r="H93" s="19" t="s">
        <v>610</v>
      </c>
      <c r="I93" s="20" t="str">
        <f t="shared" si="11"/>
        <v>EE 468,ED4-EE</v>
      </c>
      <c r="J93" s="25"/>
    </row>
    <row r="94" spans="1:10" ht="14.5" x14ac:dyDescent="0.35">
      <c r="A94" s="35"/>
      <c r="B94" s="35"/>
      <c r="D94" s="27" t="s">
        <v>145</v>
      </c>
      <c r="E94" s="121">
        <f>SUM(E85:E93)</f>
        <v>1124</v>
      </c>
      <c r="F94" s="31"/>
      <c r="G94" s="122"/>
      <c r="I94" s="22" t="s">
        <v>146</v>
      </c>
      <c r="J94" s="25"/>
    </row>
    <row r="95" spans="1:10" ht="14.5" x14ac:dyDescent="0.35">
      <c r="A95" s="14" t="s">
        <v>147</v>
      </c>
      <c r="B95" s="14"/>
      <c r="C95" s="14"/>
      <c r="D95" s="14"/>
      <c r="E95" s="14"/>
      <c r="F95" s="14"/>
      <c r="G95" s="14"/>
      <c r="I95" s="22" t="str">
        <f>A95</f>
        <v>Wednesday, 19 August 2026</v>
      </c>
      <c r="J95" s="25"/>
    </row>
    <row r="96" spans="1:10" ht="14.5" x14ac:dyDescent="0.35">
      <c r="A96" s="14" t="s">
        <v>2</v>
      </c>
      <c r="B96" s="14"/>
      <c r="C96" s="14"/>
      <c r="D96" s="14"/>
      <c r="E96" s="14"/>
      <c r="F96" s="14"/>
      <c r="G96" s="14"/>
      <c r="I96" s="22" t="str">
        <f>A96</f>
        <v>Session, 1 (8:30 AM - 10:30 AM)</v>
      </c>
      <c r="J96" s="25"/>
    </row>
    <row r="97" spans="1:10" ht="14.5" x14ac:dyDescent="0.35">
      <c r="A97" s="24" t="s">
        <v>4</v>
      </c>
      <c r="B97" s="24" t="s">
        <v>5</v>
      </c>
      <c r="C97" s="16" t="s">
        <v>6</v>
      </c>
      <c r="D97" s="24" t="s">
        <v>7</v>
      </c>
      <c r="E97" s="106" t="s">
        <v>8</v>
      </c>
      <c r="F97" s="16" t="s">
        <v>9</v>
      </c>
      <c r="G97" s="107" t="s">
        <v>10</v>
      </c>
      <c r="I97" s="22" t="s">
        <v>31</v>
      </c>
      <c r="J97" s="25"/>
    </row>
    <row r="98" spans="1:10" ht="14.5" x14ac:dyDescent="0.35">
      <c r="A98" s="26" t="s">
        <v>150</v>
      </c>
      <c r="B98" s="27" t="str">
        <f t="array" ref="B98:B106">IFERROR(VLOOKUP(I98:I106,Lectures_1!A2:F534,2,FALSE()),0)</f>
        <v>PLANNING THE PHYSICAL ENVIRONMENT</v>
      </c>
      <c r="C98" s="31" t="str">
        <f t="array" ref="C98:C106">IFERROR(VLOOKUP(I98:I106,Lectures_1!A2:F534,3,FALSE()),0)</f>
        <v>Aboagye Prince Anokye</v>
      </c>
      <c r="D98" s="26" t="s">
        <v>77</v>
      </c>
      <c r="E98" s="108">
        <f t="array" ref="E98:E106">IFERROR(VLOOKUP(I98:I106,Lectures_1!A2:F534,4,FALSE()),0)</f>
        <v>122</v>
      </c>
      <c r="F98" s="32" t="s">
        <v>611</v>
      </c>
      <c r="G98" s="109">
        <f t="shared" ref="G98:G106" si="12">E98*1.1</f>
        <v>134.20000000000002</v>
      </c>
      <c r="H98" s="19" t="s">
        <v>563</v>
      </c>
      <c r="I98" s="20" t="str">
        <f t="shared" ref="I98:I106" si="13">CONCATENATE(A98,",",D98)</f>
        <v>PL 252,ED3-GEOM</v>
      </c>
      <c r="J98" s="25"/>
    </row>
    <row r="99" spans="1:10" ht="14.5" x14ac:dyDescent="0.35">
      <c r="A99" s="26" t="s">
        <v>151</v>
      </c>
      <c r="B99" s="27" t="str">
        <v>MECHANISMS SYNTHESIS AND ANALYSIS I</v>
      </c>
      <c r="C99" s="27" t="str">
        <v>Ampofo Joshua</v>
      </c>
      <c r="D99" s="26" t="s">
        <v>33</v>
      </c>
      <c r="E99" s="108">
        <v>240</v>
      </c>
      <c r="F99" s="32" t="s">
        <v>531</v>
      </c>
      <c r="G99" s="109">
        <f t="shared" si="12"/>
        <v>264</v>
      </c>
      <c r="H99" s="19" t="s">
        <v>612</v>
      </c>
      <c r="I99" s="20" t="str">
        <f t="shared" si="13"/>
        <v>ME 264,ED2-ME</v>
      </c>
      <c r="J99" s="25"/>
    </row>
    <row r="100" spans="1:10" ht="14.5" x14ac:dyDescent="0.35">
      <c r="A100" s="26" t="s">
        <v>151</v>
      </c>
      <c r="B100" s="27" t="str">
        <v>MECHANISMS SYNTHESIS AND ANALYSIS I</v>
      </c>
      <c r="C100" s="27" t="str">
        <v>Ampofo Joshua</v>
      </c>
      <c r="D100" s="26" t="s">
        <v>36</v>
      </c>
      <c r="E100" s="108">
        <v>75</v>
      </c>
      <c r="F100" s="32" t="s">
        <v>546</v>
      </c>
      <c r="G100" s="109">
        <f t="shared" si="12"/>
        <v>82.5</v>
      </c>
      <c r="H100" s="19">
        <v>75</v>
      </c>
      <c r="I100" s="20" t="str">
        <f t="shared" si="13"/>
        <v>ME 264,ED2-AERO</v>
      </c>
      <c r="J100" s="25"/>
    </row>
    <row r="101" spans="1:10" ht="14.5" x14ac:dyDescent="0.35">
      <c r="A101" s="26" t="s">
        <v>151</v>
      </c>
      <c r="B101" s="27" t="str">
        <v>MECHANISMS SYNTHESIS AND ANALYSIS I</v>
      </c>
      <c r="C101" s="27" t="str">
        <v>Ampofo Joshua</v>
      </c>
      <c r="D101" s="26" t="s">
        <v>38</v>
      </c>
      <c r="E101" s="108">
        <v>80</v>
      </c>
      <c r="F101" s="32" t="s">
        <v>577</v>
      </c>
      <c r="G101" s="109">
        <f t="shared" si="12"/>
        <v>88</v>
      </c>
      <c r="H101" s="19" t="s">
        <v>613</v>
      </c>
      <c r="I101" s="20" t="str">
        <f t="shared" si="13"/>
        <v>ME 264,ED2-IND</v>
      </c>
      <c r="J101" s="25"/>
    </row>
    <row r="102" spans="1:10" ht="14.5" x14ac:dyDescent="0.35">
      <c r="A102" s="26" t="s">
        <v>151</v>
      </c>
      <c r="B102" s="31" t="str">
        <v>MECHANISMS SYNTHESIS AND ANALYSIS I</v>
      </c>
      <c r="C102" s="27" t="str">
        <v>Ampofo Joshua</v>
      </c>
      <c r="D102" s="26" t="s">
        <v>40</v>
      </c>
      <c r="E102" s="108">
        <v>82</v>
      </c>
      <c r="F102" s="32" t="s">
        <v>614</v>
      </c>
      <c r="G102" s="109">
        <f t="shared" si="12"/>
        <v>90.2</v>
      </c>
      <c r="H102" s="19" t="s">
        <v>615</v>
      </c>
      <c r="I102" s="20" t="str">
        <f t="shared" si="13"/>
        <v>ME 264,ED2-AUTO</v>
      </c>
      <c r="J102" s="25"/>
    </row>
    <row r="103" spans="1:10" ht="14.5" x14ac:dyDescent="0.35">
      <c r="A103" s="26" t="s">
        <v>152</v>
      </c>
      <c r="B103" s="27" t="str">
        <v>MARINE MECHANISMS, SYSTHESIS AND ANALYSIS</v>
      </c>
      <c r="C103" s="31" t="str">
        <v>Ampofo Joshua</v>
      </c>
      <c r="D103" s="26" t="s">
        <v>42</v>
      </c>
      <c r="E103" s="108">
        <v>37</v>
      </c>
      <c r="F103" s="32" t="s">
        <v>616</v>
      </c>
      <c r="G103" s="109">
        <f t="shared" si="12"/>
        <v>40.700000000000003</v>
      </c>
      <c r="H103" s="19">
        <v>37</v>
      </c>
      <c r="I103" s="20" t="str">
        <f t="shared" si="13"/>
        <v>MME 264,ED2-MARI</v>
      </c>
      <c r="J103" s="25"/>
    </row>
    <row r="104" spans="1:10" ht="14.5" x14ac:dyDescent="0.35">
      <c r="A104" s="26" t="s">
        <v>153</v>
      </c>
      <c r="B104" s="31" t="str">
        <v>PRINCIPLES OF GEOLCHEMISTRY</v>
      </c>
      <c r="C104" s="31" t="str">
        <v>Gawu Simon Kafui Yawo</v>
      </c>
      <c r="D104" s="26" t="s">
        <v>154</v>
      </c>
      <c r="E104" s="108">
        <v>154</v>
      </c>
      <c r="F104" s="32" t="s">
        <v>601</v>
      </c>
      <c r="G104" s="109">
        <f t="shared" si="12"/>
        <v>169.4</v>
      </c>
      <c r="H104" s="19" t="s">
        <v>543</v>
      </c>
      <c r="I104" s="20" t="str">
        <f t="shared" si="13"/>
        <v>GED 352,ED3-GEOL</v>
      </c>
      <c r="J104" s="25"/>
    </row>
    <row r="105" spans="1:10" ht="14.5" x14ac:dyDescent="0.35">
      <c r="A105" s="26" t="s">
        <v>155</v>
      </c>
      <c r="B105" s="31" t="str">
        <v>TRANSPORTATION ENGINEERING</v>
      </c>
      <c r="C105" s="31" t="str">
        <v>Tuffour Yaw Adubofour</v>
      </c>
      <c r="D105" s="26" t="s">
        <v>103</v>
      </c>
      <c r="E105" s="108">
        <v>150</v>
      </c>
      <c r="F105" s="32" t="s">
        <v>617</v>
      </c>
      <c r="G105" s="109">
        <f t="shared" si="12"/>
        <v>165</v>
      </c>
      <c r="H105" s="19" t="s">
        <v>618</v>
      </c>
      <c r="I105" s="20" t="str">
        <f t="shared" si="13"/>
        <v>CE 468,ED4-CE</v>
      </c>
      <c r="J105" s="25"/>
    </row>
    <row r="106" spans="1:10" ht="14.25" customHeight="1" x14ac:dyDescent="0.35">
      <c r="A106" s="26" t="s">
        <v>156</v>
      </c>
      <c r="B106" s="27" t="str">
        <v>ENVIRONMENTAL QUALITY ENGINEERING</v>
      </c>
      <c r="C106" s="27" t="str">
        <v>Appiah-Effah Eugene</v>
      </c>
      <c r="D106" s="26" t="s">
        <v>157</v>
      </c>
      <c r="E106" s="108">
        <v>230</v>
      </c>
      <c r="F106" s="32" t="s">
        <v>619</v>
      </c>
      <c r="G106" s="109">
        <f t="shared" si="12"/>
        <v>253.00000000000003</v>
      </c>
      <c r="H106" s="19" t="s">
        <v>620</v>
      </c>
      <c r="I106" s="20" t="str">
        <f t="shared" si="13"/>
        <v>CE 364,ED3-CE</v>
      </c>
      <c r="J106" s="25"/>
    </row>
    <row r="107" spans="1:10" ht="14.5" x14ac:dyDescent="0.35">
      <c r="A107" s="35"/>
      <c r="B107" s="35"/>
      <c r="D107" s="27" t="s">
        <v>158</v>
      </c>
      <c r="E107" s="146">
        <f>SUM(E98:E106)</f>
        <v>1170</v>
      </c>
      <c r="F107" s="36"/>
      <c r="G107" s="122"/>
      <c r="I107" s="22" t="s">
        <v>159</v>
      </c>
      <c r="J107" s="25"/>
    </row>
    <row r="108" spans="1:10" s="138" customFormat="1" ht="14.5" x14ac:dyDescent="0.35">
      <c r="A108" s="12" t="s">
        <v>147</v>
      </c>
      <c r="B108" s="12"/>
      <c r="C108" s="12"/>
      <c r="D108" s="12"/>
      <c r="E108" s="12"/>
      <c r="F108" s="12"/>
      <c r="G108" s="12"/>
      <c r="H108" s="135"/>
      <c r="I108" s="136" t="str">
        <f>A108</f>
        <v>Wednesday, 19 August 2026</v>
      </c>
      <c r="J108" s="147"/>
    </row>
    <row r="109" spans="1:10" s="138" customFormat="1" ht="14.5" x14ac:dyDescent="0.35">
      <c r="A109" s="12" t="s">
        <v>29</v>
      </c>
      <c r="B109" s="12"/>
      <c r="C109" s="12"/>
      <c r="D109" s="12"/>
      <c r="E109" s="12"/>
      <c r="F109" s="12"/>
      <c r="G109" s="12"/>
      <c r="H109" s="135"/>
      <c r="I109" s="136" t="str">
        <f>A109</f>
        <v>Session, 2 (12:00 PM - 2:00 PM)</v>
      </c>
      <c r="J109" s="147"/>
    </row>
    <row r="110" spans="1:10" ht="14.5" x14ac:dyDescent="0.35">
      <c r="A110" s="24" t="s">
        <v>4</v>
      </c>
      <c r="B110" s="24" t="s">
        <v>5</v>
      </c>
      <c r="C110" s="16" t="s">
        <v>6</v>
      </c>
      <c r="D110" s="24" t="s">
        <v>7</v>
      </c>
      <c r="E110" s="106" t="s">
        <v>8</v>
      </c>
      <c r="F110" s="16" t="s">
        <v>9</v>
      </c>
      <c r="G110" s="107" t="s">
        <v>10</v>
      </c>
      <c r="I110" s="22" t="s">
        <v>31</v>
      </c>
      <c r="J110" s="25"/>
    </row>
    <row r="111" spans="1:10" ht="14.5" x14ac:dyDescent="0.35">
      <c r="A111" s="26" t="s">
        <v>160</v>
      </c>
      <c r="B111" s="31" t="str">
        <f t="array" ref="B111:B121">IFERROR(VLOOKUP(I111:I121,Lectures_1!A2:F534,2,FALSE()),0)</f>
        <v>ENGINEERING DRAWING</v>
      </c>
      <c r="C111" s="31" t="str">
        <f t="array" ref="C111:C121">IFERROR(VLOOKUP(I111:I121,Lectures_1!A2:F534,3,FALSE()),0)</f>
        <v>Aveyire Joseph</v>
      </c>
      <c r="D111" s="26" t="s">
        <v>131</v>
      </c>
      <c r="E111" s="108">
        <f t="array" ref="E111:E121">IFERROR(VLOOKUP(I111:I121,Lectures_1!A2:F534,4,FALSE()),0)</f>
        <v>128</v>
      </c>
      <c r="F111" s="32" t="s">
        <v>957</v>
      </c>
      <c r="G111" s="109">
        <f t="shared" ref="G111:G121" si="14">E111*1.1</f>
        <v>140.80000000000001</v>
      </c>
      <c r="H111" s="19" t="s">
        <v>621</v>
      </c>
      <c r="I111" s="20" t="str">
        <f t="shared" ref="I111:I121" si="15">CONCATENATE(A111,",",D111)</f>
        <v>ME 160,ED1-AE</v>
      </c>
      <c r="J111" s="25"/>
    </row>
    <row r="112" spans="1:10" ht="14.5" x14ac:dyDescent="0.35">
      <c r="A112" s="26" t="s">
        <v>160</v>
      </c>
      <c r="B112" s="31" t="str">
        <v>ENGINEERING DRAWING</v>
      </c>
      <c r="C112" s="31" t="str">
        <v>Sekyere Charles Kofi Kafui</v>
      </c>
      <c r="D112" s="26" t="s">
        <v>112</v>
      </c>
      <c r="E112" s="108">
        <v>46</v>
      </c>
      <c r="F112" s="32" t="s">
        <v>958</v>
      </c>
      <c r="G112" s="109">
        <f t="shared" si="14"/>
        <v>50.6</v>
      </c>
      <c r="H112" s="19" t="s">
        <v>623</v>
      </c>
      <c r="I112" s="20" t="str">
        <f t="shared" si="15"/>
        <v>ME 160,ED1-MARI</v>
      </c>
      <c r="J112" s="25"/>
    </row>
    <row r="113" spans="1:10" ht="14.5" x14ac:dyDescent="0.35">
      <c r="A113" s="26" t="s">
        <v>160</v>
      </c>
      <c r="B113" s="31" t="str">
        <v>ENGINEERING DRAWING</v>
      </c>
      <c r="C113" s="31" t="str">
        <v>Aveyire Joseph</v>
      </c>
      <c r="D113" s="26" t="s">
        <v>114</v>
      </c>
      <c r="E113" s="108">
        <v>75</v>
      </c>
      <c r="F113" s="32" t="s">
        <v>624</v>
      </c>
      <c r="G113" s="109">
        <f t="shared" si="14"/>
        <v>82.5</v>
      </c>
      <c r="H113" s="19" t="s">
        <v>590</v>
      </c>
      <c r="I113" s="20" t="str">
        <f t="shared" si="15"/>
        <v>ME 160,ED1-METE</v>
      </c>
      <c r="J113" s="25"/>
    </row>
    <row r="114" spans="1:10" ht="14.5" x14ac:dyDescent="0.35">
      <c r="A114" s="26" t="s">
        <v>160</v>
      </c>
      <c r="B114" s="31" t="str">
        <v>ENGINEERING DRAWING</v>
      </c>
      <c r="C114" s="31" t="str">
        <v>Peter Oppong Tawiah</v>
      </c>
      <c r="D114" s="26" t="s">
        <v>115</v>
      </c>
      <c r="E114" s="108">
        <v>100</v>
      </c>
      <c r="F114" s="32" t="s">
        <v>582</v>
      </c>
      <c r="G114" s="109">
        <f t="shared" si="14"/>
        <v>110.00000000000001</v>
      </c>
      <c r="H114" s="19" t="s">
        <v>583</v>
      </c>
      <c r="I114" s="20" t="str">
        <f t="shared" si="15"/>
        <v>ME 160,ED1-MSE</v>
      </c>
      <c r="J114" s="25"/>
    </row>
    <row r="115" spans="1:10" ht="14.5" x14ac:dyDescent="0.35">
      <c r="A115" s="26" t="s">
        <v>160</v>
      </c>
      <c r="B115" s="31" t="str">
        <v>ENGINEERING DRAWING</v>
      </c>
      <c r="C115" s="31" t="str">
        <v>A. K. Sunnu</v>
      </c>
      <c r="D115" s="26" t="s">
        <v>161</v>
      </c>
      <c r="E115" s="108">
        <v>225</v>
      </c>
      <c r="F115" s="32" t="s">
        <v>619</v>
      </c>
      <c r="G115" s="109">
        <f t="shared" si="14"/>
        <v>247.50000000000003</v>
      </c>
      <c r="H115" s="19" t="s">
        <v>625</v>
      </c>
      <c r="I115" s="20" t="str">
        <f t="shared" si="15"/>
        <v>ME 160,ED1-ME</v>
      </c>
      <c r="J115" s="25"/>
    </row>
    <row r="116" spans="1:10" ht="14.5" x14ac:dyDescent="0.35">
      <c r="A116" s="26" t="s">
        <v>160</v>
      </c>
      <c r="B116" s="31" t="str">
        <v>ENGINEERING DRAWING</v>
      </c>
      <c r="C116" s="31" t="str">
        <v>Sekyere Charles Kofi Kafui</v>
      </c>
      <c r="D116" s="26" t="s">
        <v>162</v>
      </c>
      <c r="E116" s="108">
        <v>85</v>
      </c>
      <c r="F116" s="32" t="s">
        <v>626</v>
      </c>
      <c r="G116" s="109">
        <f t="shared" si="14"/>
        <v>93.500000000000014</v>
      </c>
      <c r="H116" s="19" t="s">
        <v>627</v>
      </c>
      <c r="I116" s="20" t="str">
        <f t="shared" si="15"/>
        <v>ME 160,ED1-AUTO</v>
      </c>
      <c r="J116" s="25"/>
    </row>
    <row r="117" spans="1:10" ht="14.5" x14ac:dyDescent="0.35">
      <c r="A117" s="26" t="s">
        <v>160</v>
      </c>
      <c r="B117" s="31" t="str">
        <v>ENGINEERING DRAWING</v>
      </c>
      <c r="C117" s="31" t="str">
        <v>Sekyere Charles Kofi Kafui</v>
      </c>
      <c r="D117" s="26" t="s">
        <v>111</v>
      </c>
      <c r="E117" s="108">
        <v>83</v>
      </c>
      <c r="F117" s="32" t="s">
        <v>628</v>
      </c>
      <c r="G117" s="109">
        <f t="shared" si="14"/>
        <v>91.300000000000011</v>
      </c>
      <c r="H117" s="19" t="s">
        <v>629</v>
      </c>
      <c r="I117" s="20" t="str">
        <f t="shared" si="15"/>
        <v>ME 160,ED1-IND</v>
      </c>
      <c r="J117" s="25"/>
    </row>
    <row r="118" spans="1:10" ht="14.5" x14ac:dyDescent="0.35">
      <c r="A118" s="26" t="s">
        <v>163</v>
      </c>
      <c r="B118" s="31" t="str">
        <v>PETROLEUM ENGINEERING LAB II</v>
      </c>
      <c r="C118" s="27" t="str">
        <v>Erzuah Samuel</v>
      </c>
      <c r="D118" s="26" t="s">
        <v>18</v>
      </c>
      <c r="E118" s="108">
        <v>80</v>
      </c>
      <c r="F118" s="32" t="s">
        <v>630</v>
      </c>
      <c r="G118" s="109">
        <f t="shared" si="14"/>
        <v>88</v>
      </c>
      <c r="H118" s="19" t="s">
        <v>631</v>
      </c>
      <c r="I118" s="20" t="str">
        <f t="shared" si="15"/>
        <v>PE 356,ED3-PE</v>
      </c>
      <c r="J118" s="25"/>
    </row>
    <row r="119" spans="1:10" ht="14.5" x14ac:dyDescent="0.35">
      <c r="A119" s="26" t="s">
        <v>164</v>
      </c>
      <c r="B119" s="27" t="str">
        <v>MARINE CONTROL ENGINEERING AND AUTOMATION</v>
      </c>
      <c r="C119" s="27" t="str">
        <v>Adjei Eunice Akyereko</v>
      </c>
      <c r="D119" s="26" t="s">
        <v>69</v>
      </c>
      <c r="E119" s="108">
        <v>23</v>
      </c>
      <c r="F119" s="32" t="s">
        <v>632</v>
      </c>
      <c r="G119" s="109">
        <f t="shared" si="14"/>
        <v>25.3</v>
      </c>
      <c r="H119" s="19">
        <v>23</v>
      </c>
      <c r="I119" s="20" t="str">
        <f t="shared" si="15"/>
        <v>MME 462,ED4-MARI</v>
      </c>
      <c r="J119" s="25"/>
    </row>
    <row r="120" spans="1:10" ht="14.5" x14ac:dyDescent="0.35">
      <c r="A120" s="26" t="s">
        <v>165</v>
      </c>
      <c r="B120" s="27" t="str">
        <v>AUTOMOTIVE SPARK-IGNITION ENGINES</v>
      </c>
      <c r="C120" s="27" t="str">
        <v>Abu Frimpong Solomon</v>
      </c>
      <c r="D120" s="26" t="s">
        <v>23</v>
      </c>
      <c r="E120" s="108">
        <v>40</v>
      </c>
      <c r="F120" s="32" t="s">
        <v>633</v>
      </c>
      <c r="G120" s="109">
        <f t="shared" si="14"/>
        <v>44</v>
      </c>
      <c r="H120" s="19">
        <v>40</v>
      </c>
      <c r="I120" s="20" t="str">
        <f t="shared" si="15"/>
        <v>AME 368,ED3-AUTO</v>
      </c>
      <c r="J120" s="25"/>
    </row>
    <row r="121" spans="1:10" ht="14.5" x14ac:dyDescent="0.35">
      <c r="A121" s="26" t="s">
        <v>166</v>
      </c>
      <c r="B121" s="31" t="str">
        <v>ELECTROMAGNETIC FIELDS</v>
      </c>
      <c r="C121" s="27" t="str">
        <v>Yeboah-Akowuah Bright</v>
      </c>
      <c r="D121" s="26" t="s">
        <v>108</v>
      </c>
      <c r="E121" s="108">
        <v>255</v>
      </c>
      <c r="F121" s="32" t="s">
        <v>531</v>
      </c>
      <c r="G121" s="109">
        <f t="shared" si="14"/>
        <v>280.5</v>
      </c>
      <c r="H121" s="19" t="s">
        <v>634</v>
      </c>
      <c r="I121" s="20" t="str">
        <f t="shared" si="15"/>
        <v>TE 262,ED2-COE</v>
      </c>
      <c r="J121" s="25"/>
    </row>
    <row r="122" spans="1:10" ht="14.5" x14ac:dyDescent="0.35">
      <c r="A122" s="35"/>
      <c r="B122" s="35"/>
      <c r="D122" s="27" t="s">
        <v>167</v>
      </c>
      <c r="E122" s="121">
        <f>SUM(E111:E121)</f>
        <v>1140</v>
      </c>
      <c r="F122" s="36"/>
      <c r="G122" s="122"/>
      <c r="I122" s="22" t="s">
        <v>168</v>
      </c>
      <c r="J122" s="25"/>
    </row>
    <row r="123" spans="1:10" ht="14.5" x14ac:dyDescent="0.35">
      <c r="A123" s="14" t="s">
        <v>147</v>
      </c>
      <c r="B123" s="14"/>
      <c r="C123" s="14"/>
      <c r="D123" s="14"/>
      <c r="E123" s="14"/>
      <c r="F123" s="14"/>
      <c r="G123" s="14"/>
      <c r="I123" s="22" t="str">
        <f>A123</f>
        <v>Wednesday, 19 August 2026</v>
      </c>
      <c r="J123" s="25"/>
    </row>
    <row r="124" spans="1:10" ht="14.5" x14ac:dyDescent="0.35">
      <c r="A124" s="14" t="s">
        <v>59</v>
      </c>
      <c r="B124" s="14"/>
      <c r="C124" s="14"/>
      <c r="D124" s="14"/>
      <c r="E124" s="14"/>
      <c r="F124" s="14"/>
      <c r="G124" s="14"/>
      <c r="I124" s="22" t="str">
        <f>A124</f>
        <v>Session, 3 (3:00 PM - 5:00 PM)</v>
      </c>
      <c r="J124" s="25"/>
    </row>
    <row r="125" spans="1:10" ht="14.5" x14ac:dyDescent="0.35">
      <c r="A125" s="24" t="s">
        <v>4</v>
      </c>
      <c r="B125" s="24" t="s">
        <v>5</v>
      </c>
      <c r="C125" s="16" t="s">
        <v>6</v>
      </c>
      <c r="D125" s="24" t="s">
        <v>7</v>
      </c>
      <c r="E125" s="106" t="s">
        <v>8</v>
      </c>
      <c r="F125" s="16" t="s">
        <v>9</v>
      </c>
      <c r="G125" s="107" t="s">
        <v>10</v>
      </c>
      <c r="I125" s="22" t="s">
        <v>31</v>
      </c>
      <c r="J125" s="25"/>
    </row>
    <row r="126" spans="1:10" ht="14.5" x14ac:dyDescent="0.35">
      <c r="A126" s="26" t="s">
        <v>169</v>
      </c>
      <c r="B126" s="27" t="str">
        <f t="array" ref="B126:B134">IFERROR(VLOOKUP(I126:I134,Lectures_1!A2:F534,2,FALSE()),0)</f>
        <v>PRINCIPLES OF REMOTE SENSING</v>
      </c>
      <c r="C126" s="27" t="str">
        <f t="array" ref="C126:C134">IFERROR(VLOOKUP(I126:I134,Lectures_1!A2:F534,3,FALSE()),0)</f>
        <v>Yaw Mensah Asare</v>
      </c>
      <c r="D126" s="26" t="s">
        <v>170</v>
      </c>
      <c r="E126" s="108">
        <f t="array" ref="E126:E134">IFERROR(VLOOKUP(I126:I134,Lectures_1!A2:F534,4,FALSE()),0)</f>
        <v>132</v>
      </c>
      <c r="F126" s="32" t="s">
        <v>552</v>
      </c>
      <c r="G126" s="109">
        <f t="shared" ref="G126:G134" si="16">E126*1.1</f>
        <v>145.20000000000002</v>
      </c>
      <c r="H126" s="19" t="s">
        <v>635</v>
      </c>
      <c r="I126" s="20" t="str">
        <f t="shared" ref="I126:I134" si="17">CONCATENATE(A126,",",D126)</f>
        <v>GE 262,ED2-GEOM</v>
      </c>
      <c r="J126" s="25"/>
    </row>
    <row r="127" spans="1:10" ht="14.5" x14ac:dyDescent="0.35">
      <c r="A127" s="26" t="s">
        <v>171</v>
      </c>
      <c r="B127" s="31" t="str">
        <v>COMMUNICATION CIRCUITS</v>
      </c>
      <c r="C127" s="31" t="str">
        <v>Abdul-Rahman Ahmed</v>
      </c>
      <c r="D127" s="26" t="s">
        <v>172</v>
      </c>
      <c r="E127" s="108">
        <v>175</v>
      </c>
      <c r="F127" s="32" t="s">
        <v>617</v>
      </c>
      <c r="G127" s="109">
        <f t="shared" si="16"/>
        <v>192.50000000000003</v>
      </c>
      <c r="H127" s="40" t="s">
        <v>636</v>
      </c>
      <c r="I127" s="20" t="str">
        <f t="shared" si="17"/>
        <v>TE 256,ED2-TEL</v>
      </c>
      <c r="J127" s="25"/>
    </row>
    <row r="128" spans="1:10" ht="14.5" x14ac:dyDescent="0.35">
      <c r="A128" s="26" t="s">
        <v>175</v>
      </c>
      <c r="B128" s="27" t="str">
        <v>INTRODUCTION TO INFORMATION TECHNOLOGY</v>
      </c>
      <c r="C128" s="27" t="str">
        <v>Addo Daniel Akwei</v>
      </c>
      <c r="D128" s="26" t="s">
        <v>20</v>
      </c>
      <c r="E128" s="108">
        <v>262</v>
      </c>
      <c r="F128" s="32" t="s">
        <v>531</v>
      </c>
      <c r="G128" s="109">
        <f t="shared" si="16"/>
        <v>288.20000000000005</v>
      </c>
      <c r="H128" s="19" t="s">
        <v>637</v>
      </c>
      <c r="I128" s="20" t="str">
        <f t="shared" si="17"/>
        <v>COE 158,ED1-COE</v>
      </c>
      <c r="J128" s="25"/>
    </row>
    <row r="129" spans="1:10" ht="14.5" x14ac:dyDescent="0.35">
      <c r="A129" s="26" t="s">
        <v>173</v>
      </c>
      <c r="B129" s="27" t="str">
        <v>PRACTICAL CHEMISTRY II</v>
      </c>
      <c r="C129" s="31" t="str">
        <v>Opoku Francis</v>
      </c>
      <c r="D129" s="26" t="s">
        <v>14</v>
      </c>
      <c r="E129" s="108">
        <v>65</v>
      </c>
      <c r="F129" s="32" t="s">
        <v>535</v>
      </c>
      <c r="G129" s="109">
        <f t="shared" si="16"/>
        <v>71.5</v>
      </c>
      <c r="H129" s="19" t="s">
        <v>638</v>
      </c>
      <c r="I129" s="20" t="str">
        <f t="shared" si="17"/>
        <v>CHEM 280,ED2-PCE</v>
      </c>
      <c r="J129" s="25"/>
    </row>
    <row r="130" spans="1:10" ht="14.5" x14ac:dyDescent="0.35">
      <c r="A130" s="26" t="s">
        <v>173</v>
      </c>
      <c r="B130" s="27" t="str">
        <v>PRACTICAL CHEMISTRY II</v>
      </c>
      <c r="C130" s="31" t="str">
        <v>Opoku Francis</v>
      </c>
      <c r="D130" s="26" t="s">
        <v>13</v>
      </c>
      <c r="E130" s="108">
        <v>160</v>
      </c>
      <c r="F130" s="32" t="s">
        <v>639</v>
      </c>
      <c r="G130" s="109">
        <f t="shared" si="16"/>
        <v>176</v>
      </c>
      <c r="H130" s="19" t="s">
        <v>640</v>
      </c>
      <c r="I130" s="20" t="str">
        <f t="shared" si="17"/>
        <v>CHEM 280,ED2-CHE</v>
      </c>
      <c r="J130" s="25"/>
    </row>
    <row r="131" spans="1:10" s="112" customFormat="1" ht="14.5" x14ac:dyDescent="0.35">
      <c r="A131" s="26" t="s">
        <v>457</v>
      </c>
      <c r="B131" s="31" t="str">
        <v>FAULT DIAGNOSIS AND FAILURE TOLERANCE</v>
      </c>
      <c r="C131" s="31" t="str">
        <v>Agbemenu Andrew Selasi</v>
      </c>
      <c r="D131" s="26" t="s">
        <v>251</v>
      </c>
      <c r="E131" s="108">
        <v>70</v>
      </c>
      <c r="F131" s="32" t="s">
        <v>641</v>
      </c>
      <c r="G131" s="109">
        <f t="shared" si="16"/>
        <v>77</v>
      </c>
      <c r="H131" s="130" t="s">
        <v>642</v>
      </c>
      <c r="I131" s="110" t="str">
        <f t="shared" si="17"/>
        <v>COE 480,ED4-COE</v>
      </c>
      <c r="J131" s="111"/>
    </row>
    <row r="132" spans="1:10" ht="14.5" x14ac:dyDescent="0.35">
      <c r="A132" s="26" t="s">
        <v>510</v>
      </c>
      <c r="B132" s="27" t="str">
        <v>GEOSTATISTICS</v>
      </c>
      <c r="C132" s="31" t="str">
        <v>Nuamah Daniel Oduro Boatey</v>
      </c>
      <c r="D132" s="32" t="s">
        <v>177</v>
      </c>
      <c r="E132" s="108">
        <v>72</v>
      </c>
      <c r="F132" s="32" t="s">
        <v>959</v>
      </c>
      <c r="G132" s="109">
        <f t="shared" si="16"/>
        <v>79.2</v>
      </c>
      <c r="H132" s="19" t="s">
        <v>960</v>
      </c>
      <c r="I132" s="20" t="str">
        <f t="shared" si="17"/>
        <v>GED 468,ED4-GEOL</v>
      </c>
      <c r="J132" s="25"/>
    </row>
    <row r="133" spans="1:10" ht="14.5" x14ac:dyDescent="0.35">
      <c r="A133" s="26" t="s">
        <v>174</v>
      </c>
      <c r="B133" s="27" t="str">
        <v>FLUID DYNAMICS  II</v>
      </c>
      <c r="C133" s="31" t="str">
        <v>A. K. Sunnu</v>
      </c>
      <c r="D133" s="32" t="s">
        <v>61</v>
      </c>
      <c r="E133" s="108">
        <v>222</v>
      </c>
      <c r="F133" s="32" t="s">
        <v>619</v>
      </c>
      <c r="G133" s="109">
        <f t="shared" si="16"/>
        <v>244.20000000000002</v>
      </c>
      <c r="H133" s="19" t="s">
        <v>643</v>
      </c>
      <c r="I133" s="20" t="str">
        <f t="shared" si="17"/>
        <v>ME 352,ED3-ME</v>
      </c>
      <c r="J133" s="25"/>
    </row>
    <row r="134" spans="1:10" ht="14.5" x14ac:dyDescent="0.35">
      <c r="A134" s="26" t="s">
        <v>174</v>
      </c>
      <c r="B134" s="27" t="str">
        <v>FLUID DYNAMICS II</v>
      </c>
      <c r="C134" s="31" t="str">
        <v>Tay Godwin Fabiola Kwaku</v>
      </c>
      <c r="D134" s="26" t="s">
        <v>86</v>
      </c>
      <c r="E134" s="108">
        <v>40</v>
      </c>
      <c r="F134" s="32" t="s">
        <v>633</v>
      </c>
      <c r="G134" s="109">
        <f t="shared" si="16"/>
        <v>44</v>
      </c>
      <c r="H134" s="19">
        <v>40</v>
      </c>
      <c r="I134" s="20" t="str">
        <f t="shared" si="17"/>
        <v>ME 352,ED3-MARI</v>
      </c>
      <c r="J134" s="25"/>
    </row>
    <row r="135" spans="1:10" ht="14.5" x14ac:dyDescent="0.35">
      <c r="A135" s="35"/>
      <c r="B135" s="35"/>
      <c r="D135" s="27" t="s">
        <v>178</v>
      </c>
      <c r="E135" s="121">
        <f>SUM(E126:E134)</f>
        <v>1198</v>
      </c>
      <c r="F135" s="36"/>
      <c r="G135" s="122"/>
      <c r="I135" s="22" t="s">
        <v>179</v>
      </c>
      <c r="J135" s="25"/>
    </row>
    <row r="136" spans="1:10" ht="14.5" x14ac:dyDescent="0.35">
      <c r="A136" s="14" t="s">
        <v>180</v>
      </c>
      <c r="B136" s="14"/>
      <c r="C136" s="14"/>
      <c r="D136" s="14"/>
      <c r="E136" s="14"/>
      <c r="F136" s="14"/>
      <c r="G136" s="14"/>
      <c r="I136" s="22" t="str">
        <f>A136</f>
        <v>Thursday, 20 August 2026</v>
      </c>
      <c r="J136" s="25"/>
    </row>
    <row r="137" spans="1:10" ht="14.5" x14ac:dyDescent="0.35">
      <c r="A137" s="14" t="s">
        <v>2</v>
      </c>
      <c r="B137" s="14"/>
      <c r="C137" s="14"/>
      <c r="D137" s="14"/>
      <c r="E137" s="14"/>
      <c r="F137" s="14"/>
      <c r="G137" s="14"/>
      <c r="I137" s="22" t="str">
        <f>A137</f>
        <v>Session, 1 (8:30 AM - 10:30 AM)</v>
      </c>
      <c r="J137" s="25"/>
    </row>
    <row r="138" spans="1:10" ht="14.5" x14ac:dyDescent="0.35">
      <c r="A138" s="24" t="s">
        <v>4</v>
      </c>
      <c r="B138" s="24" t="s">
        <v>5</v>
      </c>
      <c r="C138" s="16" t="s">
        <v>6</v>
      </c>
      <c r="D138" s="24" t="s">
        <v>7</v>
      </c>
      <c r="E138" s="106" t="s">
        <v>8</v>
      </c>
      <c r="F138" s="16" t="s">
        <v>9</v>
      </c>
      <c r="G138" s="107" t="s">
        <v>10</v>
      </c>
      <c r="I138" s="22" t="s">
        <v>31</v>
      </c>
      <c r="J138" s="25"/>
    </row>
    <row r="139" spans="1:10" s="112" customFormat="1" ht="14.9" customHeight="1" x14ac:dyDescent="0.35">
      <c r="A139" s="123" t="s">
        <v>182</v>
      </c>
      <c r="B139" s="148" t="str">
        <f t="array" ref="B139:B151">IFERROR(VLOOKUP(I139:I151,Lectures_1!A2:F534,2,FALSE()),0)</f>
        <v>CIVIL ENGINEERING DRAWING</v>
      </c>
      <c r="C139" s="124" t="str">
        <f t="array" ref="C139:C151">IFERROR(VLOOKUP(I139:I151,Lectures_1!A2:F534,3,FALSE()),0)</f>
        <v>Osei Jack Banahene</v>
      </c>
      <c r="D139" s="123" t="s">
        <v>126</v>
      </c>
      <c r="E139" s="129">
        <f t="array" ref="E139:E151">IFERROR(VLOOKUP(I139:I151,Lectures_1!A2:F534,4,FALSE()),0)</f>
        <v>125</v>
      </c>
      <c r="F139" s="11" t="s">
        <v>34</v>
      </c>
      <c r="G139" s="126">
        <f t="shared" ref="G139:G151" si="18">E139*1.1</f>
        <v>137.5</v>
      </c>
      <c r="H139" s="127"/>
      <c r="I139" s="110" t="str">
        <f t="shared" ref="I139:I151" si="19">CONCATENATE(A139,",",D139)</f>
        <v>CE 164,ED1-GEOL</v>
      </c>
      <c r="J139" s="111"/>
    </row>
    <row r="140" spans="1:10" s="112" customFormat="1" ht="14.5" x14ac:dyDescent="0.35">
      <c r="A140" s="123" t="s">
        <v>183</v>
      </c>
      <c r="B140" s="124" t="str">
        <v>INTRODUCTION TO FINITE ELEMENT</v>
      </c>
      <c r="C140" s="128" t="str">
        <v>Andoh Prince Yaw</v>
      </c>
      <c r="D140" s="123" t="s">
        <v>97</v>
      </c>
      <c r="E140" s="129">
        <v>32</v>
      </c>
      <c r="F140" s="11"/>
      <c r="G140" s="126">
        <f t="shared" si="18"/>
        <v>35.200000000000003</v>
      </c>
      <c r="H140" s="127"/>
      <c r="I140" s="110" t="str">
        <f t="shared" si="19"/>
        <v>ME 456,ED4-AUTO</v>
      </c>
      <c r="J140" s="111"/>
    </row>
    <row r="141" spans="1:10" ht="14.5" x14ac:dyDescent="0.35">
      <c r="A141" s="26" t="s">
        <v>60</v>
      </c>
      <c r="B141" s="31" t="str">
        <v>MACHINE DESIGN II</v>
      </c>
      <c r="C141" s="27" t="str">
        <v>Afriyie Nyarko Frank Kwabena</v>
      </c>
      <c r="D141" s="26" t="s">
        <v>88</v>
      </c>
      <c r="E141" s="108">
        <v>101</v>
      </c>
      <c r="F141" s="32" t="s">
        <v>571</v>
      </c>
      <c r="G141" s="109">
        <f t="shared" si="18"/>
        <v>111.10000000000001</v>
      </c>
      <c r="H141" s="19" t="s">
        <v>644</v>
      </c>
      <c r="I141" s="20" t="str">
        <f t="shared" si="19"/>
        <v>ME 374,ED3-AE</v>
      </c>
      <c r="J141" s="25"/>
    </row>
    <row r="142" spans="1:10" ht="14.5" x14ac:dyDescent="0.35">
      <c r="A142" s="26" t="s">
        <v>184</v>
      </c>
      <c r="B142" s="31" t="str">
        <v>CIRCUIT THEORY</v>
      </c>
      <c r="C142" s="27" t="str">
        <v>Twumasi Elvis</v>
      </c>
      <c r="D142" s="26" t="s">
        <v>51</v>
      </c>
      <c r="E142" s="108">
        <v>295</v>
      </c>
      <c r="F142" s="32" t="s">
        <v>645</v>
      </c>
      <c r="G142" s="109">
        <f t="shared" si="18"/>
        <v>324.5</v>
      </c>
      <c r="H142" s="19" t="s">
        <v>646</v>
      </c>
      <c r="I142" s="20" t="str">
        <f t="shared" si="19"/>
        <v>EE 166,ED1-EE</v>
      </c>
      <c r="J142" s="25"/>
    </row>
    <row r="143" spans="1:10" s="120" customFormat="1" ht="14.5" x14ac:dyDescent="0.35">
      <c r="A143" s="113" t="s">
        <v>185</v>
      </c>
      <c r="B143" s="114" t="str">
        <v>INTRODUCTION TO INFORMATION TECHNOLOGY</v>
      </c>
      <c r="C143" s="114" t="str">
        <v>Baidoo Martina Francisca</v>
      </c>
      <c r="D143" s="113" t="s">
        <v>81</v>
      </c>
      <c r="E143" s="115">
        <v>56</v>
      </c>
      <c r="F143" s="114" t="s">
        <v>955</v>
      </c>
      <c r="G143" s="116">
        <f t="shared" si="18"/>
        <v>61.600000000000009</v>
      </c>
      <c r="H143" s="117">
        <v>56</v>
      </c>
      <c r="I143" s="131" t="str">
        <f t="shared" si="19"/>
        <v>PCE 158,ED1-PCE</v>
      </c>
      <c r="J143" s="119"/>
    </row>
    <row r="144" spans="1:10" s="120" customFormat="1" ht="14.5" x14ac:dyDescent="0.35">
      <c r="A144" s="113" t="s">
        <v>186</v>
      </c>
      <c r="B144" s="114" t="str">
        <v>INTRODUCTION TO INFORMATION TECHNOLOGY</v>
      </c>
      <c r="C144" s="114" t="str">
        <v>Baidoo Martina Francisca</v>
      </c>
      <c r="D144" s="113" t="s">
        <v>80</v>
      </c>
      <c r="E144" s="115">
        <v>120</v>
      </c>
      <c r="F144" s="114" t="s">
        <v>956</v>
      </c>
      <c r="G144" s="116">
        <f t="shared" si="18"/>
        <v>132</v>
      </c>
      <c r="H144" s="117">
        <v>120</v>
      </c>
      <c r="I144" s="131" t="str">
        <f t="shared" si="19"/>
        <v>CHE 158,ED1-CHE</v>
      </c>
      <c r="J144" s="119"/>
    </row>
    <row r="145" spans="1:13" ht="14.5" x14ac:dyDescent="0.35">
      <c r="A145" s="26" t="s">
        <v>187</v>
      </c>
      <c r="B145" s="27" t="str">
        <v>DATA COMMUNICATION PRINCIPLES</v>
      </c>
      <c r="C145" s="31" t="str">
        <v>Gadze James Dzisi</v>
      </c>
      <c r="D145" s="46" t="s">
        <v>119</v>
      </c>
      <c r="E145" s="108">
        <v>140</v>
      </c>
      <c r="F145" s="32" t="s">
        <v>585</v>
      </c>
      <c r="G145" s="109">
        <f t="shared" si="18"/>
        <v>154</v>
      </c>
      <c r="H145" s="19" t="s">
        <v>586</v>
      </c>
      <c r="I145" s="20" t="str">
        <f t="shared" si="19"/>
        <v>TE 352,ED3-TEL</v>
      </c>
      <c r="J145" s="25"/>
    </row>
    <row r="146" spans="1:13" ht="14.5" x14ac:dyDescent="0.35">
      <c r="A146" s="26" t="s">
        <v>188</v>
      </c>
      <c r="B146" s="31" t="str">
        <v>INTRODUCTION TO PETROLEUM ENGINEERING</v>
      </c>
      <c r="C146" s="27" t="str">
        <v>Erzuah Samuel</v>
      </c>
      <c r="D146" s="32" t="s">
        <v>82</v>
      </c>
      <c r="E146" s="108">
        <v>130</v>
      </c>
      <c r="F146" s="32" t="s">
        <v>552</v>
      </c>
      <c r="G146" s="109">
        <f t="shared" si="18"/>
        <v>143</v>
      </c>
      <c r="H146" s="19" t="s">
        <v>647</v>
      </c>
      <c r="I146" s="20" t="str">
        <f t="shared" si="19"/>
        <v>PE 154,ED1-PE</v>
      </c>
      <c r="J146" s="25"/>
    </row>
    <row r="147" spans="1:13" ht="14.5" x14ac:dyDescent="0.35">
      <c r="A147" s="26" t="s">
        <v>189</v>
      </c>
      <c r="B147" s="31" t="str">
        <v>PRODUCTION ENGINEERING II</v>
      </c>
      <c r="C147" s="31" t="str">
        <v>Obeng George Yaw</v>
      </c>
      <c r="D147" s="26" t="s">
        <v>67</v>
      </c>
      <c r="E147" s="108">
        <v>40</v>
      </c>
      <c r="F147" s="32" t="s">
        <v>641</v>
      </c>
      <c r="G147" s="109">
        <f t="shared" si="18"/>
        <v>44</v>
      </c>
      <c r="H147" s="19" t="s">
        <v>648</v>
      </c>
      <c r="I147" s="20" t="str">
        <f t="shared" si="19"/>
        <v>ME 478,ED4-ME</v>
      </c>
      <c r="J147" s="25"/>
    </row>
    <row r="148" spans="1:13" ht="15" customHeight="1" x14ac:dyDescent="0.35">
      <c r="A148" s="26" t="s">
        <v>190</v>
      </c>
      <c r="B148" s="27" t="str">
        <v>ENGINEERING GRAPHICS</v>
      </c>
      <c r="C148" s="27" t="str">
        <v>Sackey Michael Nii</v>
      </c>
      <c r="D148" s="26" t="s">
        <v>191</v>
      </c>
      <c r="E148" s="108">
        <v>70</v>
      </c>
      <c r="F148" s="32" t="s">
        <v>529</v>
      </c>
      <c r="G148" s="109">
        <f t="shared" si="18"/>
        <v>77</v>
      </c>
      <c r="H148" s="19" t="s">
        <v>649</v>
      </c>
      <c r="I148" s="20" t="str">
        <f t="shared" si="19"/>
        <v>ME 158,ED1-AERO</v>
      </c>
      <c r="J148" s="25"/>
    </row>
    <row r="149" spans="1:13" ht="14.5" x14ac:dyDescent="0.35">
      <c r="A149" s="26" t="s">
        <v>216</v>
      </c>
      <c r="B149" s="27" t="str">
        <v>SYSTEMS INTEGRATION</v>
      </c>
      <c r="C149" s="31" t="str">
        <v>Tay Godwin Fabiola Kwaku</v>
      </c>
      <c r="D149" s="26" t="s">
        <v>124</v>
      </c>
      <c r="E149" s="108">
        <v>69</v>
      </c>
      <c r="F149" s="32" t="s">
        <v>545</v>
      </c>
      <c r="G149" s="109">
        <f t="shared" si="18"/>
        <v>75.900000000000006</v>
      </c>
      <c r="H149" s="19">
        <v>69</v>
      </c>
      <c r="I149" s="20" t="str">
        <f t="shared" si="19"/>
        <v>IE 456,ED4-IND</v>
      </c>
      <c r="J149" s="25"/>
    </row>
    <row r="150" spans="1:13" s="15" customFormat="1" ht="14.5" x14ac:dyDescent="0.35">
      <c r="A150" s="26" t="s">
        <v>98</v>
      </c>
      <c r="B150" s="27" t="str">
        <v>APPLIED METEOROLOGY</v>
      </c>
      <c r="C150" s="31" t="str">
        <v>Prince Junior Asilevi</v>
      </c>
      <c r="D150" s="26" t="s">
        <v>99</v>
      </c>
      <c r="E150" s="108">
        <v>61</v>
      </c>
      <c r="F150" s="32" t="s">
        <v>650</v>
      </c>
      <c r="G150" s="109">
        <f t="shared" si="18"/>
        <v>67.100000000000009</v>
      </c>
      <c r="H150" s="19" t="s">
        <v>651</v>
      </c>
      <c r="I150" s="20" t="str">
        <f t="shared" si="19"/>
        <v>AERO 456,ED4-AERO</v>
      </c>
      <c r="J150" s="25"/>
      <c r="K150" s="21"/>
      <c r="L150" s="21"/>
      <c r="M150" s="21"/>
    </row>
    <row r="151" spans="1:13" ht="15" customHeight="1" x14ac:dyDescent="0.35">
      <c r="A151" s="26" t="s">
        <v>193</v>
      </c>
      <c r="B151" s="27" t="str">
        <v>DATABASE SYSTEMS</v>
      </c>
      <c r="C151" s="27" t="str">
        <v>Ayer John Wise Divine</v>
      </c>
      <c r="D151" s="26" t="s">
        <v>194</v>
      </c>
      <c r="E151" s="108">
        <v>93</v>
      </c>
      <c r="F151" s="32" t="s">
        <v>652</v>
      </c>
      <c r="G151" s="109">
        <f t="shared" si="18"/>
        <v>102.30000000000001</v>
      </c>
      <c r="H151" s="19" t="s">
        <v>653</v>
      </c>
      <c r="I151" s="20" t="str">
        <f t="shared" si="19"/>
        <v>GE 464,ED4-GEOM</v>
      </c>
      <c r="J151" s="25"/>
    </row>
    <row r="152" spans="1:13" ht="14.5" x14ac:dyDescent="0.35">
      <c r="A152" s="35"/>
      <c r="B152" s="35"/>
      <c r="D152" s="27" t="s">
        <v>195</v>
      </c>
      <c r="E152" s="121">
        <f>SUM(E141:E151)</f>
        <v>1175</v>
      </c>
      <c r="F152" s="36"/>
      <c r="G152" s="122"/>
      <c r="I152" s="22" t="s">
        <v>196</v>
      </c>
      <c r="J152" s="25"/>
    </row>
    <row r="153" spans="1:13" ht="14.5" x14ac:dyDescent="0.35">
      <c r="A153" s="14" t="s">
        <v>180</v>
      </c>
      <c r="B153" s="14"/>
      <c r="C153" s="14"/>
      <c r="D153" s="14"/>
      <c r="E153" s="14"/>
      <c r="F153" s="14"/>
      <c r="G153" s="14"/>
      <c r="I153" s="22" t="str">
        <f>A153</f>
        <v>Thursday, 20 August 2026</v>
      </c>
      <c r="J153" s="25"/>
    </row>
    <row r="154" spans="1:13" ht="14.5" x14ac:dyDescent="0.35">
      <c r="A154" s="14" t="s">
        <v>29</v>
      </c>
      <c r="B154" s="14"/>
      <c r="C154" s="14"/>
      <c r="D154" s="14"/>
      <c r="E154" s="14"/>
      <c r="F154" s="14"/>
      <c r="G154" s="14"/>
      <c r="I154" s="22" t="str">
        <f>A154</f>
        <v>Session, 2 (12:00 PM - 2:00 PM)</v>
      </c>
      <c r="J154" s="25"/>
    </row>
    <row r="155" spans="1:13" ht="14.5" x14ac:dyDescent="0.35">
      <c r="A155" s="24" t="s">
        <v>4</v>
      </c>
      <c r="B155" s="24" t="s">
        <v>5</v>
      </c>
      <c r="C155" s="16" t="s">
        <v>6</v>
      </c>
      <c r="D155" s="24" t="s">
        <v>7</v>
      </c>
      <c r="E155" s="106" t="s">
        <v>8</v>
      </c>
      <c r="F155" s="16" t="s">
        <v>9</v>
      </c>
      <c r="G155" s="107" t="s">
        <v>10</v>
      </c>
      <c r="I155" s="22" t="s">
        <v>31</v>
      </c>
      <c r="J155" s="25"/>
    </row>
    <row r="156" spans="1:13" s="112" customFormat="1" ht="14.5" x14ac:dyDescent="0.35">
      <c r="A156" s="123" t="s">
        <v>182</v>
      </c>
      <c r="B156" s="128" t="str">
        <f t="array" ref="B156:B164">IFERROR(VLOOKUP(I156:I164,Lectures_1!A2:F534,2,FALSE()),0)</f>
        <v>CIVIL ENGINEERING DRAWING</v>
      </c>
      <c r="C156" s="128" t="str">
        <f t="array" ref="C156:C164">IFERROR(VLOOKUP(I156:I164,Lectures_1!A2:F534,3,FALSE()),0)</f>
        <v>Osei Jack Banahene</v>
      </c>
      <c r="D156" s="123" t="s">
        <v>75</v>
      </c>
      <c r="E156" s="129">
        <f t="array" ref="E156:E164">IFERROR(VLOOKUP(I156:I164,Lectures_1!A2:F534,4,FALSE()),0)</f>
        <v>245</v>
      </c>
      <c r="F156" s="27" t="s">
        <v>34</v>
      </c>
      <c r="G156" s="126">
        <f t="shared" ref="G156:G164" si="20">E156*1.1</f>
        <v>269.5</v>
      </c>
      <c r="H156" s="149"/>
      <c r="I156" s="110" t="str">
        <f t="shared" ref="I156:I164" si="21">CONCATENATE(A156,",",D156)</f>
        <v>CE 164,ED1-CE</v>
      </c>
      <c r="J156" s="111"/>
    </row>
    <row r="157" spans="1:13" s="112" customFormat="1" ht="14.5" x14ac:dyDescent="0.35">
      <c r="A157" s="123" t="s">
        <v>197</v>
      </c>
      <c r="B157" s="124" t="str">
        <v>INTRODUCTION TO SOCIOLOGY II</v>
      </c>
      <c r="C157" s="128" t="str">
        <v>Jones Opoku-Ware</v>
      </c>
      <c r="D157" s="123" t="s">
        <v>130</v>
      </c>
      <c r="E157" s="129">
        <v>136</v>
      </c>
      <c r="F157" s="123" t="s">
        <v>585</v>
      </c>
      <c r="G157" s="126">
        <f t="shared" si="20"/>
        <v>149.60000000000002</v>
      </c>
      <c r="H157" s="127" t="s">
        <v>596</v>
      </c>
      <c r="I157" s="110" t="str">
        <f t="shared" si="21"/>
        <v>SOC 152,ED1-BME</v>
      </c>
      <c r="J157" s="111"/>
    </row>
    <row r="158" spans="1:13" s="120" customFormat="1" ht="14.5" x14ac:dyDescent="0.35">
      <c r="A158" s="113" t="s">
        <v>198</v>
      </c>
      <c r="B158" s="114" t="str">
        <v>DATABASE AND INFORMATION RETRIEVAL</v>
      </c>
      <c r="C158" s="114" t="str">
        <v>Keelson Eliel</v>
      </c>
      <c r="D158" s="113" t="s">
        <v>16</v>
      </c>
      <c r="E158" s="115">
        <v>265</v>
      </c>
      <c r="F158" s="114" t="s">
        <v>954</v>
      </c>
      <c r="G158" s="116">
        <f t="shared" si="20"/>
        <v>291.5</v>
      </c>
      <c r="H158" s="117" t="s">
        <v>654</v>
      </c>
      <c r="I158" s="131" t="str">
        <f t="shared" si="21"/>
        <v>COE 368,ED3-COE</v>
      </c>
      <c r="J158" s="119"/>
    </row>
    <row r="159" spans="1:13" ht="14.5" x14ac:dyDescent="0.35">
      <c r="A159" s="26" t="s">
        <v>199</v>
      </c>
      <c r="B159" s="31" t="str">
        <v>MATERIALS SCIENCE</v>
      </c>
      <c r="C159" s="31" t="str">
        <v>Patrick Boakye</v>
      </c>
      <c r="D159" s="26" t="s">
        <v>73</v>
      </c>
      <c r="E159" s="108">
        <v>105</v>
      </c>
      <c r="F159" s="32" t="s">
        <v>655</v>
      </c>
      <c r="G159" s="109">
        <f t="shared" si="20"/>
        <v>115.50000000000001</v>
      </c>
      <c r="H159" s="19" t="s">
        <v>656</v>
      </c>
      <c r="I159" s="20" t="str">
        <f t="shared" si="21"/>
        <v>CHE 350,ED3-CHE</v>
      </c>
      <c r="J159" s="25"/>
    </row>
    <row r="160" spans="1:13" ht="14.5" x14ac:dyDescent="0.35">
      <c r="A160" s="26" t="s">
        <v>199</v>
      </c>
      <c r="B160" s="31" t="str">
        <v>MATERIALS SCIENCE</v>
      </c>
      <c r="C160" s="31" t="str">
        <v>Anang Daniel Adjah</v>
      </c>
      <c r="D160" s="26" t="s">
        <v>63</v>
      </c>
      <c r="E160" s="108">
        <v>53</v>
      </c>
      <c r="F160" s="32" t="s">
        <v>535</v>
      </c>
      <c r="G160" s="109">
        <f t="shared" si="20"/>
        <v>58.300000000000004</v>
      </c>
      <c r="H160" s="19" t="s">
        <v>657</v>
      </c>
      <c r="I160" s="20" t="str">
        <f t="shared" si="21"/>
        <v>CHE 350,ED3-PCE</v>
      </c>
      <c r="J160" s="25"/>
    </row>
    <row r="161" spans="1:10" ht="14.5" x14ac:dyDescent="0.35">
      <c r="A161" s="26" t="s">
        <v>200</v>
      </c>
      <c r="B161" s="27" t="str">
        <v>INTRODUCTION TO PSYCHOLOGY</v>
      </c>
      <c r="C161" s="31" t="str">
        <v>Sarfo Fordjour Elizabeth Anokyewaa</v>
      </c>
      <c r="D161" s="26" t="s">
        <v>91</v>
      </c>
      <c r="E161" s="108">
        <v>130</v>
      </c>
      <c r="F161" s="32" t="s">
        <v>552</v>
      </c>
      <c r="G161" s="109">
        <f t="shared" si="20"/>
        <v>143</v>
      </c>
      <c r="H161" s="19" t="s">
        <v>658</v>
      </c>
      <c r="I161" s="20" t="str">
        <f t="shared" si="21"/>
        <v>PSYC 154,ED1-TEL</v>
      </c>
      <c r="J161" s="25"/>
    </row>
    <row r="162" spans="1:10" ht="14.5" x14ac:dyDescent="0.35">
      <c r="A162" s="26" t="s">
        <v>201</v>
      </c>
      <c r="B162" s="27" t="str">
        <v>REPRODUCTION CARTOGRAPHY</v>
      </c>
      <c r="C162" s="31" t="str">
        <v>Quaye-Ballard Jonathan Arthur</v>
      </c>
      <c r="D162" s="26" t="s">
        <v>95</v>
      </c>
      <c r="E162" s="108">
        <v>103</v>
      </c>
      <c r="F162" s="32" t="s">
        <v>659</v>
      </c>
      <c r="G162" s="109">
        <f t="shared" si="20"/>
        <v>113.30000000000001</v>
      </c>
      <c r="H162" s="19" t="s">
        <v>660</v>
      </c>
      <c r="I162" s="20" t="str">
        <f t="shared" si="21"/>
        <v>GE 152,ED1-GEOM</v>
      </c>
      <c r="J162" s="25"/>
    </row>
    <row r="163" spans="1:10" ht="14.5" x14ac:dyDescent="0.35">
      <c r="A163" s="26" t="s">
        <v>202</v>
      </c>
      <c r="B163" s="27" t="str">
        <v>CIRCUIT THEORY</v>
      </c>
      <c r="C163" s="31" t="str">
        <v>Yeboah-Akowuah Bright</v>
      </c>
      <c r="D163" s="26" t="s">
        <v>109</v>
      </c>
      <c r="E163" s="108">
        <v>80</v>
      </c>
      <c r="F163" s="32" t="s">
        <v>574</v>
      </c>
      <c r="G163" s="109">
        <f t="shared" si="20"/>
        <v>88</v>
      </c>
      <c r="H163" s="19" t="s">
        <v>661</v>
      </c>
      <c r="I163" s="20" t="str">
        <f t="shared" si="21"/>
        <v>COE 288,ED2-BME</v>
      </c>
      <c r="J163" s="25"/>
    </row>
    <row r="164" spans="1:10" ht="14.5" x14ac:dyDescent="0.35">
      <c r="A164" s="26" t="s">
        <v>202</v>
      </c>
      <c r="B164" s="27" t="str">
        <v>CIRCUIT THEORY</v>
      </c>
      <c r="C164" s="31" t="str">
        <v>Yeboah-Akowuah Bright</v>
      </c>
      <c r="D164" s="26" t="s">
        <v>108</v>
      </c>
      <c r="E164" s="108">
        <v>255</v>
      </c>
      <c r="F164" s="32" t="s">
        <v>531</v>
      </c>
      <c r="G164" s="109">
        <f t="shared" si="20"/>
        <v>280.5</v>
      </c>
      <c r="H164" s="19" t="s">
        <v>662</v>
      </c>
      <c r="I164" s="20" t="str">
        <f t="shared" si="21"/>
        <v>COE 288,ED2-COE</v>
      </c>
      <c r="J164" s="25"/>
    </row>
    <row r="165" spans="1:10" ht="14.5" x14ac:dyDescent="0.35">
      <c r="A165" s="35"/>
      <c r="B165" s="35"/>
      <c r="D165" s="27" t="s">
        <v>203</v>
      </c>
      <c r="E165" s="121">
        <f>SUM(E157:E164)</f>
        <v>1127</v>
      </c>
      <c r="F165" s="36"/>
      <c r="G165" s="122"/>
      <c r="I165" s="22" t="s">
        <v>204</v>
      </c>
      <c r="J165" s="25"/>
    </row>
    <row r="166" spans="1:10" ht="14.5" x14ac:dyDescent="0.35">
      <c r="A166" s="14" t="s">
        <v>180</v>
      </c>
      <c r="B166" s="14"/>
      <c r="C166" s="14"/>
      <c r="D166" s="14"/>
      <c r="E166" s="14"/>
      <c r="F166" s="14"/>
      <c r="G166" s="14"/>
      <c r="I166" s="22" t="str">
        <f>A166</f>
        <v>Thursday, 20 August 2026</v>
      </c>
      <c r="J166" s="25"/>
    </row>
    <row r="167" spans="1:10" ht="14.5" x14ac:dyDescent="0.35">
      <c r="A167" s="14" t="s">
        <v>59</v>
      </c>
      <c r="B167" s="14"/>
      <c r="C167" s="14"/>
      <c r="D167" s="14"/>
      <c r="E167" s="14"/>
      <c r="F167" s="14"/>
      <c r="G167" s="14"/>
      <c r="I167" s="22" t="str">
        <f>A167</f>
        <v>Session, 3 (3:00 PM - 5:00 PM)</v>
      </c>
      <c r="J167" s="25"/>
    </row>
    <row r="168" spans="1:10" ht="14.5" x14ac:dyDescent="0.35">
      <c r="A168" s="24" t="s">
        <v>4</v>
      </c>
      <c r="B168" s="24" t="s">
        <v>5</v>
      </c>
      <c r="C168" s="16" t="s">
        <v>6</v>
      </c>
      <c r="D168" s="24" t="s">
        <v>7</v>
      </c>
      <c r="E168" s="106" t="s">
        <v>8</v>
      </c>
      <c r="F168" s="16" t="s">
        <v>9</v>
      </c>
      <c r="G168" s="107" t="s">
        <v>10</v>
      </c>
      <c r="I168" s="22" t="s">
        <v>31</v>
      </c>
      <c r="J168" s="25"/>
    </row>
    <row r="169" spans="1:10" ht="14.5" x14ac:dyDescent="0.35">
      <c r="A169" s="26" t="s">
        <v>205</v>
      </c>
      <c r="B169" s="31" t="str">
        <f t="array" ref="B169:B180">IFERROR(VLOOKUP(I169:I180,Lectures_1!A2:F534,2,FALSE()),0)</f>
        <v>FINITE ELEMENT ANALYSIS</v>
      </c>
      <c r="C169" s="31" t="str">
        <f t="array" ref="C169:C180">IFERROR(VLOOKUP(I169:I180,Lectures_1!A2:F534,3,FALSE()),0)</f>
        <v>Jones Owusu Twumasi</v>
      </c>
      <c r="D169" s="26" t="s">
        <v>103</v>
      </c>
      <c r="E169" s="108">
        <f t="array" ref="E169:E180">IFERROR(VLOOKUP(I169:I180,Lectures_1!A2:F534,4,FALSE()),0)</f>
        <v>18</v>
      </c>
      <c r="F169" s="27" t="s">
        <v>663</v>
      </c>
      <c r="G169" s="109">
        <f t="shared" ref="G169:G180" si="22">E169*1.1</f>
        <v>19.8</v>
      </c>
      <c r="H169" s="40">
        <v>18</v>
      </c>
      <c r="I169" s="20" t="str">
        <f t="shared" ref="I169:I180" si="23">CONCATENATE(A169,",",D169)</f>
        <v>CE 480,ED4-CE</v>
      </c>
      <c r="J169" s="25"/>
    </row>
    <row r="170" spans="1:10" ht="14.5" x14ac:dyDescent="0.35">
      <c r="A170" s="26" t="s">
        <v>206</v>
      </c>
      <c r="B170" s="31" t="str">
        <v>OILFIELD GEOLCHEMISTRY</v>
      </c>
      <c r="C170" s="31" t="str">
        <v>Adenutsi Caspar Daniel</v>
      </c>
      <c r="D170" s="26" t="s">
        <v>46</v>
      </c>
      <c r="E170" s="108">
        <v>99</v>
      </c>
      <c r="F170" s="47" t="s">
        <v>655</v>
      </c>
      <c r="G170" s="109">
        <f t="shared" si="22"/>
        <v>108.9</v>
      </c>
      <c r="H170" s="19" t="s">
        <v>664</v>
      </c>
      <c r="I170" s="20" t="str">
        <f t="shared" si="23"/>
        <v>PE 458,ED4-PE</v>
      </c>
      <c r="J170" s="25"/>
    </row>
    <row r="171" spans="1:10" ht="14.5" x14ac:dyDescent="0.35">
      <c r="A171" s="26" t="s">
        <v>321</v>
      </c>
      <c r="B171" s="31" t="str">
        <v>MATERIALS JOINING PROCESSES</v>
      </c>
      <c r="C171" s="31" t="str">
        <v>Kwofie Samuel</v>
      </c>
      <c r="D171" s="26" t="s">
        <v>140</v>
      </c>
      <c r="E171" s="108">
        <v>85</v>
      </c>
      <c r="F171" s="32" t="s">
        <v>665</v>
      </c>
      <c r="G171" s="109">
        <f t="shared" si="22"/>
        <v>93.500000000000014</v>
      </c>
      <c r="H171" s="19" t="s">
        <v>666</v>
      </c>
      <c r="I171" s="20" t="str">
        <f t="shared" si="23"/>
        <v>MSE 362,ED3-MSE</v>
      </c>
      <c r="J171" s="25"/>
    </row>
    <row r="172" spans="1:10" ht="14.5" x14ac:dyDescent="0.35">
      <c r="A172" s="26" t="s">
        <v>321</v>
      </c>
      <c r="B172" s="27" t="str">
        <v>MATERIALS JOINING PROCESSES</v>
      </c>
      <c r="C172" s="27" t="str">
        <v>Kwofie Samuel</v>
      </c>
      <c r="D172" s="26" t="s">
        <v>142</v>
      </c>
      <c r="E172" s="108">
        <v>87</v>
      </c>
      <c r="F172" s="32" t="s">
        <v>667</v>
      </c>
      <c r="G172" s="109">
        <f t="shared" si="22"/>
        <v>95.7</v>
      </c>
      <c r="H172" s="19" t="s">
        <v>668</v>
      </c>
      <c r="I172" s="20" t="str">
        <f t="shared" si="23"/>
        <v>MSE 362,ED3-METE</v>
      </c>
      <c r="J172" s="25"/>
    </row>
    <row r="173" spans="1:10" ht="14.5" x14ac:dyDescent="0.35">
      <c r="A173" s="26" t="s">
        <v>209</v>
      </c>
      <c r="B173" s="27" t="str">
        <v>STRESS AND STRAIN ANALYSIS OF RIGID BODIES</v>
      </c>
      <c r="C173" s="31" t="str">
        <v>Mensah-Darkwa Kwadwo</v>
      </c>
      <c r="D173" s="26" t="s">
        <v>101</v>
      </c>
      <c r="E173" s="108">
        <v>57</v>
      </c>
      <c r="F173" s="32" t="s">
        <v>574</v>
      </c>
      <c r="G173" s="109">
        <f t="shared" si="22"/>
        <v>62.7</v>
      </c>
      <c r="H173" s="19" t="s">
        <v>669</v>
      </c>
      <c r="I173" s="20" t="str">
        <f t="shared" si="23"/>
        <v>MSE 262,ED2-METE</v>
      </c>
      <c r="J173" s="25"/>
    </row>
    <row r="174" spans="1:10" ht="14.5" x14ac:dyDescent="0.35">
      <c r="A174" s="26" t="s">
        <v>209</v>
      </c>
      <c r="B174" s="27" t="str">
        <v>STRESS AND STRAIN ANALYSIS OF RIGID BODIES</v>
      </c>
      <c r="C174" s="31" t="str">
        <v>Mensah-Darkwa Kwadwo</v>
      </c>
      <c r="D174" s="26" t="s">
        <v>210</v>
      </c>
      <c r="E174" s="108">
        <v>83</v>
      </c>
      <c r="F174" s="48" t="s">
        <v>571</v>
      </c>
      <c r="G174" s="109">
        <f t="shared" si="22"/>
        <v>91.300000000000011</v>
      </c>
      <c r="H174" s="19" t="s">
        <v>670</v>
      </c>
      <c r="I174" s="20" t="str">
        <f t="shared" si="23"/>
        <v>MSE 262,ED2-MSE</v>
      </c>
      <c r="J174" s="25"/>
    </row>
    <row r="175" spans="1:10" s="120" customFormat="1" ht="14.5" x14ac:dyDescent="0.35">
      <c r="A175" s="113" t="s">
        <v>211</v>
      </c>
      <c r="B175" s="114" t="str">
        <v>HEALTH SAFETY AND ENVIRONMENT</v>
      </c>
      <c r="C175" s="118" t="str">
        <v>Adjei Stephen</v>
      </c>
      <c r="D175" s="113" t="s">
        <v>18</v>
      </c>
      <c r="E175" s="115">
        <v>80</v>
      </c>
      <c r="F175" s="150" t="s">
        <v>955</v>
      </c>
      <c r="G175" s="116">
        <f t="shared" si="22"/>
        <v>88</v>
      </c>
      <c r="H175" s="117">
        <v>80</v>
      </c>
      <c r="I175" s="131" t="str">
        <f t="shared" si="23"/>
        <v>PE 366,ED3-PE</v>
      </c>
      <c r="J175" s="119"/>
    </row>
    <row r="176" spans="1:10" s="120" customFormat="1" ht="14.5" x14ac:dyDescent="0.35">
      <c r="A176" s="113" t="s">
        <v>212</v>
      </c>
      <c r="B176" s="114" t="str">
        <v>HEAT TRANSPORT PROCESSES</v>
      </c>
      <c r="C176" s="118" t="str">
        <v>Adjei Stephen</v>
      </c>
      <c r="D176" s="113" t="s">
        <v>93</v>
      </c>
      <c r="E176" s="115">
        <v>95</v>
      </c>
      <c r="F176" s="150" t="s">
        <v>956</v>
      </c>
      <c r="G176" s="116">
        <f t="shared" si="22"/>
        <v>104.50000000000001</v>
      </c>
      <c r="H176" s="117">
        <v>95</v>
      </c>
      <c r="I176" s="131" t="str">
        <f t="shared" si="23"/>
        <v>PE 252,ED2-PE</v>
      </c>
      <c r="J176" s="119"/>
    </row>
    <row r="177" spans="1:10" ht="14.5" x14ac:dyDescent="0.35">
      <c r="A177" s="26" t="s">
        <v>226</v>
      </c>
      <c r="B177" s="27" t="str">
        <v>RADAR COMMUNICATIONS</v>
      </c>
      <c r="C177" s="31" t="str">
        <v>ELLis Sani Mubarak</v>
      </c>
      <c r="D177" s="26" t="s">
        <v>227</v>
      </c>
      <c r="E177" s="108">
        <v>105</v>
      </c>
      <c r="F177" s="32" t="s">
        <v>652</v>
      </c>
      <c r="G177" s="109">
        <f t="shared" si="22"/>
        <v>115.50000000000001</v>
      </c>
      <c r="H177" s="19" t="s">
        <v>656</v>
      </c>
      <c r="I177" s="20" t="str">
        <f t="shared" si="23"/>
        <v>TE 464,ED4-TEL</v>
      </c>
      <c r="J177" s="25"/>
    </row>
    <row r="178" spans="1:10" ht="14.5" x14ac:dyDescent="0.35">
      <c r="A178" s="26" t="s">
        <v>213</v>
      </c>
      <c r="B178" s="27" t="str">
        <v>SOIL AND WATER ENGINEERING II</v>
      </c>
      <c r="C178" s="31" t="str">
        <v>Agyare Wilson Agyei</v>
      </c>
      <c r="D178" s="26" t="s">
        <v>50</v>
      </c>
      <c r="E178" s="108">
        <v>103</v>
      </c>
      <c r="F178" s="32" t="s">
        <v>582</v>
      </c>
      <c r="G178" s="109">
        <f t="shared" si="22"/>
        <v>113.30000000000001</v>
      </c>
      <c r="H178" s="19" t="s">
        <v>660</v>
      </c>
      <c r="I178" s="20" t="str">
        <f t="shared" si="23"/>
        <v>AE 452,ED4-AE</v>
      </c>
      <c r="J178" s="25"/>
    </row>
    <row r="179" spans="1:10" ht="14.5" x14ac:dyDescent="0.35">
      <c r="A179" s="26" t="s">
        <v>280</v>
      </c>
      <c r="B179" s="31" t="str">
        <v>PULP AND PAPER TECHNOLOGY</v>
      </c>
      <c r="C179" s="27" t="str">
        <v>Rockson Mizpah Ama Dziedzorm</v>
      </c>
      <c r="D179" s="26" t="s">
        <v>48</v>
      </c>
      <c r="E179" s="108">
        <v>70</v>
      </c>
      <c r="F179" s="32" t="s">
        <v>574</v>
      </c>
      <c r="G179" s="109">
        <f t="shared" si="22"/>
        <v>77</v>
      </c>
      <c r="H179" s="19" t="s">
        <v>671</v>
      </c>
      <c r="I179" s="20" t="str">
        <f t="shared" si="23"/>
        <v>CHE 466,ED4-CHE</v>
      </c>
      <c r="J179" s="25"/>
    </row>
    <row r="180" spans="1:10" ht="14.5" x14ac:dyDescent="0.35">
      <c r="A180" s="26" t="s">
        <v>215</v>
      </c>
      <c r="B180" s="27" t="str">
        <v>STRUCTURAL ANALYSIS</v>
      </c>
      <c r="C180" s="31" t="str">
        <v>Kankam Charles Kwame</v>
      </c>
      <c r="D180" s="26" t="s">
        <v>56</v>
      </c>
      <c r="E180" s="108">
        <v>250</v>
      </c>
      <c r="F180" s="32" t="s">
        <v>556</v>
      </c>
      <c r="G180" s="109">
        <f t="shared" si="22"/>
        <v>275</v>
      </c>
      <c r="H180" s="19" t="s">
        <v>672</v>
      </c>
      <c r="I180" s="20" t="str">
        <f t="shared" si="23"/>
        <v>CE 258,ED2-CE</v>
      </c>
      <c r="J180" s="25"/>
    </row>
    <row r="181" spans="1:10" ht="14.5" x14ac:dyDescent="0.35">
      <c r="A181" s="35"/>
      <c r="B181" s="35"/>
      <c r="D181" s="27" t="s">
        <v>203</v>
      </c>
      <c r="E181" s="121">
        <f>SUM(E169:E180)</f>
        <v>1132</v>
      </c>
      <c r="F181" s="36"/>
      <c r="G181" s="122"/>
      <c r="I181" s="22" t="s">
        <v>204</v>
      </c>
      <c r="J181" s="25"/>
    </row>
    <row r="182" spans="1:10" ht="14.5" x14ac:dyDescent="0.35">
      <c r="A182" s="14" t="s">
        <v>217</v>
      </c>
      <c r="B182" s="14"/>
      <c r="C182" s="14"/>
      <c r="D182" s="14"/>
      <c r="E182" s="14"/>
      <c r="F182" s="14"/>
      <c r="G182" s="14"/>
      <c r="I182" s="22" t="str">
        <f>A182</f>
        <v>Friday, 21 August 2026</v>
      </c>
      <c r="J182" s="25"/>
    </row>
    <row r="183" spans="1:10" ht="14.5" x14ac:dyDescent="0.35">
      <c r="A183" s="14" t="s">
        <v>2</v>
      </c>
      <c r="B183" s="14"/>
      <c r="C183" s="14"/>
      <c r="D183" s="14"/>
      <c r="E183" s="14"/>
      <c r="F183" s="14"/>
      <c r="G183" s="14"/>
      <c r="I183" s="22" t="str">
        <f>A183</f>
        <v>Session, 1 (8:30 AM - 10:30 AM)</v>
      </c>
      <c r="J183" s="25"/>
    </row>
    <row r="184" spans="1:10" ht="14.5" x14ac:dyDescent="0.35">
      <c r="A184" s="24" t="s">
        <v>4</v>
      </c>
      <c r="B184" s="24" t="s">
        <v>5</v>
      </c>
      <c r="C184" s="16" t="s">
        <v>6</v>
      </c>
      <c r="D184" s="24" t="s">
        <v>7</v>
      </c>
      <c r="E184" s="106" t="s">
        <v>8</v>
      </c>
      <c r="F184" s="16" t="s">
        <v>9</v>
      </c>
      <c r="G184" s="107" t="s">
        <v>10</v>
      </c>
      <c r="H184" s="49"/>
      <c r="I184" s="22" t="s">
        <v>31</v>
      </c>
      <c r="J184" s="25"/>
    </row>
    <row r="185" spans="1:10" ht="14.5" x14ac:dyDescent="0.35">
      <c r="A185" s="26" t="s">
        <v>219</v>
      </c>
      <c r="B185" s="31" t="str">
        <f t="array" ref="B185:B197">IFERROR(VLOOKUP(I185:I197,Lectures_1!A2:F534,2,FALSE()),0)</f>
        <v>ENGINEERING SURVEY II</v>
      </c>
      <c r="C185" s="27" t="str">
        <f t="array" ref="C185:C197">IFERROR(VLOOKUP(I185:I197,Lectures_1!A2:F534,3,FALSE()),0)</f>
        <v>Arko-Adjei Anthony</v>
      </c>
      <c r="D185" s="26" t="s">
        <v>170</v>
      </c>
      <c r="E185" s="108">
        <f t="array" ref="E185:E197">IFERROR(VLOOKUP(I185:I197,Lectures_1!A2:F534,4,FALSE()),0)</f>
        <v>132</v>
      </c>
      <c r="F185" s="32" t="s">
        <v>652</v>
      </c>
      <c r="G185" s="109">
        <f t="shared" ref="G185:G197" si="24">E185*1.1</f>
        <v>145.20000000000002</v>
      </c>
      <c r="H185" s="19" t="s">
        <v>635</v>
      </c>
      <c r="I185" s="20" t="str">
        <f t="shared" ref="I185:I197" si="25">CONCATENATE(A185,",",D185)</f>
        <v>GE 272,ED2-GEOM</v>
      </c>
      <c r="J185" s="25"/>
    </row>
    <row r="186" spans="1:10" ht="14.5" x14ac:dyDescent="0.35">
      <c r="A186" s="26" t="s">
        <v>220</v>
      </c>
      <c r="B186" s="27" t="str">
        <v>RURAL ENGINEERING</v>
      </c>
      <c r="C186" s="31" t="str">
        <v>Mensah Ebenezer</v>
      </c>
      <c r="D186" s="26" t="s">
        <v>88</v>
      </c>
      <c r="E186" s="108">
        <v>101</v>
      </c>
      <c r="F186" s="32" t="s">
        <v>673</v>
      </c>
      <c r="G186" s="109">
        <f t="shared" si="24"/>
        <v>111.10000000000001</v>
      </c>
      <c r="H186" s="19" t="s">
        <v>674</v>
      </c>
      <c r="I186" s="20" t="str">
        <f t="shared" si="25"/>
        <v>AE 360,ED3-AE</v>
      </c>
      <c r="J186" s="25"/>
    </row>
    <row r="187" spans="1:10" ht="14.5" x14ac:dyDescent="0.35">
      <c r="A187" s="26" t="s">
        <v>221</v>
      </c>
      <c r="B187" s="27" t="str">
        <v>SATELLITE SURVEYING</v>
      </c>
      <c r="C187" s="31" t="str">
        <v>Andam-Akorful Samuel Ato</v>
      </c>
      <c r="D187" s="26" t="s">
        <v>77</v>
      </c>
      <c r="E187" s="108">
        <v>122</v>
      </c>
      <c r="F187" s="32" t="s">
        <v>675</v>
      </c>
      <c r="G187" s="109">
        <f t="shared" si="24"/>
        <v>134.20000000000002</v>
      </c>
      <c r="H187" s="19" t="s">
        <v>676</v>
      </c>
      <c r="I187" s="20" t="str">
        <f t="shared" si="25"/>
        <v>GE 354,ED3-GEOM</v>
      </c>
      <c r="J187" s="25"/>
    </row>
    <row r="188" spans="1:10" s="159" customFormat="1" ht="14.5" x14ac:dyDescent="0.35">
      <c r="A188" s="151" t="s">
        <v>222</v>
      </c>
      <c r="B188" s="152" t="str">
        <v>GIS APPLICATIONS</v>
      </c>
      <c r="C188" s="152" t="str">
        <v>Appiah-Adjei Emmanuel Kwame</v>
      </c>
      <c r="D188" s="151" t="s">
        <v>154</v>
      </c>
      <c r="E188" s="153">
        <v>154</v>
      </c>
      <c r="F188" s="154" t="s">
        <v>677</v>
      </c>
      <c r="G188" s="155">
        <f t="shared" si="24"/>
        <v>169.4</v>
      </c>
      <c r="H188" s="156" t="s">
        <v>678</v>
      </c>
      <c r="I188" s="157" t="str">
        <f t="shared" si="25"/>
        <v>GED 368,ED3-GEOL</v>
      </c>
      <c r="J188" s="158"/>
    </row>
    <row r="189" spans="1:10" ht="14.5" x14ac:dyDescent="0.35">
      <c r="A189" s="26" t="s">
        <v>223</v>
      </c>
      <c r="B189" s="27" t="str">
        <v>MATERIALS QUALITY CONTROL, ASSURRANCE AND SELECTION</v>
      </c>
      <c r="C189" s="27" t="str">
        <v>Arthur Emmanuel Kwesi</v>
      </c>
      <c r="D189" s="26" t="s">
        <v>136</v>
      </c>
      <c r="E189" s="108">
        <v>55</v>
      </c>
      <c r="F189" s="32" t="s">
        <v>539</v>
      </c>
      <c r="G189" s="109">
        <f t="shared" si="24"/>
        <v>60.500000000000007</v>
      </c>
      <c r="H189" s="19" t="s">
        <v>679</v>
      </c>
      <c r="I189" s="20" t="str">
        <f t="shared" si="25"/>
        <v>MSE 456,ED4-METE</v>
      </c>
      <c r="J189" s="25"/>
    </row>
    <row r="190" spans="1:10" ht="14.5" x14ac:dyDescent="0.35">
      <c r="A190" s="26" t="s">
        <v>223</v>
      </c>
      <c r="B190" s="31" t="str">
        <v>MATERIALS QUALITY CONTROL, ASSURRANCE AND SELECTION</v>
      </c>
      <c r="C190" s="31" t="str">
        <v>Arthur Emmanuel Kwesi</v>
      </c>
      <c r="D190" s="26" t="s">
        <v>135</v>
      </c>
      <c r="E190" s="108">
        <v>60</v>
      </c>
      <c r="F190" s="32" t="s">
        <v>579</v>
      </c>
      <c r="G190" s="109">
        <f t="shared" si="24"/>
        <v>66</v>
      </c>
      <c r="H190" s="19" t="s">
        <v>680</v>
      </c>
      <c r="I190" s="20" t="str">
        <f t="shared" si="25"/>
        <v>MSE 456,ED4-MSE</v>
      </c>
      <c r="J190" s="25"/>
    </row>
    <row r="191" spans="1:10" ht="14.5" x14ac:dyDescent="0.35">
      <c r="A191" s="26" t="s">
        <v>224</v>
      </c>
      <c r="B191" s="31" t="str">
        <v>STRATIGRAPHY</v>
      </c>
      <c r="C191" s="27" t="str">
        <v>Amedjoe Godfrey Chiri</v>
      </c>
      <c r="D191" s="26" t="s">
        <v>55</v>
      </c>
      <c r="E191" s="108">
        <v>150</v>
      </c>
      <c r="F191" s="32" t="s">
        <v>533</v>
      </c>
      <c r="G191" s="109">
        <f t="shared" si="24"/>
        <v>165</v>
      </c>
      <c r="H191" s="49" t="s">
        <v>681</v>
      </c>
      <c r="I191" s="20" t="str">
        <f t="shared" si="25"/>
        <v>GED 252,ED2-GEOL</v>
      </c>
      <c r="J191" s="25"/>
    </row>
    <row r="192" spans="1:10" ht="14.5" x14ac:dyDescent="0.35">
      <c r="A192" s="26" t="s">
        <v>225</v>
      </c>
      <c r="B192" s="27" t="str">
        <v>INDUSTRIAL ENGINEEGING LABORATORY II</v>
      </c>
      <c r="C192" s="27" t="str">
        <v>Fiagbe Yesuenyeagbe Atsu Kwabla</v>
      </c>
      <c r="D192" s="26" t="s">
        <v>38</v>
      </c>
      <c r="E192" s="108">
        <v>80</v>
      </c>
      <c r="F192" s="32" t="s">
        <v>574</v>
      </c>
      <c r="G192" s="109">
        <f t="shared" si="24"/>
        <v>88</v>
      </c>
      <c r="H192" s="19" t="s">
        <v>661</v>
      </c>
      <c r="I192" s="20" t="str">
        <f t="shared" si="25"/>
        <v>IE 296,ED2-IND</v>
      </c>
      <c r="J192" s="25"/>
    </row>
    <row r="193" spans="1:10" ht="14.5" x14ac:dyDescent="0.35">
      <c r="A193" s="26" t="s">
        <v>228</v>
      </c>
      <c r="B193" s="31" t="str">
        <v>SHIP SAFETY, ENVIRONMENTAL PROTECTION AND SAFE WATCH KEEPING</v>
      </c>
      <c r="C193" s="31" t="str">
        <v>Larkai Francis Laako</v>
      </c>
      <c r="D193" s="26" t="s">
        <v>69</v>
      </c>
      <c r="E193" s="108">
        <v>23</v>
      </c>
      <c r="F193" s="32" t="s">
        <v>616</v>
      </c>
      <c r="G193" s="109">
        <f t="shared" si="24"/>
        <v>25.3</v>
      </c>
      <c r="H193" s="19">
        <v>23</v>
      </c>
      <c r="I193" s="20" t="str">
        <f t="shared" si="25"/>
        <v>MME 486,ED4-MARI</v>
      </c>
      <c r="J193" s="25"/>
    </row>
    <row r="194" spans="1:10" s="53" customFormat="1" ht="14.5" x14ac:dyDescent="0.35">
      <c r="A194" s="26" t="s">
        <v>330</v>
      </c>
      <c r="B194" s="31" t="str">
        <v>MEDICAL IMAGING I</v>
      </c>
      <c r="C194" s="31" t="str">
        <v>Kotei Addison Eric Clement</v>
      </c>
      <c r="D194" s="26" t="s">
        <v>65</v>
      </c>
      <c r="E194" s="108">
        <v>90</v>
      </c>
      <c r="F194" s="32" t="s">
        <v>628</v>
      </c>
      <c r="G194" s="109">
        <f t="shared" si="24"/>
        <v>99.000000000000014</v>
      </c>
      <c r="H194" s="19" t="s">
        <v>682</v>
      </c>
      <c r="I194" s="51" t="str">
        <f t="shared" si="25"/>
        <v>BME 364,ED3-BME</v>
      </c>
      <c r="J194" s="52"/>
    </row>
    <row r="195" spans="1:10" ht="14.5" x14ac:dyDescent="0.35">
      <c r="A195" s="26" t="s">
        <v>242</v>
      </c>
      <c r="B195" s="31" t="str">
        <v>BASIC AGRICULTURE</v>
      </c>
      <c r="C195" s="31" t="str">
        <v>Bessah Enoch</v>
      </c>
      <c r="D195" s="26" t="s">
        <v>131</v>
      </c>
      <c r="E195" s="108">
        <v>128</v>
      </c>
      <c r="F195" s="32" t="s">
        <v>683</v>
      </c>
      <c r="G195" s="109">
        <f t="shared" si="24"/>
        <v>140.80000000000001</v>
      </c>
      <c r="H195" s="19" t="s">
        <v>684</v>
      </c>
      <c r="I195" s="20" t="str">
        <f t="shared" si="25"/>
        <v>AE 162,ED1-AE</v>
      </c>
      <c r="J195" s="25"/>
    </row>
    <row r="196" spans="1:10" ht="14.5" x14ac:dyDescent="0.35">
      <c r="A196" s="26" t="s">
        <v>229</v>
      </c>
      <c r="B196" s="27" t="str">
        <v>INDUSTRIAL ENGINEERING LAB III</v>
      </c>
      <c r="C196" s="31" t="str">
        <v>Oppong David Kofi</v>
      </c>
      <c r="D196" s="26" t="s">
        <v>121</v>
      </c>
      <c r="E196" s="108">
        <v>70</v>
      </c>
      <c r="F196" s="32" t="s">
        <v>546</v>
      </c>
      <c r="G196" s="109">
        <f t="shared" si="24"/>
        <v>77</v>
      </c>
      <c r="H196" s="19">
        <v>70</v>
      </c>
      <c r="I196" s="20" t="str">
        <f t="shared" si="25"/>
        <v>IE 362,ED3-IND</v>
      </c>
      <c r="J196" s="25"/>
    </row>
    <row r="197" spans="1:10" ht="14.5" x14ac:dyDescent="0.35">
      <c r="A197" s="26" t="s">
        <v>230</v>
      </c>
      <c r="B197" s="27" t="str">
        <v>MARINE ENGINEERING LABORATORY I</v>
      </c>
      <c r="C197" s="27" t="str">
        <v>Fiagbe Yesuenyeagbe Atsu Kwabla</v>
      </c>
      <c r="D197" s="26" t="s">
        <v>42</v>
      </c>
      <c r="E197" s="108">
        <v>37</v>
      </c>
      <c r="F197" s="32" t="s">
        <v>541</v>
      </c>
      <c r="G197" s="109">
        <f t="shared" si="24"/>
        <v>40.700000000000003</v>
      </c>
      <c r="H197" s="19">
        <v>37</v>
      </c>
      <c r="I197" s="20" t="str">
        <f t="shared" si="25"/>
        <v>MME 296,ED2-MARI</v>
      </c>
      <c r="J197" s="25"/>
    </row>
    <row r="198" spans="1:10" ht="14.5" x14ac:dyDescent="0.35">
      <c r="A198" s="35"/>
      <c r="B198" s="35"/>
      <c r="D198" s="27" t="s">
        <v>231</v>
      </c>
      <c r="E198" s="121">
        <f>SUM(E185:E197)</f>
        <v>1202</v>
      </c>
      <c r="F198" s="36"/>
      <c r="G198" s="122"/>
      <c r="I198" s="22" t="s">
        <v>232</v>
      </c>
      <c r="J198" s="25"/>
    </row>
    <row r="199" spans="1:10" ht="14.5" x14ac:dyDescent="0.35">
      <c r="A199" s="14" t="s">
        <v>217</v>
      </c>
      <c r="B199" s="14"/>
      <c r="C199" s="14"/>
      <c r="D199" s="14"/>
      <c r="E199" s="14"/>
      <c r="F199" s="14"/>
      <c r="G199" s="14"/>
      <c r="I199" s="22" t="str">
        <f>A199</f>
        <v>Friday, 21 August 2026</v>
      </c>
      <c r="J199" s="25"/>
    </row>
    <row r="200" spans="1:10" ht="14.5" x14ac:dyDescent="0.35">
      <c r="A200" s="14" t="s">
        <v>29</v>
      </c>
      <c r="B200" s="14"/>
      <c r="C200" s="14"/>
      <c r="D200" s="14"/>
      <c r="E200" s="14"/>
      <c r="F200" s="14"/>
      <c r="G200" s="14"/>
      <c r="I200" s="22" t="str">
        <f>A200</f>
        <v>Session, 2 (12:00 PM - 2:00 PM)</v>
      </c>
      <c r="J200" s="25"/>
    </row>
    <row r="201" spans="1:10" ht="14.5" x14ac:dyDescent="0.35">
      <c r="A201" s="24" t="s">
        <v>4</v>
      </c>
      <c r="B201" s="24" t="s">
        <v>5</v>
      </c>
      <c r="C201" s="16" t="s">
        <v>6</v>
      </c>
      <c r="D201" s="24" t="s">
        <v>7</v>
      </c>
      <c r="E201" s="106" t="s">
        <v>8</v>
      </c>
      <c r="F201" s="16" t="s">
        <v>9</v>
      </c>
      <c r="G201" s="107" t="s">
        <v>10</v>
      </c>
      <c r="I201" s="22" t="s">
        <v>31</v>
      </c>
      <c r="J201" s="25"/>
    </row>
    <row r="202" spans="1:10" s="112" customFormat="1" ht="14.5" x14ac:dyDescent="0.35">
      <c r="A202" s="26" t="s">
        <v>233</v>
      </c>
      <c r="B202" s="31" t="str">
        <f t="array" ref="B202:B208">IFERROR(VLOOKUP(I202:I208,Lectures_1!A2:F534,2,FALSE()),0)</f>
        <v>DIGITAL CONTROL SYSTEMS</v>
      </c>
      <c r="C202" s="27" t="str">
        <f t="array" ref="C202:C208">IFERROR(VLOOKUP(I202:I208,Lectures_1!A2:F534,3,FALSE()),0)</f>
        <v>Opoku Daniel</v>
      </c>
      <c r="D202" s="26" t="s">
        <v>71</v>
      </c>
      <c r="E202" s="108">
        <f t="array" ref="E202:E208">IFERROR(VLOOKUP(I202:I208,Lectures_1!A2:F534,4,FALSE()),0)</f>
        <v>70</v>
      </c>
      <c r="F202" s="26" t="s">
        <v>685</v>
      </c>
      <c r="G202" s="109">
        <f t="shared" ref="G202:G208" si="26">E202*1.1</f>
        <v>77</v>
      </c>
      <c r="H202" s="19" t="s">
        <v>590</v>
      </c>
      <c r="I202" s="110" t="str">
        <f t="shared" ref="I202:I209" si="27">CONCATENATE(A202,",",D202)</f>
        <v>EE 380,ED3-EE</v>
      </c>
      <c r="J202" s="111"/>
    </row>
    <row r="203" spans="1:10" s="120" customFormat="1" ht="14.5" x14ac:dyDescent="0.35">
      <c r="A203" s="113" t="s">
        <v>234</v>
      </c>
      <c r="B203" s="114" t="str">
        <v>BASIC ELECTRONICS</v>
      </c>
      <c r="C203" s="114" t="str">
        <v>Kwegyir Daniel</v>
      </c>
      <c r="D203" s="113" t="s">
        <v>75</v>
      </c>
      <c r="E203" s="115">
        <v>245</v>
      </c>
      <c r="F203" s="160" t="s">
        <v>954</v>
      </c>
      <c r="G203" s="116">
        <f t="shared" si="26"/>
        <v>269.5</v>
      </c>
      <c r="H203" s="161" t="s">
        <v>686</v>
      </c>
      <c r="I203" s="131" t="str">
        <f t="shared" si="27"/>
        <v>EE 152,ED1-CE</v>
      </c>
      <c r="J203" s="119"/>
    </row>
    <row r="204" spans="1:10" s="142" customFormat="1" ht="14.5" x14ac:dyDescent="0.35">
      <c r="A204" s="26" t="s">
        <v>235</v>
      </c>
      <c r="B204" s="31" t="str">
        <v>ELECTROMAGNETIC FIELDS</v>
      </c>
      <c r="C204" s="31" t="str">
        <v>Kwame Oteng Gyasi</v>
      </c>
      <c r="D204" s="26" t="s">
        <v>25</v>
      </c>
      <c r="E204" s="108">
        <v>340</v>
      </c>
      <c r="F204" s="32" t="s">
        <v>687</v>
      </c>
      <c r="G204" s="109">
        <f t="shared" si="26"/>
        <v>374.00000000000006</v>
      </c>
      <c r="H204" s="19" t="s">
        <v>688</v>
      </c>
      <c r="I204" s="140" t="str">
        <f t="shared" si="27"/>
        <v>TE 254,ED2-EE</v>
      </c>
      <c r="J204" s="141"/>
    </row>
    <row r="205" spans="1:10" s="142" customFormat="1" ht="14.5" x14ac:dyDescent="0.35">
      <c r="A205" s="26" t="s">
        <v>235</v>
      </c>
      <c r="B205" s="31" t="str">
        <v>ELECTROMAGNETIC FIELD THEORY</v>
      </c>
      <c r="C205" s="31" t="str">
        <v>Kwame Oteng Gyasi</v>
      </c>
      <c r="D205" s="26" t="s">
        <v>172</v>
      </c>
      <c r="E205" s="108">
        <v>175</v>
      </c>
      <c r="F205" s="32" t="s">
        <v>689</v>
      </c>
      <c r="G205" s="109">
        <f t="shared" si="26"/>
        <v>192.50000000000003</v>
      </c>
      <c r="H205" s="19" t="s">
        <v>690</v>
      </c>
      <c r="I205" s="140" t="str">
        <f t="shared" si="27"/>
        <v>TE 254,ED2-TEL</v>
      </c>
      <c r="J205" s="141"/>
    </row>
    <row r="206" spans="1:10" ht="14.5" x14ac:dyDescent="0.35">
      <c r="A206" s="26" t="s">
        <v>284</v>
      </c>
      <c r="B206" s="27" t="str">
        <v>LAND LAW AND REGISTRATION</v>
      </c>
      <c r="C206" s="31" t="str">
        <v>Arko-Adjei Anthony</v>
      </c>
      <c r="D206" s="26" t="s">
        <v>194</v>
      </c>
      <c r="E206" s="108">
        <v>93</v>
      </c>
      <c r="F206" s="32" t="s">
        <v>571</v>
      </c>
      <c r="G206" s="109">
        <f t="shared" si="26"/>
        <v>102.30000000000001</v>
      </c>
      <c r="H206" s="19" t="s">
        <v>691</v>
      </c>
      <c r="I206" s="20" t="str">
        <f t="shared" si="27"/>
        <v>GE 472,ED4-GEOM</v>
      </c>
      <c r="J206" s="25"/>
    </row>
    <row r="207" spans="1:10" ht="15" customHeight="1" x14ac:dyDescent="0.35">
      <c r="A207" s="26" t="s">
        <v>113</v>
      </c>
      <c r="B207" s="27" t="str">
        <v>PRINCIPLES OF MATERIAL SCIENCE</v>
      </c>
      <c r="C207" s="27" t="str">
        <v>Agyemang Frank Ofori</v>
      </c>
      <c r="D207" s="26" t="s">
        <v>109</v>
      </c>
      <c r="E207" s="108">
        <v>80</v>
      </c>
      <c r="F207" s="32" t="s">
        <v>571</v>
      </c>
      <c r="G207" s="109">
        <f t="shared" si="26"/>
        <v>88</v>
      </c>
      <c r="H207" s="19" t="s">
        <v>692</v>
      </c>
      <c r="I207" s="20" t="str">
        <f t="shared" si="27"/>
        <v>MSE 154,ED2-BME</v>
      </c>
      <c r="J207" s="25"/>
    </row>
    <row r="208" spans="1:10" ht="14.5" x14ac:dyDescent="0.35">
      <c r="A208" s="26" t="s">
        <v>236</v>
      </c>
      <c r="B208" s="31" t="str">
        <v>MECHANICAL ENGINEERING MATERIALS II</v>
      </c>
      <c r="C208" s="31" t="str">
        <v>Agyemang Frank Ofori</v>
      </c>
      <c r="D208" s="26" t="s">
        <v>53</v>
      </c>
      <c r="E208" s="108">
        <v>155</v>
      </c>
      <c r="F208" s="32" t="s">
        <v>693</v>
      </c>
      <c r="G208" s="109">
        <f t="shared" si="26"/>
        <v>170.5</v>
      </c>
      <c r="H208" s="19" t="s">
        <v>694</v>
      </c>
      <c r="I208" s="20" t="str">
        <f t="shared" si="27"/>
        <v>ME 282,ED2-AE</v>
      </c>
      <c r="J208" s="25"/>
    </row>
    <row r="209" spans="1:10" ht="14.5" x14ac:dyDescent="0.35">
      <c r="A209" s="26"/>
      <c r="B209" s="27"/>
      <c r="C209" s="27"/>
      <c r="D209" s="27" t="s">
        <v>237</v>
      </c>
      <c r="E209" s="121">
        <f>SUM(E202:E208)</f>
        <v>1158</v>
      </c>
      <c r="F209" s="32"/>
      <c r="G209" s="109"/>
      <c r="I209" s="20" t="str">
        <f t="shared" si="27"/>
        <v>,Total F1-2</v>
      </c>
      <c r="J209" s="25"/>
    </row>
    <row r="210" spans="1:10" ht="14.5" x14ac:dyDescent="0.35">
      <c r="A210" s="14" t="s">
        <v>217</v>
      </c>
      <c r="B210" s="14"/>
      <c r="C210" s="14"/>
      <c r="D210" s="14"/>
      <c r="E210" s="14"/>
      <c r="F210" s="14"/>
      <c r="G210" s="14"/>
      <c r="I210" s="22" t="str">
        <f>A210</f>
        <v>Friday, 21 August 2026</v>
      </c>
      <c r="J210" s="25"/>
    </row>
    <row r="211" spans="1:10" ht="14.5" x14ac:dyDescent="0.35">
      <c r="A211" s="14" t="s">
        <v>59</v>
      </c>
      <c r="B211" s="14"/>
      <c r="C211" s="14"/>
      <c r="D211" s="14"/>
      <c r="E211" s="14"/>
      <c r="F211" s="14"/>
      <c r="G211" s="14"/>
      <c r="I211" s="22" t="str">
        <f>A211</f>
        <v>Session, 3 (3:00 PM - 5:00 PM)</v>
      </c>
      <c r="J211" s="25"/>
    </row>
    <row r="212" spans="1:10" ht="14.5" x14ac:dyDescent="0.35">
      <c r="A212" s="24" t="s">
        <v>4</v>
      </c>
      <c r="B212" s="24" t="s">
        <v>5</v>
      </c>
      <c r="C212" s="16" t="s">
        <v>6</v>
      </c>
      <c r="D212" s="24" t="s">
        <v>7</v>
      </c>
      <c r="E212" s="106" t="s">
        <v>8</v>
      </c>
      <c r="F212" s="16" t="s">
        <v>9</v>
      </c>
      <c r="G212" s="107" t="s">
        <v>10</v>
      </c>
      <c r="I212" s="22" t="s">
        <v>31</v>
      </c>
      <c r="J212" s="25"/>
    </row>
    <row r="213" spans="1:10" ht="14.5" x14ac:dyDescent="0.35">
      <c r="A213" s="26" t="s">
        <v>238</v>
      </c>
      <c r="B213" s="31" t="str">
        <f t="array" ref="B213:B220">IFERROR(VLOOKUP(I213:I220,Lectures_1!A2:F534,2,FALSE()),0)</f>
        <v>MARINE INDUSTRIAL ENGINEERING AND ERGONOMICS</v>
      </c>
      <c r="C213" s="27" t="str">
        <f t="array" ref="C213:C220">IFERROR(VLOOKUP(I213:I220,Lectures_1!A2:F534,3,FALSE()),0)</f>
        <v>Mensah Lena Dzifa</v>
      </c>
      <c r="D213" s="26" t="s">
        <v>86</v>
      </c>
      <c r="E213" s="108">
        <f t="array" ref="E213:E220">IFERROR(VLOOKUP(I213:I220,Lectures_1!A2:F534,4,FALSE()),0)</f>
        <v>40</v>
      </c>
      <c r="F213" s="26" t="s">
        <v>695</v>
      </c>
      <c r="G213" s="109">
        <f t="shared" ref="G213:G220" si="28">E213*1.1</f>
        <v>44</v>
      </c>
      <c r="H213" s="19" t="s">
        <v>559</v>
      </c>
      <c r="I213" s="20" t="str">
        <f t="shared" ref="I213:I221" si="29">CONCATENATE(A213,",",D213)</f>
        <v>MME 392,ED3-MARI</v>
      </c>
      <c r="J213" s="25"/>
    </row>
    <row r="214" spans="1:10" ht="15" customHeight="1" x14ac:dyDescent="0.35">
      <c r="A214" s="26" t="s">
        <v>239</v>
      </c>
      <c r="B214" s="31" t="str">
        <v>INDUSTRIAL ENGINEERING AND ERGONOMICS</v>
      </c>
      <c r="C214" s="31" t="str">
        <v>Mensah Lena Dzifa</v>
      </c>
      <c r="D214" s="26" t="s">
        <v>133</v>
      </c>
      <c r="E214" s="108">
        <v>76</v>
      </c>
      <c r="F214" s="32" t="s">
        <v>696</v>
      </c>
      <c r="G214" s="109">
        <f t="shared" si="28"/>
        <v>83.600000000000009</v>
      </c>
      <c r="H214" s="19" t="s">
        <v>697</v>
      </c>
      <c r="I214" s="20" t="str">
        <f t="shared" si="29"/>
        <v>ME 392,ED3-AERO</v>
      </c>
      <c r="J214" s="25"/>
    </row>
    <row r="215" spans="1:10" ht="14.5" x14ac:dyDescent="0.35">
      <c r="A215" s="26" t="s">
        <v>240</v>
      </c>
      <c r="B215" s="31" t="str">
        <v>INDUSTRIAL ENGINEERING AND ERGONOMICS</v>
      </c>
      <c r="C215" s="31" t="str">
        <v>Mensah Lena Dzifa</v>
      </c>
      <c r="D215" s="26" t="s">
        <v>33</v>
      </c>
      <c r="E215" s="108">
        <v>240</v>
      </c>
      <c r="F215" s="32" t="s">
        <v>531</v>
      </c>
      <c r="G215" s="109">
        <f t="shared" si="28"/>
        <v>264</v>
      </c>
      <c r="H215" s="19" t="s">
        <v>612</v>
      </c>
      <c r="I215" s="20" t="str">
        <f t="shared" si="29"/>
        <v>ME 292,ED2-ME</v>
      </c>
      <c r="J215" s="25"/>
    </row>
    <row r="216" spans="1:10" ht="14.5" x14ac:dyDescent="0.35">
      <c r="A216" s="26" t="s">
        <v>241</v>
      </c>
      <c r="B216" s="31" t="str">
        <v>INDUSTRIAL ENGINEERING AND ERGONOMICS</v>
      </c>
      <c r="C216" s="31" t="str">
        <v>Mensah Lena Dzifa</v>
      </c>
      <c r="D216" s="26" t="s">
        <v>23</v>
      </c>
      <c r="E216" s="108">
        <v>40</v>
      </c>
      <c r="F216" s="32" t="s">
        <v>633</v>
      </c>
      <c r="G216" s="109">
        <f t="shared" si="28"/>
        <v>44</v>
      </c>
      <c r="H216" s="19">
        <v>40</v>
      </c>
      <c r="I216" s="20" t="str">
        <f t="shared" si="29"/>
        <v>AME 392,ED3-AUTO</v>
      </c>
      <c r="J216" s="25"/>
    </row>
    <row r="217" spans="1:10" ht="14.5" x14ac:dyDescent="0.35">
      <c r="A217" s="26" t="s">
        <v>214</v>
      </c>
      <c r="B217" s="27" t="str">
        <v>ADVANCED ENGINEERING GEOLLOGY</v>
      </c>
      <c r="C217" s="31" t="str">
        <v>Gidigasu Solomon Senyo Robert</v>
      </c>
      <c r="D217" s="26" t="s">
        <v>177</v>
      </c>
      <c r="E217" s="108">
        <v>95</v>
      </c>
      <c r="F217" s="32" t="s">
        <v>582</v>
      </c>
      <c r="G217" s="109">
        <f t="shared" si="28"/>
        <v>104.50000000000001</v>
      </c>
      <c r="H217" s="19" t="s">
        <v>698</v>
      </c>
      <c r="I217" s="20" t="str">
        <f t="shared" si="29"/>
        <v>GED 452,ED4-GEOL</v>
      </c>
      <c r="J217" s="25"/>
    </row>
    <row r="218" spans="1:10" ht="14.5" x14ac:dyDescent="0.35">
      <c r="A218" s="26" t="s">
        <v>234</v>
      </c>
      <c r="B218" s="27" t="str">
        <v>BASIC ELECTRONICS</v>
      </c>
      <c r="C218" s="27" t="str">
        <v>Yaw Opoku Mensah Sekyere</v>
      </c>
      <c r="D218" s="26" t="s">
        <v>80</v>
      </c>
      <c r="E218" s="108">
        <v>120</v>
      </c>
      <c r="F218" s="32" t="s">
        <v>611</v>
      </c>
      <c r="G218" s="109">
        <f t="shared" si="28"/>
        <v>132</v>
      </c>
      <c r="H218" s="17" t="s">
        <v>699</v>
      </c>
      <c r="I218" s="20" t="str">
        <f t="shared" si="29"/>
        <v>EE 152,ED1-CHE</v>
      </c>
      <c r="J218" s="25"/>
    </row>
    <row r="219" spans="1:10" ht="14.5" x14ac:dyDescent="0.35">
      <c r="A219" s="26" t="s">
        <v>234</v>
      </c>
      <c r="B219" s="27" t="str">
        <v>BASIC ELECTRONICS</v>
      </c>
      <c r="C219" s="27" t="str">
        <v>Yaw Opoku Mensah Sekyere</v>
      </c>
      <c r="D219" s="26" t="s">
        <v>51</v>
      </c>
      <c r="E219" s="108">
        <v>295</v>
      </c>
      <c r="F219" s="47" t="s">
        <v>700</v>
      </c>
      <c r="G219" s="109">
        <f t="shared" si="28"/>
        <v>324.5</v>
      </c>
      <c r="H219" s="19" t="s">
        <v>701</v>
      </c>
      <c r="I219" s="20" t="str">
        <f t="shared" si="29"/>
        <v>EE 152,ED1-EE</v>
      </c>
      <c r="J219" s="25"/>
    </row>
    <row r="220" spans="1:10" ht="14.5" x14ac:dyDescent="0.35">
      <c r="A220" s="26" t="s">
        <v>234</v>
      </c>
      <c r="B220" s="31" t="str">
        <v>BASIC ELECTRONICS</v>
      </c>
      <c r="C220" s="31" t="str">
        <v>Yaw Opoku Mensah Sekyere</v>
      </c>
      <c r="D220" s="26" t="s">
        <v>161</v>
      </c>
      <c r="E220" s="108">
        <v>225</v>
      </c>
      <c r="F220" s="32" t="s">
        <v>702</v>
      </c>
      <c r="G220" s="109">
        <f t="shared" si="28"/>
        <v>247.50000000000003</v>
      </c>
      <c r="H220" s="19" t="s">
        <v>703</v>
      </c>
      <c r="I220" s="20" t="str">
        <f t="shared" si="29"/>
        <v>EE 152,ED1-ME</v>
      </c>
      <c r="J220" s="25"/>
    </row>
    <row r="221" spans="1:10" ht="14.5" x14ac:dyDescent="0.35">
      <c r="A221" s="26"/>
      <c r="B221" s="27"/>
      <c r="C221" s="27"/>
      <c r="D221" s="27" t="s">
        <v>237</v>
      </c>
      <c r="E221" s="121">
        <f>SUM(E213:E220)</f>
        <v>1131</v>
      </c>
      <c r="F221" s="32"/>
      <c r="G221" s="109"/>
      <c r="I221" s="20" t="str">
        <f t="shared" si="29"/>
        <v>,Total F1-2</v>
      </c>
      <c r="J221" s="25"/>
    </row>
    <row r="222" spans="1:10" ht="14.5" x14ac:dyDescent="0.35">
      <c r="A222" s="14" t="s">
        <v>243</v>
      </c>
      <c r="B222" s="14"/>
      <c r="C222" s="14"/>
      <c r="D222" s="14"/>
      <c r="E222" s="14"/>
      <c r="F222" s="14"/>
      <c r="G222" s="14"/>
      <c r="I222" s="22" t="str">
        <f>A222</f>
        <v>Monday, 24 August 2026</v>
      </c>
      <c r="J222" s="25"/>
    </row>
    <row r="223" spans="1:10" ht="14.5" x14ac:dyDescent="0.35">
      <c r="A223" s="14" t="s">
        <v>2</v>
      </c>
      <c r="B223" s="14"/>
      <c r="C223" s="14"/>
      <c r="D223" s="14"/>
      <c r="E223" s="14"/>
      <c r="F223" s="14"/>
      <c r="G223" s="14"/>
      <c r="I223" s="22" t="str">
        <f>A223</f>
        <v>Session, 1 (8:30 AM - 10:30 AM)</v>
      </c>
      <c r="J223" s="25"/>
    </row>
    <row r="224" spans="1:10" ht="14.5" x14ac:dyDescent="0.35">
      <c r="A224" s="24" t="s">
        <v>4</v>
      </c>
      <c r="B224" s="24" t="s">
        <v>5</v>
      </c>
      <c r="C224" s="16" t="s">
        <v>6</v>
      </c>
      <c r="D224" s="24" t="s">
        <v>7</v>
      </c>
      <c r="E224" s="106" t="s">
        <v>8</v>
      </c>
      <c r="F224" s="31" t="s">
        <v>9</v>
      </c>
      <c r="G224" s="107" t="s">
        <v>10</v>
      </c>
      <c r="I224" s="22" t="s">
        <v>31</v>
      </c>
      <c r="J224" s="25"/>
    </row>
    <row r="225" spans="1:10" s="112" customFormat="1" ht="14.5" x14ac:dyDescent="0.35">
      <c r="A225" s="123" t="s">
        <v>245</v>
      </c>
      <c r="B225" s="124" t="str">
        <f t="array" ref="B225:B239">IFERROR(VLOOKUP(I225:I239,Lectures_1!A2:F534,2,FALSE()),0)</f>
        <v>FRENCH FOR COMMUNICATION II</v>
      </c>
      <c r="C225" s="128" t="str">
        <f t="array" ref="C225:C239">IFERROR(VLOOKUP(I225:I239,Lectures_1!A2:F534,3,FALSE()),0)</f>
        <v>Boakye-Agyeman Candy</v>
      </c>
      <c r="D225" s="123" t="s">
        <v>172</v>
      </c>
      <c r="E225" s="129">
        <f t="array" ref="E225:E239">IFERROR(VLOOKUP(I225:I239,Lectures_1!A2:F534,4,FALSE()),0)</f>
        <v>103</v>
      </c>
      <c r="F225" s="133" t="s">
        <v>582</v>
      </c>
      <c r="G225" s="126">
        <f t="shared" ref="G225:G239" si="30">E225*1.1</f>
        <v>113.30000000000001</v>
      </c>
      <c r="H225" s="127" t="s">
        <v>660</v>
      </c>
      <c r="I225" s="110" t="str">
        <f t="shared" ref="I225:I239" si="31">CONCATENATE(A225,",",D225)</f>
        <v>FC 182,ED2-TEL</v>
      </c>
      <c r="J225" s="111"/>
    </row>
    <row r="226" spans="1:10" s="112" customFormat="1" ht="14.5" x14ac:dyDescent="0.35">
      <c r="A226" s="123" t="s">
        <v>245</v>
      </c>
      <c r="B226" s="124" t="str">
        <v>FRENCH FOR COMMUNICATION II</v>
      </c>
      <c r="C226" s="128" t="str">
        <v>Alexander Ocloo</v>
      </c>
      <c r="D226" s="123" t="s">
        <v>73</v>
      </c>
      <c r="E226" s="129">
        <v>55</v>
      </c>
      <c r="F226" s="133" t="s">
        <v>704</v>
      </c>
      <c r="G226" s="126">
        <f t="shared" si="30"/>
        <v>60.500000000000007</v>
      </c>
      <c r="H226" s="127" t="s">
        <v>598</v>
      </c>
      <c r="I226" s="110" t="str">
        <f t="shared" si="31"/>
        <v>FC 182,ED3-CHE</v>
      </c>
      <c r="J226" s="111"/>
    </row>
    <row r="227" spans="1:10" s="112" customFormat="1" ht="14.5" x14ac:dyDescent="0.35">
      <c r="A227" s="123" t="s">
        <v>245</v>
      </c>
      <c r="B227" s="128" t="str">
        <v>FRENCH FOR COMMUNICATION  II</v>
      </c>
      <c r="C227" s="128" t="str">
        <v>Pharis Jeel Darko</v>
      </c>
      <c r="D227" s="123" t="s">
        <v>77</v>
      </c>
      <c r="E227" s="129">
        <v>65</v>
      </c>
      <c r="F227" s="133" t="s">
        <v>705</v>
      </c>
      <c r="G227" s="126">
        <f t="shared" si="30"/>
        <v>71.5</v>
      </c>
      <c r="H227" s="127">
        <v>65</v>
      </c>
      <c r="I227" s="110" t="str">
        <f t="shared" si="31"/>
        <v>FC 182,ED3-GEOM</v>
      </c>
      <c r="J227" s="111"/>
    </row>
    <row r="228" spans="1:10" s="112" customFormat="1" ht="14.5" x14ac:dyDescent="0.35">
      <c r="A228" s="123" t="s">
        <v>245</v>
      </c>
      <c r="B228" s="128" t="str">
        <v>FRENCH FOR COMMUNICATION II</v>
      </c>
      <c r="C228" s="128" t="str">
        <v>Alexander Ocloo</v>
      </c>
      <c r="D228" s="123" t="s">
        <v>25</v>
      </c>
      <c r="E228" s="129">
        <v>170</v>
      </c>
      <c r="F228" s="133" t="s">
        <v>706</v>
      </c>
      <c r="G228" s="126">
        <f t="shared" si="30"/>
        <v>187.00000000000003</v>
      </c>
      <c r="H228" s="127" t="s">
        <v>707</v>
      </c>
      <c r="I228" s="110" t="str">
        <f t="shared" si="31"/>
        <v>FC 182,ED2-EE</v>
      </c>
      <c r="J228" s="111"/>
    </row>
    <row r="229" spans="1:10" s="112" customFormat="1" ht="14.5" x14ac:dyDescent="0.35">
      <c r="A229" s="123" t="s">
        <v>245</v>
      </c>
      <c r="B229" s="128" t="str">
        <v>FRENCH FOR COMMUNICATION II</v>
      </c>
      <c r="C229" s="128" t="str">
        <v>Boakye-Agyeman Candy</v>
      </c>
      <c r="D229" s="123" t="s">
        <v>126</v>
      </c>
      <c r="E229" s="129">
        <v>90</v>
      </c>
      <c r="F229" s="133" t="s">
        <v>708</v>
      </c>
      <c r="G229" s="126">
        <f t="shared" si="30"/>
        <v>99.000000000000014</v>
      </c>
      <c r="H229" s="127" t="s">
        <v>709</v>
      </c>
      <c r="I229" s="110" t="str">
        <f t="shared" si="31"/>
        <v>FC 182,ED1-GEOL</v>
      </c>
      <c r="J229" s="111"/>
    </row>
    <row r="230" spans="1:10" s="112" customFormat="1" ht="14.5" x14ac:dyDescent="0.35">
      <c r="A230" s="123" t="s">
        <v>245</v>
      </c>
      <c r="B230" s="128" t="str">
        <v>FRENCH FOR COMMUNICATION II</v>
      </c>
      <c r="C230" s="128" t="str">
        <v>Boakye-Agyeman Candy</v>
      </c>
      <c r="D230" s="123" t="s">
        <v>75</v>
      </c>
      <c r="E230" s="129">
        <v>160</v>
      </c>
      <c r="F230" s="133" t="s">
        <v>710</v>
      </c>
      <c r="G230" s="126">
        <f t="shared" si="30"/>
        <v>176</v>
      </c>
      <c r="H230" s="127" t="s">
        <v>711</v>
      </c>
      <c r="I230" s="110" t="str">
        <f t="shared" si="31"/>
        <v>FC 182,ED1-CE</v>
      </c>
      <c r="J230" s="111"/>
    </row>
    <row r="231" spans="1:10" s="112" customFormat="1" ht="14.5" x14ac:dyDescent="0.35">
      <c r="A231" s="123" t="s">
        <v>245</v>
      </c>
      <c r="B231" s="128" t="str">
        <v>FRENCH FOR COMMUNICATION II</v>
      </c>
      <c r="C231" s="128" t="str">
        <v>Boakye-Agyeman Candy</v>
      </c>
      <c r="D231" s="123" t="s">
        <v>112</v>
      </c>
      <c r="E231" s="129">
        <v>46</v>
      </c>
      <c r="F231" s="133" t="s">
        <v>541</v>
      </c>
      <c r="G231" s="126">
        <f t="shared" si="30"/>
        <v>50.6</v>
      </c>
      <c r="H231" s="127">
        <v>46</v>
      </c>
      <c r="I231" s="110" t="str">
        <f t="shared" si="31"/>
        <v>FC 182,ED1-MARI</v>
      </c>
      <c r="J231" s="111"/>
    </row>
    <row r="232" spans="1:10" s="112" customFormat="1" ht="14.5" x14ac:dyDescent="0.35">
      <c r="A232" s="123" t="s">
        <v>245</v>
      </c>
      <c r="B232" s="128" t="str">
        <v>FRENCH FOR COMMUNICATION II</v>
      </c>
      <c r="C232" s="128" t="str">
        <v>Pharis Jeel Darko</v>
      </c>
      <c r="D232" s="123" t="s">
        <v>109</v>
      </c>
      <c r="E232" s="129">
        <v>43</v>
      </c>
      <c r="F232" s="133" t="s">
        <v>712</v>
      </c>
      <c r="G232" s="126">
        <f t="shared" si="30"/>
        <v>47.300000000000004</v>
      </c>
      <c r="H232" s="127" t="s">
        <v>713</v>
      </c>
      <c r="I232" s="110" t="str">
        <f t="shared" si="31"/>
        <v>FC 182,ED2-BME</v>
      </c>
      <c r="J232" s="111"/>
    </row>
    <row r="233" spans="1:10" s="112" customFormat="1" ht="14.5" x14ac:dyDescent="0.35">
      <c r="A233" s="123" t="s">
        <v>245</v>
      </c>
      <c r="B233" s="128" t="str">
        <v>FRENCH FOR COMMUNICATION</v>
      </c>
      <c r="C233" s="128" t="str">
        <v>Pharis Jeel Darko</v>
      </c>
      <c r="D233" s="123" t="s">
        <v>108</v>
      </c>
      <c r="E233" s="129">
        <v>150</v>
      </c>
      <c r="F233" s="133" t="s">
        <v>714</v>
      </c>
      <c r="G233" s="126">
        <f t="shared" si="30"/>
        <v>165</v>
      </c>
      <c r="H233" s="127" t="s">
        <v>715</v>
      </c>
      <c r="I233" s="110" t="str">
        <f t="shared" si="31"/>
        <v>FC 182,ED2-COE</v>
      </c>
      <c r="J233" s="111"/>
    </row>
    <row r="234" spans="1:10" ht="14.25" customHeight="1" x14ac:dyDescent="0.35">
      <c r="A234" s="26" t="s">
        <v>270</v>
      </c>
      <c r="B234" s="31" t="str">
        <v>GROUND ENGINEERING</v>
      </c>
      <c r="C234" s="31" t="str">
        <v>Samuel Innocent Kofi Ampadu</v>
      </c>
      <c r="D234" s="26" t="s">
        <v>177</v>
      </c>
      <c r="E234" s="108">
        <v>2</v>
      </c>
      <c r="F234" s="32" t="s">
        <v>716</v>
      </c>
      <c r="G234" s="109">
        <f t="shared" si="30"/>
        <v>2.2000000000000002</v>
      </c>
      <c r="H234" s="19">
        <v>2</v>
      </c>
      <c r="I234" s="20" t="str">
        <f t="shared" si="31"/>
        <v>CE 478,ED4-GEOL</v>
      </c>
      <c r="J234" s="25"/>
    </row>
    <row r="235" spans="1:10" s="145" customFormat="1" ht="14.5" x14ac:dyDescent="0.35">
      <c r="A235" s="26" t="s">
        <v>270</v>
      </c>
      <c r="B235" s="31" t="str">
        <v>GROUND ENGINEERING</v>
      </c>
      <c r="C235" s="31" t="str">
        <v>Samuel Innocent Kofi Ampadu</v>
      </c>
      <c r="D235" s="26" t="s">
        <v>103</v>
      </c>
      <c r="E235" s="108">
        <v>60</v>
      </c>
      <c r="F235" s="32" t="s">
        <v>566</v>
      </c>
      <c r="G235" s="109">
        <f t="shared" si="30"/>
        <v>66</v>
      </c>
      <c r="H235" s="19" t="s">
        <v>717</v>
      </c>
      <c r="I235" s="143" t="str">
        <f t="shared" si="31"/>
        <v>CE 478,ED4-CE</v>
      </c>
      <c r="J235" s="144"/>
    </row>
    <row r="236" spans="1:10" ht="14.5" x14ac:dyDescent="0.35">
      <c r="A236" s="26" t="s">
        <v>258</v>
      </c>
      <c r="B236" s="27" t="str">
        <v>SEPARATION PROCESSES II</v>
      </c>
      <c r="C236" s="31" t="str">
        <v>Augustine Ntiamoah</v>
      </c>
      <c r="D236" s="26" t="s">
        <v>63</v>
      </c>
      <c r="E236" s="108">
        <v>53</v>
      </c>
      <c r="F236" s="32" t="s">
        <v>718</v>
      </c>
      <c r="G236" s="109">
        <f t="shared" si="30"/>
        <v>58.300000000000004</v>
      </c>
      <c r="H236" s="19" t="s">
        <v>657</v>
      </c>
      <c r="I236" s="20" t="str">
        <f t="shared" si="31"/>
        <v>PCE 352,ED3-PCE</v>
      </c>
      <c r="J236" s="25"/>
    </row>
    <row r="237" spans="1:10" ht="14.5" x14ac:dyDescent="0.35">
      <c r="A237" s="26" t="s">
        <v>319</v>
      </c>
      <c r="B237" s="27" t="str">
        <v>ADSORPTION SEPARATION PROCESS TECHNOLOGY</v>
      </c>
      <c r="C237" s="27" t="str">
        <v>Ohemeng-Boahen Godfred</v>
      </c>
      <c r="D237" s="26" t="s">
        <v>44</v>
      </c>
      <c r="E237" s="108">
        <v>40</v>
      </c>
      <c r="F237" s="32" t="s">
        <v>541</v>
      </c>
      <c r="G237" s="109">
        <f t="shared" si="30"/>
        <v>44</v>
      </c>
      <c r="H237" s="54">
        <v>40</v>
      </c>
      <c r="I237" s="20" t="str">
        <f t="shared" si="31"/>
        <v>CHE 464,ED4-PCE</v>
      </c>
      <c r="J237" s="25"/>
    </row>
    <row r="238" spans="1:10" ht="14.5" x14ac:dyDescent="0.35">
      <c r="A238" s="26" t="s">
        <v>415</v>
      </c>
      <c r="B238" s="31" t="str">
        <v>PHARMACEUTICAL TECHNOLOGY</v>
      </c>
      <c r="C238" s="31" t="str">
        <v>Johnson Raphael</v>
      </c>
      <c r="D238" s="26" t="s">
        <v>48</v>
      </c>
      <c r="E238" s="108">
        <v>71</v>
      </c>
      <c r="F238" s="32" t="s">
        <v>546</v>
      </c>
      <c r="G238" s="109">
        <f t="shared" si="30"/>
        <v>78.100000000000009</v>
      </c>
      <c r="H238" s="19">
        <v>71</v>
      </c>
      <c r="I238" s="20" t="str">
        <f t="shared" si="31"/>
        <v>CHE 470,ED4-CHE</v>
      </c>
      <c r="J238" s="25"/>
    </row>
    <row r="239" spans="1:10" ht="14.5" x14ac:dyDescent="0.35">
      <c r="A239" s="26" t="s">
        <v>431</v>
      </c>
      <c r="B239" s="27" t="str">
        <v>ENVIRONMENTAL ENG. TECHNOLOGY</v>
      </c>
      <c r="C239" s="31" t="str">
        <v>Afotey Benjamin</v>
      </c>
      <c r="D239" s="26" t="s">
        <v>48</v>
      </c>
      <c r="E239" s="108">
        <v>54</v>
      </c>
      <c r="F239" s="32" t="s">
        <v>719</v>
      </c>
      <c r="G239" s="109">
        <f t="shared" si="30"/>
        <v>59.400000000000006</v>
      </c>
      <c r="H239" s="19" t="s">
        <v>720</v>
      </c>
      <c r="I239" s="20" t="str">
        <f t="shared" si="31"/>
        <v>CHE 468,ED4-CHE</v>
      </c>
      <c r="J239" s="25"/>
    </row>
    <row r="240" spans="1:10" ht="14.5" x14ac:dyDescent="0.35">
      <c r="A240" s="35"/>
      <c r="B240" s="35"/>
      <c r="D240" s="27" t="s">
        <v>248</v>
      </c>
      <c r="E240" s="121">
        <f>SUM(E225:E239)</f>
        <v>1162</v>
      </c>
      <c r="F240" s="36"/>
      <c r="G240" s="122"/>
      <c r="I240" s="22" t="s">
        <v>249</v>
      </c>
      <c r="J240" s="25"/>
    </row>
    <row r="241" spans="1:10" ht="14.5" x14ac:dyDescent="0.35">
      <c r="A241" s="14" t="s">
        <v>243</v>
      </c>
      <c r="B241" s="14"/>
      <c r="C241" s="14"/>
      <c r="D241" s="14"/>
      <c r="E241" s="14"/>
      <c r="F241" s="14"/>
      <c r="G241" s="14"/>
      <c r="I241" s="22" t="str">
        <f>A241</f>
        <v>Monday, 24 August 2026</v>
      </c>
      <c r="J241" s="25"/>
    </row>
    <row r="242" spans="1:10" ht="14.5" x14ac:dyDescent="0.35">
      <c r="A242" s="14" t="s">
        <v>29</v>
      </c>
      <c r="B242" s="14"/>
      <c r="C242" s="14"/>
      <c r="D242" s="14"/>
      <c r="E242" s="14"/>
      <c r="F242" s="14"/>
      <c r="G242" s="14"/>
      <c r="I242" s="22" t="str">
        <f>A242</f>
        <v>Session, 2 (12:00 PM - 2:00 PM)</v>
      </c>
      <c r="J242" s="25"/>
    </row>
    <row r="243" spans="1:10" ht="14.5" x14ac:dyDescent="0.35">
      <c r="A243" s="24" t="s">
        <v>4</v>
      </c>
      <c r="B243" s="24" t="s">
        <v>5</v>
      </c>
      <c r="C243" s="16" t="s">
        <v>6</v>
      </c>
      <c r="D243" s="24" t="s">
        <v>7</v>
      </c>
      <c r="E243" s="106" t="s">
        <v>8</v>
      </c>
      <c r="F243" s="16" t="s">
        <v>9</v>
      </c>
      <c r="G243" s="107" t="s">
        <v>10</v>
      </c>
      <c r="I243" s="22" t="s">
        <v>31</v>
      </c>
      <c r="J243" s="25"/>
    </row>
    <row r="244" spans="1:10" s="112" customFormat="1" ht="14.5" x14ac:dyDescent="0.35">
      <c r="A244" s="123" t="s">
        <v>250</v>
      </c>
      <c r="B244" s="124" t="str">
        <f t="array" ref="B244:B254">IFERROR(VLOOKUP(I244:I254,Lectures_1!A2:F534,2,FALSE()),0)</f>
        <v>DIGITAL SIGNAL PROCESSING</v>
      </c>
      <c r="C244" s="124" t="str">
        <f t="array" ref="C244:C254">IFERROR(VLOOKUP(I244:I254,Lectures_1!A2:F534,3,FALSE()),0)</f>
        <v>Akowuah Emmanuel Kofi</v>
      </c>
      <c r="D244" s="123" t="s">
        <v>251</v>
      </c>
      <c r="E244" s="129">
        <f t="array" ref="E244:E254">IFERROR(VLOOKUP(I244:I254,Lectures_1!A2:F534,4,FALSE()),0)</f>
        <v>160</v>
      </c>
      <c r="F244" s="124" t="s">
        <v>34</v>
      </c>
      <c r="G244" s="126">
        <f t="shared" ref="G244:G254" si="32">E244*1.1</f>
        <v>176</v>
      </c>
      <c r="H244" s="127"/>
      <c r="I244" s="110" t="str">
        <f t="shared" ref="I244:I254" si="33">CONCATENATE(A244,",",D244)</f>
        <v>COE 472,ED4-COE</v>
      </c>
      <c r="J244" s="111"/>
    </row>
    <row r="245" spans="1:10" ht="14.5" x14ac:dyDescent="0.35">
      <c r="A245" s="26" t="s">
        <v>250</v>
      </c>
      <c r="B245" s="27" t="str">
        <v>DIGITAL SIGNAL PROCESSING</v>
      </c>
      <c r="C245" s="27" t="str">
        <v>Adjei Prince Ebenezer</v>
      </c>
      <c r="D245" s="26" t="s">
        <v>252</v>
      </c>
      <c r="E245" s="108">
        <v>87</v>
      </c>
      <c r="F245" s="26" t="s">
        <v>721</v>
      </c>
      <c r="G245" s="109">
        <f t="shared" si="32"/>
        <v>95.7</v>
      </c>
      <c r="H245" s="19" t="s">
        <v>722</v>
      </c>
      <c r="I245" s="20" t="str">
        <f t="shared" si="33"/>
        <v>COE 472,ED4-BME</v>
      </c>
      <c r="J245" s="25"/>
    </row>
    <row r="246" spans="1:10" s="120" customFormat="1" ht="14.5" x14ac:dyDescent="0.35">
      <c r="A246" s="113" t="s">
        <v>19</v>
      </c>
      <c r="B246" s="114" t="str">
        <v>ELECTRICAL ENG. DRAWING</v>
      </c>
      <c r="C246" s="118" t="str">
        <v>Kwegyir Daniel</v>
      </c>
      <c r="D246" s="113" t="s">
        <v>51</v>
      </c>
      <c r="E246" s="115">
        <v>295</v>
      </c>
      <c r="F246" s="160" t="s">
        <v>954</v>
      </c>
      <c r="G246" s="116">
        <f t="shared" si="32"/>
        <v>324.5</v>
      </c>
      <c r="H246" s="117" t="s">
        <v>723</v>
      </c>
      <c r="I246" s="131" t="str">
        <f t="shared" si="33"/>
        <v>EE 156,ED1-EE</v>
      </c>
      <c r="J246" s="119"/>
    </row>
    <row r="247" spans="1:10" ht="14.5" x14ac:dyDescent="0.35">
      <c r="A247" s="26" t="s">
        <v>253</v>
      </c>
      <c r="B247" s="31" t="str">
        <v>PHASE TRANSFORMATIONS</v>
      </c>
      <c r="C247" s="27" t="str">
        <v>Gikunoo Emmanuel</v>
      </c>
      <c r="D247" s="26" t="s">
        <v>210</v>
      </c>
      <c r="E247" s="108">
        <v>83</v>
      </c>
      <c r="F247" s="32" t="s">
        <v>724</v>
      </c>
      <c r="G247" s="109">
        <f t="shared" si="32"/>
        <v>91.300000000000011</v>
      </c>
      <c r="H247" s="49" t="s">
        <v>725</v>
      </c>
      <c r="I247" s="20" t="str">
        <f t="shared" si="33"/>
        <v>MSE 260,ED2-MSE</v>
      </c>
      <c r="J247" s="25"/>
    </row>
    <row r="248" spans="1:10" ht="14.5" x14ac:dyDescent="0.35">
      <c r="A248" s="26" t="s">
        <v>253</v>
      </c>
      <c r="B248" s="31" t="str">
        <v>PHASE TRANSFORMATIONS</v>
      </c>
      <c r="C248" s="27" t="str">
        <v>Gikunoo Emmanuel</v>
      </c>
      <c r="D248" s="26" t="s">
        <v>101</v>
      </c>
      <c r="E248" s="108">
        <v>57</v>
      </c>
      <c r="F248" s="32" t="s">
        <v>529</v>
      </c>
      <c r="G248" s="109">
        <f t="shared" si="32"/>
        <v>62.7</v>
      </c>
      <c r="H248" s="19" t="s">
        <v>726</v>
      </c>
      <c r="I248" s="20" t="str">
        <f t="shared" si="33"/>
        <v>MSE 260,ED2-METE</v>
      </c>
      <c r="J248" s="25"/>
    </row>
    <row r="249" spans="1:10" ht="14.5" x14ac:dyDescent="0.35">
      <c r="A249" s="26" t="s">
        <v>247</v>
      </c>
      <c r="B249" s="27" t="str">
        <v>INTRODUCTION TO SOIL MECHANICS</v>
      </c>
      <c r="C249" s="31" t="str">
        <v>Amenuvor Andrew Cudzo</v>
      </c>
      <c r="D249" s="26" t="s">
        <v>55</v>
      </c>
      <c r="E249" s="108">
        <v>150</v>
      </c>
      <c r="F249" s="32" t="s">
        <v>714</v>
      </c>
      <c r="G249" s="109">
        <f t="shared" si="32"/>
        <v>165</v>
      </c>
      <c r="H249" s="19" t="s">
        <v>715</v>
      </c>
      <c r="I249" s="20" t="str">
        <f t="shared" si="33"/>
        <v>GED 262,ED2-GEOL</v>
      </c>
      <c r="J249" s="25"/>
    </row>
    <row r="250" spans="1:10" ht="14.5" x14ac:dyDescent="0.35">
      <c r="A250" s="26" t="s">
        <v>254</v>
      </c>
      <c r="B250" s="27" t="str">
        <v>MECHANISMS SYNTHESIS AND ANALYSIS II</v>
      </c>
      <c r="C250" s="27" t="str">
        <v>David Kofi Oppong</v>
      </c>
      <c r="D250" s="26" t="s">
        <v>99</v>
      </c>
      <c r="E250" s="108">
        <v>17</v>
      </c>
      <c r="F250" s="32" t="s">
        <v>727</v>
      </c>
      <c r="G250" s="109">
        <f t="shared" si="32"/>
        <v>18.700000000000003</v>
      </c>
      <c r="H250" s="19">
        <v>17</v>
      </c>
      <c r="I250" s="20" t="str">
        <f t="shared" si="33"/>
        <v>ME 462,ED4-AERO</v>
      </c>
      <c r="J250" s="25"/>
    </row>
    <row r="251" spans="1:10" ht="14.5" x14ac:dyDescent="0.35">
      <c r="A251" s="26" t="s">
        <v>297</v>
      </c>
      <c r="B251" s="27" t="str">
        <v>CHEMICAL PROCESS CALCULATIONS II</v>
      </c>
      <c r="C251" s="27" t="str">
        <v>Ohemeng-Boahen Godfred</v>
      </c>
      <c r="D251" s="26" t="s">
        <v>14</v>
      </c>
      <c r="E251" s="108">
        <v>65</v>
      </c>
      <c r="F251" s="42" t="s">
        <v>574</v>
      </c>
      <c r="G251" s="109">
        <f t="shared" si="32"/>
        <v>71.5</v>
      </c>
      <c r="H251" s="19" t="s">
        <v>638</v>
      </c>
      <c r="I251" s="20" t="str">
        <f t="shared" si="33"/>
        <v>CHE 252,ED2-PCE</v>
      </c>
      <c r="J251" s="25"/>
    </row>
    <row r="252" spans="1:10" ht="14.5" x14ac:dyDescent="0.35">
      <c r="A252" s="26" t="s">
        <v>297</v>
      </c>
      <c r="B252" s="27" t="str">
        <v>CHEMICAL PROCESS CALCULATIONS II</v>
      </c>
      <c r="C252" s="31" t="str">
        <v>Rockson Mizpah Ama Dziedzorm</v>
      </c>
      <c r="D252" s="26" t="s">
        <v>13</v>
      </c>
      <c r="E252" s="108">
        <v>160</v>
      </c>
      <c r="F252" s="32" t="s">
        <v>706</v>
      </c>
      <c r="G252" s="109">
        <f t="shared" si="32"/>
        <v>176</v>
      </c>
      <c r="H252" s="19" t="s">
        <v>728</v>
      </c>
      <c r="I252" s="20" t="str">
        <f t="shared" si="33"/>
        <v>CHE 252,ED2-CHE</v>
      </c>
      <c r="J252" s="25"/>
    </row>
    <row r="253" spans="1:10" ht="14.5" x14ac:dyDescent="0.35">
      <c r="A253" s="26" t="s">
        <v>271</v>
      </c>
      <c r="B253" s="27" t="str">
        <v>ENGINEERING PROPERTIES OF POLYMERS</v>
      </c>
      <c r="C253" s="31" t="str">
        <v>Asare Eric Kwame Anokye</v>
      </c>
      <c r="D253" s="26" t="s">
        <v>140</v>
      </c>
      <c r="E253" s="108">
        <v>85</v>
      </c>
      <c r="F253" s="32" t="s">
        <v>729</v>
      </c>
      <c r="G253" s="109">
        <f t="shared" si="32"/>
        <v>93.500000000000014</v>
      </c>
      <c r="H253" s="19" t="s">
        <v>730</v>
      </c>
      <c r="I253" s="20" t="str">
        <f t="shared" si="33"/>
        <v>MSE 356,ED3-MSE</v>
      </c>
      <c r="J253" s="25"/>
    </row>
    <row r="254" spans="1:10" ht="14.5" x14ac:dyDescent="0.35">
      <c r="A254" s="26" t="s">
        <v>260</v>
      </c>
      <c r="B254" s="27" t="str">
        <v>BASIC ELECTRONICS</v>
      </c>
      <c r="C254" s="31" t="str">
        <v>Addo Daniel Akwei</v>
      </c>
      <c r="D254" s="26" t="s">
        <v>130</v>
      </c>
      <c r="E254" s="108">
        <v>136</v>
      </c>
      <c r="F254" s="32" t="s">
        <v>731</v>
      </c>
      <c r="G254" s="109">
        <f t="shared" si="32"/>
        <v>149.60000000000002</v>
      </c>
      <c r="H254" s="19" t="s">
        <v>732</v>
      </c>
      <c r="I254" s="20" t="str">
        <f t="shared" si="33"/>
        <v>COE 152,ED1-BME</v>
      </c>
      <c r="J254" s="25"/>
    </row>
    <row r="255" spans="1:10" ht="14.5" x14ac:dyDescent="0.35">
      <c r="A255" s="35"/>
      <c r="B255" s="35"/>
      <c r="C255" s="27"/>
      <c r="D255" s="27" t="s">
        <v>261</v>
      </c>
      <c r="E255" s="121">
        <f>SUM(E245:E254)</f>
        <v>1135</v>
      </c>
      <c r="F255" s="36"/>
      <c r="G255" s="122"/>
      <c r="I255" s="22" t="s">
        <v>262</v>
      </c>
      <c r="J255" s="25"/>
    </row>
    <row r="256" spans="1:10" ht="14.5" x14ac:dyDescent="0.35">
      <c r="A256" s="14" t="s">
        <v>243</v>
      </c>
      <c r="B256" s="14"/>
      <c r="C256" s="14"/>
      <c r="D256" s="14"/>
      <c r="E256" s="14"/>
      <c r="F256" s="14"/>
      <c r="G256" s="14"/>
      <c r="I256" s="22" t="str">
        <f>A256</f>
        <v>Monday, 24 August 2026</v>
      </c>
      <c r="J256" s="25"/>
    </row>
    <row r="257" spans="1:10" ht="14.5" x14ac:dyDescent="0.35">
      <c r="A257" s="14" t="s">
        <v>59</v>
      </c>
      <c r="B257" s="14"/>
      <c r="C257" s="14"/>
      <c r="D257" s="14"/>
      <c r="E257" s="14"/>
      <c r="F257" s="14"/>
      <c r="G257" s="14"/>
      <c r="I257" s="22" t="str">
        <f>A257</f>
        <v>Session, 3 (3:00 PM - 5:00 PM)</v>
      </c>
      <c r="J257" s="25"/>
    </row>
    <row r="258" spans="1:10" ht="14.5" x14ac:dyDescent="0.35">
      <c r="A258" s="24" t="s">
        <v>4</v>
      </c>
      <c r="B258" s="24" t="s">
        <v>5</v>
      </c>
      <c r="C258" s="16" t="s">
        <v>6</v>
      </c>
      <c r="D258" s="24" t="s">
        <v>7</v>
      </c>
      <c r="E258" s="106" t="s">
        <v>8</v>
      </c>
      <c r="F258" s="16" t="s">
        <v>9</v>
      </c>
      <c r="G258" s="107" t="s">
        <v>10</v>
      </c>
      <c r="I258" s="22" t="s">
        <v>31</v>
      </c>
      <c r="J258" s="25"/>
    </row>
    <row r="259" spans="1:10" s="112" customFormat="1" ht="14.5" x14ac:dyDescent="0.35">
      <c r="A259" s="42" t="s">
        <v>263</v>
      </c>
      <c r="B259" s="27" t="str">
        <f t="array" ref="B259:B268">IFERROR(VLOOKUP(I259:I268,Lectures_1!A2:F534,2,FALSE()),0)</f>
        <v>COMPUTER PROGRAMMING IN OIL AND GAS</v>
      </c>
      <c r="C259" s="27" t="str">
        <f t="array" ref="C259:C268">IFERROR(VLOOKUP(I259:I268,Lectures_1!A2:F534,3,FALSE()),0)</f>
        <v>Sokama-Neuyam Yen Adams</v>
      </c>
      <c r="D259" s="42" t="s">
        <v>93</v>
      </c>
      <c r="E259" s="108">
        <f t="array" ref="E259:E268">IFERROR(VLOOKUP(I259:I268,Lectures_1!A2:F534,4,FALSE()),0)</f>
        <v>95</v>
      </c>
      <c r="F259" s="32" t="s">
        <v>571</v>
      </c>
      <c r="G259" s="109">
        <f t="shared" ref="G259:G268" si="34">E259*1.1</f>
        <v>104.50000000000001</v>
      </c>
      <c r="H259" s="19" t="s">
        <v>733</v>
      </c>
      <c r="I259" s="110" t="str">
        <f t="shared" ref="I259:I268" si="35">CONCATENATE(A259,",",D259)</f>
        <v>PE 262,ED2-PE</v>
      </c>
      <c r="J259" s="162"/>
    </row>
    <row r="260" spans="1:10" s="112" customFormat="1" ht="14.5" x14ac:dyDescent="0.35">
      <c r="A260" s="26" t="s">
        <v>264</v>
      </c>
      <c r="B260" s="31" t="str">
        <v>PETROLEUM PROJECT EVALUATION</v>
      </c>
      <c r="C260" s="31" t="str">
        <v>Sarkodie Kwame</v>
      </c>
      <c r="D260" s="26" t="s">
        <v>46</v>
      </c>
      <c r="E260" s="108">
        <v>99</v>
      </c>
      <c r="F260" s="32" t="s">
        <v>734</v>
      </c>
      <c r="G260" s="109">
        <f t="shared" si="34"/>
        <v>108.9</v>
      </c>
      <c r="H260" s="19" t="s">
        <v>735</v>
      </c>
      <c r="I260" s="20" t="str">
        <f t="shared" si="35"/>
        <v>PE 452,ED4-PE</v>
      </c>
      <c r="J260" s="25"/>
    </row>
    <row r="261" spans="1:10" s="145" customFormat="1" ht="14.5" x14ac:dyDescent="0.35">
      <c r="A261" s="26" t="s">
        <v>265</v>
      </c>
      <c r="B261" s="31" t="str">
        <v>COMPUTER-AIDED DESIGN AND MANUFACTURING</v>
      </c>
      <c r="C261" s="27" t="str">
        <v>Afriyie Nyarko Frank Kwabena</v>
      </c>
      <c r="D261" s="26" t="s">
        <v>121</v>
      </c>
      <c r="E261" s="163">
        <v>70</v>
      </c>
      <c r="F261" s="32" t="s">
        <v>574</v>
      </c>
      <c r="G261" s="109">
        <f t="shared" si="34"/>
        <v>77</v>
      </c>
      <c r="H261" s="19" t="s">
        <v>736</v>
      </c>
      <c r="I261" s="143" t="str">
        <f t="shared" si="35"/>
        <v>IE 358,ED3-IND</v>
      </c>
      <c r="J261" s="144"/>
    </row>
    <row r="262" spans="1:10" s="173" customFormat="1" ht="14.5" x14ac:dyDescent="0.35">
      <c r="A262" s="164" t="s">
        <v>266</v>
      </c>
      <c r="B262" s="165" t="str">
        <v>INTRODUCTION TO CAD/CAM</v>
      </c>
      <c r="C262" s="166" t="str">
        <v>Afriyie Nyarko Frank Kwabena</v>
      </c>
      <c r="D262" s="164" t="s">
        <v>88</v>
      </c>
      <c r="E262" s="167">
        <v>101</v>
      </c>
      <c r="F262" s="168" t="s">
        <v>954</v>
      </c>
      <c r="G262" s="169">
        <f t="shared" si="34"/>
        <v>111.10000000000001</v>
      </c>
      <c r="H262" s="170" t="s">
        <v>961</v>
      </c>
      <c r="I262" s="171" t="str">
        <f t="shared" si="35"/>
        <v>ME 376,ED3-AE</v>
      </c>
      <c r="J262" s="172"/>
    </row>
    <row r="263" spans="1:10" s="120" customFormat="1" ht="14.5" x14ac:dyDescent="0.35">
      <c r="A263" s="113" t="s">
        <v>143</v>
      </c>
      <c r="B263" s="114" t="str">
        <v>ELECTRIC DRIVES</v>
      </c>
      <c r="C263" s="118" t="str">
        <v>Effah Francis Boafo</v>
      </c>
      <c r="D263" s="113" t="s">
        <v>144</v>
      </c>
      <c r="E263" s="115">
        <v>189</v>
      </c>
      <c r="F263" s="174" t="s">
        <v>954</v>
      </c>
      <c r="G263" s="116">
        <f t="shared" si="34"/>
        <v>207.9</v>
      </c>
      <c r="H263" s="117" t="s">
        <v>738</v>
      </c>
      <c r="I263" s="131" t="str">
        <f t="shared" si="35"/>
        <v>EE 462,ED4-EE</v>
      </c>
      <c r="J263" s="119"/>
    </row>
    <row r="264" spans="1:10" s="142" customFormat="1" ht="14.5" x14ac:dyDescent="0.35">
      <c r="A264" s="26" t="s">
        <v>268</v>
      </c>
      <c r="B264" s="27" t="str">
        <v>STATICS OF SOLID MECHANICS</v>
      </c>
      <c r="C264" s="31" t="str">
        <v>Dzebre Denis Edem Kwame</v>
      </c>
      <c r="D264" s="26" t="s">
        <v>191</v>
      </c>
      <c r="E264" s="108">
        <v>70</v>
      </c>
      <c r="F264" s="32" t="s">
        <v>529</v>
      </c>
      <c r="G264" s="109">
        <f t="shared" si="34"/>
        <v>77</v>
      </c>
      <c r="H264" s="19" t="s">
        <v>649</v>
      </c>
      <c r="I264" s="140" t="str">
        <f t="shared" si="35"/>
        <v>ME 164,ED1-AERO</v>
      </c>
      <c r="J264" s="141"/>
    </row>
    <row r="265" spans="1:10" s="142" customFormat="1" ht="14.5" x14ac:dyDescent="0.35">
      <c r="A265" s="26" t="s">
        <v>269</v>
      </c>
      <c r="B265" s="27" t="str">
        <v>NETWORK PLANNING AND OPTIMIZATION</v>
      </c>
      <c r="C265" s="31" t="str">
        <v>Kwasi Adu-Boahen Opare</v>
      </c>
      <c r="D265" s="26" t="s">
        <v>227</v>
      </c>
      <c r="E265" s="108">
        <v>138</v>
      </c>
      <c r="F265" s="32" t="s">
        <v>731</v>
      </c>
      <c r="G265" s="109">
        <f t="shared" si="34"/>
        <v>151.80000000000001</v>
      </c>
      <c r="H265" s="19" t="s">
        <v>739</v>
      </c>
      <c r="I265" s="140" t="str">
        <f t="shared" si="35"/>
        <v>TE 458,ED4-TEL</v>
      </c>
      <c r="J265" s="141"/>
    </row>
    <row r="266" spans="1:10" s="142" customFormat="1" ht="14.5" x14ac:dyDescent="0.35">
      <c r="A266" s="26" t="s">
        <v>268</v>
      </c>
      <c r="B266" s="27" t="str">
        <v>ENGINEERING MECHANICS I: STATICS</v>
      </c>
      <c r="C266" s="31" t="str">
        <v>Dzebre Denis Edem Kwame</v>
      </c>
      <c r="D266" s="26" t="s">
        <v>161</v>
      </c>
      <c r="E266" s="108">
        <v>225</v>
      </c>
      <c r="F266" s="32" t="s">
        <v>740</v>
      </c>
      <c r="G266" s="109">
        <f t="shared" si="34"/>
        <v>247.50000000000003</v>
      </c>
      <c r="H266" s="19" t="s">
        <v>741</v>
      </c>
      <c r="I266" s="140" t="str">
        <f t="shared" si="35"/>
        <v>ME 164,ED1-ME</v>
      </c>
      <c r="J266" s="141"/>
    </row>
    <row r="267" spans="1:10" ht="14.5" x14ac:dyDescent="0.35">
      <c r="A267" s="26" t="s">
        <v>256</v>
      </c>
      <c r="B267" s="27" t="str">
        <v>HYDROMETALLURGICAL APPLICATIONS</v>
      </c>
      <c r="C267" s="31" t="str">
        <v>Agbe Henry</v>
      </c>
      <c r="D267" s="26" t="s">
        <v>142</v>
      </c>
      <c r="E267" s="108">
        <v>87</v>
      </c>
      <c r="F267" s="32" t="s">
        <v>742</v>
      </c>
      <c r="G267" s="109">
        <f t="shared" si="34"/>
        <v>95.7</v>
      </c>
      <c r="H267" s="19" t="s">
        <v>743</v>
      </c>
      <c r="I267" s="20" t="str">
        <f t="shared" si="35"/>
        <v>METE 352,ED3-METE</v>
      </c>
      <c r="J267" s="25"/>
    </row>
    <row r="268" spans="1:10" ht="14.5" x14ac:dyDescent="0.35">
      <c r="A268" s="26" t="s">
        <v>246</v>
      </c>
      <c r="B268" s="27" t="str">
        <v>PRINCIPLES OF GEOPHYSICS</v>
      </c>
      <c r="C268" s="31" t="str">
        <v>Ali Bukari</v>
      </c>
      <c r="D268" s="26" t="s">
        <v>154</v>
      </c>
      <c r="E268" s="108">
        <v>154</v>
      </c>
      <c r="F268" s="32" t="s">
        <v>706</v>
      </c>
      <c r="G268" s="109">
        <f t="shared" si="34"/>
        <v>169.4</v>
      </c>
      <c r="H268" s="19" t="s">
        <v>744</v>
      </c>
      <c r="I268" s="20" t="str">
        <f t="shared" si="35"/>
        <v>GED 354,ED3-GEOL</v>
      </c>
      <c r="J268" s="25"/>
    </row>
    <row r="269" spans="1:10" ht="14.5" x14ac:dyDescent="0.35">
      <c r="A269" s="26"/>
      <c r="B269" s="35"/>
      <c r="D269" s="27" t="s">
        <v>272</v>
      </c>
      <c r="E269" s="121">
        <f>SUM(E259:E268)</f>
        <v>1228</v>
      </c>
      <c r="F269" s="36"/>
      <c r="G269" s="122"/>
      <c r="I269" s="22" t="s">
        <v>273</v>
      </c>
      <c r="J269" s="25"/>
    </row>
    <row r="270" spans="1:10" ht="14.5" x14ac:dyDescent="0.35">
      <c r="A270" s="14" t="s">
        <v>274</v>
      </c>
      <c r="B270" s="14"/>
      <c r="C270" s="14"/>
      <c r="D270" s="14"/>
      <c r="E270" s="14"/>
      <c r="F270" s="14"/>
      <c r="G270" s="14"/>
      <c r="I270" s="22" t="str">
        <f>A270</f>
        <v>Tuesday, 25 August 2026</v>
      </c>
      <c r="J270" s="25"/>
    </row>
    <row r="271" spans="1:10" ht="14.5" x14ac:dyDescent="0.35">
      <c r="A271" s="14" t="s">
        <v>2</v>
      </c>
      <c r="B271" s="14"/>
      <c r="C271" s="14"/>
      <c r="D271" s="14"/>
      <c r="E271" s="14"/>
      <c r="F271" s="14"/>
      <c r="G271" s="14"/>
      <c r="I271" s="22" t="str">
        <f>A271</f>
        <v>Session, 1 (8:30 AM - 10:30 AM)</v>
      </c>
      <c r="J271" s="25"/>
    </row>
    <row r="272" spans="1:10" ht="14.5" x14ac:dyDescent="0.35">
      <c r="A272" s="24" t="s">
        <v>4</v>
      </c>
      <c r="B272" s="24" t="s">
        <v>5</v>
      </c>
      <c r="C272" s="16" t="s">
        <v>6</v>
      </c>
      <c r="D272" s="24" t="s">
        <v>7</v>
      </c>
      <c r="E272" s="106" t="s">
        <v>8</v>
      </c>
      <c r="F272" s="16" t="s">
        <v>9</v>
      </c>
      <c r="G272" s="107" t="s">
        <v>10</v>
      </c>
      <c r="I272" s="22" t="s">
        <v>31</v>
      </c>
      <c r="J272" s="25"/>
    </row>
    <row r="273" spans="1:10" s="112" customFormat="1" ht="14.5" x14ac:dyDescent="0.35">
      <c r="A273" s="123" t="s">
        <v>276</v>
      </c>
      <c r="B273" s="124" t="str">
        <f t="array" ref="B273:B282">IFERROR(VLOOKUP(I273:I282,Lectures_1!A2:F534,2,FALSE()),0)</f>
        <v>LITERATURE IN ENGLISH II</v>
      </c>
      <c r="C273" s="124" t="str">
        <f t="array" ref="C273:C282">IFERROR(VLOOKUP(I273:I282,Lectures_1!A2:F534,3,FALSE()),0)</f>
        <v>Yeboah Philomena Ama Okyeso</v>
      </c>
      <c r="D273" s="123" t="s">
        <v>53</v>
      </c>
      <c r="E273" s="129">
        <f t="array" ref="E273:E282">IFERROR(VLOOKUP(I273:I282,Lectures_1!A2:F534,4,FALSE()),0)</f>
        <v>155</v>
      </c>
      <c r="F273" s="133" t="s">
        <v>745</v>
      </c>
      <c r="G273" s="126">
        <f t="shared" ref="G273:G282" si="36">E273*1.1</f>
        <v>170.5</v>
      </c>
      <c r="H273" s="127" t="s">
        <v>746</v>
      </c>
      <c r="I273" s="110" t="str">
        <f t="shared" ref="I273:I282" si="37">CONCATENATE(A273,",",D273)</f>
        <v>ENGL 264,ED2-AE</v>
      </c>
      <c r="J273" s="111"/>
    </row>
    <row r="274" spans="1:10" s="112" customFormat="1" ht="14.5" x14ac:dyDescent="0.35">
      <c r="A274" s="123" t="s">
        <v>276</v>
      </c>
      <c r="B274" s="128" t="str">
        <v>LITERATURE IN ENGLISH II</v>
      </c>
      <c r="C274" s="124" t="str">
        <v>Yeboah Philomena Ama Okyeso</v>
      </c>
      <c r="D274" s="123" t="s">
        <v>36</v>
      </c>
      <c r="E274" s="129">
        <v>75</v>
      </c>
      <c r="F274" s="123" t="s">
        <v>545</v>
      </c>
      <c r="G274" s="126">
        <f t="shared" si="36"/>
        <v>82.5</v>
      </c>
      <c r="H274" s="127">
        <v>75</v>
      </c>
      <c r="I274" s="110" t="str">
        <f t="shared" si="37"/>
        <v>ENGL 264,ED2-AERO</v>
      </c>
      <c r="J274" s="111"/>
    </row>
    <row r="275" spans="1:10" s="112" customFormat="1" ht="14.5" x14ac:dyDescent="0.35">
      <c r="A275" s="123" t="s">
        <v>276</v>
      </c>
      <c r="B275" s="128" t="str">
        <v>LITERATURE IN ENGLISH II</v>
      </c>
      <c r="C275" s="124" t="str">
        <v>Yeboah Philomena Ama Okyeso</v>
      </c>
      <c r="D275" s="123" t="s">
        <v>170</v>
      </c>
      <c r="E275" s="129">
        <v>132</v>
      </c>
      <c r="F275" s="175" t="s">
        <v>747</v>
      </c>
      <c r="G275" s="126">
        <f t="shared" si="36"/>
        <v>145.20000000000002</v>
      </c>
      <c r="H275" s="127" t="s">
        <v>748</v>
      </c>
      <c r="I275" s="110" t="str">
        <f t="shared" si="37"/>
        <v>ENGL 264,ED2-GEOM</v>
      </c>
      <c r="J275" s="111"/>
    </row>
    <row r="276" spans="1:10" s="112" customFormat="1" ht="14.5" x14ac:dyDescent="0.35">
      <c r="A276" s="123" t="s">
        <v>276</v>
      </c>
      <c r="B276" s="128" t="str">
        <v>LITERATURE IN ENGLISH II</v>
      </c>
      <c r="C276" s="124" t="str">
        <v>Yeboah Philomena Ama Okyeso</v>
      </c>
      <c r="D276" s="123" t="s">
        <v>38</v>
      </c>
      <c r="E276" s="129">
        <v>80</v>
      </c>
      <c r="F276" s="123" t="s">
        <v>724</v>
      </c>
      <c r="G276" s="126">
        <f t="shared" si="36"/>
        <v>88</v>
      </c>
      <c r="H276" s="127" t="s">
        <v>692</v>
      </c>
      <c r="I276" s="110" t="str">
        <f t="shared" si="37"/>
        <v>ENGL 264,ED2-IND</v>
      </c>
      <c r="J276" s="111"/>
    </row>
    <row r="277" spans="1:10" s="120" customFormat="1" ht="14.5" x14ac:dyDescent="0.35">
      <c r="A277" s="113" t="s">
        <v>277</v>
      </c>
      <c r="B277" s="114" t="str">
        <v>AIR VEHICLE STABILITY AND CONTROL</v>
      </c>
      <c r="C277" s="118" t="str">
        <v>Oppong David Kofi</v>
      </c>
      <c r="D277" s="113" t="s">
        <v>133</v>
      </c>
      <c r="E277" s="115">
        <v>76</v>
      </c>
      <c r="F277" s="113" t="s">
        <v>956</v>
      </c>
      <c r="G277" s="116">
        <f t="shared" si="36"/>
        <v>83.600000000000009</v>
      </c>
      <c r="H277" s="117">
        <v>76</v>
      </c>
      <c r="I277" s="131" t="str">
        <f t="shared" si="37"/>
        <v>AERO 362,ED3-AERO</v>
      </c>
      <c r="J277" s="119"/>
    </row>
    <row r="278" spans="1:10" s="120" customFormat="1" ht="14.5" x14ac:dyDescent="0.35">
      <c r="A278" s="113" t="s">
        <v>257</v>
      </c>
      <c r="B278" s="118" t="str">
        <v>MODERN AUTOMOBILE TECHNOLOGY</v>
      </c>
      <c r="C278" s="114" t="str">
        <v>Ayetor Godwin Kafui Kwesi</v>
      </c>
      <c r="D278" s="113" t="s">
        <v>97</v>
      </c>
      <c r="E278" s="115">
        <v>32</v>
      </c>
      <c r="F278" s="113" t="s">
        <v>956</v>
      </c>
      <c r="G278" s="116">
        <f t="shared" si="36"/>
        <v>35.200000000000003</v>
      </c>
      <c r="H278" s="117">
        <v>32</v>
      </c>
      <c r="I278" s="131" t="str">
        <f t="shared" si="37"/>
        <v>AME 476,ED4-AUTO</v>
      </c>
      <c r="J278" s="119"/>
    </row>
    <row r="279" spans="1:10" ht="14.5" x14ac:dyDescent="0.35">
      <c r="A279" s="26" t="s">
        <v>285</v>
      </c>
      <c r="B279" s="27" t="str">
        <v>PETROLEUM GEOLOGY</v>
      </c>
      <c r="C279" s="31" t="str">
        <v>Borkloe Julius Kwame</v>
      </c>
      <c r="D279" s="26" t="s">
        <v>18</v>
      </c>
      <c r="E279" s="108">
        <v>80</v>
      </c>
      <c r="F279" s="42" t="s">
        <v>749</v>
      </c>
      <c r="G279" s="109">
        <f t="shared" si="36"/>
        <v>88</v>
      </c>
      <c r="H279" s="19" t="s">
        <v>750</v>
      </c>
      <c r="I279" s="20" t="str">
        <f t="shared" si="37"/>
        <v>PE 352,ED3-PE</v>
      </c>
      <c r="J279" s="25"/>
    </row>
    <row r="280" spans="1:10" ht="14.5" x14ac:dyDescent="0.35">
      <c r="A280" s="26" t="s">
        <v>278</v>
      </c>
      <c r="B280" s="27" t="str">
        <v>INTRO TO ENVIRONMENTAL ENG.</v>
      </c>
      <c r="C280" s="31" t="str">
        <v>Essandoh Helen Michelle Korkor</v>
      </c>
      <c r="D280" s="26" t="s">
        <v>56</v>
      </c>
      <c r="E280" s="108">
        <v>250</v>
      </c>
      <c r="F280" s="42" t="s">
        <v>531</v>
      </c>
      <c r="G280" s="109">
        <f t="shared" si="36"/>
        <v>275</v>
      </c>
      <c r="H280" s="19" t="s">
        <v>751</v>
      </c>
      <c r="I280" s="20" t="str">
        <f t="shared" si="37"/>
        <v>CE 264,ED2-CE</v>
      </c>
      <c r="J280" s="25"/>
    </row>
    <row r="281" spans="1:10" s="53" customFormat="1" ht="14.5" x14ac:dyDescent="0.35">
      <c r="A281" s="26" t="s">
        <v>281</v>
      </c>
      <c r="B281" s="31" t="str">
        <v>CALCULUS WITH SEVERAL VARIABLES</v>
      </c>
      <c r="C281" s="27" t="str">
        <v>Boateng Maxwell Akwasi</v>
      </c>
      <c r="D281" s="26" t="s">
        <v>42</v>
      </c>
      <c r="E281" s="108">
        <v>37</v>
      </c>
      <c r="F281" s="32" t="s">
        <v>616</v>
      </c>
      <c r="G281" s="109">
        <f t="shared" si="36"/>
        <v>40.700000000000003</v>
      </c>
      <c r="H281" s="19">
        <v>37</v>
      </c>
      <c r="I281" s="51" t="str">
        <f t="shared" si="37"/>
        <v>MATH 252,ED2-MARI</v>
      </c>
      <c r="J281" s="52"/>
    </row>
    <row r="282" spans="1:10" s="53" customFormat="1" ht="14.5" x14ac:dyDescent="0.35">
      <c r="A282" s="26" t="s">
        <v>281</v>
      </c>
      <c r="B282" s="31" t="str">
        <v>CALCULUS WITH SEVERAL VARIABLES</v>
      </c>
      <c r="C282" s="27" t="str">
        <v>Boateng Maxwell Akwasi</v>
      </c>
      <c r="D282" s="26" t="s">
        <v>33</v>
      </c>
      <c r="E282" s="108">
        <v>240</v>
      </c>
      <c r="F282" s="32" t="s">
        <v>556</v>
      </c>
      <c r="G282" s="109">
        <f t="shared" si="36"/>
        <v>264</v>
      </c>
      <c r="H282" s="19" t="s">
        <v>752</v>
      </c>
      <c r="I282" s="51" t="str">
        <f t="shared" si="37"/>
        <v>MATH 252,ED2-ME</v>
      </c>
      <c r="J282" s="52"/>
    </row>
    <row r="283" spans="1:10" ht="14.5" x14ac:dyDescent="0.35">
      <c r="A283" s="35"/>
      <c r="B283" s="35"/>
      <c r="D283" s="27" t="s">
        <v>282</v>
      </c>
      <c r="E283" s="121">
        <f>SUM(E273:E282)</f>
        <v>1157</v>
      </c>
      <c r="F283" s="36"/>
      <c r="G283" s="122"/>
      <c r="I283" s="22" t="s">
        <v>283</v>
      </c>
      <c r="J283" s="25"/>
    </row>
    <row r="284" spans="1:10" ht="14.5" x14ac:dyDescent="0.35">
      <c r="A284" s="14" t="s">
        <v>274</v>
      </c>
      <c r="B284" s="14"/>
      <c r="C284" s="14"/>
      <c r="D284" s="14"/>
      <c r="E284" s="14"/>
      <c r="F284" s="14"/>
      <c r="G284" s="14"/>
      <c r="I284" s="22" t="str">
        <f>A284</f>
        <v>Tuesday, 25 August 2026</v>
      </c>
      <c r="J284" s="25"/>
    </row>
    <row r="285" spans="1:10" ht="14.5" x14ac:dyDescent="0.35">
      <c r="A285" s="14" t="s">
        <v>29</v>
      </c>
      <c r="B285" s="14"/>
      <c r="C285" s="14"/>
      <c r="D285" s="14"/>
      <c r="E285" s="14"/>
      <c r="F285" s="14"/>
      <c r="G285" s="14"/>
      <c r="I285" s="22" t="str">
        <f>A285</f>
        <v>Session, 2 (12:00 PM - 2:00 PM)</v>
      </c>
      <c r="J285" s="25"/>
    </row>
    <row r="286" spans="1:10" ht="14.5" x14ac:dyDescent="0.35">
      <c r="A286" s="24" t="s">
        <v>4</v>
      </c>
      <c r="B286" s="24" t="s">
        <v>5</v>
      </c>
      <c r="C286" s="16" t="s">
        <v>6</v>
      </c>
      <c r="D286" s="24" t="s">
        <v>7</v>
      </c>
      <c r="E286" s="106" t="s">
        <v>8</v>
      </c>
      <c r="F286" s="16" t="s">
        <v>9</v>
      </c>
      <c r="G286" s="107" t="s">
        <v>10</v>
      </c>
      <c r="I286" s="22" t="s">
        <v>31</v>
      </c>
      <c r="J286" s="25"/>
    </row>
    <row r="287" spans="1:10" ht="14.5" x14ac:dyDescent="0.35">
      <c r="A287" s="26" t="s">
        <v>234</v>
      </c>
      <c r="B287" s="27" t="str">
        <f t="array" ref="B287:B298">IFERROR(VLOOKUP(I287:I298,Lectures_1!A2:F534,2,FALSE()),0)</f>
        <v>BASIC ELECTRONICS</v>
      </c>
      <c r="C287" s="27" t="str">
        <f t="array" ref="C287:C298">IFERROR(VLOOKUP(I287:I298,Lectures_1!A2:F5343,3,FALSE()),0)</f>
        <v>Nicholas Kwesi Prah II</v>
      </c>
      <c r="D287" s="26" t="s">
        <v>191</v>
      </c>
      <c r="E287" s="108">
        <f t="array" ref="E287:E298">IFERROR(VLOOKUP(I287:I298,Lectures_1!A2:F5343,4,FALSE()),0)</f>
        <v>70</v>
      </c>
      <c r="F287" s="32" t="s">
        <v>574</v>
      </c>
      <c r="G287" s="109">
        <f t="shared" ref="G287:G298" si="38">E287*1.1</f>
        <v>77</v>
      </c>
      <c r="H287" s="19" t="s">
        <v>671</v>
      </c>
      <c r="I287" s="20" t="str">
        <f t="shared" ref="I287:I298" si="39">CONCATENATE(A287,",",D287)</f>
        <v>EE 152,ED1-AERO</v>
      </c>
      <c r="J287" s="25"/>
    </row>
    <row r="288" spans="1:10" ht="14.5" x14ac:dyDescent="0.35">
      <c r="A288" s="26" t="s">
        <v>234</v>
      </c>
      <c r="B288" s="27" t="str">
        <v>BASIC ELECTRONICS</v>
      </c>
      <c r="C288" s="27" t="str">
        <v>Nicholas Kwesi Prah II</v>
      </c>
      <c r="D288" s="26" t="s">
        <v>112</v>
      </c>
      <c r="E288" s="108">
        <v>46</v>
      </c>
      <c r="F288" s="42" t="s">
        <v>753</v>
      </c>
      <c r="G288" s="109">
        <f t="shared" si="38"/>
        <v>50.6</v>
      </c>
      <c r="H288" s="17" t="s">
        <v>754</v>
      </c>
      <c r="I288" s="20" t="str">
        <f t="shared" si="39"/>
        <v>EE 152,ED1-MARI</v>
      </c>
      <c r="J288" s="25"/>
    </row>
    <row r="289" spans="1:10" ht="14.5" x14ac:dyDescent="0.35">
      <c r="A289" s="26" t="s">
        <v>234</v>
      </c>
      <c r="B289" s="27" t="str">
        <v>BASIC ELECTRONICS</v>
      </c>
      <c r="C289" s="27" t="str">
        <v>Nicholas Kwesi Prah II</v>
      </c>
      <c r="D289" s="26" t="s">
        <v>111</v>
      </c>
      <c r="E289" s="108">
        <v>83</v>
      </c>
      <c r="F289" s="42" t="s">
        <v>755</v>
      </c>
      <c r="G289" s="109">
        <f t="shared" si="38"/>
        <v>91.300000000000011</v>
      </c>
      <c r="H289" s="19" t="s">
        <v>756</v>
      </c>
      <c r="I289" s="20" t="str">
        <f t="shared" si="39"/>
        <v>EE 152,ED1-IND</v>
      </c>
      <c r="J289" s="25"/>
    </row>
    <row r="290" spans="1:10" ht="14.5" x14ac:dyDescent="0.35">
      <c r="A290" s="26" t="s">
        <v>234</v>
      </c>
      <c r="B290" s="27" t="str">
        <v>BASIC ELECTRONICS</v>
      </c>
      <c r="C290" s="27" t="str">
        <v>Nicholas Kwesi Prah II</v>
      </c>
      <c r="D290" s="26" t="s">
        <v>162</v>
      </c>
      <c r="E290" s="108">
        <v>85</v>
      </c>
      <c r="F290" s="48" t="s">
        <v>571</v>
      </c>
      <c r="G290" s="109">
        <f t="shared" si="38"/>
        <v>93.500000000000014</v>
      </c>
      <c r="H290" s="17" t="s">
        <v>757</v>
      </c>
      <c r="I290" s="20" t="str">
        <f t="shared" si="39"/>
        <v>EE 152,ED1-AUTO</v>
      </c>
      <c r="J290" s="25"/>
    </row>
    <row r="291" spans="1:10" ht="14.5" x14ac:dyDescent="0.35">
      <c r="A291" s="26" t="s">
        <v>234</v>
      </c>
      <c r="B291" s="27" t="str">
        <v>BASIC ELECTRONICS</v>
      </c>
      <c r="C291" s="27" t="str">
        <v>Twumasi Elvis</v>
      </c>
      <c r="D291" s="26" t="s">
        <v>81</v>
      </c>
      <c r="E291" s="108">
        <v>56</v>
      </c>
      <c r="F291" s="32" t="s">
        <v>758</v>
      </c>
      <c r="G291" s="109">
        <f t="shared" si="38"/>
        <v>61.600000000000009</v>
      </c>
      <c r="H291" s="19" t="s">
        <v>759</v>
      </c>
      <c r="I291" s="20" t="str">
        <f t="shared" si="39"/>
        <v>EE 152,ED1-PCE</v>
      </c>
      <c r="J291" s="25"/>
    </row>
    <row r="292" spans="1:10" ht="14.5" x14ac:dyDescent="0.35">
      <c r="A292" s="26" t="s">
        <v>234</v>
      </c>
      <c r="B292" s="27" t="str">
        <v>BASIC ELECTRONICS</v>
      </c>
      <c r="C292" s="27" t="str">
        <v>Twumasi Elvis</v>
      </c>
      <c r="D292" s="26" t="s">
        <v>82</v>
      </c>
      <c r="E292" s="108">
        <v>130</v>
      </c>
      <c r="F292" s="32" t="s">
        <v>760</v>
      </c>
      <c r="G292" s="109">
        <f t="shared" si="38"/>
        <v>143</v>
      </c>
      <c r="H292" s="19" t="s">
        <v>761</v>
      </c>
      <c r="I292" s="20" t="str">
        <f t="shared" si="39"/>
        <v>EE 152,ED1-PE</v>
      </c>
      <c r="J292" s="25"/>
    </row>
    <row r="293" spans="1:10" ht="14.5" x14ac:dyDescent="0.35">
      <c r="A293" s="26" t="s">
        <v>234</v>
      </c>
      <c r="B293" s="31" t="str">
        <v>BASIC ELECTRONICS</v>
      </c>
      <c r="C293" s="27" t="str">
        <v>Nicholas Kwesi Prah II</v>
      </c>
      <c r="D293" s="26" t="s">
        <v>131</v>
      </c>
      <c r="E293" s="108">
        <v>128</v>
      </c>
      <c r="F293" s="26" t="s">
        <v>731</v>
      </c>
      <c r="G293" s="109">
        <f t="shared" si="38"/>
        <v>140.80000000000001</v>
      </c>
      <c r="H293" s="19" t="s">
        <v>762</v>
      </c>
      <c r="I293" s="20" t="str">
        <f t="shared" si="39"/>
        <v>EE 152,ED1-AE</v>
      </c>
      <c r="J293" s="25"/>
    </row>
    <row r="294" spans="1:10" ht="14.5" x14ac:dyDescent="0.35">
      <c r="A294" s="26" t="s">
        <v>234</v>
      </c>
      <c r="B294" s="31" t="str">
        <v>BASIC ELECTRONICS</v>
      </c>
      <c r="C294" s="31" t="str">
        <v>Affum Emmanuel Ampoma</v>
      </c>
      <c r="D294" s="26" t="s">
        <v>91</v>
      </c>
      <c r="E294" s="108">
        <v>130</v>
      </c>
      <c r="F294" s="32" t="s">
        <v>763</v>
      </c>
      <c r="G294" s="109">
        <f t="shared" si="38"/>
        <v>143</v>
      </c>
      <c r="H294" s="19" t="s">
        <v>764</v>
      </c>
      <c r="I294" s="20" t="str">
        <f t="shared" si="39"/>
        <v>EE 152,ED1-TEL</v>
      </c>
      <c r="J294" s="25"/>
    </row>
    <row r="295" spans="1:10" s="120" customFormat="1" ht="14.5" x14ac:dyDescent="0.35">
      <c r="A295" s="113" t="s">
        <v>260</v>
      </c>
      <c r="B295" s="114" t="str">
        <v>BASIC ELECTRONICS</v>
      </c>
      <c r="C295" s="118" t="str">
        <v>Klogo Griffith Selorm</v>
      </c>
      <c r="D295" s="113" t="s">
        <v>20</v>
      </c>
      <c r="E295" s="115">
        <v>262</v>
      </c>
      <c r="F295" s="160" t="s">
        <v>954</v>
      </c>
      <c r="G295" s="116">
        <f t="shared" si="38"/>
        <v>288.20000000000005</v>
      </c>
      <c r="H295" s="117" t="s">
        <v>534</v>
      </c>
      <c r="I295" s="131" t="str">
        <f t="shared" si="39"/>
        <v>COE 152,ED1-COE</v>
      </c>
      <c r="J295" s="119"/>
    </row>
    <row r="296" spans="1:10" ht="14.5" x14ac:dyDescent="0.35">
      <c r="A296" s="26" t="s">
        <v>289</v>
      </c>
      <c r="B296" s="31" t="str">
        <v>WASTE MANAGEMENT</v>
      </c>
      <c r="C296" s="31" t="str">
        <v>Koomson Bennetta</v>
      </c>
      <c r="D296" s="26" t="s">
        <v>135</v>
      </c>
      <c r="E296" s="108">
        <v>60</v>
      </c>
      <c r="F296" s="32" t="s">
        <v>529</v>
      </c>
      <c r="G296" s="109">
        <f t="shared" si="38"/>
        <v>66</v>
      </c>
      <c r="H296" s="19" t="s">
        <v>765</v>
      </c>
      <c r="I296" s="20" t="str">
        <f t="shared" si="39"/>
        <v>MSE 452,ED4-MSE</v>
      </c>
      <c r="J296" s="25"/>
    </row>
    <row r="297" spans="1:10" ht="14.5" x14ac:dyDescent="0.35">
      <c r="A297" s="26" t="s">
        <v>290</v>
      </c>
      <c r="B297" s="27" t="str">
        <v>METALLURGICAL WASTE MANAGEMENT</v>
      </c>
      <c r="C297" s="31" t="str">
        <v>Koomson Bennetta</v>
      </c>
      <c r="D297" s="32" t="s">
        <v>136</v>
      </c>
      <c r="E297" s="108">
        <v>55</v>
      </c>
      <c r="F297" s="32" t="s">
        <v>766</v>
      </c>
      <c r="G297" s="109">
        <f t="shared" si="38"/>
        <v>60.500000000000007</v>
      </c>
      <c r="H297" s="40" t="s">
        <v>767</v>
      </c>
      <c r="I297" s="20" t="str">
        <f t="shared" si="39"/>
        <v>METE 454,ED4-METE</v>
      </c>
      <c r="J297" s="25"/>
    </row>
    <row r="298" spans="1:10" ht="14.5" x14ac:dyDescent="0.35">
      <c r="A298" s="26" t="s">
        <v>279</v>
      </c>
      <c r="B298" s="27" t="str">
        <v>MICROPROCESSORS AND MECHATRONICS APPLICATIONS</v>
      </c>
      <c r="C298" s="27" t="str">
        <v>Sackey Michael Nii</v>
      </c>
      <c r="D298" s="26" t="s">
        <v>23</v>
      </c>
      <c r="E298" s="108">
        <v>40</v>
      </c>
      <c r="F298" s="42" t="s">
        <v>616</v>
      </c>
      <c r="G298" s="109">
        <f t="shared" si="38"/>
        <v>44</v>
      </c>
      <c r="H298" s="19">
        <v>40</v>
      </c>
      <c r="I298" s="20" t="str">
        <f t="shared" si="39"/>
        <v>AME 384,ED3-AUTO</v>
      </c>
      <c r="J298" s="25"/>
    </row>
    <row r="299" spans="1:10" ht="14.5" x14ac:dyDescent="0.35">
      <c r="A299" s="35"/>
      <c r="B299" s="35"/>
      <c r="D299" s="27" t="s">
        <v>287</v>
      </c>
      <c r="E299" s="121">
        <f>SUM(E287:E298)</f>
        <v>1145</v>
      </c>
      <c r="F299" s="36"/>
      <c r="G299" s="122"/>
      <c r="I299" s="22" t="s">
        <v>288</v>
      </c>
      <c r="J299" s="25"/>
    </row>
    <row r="300" spans="1:10" ht="14.5" x14ac:dyDescent="0.35">
      <c r="A300" s="14" t="s">
        <v>274</v>
      </c>
      <c r="B300" s="14"/>
      <c r="C300" s="14"/>
      <c r="D300" s="14"/>
      <c r="E300" s="14"/>
      <c r="F300" s="14"/>
      <c r="G300" s="14"/>
      <c r="I300" s="22" t="str">
        <f>A300</f>
        <v>Tuesday, 25 August 2026</v>
      </c>
      <c r="J300" s="25"/>
    </row>
    <row r="301" spans="1:10" ht="14.5" x14ac:dyDescent="0.35">
      <c r="A301" s="14" t="s">
        <v>59</v>
      </c>
      <c r="B301" s="14"/>
      <c r="C301" s="14"/>
      <c r="D301" s="14"/>
      <c r="E301" s="14"/>
      <c r="F301" s="14"/>
      <c r="G301" s="14"/>
      <c r="I301" s="22" t="str">
        <f>A301</f>
        <v>Session, 3 (3:00 PM - 5:00 PM)</v>
      </c>
      <c r="J301" s="25"/>
    </row>
    <row r="302" spans="1:10" ht="14.5" x14ac:dyDescent="0.35">
      <c r="A302" s="24" t="s">
        <v>4</v>
      </c>
      <c r="B302" s="24" t="s">
        <v>5</v>
      </c>
      <c r="C302" s="16" t="s">
        <v>6</v>
      </c>
      <c r="D302" s="24" t="s">
        <v>7</v>
      </c>
      <c r="E302" s="106" t="s">
        <v>8</v>
      </c>
      <c r="F302" s="31" t="s">
        <v>9</v>
      </c>
      <c r="G302" s="107" t="s">
        <v>10</v>
      </c>
      <c r="I302" s="22" t="s">
        <v>31</v>
      </c>
      <c r="J302" s="25"/>
    </row>
    <row r="303" spans="1:10" ht="14.5" x14ac:dyDescent="0.35">
      <c r="A303" s="26" t="s">
        <v>296</v>
      </c>
      <c r="B303" s="27" t="str">
        <f t="array" ref="B303:B311">IFERROR(VLOOKUP(I303:I311,Lectures_1!A2:F534,2,FALSE()),0)</f>
        <v>ENVIRONMENTAL IMPACT ASSESSMENT</v>
      </c>
      <c r="C303" s="27" t="str">
        <f t="array" ref="C303:C311">IFERROR(VLOOKUP(I303:I311,Lectures_1!A2:F534,3,FALSE()),0)</f>
        <v>Afotey Benjamin</v>
      </c>
      <c r="D303" s="26" t="s">
        <v>63</v>
      </c>
      <c r="E303" s="108">
        <f t="array" ref="E303:E311">IFERROR(VLOOKUP(I303:I311,Lectures_1!A2:F534,4,FALSE()),0)</f>
        <v>30</v>
      </c>
      <c r="F303" s="32" t="s">
        <v>541</v>
      </c>
      <c r="G303" s="109">
        <f t="shared" ref="G303:G311" si="40">E303*1.1</f>
        <v>33</v>
      </c>
      <c r="H303" s="19">
        <v>30</v>
      </c>
      <c r="I303" s="20" t="str">
        <f t="shared" ref="I303:I311" si="41">CONCATENATE(A303,",",D303)</f>
        <v>CHE 370,ED3-PCE</v>
      </c>
      <c r="J303" s="25"/>
    </row>
    <row r="304" spans="1:10" s="53" customFormat="1" ht="14.5" x14ac:dyDescent="0.35">
      <c r="A304" s="26" t="s">
        <v>291</v>
      </c>
      <c r="B304" s="31" t="str">
        <v>HYDRAULIC ENGINEERING</v>
      </c>
      <c r="C304" s="31" t="str">
        <v>Adjei Kwaku Amaning</v>
      </c>
      <c r="D304" s="26" t="s">
        <v>157</v>
      </c>
      <c r="E304" s="108">
        <v>230</v>
      </c>
      <c r="F304" s="32" t="s">
        <v>768</v>
      </c>
      <c r="G304" s="109">
        <f t="shared" si="40"/>
        <v>253.00000000000003</v>
      </c>
      <c r="H304" s="19" t="s">
        <v>769</v>
      </c>
      <c r="I304" s="51" t="str">
        <f t="shared" si="41"/>
        <v>CE 356,ED3-CE</v>
      </c>
      <c r="J304" s="52"/>
    </row>
    <row r="305" spans="1:10" s="112" customFormat="1" ht="14.5" x14ac:dyDescent="0.35">
      <c r="A305" s="26" t="s">
        <v>292</v>
      </c>
      <c r="B305" s="27" t="str">
        <v>MARINE MAINTENANCE ENGINEERING</v>
      </c>
      <c r="C305" s="27" t="str">
        <v xml:space="preserve">Peter Oppong Tawiah </v>
      </c>
      <c r="D305" s="26" t="s">
        <v>69</v>
      </c>
      <c r="E305" s="108">
        <v>23</v>
      </c>
      <c r="F305" s="32" t="s">
        <v>770</v>
      </c>
      <c r="G305" s="109">
        <f t="shared" si="40"/>
        <v>25.3</v>
      </c>
      <c r="H305" s="19">
        <v>23</v>
      </c>
      <c r="I305" s="110" t="str">
        <f t="shared" si="41"/>
        <v>MME 494,ED4-MARI</v>
      </c>
      <c r="J305" s="111"/>
    </row>
    <row r="306" spans="1:10" s="112" customFormat="1" ht="14.5" x14ac:dyDescent="0.35">
      <c r="A306" s="26" t="s">
        <v>293</v>
      </c>
      <c r="B306" s="31" t="str">
        <v>MAINTENANCE ENGINEERING</v>
      </c>
      <c r="C306" s="31" t="str">
        <v xml:space="preserve">Peter Oppong Tawiah </v>
      </c>
      <c r="D306" s="26" t="s">
        <v>67</v>
      </c>
      <c r="E306" s="108">
        <v>135</v>
      </c>
      <c r="F306" s="32" t="s">
        <v>731</v>
      </c>
      <c r="G306" s="109">
        <f t="shared" si="40"/>
        <v>148.5</v>
      </c>
      <c r="H306" s="19" t="s">
        <v>771</v>
      </c>
      <c r="I306" s="110" t="str">
        <f t="shared" si="41"/>
        <v>ME 494,ED4-ME</v>
      </c>
      <c r="J306" s="111"/>
    </row>
    <row r="307" spans="1:10" s="112" customFormat="1" ht="14.5" x14ac:dyDescent="0.35">
      <c r="A307" s="26" t="s">
        <v>293</v>
      </c>
      <c r="B307" s="31" t="str">
        <v>MAINTENANCE ENGINEERING</v>
      </c>
      <c r="C307" s="31" t="str">
        <v xml:space="preserve">Peter Oppong Tawiah </v>
      </c>
      <c r="D307" s="26" t="s">
        <v>124</v>
      </c>
      <c r="E307" s="108">
        <v>69</v>
      </c>
      <c r="F307" s="32" t="s">
        <v>641</v>
      </c>
      <c r="G307" s="109">
        <f t="shared" si="40"/>
        <v>75.900000000000006</v>
      </c>
      <c r="H307" s="19" t="s">
        <v>772</v>
      </c>
      <c r="I307" s="110" t="str">
        <f t="shared" si="41"/>
        <v>ME 494,ED4-IND</v>
      </c>
      <c r="J307" s="111"/>
    </row>
    <row r="308" spans="1:10" ht="14.5" x14ac:dyDescent="0.35">
      <c r="A308" s="26" t="s">
        <v>294</v>
      </c>
      <c r="B308" s="31" t="str">
        <v>KINETICS OF CHEMICAL REACTIONS</v>
      </c>
      <c r="C308" s="27" t="str">
        <v>Patrick Aggrey</v>
      </c>
      <c r="D308" s="26" t="s">
        <v>115</v>
      </c>
      <c r="E308" s="108">
        <v>100</v>
      </c>
      <c r="F308" s="26" t="s">
        <v>571</v>
      </c>
      <c r="G308" s="109">
        <f t="shared" si="40"/>
        <v>110.00000000000001</v>
      </c>
      <c r="H308" s="19" t="s">
        <v>602</v>
      </c>
      <c r="I308" s="20" t="str">
        <f t="shared" si="41"/>
        <v>MSE 152,ED1-MSE</v>
      </c>
      <c r="J308" s="25"/>
    </row>
    <row r="309" spans="1:10" ht="14.5" x14ac:dyDescent="0.35">
      <c r="A309" s="26" t="s">
        <v>295</v>
      </c>
      <c r="B309" s="31" t="str">
        <v>CHEMISTRY FOR METALLURGICAL ENGINEERS</v>
      </c>
      <c r="C309" s="27" t="str">
        <v>Patrick Aggrey</v>
      </c>
      <c r="D309" s="26" t="s">
        <v>114</v>
      </c>
      <c r="E309" s="108">
        <v>75</v>
      </c>
      <c r="F309" s="32" t="s">
        <v>574</v>
      </c>
      <c r="G309" s="109">
        <f t="shared" si="40"/>
        <v>82.5</v>
      </c>
      <c r="H309" s="19" t="s">
        <v>773</v>
      </c>
      <c r="I309" s="20" t="str">
        <f t="shared" si="41"/>
        <v>METE 152,ED1-METE</v>
      </c>
      <c r="J309" s="25"/>
    </row>
    <row r="310" spans="1:10" ht="14.5" x14ac:dyDescent="0.35">
      <c r="A310" s="26" t="s">
        <v>397</v>
      </c>
      <c r="B310" s="31" t="str">
        <v>CHEMICAL ENGINEERING THERMODYNAMICS II</v>
      </c>
      <c r="C310" s="31" t="str">
        <v>Bonsu Jude Kwaku</v>
      </c>
      <c r="D310" s="26" t="s">
        <v>13</v>
      </c>
      <c r="E310" s="108">
        <v>160</v>
      </c>
      <c r="F310" s="32" t="s">
        <v>617</v>
      </c>
      <c r="G310" s="109">
        <f t="shared" si="40"/>
        <v>176</v>
      </c>
      <c r="H310" s="19" t="s">
        <v>774</v>
      </c>
      <c r="I310" s="20" t="str">
        <f t="shared" si="41"/>
        <v>CHE 254,ED2-CHE</v>
      </c>
      <c r="J310" s="25"/>
    </row>
    <row r="311" spans="1:10" s="120" customFormat="1" ht="14.5" x14ac:dyDescent="0.35">
      <c r="A311" s="113" t="s">
        <v>286</v>
      </c>
      <c r="B311" s="118" t="str">
        <v>POWER ELECTRONICS</v>
      </c>
      <c r="C311" s="118" t="str">
        <v>Effah Francis Boafo</v>
      </c>
      <c r="D311" s="113" t="s">
        <v>71</v>
      </c>
      <c r="E311" s="115">
        <v>240</v>
      </c>
      <c r="F311" s="160" t="s">
        <v>954</v>
      </c>
      <c r="G311" s="116">
        <f t="shared" si="40"/>
        <v>264</v>
      </c>
      <c r="H311" s="117" t="s">
        <v>775</v>
      </c>
      <c r="I311" s="131" t="str">
        <f t="shared" si="41"/>
        <v>EE 366,ED3-EE</v>
      </c>
      <c r="J311" s="119"/>
    </row>
    <row r="312" spans="1:10" ht="14.5" x14ac:dyDescent="0.35">
      <c r="A312" s="35"/>
      <c r="B312" s="35"/>
      <c r="D312" s="27" t="s">
        <v>298</v>
      </c>
      <c r="E312" s="121">
        <f>SUM(E303:E311)</f>
        <v>1062</v>
      </c>
      <c r="F312" s="36"/>
      <c r="G312" s="122"/>
      <c r="I312" s="22" t="s">
        <v>299</v>
      </c>
      <c r="J312" s="25"/>
    </row>
    <row r="313" spans="1:10" ht="14.5" x14ac:dyDescent="0.35">
      <c r="A313" s="14" t="s">
        <v>300</v>
      </c>
      <c r="B313" s="14"/>
      <c r="C313" s="14"/>
      <c r="D313" s="14"/>
      <c r="E313" s="14"/>
      <c r="F313" s="14"/>
      <c r="G313" s="14"/>
      <c r="I313" s="22" t="str">
        <f>A313</f>
        <v>Wednesday, 26 August 2026</v>
      </c>
      <c r="J313" s="25"/>
    </row>
    <row r="314" spans="1:10" ht="14.5" x14ac:dyDescent="0.35">
      <c r="A314" s="14" t="s">
        <v>2</v>
      </c>
      <c r="B314" s="14"/>
      <c r="C314" s="14"/>
      <c r="D314" s="14"/>
      <c r="E314" s="14"/>
      <c r="F314" s="14"/>
      <c r="G314" s="14"/>
      <c r="I314" s="22" t="str">
        <f>A314</f>
        <v>Session, 1 (8:30 AM - 10:30 AM)</v>
      </c>
      <c r="J314" s="25"/>
    </row>
    <row r="315" spans="1:10" ht="14.5" x14ac:dyDescent="0.35">
      <c r="A315" s="24" t="s">
        <v>4</v>
      </c>
      <c r="B315" s="24" t="s">
        <v>5</v>
      </c>
      <c r="C315" s="16" t="s">
        <v>6</v>
      </c>
      <c r="D315" s="24" t="s">
        <v>7</v>
      </c>
      <c r="E315" s="106" t="s">
        <v>8</v>
      </c>
      <c r="F315" s="31" t="s">
        <v>9</v>
      </c>
      <c r="G315" s="107" t="s">
        <v>10</v>
      </c>
      <c r="I315" s="22" t="s">
        <v>31</v>
      </c>
      <c r="J315" s="25"/>
    </row>
    <row r="316" spans="1:10" s="112" customFormat="1" ht="14.5" x14ac:dyDescent="0.35">
      <c r="A316" s="123" t="s">
        <v>281</v>
      </c>
      <c r="B316" s="124" t="str">
        <f t="array" ref="B316:B337">IFERROR(VLOOKUP(I316:I337,Lectures_1!A2:F534,2,FALSE()),0)</f>
        <v>CALCULUS WITH SEVERAL VARIABLES</v>
      </c>
      <c r="C316" s="128" t="str">
        <f t="array" ref="C316:C337">IFERROR(VLOOKUP(I316:I337,Lectures_1!A2:F534,3,FALSE()),0)</f>
        <v>Eghan Rhydal Esi</v>
      </c>
      <c r="D316" s="123" t="s">
        <v>109</v>
      </c>
      <c r="E316" s="129">
        <f t="array" ref="E316:E337">IFERROR(VLOOKUP(I316:I337,Lectures_1!A2:F534,4,FALSE()),0)</f>
        <v>80</v>
      </c>
      <c r="F316" s="10" t="s">
        <v>34</v>
      </c>
      <c r="G316" s="126">
        <f t="shared" ref="G316:G337" si="42">E316*1.1</f>
        <v>88</v>
      </c>
      <c r="H316" s="127"/>
      <c r="I316" s="110" t="str">
        <f t="shared" ref="I316:I337" si="43">CONCATENATE(A316,",",D316)</f>
        <v>MATH 252,ED2-BME</v>
      </c>
      <c r="J316" s="111"/>
    </row>
    <row r="317" spans="1:10" s="112" customFormat="1" ht="14.5" x14ac:dyDescent="0.35">
      <c r="A317" s="123" t="s">
        <v>281</v>
      </c>
      <c r="B317" s="124" t="str">
        <v>CALCULUS WITH SEVERAL VARIABLES</v>
      </c>
      <c r="C317" s="128" t="str">
        <v>Eghan Rhydal Esi</v>
      </c>
      <c r="D317" s="123" t="s">
        <v>40</v>
      </c>
      <c r="E317" s="129">
        <v>82</v>
      </c>
      <c r="F317" s="10"/>
      <c r="G317" s="126">
        <f t="shared" si="42"/>
        <v>90.2</v>
      </c>
      <c r="H317" s="127"/>
      <c r="I317" s="110" t="str">
        <f t="shared" si="43"/>
        <v>MATH 252,ED2-AUTO</v>
      </c>
      <c r="J317" s="111"/>
    </row>
    <row r="318" spans="1:10" s="178" customFormat="1" ht="14.5" x14ac:dyDescent="0.35">
      <c r="A318" s="123" t="s">
        <v>281</v>
      </c>
      <c r="B318" s="128" t="str">
        <v>CALCULUS WITH SEVERAL VARIABLES</v>
      </c>
      <c r="C318" s="124" t="str">
        <v>Reindorf Nartey Borkor</v>
      </c>
      <c r="D318" s="123" t="s">
        <v>56</v>
      </c>
      <c r="E318" s="129">
        <v>250</v>
      </c>
      <c r="F318" s="10"/>
      <c r="G318" s="126">
        <f t="shared" si="42"/>
        <v>275</v>
      </c>
      <c r="H318" s="127"/>
      <c r="I318" s="176" t="str">
        <f t="shared" si="43"/>
        <v>MATH 252,ED2-CE</v>
      </c>
      <c r="J318" s="177"/>
    </row>
    <row r="319" spans="1:10" s="112" customFormat="1" ht="14.5" x14ac:dyDescent="0.35">
      <c r="A319" s="123" t="s">
        <v>281</v>
      </c>
      <c r="B319" s="124" t="str">
        <v>CALCULUS OF SEVERAL VARIABLES</v>
      </c>
      <c r="C319" s="128" t="str">
        <v>Eghan Rhydal Esi</v>
      </c>
      <c r="D319" s="123" t="s">
        <v>14</v>
      </c>
      <c r="E319" s="129">
        <v>65</v>
      </c>
      <c r="F319" s="10"/>
      <c r="G319" s="126">
        <f t="shared" si="42"/>
        <v>71.5</v>
      </c>
      <c r="H319" s="127"/>
      <c r="I319" s="110" t="str">
        <f t="shared" si="43"/>
        <v>MATH 252,ED2-PCE</v>
      </c>
      <c r="J319" s="111"/>
    </row>
    <row r="320" spans="1:10" s="112" customFormat="1" ht="14.5" x14ac:dyDescent="0.35">
      <c r="A320" s="123" t="s">
        <v>281</v>
      </c>
      <c r="B320" s="124" t="str">
        <v>CALCULUS OF SEVERAL VARIABLES</v>
      </c>
      <c r="C320" s="128" t="str">
        <v>Eghan Rhydal Esi</v>
      </c>
      <c r="D320" s="123" t="s">
        <v>93</v>
      </c>
      <c r="E320" s="129">
        <v>95</v>
      </c>
      <c r="F320" s="10"/>
      <c r="G320" s="126">
        <f t="shared" si="42"/>
        <v>104.50000000000001</v>
      </c>
      <c r="H320" s="179"/>
      <c r="I320" s="110" t="str">
        <f t="shared" si="43"/>
        <v>MATH 252,ED2-PE</v>
      </c>
      <c r="J320" s="111"/>
    </row>
    <row r="321" spans="1:10" s="112" customFormat="1" ht="14.5" x14ac:dyDescent="0.35">
      <c r="A321" s="123" t="s">
        <v>281</v>
      </c>
      <c r="B321" s="124" t="str">
        <v>CALCULUS WITH SEVERAL VARIABLES</v>
      </c>
      <c r="C321" s="124" t="str">
        <v>Asamoah Joshua Kiddy Kwasi</v>
      </c>
      <c r="D321" s="123" t="s">
        <v>170</v>
      </c>
      <c r="E321" s="129">
        <v>132</v>
      </c>
      <c r="F321" s="10"/>
      <c r="G321" s="126">
        <f t="shared" si="42"/>
        <v>145.20000000000002</v>
      </c>
      <c r="H321" s="127"/>
      <c r="I321" s="110" t="str">
        <f t="shared" si="43"/>
        <v>MATH 252,ED2-GEOM</v>
      </c>
      <c r="J321" s="111"/>
    </row>
    <row r="322" spans="1:10" s="112" customFormat="1" ht="14.5" x14ac:dyDescent="0.35">
      <c r="A322" s="123" t="s">
        <v>281</v>
      </c>
      <c r="B322" s="124" t="str">
        <v>CALCULUS WITH SEVERAL VARIABLES</v>
      </c>
      <c r="C322" s="128" t="str">
        <v>Asamoah Joshua Kiddy Kwasi</v>
      </c>
      <c r="D322" s="123" t="s">
        <v>210</v>
      </c>
      <c r="E322" s="129">
        <v>83</v>
      </c>
      <c r="F322" s="10"/>
      <c r="G322" s="126">
        <f t="shared" si="42"/>
        <v>91.300000000000011</v>
      </c>
      <c r="H322" s="127"/>
      <c r="I322" s="110" t="str">
        <f t="shared" si="43"/>
        <v>MATH 252,ED2-MSE</v>
      </c>
      <c r="J322" s="111"/>
    </row>
    <row r="323" spans="1:10" s="112" customFormat="1" ht="14.5" x14ac:dyDescent="0.35">
      <c r="A323" s="123" t="s">
        <v>281</v>
      </c>
      <c r="B323" s="124" t="str">
        <v>CALCULUS WITH SEVERAL VARIABLES</v>
      </c>
      <c r="C323" s="128" t="str">
        <v>Asamoah Joshua Kiddy Kwasi</v>
      </c>
      <c r="D323" s="123" t="s">
        <v>101</v>
      </c>
      <c r="E323" s="129">
        <v>57</v>
      </c>
      <c r="F323" s="10"/>
      <c r="G323" s="126">
        <f t="shared" si="42"/>
        <v>62.7</v>
      </c>
      <c r="H323" s="127"/>
      <c r="I323" s="110" t="str">
        <f t="shared" si="43"/>
        <v>MATH 252,ED2-METE</v>
      </c>
      <c r="J323" s="111"/>
    </row>
    <row r="324" spans="1:10" s="112" customFormat="1" ht="14.5" x14ac:dyDescent="0.35">
      <c r="A324" s="123" t="s">
        <v>281</v>
      </c>
      <c r="B324" s="124" t="str">
        <v>CALCULUS WITH SEVERAL VARIABLES</v>
      </c>
      <c r="C324" s="124" t="str">
        <v>Wireko Fredrick Asenso</v>
      </c>
      <c r="D324" s="123" t="s">
        <v>108</v>
      </c>
      <c r="E324" s="129">
        <v>255</v>
      </c>
      <c r="F324" s="10"/>
      <c r="G324" s="126">
        <f t="shared" si="42"/>
        <v>280.5</v>
      </c>
      <c r="H324" s="127"/>
      <c r="I324" s="110" t="str">
        <f t="shared" si="43"/>
        <v>MATH 252,ED2-COE</v>
      </c>
      <c r="J324" s="111"/>
    </row>
    <row r="325" spans="1:10" s="112" customFormat="1" ht="14.5" x14ac:dyDescent="0.35">
      <c r="A325" s="123" t="s">
        <v>281</v>
      </c>
      <c r="B325" s="124" t="str">
        <v>CALCULUS WITH SEVERAL VARIABLES</v>
      </c>
      <c r="C325" s="124" t="str">
        <v>Wireko Fredrick Asenso</v>
      </c>
      <c r="D325" s="123" t="s">
        <v>55</v>
      </c>
      <c r="E325" s="129">
        <v>150</v>
      </c>
      <c r="F325" s="10"/>
      <c r="G325" s="126">
        <f t="shared" si="42"/>
        <v>165</v>
      </c>
      <c r="H325" s="127"/>
      <c r="I325" s="110" t="str">
        <f t="shared" si="43"/>
        <v>MATH 252,ED2-GEOL</v>
      </c>
      <c r="J325" s="111"/>
    </row>
    <row r="326" spans="1:10" s="112" customFormat="1" ht="14.5" x14ac:dyDescent="0.35">
      <c r="A326" s="123" t="s">
        <v>281</v>
      </c>
      <c r="B326" s="128" t="str">
        <v>CALCULUS WITH SEVERAL VARIABLES</v>
      </c>
      <c r="C326" s="124" t="str">
        <v>Wireko Fredrick Asenso</v>
      </c>
      <c r="D326" s="123" t="s">
        <v>172</v>
      </c>
      <c r="E326" s="129">
        <v>175</v>
      </c>
      <c r="F326" s="10"/>
      <c r="G326" s="126">
        <f t="shared" si="42"/>
        <v>192.50000000000003</v>
      </c>
      <c r="H326" s="127"/>
      <c r="I326" s="110" t="str">
        <f t="shared" si="43"/>
        <v>MATH 252,ED2-TEL</v>
      </c>
      <c r="J326" s="111"/>
    </row>
    <row r="327" spans="1:10" s="178" customFormat="1" ht="14.5" x14ac:dyDescent="0.35">
      <c r="A327" s="123" t="s">
        <v>281</v>
      </c>
      <c r="B327" s="128" t="str">
        <v>CALCULUS WITH SEVERAL VARIABLES</v>
      </c>
      <c r="C327" s="124" t="str">
        <v>Wireko Fredrick Asenso</v>
      </c>
      <c r="D327" s="123" t="s">
        <v>53</v>
      </c>
      <c r="E327" s="129">
        <v>155</v>
      </c>
      <c r="F327" s="10"/>
      <c r="G327" s="126">
        <f t="shared" si="42"/>
        <v>170.5</v>
      </c>
      <c r="H327" s="127"/>
      <c r="I327" s="176" t="str">
        <f t="shared" si="43"/>
        <v>MATH 252,ED2-AE</v>
      </c>
      <c r="J327" s="177"/>
    </row>
    <row r="328" spans="1:10" s="178" customFormat="1" ht="14.5" x14ac:dyDescent="0.35">
      <c r="A328" s="123" t="s">
        <v>281</v>
      </c>
      <c r="B328" s="128" t="str">
        <v>CALCULUS WITH SEVERAL VARIABLES</v>
      </c>
      <c r="C328" s="124" t="str">
        <v>Wireko Fredrick Asenso</v>
      </c>
      <c r="D328" s="123" t="s">
        <v>36</v>
      </c>
      <c r="E328" s="129">
        <v>75</v>
      </c>
      <c r="F328" s="10"/>
      <c r="G328" s="126">
        <f t="shared" si="42"/>
        <v>82.5</v>
      </c>
      <c r="H328" s="127"/>
      <c r="I328" s="176" t="str">
        <f t="shared" si="43"/>
        <v>MATH 252,ED2-AERO</v>
      </c>
      <c r="J328" s="177"/>
    </row>
    <row r="329" spans="1:10" s="112" customFormat="1" ht="14.5" x14ac:dyDescent="0.35">
      <c r="A329" s="123" t="s">
        <v>281</v>
      </c>
      <c r="B329" s="124" t="str">
        <v>CALCULUS WITH SEVERAL VARIABLES</v>
      </c>
      <c r="C329" s="124" t="str">
        <v>Wireko Fredrick Asenso</v>
      </c>
      <c r="D329" s="123" t="s">
        <v>38</v>
      </c>
      <c r="E329" s="129">
        <v>80</v>
      </c>
      <c r="F329" s="10"/>
      <c r="G329" s="126">
        <f t="shared" si="42"/>
        <v>88</v>
      </c>
      <c r="H329" s="127"/>
      <c r="I329" s="110" t="str">
        <f t="shared" si="43"/>
        <v>MATH 252,ED2-IND</v>
      </c>
      <c r="J329" s="111"/>
    </row>
    <row r="330" spans="1:10" ht="14.5" x14ac:dyDescent="0.35">
      <c r="A330" s="26" t="s">
        <v>302</v>
      </c>
      <c r="B330" s="24" t="str">
        <v>PHYSICAL CHEMISTRY FOR ENGINEERS</v>
      </c>
      <c r="C330" s="31" t="str">
        <v>Anang Daniel Adjah</v>
      </c>
      <c r="D330" s="26" t="s">
        <v>80</v>
      </c>
      <c r="E330" s="163">
        <v>120</v>
      </c>
      <c r="F330" s="32" t="s">
        <v>776</v>
      </c>
      <c r="G330" s="109">
        <f t="shared" si="42"/>
        <v>132</v>
      </c>
      <c r="H330" s="19" t="s">
        <v>777</v>
      </c>
      <c r="I330" s="20" t="str">
        <f t="shared" si="43"/>
        <v>CHE 156,ED1-CHE</v>
      </c>
      <c r="J330" s="25"/>
    </row>
    <row r="331" spans="1:10" ht="14.5" x14ac:dyDescent="0.35">
      <c r="A331" s="26" t="s">
        <v>303</v>
      </c>
      <c r="B331" s="27" t="str">
        <v>FARM POWER AND MACHINERY</v>
      </c>
      <c r="C331" s="31" t="str">
        <v>Aikins Stephen Hill Mends</v>
      </c>
      <c r="D331" s="26" t="s">
        <v>88</v>
      </c>
      <c r="E331" s="108">
        <v>101</v>
      </c>
      <c r="F331" s="47" t="s">
        <v>571</v>
      </c>
      <c r="G331" s="109">
        <f t="shared" si="42"/>
        <v>111.10000000000001</v>
      </c>
      <c r="H331" s="17" t="s">
        <v>644</v>
      </c>
      <c r="I331" s="20" t="str">
        <f t="shared" si="43"/>
        <v>AE 356,ED3-AE</v>
      </c>
      <c r="J331" s="25"/>
    </row>
    <row r="332" spans="1:10" ht="14.5" x14ac:dyDescent="0.35">
      <c r="A332" s="26" t="s">
        <v>304</v>
      </c>
      <c r="B332" s="31" t="str">
        <v>NAVAL ARCHITECTURE I</v>
      </c>
      <c r="C332" s="31" t="str">
        <v>Kudzedzi Emmanuel Yaw Mawuko</v>
      </c>
      <c r="D332" s="26" t="s">
        <v>86</v>
      </c>
      <c r="E332" s="108">
        <v>40</v>
      </c>
      <c r="F332" s="32" t="s">
        <v>541</v>
      </c>
      <c r="G332" s="109">
        <f t="shared" si="42"/>
        <v>44</v>
      </c>
      <c r="H332" s="19">
        <v>40</v>
      </c>
      <c r="I332" s="20" t="str">
        <f t="shared" si="43"/>
        <v>MME 382,ED3-MARI</v>
      </c>
      <c r="J332" s="25"/>
    </row>
    <row r="333" spans="1:10" s="120" customFormat="1" ht="14.5" x14ac:dyDescent="0.35">
      <c r="A333" s="113" t="s">
        <v>305</v>
      </c>
      <c r="B333" s="114" t="str">
        <v>POWER SUPPLY ELECTRONICS</v>
      </c>
      <c r="C333" s="114" t="str">
        <v>Effah Francis Boafo</v>
      </c>
      <c r="D333" s="113" t="s">
        <v>25</v>
      </c>
      <c r="E333" s="115">
        <v>340</v>
      </c>
      <c r="F333" s="160" t="s">
        <v>954</v>
      </c>
      <c r="G333" s="116">
        <f t="shared" si="42"/>
        <v>374.00000000000006</v>
      </c>
      <c r="H333" s="117" t="s">
        <v>778</v>
      </c>
      <c r="I333" s="131" t="str">
        <f t="shared" si="43"/>
        <v>EE 258,ED2-EE</v>
      </c>
      <c r="J333" s="119"/>
    </row>
    <row r="334" spans="1:10" ht="14.5" x14ac:dyDescent="0.35">
      <c r="A334" s="26" t="s">
        <v>507</v>
      </c>
      <c r="B334" s="27" t="str">
        <v>DIGITAL SIGNAL PROCESSING</v>
      </c>
      <c r="C334" s="31" t="str">
        <v>Kponyo Jerry John</v>
      </c>
      <c r="D334" s="46" t="s">
        <v>227</v>
      </c>
      <c r="E334" s="108">
        <v>138</v>
      </c>
      <c r="F334" s="32" t="s">
        <v>779</v>
      </c>
      <c r="G334" s="109">
        <f t="shared" si="42"/>
        <v>151.80000000000001</v>
      </c>
      <c r="H334" s="19" t="s">
        <v>780</v>
      </c>
      <c r="I334" s="20" t="str">
        <f t="shared" si="43"/>
        <v>TE 454,ED4-TEL</v>
      </c>
      <c r="J334" s="25"/>
    </row>
    <row r="335" spans="1:10" ht="14.5" x14ac:dyDescent="0.35">
      <c r="A335" s="26" t="s">
        <v>307</v>
      </c>
      <c r="B335" s="27" t="str">
        <v>DIGITAL SIGNAL PROCESSING</v>
      </c>
      <c r="C335" s="31" t="str">
        <v>Kponyo Jerry John</v>
      </c>
      <c r="D335" s="26" t="s">
        <v>144</v>
      </c>
      <c r="E335" s="108">
        <v>12</v>
      </c>
      <c r="F335" s="26" t="s">
        <v>781</v>
      </c>
      <c r="G335" s="109">
        <f t="shared" si="42"/>
        <v>13.200000000000001</v>
      </c>
      <c r="H335" s="19">
        <v>12</v>
      </c>
      <c r="I335" s="20" t="str">
        <f t="shared" si="43"/>
        <v>EE 472,ED4-EE</v>
      </c>
      <c r="J335" s="25"/>
    </row>
    <row r="336" spans="1:10" ht="14.5" x14ac:dyDescent="0.35">
      <c r="A336" s="26" t="s">
        <v>308</v>
      </c>
      <c r="B336" s="27" t="str">
        <v>ENGINEERING PROJECT DESIGN AND MANAGEMENT</v>
      </c>
      <c r="C336" s="27" t="str">
        <v>Agyekum Kwame Agyeman-Prempeh</v>
      </c>
      <c r="D336" s="26" t="s">
        <v>119</v>
      </c>
      <c r="E336" s="108">
        <v>140</v>
      </c>
      <c r="F336" s="32" t="s">
        <v>782</v>
      </c>
      <c r="G336" s="109">
        <f t="shared" si="42"/>
        <v>154</v>
      </c>
      <c r="H336" s="19" t="s">
        <v>586</v>
      </c>
      <c r="I336" s="20" t="str">
        <f t="shared" si="43"/>
        <v>TE 372,ED3-TEL</v>
      </c>
      <c r="J336" s="25"/>
    </row>
    <row r="337" spans="1:10" ht="14.5" x14ac:dyDescent="0.35">
      <c r="A337" s="26" t="s">
        <v>310</v>
      </c>
      <c r="B337" s="31" t="str">
        <v>MANUFACTURING TECHNOLOGY</v>
      </c>
      <c r="C337" s="31" t="str">
        <v>Francis Davis</v>
      </c>
      <c r="D337" s="26" t="s">
        <v>61</v>
      </c>
      <c r="E337" s="108">
        <v>222</v>
      </c>
      <c r="F337" s="32" t="s">
        <v>768</v>
      </c>
      <c r="G337" s="109">
        <f t="shared" si="42"/>
        <v>244.20000000000002</v>
      </c>
      <c r="H337" s="19" t="s">
        <v>783</v>
      </c>
      <c r="I337" s="20" t="str">
        <f t="shared" si="43"/>
        <v>ME 370,ED3-ME</v>
      </c>
      <c r="J337" s="25"/>
    </row>
    <row r="338" spans="1:10" ht="14.5" x14ac:dyDescent="0.35">
      <c r="A338" s="35"/>
      <c r="B338" s="35"/>
      <c r="D338" s="27" t="s">
        <v>311</v>
      </c>
      <c r="E338" s="121">
        <f>SUM(E330:E337)</f>
        <v>1113</v>
      </c>
      <c r="F338" s="36"/>
      <c r="G338" s="122"/>
      <c r="I338" s="22" t="s">
        <v>312</v>
      </c>
      <c r="J338" s="25"/>
    </row>
    <row r="339" spans="1:10" ht="14.5" x14ac:dyDescent="0.35">
      <c r="A339" s="14" t="s">
        <v>300</v>
      </c>
      <c r="B339" s="14"/>
      <c r="C339" s="14"/>
      <c r="D339" s="14"/>
      <c r="E339" s="14"/>
      <c r="F339" s="14"/>
      <c r="G339" s="14"/>
      <c r="I339" s="22" t="str">
        <f>A339</f>
        <v>Wednesday, 26 August 2026</v>
      </c>
      <c r="J339" s="25"/>
    </row>
    <row r="340" spans="1:10" ht="14.5" x14ac:dyDescent="0.35">
      <c r="A340" s="14" t="s">
        <v>29</v>
      </c>
      <c r="B340" s="14"/>
      <c r="C340" s="14"/>
      <c r="D340" s="14"/>
      <c r="E340" s="14"/>
      <c r="F340" s="14"/>
      <c r="G340" s="14"/>
      <c r="I340" s="22" t="str">
        <f>A340</f>
        <v>Session, 2 (12:00 PM - 2:00 PM)</v>
      </c>
      <c r="J340" s="25"/>
    </row>
    <row r="341" spans="1:10" ht="14.5" x14ac:dyDescent="0.35">
      <c r="A341" s="24" t="s">
        <v>4</v>
      </c>
      <c r="B341" s="24" t="s">
        <v>5</v>
      </c>
      <c r="C341" s="16" t="s">
        <v>6</v>
      </c>
      <c r="D341" s="24" t="s">
        <v>7</v>
      </c>
      <c r="E341" s="106" t="s">
        <v>8</v>
      </c>
      <c r="F341" s="16" t="s">
        <v>9</v>
      </c>
      <c r="G341" s="107" t="s">
        <v>10</v>
      </c>
      <c r="I341" s="22" t="s">
        <v>31</v>
      </c>
      <c r="J341" s="25"/>
    </row>
    <row r="342" spans="1:10" ht="14.5" x14ac:dyDescent="0.35">
      <c r="A342" s="26" t="s">
        <v>313</v>
      </c>
      <c r="B342" s="27" t="str">
        <f t="array" ref="B342:B350">IFERROR(VLOOKUP(I342:I350,Lectures_1!A2:F534,2,FALSE()),0)</f>
        <v>PROPERTIES OF MATTER</v>
      </c>
      <c r="C342" s="31" t="str">
        <f t="array" ref="C342:C350">IFERROR(VLOOKUP(I342:I350,Lectures_1!A2:F534,3,FALSE()),0)</f>
        <v>Reginald Mensah Noye</v>
      </c>
      <c r="D342" s="26" t="s">
        <v>130</v>
      </c>
      <c r="E342" s="108">
        <f t="array" ref="E342:E350">IFERROR(VLOOKUP(I342:I350,Lectures_1!A2:F534,4,FALSE()),0)</f>
        <v>136</v>
      </c>
      <c r="F342" s="32" t="s">
        <v>710</v>
      </c>
      <c r="G342" s="109">
        <f t="shared" ref="G342:G350" si="44">E342*1.1</f>
        <v>149.60000000000002</v>
      </c>
      <c r="H342" s="19" t="s">
        <v>784</v>
      </c>
      <c r="I342" s="20" t="str">
        <f t="shared" ref="I342:I350" si="45">CONCATENATE(A342,",",D342)</f>
        <v>PHY 154,ED1-BME</v>
      </c>
      <c r="J342" s="25"/>
    </row>
    <row r="343" spans="1:10" ht="14.5" x14ac:dyDescent="0.35">
      <c r="A343" s="26" t="s">
        <v>314</v>
      </c>
      <c r="B343" s="27" t="str">
        <v>INTRODUCTION TO INFORMATION TECHNOLOGY</v>
      </c>
      <c r="C343" s="31" t="str">
        <v>Bessah Enoch</v>
      </c>
      <c r="D343" s="26" t="s">
        <v>131</v>
      </c>
      <c r="E343" s="108">
        <v>128</v>
      </c>
      <c r="F343" s="32" t="s">
        <v>533</v>
      </c>
      <c r="G343" s="109">
        <f t="shared" si="44"/>
        <v>140.80000000000001</v>
      </c>
      <c r="H343" s="19" t="s">
        <v>785</v>
      </c>
      <c r="I343" s="20" t="str">
        <f t="shared" si="45"/>
        <v>AE 158,ED1-AE</v>
      </c>
      <c r="J343" s="25"/>
    </row>
    <row r="344" spans="1:10" ht="14.5" x14ac:dyDescent="0.35">
      <c r="A344" s="26" t="s">
        <v>315</v>
      </c>
      <c r="B344" s="27" t="str">
        <v>NUMERICAL METHODS FOR CHEMICAL ENGINEERS</v>
      </c>
      <c r="C344" s="31" t="str">
        <v>Mensah Mary</v>
      </c>
      <c r="D344" s="26" t="s">
        <v>63</v>
      </c>
      <c r="E344" s="108">
        <v>53</v>
      </c>
      <c r="F344" s="32" t="s">
        <v>786</v>
      </c>
      <c r="G344" s="109">
        <f t="shared" si="44"/>
        <v>58.300000000000004</v>
      </c>
      <c r="H344" s="19" t="s">
        <v>787</v>
      </c>
      <c r="I344" s="20" t="str">
        <f t="shared" si="45"/>
        <v>CHE 358,ED3-PCE</v>
      </c>
      <c r="J344" s="25"/>
    </row>
    <row r="345" spans="1:10" ht="14.5" x14ac:dyDescent="0.35">
      <c r="A345" s="26" t="s">
        <v>315</v>
      </c>
      <c r="B345" s="27" t="str">
        <v>NUMERICAL METHODS FOR CHEMICAL ENGINEERS</v>
      </c>
      <c r="C345" s="31" t="str">
        <v>Mensah Mary</v>
      </c>
      <c r="D345" s="26" t="s">
        <v>73</v>
      </c>
      <c r="E345" s="108">
        <v>105</v>
      </c>
      <c r="F345" s="32" t="s">
        <v>603</v>
      </c>
      <c r="G345" s="109">
        <f t="shared" si="44"/>
        <v>115.50000000000001</v>
      </c>
      <c r="H345" s="19" t="s">
        <v>788</v>
      </c>
      <c r="I345" s="20" t="str">
        <f t="shared" si="45"/>
        <v>CHE 358,ED3-CHE</v>
      </c>
      <c r="J345" s="25"/>
    </row>
    <row r="346" spans="1:10" ht="14.5" x14ac:dyDescent="0.35">
      <c r="A346" s="26" t="s">
        <v>317</v>
      </c>
      <c r="B346" s="27" t="str">
        <v>ENVIRONMENTAL GEOLLOGY</v>
      </c>
      <c r="C346" s="27" t="str">
        <v>Foli Gordon</v>
      </c>
      <c r="D346" s="26" t="s">
        <v>177</v>
      </c>
      <c r="E346" s="108">
        <v>95</v>
      </c>
      <c r="F346" s="32" t="s">
        <v>749</v>
      </c>
      <c r="G346" s="109">
        <f t="shared" si="44"/>
        <v>104.50000000000001</v>
      </c>
      <c r="H346" s="19" t="s">
        <v>789</v>
      </c>
      <c r="I346" s="20" t="str">
        <f t="shared" si="45"/>
        <v>GED 454,ED4-GEOL</v>
      </c>
      <c r="J346" s="25"/>
    </row>
    <row r="347" spans="1:10" s="112" customFormat="1" ht="14.5" x14ac:dyDescent="0.35">
      <c r="A347" s="26" t="s">
        <v>259</v>
      </c>
      <c r="B347" s="27" t="str">
        <v>EMBEDDED SYSTEMS</v>
      </c>
      <c r="C347" s="31" t="str">
        <v>Kommey Benjamin</v>
      </c>
      <c r="D347" s="26" t="s">
        <v>16</v>
      </c>
      <c r="E347" s="108">
        <v>265</v>
      </c>
      <c r="F347" s="32" t="s">
        <v>531</v>
      </c>
      <c r="G347" s="109">
        <f t="shared" si="44"/>
        <v>291.5</v>
      </c>
      <c r="H347" s="19" t="s">
        <v>790</v>
      </c>
      <c r="I347" s="110" t="str">
        <f t="shared" si="45"/>
        <v>COE 358,ED3-COE</v>
      </c>
      <c r="J347" s="111"/>
    </row>
    <row r="348" spans="1:10" s="112" customFormat="1" ht="14.5" x14ac:dyDescent="0.35">
      <c r="A348" s="26" t="s">
        <v>259</v>
      </c>
      <c r="B348" s="27" t="str">
        <v>EMBEDDED SYSTEMS</v>
      </c>
      <c r="C348" s="31" t="str">
        <v>Kommey Benjamin</v>
      </c>
      <c r="D348" s="26" t="s">
        <v>65</v>
      </c>
      <c r="E348" s="108">
        <v>90</v>
      </c>
      <c r="F348" s="32" t="s">
        <v>791</v>
      </c>
      <c r="G348" s="109">
        <f t="shared" si="44"/>
        <v>99.000000000000014</v>
      </c>
      <c r="H348" s="19" t="s">
        <v>709</v>
      </c>
      <c r="I348" s="110" t="str">
        <f t="shared" si="45"/>
        <v>COE 358,ED3-BME</v>
      </c>
      <c r="J348" s="111"/>
    </row>
    <row r="349" spans="1:10" ht="14.5" x14ac:dyDescent="0.35">
      <c r="A349" s="26" t="s">
        <v>208</v>
      </c>
      <c r="B349" s="31" t="str">
        <v>PHYSICAL METALLURGY OF FERROUS METALS</v>
      </c>
      <c r="C349" s="31" t="str">
        <v>Kwofie Samuel</v>
      </c>
      <c r="D349" s="26" t="s">
        <v>142</v>
      </c>
      <c r="E349" s="108">
        <v>87</v>
      </c>
      <c r="F349" s="32" t="s">
        <v>792</v>
      </c>
      <c r="G349" s="109">
        <f t="shared" si="44"/>
        <v>95.7</v>
      </c>
      <c r="H349" s="49" t="s">
        <v>793</v>
      </c>
      <c r="I349" s="20" t="str">
        <f t="shared" si="45"/>
        <v>METE 362,ED3-METE</v>
      </c>
      <c r="J349" s="25"/>
    </row>
    <row r="350" spans="1:10" ht="14.5" x14ac:dyDescent="0.35">
      <c r="A350" s="26" t="s">
        <v>207</v>
      </c>
      <c r="B350" s="31" t="str">
        <v>PHYSICAL METALLURGY OF FERROUS METALS</v>
      </c>
      <c r="C350" s="27" t="str">
        <v>Kwofie Samuel</v>
      </c>
      <c r="D350" s="26" t="s">
        <v>140</v>
      </c>
      <c r="E350" s="108">
        <v>85</v>
      </c>
      <c r="F350" s="32" t="s">
        <v>582</v>
      </c>
      <c r="G350" s="109">
        <f t="shared" si="44"/>
        <v>93.500000000000014</v>
      </c>
      <c r="H350" s="19" t="s">
        <v>794</v>
      </c>
      <c r="I350" s="20" t="str">
        <f t="shared" si="45"/>
        <v>MSE 354,ED3-MSE</v>
      </c>
      <c r="J350" s="25"/>
    </row>
    <row r="351" spans="1:10" ht="14.5" x14ac:dyDescent="0.35">
      <c r="A351" s="35"/>
      <c r="B351" s="35"/>
      <c r="D351" s="27" t="s">
        <v>322</v>
      </c>
      <c r="E351" s="121">
        <f>SUM(E342:E350)</f>
        <v>1044</v>
      </c>
      <c r="F351" s="36"/>
      <c r="G351" s="122"/>
      <c r="I351" s="22" t="s">
        <v>323</v>
      </c>
      <c r="J351" s="25"/>
    </row>
    <row r="352" spans="1:10" ht="14.5" x14ac:dyDescent="0.35">
      <c r="A352" s="35"/>
      <c r="B352" s="35"/>
      <c r="D352" s="35"/>
      <c r="E352" s="121"/>
      <c r="F352" s="36"/>
      <c r="G352" s="122"/>
      <c r="I352" s="22" t="s">
        <v>106</v>
      </c>
      <c r="J352" s="25"/>
    </row>
    <row r="353" spans="1:10" ht="14.5" x14ac:dyDescent="0.35">
      <c r="A353" s="35"/>
      <c r="B353" s="35"/>
      <c r="D353" s="35"/>
      <c r="E353" s="121"/>
      <c r="F353" s="36"/>
      <c r="G353" s="122"/>
      <c r="I353" s="22" t="s">
        <v>106</v>
      </c>
      <c r="J353" s="25"/>
    </row>
    <row r="354" spans="1:10" ht="14.5" x14ac:dyDescent="0.35">
      <c r="A354" s="14" t="s">
        <v>300</v>
      </c>
      <c r="B354" s="14"/>
      <c r="C354" s="14"/>
      <c r="D354" s="14"/>
      <c r="E354" s="14"/>
      <c r="F354" s="14"/>
      <c r="G354" s="14"/>
      <c r="I354" s="22" t="str">
        <f>A354</f>
        <v>Wednesday, 26 August 2026</v>
      </c>
      <c r="J354" s="25"/>
    </row>
    <row r="355" spans="1:10" ht="14.5" x14ac:dyDescent="0.35">
      <c r="A355" s="14" t="s">
        <v>59</v>
      </c>
      <c r="B355" s="14"/>
      <c r="C355" s="14"/>
      <c r="D355" s="14"/>
      <c r="E355" s="14"/>
      <c r="F355" s="14"/>
      <c r="G355" s="14"/>
      <c r="I355" s="22" t="str">
        <f>A355</f>
        <v>Session, 3 (3:00 PM - 5:00 PM)</v>
      </c>
      <c r="J355" s="25"/>
    </row>
    <row r="356" spans="1:10" ht="14.5" x14ac:dyDescent="0.35">
      <c r="A356" s="24" t="s">
        <v>4</v>
      </c>
      <c r="B356" s="24" t="s">
        <v>5</v>
      </c>
      <c r="C356" s="16" t="s">
        <v>6</v>
      </c>
      <c r="D356" s="24" t="s">
        <v>7</v>
      </c>
      <c r="E356" s="106" t="s">
        <v>8</v>
      </c>
      <c r="F356" s="16" t="s">
        <v>9</v>
      </c>
      <c r="G356" s="107" t="s">
        <v>10</v>
      </c>
      <c r="I356" s="22" t="s">
        <v>31</v>
      </c>
      <c r="J356" s="25"/>
    </row>
    <row r="357" spans="1:10" s="53" customFormat="1" ht="14.5" x14ac:dyDescent="0.35">
      <c r="A357" s="26" t="s">
        <v>324</v>
      </c>
      <c r="B357" s="31" t="str">
        <f t="array" ref="B357:B365">IFERROR(VLOOKUP(I357:I365,Lectures_1!A2:F534,2,FALSE()),0)</f>
        <v>RESERVOIR RECOVERY TECHNIQUES</v>
      </c>
      <c r="C357" s="31" t="str">
        <f t="array" ref="C357:C365">IFERROR(VLOOKUP(I357:I365,Lectures_1!A2:F534,3,FALSE()),0)</f>
        <v>Adenutsi Caspar Daniel</v>
      </c>
      <c r="D357" s="26" t="s">
        <v>46</v>
      </c>
      <c r="E357" s="108">
        <f t="array" ref="E357:E365">IFERROR(VLOOKUP(I357:I365,Lectures_1!A2:F534,4,FALSE()),0)</f>
        <v>99</v>
      </c>
      <c r="F357" s="32" t="s">
        <v>795</v>
      </c>
      <c r="G357" s="109">
        <f t="shared" ref="G357:G365" si="46">E357*1.1</f>
        <v>108.9</v>
      </c>
      <c r="H357" s="19" t="s">
        <v>796</v>
      </c>
      <c r="I357" s="51" t="str">
        <f t="shared" ref="I357:I365" si="47">CONCATENATE(A357,",",D357)</f>
        <v>PE 450,ED4-PE</v>
      </c>
      <c r="J357" s="52"/>
    </row>
    <row r="358" spans="1:10" ht="14.5" x14ac:dyDescent="0.35">
      <c r="A358" s="26" t="s">
        <v>325</v>
      </c>
      <c r="B358" s="31" t="str">
        <v>MAINTENANCE AND REPAIRS OF AGRIC. MACHINERY</v>
      </c>
      <c r="C358" s="27" t="str">
        <v>Bobobee Emmanuel Yaovi Hunnuor</v>
      </c>
      <c r="D358" s="26" t="s">
        <v>50</v>
      </c>
      <c r="E358" s="108">
        <v>103</v>
      </c>
      <c r="F358" s="32" t="s">
        <v>797</v>
      </c>
      <c r="G358" s="109">
        <f t="shared" si="46"/>
        <v>113.30000000000001</v>
      </c>
      <c r="H358" s="19" t="s">
        <v>798</v>
      </c>
      <c r="I358" s="20" t="str">
        <f t="shared" si="47"/>
        <v>AE 460,ED4-AE</v>
      </c>
      <c r="J358" s="25"/>
    </row>
    <row r="359" spans="1:10" ht="14.5" x14ac:dyDescent="0.35">
      <c r="A359" s="26" t="s">
        <v>327</v>
      </c>
      <c r="B359" s="31" t="str">
        <v>MACHINE SHOP AND FACTORY DESIGN</v>
      </c>
      <c r="C359" s="31" t="str">
        <v>Obeng George Yaw</v>
      </c>
      <c r="D359" s="26" t="s">
        <v>67</v>
      </c>
      <c r="E359" s="108">
        <v>54</v>
      </c>
      <c r="F359" s="32" t="s">
        <v>574</v>
      </c>
      <c r="G359" s="109">
        <f t="shared" si="46"/>
        <v>59.400000000000006</v>
      </c>
      <c r="H359" s="19" t="s">
        <v>799</v>
      </c>
      <c r="I359" s="20" t="str">
        <f t="shared" si="47"/>
        <v>ME 472,ED4-ME</v>
      </c>
      <c r="J359" s="25"/>
    </row>
    <row r="360" spans="1:10" ht="14.5" x14ac:dyDescent="0.35">
      <c r="A360" s="26" t="s">
        <v>327</v>
      </c>
      <c r="B360" s="31" t="str">
        <v>MACHINE SHOP AND FACTORY DESIGN</v>
      </c>
      <c r="C360" s="31" t="str">
        <v>Obeng George Yaw</v>
      </c>
      <c r="D360" s="26" t="s">
        <v>99</v>
      </c>
      <c r="E360" s="108">
        <v>52</v>
      </c>
      <c r="F360" s="32" t="s">
        <v>786</v>
      </c>
      <c r="G360" s="109">
        <f t="shared" si="46"/>
        <v>57.2</v>
      </c>
      <c r="H360" s="19" t="s">
        <v>800</v>
      </c>
      <c r="I360" s="20" t="str">
        <f t="shared" si="47"/>
        <v>ME 472,ED4-AERO</v>
      </c>
      <c r="J360" s="25"/>
    </row>
    <row r="361" spans="1:10" ht="14.5" x14ac:dyDescent="0.35">
      <c r="A361" s="26" t="s">
        <v>328</v>
      </c>
      <c r="B361" s="31" t="str">
        <v>COMPUTER APPLICATIONS IN CIVIL ENGINEERING</v>
      </c>
      <c r="C361" s="27" t="str">
        <v>Ayeh Felix Jojo Fianko</v>
      </c>
      <c r="D361" s="26" t="s">
        <v>103</v>
      </c>
      <c r="E361" s="108">
        <v>240</v>
      </c>
      <c r="F361" s="32" t="s">
        <v>556</v>
      </c>
      <c r="G361" s="109">
        <f t="shared" si="46"/>
        <v>264</v>
      </c>
      <c r="H361" s="19" t="s">
        <v>752</v>
      </c>
      <c r="I361" s="20" t="str">
        <f t="shared" si="47"/>
        <v>CE 452,ED4-CE</v>
      </c>
      <c r="J361" s="25"/>
    </row>
    <row r="362" spans="1:10" ht="14.5" x14ac:dyDescent="0.35">
      <c r="A362" s="26" t="s">
        <v>341</v>
      </c>
      <c r="B362" s="27" t="str">
        <v>PROFESSIONAL STUDIES AND DEVELOPMENT</v>
      </c>
      <c r="C362" s="31" t="str">
        <v>Akrofi Emmanuel Offei</v>
      </c>
      <c r="D362" s="26" t="s">
        <v>194</v>
      </c>
      <c r="E362" s="108">
        <v>93</v>
      </c>
      <c r="F362" s="32" t="s">
        <v>582</v>
      </c>
      <c r="G362" s="109">
        <f t="shared" si="46"/>
        <v>102.30000000000001</v>
      </c>
      <c r="H362" s="19" t="s">
        <v>801</v>
      </c>
      <c r="I362" s="20" t="str">
        <f t="shared" si="47"/>
        <v>GE 476,ED4-GEOM</v>
      </c>
      <c r="J362" s="25"/>
    </row>
    <row r="363" spans="1:10" s="23" customFormat="1" ht="15" customHeight="1" x14ac:dyDescent="0.35">
      <c r="A363" s="26" t="s">
        <v>320</v>
      </c>
      <c r="B363" s="27" t="str">
        <v>MEDICAL DEVICE REGULATION</v>
      </c>
      <c r="C363" s="27" t="str">
        <v>Acquah Isaac</v>
      </c>
      <c r="D363" s="26" t="s">
        <v>252</v>
      </c>
      <c r="E363" s="108">
        <v>87</v>
      </c>
      <c r="F363" s="26" t="s">
        <v>792</v>
      </c>
      <c r="G363" s="109">
        <f t="shared" si="46"/>
        <v>95.7</v>
      </c>
      <c r="H363" s="19" t="s">
        <v>802</v>
      </c>
      <c r="I363" s="20" t="str">
        <f t="shared" si="47"/>
        <v>BME 454,ED4-BME</v>
      </c>
      <c r="J363" s="25"/>
    </row>
    <row r="364" spans="1:10" s="120" customFormat="1" ht="14.5" x14ac:dyDescent="0.35">
      <c r="A364" s="113" t="s">
        <v>465</v>
      </c>
      <c r="B364" s="114" t="str">
        <v>DIGITAL COMMUNICATION SYSTEMS</v>
      </c>
      <c r="C364" s="118" t="str">
        <v>Charles Mawutor Adrah</v>
      </c>
      <c r="D364" s="113" t="s">
        <v>71</v>
      </c>
      <c r="E364" s="115">
        <v>240</v>
      </c>
      <c r="F364" s="160" t="s">
        <v>954</v>
      </c>
      <c r="G364" s="116">
        <f t="shared" si="46"/>
        <v>264</v>
      </c>
      <c r="H364" s="117" t="s">
        <v>775</v>
      </c>
      <c r="I364" s="131" t="str">
        <f t="shared" si="47"/>
        <v>TE 386,ED3-EE</v>
      </c>
      <c r="J364" s="119"/>
    </row>
    <row r="365" spans="1:10" ht="14.5" x14ac:dyDescent="0.35">
      <c r="A365" s="26" t="s">
        <v>309</v>
      </c>
      <c r="B365" s="27" t="str">
        <v>PRINCIPLES OF GIS</v>
      </c>
      <c r="C365" s="31" t="str">
        <v>Forkuo Eric Kwabena</v>
      </c>
      <c r="D365" s="26" t="s">
        <v>77</v>
      </c>
      <c r="E365" s="108">
        <v>122</v>
      </c>
      <c r="F365" s="42" t="s">
        <v>803</v>
      </c>
      <c r="G365" s="109">
        <f t="shared" si="46"/>
        <v>134.20000000000002</v>
      </c>
      <c r="H365" s="19" t="s">
        <v>804</v>
      </c>
      <c r="I365" s="20" t="str">
        <f t="shared" si="47"/>
        <v>GE 362,ED3-GEOM</v>
      </c>
      <c r="J365" s="25"/>
    </row>
    <row r="366" spans="1:10" ht="14.5" x14ac:dyDescent="0.35">
      <c r="A366" s="35"/>
      <c r="B366" s="35"/>
      <c r="D366" s="27" t="s">
        <v>331</v>
      </c>
      <c r="E366" s="121">
        <f>SUM(E357:E365)</f>
        <v>1090</v>
      </c>
      <c r="F366" s="36"/>
      <c r="G366" s="122"/>
      <c r="I366" s="22" t="s">
        <v>332</v>
      </c>
      <c r="J366" s="25"/>
    </row>
    <row r="367" spans="1:10" ht="14.5" x14ac:dyDescent="0.35">
      <c r="A367" s="14" t="s">
        <v>333</v>
      </c>
      <c r="B367" s="14"/>
      <c r="C367" s="14"/>
      <c r="D367" s="14"/>
      <c r="E367" s="14"/>
      <c r="F367" s="14"/>
      <c r="G367" s="14"/>
      <c r="I367" s="22" t="str">
        <f>A367</f>
        <v>Thursday, 27 August 2025</v>
      </c>
      <c r="J367" s="25"/>
    </row>
    <row r="368" spans="1:10" ht="14.5" x14ac:dyDescent="0.35">
      <c r="A368" s="14" t="s">
        <v>2</v>
      </c>
      <c r="B368" s="14"/>
      <c r="C368" s="14"/>
      <c r="D368" s="14"/>
      <c r="E368" s="14"/>
      <c r="F368" s="14"/>
      <c r="G368" s="14"/>
      <c r="I368" s="22" t="str">
        <f>A368</f>
        <v>Session, 1 (8:30 AM - 10:30 AM)</v>
      </c>
      <c r="J368" s="25"/>
    </row>
    <row r="369" spans="1:10" ht="14.5" x14ac:dyDescent="0.35">
      <c r="A369" s="24" t="s">
        <v>4</v>
      </c>
      <c r="B369" s="24" t="s">
        <v>5</v>
      </c>
      <c r="C369" s="16" t="s">
        <v>6</v>
      </c>
      <c r="D369" s="24" t="s">
        <v>7</v>
      </c>
      <c r="E369" s="106" t="s">
        <v>8</v>
      </c>
      <c r="F369" s="16" t="s">
        <v>9</v>
      </c>
      <c r="G369" s="107" t="s">
        <v>10</v>
      </c>
      <c r="I369" s="22" t="s">
        <v>31</v>
      </c>
      <c r="J369" s="25"/>
    </row>
    <row r="370" spans="1:10" ht="14.5" x14ac:dyDescent="0.35">
      <c r="A370" s="26" t="s">
        <v>335</v>
      </c>
      <c r="B370" s="27" t="str">
        <f t="array" ref="B370:B377">IFERROR(VLOOKUP(I370:I377,Lectures_1!A2:F534,2,FALSE()),0)</f>
        <v>FOUNDATION ENGINEERING</v>
      </c>
      <c r="C370" s="27" t="str">
        <f t="array" ref="C370:C377">IFERROR(VLOOKUP(I370:I377,Lectures_1!A2:F534,3,FALSE()),0)</f>
        <v>Amenuvor Andrew Cudzo</v>
      </c>
      <c r="D370" s="26" t="s">
        <v>154</v>
      </c>
      <c r="E370" s="108">
        <f t="array" ref="E370:E377">IFERROR(VLOOKUP(I370:I377,Lectures_1!A2:F534,4,FALSE()),0)</f>
        <v>154</v>
      </c>
      <c r="F370" s="32" t="s">
        <v>805</v>
      </c>
      <c r="G370" s="109">
        <f t="shared" ref="G370:G377" si="48">E370*1.1</f>
        <v>169.4</v>
      </c>
      <c r="H370" s="19" t="s">
        <v>806</v>
      </c>
      <c r="I370" s="20" t="str">
        <f t="shared" ref="I370:I377" si="49">CONCATENATE(A370,",",D370)</f>
        <v>GED 370,ED3-GEOL</v>
      </c>
      <c r="J370" s="25"/>
    </row>
    <row r="371" spans="1:10" ht="14.5" x14ac:dyDescent="0.35">
      <c r="A371" s="26" t="s">
        <v>336</v>
      </c>
      <c r="B371" s="27" t="str">
        <v>FOUNDATION ENGINEERING</v>
      </c>
      <c r="C371" s="31" t="str">
        <v>Acquaah Vincent Kofi Abaka</v>
      </c>
      <c r="D371" s="26" t="s">
        <v>157</v>
      </c>
      <c r="E371" s="108">
        <v>230</v>
      </c>
      <c r="F371" s="32" t="s">
        <v>556</v>
      </c>
      <c r="G371" s="109">
        <f t="shared" si="48"/>
        <v>253.00000000000003</v>
      </c>
      <c r="H371" s="19" t="s">
        <v>807</v>
      </c>
      <c r="I371" s="20" t="str">
        <f t="shared" si="49"/>
        <v>CE 360,ED3-CE</v>
      </c>
      <c r="J371" s="25"/>
    </row>
    <row r="372" spans="1:10" ht="14.5" x14ac:dyDescent="0.35">
      <c r="A372" s="26" t="s">
        <v>337</v>
      </c>
      <c r="B372" s="27" t="str">
        <v>MANUFACTURING TECHNOLOGY</v>
      </c>
      <c r="C372" s="31" t="str">
        <v>Boahen Samuel</v>
      </c>
      <c r="D372" s="26" t="s">
        <v>38</v>
      </c>
      <c r="E372" s="108">
        <v>80</v>
      </c>
      <c r="F372" s="32" t="s">
        <v>574</v>
      </c>
      <c r="G372" s="109">
        <f t="shared" si="48"/>
        <v>88</v>
      </c>
      <c r="H372" s="19" t="s">
        <v>661</v>
      </c>
      <c r="I372" s="20" t="str">
        <f t="shared" si="49"/>
        <v>ME 270,ED2-IND</v>
      </c>
      <c r="J372" s="25"/>
    </row>
    <row r="373" spans="1:10" ht="14.5" x14ac:dyDescent="0.35">
      <c r="A373" s="26" t="s">
        <v>337</v>
      </c>
      <c r="B373" s="31" t="str">
        <v>MANUFACTURING TECHNOLOGY</v>
      </c>
      <c r="C373" s="31" t="str">
        <v>Boahen Samuel</v>
      </c>
      <c r="D373" s="26" t="s">
        <v>42</v>
      </c>
      <c r="E373" s="108">
        <v>37</v>
      </c>
      <c r="F373" s="32" t="s">
        <v>808</v>
      </c>
      <c r="G373" s="109">
        <f t="shared" si="48"/>
        <v>40.700000000000003</v>
      </c>
      <c r="H373" s="19">
        <v>37</v>
      </c>
      <c r="I373" s="20" t="str">
        <f t="shared" si="49"/>
        <v>ME 270,ED2-MARI</v>
      </c>
      <c r="J373" s="25"/>
    </row>
    <row r="374" spans="1:10" ht="14.5" x14ac:dyDescent="0.35">
      <c r="A374" s="26" t="s">
        <v>337</v>
      </c>
      <c r="B374" s="31" t="str">
        <v>MANUFACTURING TECHNOLOGY</v>
      </c>
      <c r="C374" s="31" t="str">
        <v>Boahen Samuel</v>
      </c>
      <c r="D374" s="26" t="s">
        <v>40</v>
      </c>
      <c r="E374" s="108">
        <v>82</v>
      </c>
      <c r="F374" s="32" t="s">
        <v>571</v>
      </c>
      <c r="G374" s="109">
        <f t="shared" si="48"/>
        <v>90.2</v>
      </c>
      <c r="H374" s="19" t="s">
        <v>809</v>
      </c>
      <c r="I374" s="20" t="str">
        <f t="shared" si="49"/>
        <v>ME 270,ED2-AUTO</v>
      </c>
      <c r="J374" s="25"/>
    </row>
    <row r="375" spans="1:10" ht="14.5" x14ac:dyDescent="0.35">
      <c r="A375" s="26" t="s">
        <v>338</v>
      </c>
      <c r="B375" s="27" t="str">
        <v>STRENGTH OF MATERIALS FOR CHEMICAL ENGINEERS</v>
      </c>
      <c r="C375" s="31" t="str">
        <v>Anang Daniel Adjah</v>
      </c>
      <c r="D375" s="26" t="s">
        <v>13</v>
      </c>
      <c r="E375" s="108">
        <v>160</v>
      </c>
      <c r="F375" s="32" t="s">
        <v>745</v>
      </c>
      <c r="G375" s="109">
        <f t="shared" si="48"/>
        <v>176</v>
      </c>
      <c r="H375" s="19" t="s">
        <v>810</v>
      </c>
      <c r="I375" s="20" t="str">
        <f t="shared" si="49"/>
        <v>CHE 250,ED2-CHE</v>
      </c>
      <c r="J375" s="25"/>
    </row>
    <row r="376" spans="1:10" s="120" customFormat="1" ht="14.5" x14ac:dyDescent="0.35">
      <c r="A376" s="113" t="s">
        <v>329</v>
      </c>
      <c r="B376" s="118" t="str">
        <v>INTRO TO PYTHON &amp; COMPUTER NETWORKING</v>
      </c>
      <c r="C376" s="114" t="str">
        <v>Charles Mawutor Adrah</v>
      </c>
      <c r="D376" s="113" t="s">
        <v>51</v>
      </c>
      <c r="E376" s="115">
        <v>340</v>
      </c>
      <c r="F376" s="160" t="s">
        <v>954</v>
      </c>
      <c r="G376" s="116">
        <f t="shared" si="48"/>
        <v>374.00000000000006</v>
      </c>
      <c r="H376" s="117" t="s">
        <v>778</v>
      </c>
      <c r="I376" s="131" t="str">
        <f t="shared" si="49"/>
        <v>EE 158,ED1-EE</v>
      </c>
      <c r="J376" s="119"/>
    </row>
    <row r="377" spans="1:10" ht="14.5" x14ac:dyDescent="0.35">
      <c r="A377" s="26" t="s">
        <v>340</v>
      </c>
      <c r="B377" s="27" t="str">
        <v>ADVANCED MANUFACTURING TECHNOLOGY I</v>
      </c>
      <c r="C377" s="31" t="str">
        <v>Takyi Gabriel</v>
      </c>
      <c r="D377" s="26" t="s">
        <v>121</v>
      </c>
      <c r="E377" s="108">
        <v>70</v>
      </c>
      <c r="F377" s="32" t="s">
        <v>529</v>
      </c>
      <c r="G377" s="109">
        <f t="shared" si="48"/>
        <v>77</v>
      </c>
      <c r="H377" s="19" t="s">
        <v>649</v>
      </c>
      <c r="I377" s="20" t="str">
        <f t="shared" si="49"/>
        <v>IE 366,ED3-IND</v>
      </c>
      <c r="J377" s="25"/>
    </row>
    <row r="378" spans="1:10" ht="14.5" x14ac:dyDescent="0.35">
      <c r="A378" s="35"/>
      <c r="B378" s="35"/>
      <c r="D378" s="27" t="s">
        <v>342</v>
      </c>
      <c r="E378" s="121">
        <f>SUM(E370:E377)</f>
        <v>1153</v>
      </c>
      <c r="F378" s="36"/>
      <c r="G378" s="122"/>
      <c r="I378" s="22" t="s">
        <v>343</v>
      </c>
      <c r="J378" s="25"/>
    </row>
    <row r="379" spans="1:10" ht="14.5" x14ac:dyDescent="0.35">
      <c r="A379" s="14" t="s">
        <v>333</v>
      </c>
      <c r="B379" s="14"/>
      <c r="C379" s="14"/>
      <c r="D379" s="14"/>
      <c r="E379" s="14"/>
      <c r="F379" s="14"/>
      <c r="G379" s="14"/>
      <c r="I379" s="22" t="str">
        <f>A379</f>
        <v>Thursday, 27 August 2025</v>
      </c>
      <c r="J379" s="25"/>
    </row>
    <row r="380" spans="1:10" ht="14.5" x14ac:dyDescent="0.35">
      <c r="A380" s="14" t="s">
        <v>29</v>
      </c>
      <c r="B380" s="14"/>
      <c r="C380" s="14"/>
      <c r="D380" s="14"/>
      <c r="E380" s="14"/>
      <c r="F380" s="14"/>
      <c r="G380" s="14"/>
      <c r="I380" s="22" t="str">
        <f>A380</f>
        <v>Session, 2 (12:00 PM - 2:00 PM)</v>
      </c>
      <c r="J380" s="25"/>
    </row>
    <row r="381" spans="1:10" ht="14.5" x14ac:dyDescent="0.35">
      <c r="A381" s="24" t="s">
        <v>4</v>
      </c>
      <c r="B381" s="24" t="s">
        <v>5</v>
      </c>
      <c r="C381" s="16" t="s">
        <v>6</v>
      </c>
      <c r="D381" s="24" t="s">
        <v>7</v>
      </c>
      <c r="E381" s="106" t="s">
        <v>8</v>
      </c>
      <c r="F381" s="16" t="s">
        <v>9</v>
      </c>
      <c r="G381" s="107" t="s">
        <v>10</v>
      </c>
      <c r="I381" s="22" t="s">
        <v>31</v>
      </c>
      <c r="J381" s="25"/>
    </row>
    <row r="382" spans="1:10" ht="14.5" x14ac:dyDescent="0.35">
      <c r="A382" s="26" t="s">
        <v>137</v>
      </c>
      <c r="B382" s="27" t="str">
        <f t="array" ref="B382:B393">IFERROR(VLOOKUP(I382:I393,Lectures_1!A2:F534,2,FALSE()),0)</f>
        <v>ELECTRICAL MEASUREMENT AND INSTRUMENTATION</v>
      </c>
      <c r="C382" s="31" t="str">
        <f t="array" ref="C382:C393">IFERROR(VLOOKUP(I382:I393,Lectures_1!A2:F534,3,FALSE()),0)</f>
        <v>Obeng Kwakye Kingsford Sarkodie</v>
      </c>
      <c r="D382" s="26" t="s">
        <v>91</v>
      </c>
      <c r="E382" s="108">
        <f t="array" ref="E382:E393">IFERROR(VLOOKUP(I382:I393,Lectures_1!A2:F534,4,FALSE()),0)</f>
        <v>130</v>
      </c>
      <c r="F382" s="32" t="s">
        <v>731</v>
      </c>
      <c r="G382" s="109">
        <f t="shared" ref="G382:G393" si="50">E382*1.1</f>
        <v>143</v>
      </c>
      <c r="H382" s="19" t="s">
        <v>658</v>
      </c>
      <c r="I382" s="20" t="str">
        <f t="shared" ref="I382:I393" si="51">CONCATENATE(A382,",",D382)</f>
        <v>EE 188,ED1-TEL</v>
      </c>
      <c r="J382" s="25"/>
    </row>
    <row r="383" spans="1:10" ht="14.5" x14ac:dyDescent="0.35">
      <c r="A383" s="26" t="s">
        <v>345</v>
      </c>
      <c r="B383" s="27" t="str">
        <v>ENTREPRENEURSHIP AND BUSINESS DEVELOPMENT</v>
      </c>
      <c r="C383" s="31" t="str">
        <v>Asamoah Boateng Kenneth</v>
      </c>
      <c r="D383" s="26" t="s">
        <v>48</v>
      </c>
      <c r="E383" s="108">
        <v>114</v>
      </c>
      <c r="F383" s="42" t="s">
        <v>811</v>
      </c>
      <c r="G383" s="109">
        <f t="shared" si="50"/>
        <v>125.4</v>
      </c>
      <c r="H383" s="19" t="s">
        <v>812</v>
      </c>
      <c r="I383" s="20" t="str">
        <f t="shared" si="51"/>
        <v>CHE 458,ED4-CHE</v>
      </c>
      <c r="J383" s="25"/>
    </row>
    <row r="384" spans="1:10" ht="14.5" x14ac:dyDescent="0.35">
      <c r="A384" s="26" t="s">
        <v>345</v>
      </c>
      <c r="B384" s="27" t="str">
        <v>ENTREPRENEURSHIP AND BUSINESS DEVELOPMENT</v>
      </c>
      <c r="C384" s="31" t="str">
        <v>Asamoah Boateng Kenneth</v>
      </c>
      <c r="D384" s="26" t="s">
        <v>44</v>
      </c>
      <c r="E384" s="108">
        <v>55</v>
      </c>
      <c r="F384" s="32" t="s">
        <v>545</v>
      </c>
      <c r="G384" s="109">
        <f t="shared" si="50"/>
        <v>60.500000000000007</v>
      </c>
      <c r="H384" s="19">
        <v>55</v>
      </c>
      <c r="I384" s="20" t="str">
        <f t="shared" si="51"/>
        <v>CHE 458,ED4-PCE</v>
      </c>
      <c r="J384" s="25"/>
    </row>
    <row r="385" spans="1:10" s="112" customFormat="1" ht="14.5" x14ac:dyDescent="0.35">
      <c r="A385" s="26" t="s">
        <v>346</v>
      </c>
      <c r="B385" s="31" t="str">
        <v>SYSTEM ENGINEERING II</v>
      </c>
      <c r="C385" s="27" t="str">
        <v>Osei Jack Banahene</v>
      </c>
      <c r="D385" s="26" t="s">
        <v>103</v>
      </c>
      <c r="E385" s="108">
        <v>115</v>
      </c>
      <c r="F385" s="32" t="s">
        <v>813</v>
      </c>
      <c r="G385" s="109">
        <f t="shared" si="50"/>
        <v>126.50000000000001</v>
      </c>
      <c r="H385" s="19" t="s">
        <v>814</v>
      </c>
      <c r="I385" s="110" t="str">
        <f t="shared" si="51"/>
        <v>CE 476,ED4-CE</v>
      </c>
      <c r="J385" s="111"/>
    </row>
    <row r="386" spans="1:10" ht="14.5" x14ac:dyDescent="0.35">
      <c r="A386" s="26" t="s">
        <v>347</v>
      </c>
      <c r="B386" s="27" t="str">
        <v>HEAT TRANSFER</v>
      </c>
      <c r="C386" s="31" t="str">
        <v>Forson Francis Kofi</v>
      </c>
      <c r="D386" s="26" t="s">
        <v>61</v>
      </c>
      <c r="E386" s="108">
        <v>222</v>
      </c>
      <c r="F386" s="42" t="s">
        <v>556</v>
      </c>
      <c r="G386" s="109">
        <f t="shared" si="50"/>
        <v>244.20000000000002</v>
      </c>
      <c r="H386" s="19" t="s">
        <v>815</v>
      </c>
      <c r="I386" s="20" t="str">
        <f t="shared" si="51"/>
        <v>ME 366,ED3-ME</v>
      </c>
      <c r="J386" s="25"/>
    </row>
    <row r="387" spans="1:10" ht="14.5" x14ac:dyDescent="0.35">
      <c r="A387" s="26" t="s">
        <v>347</v>
      </c>
      <c r="B387" s="27" t="str">
        <v>HEAT TRANSFER</v>
      </c>
      <c r="C387" s="31" t="str">
        <v>Forson Francis Kofi</v>
      </c>
      <c r="D387" s="26" t="s">
        <v>133</v>
      </c>
      <c r="E387" s="108">
        <v>76</v>
      </c>
      <c r="F387" s="32" t="s">
        <v>574</v>
      </c>
      <c r="G387" s="109">
        <f t="shared" si="50"/>
        <v>83.600000000000009</v>
      </c>
      <c r="H387" s="19" t="s">
        <v>536</v>
      </c>
      <c r="I387" s="20" t="str">
        <f t="shared" si="51"/>
        <v>ME 366,ED3-AERO</v>
      </c>
      <c r="J387" s="25"/>
    </row>
    <row r="388" spans="1:10" ht="14.5" x14ac:dyDescent="0.35">
      <c r="A388" s="26" t="s">
        <v>347</v>
      </c>
      <c r="B388" s="27" t="str">
        <v>HEAT TRANSFER</v>
      </c>
      <c r="C388" s="31" t="str">
        <v>Forson Francis Kofi</v>
      </c>
      <c r="D388" s="26" t="s">
        <v>88</v>
      </c>
      <c r="E388" s="108">
        <v>101</v>
      </c>
      <c r="F388" s="42" t="s">
        <v>603</v>
      </c>
      <c r="G388" s="109">
        <f t="shared" si="50"/>
        <v>111.10000000000001</v>
      </c>
      <c r="H388" s="19" t="s">
        <v>644</v>
      </c>
      <c r="I388" s="20" t="str">
        <f t="shared" si="51"/>
        <v>ME 366,ED3-AE</v>
      </c>
      <c r="J388" s="25"/>
    </row>
    <row r="389" spans="1:10" ht="14.5" x14ac:dyDescent="0.35">
      <c r="A389" s="26" t="s">
        <v>347</v>
      </c>
      <c r="B389" s="27" t="str">
        <v>HEAT TRANSFER</v>
      </c>
      <c r="C389" s="31" t="str">
        <v>Forson Francis Kofi</v>
      </c>
      <c r="D389" s="26" t="s">
        <v>86</v>
      </c>
      <c r="E389" s="108">
        <v>40</v>
      </c>
      <c r="F389" s="32" t="s">
        <v>560</v>
      </c>
      <c r="G389" s="109">
        <f t="shared" si="50"/>
        <v>44</v>
      </c>
      <c r="H389" s="19">
        <v>40</v>
      </c>
      <c r="I389" s="20" t="str">
        <f t="shared" si="51"/>
        <v>ME 366,ED3-MARI</v>
      </c>
      <c r="J389" s="25"/>
    </row>
    <row r="390" spans="1:10" s="112" customFormat="1" ht="14.5" x14ac:dyDescent="0.35">
      <c r="A390" s="26" t="s">
        <v>348</v>
      </c>
      <c r="B390" s="27" t="str">
        <v>ROBOTICS AND COMPUTER VISION</v>
      </c>
      <c r="C390" s="27" t="str">
        <v>Klogo Griffith Selorm</v>
      </c>
      <c r="D390" s="26" t="s">
        <v>251</v>
      </c>
      <c r="E390" s="108">
        <v>45</v>
      </c>
      <c r="F390" s="32" t="s">
        <v>541</v>
      </c>
      <c r="G390" s="109">
        <f t="shared" si="50"/>
        <v>49.500000000000007</v>
      </c>
      <c r="H390" s="19">
        <v>45</v>
      </c>
      <c r="I390" s="110" t="str">
        <f t="shared" si="51"/>
        <v>COE 458,ED4-COE</v>
      </c>
      <c r="J390" s="111"/>
    </row>
    <row r="391" spans="1:10" ht="14.5" x14ac:dyDescent="0.35">
      <c r="A391" s="26" t="s">
        <v>355</v>
      </c>
      <c r="B391" s="31" t="str">
        <v>INTRODUCTORY GEOLOGY</v>
      </c>
      <c r="C391" s="31" t="str">
        <v>Gawu Simon Kafui Yawo</v>
      </c>
      <c r="D391" s="26" t="s">
        <v>114</v>
      </c>
      <c r="E391" s="108">
        <v>75</v>
      </c>
      <c r="F391" s="32" t="s">
        <v>546</v>
      </c>
      <c r="G391" s="109">
        <f t="shared" si="50"/>
        <v>82.5</v>
      </c>
      <c r="H391" s="19">
        <v>75</v>
      </c>
      <c r="I391" s="20" t="str">
        <f t="shared" si="51"/>
        <v>GED 162,ED1-METE</v>
      </c>
      <c r="J391" s="25"/>
    </row>
    <row r="392" spans="1:10" s="120" customFormat="1" ht="14.5" x14ac:dyDescent="0.35">
      <c r="A392" s="113" t="s">
        <v>374</v>
      </c>
      <c r="B392" s="118" t="str">
        <v>PETROLEUM BUSINESS: STRUCTURES, LOGISTICS</v>
      </c>
      <c r="C392" s="118" t="str">
        <v>Quaye Jonathan Atuquaye</v>
      </c>
      <c r="D392" s="113" t="s">
        <v>46</v>
      </c>
      <c r="E392" s="115">
        <v>77</v>
      </c>
      <c r="F392" s="113" t="s">
        <v>956</v>
      </c>
      <c r="G392" s="116">
        <f t="shared" si="50"/>
        <v>84.7</v>
      </c>
      <c r="H392" s="117">
        <v>77</v>
      </c>
      <c r="I392" s="131" t="str">
        <f t="shared" si="51"/>
        <v>PE 468,ED4-PE</v>
      </c>
      <c r="J392" s="119"/>
    </row>
    <row r="393" spans="1:10" s="120" customFormat="1" ht="14.5" x14ac:dyDescent="0.35">
      <c r="A393" s="113" t="s">
        <v>349</v>
      </c>
      <c r="B393" s="114" t="str">
        <v>OIL &amp; GAS GEOLPHYSICS</v>
      </c>
      <c r="C393" s="118" t="str">
        <v>Quaye Jonathan Atuquaye</v>
      </c>
      <c r="D393" s="113" t="s">
        <v>18</v>
      </c>
      <c r="E393" s="115">
        <v>80</v>
      </c>
      <c r="F393" s="113" t="s">
        <v>955</v>
      </c>
      <c r="G393" s="116">
        <f t="shared" si="50"/>
        <v>88</v>
      </c>
      <c r="H393" s="117">
        <v>80</v>
      </c>
      <c r="I393" s="131" t="str">
        <f t="shared" si="51"/>
        <v>PE 364,ED3-PE</v>
      </c>
      <c r="J393" s="119"/>
    </row>
    <row r="394" spans="1:10" ht="14.5" x14ac:dyDescent="0.35">
      <c r="A394" s="35"/>
      <c r="B394" s="35"/>
      <c r="D394" s="27" t="s">
        <v>350</v>
      </c>
      <c r="E394" s="121">
        <f>SUM(E382:E393)</f>
        <v>1130</v>
      </c>
      <c r="F394" s="36"/>
      <c r="G394" s="122"/>
      <c r="I394" s="22" t="s">
        <v>351</v>
      </c>
      <c r="J394" s="25"/>
    </row>
    <row r="395" spans="1:10" ht="14.5" x14ac:dyDescent="0.35">
      <c r="A395" s="14" t="s">
        <v>333</v>
      </c>
      <c r="B395" s="14"/>
      <c r="C395" s="14"/>
      <c r="D395" s="14"/>
      <c r="E395" s="14"/>
      <c r="F395" s="14"/>
      <c r="G395" s="14"/>
      <c r="I395" s="22" t="str">
        <f>A395</f>
        <v>Thursday, 27 August 2025</v>
      </c>
      <c r="J395" s="25"/>
    </row>
    <row r="396" spans="1:10" ht="14.5" x14ac:dyDescent="0.35">
      <c r="A396" s="14" t="s">
        <v>59</v>
      </c>
      <c r="B396" s="14"/>
      <c r="C396" s="14"/>
      <c r="D396" s="14"/>
      <c r="E396" s="14"/>
      <c r="F396" s="14"/>
      <c r="G396" s="14"/>
      <c r="I396" s="22" t="str">
        <f>A396</f>
        <v>Session, 3 (3:00 PM - 5:00 PM)</v>
      </c>
      <c r="J396" s="25"/>
    </row>
    <row r="397" spans="1:10" ht="14.5" x14ac:dyDescent="0.35">
      <c r="A397" s="24" t="s">
        <v>4</v>
      </c>
      <c r="B397" s="24" t="s">
        <v>5</v>
      </c>
      <c r="C397" s="16" t="s">
        <v>6</v>
      </c>
      <c r="D397" s="24" t="s">
        <v>7</v>
      </c>
      <c r="E397" s="106" t="s">
        <v>8</v>
      </c>
      <c r="F397" s="16" t="s">
        <v>9</v>
      </c>
      <c r="G397" s="107" t="s">
        <v>10</v>
      </c>
      <c r="I397" s="22" t="s">
        <v>31</v>
      </c>
      <c r="J397" s="25"/>
    </row>
    <row r="398" spans="1:10" s="120" customFormat="1" ht="14.5" x14ac:dyDescent="0.35">
      <c r="A398" s="113" t="s">
        <v>352</v>
      </c>
      <c r="B398" s="114" t="str">
        <f t="array" ref="B398:B408">IFERROR(VLOOKUP(I398:I408,Lectures_1!A2:F534,2,FALSE()),0)</f>
        <v>MICROPROCESSORS</v>
      </c>
      <c r="C398" s="118" t="str">
        <f t="array" ref="C398:C408">IFERROR(VLOOKUP(I398:I408,Lectures_1!A2:F534,3,FALSE()),0)</f>
        <v>Agyemang Justice Owusu</v>
      </c>
      <c r="D398" s="113" t="s">
        <v>172</v>
      </c>
      <c r="E398" s="115">
        <f t="array" ref="E398:E408">IFERROR(VLOOKUP(I398:I408,Lectures_1!A2:F534,4,FALSE()),0)</f>
        <v>175</v>
      </c>
      <c r="F398" s="113" t="s">
        <v>962</v>
      </c>
      <c r="G398" s="116">
        <f t="shared" ref="G398:G408" si="52">E398*1.1</f>
        <v>192.50000000000003</v>
      </c>
      <c r="H398" s="117" t="s">
        <v>816</v>
      </c>
      <c r="I398" s="131" t="str">
        <f t="shared" ref="I398:I408" si="53">CONCATENATE(A398,",",D398)</f>
        <v>TE 258,ED2-TEL</v>
      </c>
      <c r="J398" s="119"/>
    </row>
    <row r="399" spans="1:10" s="120" customFormat="1" ht="14.5" x14ac:dyDescent="0.35">
      <c r="A399" s="113" t="s">
        <v>338</v>
      </c>
      <c r="B399" s="114" t="str">
        <v>STRENGTH OF MATERIALS FOR CHEMICAL ENGINEERS</v>
      </c>
      <c r="C399" s="118" t="str">
        <v>Baidoo Martina Francisca</v>
      </c>
      <c r="D399" s="113" t="s">
        <v>14</v>
      </c>
      <c r="E399" s="115">
        <v>65</v>
      </c>
      <c r="F399" s="113" t="s">
        <v>956</v>
      </c>
      <c r="G399" s="116">
        <f t="shared" si="52"/>
        <v>71.5</v>
      </c>
      <c r="H399" s="117">
        <v>65</v>
      </c>
      <c r="I399" s="131" t="str">
        <f t="shared" si="53"/>
        <v>CHE 250,ED2-PCE</v>
      </c>
      <c r="J399" s="119"/>
    </row>
    <row r="400" spans="1:10" s="15" customFormat="1" ht="14.5" x14ac:dyDescent="0.35">
      <c r="A400" s="26" t="s">
        <v>353</v>
      </c>
      <c r="B400" s="31" t="str">
        <v>POWER SYSTEMS PLANNING AND OPTIMIZATION</v>
      </c>
      <c r="C400" s="31" t="str">
        <v>Antoh Emmanuel Kwaku</v>
      </c>
      <c r="D400" s="26" t="s">
        <v>144</v>
      </c>
      <c r="E400" s="108">
        <v>165</v>
      </c>
      <c r="F400" s="32" t="s">
        <v>706</v>
      </c>
      <c r="G400" s="109">
        <f t="shared" si="52"/>
        <v>181.50000000000003</v>
      </c>
      <c r="H400" s="19" t="s">
        <v>817</v>
      </c>
      <c r="I400" s="55" t="str">
        <f t="shared" si="53"/>
        <v>EE 466,ED4-EE</v>
      </c>
      <c r="J400" s="56"/>
    </row>
    <row r="401" spans="1:13" ht="14.5" x14ac:dyDescent="0.35">
      <c r="A401" s="26" t="s">
        <v>354</v>
      </c>
      <c r="B401" s="31" t="str">
        <v>BASIC MINERAL SCIENCE</v>
      </c>
      <c r="C401" s="31" t="str">
        <v>Appiah-Adjei Emmanuel Kwame</v>
      </c>
      <c r="D401" s="26" t="s">
        <v>126</v>
      </c>
      <c r="E401" s="108">
        <v>125</v>
      </c>
      <c r="F401" s="32" t="s">
        <v>818</v>
      </c>
      <c r="G401" s="109">
        <f t="shared" si="52"/>
        <v>137.5</v>
      </c>
      <c r="H401" s="19" t="s">
        <v>819</v>
      </c>
      <c r="I401" s="20" t="str">
        <f t="shared" si="53"/>
        <v>GED 152,ED1-GEOL</v>
      </c>
      <c r="J401" s="25"/>
    </row>
    <row r="402" spans="1:13" s="15" customFormat="1" ht="14.5" x14ac:dyDescent="0.35">
      <c r="A402" s="26" t="s">
        <v>356</v>
      </c>
      <c r="B402" s="27" t="str">
        <v>AEROSPACE STRUCTURES</v>
      </c>
      <c r="C402" s="31" t="str">
        <v>Agyei Agyemang Anthony</v>
      </c>
      <c r="D402" s="46" t="s">
        <v>36</v>
      </c>
      <c r="E402" s="108">
        <v>75</v>
      </c>
      <c r="F402" s="32" t="s">
        <v>574</v>
      </c>
      <c r="G402" s="109">
        <f t="shared" si="52"/>
        <v>82.5</v>
      </c>
      <c r="H402" s="19" t="s">
        <v>820</v>
      </c>
      <c r="I402" s="20" t="str">
        <f t="shared" si="53"/>
        <v>AERO 256,ED2-AERO</v>
      </c>
      <c r="J402" s="25"/>
      <c r="K402" s="21"/>
      <c r="L402" s="21"/>
      <c r="M402" s="21"/>
    </row>
    <row r="403" spans="1:13" s="53" customFormat="1" ht="14.5" x14ac:dyDescent="0.35">
      <c r="A403" s="26" t="s">
        <v>383</v>
      </c>
      <c r="B403" s="31" t="str">
        <v>MECHANICS OF MATERIALS</v>
      </c>
      <c r="C403" s="31" t="str">
        <v>Mensah-Darkwa Kwadwo</v>
      </c>
      <c r="D403" s="26" t="s">
        <v>140</v>
      </c>
      <c r="E403" s="108">
        <v>85</v>
      </c>
      <c r="F403" s="47" t="s">
        <v>791</v>
      </c>
      <c r="G403" s="109">
        <f t="shared" si="52"/>
        <v>93.500000000000014</v>
      </c>
      <c r="H403" s="40" t="s">
        <v>821</v>
      </c>
      <c r="I403" s="51" t="str">
        <f t="shared" si="53"/>
        <v>MSE 360,ED3-MSE</v>
      </c>
      <c r="J403" s="52"/>
    </row>
    <row r="404" spans="1:13" ht="14.5" x14ac:dyDescent="0.35">
      <c r="A404" s="26" t="s">
        <v>366</v>
      </c>
      <c r="B404" s="27" t="str">
        <v>HEAT AND MASS TRANSPORT</v>
      </c>
      <c r="C404" s="31" t="str">
        <v>Agyemang Frank Ofori</v>
      </c>
      <c r="D404" s="26" t="s">
        <v>210</v>
      </c>
      <c r="E404" s="108">
        <v>83</v>
      </c>
      <c r="F404" s="32" t="s">
        <v>822</v>
      </c>
      <c r="G404" s="109">
        <f t="shared" si="52"/>
        <v>91.300000000000011</v>
      </c>
      <c r="H404" s="19" t="s">
        <v>823</v>
      </c>
      <c r="I404" s="20" t="str">
        <f t="shared" si="53"/>
        <v>MSE 252,ED2-MSE</v>
      </c>
      <c r="J404" s="25"/>
    </row>
    <row r="405" spans="1:13" ht="14.5" x14ac:dyDescent="0.35">
      <c r="A405" s="26" t="s">
        <v>366</v>
      </c>
      <c r="B405" s="27" t="str">
        <v>HEAT AND MASS TRANSPORT</v>
      </c>
      <c r="C405" s="31" t="str">
        <v>Agyemang Frank Ofori</v>
      </c>
      <c r="D405" s="26" t="s">
        <v>101</v>
      </c>
      <c r="E405" s="108">
        <v>57</v>
      </c>
      <c r="F405" s="32" t="s">
        <v>529</v>
      </c>
      <c r="G405" s="109">
        <f t="shared" si="52"/>
        <v>62.7</v>
      </c>
      <c r="H405" s="19" t="s">
        <v>824</v>
      </c>
      <c r="I405" s="20" t="str">
        <f t="shared" si="53"/>
        <v>MSE 252,ED2-METE</v>
      </c>
      <c r="J405" s="25"/>
    </row>
    <row r="406" spans="1:13" ht="14.5" x14ac:dyDescent="0.35">
      <c r="A406" s="26" t="s">
        <v>382</v>
      </c>
      <c r="B406" s="27" t="str">
        <v>RENEWABLE ENERGY RESOURCES</v>
      </c>
      <c r="C406" s="31" t="str">
        <v>Baah-Ennumh Emmanuel Kwaku</v>
      </c>
      <c r="D406" s="26" t="s">
        <v>63</v>
      </c>
      <c r="E406" s="108">
        <v>20</v>
      </c>
      <c r="F406" s="19" t="s">
        <v>716</v>
      </c>
      <c r="G406" s="109">
        <f t="shared" si="52"/>
        <v>22</v>
      </c>
      <c r="H406" s="19">
        <v>20</v>
      </c>
      <c r="I406" s="20" t="str">
        <f t="shared" si="53"/>
        <v>CHE 366,ED3-PCE</v>
      </c>
      <c r="J406" s="25"/>
    </row>
    <row r="407" spans="1:13" ht="14.5" x14ac:dyDescent="0.35">
      <c r="A407" s="26" t="s">
        <v>339</v>
      </c>
      <c r="B407" s="27" t="str">
        <v>ANTENNA THEORY AND DESIGN</v>
      </c>
      <c r="C407" s="31" t="str">
        <v>Ellis Sani Mubarak</v>
      </c>
      <c r="D407" s="26" t="s">
        <v>119</v>
      </c>
      <c r="E407" s="108">
        <v>140</v>
      </c>
      <c r="F407" s="32" t="s">
        <v>706</v>
      </c>
      <c r="G407" s="109">
        <f t="shared" si="52"/>
        <v>154</v>
      </c>
      <c r="H407" s="19" t="s">
        <v>825</v>
      </c>
      <c r="I407" s="20" t="str">
        <f t="shared" si="53"/>
        <v>TE 354,ED3-TEL</v>
      </c>
      <c r="J407" s="25"/>
    </row>
    <row r="408" spans="1:13" ht="14.5" x14ac:dyDescent="0.35">
      <c r="A408" s="26" t="s">
        <v>359</v>
      </c>
      <c r="B408" s="31" t="str">
        <v>PRINCIPLES OF LAND SURVEYING AND HYDROGRAPHIC SCIENCE</v>
      </c>
      <c r="C408" s="31" t="str">
        <v>Asante Cosmas Yaw</v>
      </c>
      <c r="D408" s="32" t="s">
        <v>93</v>
      </c>
      <c r="E408" s="108">
        <v>95</v>
      </c>
      <c r="F408" s="32" t="s">
        <v>571</v>
      </c>
      <c r="G408" s="109">
        <f t="shared" si="52"/>
        <v>104.50000000000001</v>
      </c>
      <c r="H408" s="19" t="s">
        <v>826</v>
      </c>
      <c r="I408" s="20" t="str">
        <f t="shared" si="53"/>
        <v>PE 264,ED2-PE</v>
      </c>
      <c r="J408" s="25"/>
    </row>
    <row r="409" spans="1:13" ht="14.5" x14ac:dyDescent="0.35">
      <c r="A409" s="35"/>
      <c r="B409" s="36"/>
      <c r="D409" s="27" t="s">
        <v>360</v>
      </c>
      <c r="E409" s="121">
        <f>SUM(E398:E408)</f>
        <v>1085</v>
      </c>
      <c r="F409" s="36"/>
      <c r="G409" s="122"/>
      <c r="I409" s="22" t="s">
        <v>361</v>
      </c>
      <c r="J409" s="25"/>
    </row>
    <row r="410" spans="1:13" ht="14.5" x14ac:dyDescent="0.35">
      <c r="A410" s="14" t="s">
        <v>362</v>
      </c>
      <c r="B410" s="14"/>
      <c r="C410" s="14"/>
      <c r="D410" s="14"/>
      <c r="E410" s="14"/>
      <c r="F410" s="14"/>
      <c r="G410" s="14"/>
      <c r="I410" s="22" t="str">
        <f>A410</f>
        <v>Friday, 28 August 2026</v>
      </c>
      <c r="J410" s="25"/>
    </row>
    <row r="411" spans="1:13" ht="14.5" x14ac:dyDescent="0.35">
      <c r="A411" s="14" t="s">
        <v>2</v>
      </c>
      <c r="B411" s="14"/>
      <c r="C411" s="14"/>
      <c r="D411" s="14"/>
      <c r="E411" s="14"/>
      <c r="F411" s="14"/>
      <c r="G411" s="14"/>
      <c r="I411" s="22" t="str">
        <f>A411</f>
        <v>Session, 1 (8:30 AM - 10:30 AM)</v>
      </c>
      <c r="J411" s="25"/>
    </row>
    <row r="412" spans="1:13" ht="14.5" x14ac:dyDescent="0.35">
      <c r="A412" s="24" t="s">
        <v>4</v>
      </c>
      <c r="B412" s="24" t="s">
        <v>5</v>
      </c>
      <c r="C412" s="16" t="s">
        <v>6</v>
      </c>
      <c r="D412" s="24" t="s">
        <v>7</v>
      </c>
      <c r="E412" s="106" t="s">
        <v>8</v>
      </c>
      <c r="F412" s="16" t="s">
        <v>9</v>
      </c>
      <c r="G412" s="107" t="s">
        <v>10</v>
      </c>
      <c r="I412" s="22" t="s">
        <v>31</v>
      </c>
      <c r="J412" s="25"/>
    </row>
    <row r="413" spans="1:13" s="112" customFormat="1" ht="14.5" x14ac:dyDescent="0.35">
      <c r="A413" s="123" t="s">
        <v>364</v>
      </c>
      <c r="B413" s="124" t="str">
        <f t="array" ref="B413:B425">IFERROR(VLOOKUP(I413:I425,Lectures_1!A2:F534,2,FALSE()),0)</f>
        <v>COMMUNICATION SKILLS II</v>
      </c>
      <c r="C413" s="124" t="str">
        <f t="array" ref="C413:C425">IFERROR(VLOOKUP(I413:I425,Lectures_1!A2:F534,3,FALSE()),0)</f>
        <v>Yeboah Philomena Ama Okyeso</v>
      </c>
      <c r="D413" s="123" t="s">
        <v>191</v>
      </c>
      <c r="E413" s="129">
        <f t="array" ref="E413:E425">IFERROR(VLOOKUP(I413:I425,Lectures_1!A2:F534,4,FALSE()),0)</f>
        <v>70</v>
      </c>
      <c r="F413" s="10" t="s">
        <v>34</v>
      </c>
      <c r="G413" s="126">
        <f t="shared" ref="G413:G425" si="54">E413*1.1</f>
        <v>77</v>
      </c>
      <c r="H413" s="127"/>
      <c r="I413" s="110" t="str">
        <f t="shared" ref="I413:I425" si="55">CONCATENATE(A413,",",D413)</f>
        <v>ENGL 158,ED1-AERO</v>
      </c>
      <c r="J413" s="111"/>
    </row>
    <row r="414" spans="1:13" s="112" customFormat="1" ht="14.5" x14ac:dyDescent="0.35">
      <c r="A414" s="123" t="s">
        <v>364</v>
      </c>
      <c r="B414" s="124" t="str">
        <v>COMMUNICATION SKILLS II</v>
      </c>
      <c r="C414" s="124" t="str">
        <v>Yeboah Philomena Ama Okyeso</v>
      </c>
      <c r="D414" s="123" t="s">
        <v>131</v>
      </c>
      <c r="E414" s="129">
        <v>128</v>
      </c>
      <c r="F414" s="10"/>
      <c r="G414" s="126">
        <f t="shared" si="54"/>
        <v>140.80000000000001</v>
      </c>
      <c r="H414" s="127"/>
      <c r="I414" s="110" t="str">
        <f t="shared" si="55"/>
        <v>ENGL 158,ED1-AE</v>
      </c>
      <c r="J414" s="111"/>
    </row>
    <row r="415" spans="1:13" s="112" customFormat="1" ht="14.5" x14ac:dyDescent="0.35">
      <c r="A415" s="123" t="s">
        <v>364</v>
      </c>
      <c r="B415" s="124" t="str">
        <v>COMMUNICATION SKILLS II</v>
      </c>
      <c r="C415" s="124" t="str">
        <v>Yeboah Philomena Ama Okyeso</v>
      </c>
      <c r="D415" s="123" t="s">
        <v>130</v>
      </c>
      <c r="E415" s="129">
        <v>136</v>
      </c>
      <c r="F415" s="10"/>
      <c r="G415" s="126">
        <f t="shared" si="54"/>
        <v>149.60000000000002</v>
      </c>
      <c r="H415" s="127"/>
      <c r="I415" s="110" t="str">
        <f t="shared" si="55"/>
        <v>ENGL 158,ED1-BME</v>
      </c>
      <c r="J415" s="111"/>
    </row>
    <row r="416" spans="1:13" s="112" customFormat="1" ht="14.5" x14ac:dyDescent="0.35">
      <c r="A416" s="123" t="s">
        <v>364</v>
      </c>
      <c r="B416" s="124" t="str">
        <v>COMMUNICATION SKILLS II</v>
      </c>
      <c r="C416" s="128" t="str">
        <v>Patricia Gustafson-Asamoah</v>
      </c>
      <c r="D416" s="123" t="s">
        <v>75</v>
      </c>
      <c r="E416" s="129">
        <v>245</v>
      </c>
      <c r="F416" s="10"/>
      <c r="G416" s="126">
        <f t="shared" si="54"/>
        <v>269.5</v>
      </c>
      <c r="H416" s="127"/>
      <c r="I416" s="110" t="str">
        <f t="shared" si="55"/>
        <v>ENGL 158,ED1-CE</v>
      </c>
      <c r="J416" s="111"/>
    </row>
    <row r="417" spans="1:10" s="112" customFormat="1" ht="14.5" x14ac:dyDescent="0.35">
      <c r="A417" s="123" t="s">
        <v>364</v>
      </c>
      <c r="B417" s="124" t="str">
        <v>COMMUNICATION  SKILLS II</v>
      </c>
      <c r="C417" s="124" t="str">
        <v>Yeboah Philomena Ama Okyeso</v>
      </c>
      <c r="D417" s="123" t="s">
        <v>80</v>
      </c>
      <c r="E417" s="129">
        <v>120</v>
      </c>
      <c r="F417" s="10"/>
      <c r="G417" s="126">
        <f t="shared" si="54"/>
        <v>132</v>
      </c>
      <c r="H417" s="127"/>
      <c r="I417" s="110" t="str">
        <f t="shared" si="55"/>
        <v>ENGL 158,ED1-CHE</v>
      </c>
      <c r="J417" s="111"/>
    </row>
    <row r="418" spans="1:10" s="112" customFormat="1" ht="14.5" x14ac:dyDescent="0.35">
      <c r="A418" s="123" t="s">
        <v>364</v>
      </c>
      <c r="B418" s="124" t="str">
        <v>COMMUNICATION SKILLS II</v>
      </c>
      <c r="C418" s="124" t="str">
        <v>Bernard Ampong</v>
      </c>
      <c r="D418" s="123" t="s">
        <v>20</v>
      </c>
      <c r="E418" s="129">
        <v>262</v>
      </c>
      <c r="F418" s="10"/>
      <c r="G418" s="126">
        <f t="shared" si="54"/>
        <v>288.20000000000005</v>
      </c>
      <c r="H418" s="127"/>
      <c r="I418" s="110" t="str">
        <f t="shared" si="55"/>
        <v>ENGL 158,ED1-COE</v>
      </c>
      <c r="J418" s="111"/>
    </row>
    <row r="419" spans="1:10" s="120" customFormat="1" ht="14.5" x14ac:dyDescent="0.35">
      <c r="A419" s="113" t="s">
        <v>365</v>
      </c>
      <c r="B419" s="114" t="str">
        <v>AC MACHINES</v>
      </c>
      <c r="C419" s="118" t="str">
        <v>Asigri Peter</v>
      </c>
      <c r="D419" s="113" t="s">
        <v>25</v>
      </c>
      <c r="E419" s="115">
        <v>340</v>
      </c>
      <c r="F419" s="180" t="s">
        <v>954</v>
      </c>
      <c r="G419" s="116">
        <f t="shared" si="54"/>
        <v>374.00000000000006</v>
      </c>
      <c r="H419" s="117" t="s">
        <v>778</v>
      </c>
      <c r="I419" s="131" t="str">
        <f t="shared" si="55"/>
        <v>EE 262,ED2-EE</v>
      </c>
      <c r="J419" s="119"/>
    </row>
    <row r="420" spans="1:10" ht="14.5" x14ac:dyDescent="0.35">
      <c r="A420" s="26" t="s">
        <v>367</v>
      </c>
      <c r="B420" s="24" t="str">
        <v>SOIL AND ROCK MECHANICS</v>
      </c>
      <c r="C420" s="31" t="str">
        <v>Frederick Owusu-Nimo</v>
      </c>
      <c r="D420" s="26" t="s">
        <v>56</v>
      </c>
      <c r="E420" s="163">
        <v>250</v>
      </c>
      <c r="F420" s="32" t="s">
        <v>531</v>
      </c>
      <c r="G420" s="109">
        <f t="shared" si="54"/>
        <v>275</v>
      </c>
      <c r="H420" s="19" t="s">
        <v>827</v>
      </c>
      <c r="I420" s="20" t="str">
        <f t="shared" si="55"/>
        <v>CE 260,ED2-CE</v>
      </c>
      <c r="J420" s="25"/>
    </row>
    <row r="421" spans="1:10" ht="14.5" x14ac:dyDescent="0.35">
      <c r="A421" s="26" t="s">
        <v>367</v>
      </c>
      <c r="B421" s="24" t="str">
        <v>SOIL AND ROCK MECHANICS</v>
      </c>
      <c r="C421" s="31" t="str">
        <v>Owusu-Nimo Frederick</v>
      </c>
      <c r="D421" s="26" t="s">
        <v>170</v>
      </c>
      <c r="E421" s="163">
        <v>132</v>
      </c>
      <c r="F421" s="42" t="s">
        <v>731</v>
      </c>
      <c r="G421" s="109">
        <f t="shared" si="54"/>
        <v>145.20000000000002</v>
      </c>
      <c r="H421" s="19" t="s">
        <v>828</v>
      </c>
      <c r="I421" s="20" t="str">
        <f t="shared" si="55"/>
        <v>CE 260,ED2-GEOM</v>
      </c>
      <c r="J421" s="25"/>
    </row>
    <row r="422" spans="1:10" ht="14.5" x14ac:dyDescent="0.35">
      <c r="A422" s="26" t="s">
        <v>368</v>
      </c>
      <c r="B422" s="31" t="str">
        <v>BIOSIGNAL PROCESSES AND ANALYSIS</v>
      </c>
      <c r="C422" s="31" t="str">
        <v>Adjei Prince Ebenezer</v>
      </c>
      <c r="D422" s="26" t="s">
        <v>65</v>
      </c>
      <c r="E422" s="108">
        <v>90</v>
      </c>
      <c r="F422" s="32" t="s">
        <v>571</v>
      </c>
      <c r="G422" s="109">
        <f t="shared" si="54"/>
        <v>99.000000000000014</v>
      </c>
      <c r="H422" s="19" t="s">
        <v>709</v>
      </c>
      <c r="I422" s="20" t="str">
        <f t="shared" si="55"/>
        <v>BME 366,ED3-BME</v>
      </c>
      <c r="J422" s="25"/>
    </row>
    <row r="423" spans="1:10" ht="14.5" x14ac:dyDescent="0.35">
      <c r="A423" s="26" t="s">
        <v>369</v>
      </c>
      <c r="B423" s="27" t="str">
        <v>OPTICAL MINERALOGY</v>
      </c>
      <c r="C423" s="31" t="str">
        <v>Wilson Matthew Coffie</v>
      </c>
      <c r="D423" s="26" t="s">
        <v>55</v>
      </c>
      <c r="E423" s="108">
        <v>150</v>
      </c>
      <c r="F423" s="42" t="s">
        <v>829</v>
      </c>
      <c r="G423" s="109">
        <f t="shared" si="54"/>
        <v>165</v>
      </c>
      <c r="H423" s="19" t="s">
        <v>830</v>
      </c>
      <c r="I423" s="20" t="str">
        <f t="shared" si="55"/>
        <v>GED 258,ED2-GEOL</v>
      </c>
      <c r="J423" s="25"/>
    </row>
    <row r="424" spans="1:10" ht="14.5" x14ac:dyDescent="0.35">
      <c r="A424" s="26" t="s">
        <v>344</v>
      </c>
      <c r="B424" s="27" t="str">
        <v>THEORY OF MACHINES</v>
      </c>
      <c r="C424" s="31" t="str">
        <v>Adam Faisal Wahib</v>
      </c>
      <c r="D424" s="26" t="s">
        <v>53</v>
      </c>
      <c r="E424" s="108">
        <v>155</v>
      </c>
      <c r="F424" s="42" t="s">
        <v>831</v>
      </c>
      <c r="G424" s="109">
        <f t="shared" si="54"/>
        <v>170.5</v>
      </c>
      <c r="H424" s="19" t="s">
        <v>832</v>
      </c>
      <c r="I424" s="20" t="str">
        <f t="shared" si="55"/>
        <v>ME 262,ED2-AE</v>
      </c>
      <c r="J424" s="25"/>
    </row>
    <row r="425" spans="1:10" ht="14.5" x14ac:dyDescent="0.35">
      <c r="A425" s="26" t="s">
        <v>370</v>
      </c>
      <c r="B425" s="27" t="str">
        <v>PACKAGING TECHNOLOGY</v>
      </c>
      <c r="C425" s="31" t="str">
        <v>Baah-Ennumh Emmanuel Kwaku</v>
      </c>
      <c r="D425" s="26" t="s">
        <v>73</v>
      </c>
      <c r="E425" s="108">
        <v>45</v>
      </c>
      <c r="F425" s="32" t="s">
        <v>539</v>
      </c>
      <c r="G425" s="109">
        <f t="shared" si="54"/>
        <v>49.500000000000007</v>
      </c>
      <c r="H425" s="19" t="s">
        <v>833</v>
      </c>
      <c r="I425" s="20" t="str">
        <f t="shared" si="55"/>
        <v>CHE 364,ED3-CHE</v>
      </c>
      <c r="J425" s="25"/>
    </row>
    <row r="426" spans="1:10" ht="14.5" x14ac:dyDescent="0.35">
      <c r="A426" s="35"/>
      <c r="B426" s="35"/>
      <c r="D426" s="27" t="s">
        <v>371</v>
      </c>
      <c r="E426" s="121">
        <f>SUM(E419:E425)</f>
        <v>1162</v>
      </c>
      <c r="F426" s="36"/>
      <c r="G426" s="122"/>
      <c r="I426" s="22"/>
      <c r="J426" s="25"/>
    </row>
    <row r="427" spans="1:10" ht="14.5" x14ac:dyDescent="0.35">
      <c r="A427" s="14" t="s">
        <v>362</v>
      </c>
      <c r="B427" s="14"/>
      <c r="C427" s="14"/>
      <c r="D427" s="14"/>
      <c r="E427" s="14"/>
      <c r="F427" s="14"/>
      <c r="G427" s="14"/>
      <c r="I427" s="22" t="str">
        <f>A427</f>
        <v>Friday, 28 August 2026</v>
      </c>
      <c r="J427" s="25"/>
    </row>
    <row r="428" spans="1:10" ht="14.5" x14ac:dyDescent="0.35">
      <c r="A428" s="14" t="s">
        <v>29</v>
      </c>
      <c r="B428" s="14"/>
      <c r="C428" s="14"/>
      <c r="D428" s="14"/>
      <c r="E428" s="14"/>
      <c r="F428" s="14"/>
      <c r="G428" s="14"/>
      <c r="I428" s="22" t="str">
        <f>A428</f>
        <v>Session, 2 (12:00 PM - 2:00 PM)</v>
      </c>
      <c r="J428" s="25"/>
    </row>
    <row r="429" spans="1:10" ht="14.5" x14ac:dyDescent="0.35">
      <c r="A429" s="24" t="s">
        <v>4</v>
      </c>
      <c r="B429" s="24" t="s">
        <v>5</v>
      </c>
      <c r="C429" s="16" t="s">
        <v>6</v>
      </c>
      <c r="D429" s="24" t="s">
        <v>7</v>
      </c>
      <c r="E429" s="106" t="s">
        <v>8</v>
      </c>
      <c r="F429" s="16" t="s">
        <v>9</v>
      </c>
      <c r="G429" s="107" t="s">
        <v>10</v>
      </c>
      <c r="I429" s="22" t="s">
        <v>31</v>
      </c>
      <c r="J429" s="25"/>
    </row>
    <row r="430" spans="1:10" s="112" customFormat="1" ht="14.5" x14ac:dyDescent="0.35">
      <c r="A430" s="123" t="s">
        <v>364</v>
      </c>
      <c r="B430" s="124" t="str">
        <f t="array" ref="B430:B447">IFERROR(VLOOKUP(I430:I447,Lectures_1!A2:F534,2,FALSE()),0)</f>
        <v>COMMUNICATION SKILLS II</v>
      </c>
      <c r="C430" s="124" t="str">
        <f t="array" ref="C430:C447">IFERROR(VLOOKUP(I430:I447,Lectures_1!A2:F534,3,FALSE()),0)</f>
        <v>Yeboah Philomena Ama Okyeso</v>
      </c>
      <c r="D430" s="123" t="s">
        <v>81</v>
      </c>
      <c r="E430" s="129">
        <f t="array" ref="E430:E447">IFERROR(VLOOKUP(I430:I447,Lectures_1!A2:F534,4,FALSE()),0)</f>
        <v>56</v>
      </c>
      <c r="F430" s="10" t="s">
        <v>372</v>
      </c>
      <c r="G430" s="126">
        <f t="shared" ref="G430:G447" si="56">E430*1.1</f>
        <v>61.600000000000009</v>
      </c>
      <c r="H430" s="127"/>
      <c r="I430" s="110" t="str">
        <f t="shared" ref="I430:I447" si="57">CONCATENATE(A430,",",D430)</f>
        <v>ENGL 158,ED1-PCE</v>
      </c>
      <c r="J430" s="111"/>
    </row>
    <row r="431" spans="1:10" s="112" customFormat="1" ht="14.5" x14ac:dyDescent="0.35">
      <c r="A431" s="123" t="s">
        <v>364</v>
      </c>
      <c r="B431" s="124" t="str">
        <v>COMMUNICATION SKILLS II</v>
      </c>
      <c r="C431" s="124" t="str">
        <v>Sarfo-Adu Kwasi</v>
      </c>
      <c r="D431" s="123" t="s">
        <v>162</v>
      </c>
      <c r="E431" s="129">
        <v>85</v>
      </c>
      <c r="F431" s="10"/>
      <c r="G431" s="126">
        <f t="shared" si="56"/>
        <v>93.500000000000014</v>
      </c>
      <c r="H431" s="127"/>
      <c r="I431" s="110" t="str">
        <f t="shared" si="57"/>
        <v>ENGL 158,ED1-AUTO</v>
      </c>
      <c r="J431" s="111"/>
    </row>
    <row r="432" spans="1:10" s="112" customFormat="1" ht="14.5" x14ac:dyDescent="0.35">
      <c r="A432" s="123" t="s">
        <v>364</v>
      </c>
      <c r="B432" s="124" t="str">
        <v>COMMUNICATION SKILLS II</v>
      </c>
      <c r="C432" s="128" t="str">
        <v>Yeboah Philomena Ama Okyeso</v>
      </c>
      <c r="D432" s="123" t="s">
        <v>51</v>
      </c>
      <c r="E432" s="129">
        <v>295</v>
      </c>
      <c r="F432" s="10"/>
      <c r="G432" s="126">
        <f t="shared" si="56"/>
        <v>324.5</v>
      </c>
      <c r="H432" s="127"/>
      <c r="I432" s="110" t="str">
        <f t="shared" si="57"/>
        <v>ENGL 158,ED1-EE</v>
      </c>
      <c r="J432" s="111"/>
    </row>
    <row r="433" spans="1:10" s="112" customFormat="1" ht="14.5" x14ac:dyDescent="0.35">
      <c r="A433" s="123" t="s">
        <v>364</v>
      </c>
      <c r="B433" s="124" t="str">
        <v>COMMUNICATION SKILLS II</v>
      </c>
      <c r="C433" s="181" t="str">
        <v>Yeboah Philomena Ama Okyeso</v>
      </c>
      <c r="D433" s="123" t="s">
        <v>111</v>
      </c>
      <c r="E433" s="129">
        <v>83</v>
      </c>
      <c r="F433" s="10"/>
      <c r="G433" s="126">
        <f t="shared" si="56"/>
        <v>91.300000000000011</v>
      </c>
      <c r="H433" s="127"/>
      <c r="I433" s="110" t="str">
        <f t="shared" si="57"/>
        <v>ENGL 158,ED1-IND</v>
      </c>
      <c r="J433" s="111"/>
    </row>
    <row r="434" spans="1:10" s="112" customFormat="1" ht="14.5" x14ac:dyDescent="0.35">
      <c r="A434" s="123" t="s">
        <v>364</v>
      </c>
      <c r="B434" s="124" t="str">
        <v>COMMUNICATION SKILLS II</v>
      </c>
      <c r="C434" s="128" t="str">
        <v>Yeboah Philomena Ama Okyeso</v>
      </c>
      <c r="D434" s="123" t="s">
        <v>126</v>
      </c>
      <c r="E434" s="129">
        <v>125</v>
      </c>
      <c r="F434" s="10"/>
      <c r="G434" s="126">
        <f t="shared" si="56"/>
        <v>137.5</v>
      </c>
      <c r="H434" s="127"/>
      <c r="I434" s="110" t="str">
        <f t="shared" si="57"/>
        <v>ENGL 158,ED1-GEOL</v>
      </c>
      <c r="J434" s="111"/>
    </row>
    <row r="435" spans="1:10" s="112" customFormat="1" ht="14.5" x14ac:dyDescent="0.35">
      <c r="A435" s="123" t="s">
        <v>364</v>
      </c>
      <c r="B435" s="181" t="str">
        <v>COMMUNICATION SKILLS II</v>
      </c>
      <c r="C435" s="181" t="str">
        <v>Alhassan Yakubu</v>
      </c>
      <c r="D435" s="123" t="s">
        <v>115</v>
      </c>
      <c r="E435" s="182">
        <v>100</v>
      </c>
      <c r="F435" s="10"/>
      <c r="G435" s="126">
        <f t="shared" si="56"/>
        <v>110.00000000000001</v>
      </c>
      <c r="H435" s="127"/>
      <c r="I435" s="110" t="str">
        <f t="shared" si="57"/>
        <v>ENGL 158,ED1-MSE</v>
      </c>
      <c r="J435" s="111"/>
    </row>
    <row r="436" spans="1:10" s="112" customFormat="1" ht="14.5" x14ac:dyDescent="0.35">
      <c r="A436" s="123" t="s">
        <v>364</v>
      </c>
      <c r="B436" s="181" t="str">
        <v>COMMUNICATION SKILLS II</v>
      </c>
      <c r="C436" s="181" t="str">
        <v>Yeboah Philomena Ama Okyeso</v>
      </c>
      <c r="D436" s="123" t="s">
        <v>95</v>
      </c>
      <c r="E436" s="182">
        <v>103</v>
      </c>
      <c r="F436" s="10"/>
      <c r="G436" s="126">
        <f t="shared" si="56"/>
        <v>113.30000000000001</v>
      </c>
      <c r="H436" s="127"/>
      <c r="I436" s="110" t="str">
        <f t="shared" si="57"/>
        <v>ENGL 158,ED1-GEOM</v>
      </c>
      <c r="J436" s="111"/>
    </row>
    <row r="437" spans="1:10" ht="14.5" x14ac:dyDescent="0.35">
      <c r="A437" s="26" t="s">
        <v>373</v>
      </c>
      <c r="B437" s="31" t="str">
        <v>MANAGEMENT AND ENTREPRENEURSHIP DEVELOPMENT</v>
      </c>
      <c r="C437" s="31" t="str">
        <v>Aikins Stephen Hill Mends</v>
      </c>
      <c r="D437" s="26" t="s">
        <v>251</v>
      </c>
      <c r="E437" s="108">
        <v>160</v>
      </c>
      <c r="F437" s="32" t="s">
        <v>617</v>
      </c>
      <c r="G437" s="109">
        <f t="shared" si="56"/>
        <v>176</v>
      </c>
      <c r="H437" s="19" t="s">
        <v>774</v>
      </c>
      <c r="I437" s="20" t="str">
        <f t="shared" si="57"/>
        <v>ME 492,ED4-COE</v>
      </c>
      <c r="J437" s="25"/>
    </row>
    <row r="438" spans="1:10" ht="14.5" x14ac:dyDescent="0.35">
      <c r="A438" s="26" t="s">
        <v>373</v>
      </c>
      <c r="B438" s="31" t="str">
        <v>ENTREPRENEURSHIP DEVELOPMENT AND MANAGEMENT</v>
      </c>
      <c r="C438" s="31" t="str">
        <v>Mensah Lena Dzifa</v>
      </c>
      <c r="D438" s="26" t="s">
        <v>144</v>
      </c>
      <c r="E438" s="108">
        <v>205</v>
      </c>
      <c r="F438" s="47" t="s">
        <v>834</v>
      </c>
      <c r="G438" s="109">
        <f t="shared" si="56"/>
        <v>225.50000000000003</v>
      </c>
      <c r="H438" s="19" t="s">
        <v>610</v>
      </c>
      <c r="I438" s="20" t="str">
        <f t="shared" si="57"/>
        <v>ME 492,ED4-EE</v>
      </c>
      <c r="J438" s="25"/>
    </row>
    <row r="439" spans="1:10" ht="14.5" x14ac:dyDescent="0.35">
      <c r="A439" s="26" t="s">
        <v>373</v>
      </c>
      <c r="B439" s="31" t="str">
        <v xml:space="preserve">ENTREPRENEURSHIP MANAGEMENT </v>
      </c>
      <c r="C439" s="31" t="str">
        <v>Asiedu Charlotte</v>
      </c>
      <c r="D439" s="26" t="s">
        <v>124</v>
      </c>
      <c r="E439" s="108">
        <v>69</v>
      </c>
      <c r="F439" s="32" t="s">
        <v>545</v>
      </c>
      <c r="G439" s="109">
        <f t="shared" si="56"/>
        <v>75.900000000000006</v>
      </c>
      <c r="H439" s="19">
        <v>69</v>
      </c>
      <c r="I439" s="20" t="str">
        <f t="shared" si="57"/>
        <v>ME 492,ED4-IND</v>
      </c>
      <c r="J439" s="25"/>
    </row>
    <row r="440" spans="1:10" ht="14.5" x14ac:dyDescent="0.35">
      <c r="A440" s="26" t="s">
        <v>373</v>
      </c>
      <c r="B440" s="31" t="str">
        <v>MANAGEMENT AND ENTREPRENEURSHIP DEVELOPMENT</v>
      </c>
      <c r="C440" s="31" t="str">
        <v>Mensah Lena Dzifa</v>
      </c>
      <c r="D440" s="26" t="s">
        <v>67</v>
      </c>
      <c r="E440" s="108">
        <v>135</v>
      </c>
      <c r="F440" s="47" t="s">
        <v>835</v>
      </c>
      <c r="G440" s="109">
        <f t="shared" si="56"/>
        <v>148.5</v>
      </c>
      <c r="H440" s="19" t="s">
        <v>836</v>
      </c>
      <c r="I440" s="20" t="str">
        <f t="shared" si="57"/>
        <v>ME 492,ED4-ME</v>
      </c>
      <c r="J440" s="25"/>
    </row>
    <row r="441" spans="1:10" ht="14.5" x14ac:dyDescent="0.35">
      <c r="A441" s="26" t="s">
        <v>373</v>
      </c>
      <c r="B441" s="31" t="str">
        <v>MANAGEMENT AND ENTREPRENEURSHIP DEVELOPMENT</v>
      </c>
      <c r="C441" s="31" t="str">
        <v>Mensah Lena Dzifa</v>
      </c>
      <c r="D441" s="26" t="s">
        <v>136</v>
      </c>
      <c r="E441" s="108">
        <v>55</v>
      </c>
      <c r="F441" s="32" t="s">
        <v>837</v>
      </c>
      <c r="G441" s="109">
        <f t="shared" si="56"/>
        <v>60.500000000000007</v>
      </c>
      <c r="H441" s="19" t="s">
        <v>767</v>
      </c>
      <c r="I441" s="20" t="str">
        <f t="shared" si="57"/>
        <v>ME 492,ED4-METE</v>
      </c>
      <c r="J441" s="25"/>
    </row>
    <row r="442" spans="1:10" ht="14.5" x14ac:dyDescent="0.35">
      <c r="A442" s="26" t="s">
        <v>373</v>
      </c>
      <c r="B442" s="31" t="str">
        <v>MANAGEMENT AND ENTREPRENEURSHIP DEVELOPMENT</v>
      </c>
      <c r="C442" s="31" t="str">
        <v>Mensah Lena Dzifa</v>
      </c>
      <c r="D442" s="26" t="s">
        <v>99</v>
      </c>
      <c r="E442" s="108">
        <v>61</v>
      </c>
      <c r="F442" s="32" t="s">
        <v>624</v>
      </c>
      <c r="G442" s="109">
        <f t="shared" si="56"/>
        <v>67.100000000000009</v>
      </c>
      <c r="H442" s="19" t="s">
        <v>588</v>
      </c>
      <c r="I442" s="20" t="str">
        <f t="shared" si="57"/>
        <v>ME 492,ED4-AERO</v>
      </c>
      <c r="J442" s="25"/>
    </row>
    <row r="443" spans="1:10" ht="14.5" x14ac:dyDescent="0.35">
      <c r="A443" s="26" t="s">
        <v>373</v>
      </c>
      <c r="B443" s="31" t="str">
        <v>MANAGEMENT AND ENTREPRENEURSHIP DEVELOPMENT</v>
      </c>
      <c r="C443" s="31" t="str">
        <v>Mensah Lena Dzifa</v>
      </c>
      <c r="D443" s="26" t="s">
        <v>97</v>
      </c>
      <c r="E443" s="108">
        <v>32</v>
      </c>
      <c r="F443" s="32" t="s">
        <v>541</v>
      </c>
      <c r="G443" s="109">
        <f t="shared" si="56"/>
        <v>35.200000000000003</v>
      </c>
      <c r="H443" s="19">
        <v>32</v>
      </c>
      <c r="I443" s="20" t="str">
        <f t="shared" si="57"/>
        <v>ME 492,ED4-AUTO</v>
      </c>
      <c r="J443" s="25"/>
    </row>
    <row r="444" spans="1:10" ht="14.5" x14ac:dyDescent="0.35">
      <c r="A444" s="26" t="s">
        <v>373</v>
      </c>
      <c r="B444" s="31" t="str">
        <v>ENTREPRENEURSHIP DEVELOPMENT</v>
      </c>
      <c r="C444" s="31" t="str">
        <v>Aikins Stephen Hill Mends</v>
      </c>
      <c r="D444" s="26" t="s">
        <v>252</v>
      </c>
      <c r="E444" s="108">
        <v>87</v>
      </c>
      <c r="F444" s="32" t="s">
        <v>582</v>
      </c>
      <c r="G444" s="109">
        <f t="shared" si="56"/>
        <v>95.7</v>
      </c>
      <c r="H444" s="19" t="s">
        <v>838</v>
      </c>
      <c r="I444" s="20" t="str">
        <f t="shared" si="57"/>
        <v>ME 492,ED4-BME</v>
      </c>
      <c r="J444" s="25"/>
    </row>
    <row r="445" spans="1:10" ht="14.5" x14ac:dyDescent="0.35">
      <c r="A445" s="26" t="s">
        <v>373</v>
      </c>
      <c r="B445" s="31" t="str">
        <v>MANAGEMENT AND ENTREPRENEURSHIP DEVELOPMENT</v>
      </c>
      <c r="C445" s="31" t="str">
        <v>Aikins Stephen Hill Mends</v>
      </c>
      <c r="D445" s="26" t="s">
        <v>50</v>
      </c>
      <c r="E445" s="108">
        <v>103</v>
      </c>
      <c r="F445" s="32" t="s">
        <v>571</v>
      </c>
      <c r="G445" s="109">
        <f t="shared" si="56"/>
        <v>113.30000000000001</v>
      </c>
      <c r="H445" s="19" t="s">
        <v>572</v>
      </c>
      <c r="I445" s="20" t="str">
        <f t="shared" si="57"/>
        <v>ME 492,ED4-AE</v>
      </c>
      <c r="J445" s="25"/>
    </row>
    <row r="446" spans="1:10" ht="14.5" x14ac:dyDescent="0.35">
      <c r="A446" s="26" t="s">
        <v>373</v>
      </c>
      <c r="B446" s="31" t="str">
        <v>MANAGEMENT AND ENTREPRENEURSHIP DEVELOPMENT</v>
      </c>
      <c r="C446" s="31" t="str">
        <v>Mensah Lena Dzifa</v>
      </c>
      <c r="D446" s="26" t="s">
        <v>135</v>
      </c>
      <c r="E446" s="108">
        <v>60</v>
      </c>
      <c r="F446" s="32" t="s">
        <v>546</v>
      </c>
      <c r="G446" s="109">
        <f t="shared" si="56"/>
        <v>66</v>
      </c>
      <c r="H446" s="19">
        <v>60</v>
      </c>
      <c r="I446" s="20" t="str">
        <f t="shared" si="57"/>
        <v>ME 492,ED4-MSE</v>
      </c>
      <c r="J446" s="25"/>
    </row>
    <row r="447" spans="1:10" ht="14.5" x14ac:dyDescent="0.35">
      <c r="A447" s="26" t="s">
        <v>373</v>
      </c>
      <c r="B447" s="31" t="str">
        <v>MANAGEMENT AND ENTREPRENEURSHIP DEVELOPMENT</v>
      </c>
      <c r="C447" s="31" t="str">
        <v>Intsiful Araba Kwegyirba</v>
      </c>
      <c r="D447" s="26" t="s">
        <v>227</v>
      </c>
      <c r="E447" s="108">
        <v>138</v>
      </c>
      <c r="F447" s="32" t="s">
        <v>839</v>
      </c>
      <c r="G447" s="109">
        <f t="shared" si="56"/>
        <v>151.80000000000001</v>
      </c>
      <c r="H447" s="19" t="s">
        <v>840</v>
      </c>
      <c r="I447" s="20" t="str">
        <f t="shared" si="57"/>
        <v>ME 492,ED4-TEL</v>
      </c>
      <c r="J447" s="25"/>
    </row>
    <row r="448" spans="1:10" ht="14.5" x14ac:dyDescent="0.35">
      <c r="A448" s="35"/>
      <c r="B448" s="35"/>
      <c r="D448" s="27" t="s">
        <v>375</v>
      </c>
      <c r="E448" s="121">
        <f>SUM(E437:E447)</f>
        <v>1105</v>
      </c>
      <c r="F448" s="36"/>
      <c r="G448" s="122"/>
      <c r="I448" s="22" t="s">
        <v>376</v>
      </c>
      <c r="J448" s="25"/>
    </row>
    <row r="449" spans="1:10" ht="14.5" x14ac:dyDescent="0.35">
      <c r="G449" s="183"/>
      <c r="J449" s="50"/>
    </row>
    <row r="450" spans="1:10" ht="14.5" x14ac:dyDescent="0.35">
      <c r="G450" s="183"/>
      <c r="J450" s="50"/>
    </row>
    <row r="451" spans="1:10" ht="14.5" x14ac:dyDescent="0.35">
      <c r="A451" s="14" t="s">
        <v>362</v>
      </c>
      <c r="B451" s="14"/>
      <c r="C451" s="14"/>
      <c r="D451" s="14"/>
      <c r="E451" s="14"/>
      <c r="F451" s="14"/>
      <c r="G451" s="14"/>
      <c r="I451" s="22" t="str">
        <f>A451</f>
        <v>Friday, 28 August 2026</v>
      </c>
      <c r="J451" s="25"/>
    </row>
    <row r="452" spans="1:10" ht="14.5" x14ac:dyDescent="0.35">
      <c r="A452" s="14" t="s">
        <v>59</v>
      </c>
      <c r="B452" s="14"/>
      <c r="C452" s="14"/>
      <c r="D452" s="14"/>
      <c r="E452" s="14"/>
      <c r="F452" s="14"/>
      <c r="G452" s="14"/>
      <c r="I452" s="22" t="str">
        <f>A452</f>
        <v>Session, 3 (3:00 PM - 5:00 PM)</v>
      </c>
      <c r="J452" s="25"/>
    </row>
    <row r="453" spans="1:10" ht="14.5" x14ac:dyDescent="0.35">
      <c r="A453" s="24" t="s">
        <v>4</v>
      </c>
      <c r="B453" s="24" t="s">
        <v>5</v>
      </c>
      <c r="C453" s="16" t="s">
        <v>6</v>
      </c>
      <c r="D453" s="24" t="s">
        <v>7</v>
      </c>
      <c r="E453" s="106" t="s">
        <v>8</v>
      </c>
      <c r="F453" s="16" t="s">
        <v>9</v>
      </c>
      <c r="G453" s="107" t="s">
        <v>10</v>
      </c>
      <c r="I453" s="22" t="s">
        <v>31</v>
      </c>
      <c r="J453" s="25"/>
    </row>
    <row r="454" spans="1:10" s="112" customFormat="1" ht="14.5" x14ac:dyDescent="0.35">
      <c r="A454" s="123" t="s">
        <v>364</v>
      </c>
      <c r="B454" s="181" t="str">
        <f t="array" ref="B454:B466">IFERROR(VLOOKUP(I454:I466,Lectures_1!A2:F534,2,FALSE()),0)</f>
        <v>COMMUNICATION SKILLS II</v>
      </c>
      <c r="C454" s="181" t="str">
        <f t="array" ref="C454:C466">IFERROR(VLOOKUP(I454:I466,Lectures_1!A2:F534,3,FALSE()),0)</f>
        <v>Yeboah Philomena Ama Okyeso</v>
      </c>
      <c r="D454" s="123" t="s">
        <v>112</v>
      </c>
      <c r="E454" s="182">
        <f t="array" ref="E454:E466">IFERROR(VLOOKUP(I454:I466,Lectures_1!A2:F534,4,FALSE()),0)</f>
        <v>46</v>
      </c>
      <c r="F454" s="10" t="s">
        <v>34</v>
      </c>
      <c r="G454" s="126">
        <f t="shared" ref="G454:G466" si="58">E454*1.1</f>
        <v>50.6</v>
      </c>
      <c r="H454" s="127"/>
      <c r="I454" s="110" t="str">
        <f t="shared" ref="I454:I466" si="59">CONCATENATE(A454,",",D454)</f>
        <v>ENGL 158,ED1-MARI</v>
      </c>
      <c r="J454" s="111"/>
    </row>
    <row r="455" spans="1:10" s="112" customFormat="1" ht="14.5" x14ac:dyDescent="0.35">
      <c r="A455" s="123" t="s">
        <v>364</v>
      </c>
      <c r="B455" s="181" t="str">
        <v>COMMUNICATION SKILLS II</v>
      </c>
      <c r="C455" s="181" t="str">
        <v>Yeboah Philomena Ama Okyeso</v>
      </c>
      <c r="D455" s="123" t="s">
        <v>161</v>
      </c>
      <c r="E455" s="182">
        <v>225</v>
      </c>
      <c r="F455" s="10"/>
      <c r="G455" s="126">
        <f t="shared" si="58"/>
        <v>247.50000000000003</v>
      </c>
      <c r="H455" s="127"/>
      <c r="I455" s="110" t="str">
        <f t="shared" si="59"/>
        <v>ENGL 158,ED1-ME</v>
      </c>
      <c r="J455" s="111"/>
    </row>
    <row r="456" spans="1:10" s="112" customFormat="1" ht="14.5" x14ac:dyDescent="0.35">
      <c r="A456" s="123" t="s">
        <v>364</v>
      </c>
      <c r="B456" s="124" t="str">
        <v>COMMUNICATION SKILLS II</v>
      </c>
      <c r="C456" s="181" t="str">
        <v>Alhassan Yakubu</v>
      </c>
      <c r="D456" s="123" t="s">
        <v>82</v>
      </c>
      <c r="E456" s="129">
        <v>130</v>
      </c>
      <c r="F456" s="10"/>
      <c r="G456" s="126">
        <f t="shared" si="58"/>
        <v>143</v>
      </c>
      <c r="H456" s="127"/>
      <c r="I456" s="110" t="str">
        <f t="shared" si="59"/>
        <v>ENGL 158,ED1-PE</v>
      </c>
      <c r="J456" s="111"/>
    </row>
    <row r="457" spans="1:10" s="112" customFormat="1" ht="14.5" x14ac:dyDescent="0.35">
      <c r="A457" s="123" t="s">
        <v>364</v>
      </c>
      <c r="B457" s="124" t="str">
        <v>COMMUNICATION SKILLS II</v>
      </c>
      <c r="C457" s="181" t="str">
        <v>Alhassan Yakubu</v>
      </c>
      <c r="D457" s="123" t="s">
        <v>91</v>
      </c>
      <c r="E457" s="129">
        <v>130</v>
      </c>
      <c r="F457" s="10"/>
      <c r="G457" s="126">
        <f t="shared" si="58"/>
        <v>143</v>
      </c>
      <c r="H457" s="127"/>
      <c r="I457" s="110" t="str">
        <f t="shared" si="59"/>
        <v>ENGL 158,ED1-TEL</v>
      </c>
      <c r="J457" s="111"/>
    </row>
    <row r="458" spans="1:10" s="112" customFormat="1" ht="14.5" x14ac:dyDescent="0.35">
      <c r="A458" s="123" t="s">
        <v>364</v>
      </c>
      <c r="B458" s="124" t="str">
        <v>COMMUNICATION SKILLS II</v>
      </c>
      <c r="C458" s="128" t="str">
        <v>Alhassan Yakubu</v>
      </c>
      <c r="D458" s="123" t="s">
        <v>114</v>
      </c>
      <c r="E458" s="129">
        <v>75</v>
      </c>
      <c r="F458" s="10"/>
      <c r="G458" s="126">
        <f t="shared" si="58"/>
        <v>82.5</v>
      </c>
      <c r="H458" s="127"/>
      <c r="I458" s="110" t="str">
        <f t="shared" si="59"/>
        <v>ENGL 158,ED1-METE</v>
      </c>
      <c r="J458" s="111"/>
    </row>
    <row r="459" spans="1:10" ht="14.5" x14ac:dyDescent="0.35">
      <c r="A459" s="26" t="s">
        <v>377</v>
      </c>
      <c r="B459" s="27" t="str">
        <v>DIGITAL SYSTEMS DESIGN I</v>
      </c>
      <c r="C459" s="31" t="str">
        <v>Nunoo-Mensah Henry</v>
      </c>
      <c r="D459" s="26" t="s">
        <v>109</v>
      </c>
      <c r="E459" s="108">
        <v>80</v>
      </c>
      <c r="F459" s="32" t="s">
        <v>529</v>
      </c>
      <c r="G459" s="109">
        <f t="shared" si="58"/>
        <v>88</v>
      </c>
      <c r="H459" s="19" t="s">
        <v>841</v>
      </c>
      <c r="I459" s="20" t="str">
        <f t="shared" si="59"/>
        <v>COE 272,ED2-BME</v>
      </c>
      <c r="J459" s="25"/>
    </row>
    <row r="460" spans="1:10" ht="14.5" x14ac:dyDescent="0.35">
      <c r="A460" s="26" t="s">
        <v>377</v>
      </c>
      <c r="B460" s="27" t="str">
        <v>DIGITAL SYSTEMS DESIGN I</v>
      </c>
      <c r="C460" s="31" t="str">
        <v>Nunoo-Mensah Henry</v>
      </c>
      <c r="D460" s="26" t="s">
        <v>108</v>
      </c>
      <c r="E460" s="108">
        <v>255</v>
      </c>
      <c r="F460" s="32" t="s">
        <v>531</v>
      </c>
      <c r="G460" s="109">
        <f t="shared" si="58"/>
        <v>280.5</v>
      </c>
      <c r="H460" s="19" t="s">
        <v>662</v>
      </c>
      <c r="I460" s="20" t="str">
        <f t="shared" si="59"/>
        <v>COE 272,ED2-COE</v>
      </c>
      <c r="J460" s="25"/>
    </row>
    <row r="461" spans="1:10" ht="14.5" x14ac:dyDescent="0.35">
      <c r="A461" s="26" t="s">
        <v>378</v>
      </c>
      <c r="B461" s="27" t="str">
        <v>HIGHWAY ENGINEERING</v>
      </c>
      <c r="C461" s="27" t="str">
        <v>Tutu Kenneth Adomako</v>
      </c>
      <c r="D461" s="26" t="s">
        <v>157</v>
      </c>
      <c r="E461" s="108">
        <v>230</v>
      </c>
      <c r="F461" s="32" t="s">
        <v>556</v>
      </c>
      <c r="G461" s="109">
        <f t="shared" si="58"/>
        <v>253.00000000000003</v>
      </c>
      <c r="H461" s="19" t="s">
        <v>807</v>
      </c>
      <c r="I461" s="20" t="str">
        <f t="shared" si="59"/>
        <v>CE 368,ED3-CE</v>
      </c>
      <c r="J461" s="25"/>
    </row>
    <row r="462" spans="1:10" ht="14.5" x14ac:dyDescent="0.35">
      <c r="A462" s="26" t="s">
        <v>379</v>
      </c>
      <c r="B462" s="31" t="str">
        <v>MINERAL ECONOMICS AND EVALUATION</v>
      </c>
      <c r="C462" s="31" t="str">
        <v>Foli Gordon</v>
      </c>
      <c r="D462" s="26" t="s">
        <v>154</v>
      </c>
      <c r="E462" s="108">
        <v>154</v>
      </c>
      <c r="F462" s="32" t="s">
        <v>842</v>
      </c>
      <c r="G462" s="109">
        <f t="shared" si="58"/>
        <v>169.4</v>
      </c>
      <c r="H462" s="19" t="s">
        <v>843</v>
      </c>
      <c r="I462" s="20" t="str">
        <f t="shared" si="59"/>
        <v>GED 366,ED3-GEOL</v>
      </c>
      <c r="J462" s="25"/>
    </row>
    <row r="463" spans="1:10" ht="14.5" x14ac:dyDescent="0.35">
      <c r="A463" s="26" t="s">
        <v>380</v>
      </c>
      <c r="B463" s="24" t="str">
        <v>STRENGTH OF MARINE MATERIALS II</v>
      </c>
      <c r="C463" s="31" t="str">
        <v>Adam Faisal Wahib</v>
      </c>
      <c r="D463" s="32" t="s">
        <v>86</v>
      </c>
      <c r="E463" s="163">
        <v>40</v>
      </c>
      <c r="F463" s="42" t="s">
        <v>633</v>
      </c>
      <c r="G463" s="109">
        <f t="shared" si="58"/>
        <v>44</v>
      </c>
      <c r="H463" s="19">
        <v>40</v>
      </c>
      <c r="I463" s="20" t="str">
        <f t="shared" si="59"/>
        <v>MME 356,ED3-MARI</v>
      </c>
      <c r="J463" s="25"/>
    </row>
    <row r="464" spans="1:10" s="120" customFormat="1" ht="14.5" x14ac:dyDescent="0.35">
      <c r="A464" s="113" t="s">
        <v>381</v>
      </c>
      <c r="B464" s="114" t="str">
        <v>HIGH VOLTAGE ENGINEERING</v>
      </c>
      <c r="C464" s="118" t="str">
        <v>Asigri Peter</v>
      </c>
      <c r="D464" s="113" t="s">
        <v>71</v>
      </c>
      <c r="E464" s="115">
        <v>185</v>
      </c>
      <c r="F464" s="160" t="s">
        <v>962</v>
      </c>
      <c r="G464" s="116">
        <f t="shared" si="58"/>
        <v>203.50000000000003</v>
      </c>
      <c r="H464" s="117" t="s">
        <v>844</v>
      </c>
      <c r="I464" s="131" t="str">
        <f t="shared" si="59"/>
        <v>EE 360,ED3-EE</v>
      </c>
      <c r="J464" s="119"/>
    </row>
    <row r="465" spans="1:10" ht="14.5" x14ac:dyDescent="0.35">
      <c r="A465" s="26" t="s">
        <v>358</v>
      </c>
      <c r="B465" s="27" t="str">
        <v>ECONOMIC GEOLLOGY</v>
      </c>
      <c r="C465" s="31" t="str">
        <v>Mensah Emmanuel</v>
      </c>
      <c r="D465" s="46" t="s">
        <v>177</v>
      </c>
      <c r="E465" s="108">
        <v>95</v>
      </c>
      <c r="F465" s="32" t="s">
        <v>582</v>
      </c>
      <c r="G465" s="109">
        <f t="shared" si="58"/>
        <v>104.50000000000001</v>
      </c>
      <c r="H465" s="19" t="s">
        <v>698</v>
      </c>
      <c r="I465" s="20" t="str">
        <f t="shared" si="59"/>
        <v>GED 462,ED4-GEOL</v>
      </c>
      <c r="J465" s="25"/>
    </row>
    <row r="466" spans="1:10" ht="14.5" x14ac:dyDescent="0.35">
      <c r="A466" s="26" t="s">
        <v>384</v>
      </c>
      <c r="B466" s="27" t="str">
        <v>WATER RESOURCES ENGINEERING II</v>
      </c>
      <c r="C466" s="31" t="str">
        <v>Anornu Geophrey Kwame</v>
      </c>
      <c r="D466" s="26" t="s">
        <v>103</v>
      </c>
      <c r="E466" s="108">
        <v>105</v>
      </c>
      <c r="F466" s="32" t="s">
        <v>571</v>
      </c>
      <c r="G466" s="109">
        <f t="shared" si="58"/>
        <v>115.50000000000001</v>
      </c>
      <c r="H466" s="19" t="s">
        <v>788</v>
      </c>
      <c r="I466" s="20" t="str">
        <f t="shared" si="59"/>
        <v>CE 458,ED4-CE</v>
      </c>
      <c r="J466" s="25"/>
    </row>
    <row r="467" spans="1:10" ht="14.5" x14ac:dyDescent="0.35">
      <c r="A467" s="35"/>
      <c r="B467" s="35"/>
      <c r="D467" s="27" t="s">
        <v>385</v>
      </c>
      <c r="E467" s="121">
        <f>SUM(E459:E466)</f>
        <v>1144</v>
      </c>
      <c r="F467" s="36"/>
      <c r="G467" s="122"/>
      <c r="I467" s="22" t="s">
        <v>386</v>
      </c>
      <c r="J467" s="25"/>
    </row>
    <row r="468" spans="1:10" ht="14.5" x14ac:dyDescent="0.35">
      <c r="A468" s="14" t="s">
        <v>387</v>
      </c>
      <c r="B468" s="14"/>
      <c r="C468" s="14"/>
      <c r="D468" s="14"/>
      <c r="E468" s="14"/>
      <c r="F468" s="14"/>
      <c r="G468" s="14"/>
      <c r="I468" s="22" t="str">
        <f>A468</f>
        <v>Monday, 31  August 2026</v>
      </c>
      <c r="J468" s="25"/>
    </row>
    <row r="469" spans="1:10" ht="14.5" x14ac:dyDescent="0.35">
      <c r="A469" s="14" t="s">
        <v>2</v>
      </c>
      <c r="B469" s="14"/>
      <c r="C469" s="14"/>
      <c r="D469" s="14"/>
      <c r="E469" s="14"/>
      <c r="F469" s="14"/>
      <c r="G469" s="14"/>
      <c r="I469" s="22" t="str">
        <f>A469</f>
        <v>Session, 1 (8:30 AM - 10:30 AM)</v>
      </c>
      <c r="J469" s="25"/>
    </row>
    <row r="470" spans="1:10" ht="14.5" x14ac:dyDescent="0.35">
      <c r="A470" s="24" t="s">
        <v>4</v>
      </c>
      <c r="B470" s="24" t="s">
        <v>5</v>
      </c>
      <c r="C470" s="16" t="s">
        <v>6</v>
      </c>
      <c r="D470" s="24" t="s">
        <v>7</v>
      </c>
      <c r="E470" s="106" t="s">
        <v>8</v>
      </c>
      <c r="F470" s="16" t="s">
        <v>9</v>
      </c>
      <c r="G470" s="107" t="s">
        <v>10</v>
      </c>
      <c r="I470" s="22" t="s">
        <v>31</v>
      </c>
      <c r="J470" s="25"/>
    </row>
    <row r="471" spans="1:10" ht="14.5" x14ac:dyDescent="0.35">
      <c r="A471" s="26" t="s">
        <v>389</v>
      </c>
      <c r="B471" s="31" t="str">
        <f t="array" ref="B471:B480">IFERROR(VLOOKUP(I471:I480,Lectures_1!A2:F534,2,FALSE()),0)</f>
        <v>STRENGTH OF MATERIALS II</v>
      </c>
      <c r="C471" s="27" t="str">
        <f t="array" ref="C471:C480">IFERROR(VLOOKUP(I471:I480,Lectures_1!A2:F534,3,FALSE()),0)</f>
        <v>Tay Godwin Fabiola Kwaku</v>
      </c>
      <c r="D471" s="26" t="s">
        <v>61</v>
      </c>
      <c r="E471" s="108">
        <f t="array" ref="E471:E480">IFERROR(VLOOKUP(I471:I480,Lectures_1!A2:F534,4,FALSE()),0)</f>
        <v>222</v>
      </c>
      <c r="F471" s="32" t="s">
        <v>619</v>
      </c>
      <c r="G471" s="109">
        <f t="shared" ref="G471:G480" si="60">E471*1.1</f>
        <v>244.20000000000002</v>
      </c>
      <c r="H471" s="19" t="s">
        <v>845</v>
      </c>
      <c r="I471" s="20" t="str">
        <f t="shared" ref="I471:I480" si="61">CONCATENATE(A471,",",D471)</f>
        <v>ME 356,ED3-ME</v>
      </c>
      <c r="J471" s="25"/>
    </row>
    <row r="472" spans="1:10" ht="14.5" x14ac:dyDescent="0.35">
      <c r="A472" s="26" t="s">
        <v>390</v>
      </c>
      <c r="B472" s="27" t="str">
        <v>PHYSICAL METALLURGY OF NON-FERROUS METALS</v>
      </c>
      <c r="C472" s="31" t="str">
        <v>Agyemang Frank Ofori</v>
      </c>
      <c r="D472" s="26" t="s">
        <v>142</v>
      </c>
      <c r="E472" s="108">
        <v>87</v>
      </c>
      <c r="F472" s="32" t="s">
        <v>564</v>
      </c>
      <c r="G472" s="109">
        <f t="shared" si="60"/>
        <v>95.7</v>
      </c>
      <c r="H472" s="19" t="s">
        <v>846</v>
      </c>
      <c r="I472" s="20" t="str">
        <f t="shared" si="61"/>
        <v>METE 354,ED3-METE</v>
      </c>
      <c r="J472" s="25"/>
    </row>
    <row r="473" spans="1:10" ht="14.5" x14ac:dyDescent="0.35">
      <c r="A473" s="26" t="s">
        <v>391</v>
      </c>
      <c r="B473" s="27" t="str">
        <v>COMPUTER NETWORKING</v>
      </c>
      <c r="C473" s="31" t="str">
        <v>Kwasi Adu-Boahen Opare</v>
      </c>
      <c r="D473" s="26" t="s">
        <v>119</v>
      </c>
      <c r="E473" s="108">
        <v>140</v>
      </c>
      <c r="F473" s="32" t="s">
        <v>693</v>
      </c>
      <c r="G473" s="109">
        <f t="shared" si="60"/>
        <v>154</v>
      </c>
      <c r="H473" s="19" t="s">
        <v>847</v>
      </c>
      <c r="I473" s="20" t="str">
        <f t="shared" si="61"/>
        <v>TE 374,ED3-TEL</v>
      </c>
      <c r="J473" s="25"/>
    </row>
    <row r="474" spans="1:10" ht="18" customHeight="1" x14ac:dyDescent="0.35">
      <c r="A474" s="26" t="s">
        <v>392</v>
      </c>
      <c r="B474" s="27" t="str">
        <v>BASIC MECHANICS</v>
      </c>
      <c r="C474" s="31" t="str">
        <v>Oppong David Kofi</v>
      </c>
      <c r="D474" s="26" t="s">
        <v>131</v>
      </c>
      <c r="E474" s="108">
        <v>128</v>
      </c>
      <c r="F474" s="32" t="s">
        <v>611</v>
      </c>
      <c r="G474" s="109">
        <f t="shared" si="60"/>
        <v>140.80000000000001</v>
      </c>
      <c r="H474" s="19" t="s">
        <v>848</v>
      </c>
      <c r="I474" s="20" t="str">
        <f t="shared" si="61"/>
        <v>ME 162,ED1-AE</v>
      </c>
      <c r="J474" s="25"/>
    </row>
    <row r="475" spans="1:10" ht="14.5" x14ac:dyDescent="0.35">
      <c r="A475" s="26" t="s">
        <v>392</v>
      </c>
      <c r="B475" s="31" t="str">
        <v>BASIC MECHANICS</v>
      </c>
      <c r="C475" s="27" t="str">
        <v>Oppong David Kofi</v>
      </c>
      <c r="D475" s="26" t="s">
        <v>80</v>
      </c>
      <c r="E475" s="108">
        <v>120</v>
      </c>
      <c r="F475" s="32" t="s">
        <v>533</v>
      </c>
      <c r="G475" s="109">
        <f t="shared" si="60"/>
        <v>132</v>
      </c>
      <c r="H475" s="49" t="s">
        <v>849</v>
      </c>
      <c r="I475" s="20" t="str">
        <f t="shared" si="61"/>
        <v>ME 162,ED1-CHE</v>
      </c>
      <c r="J475" s="25"/>
    </row>
    <row r="476" spans="1:10" ht="14.5" x14ac:dyDescent="0.35">
      <c r="A476" s="26" t="s">
        <v>268</v>
      </c>
      <c r="B476" s="31" t="str">
        <v>STATICS OF SOLID MECHANICS</v>
      </c>
      <c r="C476" s="27" t="str">
        <v>Oppong David Kofi</v>
      </c>
      <c r="D476" s="26" t="s">
        <v>162</v>
      </c>
      <c r="E476" s="108">
        <v>85</v>
      </c>
      <c r="F476" s="32" t="s">
        <v>850</v>
      </c>
      <c r="G476" s="109">
        <f t="shared" si="60"/>
        <v>93.500000000000014</v>
      </c>
      <c r="H476" s="49" t="s">
        <v>851</v>
      </c>
      <c r="I476" s="20" t="str">
        <f t="shared" si="61"/>
        <v>ME 164,ED1-AUTO</v>
      </c>
      <c r="J476" s="25"/>
    </row>
    <row r="477" spans="1:10" ht="14.5" x14ac:dyDescent="0.35">
      <c r="A477" s="26" t="s">
        <v>393</v>
      </c>
      <c r="B477" s="27" t="str">
        <v>NATURAL GAS ENGINEERING</v>
      </c>
      <c r="C477" s="27" t="str">
        <v>Ankudey Emmanuel Godwin</v>
      </c>
      <c r="D477" s="26" t="s">
        <v>63</v>
      </c>
      <c r="E477" s="108">
        <v>53</v>
      </c>
      <c r="F477" s="32" t="s">
        <v>852</v>
      </c>
      <c r="G477" s="109">
        <f t="shared" si="60"/>
        <v>58.300000000000004</v>
      </c>
      <c r="H477" s="54" t="s">
        <v>853</v>
      </c>
      <c r="I477" s="20" t="str">
        <f t="shared" si="61"/>
        <v>PETE 450,ED3-PCE</v>
      </c>
      <c r="J477" s="25"/>
    </row>
    <row r="478" spans="1:10" ht="14.5" x14ac:dyDescent="0.35">
      <c r="A478" s="26" t="s">
        <v>394</v>
      </c>
      <c r="B478" s="31" t="str">
        <v>FLUID DYNAMICS I</v>
      </c>
      <c r="C478" s="31" t="str">
        <v>Fiagbe Yesuenyeagbe Atsu Kwabla</v>
      </c>
      <c r="D478" s="26" t="s">
        <v>38</v>
      </c>
      <c r="E478" s="108">
        <v>80</v>
      </c>
      <c r="F478" s="32" t="s">
        <v>574</v>
      </c>
      <c r="G478" s="109">
        <f t="shared" si="60"/>
        <v>88</v>
      </c>
      <c r="H478" s="19" t="s">
        <v>661</v>
      </c>
      <c r="I478" s="20" t="str">
        <f t="shared" si="61"/>
        <v>ME 252,ED2-IND</v>
      </c>
      <c r="J478" s="25"/>
    </row>
    <row r="479" spans="1:10" ht="14.5" x14ac:dyDescent="0.35">
      <c r="A479" s="26" t="s">
        <v>394</v>
      </c>
      <c r="B479" s="31" t="str">
        <v>FLUID DYNAMICS I</v>
      </c>
      <c r="C479" s="31" t="str">
        <v>Fiagbe Yesuenyeagbe Atsu Kwabla</v>
      </c>
      <c r="D479" s="26" t="s">
        <v>42</v>
      </c>
      <c r="E479" s="108">
        <v>37</v>
      </c>
      <c r="F479" s="32" t="s">
        <v>616</v>
      </c>
      <c r="G479" s="109">
        <f t="shared" si="60"/>
        <v>40.700000000000003</v>
      </c>
      <c r="H479" s="19">
        <v>37</v>
      </c>
      <c r="I479" s="20" t="str">
        <f t="shared" si="61"/>
        <v>ME 252,ED2-MARI</v>
      </c>
      <c r="J479" s="25"/>
    </row>
    <row r="480" spans="1:10" ht="14.5" x14ac:dyDescent="0.35">
      <c r="A480" s="26" t="s">
        <v>394</v>
      </c>
      <c r="B480" s="31" t="str">
        <v>FLUID DYNAMICS I</v>
      </c>
      <c r="C480" s="31" t="str">
        <v>Fiagbe Yesuenyeagbe Atsu Kwabla</v>
      </c>
      <c r="D480" s="26" t="s">
        <v>33</v>
      </c>
      <c r="E480" s="108">
        <v>240</v>
      </c>
      <c r="F480" s="32" t="s">
        <v>854</v>
      </c>
      <c r="G480" s="109">
        <f t="shared" si="60"/>
        <v>264</v>
      </c>
      <c r="H480" s="19" t="s">
        <v>855</v>
      </c>
      <c r="I480" s="20" t="str">
        <f t="shared" si="61"/>
        <v>ME 252,ED2-ME</v>
      </c>
      <c r="J480" s="25"/>
    </row>
    <row r="481" spans="1:10" ht="14.5" x14ac:dyDescent="0.35">
      <c r="A481" s="35"/>
      <c r="B481" s="35"/>
      <c r="D481" s="27" t="s">
        <v>395</v>
      </c>
      <c r="E481" s="121">
        <f>SUM(E471:E480)</f>
        <v>1192</v>
      </c>
      <c r="F481" s="36"/>
      <c r="G481" s="122"/>
      <c r="I481" s="22" t="s">
        <v>396</v>
      </c>
      <c r="J481" s="25"/>
    </row>
    <row r="482" spans="1:10" ht="14.5" x14ac:dyDescent="0.35">
      <c r="G482" s="183"/>
      <c r="J482" s="50"/>
    </row>
    <row r="483" spans="1:10" ht="15" customHeight="1" x14ac:dyDescent="0.3">
      <c r="G483" s="183"/>
    </row>
    <row r="484" spans="1:10" ht="14.5" x14ac:dyDescent="0.35">
      <c r="A484" s="14" t="s">
        <v>387</v>
      </c>
      <c r="B484" s="14"/>
      <c r="C484" s="14"/>
      <c r="D484" s="14"/>
      <c r="E484" s="14"/>
      <c r="F484" s="14"/>
      <c r="G484" s="14"/>
      <c r="I484" s="22" t="str">
        <f>A484</f>
        <v>Monday, 31  August 2026</v>
      </c>
      <c r="J484" s="25"/>
    </row>
    <row r="485" spans="1:10" ht="14.5" x14ac:dyDescent="0.35">
      <c r="A485" s="14" t="s">
        <v>29</v>
      </c>
      <c r="B485" s="14"/>
      <c r="C485" s="14"/>
      <c r="D485" s="14"/>
      <c r="E485" s="14"/>
      <c r="F485" s="14"/>
      <c r="G485" s="14"/>
      <c r="I485" s="22" t="str">
        <f>A485</f>
        <v>Session, 2 (12:00 PM - 2:00 PM)</v>
      </c>
      <c r="J485" s="25"/>
    </row>
    <row r="486" spans="1:10" ht="14.5" x14ac:dyDescent="0.35">
      <c r="A486" s="24" t="s">
        <v>4</v>
      </c>
      <c r="B486" s="24" t="s">
        <v>5</v>
      </c>
      <c r="C486" s="16" t="s">
        <v>6</v>
      </c>
      <c r="D486" s="24" t="s">
        <v>7</v>
      </c>
      <c r="E486" s="106" t="s">
        <v>8</v>
      </c>
      <c r="F486" s="16" t="s">
        <v>9</v>
      </c>
      <c r="G486" s="107" t="s">
        <v>10</v>
      </c>
      <c r="I486" s="22" t="s">
        <v>31</v>
      </c>
      <c r="J486" s="25"/>
    </row>
    <row r="487" spans="1:10" ht="14.5" x14ac:dyDescent="0.35">
      <c r="A487" s="26" t="s">
        <v>397</v>
      </c>
      <c r="B487" s="27" t="str">
        <f t="array" ref="B487:B496">IFERROR(VLOOKUP(I487:I496,Lectures_1!A2:F534,2,FALSE()),0)</f>
        <v>CHEMICAL ENGINEERING THERMODYNAMICS II</v>
      </c>
      <c r="C487" s="27" t="str">
        <f t="array" ref="C487:C496">IFERROR(VLOOKUP(I487:I496,Lectures_1!A2:F534,3,FALSE()),0)</f>
        <v>Eunice Sefakor Aku Dogbe</v>
      </c>
      <c r="D487" s="26" t="s">
        <v>14</v>
      </c>
      <c r="E487" s="108">
        <f t="array" ref="E487:E496">IFERROR(VLOOKUP(I487:I496,Lectures_1!A2:F534,4,FALSE()),0)</f>
        <v>65</v>
      </c>
      <c r="F487" s="32" t="s">
        <v>546</v>
      </c>
      <c r="G487" s="109">
        <f t="shared" ref="G487:G496" si="62">E487*1.1</f>
        <v>71.5</v>
      </c>
      <c r="H487" s="54">
        <v>65</v>
      </c>
      <c r="I487" s="20" t="str">
        <f t="shared" ref="I487:I496" si="63">CONCATENATE(A487,",",D487)</f>
        <v>CHE 254,ED2-PCE</v>
      </c>
      <c r="J487" s="25"/>
    </row>
    <row r="488" spans="1:10" ht="14.5" x14ac:dyDescent="0.35">
      <c r="A488" s="26" t="s">
        <v>398</v>
      </c>
      <c r="B488" s="31" t="str">
        <v>PETROLEUM ENGINEERING THERMODYNAMICS II</v>
      </c>
      <c r="C488" s="31" t="str">
        <v>Sokama-Neuyam Yen Adams</v>
      </c>
      <c r="D488" s="26" t="s">
        <v>93</v>
      </c>
      <c r="E488" s="108">
        <v>95</v>
      </c>
      <c r="F488" s="26" t="s">
        <v>571</v>
      </c>
      <c r="G488" s="109">
        <f t="shared" si="62"/>
        <v>104.50000000000001</v>
      </c>
      <c r="H488" s="19" t="s">
        <v>856</v>
      </c>
      <c r="I488" s="20" t="str">
        <f t="shared" si="63"/>
        <v>PE 258,ED2-PE</v>
      </c>
      <c r="J488" s="25"/>
    </row>
    <row r="489" spans="1:10" ht="14.5" x14ac:dyDescent="0.35">
      <c r="A489" s="26" t="s">
        <v>399</v>
      </c>
      <c r="B489" s="27" t="str">
        <v>ROCK ENGINEERING</v>
      </c>
      <c r="C489" s="31" t="str">
        <v>Gidigasu Solomon Senyo Robert</v>
      </c>
      <c r="D489" s="26" t="s">
        <v>55</v>
      </c>
      <c r="E489" s="108">
        <v>150</v>
      </c>
      <c r="F489" s="57" t="s">
        <v>693</v>
      </c>
      <c r="G489" s="109">
        <f t="shared" si="62"/>
        <v>165</v>
      </c>
      <c r="H489" s="58" t="s">
        <v>857</v>
      </c>
      <c r="I489" s="20" t="str">
        <f t="shared" si="63"/>
        <v>GED 254,ED2-GEOL</v>
      </c>
      <c r="J489" s="25"/>
    </row>
    <row r="490" spans="1:10" ht="14.5" x14ac:dyDescent="0.35">
      <c r="A490" s="26" t="s">
        <v>392</v>
      </c>
      <c r="B490" s="27" t="str">
        <v>BASIC MECHANICS</v>
      </c>
      <c r="C490" s="27" t="str">
        <v>Quansah David Ato</v>
      </c>
      <c r="D490" s="26" t="s">
        <v>82</v>
      </c>
      <c r="E490" s="108">
        <v>130</v>
      </c>
      <c r="F490" s="32" t="s">
        <v>533</v>
      </c>
      <c r="G490" s="109">
        <f t="shared" si="62"/>
        <v>143</v>
      </c>
      <c r="H490" s="19" t="s">
        <v>858</v>
      </c>
      <c r="I490" s="20" t="str">
        <f t="shared" si="63"/>
        <v>ME 162,ED1-PE</v>
      </c>
      <c r="J490" s="25"/>
    </row>
    <row r="491" spans="1:10" ht="14.5" x14ac:dyDescent="0.35">
      <c r="A491" s="26" t="s">
        <v>392</v>
      </c>
      <c r="B491" s="27" t="str">
        <v>BASIC MECHANICS</v>
      </c>
      <c r="C491" s="27" t="str">
        <v>Quansah David Ato</v>
      </c>
      <c r="D491" s="26" t="s">
        <v>115</v>
      </c>
      <c r="E491" s="108">
        <v>100</v>
      </c>
      <c r="F491" s="32" t="s">
        <v>859</v>
      </c>
      <c r="G491" s="109">
        <f t="shared" si="62"/>
        <v>110.00000000000001</v>
      </c>
      <c r="H491" s="19" t="s">
        <v>860</v>
      </c>
      <c r="I491" s="20" t="str">
        <f t="shared" si="63"/>
        <v>ME 162,ED1-MSE</v>
      </c>
      <c r="J491" s="25"/>
    </row>
    <row r="492" spans="1:10" ht="14.5" x14ac:dyDescent="0.35">
      <c r="A492" s="26" t="s">
        <v>400</v>
      </c>
      <c r="B492" s="31" t="str">
        <v>STEEL AND TIMBER DESIGN</v>
      </c>
      <c r="C492" s="31" t="str">
        <v>Mark Adom-Asamoah</v>
      </c>
      <c r="D492" s="26" t="s">
        <v>157</v>
      </c>
      <c r="E492" s="108">
        <v>230</v>
      </c>
      <c r="F492" s="47" t="s">
        <v>854</v>
      </c>
      <c r="G492" s="109">
        <f t="shared" si="62"/>
        <v>253.00000000000003</v>
      </c>
      <c r="H492" s="17" t="s">
        <v>861</v>
      </c>
      <c r="I492" s="20" t="str">
        <f t="shared" si="63"/>
        <v>CE 352,ED3-CE</v>
      </c>
      <c r="J492" s="25"/>
    </row>
    <row r="493" spans="1:10" ht="14.5" x14ac:dyDescent="0.35">
      <c r="A493" s="26" t="s">
        <v>401</v>
      </c>
      <c r="B493" s="27" t="str">
        <v>MILLIMETERWAVE TECHNOLOGY</v>
      </c>
      <c r="C493" s="27" t="str">
        <v>Abdul-Rahman Ahmed</v>
      </c>
      <c r="D493" s="26" t="s">
        <v>227</v>
      </c>
      <c r="E493" s="108">
        <v>33</v>
      </c>
      <c r="F493" s="32" t="s">
        <v>770</v>
      </c>
      <c r="G493" s="109">
        <f t="shared" si="62"/>
        <v>36.300000000000004</v>
      </c>
      <c r="H493" s="19">
        <v>33</v>
      </c>
      <c r="I493" s="20" t="str">
        <f t="shared" si="63"/>
        <v>TE 468,ED4-TEL</v>
      </c>
      <c r="J493" s="25"/>
    </row>
    <row r="494" spans="1:10" ht="14.5" x14ac:dyDescent="0.35">
      <c r="A494" s="26" t="s">
        <v>402</v>
      </c>
      <c r="B494" s="27" t="str">
        <v>QUALITY ASSURANCE</v>
      </c>
      <c r="C494" s="27" t="str">
        <v>Sackey Samuel Mensah</v>
      </c>
      <c r="D494" s="26" t="s">
        <v>121</v>
      </c>
      <c r="E494" s="108">
        <v>70</v>
      </c>
      <c r="F494" s="32" t="s">
        <v>545</v>
      </c>
      <c r="G494" s="109">
        <f t="shared" si="62"/>
        <v>77</v>
      </c>
      <c r="H494" s="19">
        <v>70</v>
      </c>
      <c r="I494" s="20" t="str">
        <f t="shared" si="63"/>
        <v>IE 360,ED3-IND</v>
      </c>
      <c r="J494" s="25"/>
    </row>
    <row r="495" spans="1:10" ht="14.5" x14ac:dyDescent="0.35">
      <c r="A495" s="26" t="s">
        <v>403</v>
      </c>
      <c r="B495" s="27" t="str">
        <v>METALLURGICAL RATE PROCESSES/SURFACE PHENOMENA</v>
      </c>
      <c r="C495" s="27" t="str">
        <v>Patrick Aggrey</v>
      </c>
      <c r="D495" s="26" t="s">
        <v>101</v>
      </c>
      <c r="E495" s="108">
        <v>57</v>
      </c>
      <c r="F495" s="32" t="s">
        <v>566</v>
      </c>
      <c r="G495" s="109">
        <f t="shared" si="62"/>
        <v>62.7</v>
      </c>
      <c r="H495" s="19" t="s">
        <v>669</v>
      </c>
      <c r="I495" s="20" t="str">
        <f t="shared" si="63"/>
        <v>METE 252,ED2-METE</v>
      </c>
      <c r="J495" s="25"/>
    </row>
    <row r="496" spans="1:10" ht="14.5" x14ac:dyDescent="0.35">
      <c r="A496" s="26" t="s">
        <v>404</v>
      </c>
      <c r="B496" s="27" t="str">
        <v>CONSTRUCTION MANAGEMENT</v>
      </c>
      <c r="C496" s="27" t="str">
        <v>Obeng Daniel Atuah</v>
      </c>
      <c r="D496" s="26" t="s">
        <v>103</v>
      </c>
      <c r="E496" s="108">
        <v>240</v>
      </c>
      <c r="F496" s="47" t="s">
        <v>854</v>
      </c>
      <c r="G496" s="109">
        <f t="shared" si="62"/>
        <v>264</v>
      </c>
      <c r="H496" s="19" t="s">
        <v>855</v>
      </c>
      <c r="I496" s="20" t="str">
        <f t="shared" si="63"/>
        <v>CE 462,ED4-CE</v>
      </c>
      <c r="J496" s="25"/>
    </row>
    <row r="497" spans="1:10" ht="14.5" x14ac:dyDescent="0.35">
      <c r="A497" s="35"/>
      <c r="B497" s="35"/>
      <c r="D497" s="27" t="s">
        <v>405</v>
      </c>
      <c r="E497" s="121">
        <f>SUM(E487:E496)</f>
        <v>1170</v>
      </c>
      <c r="F497" s="36"/>
      <c r="G497" s="122"/>
      <c r="I497" s="22"/>
      <c r="J497" s="25"/>
    </row>
    <row r="498" spans="1:10" ht="14.5" x14ac:dyDescent="0.35">
      <c r="A498" s="14" t="s">
        <v>387</v>
      </c>
      <c r="B498" s="14"/>
      <c r="C498" s="14"/>
      <c r="D498" s="14"/>
      <c r="E498" s="14"/>
      <c r="F498" s="14"/>
      <c r="G498" s="14"/>
      <c r="I498" s="22" t="str">
        <f>A498</f>
        <v>Monday, 31  August 2026</v>
      </c>
      <c r="J498" s="25"/>
    </row>
    <row r="499" spans="1:10" ht="14.5" x14ac:dyDescent="0.35">
      <c r="A499" s="14" t="s">
        <v>59</v>
      </c>
      <c r="B499" s="14"/>
      <c r="C499" s="14"/>
      <c r="D499" s="14"/>
      <c r="E499" s="14"/>
      <c r="F499" s="14"/>
      <c r="G499" s="14"/>
      <c r="I499" s="22" t="str">
        <f>A499</f>
        <v>Session, 3 (3:00 PM - 5:00 PM)</v>
      </c>
      <c r="J499" s="25"/>
    </row>
    <row r="500" spans="1:10" ht="16.5" customHeight="1" x14ac:dyDescent="0.35">
      <c r="A500" s="24" t="s">
        <v>4</v>
      </c>
      <c r="B500" s="24" t="s">
        <v>5</v>
      </c>
      <c r="C500" s="16" t="s">
        <v>6</v>
      </c>
      <c r="D500" s="24" t="s">
        <v>7</v>
      </c>
      <c r="E500" s="106" t="s">
        <v>8</v>
      </c>
      <c r="F500" s="16" t="s">
        <v>9</v>
      </c>
      <c r="G500" s="107" t="s">
        <v>10</v>
      </c>
      <c r="I500" s="22" t="s">
        <v>31</v>
      </c>
      <c r="J500" s="25"/>
    </row>
    <row r="501" spans="1:10" s="112" customFormat="1" ht="14.5" x14ac:dyDescent="0.35">
      <c r="A501" s="123" t="s">
        <v>406</v>
      </c>
      <c r="B501" s="124" t="str">
        <f t="array" ref="B501:B517">IFERROR(VLOOKUP(I501:I517,Lectures_1!A2:F534,2,FALSE()),0)</f>
        <v>INTRODUCTORY ECONOMICS II</v>
      </c>
      <c r="C501" s="124" t="str">
        <f t="array" ref="C501:C517">IFERROR(VLOOKUP(I501:I517,Lectures_1!A2:F534,3,FALSE()),0)</f>
        <v>Takyi Paul Owusu</v>
      </c>
      <c r="D501" s="123" t="s">
        <v>25</v>
      </c>
      <c r="E501" s="129">
        <f t="array" ref="E501:E517">IFERROR(VLOOKUP(I501:I517,Lectures_1!A2:F534,4,FALSE()),0)</f>
        <v>150</v>
      </c>
      <c r="F501" s="133" t="s">
        <v>693</v>
      </c>
      <c r="G501" s="126">
        <f t="shared" ref="G501:G517" si="64">E501*1.1</f>
        <v>165</v>
      </c>
      <c r="H501" s="127" t="s">
        <v>857</v>
      </c>
      <c r="I501" s="110" t="str">
        <f t="shared" ref="I501:I517" si="65">CONCATENATE(A501,",",D501)</f>
        <v>ECON 152,ED2-EE</v>
      </c>
      <c r="J501" s="111"/>
    </row>
    <row r="502" spans="1:10" s="112" customFormat="1" ht="14.5" x14ac:dyDescent="0.35">
      <c r="A502" s="123" t="s">
        <v>406</v>
      </c>
      <c r="B502" s="128" t="str">
        <v>ELEMENTS OF ECONOMICS II</v>
      </c>
      <c r="C502" s="128" t="str">
        <v>Edward Yeboah</v>
      </c>
      <c r="D502" s="123" t="s">
        <v>77</v>
      </c>
      <c r="E502" s="129">
        <v>15</v>
      </c>
      <c r="F502" s="133" t="s">
        <v>862</v>
      </c>
      <c r="G502" s="126">
        <f t="shared" si="64"/>
        <v>16.5</v>
      </c>
      <c r="H502" s="130">
        <v>15</v>
      </c>
      <c r="I502" s="110" t="str">
        <f t="shared" si="65"/>
        <v>ECON 152,ED3-GEOM</v>
      </c>
      <c r="J502" s="111"/>
    </row>
    <row r="503" spans="1:10" s="112" customFormat="1" ht="14.5" x14ac:dyDescent="0.35">
      <c r="A503" s="123" t="s">
        <v>406</v>
      </c>
      <c r="B503" s="128" t="str">
        <v>INTRODUCTION TO ECONOMICS II</v>
      </c>
      <c r="C503" s="128" t="str">
        <v>Takyi Paul Owusu</v>
      </c>
      <c r="D503" s="123" t="s">
        <v>75</v>
      </c>
      <c r="E503" s="129">
        <v>32</v>
      </c>
      <c r="F503" s="133" t="s">
        <v>632</v>
      </c>
      <c r="G503" s="126">
        <f t="shared" si="64"/>
        <v>35.200000000000003</v>
      </c>
      <c r="H503" s="130">
        <v>32</v>
      </c>
      <c r="I503" s="110" t="str">
        <f t="shared" si="65"/>
        <v>ECON 152,ED1-CE</v>
      </c>
      <c r="J503" s="111"/>
    </row>
    <row r="504" spans="1:10" s="112" customFormat="1" ht="14.5" x14ac:dyDescent="0.35">
      <c r="A504" s="123" t="s">
        <v>406</v>
      </c>
      <c r="B504" s="128" t="str">
        <v>INTRODUCTORY ECONOMICS II</v>
      </c>
      <c r="C504" s="128" t="str">
        <v>Beatrice Sarpong-Danquah</v>
      </c>
      <c r="D504" s="123" t="s">
        <v>126</v>
      </c>
      <c r="E504" s="129">
        <v>30</v>
      </c>
      <c r="F504" s="127" t="s">
        <v>863</v>
      </c>
      <c r="G504" s="126">
        <f t="shared" si="64"/>
        <v>33</v>
      </c>
      <c r="H504" s="130">
        <v>30</v>
      </c>
      <c r="I504" s="110" t="str">
        <f t="shared" si="65"/>
        <v>ECON 152,ED1-GEOL</v>
      </c>
      <c r="J504" s="111"/>
    </row>
    <row r="505" spans="1:10" s="112" customFormat="1" ht="14.5" x14ac:dyDescent="0.35">
      <c r="A505" s="123" t="s">
        <v>406</v>
      </c>
      <c r="B505" s="128" t="str">
        <v>ELEMENTS OF ECONOMICS II</v>
      </c>
      <c r="C505" s="128" t="str">
        <v>Paul Owusu Takyi</v>
      </c>
      <c r="D505" s="123" t="s">
        <v>109</v>
      </c>
      <c r="E505" s="129">
        <v>20</v>
      </c>
      <c r="F505" s="127" t="s">
        <v>544</v>
      </c>
      <c r="G505" s="126">
        <f t="shared" si="64"/>
        <v>22</v>
      </c>
      <c r="H505" s="130">
        <v>20</v>
      </c>
      <c r="I505" s="110" t="str">
        <f t="shared" si="65"/>
        <v>ECON 152,ED2-BME</v>
      </c>
      <c r="J505" s="111"/>
    </row>
    <row r="506" spans="1:10" s="112" customFormat="1" ht="14.5" x14ac:dyDescent="0.35">
      <c r="A506" s="123" t="s">
        <v>406</v>
      </c>
      <c r="B506" s="128" t="str">
        <v>INTRODUCTION TO ECONOMICS II</v>
      </c>
      <c r="C506" s="128" t="str">
        <v>Takyi Paul Owusu</v>
      </c>
      <c r="D506" s="123" t="s">
        <v>108</v>
      </c>
      <c r="E506" s="129">
        <v>40</v>
      </c>
      <c r="F506" s="127" t="s">
        <v>633</v>
      </c>
      <c r="G506" s="126">
        <f t="shared" si="64"/>
        <v>44</v>
      </c>
      <c r="H506" s="130">
        <v>40</v>
      </c>
      <c r="I506" s="110" t="str">
        <f t="shared" si="65"/>
        <v>ECON 152,ED2-COE</v>
      </c>
      <c r="J506" s="111"/>
    </row>
    <row r="507" spans="1:10" s="112" customFormat="1" ht="14.5" x14ac:dyDescent="0.35">
      <c r="A507" s="123" t="s">
        <v>406</v>
      </c>
      <c r="B507" s="128" t="str">
        <v>INTRODUCTORY ECONOMICS II</v>
      </c>
      <c r="C507" s="128" t="str">
        <v>Takyi Paul Owusu</v>
      </c>
      <c r="D507" s="123" t="s">
        <v>172</v>
      </c>
      <c r="E507" s="129">
        <v>30</v>
      </c>
      <c r="F507" s="133" t="s">
        <v>864</v>
      </c>
      <c r="G507" s="126">
        <f t="shared" si="64"/>
        <v>33</v>
      </c>
      <c r="H507" s="130">
        <v>30</v>
      </c>
      <c r="I507" s="110" t="str">
        <f t="shared" si="65"/>
        <v>ECON 152,ED2-TEL</v>
      </c>
      <c r="J507" s="111"/>
    </row>
    <row r="508" spans="1:10" s="112" customFormat="1" ht="14.5" x14ac:dyDescent="0.35">
      <c r="A508" s="123" t="s">
        <v>406</v>
      </c>
      <c r="B508" s="128" t="str">
        <v>INTRODUCTORY ECONOMICS II</v>
      </c>
      <c r="C508" s="128" t="str">
        <v>Takyi Paul Owusu</v>
      </c>
      <c r="D508" s="123" t="s">
        <v>73</v>
      </c>
      <c r="E508" s="129">
        <v>80</v>
      </c>
      <c r="F508" s="184" t="s">
        <v>545</v>
      </c>
      <c r="G508" s="126">
        <f t="shared" si="64"/>
        <v>88</v>
      </c>
      <c r="H508" s="130">
        <v>80</v>
      </c>
      <c r="I508" s="110" t="str">
        <f t="shared" si="65"/>
        <v>ECON 152,ED3-CHE</v>
      </c>
      <c r="J508" s="111"/>
    </row>
    <row r="509" spans="1:10" ht="14.5" x14ac:dyDescent="0.35">
      <c r="A509" s="26" t="s">
        <v>407</v>
      </c>
      <c r="B509" s="31" t="str">
        <v>INTERNAL COMBUSTION ENGINES</v>
      </c>
      <c r="C509" s="31" t="str">
        <v>Forson Francis Kofi</v>
      </c>
      <c r="D509" s="26" t="s">
        <v>99</v>
      </c>
      <c r="E509" s="108">
        <v>5</v>
      </c>
      <c r="F509" s="32" t="s">
        <v>663</v>
      </c>
      <c r="G509" s="109">
        <f t="shared" si="64"/>
        <v>5.5</v>
      </c>
      <c r="H509" s="17">
        <v>5</v>
      </c>
      <c r="I509" s="20" t="str">
        <f t="shared" si="65"/>
        <v>ME 468,ED4-AERO</v>
      </c>
      <c r="J509" s="25"/>
    </row>
    <row r="510" spans="1:10" ht="14.5" x14ac:dyDescent="0.35">
      <c r="A510" s="26" t="s">
        <v>407</v>
      </c>
      <c r="B510" s="31" t="str">
        <v>INTERNAL COMBUSTION ENGINES</v>
      </c>
      <c r="C510" s="31" t="str">
        <v>Forson Francis Kofi</v>
      </c>
      <c r="D510" s="26" t="s">
        <v>67</v>
      </c>
      <c r="E510" s="108">
        <v>40</v>
      </c>
      <c r="F510" s="32" t="s">
        <v>781</v>
      </c>
      <c r="G510" s="109">
        <f t="shared" si="64"/>
        <v>44</v>
      </c>
      <c r="H510" s="17">
        <v>40</v>
      </c>
      <c r="I510" s="20" t="str">
        <f t="shared" si="65"/>
        <v>ME 468,ED4-ME</v>
      </c>
      <c r="J510" s="25"/>
    </row>
    <row r="511" spans="1:10" ht="14.5" x14ac:dyDescent="0.35">
      <c r="A511" s="26" t="s">
        <v>408</v>
      </c>
      <c r="B511" s="27" t="str">
        <v>DRILLING ENGINEERING II</v>
      </c>
      <c r="C511" s="31" t="str">
        <v>Erzuah Samuel</v>
      </c>
      <c r="D511" s="26" t="s">
        <v>18</v>
      </c>
      <c r="E511" s="108">
        <v>80</v>
      </c>
      <c r="F511" s="32" t="s">
        <v>545</v>
      </c>
      <c r="G511" s="109">
        <f t="shared" si="64"/>
        <v>88</v>
      </c>
      <c r="H511" s="17">
        <v>80</v>
      </c>
      <c r="I511" s="20" t="str">
        <f t="shared" si="65"/>
        <v>PE 354,ED3-PE</v>
      </c>
      <c r="J511" s="25"/>
    </row>
    <row r="512" spans="1:10" s="120" customFormat="1" ht="14.5" x14ac:dyDescent="0.35">
      <c r="A512" s="113" t="s">
        <v>409</v>
      </c>
      <c r="B512" s="118" t="str">
        <v>PIPELINE ENGINEERING</v>
      </c>
      <c r="C512" s="118" t="str">
        <v>Adjei Stephen</v>
      </c>
      <c r="D512" s="113" t="s">
        <v>46</v>
      </c>
      <c r="E512" s="115">
        <v>99</v>
      </c>
      <c r="F512" s="160" t="s">
        <v>956</v>
      </c>
      <c r="G512" s="116">
        <f t="shared" si="64"/>
        <v>108.9</v>
      </c>
      <c r="H512" s="161">
        <v>99</v>
      </c>
      <c r="I512" s="131" t="str">
        <f t="shared" si="65"/>
        <v>PE 474,ED4-PE</v>
      </c>
      <c r="J512" s="119"/>
    </row>
    <row r="513" spans="1:10" ht="14.5" x14ac:dyDescent="0.35">
      <c r="A513" s="26" t="s">
        <v>410</v>
      </c>
      <c r="B513" s="27" t="str">
        <v>PETROLEUM GEOLOGY</v>
      </c>
      <c r="C513" s="27" t="str">
        <v>Foli Gordon</v>
      </c>
      <c r="D513" s="46" t="s">
        <v>177</v>
      </c>
      <c r="E513" s="108">
        <v>35</v>
      </c>
      <c r="F513" s="32" t="s">
        <v>560</v>
      </c>
      <c r="G513" s="109">
        <f t="shared" si="64"/>
        <v>38.5</v>
      </c>
      <c r="H513" s="19">
        <v>35</v>
      </c>
      <c r="I513" s="20" t="str">
        <f t="shared" si="65"/>
        <v>GED 466,ED4-GEOL</v>
      </c>
      <c r="J513" s="25"/>
    </row>
    <row r="514" spans="1:10" ht="14.5" x14ac:dyDescent="0.35">
      <c r="A514" s="26" t="s">
        <v>411</v>
      </c>
      <c r="B514" s="31" t="str">
        <v>BIOMECHANICS II</v>
      </c>
      <c r="C514" s="27" t="str">
        <v>Odame Prince</v>
      </c>
      <c r="D514" s="26" t="s">
        <v>252</v>
      </c>
      <c r="E514" s="108">
        <v>87</v>
      </c>
      <c r="F514" s="32" t="s">
        <v>571</v>
      </c>
      <c r="G514" s="109">
        <f t="shared" si="64"/>
        <v>95.7</v>
      </c>
      <c r="H514" s="17" t="s">
        <v>865</v>
      </c>
      <c r="I514" s="20" t="str">
        <f t="shared" si="65"/>
        <v>BME 462,ED4-BME</v>
      </c>
      <c r="J514" s="25"/>
    </row>
    <row r="515" spans="1:10" s="112" customFormat="1" ht="14.5" x14ac:dyDescent="0.35">
      <c r="A515" s="26" t="s">
        <v>412</v>
      </c>
      <c r="B515" s="27" t="str">
        <v>DIGITAL COMPUTER DESIGN</v>
      </c>
      <c r="C515" s="27" t="str">
        <v>Boateng Kwame Osei</v>
      </c>
      <c r="D515" s="26" t="s">
        <v>71</v>
      </c>
      <c r="E515" s="108">
        <v>29</v>
      </c>
      <c r="F515" s="32">
        <v>303</v>
      </c>
      <c r="G515" s="109">
        <f t="shared" si="64"/>
        <v>31.900000000000002</v>
      </c>
      <c r="H515" s="130">
        <v>29</v>
      </c>
      <c r="I515" s="110" t="str">
        <f t="shared" si="65"/>
        <v>COE 382,ED3-EE</v>
      </c>
      <c r="J515" s="111"/>
    </row>
    <row r="516" spans="1:10" s="112" customFormat="1" ht="14.5" x14ac:dyDescent="0.35">
      <c r="A516" s="26" t="s">
        <v>413</v>
      </c>
      <c r="B516" s="27" t="str">
        <v>DIGITAL SYSTEMS DESIGN II</v>
      </c>
      <c r="C516" s="27" t="str">
        <v>Boateng Kwame Osei</v>
      </c>
      <c r="D516" s="26" t="s">
        <v>16</v>
      </c>
      <c r="E516" s="108">
        <v>265</v>
      </c>
      <c r="F516" s="32" t="s">
        <v>854</v>
      </c>
      <c r="G516" s="109">
        <f t="shared" si="64"/>
        <v>291.5</v>
      </c>
      <c r="H516" s="130" t="s">
        <v>866</v>
      </c>
      <c r="I516" s="110" t="str">
        <f t="shared" si="65"/>
        <v>COE 372,ED3-COE</v>
      </c>
      <c r="J516" s="111"/>
    </row>
    <row r="517" spans="1:10" ht="14.5" x14ac:dyDescent="0.35">
      <c r="A517" s="26" t="s">
        <v>414</v>
      </c>
      <c r="B517" s="31" t="str">
        <v>GLASS AND CEMENT TECHNOLOGIES</v>
      </c>
      <c r="C517" s="31" t="str">
        <v>Andrews Anthony</v>
      </c>
      <c r="D517" s="26" t="s">
        <v>140</v>
      </c>
      <c r="E517" s="108">
        <v>85</v>
      </c>
      <c r="F517" s="32" t="s">
        <v>571</v>
      </c>
      <c r="G517" s="109">
        <f t="shared" si="64"/>
        <v>93.500000000000014</v>
      </c>
      <c r="H517" s="17" t="s">
        <v>867</v>
      </c>
      <c r="I517" s="20" t="str">
        <f t="shared" si="65"/>
        <v>MSE 352,ED3-MSE</v>
      </c>
      <c r="J517" s="25"/>
    </row>
    <row r="518" spans="1:10" ht="14.5" x14ac:dyDescent="0.35">
      <c r="A518" s="35"/>
      <c r="B518" s="35"/>
      <c r="D518" s="27" t="s">
        <v>416</v>
      </c>
      <c r="E518" s="121">
        <f>SUM(E501:E517)</f>
        <v>1122</v>
      </c>
      <c r="F518" s="36"/>
      <c r="G518" s="122"/>
      <c r="I518" s="22" t="s">
        <v>417</v>
      </c>
      <c r="J518" s="25"/>
    </row>
    <row r="519" spans="1:10" ht="14.5" x14ac:dyDescent="0.35">
      <c r="A519" s="14" t="s">
        <v>418</v>
      </c>
      <c r="B519" s="14"/>
      <c r="C519" s="14"/>
      <c r="D519" s="14"/>
      <c r="E519" s="14"/>
      <c r="F519" s="14"/>
      <c r="G519" s="14"/>
      <c r="I519" s="22" t="str">
        <f>A519</f>
        <v>Tuesday, 1 September 2026</v>
      </c>
      <c r="J519" s="25"/>
    </row>
    <row r="520" spans="1:10" ht="14.5" x14ac:dyDescent="0.35">
      <c r="A520" s="14" t="s">
        <v>2</v>
      </c>
      <c r="B520" s="14"/>
      <c r="C520" s="14"/>
      <c r="D520" s="14"/>
      <c r="E520" s="14"/>
      <c r="F520" s="14"/>
      <c r="G520" s="14"/>
      <c r="I520" s="22" t="str">
        <f>A520</f>
        <v>Session, 1 (8:30 AM - 10:30 AM)</v>
      </c>
      <c r="J520" s="25"/>
    </row>
    <row r="521" spans="1:10" ht="14.5" x14ac:dyDescent="0.35">
      <c r="A521" s="24" t="s">
        <v>4</v>
      </c>
      <c r="B521" s="24" t="s">
        <v>5</v>
      </c>
      <c r="C521" s="16" t="s">
        <v>6</v>
      </c>
      <c r="D521" s="24" t="s">
        <v>7</v>
      </c>
      <c r="E521" s="106" t="s">
        <v>8</v>
      </c>
      <c r="F521" s="16" t="s">
        <v>9</v>
      </c>
      <c r="G521" s="107" t="s">
        <v>10</v>
      </c>
      <c r="I521" s="22" t="s">
        <v>31</v>
      </c>
      <c r="J521" s="25"/>
    </row>
    <row r="522" spans="1:10" s="112" customFormat="1" ht="14.5" x14ac:dyDescent="0.35">
      <c r="A522" s="26" t="s">
        <v>420</v>
      </c>
      <c r="B522" s="31" t="str">
        <f t="array" ref="B522:B533">IFERROR(VLOOKUP(I522:I533,Lectures_1!A2:F534,2,FALSE()),0)</f>
        <v>THERMODYNAMICS I</v>
      </c>
      <c r="C522" s="27" t="str">
        <f t="array" ref="C522:C533">IFERROR(VLOOKUP(I522:I533,Lectures_1!A2:F534,3,FALSE()),0)</f>
        <v>Amoabeng Kofi Owura</v>
      </c>
      <c r="D522" s="26" t="s">
        <v>38</v>
      </c>
      <c r="E522" s="108">
        <f t="array" ref="E522:E533">IFERROR(VLOOKUP(I522:I533,Lectures_1!A2:F534,4,FALSE()),0)</f>
        <v>80</v>
      </c>
      <c r="F522" s="32" t="s">
        <v>673</v>
      </c>
      <c r="G522" s="109">
        <f t="shared" ref="G522:G533" si="66">E522*1.1</f>
        <v>88</v>
      </c>
      <c r="H522" s="130" t="s">
        <v>631</v>
      </c>
      <c r="I522" s="110" t="str">
        <f t="shared" ref="I522:I533" si="67">CONCATENATE(A522,",",D522)</f>
        <v>ME 266,ED2-IND</v>
      </c>
      <c r="J522" s="111"/>
    </row>
    <row r="523" spans="1:10" s="112" customFormat="1" ht="14.5" x14ac:dyDescent="0.35">
      <c r="A523" s="26" t="s">
        <v>420</v>
      </c>
      <c r="B523" s="31" t="str">
        <v>THERMODYNAMICS I</v>
      </c>
      <c r="C523" s="27" t="str">
        <v>Amoabeng Kofi Owura</v>
      </c>
      <c r="D523" s="26" t="s">
        <v>33</v>
      </c>
      <c r="E523" s="108">
        <v>240</v>
      </c>
      <c r="F523" s="32" t="s">
        <v>619</v>
      </c>
      <c r="G523" s="109">
        <f t="shared" si="66"/>
        <v>264</v>
      </c>
      <c r="H523" s="130" t="s">
        <v>868</v>
      </c>
      <c r="I523" s="110" t="str">
        <f t="shared" si="67"/>
        <v>ME 266,ED2-ME</v>
      </c>
      <c r="J523" s="111"/>
    </row>
    <row r="524" spans="1:10" s="112" customFormat="1" ht="14.5" x14ac:dyDescent="0.35">
      <c r="A524" s="26" t="s">
        <v>421</v>
      </c>
      <c r="B524" s="27" t="str">
        <v xml:space="preserve">APPLIED THERMODYNAMICS </v>
      </c>
      <c r="C524" s="31" t="str">
        <v>Amoabeng Kofi Owura</v>
      </c>
      <c r="D524" s="32" t="s">
        <v>130</v>
      </c>
      <c r="E524" s="108">
        <v>136</v>
      </c>
      <c r="F524" s="42" t="s">
        <v>693</v>
      </c>
      <c r="G524" s="109">
        <f t="shared" si="66"/>
        <v>149.60000000000002</v>
      </c>
      <c r="H524" s="42" t="s">
        <v>869</v>
      </c>
      <c r="I524" s="110" t="str">
        <f t="shared" si="67"/>
        <v>ME 166,ED1-BME</v>
      </c>
      <c r="J524" s="111"/>
    </row>
    <row r="525" spans="1:10" ht="14.5" x14ac:dyDescent="0.35">
      <c r="A525" s="26" t="s">
        <v>422</v>
      </c>
      <c r="B525" s="27" t="str">
        <v>BASIC THERMODYNAMICS</v>
      </c>
      <c r="C525" s="31" t="str">
        <v>Samuel Boahen</v>
      </c>
      <c r="D525" s="26" t="s">
        <v>162</v>
      </c>
      <c r="E525" s="108">
        <v>85</v>
      </c>
      <c r="F525" s="42" t="s">
        <v>582</v>
      </c>
      <c r="G525" s="109">
        <f t="shared" si="66"/>
        <v>93.500000000000014</v>
      </c>
      <c r="H525" s="17" t="s">
        <v>870</v>
      </c>
      <c r="I525" s="20" t="str">
        <f t="shared" si="67"/>
        <v>AME 156,ED1-AUTO</v>
      </c>
      <c r="J525" s="25"/>
    </row>
    <row r="526" spans="1:10" ht="14.5" x14ac:dyDescent="0.35">
      <c r="A526" s="26" t="s">
        <v>420</v>
      </c>
      <c r="B526" s="31" t="str">
        <v>THERMODYNAMICS I</v>
      </c>
      <c r="C526" s="27" t="str">
        <v>Boahen Samuel</v>
      </c>
      <c r="D526" s="26" t="s">
        <v>36</v>
      </c>
      <c r="E526" s="108">
        <v>75</v>
      </c>
      <c r="F526" s="32" t="s">
        <v>545</v>
      </c>
      <c r="G526" s="109">
        <f t="shared" si="66"/>
        <v>82.5</v>
      </c>
      <c r="H526" s="17">
        <v>75</v>
      </c>
      <c r="I526" s="20" t="str">
        <f t="shared" si="67"/>
        <v>ME 266,ED2-AERO</v>
      </c>
      <c r="J526" s="25"/>
    </row>
    <row r="527" spans="1:10" ht="14.5" x14ac:dyDescent="0.35">
      <c r="A527" s="26" t="s">
        <v>421</v>
      </c>
      <c r="B527" s="31" t="str">
        <v>APPLIED THERMODYNAMICS I</v>
      </c>
      <c r="C527" s="27" t="str">
        <v>Quansah David Ato</v>
      </c>
      <c r="D527" s="26" t="s">
        <v>51</v>
      </c>
      <c r="E527" s="108">
        <v>295</v>
      </c>
      <c r="F527" s="57" t="s">
        <v>871</v>
      </c>
      <c r="G527" s="109">
        <f t="shared" si="66"/>
        <v>324.5</v>
      </c>
      <c r="H527" s="58" t="s">
        <v>872</v>
      </c>
      <c r="I527" s="20" t="str">
        <f t="shared" si="67"/>
        <v>ME 166,ED1-EE</v>
      </c>
      <c r="J527" s="25"/>
    </row>
    <row r="528" spans="1:10" ht="14.5" x14ac:dyDescent="0.35">
      <c r="A528" s="26" t="s">
        <v>423</v>
      </c>
      <c r="B528" s="31" t="str">
        <v>ENGINEERING RESEARCH AND TECHNICAL REPORT WRITING</v>
      </c>
      <c r="C528" s="27" t="str">
        <v>Obeng Kwakye Kingsford Sarkodie</v>
      </c>
      <c r="D528" s="26" t="s">
        <v>91</v>
      </c>
      <c r="E528" s="108">
        <v>130</v>
      </c>
      <c r="F528" s="32" t="s">
        <v>873</v>
      </c>
      <c r="G528" s="109">
        <f t="shared" si="66"/>
        <v>143</v>
      </c>
      <c r="H528" s="17" t="s">
        <v>658</v>
      </c>
      <c r="I528" s="20" t="str">
        <f t="shared" si="67"/>
        <v>TE 152,ED1-TEL</v>
      </c>
      <c r="J528" s="25"/>
    </row>
    <row r="529" spans="1:10" s="112" customFormat="1" ht="14.5" x14ac:dyDescent="0.35">
      <c r="A529" s="123" t="s">
        <v>424</v>
      </c>
      <c r="B529" s="124" t="str">
        <v>FINANCIAL ACCOUNTING II</v>
      </c>
      <c r="C529" s="124" t="str">
        <v>Yeboah Edward</v>
      </c>
      <c r="D529" s="123" t="s">
        <v>108</v>
      </c>
      <c r="E529" s="129">
        <v>65</v>
      </c>
      <c r="F529" s="133" t="s">
        <v>546</v>
      </c>
      <c r="G529" s="126">
        <f t="shared" si="66"/>
        <v>71.5</v>
      </c>
      <c r="H529" s="130">
        <v>65</v>
      </c>
      <c r="I529" s="110" t="str">
        <f t="shared" si="67"/>
        <v>ACF 256,ED2-COE</v>
      </c>
      <c r="J529" s="111"/>
    </row>
    <row r="530" spans="1:10" s="112" customFormat="1" ht="14.5" x14ac:dyDescent="0.35">
      <c r="A530" s="123" t="s">
        <v>424</v>
      </c>
      <c r="B530" s="124" t="str">
        <v>FINANCIAL ACCOUNTING II</v>
      </c>
      <c r="C530" s="124" t="str">
        <v>Yeboah Edward</v>
      </c>
      <c r="D530" s="123" t="s">
        <v>109</v>
      </c>
      <c r="E530" s="129">
        <v>18</v>
      </c>
      <c r="F530" s="133" t="s">
        <v>781</v>
      </c>
      <c r="G530" s="126">
        <f t="shared" si="66"/>
        <v>19.8</v>
      </c>
      <c r="H530" s="130">
        <v>18</v>
      </c>
      <c r="I530" s="110" t="str">
        <f t="shared" si="67"/>
        <v>ACF 256,ED2-BME</v>
      </c>
      <c r="J530" s="111"/>
    </row>
    <row r="531" spans="1:10" s="112" customFormat="1" ht="14.5" x14ac:dyDescent="0.35">
      <c r="A531" s="123" t="s">
        <v>424</v>
      </c>
      <c r="B531" s="124" t="str">
        <v>FINANCIAL ACCOUNTING II</v>
      </c>
      <c r="C531" s="124" t="str">
        <v>Yeboah Edward</v>
      </c>
      <c r="D531" s="123" t="s">
        <v>172</v>
      </c>
      <c r="E531" s="129">
        <v>40</v>
      </c>
      <c r="F531" s="133" t="s">
        <v>616</v>
      </c>
      <c r="G531" s="126">
        <f t="shared" si="66"/>
        <v>44</v>
      </c>
      <c r="H531" s="130">
        <v>40</v>
      </c>
      <c r="I531" s="110" t="str">
        <f t="shared" si="67"/>
        <v>ACF 256,ED2-TEL</v>
      </c>
      <c r="J531" s="111"/>
    </row>
    <row r="532" spans="1:10" s="112" customFormat="1" ht="14.5" x14ac:dyDescent="0.35">
      <c r="A532" s="123" t="s">
        <v>424</v>
      </c>
      <c r="B532" s="128" t="str">
        <v>PRINCIPLES OF ACCOUNTING II</v>
      </c>
      <c r="C532" s="124" t="str">
        <v>John Bosco Dramani</v>
      </c>
      <c r="D532" s="123" t="s">
        <v>126</v>
      </c>
      <c r="E532" s="129">
        <v>5</v>
      </c>
      <c r="F532" s="133" t="s">
        <v>874</v>
      </c>
      <c r="G532" s="126">
        <f t="shared" si="66"/>
        <v>5.5</v>
      </c>
      <c r="H532" s="130">
        <v>5</v>
      </c>
      <c r="I532" s="110" t="str">
        <f t="shared" si="67"/>
        <v>ACF 256,ED1-GEOL</v>
      </c>
      <c r="J532" s="111"/>
    </row>
    <row r="533" spans="1:10" s="112" customFormat="1" ht="14.5" x14ac:dyDescent="0.35">
      <c r="A533" s="123" t="s">
        <v>424</v>
      </c>
      <c r="B533" s="124" t="str">
        <v>PRINCIPLES OF ACCOUNTING II</v>
      </c>
      <c r="C533" s="124" t="str">
        <v>Beatrice Sarpong-Danquah</v>
      </c>
      <c r="D533" s="123" t="s">
        <v>77</v>
      </c>
      <c r="E533" s="129">
        <v>35</v>
      </c>
      <c r="F533" s="133" t="s">
        <v>863</v>
      </c>
      <c r="G533" s="126">
        <f t="shared" si="66"/>
        <v>38.5</v>
      </c>
      <c r="H533" s="130">
        <v>35</v>
      </c>
      <c r="I533" s="110" t="str">
        <f t="shared" si="67"/>
        <v>ACF 256,ED3-GEOM</v>
      </c>
      <c r="J533" s="111"/>
    </row>
    <row r="534" spans="1:10" ht="14.5" x14ac:dyDescent="0.35">
      <c r="A534" s="35"/>
      <c r="B534" s="35"/>
      <c r="D534" s="27" t="s">
        <v>425</v>
      </c>
      <c r="E534" s="121">
        <f>SUM(E522:E533)</f>
        <v>1204</v>
      </c>
      <c r="F534" s="36"/>
      <c r="G534" s="122"/>
      <c r="I534" s="22" t="s">
        <v>426</v>
      </c>
      <c r="J534" s="25"/>
    </row>
    <row r="535" spans="1:10" ht="14.5" x14ac:dyDescent="0.35">
      <c r="A535" s="14" t="s">
        <v>418</v>
      </c>
      <c r="B535" s="14"/>
      <c r="C535" s="14"/>
      <c r="D535" s="14"/>
      <c r="E535" s="14"/>
      <c r="F535" s="14"/>
      <c r="G535" s="14"/>
      <c r="I535" s="22" t="str">
        <f>A535</f>
        <v>Tuesday, 1 September 2026</v>
      </c>
      <c r="J535" s="25"/>
    </row>
    <row r="536" spans="1:10" ht="14.5" x14ac:dyDescent="0.35">
      <c r="A536" s="14" t="s">
        <v>29</v>
      </c>
      <c r="B536" s="14"/>
      <c r="C536" s="14"/>
      <c r="D536" s="14"/>
      <c r="E536" s="14"/>
      <c r="F536" s="14"/>
      <c r="G536" s="14"/>
      <c r="I536" s="22" t="str">
        <f>A536</f>
        <v>Session, 2 (12:00 PM - 2:00 PM)</v>
      </c>
      <c r="J536" s="25"/>
    </row>
    <row r="537" spans="1:10" ht="14.5" x14ac:dyDescent="0.35">
      <c r="A537" s="24" t="s">
        <v>4</v>
      </c>
      <c r="B537" s="24" t="s">
        <v>5</v>
      </c>
      <c r="C537" s="16" t="s">
        <v>6</v>
      </c>
      <c r="D537" s="24" t="s">
        <v>7</v>
      </c>
      <c r="E537" s="106" t="s">
        <v>8</v>
      </c>
      <c r="F537" s="16" t="s">
        <v>9</v>
      </c>
      <c r="G537" s="107" t="s">
        <v>10</v>
      </c>
      <c r="I537" s="22" t="s">
        <v>31</v>
      </c>
      <c r="J537" s="25"/>
    </row>
    <row r="538" spans="1:10" ht="14.5" x14ac:dyDescent="0.35">
      <c r="A538" s="26" t="s">
        <v>427</v>
      </c>
      <c r="B538" s="27" t="str">
        <f t="array" ref="B538:B550">IFERROR(VLOOKUP(I538:I550,Lectures_1!A2:F534,2,FALSE()),0)</f>
        <v>HUMAN FACTORS AND ERGONOMICS</v>
      </c>
      <c r="C538" s="31" t="str">
        <f t="array" ref="C538:C550">IFERROR(VLOOKUP(I538:I550,Lectures_1!A2:F534,3,FALSE()),0)</f>
        <v>Sackey Samuel Mensah</v>
      </c>
      <c r="D538" s="26" t="s">
        <v>124</v>
      </c>
      <c r="E538" s="108">
        <f t="array" ref="E538:E550">IFERROR(VLOOKUP(I538:I550,Lectures_1!A2:F534,4,FALSE()),0)</f>
        <v>69</v>
      </c>
      <c r="F538" s="32" t="s">
        <v>574</v>
      </c>
      <c r="G538" s="109">
        <f t="shared" ref="G538:G550" si="68">E538*1.1</f>
        <v>75.900000000000006</v>
      </c>
      <c r="H538" s="17" t="s">
        <v>875</v>
      </c>
      <c r="I538" s="20" t="str">
        <f t="shared" ref="I538:I550" si="69">CONCATENATE(A538,",",D538)</f>
        <v>IE 458,ED4-IND</v>
      </c>
      <c r="J538" s="25"/>
    </row>
    <row r="539" spans="1:10" ht="14.5" x14ac:dyDescent="0.35">
      <c r="A539" s="26" t="s">
        <v>427</v>
      </c>
      <c r="B539" s="27" t="str">
        <v>HUMAN FACTORS AND ERGONOMICS</v>
      </c>
      <c r="C539" s="31" t="str">
        <v>Sackey Samuel Mensah</v>
      </c>
      <c r="D539" s="26" t="s">
        <v>99</v>
      </c>
      <c r="E539" s="108">
        <v>5</v>
      </c>
      <c r="F539" s="32" t="s">
        <v>864</v>
      </c>
      <c r="G539" s="109">
        <f t="shared" si="68"/>
        <v>5.5</v>
      </c>
      <c r="H539" s="17">
        <v>5</v>
      </c>
      <c r="I539" s="20" t="str">
        <f t="shared" si="69"/>
        <v>IE 458,ED4-AERO</v>
      </c>
      <c r="J539" s="25"/>
    </row>
    <row r="540" spans="1:10" ht="14.5" x14ac:dyDescent="0.35">
      <c r="A540" s="26" t="s">
        <v>110</v>
      </c>
      <c r="B540" s="27" t="str">
        <v>COMPUTER PROGRAMMING FOR ENGINEERS</v>
      </c>
      <c r="C540" s="31" t="str">
        <v>Tay Godwin Fabiola Kwaku</v>
      </c>
      <c r="D540" s="26" t="s">
        <v>191</v>
      </c>
      <c r="E540" s="108">
        <v>70</v>
      </c>
      <c r="F540" s="32" t="s">
        <v>574</v>
      </c>
      <c r="G540" s="109">
        <f t="shared" si="68"/>
        <v>77</v>
      </c>
      <c r="H540" s="17" t="s">
        <v>671</v>
      </c>
      <c r="I540" s="20" t="str">
        <f t="shared" si="69"/>
        <v>ME 168,ED1-AERO</v>
      </c>
      <c r="J540" s="25"/>
    </row>
    <row r="541" spans="1:10" ht="14.5" x14ac:dyDescent="0.35">
      <c r="A541" s="26" t="s">
        <v>110</v>
      </c>
      <c r="B541" s="27" t="str">
        <v>COMPUTER PROGRAMMING FOR ENGINEERS</v>
      </c>
      <c r="C541" s="31" t="str">
        <v>Tay Godwin Fabiola Kwaku</v>
      </c>
      <c r="D541" s="26" t="s">
        <v>161</v>
      </c>
      <c r="E541" s="108">
        <v>225</v>
      </c>
      <c r="F541" s="32" t="s">
        <v>687</v>
      </c>
      <c r="G541" s="109">
        <f t="shared" si="68"/>
        <v>247.50000000000003</v>
      </c>
      <c r="H541" s="17" t="s">
        <v>876</v>
      </c>
      <c r="I541" s="20" t="str">
        <f t="shared" si="69"/>
        <v>ME 168,ED1-ME</v>
      </c>
      <c r="J541" s="25"/>
    </row>
    <row r="542" spans="1:10" ht="14.5" x14ac:dyDescent="0.35">
      <c r="A542" s="26" t="s">
        <v>428</v>
      </c>
      <c r="B542" s="27" t="str">
        <v>BIOMATERIALS I</v>
      </c>
      <c r="C542" s="31" t="str">
        <v>Odame Prince</v>
      </c>
      <c r="D542" s="26" t="s">
        <v>65</v>
      </c>
      <c r="E542" s="108">
        <v>90</v>
      </c>
      <c r="F542" s="32" t="s">
        <v>571</v>
      </c>
      <c r="G542" s="109">
        <f t="shared" si="68"/>
        <v>99.000000000000014</v>
      </c>
      <c r="H542" s="17" t="s">
        <v>877</v>
      </c>
      <c r="I542" s="20" t="str">
        <f t="shared" si="69"/>
        <v>BME 362,ED3-BME</v>
      </c>
      <c r="J542" s="25"/>
    </row>
    <row r="543" spans="1:10" s="112" customFormat="1" ht="14.5" x14ac:dyDescent="0.35">
      <c r="A543" s="26" t="s">
        <v>268</v>
      </c>
      <c r="B543" s="31" t="str">
        <v>ENGINEERING MECHANICS I:STATICS</v>
      </c>
      <c r="C543" s="31" t="str">
        <v>Amoabeng Kofi Owura</v>
      </c>
      <c r="D543" s="26" t="s">
        <v>111</v>
      </c>
      <c r="E543" s="108">
        <v>83</v>
      </c>
      <c r="F543" s="19" t="s">
        <v>667</v>
      </c>
      <c r="G543" s="109">
        <f t="shared" si="68"/>
        <v>91.300000000000011</v>
      </c>
      <c r="H543" s="130" t="s">
        <v>878</v>
      </c>
      <c r="I543" s="110" t="str">
        <f t="shared" si="69"/>
        <v>ME 164,ED1-IND</v>
      </c>
      <c r="J543" s="111"/>
    </row>
    <row r="544" spans="1:10" s="112" customFormat="1" ht="14.5" x14ac:dyDescent="0.35">
      <c r="A544" s="26" t="s">
        <v>268</v>
      </c>
      <c r="B544" s="27" t="str">
        <v>ENGINEERING MECHANICS I:STATICS</v>
      </c>
      <c r="C544" s="31" t="str">
        <v>Amoabeng Kofi Owura</v>
      </c>
      <c r="D544" s="26" t="s">
        <v>112</v>
      </c>
      <c r="E544" s="108">
        <v>46</v>
      </c>
      <c r="F544" s="26" t="s">
        <v>879</v>
      </c>
      <c r="G544" s="109">
        <f t="shared" si="68"/>
        <v>50.6</v>
      </c>
      <c r="H544" s="130" t="s">
        <v>623</v>
      </c>
      <c r="I544" s="110" t="str">
        <f t="shared" si="69"/>
        <v>ME 164,ED1-MARI</v>
      </c>
      <c r="J544" s="111"/>
    </row>
    <row r="545" spans="1:10" ht="14.5" x14ac:dyDescent="0.35">
      <c r="A545" s="42" t="s">
        <v>429</v>
      </c>
      <c r="B545" s="24" t="str">
        <v>FARM MACHINERY DESIGN</v>
      </c>
      <c r="C545" s="27" t="str">
        <v>Aveyire Joseph</v>
      </c>
      <c r="D545" s="42" t="s">
        <v>50</v>
      </c>
      <c r="E545" s="163">
        <v>103</v>
      </c>
      <c r="F545" s="42" t="s">
        <v>859</v>
      </c>
      <c r="G545" s="109">
        <f t="shared" si="68"/>
        <v>113.30000000000001</v>
      </c>
      <c r="H545" s="17" t="s">
        <v>880</v>
      </c>
      <c r="I545" s="20" t="str">
        <f t="shared" si="69"/>
        <v>AE 482,ED4-AE</v>
      </c>
      <c r="J545" s="25"/>
    </row>
    <row r="546" spans="1:10" ht="14.5" x14ac:dyDescent="0.35">
      <c r="A546" s="26" t="s">
        <v>430</v>
      </c>
      <c r="B546" s="31" t="str">
        <v>INTRODUCTION TO INFORMATION TECHNOLOGY</v>
      </c>
      <c r="C546" s="27" t="str">
        <v>Titus Tienaah</v>
      </c>
      <c r="D546" s="26" t="s">
        <v>95</v>
      </c>
      <c r="E546" s="108">
        <v>103</v>
      </c>
      <c r="F546" s="32" t="s">
        <v>881</v>
      </c>
      <c r="G546" s="109">
        <f t="shared" si="68"/>
        <v>113.30000000000001</v>
      </c>
      <c r="H546" s="17" t="s">
        <v>882</v>
      </c>
      <c r="I546" s="20" t="str">
        <f t="shared" si="69"/>
        <v>GE 158,ED1-GEOM</v>
      </c>
      <c r="J546" s="25"/>
    </row>
    <row r="547" spans="1:10" ht="14.5" x14ac:dyDescent="0.35">
      <c r="A547" s="26" t="s">
        <v>432</v>
      </c>
      <c r="B547" s="31" t="str">
        <v>SECURE NETWORK SYSTEMS</v>
      </c>
      <c r="C547" s="27" t="str">
        <v>Tchao Eric Tutu</v>
      </c>
      <c r="D547" s="26" t="s">
        <v>251</v>
      </c>
      <c r="E547" s="163">
        <v>90</v>
      </c>
      <c r="F547" s="32" t="s">
        <v>571</v>
      </c>
      <c r="G547" s="109">
        <f t="shared" si="68"/>
        <v>99.000000000000014</v>
      </c>
      <c r="H547" s="17" t="s">
        <v>877</v>
      </c>
      <c r="I547" s="20" t="str">
        <f t="shared" si="69"/>
        <v>COE 456,ED4-COE</v>
      </c>
      <c r="J547" s="25"/>
    </row>
    <row r="548" spans="1:10" s="120" customFormat="1" ht="14.5" x14ac:dyDescent="0.35">
      <c r="A548" s="113" t="s">
        <v>22</v>
      </c>
      <c r="B548" s="114" t="str">
        <v>AUTOMOTIVE CHASSIS</v>
      </c>
      <c r="C548" s="114" t="str">
        <v>Ayetor Godwin Kafui Kwesi</v>
      </c>
      <c r="D548" s="113" t="s">
        <v>23</v>
      </c>
      <c r="E548" s="115">
        <v>40</v>
      </c>
      <c r="F548" s="113" t="s">
        <v>955</v>
      </c>
      <c r="G548" s="116">
        <f t="shared" si="68"/>
        <v>44</v>
      </c>
      <c r="H548" s="117">
        <v>40</v>
      </c>
      <c r="I548" s="131" t="str">
        <f t="shared" si="69"/>
        <v>AME 376,ED3-AUTO</v>
      </c>
      <c r="J548" s="119"/>
    </row>
    <row r="549" spans="1:10" s="120" customFormat="1" ht="14.5" x14ac:dyDescent="0.35">
      <c r="A549" s="113" t="s">
        <v>433</v>
      </c>
      <c r="B549" s="114" t="str">
        <v>AUTOMOTIVE CHASSIS</v>
      </c>
      <c r="C549" s="118" t="str">
        <v>Ayetor Godwin Kafui Kwesi</v>
      </c>
      <c r="D549" s="113" t="s">
        <v>40</v>
      </c>
      <c r="E549" s="115">
        <v>82</v>
      </c>
      <c r="F549" s="113" t="s">
        <v>956</v>
      </c>
      <c r="G549" s="116">
        <f t="shared" si="68"/>
        <v>90.2</v>
      </c>
      <c r="H549" s="161">
        <v>82</v>
      </c>
      <c r="I549" s="131" t="str">
        <f t="shared" si="69"/>
        <v>AME 256,ED2-AUTO</v>
      </c>
      <c r="J549" s="119"/>
    </row>
    <row r="550" spans="1:10" s="120" customFormat="1" ht="14.5" x14ac:dyDescent="0.35">
      <c r="A550" s="113" t="s">
        <v>434</v>
      </c>
      <c r="B550" s="114" t="str">
        <v>SATELLITE COMMUNICATION AND NAVIGATION SYSTEMS</v>
      </c>
      <c r="C550" s="114" t="str">
        <v>Gadze James Dzisi</v>
      </c>
      <c r="D550" s="160" t="s">
        <v>227</v>
      </c>
      <c r="E550" s="115">
        <v>138</v>
      </c>
      <c r="F550" s="113" t="s">
        <v>954</v>
      </c>
      <c r="G550" s="116">
        <f t="shared" si="68"/>
        <v>151.80000000000001</v>
      </c>
      <c r="H550" s="161" t="s">
        <v>883</v>
      </c>
      <c r="I550" s="131" t="str">
        <f t="shared" si="69"/>
        <v>TE 456,ED4-TEL</v>
      </c>
      <c r="J550" s="119"/>
    </row>
    <row r="551" spans="1:10" ht="14.5" x14ac:dyDescent="0.35">
      <c r="A551" s="35"/>
      <c r="B551" s="35"/>
      <c r="D551" s="27" t="s">
        <v>435</v>
      </c>
      <c r="E551" s="121">
        <f>SUM(_xlfn.ANCHORARRAY(E538))</f>
        <v>1144</v>
      </c>
      <c r="F551" s="36"/>
      <c r="G551" s="122"/>
      <c r="I551" s="22"/>
      <c r="J551" s="25"/>
    </row>
    <row r="552" spans="1:10" ht="14.5" x14ac:dyDescent="0.35">
      <c r="A552" s="14" t="s">
        <v>418</v>
      </c>
      <c r="B552" s="14"/>
      <c r="C552" s="14"/>
      <c r="D552" s="14"/>
      <c r="E552" s="14"/>
      <c r="F552" s="14"/>
      <c r="G552" s="14"/>
      <c r="I552" s="22" t="str">
        <f>A552</f>
        <v>Tuesday, 1 September 2026</v>
      </c>
      <c r="J552" s="25"/>
    </row>
    <row r="553" spans="1:10" ht="14.5" x14ac:dyDescent="0.35">
      <c r="A553" s="14" t="s">
        <v>59</v>
      </c>
      <c r="B553" s="14"/>
      <c r="C553" s="14"/>
      <c r="D553" s="14"/>
      <c r="E553" s="14"/>
      <c r="F553" s="14"/>
      <c r="G553" s="14"/>
      <c r="I553" s="22" t="str">
        <f>A553</f>
        <v>Session, 3 (3:00 PM - 5:00 PM)</v>
      </c>
      <c r="J553" s="25"/>
    </row>
    <row r="554" spans="1:10" ht="14.5" x14ac:dyDescent="0.35">
      <c r="A554" s="24" t="s">
        <v>4</v>
      </c>
      <c r="B554" s="24" t="s">
        <v>5</v>
      </c>
      <c r="C554" s="16" t="s">
        <v>6</v>
      </c>
      <c r="D554" s="24" t="s">
        <v>7</v>
      </c>
      <c r="E554" s="106" t="s">
        <v>8</v>
      </c>
      <c r="F554" s="16" t="s">
        <v>9</v>
      </c>
      <c r="G554" s="107" t="s">
        <v>10</v>
      </c>
      <c r="I554" s="22" t="s">
        <v>31</v>
      </c>
      <c r="J554" s="25"/>
    </row>
    <row r="555" spans="1:10" ht="14.5" x14ac:dyDescent="0.35">
      <c r="A555" s="26" t="s">
        <v>436</v>
      </c>
      <c r="B555" s="31" t="str">
        <f t="array" ref="B555:B569">IFERROR(VLOOKUP(I555:I569,Lectures_1!A2:F534,2,FALSE()),0)</f>
        <v>AIRCRAFT PERFORMANCE AND DESIGN</v>
      </c>
      <c r="C555" s="31" t="str">
        <f t="array" ref="C555:C569">IFERROR(VLOOKUP(I555:I569,Lectures_1!A2:F534,3,FALSE()),0)</f>
        <v>Agyei Agyemang Anthony</v>
      </c>
      <c r="D555" s="26" t="s">
        <v>133</v>
      </c>
      <c r="E555" s="108">
        <f t="array" ref="E555:E569">IFERROR(VLOOKUP(I555:I569,Lectures_1!A2:F534,4,FALSE()),0)</f>
        <v>76</v>
      </c>
      <c r="F555" s="32" t="s">
        <v>850</v>
      </c>
      <c r="G555" s="109">
        <f t="shared" ref="G555:G569" si="70">E555*1.1</f>
        <v>83.600000000000009</v>
      </c>
      <c r="H555" s="17" t="s">
        <v>884</v>
      </c>
      <c r="I555" s="20" t="str">
        <f t="shared" ref="I555:I569" si="71">CONCATENATE(A555,",",D555)</f>
        <v>AERO 374,ED3-AERO</v>
      </c>
      <c r="J555" s="25"/>
    </row>
    <row r="556" spans="1:10" ht="14.5" x14ac:dyDescent="0.35">
      <c r="A556" s="26" t="s">
        <v>437</v>
      </c>
      <c r="B556" s="31" t="str">
        <v>STRUCTURAL GEOLOGY</v>
      </c>
      <c r="C556" s="31" t="str">
        <v>Wilson Matthew Coffie</v>
      </c>
      <c r="D556" s="26" t="s">
        <v>154</v>
      </c>
      <c r="E556" s="108">
        <v>154</v>
      </c>
      <c r="F556" s="32" t="s">
        <v>693</v>
      </c>
      <c r="G556" s="109">
        <f t="shared" si="70"/>
        <v>169.4</v>
      </c>
      <c r="H556" s="17" t="s">
        <v>885</v>
      </c>
      <c r="I556" s="20" t="str">
        <f t="shared" si="71"/>
        <v>GED 364,ED3-GEOL</v>
      </c>
      <c r="J556" s="25"/>
    </row>
    <row r="557" spans="1:10" ht="14.5" x14ac:dyDescent="0.35">
      <c r="A557" s="26" t="s">
        <v>438</v>
      </c>
      <c r="B557" s="31" t="str">
        <v>ENERGY AND CLIMATE CHANGE</v>
      </c>
      <c r="C557" s="31" t="str">
        <v>Sokama-Neuyam Yen Adams</v>
      </c>
      <c r="D557" s="26" t="s">
        <v>46</v>
      </c>
      <c r="E557" s="108">
        <v>22</v>
      </c>
      <c r="F557" s="32" t="s">
        <v>886</v>
      </c>
      <c r="G557" s="109">
        <f t="shared" si="70"/>
        <v>24.200000000000003</v>
      </c>
      <c r="H557" s="17">
        <v>22</v>
      </c>
      <c r="I557" s="20" t="str">
        <f t="shared" si="71"/>
        <v>PE 476,ED4-PE</v>
      </c>
      <c r="J557" s="25"/>
    </row>
    <row r="558" spans="1:10" s="120" customFormat="1" ht="14.5" x14ac:dyDescent="0.35">
      <c r="A558" s="113" t="s">
        <v>439</v>
      </c>
      <c r="B558" s="118" t="str">
        <v>REGIONAL GEOLOGY</v>
      </c>
      <c r="C558" s="118" t="str">
        <v>Quaye Jonathan Atuquaye</v>
      </c>
      <c r="D558" s="113" t="s">
        <v>93</v>
      </c>
      <c r="E558" s="115">
        <v>95</v>
      </c>
      <c r="F558" s="160" t="s">
        <v>956</v>
      </c>
      <c r="G558" s="116">
        <f t="shared" si="70"/>
        <v>104.50000000000001</v>
      </c>
      <c r="H558" s="161">
        <v>95</v>
      </c>
      <c r="I558" s="131" t="str">
        <f t="shared" si="71"/>
        <v>PE 256,ED2-PE</v>
      </c>
      <c r="J558" s="119"/>
    </row>
    <row r="559" spans="1:10" ht="14.5" x14ac:dyDescent="0.35">
      <c r="A559" s="26" t="s">
        <v>440</v>
      </c>
      <c r="B559" s="31" t="str">
        <v>MARINE ELECTRICAL TECHNOLOGY AND ELECTRICAL MEASUREMENTS</v>
      </c>
      <c r="C559" s="31" t="str">
        <v>Frimpong Emmanuel Asuming</v>
      </c>
      <c r="D559" s="26" t="s">
        <v>86</v>
      </c>
      <c r="E559" s="108">
        <v>40</v>
      </c>
      <c r="F559" s="32" t="s">
        <v>864</v>
      </c>
      <c r="G559" s="109">
        <f t="shared" si="70"/>
        <v>44</v>
      </c>
      <c r="H559" s="17">
        <v>40</v>
      </c>
      <c r="I559" s="20" t="str">
        <f t="shared" si="71"/>
        <v>MME 386,ED3-MARI</v>
      </c>
      <c r="J559" s="25"/>
    </row>
    <row r="560" spans="1:10" ht="14.5" x14ac:dyDescent="0.35">
      <c r="A560" s="26" t="s">
        <v>441</v>
      </c>
      <c r="B560" s="31" t="str">
        <v>SURFACE TREATMENT OF MATERIALS</v>
      </c>
      <c r="C560" s="31" t="str">
        <v>Andrews Anthony</v>
      </c>
      <c r="D560" s="26" t="s">
        <v>135</v>
      </c>
      <c r="E560" s="108">
        <v>60</v>
      </c>
      <c r="F560" s="26" t="s">
        <v>545</v>
      </c>
      <c r="G560" s="109">
        <f t="shared" si="70"/>
        <v>66</v>
      </c>
      <c r="H560" s="17">
        <v>60</v>
      </c>
      <c r="I560" s="20" t="str">
        <f t="shared" si="71"/>
        <v>MSE 454,ED4-MSE</v>
      </c>
      <c r="J560" s="25"/>
    </row>
    <row r="561" spans="1:10" ht="14.5" x14ac:dyDescent="0.35">
      <c r="A561" s="26" t="s">
        <v>442</v>
      </c>
      <c r="B561" s="27" t="str">
        <v>ELECTROMETALLURGY</v>
      </c>
      <c r="C561" s="27" t="str">
        <v>Agbe Henry</v>
      </c>
      <c r="D561" s="26" t="s">
        <v>136</v>
      </c>
      <c r="E561" s="108">
        <v>55</v>
      </c>
      <c r="F561" s="32" t="s">
        <v>650</v>
      </c>
      <c r="G561" s="109">
        <f t="shared" si="70"/>
        <v>60.500000000000007</v>
      </c>
      <c r="H561" s="17" t="s">
        <v>540</v>
      </c>
      <c r="I561" s="20" t="str">
        <f t="shared" si="71"/>
        <v>METE 452,ED4-METE</v>
      </c>
      <c r="J561" s="25"/>
    </row>
    <row r="562" spans="1:10" s="112" customFormat="1" ht="14.5" x14ac:dyDescent="0.35">
      <c r="A562" s="26" t="s">
        <v>392</v>
      </c>
      <c r="B562" s="27" t="str">
        <v>BASIC MECHANICS</v>
      </c>
      <c r="C562" s="31" t="str">
        <v>Opoku Richard</v>
      </c>
      <c r="D562" s="26" t="s">
        <v>114</v>
      </c>
      <c r="E562" s="108">
        <v>75</v>
      </c>
      <c r="F562" s="32" t="s">
        <v>571</v>
      </c>
      <c r="G562" s="109">
        <f t="shared" si="70"/>
        <v>82.5</v>
      </c>
      <c r="H562" s="130" t="s">
        <v>887</v>
      </c>
      <c r="I562" s="110" t="str">
        <f t="shared" si="71"/>
        <v>ME 162,ED1-METE</v>
      </c>
      <c r="J562" s="111"/>
    </row>
    <row r="563" spans="1:10" s="112" customFormat="1" ht="14.5" x14ac:dyDescent="0.35">
      <c r="A563" s="26" t="s">
        <v>392</v>
      </c>
      <c r="B563" s="27" t="str">
        <v>BASIC MECHANICS</v>
      </c>
      <c r="C563" s="31" t="str">
        <v>Boahen Samuel</v>
      </c>
      <c r="D563" s="26" t="s">
        <v>81</v>
      </c>
      <c r="E563" s="108">
        <v>56</v>
      </c>
      <c r="F563" s="42" t="s">
        <v>574</v>
      </c>
      <c r="G563" s="109">
        <f t="shared" si="70"/>
        <v>61.600000000000009</v>
      </c>
      <c r="H563" s="130" t="s">
        <v>888</v>
      </c>
      <c r="I563" s="110" t="str">
        <f t="shared" si="71"/>
        <v>ME 162,ED1-PCE</v>
      </c>
      <c r="J563" s="111"/>
    </row>
    <row r="564" spans="1:10" ht="14.5" x14ac:dyDescent="0.35">
      <c r="A564" s="26" t="s">
        <v>444</v>
      </c>
      <c r="B564" s="27" t="str">
        <v>RELIABILITY ENGINEERING</v>
      </c>
      <c r="C564" s="27" t="str">
        <v>Takyi Gabriel</v>
      </c>
      <c r="D564" s="26" t="s">
        <v>121</v>
      </c>
      <c r="E564" s="108">
        <v>70</v>
      </c>
      <c r="F564" s="32" t="s">
        <v>545</v>
      </c>
      <c r="G564" s="109">
        <f t="shared" si="70"/>
        <v>77</v>
      </c>
      <c r="H564" s="17">
        <v>70</v>
      </c>
      <c r="I564" s="20" t="str">
        <f t="shared" si="71"/>
        <v>IE 356,ED3-IND</v>
      </c>
      <c r="J564" s="25"/>
    </row>
    <row r="565" spans="1:10" ht="14.5" x14ac:dyDescent="0.35">
      <c r="A565" s="26" t="s">
        <v>445</v>
      </c>
      <c r="B565" s="27" t="str">
        <v>GROUNDWATER DEVELOPMENT</v>
      </c>
      <c r="C565" s="31" t="str">
        <v>Ali Bukari</v>
      </c>
      <c r="D565" s="26" t="s">
        <v>177</v>
      </c>
      <c r="E565" s="108">
        <v>95</v>
      </c>
      <c r="F565" s="32" t="s">
        <v>571</v>
      </c>
      <c r="G565" s="109">
        <f t="shared" si="70"/>
        <v>104.50000000000001</v>
      </c>
      <c r="H565" s="17" t="s">
        <v>856</v>
      </c>
      <c r="I565" s="20" t="str">
        <f t="shared" si="71"/>
        <v>GED 476,ED4-GEOL</v>
      </c>
      <c r="J565" s="25"/>
    </row>
    <row r="566" spans="1:10" ht="14.5" x14ac:dyDescent="0.35">
      <c r="A566" s="26" t="s">
        <v>446</v>
      </c>
      <c r="B566" s="24" t="str">
        <v>VEHICLE MAINTENANCE AND REGULATION</v>
      </c>
      <c r="C566" s="31" t="str">
        <v>Abu Frimpong Solomon</v>
      </c>
      <c r="D566" s="26" t="s">
        <v>97</v>
      </c>
      <c r="E566" s="163">
        <v>32</v>
      </c>
      <c r="F566" s="32" t="s">
        <v>632</v>
      </c>
      <c r="G566" s="109">
        <f t="shared" si="70"/>
        <v>35.200000000000003</v>
      </c>
      <c r="H566" s="17">
        <v>32</v>
      </c>
      <c r="I566" s="20" t="str">
        <f t="shared" si="71"/>
        <v>AME 496,ED4-AUTO</v>
      </c>
      <c r="J566" s="25"/>
    </row>
    <row r="567" spans="1:10" ht="14.5" x14ac:dyDescent="0.35">
      <c r="A567" s="26" t="s">
        <v>447</v>
      </c>
      <c r="B567" s="31" t="str">
        <v>INDUSTRIAL AUTOMATIC CONTROL</v>
      </c>
      <c r="C567" s="27" t="str">
        <v>Opoku Daniel</v>
      </c>
      <c r="D567" s="26" t="s">
        <v>144</v>
      </c>
      <c r="E567" s="108">
        <v>205</v>
      </c>
      <c r="F567" s="32" t="s">
        <v>889</v>
      </c>
      <c r="G567" s="109">
        <f t="shared" si="70"/>
        <v>225.50000000000003</v>
      </c>
      <c r="H567" s="17" t="s">
        <v>890</v>
      </c>
      <c r="I567" s="20" t="str">
        <f t="shared" si="71"/>
        <v>EE 484,ED4-EE</v>
      </c>
      <c r="J567" s="25"/>
    </row>
    <row r="568" spans="1:10" ht="14.5" x14ac:dyDescent="0.35">
      <c r="A568" s="26" t="s">
        <v>448</v>
      </c>
      <c r="B568" s="27" t="str">
        <v>PETROLEUM PRODUCTION ENGINEERING</v>
      </c>
      <c r="C568" s="31" t="str">
        <v>Ankudey Emmanuel Godwin</v>
      </c>
      <c r="D568" s="26" t="s">
        <v>63</v>
      </c>
      <c r="E568" s="108">
        <v>53</v>
      </c>
      <c r="F568" s="32" t="s">
        <v>574</v>
      </c>
      <c r="G568" s="109">
        <f t="shared" si="70"/>
        <v>58.300000000000004</v>
      </c>
      <c r="H568" s="17" t="s">
        <v>891</v>
      </c>
      <c r="I568" s="20" t="str">
        <f t="shared" si="71"/>
        <v>PETE 354,ED3-PCE</v>
      </c>
      <c r="J568" s="25"/>
    </row>
    <row r="569" spans="1:10" ht="14.5" x14ac:dyDescent="0.35">
      <c r="A569" s="26" t="s">
        <v>449</v>
      </c>
      <c r="B569" s="31" t="str">
        <v>SHIP CONSTRUCTION</v>
      </c>
      <c r="C569" s="27" t="str">
        <v>Jehoshaphat Eyram Deh</v>
      </c>
      <c r="D569" s="26" t="s">
        <v>69</v>
      </c>
      <c r="E569" s="108">
        <v>23</v>
      </c>
      <c r="F569" s="32">
        <v>303</v>
      </c>
      <c r="G569" s="109">
        <f t="shared" si="70"/>
        <v>25.3</v>
      </c>
      <c r="H569" s="17">
        <v>23</v>
      </c>
      <c r="I569" s="20" t="str">
        <f t="shared" si="71"/>
        <v>MME 476,ED4-MARI</v>
      </c>
      <c r="J569" s="25"/>
    </row>
    <row r="570" spans="1:10" ht="14.5" x14ac:dyDescent="0.35">
      <c r="A570" s="35"/>
      <c r="B570" s="35"/>
      <c r="D570" s="27" t="s">
        <v>450</v>
      </c>
      <c r="E570" s="121">
        <f>SUM(E555:E569)</f>
        <v>1111</v>
      </c>
      <c r="F570" s="36"/>
      <c r="G570" s="122"/>
      <c r="I570" s="22" t="s">
        <v>451</v>
      </c>
      <c r="J570" s="25"/>
    </row>
    <row r="571" spans="1:10" ht="14.5" x14ac:dyDescent="0.35">
      <c r="A571" s="14" t="s">
        <v>452</v>
      </c>
      <c r="B571" s="14"/>
      <c r="C571" s="14"/>
      <c r="D571" s="14"/>
      <c r="E571" s="14"/>
      <c r="F571" s="14"/>
      <c r="G571" s="14"/>
      <c r="I571" s="22" t="str">
        <f>A571</f>
        <v>Wednesday, 2 September 2026</v>
      </c>
      <c r="J571" s="25"/>
    </row>
    <row r="572" spans="1:10" ht="14.5" x14ac:dyDescent="0.35">
      <c r="A572" s="14" t="s">
        <v>2</v>
      </c>
      <c r="B572" s="14"/>
      <c r="C572" s="14"/>
      <c r="D572" s="14"/>
      <c r="E572" s="14"/>
      <c r="F572" s="14"/>
      <c r="G572" s="14"/>
      <c r="I572" s="22" t="str">
        <f>A572</f>
        <v>Session, 1 (8:30 AM - 10:30 AM)</v>
      </c>
      <c r="J572" s="25"/>
    </row>
    <row r="573" spans="1:10" ht="14.5" x14ac:dyDescent="0.35">
      <c r="A573" s="24" t="s">
        <v>4</v>
      </c>
      <c r="B573" s="24" t="s">
        <v>5</v>
      </c>
      <c r="C573" s="16" t="s">
        <v>6</v>
      </c>
      <c r="D573" s="24" t="s">
        <v>7</v>
      </c>
      <c r="E573" s="106" t="s">
        <v>8</v>
      </c>
      <c r="F573" s="16" t="s">
        <v>9</v>
      </c>
      <c r="G573" s="107" t="s">
        <v>10</v>
      </c>
      <c r="I573" s="22" t="s">
        <v>31</v>
      </c>
      <c r="J573" s="25"/>
    </row>
    <row r="574" spans="1:10" ht="14.5" x14ac:dyDescent="0.35">
      <c r="A574" s="26" t="s">
        <v>454</v>
      </c>
      <c r="B574" s="31" t="str">
        <f t="array" ref="B574:B582">IFERROR(VLOOKUP(I574:I582,Lectures_1!A2:F534,2,FALSE()),0)</f>
        <v>ENGINEERING WORKSHOP PRACTICE</v>
      </c>
      <c r="C574" s="31" t="str">
        <f t="array" ref="C574:C582">IFERROR(VLOOKUP(I574:I582,Lectures_1!A2:F534,3,FALSE()),0)</f>
        <v>Michael Adusei-Bonsu</v>
      </c>
      <c r="D574" s="26" t="s">
        <v>131</v>
      </c>
      <c r="E574" s="108">
        <f t="array" ref="E574:E582">IFERROR(VLOOKUP(I574:I582,Lectures_1!A2:F534,4,FALSE()),0)</f>
        <v>128</v>
      </c>
      <c r="F574" s="32" t="s">
        <v>611</v>
      </c>
      <c r="G574" s="109">
        <f t="shared" ref="G574:G582" si="72">E574*1.1</f>
        <v>140.80000000000001</v>
      </c>
      <c r="H574" s="17" t="s">
        <v>848</v>
      </c>
      <c r="I574" s="20" t="str">
        <f t="shared" ref="I574:I582" si="73">CONCATENATE(A574,",",D574)</f>
        <v>AE 196,ED1-AE</v>
      </c>
      <c r="J574" s="25"/>
    </row>
    <row r="575" spans="1:10" ht="14.5" x14ac:dyDescent="0.35">
      <c r="A575" s="26" t="s">
        <v>455</v>
      </c>
      <c r="B575" s="31" t="str">
        <v>SOIL MECHANICS APPLICATION TO MECHANISATION</v>
      </c>
      <c r="C575" s="31" t="str">
        <v>Agodzo Sampson Kwaku</v>
      </c>
      <c r="D575" s="26" t="s">
        <v>88</v>
      </c>
      <c r="E575" s="108">
        <v>101</v>
      </c>
      <c r="F575" s="32" t="s">
        <v>859</v>
      </c>
      <c r="G575" s="109">
        <f t="shared" si="72"/>
        <v>111.10000000000001</v>
      </c>
      <c r="H575" s="17" t="s">
        <v>892</v>
      </c>
      <c r="I575" s="20" t="str">
        <f t="shared" si="73"/>
        <v>AE 352,ED3-AE</v>
      </c>
      <c r="J575" s="25"/>
    </row>
    <row r="576" spans="1:10" ht="14.5" x14ac:dyDescent="0.35">
      <c r="A576" s="26" t="s">
        <v>456</v>
      </c>
      <c r="B576" s="27" t="str">
        <v>AQUATIC STROKES DEVELOPMENT AND REFINEMENT</v>
      </c>
      <c r="C576" s="27" t="str">
        <v>Afrifa Daniel</v>
      </c>
      <c r="D576" s="26" t="s">
        <v>42</v>
      </c>
      <c r="E576" s="108">
        <v>37</v>
      </c>
      <c r="F576" s="32" t="s">
        <v>541</v>
      </c>
      <c r="G576" s="109">
        <f t="shared" si="72"/>
        <v>40.700000000000003</v>
      </c>
      <c r="H576" s="19">
        <v>37</v>
      </c>
      <c r="I576" s="20" t="str">
        <f t="shared" si="73"/>
        <v>SES 172,ED2-MARI</v>
      </c>
      <c r="J576" s="25"/>
    </row>
    <row r="577" spans="1:10" ht="14.5" x14ac:dyDescent="0.35">
      <c r="A577" s="26" t="s">
        <v>458</v>
      </c>
      <c r="B577" s="27" t="str">
        <v>FLUID MACHINERY</v>
      </c>
      <c r="C577" s="31" t="str">
        <v>Opoku Richard</v>
      </c>
      <c r="D577" s="26" t="s">
        <v>67</v>
      </c>
      <c r="E577" s="108">
        <v>80</v>
      </c>
      <c r="F577" s="32" t="s">
        <v>893</v>
      </c>
      <c r="G577" s="109">
        <f t="shared" si="72"/>
        <v>88</v>
      </c>
      <c r="H577" s="17" t="s">
        <v>692</v>
      </c>
      <c r="I577" s="20" t="str">
        <f t="shared" si="73"/>
        <v>ME 452,ED4-ME</v>
      </c>
      <c r="J577" s="25"/>
    </row>
    <row r="578" spans="1:10" ht="14.5" x14ac:dyDescent="0.35">
      <c r="A578" s="26" t="s">
        <v>459</v>
      </c>
      <c r="B578" s="31" t="str">
        <v>PRINCIPLE OF DESIGN</v>
      </c>
      <c r="C578" s="27" t="str">
        <v>Ayeh Felix Jojo Fianko</v>
      </c>
      <c r="D578" s="26" t="s">
        <v>56</v>
      </c>
      <c r="E578" s="108">
        <v>250</v>
      </c>
      <c r="F578" s="57" t="s">
        <v>854</v>
      </c>
      <c r="G578" s="109">
        <f t="shared" si="72"/>
        <v>275</v>
      </c>
      <c r="H578" s="58" t="s">
        <v>894</v>
      </c>
      <c r="I578" s="20" t="str">
        <f t="shared" si="73"/>
        <v>CE 272,ED2-CE</v>
      </c>
      <c r="J578" s="25"/>
    </row>
    <row r="579" spans="1:10" ht="14.5" x14ac:dyDescent="0.35">
      <c r="A579" s="26" t="s">
        <v>472</v>
      </c>
      <c r="B579" s="27" t="str">
        <v>AEROSPACE SAFETY AND AIR SECURITY</v>
      </c>
      <c r="C579" s="31" t="str">
        <v xml:space="preserve">Peter Oppong Tawiah </v>
      </c>
      <c r="D579" s="26" t="s">
        <v>99</v>
      </c>
      <c r="E579" s="108">
        <v>61</v>
      </c>
      <c r="F579" s="26" t="s">
        <v>685</v>
      </c>
      <c r="G579" s="109">
        <f t="shared" si="72"/>
        <v>67.100000000000009</v>
      </c>
      <c r="H579" s="17" t="s">
        <v>588</v>
      </c>
      <c r="I579" s="20" t="str">
        <f t="shared" si="73"/>
        <v>AERO 492,ED4-AERO</v>
      </c>
      <c r="J579" s="25"/>
    </row>
    <row r="580" spans="1:10" s="120" customFormat="1" ht="14.5" x14ac:dyDescent="0.35">
      <c r="A580" s="113" t="s">
        <v>460</v>
      </c>
      <c r="B580" s="114" t="str">
        <v>FUNDAMENTALS OF DATA SCIENCE</v>
      </c>
      <c r="C580" s="114" t="str">
        <v>Obour Agyekum Kwame Opuni-Boachie</v>
      </c>
      <c r="D580" s="113" t="s">
        <v>172</v>
      </c>
      <c r="E580" s="115">
        <v>175</v>
      </c>
      <c r="F580" s="185" t="s">
        <v>954</v>
      </c>
      <c r="G580" s="116">
        <f t="shared" si="72"/>
        <v>192.50000000000003</v>
      </c>
      <c r="H580" s="117" t="s">
        <v>895</v>
      </c>
      <c r="I580" s="131" t="str">
        <f t="shared" si="73"/>
        <v>TE 252,ED2-TEL</v>
      </c>
      <c r="J580" s="119"/>
    </row>
    <row r="581" spans="1:10" s="53" customFormat="1" ht="14.5" x14ac:dyDescent="0.35">
      <c r="A581" s="26" t="s">
        <v>461</v>
      </c>
      <c r="B581" s="31" t="str">
        <v>ELEMENTARY FLUIDS MECHANICS</v>
      </c>
      <c r="C581" s="31" t="str">
        <v>Gyamfi Charles</v>
      </c>
      <c r="D581" s="26" t="s">
        <v>75</v>
      </c>
      <c r="E581" s="108">
        <v>245</v>
      </c>
      <c r="F581" s="60" t="s">
        <v>854</v>
      </c>
      <c r="G581" s="109">
        <f t="shared" si="72"/>
        <v>269.5</v>
      </c>
      <c r="H581" s="17" t="s">
        <v>547</v>
      </c>
      <c r="I581" s="51" t="str">
        <f t="shared" si="73"/>
        <v>CE 156,ED1-CE</v>
      </c>
      <c r="J581" s="52"/>
    </row>
    <row r="582" spans="1:10" ht="14.5" x14ac:dyDescent="0.35">
      <c r="A582" s="26" t="s">
        <v>461</v>
      </c>
      <c r="B582" s="27" t="str">
        <v>ELEMENTARY FLUIDS MECHANICS</v>
      </c>
      <c r="C582" s="27" t="str">
        <v>Gyamfi Charles</v>
      </c>
      <c r="D582" s="26" t="s">
        <v>126</v>
      </c>
      <c r="E582" s="108">
        <v>125</v>
      </c>
      <c r="F582" s="32" t="s">
        <v>611</v>
      </c>
      <c r="G582" s="109">
        <f t="shared" si="72"/>
        <v>137.5</v>
      </c>
      <c r="H582" s="17" t="s">
        <v>896</v>
      </c>
      <c r="I582" s="20" t="str">
        <f t="shared" si="73"/>
        <v>CE 156,ED1-GEOL</v>
      </c>
      <c r="J582" s="25"/>
    </row>
    <row r="583" spans="1:10" ht="14.5" x14ac:dyDescent="0.35">
      <c r="A583" s="35"/>
      <c r="B583" s="35"/>
      <c r="D583" s="27" t="s">
        <v>462</v>
      </c>
      <c r="E583" s="121">
        <f>SUM(E574:E582)</f>
        <v>1202</v>
      </c>
      <c r="F583" s="36"/>
      <c r="G583" s="122"/>
      <c r="I583" s="22" t="s">
        <v>463</v>
      </c>
      <c r="J583" s="25"/>
    </row>
    <row r="584" spans="1:10" ht="14.5" x14ac:dyDescent="0.35">
      <c r="A584" s="14" t="s">
        <v>452</v>
      </c>
      <c r="B584" s="14"/>
      <c r="C584" s="14"/>
      <c r="D584" s="14"/>
      <c r="E584" s="14"/>
      <c r="F584" s="14"/>
      <c r="G584" s="14"/>
      <c r="I584" s="22" t="str">
        <f>A584</f>
        <v>Wednesday, 2 September 2026</v>
      </c>
      <c r="J584" s="25"/>
    </row>
    <row r="585" spans="1:10" ht="14.5" x14ac:dyDescent="0.35">
      <c r="A585" s="14" t="s">
        <v>29</v>
      </c>
      <c r="B585" s="14"/>
      <c r="C585" s="14"/>
      <c r="D585" s="14"/>
      <c r="E585" s="14"/>
      <c r="F585" s="14"/>
      <c r="G585" s="14"/>
      <c r="I585" s="22" t="str">
        <f>A585</f>
        <v>Session, 2 (12:00 PM - 2:00 PM)</v>
      </c>
      <c r="J585" s="25"/>
    </row>
    <row r="586" spans="1:10" ht="14.5" x14ac:dyDescent="0.35">
      <c r="A586" s="24" t="s">
        <v>4</v>
      </c>
      <c r="B586" s="24" t="s">
        <v>5</v>
      </c>
      <c r="C586" s="16" t="s">
        <v>6</v>
      </c>
      <c r="D586" s="24" t="s">
        <v>7</v>
      </c>
      <c r="E586" s="106" t="s">
        <v>8</v>
      </c>
      <c r="F586" s="16" t="s">
        <v>9</v>
      </c>
      <c r="G586" s="107" t="s">
        <v>10</v>
      </c>
      <c r="I586" s="22" t="s">
        <v>31</v>
      </c>
      <c r="J586" s="25"/>
    </row>
    <row r="587" spans="1:10" ht="14.5" x14ac:dyDescent="0.35">
      <c r="A587" s="26" t="s">
        <v>464</v>
      </c>
      <c r="B587" s="31" t="str">
        <f t="array" ref="B587:B593">IFERROR(VLOOKUP(I587:I593,Lectures_1!A2:F534,2,FALSE()),0)</f>
        <v>DIGITAL COMMUNICATION SYSTEMS</v>
      </c>
      <c r="C587" s="31" t="str">
        <f t="array" ref="C587:C593">IFERROR(VLOOKUP(I587:I593,Lectures_1!A2:F534,3,FALSE()),0)</f>
        <v>Affum Emmanuel Ampoma</v>
      </c>
      <c r="D587" s="26" t="s">
        <v>119</v>
      </c>
      <c r="E587" s="108">
        <f t="array" ref="E587:E593">IFERROR(VLOOKUP(I587:I593,Lectures_1!A2:F534,4,FALSE()),0)</f>
        <v>140</v>
      </c>
      <c r="F587" s="32" t="s">
        <v>897</v>
      </c>
      <c r="G587" s="109">
        <f t="shared" ref="G587:G593" si="74">E587*1.1</f>
        <v>154</v>
      </c>
      <c r="H587" s="17" t="s">
        <v>898</v>
      </c>
      <c r="I587" s="20" t="str">
        <f t="shared" ref="I587:I593" si="75">CONCATENATE(A587,",",D587)</f>
        <v>TE 358,ED3-TEL</v>
      </c>
      <c r="J587" s="25"/>
    </row>
    <row r="588" spans="1:10" ht="14.5" x14ac:dyDescent="0.35">
      <c r="A588" s="26" t="s">
        <v>308</v>
      </c>
      <c r="B588" s="31" t="str">
        <v>ANTENNAS AND PROPAGATION</v>
      </c>
      <c r="C588" s="31" t="str">
        <v>Ellis Sani Mubarak</v>
      </c>
      <c r="D588" s="26" t="s">
        <v>71</v>
      </c>
      <c r="E588" s="108">
        <v>170</v>
      </c>
      <c r="F588" s="32" t="s">
        <v>706</v>
      </c>
      <c r="G588" s="109">
        <f t="shared" si="74"/>
        <v>187.00000000000003</v>
      </c>
      <c r="H588" s="17" t="s">
        <v>899</v>
      </c>
      <c r="I588" s="20" t="str">
        <f t="shared" si="75"/>
        <v>TE 372,ED3-EE</v>
      </c>
      <c r="J588" s="25"/>
    </row>
    <row r="589" spans="1:10" s="173" customFormat="1" ht="14.5" x14ac:dyDescent="0.35">
      <c r="A589" s="164" t="s">
        <v>466</v>
      </c>
      <c r="B589" s="165" t="str">
        <v>COMPUTER-AIDED DESIGN AND MODELLING</v>
      </c>
      <c r="C589" s="166" t="str">
        <v>Sackey Michael Nii</v>
      </c>
      <c r="D589" s="164" t="s">
        <v>36</v>
      </c>
      <c r="E589" s="167">
        <v>75</v>
      </c>
      <c r="F589" s="168" t="s">
        <v>963</v>
      </c>
      <c r="G589" s="169">
        <f t="shared" si="74"/>
        <v>82.5</v>
      </c>
      <c r="H589" s="186">
        <v>75</v>
      </c>
      <c r="I589" s="171" t="str">
        <f t="shared" si="75"/>
        <v>ME 258,ED2-AERO</v>
      </c>
      <c r="J589" s="172"/>
    </row>
    <row r="590" spans="1:10" ht="14.5" x14ac:dyDescent="0.35">
      <c r="A590" s="26" t="s">
        <v>467</v>
      </c>
      <c r="B590" s="27" t="str">
        <v>NUMERICAL METHODS FOR PETROLEUM ENGINEERS</v>
      </c>
      <c r="C590" s="27" t="str">
        <v>Sokama-Neuyam Yen Adams</v>
      </c>
      <c r="D590" s="26" t="s">
        <v>18</v>
      </c>
      <c r="E590" s="108">
        <v>80</v>
      </c>
      <c r="F590" s="32" t="s">
        <v>571</v>
      </c>
      <c r="G590" s="109">
        <f t="shared" si="74"/>
        <v>88</v>
      </c>
      <c r="H590" s="17" t="s">
        <v>692</v>
      </c>
      <c r="I590" s="20" t="str">
        <f t="shared" si="75"/>
        <v>PE 350,ED3-PE</v>
      </c>
      <c r="J590" s="25"/>
    </row>
    <row r="591" spans="1:10" ht="14.5" x14ac:dyDescent="0.35">
      <c r="A591" s="26" t="s">
        <v>475</v>
      </c>
      <c r="B591" s="31" t="str">
        <v>HYDROGRAPHIC SURVEYING AND MARINE SCIENCE</v>
      </c>
      <c r="C591" s="27" t="str">
        <v>Asante Cosmas Yaw</v>
      </c>
      <c r="D591" s="26" t="s">
        <v>170</v>
      </c>
      <c r="E591" s="108">
        <v>132</v>
      </c>
      <c r="F591" s="32" t="s">
        <v>897</v>
      </c>
      <c r="G591" s="109">
        <f t="shared" si="74"/>
        <v>145.20000000000002</v>
      </c>
      <c r="H591" s="17" t="s">
        <v>900</v>
      </c>
      <c r="I591" s="20" t="str">
        <f t="shared" si="75"/>
        <v>GE 284,ED2-GEOM</v>
      </c>
      <c r="J591" s="25"/>
    </row>
    <row r="592" spans="1:10" s="53" customFormat="1" ht="14.5" x14ac:dyDescent="0.35">
      <c r="A592" s="26" t="s">
        <v>281</v>
      </c>
      <c r="B592" s="31" t="str">
        <v>CALCULUS WITH SEVERAL VARIABLES</v>
      </c>
      <c r="C592" s="27" t="str">
        <v>Emmanuel Kpeglo</v>
      </c>
      <c r="D592" s="26" t="s">
        <v>25</v>
      </c>
      <c r="E592" s="108">
        <v>340</v>
      </c>
      <c r="F592" s="60" t="s">
        <v>901</v>
      </c>
      <c r="G592" s="109">
        <f t="shared" si="74"/>
        <v>374.00000000000006</v>
      </c>
      <c r="H592" s="58" t="s">
        <v>902</v>
      </c>
      <c r="I592" s="51" t="str">
        <f t="shared" si="75"/>
        <v>MATH 252,ED2-EE</v>
      </c>
      <c r="J592" s="52"/>
    </row>
    <row r="593" spans="1:10" s="53" customFormat="1" ht="14.5" x14ac:dyDescent="0.35">
      <c r="A593" s="26" t="s">
        <v>281</v>
      </c>
      <c r="B593" s="31" t="str">
        <v>CALCULUS OF SEVERAL VARIABLES</v>
      </c>
      <c r="C593" s="27" t="str">
        <v>Benedict Barnes</v>
      </c>
      <c r="D593" s="26" t="s">
        <v>13</v>
      </c>
      <c r="E593" s="108">
        <v>160</v>
      </c>
      <c r="F593" s="32" t="s">
        <v>747</v>
      </c>
      <c r="G593" s="109">
        <f t="shared" si="74"/>
        <v>176</v>
      </c>
      <c r="H593" s="17" t="s">
        <v>903</v>
      </c>
      <c r="I593" s="51" t="str">
        <f t="shared" si="75"/>
        <v>MATH 252,ED2-CHE</v>
      </c>
      <c r="J593" s="52"/>
    </row>
    <row r="594" spans="1:10" ht="14.5" x14ac:dyDescent="0.35">
      <c r="A594" s="35"/>
      <c r="B594" s="35"/>
      <c r="D594" s="27" t="s">
        <v>470</v>
      </c>
      <c r="E594" s="121">
        <f>SUM(E587:E593)</f>
        <v>1097</v>
      </c>
      <c r="F594" s="36"/>
      <c r="G594" s="122"/>
      <c r="I594" s="22"/>
      <c r="J594" s="25"/>
    </row>
    <row r="595" spans="1:10" ht="14.5" x14ac:dyDescent="0.35">
      <c r="A595" s="14" t="s">
        <v>452</v>
      </c>
      <c r="B595" s="14"/>
      <c r="C595" s="14"/>
      <c r="D595" s="14"/>
      <c r="E595" s="14"/>
      <c r="F595" s="14"/>
      <c r="G595" s="14"/>
      <c r="I595" s="22" t="str">
        <f>A595</f>
        <v>Wednesday, 2 September 2026</v>
      </c>
      <c r="J595" s="25"/>
    </row>
    <row r="596" spans="1:10" ht="14.5" x14ac:dyDescent="0.35">
      <c r="A596" s="14" t="s">
        <v>59</v>
      </c>
      <c r="B596" s="14"/>
      <c r="C596" s="14"/>
      <c r="D596" s="14"/>
      <c r="E596" s="14"/>
      <c r="F596" s="14"/>
      <c r="G596" s="14"/>
      <c r="I596" s="22" t="str">
        <f>A596</f>
        <v>Session, 3 (3:00 PM - 5:00 PM)</v>
      </c>
      <c r="J596" s="25"/>
    </row>
    <row r="597" spans="1:10" ht="14.5" x14ac:dyDescent="0.35">
      <c r="A597" s="24" t="s">
        <v>4</v>
      </c>
      <c r="B597" s="24" t="s">
        <v>5</v>
      </c>
      <c r="C597" s="16" t="s">
        <v>6</v>
      </c>
      <c r="D597" s="24" t="s">
        <v>7</v>
      </c>
      <c r="E597" s="106" t="s">
        <v>8</v>
      </c>
      <c r="F597" s="16" t="s">
        <v>9</v>
      </c>
      <c r="G597" s="107" t="s">
        <v>10</v>
      </c>
      <c r="I597" s="22" t="s">
        <v>31</v>
      </c>
      <c r="J597" s="25"/>
    </row>
    <row r="598" spans="1:10" ht="14.5" x14ac:dyDescent="0.35">
      <c r="A598" s="26" t="s">
        <v>471</v>
      </c>
      <c r="B598" s="31" t="str">
        <f t="array" ref="B598:B606">IFERROR(VLOOKUP(I598:I606,Lectures_1!A2:F534,2,FALSE()),0)</f>
        <v>PRINCIPLES OF VALUATION OF LAND AND BUILDING</v>
      </c>
      <c r="C598" s="31" t="str">
        <f t="array" ref="C598:C606">IFERROR(VLOOKUP(I598:I606,Lectures_1!A2:F534,3,FALSE()),0)</f>
        <v>Ayitey Jonathan</v>
      </c>
      <c r="D598" s="26" t="s">
        <v>194</v>
      </c>
      <c r="E598" s="108">
        <f t="array" ref="E598:E606">IFERROR(VLOOKUP(I598:I606,Lectures_1!A2:F534,4,FALSE()),0)</f>
        <v>93</v>
      </c>
      <c r="F598" s="32" t="s">
        <v>571</v>
      </c>
      <c r="G598" s="109">
        <f t="shared" ref="G598:G606" si="76">E598*1.1</f>
        <v>102.30000000000001</v>
      </c>
      <c r="H598" s="17" t="s">
        <v>904</v>
      </c>
      <c r="I598" s="20" t="str">
        <f t="shared" ref="I598:I606" si="77">CONCATENATE(A598,",",D598)</f>
        <v>GE 474,ED4-GEOM</v>
      </c>
      <c r="J598" s="25"/>
    </row>
    <row r="599" spans="1:10" ht="14.5" x14ac:dyDescent="0.35">
      <c r="A599" s="26" t="s">
        <v>473</v>
      </c>
      <c r="B599" s="24" t="str">
        <v>ELECTRICAL ENGINEERING MACHINES</v>
      </c>
      <c r="C599" s="27" t="str">
        <v>Yaw Opoku Mensah Sekyere</v>
      </c>
      <c r="D599" s="26" t="s">
        <v>61</v>
      </c>
      <c r="E599" s="108">
        <v>222</v>
      </c>
      <c r="F599" s="32" t="s">
        <v>687</v>
      </c>
      <c r="G599" s="109">
        <f t="shared" si="76"/>
        <v>244.20000000000002</v>
      </c>
      <c r="H599" s="17" t="s">
        <v>905</v>
      </c>
      <c r="I599" s="20" t="str">
        <f t="shared" si="77"/>
        <v>EE 252,ED3-ME</v>
      </c>
      <c r="J599" s="25"/>
    </row>
    <row r="600" spans="1:10" ht="14.5" x14ac:dyDescent="0.35">
      <c r="A600" s="26" t="s">
        <v>473</v>
      </c>
      <c r="B600" s="24" t="str">
        <v>ELECTRICAL ENGINEERING MACHINES</v>
      </c>
      <c r="C600" s="27" t="str">
        <v>Yaw Opoku Mensah Sekyere</v>
      </c>
      <c r="D600" s="26" t="s">
        <v>53</v>
      </c>
      <c r="E600" s="108">
        <v>155</v>
      </c>
      <c r="F600" s="32" t="s">
        <v>693</v>
      </c>
      <c r="G600" s="109">
        <f t="shared" si="76"/>
        <v>170.5</v>
      </c>
      <c r="H600" s="17" t="s">
        <v>906</v>
      </c>
      <c r="I600" s="20" t="str">
        <f t="shared" si="77"/>
        <v>EE 252,ED2-AE</v>
      </c>
      <c r="J600" s="25"/>
    </row>
    <row r="601" spans="1:10" s="120" customFormat="1" ht="14.5" x14ac:dyDescent="0.35">
      <c r="A601" s="113" t="s">
        <v>474</v>
      </c>
      <c r="B601" s="114" t="str">
        <v>ELECTRICAL MACHINES</v>
      </c>
      <c r="C601" s="114" t="str">
        <v>Asigri Peter</v>
      </c>
      <c r="D601" s="113" t="s">
        <v>20</v>
      </c>
      <c r="E601" s="115">
        <v>262</v>
      </c>
      <c r="F601" s="185" t="s">
        <v>954</v>
      </c>
      <c r="G601" s="116">
        <f t="shared" si="76"/>
        <v>288.20000000000005</v>
      </c>
      <c r="H601" s="187" t="s">
        <v>534</v>
      </c>
      <c r="I601" s="131" t="str">
        <f t="shared" si="77"/>
        <v>EE 172,ED1-COE</v>
      </c>
      <c r="J601" s="119"/>
    </row>
    <row r="602" spans="1:10" ht="14.5" x14ac:dyDescent="0.35">
      <c r="A602" s="26" t="s">
        <v>476</v>
      </c>
      <c r="B602" s="31" t="str">
        <v>SIMULTANEOUS HEAT/MASS TRANSFER</v>
      </c>
      <c r="C602" s="27" t="str">
        <v>Dogbe Eunice Sefakor Aku</v>
      </c>
      <c r="D602" s="26" t="s">
        <v>73</v>
      </c>
      <c r="E602" s="108">
        <v>105</v>
      </c>
      <c r="F602" s="32" t="s">
        <v>859</v>
      </c>
      <c r="G602" s="109">
        <f t="shared" si="76"/>
        <v>115.50000000000001</v>
      </c>
      <c r="H602" s="17" t="s">
        <v>907</v>
      </c>
      <c r="I602" s="20" t="str">
        <f t="shared" si="77"/>
        <v>CHE 354,ED3-CHE</v>
      </c>
      <c r="J602" s="25"/>
    </row>
    <row r="603" spans="1:10" s="112" customFormat="1" ht="14.5" x14ac:dyDescent="0.35">
      <c r="A603" s="26" t="s">
        <v>469</v>
      </c>
      <c r="B603" s="27" t="str">
        <v>STRUCTURAL DYNAMICS</v>
      </c>
      <c r="C603" s="31" t="str">
        <v>Mark Adom-Asamoah</v>
      </c>
      <c r="D603" s="26" t="s">
        <v>103</v>
      </c>
      <c r="E603" s="108">
        <v>95</v>
      </c>
      <c r="F603" s="32" t="s">
        <v>659</v>
      </c>
      <c r="G603" s="109">
        <f t="shared" si="76"/>
        <v>104.50000000000001</v>
      </c>
      <c r="H603" s="130" t="s">
        <v>908</v>
      </c>
      <c r="I603" s="110" t="str">
        <f t="shared" si="77"/>
        <v>CE 456,ED4-CE</v>
      </c>
      <c r="J603" s="111"/>
    </row>
    <row r="604" spans="1:10" ht="14.5" x14ac:dyDescent="0.35">
      <c r="A604" s="26" t="s">
        <v>525</v>
      </c>
      <c r="B604" s="27" t="str">
        <v>PROCESS CONTROL AND SIMULATION</v>
      </c>
      <c r="C604" s="27" t="str">
        <v>Baah-Ennumh Emmanuel Kwaku</v>
      </c>
      <c r="D604" s="26" t="s">
        <v>48</v>
      </c>
      <c r="E604" s="108">
        <v>114</v>
      </c>
      <c r="F604" s="39" t="s">
        <v>909</v>
      </c>
      <c r="G604" s="109">
        <f t="shared" si="76"/>
        <v>125.4</v>
      </c>
      <c r="H604" s="39" t="s">
        <v>910</v>
      </c>
      <c r="I604" s="20" t="str">
        <f t="shared" si="77"/>
        <v>CHE 456,ED4-CHE</v>
      </c>
      <c r="J604" s="25"/>
    </row>
    <row r="605" spans="1:10" ht="14.5" x14ac:dyDescent="0.35">
      <c r="A605" s="26" t="s">
        <v>525</v>
      </c>
      <c r="B605" s="27" t="str">
        <v>PROCESS CONTROL AND SIMULATION</v>
      </c>
      <c r="C605" s="27" t="str">
        <v>Baidoo Martina Francisca</v>
      </c>
      <c r="D605" s="26" t="s">
        <v>44</v>
      </c>
      <c r="E605" s="108">
        <v>55</v>
      </c>
      <c r="F605" s="39" t="s">
        <v>541</v>
      </c>
      <c r="G605" s="109">
        <f t="shared" si="76"/>
        <v>60.500000000000007</v>
      </c>
      <c r="H605" s="102">
        <v>55</v>
      </c>
      <c r="I605" s="20" t="str">
        <f t="shared" si="77"/>
        <v>CHE 456,ED4-PCE</v>
      </c>
      <c r="J605" s="25"/>
    </row>
    <row r="606" spans="1:10" ht="14.5" x14ac:dyDescent="0.35">
      <c r="A606" s="26" t="s">
        <v>477</v>
      </c>
      <c r="B606" s="27" t="str">
        <v>CROP STORAGE AND STORAGE STRUCTURES</v>
      </c>
      <c r="C606" s="27" t="str">
        <v>Bart Plange Ato</v>
      </c>
      <c r="D606" s="26" t="s">
        <v>50</v>
      </c>
      <c r="E606" s="108">
        <v>103</v>
      </c>
      <c r="F606" s="32" t="s">
        <v>665</v>
      </c>
      <c r="G606" s="109">
        <f t="shared" si="76"/>
        <v>113.30000000000001</v>
      </c>
      <c r="H606" s="17" t="s">
        <v>911</v>
      </c>
      <c r="I606" s="20" t="str">
        <f t="shared" si="77"/>
        <v>AE 464,ED4-AE</v>
      </c>
      <c r="J606" s="25"/>
    </row>
    <row r="607" spans="1:10" ht="14.5" x14ac:dyDescent="0.35">
      <c r="A607" s="35"/>
      <c r="B607" s="35"/>
      <c r="D607" s="27" t="s">
        <v>478</v>
      </c>
      <c r="E607" s="121">
        <f>SUM(E598:E606)</f>
        <v>1204</v>
      </c>
      <c r="F607" s="36"/>
      <c r="G607" s="122"/>
      <c r="I607" s="22" t="s">
        <v>479</v>
      </c>
      <c r="J607" s="25"/>
    </row>
    <row r="608" spans="1:10" ht="14.5" x14ac:dyDescent="0.35">
      <c r="A608" s="14" t="s">
        <v>480</v>
      </c>
      <c r="B608" s="14"/>
      <c r="C608" s="14"/>
      <c r="D608" s="14"/>
      <c r="E608" s="14"/>
      <c r="F608" s="14"/>
      <c r="G608" s="14"/>
      <c r="I608" s="22" t="str">
        <f>A608</f>
        <v>Thursday, 3 September 2026</v>
      </c>
      <c r="J608" s="25"/>
    </row>
    <row r="609" spans="1:10" ht="14.5" x14ac:dyDescent="0.35">
      <c r="A609" s="14" t="s">
        <v>2</v>
      </c>
      <c r="B609" s="14"/>
      <c r="C609" s="14"/>
      <c r="D609" s="14"/>
      <c r="E609" s="14"/>
      <c r="F609" s="14"/>
      <c r="G609" s="14"/>
      <c r="I609" s="22" t="str">
        <f>A609</f>
        <v>Session, 1 (8:30 AM - 10:30 AM)</v>
      </c>
      <c r="J609" s="25"/>
    </row>
    <row r="610" spans="1:10" ht="14.5" x14ac:dyDescent="0.35">
      <c r="A610" s="24" t="s">
        <v>4</v>
      </c>
      <c r="B610" s="24" t="s">
        <v>5</v>
      </c>
      <c r="C610" s="16" t="s">
        <v>6</v>
      </c>
      <c r="D610" s="24" t="s">
        <v>7</v>
      </c>
      <c r="E610" s="106" t="s">
        <v>8</v>
      </c>
      <c r="F610" s="16" t="s">
        <v>9</v>
      </c>
      <c r="G610" s="107" t="s">
        <v>10</v>
      </c>
      <c r="I610" s="22" t="s">
        <v>31</v>
      </c>
      <c r="J610" s="25"/>
    </row>
    <row r="611" spans="1:10" ht="14.5" x14ac:dyDescent="0.35">
      <c r="A611" s="26" t="s">
        <v>482</v>
      </c>
      <c r="B611" s="31" t="str">
        <f t="array" ref="B611:B620">IFERROR(VLOOKUP(I611:I620,Lectures_1!A2:F534,2,FALSE()),0)</f>
        <v>LOGISTICS AND SUPPLY CHAIN ENGINEERING</v>
      </c>
      <c r="C611" s="27" t="str">
        <f t="array" ref="C611:C620">IFERROR(VLOOKUP(I611:I620,Lectures_1!A2:F534,3,FALSE()),0)</f>
        <v>Asiedu Charlotte</v>
      </c>
      <c r="D611" s="26" t="s">
        <v>121</v>
      </c>
      <c r="E611" s="108">
        <f t="array" ref="E611:E620">IFERROR(VLOOKUP(I611:I620,Lectures_1!A2:F534,4,FALSE()),0)</f>
        <v>70</v>
      </c>
      <c r="F611" s="26" t="s">
        <v>603</v>
      </c>
      <c r="G611" s="109">
        <f t="shared" ref="G611:G620" si="78">E611*1.1</f>
        <v>77</v>
      </c>
      <c r="H611" s="17" t="s">
        <v>912</v>
      </c>
      <c r="I611" s="20" t="str">
        <f t="shared" ref="I611:I620" si="79">CONCATENATE(A611,",",D611)</f>
        <v>IE 354,ED3-IND</v>
      </c>
      <c r="J611" s="25"/>
    </row>
    <row r="612" spans="1:10" s="191" customFormat="1" ht="14.5" x14ac:dyDescent="0.35">
      <c r="A612" s="26" t="s">
        <v>483</v>
      </c>
      <c r="B612" s="27" t="str">
        <v>AEROSPACE DESIGN PROJECT I</v>
      </c>
      <c r="C612" s="31" t="str">
        <v>Afriyie Nyarko Frank Kwabena</v>
      </c>
      <c r="D612" s="26" t="s">
        <v>191</v>
      </c>
      <c r="E612" s="108">
        <v>70</v>
      </c>
      <c r="F612" s="32" t="s">
        <v>571</v>
      </c>
      <c r="G612" s="109">
        <f t="shared" si="78"/>
        <v>77</v>
      </c>
      <c r="H612" s="188" t="s">
        <v>912</v>
      </c>
      <c r="I612" s="189" t="str">
        <f t="shared" si="79"/>
        <v>AERO 174,ED1-AERO</v>
      </c>
      <c r="J612" s="190"/>
    </row>
    <row r="613" spans="1:10" s="191" customFormat="1" ht="14.5" x14ac:dyDescent="0.35">
      <c r="A613" s="26" t="s">
        <v>484</v>
      </c>
      <c r="B613" s="31" t="str">
        <v>FIRST YEAR DESIGN PROJECT</v>
      </c>
      <c r="C613" s="27" t="str">
        <v>Afriyie Nyarko Frank Kwabena</v>
      </c>
      <c r="D613" s="26" t="s">
        <v>111</v>
      </c>
      <c r="E613" s="108">
        <v>83</v>
      </c>
      <c r="F613" s="32" t="s">
        <v>850</v>
      </c>
      <c r="G613" s="109">
        <f t="shared" si="78"/>
        <v>91.300000000000011</v>
      </c>
      <c r="H613" s="188" t="s">
        <v>913</v>
      </c>
      <c r="I613" s="189" t="str">
        <f t="shared" si="79"/>
        <v>IE 174,ED1-IND</v>
      </c>
      <c r="J613" s="190"/>
    </row>
    <row r="614" spans="1:10" s="191" customFormat="1" ht="14.5" x14ac:dyDescent="0.35">
      <c r="A614" s="26" t="s">
        <v>485</v>
      </c>
      <c r="B614" s="31" t="str">
        <v>MARINE ENGINEERING DESIGN PROJECT I</v>
      </c>
      <c r="C614" s="27" t="str">
        <v>Afriyie Nyarko Frank Kwabena</v>
      </c>
      <c r="D614" s="26" t="s">
        <v>112</v>
      </c>
      <c r="E614" s="163">
        <v>46</v>
      </c>
      <c r="F614" s="32" t="s">
        <v>622</v>
      </c>
      <c r="G614" s="109">
        <f t="shared" si="78"/>
        <v>50.6</v>
      </c>
      <c r="H614" s="188" t="s">
        <v>914</v>
      </c>
      <c r="I614" s="189" t="str">
        <f t="shared" si="79"/>
        <v>MME 174,ED1-MARI</v>
      </c>
      <c r="J614" s="190"/>
    </row>
    <row r="615" spans="1:10" s="191" customFormat="1" ht="14.5" x14ac:dyDescent="0.35">
      <c r="A615" s="26" t="s">
        <v>486</v>
      </c>
      <c r="B615" s="31" t="str">
        <v>PRODUCT DESIGN AND MANUFACTURING</v>
      </c>
      <c r="C615" s="31" t="str">
        <v>Afriyie Nyarko Frank Kwabena</v>
      </c>
      <c r="D615" s="26" t="s">
        <v>161</v>
      </c>
      <c r="E615" s="108">
        <v>225</v>
      </c>
      <c r="F615" s="62" t="s">
        <v>687</v>
      </c>
      <c r="G615" s="109">
        <f t="shared" si="78"/>
        <v>247.50000000000003</v>
      </c>
      <c r="H615" s="188" t="s">
        <v>876</v>
      </c>
      <c r="I615" s="189" t="str">
        <f t="shared" si="79"/>
        <v>ME 174,ED1-ME</v>
      </c>
      <c r="J615" s="190"/>
    </row>
    <row r="616" spans="1:10" s="191" customFormat="1" ht="14.5" x14ac:dyDescent="0.35">
      <c r="A616" s="26" t="s">
        <v>486</v>
      </c>
      <c r="B616" s="31" t="str">
        <v>PRODUCT DESIGN AND MANUFACTURING</v>
      </c>
      <c r="C616" s="31" t="str">
        <v>Afriyie Nyarko Frank Kwabena</v>
      </c>
      <c r="D616" s="26" t="s">
        <v>162</v>
      </c>
      <c r="E616" s="108">
        <v>85</v>
      </c>
      <c r="F616" s="32" t="s">
        <v>850</v>
      </c>
      <c r="G616" s="109">
        <f t="shared" si="78"/>
        <v>93.500000000000014</v>
      </c>
      <c r="H616" s="188" t="s">
        <v>851</v>
      </c>
      <c r="I616" s="189" t="str">
        <f t="shared" si="79"/>
        <v>ME 174,ED1-AUTO</v>
      </c>
      <c r="J616" s="190"/>
    </row>
    <row r="617" spans="1:10" ht="14.5" x14ac:dyDescent="0.35">
      <c r="A617" s="26" t="s">
        <v>488</v>
      </c>
      <c r="B617" s="27" t="str">
        <v>PHYSICAL CHEMISTRY FOR ENGINEERS</v>
      </c>
      <c r="C617" s="31" t="str">
        <v>Boakye Patrick</v>
      </c>
      <c r="D617" s="26" t="s">
        <v>82</v>
      </c>
      <c r="E617" s="108">
        <v>130</v>
      </c>
      <c r="F617" s="32" t="s">
        <v>533</v>
      </c>
      <c r="G617" s="109">
        <f t="shared" si="78"/>
        <v>143</v>
      </c>
      <c r="H617" s="17" t="s">
        <v>858</v>
      </c>
      <c r="I617" s="20" t="str">
        <f t="shared" si="79"/>
        <v>PE 156,ED1-PE</v>
      </c>
      <c r="J617" s="25"/>
    </row>
    <row r="618" spans="1:10" ht="14.5" x14ac:dyDescent="0.35">
      <c r="A618" s="26" t="s">
        <v>302</v>
      </c>
      <c r="B618" s="27" t="str">
        <v>PHYSICAL CHEMISTRY FOR ENGINEERS</v>
      </c>
      <c r="C618" s="27" t="str">
        <v>Boakye Patrick</v>
      </c>
      <c r="D618" s="26" t="s">
        <v>81</v>
      </c>
      <c r="E618" s="108">
        <v>56</v>
      </c>
      <c r="F618" s="32" t="s">
        <v>915</v>
      </c>
      <c r="G618" s="109">
        <f t="shared" si="78"/>
        <v>61.600000000000009</v>
      </c>
      <c r="H618" s="17" t="s">
        <v>916</v>
      </c>
      <c r="I618" s="20" t="str">
        <f t="shared" si="79"/>
        <v>CHE 156,ED1-PCE</v>
      </c>
      <c r="J618" s="25"/>
    </row>
    <row r="619" spans="1:10" ht="14.5" x14ac:dyDescent="0.35">
      <c r="A619" s="26" t="s">
        <v>489</v>
      </c>
      <c r="B619" s="27" t="str">
        <v>LARGE SCALE SURVEYING</v>
      </c>
      <c r="C619" s="27" t="str">
        <v>Dadzie Isaac</v>
      </c>
      <c r="D619" s="26" t="s">
        <v>56</v>
      </c>
      <c r="E619" s="108">
        <v>250</v>
      </c>
      <c r="F619" s="32" t="s">
        <v>854</v>
      </c>
      <c r="G619" s="109">
        <f t="shared" si="78"/>
        <v>275</v>
      </c>
      <c r="H619" s="17" t="s">
        <v>894</v>
      </c>
      <c r="I619" s="20" t="str">
        <f t="shared" si="79"/>
        <v>GE 282,ED2-CE</v>
      </c>
      <c r="J619" s="25"/>
    </row>
    <row r="620" spans="1:10" ht="14.5" x14ac:dyDescent="0.35">
      <c r="A620" s="26" t="s">
        <v>489</v>
      </c>
      <c r="B620" s="27" t="str">
        <v>LARGE SCALE SURVEYING</v>
      </c>
      <c r="C620" s="27" t="str">
        <v>Dadzie Isaac</v>
      </c>
      <c r="D620" s="26" t="s">
        <v>55</v>
      </c>
      <c r="E620" s="108">
        <v>150</v>
      </c>
      <c r="F620" s="32" t="s">
        <v>533</v>
      </c>
      <c r="G620" s="109">
        <f t="shared" si="78"/>
        <v>165</v>
      </c>
      <c r="H620" s="17" t="s">
        <v>681</v>
      </c>
      <c r="I620" s="20" t="str">
        <f t="shared" si="79"/>
        <v>GE 282,ED2-GEOL</v>
      </c>
      <c r="J620" s="25"/>
    </row>
    <row r="621" spans="1:10" ht="14.5" x14ac:dyDescent="0.35">
      <c r="A621" s="35"/>
      <c r="B621" s="35"/>
      <c r="D621" s="27" t="s">
        <v>490</v>
      </c>
      <c r="E621" s="121">
        <f>SUM(E611:E620)</f>
        <v>1165</v>
      </c>
      <c r="F621" s="36"/>
      <c r="G621" s="122"/>
      <c r="I621" s="22" t="s">
        <v>491</v>
      </c>
      <c r="J621" s="25"/>
    </row>
    <row r="622" spans="1:10" ht="14.5" x14ac:dyDescent="0.35">
      <c r="G622" s="183"/>
      <c r="J622" s="50"/>
    </row>
    <row r="623" spans="1:10" x14ac:dyDescent="0.3">
      <c r="G623" s="183"/>
    </row>
    <row r="624" spans="1:10" ht="14.5" x14ac:dyDescent="0.35">
      <c r="A624" s="14" t="s">
        <v>480</v>
      </c>
      <c r="B624" s="14"/>
      <c r="C624" s="14"/>
      <c r="D624" s="14"/>
      <c r="E624" s="14"/>
      <c r="F624" s="14"/>
      <c r="G624" s="14"/>
      <c r="I624" s="22" t="str">
        <f>A624</f>
        <v>Thursday, 3 September 2026</v>
      </c>
      <c r="J624" s="25"/>
    </row>
    <row r="625" spans="1:10" ht="14.5" x14ac:dyDescent="0.35">
      <c r="A625" s="14" t="s">
        <v>29</v>
      </c>
      <c r="B625" s="14"/>
      <c r="C625" s="14"/>
      <c r="D625" s="14"/>
      <c r="E625" s="14"/>
      <c r="F625" s="14"/>
      <c r="G625" s="14"/>
      <c r="I625" s="22" t="str">
        <f>A625</f>
        <v>Session, 2 (12:00 PM - 2:00 PM)</v>
      </c>
      <c r="J625" s="25"/>
    </row>
    <row r="626" spans="1:10" ht="14.5" x14ac:dyDescent="0.35">
      <c r="A626" s="24" t="s">
        <v>4</v>
      </c>
      <c r="B626" s="24" t="s">
        <v>5</v>
      </c>
      <c r="C626" s="16" t="s">
        <v>6</v>
      </c>
      <c r="D626" s="24" t="s">
        <v>7</v>
      </c>
      <c r="E626" s="106" t="s">
        <v>8</v>
      </c>
      <c r="F626" s="16" t="s">
        <v>9</v>
      </c>
      <c r="G626" s="107" t="s">
        <v>10</v>
      </c>
      <c r="I626" s="22" t="s">
        <v>31</v>
      </c>
      <c r="J626" s="25"/>
    </row>
    <row r="627" spans="1:10" s="120" customFormat="1" ht="14.5" x14ac:dyDescent="0.35">
      <c r="A627" s="113" t="s">
        <v>492</v>
      </c>
      <c r="B627" s="114" t="str">
        <f t="array" ref="B627:B639">IFERROR(VLOOKUP(I627:I639,Lectures_1!A2:F534,2,FALSE()),0)</f>
        <v>INTRODUCTION TO PROGRAMMING - I</v>
      </c>
      <c r="C627" s="114" t="str">
        <f t="array" ref="C627:C639">IFERROR(VLOOKUP(I627:I639,Lectures_1!A2:F534,3,FALSE()),0)</f>
        <v>Agyemang Justice Owusu</v>
      </c>
      <c r="D627" s="113" t="s">
        <v>91</v>
      </c>
      <c r="E627" s="115">
        <f t="array" ref="E627:E639">IFERROR(VLOOKUP(I627:I639,Lectures_1!A2:F534,4,FALSE()),0)</f>
        <v>130</v>
      </c>
      <c r="F627" s="192" t="s">
        <v>954</v>
      </c>
      <c r="G627" s="116">
        <f t="shared" ref="G627:G639" si="80">E627*1.1</f>
        <v>143</v>
      </c>
      <c r="H627" s="187" t="s">
        <v>917</v>
      </c>
      <c r="I627" s="131" t="str">
        <f t="shared" ref="I627:I639" si="81">CONCATENATE(A627,",",D627)</f>
        <v>TE 158,ED1-TEL</v>
      </c>
      <c r="J627" s="119"/>
    </row>
    <row r="628" spans="1:10" s="120" customFormat="1" ht="14.5" x14ac:dyDescent="0.35">
      <c r="A628" s="113" t="s">
        <v>493</v>
      </c>
      <c r="B628" s="118" t="str">
        <v>AUTOMOTIVE ELECTRICAL SYSTEMS AND ELECTRONICS</v>
      </c>
      <c r="C628" s="118" t="str">
        <v>Ayetor Godwin Kafui Kwesi</v>
      </c>
      <c r="D628" s="113" t="s">
        <v>40</v>
      </c>
      <c r="E628" s="115">
        <v>82</v>
      </c>
      <c r="F628" s="113" t="s">
        <v>956</v>
      </c>
      <c r="G628" s="116">
        <f t="shared" si="80"/>
        <v>90.2</v>
      </c>
      <c r="H628" s="161">
        <v>82</v>
      </c>
      <c r="I628" s="131" t="str">
        <f t="shared" si="81"/>
        <v>AME 252,ED2-AUTO</v>
      </c>
      <c r="J628" s="119"/>
    </row>
    <row r="629" spans="1:10" ht="14.5" x14ac:dyDescent="0.35">
      <c r="A629" s="26" t="s">
        <v>494</v>
      </c>
      <c r="B629" s="27" t="str">
        <v>RESERVOIR FLUID PROPERTIES</v>
      </c>
      <c r="C629" s="27" t="str">
        <v>Casper Daniel Adenutsi</v>
      </c>
      <c r="D629" s="26" t="s">
        <v>93</v>
      </c>
      <c r="E629" s="108">
        <v>95</v>
      </c>
      <c r="F629" s="32" t="s">
        <v>571</v>
      </c>
      <c r="G629" s="109">
        <f t="shared" si="80"/>
        <v>104.50000000000001</v>
      </c>
      <c r="H629" s="17" t="s">
        <v>856</v>
      </c>
      <c r="I629" s="20" t="str">
        <f t="shared" si="81"/>
        <v>PE 260,ED2-PE</v>
      </c>
      <c r="J629" s="25"/>
    </row>
    <row r="630" spans="1:10" ht="14.5" x14ac:dyDescent="0.35">
      <c r="A630" s="26" t="s">
        <v>496</v>
      </c>
      <c r="B630" s="24" t="str">
        <v>KINETICS AND REACTIONS ENGINEERING</v>
      </c>
      <c r="C630" s="27" t="str">
        <v>Augustine Ntiamoah</v>
      </c>
      <c r="D630" s="26" t="s">
        <v>63</v>
      </c>
      <c r="E630" s="108">
        <v>53</v>
      </c>
      <c r="F630" s="39" t="s">
        <v>541</v>
      </c>
      <c r="G630" s="109">
        <f t="shared" si="80"/>
        <v>58.300000000000004</v>
      </c>
      <c r="H630" s="40">
        <v>53</v>
      </c>
      <c r="I630" s="20" t="str">
        <f t="shared" si="81"/>
        <v>PCE 350,ED3-PCE</v>
      </c>
      <c r="J630" s="25"/>
    </row>
    <row r="631" spans="1:10" ht="14.5" x14ac:dyDescent="0.35">
      <c r="A631" s="26" t="s">
        <v>497</v>
      </c>
      <c r="B631" s="27" t="str">
        <v>MINING PRINCIPLES AND SYSTEMS</v>
      </c>
      <c r="C631" s="27" t="str">
        <v>Owusu-Sarpong Seth</v>
      </c>
      <c r="D631" s="26" t="s">
        <v>154</v>
      </c>
      <c r="E631" s="108">
        <v>154</v>
      </c>
      <c r="F631" s="32" t="s">
        <v>693</v>
      </c>
      <c r="G631" s="109">
        <f t="shared" si="80"/>
        <v>169.4</v>
      </c>
      <c r="H631" s="17" t="s">
        <v>918</v>
      </c>
      <c r="I631" s="20" t="str">
        <f t="shared" si="81"/>
        <v>GED 342,ED3-GEOL</v>
      </c>
      <c r="J631" s="25"/>
    </row>
    <row r="632" spans="1:10" ht="14.5" x14ac:dyDescent="0.35">
      <c r="A632" s="26" t="s">
        <v>498</v>
      </c>
      <c r="B632" s="31" t="str">
        <v>RESEARCH METHODS FOR ENGINEERS</v>
      </c>
      <c r="C632" s="27" t="str">
        <v>Amponsah William</v>
      </c>
      <c r="D632" s="26" t="s">
        <v>88</v>
      </c>
      <c r="E632" s="108">
        <v>101</v>
      </c>
      <c r="F632" s="32" t="s">
        <v>582</v>
      </c>
      <c r="G632" s="109">
        <f t="shared" si="80"/>
        <v>111.10000000000001</v>
      </c>
      <c r="H632" s="17" t="s">
        <v>737</v>
      </c>
      <c r="I632" s="20" t="str">
        <f t="shared" si="81"/>
        <v>AE 362,ED3-AE</v>
      </c>
      <c r="J632" s="25"/>
    </row>
    <row r="633" spans="1:10" ht="14.5" x14ac:dyDescent="0.35">
      <c r="A633" s="26" t="s">
        <v>499</v>
      </c>
      <c r="B633" s="31" t="str">
        <v>NUMERICAL METHODS FOR ENGINEERS</v>
      </c>
      <c r="C633" s="31" t="str">
        <v>Nartey Martinson Addo</v>
      </c>
      <c r="D633" s="26" t="s">
        <v>142</v>
      </c>
      <c r="E633" s="108">
        <v>87</v>
      </c>
      <c r="F633" s="26" t="s">
        <v>919</v>
      </c>
      <c r="G633" s="109">
        <f t="shared" si="80"/>
        <v>95.7</v>
      </c>
      <c r="H633" s="17" t="s">
        <v>920</v>
      </c>
      <c r="I633" s="20" t="str">
        <f t="shared" si="81"/>
        <v>MSE 358,ED3-METE</v>
      </c>
      <c r="J633" s="25"/>
    </row>
    <row r="634" spans="1:10" ht="14.5" x14ac:dyDescent="0.35">
      <c r="A634" s="26" t="s">
        <v>499</v>
      </c>
      <c r="B634" s="31" t="str">
        <v>NUMERICAL METHODS FOR ENGINEERS</v>
      </c>
      <c r="C634" s="31" t="str">
        <v>Nartey Martinson Addo</v>
      </c>
      <c r="D634" s="26" t="s">
        <v>140</v>
      </c>
      <c r="E634" s="108">
        <v>85</v>
      </c>
      <c r="F634" s="26" t="s">
        <v>921</v>
      </c>
      <c r="G634" s="109">
        <f t="shared" si="80"/>
        <v>93.500000000000014</v>
      </c>
      <c r="H634" s="17" t="s">
        <v>922</v>
      </c>
      <c r="I634" s="20" t="str">
        <f t="shared" si="81"/>
        <v>MSE 358,ED3-MSE</v>
      </c>
      <c r="J634" s="25"/>
    </row>
    <row r="635" spans="1:10" ht="14.5" x14ac:dyDescent="0.35">
      <c r="A635" s="26" t="s">
        <v>511</v>
      </c>
      <c r="B635" s="31" t="str">
        <v>INTRODUCTION TO POLYMERIC MATERIALS</v>
      </c>
      <c r="C635" s="27" t="str">
        <v>Asare Eric Kwame Anokye</v>
      </c>
      <c r="D635" s="26" t="s">
        <v>210</v>
      </c>
      <c r="E635" s="108">
        <v>83</v>
      </c>
      <c r="F635" s="32" t="s">
        <v>567</v>
      </c>
      <c r="G635" s="109">
        <f t="shared" si="80"/>
        <v>91.300000000000011</v>
      </c>
      <c r="H635" s="17" t="s">
        <v>923</v>
      </c>
      <c r="I635" s="20" t="str">
        <f t="shared" si="81"/>
        <v>MSE 256,ED2-MSE</v>
      </c>
      <c r="J635" s="25"/>
    </row>
    <row r="636" spans="1:10" s="145" customFormat="1" ht="14.5" x14ac:dyDescent="0.35">
      <c r="A636" s="26" t="s">
        <v>509</v>
      </c>
      <c r="B636" s="27" t="str">
        <v>GEOSTATISTICS</v>
      </c>
      <c r="C636" s="27" t="str">
        <v>Mustapha Hameed</v>
      </c>
      <c r="D636" s="26" t="s">
        <v>18</v>
      </c>
      <c r="E636" s="108">
        <v>80</v>
      </c>
      <c r="F636" s="32" t="s">
        <v>685</v>
      </c>
      <c r="G636" s="109">
        <f t="shared" si="80"/>
        <v>88</v>
      </c>
      <c r="H636" s="17" t="s">
        <v>561</v>
      </c>
      <c r="I636" s="20" t="str">
        <f t="shared" si="81"/>
        <v>PE 362,ED3-PE</v>
      </c>
      <c r="J636" s="25"/>
    </row>
    <row r="637" spans="1:10" ht="14.5" x14ac:dyDescent="0.35">
      <c r="A637" s="26" t="s">
        <v>487</v>
      </c>
      <c r="B637" s="31" t="str">
        <v>ORE BENEFICIATION</v>
      </c>
      <c r="C637" s="31" t="str">
        <v>Koomson Bennetta</v>
      </c>
      <c r="D637" s="26" t="s">
        <v>101</v>
      </c>
      <c r="E637" s="108">
        <v>57</v>
      </c>
      <c r="F637" s="39" t="s">
        <v>924</v>
      </c>
      <c r="G637" s="109">
        <f t="shared" si="80"/>
        <v>62.7</v>
      </c>
      <c r="H637" s="39" t="s">
        <v>925</v>
      </c>
      <c r="I637" s="20" t="str">
        <f t="shared" si="81"/>
        <v>METE 254,ED2-METE</v>
      </c>
      <c r="J637" s="25"/>
    </row>
    <row r="638" spans="1:10" ht="14.25" customHeight="1" x14ac:dyDescent="0.35">
      <c r="A638" s="26" t="s">
        <v>500</v>
      </c>
      <c r="B638" s="31" t="str">
        <v>ENVIRONMENTAL SCIENCE</v>
      </c>
      <c r="C638" s="27" t="str">
        <v>Koomson Bennetta</v>
      </c>
      <c r="D638" s="26" t="s">
        <v>114</v>
      </c>
      <c r="E638" s="108">
        <v>75</v>
      </c>
      <c r="F638" s="32" t="s">
        <v>926</v>
      </c>
      <c r="G638" s="109">
        <f t="shared" si="80"/>
        <v>82.5</v>
      </c>
      <c r="H638" s="17" t="s">
        <v>927</v>
      </c>
      <c r="I638" s="20" t="str">
        <f t="shared" si="81"/>
        <v>METE 154,ED1-METE</v>
      </c>
      <c r="J638" s="25"/>
    </row>
    <row r="639" spans="1:10" ht="14.5" x14ac:dyDescent="0.35">
      <c r="A639" s="26" t="s">
        <v>500</v>
      </c>
      <c r="B639" s="31" t="str">
        <v>ENVIRONMENTAL SCIENCE</v>
      </c>
      <c r="C639" s="27" t="str">
        <v>Koomson Bennetta</v>
      </c>
      <c r="D639" s="26" t="s">
        <v>115</v>
      </c>
      <c r="E639" s="108">
        <v>100</v>
      </c>
      <c r="F639" s="32" t="s">
        <v>928</v>
      </c>
      <c r="G639" s="109">
        <f t="shared" si="80"/>
        <v>110.00000000000001</v>
      </c>
      <c r="H639" s="17" t="s">
        <v>929</v>
      </c>
      <c r="I639" s="20" t="str">
        <f t="shared" si="81"/>
        <v>METE 154,ED1-MSE</v>
      </c>
      <c r="J639" s="25"/>
    </row>
    <row r="640" spans="1:10" ht="14.5" x14ac:dyDescent="0.35">
      <c r="A640" s="35"/>
      <c r="B640" s="35"/>
      <c r="D640" s="27" t="s">
        <v>501</v>
      </c>
      <c r="E640" s="121">
        <f>SUM(E627:E639)</f>
        <v>1182</v>
      </c>
      <c r="F640" s="36"/>
      <c r="G640" s="122"/>
      <c r="I640" s="22"/>
      <c r="J640" s="25"/>
    </row>
    <row r="641" spans="1:10" x14ac:dyDescent="0.3">
      <c r="G641" s="183"/>
    </row>
    <row r="642" spans="1:10" ht="14.5" x14ac:dyDescent="0.35">
      <c r="A642" s="14" t="s">
        <v>480</v>
      </c>
      <c r="B642" s="14"/>
      <c r="C642" s="14"/>
      <c r="D642" s="14"/>
      <c r="E642" s="14"/>
      <c r="F642" s="14"/>
      <c r="G642" s="14"/>
      <c r="I642" s="22" t="str">
        <f>A642</f>
        <v>Thursday, 3 September 2026</v>
      </c>
      <c r="J642" s="25"/>
    </row>
    <row r="643" spans="1:10" ht="14.5" x14ac:dyDescent="0.35">
      <c r="A643" s="14" t="s">
        <v>59</v>
      </c>
      <c r="B643" s="14"/>
      <c r="C643" s="14"/>
      <c r="D643" s="14"/>
      <c r="E643" s="14"/>
      <c r="F643" s="14"/>
      <c r="G643" s="14"/>
      <c r="I643" s="22" t="str">
        <f>A643</f>
        <v>Session, 3 (3:00 PM - 5:00 PM)</v>
      </c>
      <c r="J643" s="25"/>
    </row>
    <row r="644" spans="1:10" ht="14.5" x14ac:dyDescent="0.35">
      <c r="A644" s="24" t="s">
        <v>4</v>
      </c>
      <c r="B644" s="24" t="s">
        <v>5</v>
      </c>
      <c r="C644" s="16" t="s">
        <v>6</v>
      </c>
      <c r="D644" s="24" t="s">
        <v>7</v>
      </c>
      <c r="E644" s="106" t="s">
        <v>8</v>
      </c>
      <c r="F644" s="16" t="s">
        <v>9</v>
      </c>
      <c r="G644" s="107" t="s">
        <v>10</v>
      </c>
      <c r="H644" s="40"/>
      <c r="I644" s="22" t="s">
        <v>31</v>
      </c>
      <c r="J644" s="25"/>
    </row>
    <row r="645" spans="1:10" ht="14.5" x14ac:dyDescent="0.35">
      <c r="A645" s="26" t="s">
        <v>502</v>
      </c>
      <c r="B645" s="27" t="str">
        <f t="array" ref="B645:B657">IFERROR(VLOOKUP(I645:I657,Lectures_1!A2:F534,2,FALSE()),0)</f>
        <v>WELL COMPLETION AND STIMULATION</v>
      </c>
      <c r="C645" s="27" t="str">
        <f t="array" ref="C645:C657">IFERROR(VLOOKUP(I645:I657,Lectures_1!A2:F534,3,FALSE()),0)</f>
        <v>Erzuah Samuel</v>
      </c>
      <c r="D645" s="26" t="s">
        <v>46</v>
      </c>
      <c r="E645" s="108">
        <f t="array" ref="E645:E657">IFERROR(VLOOKUP(I645:I657,Lectures_1!A2:F534,4,FALSE()),0)</f>
        <v>99</v>
      </c>
      <c r="F645" s="39" t="s">
        <v>582</v>
      </c>
      <c r="G645" s="109">
        <f t="shared" ref="G645:G657" si="82">E645*1.1</f>
        <v>108.9</v>
      </c>
      <c r="H645" s="39" t="s">
        <v>930</v>
      </c>
      <c r="I645" s="20" t="str">
        <f t="shared" ref="I645:I657" si="83">CONCATENATE(A645,",",D645)</f>
        <v>PE 456,ED4-PE</v>
      </c>
      <c r="J645" s="25"/>
    </row>
    <row r="646" spans="1:10" ht="14.5" x14ac:dyDescent="0.35">
      <c r="A646" s="26" t="s">
        <v>503</v>
      </c>
      <c r="B646" s="27" t="str">
        <v>BIOMEDICAL OPTICS</v>
      </c>
      <c r="C646" s="27" t="str">
        <v>Kotei Addison Eric Clement</v>
      </c>
      <c r="D646" s="26" t="s">
        <v>65</v>
      </c>
      <c r="E646" s="108">
        <v>90</v>
      </c>
      <c r="F646" s="39" t="s">
        <v>919</v>
      </c>
      <c r="G646" s="109">
        <f t="shared" si="82"/>
        <v>99.000000000000014</v>
      </c>
      <c r="H646" s="39" t="s">
        <v>931</v>
      </c>
      <c r="I646" s="20" t="str">
        <f t="shared" si="83"/>
        <v>BME 374,ED3-BME</v>
      </c>
      <c r="J646" s="25"/>
    </row>
    <row r="647" spans="1:10" ht="14.5" x14ac:dyDescent="0.35">
      <c r="A647" s="26" t="s">
        <v>504</v>
      </c>
      <c r="B647" s="27" t="str">
        <v>INTRODUCTION TO VLSI</v>
      </c>
      <c r="C647" s="31" t="str">
        <v>Agbemenu Andrew Selasi</v>
      </c>
      <c r="D647" s="26" t="s">
        <v>144</v>
      </c>
      <c r="E647" s="108">
        <v>15</v>
      </c>
      <c r="F647" s="32" t="s">
        <v>932</v>
      </c>
      <c r="G647" s="109">
        <f t="shared" si="82"/>
        <v>16.5</v>
      </c>
      <c r="H647" s="17">
        <v>15</v>
      </c>
      <c r="I647" s="20" t="str">
        <f t="shared" si="83"/>
        <v>COE 486,ED4-EE</v>
      </c>
      <c r="J647" s="25"/>
    </row>
    <row r="648" spans="1:10" s="112" customFormat="1" ht="14.5" x14ac:dyDescent="0.35">
      <c r="A648" s="26" t="s">
        <v>504</v>
      </c>
      <c r="B648" s="27" t="str">
        <v>VLSI CIRCUIT DESIGN</v>
      </c>
      <c r="C648" s="31" t="str">
        <v>Agbemenu Andrew Selasi</v>
      </c>
      <c r="D648" s="193" t="s">
        <v>251</v>
      </c>
      <c r="E648" s="108">
        <v>20</v>
      </c>
      <c r="F648" s="32" t="s">
        <v>632</v>
      </c>
      <c r="G648" s="109">
        <f t="shared" si="82"/>
        <v>22</v>
      </c>
      <c r="H648" s="17">
        <v>20</v>
      </c>
      <c r="I648" s="110" t="str">
        <f t="shared" si="83"/>
        <v>COE 486,ED4-COE</v>
      </c>
      <c r="J648" s="111"/>
    </row>
    <row r="649" spans="1:10" ht="14.5" x14ac:dyDescent="0.35">
      <c r="A649" s="26" t="s">
        <v>506</v>
      </c>
      <c r="B649" s="27" t="str">
        <v>SHIP OPERATION, REGULATION AND MANAGEMENT</v>
      </c>
      <c r="C649" s="31" t="str">
        <v>Sackey Michael Nii</v>
      </c>
      <c r="D649" s="26" t="s">
        <v>69</v>
      </c>
      <c r="E649" s="108">
        <v>23</v>
      </c>
      <c r="F649" s="39" t="s">
        <v>863</v>
      </c>
      <c r="G649" s="109">
        <f t="shared" si="82"/>
        <v>25.3</v>
      </c>
      <c r="H649" s="40">
        <v>23</v>
      </c>
      <c r="I649" s="20" t="str">
        <f t="shared" si="83"/>
        <v>MME 492,ED4-MARI</v>
      </c>
      <c r="J649" s="25"/>
    </row>
    <row r="650" spans="1:10" ht="14.5" x14ac:dyDescent="0.35">
      <c r="A650" s="26" t="s">
        <v>326</v>
      </c>
      <c r="B650" s="27" t="str">
        <v>TELECOMMUNICATION POLICY AND REGULATION</v>
      </c>
      <c r="C650" s="31" t="str">
        <v>Kingsford Sarkodie Obeng Kwakye</v>
      </c>
      <c r="D650" s="26" t="s">
        <v>227</v>
      </c>
      <c r="E650" s="108">
        <v>138</v>
      </c>
      <c r="F650" s="39" t="s">
        <v>533</v>
      </c>
      <c r="G650" s="109">
        <f t="shared" si="82"/>
        <v>151.80000000000001</v>
      </c>
      <c r="H650" s="40" t="s">
        <v>883</v>
      </c>
      <c r="I650" s="20" t="str">
        <f t="shared" si="83"/>
        <v>TE 452,ED4-TEL</v>
      </c>
      <c r="J650" s="25"/>
    </row>
    <row r="651" spans="1:10" ht="14.5" x14ac:dyDescent="0.35">
      <c r="A651" s="26" t="s">
        <v>508</v>
      </c>
      <c r="B651" s="27" t="str">
        <v>PRODUCTION PLANNING AND CONTROL</v>
      </c>
      <c r="C651" s="31" t="str">
        <v>Dzebre Denis Edem Kwame</v>
      </c>
      <c r="D651" s="26" t="s">
        <v>124</v>
      </c>
      <c r="E651" s="108">
        <v>69</v>
      </c>
      <c r="F651" s="32" t="s">
        <v>933</v>
      </c>
      <c r="G651" s="109">
        <f t="shared" si="82"/>
        <v>75.900000000000006</v>
      </c>
      <c r="H651" s="17" t="s">
        <v>934</v>
      </c>
      <c r="I651" s="20" t="str">
        <f t="shared" si="83"/>
        <v>IE 454,ED4-IND</v>
      </c>
      <c r="J651" s="25"/>
    </row>
    <row r="652" spans="1:10" s="112" customFormat="1" ht="14.5" x14ac:dyDescent="0.35">
      <c r="A652" s="26" t="s">
        <v>176</v>
      </c>
      <c r="B652" s="31" t="str">
        <v>ENGINEERING MANAGEMENT</v>
      </c>
      <c r="C652" s="31" t="str">
        <v>Takyi Gabriel</v>
      </c>
      <c r="D652" s="26" t="s">
        <v>177</v>
      </c>
      <c r="E652" s="108">
        <v>95</v>
      </c>
      <c r="F652" s="32" t="s">
        <v>919</v>
      </c>
      <c r="G652" s="109">
        <f t="shared" si="82"/>
        <v>104.50000000000001</v>
      </c>
      <c r="H652" s="130" t="s">
        <v>935</v>
      </c>
      <c r="I652" s="110" t="str">
        <f t="shared" si="83"/>
        <v>GED 464,ED4-GEOL</v>
      </c>
      <c r="J652" s="111"/>
    </row>
    <row r="653" spans="1:10" ht="14.5" x14ac:dyDescent="0.35">
      <c r="A653" s="26" t="s">
        <v>378</v>
      </c>
      <c r="B653" s="31" t="str">
        <v xml:space="preserve"> HIGHWAY ENGINEERING</v>
      </c>
      <c r="C653" s="27" t="str">
        <v>Ababio-Donkor Augustus</v>
      </c>
      <c r="D653" s="26" t="s">
        <v>77</v>
      </c>
      <c r="E653" s="108">
        <v>122</v>
      </c>
      <c r="F653" s="32" t="s">
        <v>936</v>
      </c>
      <c r="G653" s="109">
        <f t="shared" si="82"/>
        <v>134.20000000000002</v>
      </c>
      <c r="H653" s="17" t="s">
        <v>937</v>
      </c>
      <c r="I653" s="20" t="str">
        <f t="shared" si="83"/>
        <v>CE 368,ED3-GEOM</v>
      </c>
      <c r="J653" s="25"/>
    </row>
    <row r="654" spans="1:10" ht="14.5" x14ac:dyDescent="0.35">
      <c r="A654" s="26" t="s">
        <v>83</v>
      </c>
      <c r="B654" s="27" t="str">
        <v>HEAT TRANSPORT PROCESSES</v>
      </c>
      <c r="C654" s="31" t="str">
        <v>Ohemeng-Boahen Godfred</v>
      </c>
      <c r="D654" s="32" t="s">
        <v>14</v>
      </c>
      <c r="E654" s="108">
        <v>65</v>
      </c>
      <c r="F654" s="32" t="s">
        <v>624</v>
      </c>
      <c r="G654" s="109">
        <f t="shared" si="82"/>
        <v>71.5</v>
      </c>
      <c r="H654" s="19" t="s">
        <v>938</v>
      </c>
      <c r="I654" s="20" t="str">
        <f t="shared" si="83"/>
        <v>CHE 256,ED2-PCE</v>
      </c>
      <c r="J654" s="25"/>
    </row>
    <row r="655" spans="1:10" s="112" customFormat="1" ht="14.5" x14ac:dyDescent="0.35">
      <c r="A655" s="26" t="s">
        <v>83</v>
      </c>
      <c r="B655" s="27" t="str">
        <v>HEAT TRANSPORT PROCESSES</v>
      </c>
      <c r="C655" s="31" t="str">
        <v>Momade Zsuzsanna Gál</v>
      </c>
      <c r="D655" s="26" t="s">
        <v>13</v>
      </c>
      <c r="E655" s="108">
        <v>160</v>
      </c>
      <c r="F655" s="32" t="s">
        <v>710</v>
      </c>
      <c r="G655" s="109">
        <f t="shared" si="82"/>
        <v>176</v>
      </c>
      <c r="H655" s="19" t="s">
        <v>711</v>
      </c>
      <c r="I655" s="110" t="str">
        <f t="shared" si="83"/>
        <v>CHE 256,ED2-CHE</v>
      </c>
      <c r="J655" s="111"/>
    </row>
    <row r="656" spans="1:10" ht="14.5" x14ac:dyDescent="0.35">
      <c r="A656" s="26" t="s">
        <v>125</v>
      </c>
      <c r="B656" s="31" t="str">
        <v>COMPUTER APPLICATIONS</v>
      </c>
      <c r="C656" s="31" t="str">
        <v>Albert Kwame Kwaw</v>
      </c>
      <c r="D656" s="26" t="s">
        <v>126</v>
      </c>
      <c r="E656" s="108">
        <v>125</v>
      </c>
      <c r="F656" s="39" t="s">
        <v>939</v>
      </c>
      <c r="G656" s="109">
        <f t="shared" si="82"/>
        <v>137.5</v>
      </c>
      <c r="H656" s="39" t="s">
        <v>940</v>
      </c>
      <c r="I656" s="20" t="str">
        <f t="shared" si="83"/>
        <v>GED 164,ED1-GEOL</v>
      </c>
      <c r="J656" s="25"/>
    </row>
    <row r="657" spans="1:10" ht="14.5" x14ac:dyDescent="0.35">
      <c r="A657" s="26" t="s">
        <v>94</v>
      </c>
      <c r="B657" s="31" t="str">
        <v>LARGE SCALE SURVEYING</v>
      </c>
      <c r="C657" s="31" t="str">
        <v>Ayer John Wise Divine</v>
      </c>
      <c r="D657" s="26" t="s">
        <v>95</v>
      </c>
      <c r="E657" s="108">
        <v>103</v>
      </c>
      <c r="F657" s="39" t="s">
        <v>611</v>
      </c>
      <c r="G657" s="109">
        <f t="shared" si="82"/>
        <v>113.30000000000001</v>
      </c>
      <c r="H657" s="39" t="s">
        <v>941</v>
      </c>
      <c r="I657" s="20" t="str">
        <f t="shared" si="83"/>
        <v>GE 162,ED1-GEOM</v>
      </c>
      <c r="J657" s="25"/>
    </row>
    <row r="658" spans="1:10" ht="14.5" x14ac:dyDescent="0.35">
      <c r="A658" s="35"/>
      <c r="B658" s="35"/>
      <c r="D658" s="27" t="s">
        <v>512</v>
      </c>
      <c r="E658" s="121">
        <f>SUM(E645:E657)</f>
        <v>1124</v>
      </c>
      <c r="F658" s="36"/>
      <c r="G658" s="122"/>
      <c r="I658" s="22" t="s">
        <v>513</v>
      </c>
      <c r="J658" s="25"/>
    </row>
    <row r="659" spans="1:10" ht="14.5" x14ac:dyDescent="0.35">
      <c r="A659" s="35"/>
      <c r="B659" s="35"/>
      <c r="D659" s="27"/>
      <c r="E659" s="121"/>
      <c r="F659" s="36"/>
      <c r="G659" s="122"/>
      <c r="I659" s="22"/>
      <c r="J659" s="25"/>
    </row>
    <row r="660" spans="1:10" ht="14.5" x14ac:dyDescent="0.35">
      <c r="A660" s="14" t="s">
        <v>514</v>
      </c>
      <c r="B660" s="14"/>
      <c r="C660" s="14"/>
      <c r="D660" s="14"/>
      <c r="E660" s="14"/>
      <c r="F660" s="14"/>
      <c r="G660" s="14"/>
      <c r="I660" s="22" t="str">
        <f>A660</f>
        <v>Friday, 4 September 2026</v>
      </c>
      <c r="J660" s="25"/>
    </row>
    <row r="661" spans="1:10" ht="14.5" x14ac:dyDescent="0.35">
      <c r="A661" s="14" t="s">
        <v>2</v>
      </c>
      <c r="B661" s="14"/>
      <c r="C661" s="14"/>
      <c r="D661" s="14"/>
      <c r="E661" s="14"/>
      <c r="F661" s="14"/>
      <c r="G661" s="14"/>
      <c r="I661" s="22" t="str">
        <f>A661</f>
        <v>Session, 1 (8:30 AM - 10:30 AM)</v>
      </c>
      <c r="J661" s="25"/>
    </row>
    <row r="662" spans="1:10" ht="14.5" x14ac:dyDescent="0.35">
      <c r="A662" s="24" t="s">
        <v>4</v>
      </c>
      <c r="B662" s="24" t="s">
        <v>5</v>
      </c>
      <c r="C662" s="16" t="s">
        <v>6</v>
      </c>
      <c r="D662" s="24" t="s">
        <v>7</v>
      </c>
      <c r="E662" s="106" t="s">
        <v>8</v>
      </c>
      <c r="F662" s="16" t="s">
        <v>9</v>
      </c>
      <c r="G662" s="107" t="s">
        <v>10</v>
      </c>
      <c r="H662" s="40"/>
      <c r="I662" s="22" t="s">
        <v>31</v>
      </c>
      <c r="J662" s="25"/>
    </row>
    <row r="663" spans="1:10" s="112" customFormat="1" ht="14.5" x14ac:dyDescent="0.35">
      <c r="A663" s="123" t="s">
        <v>129</v>
      </c>
      <c r="B663" s="124" t="str">
        <f t="array" ref="B663:B671">IFERROR(VLOOKUP(I663:I671,Lectures_1!A2:F534,2,FALSE()),0)</f>
        <v>CALCULUS WITH ANALYSIS</v>
      </c>
      <c r="C663" s="128" t="str">
        <f t="array" ref="C663:C671">IFERROR(VLOOKUP(I663:I671,Lectures_1!A2:F534,3,FALSE()),0)</f>
        <v>Kwabi Prince Amponsah</v>
      </c>
      <c r="D663" s="133" t="s">
        <v>82</v>
      </c>
      <c r="E663" s="129">
        <f t="array" ref="E663:E671">IFERROR(VLOOKUP(I663:I671,Lectures_1!A2:F534,4,FALSE()),0)</f>
        <v>130</v>
      </c>
      <c r="F663" s="194" t="s">
        <v>533</v>
      </c>
      <c r="G663" s="126">
        <f t="shared" ref="G663:G671" si="84">E663*1.1</f>
        <v>143</v>
      </c>
      <c r="H663" s="194" t="s">
        <v>917</v>
      </c>
      <c r="I663" s="110" t="str">
        <f t="shared" ref="I663:I671" si="85">CONCATENATE(A663,",",D663)</f>
        <v>MATH 152,ED1-PE</v>
      </c>
      <c r="J663" s="111"/>
    </row>
    <row r="664" spans="1:10" s="112" customFormat="1" ht="14.5" x14ac:dyDescent="0.35">
      <c r="A664" s="123" t="s">
        <v>129</v>
      </c>
      <c r="B664" s="124" t="str">
        <v>CALCULUS WITH ANALYSIS</v>
      </c>
      <c r="C664" s="124" t="str">
        <v>Kwabi Prince Amponsah</v>
      </c>
      <c r="D664" s="123" t="s">
        <v>126</v>
      </c>
      <c r="E664" s="129">
        <v>125</v>
      </c>
      <c r="F664" s="194" t="s">
        <v>942</v>
      </c>
      <c r="G664" s="126">
        <f t="shared" si="84"/>
        <v>137.5</v>
      </c>
      <c r="H664" s="194" t="s">
        <v>943</v>
      </c>
      <c r="I664" s="110" t="str">
        <f t="shared" si="85"/>
        <v>MATH 152,ED1-GEOL</v>
      </c>
      <c r="J664" s="111"/>
    </row>
    <row r="665" spans="1:10" s="112" customFormat="1" ht="14.5" x14ac:dyDescent="0.35">
      <c r="A665" s="123" t="s">
        <v>129</v>
      </c>
      <c r="B665" s="124" t="str">
        <v>CALCULUS WITH ANALYSIS</v>
      </c>
      <c r="C665" s="124" t="str">
        <v>Ezearn Jeffery</v>
      </c>
      <c r="D665" s="123" t="s">
        <v>131</v>
      </c>
      <c r="E665" s="129">
        <v>128</v>
      </c>
      <c r="F665" s="123" t="s">
        <v>936</v>
      </c>
      <c r="G665" s="126">
        <f t="shared" si="84"/>
        <v>140.80000000000001</v>
      </c>
      <c r="H665" s="149" t="s">
        <v>944</v>
      </c>
      <c r="I665" s="110" t="str">
        <f t="shared" si="85"/>
        <v>MATH 152,ED1-AE</v>
      </c>
      <c r="J665" s="111"/>
    </row>
    <row r="666" spans="1:10" s="112" customFormat="1" ht="14.5" x14ac:dyDescent="0.35">
      <c r="A666" s="123" t="s">
        <v>129</v>
      </c>
      <c r="B666" s="124" t="str">
        <v>CALCULUS WITH ANALYSIS</v>
      </c>
      <c r="C666" s="124" t="str">
        <v>Ezearn Jeffery</v>
      </c>
      <c r="D666" s="123" t="s">
        <v>130</v>
      </c>
      <c r="E666" s="129">
        <v>136</v>
      </c>
      <c r="F666" s="123" t="s">
        <v>710</v>
      </c>
      <c r="G666" s="126">
        <f t="shared" si="84"/>
        <v>149.60000000000002</v>
      </c>
      <c r="H666" s="149" t="s">
        <v>784</v>
      </c>
      <c r="I666" s="110" t="str">
        <f t="shared" si="85"/>
        <v>MATH 152,ED1-BME</v>
      </c>
      <c r="J666" s="111"/>
    </row>
    <row r="667" spans="1:10" s="112" customFormat="1" ht="14.5" x14ac:dyDescent="0.35">
      <c r="A667" s="123" t="s">
        <v>129</v>
      </c>
      <c r="B667" s="128" t="str">
        <v>CALCULUS WITH ANALYSIS</v>
      </c>
      <c r="C667" s="124" t="str">
        <v>Ezearn Jeffery</v>
      </c>
      <c r="D667" s="123" t="s">
        <v>191</v>
      </c>
      <c r="E667" s="129">
        <v>70</v>
      </c>
      <c r="F667" s="194" t="s">
        <v>945</v>
      </c>
      <c r="G667" s="126">
        <f t="shared" si="84"/>
        <v>77</v>
      </c>
      <c r="H667" s="149" t="s">
        <v>946</v>
      </c>
      <c r="I667" s="110" t="str">
        <f t="shared" si="85"/>
        <v>MATH 152,ED1-AERO</v>
      </c>
      <c r="J667" s="111"/>
    </row>
    <row r="668" spans="1:10" s="112" customFormat="1" ht="14.5" x14ac:dyDescent="0.35">
      <c r="A668" s="123" t="s">
        <v>129</v>
      </c>
      <c r="B668" s="128" t="str">
        <v>CALCULUS WITH ANALYSIS</v>
      </c>
      <c r="C668" s="124" t="str">
        <v>Ezearn Jeffery</v>
      </c>
      <c r="D668" s="123" t="s">
        <v>111</v>
      </c>
      <c r="E668" s="129">
        <v>83</v>
      </c>
      <c r="F668" s="194" t="s">
        <v>571</v>
      </c>
      <c r="G668" s="126">
        <f t="shared" si="84"/>
        <v>91.300000000000011</v>
      </c>
      <c r="H668" s="149" t="s">
        <v>572</v>
      </c>
      <c r="I668" s="110" t="str">
        <f t="shared" si="85"/>
        <v>MATH 152,ED1-IND</v>
      </c>
      <c r="J668" s="111"/>
    </row>
    <row r="669" spans="1:10" s="112" customFormat="1" ht="14.5" x14ac:dyDescent="0.35">
      <c r="A669" s="123" t="s">
        <v>129</v>
      </c>
      <c r="B669" s="128" t="str">
        <v>CALCULUS WITH ANALYSIS</v>
      </c>
      <c r="C669" s="124" t="str">
        <v>Ezearn Jeffery</v>
      </c>
      <c r="D669" s="123" t="s">
        <v>75</v>
      </c>
      <c r="E669" s="129">
        <v>245</v>
      </c>
      <c r="F669" s="123" t="s">
        <v>854</v>
      </c>
      <c r="G669" s="126">
        <f t="shared" si="84"/>
        <v>269.5</v>
      </c>
      <c r="H669" s="149" t="s">
        <v>547</v>
      </c>
      <c r="I669" s="110" t="str">
        <f t="shared" si="85"/>
        <v>MATH 152,ED1-CE</v>
      </c>
      <c r="J669" s="111"/>
    </row>
    <row r="670" spans="1:10" s="112" customFormat="1" ht="14.5" x14ac:dyDescent="0.35">
      <c r="A670" s="123" t="s">
        <v>129</v>
      </c>
      <c r="B670" s="128" t="str">
        <v>CALCULUS WITH ANALYSIS</v>
      </c>
      <c r="C670" s="124" t="str">
        <v>Ezearn Jeffery</v>
      </c>
      <c r="D670" s="123" t="s">
        <v>112</v>
      </c>
      <c r="E670" s="129">
        <v>46</v>
      </c>
      <c r="F670" s="194" t="s">
        <v>541</v>
      </c>
      <c r="G670" s="126">
        <f t="shared" si="84"/>
        <v>50.6</v>
      </c>
      <c r="H670" s="127">
        <v>46</v>
      </c>
      <c r="I670" s="110" t="str">
        <f t="shared" si="85"/>
        <v>MATH 152,ED1-MARI</v>
      </c>
      <c r="J670" s="111"/>
    </row>
    <row r="671" spans="1:10" s="112" customFormat="1" ht="14.5" x14ac:dyDescent="0.35">
      <c r="A671" s="123" t="s">
        <v>129</v>
      </c>
      <c r="B671" s="124" t="str">
        <v>CALCULUS WITH ANALYSIS</v>
      </c>
      <c r="C671" s="128" t="str">
        <v>Ezearn Jeffery</v>
      </c>
      <c r="D671" s="123" t="s">
        <v>20</v>
      </c>
      <c r="E671" s="129">
        <v>262</v>
      </c>
      <c r="F671" s="123" t="s">
        <v>854</v>
      </c>
      <c r="G671" s="126">
        <f t="shared" si="84"/>
        <v>288.20000000000005</v>
      </c>
      <c r="H671" s="130" t="s">
        <v>947</v>
      </c>
      <c r="I671" s="110" t="str">
        <f t="shared" si="85"/>
        <v>MATH 152,ED1-COE</v>
      </c>
      <c r="J671" s="111"/>
    </row>
    <row r="672" spans="1:10" ht="14.5" x14ac:dyDescent="0.35">
      <c r="A672" s="35"/>
      <c r="B672" s="35"/>
      <c r="D672" s="27" t="s">
        <v>523</v>
      </c>
      <c r="E672" s="121">
        <f>SUM(E663:E671)</f>
        <v>1225</v>
      </c>
      <c r="F672" s="36"/>
      <c r="G672" s="122"/>
      <c r="I672" s="22" t="s">
        <v>524</v>
      </c>
      <c r="J672" s="25"/>
    </row>
    <row r="673" spans="1:10" ht="14.5" x14ac:dyDescent="0.35">
      <c r="A673" s="35"/>
      <c r="B673" s="35"/>
      <c r="D673" s="27"/>
      <c r="E673" s="121"/>
      <c r="F673" s="36"/>
      <c r="G673" s="122"/>
      <c r="I673" s="22"/>
      <c r="J673" s="25"/>
    </row>
    <row r="674" spans="1:10" ht="14.5" x14ac:dyDescent="0.35">
      <c r="A674" s="14" t="s">
        <v>514</v>
      </c>
      <c r="B674" s="14"/>
      <c r="C674" s="14"/>
      <c r="D674" s="14"/>
      <c r="E674" s="14"/>
      <c r="F674" s="14"/>
      <c r="G674" s="14"/>
      <c r="I674" s="22" t="str">
        <f>A674</f>
        <v>Friday, 4 September 2026</v>
      </c>
      <c r="J674" s="25"/>
    </row>
    <row r="675" spans="1:10" ht="14.5" x14ac:dyDescent="0.35">
      <c r="A675" s="14" t="s">
        <v>29</v>
      </c>
      <c r="B675" s="14"/>
      <c r="C675" s="14"/>
      <c r="D675" s="14"/>
      <c r="E675" s="14"/>
      <c r="F675" s="14"/>
      <c r="G675" s="14"/>
      <c r="I675" s="22" t="str">
        <f>A675</f>
        <v>Session, 2 (12:00 PM - 2:00 PM)</v>
      </c>
      <c r="J675" s="25"/>
    </row>
    <row r="676" spans="1:10" ht="14.5" x14ac:dyDescent="0.35">
      <c r="A676" s="24" t="s">
        <v>4</v>
      </c>
      <c r="B676" s="24" t="s">
        <v>5</v>
      </c>
      <c r="C676" s="16" t="s">
        <v>6</v>
      </c>
      <c r="D676" s="24" t="s">
        <v>7</v>
      </c>
      <c r="E676" s="106" t="s">
        <v>8</v>
      </c>
      <c r="F676" s="16" t="s">
        <v>9</v>
      </c>
      <c r="G676" s="107" t="s">
        <v>10</v>
      </c>
      <c r="H676" s="40"/>
      <c r="I676" s="22" t="s">
        <v>31</v>
      </c>
      <c r="J676" s="25"/>
    </row>
    <row r="677" spans="1:10" s="112" customFormat="1" ht="14.5" x14ac:dyDescent="0.35">
      <c r="A677" s="123" t="s">
        <v>129</v>
      </c>
      <c r="B677" s="124" t="str">
        <f t="array" ref="B677:B685">IFERROR(VLOOKUP(I677:I685,Lectures_1!A2:F534,2,FALSE()),0)</f>
        <v>CALCULUS WITH ANALYSIS</v>
      </c>
      <c r="C677" s="124" t="str">
        <f t="array" ref="C677:C685">IFERROR(VLOOKUP(I677:I685,Lectures_1!A2:F534,3,FALSE()),0)</f>
        <v>Ayekple Yao Elikem</v>
      </c>
      <c r="D677" s="123" t="s">
        <v>51</v>
      </c>
      <c r="E677" s="129">
        <f t="array" ref="E677:E685">IFERROR(VLOOKUP(I677:I685,Lectures_1!A2:F534,4,FALSE()),0)</f>
        <v>295</v>
      </c>
      <c r="F677" s="194" t="s">
        <v>948</v>
      </c>
      <c r="G677" s="126">
        <f t="shared" ref="G677:G685" si="86">E677*1.1</f>
        <v>324.5</v>
      </c>
      <c r="H677" s="194" t="s">
        <v>600</v>
      </c>
      <c r="I677" s="110" t="str">
        <f t="shared" ref="I677:I685" si="87">CONCATENATE(A677,",",D677)</f>
        <v>MATH 152,ED1-EE</v>
      </c>
      <c r="J677" s="111"/>
    </row>
    <row r="678" spans="1:10" s="112" customFormat="1" ht="14.5" x14ac:dyDescent="0.35">
      <c r="A678" s="123" t="s">
        <v>129</v>
      </c>
      <c r="B678" s="128" t="str">
        <v>CALCULUS WITH ANALYSIS</v>
      </c>
      <c r="C678" s="124" t="str">
        <v>Lawton Adu-Ansah</v>
      </c>
      <c r="D678" s="123" t="s">
        <v>162</v>
      </c>
      <c r="E678" s="129">
        <v>85</v>
      </c>
      <c r="F678" s="123" t="s">
        <v>571</v>
      </c>
      <c r="G678" s="126">
        <f t="shared" si="86"/>
        <v>93.500000000000014</v>
      </c>
      <c r="H678" s="195" t="s">
        <v>757</v>
      </c>
      <c r="I678" s="110" t="str">
        <f t="shared" si="87"/>
        <v>MATH 152,ED1-AUTO</v>
      </c>
      <c r="J678" s="111"/>
    </row>
    <row r="679" spans="1:10" s="112" customFormat="1" ht="14.5" x14ac:dyDescent="0.35">
      <c r="A679" s="123" t="s">
        <v>129</v>
      </c>
      <c r="B679" s="124" t="str">
        <v>CALCULUS WITH ANALYSIS</v>
      </c>
      <c r="C679" s="124" t="str">
        <v>Lawton Adu-Ansah</v>
      </c>
      <c r="D679" s="123" t="s">
        <v>161</v>
      </c>
      <c r="E679" s="129">
        <v>225</v>
      </c>
      <c r="F679" s="123" t="s">
        <v>687</v>
      </c>
      <c r="G679" s="126">
        <f t="shared" si="86"/>
        <v>247.50000000000003</v>
      </c>
      <c r="H679" s="127" t="s">
        <v>876</v>
      </c>
      <c r="I679" s="110" t="str">
        <f t="shared" si="87"/>
        <v>MATH 152,ED1-ME</v>
      </c>
      <c r="J679" s="111"/>
    </row>
    <row r="680" spans="1:10" s="112" customFormat="1" ht="14.5" x14ac:dyDescent="0.35">
      <c r="A680" s="123" t="s">
        <v>129</v>
      </c>
      <c r="B680" s="128" t="str">
        <v>CALCULUS WITH ANALYSIS</v>
      </c>
      <c r="C680" s="124" t="str">
        <v>Lawton Adu-Ansah</v>
      </c>
      <c r="D680" s="123" t="s">
        <v>91</v>
      </c>
      <c r="E680" s="129">
        <v>130</v>
      </c>
      <c r="F680" s="133" t="s">
        <v>533</v>
      </c>
      <c r="G680" s="126">
        <f t="shared" si="86"/>
        <v>143</v>
      </c>
      <c r="H680" s="127" t="s">
        <v>917</v>
      </c>
      <c r="I680" s="110" t="str">
        <f t="shared" si="87"/>
        <v>MATH 152,ED1-TEL</v>
      </c>
      <c r="J680" s="111"/>
    </row>
    <row r="681" spans="1:10" s="112" customFormat="1" ht="14.5" x14ac:dyDescent="0.35">
      <c r="A681" s="123" t="s">
        <v>129</v>
      </c>
      <c r="B681" s="128" t="str">
        <v>CALCULUS WITH ANALYSIS</v>
      </c>
      <c r="C681" s="124" t="str">
        <v>Lawton Adu-Ansah</v>
      </c>
      <c r="D681" s="123" t="s">
        <v>95</v>
      </c>
      <c r="E681" s="129">
        <v>103</v>
      </c>
      <c r="F681" s="123" t="s">
        <v>569</v>
      </c>
      <c r="G681" s="126">
        <f t="shared" si="86"/>
        <v>113.30000000000001</v>
      </c>
      <c r="H681" s="127" t="s">
        <v>949</v>
      </c>
      <c r="I681" s="110" t="str">
        <f t="shared" si="87"/>
        <v>MATH 152,ED1-GEOM</v>
      </c>
      <c r="J681" s="111"/>
    </row>
    <row r="682" spans="1:10" s="112" customFormat="1" ht="14.5" x14ac:dyDescent="0.35">
      <c r="A682" s="123" t="s">
        <v>129</v>
      </c>
      <c r="B682" s="128" t="str">
        <v>CALCULUS WITH ANALYSIS</v>
      </c>
      <c r="C682" s="124" t="str">
        <v>Emmanuel Kpeglo</v>
      </c>
      <c r="D682" s="123" t="s">
        <v>115</v>
      </c>
      <c r="E682" s="129">
        <v>100</v>
      </c>
      <c r="F682" s="123" t="s">
        <v>582</v>
      </c>
      <c r="G682" s="126">
        <f t="shared" si="86"/>
        <v>110.00000000000001</v>
      </c>
      <c r="H682" s="127" t="s">
        <v>583</v>
      </c>
      <c r="I682" s="110" t="str">
        <f t="shared" si="87"/>
        <v>MATH 152,ED1-MSE</v>
      </c>
      <c r="J682" s="111"/>
    </row>
    <row r="683" spans="1:10" s="112" customFormat="1" ht="14.5" x14ac:dyDescent="0.35">
      <c r="A683" s="123" t="s">
        <v>129</v>
      </c>
      <c r="B683" s="128" t="str">
        <v>CALCULUS WITH ANALYSIS</v>
      </c>
      <c r="C683" s="124" t="str">
        <v>Emmanuel Kpeglo</v>
      </c>
      <c r="D683" s="123" t="s">
        <v>114</v>
      </c>
      <c r="E683" s="129">
        <v>75</v>
      </c>
      <c r="F683" s="123" t="s">
        <v>545</v>
      </c>
      <c r="G683" s="126">
        <f t="shared" si="86"/>
        <v>82.5</v>
      </c>
      <c r="H683" s="127">
        <v>75</v>
      </c>
      <c r="I683" s="110" t="str">
        <f t="shared" si="87"/>
        <v>MATH 152,ED1-METE</v>
      </c>
      <c r="J683" s="111"/>
    </row>
    <row r="684" spans="1:10" s="112" customFormat="1" ht="14.5" x14ac:dyDescent="0.35">
      <c r="A684" s="123" t="s">
        <v>129</v>
      </c>
      <c r="B684" s="128" t="str">
        <v>CALCULUS WITH ANALYSIS</v>
      </c>
      <c r="C684" s="124" t="str">
        <v>Isaac Azure</v>
      </c>
      <c r="D684" s="123" t="s">
        <v>80</v>
      </c>
      <c r="E684" s="129">
        <v>120</v>
      </c>
      <c r="F684" s="123" t="s">
        <v>950</v>
      </c>
      <c r="G684" s="126">
        <f t="shared" si="86"/>
        <v>132</v>
      </c>
      <c r="H684" s="127" t="s">
        <v>951</v>
      </c>
      <c r="I684" s="110" t="str">
        <f t="shared" si="87"/>
        <v>MATH 152,ED1-CHE</v>
      </c>
      <c r="J684" s="111"/>
    </row>
    <row r="685" spans="1:10" s="112" customFormat="1" ht="14.5" x14ac:dyDescent="0.35">
      <c r="A685" s="123" t="s">
        <v>129</v>
      </c>
      <c r="B685" s="124" t="str">
        <v>CALCULUS WITH ANALYSIS</v>
      </c>
      <c r="C685" s="124" t="str">
        <v>Isaac Azure</v>
      </c>
      <c r="D685" s="123" t="s">
        <v>81</v>
      </c>
      <c r="E685" s="129">
        <v>56</v>
      </c>
      <c r="F685" s="133" t="s">
        <v>546</v>
      </c>
      <c r="G685" s="126">
        <f t="shared" si="86"/>
        <v>61.600000000000009</v>
      </c>
      <c r="H685" s="130">
        <v>56</v>
      </c>
      <c r="I685" s="110" t="str">
        <f t="shared" si="87"/>
        <v>MATH 152,ED1-PCE</v>
      </c>
      <c r="J685" s="111"/>
    </row>
    <row r="686" spans="1:10" ht="14.5" x14ac:dyDescent="0.35">
      <c r="A686" s="35"/>
      <c r="B686" s="35"/>
      <c r="D686" s="27" t="s">
        <v>523</v>
      </c>
      <c r="E686" s="121">
        <f>SUM(_xlfn.ANCHORARRAY(E677))</f>
        <v>1189</v>
      </c>
      <c r="F686" s="36"/>
      <c r="G686" s="122"/>
      <c r="H686" s="64"/>
      <c r="I686" s="22" t="s">
        <v>524</v>
      </c>
      <c r="J686" s="25"/>
    </row>
    <row r="687" spans="1:10" ht="14.5" x14ac:dyDescent="0.35">
      <c r="A687" s="14" t="s">
        <v>514</v>
      </c>
      <c r="B687" s="14"/>
      <c r="C687" s="14"/>
      <c r="D687" s="14"/>
      <c r="E687" s="14"/>
      <c r="F687" s="14"/>
      <c r="G687" s="14"/>
      <c r="I687" s="22" t="str">
        <f>A687</f>
        <v>Friday, 4 September 2026</v>
      </c>
      <c r="J687" s="25"/>
    </row>
    <row r="688" spans="1:10" ht="14.5" x14ac:dyDescent="0.35">
      <c r="A688" s="14" t="s">
        <v>59</v>
      </c>
      <c r="B688" s="14"/>
      <c r="C688" s="14"/>
      <c r="D688" s="14"/>
      <c r="E688" s="14"/>
      <c r="F688" s="14"/>
      <c r="G688" s="14"/>
      <c r="I688" s="22" t="str">
        <f>A688</f>
        <v>Session, 3 (3:00 PM - 5:00 PM)</v>
      </c>
      <c r="J688" s="25"/>
    </row>
    <row r="689" spans="1:10" ht="14.5" x14ac:dyDescent="0.35">
      <c r="A689" s="24" t="s">
        <v>4</v>
      </c>
      <c r="B689" s="24" t="s">
        <v>5</v>
      </c>
      <c r="C689" s="16" t="s">
        <v>6</v>
      </c>
      <c r="D689" s="24" t="s">
        <v>7</v>
      </c>
      <c r="E689" s="106" t="s">
        <v>8</v>
      </c>
      <c r="F689" s="16" t="s">
        <v>9</v>
      </c>
      <c r="G689" s="107" t="s">
        <v>10</v>
      </c>
      <c r="H689" s="40"/>
      <c r="I689" s="22" t="s">
        <v>31</v>
      </c>
      <c r="J689" s="25"/>
    </row>
    <row r="690" spans="1:10" s="112" customFormat="1" ht="14.5" x14ac:dyDescent="0.35">
      <c r="A690" s="123" t="s">
        <v>505</v>
      </c>
      <c r="B690" s="124" t="str">
        <f t="array" ref="B690:B698">IFERROR(VLOOKUP(I690:I698,Lectures_1!A2:F534,2,FALSE()),0)</f>
        <v>SOFTWARE ENGINEERING</v>
      </c>
      <c r="C690" s="124" t="str">
        <f t="array" ref="C690:C698">IFERROR(VLOOKUP(I690:I698,Lectures_1!A2:F534,3,FALSE()),0)</f>
        <v>Keelson Eliel</v>
      </c>
      <c r="D690" s="123" t="s">
        <v>251</v>
      </c>
      <c r="E690" s="129">
        <f t="array" ref="E690:E698">IFERROR(VLOOKUP(I690:I698,Lectures_1!A2:F534,4,FALSE()),0)</f>
        <v>115</v>
      </c>
      <c r="F690" s="194" t="s">
        <v>541</v>
      </c>
      <c r="G690" s="126">
        <f t="shared" ref="G690:G698" si="88">E690*1.1</f>
        <v>126.50000000000001</v>
      </c>
      <c r="H690" s="196">
        <v>115</v>
      </c>
      <c r="I690" s="110" t="str">
        <f t="shared" ref="I690:I698" si="89">CONCATENATE(A690,",",D690)</f>
        <v>COE 454,ED4-COE</v>
      </c>
      <c r="J690" s="111"/>
    </row>
    <row r="691" spans="1:10" ht="14.5" x14ac:dyDescent="0.35">
      <c r="A691" s="26" t="s">
        <v>516</v>
      </c>
      <c r="B691" s="27" t="str">
        <v>CHEMICAL REACTION ENGINEERING</v>
      </c>
      <c r="C691" s="27" t="str">
        <v>Bonsu Jude Kwaku</v>
      </c>
      <c r="D691" s="26" t="s">
        <v>73</v>
      </c>
      <c r="E691" s="108">
        <v>105</v>
      </c>
      <c r="F691" s="32" t="s">
        <v>571</v>
      </c>
      <c r="G691" s="109">
        <f t="shared" si="88"/>
        <v>115.50000000000001</v>
      </c>
      <c r="H691" s="17" t="s">
        <v>788</v>
      </c>
      <c r="I691" s="20" t="str">
        <f t="shared" si="89"/>
        <v>CHE 352,ED3-CHE</v>
      </c>
      <c r="J691" s="25"/>
    </row>
    <row r="692" spans="1:10" ht="14.5" x14ac:dyDescent="0.35">
      <c r="A692" s="26" t="s">
        <v>517</v>
      </c>
      <c r="B692" s="27" t="str">
        <v>POWER SYSTEMS ANALYSIS</v>
      </c>
      <c r="C692" s="27" t="str">
        <v>Twumasi Elvis</v>
      </c>
      <c r="D692" s="26" t="s">
        <v>71</v>
      </c>
      <c r="E692" s="108">
        <v>240</v>
      </c>
      <c r="F692" s="32" t="s">
        <v>854</v>
      </c>
      <c r="G692" s="109">
        <f t="shared" si="88"/>
        <v>264</v>
      </c>
      <c r="H692" s="17" t="s">
        <v>855</v>
      </c>
      <c r="I692" s="20" t="str">
        <f t="shared" si="89"/>
        <v>EE 368,ED3-EE</v>
      </c>
      <c r="J692" s="25"/>
    </row>
    <row r="693" spans="1:10" s="120" customFormat="1" ht="14.5" x14ac:dyDescent="0.35">
      <c r="A693" s="113" t="s">
        <v>518</v>
      </c>
      <c r="B693" s="114" t="str">
        <v>ELECTRICAL MEASUREMENT AND INSTRUMENTATION</v>
      </c>
      <c r="C693" s="118" t="str">
        <v>Klogo Griffith Selorm</v>
      </c>
      <c r="D693" s="113" t="s">
        <v>108</v>
      </c>
      <c r="E693" s="115">
        <v>255</v>
      </c>
      <c r="F693" s="192" t="s">
        <v>954</v>
      </c>
      <c r="G693" s="116">
        <f t="shared" si="88"/>
        <v>280.5</v>
      </c>
      <c r="H693" s="187" t="s">
        <v>952</v>
      </c>
      <c r="I693" s="131" t="str">
        <f t="shared" si="89"/>
        <v>EE 288,ED2-COE</v>
      </c>
      <c r="J693" s="119"/>
    </row>
    <row r="694" spans="1:10" ht="14.5" x14ac:dyDescent="0.35">
      <c r="A694" s="26" t="s">
        <v>519</v>
      </c>
      <c r="B694" s="27" t="str">
        <v>VIBRATIONS I</v>
      </c>
      <c r="C694" s="27" t="str">
        <v>Adam Faisal Wahib</v>
      </c>
      <c r="D694" s="26" t="s">
        <v>133</v>
      </c>
      <c r="E694" s="108">
        <v>76</v>
      </c>
      <c r="F694" s="32" t="s">
        <v>850</v>
      </c>
      <c r="G694" s="109">
        <f t="shared" si="88"/>
        <v>83.600000000000009</v>
      </c>
      <c r="H694" s="17" t="s">
        <v>884</v>
      </c>
      <c r="I694" s="20" t="str">
        <f t="shared" si="89"/>
        <v>ME 362,ED3-AERO</v>
      </c>
      <c r="J694" s="25"/>
    </row>
    <row r="695" spans="1:10" ht="14.5" x14ac:dyDescent="0.35">
      <c r="A695" s="26" t="s">
        <v>519</v>
      </c>
      <c r="B695" s="27" t="str">
        <v>VIBRATIONS I</v>
      </c>
      <c r="C695" s="27" t="str">
        <v>Adam Faisal Wahib</v>
      </c>
      <c r="D695" s="26" t="s">
        <v>61</v>
      </c>
      <c r="E695" s="108">
        <v>222</v>
      </c>
      <c r="F695" s="32" t="s">
        <v>687</v>
      </c>
      <c r="G695" s="109">
        <f t="shared" si="88"/>
        <v>244.20000000000002</v>
      </c>
      <c r="H695" s="17" t="s">
        <v>905</v>
      </c>
      <c r="I695" s="20" t="str">
        <f t="shared" si="89"/>
        <v>ME 362,ED3-ME</v>
      </c>
      <c r="J695" s="25"/>
    </row>
    <row r="696" spans="1:10" ht="14.5" x14ac:dyDescent="0.35">
      <c r="A696" s="26" t="s">
        <v>519</v>
      </c>
      <c r="B696" s="27" t="str">
        <v>VIBRATIONS I</v>
      </c>
      <c r="C696" s="27" t="str">
        <v>Adam Faisal Wahib</v>
      </c>
      <c r="D696" s="26" t="s">
        <v>86</v>
      </c>
      <c r="E696" s="108">
        <v>40</v>
      </c>
      <c r="F696" s="32" t="s">
        <v>616</v>
      </c>
      <c r="G696" s="109">
        <f t="shared" si="88"/>
        <v>44</v>
      </c>
      <c r="H696" s="17">
        <v>40</v>
      </c>
      <c r="I696" s="20" t="str">
        <f t="shared" si="89"/>
        <v>ME 362,ED3-MARI</v>
      </c>
      <c r="J696" s="25"/>
    </row>
    <row r="697" spans="1:10" ht="14.5" x14ac:dyDescent="0.35">
      <c r="A697" s="26" t="s">
        <v>521</v>
      </c>
      <c r="B697" s="27" t="str">
        <v>VIBRATIONS FOR AUTOMOBILE ENGINEERS</v>
      </c>
      <c r="C697" s="27" t="str">
        <v>Adam Faisal Wahib</v>
      </c>
      <c r="D697" s="26" t="s">
        <v>23</v>
      </c>
      <c r="E697" s="108">
        <v>40</v>
      </c>
      <c r="F697" s="32" t="s">
        <v>766</v>
      </c>
      <c r="G697" s="109">
        <f t="shared" si="88"/>
        <v>44</v>
      </c>
      <c r="H697" s="17" t="s">
        <v>559</v>
      </c>
      <c r="I697" s="20" t="str">
        <f t="shared" si="89"/>
        <v>AME 362,ED3-AUTO</v>
      </c>
      <c r="J697" s="25"/>
    </row>
    <row r="698" spans="1:10" ht="14.5" x14ac:dyDescent="0.35">
      <c r="A698" s="26" t="s">
        <v>522</v>
      </c>
      <c r="B698" s="27" t="str">
        <v>ANATOMY AND PHYSIOLOGY FOR ENGINEERS II</v>
      </c>
      <c r="C698" s="27" t="str">
        <v>Agyapong Dorothy Araba Yakoba</v>
      </c>
      <c r="D698" s="26" t="s">
        <v>109</v>
      </c>
      <c r="E698" s="108">
        <v>80</v>
      </c>
      <c r="F698" s="32" t="s">
        <v>953</v>
      </c>
      <c r="G698" s="109">
        <f t="shared" si="88"/>
        <v>88</v>
      </c>
      <c r="H698" s="17" t="s">
        <v>692</v>
      </c>
      <c r="I698" s="20" t="str">
        <f t="shared" si="89"/>
        <v>BME 286,ED2-BME</v>
      </c>
      <c r="J698" s="25"/>
    </row>
    <row r="699" spans="1:10" ht="14.5" x14ac:dyDescent="0.35">
      <c r="A699" s="35"/>
      <c r="B699" s="35"/>
      <c r="D699" s="27" t="s">
        <v>523</v>
      </c>
      <c r="E699" s="121">
        <f>SUM(_xlfn.ANCHORARRAY(E690))</f>
        <v>1173</v>
      </c>
      <c r="F699" s="36"/>
      <c r="G699" s="122"/>
      <c r="H699" s="64"/>
      <c r="I699" s="22" t="s">
        <v>524</v>
      </c>
      <c r="J699" s="25"/>
    </row>
    <row r="700" spans="1:10" s="67" customFormat="1" ht="14" x14ac:dyDescent="0.3">
      <c r="A700" s="65"/>
      <c r="B700" s="65"/>
      <c r="C700" s="65"/>
      <c r="D700" s="65"/>
      <c r="E700" s="66"/>
      <c r="F700" s="68"/>
      <c r="G700" s="104"/>
      <c r="H700" s="64"/>
    </row>
    <row r="701" spans="1:10" s="67" customFormat="1" ht="14" x14ac:dyDescent="0.3">
      <c r="A701" s="68"/>
      <c r="B701" s="68"/>
      <c r="C701" s="68"/>
      <c r="D701" s="68"/>
      <c r="E701" s="69"/>
      <c r="F701" s="68"/>
      <c r="G701" s="105"/>
      <c r="H701" s="64"/>
    </row>
    <row r="702" spans="1:10" s="67" customFormat="1" ht="14" x14ac:dyDescent="0.3">
      <c r="A702" s="68"/>
      <c r="B702" s="68"/>
      <c r="C702" s="68"/>
      <c r="D702" s="68"/>
      <c r="E702" s="69"/>
      <c r="F702" s="68"/>
      <c r="G702" s="105"/>
      <c r="H702" s="64"/>
    </row>
    <row r="703" spans="1:10" s="67" customFormat="1" ht="14" x14ac:dyDescent="0.3">
      <c r="A703" s="68"/>
      <c r="B703" s="68"/>
      <c r="C703" s="68"/>
      <c r="D703" s="68"/>
      <c r="E703" s="69"/>
      <c r="F703" s="68"/>
      <c r="G703" s="105"/>
      <c r="H703" s="64"/>
    </row>
    <row r="704" spans="1:10" s="67" customFormat="1" ht="14" x14ac:dyDescent="0.3">
      <c r="A704" s="68"/>
      <c r="B704" s="68"/>
      <c r="C704" s="68"/>
      <c r="D704" s="68"/>
      <c r="E704" s="69"/>
      <c r="F704" s="68"/>
      <c r="G704" s="105"/>
      <c r="H704" s="19"/>
    </row>
  </sheetData>
  <mergeCells count="97">
    <mergeCell ref="A687:G687"/>
    <mergeCell ref="A688:G688"/>
    <mergeCell ref="A643:G643"/>
    <mergeCell ref="A660:G660"/>
    <mergeCell ref="A661:G661"/>
    <mergeCell ref="A674:G674"/>
    <mergeCell ref="A675:G675"/>
    <mergeCell ref="A608:G608"/>
    <mergeCell ref="A609:G609"/>
    <mergeCell ref="A624:G624"/>
    <mergeCell ref="A625:G625"/>
    <mergeCell ref="A642:G642"/>
    <mergeCell ref="A572:G572"/>
    <mergeCell ref="A584:G584"/>
    <mergeCell ref="A585:G585"/>
    <mergeCell ref="A595:G595"/>
    <mergeCell ref="A596:G596"/>
    <mergeCell ref="A535:G535"/>
    <mergeCell ref="A536:G536"/>
    <mergeCell ref="A552:G552"/>
    <mergeCell ref="A553:G553"/>
    <mergeCell ref="A571:G571"/>
    <mergeCell ref="A485:G485"/>
    <mergeCell ref="A498:G498"/>
    <mergeCell ref="A499:G499"/>
    <mergeCell ref="A519:G519"/>
    <mergeCell ref="A520:G520"/>
    <mergeCell ref="A452:G452"/>
    <mergeCell ref="F454:F458"/>
    <mergeCell ref="A468:G468"/>
    <mergeCell ref="A469:G469"/>
    <mergeCell ref="A484:G484"/>
    <mergeCell ref="F413:F418"/>
    <mergeCell ref="A427:G427"/>
    <mergeCell ref="A428:G428"/>
    <mergeCell ref="F430:F436"/>
    <mergeCell ref="A451:G451"/>
    <mergeCell ref="A380:G380"/>
    <mergeCell ref="A395:G395"/>
    <mergeCell ref="A396:G396"/>
    <mergeCell ref="A410:G410"/>
    <mergeCell ref="A411:G411"/>
    <mergeCell ref="A354:G354"/>
    <mergeCell ref="A355:G355"/>
    <mergeCell ref="A367:G367"/>
    <mergeCell ref="A368:G368"/>
    <mergeCell ref="A379:G379"/>
    <mergeCell ref="A313:G313"/>
    <mergeCell ref="A314:G314"/>
    <mergeCell ref="F316:F329"/>
    <mergeCell ref="A339:G339"/>
    <mergeCell ref="A340:G340"/>
    <mergeCell ref="A271:G271"/>
    <mergeCell ref="A284:G284"/>
    <mergeCell ref="A285:G285"/>
    <mergeCell ref="A300:G300"/>
    <mergeCell ref="A301:G301"/>
    <mergeCell ref="A241:G241"/>
    <mergeCell ref="A242:G242"/>
    <mergeCell ref="A256:G256"/>
    <mergeCell ref="A257:G257"/>
    <mergeCell ref="A270:G270"/>
    <mergeCell ref="A200:G200"/>
    <mergeCell ref="A210:G210"/>
    <mergeCell ref="A211:G211"/>
    <mergeCell ref="A222:G222"/>
    <mergeCell ref="A223:G223"/>
    <mergeCell ref="A166:G166"/>
    <mergeCell ref="A167:G167"/>
    <mergeCell ref="A182:G182"/>
    <mergeCell ref="A183:G183"/>
    <mergeCell ref="A199:G199"/>
    <mergeCell ref="A136:G136"/>
    <mergeCell ref="A137:G137"/>
    <mergeCell ref="F139:F140"/>
    <mergeCell ref="A153:G153"/>
    <mergeCell ref="A154:G154"/>
    <mergeCell ref="A96:G96"/>
    <mergeCell ref="A108:G108"/>
    <mergeCell ref="A109:G109"/>
    <mergeCell ref="A123:G123"/>
    <mergeCell ref="A124:G124"/>
    <mergeCell ref="A63:G63"/>
    <mergeCell ref="A64:G64"/>
    <mergeCell ref="A81:G81"/>
    <mergeCell ref="A82:G82"/>
    <mergeCell ref="A95:G95"/>
    <mergeCell ref="A31:G31"/>
    <mergeCell ref="A32:G32"/>
    <mergeCell ref="A44:G44"/>
    <mergeCell ref="A45:G45"/>
    <mergeCell ref="F47:F49"/>
    <mergeCell ref="A1:G1"/>
    <mergeCell ref="A2:G2"/>
    <mergeCell ref="A12:G12"/>
    <mergeCell ref="A13:G13"/>
    <mergeCell ref="F15:F19"/>
  </mergeCells>
  <conditionalFormatting sqref="D34">
    <cfRule type="duplicateValues" dxfId="162" priority="146"/>
  </conditionalFormatting>
  <conditionalFormatting sqref="D550">
    <cfRule type="duplicateValues" dxfId="161" priority="151"/>
  </conditionalFormatting>
  <conditionalFormatting sqref="D663 D524">
    <cfRule type="duplicateValues" dxfId="160" priority="156"/>
  </conditionalFormatting>
  <conditionalFormatting sqref="I22">
    <cfRule type="duplicateValues" dxfId="159" priority="6"/>
    <cfRule type="duplicateValues" dxfId="158" priority="7"/>
  </conditionalFormatting>
  <conditionalFormatting sqref="I23">
    <cfRule type="duplicateValues" dxfId="157" priority="45"/>
    <cfRule type="duplicateValues" dxfId="156" priority="44"/>
  </conditionalFormatting>
  <conditionalFormatting sqref="I24">
    <cfRule type="duplicateValues" dxfId="155" priority="28"/>
    <cfRule type="duplicateValues" dxfId="154" priority="29"/>
  </conditionalFormatting>
  <conditionalFormatting sqref="I25">
    <cfRule type="duplicateValues" dxfId="153" priority="30"/>
    <cfRule type="duplicateValues" dxfId="152" priority="31"/>
  </conditionalFormatting>
  <conditionalFormatting sqref="I37">
    <cfRule type="duplicateValues" dxfId="151" priority="57"/>
    <cfRule type="duplicateValues" dxfId="150" priority="56"/>
  </conditionalFormatting>
  <conditionalFormatting sqref="I42:I43 I31:I33">
    <cfRule type="duplicateValues" dxfId="149" priority="149"/>
    <cfRule type="duplicateValues" dxfId="148" priority="150"/>
  </conditionalFormatting>
  <conditionalFormatting sqref="I76">
    <cfRule type="duplicateValues" dxfId="147" priority="109"/>
    <cfRule type="duplicateValues" dxfId="146" priority="108"/>
  </conditionalFormatting>
  <conditionalFormatting sqref="I78">
    <cfRule type="duplicateValues" dxfId="145" priority="12"/>
    <cfRule type="duplicateValues" dxfId="144" priority="13"/>
  </conditionalFormatting>
  <conditionalFormatting sqref="I89">
    <cfRule type="duplicateValues" dxfId="143" priority="19"/>
    <cfRule type="duplicateValues" dxfId="142" priority="18"/>
  </conditionalFormatting>
  <conditionalFormatting sqref="I90">
    <cfRule type="duplicateValues" dxfId="141" priority="80"/>
    <cfRule type="duplicateValues" dxfId="140" priority="81"/>
  </conditionalFormatting>
  <conditionalFormatting sqref="I128">
    <cfRule type="duplicateValues" dxfId="139" priority="49"/>
    <cfRule type="duplicateValues" dxfId="138" priority="48"/>
  </conditionalFormatting>
  <conditionalFormatting sqref="I129">
    <cfRule type="duplicateValues" dxfId="137" priority="54"/>
    <cfRule type="duplicateValues" dxfId="136" priority="55"/>
  </conditionalFormatting>
  <conditionalFormatting sqref="I132">
    <cfRule type="duplicateValues" dxfId="135" priority="2"/>
    <cfRule type="duplicateValues" dxfId="134" priority="3"/>
  </conditionalFormatting>
  <conditionalFormatting sqref="I143">
    <cfRule type="duplicateValues" dxfId="133" priority="62"/>
    <cfRule type="duplicateValues" dxfId="132" priority="63"/>
  </conditionalFormatting>
  <conditionalFormatting sqref="I144">
    <cfRule type="duplicateValues" dxfId="131" priority="65"/>
    <cfRule type="duplicateValues" dxfId="130" priority="64"/>
  </conditionalFormatting>
  <conditionalFormatting sqref="I147">
    <cfRule type="duplicateValues" dxfId="129" priority="95"/>
    <cfRule type="duplicateValues" dxfId="128" priority="94"/>
  </conditionalFormatting>
  <conditionalFormatting sqref="I148">
    <cfRule type="duplicateValues" dxfId="127" priority="61"/>
    <cfRule type="duplicateValues" dxfId="126" priority="60"/>
  </conditionalFormatting>
  <conditionalFormatting sqref="I149">
    <cfRule type="duplicateValues" dxfId="125" priority="9"/>
    <cfRule type="duplicateValues" dxfId="124" priority="8"/>
  </conditionalFormatting>
  <conditionalFormatting sqref="I162">
    <cfRule type="duplicateValues" dxfId="123" priority="110"/>
    <cfRule type="duplicateValues" dxfId="122" priority="111"/>
  </conditionalFormatting>
  <conditionalFormatting sqref="I163">
    <cfRule type="duplicateValues" dxfId="121" priority="90"/>
    <cfRule type="duplicateValues" dxfId="120" priority="91"/>
  </conditionalFormatting>
  <conditionalFormatting sqref="I171:I172 I153:I160 I164:I165">
    <cfRule type="duplicateValues" dxfId="119" priority="160"/>
    <cfRule type="duplicateValues" dxfId="118" priority="159"/>
  </conditionalFormatting>
  <conditionalFormatting sqref="I189">
    <cfRule type="duplicateValues" dxfId="117" priority="117"/>
    <cfRule type="duplicateValues" dxfId="116" priority="116"/>
  </conditionalFormatting>
  <conditionalFormatting sqref="I193">
    <cfRule type="duplicateValues" dxfId="115" priority="46"/>
    <cfRule type="duplicateValues" dxfId="114" priority="47"/>
  </conditionalFormatting>
  <conditionalFormatting sqref="I195">
    <cfRule type="duplicateValues" dxfId="113" priority="75"/>
    <cfRule type="duplicateValues" dxfId="112" priority="74"/>
  </conditionalFormatting>
  <conditionalFormatting sqref="I196">
    <cfRule type="duplicateValues" dxfId="111" priority="52"/>
    <cfRule type="duplicateValues" dxfId="110" priority="53"/>
  </conditionalFormatting>
  <conditionalFormatting sqref="I204">
    <cfRule type="duplicateValues" dxfId="109" priority="76"/>
    <cfRule type="duplicateValues" dxfId="108" priority="77"/>
  </conditionalFormatting>
  <conditionalFormatting sqref="I207">
    <cfRule type="duplicateValues" dxfId="107" priority="89"/>
    <cfRule type="duplicateValues" dxfId="106" priority="88"/>
  </conditionalFormatting>
  <conditionalFormatting sqref="I236">
    <cfRule type="duplicateValues" dxfId="105" priority="17"/>
    <cfRule type="duplicateValues" dxfId="104" priority="16"/>
  </conditionalFormatting>
  <conditionalFormatting sqref="I246">
    <cfRule type="duplicateValues" dxfId="103" priority="32"/>
    <cfRule type="duplicateValues" dxfId="102" priority="33"/>
  </conditionalFormatting>
  <conditionalFormatting sqref="I249">
    <cfRule type="duplicateValues" dxfId="101" priority="23"/>
    <cfRule type="duplicateValues" dxfId="100" priority="22"/>
  </conditionalFormatting>
  <conditionalFormatting sqref="I251">
    <cfRule type="duplicateValues" dxfId="99" priority="40"/>
    <cfRule type="duplicateValues" dxfId="98" priority="41"/>
  </conditionalFormatting>
  <conditionalFormatting sqref="I252">
    <cfRule type="duplicateValues" dxfId="97" priority="106"/>
    <cfRule type="duplicateValues" dxfId="96" priority="107"/>
  </conditionalFormatting>
  <conditionalFormatting sqref="I253">
    <cfRule type="duplicateValues" dxfId="95" priority="36"/>
    <cfRule type="duplicateValues" dxfId="94" priority="37"/>
  </conditionalFormatting>
  <conditionalFormatting sqref="I264">
    <cfRule type="duplicateValues" dxfId="93" priority="5"/>
    <cfRule type="duplicateValues" dxfId="92" priority="4"/>
  </conditionalFormatting>
  <conditionalFormatting sqref="I278">
    <cfRule type="duplicateValues" dxfId="91" priority="58"/>
    <cfRule type="duplicateValues" dxfId="90" priority="59"/>
  </conditionalFormatting>
  <conditionalFormatting sqref="I280">
    <cfRule type="duplicateValues" dxfId="89" priority="86"/>
    <cfRule type="duplicateValues" dxfId="88" priority="87"/>
  </conditionalFormatting>
  <conditionalFormatting sqref="I293">
    <cfRule type="duplicateValues" dxfId="87" priority="96"/>
    <cfRule type="duplicateValues" dxfId="86" priority="97"/>
  </conditionalFormatting>
  <conditionalFormatting sqref="I294">
    <cfRule type="duplicateValues" dxfId="85" priority="104"/>
    <cfRule type="duplicateValues" dxfId="84" priority="105"/>
  </conditionalFormatting>
  <conditionalFormatting sqref="I295">
    <cfRule type="duplicateValues" dxfId="83" priority="38"/>
    <cfRule type="duplicateValues" dxfId="82" priority="39"/>
  </conditionalFormatting>
  <conditionalFormatting sqref="I310">
    <cfRule type="duplicateValues" dxfId="81" priority="26"/>
    <cfRule type="duplicateValues" dxfId="80" priority="27"/>
  </conditionalFormatting>
  <conditionalFormatting sqref="I332">
    <cfRule type="duplicateValues" dxfId="79" priority="71"/>
    <cfRule type="duplicateValues" dxfId="78" priority="70"/>
  </conditionalFormatting>
  <conditionalFormatting sqref="I333">
    <cfRule type="duplicateValues" dxfId="77" priority="78"/>
    <cfRule type="duplicateValues" dxfId="76" priority="79"/>
  </conditionalFormatting>
  <conditionalFormatting sqref="I361">
    <cfRule type="duplicateValues" dxfId="75" priority="82"/>
    <cfRule type="duplicateValues" dxfId="74" priority="83"/>
  </conditionalFormatting>
  <conditionalFormatting sqref="I362">
    <cfRule type="duplicateValues" dxfId="73" priority="10"/>
    <cfRule type="duplicateValues" dxfId="72" priority="11"/>
  </conditionalFormatting>
  <conditionalFormatting sqref="I392">
    <cfRule type="duplicateValues" dxfId="71" priority="35"/>
    <cfRule type="duplicateValues" dxfId="70" priority="34"/>
  </conditionalFormatting>
  <conditionalFormatting sqref="I423">
    <cfRule type="duplicateValues" dxfId="69" priority="42"/>
    <cfRule type="duplicateValues" dxfId="68" priority="43"/>
  </conditionalFormatting>
  <conditionalFormatting sqref="I433">
    <cfRule type="duplicateValues" dxfId="67" priority="145"/>
    <cfRule type="duplicateValues" dxfId="66" priority="144"/>
  </conditionalFormatting>
  <conditionalFormatting sqref="I436">
    <cfRule type="duplicateValues" dxfId="65" priority="115"/>
    <cfRule type="duplicateValues" dxfId="64" priority="114"/>
  </conditionalFormatting>
  <conditionalFormatting sqref="I446">
    <cfRule type="duplicateValues" dxfId="63" priority="102"/>
    <cfRule type="duplicateValues" dxfId="62" priority="103"/>
  </conditionalFormatting>
  <conditionalFormatting sqref="I465">
    <cfRule type="duplicateValues" dxfId="61" priority="128"/>
    <cfRule type="duplicateValues" dxfId="60" priority="129"/>
  </conditionalFormatting>
  <conditionalFormatting sqref="I493">
    <cfRule type="duplicateValues" dxfId="59" priority="50"/>
    <cfRule type="duplicateValues" dxfId="58" priority="51"/>
  </conditionalFormatting>
  <conditionalFormatting sqref="I527">
    <cfRule type="duplicateValues" dxfId="57" priority="84"/>
    <cfRule type="duplicateValues" dxfId="56" priority="85"/>
  </conditionalFormatting>
  <conditionalFormatting sqref="I530">
    <cfRule type="duplicateValues" dxfId="55" priority="124"/>
    <cfRule type="duplicateValues" dxfId="54" priority="125"/>
  </conditionalFormatting>
  <conditionalFormatting sqref="I539">
    <cfRule type="duplicateValues" dxfId="53" priority="92"/>
    <cfRule type="duplicateValues" dxfId="52" priority="93"/>
  </conditionalFormatting>
  <conditionalFormatting sqref="I540">
    <cfRule type="duplicateValues" dxfId="51" priority="98"/>
    <cfRule type="duplicateValues" dxfId="50" priority="99"/>
  </conditionalFormatting>
  <conditionalFormatting sqref="I549">
    <cfRule type="duplicateValues" dxfId="49" priority="69"/>
    <cfRule type="duplicateValues" dxfId="48" priority="68"/>
  </conditionalFormatting>
  <conditionalFormatting sqref="I567">
    <cfRule type="duplicateValues" dxfId="47" priority="73"/>
    <cfRule type="duplicateValues" dxfId="46" priority="72"/>
  </conditionalFormatting>
  <conditionalFormatting sqref="I604">
    <cfRule type="duplicateValues" dxfId="45" priority="15"/>
    <cfRule type="duplicateValues" dxfId="44" priority="14"/>
  </conditionalFormatting>
  <conditionalFormatting sqref="I628">
    <cfRule type="duplicateValues" dxfId="43" priority="66"/>
    <cfRule type="duplicateValues" dxfId="42" priority="67"/>
  </conditionalFormatting>
  <conditionalFormatting sqref="I635">
    <cfRule type="duplicateValues" dxfId="41" priority="101"/>
    <cfRule type="duplicateValues" dxfId="40" priority="100"/>
  </conditionalFormatting>
  <conditionalFormatting sqref="I649">
    <cfRule type="duplicateValues" dxfId="39" priority="126"/>
    <cfRule type="duplicateValues" dxfId="38" priority="127"/>
  </conditionalFormatting>
  <conditionalFormatting sqref="I665">
    <cfRule type="duplicateValues" dxfId="37" priority="24"/>
    <cfRule type="duplicateValues" dxfId="36" priority="25"/>
  </conditionalFormatting>
  <conditionalFormatting sqref="I666">
    <cfRule type="duplicateValues" dxfId="35" priority="122"/>
    <cfRule type="duplicateValues" dxfId="34" priority="123"/>
  </conditionalFormatting>
  <conditionalFormatting sqref="I670">
    <cfRule type="duplicateValues" dxfId="33" priority="118"/>
    <cfRule type="duplicateValues" dxfId="32" priority="119"/>
  </conditionalFormatting>
  <conditionalFormatting sqref="I674">
    <cfRule type="duplicateValues" dxfId="31" priority="137"/>
    <cfRule type="duplicateValues" dxfId="30" priority="136"/>
  </conditionalFormatting>
  <conditionalFormatting sqref="I675">
    <cfRule type="duplicateValues" dxfId="29" priority="133"/>
    <cfRule type="duplicateValues" dxfId="28" priority="132"/>
  </conditionalFormatting>
  <conditionalFormatting sqref="I676">
    <cfRule type="duplicateValues" dxfId="27" priority="130"/>
    <cfRule type="duplicateValues" dxfId="26" priority="131"/>
  </conditionalFormatting>
  <conditionalFormatting sqref="I678:I679 I681 I683:I684 I199:I202 I192 I208:I209">
    <cfRule type="duplicateValues" dxfId="25" priority="152"/>
    <cfRule type="duplicateValues" dxfId="24" priority="153"/>
  </conditionalFormatting>
  <conditionalFormatting sqref="I682">
    <cfRule type="duplicateValues" dxfId="23" priority="121"/>
    <cfRule type="duplicateValues" dxfId="22" priority="120"/>
  </conditionalFormatting>
  <conditionalFormatting sqref="I685 I664 I677">
    <cfRule type="duplicateValues" dxfId="21" priority="154"/>
    <cfRule type="duplicateValues" dxfId="20" priority="155"/>
  </conditionalFormatting>
  <conditionalFormatting sqref="I686">
    <cfRule type="duplicateValues" dxfId="19" priority="134"/>
    <cfRule type="duplicateValues" dxfId="18" priority="135"/>
  </conditionalFormatting>
  <conditionalFormatting sqref="I687">
    <cfRule type="duplicateValues" dxfId="17" priority="147"/>
    <cfRule type="duplicateValues" dxfId="16" priority="148"/>
  </conditionalFormatting>
  <conditionalFormatting sqref="I688">
    <cfRule type="duplicateValues" dxfId="15" priority="140"/>
    <cfRule type="duplicateValues" dxfId="14" priority="141"/>
  </conditionalFormatting>
  <conditionalFormatting sqref="I689">
    <cfRule type="duplicateValues" dxfId="13" priority="139"/>
    <cfRule type="duplicateValues" dxfId="12" priority="138"/>
  </conditionalFormatting>
  <conditionalFormatting sqref="I691">
    <cfRule type="duplicateValues" dxfId="11" priority="20"/>
    <cfRule type="duplicateValues" dxfId="10" priority="21"/>
  </conditionalFormatting>
  <conditionalFormatting sqref="I697">
    <cfRule type="duplicateValues" dxfId="9" priority="112"/>
    <cfRule type="duplicateValues" dxfId="8" priority="113"/>
  </conditionalFormatting>
  <conditionalFormatting sqref="I699">
    <cfRule type="duplicateValues" dxfId="7" priority="142"/>
    <cfRule type="duplicateValues" dxfId="6" priority="143"/>
  </conditionalFormatting>
  <conditionalFormatting sqref="I700:I1048576 I667:I669 I680 I434:I435 I166:I170 I437:I445 I203 I671:I673 I161 I150:I152 I190:I191 I447:I464 I466:I492 I494:I526 I531:I538 I281:I292 I279 I296:I309 I205:I206 I528:I529 I550:I566 I629:I634 I650:I663 I636:I648 I197:I198 I541:I548 I34:I36 I77 I690 I698 I38:I41 I424:I432 I334:I360 I393:I422 I363:I391 I194 I247:I248 I26:I30 I311:I331 I250 I210:I235 I568:I603 I605:I627 I237:I245 I692:I696 I91:I127 I254:I263 I79:I88 I44:I75 I130:I131 I145:I146 I173:I188 I1:I21 I265:I277 I133:I142">
    <cfRule type="duplicateValues" dxfId="5" priority="157"/>
    <cfRule type="duplicateValues" dxfId="4" priority="158"/>
  </conditionalFormatting>
  <pageMargins left="0.70833333333333304" right="0.70833333333333304" top="0.74861111111111101" bottom="0.74861111111111101" header="0.31527777777777799" footer="0.31527777777777799"/>
  <pageSetup paperSize="9" fitToHeight="0" orientation="landscape" horizontalDpi="300" verticalDpi="300"/>
  <headerFooter>
    <oddHeader>&amp;C&amp;"Times New Roman,Bold"&amp;12COLLEGE OF ENGINEERING             
DRAFT EXAMINATION TIMETABLE FOR THE SECOND SEMESTER, 2025/2026 ACADEMIC YEAR</oddHeader>
    <oddFooter>&amp;C&amp;"Times New Roman,Regular"&amp;18&amp;Kff0000For computer based exams, venues will be communicated.</oddFooter>
  </headerFooter>
  <rowBreaks count="44" manualBreakCount="44">
    <brk id="11" max="16383" man="1"/>
    <brk id="30" max="16383" man="1"/>
    <brk id="43" max="16383" man="1"/>
    <brk id="62" max="16383" man="1"/>
    <brk id="80" max="16383" man="1"/>
    <brk id="94" max="16383" man="1"/>
    <brk id="107" max="16383" man="1"/>
    <brk id="122" max="16383" man="1"/>
    <brk id="135" max="16383" man="1"/>
    <brk id="152" max="16383" man="1"/>
    <brk id="165" max="16383" man="1"/>
    <brk id="181" max="16383" man="1"/>
    <brk id="198" max="16383" man="1"/>
    <brk id="209" max="16383" man="1"/>
    <brk id="221" max="16383" man="1"/>
    <brk id="240" max="16383" man="1"/>
    <brk id="255" max="16383" man="1"/>
    <brk id="269" max="16383" man="1"/>
    <brk id="283" max="16383" man="1"/>
    <brk id="299" max="16383" man="1"/>
    <brk id="312" max="16383" man="1"/>
    <brk id="338" max="16383" man="1"/>
    <brk id="353" max="16383" man="1"/>
    <brk id="366" max="16383" man="1"/>
    <brk id="378" max="16383" man="1"/>
    <brk id="394" max="16383" man="1"/>
    <brk id="409" max="16383" man="1"/>
    <brk id="426" max="16383" man="1"/>
    <brk id="450" max="16383" man="1"/>
    <brk id="467" max="16383" man="1"/>
    <brk id="483" max="16383" man="1"/>
    <brk id="497" max="16383" man="1"/>
    <brk id="518" max="16383" man="1"/>
    <brk id="534" max="16383" man="1"/>
    <brk id="551" max="16383" man="1"/>
    <brk id="570" max="16383" man="1"/>
    <brk id="583" max="16383" man="1"/>
    <brk id="594" max="16383" man="1"/>
    <brk id="607" max="16383" man="1"/>
    <brk id="623" max="16383" man="1"/>
    <brk id="641" max="16383" man="1"/>
    <brk id="659" max="16383" man="1"/>
    <brk id="672" max="16383" man="1"/>
    <brk id="686" max="16383" man="1"/>
  </rowBreaks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75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6" sqref="A26"/>
    </sheetView>
  </sheetViews>
  <sheetFormatPr defaultColWidth="8.58203125" defaultRowHeight="14" x14ac:dyDescent="0.3"/>
  <cols>
    <col min="1" max="1" width="9.6640625" customWidth="1"/>
    <col min="2" max="4" width="2.75" style="197" customWidth="1"/>
    <col min="5" max="7" width="2.75" customWidth="1"/>
    <col min="8" max="10" width="2.75" style="198" customWidth="1"/>
    <col min="11" max="13" width="2.75" customWidth="1"/>
    <col min="14" max="16" width="2.75" style="198" customWidth="1"/>
    <col min="17" max="19" width="2.75" style="197" customWidth="1"/>
    <col min="20" max="22" width="2.75" style="198" customWidth="1"/>
    <col min="23" max="25" width="2.75" customWidth="1"/>
    <col min="26" max="28" width="2.75" style="198" customWidth="1"/>
    <col min="29" max="30" width="2.75" customWidth="1"/>
    <col min="31" max="31" width="2.5" customWidth="1"/>
    <col min="32" max="34" width="2.75" style="197" customWidth="1"/>
    <col min="35" max="37" width="2.75" customWidth="1"/>
    <col min="38" max="40" width="2.75" style="198" customWidth="1"/>
    <col min="41" max="43" width="2.75" customWidth="1"/>
    <col min="44" max="46" width="2.75" style="198" customWidth="1"/>
    <col min="47" max="47" width="9" customWidth="1"/>
    <col min="48" max="48" width="3.6640625" customWidth="1"/>
    <col min="49" max="49" width="3.25" customWidth="1"/>
    <col min="50" max="50" width="3.1640625" customWidth="1"/>
    <col min="51" max="51" width="3.75" customWidth="1"/>
    <col min="52" max="52" width="3" customWidth="1"/>
    <col min="53" max="53" width="3.6640625" customWidth="1"/>
    <col min="54" max="54" width="3.25" customWidth="1"/>
    <col min="55" max="55" width="3.1640625" customWidth="1"/>
    <col min="56" max="56" width="3.75" customWidth="1"/>
    <col min="57" max="57" width="3" customWidth="1"/>
    <col min="58" max="58" width="3.6640625" customWidth="1"/>
    <col min="59" max="59" width="3.25" customWidth="1"/>
    <col min="60" max="60" width="3.1640625" customWidth="1"/>
    <col min="61" max="61" width="3.75" customWidth="1"/>
    <col min="62" max="62" width="3" customWidth="1"/>
  </cols>
  <sheetData>
    <row r="1" spans="1:63" x14ac:dyDescent="0.3">
      <c r="B1" s="3" t="s">
        <v>964</v>
      </c>
      <c r="C1" s="3"/>
      <c r="D1" s="3"/>
      <c r="E1" s="2" t="s">
        <v>965</v>
      </c>
      <c r="F1" s="2"/>
      <c r="G1" s="2"/>
      <c r="H1" s="1" t="s">
        <v>966</v>
      </c>
      <c r="I1" s="1"/>
      <c r="J1" s="1"/>
      <c r="K1" s="2" t="s">
        <v>967</v>
      </c>
      <c r="L1" s="2"/>
      <c r="M1" s="2"/>
      <c r="N1" s="1" t="s">
        <v>968</v>
      </c>
      <c r="O1" s="1"/>
      <c r="P1" s="1"/>
      <c r="Q1" s="3" t="s">
        <v>969</v>
      </c>
      <c r="R1" s="3"/>
      <c r="S1" s="3"/>
      <c r="T1" s="1" t="s">
        <v>970</v>
      </c>
      <c r="U1" s="1"/>
      <c r="V1" s="1"/>
      <c r="W1" s="2" t="s">
        <v>971</v>
      </c>
      <c r="X1" s="2"/>
      <c r="Y1" s="2"/>
      <c r="Z1" s="1" t="s">
        <v>972</v>
      </c>
      <c r="AA1" s="1"/>
      <c r="AB1" s="1"/>
      <c r="AC1" s="2" t="s">
        <v>973</v>
      </c>
      <c r="AD1" s="2"/>
      <c r="AE1" s="2"/>
      <c r="AF1" s="3" t="s">
        <v>974</v>
      </c>
      <c r="AG1" s="3"/>
      <c r="AH1" s="3"/>
      <c r="AI1" s="2" t="s">
        <v>975</v>
      </c>
      <c r="AJ1" s="2"/>
      <c r="AK1" s="2"/>
      <c r="AL1" s="1" t="s">
        <v>976</v>
      </c>
      <c r="AM1" s="1"/>
      <c r="AN1" s="1"/>
      <c r="AO1" s="2" t="s">
        <v>977</v>
      </c>
      <c r="AP1" s="2"/>
      <c r="AQ1" s="2"/>
      <c r="AR1" s="1" t="s">
        <v>978</v>
      </c>
      <c r="AS1" s="1"/>
      <c r="AT1" s="1"/>
    </row>
    <row r="2" spans="1:63" x14ac:dyDescent="0.3">
      <c r="B2" s="199" t="s">
        <v>979</v>
      </c>
      <c r="C2" s="199" t="s">
        <v>980</v>
      </c>
      <c r="D2" s="199" t="s">
        <v>981</v>
      </c>
      <c r="E2" s="200" t="s">
        <v>979</v>
      </c>
      <c r="F2" s="200" t="s">
        <v>980</v>
      </c>
      <c r="G2" s="200" t="s">
        <v>981</v>
      </c>
      <c r="H2" s="201" t="s">
        <v>979</v>
      </c>
      <c r="I2" s="201" t="s">
        <v>980</v>
      </c>
      <c r="J2" s="201" t="s">
        <v>981</v>
      </c>
      <c r="K2" s="200" t="s">
        <v>979</v>
      </c>
      <c r="L2" s="200" t="s">
        <v>980</v>
      </c>
      <c r="M2" s="200" t="s">
        <v>981</v>
      </c>
      <c r="N2" s="201" t="s">
        <v>979</v>
      </c>
      <c r="O2" s="201" t="s">
        <v>980</v>
      </c>
      <c r="P2" s="201" t="s">
        <v>981</v>
      </c>
      <c r="Q2" s="199" t="s">
        <v>979</v>
      </c>
      <c r="R2" s="199" t="s">
        <v>980</v>
      </c>
      <c r="S2" s="199" t="s">
        <v>981</v>
      </c>
      <c r="T2" s="201" t="s">
        <v>979</v>
      </c>
      <c r="U2" s="201" t="s">
        <v>980</v>
      </c>
      <c r="V2" s="201" t="s">
        <v>981</v>
      </c>
      <c r="W2" s="200" t="s">
        <v>979</v>
      </c>
      <c r="X2" s="200" t="s">
        <v>980</v>
      </c>
      <c r="Y2" s="200" t="s">
        <v>981</v>
      </c>
      <c r="Z2" s="201" t="s">
        <v>979</v>
      </c>
      <c r="AA2" s="201" t="s">
        <v>980</v>
      </c>
      <c r="AB2" s="201" t="s">
        <v>981</v>
      </c>
      <c r="AC2" s="200" t="s">
        <v>979</v>
      </c>
      <c r="AD2" s="200" t="s">
        <v>980</v>
      </c>
      <c r="AE2" s="200" t="s">
        <v>981</v>
      </c>
      <c r="AF2" s="199" t="s">
        <v>979</v>
      </c>
      <c r="AG2" s="199" t="s">
        <v>980</v>
      </c>
      <c r="AH2" s="199" t="s">
        <v>981</v>
      </c>
      <c r="AI2" s="200" t="s">
        <v>979</v>
      </c>
      <c r="AJ2" s="200" t="s">
        <v>980</v>
      </c>
      <c r="AK2" s="200" t="s">
        <v>981</v>
      </c>
      <c r="AL2" s="201" t="s">
        <v>979</v>
      </c>
      <c r="AM2" s="201" t="s">
        <v>980</v>
      </c>
      <c r="AN2" s="201" t="s">
        <v>981</v>
      </c>
      <c r="AO2" s="200" t="s">
        <v>979</v>
      </c>
      <c r="AP2" s="200" t="s">
        <v>980</v>
      </c>
      <c r="AQ2" s="200" t="s">
        <v>981</v>
      </c>
      <c r="AR2" s="201" t="s">
        <v>979</v>
      </c>
      <c r="AS2" s="201" t="s">
        <v>980</v>
      </c>
      <c r="AT2" s="201" t="s">
        <v>981</v>
      </c>
      <c r="AV2" s="202" t="s">
        <v>964</v>
      </c>
      <c r="AW2" s="202" t="s">
        <v>965</v>
      </c>
      <c r="AX2" s="202" t="s">
        <v>966</v>
      </c>
      <c r="AY2" s="202" t="s">
        <v>967</v>
      </c>
      <c r="AZ2" s="202" t="s">
        <v>968</v>
      </c>
      <c r="BA2" s="202" t="s">
        <v>969</v>
      </c>
      <c r="BB2" s="202" t="s">
        <v>970</v>
      </c>
      <c r="BC2" s="202" t="s">
        <v>971</v>
      </c>
      <c r="BD2" s="202" t="s">
        <v>972</v>
      </c>
      <c r="BE2" s="202" t="s">
        <v>973</v>
      </c>
      <c r="BF2" s="202" t="s">
        <v>974</v>
      </c>
      <c r="BG2" s="202" t="s">
        <v>975</v>
      </c>
      <c r="BH2" s="202" t="s">
        <v>976</v>
      </c>
      <c r="BI2" s="202" t="s">
        <v>977</v>
      </c>
      <c r="BJ2" s="202" t="s">
        <v>978</v>
      </c>
    </row>
    <row r="3" spans="1:63" x14ac:dyDescent="0.3">
      <c r="A3" s="203" t="s">
        <v>131</v>
      </c>
      <c r="B3" s="204">
        <f>COUNTIF(TT!$D$4:$D$9,TALLY!A3)</f>
        <v>0</v>
      </c>
      <c r="C3" s="204">
        <f>COUNTIF(TT!$D$15:$D$28,TALLY!A3)</f>
        <v>0</v>
      </c>
      <c r="D3" s="204">
        <f>COUNTIF(TT!$D$34:$D$41,TALLY!A3)</f>
        <v>0</v>
      </c>
      <c r="E3" s="202">
        <f>COUNTIF(TT!$D$47:$D$60,TALLY!A3)</f>
        <v>0</v>
      </c>
      <c r="F3" s="202">
        <f>COUNTIF(TT!$D$66:$D$79,TALLY!A3)</f>
        <v>0</v>
      </c>
      <c r="G3" s="202">
        <f>COUNTIF(TT!$D$84:$D$93,TALLY!A3)</f>
        <v>0</v>
      </c>
      <c r="H3" s="205">
        <f>COUNTIF(TT!$D$98:$D$106,TALLY!A3)</f>
        <v>0</v>
      </c>
      <c r="I3" s="205">
        <f>COUNTIF(TT!$D$111:$D$121,TALLY!A3)</f>
        <v>1</v>
      </c>
      <c r="J3" s="205">
        <f>COUNTIF(TT!$D$126:$D$134,TALLY!A3)</f>
        <v>0</v>
      </c>
      <c r="K3" s="202">
        <f>COUNTIF(TT!$D$139:$D$151,TALLY!A3)</f>
        <v>0</v>
      </c>
      <c r="L3" s="202">
        <f>COUNTIF(TT!$D$156:$D$164,TALLY!A3)</f>
        <v>0</v>
      </c>
      <c r="M3" s="202">
        <f>COUNTIF(TT!$D$169:$D$180,TALLY!A3)</f>
        <v>0</v>
      </c>
      <c r="N3" s="205">
        <f>COUNTIF(TT!$D$185:$D$197,TALLY!A3)</f>
        <v>1</v>
      </c>
      <c r="O3" s="205">
        <f>COUNTIF(TT!$D$202:$D$208,TALLY!A3)</f>
        <v>0</v>
      </c>
      <c r="P3" s="205">
        <f>COUNTIF(TT!$D$213:$D$220,TALLY!A3)</f>
        <v>0</v>
      </c>
      <c r="Q3" s="204">
        <f>COUNTIF(TT!$D$225:$D$239,TALLY!A3)</f>
        <v>0</v>
      </c>
      <c r="R3" s="204">
        <f>COUNTIF(TT!$D$244:$D$254,TALLY!A3)</f>
        <v>0</v>
      </c>
      <c r="S3" s="204">
        <f>COUNTIF(TT!$D$259:$D$268,TALLY!A3)</f>
        <v>0</v>
      </c>
      <c r="T3" s="205">
        <f>COUNTIF(TT!$D$271:$D$282,TALLY!A3)</f>
        <v>0</v>
      </c>
      <c r="U3" s="205">
        <f>COUNTIF(TT!$D$287:$D$298,TALLY!A3)</f>
        <v>1</v>
      </c>
      <c r="V3" s="205">
        <f>COUNTIF(TT!$D$303:$D$311,TALLY!A3)</f>
        <v>0</v>
      </c>
      <c r="W3" s="202">
        <f>COUNTIF(TT!$D$316:$D$337,TALLY!A3)</f>
        <v>0</v>
      </c>
      <c r="X3" s="202">
        <f>COUNTIF(TT!$D$342:$D$350,TALLY!A3)</f>
        <v>1</v>
      </c>
      <c r="Y3" s="202">
        <f>COUNTIF(TT!$D$357:$D$365,TALLY!A3)</f>
        <v>0</v>
      </c>
      <c r="Z3" s="205">
        <f>COUNTIF(TT!$D$370:$D$377,TALLY!A3)</f>
        <v>0</v>
      </c>
      <c r="AA3" s="205">
        <f>COUNTIF(TT!$D$382:$D$393,TALLY!A3)</f>
        <v>0</v>
      </c>
      <c r="AB3" s="205">
        <f>COUNTIF(TT!$D$398:$D$408,TALLY!A3)</f>
        <v>0</v>
      </c>
      <c r="AC3" s="202">
        <f>COUNTIF(TT!$D$413:$D$425,TALLY!A3)</f>
        <v>1</v>
      </c>
      <c r="AD3" s="202">
        <f>COUNTIF(TT!$D$430:$D$433,TALLY!A3)</f>
        <v>0</v>
      </c>
      <c r="AE3" s="202">
        <f>COUNTIF(TT!$D$454:$D$466,TALLY!A3)</f>
        <v>0</v>
      </c>
      <c r="AF3" s="204">
        <f>COUNTIF(TT!$D$471:$D$480,TALLY!A3)</f>
        <v>1</v>
      </c>
      <c r="AG3" s="204">
        <f>COUNTIF(TT!$D$487:$D$496,TALLY!A3)</f>
        <v>0</v>
      </c>
      <c r="AH3" s="204">
        <f>COUNTIF(TT!$D$501:$D$517,TALLY!A3)</f>
        <v>0</v>
      </c>
      <c r="AI3" s="202">
        <f>COUNTIF(TT!$D$522:$D$533,TALLY!A3)</f>
        <v>0</v>
      </c>
      <c r="AJ3" s="202">
        <f>COUNTIF(TT!$D$538:$D$550,TALLY!A3)</f>
        <v>0</v>
      </c>
      <c r="AK3" s="202">
        <f>COUNTIF(TT!$D$555:$D$569,TALLY!A3)</f>
        <v>0</v>
      </c>
      <c r="AL3" s="205">
        <f>COUNTIF(TT!$D$574:$D$582,TALLY!A3)</f>
        <v>1</v>
      </c>
      <c r="AM3" s="205">
        <f>COUNTIF(TT!$D$587:$D$593,TALLY!A3)</f>
        <v>0</v>
      </c>
      <c r="AN3" s="205">
        <f>COUNTIF(TT!$D$598:$D$606,TALLY!A3)</f>
        <v>0</v>
      </c>
      <c r="AO3" s="202">
        <f>COUNTIF(TT!$D$611:$D$620,TALLY!A3)</f>
        <v>0</v>
      </c>
      <c r="AP3" s="202">
        <f>COUNTIF(TT!$D$627:$D$639,TALLY!A3)</f>
        <v>0</v>
      </c>
      <c r="AQ3" s="202">
        <f>COUNTIF(TT!$D$645:$D$657,TALLY!A3)</f>
        <v>0</v>
      </c>
      <c r="AR3" s="205">
        <f>COUNTIF(TT!$D$663:$D$671,TALLY!A3)</f>
        <v>1</v>
      </c>
      <c r="AS3" s="205">
        <f>COUNTIF(TT!$D$677:$D$685,TALLY!A3)</f>
        <v>0</v>
      </c>
      <c r="AT3" s="205">
        <f>COUNTIF(TT!$D$689:$D$698,TALLY!A3)</f>
        <v>0</v>
      </c>
      <c r="AU3" s="206" t="s">
        <v>131</v>
      </c>
      <c r="AV3" s="202">
        <f t="shared" ref="AV3:AV34" si="0">SUM($B3:$D3)</f>
        <v>0</v>
      </c>
      <c r="AW3" s="202">
        <f t="shared" ref="AW3:AW34" si="1">SUM($E3:$G3)</f>
        <v>0</v>
      </c>
      <c r="AX3" s="202">
        <f t="shared" ref="AX3:AX34" si="2">SUM($H3:$J3)</f>
        <v>1</v>
      </c>
      <c r="AY3" s="202">
        <f t="shared" ref="AY3:AY34" si="3">SUM($K3:$M3)</f>
        <v>0</v>
      </c>
      <c r="AZ3" s="202">
        <f t="shared" ref="AZ3:AZ34" si="4">SUM($N3:$P3)</f>
        <v>1</v>
      </c>
      <c r="BA3" s="202">
        <f t="shared" ref="BA3:BA34" si="5">SUM($Q3:$S3)</f>
        <v>0</v>
      </c>
      <c r="BB3" s="202">
        <f t="shared" ref="BB3:BB34" si="6">SUM($T3:$V3)</f>
        <v>1</v>
      </c>
      <c r="BC3" s="202">
        <f t="shared" ref="BC3:BC34" si="7">SUM($W3:$Y3)</f>
        <v>1</v>
      </c>
      <c r="BD3" s="202">
        <f>SUM($Z3:$AB3)</f>
        <v>0</v>
      </c>
      <c r="BE3" s="202">
        <f t="shared" ref="BE3:BE34" si="8">SUM($AC3:$AE3)</f>
        <v>1</v>
      </c>
      <c r="BF3" s="202">
        <f t="shared" ref="BF3:BF34" si="9">SUM($AF3:$AH3)</f>
        <v>1</v>
      </c>
      <c r="BG3" s="202">
        <f t="shared" ref="BG3:BG34" si="10">SUM($AI3:$AK3)</f>
        <v>0</v>
      </c>
      <c r="BH3" s="202">
        <f t="shared" ref="BH3:BH34" si="11">SUM($AL3:$AN3)</f>
        <v>1</v>
      </c>
      <c r="BI3" s="202">
        <f t="shared" ref="BI3:BI34" si="12">SUM($AO3:$AQ3)</f>
        <v>0</v>
      </c>
      <c r="BJ3" s="202">
        <f t="shared" ref="BJ3:BJ34" si="13">SUM($AR3:$AT3)</f>
        <v>1</v>
      </c>
      <c r="BK3">
        <f t="shared" ref="BK3:BK34" si="14">SUM(AV3:BJ3)</f>
        <v>8</v>
      </c>
    </row>
    <row r="4" spans="1:63" x14ac:dyDescent="0.3">
      <c r="A4" s="203" t="s">
        <v>191</v>
      </c>
      <c r="B4" s="204">
        <f>COUNTIF(TT!$D$4:$D$9,TALLY!A4)</f>
        <v>0</v>
      </c>
      <c r="C4" s="204">
        <f>COUNTIF(TT!$D$15:$D$28,TALLY!A4)</f>
        <v>0</v>
      </c>
      <c r="D4" s="204">
        <f>COUNTIF(TT!$D$34:$D$41,TALLY!A4)</f>
        <v>0</v>
      </c>
      <c r="E4" s="202">
        <f>COUNTIF(TT!$D$47:$D$60,TALLY!A4)</f>
        <v>0</v>
      </c>
      <c r="F4" s="202">
        <f>COUNTIF(TT!$D$66:$D$79,TALLY!A4)</f>
        <v>0</v>
      </c>
      <c r="G4" s="202">
        <f>COUNTIF(TT!$D$84:$D$93,TALLY!A4)</f>
        <v>0</v>
      </c>
      <c r="H4" s="205">
        <f>COUNTIF(TT!$D$98:$D$106,TALLY!A4)</f>
        <v>0</v>
      </c>
      <c r="I4" s="205">
        <f>COUNTIF(TT!$D$111:$D$121,TALLY!A4)</f>
        <v>0</v>
      </c>
      <c r="J4" s="205">
        <f>COUNTIF(TT!$D$126:$D$134,TALLY!A4)</f>
        <v>0</v>
      </c>
      <c r="K4" s="202">
        <f>COUNTIF(TT!$D$139:$D$151,TALLY!A4)</f>
        <v>1</v>
      </c>
      <c r="L4" s="202">
        <f>COUNTIF(TT!$D$156:$D$164,TALLY!A4)</f>
        <v>0</v>
      </c>
      <c r="M4" s="202">
        <f>COUNTIF(TT!$D$169:$D$180,TALLY!A4)</f>
        <v>0</v>
      </c>
      <c r="N4" s="205">
        <f>COUNTIF(TT!$D$185:$D$197,TALLY!A4)</f>
        <v>0</v>
      </c>
      <c r="O4" s="205">
        <f>COUNTIF(TT!$D$202:$D$208,TALLY!A4)</f>
        <v>0</v>
      </c>
      <c r="P4" s="205">
        <f>COUNTIF(TT!$D$213:$D$220,TALLY!A4)</f>
        <v>0</v>
      </c>
      <c r="Q4" s="204">
        <f>COUNTIF(TT!$D$225:$D$239,TALLY!A4)</f>
        <v>0</v>
      </c>
      <c r="R4" s="204">
        <f>COUNTIF(TT!$D$244:$D$254,TALLY!A4)</f>
        <v>0</v>
      </c>
      <c r="S4" s="204">
        <f>COUNTIF(TT!$D$259:$D$268,TALLY!A4)</f>
        <v>1</v>
      </c>
      <c r="T4" s="205">
        <f>COUNTIF(TT!$D$271:$D$282,TALLY!A4)</f>
        <v>0</v>
      </c>
      <c r="U4" s="205">
        <f>COUNTIF(TT!$D$287:$D$298,TALLY!A4)</f>
        <v>1</v>
      </c>
      <c r="V4" s="205">
        <f>COUNTIF(TT!$D$303:$D$311,TALLY!A4)</f>
        <v>0</v>
      </c>
      <c r="W4" s="202">
        <f>COUNTIF(TT!$D$316:$D$337,TALLY!A4)</f>
        <v>0</v>
      </c>
      <c r="X4" s="202">
        <f>COUNTIF(TT!$D$342:$D$350,TALLY!A4)</f>
        <v>0</v>
      </c>
      <c r="Y4" s="202">
        <f>COUNTIF(TT!$D$357:$D$365,TALLY!A4)</f>
        <v>0</v>
      </c>
      <c r="Z4" s="205">
        <f>COUNTIF(TT!$D$370:$D$377,TALLY!A4)</f>
        <v>0</v>
      </c>
      <c r="AA4" s="205">
        <f>COUNTIF(TT!$D$382:$D$393,TALLY!A4)</f>
        <v>0</v>
      </c>
      <c r="AB4" s="205">
        <f>COUNTIF(TT!$D$398:$D$408,TALLY!A4)</f>
        <v>0</v>
      </c>
      <c r="AC4" s="202">
        <f>COUNTIF(TT!$D$413:$D$425,TALLY!A4)</f>
        <v>1</v>
      </c>
      <c r="AD4" s="202">
        <f>COUNTIF(TT!$D$430:$D$433,TALLY!A4)</f>
        <v>0</v>
      </c>
      <c r="AE4" s="202">
        <f>COUNTIF(TT!$D$454:$D$466,TALLY!A4)</f>
        <v>0</v>
      </c>
      <c r="AF4" s="204">
        <f>COUNTIF(TT!$D$471:$D$480,TALLY!A4)</f>
        <v>0</v>
      </c>
      <c r="AG4" s="204">
        <f>COUNTIF(TT!$D$487:$D$496,TALLY!A4)</f>
        <v>0</v>
      </c>
      <c r="AH4" s="204">
        <f>COUNTIF(TT!$D$501:$D$517,TALLY!A4)</f>
        <v>0</v>
      </c>
      <c r="AI4" s="202">
        <f>COUNTIF(TT!$D$522:$D$533,TALLY!A4)</f>
        <v>0</v>
      </c>
      <c r="AJ4" s="202">
        <f>COUNTIF(TT!$D$538:$D$550,TALLY!A4)</f>
        <v>1</v>
      </c>
      <c r="AK4" s="202">
        <f>COUNTIF(TT!$D$555:$D$569,TALLY!A4)</f>
        <v>0</v>
      </c>
      <c r="AL4" s="205">
        <f>COUNTIF(TT!$D$574:$D$582,TALLY!A4)</f>
        <v>0</v>
      </c>
      <c r="AM4" s="205">
        <f>COUNTIF(TT!$D$587:$D$593,TALLY!A4)</f>
        <v>0</v>
      </c>
      <c r="AN4" s="205">
        <f>COUNTIF(TT!$D$598:$D$606,TALLY!A4)</f>
        <v>0</v>
      </c>
      <c r="AO4" s="202">
        <f>COUNTIF(TT!$D$611:$D$620,TALLY!A4)</f>
        <v>1</v>
      </c>
      <c r="AP4" s="202">
        <f>COUNTIF(TT!$D$627:$D$639,TALLY!A4)</f>
        <v>0</v>
      </c>
      <c r="AQ4" s="202">
        <f>COUNTIF(TT!$D$645:$D$657,TALLY!A4)</f>
        <v>0</v>
      </c>
      <c r="AR4" s="205">
        <f>COUNTIF(TT!$D$663:$D$671,TALLY!A4)</f>
        <v>1</v>
      </c>
      <c r="AS4" s="205">
        <f>COUNTIF(TT!$D$677:$D$685,TALLY!A4)</f>
        <v>0</v>
      </c>
      <c r="AT4" s="205">
        <f>COUNTIF(TT!$D$689:$D$698,TALLY!A4)</f>
        <v>0</v>
      </c>
      <c r="AU4" s="203" t="s">
        <v>191</v>
      </c>
      <c r="AV4" s="202">
        <f t="shared" si="0"/>
        <v>0</v>
      </c>
      <c r="AW4" s="202">
        <f t="shared" si="1"/>
        <v>0</v>
      </c>
      <c r="AX4" s="202">
        <f t="shared" si="2"/>
        <v>0</v>
      </c>
      <c r="AY4" s="202">
        <f t="shared" si="3"/>
        <v>1</v>
      </c>
      <c r="AZ4" s="202">
        <f t="shared" si="4"/>
        <v>0</v>
      </c>
      <c r="BA4" s="202">
        <f t="shared" si="5"/>
        <v>1</v>
      </c>
      <c r="BB4" s="202">
        <f t="shared" si="6"/>
        <v>1</v>
      </c>
      <c r="BC4" s="202">
        <f t="shared" si="7"/>
        <v>0</v>
      </c>
      <c r="BD4" s="202">
        <v>0</v>
      </c>
      <c r="BE4" s="202">
        <f t="shared" si="8"/>
        <v>1</v>
      </c>
      <c r="BF4" s="202">
        <f t="shared" si="9"/>
        <v>0</v>
      </c>
      <c r="BG4" s="202">
        <f t="shared" si="10"/>
        <v>1</v>
      </c>
      <c r="BH4" s="202">
        <f t="shared" si="11"/>
        <v>0</v>
      </c>
      <c r="BI4" s="202">
        <f t="shared" si="12"/>
        <v>1</v>
      </c>
      <c r="BJ4" s="202">
        <f t="shared" si="13"/>
        <v>1</v>
      </c>
      <c r="BK4">
        <f t="shared" si="14"/>
        <v>7</v>
      </c>
    </row>
    <row r="5" spans="1:63" x14ac:dyDescent="0.3">
      <c r="A5" s="203" t="s">
        <v>162</v>
      </c>
      <c r="B5" s="204">
        <f>COUNTIF(TT!$D$4:$D$9,TALLY!A5)</f>
        <v>0</v>
      </c>
      <c r="C5" s="204">
        <f>COUNTIF(TT!$D$15:$D$28,TALLY!A5)</f>
        <v>0</v>
      </c>
      <c r="D5" s="204">
        <f>COUNTIF(TT!$D$34:$D$41,TALLY!A5)</f>
        <v>0</v>
      </c>
      <c r="E5" s="202">
        <f>COUNTIF(TT!$D$47:$D$60,TALLY!A5)</f>
        <v>0</v>
      </c>
      <c r="F5" s="202">
        <f>COUNTIF(TT!$D$66:$D$79,TALLY!A5)</f>
        <v>0</v>
      </c>
      <c r="G5" s="202">
        <f>COUNTIF(TT!$D$84:$D$93,TALLY!A5)</f>
        <v>0</v>
      </c>
      <c r="H5" s="205">
        <f>COUNTIF(TT!$D$98:$D$106,TALLY!A5)</f>
        <v>0</v>
      </c>
      <c r="I5" s="205">
        <f>COUNTIF(TT!$D$111:$D$121,TALLY!A5)</f>
        <v>1</v>
      </c>
      <c r="J5" s="205">
        <f>COUNTIF(TT!$D$126:$D$134,TALLY!A5)</f>
        <v>0</v>
      </c>
      <c r="K5" s="202">
        <f>COUNTIF(TT!$D$139:$D$151,TALLY!A5)</f>
        <v>0</v>
      </c>
      <c r="L5" s="202">
        <f>COUNTIF(TT!$D$156:$D$164,TALLY!A5)</f>
        <v>0</v>
      </c>
      <c r="M5" s="202">
        <f>COUNTIF(TT!$D$169:$D$180,TALLY!A5)</f>
        <v>0</v>
      </c>
      <c r="N5" s="205">
        <f>COUNTIF(TT!$D$185:$D$197,TALLY!A5)</f>
        <v>0</v>
      </c>
      <c r="O5" s="205">
        <f>COUNTIF(TT!$D$202:$D$208,TALLY!A5)</f>
        <v>0</v>
      </c>
      <c r="P5" s="205">
        <f>COUNTIF(TT!$D$213:$D$220,TALLY!A5)</f>
        <v>0</v>
      </c>
      <c r="Q5" s="204">
        <f>COUNTIF(TT!$D$225:$D$239,TALLY!A5)</f>
        <v>0</v>
      </c>
      <c r="R5" s="204">
        <f>COUNTIF(TT!$D$244:$D$254,TALLY!A5)</f>
        <v>0</v>
      </c>
      <c r="S5" s="204">
        <f>COUNTIF(TT!$D$259:$D$268,TALLY!A5)</f>
        <v>0</v>
      </c>
      <c r="T5" s="205">
        <f>COUNTIF(TT!$D$271:$D$282,TALLY!A5)</f>
        <v>0</v>
      </c>
      <c r="U5" s="205">
        <f>COUNTIF(TT!$D$287:$D$298,TALLY!A5)</f>
        <v>1</v>
      </c>
      <c r="V5" s="205">
        <f>COUNTIF(TT!$D$303:$D$311,TALLY!A5)</f>
        <v>0</v>
      </c>
      <c r="W5" s="202">
        <f>COUNTIF(TT!$D$316:$D$337,TALLY!A5)</f>
        <v>0</v>
      </c>
      <c r="X5" s="202">
        <f>COUNTIF(TT!$D$342:$D$350,TALLY!A5)</f>
        <v>0</v>
      </c>
      <c r="Y5" s="202">
        <f>COUNTIF(TT!$D$357:$D$365,TALLY!A5)</f>
        <v>0</v>
      </c>
      <c r="Z5" s="205">
        <f>COUNTIF(TT!$D$370:$D$377,TALLY!A5)</f>
        <v>0</v>
      </c>
      <c r="AA5" s="205">
        <f>COUNTIF(TT!$D$382:$D$393,TALLY!A5)</f>
        <v>0</v>
      </c>
      <c r="AB5" s="205">
        <f>COUNTIF(TT!$D$398:$D$408,TALLY!A5)</f>
        <v>0</v>
      </c>
      <c r="AC5" s="202">
        <f>COUNTIF(TT!$D$413:$D$425,TALLY!A5)</f>
        <v>0</v>
      </c>
      <c r="AD5" s="202">
        <f>COUNTIF(TT!$D$430:$D$433,TALLY!A5)</f>
        <v>1</v>
      </c>
      <c r="AE5" s="202">
        <f>COUNTIF(TT!$D$454:$D$466,TALLY!A5)</f>
        <v>0</v>
      </c>
      <c r="AF5" s="204">
        <f>COUNTIF(TT!$D$471:$D$480,TALLY!A5)</f>
        <v>1</v>
      </c>
      <c r="AG5" s="204">
        <f>COUNTIF(TT!$D$487:$D$496,TALLY!A5)</f>
        <v>0</v>
      </c>
      <c r="AH5" s="204">
        <f>COUNTIF(TT!$D$501:$D$517,TALLY!A5)</f>
        <v>0</v>
      </c>
      <c r="AI5" s="202">
        <f>COUNTIF(TT!$D$522:$D$533,TALLY!A5)</f>
        <v>1</v>
      </c>
      <c r="AJ5" s="202">
        <f>COUNTIF(TT!$D$538:$D$550,TALLY!A5)</f>
        <v>0</v>
      </c>
      <c r="AK5" s="202">
        <f>COUNTIF(TT!$D$555:$D$569,TALLY!A5)</f>
        <v>0</v>
      </c>
      <c r="AL5" s="205">
        <f>COUNTIF(TT!$D$574:$D$582,TALLY!A5)</f>
        <v>0</v>
      </c>
      <c r="AM5" s="205">
        <f>COUNTIF(TT!$D$587:$D$593,TALLY!A5)</f>
        <v>0</v>
      </c>
      <c r="AN5" s="205">
        <f>COUNTIF(TT!$D$598:$D$606,TALLY!A5)</f>
        <v>0</v>
      </c>
      <c r="AO5" s="202">
        <f>COUNTIF(TT!$D$611:$D$620,TALLY!A5)</f>
        <v>1</v>
      </c>
      <c r="AP5" s="202">
        <f>COUNTIF(TT!$D$627:$D$639,TALLY!A5)</f>
        <v>0</v>
      </c>
      <c r="AQ5" s="202">
        <f>COUNTIF(TT!$D$645:$D$657,TALLY!A5)</f>
        <v>0</v>
      </c>
      <c r="AR5" s="205">
        <f>COUNTIF(TT!$D$663:$D$671,TALLY!A5)</f>
        <v>0</v>
      </c>
      <c r="AS5" s="205">
        <f>COUNTIF(TT!$D$677:$D$685,TALLY!A5)</f>
        <v>1</v>
      </c>
      <c r="AT5" s="205">
        <f>COUNTIF(TT!$D$689:$D$698,TALLY!A5)</f>
        <v>0</v>
      </c>
      <c r="AU5" s="203" t="s">
        <v>162</v>
      </c>
      <c r="AV5" s="202">
        <f t="shared" si="0"/>
        <v>0</v>
      </c>
      <c r="AW5" s="202">
        <f t="shared" si="1"/>
        <v>0</v>
      </c>
      <c r="AX5" s="202">
        <f t="shared" si="2"/>
        <v>1</v>
      </c>
      <c r="AY5" s="202">
        <f t="shared" si="3"/>
        <v>0</v>
      </c>
      <c r="AZ5" s="202">
        <f t="shared" si="4"/>
        <v>0</v>
      </c>
      <c r="BA5" s="202">
        <f t="shared" si="5"/>
        <v>0</v>
      </c>
      <c r="BB5" s="202">
        <f t="shared" si="6"/>
        <v>1</v>
      </c>
      <c r="BC5" s="202">
        <f t="shared" si="7"/>
        <v>0</v>
      </c>
      <c r="BD5" s="202">
        <f t="shared" ref="BD5:BD36" si="15">SUM($Z5:$AB5)</f>
        <v>0</v>
      </c>
      <c r="BE5" s="202">
        <f t="shared" si="8"/>
        <v>1</v>
      </c>
      <c r="BF5" s="202">
        <f t="shared" si="9"/>
        <v>1</v>
      </c>
      <c r="BG5" s="202">
        <f t="shared" si="10"/>
        <v>1</v>
      </c>
      <c r="BH5" s="202">
        <f t="shared" si="11"/>
        <v>0</v>
      </c>
      <c r="BI5" s="202">
        <f t="shared" si="12"/>
        <v>1</v>
      </c>
      <c r="BJ5" s="202">
        <f t="shared" si="13"/>
        <v>1</v>
      </c>
      <c r="BK5">
        <f t="shared" si="14"/>
        <v>7</v>
      </c>
    </row>
    <row r="6" spans="1:63" x14ac:dyDescent="0.3">
      <c r="A6" s="203" t="s">
        <v>130</v>
      </c>
      <c r="B6" s="204">
        <f>COUNTIF(TT!$D$4:$D$9,TALLY!A6)</f>
        <v>0</v>
      </c>
      <c r="C6" s="204">
        <f>COUNTIF(TT!$D$15:$D$28,TALLY!A6)</f>
        <v>0</v>
      </c>
      <c r="D6" s="204">
        <f>COUNTIF(TT!$D$34:$D$41,TALLY!A6)</f>
        <v>0</v>
      </c>
      <c r="E6" s="202">
        <f>COUNTIF(TT!$D$47:$D$60,TALLY!A6)</f>
        <v>0</v>
      </c>
      <c r="F6" s="202">
        <f>COUNTIF(TT!$D$66:$D$79,TALLY!A6)</f>
        <v>0</v>
      </c>
      <c r="G6" s="202">
        <f>COUNTIF(TT!$D$84:$D$93,TALLY!A6)</f>
        <v>1</v>
      </c>
      <c r="H6" s="205">
        <f>COUNTIF(TT!$D$98:$D$106,TALLY!A6)</f>
        <v>0</v>
      </c>
      <c r="I6" s="205">
        <f>COUNTIF(TT!$D$111:$D$121,TALLY!A6)</f>
        <v>0</v>
      </c>
      <c r="J6" s="205">
        <f>COUNTIF(TT!$D$126:$D$134,TALLY!A6)</f>
        <v>0</v>
      </c>
      <c r="K6" s="202">
        <f>COUNTIF(TT!$D$139:$D$151,TALLY!A6)</f>
        <v>0</v>
      </c>
      <c r="L6" s="202">
        <f>COUNTIF(TT!$D$156:$D$164,TALLY!A6)</f>
        <v>1</v>
      </c>
      <c r="M6" s="202">
        <f>COUNTIF(TT!$D$169:$D$180,TALLY!A6)</f>
        <v>0</v>
      </c>
      <c r="N6" s="205">
        <f>COUNTIF(TT!$D$185:$D$197,TALLY!A6)</f>
        <v>0</v>
      </c>
      <c r="O6" s="205">
        <f>COUNTIF(TT!$D$202:$D$208,TALLY!A6)</f>
        <v>0</v>
      </c>
      <c r="P6" s="205">
        <f>COUNTIF(TT!$D$213:$D$220,TALLY!A6)</f>
        <v>0</v>
      </c>
      <c r="Q6" s="204">
        <f>COUNTIF(TT!$D$225:$D$239,TALLY!A6)</f>
        <v>0</v>
      </c>
      <c r="R6" s="204">
        <f>COUNTIF(TT!$D$244:$D$254,TALLY!A6)</f>
        <v>1</v>
      </c>
      <c r="S6" s="204">
        <f>COUNTIF(TT!$D$259:$D$268,TALLY!A6)</f>
        <v>0</v>
      </c>
      <c r="T6" s="205">
        <f>COUNTIF(TT!$D$271:$D$282,TALLY!A6)</f>
        <v>0</v>
      </c>
      <c r="U6" s="205">
        <f>COUNTIF(TT!$D$287:$D$298,TALLY!A6)</f>
        <v>0</v>
      </c>
      <c r="V6" s="205">
        <f>COUNTIF(TT!$D$303:$D$311,TALLY!A6)</f>
        <v>0</v>
      </c>
      <c r="W6" s="202">
        <f>COUNTIF(TT!$D$316:$D$337,TALLY!A6)</f>
        <v>0</v>
      </c>
      <c r="X6" s="202">
        <f>COUNTIF(TT!$D$342:$D$350,TALLY!A6)</f>
        <v>1</v>
      </c>
      <c r="Y6" s="202">
        <f>COUNTIF(TT!$D$357:$D$365,TALLY!A6)</f>
        <v>0</v>
      </c>
      <c r="Z6" s="205">
        <f>COUNTIF(TT!$D$370:$D$377,TALLY!A6)</f>
        <v>0</v>
      </c>
      <c r="AA6" s="205">
        <f>COUNTIF(TT!$D$382:$D$393,TALLY!A6)</f>
        <v>0</v>
      </c>
      <c r="AB6" s="205">
        <f>COUNTIF(TT!$D$398:$D$408,TALLY!A6)</f>
        <v>0</v>
      </c>
      <c r="AC6" s="202">
        <f>COUNTIF(TT!$D$413:$D$425,TALLY!A6)</f>
        <v>1</v>
      </c>
      <c r="AD6" s="202">
        <f>COUNTIF(TT!$D$430:$D$433,TALLY!A6)</f>
        <v>0</v>
      </c>
      <c r="AE6" s="202">
        <f>COUNTIF(TT!$D$454:$D$466,TALLY!A6)</f>
        <v>0</v>
      </c>
      <c r="AF6" s="204">
        <f>COUNTIF(TT!$D$471:$D$480,TALLY!A6)</f>
        <v>0</v>
      </c>
      <c r="AG6" s="204">
        <f>COUNTIF(TT!$D$487:$D$496,TALLY!A6)</f>
        <v>0</v>
      </c>
      <c r="AH6" s="204">
        <f>COUNTIF(TT!$D$501:$D$517,TALLY!A6)</f>
        <v>0</v>
      </c>
      <c r="AI6" s="202">
        <f>COUNTIF(TT!$D$522:$D$533,TALLY!A6)</f>
        <v>1</v>
      </c>
      <c r="AJ6" s="202">
        <f>COUNTIF(TT!$D$538:$D$550,TALLY!A6)</f>
        <v>0</v>
      </c>
      <c r="AK6" s="202">
        <f>COUNTIF(TT!$D$555:$D$569,TALLY!A6)</f>
        <v>0</v>
      </c>
      <c r="AL6" s="205">
        <f>COUNTIF(TT!$D$574:$D$582,TALLY!A6)</f>
        <v>0</v>
      </c>
      <c r="AM6" s="205">
        <f>COUNTIF(TT!$D$587:$D$593,TALLY!A6)</f>
        <v>0</v>
      </c>
      <c r="AN6" s="205">
        <f>COUNTIF(TT!$D$598:$D$606,TALLY!A6)</f>
        <v>0</v>
      </c>
      <c r="AO6" s="202">
        <f>COUNTIF(TT!$D$611:$D$620,TALLY!A6)</f>
        <v>0</v>
      </c>
      <c r="AP6" s="202">
        <f>COUNTIF(TT!$D$627:$D$639,TALLY!A6)</f>
        <v>0</v>
      </c>
      <c r="AQ6" s="202">
        <f>COUNTIF(TT!$D$645:$D$657,TALLY!A6)</f>
        <v>0</v>
      </c>
      <c r="AR6" s="205">
        <f>COUNTIF(TT!$D$663:$D$671,TALLY!A6)</f>
        <v>1</v>
      </c>
      <c r="AS6" s="205">
        <f>COUNTIF(TT!$D$677:$D$685,TALLY!A6)</f>
        <v>0</v>
      </c>
      <c r="AT6" s="205">
        <f>COUNTIF(TT!$D$689:$D$698,TALLY!A6)</f>
        <v>0</v>
      </c>
      <c r="AU6" s="203" t="s">
        <v>130</v>
      </c>
      <c r="AV6" s="202">
        <f t="shared" si="0"/>
        <v>0</v>
      </c>
      <c r="AW6" s="202">
        <f t="shared" si="1"/>
        <v>1</v>
      </c>
      <c r="AX6" s="202">
        <f t="shared" si="2"/>
        <v>0</v>
      </c>
      <c r="AY6" s="202">
        <f t="shared" si="3"/>
        <v>1</v>
      </c>
      <c r="AZ6" s="202">
        <f t="shared" si="4"/>
        <v>0</v>
      </c>
      <c r="BA6" s="202">
        <f t="shared" si="5"/>
        <v>1</v>
      </c>
      <c r="BB6" s="202">
        <f t="shared" si="6"/>
        <v>0</v>
      </c>
      <c r="BC6" s="202">
        <f t="shared" si="7"/>
        <v>1</v>
      </c>
      <c r="BD6" s="202">
        <f t="shared" si="15"/>
        <v>0</v>
      </c>
      <c r="BE6" s="202">
        <f t="shared" si="8"/>
        <v>1</v>
      </c>
      <c r="BF6" s="202">
        <f t="shared" si="9"/>
        <v>0</v>
      </c>
      <c r="BG6" s="202">
        <f t="shared" si="10"/>
        <v>1</v>
      </c>
      <c r="BH6" s="202">
        <f t="shared" si="11"/>
        <v>0</v>
      </c>
      <c r="BI6" s="202">
        <f t="shared" si="12"/>
        <v>0</v>
      </c>
      <c r="BJ6" s="202">
        <f t="shared" si="13"/>
        <v>1</v>
      </c>
      <c r="BK6">
        <f t="shared" si="14"/>
        <v>7</v>
      </c>
    </row>
    <row r="7" spans="1:63" x14ac:dyDescent="0.3">
      <c r="A7" s="203" t="s">
        <v>75</v>
      </c>
      <c r="B7" s="204">
        <f>COUNTIF(TT!$D$4:$D$9,TALLY!A7)</f>
        <v>0</v>
      </c>
      <c r="C7" s="204">
        <f>COUNTIF(TT!$D$15:$D$28,TALLY!A7)</f>
        <v>1</v>
      </c>
      <c r="D7" s="204">
        <f>COUNTIF(TT!$D$34:$D$41,TALLY!A7)</f>
        <v>0</v>
      </c>
      <c r="E7" s="202">
        <f>COUNTIF(TT!$D$47:$D$60,TALLY!A7)</f>
        <v>1</v>
      </c>
      <c r="F7" s="202">
        <f>COUNTIF(TT!$D$66:$D$79,TALLY!A7)</f>
        <v>0</v>
      </c>
      <c r="G7" s="202">
        <f>COUNTIF(TT!$D$84:$D$93,TALLY!A7)</f>
        <v>0</v>
      </c>
      <c r="H7" s="205">
        <f>COUNTIF(TT!$D$98:$D$106,TALLY!A7)</f>
        <v>0</v>
      </c>
      <c r="I7" s="205">
        <f>COUNTIF(TT!$D$111:$D$121,TALLY!A7)</f>
        <v>0</v>
      </c>
      <c r="J7" s="205">
        <f>COUNTIF(TT!$D$126:$D$134,TALLY!A7)</f>
        <v>0</v>
      </c>
      <c r="K7" s="202">
        <f>COUNTIF(TT!$D$139:$D$151,TALLY!A7)</f>
        <v>0</v>
      </c>
      <c r="L7" s="202">
        <f>COUNTIF(TT!$D$156:$D$164,TALLY!A7)</f>
        <v>1</v>
      </c>
      <c r="M7" s="202">
        <f>COUNTIF(TT!$D$169:$D$180,TALLY!A7)</f>
        <v>0</v>
      </c>
      <c r="N7" s="205">
        <f>COUNTIF(TT!$D$185:$D$197,TALLY!A7)</f>
        <v>0</v>
      </c>
      <c r="O7" s="205">
        <f>COUNTIF(TT!$D$202:$D$208,TALLY!A7)</f>
        <v>1</v>
      </c>
      <c r="P7" s="205">
        <f>COUNTIF(TT!$D$213:$D$220,TALLY!A7)</f>
        <v>0</v>
      </c>
      <c r="Q7" s="204">
        <f>COUNTIF(TT!$D$225:$D$239,TALLY!A7)</f>
        <v>1</v>
      </c>
      <c r="R7" s="204">
        <f>COUNTIF(TT!$D$244:$D$254,TALLY!A7)</f>
        <v>0</v>
      </c>
      <c r="S7" s="204">
        <f>COUNTIF(TT!$D$259:$D$268,TALLY!A7)</f>
        <v>0</v>
      </c>
      <c r="T7" s="205">
        <f>COUNTIF(TT!$D$271:$D$282,TALLY!A7)</f>
        <v>0</v>
      </c>
      <c r="U7" s="205">
        <f>COUNTIF(TT!$D$287:$D$298,TALLY!A7)</f>
        <v>0</v>
      </c>
      <c r="V7" s="205">
        <f>COUNTIF(TT!$D$303:$D$311,TALLY!A7)</f>
        <v>0</v>
      </c>
      <c r="W7" s="202">
        <f>COUNTIF(TT!$D$316:$D$337,TALLY!A7)</f>
        <v>0</v>
      </c>
      <c r="X7" s="202">
        <f>COUNTIF(TT!$D$342:$D$350,TALLY!A7)</f>
        <v>0</v>
      </c>
      <c r="Y7" s="202">
        <f>COUNTIF(TT!$D$357:$D$365,TALLY!A7)</f>
        <v>0</v>
      </c>
      <c r="Z7" s="205">
        <f>COUNTIF(TT!$D$370:$D$377,TALLY!A7)</f>
        <v>0</v>
      </c>
      <c r="AA7" s="205">
        <f>COUNTIF(TT!$D$382:$D$393,TALLY!A7)</f>
        <v>0</v>
      </c>
      <c r="AB7" s="205">
        <f>COUNTIF(TT!$D$398:$D$408,TALLY!A7)</f>
        <v>0</v>
      </c>
      <c r="AC7" s="202">
        <f>COUNTIF(TT!$D$413:$D$425,TALLY!A7)</f>
        <v>1</v>
      </c>
      <c r="AD7" s="202">
        <f>COUNTIF(TT!$D$430:$D$433,TALLY!A7)</f>
        <v>0</v>
      </c>
      <c r="AE7" s="202">
        <f>COUNTIF(TT!$D$454:$D$466,TALLY!A7)</f>
        <v>0</v>
      </c>
      <c r="AF7" s="204">
        <f>COUNTIF(TT!$D$471:$D$480,TALLY!A7)</f>
        <v>0</v>
      </c>
      <c r="AG7" s="204">
        <f>COUNTIF(TT!$D$487:$D$496,TALLY!A7)</f>
        <v>0</v>
      </c>
      <c r="AH7" s="204">
        <f>COUNTIF(TT!$D$501:$D$517,TALLY!A7)</f>
        <v>1</v>
      </c>
      <c r="AI7" s="202">
        <f>COUNTIF(TT!$D$522:$D$533,TALLY!A7)</f>
        <v>0</v>
      </c>
      <c r="AJ7" s="202">
        <f>COUNTIF(TT!$D$538:$D$550,TALLY!A7)</f>
        <v>0</v>
      </c>
      <c r="AK7" s="202">
        <f>COUNTIF(TT!$D$555:$D$569,TALLY!A7)</f>
        <v>0</v>
      </c>
      <c r="AL7" s="205">
        <f>COUNTIF(TT!$D$574:$D$582,TALLY!A7)</f>
        <v>1</v>
      </c>
      <c r="AM7" s="205">
        <f>COUNTIF(TT!$D$587:$D$593,TALLY!A7)</f>
        <v>0</v>
      </c>
      <c r="AN7" s="205">
        <f>COUNTIF(TT!$D$598:$D$606,TALLY!A7)</f>
        <v>0</v>
      </c>
      <c r="AO7" s="202">
        <f>COUNTIF(TT!$D$611:$D$620,TALLY!A7)</f>
        <v>0</v>
      </c>
      <c r="AP7" s="202">
        <f>COUNTIF(TT!$D$627:$D$639,TALLY!A7)</f>
        <v>0</v>
      </c>
      <c r="AQ7" s="202">
        <f>COUNTIF(TT!$D$645:$D$657,TALLY!A7)</f>
        <v>0</v>
      </c>
      <c r="AR7" s="205">
        <f>COUNTIF(TT!$D$663:$D$671,TALLY!A7)</f>
        <v>1</v>
      </c>
      <c r="AS7" s="205">
        <f>COUNTIF(TT!$D$677:$D$685,TALLY!A7)</f>
        <v>0</v>
      </c>
      <c r="AT7" s="205">
        <f>COUNTIF(TT!$D$689:$D$698,TALLY!A7)</f>
        <v>0</v>
      </c>
      <c r="AU7" s="203" t="s">
        <v>75</v>
      </c>
      <c r="AV7" s="202">
        <f t="shared" si="0"/>
        <v>1</v>
      </c>
      <c r="AW7" s="202">
        <f t="shared" si="1"/>
        <v>1</v>
      </c>
      <c r="AX7" s="202">
        <f t="shared" si="2"/>
        <v>0</v>
      </c>
      <c r="AY7" s="202">
        <f t="shared" si="3"/>
        <v>1</v>
      </c>
      <c r="AZ7" s="202">
        <f t="shared" si="4"/>
        <v>1</v>
      </c>
      <c r="BA7" s="202">
        <f t="shared" si="5"/>
        <v>1</v>
      </c>
      <c r="BB7" s="202">
        <f t="shared" si="6"/>
        <v>0</v>
      </c>
      <c r="BC7" s="202">
        <f t="shared" si="7"/>
        <v>0</v>
      </c>
      <c r="BD7" s="202">
        <f t="shared" si="15"/>
        <v>0</v>
      </c>
      <c r="BE7" s="202">
        <f t="shared" si="8"/>
        <v>1</v>
      </c>
      <c r="BF7" s="202">
        <f t="shared" si="9"/>
        <v>1</v>
      </c>
      <c r="BG7" s="202">
        <f t="shared" si="10"/>
        <v>0</v>
      </c>
      <c r="BH7" s="202">
        <f t="shared" si="11"/>
        <v>1</v>
      </c>
      <c r="BI7" s="202">
        <f t="shared" si="12"/>
        <v>0</v>
      </c>
      <c r="BJ7" s="202">
        <f t="shared" si="13"/>
        <v>1</v>
      </c>
      <c r="BK7">
        <f t="shared" si="14"/>
        <v>9</v>
      </c>
    </row>
    <row r="8" spans="1:63" x14ac:dyDescent="0.3">
      <c r="A8" s="203" t="s">
        <v>80</v>
      </c>
      <c r="B8" s="204">
        <f>COUNTIF(TT!$D$4:$D$9,TALLY!A8)</f>
        <v>0</v>
      </c>
      <c r="C8" s="204">
        <f>COUNTIF(TT!$D$15:$D$28,TALLY!A8)</f>
        <v>0</v>
      </c>
      <c r="D8" s="204">
        <f>COUNTIF(TT!$D$34:$D$41,TALLY!A8)</f>
        <v>0</v>
      </c>
      <c r="E8" s="202">
        <f>COUNTIF(TT!$D$47:$D$60,TALLY!A8)</f>
        <v>1</v>
      </c>
      <c r="F8" s="202">
        <f>COUNTIF(TT!$D$66:$D$79,TALLY!A8)</f>
        <v>0</v>
      </c>
      <c r="G8" s="202">
        <f>COUNTIF(TT!$D$84:$D$93,TALLY!A8)</f>
        <v>0</v>
      </c>
      <c r="H8" s="205">
        <f>COUNTIF(TT!$D$98:$D$106,TALLY!A8)</f>
        <v>0</v>
      </c>
      <c r="I8" s="205">
        <f>COUNTIF(TT!$D$111:$D$121,TALLY!A8)</f>
        <v>0</v>
      </c>
      <c r="J8" s="205">
        <f>COUNTIF(TT!$D$126:$D$134,TALLY!A8)</f>
        <v>0</v>
      </c>
      <c r="K8" s="202">
        <f>COUNTIF(TT!$D$139:$D$151,TALLY!A8)</f>
        <v>1</v>
      </c>
      <c r="L8" s="202">
        <f>COUNTIF(TT!$D$156:$D$164,TALLY!A8)</f>
        <v>0</v>
      </c>
      <c r="M8" s="202">
        <f>COUNTIF(TT!$D$169:$D$180,TALLY!A8)</f>
        <v>0</v>
      </c>
      <c r="N8" s="205">
        <f>COUNTIF(TT!$D$185:$D$197,TALLY!A8)</f>
        <v>0</v>
      </c>
      <c r="O8" s="205">
        <f>COUNTIF(TT!$D$202:$D$208,TALLY!A8)</f>
        <v>0</v>
      </c>
      <c r="P8" s="205">
        <f>COUNTIF(TT!$D$213:$D$220,TALLY!A8)</f>
        <v>1</v>
      </c>
      <c r="Q8" s="204">
        <f>COUNTIF(TT!$D$225:$D$239,TALLY!A8)</f>
        <v>0</v>
      </c>
      <c r="R8" s="204">
        <f>COUNTIF(TT!$D$244:$D$254,TALLY!A8)</f>
        <v>0</v>
      </c>
      <c r="S8" s="204">
        <f>COUNTIF(TT!$D$259:$D$268,TALLY!A8)</f>
        <v>0</v>
      </c>
      <c r="T8" s="205">
        <f>COUNTIF(TT!$D$271:$D$282,TALLY!A8)</f>
        <v>0</v>
      </c>
      <c r="U8" s="205">
        <f>COUNTIF(TT!$D$287:$D$298,TALLY!A8)</f>
        <v>0</v>
      </c>
      <c r="V8" s="205">
        <f>COUNTIF(TT!$D$303:$D$311,TALLY!A8)</f>
        <v>0</v>
      </c>
      <c r="W8" s="202">
        <f>COUNTIF(TT!$D$316:$D$337,TALLY!A8)</f>
        <v>1</v>
      </c>
      <c r="X8" s="202">
        <f>COUNTIF(TT!$D$342:$D$350,TALLY!A8)</f>
        <v>0</v>
      </c>
      <c r="Y8" s="202">
        <f>COUNTIF(TT!$D$357:$D$365,TALLY!A8)</f>
        <v>0</v>
      </c>
      <c r="Z8" s="205">
        <f>COUNTIF(TT!$D$370:$D$377,TALLY!A8)</f>
        <v>0</v>
      </c>
      <c r="AA8" s="205">
        <f>COUNTIF(TT!$D$382:$D$393,TALLY!A8)</f>
        <v>0</v>
      </c>
      <c r="AB8" s="205">
        <f>COUNTIF(TT!$D$398:$D$408,TALLY!A8)</f>
        <v>0</v>
      </c>
      <c r="AC8" s="202">
        <f>COUNTIF(TT!$D$413:$D$425,TALLY!A8)</f>
        <v>1</v>
      </c>
      <c r="AD8" s="202">
        <f>COUNTIF(TT!$D$430:$D$433,TALLY!A8)</f>
        <v>0</v>
      </c>
      <c r="AE8" s="202">
        <f>COUNTIF(TT!$D$454:$D$466,TALLY!A8)</f>
        <v>0</v>
      </c>
      <c r="AF8" s="204">
        <f>COUNTIF(TT!$D$471:$D$480,TALLY!A8)</f>
        <v>1</v>
      </c>
      <c r="AG8" s="204">
        <f>COUNTIF(TT!$D$487:$D$496,TALLY!A8)</f>
        <v>0</v>
      </c>
      <c r="AH8" s="204">
        <f>COUNTIF(TT!$D$501:$D$517,TALLY!A8)</f>
        <v>0</v>
      </c>
      <c r="AI8" s="202">
        <f>COUNTIF(TT!$D$522:$D$533,TALLY!A8)</f>
        <v>0</v>
      </c>
      <c r="AJ8" s="202">
        <f>COUNTIF(TT!$D$538:$D$550,TALLY!A8)</f>
        <v>0</v>
      </c>
      <c r="AK8" s="202">
        <f>COUNTIF(TT!$D$555:$D$569,TALLY!A8)</f>
        <v>0</v>
      </c>
      <c r="AL8" s="205">
        <f>COUNTIF(TT!$D$574:$D$582,TALLY!A8)</f>
        <v>0</v>
      </c>
      <c r="AM8" s="205">
        <f>COUNTIF(TT!$D$587:$D$593,TALLY!A8)</f>
        <v>0</v>
      </c>
      <c r="AN8" s="205">
        <f>COUNTIF(TT!$D$598:$D$606,TALLY!A8)</f>
        <v>0</v>
      </c>
      <c r="AO8" s="202">
        <f>COUNTIF(TT!$D$611:$D$620,TALLY!A8)</f>
        <v>0</v>
      </c>
      <c r="AP8" s="202">
        <f>COUNTIF(TT!$D$627:$D$639,TALLY!A8)</f>
        <v>0</v>
      </c>
      <c r="AQ8" s="202">
        <f>COUNTIF(TT!$D$645:$D$657,TALLY!A8)</f>
        <v>0</v>
      </c>
      <c r="AR8" s="205">
        <f>COUNTIF(TT!$D$663:$D$671,TALLY!A8)</f>
        <v>0</v>
      </c>
      <c r="AS8" s="205">
        <f>COUNTIF(TT!$D$677:$D$685,TALLY!A8)</f>
        <v>1</v>
      </c>
      <c r="AT8" s="205">
        <f>COUNTIF(TT!$D$689:$D$698,TALLY!A8)</f>
        <v>0</v>
      </c>
      <c r="AU8" s="203" t="s">
        <v>80</v>
      </c>
      <c r="AV8" s="202">
        <f t="shared" si="0"/>
        <v>0</v>
      </c>
      <c r="AW8" s="202">
        <f t="shared" si="1"/>
        <v>1</v>
      </c>
      <c r="AX8" s="202">
        <f t="shared" si="2"/>
        <v>0</v>
      </c>
      <c r="AY8" s="202">
        <f t="shared" si="3"/>
        <v>1</v>
      </c>
      <c r="AZ8" s="202">
        <f t="shared" si="4"/>
        <v>1</v>
      </c>
      <c r="BA8" s="202">
        <f t="shared" si="5"/>
        <v>0</v>
      </c>
      <c r="BB8" s="202">
        <f t="shared" si="6"/>
        <v>0</v>
      </c>
      <c r="BC8" s="202">
        <f t="shared" si="7"/>
        <v>1</v>
      </c>
      <c r="BD8" s="202">
        <f t="shared" si="15"/>
        <v>0</v>
      </c>
      <c r="BE8" s="202">
        <f t="shared" si="8"/>
        <v>1</v>
      </c>
      <c r="BF8" s="202">
        <f t="shared" si="9"/>
        <v>1</v>
      </c>
      <c r="BG8" s="202">
        <f t="shared" si="10"/>
        <v>0</v>
      </c>
      <c r="BH8" s="202">
        <f t="shared" si="11"/>
        <v>0</v>
      </c>
      <c r="BI8" s="202">
        <f t="shared" si="12"/>
        <v>0</v>
      </c>
      <c r="BJ8" s="202">
        <f t="shared" si="13"/>
        <v>1</v>
      </c>
      <c r="BK8">
        <f t="shared" si="14"/>
        <v>7</v>
      </c>
    </row>
    <row r="9" spans="1:63" x14ac:dyDescent="0.3">
      <c r="A9" s="203" t="s">
        <v>20</v>
      </c>
      <c r="B9" s="204">
        <f>COUNTIF(TT!$D$4:$D$9,TALLY!A9)</f>
        <v>1</v>
      </c>
      <c r="C9" s="204">
        <f>COUNTIF(TT!$D$15:$D$28,TALLY!A9)</f>
        <v>0</v>
      </c>
      <c r="D9" s="204">
        <f>COUNTIF(TT!$D$34:$D$41,TALLY!A9)</f>
        <v>0</v>
      </c>
      <c r="E9" s="202">
        <f>COUNTIF(TT!$D$47:$D$60,TALLY!A9)</f>
        <v>0</v>
      </c>
      <c r="F9" s="202">
        <f>COUNTIF(TT!$D$66:$D$79,TALLY!A9)</f>
        <v>0</v>
      </c>
      <c r="G9" s="202">
        <f>COUNTIF(TT!$D$84:$D$93,TALLY!A9)</f>
        <v>0</v>
      </c>
      <c r="H9" s="205">
        <f>COUNTIF(TT!$D$98:$D$106,TALLY!A9)</f>
        <v>0</v>
      </c>
      <c r="I9" s="205">
        <f>COUNTIF(TT!$D$111:$D$121,TALLY!A9)</f>
        <v>0</v>
      </c>
      <c r="J9" s="205">
        <f>COUNTIF(TT!$D$126:$D$134,TALLY!A9)</f>
        <v>1</v>
      </c>
      <c r="K9" s="202">
        <f>COUNTIF(TT!$D$139:$D$151,TALLY!A9)</f>
        <v>0</v>
      </c>
      <c r="L9" s="202">
        <f>COUNTIF(TT!$D$156:$D$164,TALLY!A9)</f>
        <v>0</v>
      </c>
      <c r="M9" s="202">
        <f>COUNTIF(TT!$D$169:$D$180,TALLY!A9)</f>
        <v>0</v>
      </c>
      <c r="N9" s="205">
        <f>COUNTIF(TT!$D$185:$D$197,TALLY!A9)</f>
        <v>0</v>
      </c>
      <c r="O9" s="205">
        <f>COUNTIF(TT!$D$202:$D$208,TALLY!A9)</f>
        <v>0</v>
      </c>
      <c r="P9" s="205">
        <f>COUNTIF(TT!$D$213:$D$220,TALLY!A9)</f>
        <v>0</v>
      </c>
      <c r="Q9" s="204">
        <f>COUNTIF(TT!$D$225:$D$239,TALLY!A9)</f>
        <v>0</v>
      </c>
      <c r="R9" s="204">
        <f>COUNTIF(TT!$D$244:$D$254,TALLY!A9)</f>
        <v>0</v>
      </c>
      <c r="S9" s="204">
        <f>COUNTIF(TT!$D$259:$D$268,TALLY!A9)</f>
        <v>0</v>
      </c>
      <c r="T9" s="205">
        <f>COUNTIF(TT!$D$271:$D$282,TALLY!A9)</f>
        <v>0</v>
      </c>
      <c r="U9" s="205">
        <f>COUNTIF(TT!$D$287:$D$298,TALLY!A9)</f>
        <v>1</v>
      </c>
      <c r="V9" s="205">
        <f>COUNTIF(TT!$D$303:$D$311,TALLY!A9)</f>
        <v>0</v>
      </c>
      <c r="W9" s="202">
        <f>COUNTIF(TT!$D$316:$D$337,TALLY!A9)</f>
        <v>0</v>
      </c>
      <c r="X9" s="202">
        <f>COUNTIF(TT!$D$342:$D$350,TALLY!A9)</f>
        <v>0</v>
      </c>
      <c r="Y9" s="202">
        <f>COUNTIF(TT!$D$357:$D$365,TALLY!A9)</f>
        <v>0</v>
      </c>
      <c r="Z9" s="205">
        <f>COUNTIF(TT!$D$370:$D$377,TALLY!A9)</f>
        <v>0</v>
      </c>
      <c r="AA9" s="205">
        <f>COUNTIF(TT!$D$382:$D$393,TALLY!A9)</f>
        <v>0</v>
      </c>
      <c r="AB9" s="205">
        <f>COUNTIF(TT!$D$398:$D$408,TALLY!A9)</f>
        <v>0</v>
      </c>
      <c r="AC9" s="202">
        <f>COUNTIF(TT!$D$413:$D$425,TALLY!A9)</f>
        <v>1</v>
      </c>
      <c r="AD9" s="202">
        <f>COUNTIF(TT!$D$430:$D$433,TALLY!A9)</f>
        <v>0</v>
      </c>
      <c r="AE9" s="202">
        <f>COUNTIF(TT!$D$454:$D$466,TALLY!A9)</f>
        <v>0</v>
      </c>
      <c r="AF9" s="204">
        <f>COUNTIF(TT!$D$471:$D$480,TALLY!A9)</f>
        <v>0</v>
      </c>
      <c r="AG9" s="204">
        <f>COUNTIF(TT!$D$487:$D$496,TALLY!A9)</f>
        <v>0</v>
      </c>
      <c r="AH9" s="204">
        <f>COUNTIF(TT!$D$501:$D$517,TALLY!A9)</f>
        <v>0</v>
      </c>
      <c r="AI9" s="202">
        <f>COUNTIF(TT!$D$522:$D$533,TALLY!A9)</f>
        <v>0</v>
      </c>
      <c r="AJ9" s="202">
        <f>COUNTIF(TT!$D$538:$D$550,TALLY!A9)</f>
        <v>0</v>
      </c>
      <c r="AK9" s="202">
        <f>COUNTIF(TT!$D$555:$D$569,TALLY!A9)</f>
        <v>0</v>
      </c>
      <c r="AL9" s="205">
        <f>COUNTIF(TT!$D$574:$D$582,TALLY!A9)</f>
        <v>0</v>
      </c>
      <c r="AM9" s="205">
        <f>COUNTIF(TT!$D$587:$D$593,TALLY!A9)</f>
        <v>0</v>
      </c>
      <c r="AN9" s="205">
        <f>COUNTIF(TT!$D$598:$D$606,TALLY!A9)</f>
        <v>1</v>
      </c>
      <c r="AO9" s="202">
        <f>COUNTIF(TT!$D$611:$D$620,TALLY!A9)</f>
        <v>0</v>
      </c>
      <c r="AP9" s="202">
        <f>COUNTIF(TT!$D$627:$D$639,TALLY!A9)</f>
        <v>0</v>
      </c>
      <c r="AQ9" s="202">
        <f>COUNTIF(TT!$D$645:$D$657,TALLY!A9)</f>
        <v>0</v>
      </c>
      <c r="AR9" s="205">
        <f>COUNTIF(TT!$D$663:$D$671,TALLY!A9)</f>
        <v>1</v>
      </c>
      <c r="AS9" s="205">
        <f>COUNTIF(TT!$D$677:$D$685,TALLY!A9)</f>
        <v>0</v>
      </c>
      <c r="AT9" s="205">
        <f>COUNTIF(TT!$D$689:$D$698,TALLY!A9)</f>
        <v>0</v>
      </c>
      <c r="AU9" s="203" t="s">
        <v>20</v>
      </c>
      <c r="AV9" s="202">
        <f t="shared" si="0"/>
        <v>1</v>
      </c>
      <c r="AW9" s="202">
        <f t="shared" si="1"/>
        <v>0</v>
      </c>
      <c r="AX9" s="202">
        <f t="shared" si="2"/>
        <v>1</v>
      </c>
      <c r="AY9" s="202">
        <f t="shared" si="3"/>
        <v>0</v>
      </c>
      <c r="AZ9" s="202">
        <f t="shared" si="4"/>
        <v>0</v>
      </c>
      <c r="BA9" s="202">
        <f t="shared" si="5"/>
        <v>0</v>
      </c>
      <c r="BB9" s="202">
        <f t="shared" si="6"/>
        <v>1</v>
      </c>
      <c r="BC9" s="202">
        <f t="shared" si="7"/>
        <v>0</v>
      </c>
      <c r="BD9" s="202">
        <f t="shared" si="15"/>
        <v>0</v>
      </c>
      <c r="BE9" s="202">
        <f t="shared" si="8"/>
        <v>1</v>
      </c>
      <c r="BF9" s="202">
        <f t="shared" si="9"/>
        <v>0</v>
      </c>
      <c r="BG9" s="202">
        <f t="shared" si="10"/>
        <v>0</v>
      </c>
      <c r="BH9" s="202">
        <f t="shared" si="11"/>
        <v>1</v>
      </c>
      <c r="BI9" s="202">
        <f t="shared" si="12"/>
        <v>0</v>
      </c>
      <c r="BJ9" s="202">
        <f t="shared" si="13"/>
        <v>1</v>
      </c>
      <c r="BK9">
        <f t="shared" si="14"/>
        <v>6</v>
      </c>
    </row>
    <row r="10" spans="1:63" x14ac:dyDescent="0.3">
      <c r="A10" s="203" t="s">
        <v>51</v>
      </c>
      <c r="B10" s="204">
        <f>COUNTIF(TT!$D$4:$D$9,TALLY!A10)</f>
        <v>0</v>
      </c>
      <c r="C10" s="204">
        <f>COUNTIF(TT!$D$15:$D$28,TALLY!A10)</f>
        <v>0</v>
      </c>
      <c r="D10" s="204">
        <f>COUNTIF(TT!$D$34:$D$41,TALLY!A10)</f>
        <v>0</v>
      </c>
      <c r="E10" s="202">
        <f>COUNTIF(TT!$D$47:$D$60,TALLY!A10)</f>
        <v>0</v>
      </c>
      <c r="F10" s="202">
        <f>COUNTIF(TT!$D$66:$D$79,TALLY!A10)</f>
        <v>0</v>
      </c>
      <c r="G10" s="202">
        <f>COUNTIF(TT!$D$84:$D$93,TALLY!A10)</f>
        <v>1</v>
      </c>
      <c r="H10" s="205">
        <f>COUNTIF(TT!$D$98:$D$106,TALLY!A10)</f>
        <v>0</v>
      </c>
      <c r="I10" s="205">
        <f>COUNTIF(TT!$D$111:$D$121,TALLY!A10)</f>
        <v>0</v>
      </c>
      <c r="J10" s="205">
        <f>COUNTIF(TT!$D$126:$D$134,TALLY!A10)</f>
        <v>0</v>
      </c>
      <c r="K10" s="202">
        <f>COUNTIF(TT!$D$139:$D$151,TALLY!A10)</f>
        <v>1</v>
      </c>
      <c r="L10" s="202">
        <f>COUNTIF(TT!$D$156:$D$164,TALLY!A10)</f>
        <v>0</v>
      </c>
      <c r="M10" s="202">
        <f>COUNTIF(TT!$D$169:$D$180,TALLY!A10)</f>
        <v>0</v>
      </c>
      <c r="N10" s="205">
        <f>COUNTIF(TT!$D$185:$D$197,TALLY!A10)</f>
        <v>0</v>
      </c>
      <c r="O10" s="205">
        <f>COUNTIF(TT!$D$202:$D$208,TALLY!A10)</f>
        <v>0</v>
      </c>
      <c r="P10" s="205">
        <f>COUNTIF(TT!$D$213:$D$220,TALLY!A10)</f>
        <v>1</v>
      </c>
      <c r="Q10" s="204">
        <f>COUNTIF(TT!$D$225:$D$239,TALLY!A10)</f>
        <v>0</v>
      </c>
      <c r="R10" s="204">
        <f>COUNTIF(TT!$D$244:$D$254,TALLY!A10)</f>
        <v>1</v>
      </c>
      <c r="S10" s="204">
        <f>COUNTIF(TT!$D$259:$D$268,TALLY!A10)</f>
        <v>0</v>
      </c>
      <c r="T10" s="205">
        <f>COUNTIF(TT!$D$271:$D$282,TALLY!A10)</f>
        <v>0</v>
      </c>
      <c r="U10" s="205">
        <f>COUNTIF(TT!$D$287:$D$298,TALLY!A10)</f>
        <v>0</v>
      </c>
      <c r="V10" s="205">
        <f>COUNTIF(TT!$D$303:$D$311,TALLY!A10)</f>
        <v>0</v>
      </c>
      <c r="W10" s="202">
        <f>COUNTIF(TT!$D$316:$D$337,TALLY!A10)</f>
        <v>0</v>
      </c>
      <c r="X10" s="202">
        <f>COUNTIF(TT!$D$342:$D$350,TALLY!A10)</f>
        <v>0</v>
      </c>
      <c r="Y10" s="202">
        <f>COUNTIF(TT!$D$357:$D$365,TALLY!A10)</f>
        <v>0</v>
      </c>
      <c r="Z10" s="205">
        <f>COUNTIF(TT!$D$370:$D$377,TALLY!A10)</f>
        <v>1</v>
      </c>
      <c r="AA10" s="205">
        <f>COUNTIF(TT!$D$382:$D$393,TALLY!A10)</f>
        <v>0</v>
      </c>
      <c r="AB10" s="205">
        <f>COUNTIF(TT!$D$398:$D$408,TALLY!A10)</f>
        <v>0</v>
      </c>
      <c r="AC10" s="202">
        <f>COUNTIF(TT!$D$413:$D$425,TALLY!A10)</f>
        <v>0</v>
      </c>
      <c r="AD10" s="202">
        <f>COUNTIF(TT!$D$430:$D$433,TALLY!A10)</f>
        <v>1</v>
      </c>
      <c r="AE10" s="202">
        <f>COUNTIF(TT!$D$454:$D$466,TALLY!A10)</f>
        <v>0</v>
      </c>
      <c r="AF10" s="204">
        <f>COUNTIF(TT!$D$471:$D$480,TALLY!A10)</f>
        <v>0</v>
      </c>
      <c r="AG10" s="204">
        <f>COUNTIF(TT!$D$487:$D$496,TALLY!A10)</f>
        <v>0</v>
      </c>
      <c r="AH10" s="204">
        <f>COUNTIF(TT!$D$501:$D$517,TALLY!A10)</f>
        <v>0</v>
      </c>
      <c r="AI10" s="202">
        <f>COUNTIF(TT!$D$522:$D$533,TALLY!A10)</f>
        <v>1</v>
      </c>
      <c r="AJ10" s="202">
        <f>COUNTIF(TT!$D$538:$D$550,TALLY!A10)</f>
        <v>0</v>
      </c>
      <c r="AK10" s="202">
        <f>COUNTIF(TT!$D$555:$D$569,TALLY!A10)</f>
        <v>0</v>
      </c>
      <c r="AL10" s="205">
        <f>COUNTIF(TT!$D$574:$D$582,TALLY!A10)</f>
        <v>0</v>
      </c>
      <c r="AM10" s="205">
        <f>COUNTIF(TT!$D$587:$D$593,TALLY!A10)</f>
        <v>0</v>
      </c>
      <c r="AN10" s="205">
        <f>COUNTIF(TT!$D$598:$D$606,TALLY!A10)</f>
        <v>0</v>
      </c>
      <c r="AO10" s="202">
        <f>COUNTIF(TT!$D$611:$D$620,TALLY!A10)</f>
        <v>0</v>
      </c>
      <c r="AP10" s="202">
        <f>COUNTIF(TT!$D$627:$D$639,TALLY!A10)</f>
        <v>0</v>
      </c>
      <c r="AQ10" s="202">
        <f>COUNTIF(TT!$D$645:$D$657,TALLY!A10)</f>
        <v>0</v>
      </c>
      <c r="AR10" s="205">
        <f>COUNTIF(TT!$D$663:$D$671,TALLY!A10)</f>
        <v>0</v>
      </c>
      <c r="AS10" s="205">
        <f>COUNTIF(TT!$D$677:$D$685,TALLY!A10)</f>
        <v>1</v>
      </c>
      <c r="AT10" s="205">
        <f>COUNTIF(TT!$D$689:$D$698,TALLY!A10)</f>
        <v>0</v>
      </c>
      <c r="AU10" s="203" t="s">
        <v>51</v>
      </c>
      <c r="AV10" s="202">
        <f t="shared" si="0"/>
        <v>0</v>
      </c>
      <c r="AW10" s="202">
        <f t="shared" si="1"/>
        <v>1</v>
      </c>
      <c r="AX10" s="202">
        <f t="shared" si="2"/>
        <v>0</v>
      </c>
      <c r="AY10" s="202">
        <f t="shared" si="3"/>
        <v>1</v>
      </c>
      <c r="AZ10" s="202">
        <f t="shared" si="4"/>
        <v>1</v>
      </c>
      <c r="BA10" s="202">
        <f t="shared" si="5"/>
        <v>1</v>
      </c>
      <c r="BB10" s="202">
        <f t="shared" si="6"/>
        <v>0</v>
      </c>
      <c r="BC10" s="202">
        <f t="shared" si="7"/>
        <v>0</v>
      </c>
      <c r="BD10" s="202">
        <f t="shared" si="15"/>
        <v>1</v>
      </c>
      <c r="BE10" s="202">
        <f t="shared" si="8"/>
        <v>1</v>
      </c>
      <c r="BF10" s="202">
        <f t="shared" si="9"/>
        <v>0</v>
      </c>
      <c r="BG10" s="202">
        <f t="shared" si="10"/>
        <v>1</v>
      </c>
      <c r="BH10" s="202">
        <f t="shared" si="11"/>
        <v>0</v>
      </c>
      <c r="BI10" s="202">
        <f t="shared" si="12"/>
        <v>0</v>
      </c>
      <c r="BJ10" s="202">
        <f t="shared" si="13"/>
        <v>1</v>
      </c>
      <c r="BK10">
        <f t="shared" si="14"/>
        <v>8</v>
      </c>
    </row>
    <row r="11" spans="1:63" x14ac:dyDescent="0.3">
      <c r="A11" s="203" t="s">
        <v>126</v>
      </c>
      <c r="B11" s="204">
        <f>COUNTIF(TT!$D$4:$D$9,TALLY!A11)</f>
        <v>0</v>
      </c>
      <c r="C11" s="204">
        <f>COUNTIF(TT!$D$15:$D$28,TALLY!A11)</f>
        <v>1</v>
      </c>
      <c r="D11" s="204">
        <f>COUNTIF(TT!$D$34:$D$41,TALLY!A11)</f>
        <v>0</v>
      </c>
      <c r="E11" s="202">
        <f>COUNTIF(TT!$D$47:$D$60,TALLY!A11)</f>
        <v>0</v>
      </c>
      <c r="F11" s="202">
        <f>COUNTIF(TT!$D$66:$D$79,TALLY!A11)</f>
        <v>0</v>
      </c>
      <c r="G11" s="202">
        <f>COUNTIF(TT!$D$84:$D$93,TALLY!A11)</f>
        <v>0</v>
      </c>
      <c r="H11" s="205">
        <f>COUNTIF(TT!$D$98:$D$106,TALLY!A11)</f>
        <v>0</v>
      </c>
      <c r="I11" s="205">
        <f>COUNTIF(TT!$D$111:$D$121,TALLY!A11)</f>
        <v>0</v>
      </c>
      <c r="J11" s="205">
        <f>COUNTIF(TT!$D$126:$D$134,TALLY!A11)</f>
        <v>0</v>
      </c>
      <c r="K11" s="202">
        <f>COUNTIF(TT!$D$139:$D$151,TALLY!A11)</f>
        <v>1</v>
      </c>
      <c r="L11" s="202">
        <f>COUNTIF(TT!$D$156:$D$164,TALLY!A11)</f>
        <v>0</v>
      </c>
      <c r="M11" s="202">
        <f>COUNTIF(TT!$D$169:$D$180,TALLY!A11)</f>
        <v>0</v>
      </c>
      <c r="N11" s="205">
        <f>COUNTIF(TT!$D$185:$D$197,TALLY!A11)</f>
        <v>0</v>
      </c>
      <c r="O11" s="205">
        <f>COUNTIF(TT!$D$202:$D$208,TALLY!A11)</f>
        <v>0</v>
      </c>
      <c r="P11" s="205">
        <f>COUNTIF(TT!$D$213:$D$220,TALLY!A11)</f>
        <v>0</v>
      </c>
      <c r="Q11" s="204">
        <f>COUNTIF(TT!$D$225:$D$239,TALLY!A11)</f>
        <v>1</v>
      </c>
      <c r="R11" s="204">
        <f>COUNTIF(TT!$D$244:$D$254,TALLY!A11)</f>
        <v>0</v>
      </c>
      <c r="S11" s="204">
        <f>COUNTIF(TT!$D$259:$D$268,TALLY!A11)</f>
        <v>0</v>
      </c>
      <c r="T11" s="205">
        <f>COUNTIF(TT!$D$271:$D$282,TALLY!A11)</f>
        <v>0</v>
      </c>
      <c r="U11" s="205">
        <f>COUNTIF(TT!$D$287:$D$298,TALLY!A11)</f>
        <v>0</v>
      </c>
      <c r="V11" s="205">
        <f>COUNTIF(TT!$D$303:$D$311,TALLY!A11)</f>
        <v>0</v>
      </c>
      <c r="W11" s="202">
        <f>COUNTIF(TT!$D$316:$D$337,TALLY!A11)</f>
        <v>0</v>
      </c>
      <c r="X11" s="202">
        <f>COUNTIF(TT!$D$342:$D$350,TALLY!A11)</f>
        <v>0</v>
      </c>
      <c r="Y11" s="202">
        <f>COUNTIF(TT!$D$357:$D$365,TALLY!A11)</f>
        <v>0</v>
      </c>
      <c r="Z11" s="205">
        <f>COUNTIF(TT!$D$370:$D$377,TALLY!A11)</f>
        <v>0</v>
      </c>
      <c r="AA11" s="205">
        <f>COUNTIF(TT!$D$382:$D$393,TALLY!A11)</f>
        <v>0</v>
      </c>
      <c r="AB11" s="205">
        <f>COUNTIF(TT!$D$398:$D$408,TALLY!A11)</f>
        <v>1</v>
      </c>
      <c r="AC11" s="202">
        <f>COUNTIF(TT!$D$413:$D$425,TALLY!A11)</f>
        <v>0</v>
      </c>
      <c r="AD11" s="202">
        <f>COUNTIF(TT!$D$430:$D$433,TALLY!A11)</f>
        <v>0</v>
      </c>
      <c r="AE11" s="202">
        <f>COUNTIF(TT!$D$454:$D$466,TALLY!A11)</f>
        <v>0</v>
      </c>
      <c r="AF11" s="204">
        <f>COUNTIF(TT!$D$471:$D$480,TALLY!A11)</f>
        <v>0</v>
      </c>
      <c r="AG11" s="204">
        <f>COUNTIF(TT!$D$487:$D$496,TALLY!A11)</f>
        <v>0</v>
      </c>
      <c r="AH11" s="204">
        <f>COUNTIF(TT!$D$501:$D$517,TALLY!A11)</f>
        <v>1</v>
      </c>
      <c r="AI11" s="202">
        <f>COUNTIF(TT!$D$522:$D$533,TALLY!A11)</f>
        <v>1</v>
      </c>
      <c r="AJ11" s="202">
        <f>COUNTIF(TT!$D$538:$D$550,TALLY!A11)</f>
        <v>0</v>
      </c>
      <c r="AK11" s="202">
        <f>COUNTIF(TT!$D$555:$D$569,TALLY!A11)</f>
        <v>0</v>
      </c>
      <c r="AL11" s="205">
        <f>COUNTIF(TT!$D$574:$D$582,TALLY!A11)</f>
        <v>1</v>
      </c>
      <c r="AM11" s="205">
        <f>COUNTIF(TT!$D$587:$D$593,TALLY!A11)</f>
        <v>0</v>
      </c>
      <c r="AN11" s="205">
        <f>COUNTIF(TT!$D$598:$D$606,TALLY!A11)</f>
        <v>0</v>
      </c>
      <c r="AO11" s="202">
        <f>COUNTIF(TT!$D$611:$D$620,TALLY!A11)</f>
        <v>0</v>
      </c>
      <c r="AP11" s="202">
        <f>COUNTIF(TT!$D$627:$D$639,TALLY!A11)</f>
        <v>0</v>
      </c>
      <c r="AQ11" s="202">
        <f>COUNTIF(TT!$D$645:$D$657,TALLY!A11)</f>
        <v>1</v>
      </c>
      <c r="AR11" s="205">
        <f>COUNTIF(TT!$D$663:$D$671,TALLY!A11)</f>
        <v>1</v>
      </c>
      <c r="AS11" s="205">
        <f>COUNTIF(TT!$D$677:$D$685,TALLY!A11)</f>
        <v>0</v>
      </c>
      <c r="AT11" s="205">
        <f>COUNTIF(TT!$D$689:$D$698,TALLY!A11)</f>
        <v>0</v>
      </c>
      <c r="AU11" s="203" t="s">
        <v>126</v>
      </c>
      <c r="AV11" s="202">
        <f t="shared" si="0"/>
        <v>1</v>
      </c>
      <c r="AW11" s="202">
        <f t="shared" si="1"/>
        <v>0</v>
      </c>
      <c r="AX11" s="202">
        <f t="shared" si="2"/>
        <v>0</v>
      </c>
      <c r="AY11" s="202">
        <f t="shared" si="3"/>
        <v>1</v>
      </c>
      <c r="AZ11" s="202">
        <f t="shared" si="4"/>
        <v>0</v>
      </c>
      <c r="BA11" s="202">
        <f t="shared" si="5"/>
        <v>1</v>
      </c>
      <c r="BB11" s="202">
        <f t="shared" si="6"/>
        <v>0</v>
      </c>
      <c r="BC11" s="202">
        <f t="shared" si="7"/>
        <v>0</v>
      </c>
      <c r="BD11" s="202">
        <f t="shared" si="15"/>
        <v>1</v>
      </c>
      <c r="BE11" s="202">
        <f t="shared" si="8"/>
        <v>0</v>
      </c>
      <c r="BF11" s="202">
        <f t="shared" si="9"/>
        <v>1</v>
      </c>
      <c r="BG11" s="202">
        <f t="shared" si="10"/>
        <v>1</v>
      </c>
      <c r="BH11" s="202">
        <f t="shared" si="11"/>
        <v>1</v>
      </c>
      <c r="BI11" s="202">
        <f t="shared" si="12"/>
        <v>1</v>
      </c>
      <c r="BJ11" s="202">
        <f t="shared" si="13"/>
        <v>1</v>
      </c>
      <c r="BK11">
        <f t="shared" si="14"/>
        <v>9</v>
      </c>
    </row>
    <row r="12" spans="1:63" x14ac:dyDescent="0.3">
      <c r="A12" s="203" t="s">
        <v>95</v>
      </c>
      <c r="B12" s="204">
        <f>COUNTIF(TT!$D$4:$D$9,TALLY!A12)</f>
        <v>0</v>
      </c>
      <c r="C12" s="204">
        <f>COUNTIF(TT!$D$15:$D$28,TALLY!A12)</f>
        <v>1</v>
      </c>
      <c r="D12" s="204">
        <f>COUNTIF(TT!$D$34:$D$41,TALLY!A12)</f>
        <v>0</v>
      </c>
      <c r="E12" s="202">
        <f>COUNTIF(TT!$D$47:$D$60,TALLY!A12)</f>
        <v>0</v>
      </c>
      <c r="F12" s="202">
        <f>COUNTIF(TT!$D$66:$D$79,TALLY!A12)</f>
        <v>0</v>
      </c>
      <c r="G12" s="202">
        <f>COUNTIF(TT!$D$84:$D$93,TALLY!A12)</f>
        <v>0</v>
      </c>
      <c r="H12" s="205">
        <f>COUNTIF(TT!$D$98:$D$106,TALLY!A12)</f>
        <v>0</v>
      </c>
      <c r="I12" s="205">
        <f>COUNTIF(TT!$D$111:$D$121,TALLY!A12)</f>
        <v>0</v>
      </c>
      <c r="J12" s="205">
        <f>COUNTIF(TT!$D$126:$D$134,TALLY!A12)</f>
        <v>0</v>
      </c>
      <c r="K12" s="202">
        <f>COUNTIF(TT!$D$139:$D$151,TALLY!A12)</f>
        <v>0</v>
      </c>
      <c r="L12" s="202">
        <f>COUNTIF(TT!$D$156:$D$164,TALLY!A12)</f>
        <v>1</v>
      </c>
      <c r="M12" s="202">
        <f>COUNTIF(TT!$D$169:$D$180,TALLY!A12)</f>
        <v>0</v>
      </c>
      <c r="N12" s="205">
        <f>COUNTIF(TT!$D$185:$D$197,TALLY!A12)</f>
        <v>0</v>
      </c>
      <c r="O12" s="205">
        <f>COUNTIF(TT!$D$202:$D$208,TALLY!A12)</f>
        <v>0</v>
      </c>
      <c r="P12" s="205">
        <f>COUNTIF(TT!$D$213:$D$220,TALLY!A12)</f>
        <v>0</v>
      </c>
      <c r="Q12" s="204">
        <f>COUNTIF(TT!$D$225:$D$239,TALLY!A12)</f>
        <v>0</v>
      </c>
      <c r="R12" s="204">
        <f>COUNTIF(TT!$D$244:$D$254,TALLY!A12)</f>
        <v>0</v>
      </c>
      <c r="S12" s="204">
        <f>COUNTIF(TT!$D$259:$D$268,TALLY!A12)</f>
        <v>0</v>
      </c>
      <c r="T12" s="205">
        <f>COUNTIF(TT!$D$271:$D$282,TALLY!A12)</f>
        <v>0</v>
      </c>
      <c r="U12" s="205">
        <f>COUNTIF(TT!$D$287:$D$298,TALLY!A12)</f>
        <v>0</v>
      </c>
      <c r="V12" s="205">
        <f>COUNTIF(TT!$D$303:$D$311,TALLY!A12)</f>
        <v>0</v>
      </c>
      <c r="W12" s="202">
        <f>COUNTIF(TT!$D$316:$D$337,TALLY!A12)</f>
        <v>0</v>
      </c>
      <c r="X12" s="202">
        <f>COUNTIF(TT!$D$342:$D$350,TALLY!A12)</f>
        <v>0</v>
      </c>
      <c r="Y12" s="202">
        <f>COUNTIF(TT!$D$357:$D$365,TALLY!A12)</f>
        <v>0</v>
      </c>
      <c r="Z12" s="205">
        <f>COUNTIF(TT!$D$370:$D$377,TALLY!A12)</f>
        <v>0</v>
      </c>
      <c r="AA12" s="205">
        <f>COUNTIF(TT!$D$382:$D$393,TALLY!A12)</f>
        <v>0</v>
      </c>
      <c r="AB12" s="205">
        <f>COUNTIF(TT!$D$398:$D$408,TALLY!A12)</f>
        <v>0</v>
      </c>
      <c r="AC12" s="202">
        <f>COUNTIF(TT!$D$413:$D$425,TALLY!A12)</f>
        <v>0</v>
      </c>
      <c r="AD12" s="202">
        <f>COUNTIF(TT!$D$430:$D$433,TALLY!A12)</f>
        <v>0</v>
      </c>
      <c r="AE12" s="202">
        <f>COUNTIF(TT!$D$454:$D$466,TALLY!A12)</f>
        <v>0</v>
      </c>
      <c r="AF12" s="204">
        <f>COUNTIF(TT!$D$471:$D$480,TALLY!A12)</f>
        <v>0</v>
      </c>
      <c r="AG12" s="204">
        <f>COUNTIF(TT!$D$487:$D$496,TALLY!A12)</f>
        <v>0</v>
      </c>
      <c r="AH12" s="204">
        <f>COUNTIF(TT!$D$501:$D$517,TALLY!A12)</f>
        <v>0</v>
      </c>
      <c r="AI12" s="202">
        <f>COUNTIF(TT!$D$522:$D$533,TALLY!A12)</f>
        <v>0</v>
      </c>
      <c r="AJ12" s="202">
        <f>COUNTIF(TT!$D$538:$D$550,TALLY!A12)</f>
        <v>1</v>
      </c>
      <c r="AK12" s="202">
        <f>COUNTIF(TT!$D$555:$D$569,TALLY!A12)</f>
        <v>0</v>
      </c>
      <c r="AL12" s="205">
        <f>COUNTIF(TT!$D$574:$D$582,TALLY!A12)</f>
        <v>0</v>
      </c>
      <c r="AM12" s="205">
        <f>COUNTIF(TT!$D$587:$D$593,TALLY!A12)</f>
        <v>0</v>
      </c>
      <c r="AN12" s="205">
        <f>COUNTIF(TT!$D$598:$D$606,TALLY!A12)</f>
        <v>0</v>
      </c>
      <c r="AO12" s="202">
        <f>COUNTIF(TT!$D$611:$D$620,TALLY!A12)</f>
        <v>0</v>
      </c>
      <c r="AP12" s="202">
        <f>COUNTIF(TT!$D$627:$D$639,TALLY!A12)</f>
        <v>0</v>
      </c>
      <c r="AQ12" s="202">
        <f>COUNTIF(TT!$D$645:$D$657,TALLY!A12)</f>
        <v>1</v>
      </c>
      <c r="AR12" s="205">
        <f>COUNTIF(TT!$D$663:$D$671,TALLY!A12)</f>
        <v>0</v>
      </c>
      <c r="AS12" s="205">
        <f>COUNTIF(TT!$D$677:$D$685,TALLY!A12)</f>
        <v>1</v>
      </c>
      <c r="AT12" s="205">
        <f>COUNTIF(TT!$D$689:$D$698,TALLY!A12)</f>
        <v>0</v>
      </c>
      <c r="AU12" s="203" t="s">
        <v>95</v>
      </c>
      <c r="AV12" s="202">
        <f t="shared" si="0"/>
        <v>1</v>
      </c>
      <c r="AW12" s="202">
        <f t="shared" si="1"/>
        <v>0</v>
      </c>
      <c r="AX12" s="202">
        <f t="shared" si="2"/>
        <v>0</v>
      </c>
      <c r="AY12" s="202">
        <f t="shared" si="3"/>
        <v>1</v>
      </c>
      <c r="AZ12" s="202">
        <f t="shared" si="4"/>
        <v>0</v>
      </c>
      <c r="BA12" s="202">
        <f t="shared" si="5"/>
        <v>0</v>
      </c>
      <c r="BB12" s="202">
        <f t="shared" si="6"/>
        <v>0</v>
      </c>
      <c r="BC12" s="202">
        <f t="shared" si="7"/>
        <v>0</v>
      </c>
      <c r="BD12" s="202">
        <f t="shared" si="15"/>
        <v>0</v>
      </c>
      <c r="BE12" s="202">
        <f t="shared" si="8"/>
        <v>0</v>
      </c>
      <c r="BF12" s="202">
        <f t="shared" si="9"/>
        <v>0</v>
      </c>
      <c r="BG12" s="202">
        <f t="shared" si="10"/>
        <v>1</v>
      </c>
      <c r="BH12" s="202">
        <f t="shared" si="11"/>
        <v>0</v>
      </c>
      <c r="BI12" s="202">
        <f t="shared" si="12"/>
        <v>1</v>
      </c>
      <c r="BJ12" s="202">
        <f t="shared" si="13"/>
        <v>1</v>
      </c>
      <c r="BK12">
        <f t="shared" si="14"/>
        <v>5</v>
      </c>
    </row>
    <row r="13" spans="1:63" x14ac:dyDescent="0.3">
      <c r="A13" s="203" t="s">
        <v>111</v>
      </c>
      <c r="B13" s="204">
        <f>COUNTIF(TT!$D$4:$D$9,TALLY!A13)</f>
        <v>0</v>
      </c>
      <c r="C13" s="204">
        <f>COUNTIF(TT!$D$15:$D$28,TALLY!A13)</f>
        <v>0</v>
      </c>
      <c r="D13" s="204">
        <f>COUNTIF(TT!$D$34:$D$41,TALLY!A13)</f>
        <v>0</v>
      </c>
      <c r="E13" s="202">
        <f>COUNTIF(TT!$D$47:$D$60,TALLY!A13)</f>
        <v>0</v>
      </c>
      <c r="F13" s="202">
        <f>COUNTIF(TT!$D$66:$D$79,TALLY!A13)</f>
        <v>1</v>
      </c>
      <c r="G13" s="202">
        <f>COUNTIF(TT!$D$84:$D$93,TALLY!A13)</f>
        <v>0</v>
      </c>
      <c r="H13" s="205">
        <f>COUNTIF(TT!$D$98:$D$106,TALLY!A13)</f>
        <v>0</v>
      </c>
      <c r="I13" s="205">
        <f>COUNTIF(TT!$D$111:$D$121,TALLY!A13)</f>
        <v>1</v>
      </c>
      <c r="J13" s="205">
        <f>COUNTIF(TT!$D$126:$D$134,TALLY!A13)</f>
        <v>0</v>
      </c>
      <c r="K13" s="202">
        <f>COUNTIF(TT!$D$139:$D$151,TALLY!A13)</f>
        <v>0</v>
      </c>
      <c r="L13" s="202">
        <f>COUNTIF(TT!$D$156:$D$164,TALLY!A13)</f>
        <v>0</v>
      </c>
      <c r="M13" s="202">
        <f>COUNTIF(TT!$D$169:$D$180,TALLY!A13)</f>
        <v>0</v>
      </c>
      <c r="N13" s="205">
        <f>COUNTIF(TT!$D$185:$D$197,TALLY!A13)</f>
        <v>0</v>
      </c>
      <c r="O13" s="205">
        <f>COUNTIF(TT!$D$202:$D$208,TALLY!A13)</f>
        <v>0</v>
      </c>
      <c r="P13" s="205">
        <f>COUNTIF(TT!$D$213:$D$220,TALLY!A13)</f>
        <v>0</v>
      </c>
      <c r="Q13" s="204">
        <f>COUNTIF(TT!$D$225:$D$239,TALLY!A13)</f>
        <v>0</v>
      </c>
      <c r="R13" s="204">
        <f>COUNTIF(TT!$D$244:$D$254,TALLY!A13)</f>
        <v>0</v>
      </c>
      <c r="S13" s="204">
        <f>COUNTIF(TT!$D$259:$D$268,TALLY!A13)</f>
        <v>0</v>
      </c>
      <c r="T13" s="205">
        <f>COUNTIF(TT!$D$271:$D$282,TALLY!A13)</f>
        <v>0</v>
      </c>
      <c r="U13" s="205">
        <f>COUNTIF(TT!$D$287:$D$298,TALLY!A13)</f>
        <v>1</v>
      </c>
      <c r="V13" s="205">
        <f>COUNTIF(TT!$D$303:$D$311,TALLY!A13)</f>
        <v>0</v>
      </c>
      <c r="W13" s="202">
        <f>COUNTIF(TT!$D$316:$D$337,TALLY!A13)</f>
        <v>0</v>
      </c>
      <c r="X13" s="202">
        <f>COUNTIF(TT!$D$342:$D$350,TALLY!A13)</f>
        <v>0</v>
      </c>
      <c r="Y13" s="202">
        <f>COUNTIF(TT!$D$357:$D$365,TALLY!A13)</f>
        <v>0</v>
      </c>
      <c r="Z13" s="205">
        <f>COUNTIF(TT!$D$370:$D$377,TALLY!A13)</f>
        <v>0</v>
      </c>
      <c r="AA13" s="205">
        <f>COUNTIF(TT!$D$382:$D$393,TALLY!A13)</f>
        <v>0</v>
      </c>
      <c r="AB13" s="205">
        <f>COUNTIF(TT!$D$398:$D$408,TALLY!A13)</f>
        <v>0</v>
      </c>
      <c r="AC13" s="202">
        <f>COUNTIF(TT!$D$413:$D$425,TALLY!A13)</f>
        <v>0</v>
      </c>
      <c r="AD13" s="202">
        <f>COUNTIF(TT!$D$430:$D$433,TALLY!A13)</f>
        <v>1</v>
      </c>
      <c r="AE13" s="202">
        <f>COUNTIF(TT!$D$454:$D$466,TALLY!A13)</f>
        <v>0</v>
      </c>
      <c r="AF13" s="204">
        <f>COUNTIF(TT!$D$471:$D$480,TALLY!A13)</f>
        <v>0</v>
      </c>
      <c r="AG13" s="204">
        <f>COUNTIF(TT!$D$487:$D$496,TALLY!A13)</f>
        <v>0</v>
      </c>
      <c r="AH13" s="204">
        <f>COUNTIF(TT!$D$501:$D$517,TALLY!A13)</f>
        <v>0</v>
      </c>
      <c r="AI13" s="202">
        <f>COUNTIF(TT!$D$522:$D$533,TALLY!A13)</f>
        <v>0</v>
      </c>
      <c r="AJ13" s="202">
        <f>COUNTIF(TT!$D$538:$D$550,TALLY!A13)</f>
        <v>1</v>
      </c>
      <c r="AK13" s="202">
        <f>COUNTIF(TT!$D$555:$D$569,TALLY!A13)</f>
        <v>0</v>
      </c>
      <c r="AL13" s="205">
        <f>COUNTIF(TT!$D$574:$D$582,TALLY!A13)</f>
        <v>0</v>
      </c>
      <c r="AM13" s="205">
        <f>COUNTIF(TT!$D$587:$D$593,TALLY!A13)</f>
        <v>0</v>
      </c>
      <c r="AN13" s="205">
        <f>COUNTIF(TT!$D$598:$D$606,TALLY!A13)</f>
        <v>0</v>
      </c>
      <c r="AO13" s="202">
        <f>COUNTIF(TT!$D$611:$D$620,TALLY!A13)</f>
        <v>1</v>
      </c>
      <c r="AP13" s="202">
        <f>COUNTIF(TT!$D$627:$D$639,TALLY!A13)</f>
        <v>0</v>
      </c>
      <c r="AQ13" s="202">
        <f>COUNTIF(TT!$D$645:$D$657,TALLY!A13)</f>
        <v>0</v>
      </c>
      <c r="AR13" s="205">
        <f>COUNTIF(TT!$D$663:$D$671,TALLY!A13)</f>
        <v>1</v>
      </c>
      <c r="AS13" s="205">
        <f>COUNTIF(TT!$D$677:$D$685,TALLY!A13)</f>
        <v>0</v>
      </c>
      <c r="AT13" s="205">
        <f>COUNTIF(TT!$D$689:$D$698,TALLY!A13)</f>
        <v>0</v>
      </c>
      <c r="AU13" s="203" t="s">
        <v>111</v>
      </c>
      <c r="AV13" s="202">
        <f t="shared" si="0"/>
        <v>0</v>
      </c>
      <c r="AW13" s="202">
        <f t="shared" si="1"/>
        <v>1</v>
      </c>
      <c r="AX13" s="202">
        <f t="shared" si="2"/>
        <v>1</v>
      </c>
      <c r="AY13" s="202">
        <f t="shared" si="3"/>
        <v>0</v>
      </c>
      <c r="AZ13" s="202">
        <f t="shared" si="4"/>
        <v>0</v>
      </c>
      <c r="BA13" s="202">
        <f t="shared" si="5"/>
        <v>0</v>
      </c>
      <c r="BB13" s="202">
        <f t="shared" si="6"/>
        <v>1</v>
      </c>
      <c r="BC13" s="202">
        <f t="shared" si="7"/>
        <v>0</v>
      </c>
      <c r="BD13" s="202">
        <f t="shared" si="15"/>
        <v>0</v>
      </c>
      <c r="BE13" s="202">
        <f t="shared" si="8"/>
        <v>1</v>
      </c>
      <c r="BF13" s="202">
        <f t="shared" si="9"/>
        <v>0</v>
      </c>
      <c r="BG13" s="202">
        <f t="shared" si="10"/>
        <v>1</v>
      </c>
      <c r="BH13" s="202">
        <f t="shared" si="11"/>
        <v>0</v>
      </c>
      <c r="BI13" s="202">
        <f t="shared" si="12"/>
        <v>1</v>
      </c>
      <c r="BJ13" s="202">
        <f t="shared" si="13"/>
        <v>1</v>
      </c>
      <c r="BK13">
        <f t="shared" si="14"/>
        <v>7</v>
      </c>
    </row>
    <row r="14" spans="1:63" ht="13.5" customHeight="1" x14ac:dyDescent="0.3">
      <c r="A14" s="203" t="s">
        <v>112</v>
      </c>
      <c r="B14" s="204">
        <f>COUNTIF(TT!$D$4:$D$9,TALLY!A14)</f>
        <v>0</v>
      </c>
      <c r="C14" s="204">
        <f>COUNTIF(TT!$D$15:$D$28,TALLY!A14)</f>
        <v>0</v>
      </c>
      <c r="D14" s="204">
        <f>COUNTIF(TT!$D$34:$D$41,TALLY!A14)</f>
        <v>0</v>
      </c>
      <c r="E14" s="202">
        <f>COUNTIF(TT!$D$47:$D$60,TALLY!A14)</f>
        <v>0</v>
      </c>
      <c r="F14" s="202">
        <f>COUNTIF(TT!$D$66:$D$79,TALLY!A14)</f>
        <v>1</v>
      </c>
      <c r="G14" s="202">
        <f>COUNTIF(TT!$D$84:$D$93,TALLY!A14)</f>
        <v>0</v>
      </c>
      <c r="H14" s="205">
        <f>COUNTIF(TT!$D$98:$D$106,TALLY!A14)</f>
        <v>0</v>
      </c>
      <c r="I14" s="205">
        <f>COUNTIF(TT!$D$111:$D$121,TALLY!A14)</f>
        <v>1</v>
      </c>
      <c r="J14" s="205">
        <f>COUNTIF(TT!$D$126:$D$134,TALLY!A14)</f>
        <v>0</v>
      </c>
      <c r="K14" s="202">
        <f>COUNTIF(TT!$D$139:$D$151,TALLY!A14)</f>
        <v>0</v>
      </c>
      <c r="L14" s="202">
        <f>COUNTIF(TT!$D$156:$D$164,TALLY!A14)</f>
        <v>0</v>
      </c>
      <c r="M14" s="202">
        <f>COUNTIF(TT!$D$169:$D$180,TALLY!A14)</f>
        <v>0</v>
      </c>
      <c r="N14" s="205">
        <f>COUNTIF(TT!$D$185:$D$197,TALLY!A14)</f>
        <v>0</v>
      </c>
      <c r="O14" s="205">
        <f>COUNTIF(TT!$D$202:$D$208,TALLY!A14)</f>
        <v>0</v>
      </c>
      <c r="P14" s="205">
        <f>COUNTIF(TT!$D$213:$D$220,TALLY!A14)</f>
        <v>0</v>
      </c>
      <c r="Q14" s="204">
        <f>COUNTIF(TT!$D$225:$D$239,TALLY!A14)</f>
        <v>1</v>
      </c>
      <c r="R14" s="204">
        <f>COUNTIF(TT!$D$244:$D$254,TALLY!A14)</f>
        <v>0</v>
      </c>
      <c r="S14" s="204">
        <f>COUNTIF(TT!$D$259:$D$268,TALLY!A14)</f>
        <v>0</v>
      </c>
      <c r="T14" s="205">
        <f>COUNTIF(TT!$D$271:$D$282,TALLY!A14)</f>
        <v>0</v>
      </c>
      <c r="U14" s="205">
        <f>COUNTIF(TT!$D$287:$D$298,TALLY!A14)</f>
        <v>1</v>
      </c>
      <c r="V14" s="205">
        <f>COUNTIF(TT!$D$303:$D$311,TALLY!A14)</f>
        <v>0</v>
      </c>
      <c r="W14" s="202">
        <f>COUNTIF(TT!$D$316:$D$337,TALLY!A14)</f>
        <v>0</v>
      </c>
      <c r="X14" s="202">
        <f>COUNTIF(TT!$D$342:$D$350,TALLY!A14)</f>
        <v>0</v>
      </c>
      <c r="Y14" s="202">
        <f>COUNTIF(TT!$D$357:$D$365,TALLY!A14)</f>
        <v>0</v>
      </c>
      <c r="Z14" s="205">
        <f>COUNTIF(TT!$D$370:$D$377,TALLY!A14)</f>
        <v>0</v>
      </c>
      <c r="AA14" s="205">
        <f>COUNTIF(TT!$D$382:$D$393,TALLY!A14)</f>
        <v>0</v>
      </c>
      <c r="AB14" s="205">
        <f>COUNTIF(TT!$D$398:$D$408,TALLY!A14)</f>
        <v>0</v>
      </c>
      <c r="AC14" s="202">
        <f>COUNTIF(TT!$D$413:$D$425,TALLY!A14)</f>
        <v>0</v>
      </c>
      <c r="AD14" s="202">
        <f>COUNTIF(TT!$D$430:$D$433,TALLY!A14)</f>
        <v>0</v>
      </c>
      <c r="AE14" s="202">
        <f>COUNTIF(TT!$D$454:$D$466,TALLY!A14)</f>
        <v>1</v>
      </c>
      <c r="AF14" s="204">
        <f>COUNTIF(TT!$D$471:$D$480,TALLY!A14)</f>
        <v>0</v>
      </c>
      <c r="AG14" s="204">
        <f>COUNTIF(TT!$D$487:$D$496,TALLY!A14)</f>
        <v>0</v>
      </c>
      <c r="AH14" s="204">
        <f>COUNTIF(TT!$D$501:$D$517,TALLY!A14)</f>
        <v>0</v>
      </c>
      <c r="AI14" s="202">
        <f>COUNTIF(TT!$D$522:$D$533,TALLY!A14)</f>
        <v>0</v>
      </c>
      <c r="AJ14" s="202">
        <f>COUNTIF(TT!$D$538:$D$550,TALLY!A14)</f>
        <v>1</v>
      </c>
      <c r="AK14" s="202">
        <f>COUNTIF(TT!$D$555:$D$569,TALLY!A14)</f>
        <v>0</v>
      </c>
      <c r="AL14" s="205">
        <f>COUNTIF(TT!$D$574:$D$582,TALLY!A14)</f>
        <v>0</v>
      </c>
      <c r="AM14" s="205">
        <f>COUNTIF(TT!$D$587:$D$593,TALLY!A14)</f>
        <v>0</v>
      </c>
      <c r="AN14" s="205">
        <f>COUNTIF(TT!$D$598:$D$606,TALLY!A14)</f>
        <v>0</v>
      </c>
      <c r="AO14" s="202">
        <f>COUNTIF(TT!$D$611:$D$620,TALLY!A14)</f>
        <v>1</v>
      </c>
      <c r="AP14" s="202">
        <f>COUNTIF(TT!$D$627:$D$639,TALLY!A14)</f>
        <v>0</v>
      </c>
      <c r="AQ14" s="202">
        <f>COUNTIF(TT!$D$645:$D$657,TALLY!A14)</f>
        <v>0</v>
      </c>
      <c r="AR14" s="205">
        <f>COUNTIF(TT!$D$663:$D$671,TALLY!A14)</f>
        <v>1</v>
      </c>
      <c r="AS14" s="205">
        <f>COUNTIF(TT!$D$677:$D$685,TALLY!A14)</f>
        <v>0</v>
      </c>
      <c r="AT14" s="205">
        <f>COUNTIF(TT!$D$689:$D$698,TALLY!A14)</f>
        <v>0</v>
      </c>
      <c r="AU14" s="203" t="s">
        <v>112</v>
      </c>
      <c r="AV14" s="202">
        <f t="shared" si="0"/>
        <v>0</v>
      </c>
      <c r="AW14" s="202">
        <f t="shared" si="1"/>
        <v>1</v>
      </c>
      <c r="AX14" s="202">
        <f t="shared" si="2"/>
        <v>1</v>
      </c>
      <c r="AY14" s="202">
        <f t="shared" si="3"/>
        <v>0</v>
      </c>
      <c r="AZ14" s="202">
        <f t="shared" si="4"/>
        <v>0</v>
      </c>
      <c r="BA14" s="202">
        <f t="shared" si="5"/>
        <v>1</v>
      </c>
      <c r="BB14" s="202">
        <f t="shared" si="6"/>
        <v>1</v>
      </c>
      <c r="BC14" s="202">
        <f t="shared" si="7"/>
        <v>0</v>
      </c>
      <c r="BD14" s="202">
        <f t="shared" si="15"/>
        <v>0</v>
      </c>
      <c r="BE14" s="202">
        <f t="shared" si="8"/>
        <v>1</v>
      </c>
      <c r="BF14" s="202">
        <f t="shared" si="9"/>
        <v>0</v>
      </c>
      <c r="BG14" s="202">
        <f t="shared" si="10"/>
        <v>1</v>
      </c>
      <c r="BH14" s="202">
        <f t="shared" si="11"/>
        <v>0</v>
      </c>
      <c r="BI14" s="202">
        <f t="shared" si="12"/>
        <v>1</v>
      </c>
      <c r="BJ14" s="202">
        <f t="shared" si="13"/>
        <v>1</v>
      </c>
      <c r="BK14">
        <f t="shared" si="14"/>
        <v>8</v>
      </c>
    </row>
    <row r="15" spans="1:63" x14ac:dyDescent="0.3">
      <c r="A15" s="203" t="s">
        <v>161</v>
      </c>
      <c r="B15" s="204">
        <f>COUNTIF(TT!$D$4:$D$9,TALLY!A15)</f>
        <v>0</v>
      </c>
      <c r="C15" s="204">
        <f>COUNTIF(TT!$D$15:$D$28,TALLY!A15)</f>
        <v>0</v>
      </c>
      <c r="D15" s="204">
        <f>COUNTIF(TT!$D$34:$D$41,TALLY!A15)</f>
        <v>0</v>
      </c>
      <c r="E15" s="202">
        <f>COUNTIF(TT!$D$47:$D$60,TALLY!A15)</f>
        <v>0</v>
      </c>
      <c r="F15" s="202">
        <f>COUNTIF(TT!$D$66:$D$79,TALLY!A15)</f>
        <v>0</v>
      </c>
      <c r="G15" s="202">
        <f>COUNTIF(TT!$D$84:$D$93,TALLY!A15)</f>
        <v>0</v>
      </c>
      <c r="H15" s="205">
        <f>COUNTIF(TT!$D$98:$D$106,TALLY!A15)</f>
        <v>0</v>
      </c>
      <c r="I15" s="205">
        <f>COUNTIF(TT!$D$111:$D$121,TALLY!A15)</f>
        <v>1</v>
      </c>
      <c r="J15" s="205">
        <f>COUNTIF(TT!$D$126:$D$134,TALLY!A15)</f>
        <v>0</v>
      </c>
      <c r="K15" s="202">
        <f>COUNTIF(TT!$D$139:$D$151,TALLY!A15)</f>
        <v>0</v>
      </c>
      <c r="L15" s="202">
        <f>COUNTIF(TT!$D$156:$D$164,TALLY!A15)</f>
        <v>0</v>
      </c>
      <c r="M15" s="202">
        <f>COUNTIF(TT!$D$169:$D$180,TALLY!A15)</f>
        <v>0</v>
      </c>
      <c r="N15" s="205">
        <f>COUNTIF(TT!$D$185:$D$197,TALLY!A15)</f>
        <v>0</v>
      </c>
      <c r="O15" s="205">
        <f>COUNTIF(TT!$D$202:$D$208,TALLY!A15)</f>
        <v>0</v>
      </c>
      <c r="P15" s="205">
        <f>COUNTIF(TT!$D$213:$D$220,TALLY!A15)</f>
        <v>1</v>
      </c>
      <c r="Q15" s="204">
        <f>COUNTIF(TT!$D$225:$D$239,TALLY!A15)</f>
        <v>0</v>
      </c>
      <c r="R15" s="204">
        <f>COUNTIF(TT!$D$244:$D$254,TALLY!A15)</f>
        <v>0</v>
      </c>
      <c r="S15" s="204">
        <f>COUNTIF(TT!$D$259:$D$268,TALLY!A15)</f>
        <v>1</v>
      </c>
      <c r="T15" s="205">
        <f>COUNTIF(TT!$D$271:$D$282,TALLY!A15)</f>
        <v>0</v>
      </c>
      <c r="U15" s="205">
        <f>COUNTIF(TT!$D$287:$D$298,TALLY!A15)</f>
        <v>0</v>
      </c>
      <c r="V15" s="205">
        <f>COUNTIF(TT!$D$303:$D$311,TALLY!A15)</f>
        <v>0</v>
      </c>
      <c r="W15" s="202">
        <f>COUNTIF(TT!$D$316:$D$337,TALLY!A15)</f>
        <v>0</v>
      </c>
      <c r="X15" s="202">
        <f>COUNTIF(TT!$D$342:$D$350,TALLY!A15)</f>
        <v>0</v>
      </c>
      <c r="Y15" s="202">
        <f>COUNTIF(TT!$D$357:$D$365,TALLY!A15)</f>
        <v>0</v>
      </c>
      <c r="Z15" s="205">
        <f>COUNTIF(TT!$D$370:$D$377,TALLY!A15)</f>
        <v>0</v>
      </c>
      <c r="AA15" s="205">
        <f>COUNTIF(TT!$D$382:$D$393,TALLY!A15)</f>
        <v>0</v>
      </c>
      <c r="AB15" s="205">
        <f>COUNTIF(TT!$D$398:$D$408,TALLY!A15)</f>
        <v>0</v>
      </c>
      <c r="AC15" s="202">
        <f>COUNTIF(TT!$D$413:$D$425,TALLY!A15)</f>
        <v>0</v>
      </c>
      <c r="AD15" s="202">
        <f>COUNTIF(TT!$D$430:$D$433,TALLY!A15)</f>
        <v>0</v>
      </c>
      <c r="AE15" s="202">
        <f>COUNTIF(TT!$D$454:$D$466,TALLY!A15)</f>
        <v>1</v>
      </c>
      <c r="AF15" s="204">
        <f>COUNTIF(TT!$D$471:$D$480,TALLY!A15)</f>
        <v>0</v>
      </c>
      <c r="AG15" s="204">
        <f>COUNTIF(TT!$D$487:$D$496,TALLY!A15)</f>
        <v>0</v>
      </c>
      <c r="AH15" s="204">
        <f>COUNTIF(TT!$D$501:$D$517,TALLY!A15)</f>
        <v>0</v>
      </c>
      <c r="AI15" s="202">
        <f>COUNTIF(TT!$D$522:$D$533,TALLY!A15)</f>
        <v>0</v>
      </c>
      <c r="AJ15" s="202">
        <f>COUNTIF(TT!$D$538:$D$550,TALLY!A15)</f>
        <v>1</v>
      </c>
      <c r="AK15" s="202">
        <f>COUNTIF(TT!$D$555:$D$569,TALLY!A15)</f>
        <v>0</v>
      </c>
      <c r="AL15" s="205">
        <f>COUNTIF(TT!$D$574:$D$582,TALLY!A15)</f>
        <v>0</v>
      </c>
      <c r="AM15" s="205">
        <f>COUNTIF(TT!$D$587:$D$593,TALLY!A15)</f>
        <v>0</v>
      </c>
      <c r="AN15" s="205">
        <f>COUNTIF(TT!$D$598:$D$606,TALLY!A15)</f>
        <v>0</v>
      </c>
      <c r="AO15" s="202">
        <f>COUNTIF(TT!$D$611:$D$620,TALLY!A15)</f>
        <v>1</v>
      </c>
      <c r="AP15" s="202">
        <f>COUNTIF(TT!$D$627:$D$639,TALLY!A15)</f>
        <v>0</v>
      </c>
      <c r="AQ15" s="202">
        <f>COUNTIF(TT!$D$645:$D$657,TALLY!A15)</f>
        <v>0</v>
      </c>
      <c r="AR15" s="205">
        <f>COUNTIF(TT!$D$663:$D$671,TALLY!A15)</f>
        <v>0</v>
      </c>
      <c r="AS15" s="205">
        <f>COUNTIF(TT!$D$677:$D$685,TALLY!A15)</f>
        <v>1</v>
      </c>
      <c r="AT15" s="205">
        <f>COUNTIF(TT!$D$689:$D$698,TALLY!A15)</f>
        <v>0</v>
      </c>
      <c r="AU15" s="203" t="s">
        <v>161</v>
      </c>
      <c r="AV15" s="202">
        <f t="shared" si="0"/>
        <v>0</v>
      </c>
      <c r="AW15" s="202">
        <f t="shared" si="1"/>
        <v>0</v>
      </c>
      <c r="AX15" s="202">
        <f t="shared" si="2"/>
        <v>1</v>
      </c>
      <c r="AY15" s="202">
        <f t="shared" si="3"/>
        <v>0</v>
      </c>
      <c r="AZ15" s="202">
        <f t="shared" si="4"/>
        <v>1</v>
      </c>
      <c r="BA15" s="202">
        <f t="shared" si="5"/>
        <v>1</v>
      </c>
      <c r="BB15" s="202">
        <f t="shared" si="6"/>
        <v>0</v>
      </c>
      <c r="BC15" s="202">
        <f t="shared" si="7"/>
        <v>0</v>
      </c>
      <c r="BD15" s="202">
        <f t="shared" si="15"/>
        <v>0</v>
      </c>
      <c r="BE15" s="202">
        <f t="shared" si="8"/>
        <v>1</v>
      </c>
      <c r="BF15" s="202">
        <f t="shared" si="9"/>
        <v>0</v>
      </c>
      <c r="BG15" s="202">
        <f t="shared" si="10"/>
        <v>1</v>
      </c>
      <c r="BH15" s="202">
        <f t="shared" si="11"/>
        <v>0</v>
      </c>
      <c r="BI15" s="202">
        <f t="shared" si="12"/>
        <v>1</v>
      </c>
      <c r="BJ15" s="202">
        <f t="shared" si="13"/>
        <v>1</v>
      </c>
      <c r="BK15">
        <f t="shared" si="14"/>
        <v>7</v>
      </c>
    </row>
    <row r="16" spans="1:63" x14ac:dyDescent="0.3">
      <c r="A16" s="203" t="s">
        <v>114</v>
      </c>
      <c r="B16" s="204">
        <f>COUNTIF(TT!$D$4:$D$9,TALLY!A16)</f>
        <v>0</v>
      </c>
      <c r="C16" s="204">
        <f>COUNTIF(TT!$D$15:$D$28,TALLY!A16)</f>
        <v>0</v>
      </c>
      <c r="D16" s="204">
        <f>COUNTIF(TT!$D$34:$D$41,TALLY!A16)</f>
        <v>0</v>
      </c>
      <c r="E16" s="202">
        <f>COUNTIF(TT!$D$47:$D$60,TALLY!A16)</f>
        <v>0</v>
      </c>
      <c r="F16" s="202">
        <f>COUNTIF(TT!$D$66:$D$79,TALLY!A16)</f>
        <v>1</v>
      </c>
      <c r="G16" s="202">
        <f>COUNTIF(TT!$D$84:$D$93,TALLY!A16)</f>
        <v>0</v>
      </c>
      <c r="H16" s="205">
        <f>COUNTIF(TT!$D$98:$D$106,TALLY!A16)</f>
        <v>0</v>
      </c>
      <c r="I16" s="205">
        <f>COUNTIF(TT!$D$111:$D$121,TALLY!A16)</f>
        <v>1</v>
      </c>
      <c r="J16" s="205">
        <f>COUNTIF(TT!$D$126:$D$134,TALLY!A16)</f>
        <v>0</v>
      </c>
      <c r="K16" s="202">
        <f>COUNTIF(TT!$D$139:$D$151,TALLY!A16)</f>
        <v>0</v>
      </c>
      <c r="L16" s="202">
        <f>COUNTIF(TT!$D$156:$D$164,TALLY!A16)</f>
        <v>0</v>
      </c>
      <c r="M16" s="202">
        <f>COUNTIF(TT!$D$169:$D$180,TALLY!A16)</f>
        <v>0</v>
      </c>
      <c r="N16" s="205">
        <f>COUNTIF(TT!$D$185:$D$197,TALLY!A16)</f>
        <v>0</v>
      </c>
      <c r="O16" s="205">
        <f>COUNTIF(TT!$D$202:$D$208,TALLY!A16)</f>
        <v>0</v>
      </c>
      <c r="P16" s="205">
        <f>COUNTIF(TT!$D$213:$D$220,TALLY!A16)</f>
        <v>0</v>
      </c>
      <c r="Q16" s="204">
        <f>COUNTIF(TT!$D$225:$D$239,TALLY!A16)</f>
        <v>0</v>
      </c>
      <c r="R16" s="204">
        <f>COUNTIF(TT!$D$244:$D$254,TALLY!A16)</f>
        <v>0</v>
      </c>
      <c r="S16" s="204">
        <f>COUNTIF(TT!$D$259:$D$268,TALLY!A16)</f>
        <v>0</v>
      </c>
      <c r="T16" s="205">
        <f>COUNTIF(TT!$D$271:$D$282,TALLY!A16)</f>
        <v>0</v>
      </c>
      <c r="U16" s="205">
        <f>COUNTIF(TT!$D$287:$D$298,TALLY!A16)</f>
        <v>0</v>
      </c>
      <c r="V16" s="205">
        <f>COUNTIF(TT!$D$303:$D$311,TALLY!A16)</f>
        <v>1</v>
      </c>
      <c r="W16" s="202">
        <f>COUNTIF(TT!$D$316:$D$337,TALLY!A16)</f>
        <v>0</v>
      </c>
      <c r="X16" s="202">
        <f>COUNTIF(TT!$D$342:$D$350,TALLY!A16)</f>
        <v>0</v>
      </c>
      <c r="Y16" s="202">
        <f>COUNTIF(TT!$D$357:$D$365,TALLY!A16)</f>
        <v>0</v>
      </c>
      <c r="Z16" s="205">
        <f>COUNTIF(TT!$D$370:$D$377,TALLY!A16)</f>
        <v>0</v>
      </c>
      <c r="AA16" s="205">
        <f>COUNTIF(TT!$D$382:$D$393,TALLY!A16)</f>
        <v>1</v>
      </c>
      <c r="AB16" s="205">
        <f>COUNTIF(TT!$D$398:$D$408,TALLY!A16)</f>
        <v>0</v>
      </c>
      <c r="AC16" s="202">
        <f>COUNTIF(TT!$D$413:$D$425,TALLY!A16)</f>
        <v>0</v>
      </c>
      <c r="AD16" s="202">
        <f>COUNTIF(TT!$D$430:$D$433,TALLY!A16)</f>
        <v>0</v>
      </c>
      <c r="AE16" s="202">
        <f>COUNTIF(TT!$D$454:$D$466,TALLY!A16)</f>
        <v>1</v>
      </c>
      <c r="AF16" s="204">
        <f>COUNTIF(TT!$D$471:$D$480,TALLY!A16)</f>
        <v>0</v>
      </c>
      <c r="AG16" s="204">
        <f>COUNTIF(TT!$D$487:$D$496,TALLY!A16)</f>
        <v>0</v>
      </c>
      <c r="AH16" s="204">
        <f>COUNTIF(TT!$D$501:$D$517,TALLY!A16)</f>
        <v>0</v>
      </c>
      <c r="AI16" s="202">
        <f>COUNTIF(TT!$D$522:$D$533,TALLY!A16)</f>
        <v>0</v>
      </c>
      <c r="AJ16" s="202">
        <f>COUNTIF(TT!$D$538:$D$550,TALLY!A16)</f>
        <v>0</v>
      </c>
      <c r="AK16" s="202">
        <f>COUNTIF(TT!$D$555:$D$569,TALLY!A16)</f>
        <v>1</v>
      </c>
      <c r="AL16" s="205">
        <f>COUNTIF(TT!$D$574:$D$582,TALLY!A16)</f>
        <v>0</v>
      </c>
      <c r="AM16" s="205">
        <f>COUNTIF(TT!$D$587:$D$593,TALLY!A16)</f>
        <v>0</v>
      </c>
      <c r="AN16" s="205">
        <f>COUNTIF(TT!$D$598:$D$606,TALLY!A16)</f>
        <v>0</v>
      </c>
      <c r="AO16" s="202">
        <f>COUNTIF(TT!$D$611:$D$620,TALLY!A16)</f>
        <v>0</v>
      </c>
      <c r="AP16" s="202">
        <f>COUNTIF(TT!$D$627:$D$639,TALLY!A16)</f>
        <v>1</v>
      </c>
      <c r="AQ16" s="202">
        <f>COUNTIF(TT!$D$645:$D$657,TALLY!A16)</f>
        <v>0</v>
      </c>
      <c r="AR16" s="205">
        <f>COUNTIF(TT!$D$663:$D$671,TALLY!A16)</f>
        <v>0</v>
      </c>
      <c r="AS16" s="205">
        <f>COUNTIF(TT!$D$677:$D$685,TALLY!A16)</f>
        <v>1</v>
      </c>
      <c r="AT16" s="205">
        <f>COUNTIF(TT!$D$689:$D$698,TALLY!A16)</f>
        <v>0</v>
      </c>
      <c r="AU16" s="203" t="s">
        <v>114</v>
      </c>
      <c r="AV16" s="202">
        <f t="shared" si="0"/>
        <v>0</v>
      </c>
      <c r="AW16" s="202">
        <f t="shared" si="1"/>
        <v>1</v>
      </c>
      <c r="AX16" s="202">
        <f t="shared" si="2"/>
        <v>1</v>
      </c>
      <c r="AY16" s="202">
        <f t="shared" si="3"/>
        <v>0</v>
      </c>
      <c r="AZ16" s="202">
        <f t="shared" si="4"/>
        <v>0</v>
      </c>
      <c r="BA16" s="202">
        <f t="shared" si="5"/>
        <v>0</v>
      </c>
      <c r="BB16" s="202">
        <f t="shared" si="6"/>
        <v>1</v>
      </c>
      <c r="BC16" s="202">
        <f t="shared" si="7"/>
        <v>0</v>
      </c>
      <c r="BD16" s="202">
        <f t="shared" si="15"/>
        <v>1</v>
      </c>
      <c r="BE16" s="202">
        <f t="shared" si="8"/>
        <v>1</v>
      </c>
      <c r="BF16" s="202">
        <f t="shared" si="9"/>
        <v>0</v>
      </c>
      <c r="BG16" s="202">
        <f t="shared" si="10"/>
        <v>1</v>
      </c>
      <c r="BH16" s="202">
        <f t="shared" si="11"/>
        <v>0</v>
      </c>
      <c r="BI16" s="202">
        <f t="shared" si="12"/>
        <v>1</v>
      </c>
      <c r="BJ16" s="202">
        <f t="shared" si="13"/>
        <v>1</v>
      </c>
      <c r="BK16">
        <f t="shared" si="14"/>
        <v>8</v>
      </c>
    </row>
    <row r="17" spans="1:63" x14ac:dyDescent="0.3">
      <c r="A17" s="203" t="s">
        <v>115</v>
      </c>
      <c r="B17" s="204">
        <f>COUNTIF(TT!$D$4:$D$9,TALLY!A17)</f>
        <v>0</v>
      </c>
      <c r="C17" s="204">
        <f>COUNTIF(TT!$D$15:$D$28,TALLY!A17)</f>
        <v>0</v>
      </c>
      <c r="D17" s="204">
        <f>COUNTIF(TT!$D$34:$D$41,TALLY!A17)</f>
        <v>0</v>
      </c>
      <c r="E17" s="202">
        <f>COUNTIF(TT!$D$47:$D$60,TALLY!A17)</f>
        <v>0</v>
      </c>
      <c r="F17" s="202">
        <f>COUNTIF(TT!$D$66:$D$79,TALLY!A17)</f>
        <v>1</v>
      </c>
      <c r="G17" s="202">
        <f>COUNTIF(TT!$D$84:$D$93,TALLY!A17)</f>
        <v>0</v>
      </c>
      <c r="H17" s="205">
        <f>COUNTIF(TT!$D$98:$D$106,TALLY!A17)</f>
        <v>0</v>
      </c>
      <c r="I17" s="205">
        <f>COUNTIF(TT!$D$111:$D$121,TALLY!A17)</f>
        <v>1</v>
      </c>
      <c r="J17" s="205">
        <f>COUNTIF(TT!$D$126:$D$134,TALLY!A17)</f>
        <v>0</v>
      </c>
      <c r="K17" s="202">
        <f>COUNTIF(TT!$D$139:$D$151,TALLY!A17)</f>
        <v>0</v>
      </c>
      <c r="L17" s="202">
        <f>COUNTIF(TT!$D$156:$D$164,TALLY!A17)</f>
        <v>0</v>
      </c>
      <c r="M17" s="202">
        <f>COUNTIF(TT!$D$169:$D$180,TALLY!A17)</f>
        <v>0</v>
      </c>
      <c r="N17" s="205">
        <f>COUNTIF(TT!$D$185:$D$197,TALLY!A17)</f>
        <v>0</v>
      </c>
      <c r="O17" s="205">
        <f>COUNTIF(TT!$D$202:$D$208,TALLY!A17)</f>
        <v>0</v>
      </c>
      <c r="P17" s="205">
        <f>COUNTIF(TT!$D$213:$D$220,TALLY!A17)</f>
        <v>0</v>
      </c>
      <c r="Q17" s="204">
        <f>COUNTIF(TT!$D$225:$D$239,TALLY!A17)</f>
        <v>0</v>
      </c>
      <c r="R17" s="204">
        <f>COUNTIF(TT!$D$244:$D$254,TALLY!A17)</f>
        <v>0</v>
      </c>
      <c r="S17" s="204">
        <f>COUNTIF(TT!$D$259:$D$268,TALLY!A17)</f>
        <v>0</v>
      </c>
      <c r="T17" s="205">
        <f>COUNTIF(TT!$D$271:$D$282,TALLY!A17)</f>
        <v>0</v>
      </c>
      <c r="U17" s="205">
        <f>COUNTIF(TT!$D$287:$D$298,TALLY!A17)</f>
        <v>0</v>
      </c>
      <c r="V17" s="205">
        <f>COUNTIF(TT!$D$303:$D$311,TALLY!A17)</f>
        <v>1</v>
      </c>
      <c r="W17" s="202">
        <f>COUNTIF(TT!$D$316:$D$337,TALLY!A17)</f>
        <v>0</v>
      </c>
      <c r="X17" s="202">
        <f>COUNTIF(TT!$D$342:$D$350,TALLY!A17)</f>
        <v>0</v>
      </c>
      <c r="Y17" s="202">
        <f>COUNTIF(TT!$D$357:$D$365,TALLY!A17)</f>
        <v>0</v>
      </c>
      <c r="Z17" s="205">
        <f>COUNTIF(TT!$D$370:$D$377,TALLY!A17)</f>
        <v>0</v>
      </c>
      <c r="AA17" s="205">
        <f>COUNTIF(TT!$D$382:$D$393,TALLY!A17)</f>
        <v>0</v>
      </c>
      <c r="AB17" s="205">
        <f>COUNTIF(TT!$D$398:$D$408,TALLY!A17)</f>
        <v>0</v>
      </c>
      <c r="AC17" s="202">
        <f>COUNTIF(TT!$D$413:$D$425,TALLY!A17)</f>
        <v>0</v>
      </c>
      <c r="AD17" s="202">
        <f>COUNTIF(TT!$D$430:$D$433,TALLY!A17)</f>
        <v>0</v>
      </c>
      <c r="AE17" s="202">
        <f>COUNTIF(TT!$D$454:$D$466,TALLY!A17)</f>
        <v>0</v>
      </c>
      <c r="AF17" s="204">
        <f>COUNTIF(TT!$D$471:$D$480,TALLY!A17)</f>
        <v>0</v>
      </c>
      <c r="AG17" s="204">
        <f>COUNTIF(TT!$D$487:$D$496,TALLY!A17)</f>
        <v>1</v>
      </c>
      <c r="AH17" s="204">
        <f>COUNTIF(TT!$D$501:$D$517,TALLY!A17)</f>
        <v>0</v>
      </c>
      <c r="AI17" s="202">
        <f>COUNTIF(TT!$D$522:$D$533,TALLY!A17)</f>
        <v>0</v>
      </c>
      <c r="AJ17" s="202">
        <f>COUNTIF(TT!$D$538:$D$550,TALLY!A17)</f>
        <v>0</v>
      </c>
      <c r="AK17" s="202">
        <f>COUNTIF(TT!$D$555:$D$569,TALLY!A17)</f>
        <v>0</v>
      </c>
      <c r="AL17" s="205">
        <f>COUNTIF(TT!$D$574:$D$582,TALLY!A17)</f>
        <v>0</v>
      </c>
      <c r="AM17" s="205">
        <f>COUNTIF(TT!$D$587:$D$593,TALLY!A17)</f>
        <v>0</v>
      </c>
      <c r="AN17" s="205">
        <f>COUNTIF(TT!$D$598:$D$606,TALLY!A17)</f>
        <v>0</v>
      </c>
      <c r="AO17" s="202">
        <f>COUNTIF(TT!$D$611:$D$620,TALLY!A17)</f>
        <v>0</v>
      </c>
      <c r="AP17" s="202">
        <f>COUNTIF(TT!$D$627:$D$639,TALLY!A17)</f>
        <v>1</v>
      </c>
      <c r="AQ17" s="202">
        <f>COUNTIF(TT!$D$645:$D$657,TALLY!A17)</f>
        <v>0</v>
      </c>
      <c r="AR17" s="205">
        <f>COUNTIF(TT!$D$663:$D$671,TALLY!A17)</f>
        <v>0</v>
      </c>
      <c r="AS17" s="205">
        <f>COUNTIF(TT!$D$677:$D$685,TALLY!A17)</f>
        <v>1</v>
      </c>
      <c r="AT17" s="205">
        <f>COUNTIF(TT!$D$689:$D$698,TALLY!A17)</f>
        <v>0</v>
      </c>
      <c r="AU17" s="203" t="s">
        <v>115</v>
      </c>
      <c r="AV17" s="202">
        <f t="shared" si="0"/>
        <v>0</v>
      </c>
      <c r="AW17" s="202">
        <f t="shared" si="1"/>
        <v>1</v>
      </c>
      <c r="AX17" s="202">
        <f t="shared" si="2"/>
        <v>1</v>
      </c>
      <c r="AY17" s="202">
        <f t="shared" si="3"/>
        <v>0</v>
      </c>
      <c r="AZ17" s="202">
        <f t="shared" si="4"/>
        <v>0</v>
      </c>
      <c r="BA17" s="202">
        <f t="shared" si="5"/>
        <v>0</v>
      </c>
      <c r="BB17" s="202">
        <f t="shared" si="6"/>
        <v>1</v>
      </c>
      <c r="BC17" s="202">
        <f t="shared" si="7"/>
        <v>0</v>
      </c>
      <c r="BD17" s="202">
        <f t="shared" si="15"/>
        <v>0</v>
      </c>
      <c r="BE17" s="202">
        <f t="shared" si="8"/>
        <v>0</v>
      </c>
      <c r="BF17" s="202">
        <f t="shared" si="9"/>
        <v>1</v>
      </c>
      <c r="BG17" s="202">
        <f t="shared" si="10"/>
        <v>0</v>
      </c>
      <c r="BH17" s="202">
        <f t="shared" si="11"/>
        <v>0</v>
      </c>
      <c r="BI17" s="202">
        <f t="shared" si="12"/>
        <v>1</v>
      </c>
      <c r="BJ17" s="202">
        <f t="shared" si="13"/>
        <v>1</v>
      </c>
      <c r="BK17">
        <f t="shared" si="14"/>
        <v>6</v>
      </c>
    </row>
    <row r="18" spans="1:63" x14ac:dyDescent="0.3">
      <c r="A18" s="203" t="s">
        <v>81</v>
      </c>
      <c r="B18" s="204">
        <f>COUNTIF(TT!$D$4:$D$9,TALLY!A18)</f>
        <v>0</v>
      </c>
      <c r="C18" s="204">
        <f>COUNTIF(TT!$D$15:$D$28,TALLY!A18)</f>
        <v>0</v>
      </c>
      <c r="D18" s="204">
        <f>COUNTIF(TT!$D$34:$D$41,TALLY!A18)</f>
        <v>0</v>
      </c>
      <c r="E18" s="202">
        <f>COUNTIF(TT!$D$47:$D$60,TALLY!A18)</f>
        <v>1</v>
      </c>
      <c r="F18" s="202">
        <f>COUNTIF(TT!$D$66:$D$79,TALLY!A18)</f>
        <v>0</v>
      </c>
      <c r="G18" s="202">
        <f>COUNTIF(TT!$D$84:$D$93,TALLY!A18)</f>
        <v>0</v>
      </c>
      <c r="H18" s="205">
        <f>COUNTIF(TT!$D$98:$D$106,TALLY!A18)</f>
        <v>0</v>
      </c>
      <c r="I18" s="205">
        <f>COUNTIF(TT!$D$111:$D$121,TALLY!A18)</f>
        <v>0</v>
      </c>
      <c r="J18" s="205">
        <f>COUNTIF(TT!$D$126:$D$134,TALLY!A18)</f>
        <v>0</v>
      </c>
      <c r="K18" s="202">
        <f>COUNTIF(TT!$D$139:$D$151,TALLY!A18)</f>
        <v>1</v>
      </c>
      <c r="L18" s="202">
        <f>COUNTIF(TT!$D$156:$D$164,TALLY!A18)</f>
        <v>0</v>
      </c>
      <c r="M18" s="202">
        <f>COUNTIF(TT!$D$169:$D$180,TALLY!A18)</f>
        <v>0</v>
      </c>
      <c r="N18" s="205">
        <f>COUNTIF(TT!$D$185:$D$197,TALLY!A18)</f>
        <v>0</v>
      </c>
      <c r="O18" s="205">
        <f>COUNTIF(TT!$D$202:$D$208,TALLY!A18)</f>
        <v>0</v>
      </c>
      <c r="P18" s="205">
        <f>COUNTIF(TT!$D$213:$D$220,TALLY!A18)</f>
        <v>0</v>
      </c>
      <c r="Q18" s="204">
        <f>COUNTIF(TT!$D$225:$D$239,TALLY!A18)</f>
        <v>0</v>
      </c>
      <c r="R18" s="204">
        <f>COUNTIF(TT!$D$244:$D$254,TALLY!A18)</f>
        <v>0</v>
      </c>
      <c r="S18" s="204">
        <f>COUNTIF(TT!$D$259:$D$268,TALLY!A18)</f>
        <v>0</v>
      </c>
      <c r="T18" s="205">
        <f>COUNTIF(TT!$D$271:$D$282,TALLY!A18)</f>
        <v>0</v>
      </c>
      <c r="U18" s="205">
        <f>COUNTIF(TT!$D$287:$D$298,TALLY!A18)</f>
        <v>1</v>
      </c>
      <c r="V18" s="205">
        <f>COUNTIF(TT!$D$303:$D$311,TALLY!A18)</f>
        <v>0</v>
      </c>
      <c r="W18" s="202">
        <f>COUNTIF(TT!$D$316:$D$337,TALLY!A18)</f>
        <v>0</v>
      </c>
      <c r="X18" s="202">
        <f>COUNTIF(TT!$D$342:$D$350,TALLY!A18)</f>
        <v>0</v>
      </c>
      <c r="Y18" s="202">
        <f>COUNTIF(TT!$D$357:$D$365,TALLY!A18)</f>
        <v>0</v>
      </c>
      <c r="Z18" s="205">
        <f>COUNTIF(TT!$D$370:$D$377,TALLY!A18)</f>
        <v>0</v>
      </c>
      <c r="AA18" s="205">
        <f>COUNTIF(TT!$D$382:$D$393,TALLY!A18)</f>
        <v>0</v>
      </c>
      <c r="AB18" s="205">
        <f>COUNTIF(TT!$D$398:$D$408,TALLY!A18)</f>
        <v>0</v>
      </c>
      <c r="AC18" s="202">
        <f>COUNTIF(TT!$D$413:$D$425,TALLY!A18)</f>
        <v>0</v>
      </c>
      <c r="AD18" s="202">
        <f>COUNTIF(TT!$D$430:$D$433,TALLY!A18)</f>
        <v>1</v>
      </c>
      <c r="AE18" s="202">
        <f>COUNTIF(TT!$D$454:$D$466,TALLY!A18)</f>
        <v>0</v>
      </c>
      <c r="AF18" s="204">
        <f>COUNTIF(TT!$D$471:$D$480,TALLY!A18)</f>
        <v>0</v>
      </c>
      <c r="AG18" s="204">
        <f>COUNTIF(TT!$D$487:$D$496,TALLY!A18)</f>
        <v>0</v>
      </c>
      <c r="AH18" s="204">
        <f>COUNTIF(TT!$D$501:$D$517,TALLY!A18)</f>
        <v>0</v>
      </c>
      <c r="AI18" s="202">
        <f>COUNTIF(TT!$D$522:$D$533,TALLY!A18)</f>
        <v>0</v>
      </c>
      <c r="AJ18" s="202">
        <f>COUNTIF(TT!$D$538:$D$550,TALLY!A18)</f>
        <v>0</v>
      </c>
      <c r="AK18" s="202">
        <f>COUNTIF(TT!$D$555:$D$569,TALLY!A18)</f>
        <v>1</v>
      </c>
      <c r="AL18" s="205">
        <f>COUNTIF(TT!$D$574:$D$582,TALLY!A18)</f>
        <v>0</v>
      </c>
      <c r="AM18" s="205">
        <f>COUNTIF(TT!$D$587:$D$593,TALLY!A18)</f>
        <v>0</v>
      </c>
      <c r="AN18" s="205">
        <f>COUNTIF(TT!$D$598:$D$606,TALLY!A18)</f>
        <v>0</v>
      </c>
      <c r="AO18" s="202">
        <f>COUNTIF(TT!$D$611:$D$620,TALLY!A18)</f>
        <v>1</v>
      </c>
      <c r="AP18" s="202">
        <f>COUNTIF(TT!$D$627:$D$639,TALLY!A18)</f>
        <v>0</v>
      </c>
      <c r="AQ18" s="202">
        <f>COUNTIF(TT!$D$645:$D$657,TALLY!A18)</f>
        <v>0</v>
      </c>
      <c r="AR18" s="205">
        <f>COUNTIF(TT!$D$663:$D$671,TALLY!A18)</f>
        <v>0</v>
      </c>
      <c r="AS18" s="205">
        <f>COUNTIF(TT!$D$677:$D$685,TALLY!A18)</f>
        <v>1</v>
      </c>
      <c r="AT18" s="205">
        <f>COUNTIF(TT!$D$689:$D$698,TALLY!A18)</f>
        <v>0</v>
      </c>
      <c r="AU18" s="203" t="s">
        <v>81</v>
      </c>
      <c r="AV18" s="202">
        <f t="shared" si="0"/>
        <v>0</v>
      </c>
      <c r="AW18" s="202">
        <f t="shared" si="1"/>
        <v>1</v>
      </c>
      <c r="AX18" s="202">
        <f t="shared" si="2"/>
        <v>0</v>
      </c>
      <c r="AY18" s="202">
        <f t="shared" si="3"/>
        <v>1</v>
      </c>
      <c r="AZ18" s="202">
        <f t="shared" si="4"/>
        <v>0</v>
      </c>
      <c r="BA18" s="202">
        <f t="shared" si="5"/>
        <v>0</v>
      </c>
      <c r="BB18" s="202">
        <f t="shared" si="6"/>
        <v>1</v>
      </c>
      <c r="BC18" s="202">
        <f t="shared" si="7"/>
        <v>0</v>
      </c>
      <c r="BD18" s="202">
        <f t="shared" si="15"/>
        <v>0</v>
      </c>
      <c r="BE18" s="202">
        <f t="shared" si="8"/>
        <v>1</v>
      </c>
      <c r="BF18" s="202">
        <f t="shared" si="9"/>
        <v>0</v>
      </c>
      <c r="BG18" s="202">
        <f t="shared" si="10"/>
        <v>1</v>
      </c>
      <c r="BH18" s="202">
        <f t="shared" si="11"/>
        <v>0</v>
      </c>
      <c r="BI18" s="202">
        <f t="shared" si="12"/>
        <v>1</v>
      </c>
      <c r="BJ18" s="202">
        <f t="shared" si="13"/>
        <v>1</v>
      </c>
      <c r="BK18">
        <f t="shared" si="14"/>
        <v>7</v>
      </c>
    </row>
    <row r="19" spans="1:63" x14ac:dyDescent="0.3">
      <c r="A19" s="203" t="s">
        <v>82</v>
      </c>
      <c r="B19" s="204">
        <f>COUNTIF(TT!$D$4:$D$9,TALLY!A19)</f>
        <v>0</v>
      </c>
      <c r="C19" s="204">
        <f>COUNTIF(TT!$D$15:$D$28,TALLY!A19)</f>
        <v>0</v>
      </c>
      <c r="D19" s="204">
        <f>COUNTIF(TT!$D$34:$D$41,TALLY!A19)</f>
        <v>0</v>
      </c>
      <c r="E19" s="202">
        <f>COUNTIF(TT!$D$47:$D$60,TALLY!A19)</f>
        <v>1</v>
      </c>
      <c r="F19" s="202">
        <f>COUNTIF(TT!$D$66:$D$79,TALLY!A19)</f>
        <v>0</v>
      </c>
      <c r="G19" s="202">
        <f>COUNTIF(TT!$D$84:$D$93,TALLY!A19)</f>
        <v>0</v>
      </c>
      <c r="H19" s="205">
        <f>COUNTIF(TT!$D$98:$D$106,TALLY!A19)</f>
        <v>0</v>
      </c>
      <c r="I19" s="205">
        <f>COUNTIF(TT!$D$111:$D$121,TALLY!A19)</f>
        <v>0</v>
      </c>
      <c r="J19" s="205">
        <f>COUNTIF(TT!$D$126:$D$134,TALLY!A19)</f>
        <v>0</v>
      </c>
      <c r="K19" s="202">
        <f>COUNTIF(TT!$D$139:$D$151,TALLY!A19)</f>
        <v>1</v>
      </c>
      <c r="L19" s="202">
        <f>COUNTIF(TT!$D$156:$D$164,TALLY!A19)</f>
        <v>0</v>
      </c>
      <c r="M19" s="202">
        <f>COUNTIF(TT!$D$169:$D$180,TALLY!A19)</f>
        <v>0</v>
      </c>
      <c r="N19" s="205">
        <f>COUNTIF(TT!$D$185:$D$197,TALLY!A19)</f>
        <v>0</v>
      </c>
      <c r="O19" s="205">
        <f>COUNTIF(TT!$D$202:$D$208,TALLY!A19)</f>
        <v>0</v>
      </c>
      <c r="P19" s="205">
        <f>COUNTIF(TT!$D$213:$D$220,TALLY!A19)</f>
        <v>0</v>
      </c>
      <c r="Q19" s="204">
        <f>COUNTIF(TT!$D$225:$D$239,TALLY!A19)</f>
        <v>0</v>
      </c>
      <c r="R19" s="204">
        <f>COUNTIF(TT!$D$244:$D$254,TALLY!A19)</f>
        <v>0</v>
      </c>
      <c r="S19" s="204">
        <f>COUNTIF(TT!$D$259:$D$268,TALLY!A19)</f>
        <v>0</v>
      </c>
      <c r="T19" s="205">
        <f>COUNTIF(TT!$D$271:$D$282,TALLY!A19)</f>
        <v>0</v>
      </c>
      <c r="U19" s="205">
        <f>COUNTIF(TT!$D$287:$D$298,TALLY!A19)</f>
        <v>1</v>
      </c>
      <c r="V19" s="205">
        <f>COUNTIF(TT!$D$303:$D$311,TALLY!A19)</f>
        <v>0</v>
      </c>
      <c r="W19" s="202">
        <f>COUNTIF(TT!$D$316:$D$337,TALLY!A19)</f>
        <v>0</v>
      </c>
      <c r="X19" s="202">
        <f>COUNTIF(TT!$D$342:$D$350,TALLY!A19)</f>
        <v>0</v>
      </c>
      <c r="Y19" s="202">
        <f>COUNTIF(TT!$D$357:$D$365,TALLY!A19)</f>
        <v>0</v>
      </c>
      <c r="Z19" s="205">
        <f>COUNTIF(TT!$D$370:$D$377,TALLY!A19)</f>
        <v>0</v>
      </c>
      <c r="AA19" s="205">
        <f>COUNTIF(TT!$D$382:$D$393,TALLY!A19)</f>
        <v>0</v>
      </c>
      <c r="AB19" s="205">
        <f>COUNTIF(TT!$D$398:$D$408,TALLY!A19)</f>
        <v>0</v>
      </c>
      <c r="AC19" s="202">
        <f>COUNTIF(TT!$D$413:$D$425,TALLY!A19)</f>
        <v>0</v>
      </c>
      <c r="AD19" s="202">
        <f>COUNTIF(TT!$D$430:$D$433,TALLY!A19)</f>
        <v>0</v>
      </c>
      <c r="AE19" s="202">
        <f>COUNTIF(TT!$D$454:$D$466,TALLY!A19)</f>
        <v>1</v>
      </c>
      <c r="AF19" s="204">
        <f>COUNTIF(TT!$D$471:$D$480,TALLY!A19)</f>
        <v>0</v>
      </c>
      <c r="AG19" s="204">
        <f>COUNTIF(TT!$D$487:$D$496,TALLY!A19)</f>
        <v>1</v>
      </c>
      <c r="AH19" s="204">
        <f>COUNTIF(TT!$D$501:$D$517,TALLY!A19)</f>
        <v>0</v>
      </c>
      <c r="AI19" s="202">
        <f>COUNTIF(TT!$D$522:$D$533,TALLY!A19)</f>
        <v>0</v>
      </c>
      <c r="AJ19" s="202">
        <f>COUNTIF(TT!$D$538:$D$550,TALLY!A19)</f>
        <v>0</v>
      </c>
      <c r="AK19" s="202">
        <f>COUNTIF(TT!$D$555:$D$569,TALLY!A19)</f>
        <v>0</v>
      </c>
      <c r="AL19" s="205">
        <f>COUNTIF(TT!$D$574:$D$582,TALLY!A19)</f>
        <v>0</v>
      </c>
      <c r="AM19" s="205">
        <f>COUNTIF(TT!$D$587:$D$593,TALLY!A19)</f>
        <v>0</v>
      </c>
      <c r="AN19" s="205">
        <f>COUNTIF(TT!$D$598:$D$606,TALLY!A19)</f>
        <v>0</v>
      </c>
      <c r="AO19" s="202">
        <f>COUNTIF(TT!$D$611:$D$620,TALLY!A19)</f>
        <v>1</v>
      </c>
      <c r="AP19" s="202">
        <f>COUNTIF(TT!$D$627:$D$639,TALLY!A19)</f>
        <v>0</v>
      </c>
      <c r="AQ19" s="202">
        <f>COUNTIF(TT!$D$645:$D$657,TALLY!A19)</f>
        <v>0</v>
      </c>
      <c r="AR19" s="205">
        <f>COUNTIF(TT!$D$663:$D$671,TALLY!A19)</f>
        <v>1</v>
      </c>
      <c r="AS19" s="205">
        <f>COUNTIF(TT!$D$677:$D$685,TALLY!A19)</f>
        <v>0</v>
      </c>
      <c r="AT19" s="205">
        <f>COUNTIF(TT!$D$689:$D$698,TALLY!A19)</f>
        <v>0</v>
      </c>
      <c r="AU19" s="203" t="s">
        <v>82</v>
      </c>
      <c r="AV19" s="202">
        <f t="shared" si="0"/>
        <v>0</v>
      </c>
      <c r="AW19" s="202">
        <f t="shared" si="1"/>
        <v>1</v>
      </c>
      <c r="AX19" s="202">
        <f t="shared" si="2"/>
        <v>0</v>
      </c>
      <c r="AY19" s="202">
        <f t="shared" si="3"/>
        <v>1</v>
      </c>
      <c r="AZ19" s="202">
        <f t="shared" si="4"/>
        <v>0</v>
      </c>
      <c r="BA19" s="202">
        <f t="shared" si="5"/>
        <v>0</v>
      </c>
      <c r="BB19" s="202">
        <f t="shared" si="6"/>
        <v>1</v>
      </c>
      <c r="BC19" s="202">
        <f t="shared" si="7"/>
        <v>0</v>
      </c>
      <c r="BD19" s="202">
        <f t="shared" si="15"/>
        <v>0</v>
      </c>
      <c r="BE19" s="202">
        <f t="shared" si="8"/>
        <v>1</v>
      </c>
      <c r="BF19" s="202">
        <f t="shared" si="9"/>
        <v>1</v>
      </c>
      <c r="BG19" s="202">
        <f t="shared" si="10"/>
        <v>0</v>
      </c>
      <c r="BH19" s="202">
        <f t="shared" si="11"/>
        <v>0</v>
      </c>
      <c r="BI19" s="202">
        <f t="shared" si="12"/>
        <v>1</v>
      </c>
      <c r="BJ19" s="202">
        <f t="shared" si="13"/>
        <v>1</v>
      </c>
      <c r="BK19">
        <f t="shared" si="14"/>
        <v>7</v>
      </c>
    </row>
    <row r="20" spans="1:63" x14ac:dyDescent="0.3">
      <c r="A20" s="203" t="s">
        <v>91</v>
      </c>
      <c r="B20" s="204">
        <f>COUNTIF(TT!$D$4:$D$9,TALLY!A20)</f>
        <v>0</v>
      </c>
      <c r="C20" s="204">
        <f>COUNTIF(TT!$D$15:$D$28,TALLY!A20)</f>
        <v>0</v>
      </c>
      <c r="D20" s="204">
        <f>COUNTIF(TT!$D$34:$D$41,TALLY!A20)</f>
        <v>0</v>
      </c>
      <c r="E20" s="202">
        <f>COUNTIF(TT!$D$47:$D$60,TALLY!A20)</f>
        <v>1</v>
      </c>
      <c r="F20" s="202">
        <f>COUNTIF(TT!$D$66:$D$79,TALLY!A20)</f>
        <v>0</v>
      </c>
      <c r="G20" s="202">
        <f>COUNTIF(TT!$D$84:$D$93,TALLY!A20)</f>
        <v>0</v>
      </c>
      <c r="H20" s="205">
        <f>COUNTIF(TT!$D$98:$D$106,TALLY!A20)</f>
        <v>0</v>
      </c>
      <c r="I20" s="205">
        <f>COUNTIF(TT!$D$111:$D$121,TALLY!A20)</f>
        <v>0</v>
      </c>
      <c r="J20" s="205">
        <f>COUNTIF(TT!$D$126:$D$134,TALLY!A20)</f>
        <v>0</v>
      </c>
      <c r="K20" s="202">
        <f>COUNTIF(TT!$D$139:$D$151,TALLY!A20)</f>
        <v>0</v>
      </c>
      <c r="L20" s="202">
        <f>COUNTIF(TT!$D$156:$D$164,TALLY!A20)</f>
        <v>1</v>
      </c>
      <c r="M20" s="202">
        <f>COUNTIF(TT!$D$169:$D$180,TALLY!A20)</f>
        <v>0</v>
      </c>
      <c r="N20" s="205">
        <f>COUNTIF(TT!$D$185:$D$197,TALLY!A20)</f>
        <v>0</v>
      </c>
      <c r="O20" s="205">
        <f>COUNTIF(TT!$D$202:$D$208,TALLY!A20)</f>
        <v>0</v>
      </c>
      <c r="P20" s="205">
        <f>COUNTIF(TT!$D$213:$D$220,TALLY!A20)</f>
        <v>0</v>
      </c>
      <c r="Q20" s="204">
        <f>COUNTIF(TT!$D$225:$D$239,TALLY!A20)</f>
        <v>0</v>
      </c>
      <c r="R20" s="204">
        <f>COUNTIF(TT!$D$244:$D$254,TALLY!A20)</f>
        <v>0</v>
      </c>
      <c r="S20" s="204">
        <f>COUNTIF(TT!$D$259:$D$268,TALLY!A20)</f>
        <v>0</v>
      </c>
      <c r="T20" s="205">
        <f>COUNTIF(TT!$D$271:$D$282,TALLY!A20)</f>
        <v>0</v>
      </c>
      <c r="U20" s="205">
        <f>COUNTIF(TT!$D$287:$D$298,TALLY!A20)</f>
        <v>1</v>
      </c>
      <c r="V20" s="205">
        <f>COUNTIF(TT!$D$303:$D$311,TALLY!A20)</f>
        <v>0</v>
      </c>
      <c r="W20" s="202">
        <f>COUNTIF(TT!$D$316:$D$337,TALLY!A20)</f>
        <v>0</v>
      </c>
      <c r="X20" s="202">
        <f>COUNTIF(TT!$D$342:$D$350,TALLY!A20)</f>
        <v>0</v>
      </c>
      <c r="Y20" s="202">
        <f>COUNTIF(TT!$D$357:$D$365,TALLY!A20)</f>
        <v>0</v>
      </c>
      <c r="Z20" s="205">
        <f>COUNTIF(TT!$D$370:$D$377,TALLY!A20)</f>
        <v>0</v>
      </c>
      <c r="AA20" s="205">
        <f>COUNTIF(TT!$D$382:$D$393,TALLY!A20)</f>
        <v>1</v>
      </c>
      <c r="AB20" s="205">
        <f>COUNTIF(TT!$D$398:$D$408,TALLY!A20)</f>
        <v>0</v>
      </c>
      <c r="AC20" s="202">
        <f>COUNTIF(TT!$D$413:$D$425,TALLY!A20)</f>
        <v>0</v>
      </c>
      <c r="AD20" s="202">
        <f>COUNTIF(TT!$D$430:$D$433,TALLY!A20)</f>
        <v>0</v>
      </c>
      <c r="AE20" s="202">
        <f>COUNTIF(TT!$D$454:$D$466,TALLY!A20)</f>
        <v>1</v>
      </c>
      <c r="AF20" s="204">
        <f>COUNTIF(TT!$D$471:$D$480,TALLY!A20)</f>
        <v>0</v>
      </c>
      <c r="AG20" s="204">
        <f>COUNTIF(TT!$D$487:$D$496,TALLY!A20)</f>
        <v>0</v>
      </c>
      <c r="AH20" s="204">
        <f>COUNTIF(TT!$D$501:$D$517,TALLY!A20)</f>
        <v>0</v>
      </c>
      <c r="AI20" s="202">
        <f>COUNTIF(TT!$D$522:$D$533,TALLY!A20)</f>
        <v>1</v>
      </c>
      <c r="AJ20" s="202">
        <f>COUNTIF(TT!$D$538:$D$550,TALLY!A20)</f>
        <v>0</v>
      </c>
      <c r="AK20" s="202">
        <f>COUNTIF(TT!$D$555:$D$569,TALLY!A20)</f>
        <v>0</v>
      </c>
      <c r="AL20" s="205">
        <f>COUNTIF(TT!$D$574:$D$582,TALLY!A20)</f>
        <v>0</v>
      </c>
      <c r="AM20" s="205">
        <f>COUNTIF(TT!$D$587:$D$593,TALLY!A20)</f>
        <v>0</v>
      </c>
      <c r="AN20" s="205">
        <f>COUNTIF(TT!$D$598:$D$606,TALLY!A20)</f>
        <v>0</v>
      </c>
      <c r="AO20" s="202">
        <f>COUNTIF(TT!$D$611:$D$620,TALLY!A20)</f>
        <v>0</v>
      </c>
      <c r="AP20" s="202">
        <f>COUNTIF(TT!$D$627:$D$639,TALLY!A20)</f>
        <v>1</v>
      </c>
      <c r="AQ20" s="202">
        <f>COUNTIF(TT!$D$645:$D$657,TALLY!A20)</f>
        <v>0</v>
      </c>
      <c r="AR20" s="205">
        <f>COUNTIF(TT!$D$663:$D$671,TALLY!A20)</f>
        <v>0</v>
      </c>
      <c r="AS20" s="205">
        <f>COUNTIF(TT!$D$677:$D$685,TALLY!A20)</f>
        <v>1</v>
      </c>
      <c r="AT20" s="205">
        <f>COUNTIF(TT!$D$689:$D$698,TALLY!A20)</f>
        <v>0</v>
      </c>
      <c r="AU20" s="203" t="s">
        <v>91</v>
      </c>
      <c r="AV20" s="202">
        <f t="shared" si="0"/>
        <v>0</v>
      </c>
      <c r="AW20" s="202">
        <f t="shared" si="1"/>
        <v>1</v>
      </c>
      <c r="AX20" s="202">
        <f t="shared" si="2"/>
        <v>0</v>
      </c>
      <c r="AY20" s="202">
        <f t="shared" si="3"/>
        <v>1</v>
      </c>
      <c r="AZ20" s="202">
        <f t="shared" si="4"/>
        <v>0</v>
      </c>
      <c r="BA20" s="202">
        <f t="shared" si="5"/>
        <v>0</v>
      </c>
      <c r="BB20" s="202">
        <f t="shared" si="6"/>
        <v>1</v>
      </c>
      <c r="BC20" s="202">
        <f t="shared" si="7"/>
        <v>0</v>
      </c>
      <c r="BD20" s="202">
        <f t="shared" si="15"/>
        <v>1</v>
      </c>
      <c r="BE20" s="202">
        <f t="shared" si="8"/>
        <v>1</v>
      </c>
      <c r="BF20" s="202">
        <f t="shared" si="9"/>
        <v>0</v>
      </c>
      <c r="BG20" s="202">
        <f t="shared" si="10"/>
        <v>1</v>
      </c>
      <c r="BH20" s="202">
        <f t="shared" si="11"/>
        <v>0</v>
      </c>
      <c r="BI20" s="202">
        <f t="shared" si="12"/>
        <v>1</v>
      </c>
      <c r="BJ20" s="202">
        <f t="shared" si="13"/>
        <v>1</v>
      </c>
      <c r="BK20">
        <f t="shared" si="14"/>
        <v>8</v>
      </c>
    </row>
    <row r="21" spans="1:63" x14ac:dyDescent="0.3">
      <c r="A21" s="207" t="s">
        <v>53</v>
      </c>
      <c r="B21" s="204">
        <f>COUNTIF(TT!$D$4:$D$9,TALLY!A21)</f>
        <v>0</v>
      </c>
      <c r="C21" s="204">
        <f>COUNTIF(TT!$D$15:$D$28,TALLY!A21)</f>
        <v>1</v>
      </c>
      <c r="D21" s="204">
        <f>COUNTIF(TT!$D$34:$D$41,TALLY!A21)</f>
        <v>0</v>
      </c>
      <c r="E21" s="202">
        <f>COUNTIF(TT!$D$47:$D$60,TALLY!A21)</f>
        <v>0</v>
      </c>
      <c r="F21" s="202">
        <f>COUNTIF(TT!$D$66:$D$79,TALLY!A21)</f>
        <v>0</v>
      </c>
      <c r="G21" s="202">
        <f>COUNTIF(TT!$D$84:$D$93,TALLY!A21)</f>
        <v>1</v>
      </c>
      <c r="H21" s="205">
        <f>COUNTIF(TT!$D$98:$D$106,TALLY!A21)</f>
        <v>0</v>
      </c>
      <c r="I21" s="205">
        <f>COUNTIF(TT!$D$111:$D$121,TALLY!A21)</f>
        <v>0</v>
      </c>
      <c r="J21" s="205">
        <f>COUNTIF(TT!$D$126:$D$134,TALLY!A21)</f>
        <v>0</v>
      </c>
      <c r="K21" s="202">
        <f>COUNTIF(TT!$D$139:$D$151,TALLY!A21)</f>
        <v>0</v>
      </c>
      <c r="L21" s="202">
        <f>COUNTIF(TT!$D$156:$D$164,TALLY!A21)</f>
        <v>0</v>
      </c>
      <c r="M21" s="202">
        <f>COUNTIF(TT!$D$169:$D$180,TALLY!A21)</f>
        <v>0</v>
      </c>
      <c r="N21" s="205">
        <f>COUNTIF(TT!$D$185:$D$197,TALLY!A21)</f>
        <v>0</v>
      </c>
      <c r="O21" s="205">
        <f>COUNTIF(TT!$D$202:$D$208,TALLY!A21)</f>
        <v>1</v>
      </c>
      <c r="P21" s="205">
        <f>COUNTIF(TT!$D$213:$D$220,TALLY!A21)</f>
        <v>0</v>
      </c>
      <c r="Q21" s="204">
        <f>COUNTIF(TT!$D$225:$D$239,TALLY!A21)</f>
        <v>0</v>
      </c>
      <c r="R21" s="204">
        <f>COUNTIF(TT!$D$244:$D$254,TALLY!A21)</f>
        <v>0</v>
      </c>
      <c r="S21" s="204">
        <f>COUNTIF(TT!$D$259:$D$268,TALLY!A21)</f>
        <v>0</v>
      </c>
      <c r="T21" s="205">
        <f>COUNTIF(TT!$D$271:$D$282,TALLY!A21)</f>
        <v>1</v>
      </c>
      <c r="U21" s="205">
        <f>COUNTIF(TT!$D$287:$D$298,TALLY!A21)</f>
        <v>0</v>
      </c>
      <c r="V21" s="205">
        <f>COUNTIF(TT!$D$303:$D$311,TALLY!A21)</f>
        <v>0</v>
      </c>
      <c r="W21" s="202">
        <f>COUNTIF(TT!$D$316:$D$337,TALLY!A21)</f>
        <v>1</v>
      </c>
      <c r="X21" s="202">
        <f>COUNTIF(TT!$D$342:$D$350,TALLY!A21)</f>
        <v>0</v>
      </c>
      <c r="Y21" s="202">
        <f>COUNTIF(TT!$D$357:$D$365,TALLY!A21)</f>
        <v>0</v>
      </c>
      <c r="Z21" s="205">
        <f>COUNTIF(TT!$D$370:$D$377,TALLY!A21)</f>
        <v>0</v>
      </c>
      <c r="AA21" s="205">
        <f>COUNTIF(TT!$D$382:$D$393,TALLY!A21)</f>
        <v>0</v>
      </c>
      <c r="AB21" s="205">
        <f>COUNTIF(TT!$D$398:$D$408,TALLY!A21)</f>
        <v>0</v>
      </c>
      <c r="AC21" s="202">
        <f>COUNTIF(TT!$D$413:$D$425,TALLY!A21)</f>
        <v>1</v>
      </c>
      <c r="AD21" s="202">
        <f>COUNTIF(TT!$D$430:$D$433,TALLY!A21)</f>
        <v>0</v>
      </c>
      <c r="AE21" s="202">
        <f>COUNTIF(TT!$D$454:$D$466,TALLY!A21)</f>
        <v>0</v>
      </c>
      <c r="AF21" s="204">
        <f>COUNTIF(TT!$D$471:$D$480,TALLY!A21)</f>
        <v>0</v>
      </c>
      <c r="AG21" s="204">
        <f>COUNTIF(TT!$D$487:$D$496,TALLY!A21)</f>
        <v>0</v>
      </c>
      <c r="AH21" s="204">
        <f>COUNTIF(TT!$D$501:$D$517,TALLY!A21)</f>
        <v>0</v>
      </c>
      <c r="AI21" s="202">
        <f>COUNTIF(TT!$D$522:$D$533,TALLY!A21)</f>
        <v>0</v>
      </c>
      <c r="AJ21" s="202">
        <f>COUNTIF(TT!$D$538:$D$550,TALLY!A21)</f>
        <v>0</v>
      </c>
      <c r="AK21" s="202">
        <f>COUNTIF(TT!$D$555:$D$569,TALLY!A21)</f>
        <v>0</v>
      </c>
      <c r="AL21" s="205">
        <f>COUNTIF(TT!$D$574:$D$582,TALLY!A21)</f>
        <v>0</v>
      </c>
      <c r="AM21" s="205">
        <f>COUNTIF(TT!$D$587:$D$593,TALLY!A21)</f>
        <v>0</v>
      </c>
      <c r="AN21" s="205">
        <f>COUNTIF(TT!$D$598:$D$606,TALLY!A21)</f>
        <v>1</v>
      </c>
      <c r="AO21" s="202">
        <f>COUNTIF(TT!$D$611:$D$620,TALLY!A21)</f>
        <v>0</v>
      </c>
      <c r="AP21" s="202">
        <f>COUNTIF(TT!$D$627:$D$639,TALLY!A21)</f>
        <v>0</v>
      </c>
      <c r="AQ21" s="202">
        <f>COUNTIF(TT!$D$645:$D$657,TALLY!A21)</f>
        <v>0</v>
      </c>
      <c r="AR21" s="205">
        <f>COUNTIF(TT!$D$663:$D$671,TALLY!A21)</f>
        <v>0</v>
      </c>
      <c r="AS21" s="205">
        <f>COUNTIF(TT!$D$677:$D$685,TALLY!A21)</f>
        <v>0</v>
      </c>
      <c r="AT21" s="205">
        <f>COUNTIF(TT!$D$689:$D$698,TALLY!A21)</f>
        <v>0</v>
      </c>
      <c r="AU21" s="207" t="s">
        <v>53</v>
      </c>
      <c r="AV21" s="202">
        <f t="shared" si="0"/>
        <v>1</v>
      </c>
      <c r="AW21" s="202">
        <f t="shared" si="1"/>
        <v>1</v>
      </c>
      <c r="AX21" s="202">
        <f t="shared" si="2"/>
        <v>0</v>
      </c>
      <c r="AY21" s="202">
        <f t="shared" si="3"/>
        <v>0</v>
      </c>
      <c r="AZ21" s="202">
        <f t="shared" si="4"/>
        <v>1</v>
      </c>
      <c r="BA21" s="202">
        <f t="shared" si="5"/>
        <v>0</v>
      </c>
      <c r="BB21" s="202">
        <f t="shared" si="6"/>
        <v>1</v>
      </c>
      <c r="BC21" s="202">
        <f t="shared" si="7"/>
        <v>1</v>
      </c>
      <c r="BD21" s="202">
        <f t="shared" si="15"/>
        <v>0</v>
      </c>
      <c r="BE21" s="202">
        <f t="shared" si="8"/>
        <v>1</v>
      </c>
      <c r="BF21" s="202">
        <f t="shared" si="9"/>
        <v>0</v>
      </c>
      <c r="BG21" s="202">
        <f t="shared" si="10"/>
        <v>0</v>
      </c>
      <c r="BH21" s="202">
        <f t="shared" si="11"/>
        <v>1</v>
      </c>
      <c r="BI21" s="202">
        <f t="shared" si="12"/>
        <v>0</v>
      </c>
      <c r="BJ21" s="202">
        <f t="shared" si="13"/>
        <v>0</v>
      </c>
      <c r="BK21">
        <f t="shared" si="14"/>
        <v>7</v>
      </c>
    </row>
    <row r="22" spans="1:63" x14ac:dyDescent="0.3">
      <c r="A22" s="207" t="s">
        <v>36</v>
      </c>
      <c r="B22" s="204">
        <f>COUNTIF(TT!$D$4:$D$9,TALLY!A22)</f>
        <v>0</v>
      </c>
      <c r="C22" s="204">
        <f>COUNTIF(TT!$D$15:$D$28,TALLY!A22)</f>
        <v>1</v>
      </c>
      <c r="D22" s="204">
        <f>COUNTIF(TT!$D$34:$D$41,TALLY!A22)</f>
        <v>0</v>
      </c>
      <c r="E22" s="202">
        <f>COUNTIF(TT!$D$47:$D$60,TALLY!A22)</f>
        <v>0</v>
      </c>
      <c r="F22" s="202">
        <f>COUNTIF(TT!$D$66:$D$79,TALLY!A22)</f>
        <v>0</v>
      </c>
      <c r="G22" s="202">
        <f>COUNTIF(TT!$D$84:$D$93,TALLY!A22)</f>
        <v>0</v>
      </c>
      <c r="H22" s="205">
        <f>COUNTIF(TT!$D$98:$D$106,TALLY!A22)</f>
        <v>1</v>
      </c>
      <c r="I22" s="205">
        <f>COUNTIF(TT!$D$111:$D$121,TALLY!A22)</f>
        <v>0</v>
      </c>
      <c r="J22" s="205">
        <f>COUNTIF(TT!$D$126:$D$134,TALLY!A22)</f>
        <v>0</v>
      </c>
      <c r="K22" s="202">
        <f>COUNTIF(TT!$D$139:$D$151,TALLY!A22)</f>
        <v>0</v>
      </c>
      <c r="L22" s="202">
        <f>COUNTIF(TT!$D$156:$D$164,TALLY!A22)</f>
        <v>0</v>
      </c>
      <c r="M22" s="202">
        <f>COUNTIF(TT!$D$169:$D$180,TALLY!A22)</f>
        <v>0</v>
      </c>
      <c r="N22" s="205">
        <f>COUNTIF(TT!$D$185:$D$197,TALLY!A22)</f>
        <v>0</v>
      </c>
      <c r="O22" s="205">
        <f>COUNTIF(TT!$D$202:$D$208,TALLY!A22)</f>
        <v>0</v>
      </c>
      <c r="P22" s="205">
        <f>COUNTIF(TT!$D$213:$D$220,TALLY!A22)</f>
        <v>0</v>
      </c>
      <c r="Q22" s="204">
        <f>COUNTIF(TT!$D$225:$D$239,TALLY!A22)</f>
        <v>0</v>
      </c>
      <c r="R22" s="204">
        <f>COUNTIF(TT!$D$244:$D$254,TALLY!A22)</f>
        <v>0</v>
      </c>
      <c r="S22" s="204">
        <f>COUNTIF(TT!$D$259:$D$268,TALLY!A22)</f>
        <v>0</v>
      </c>
      <c r="T22" s="205">
        <f>COUNTIF(TT!$D$271:$D$282,TALLY!A22)</f>
        <v>1</v>
      </c>
      <c r="U22" s="205">
        <f>COUNTIF(TT!$D$287:$D$298,TALLY!A22)</f>
        <v>0</v>
      </c>
      <c r="V22" s="205">
        <f>COUNTIF(TT!$D$303:$D$311,TALLY!A22)</f>
        <v>0</v>
      </c>
      <c r="W22" s="202">
        <f>COUNTIF(TT!$D$316:$D$337,TALLY!A22)</f>
        <v>1</v>
      </c>
      <c r="X22" s="202">
        <f>COUNTIF(TT!$D$342:$D$350,TALLY!A22)</f>
        <v>0</v>
      </c>
      <c r="Y22" s="202">
        <f>COUNTIF(TT!$D$357:$D$365,TALLY!A22)</f>
        <v>0</v>
      </c>
      <c r="Z22" s="205">
        <f>COUNTIF(TT!$D$370:$D$377,TALLY!A22)</f>
        <v>0</v>
      </c>
      <c r="AA22" s="205">
        <f>COUNTIF(TT!$D$382:$D$393,TALLY!A22)</f>
        <v>0</v>
      </c>
      <c r="AB22" s="205">
        <f>COUNTIF(TT!$D$398:$D$408,TALLY!A22)</f>
        <v>1</v>
      </c>
      <c r="AC22" s="202">
        <f>COUNTIF(TT!$D$413:$D$425,TALLY!A22)</f>
        <v>0</v>
      </c>
      <c r="AD22" s="202">
        <f>COUNTIF(TT!$D$430:$D$433,TALLY!A22)</f>
        <v>0</v>
      </c>
      <c r="AE22" s="202">
        <f>COUNTIF(TT!$D$454:$D$466,TALLY!A22)</f>
        <v>0</v>
      </c>
      <c r="AF22" s="204">
        <f>COUNTIF(TT!$D$471:$D$480,TALLY!A22)</f>
        <v>0</v>
      </c>
      <c r="AG22" s="204">
        <f>COUNTIF(TT!$D$487:$D$496,TALLY!A22)</f>
        <v>0</v>
      </c>
      <c r="AH22" s="204">
        <f>COUNTIF(TT!$D$501:$D$517,TALLY!A22)</f>
        <v>0</v>
      </c>
      <c r="AI22" s="202">
        <f>COUNTIF(TT!$D$522:$D$533,TALLY!A22)</f>
        <v>1</v>
      </c>
      <c r="AJ22" s="202">
        <f>COUNTIF(TT!$D$538:$D$550,TALLY!A22)</f>
        <v>0</v>
      </c>
      <c r="AK22" s="202">
        <f>COUNTIF(TT!$D$555:$D$569,TALLY!A22)</f>
        <v>0</v>
      </c>
      <c r="AL22" s="205">
        <f>COUNTIF(TT!$D$574:$D$582,TALLY!A22)</f>
        <v>0</v>
      </c>
      <c r="AM22" s="205">
        <f>COUNTIF(TT!$D$587:$D$593,TALLY!A22)</f>
        <v>1</v>
      </c>
      <c r="AN22" s="205">
        <f>COUNTIF(TT!$D$598:$D$606,TALLY!A22)</f>
        <v>0</v>
      </c>
      <c r="AO22" s="202">
        <f>COUNTIF(TT!$D$611:$D$620,TALLY!A22)</f>
        <v>0</v>
      </c>
      <c r="AP22" s="202">
        <f>COUNTIF(TT!$D$627:$D$639,TALLY!A22)</f>
        <v>0</v>
      </c>
      <c r="AQ22" s="202">
        <f>COUNTIF(TT!$D$645:$D$657,TALLY!A22)</f>
        <v>0</v>
      </c>
      <c r="AR22" s="205">
        <f>COUNTIF(TT!$D$663:$D$671,TALLY!A22)</f>
        <v>0</v>
      </c>
      <c r="AS22" s="205">
        <f>COUNTIF(TT!$D$677:$D$685,TALLY!A22)</f>
        <v>0</v>
      </c>
      <c r="AT22" s="205">
        <f>COUNTIF(TT!$D$689:$D$698,TALLY!A22)</f>
        <v>0</v>
      </c>
      <c r="AU22" s="207" t="s">
        <v>36</v>
      </c>
      <c r="AV22" s="202">
        <f t="shared" si="0"/>
        <v>1</v>
      </c>
      <c r="AW22" s="202">
        <f t="shared" si="1"/>
        <v>0</v>
      </c>
      <c r="AX22" s="202">
        <f t="shared" si="2"/>
        <v>1</v>
      </c>
      <c r="AY22" s="202">
        <f t="shared" si="3"/>
        <v>0</v>
      </c>
      <c r="AZ22" s="202">
        <f t="shared" si="4"/>
        <v>0</v>
      </c>
      <c r="BA22" s="202">
        <f t="shared" si="5"/>
        <v>0</v>
      </c>
      <c r="BB22" s="202">
        <f t="shared" si="6"/>
        <v>1</v>
      </c>
      <c r="BC22" s="202">
        <f t="shared" si="7"/>
        <v>1</v>
      </c>
      <c r="BD22" s="202">
        <f t="shared" si="15"/>
        <v>1</v>
      </c>
      <c r="BE22" s="202">
        <f t="shared" si="8"/>
        <v>0</v>
      </c>
      <c r="BF22" s="202">
        <f t="shared" si="9"/>
        <v>0</v>
      </c>
      <c r="BG22" s="202">
        <f t="shared" si="10"/>
        <v>1</v>
      </c>
      <c r="BH22" s="202">
        <f t="shared" si="11"/>
        <v>1</v>
      </c>
      <c r="BI22" s="202">
        <f t="shared" si="12"/>
        <v>0</v>
      </c>
      <c r="BJ22" s="202">
        <f t="shared" si="13"/>
        <v>0</v>
      </c>
      <c r="BK22">
        <f t="shared" si="14"/>
        <v>7</v>
      </c>
    </row>
    <row r="23" spans="1:63" x14ac:dyDescent="0.3">
      <c r="A23" s="207" t="s">
        <v>40</v>
      </c>
      <c r="B23" s="204">
        <f>COUNTIF(TT!$D$4:$D$9,TALLY!A23)</f>
        <v>0</v>
      </c>
      <c r="C23" s="204">
        <f>COUNTIF(TT!$D$15:$D$28,TALLY!A23)</f>
        <v>1</v>
      </c>
      <c r="D23" s="204">
        <f>COUNTIF(TT!$D$34:$D$41,TALLY!A23)</f>
        <v>0</v>
      </c>
      <c r="E23" s="202">
        <f>COUNTIF(TT!$D$47:$D$60,TALLY!A23)</f>
        <v>0</v>
      </c>
      <c r="F23" s="202">
        <f>COUNTIF(TT!$D$66:$D$79,TALLY!A23)</f>
        <v>0</v>
      </c>
      <c r="G23" s="202">
        <f>COUNTIF(TT!$D$84:$D$93,TALLY!A23)</f>
        <v>0</v>
      </c>
      <c r="H23" s="205">
        <f>COUNTIF(TT!$D$98:$D$106,TALLY!A23)</f>
        <v>1</v>
      </c>
      <c r="I23" s="205">
        <f>COUNTIF(TT!$D$111:$D$121,TALLY!A23)</f>
        <v>0</v>
      </c>
      <c r="J23" s="205">
        <f>COUNTIF(TT!$D$126:$D$134,TALLY!A23)</f>
        <v>0</v>
      </c>
      <c r="K23" s="202">
        <f>COUNTIF(TT!$D$139:$D$151,TALLY!A23)</f>
        <v>0</v>
      </c>
      <c r="L23" s="202">
        <f>COUNTIF(TT!$D$156:$D$164,TALLY!A23)</f>
        <v>0</v>
      </c>
      <c r="M23" s="202">
        <f>COUNTIF(TT!$D$169:$D$180,TALLY!A23)</f>
        <v>0</v>
      </c>
      <c r="N23" s="205">
        <f>COUNTIF(TT!$D$185:$D$197,TALLY!A23)</f>
        <v>0</v>
      </c>
      <c r="O23" s="205">
        <f>COUNTIF(TT!$D$202:$D$208,TALLY!A23)</f>
        <v>0</v>
      </c>
      <c r="P23" s="205">
        <f>COUNTIF(TT!$D$213:$D$220,TALLY!A23)</f>
        <v>0</v>
      </c>
      <c r="Q23" s="204">
        <f>COUNTIF(TT!$D$225:$D$239,TALLY!A23)</f>
        <v>0</v>
      </c>
      <c r="R23" s="204">
        <f>COUNTIF(TT!$D$244:$D$254,TALLY!A23)</f>
        <v>0</v>
      </c>
      <c r="S23" s="204">
        <f>COUNTIF(TT!$D$259:$D$268,TALLY!A23)</f>
        <v>0</v>
      </c>
      <c r="T23" s="205">
        <f>COUNTIF(TT!$D$271:$D$282,TALLY!A23)</f>
        <v>0</v>
      </c>
      <c r="U23" s="205">
        <f>COUNTIF(TT!$D$287:$D$298,TALLY!A23)</f>
        <v>0</v>
      </c>
      <c r="V23" s="205">
        <f>COUNTIF(TT!$D$303:$D$311,TALLY!A23)</f>
        <v>0</v>
      </c>
      <c r="W23" s="202">
        <f>COUNTIF(TT!$D$316:$D$337,TALLY!A23)</f>
        <v>1</v>
      </c>
      <c r="X23" s="202">
        <f>COUNTIF(TT!$D$342:$D$350,TALLY!A23)</f>
        <v>0</v>
      </c>
      <c r="Y23" s="202">
        <f>COUNTIF(TT!$D$357:$D$365,TALLY!A23)</f>
        <v>0</v>
      </c>
      <c r="Z23" s="205">
        <f>COUNTIF(TT!$D$370:$D$377,TALLY!A23)</f>
        <v>1</v>
      </c>
      <c r="AA23" s="205">
        <f>COUNTIF(TT!$D$382:$D$393,TALLY!A23)</f>
        <v>0</v>
      </c>
      <c r="AB23" s="205">
        <f>COUNTIF(TT!$D$398:$D$408,TALLY!A23)</f>
        <v>0</v>
      </c>
      <c r="AC23" s="202">
        <f>COUNTIF(TT!$D$413:$D$425,TALLY!A23)</f>
        <v>0</v>
      </c>
      <c r="AD23" s="202">
        <f>COUNTIF(TT!$D$430:$D$433,TALLY!A23)</f>
        <v>0</v>
      </c>
      <c r="AE23" s="202">
        <f>COUNTIF(TT!$D$454:$D$466,TALLY!A23)</f>
        <v>0</v>
      </c>
      <c r="AF23" s="204">
        <f>COUNTIF(TT!$D$471:$D$480,TALLY!A23)</f>
        <v>0</v>
      </c>
      <c r="AG23" s="204">
        <f>COUNTIF(TT!$D$487:$D$496,TALLY!A23)</f>
        <v>0</v>
      </c>
      <c r="AH23" s="204">
        <f>COUNTIF(TT!$D$501:$D$517,TALLY!A23)</f>
        <v>0</v>
      </c>
      <c r="AI23" s="202">
        <f>COUNTIF(TT!$D$522:$D$533,TALLY!A23)</f>
        <v>0</v>
      </c>
      <c r="AJ23" s="202">
        <f>COUNTIF(TT!$D$538:$D$550,TALLY!A23)</f>
        <v>1</v>
      </c>
      <c r="AK23" s="202">
        <f>COUNTIF(TT!$D$555:$D$569,TALLY!A23)</f>
        <v>0</v>
      </c>
      <c r="AL23" s="205">
        <f>COUNTIF(TT!$D$574:$D$582,TALLY!A23)</f>
        <v>0</v>
      </c>
      <c r="AM23" s="205">
        <f>COUNTIF(TT!$D$587:$D$593,TALLY!A23)</f>
        <v>0</v>
      </c>
      <c r="AN23" s="205">
        <f>COUNTIF(TT!$D$598:$D$606,TALLY!A23)</f>
        <v>0</v>
      </c>
      <c r="AO23" s="202">
        <f>COUNTIF(TT!$D$611:$D$620,TALLY!A23)</f>
        <v>0</v>
      </c>
      <c r="AP23" s="202">
        <f>COUNTIF(TT!$D$627:$D$639,TALLY!A23)</f>
        <v>1</v>
      </c>
      <c r="AQ23" s="202">
        <f>COUNTIF(TT!$D$645:$D$657,TALLY!A23)</f>
        <v>0</v>
      </c>
      <c r="AR23" s="205">
        <f>COUNTIF(TT!$D$663:$D$671,TALLY!A23)</f>
        <v>0</v>
      </c>
      <c r="AS23" s="205">
        <f>COUNTIF(TT!$D$677:$D$685,TALLY!A23)</f>
        <v>0</v>
      </c>
      <c r="AT23" s="205">
        <f>COUNTIF(TT!$D$689:$D$698,TALLY!A23)</f>
        <v>0</v>
      </c>
      <c r="AU23" s="207" t="s">
        <v>40</v>
      </c>
      <c r="AV23" s="202">
        <f t="shared" si="0"/>
        <v>1</v>
      </c>
      <c r="AW23" s="202">
        <f t="shared" si="1"/>
        <v>0</v>
      </c>
      <c r="AX23" s="202">
        <f t="shared" si="2"/>
        <v>1</v>
      </c>
      <c r="AY23" s="202">
        <f t="shared" si="3"/>
        <v>0</v>
      </c>
      <c r="AZ23" s="202">
        <f t="shared" si="4"/>
        <v>0</v>
      </c>
      <c r="BA23" s="202">
        <f t="shared" si="5"/>
        <v>0</v>
      </c>
      <c r="BB23" s="202">
        <f t="shared" si="6"/>
        <v>0</v>
      </c>
      <c r="BC23" s="202">
        <f t="shared" si="7"/>
        <v>1</v>
      </c>
      <c r="BD23" s="202">
        <f t="shared" si="15"/>
        <v>1</v>
      </c>
      <c r="BE23" s="202">
        <f t="shared" si="8"/>
        <v>0</v>
      </c>
      <c r="BF23" s="202">
        <f t="shared" si="9"/>
        <v>0</v>
      </c>
      <c r="BG23" s="202">
        <f t="shared" si="10"/>
        <v>1</v>
      </c>
      <c r="BH23" s="202">
        <f t="shared" si="11"/>
        <v>0</v>
      </c>
      <c r="BI23" s="202">
        <f t="shared" si="12"/>
        <v>1</v>
      </c>
      <c r="BJ23" s="202">
        <f t="shared" si="13"/>
        <v>0</v>
      </c>
      <c r="BK23">
        <f t="shared" si="14"/>
        <v>6</v>
      </c>
    </row>
    <row r="24" spans="1:63" x14ac:dyDescent="0.3">
      <c r="A24" s="207" t="s">
        <v>109</v>
      </c>
      <c r="B24" s="204">
        <f>COUNTIF(TT!$D$4:$D$9,TALLY!A24)</f>
        <v>0</v>
      </c>
      <c r="C24" s="204">
        <f>COUNTIF(TT!$D$15:$D$28,TALLY!A24)</f>
        <v>0</v>
      </c>
      <c r="D24" s="204">
        <f>COUNTIF(TT!$D$34:$D$41,TALLY!A24)</f>
        <v>0</v>
      </c>
      <c r="E24" s="202">
        <f>COUNTIF(TT!$D$47:$D$60,TALLY!A24)</f>
        <v>0</v>
      </c>
      <c r="F24" s="202">
        <f>COUNTIF(TT!$D$66:$D$79,TALLY!A24)</f>
        <v>1</v>
      </c>
      <c r="G24" s="202">
        <f>COUNTIF(TT!$D$84:$D$93,TALLY!A24)</f>
        <v>0</v>
      </c>
      <c r="H24" s="205">
        <f>COUNTIF(TT!$D$98:$D$106,TALLY!A24)</f>
        <v>0</v>
      </c>
      <c r="I24" s="205">
        <f>COUNTIF(TT!$D$111:$D$121,TALLY!A24)</f>
        <v>0</v>
      </c>
      <c r="J24" s="205">
        <f>COUNTIF(TT!$D$126:$D$134,TALLY!A24)</f>
        <v>0</v>
      </c>
      <c r="K24" s="202">
        <f>COUNTIF(TT!$D$139:$D$151,TALLY!A24)</f>
        <v>0</v>
      </c>
      <c r="L24" s="202">
        <f>COUNTIF(TT!$D$156:$D$164,TALLY!A24)</f>
        <v>1</v>
      </c>
      <c r="M24" s="202">
        <f>COUNTIF(TT!$D$169:$D$180,TALLY!A24)</f>
        <v>0</v>
      </c>
      <c r="N24" s="205">
        <f>COUNTIF(TT!$D$185:$D$197,TALLY!A24)</f>
        <v>0</v>
      </c>
      <c r="O24" s="205">
        <f>COUNTIF(TT!$D$202:$D$208,TALLY!A24)</f>
        <v>1</v>
      </c>
      <c r="P24" s="205">
        <f>COUNTIF(TT!$D$213:$D$220,TALLY!A24)</f>
        <v>0</v>
      </c>
      <c r="Q24" s="204">
        <f>COUNTIF(TT!$D$225:$D$239,TALLY!A24)</f>
        <v>1</v>
      </c>
      <c r="R24" s="204">
        <f>COUNTIF(TT!$D$244:$D$254,TALLY!A24)</f>
        <v>0</v>
      </c>
      <c r="S24" s="204">
        <f>COUNTIF(TT!$D$259:$D$268,TALLY!A24)</f>
        <v>0</v>
      </c>
      <c r="T24" s="205">
        <f>COUNTIF(TT!$D$271:$D$282,TALLY!A24)</f>
        <v>0</v>
      </c>
      <c r="U24" s="205">
        <f>COUNTIF(TT!$D$287:$D$298,TALLY!A24)</f>
        <v>0</v>
      </c>
      <c r="V24" s="205">
        <f>COUNTIF(TT!$D$303:$D$311,TALLY!A24)</f>
        <v>0</v>
      </c>
      <c r="W24" s="202">
        <f>COUNTIF(TT!$D$316:$D$337,TALLY!A24)</f>
        <v>1</v>
      </c>
      <c r="X24" s="202">
        <f>COUNTIF(TT!$D$342:$D$350,TALLY!A24)</f>
        <v>0</v>
      </c>
      <c r="Y24" s="202">
        <f>COUNTIF(TT!$D$357:$D$365,TALLY!A24)</f>
        <v>0</v>
      </c>
      <c r="Z24" s="205">
        <f>COUNTIF(TT!$D$370:$D$377,TALLY!A24)</f>
        <v>0</v>
      </c>
      <c r="AA24" s="205">
        <f>COUNTIF(TT!$D$382:$D$393,TALLY!A24)</f>
        <v>0</v>
      </c>
      <c r="AB24" s="205">
        <f>COUNTIF(TT!$D$398:$D$408,TALLY!A24)</f>
        <v>0</v>
      </c>
      <c r="AC24" s="202">
        <f>COUNTIF(TT!$D$413:$D$425,TALLY!A24)</f>
        <v>0</v>
      </c>
      <c r="AD24" s="202">
        <f>COUNTIF(TT!$D$430:$D$433,TALLY!A24)</f>
        <v>0</v>
      </c>
      <c r="AE24" s="202">
        <f>COUNTIF(TT!$D$454:$D$466,TALLY!A24)</f>
        <v>1</v>
      </c>
      <c r="AF24" s="204">
        <f>COUNTIF(TT!$D$471:$D$480,TALLY!A24)</f>
        <v>0</v>
      </c>
      <c r="AG24" s="204">
        <f>COUNTIF(TT!$D$487:$D$496,TALLY!A24)</f>
        <v>0</v>
      </c>
      <c r="AH24" s="204">
        <f>COUNTIF(TT!$D$501:$D$517,TALLY!A24)</f>
        <v>1</v>
      </c>
      <c r="AI24" s="202">
        <f>COUNTIF(TT!$D$522:$D$533,TALLY!A24)</f>
        <v>1</v>
      </c>
      <c r="AJ24" s="202">
        <f>COUNTIF(TT!$D$538:$D$550,TALLY!A24)</f>
        <v>0</v>
      </c>
      <c r="AK24" s="202">
        <f>COUNTIF(TT!$D$555:$D$569,TALLY!A24)</f>
        <v>0</v>
      </c>
      <c r="AL24" s="205">
        <f>COUNTIF(TT!$D$574:$D$582,TALLY!A24)</f>
        <v>0</v>
      </c>
      <c r="AM24" s="205">
        <f>COUNTIF(TT!$D$587:$D$593,TALLY!A24)</f>
        <v>0</v>
      </c>
      <c r="AN24" s="205">
        <f>COUNTIF(TT!$D$598:$D$606,TALLY!A24)</f>
        <v>0</v>
      </c>
      <c r="AO24" s="202">
        <f>COUNTIF(TT!$D$611:$D$620,TALLY!A24)</f>
        <v>0</v>
      </c>
      <c r="AP24" s="202">
        <f>COUNTIF(TT!$D$627:$D$639,TALLY!A24)</f>
        <v>0</v>
      </c>
      <c r="AQ24" s="202">
        <f>COUNTIF(TT!$D$645:$D$657,TALLY!A24)</f>
        <v>0</v>
      </c>
      <c r="AR24" s="205">
        <f>COUNTIF(TT!$D$663:$D$671,TALLY!A24)</f>
        <v>0</v>
      </c>
      <c r="AS24" s="205">
        <f>COUNTIF(TT!$D$677:$D$685,TALLY!A24)</f>
        <v>0</v>
      </c>
      <c r="AT24" s="205">
        <f>COUNTIF(TT!$D$689:$D$698,TALLY!A24)</f>
        <v>1</v>
      </c>
      <c r="AU24" s="207" t="s">
        <v>109</v>
      </c>
      <c r="AV24" s="202">
        <f t="shared" si="0"/>
        <v>0</v>
      </c>
      <c r="AW24" s="202">
        <f t="shared" si="1"/>
        <v>1</v>
      </c>
      <c r="AX24" s="202">
        <f t="shared" si="2"/>
        <v>0</v>
      </c>
      <c r="AY24" s="202">
        <f t="shared" si="3"/>
        <v>1</v>
      </c>
      <c r="AZ24" s="202">
        <f t="shared" si="4"/>
        <v>1</v>
      </c>
      <c r="BA24" s="202">
        <f t="shared" si="5"/>
        <v>1</v>
      </c>
      <c r="BB24" s="202">
        <f t="shared" si="6"/>
        <v>0</v>
      </c>
      <c r="BC24" s="202">
        <f t="shared" si="7"/>
        <v>1</v>
      </c>
      <c r="BD24" s="202">
        <f t="shared" si="15"/>
        <v>0</v>
      </c>
      <c r="BE24" s="202">
        <f t="shared" si="8"/>
        <v>1</v>
      </c>
      <c r="BF24" s="202">
        <f t="shared" si="9"/>
        <v>1</v>
      </c>
      <c r="BG24" s="202">
        <f t="shared" si="10"/>
        <v>1</v>
      </c>
      <c r="BH24" s="202">
        <f t="shared" si="11"/>
        <v>0</v>
      </c>
      <c r="BI24" s="202">
        <f t="shared" si="12"/>
        <v>0</v>
      </c>
      <c r="BJ24" s="202">
        <f t="shared" si="13"/>
        <v>1</v>
      </c>
      <c r="BK24">
        <f t="shared" si="14"/>
        <v>9</v>
      </c>
    </row>
    <row r="25" spans="1:63" x14ac:dyDescent="0.3">
      <c r="A25" s="207" t="s">
        <v>56</v>
      </c>
      <c r="B25" s="204">
        <f>COUNTIF(TT!$D$4:$D$9,TALLY!A25)</f>
        <v>0</v>
      </c>
      <c r="C25" s="204">
        <f>COUNTIF(TT!$D$15:$D$28,TALLY!A25)</f>
        <v>1</v>
      </c>
      <c r="D25" s="204">
        <f>COUNTIF(TT!$D$34:$D$41,TALLY!A25)</f>
        <v>0</v>
      </c>
      <c r="E25" s="202">
        <f>COUNTIF(TT!$D$47:$D$60,TALLY!A25)</f>
        <v>0</v>
      </c>
      <c r="F25" s="202">
        <f>COUNTIF(TT!$D$66:$D$79,TALLY!A25)</f>
        <v>0</v>
      </c>
      <c r="G25" s="202">
        <f>COUNTIF(TT!$D$84:$D$93,TALLY!A25)</f>
        <v>0</v>
      </c>
      <c r="H25" s="205">
        <f>COUNTIF(TT!$D$98:$D$106,TALLY!A25)</f>
        <v>0</v>
      </c>
      <c r="I25" s="205">
        <f>COUNTIF(TT!$D$111:$D$121,TALLY!A25)</f>
        <v>0</v>
      </c>
      <c r="J25" s="205">
        <f>COUNTIF(TT!$D$126:$D$134,TALLY!A25)</f>
        <v>0</v>
      </c>
      <c r="K25" s="202">
        <f>COUNTIF(TT!$D$139:$D$151,TALLY!A25)</f>
        <v>0</v>
      </c>
      <c r="L25" s="202">
        <f>COUNTIF(TT!$D$156:$D$164,TALLY!A25)</f>
        <v>0</v>
      </c>
      <c r="M25" s="202">
        <f>COUNTIF(TT!$D$169:$D$180,TALLY!A25)</f>
        <v>1</v>
      </c>
      <c r="N25" s="205">
        <f>COUNTIF(TT!$D$185:$D$197,TALLY!A25)</f>
        <v>0</v>
      </c>
      <c r="O25" s="205">
        <f>COUNTIF(TT!$D$202:$D$208,TALLY!A25)</f>
        <v>0</v>
      </c>
      <c r="P25" s="205">
        <f>COUNTIF(TT!$D$213:$D$220,TALLY!A25)</f>
        <v>0</v>
      </c>
      <c r="Q25" s="204">
        <f>COUNTIF(TT!$D$225:$D$239,TALLY!A25)</f>
        <v>0</v>
      </c>
      <c r="R25" s="204">
        <f>COUNTIF(TT!$D$244:$D$254,TALLY!A25)</f>
        <v>0</v>
      </c>
      <c r="S25" s="204">
        <f>COUNTIF(TT!$D$259:$D$268,TALLY!A25)</f>
        <v>0</v>
      </c>
      <c r="T25" s="205">
        <f>COUNTIF(TT!$D$271:$D$282,TALLY!A25)</f>
        <v>1</v>
      </c>
      <c r="U25" s="205">
        <f>COUNTIF(TT!$D$287:$D$298,TALLY!A25)</f>
        <v>0</v>
      </c>
      <c r="V25" s="205">
        <f>COUNTIF(TT!$D$303:$D$311,TALLY!A25)</f>
        <v>0</v>
      </c>
      <c r="W25" s="202">
        <f>COUNTIF(TT!$D$316:$D$337,TALLY!A25)</f>
        <v>1</v>
      </c>
      <c r="X25" s="202">
        <f>COUNTIF(TT!$D$342:$D$350,TALLY!A25)</f>
        <v>0</v>
      </c>
      <c r="Y25" s="202">
        <f>COUNTIF(TT!$D$357:$D$365,TALLY!A25)</f>
        <v>0</v>
      </c>
      <c r="Z25" s="205">
        <f>COUNTIF(TT!$D$370:$D$377,TALLY!A25)</f>
        <v>0</v>
      </c>
      <c r="AA25" s="205">
        <f>COUNTIF(TT!$D$382:$D$393,TALLY!A25)</f>
        <v>0</v>
      </c>
      <c r="AB25" s="205">
        <f>COUNTIF(TT!$D$398:$D$408,TALLY!A25)</f>
        <v>0</v>
      </c>
      <c r="AC25" s="202">
        <f>COUNTIF(TT!$D$413:$D$425,TALLY!A25)</f>
        <v>1</v>
      </c>
      <c r="AD25" s="202">
        <f>COUNTIF(TT!$D$430:$D$433,TALLY!A25)</f>
        <v>0</v>
      </c>
      <c r="AE25" s="202">
        <f>COUNTIF(TT!$D$454:$D$466,TALLY!A25)</f>
        <v>0</v>
      </c>
      <c r="AF25" s="204">
        <f>COUNTIF(TT!$D$471:$D$480,TALLY!A25)</f>
        <v>0</v>
      </c>
      <c r="AG25" s="204">
        <f>COUNTIF(TT!$D$487:$D$496,TALLY!A25)</f>
        <v>0</v>
      </c>
      <c r="AH25" s="204">
        <f>COUNTIF(TT!$D$501:$D$517,TALLY!A25)</f>
        <v>0</v>
      </c>
      <c r="AI25" s="202">
        <f>COUNTIF(TT!$D$522:$D$533,TALLY!A25)</f>
        <v>0</v>
      </c>
      <c r="AJ25" s="202">
        <f>COUNTIF(TT!$D$538:$D$550,TALLY!A25)</f>
        <v>0</v>
      </c>
      <c r="AK25" s="202">
        <f>COUNTIF(TT!$D$555:$D$569,TALLY!A25)</f>
        <v>0</v>
      </c>
      <c r="AL25" s="205">
        <f>COUNTIF(TT!$D$574:$D$582,TALLY!A25)</f>
        <v>1</v>
      </c>
      <c r="AM25" s="205">
        <f>COUNTIF(TT!$D$587:$D$593,TALLY!A25)</f>
        <v>0</v>
      </c>
      <c r="AN25" s="205">
        <f>COUNTIF(TT!$D$598:$D$606,TALLY!A25)</f>
        <v>0</v>
      </c>
      <c r="AO25" s="202">
        <f>COUNTIF(TT!$D$611:$D$620,TALLY!A25)</f>
        <v>1</v>
      </c>
      <c r="AP25" s="202">
        <f>COUNTIF(TT!$D$627:$D$639,TALLY!A25)</f>
        <v>0</v>
      </c>
      <c r="AQ25" s="202">
        <f>COUNTIF(TT!$D$645:$D$657,TALLY!A25)</f>
        <v>0</v>
      </c>
      <c r="AR25" s="205">
        <f>COUNTIF(TT!$D$663:$D$671,TALLY!A25)</f>
        <v>0</v>
      </c>
      <c r="AS25" s="205">
        <f>COUNTIF(TT!$D$677:$D$685,TALLY!A25)</f>
        <v>0</v>
      </c>
      <c r="AT25" s="205">
        <f>COUNTIF(TT!$D$689:$D$698,TALLY!A25)</f>
        <v>0</v>
      </c>
      <c r="AU25" s="207" t="s">
        <v>56</v>
      </c>
      <c r="AV25" s="202">
        <f t="shared" si="0"/>
        <v>1</v>
      </c>
      <c r="AW25" s="202">
        <f t="shared" si="1"/>
        <v>0</v>
      </c>
      <c r="AX25" s="202">
        <f t="shared" si="2"/>
        <v>0</v>
      </c>
      <c r="AY25" s="202">
        <f t="shared" si="3"/>
        <v>1</v>
      </c>
      <c r="AZ25" s="202">
        <f t="shared" si="4"/>
        <v>0</v>
      </c>
      <c r="BA25" s="202">
        <f t="shared" si="5"/>
        <v>0</v>
      </c>
      <c r="BB25" s="202">
        <f t="shared" si="6"/>
        <v>1</v>
      </c>
      <c r="BC25" s="202">
        <f t="shared" si="7"/>
        <v>1</v>
      </c>
      <c r="BD25" s="202">
        <f t="shared" si="15"/>
        <v>0</v>
      </c>
      <c r="BE25" s="202">
        <f t="shared" si="8"/>
        <v>1</v>
      </c>
      <c r="BF25" s="202">
        <f t="shared" si="9"/>
        <v>0</v>
      </c>
      <c r="BG25" s="202">
        <f t="shared" si="10"/>
        <v>0</v>
      </c>
      <c r="BH25" s="202">
        <f t="shared" si="11"/>
        <v>1</v>
      </c>
      <c r="BI25" s="202">
        <f t="shared" si="12"/>
        <v>1</v>
      </c>
      <c r="BJ25" s="202">
        <f t="shared" si="13"/>
        <v>0</v>
      </c>
      <c r="BK25">
        <f t="shared" si="14"/>
        <v>7</v>
      </c>
    </row>
    <row r="26" spans="1:63" x14ac:dyDescent="0.3">
      <c r="A26" s="207" t="s">
        <v>13</v>
      </c>
      <c r="B26" s="204">
        <f>COUNTIF(TT!$D$4:$D$9,TALLY!A26)</f>
        <v>1</v>
      </c>
      <c r="C26" s="204">
        <f>COUNTIF(TT!$D$15:$D$28,TALLY!A26)</f>
        <v>0</v>
      </c>
      <c r="D26" s="204">
        <f>COUNTIF(TT!$D$34:$D$41,TALLY!A26)</f>
        <v>0</v>
      </c>
      <c r="E26" s="202">
        <f>COUNTIF(TT!$D$47:$D$60,TALLY!A26)</f>
        <v>0</v>
      </c>
      <c r="F26" s="202">
        <f>COUNTIF(TT!$D$66:$D$79,TALLY!A26)</f>
        <v>0</v>
      </c>
      <c r="G26" s="202">
        <f>COUNTIF(TT!$D$84:$D$93,TALLY!A26)</f>
        <v>0</v>
      </c>
      <c r="H26" s="205">
        <f>COUNTIF(TT!$D$98:$D$106,TALLY!A26)</f>
        <v>0</v>
      </c>
      <c r="I26" s="205">
        <f>COUNTIF(TT!$D$111:$D$121,TALLY!A26)</f>
        <v>0</v>
      </c>
      <c r="J26" s="205">
        <f>COUNTIF(TT!$D$126:$D$134,TALLY!A26)</f>
        <v>1</v>
      </c>
      <c r="K26" s="202">
        <f>COUNTIF(TT!$D$139:$D$151,TALLY!A26)</f>
        <v>0</v>
      </c>
      <c r="L26" s="202">
        <f>COUNTIF(TT!$D$156:$D$164,TALLY!A26)</f>
        <v>0</v>
      </c>
      <c r="M26" s="202">
        <f>COUNTIF(TT!$D$169:$D$180,TALLY!A26)</f>
        <v>0</v>
      </c>
      <c r="N26" s="205">
        <f>COUNTIF(TT!$D$185:$D$197,TALLY!A26)</f>
        <v>0</v>
      </c>
      <c r="O26" s="205">
        <f>COUNTIF(TT!$D$202:$D$208,TALLY!A26)</f>
        <v>0</v>
      </c>
      <c r="P26" s="205">
        <f>COUNTIF(TT!$D$213:$D$220,TALLY!A26)</f>
        <v>0</v>
      </c>
      <c r="Q26" s="204">
        <f>COUNTIF(TT!$D$225:$D$239,TALLY!A26)</f>
        <v>0</v>
      </c>
      <c r="R26" s="204">
        <f>COUNTIF(TT!$D$244:$D$254,TALLY!A26)</f>
        <v>1</v>
      </c>
      <c r="S26" s="204">
        <f>COUNTIF(TT!$D$259:$D$268,TALLY!A26)</f>
        <v>0</v>
      </c>
      <c r="T26" s="205">
        <f>COUNTIF(TT!$D$271:$D$282,TALLY!A26)</f>
        <v>0</v>
      </c>
      <c r="U26" s="205">
        <f>COUNTIF(TT!$D$287:$D$298,TALLY!A26)</f>
        <v>0</v>
      </c>
      <c r="V26" s="205">
        <f>COUNTIF(TT!$D$303:$D$311,TALLY!A26)</f>
        <v>1</v>
      </c>
      <c r="W26" s="202">
        <f>COUNTIF(TT!$D$316:$D$337,TALLY!A26)</f>
        <v>0</v>
      </c>
      <c r="X26" s="202">
        <f>COUNTIF(TT!$D$342:$D$350,TALLY!A26)</f>
        <v>0</v>
      </c>
      <c r="Y26" s="202">
        <f>COUNTIF(TT!$D$357:$D$365,TALLY!A26)</f>
        <v>0</v>
      </c>
      <c r="Z26" s="205">
        <f>COUNTIF(TT!$D$370:$D$377,TALLY!A26)</f>
        <v>1</v>
      </c>
      <c r="AA26" s="205">
        <f>COUNTIF(TT!$D$382:$D$393,TALLY!A26)</f>
        <v>0</v>
      </c>
      <c r="AB26" s="205">
        <f>COUNTIF(TT!$D$398:$D$408,TALLY!A26)</f>
        <v>0</v>
      </c>
      <c r="AC26" s="202">
        <f>COUNTIF(TT!$D$413:$D$425,TALLY!A26)</f>
        <v>0</v>
      </c>
      <c r="AD26" s="202">
        <f>COUNTIF(TT!$D$430:$D$433,TALLY!A26)</f>
        <v>0</v>
      </c>
      <c r="AE26" s="202">
        <f>COUNTIF(TT!$D$454:$D$466,TALLY!A26)</f>
        <v>0</v>
      </c>
      <c r="AF26" s="204">
        <f>COUNTIF(TT!$D$471:$D$480,TALLY!A26)</f>
        <v>0</v>
      </c>
      <c r="AG26" s="204">
        <f>COUNTIF(TT!$D$487:$D$496,TALLY!A26)</f>
        <v>0</v>
      </c>
      <c r="AH26" s="204">
        <f>COUNTIF(TT!$D$501:$D$517,TALLY!A26)</f>
        <v>0</v>
      </c>
      <c r="AI26" s="202">
        <f>COUNTIF(TT!$D$522:$D$533,TALLY!A26)</f>
        <v>0</v>
      </c>
      <c r="AJ26" s="202">
        <f>COUNTIF(TT!$D$538:$D$550,TALLY!A26)</f>
        <v>0</v>
      </c>
      <c r="AK26" s="202">
        <f>COUNTIF(TT!$D$555:$D$569,TALLY!A26)</f>
        <v>0</v>
      </c>
      <c r="AL26" s="205">
        <f>COUNTIF(TT!$D$574:$D$582,TALLY!A26)</f>
        <v>0</v>
      </c>
      <c r="AM26" s="205">
        <f>COUNTIF(TT!$D$587:$D$593,TALLY!A26)</f>
        <v>1</v>
      </c>
      <c r="AN26" s="205">
        <f>COUNTIF(TT!$D$598:$D$606,TALLY!A26)</f>
        <v>0</v>
      </c>
      <c r="AO26" s="202">
        <f>COUNTIF(TT!$D$611:$D$620,TALLY!A26)</f>
        <v>0</v>
      </c>
      <c r="AP26" s="202">
        <f>COUNTIF(TT!$D$627:$D$639,TALLY!A26)</f>
        <v>0</v>
      </c>
      <c r="AQ26" s="202">
        <f>COUNTIF(TT!$D$645:$D$657,TALLY!A26)</f>
        <v>1</v>
      </c>
      <c r="AR26" s="205">
        <f>COUNTIF(TT!$D$663:$D$671,TALLY!A26)</f>
        <v>0</v>
      </c>
      <c r="AS26" s="205">
        <f>COUNTIF(TT!$D$677:$D$685,TALLY!A26)</f>
        <v>0</v>
      </c>
      <c r="AT26" s="205">
        <f>COUNTIF(TT!$D$689:$D$698,TALLY!A26)</f>
        <v>0</v>
      </c>
      <c r="AU26" s="207" t="s">
        <v>13</v>
      </c>
      <c r="AV26" s="202">
        <f t="shared" si="0"/>
        <v>1</v>
      </c>
      <c r="AW26" s="202">
        <f t="shared" si="1"/>
        <v>0</v>
      </c>
      <c r="AX26" s="202">
        <f t="shared" si="2"/>
        <v>1</v>
      </c>
      <c r="AY26" s="202">
        <f t="shared" si="3"/>
        <v>0</v>
      </c>
      <c r="AZ26" s="202">
        <f t="shared" si="4"/>
        <v>0</v>
      </c>
      <c r="BA26" s="202">
        <f t="shared" si="5"/>
        <v>1</v>
      </c>
      <c r="BB26" s="202">
        <f t="shared" si="6"/>
        <v>1</v>
      </c>
      <c r="BC26" s="202">
        <f t="shared" si="7"/>
        <v>0</v>
      </c>
      <c r="BD26" s="202">
        <f t="shared" si="15"/>
        <v>1</v>
      </c>
      <c r="BE26" s="202">
        <f t="shared" si="8"/>
        <v>0</v>
      </c>
      <c r="BF26" s="202">
        <f t="shared" si="9"/>
        <v>0</v>
      </c>
      <c r="BG26" s="202">
        <f t="shared" si="10"/>
        <v>0</v>
      </c>
      <c r="BH26" s="202">
        <f t="shared" si="11"/>
        <v>1</v>
      </c>
      <c r="BI26" s="202">
        <f t="shared" si="12"/>
        <v>1</v>
      </c>
      <c r="BJ26" s="202">
        <f t="shared" si="13"/>
        <v>0</v>
      </c>
      <c r="BK26">
        <f t="shared" si="14"/>
        <v>7</v>
      </c>
    </row>
    <row r="27" spans="1:63" x14ac:dyDescent="0.3">
      <c r="A27" s="207" t="s">
        <v>108</v>
      </c>
      <c r="B27" s="204">
        <f>COUNTIF(TT!$D$4:$D$9,TALLY!A27)</f>
        <v>0</v>
      </c>
      <c r="C27" s="204">
        <f>COUNTIF(TT!$D$15:$D$28,TALLY!A27)</f>
        <v>0</v>
      </c>
      <c r="D27" s="204">
        <f>COUNTIF(TT!$D$34:$D$41,TALLY!A27)</f>
        <v>0</v>
      </c>
      <c r="E27" s="202">
        <f>COUNTIF(TT!$D$47:$D$60,TALLY!A27)</f>
        <v>0</v>
      </c>
      <c r="F27" s="202">
        <f>COUNTIF(TT!$D$66:$D$79,TALLY!A27)</f>
        <v>1</v>
      </c>
      <c r="G27" s="202">
        <f>COUNTIF(TT!$D$84:$D$93,TALLY!A27)</f>
        <v>0</v>
      </c>
      <c r="H27" s="205">
        <f>COUNTIF(TT!$D$98:$D$106,TALLY!A27)</f>
        <v>0</v>
      </c>
      <c r="I27" s="205">
        <f>COUNTIF(TT!$D$111:$D$121,TALLY!A27)</f>
        <v>1</v>
      </c>
      <c r="J27" s="205">
        <f>COUNTIF(TT!$D$126:$D$134,TALLY!A27)</f>
        <v>0</v>
      </c>
      <c r="K27" s="202">
        <f>COUNTIF(TT!$D$139:$D$151,TALLY!A27)</f>
        <v>0</v>
      </c>
      <c r="L27" s="202">
        <f>COUNTIF(TT!$D$156:$D$164,TALLY!A27)</f>
        <v>1</v>
      </c>
      <c r="M27" s="202">
        <f>COUNTIF(TT!$D$169:$D$180,TALLY!A27)</f>
        <v>0</v>
      </c>
      <c r="N27" s="205">
        <f>COUNTIF(TT!$D$185:$D$197,TALLY!A27)</f>
        <v>0</v>
      </c>
      <c r="O27" s="205">
        <f>COUNTIF(TT!$D$202:$D$208,TALLY!A27)</f>
        <v>0</v>
      </c>
      <c r="P27" s="205">
        <f>COUNTIF(TT!$D$213:$D$220,TALLY!A27)</f>
        <v>0</v>
      </c>
      <c r="Q27" s="204">
        <f>COUNTIF(TT!$D$225:$D$239,TALLY!A27)</f>
        <v>1</v>
      </c>
      <c r="R27" s="204">
        <f>COUNTIF(TT!$D$244:$D$254,TALLY!A27)</f>
        <v>0</v>
      </c>
      <c r="S27" s="204">
        <f>COUNTIF(TT!$D$259:$D$268,TALLY!A27)</f>
        <v>0</v>
      </c>
      <c r="T27" s="205">
        <f>COUNTIF(TT!$D$271:$D$282,TALLY!A27)</f>
        <v>0</v>
      </c>
      <c r="U27" s="205">
        <f>COUNTIF(TT!$D$287:$D$298,TALLY!A27)</f>
        <v>0</v>
      </c>
      <c r="V27" s="205">
        <f>COUNTIF(TT!$D$303:$D$311,TALLY!A27)</f>
        <v>0</v>
      </c>
      <c r="W27" s="202">
        <f>COUNTIF(TT!$D$316:$D$337,TALLY!A27)</f>
        <v>1</v>
      </c>
      <c r="X27" s="202">
        <f>COUNTIF(TT!$D$342:$D$350,TALLY!A27)</f>
        <v>0</v>
      </c>
      <c r="Y27" s="202">
        <f>COUNTIF(TT!$D$357:$D$365,TALLY!A27)</f>
        <v>0</v>
      </c>
      <c r="Z27" s="205">
        <f>COUNTIF(TT!$D$370:$D$377,TALLY!A27)</f>
        <v>0</v>
      </c>
      <c r="AA27" s="205">
        <f>COUNTIF(TT!$D$382:$D$393,TALLY!A27)</f>
        <v>0</v>
      </c>
      <c r="AB27" s="205">
        <f>COUNTIF(TT!$D$398:$D$408,TALLY!A27)</f>
        <v>0</v>
      </c>
      <c r="AC27" s="202">
        <f>COUNTIF(TT!$D$413:$D$425,TALLY!A27)</f>
        <v>0</v>
      </c>
      <c r="AD27" s="202">
        <f>COUNTIF(TT!$D$430:$D$433,TALLY!A27)</f>
        <v>0</v>
      </c>
      <c r="AE27" s="202">
        <f>COUNTIF(TT!$D$454:$D$466,TALLY!A27)</f>
        <v>1</v>
      </c>
      <c r="AF27" s="204">
        <f>COUNTIF(TT!$D$471:$D$480,TALLY!A27)</f>
        <v>0</v>
      </c>
      <c r="AG27" s="204">
        <f>COUNTIF(TT!$D$487:$D$496,TALLY!A27)</f>
        <v>0</v>
      </c>
      <c r="AH27" s="204">
        <f>COUNTIF(TT!$D$501:$D$517,TALLY!A27)</f>
        <v>1</v>
      </c>
      <c r="AI27" s="202">
        <f>COUNTIF(TT!$D$522:$D$533,TALLY!A27)</f>
        <v>1</v>
      </c>
      <c r="AJ27" s="202">
        <f>COUNTIF(TT!$D$538:$D$550,TALLY!A27)</f>
        <v>0</v>
      </c>
      <c r="AK27" s="202">
        <f>COUNTIF(TT!$D$555:$D$569,TALLY!A27)</f>
        <v>0</v>
      </c>
      <c r="AL27" s="205">
        <f>COUNTIF(TT!$D$574:$D$582,TALLY!A27)</f>
        <v>0</v>
      </c>
      <c r="AM27" s="205">
        <f>COUNTIF(TT!$D$587:$D$593,TALLY!A27)</f>
        <v>0</v>
      </c>
      <c r="AN27" s="205">
        <f>COUNTIF(TT!$D$598:$D$606,TALLY!A27)</f>
        <v>0</v>
      </c>
      <c r="AO27" s="202">
        <f>COUNTIF(TT!$D$611:$D$620,TALLY!A27)</f>
        <v>0</v>
      </c>
      <c r="AP27" s="202">
        <f>COUNTIF(TT!$D$627:$D$639,TALLY!A27)</f>
        <v>0</v>
      </c>
      <c r="AQ27" s="202">
        <f>COUNTIF(TT!$D$645:$D$657,TALLY!A27)</f>
        <v>0</v>
      </c>
      <c r="AR27" s="205">
        <f>COUNTIF(TT!$D$663:$D$671,TALLY!A27)</f>
        <v>0</v>
      </c>
      <c r="AS27" s="205">
        <f>COUNTIF(TT!$D$677:$D$685,TALLY!A27)</f>
        <v>0</v>
      </c>
      <c r="AT27" s="205">
        <f>COUNTIF(TT!$D$689:$D$698,TALLY!A27)</f>
        <v>1</v>
      </c>
      <c r="AU27" s="207" t="s">
        <v>108</v>
      </c>
      <c r="AV27" s="202">
        <f t="shared" si="0"/>
        <v>0</v>
      </c>
      <c r="AW27" s="202">
        <f t="shared" si="1"/>
        <v>1</v>
      </c>
      <c r="AX27" s="202">
        <f t="shared" si="2"/>
        <v>1</v>
      </c>
      <c r="AY27" s="202">
        <f t="shared" si="3"/>
        <v>1</v>
      </c>
      <c r="AZ27" s="202">
        <f t="shared" si="4"/>
        <v>0</v>
      </c>
      <c r="BA27" s="202">
        <f t="shared" si="5"/>
        <v>1</v>
      </c>
      <c r="BB27" s="202">
        <f t="shared" si="6"/>
        <v>0</v>
      </c>
      <c r="BC27" s="202">
        <f t="shared" si="7"/>
        <v>1</v>
      </c>
      <c r="BD27" s="202">
        <f t="shared" si="15"/>
        <v>0</v>
      </c>
      <c r="BE27" s="202">
        <f t="shared" si="8"/>
        <v>1</v>
      </c>
      <c r="BF27" s="202">
        <f t="shared" si="9"/>
        <v>1</v>
      </c>
      <c r="BG27" s="202">
        <f t="shared" si="10"/>
        <v>1</v>
      </c>
      <c r="BH27" s="202">
        <f t="shared" si="11"/>
        <v>0</v>
      </c>
      <c r="BI27" s="202">
        <f t="shared" si="12"/>
        <v>0</v>
      </c>
      <c r="BJ27" s="202">
        <f t="shared" si="13"/>
        <v>1</v>
      </c>
      <c r="BK27">
        <f t="shared" si="14"/>
        <v>9</v>
      </c>
    </row>
    <row r="28" spans="1:63" x14ac:dyDescent="0.3">
      <c r="A28" s="207" t="s">
        <v>25</v>
      </c>
      <c r="B28" s="204">
        <f>COUNTIF(TT!$D$4:$D$9,TALLY!A28)</f>
        <v>1</v>
      </c>
      <c r="C28" s="204">
        <f>COUNTIF(TT!$D$15:$D$28,TALLY!A28)</f>
        <v>0</v>
      </c>
      <c r="D28" s="204">
        <f>COUNTIF(TT!$D$34:$D$41,TALLY!A28)</f>
        <v>0</v>
      </c>
      <c r="E28" s="202">
        <f>COUNTIF(TT!$D$47:$D$60,TALLY!A28)</f>
        <v>0</v>
      </c>
      <c r="F28" s="202">
        <f>COUNTIF(TT!$D$66:$D$79,TALLY!A28)</f>
        <v>0</v>
      </c>
      <c r="G28" s="202">
        <f>COUNTIF(TT!$D$84:$D$93,TALLY!A28)</f>
        <v>0</v>
      </c>
      <c r="H28" s="205">
        <f>COUNTIF(TT!$D$98:$D$106,TALLY!A28)</f>
        <v>0</v>
      </c>
      <c r="I28" s="205">
        <f>COUNTIF(TT!$D$111:$D$121,TALLY!A28)</f>
        <v>0</v>
      </c>
      <c r="J28" s="205">
        <f>COUNTIF(TT!$D$126:$D$134,TALLY!A28)</f>
        <v>0</v>
      </c>
      <c r="K28" s="202">
        <f>COUNTIF(TT!$D$139:$D$151,TALLY!A28)</f>
        <v>0</v>
      </c>
      <c r="L28" s="202">
        <f>COUNTIF(TT!$D$156:$D$164,TALLY!A28)</f>
        <v>0</v>
      </c>
      <c r="M28" s="202">
        <f>COUNTIF(TT!$D$169:$D$180,TALLY!A28)</f>
        <v>0</v>
      </c>
      <c r="N28" s="205">
        <f>COUNTIF(TT!$D$185:$D$197,TALLY!A28)</f>
        <v>0</v>
      </c>
      <c r="O28" s="205">
        <f>COUNTIF(TT!$D$202:$D$208,TALLY!A28)</f>
        <v>1</v>
      </c>
      <c r="P28" s="205">
        <f>COUNTIF(TT!$D$213:$D$220,TALLY!A28)</f>
        <v>0</v>
      </c>
      <c r="Q28" s="204">
        <f>COUNTIF(TT!$D$225:$D$239,TALLY!A28)</f>
        <v>1</v>
      </c>
      <c r="R28" s="204">
        <f>COUNTIF(TT!$D$244:$D$254,TALLY!A28)</f>
        <v>0</v>
      </c>
      <c r="S28" s="204">
        <f>COUNTIF(TT!$D$259:$D$268,TALLY!A28)</f>
        <v>0</v>
      </c>
      <c r="T28" s="205">
        <f>COUNTIF(TT!$D$271:$D$282,TALLY!A28)</f>
        <v>0</v>
      </c>
      <c r="U28" s="205">
        <f>COUNTIF(TT!$D$287:$D$298,TALLY!A28)</f>
        <v>0</v>
      </c>
      <c r="V28" s="205">
        <f>COUNTIF(TT!$D$303:$D$311,TALLY!A28)</f>
        <v>0</v>
      </c>
      <c r="W28" s="202">
        <f>COUNTIF(TT!$D$316:$D$337,TALLY!A28)</f>
        <v>1</v>
      </c>
      <c r="X28" s="202">
        <f>COUNTIF(TT!$D$342:$D$350,TALLY!A28)</f>
        <v>0</v>
      </c>
      <c r="Y28" s="202">
        <f>COUNTIF(TT!$D$357:$D$365,TALLY!A28)</f>
        <v>0</v>
      </c>
      <c r="Z28" s="205">
        <f>COUNTIF(TT!$D$370:$D$377,TALLY!A28)</f>
        <v>0</v>
      </c>
      <c r="AA28" s="205">
        <f>COUNTIF(TT!$D$382:$D$393,TALLY!A28)</f>
        <v>0</v>
      </c>
      <c r="AB28" s="205">
        <f>COUNTIF(TT!$D$398:$D$408,TALLY!A28)</f>
        <v>0</v>
      </c>
      <c r="AC28" s="202">
        <f>COUNTIF(TT!$D$413:$D$425,TALLY!A28)</f>
        <v>1</v>
      </c>
      <c r="AD28" s="202">
        <f>COUNTIF(TT!$D$430:$D$433,TALLY!A28)</f>
        <v>0</v>
      </c>
      <c r="AE28" s="202">
        <f>COUNTIF(TT!$D$454:$D$466,TALLY!A28)</f>
        <v>0</v>
      </c>
      <c r="AF28" s="204">
        <f>COUNTIF(TT!$D$471:$D$480,TALLY!A28)</f>
        <v>0</v>
      </c>
      <c r="AG28" s="204">
        <f>COUNTIF(TT!$D$487:$D$496,TALLY!A28)</f>
        <v>0</v>
      </c>
      <c r="AH28" s="204">
        <f>COUNTIF(TT!$D$501:$D$517,TALLY!A28)</f>
        <v>1</v>
      </c>
      <c r="AI28" s="202">
        <f>COUNTIF(TT!$D$522:$D$533,TALLY!A28)</f>
        <v>0</v>
      </c>
      <c r="AJ28" s="202">
        <f>COUNTIF(TT!$D$538:$D$550,TALLY!A28)</f>
        <v>0</v>
      </c>
      <c r="AK28" s="202">
        <f>COUNTIF(TT!$D$555:$D$569,TALLY!A28)</f>
        <v>0</v>
      </c>
      <c r="AL28" s="205">
        <f>COUNTIF(TT!$D$574:$D$582,TALLY!A28)</f>
        <v>0</v>
      </c>
      <c r="AM28" s="205">
        <f>COUNTIF(TT!$D$587:$D$593,TALLY!A28)</f>
        <v>1</v>
      </c>
      <c r="AN28" s="205">
        <f>COUNTIF(TT!$D$598:$D$606,TALLY!A28)</f>
        <v>0</v>
      </c>
      <c r="AO28" s="202">
        <f>COUNTIF(TT!$D$611:$D$620,TALLY!A28)</f>
        <v>0</v>
      </c>
      <c r="AP28" s="202">
        <f>COUNTIF(TT!$D$627:$D$639,TALLY!A28)</f>
        <v>0</v>
      </c>
      <c r="AQ28" s="202">
        <f>COUNTIF(TT!$D$645:$D$657,TALLY!A28)</f>
        <v>0</v>
      </c>
      <c r="AR28" s="205">
        <f>COUNTIF(TT!$D$663:$D$671,TALLY!A28)</f>
        <v>0</v>
      </c>
      <c r="AS28" s="205">
        <f>COUNTIF(TT!$D$677:$D$685,TALLY!A28)</f>
        <v>0</v>
      </c>
      <c r="AT28" s="205">
        <f>COUNTIF(TT!$D$689:$D$698,TALLY!A28)</f>
        <v>0</v>
      </c>
      <c r="AU28" s="207" t="s">
        <v>25</v>
      </c>
      <c r="AV28" s="202">
        <f t="shared" si="0"/>
        <v>1</v>
      </c>
      <c r="AW28" s="202">
        <f t="shared" si="1"/>
        <v>0</v>
      </c>
      <c r="AX28" s="202">
        <f t="shared" si="2"/>
        <v>0</v>
      </c>
      <c r="AY28" s="202">
        <f t="shared" si="3"/>
        <v>0</v>
      </c>
      <c r="AZ28" s="202">
        <f t="shared" si="4"/>
        <v>1</v>
      </c>
      <c r="BA28" s="202">
        <f t="shared" si="5"/>
        <v>1</v>
      </c>
      <c r="BB28" s="202">
        <f t="shared" si="6"/>
        <v>0</v>
      </c>
      <c r="BC28" s="202">
        <f t="shared" si="7"/>
        <v>1</v>
      </c>
      <c r="BD28" s="202">
        <f t="shared" si="15"/>
        <v>0</v>
      </c>
      <c r="BE28" s="202">
        <f t="shared" si="8"/>
        <v>1</v>
      </c>
      <c r="BF28" s="202">
        <f t="shared" si="9"/>
        <v>1</v>
      </c>
      <c r="BG28" s="202">
        <f t="shared" si="10"/>
        <v>0</v>
      </c>
      <c r="BH28" s="202">
        <f t="shared" si="11"/>
        <v>1</v>
      </c>
      <c r="BI28" s="202">
        <f t="shared" si="12"/>
        <v>0</v>
      </c>
      <c r="BJ28" s="202">
        <f t="shared" si="13"/>
        <v>0</v>
      </c>
      <c r="BK28">
        <f t="shared" si="14"/>
        <v>7</v>
      </c>
    </row>
    <row r="29" spans="1:63" x14ac:dyDescent="0.3">
      <c r="A29" s="207" t="s">
        <v>55</v>
      </c>
      <c r="B29" s="204">
        <f>COUNTIF(TT!$D$4:$D$9,TALLY!A29)</f>
        <v>0</v>
      </c>
      <c r="C29" s="204">
        <f>COUNTIF(TT!$D$15:$D$28,TALLY!A29)</f>
        <v>1</v>
      </c>
      <c r="D29" s="204">
        <f>COUNTIF(TT!$D$34:$D$41,TALLY!A29)</f>
        <v>0</v>
      </c>
      <c r="E29" s="202">
        <f>COUNTIF(TT!$D$47:$D$60,TALLY!A29)</f>
        <v>0</v>
      </c>
      <c r="F29" s="202">
        <f>COUNTIF(TT!$D$66:$D$79,TALLY!A29)</f>
        <v>0</v>
      </c>
      <c r="G29" s="202">
        <f>COUNTIF(TT!$D$84:$D$93,TALLY!A29)</f>
        <v>0</v>
      </c>
      <c r="H29" s="205">
        <f>COUNTIF(TT!$D$98:$D$106,TALLY!A29)</f>
        <v>0</v>
      </c>
      <c r="I29" s="205">
        <f>COUNTIF(TT!$D$111:$D$121,TALLY!A29)</f>
        <v>0</v>
      </c>
      <c r="J29" s="205">
        <f>COUNTIF(TT!$D$126:$D$134,TALLY!A29)</f>
        <v>0</v>
      </c>
      <c r="K29" s="202">
        <f>COUNTIF(TT!$D$139:$D$151,TALLY!A29)</f>
        <v>0</v>
      </c>
      <c r="L29" s="202">
        <f>COUNTIF(TT!$D$156:$D$164,TALLY!A29)</f>
        <v>0</v>
      </c>
      <c r="M29" s="202">
        <f>COUNTIF(TT!$D$169:$D$180,TALLY!A29)</f>
        <v>0</v>
      </c>
      <c r="N29" s="205">
        <f>COUNTIF(TT!$D$185:$D$197,TALLY!A29)</f>
        <v>1</v>
      </c>
      <c r="O29" s="205">
        <f>COUNTIF(TT!$D$202:$D$208,TALLY!A29)</f>
        <v>0</v>
      </c>
      <c r="P29" s="205">
        <f>COUNTIF(TT!$D$213:$D$220,TALLY!A29)</f>
        <v>0</v>
      </c>
      <c r="Q29" s="204">
        <f>COUNTIF(TT!$D$225:$D$239,TALLY!A29)</f>
        <v>0</v>
      </c>
      <c r="R29" s="204">
        <f>COUNTIF(TT!$D$244:$D$254,TALLY!A29)</f>
        <v>1</v>
      </c>
      <c r="S29" s="204">
        <f>COUNTIF(TT!$D$259:$D$268,TALLY!A29)</f>
        <v>0</v>
      </c>
      <c r="T29" s="205">
        <f>COUNTIF(TT!$D$271:$D$282,TALLY!A29)</f>
        <v>0</v>
      </c>
      <c r="U29" s="205">
        <f>COUNTIF(TT!$D$287:$D$298,TALLY!A29)</f>
        <v>0</v>
      </c>
      <c r="V29" s="205">
        <f>COUNTIF(TT!$D$303:$D$311,TALLY!A29)</f>
        <v>0</v>
      </c>
      <c r="W29" s="202">
        <f>COUNTIF(TT!$D$316:$D$337,TALLY!A29)</f>
        <v>1</v>
      </c>
      <c r="X29" s="202">
        <f>COUNTIF(TT!$D$342:$D$350,TALLY!A29)</f>
        <v>0</v>
      </c>
      <c r="Y29" s="202">
        <f>COUNTIF(TT!$D$357:$D$365,TALLY!A29)</f>
        <v>0</v>
      </c>
      <c r="Z29" s="205">
        <f>COUNTIF(TT!$D$370:$D$377,TALLY!A29)</f>
        <v>0</v>
      </c>
      <c r="AA29" s="205">
        <f>COUNTIF(TT!$D$382:$D$393,TALLY!A29)</f>
        <v>0</v>
      </c>
      <c r="AB29" s="205">
        <f>COUNTIF(TT!$D$398:$D$408,TALLY!A29)</f>
        <v>0</v>
      </c>
      <c r="AC29" s="202">
        <f>COUNTIF(TT!$D$413:$D$425,TALLY!A29)</f>
        <v>1</v>
      </c>
      <c r="AD29" s="202">
        <f>COUNTIF(TT!$D$430:$D$433,TALLY!A29)</f>
        <v>0</v>
      </c>
      <c r="AE29" s="202">
        <f>COUNTIF(TT!$D$454:$D$466,TALLY!A29)</f>
        <v>0</v>
      </c>
      <c r="AF29" s="204">
        <f>COUNTIF(TT!$D$471:$D$480,TALLY!A29)</f>
        <v>0</v>
      </c>
      <c r="AG29" s="204">
        <f>COUNTIF(TT!$D$487:$D$496,TALLY!A29)</f>
        <v>1</v>
      </c>
      <c r="AH29" s="204">
        <f>COUNTIF(TT!$D$501:$D$517,TALLY!A29)</f>
        <v>0</v>
      </c>
      <c r="AI29" s="202">
        <f>COUNTIF(TT!$D$522:$D$533,TALLY!A29)</f>
        <v>0</v>
      </c>
      <c r="AJ29" s="202">
        <f>COUNTIF(TT!$D$538:$D$550,TALLY!A29)</f>
        <v>0</v>
      </c>
      <c r="AK29" s="202">
        <f>COUNTIF(TT!$D$555:$D$569,TALLY!A29)</f>
        <v>0</v>
      </c>
      <c r="AL29" s="205">
        <f>COUNTIF(TT!$D$574:$D$582,TALLY!A29)</f>
        <v>0</v>
      </c>
      <c r="AM29" s="205">
        <f>COUNTIF(TT!$D$587:$D$593,TALLY!A29)</f>
        <v>0</v>
      </c>
      <c r="AN29" s="205">
        <f>COUNTIF(TT!$D$598:$D$606,TALLY!A29)</f>
        <v>0</v>
      </c>
      <c r="AO29" s="202">
        <f>COUNTIF(TT!$D$611:$D$620,TALLY!A29)</f>
        <v>1</v>
      </c>
      <c r="AP29" s="202">
        <f>COUNTIF(TT!$D$627:$D$639,TALLY!A29)</f>
        <v>0</v>
      </c>
      <c r="AQ29" s="202">
        <f>COUNTIF(TT!$D$645:$D$657,TALLY!A29)</f>
        <v>0</v>
      </c>
      <c r="AR29" s="205">
        <f>COUNTIF(TT!$D$663:$D$671,TALLY!A29)</f>
        <v>0</v>
      </c>
      <c r="AS29" s="205">
        <f>COUNTIF(TT!$D$677:$D$685,TALLY!A29)</f>
        <v>0</v>
      </c>
      <c r="AT29" s="205">
        <f>COUNTIF(TT!$D$689:$D$698,TALLY!A29)</f>
        <v>0</v>
      </c>
      <c r="AU29" s="207" t="s">
        <v>55</v>
      </c>
      <c r="AV29" s="202">
        <f t="shared" si="0"/>
        <v>1</v>
      </c>
      <c r="AW29" s="202">
        <f t="shared" si="1"/>
        <v>0</v>
      </c>
      <c r="AX29" s="202">
        <f t="shared" si="2"/>
        <v>0</v>
      </c>
      <c r="AY29" s="202">
        <f t="shared" si="3"/>
        <v>0</v>
      </c>
      <c r="AZ29" s="202">
        <f t="shared" si="4"/>
        <v>1</v>
      </c>
      <c r="BA29" s="202">
        <f t="shared" si="5"/>
        <v>1</v>
      </c>
      <c r="BB29" s="202">
        <f t="shared" si="6"/>
        <v>0</v>
      </c>
      <c r="BC29" s="202">
        <f t="shared" si="7"/>
        <v>1</v>
      </c>
      <c r="BD29" s="202">
        <f t="shared" si="15"/>
        <v>0</v>
      </c>
      <c r="BE29" s="202">
        <f t="shared" si="8"/>
        <v>1</v>
      </c>
      <c r="BF29" s="202">
        <f t="shared" si="9"/>
        <v>1</v>
      </c>
      <c r="BG29" s="202">
        <f t="shared" si="10"/>
        <v>0</v>
      </c>
      <c r="BH29" s="202">
        <f t="shared" si="11"/>
        <v>0</v>
      </c>
      <c r="BI29" s="202">
        <f t="shared" si="12"/>
        <v>1</v>
      </c>
      <c r="BJ29" s="202">
        <f t="shared" si="13"/>
        <v>0</v>
      </c>
      <c r="BK29">
        <f t="shared" si="14"/>
        <v>7</v>
      </c>
    </row>
    <row r="30" spans="1:63" x14ac:dyDescent="0.3">
      <c r="A30" s="207" t="s">
        <v>170</v>
      </c>
      <c r="B30" s="204">
        <f>COUNTIF(TT!$D$4:$D$9,TALLY!A30)</f>
        <v>0</v>
      </c>
      <c r="C30" s="204">
        <f>COUNTIF(TT!$D$15:$D$28,TALLY!A30)</f>
        <v>0</v>
      </c>
      <c r="D30" s="204">
        <f>COUNTIF(TT!$D$34:$D$41,TALLY!A30)</f>
        <v>0</v>
      </c>
      <c r="E30" s="202">
        <f>COUNTIF(TT!$D$47:$D$60,TALLY!A30)</f>
        <v>0</v>
      </c>
      <c r="F30" s="202">
        <f>COUNTIF(TT!$D$66:$D$79,TALLY!A30)</f>
        <v>0</v>
      </c>
      <c r="G30" s="202">
        <f>COUNTIF(TT!$D$84:$D$93,TALLY!A30)</f>
        <v>0</v>
      </c>
      <c r="H30" s="205">
        <f>COUNTIF(TT!$D$98:$D$106,TALLY!A30)</f>
        <v>0</v>
      </c>
      <c r="I30" s="205">
        <f>COUNTIF(TT!$D$111:$D$121,TALLY!A30)</f>
        <v>0</v>
      </c>
      <c r="J30" s="205">
        <f>COUNTIF(TT!$D$126:$D$134,TALLY!A30)</f>
        <v>1</v>
      </c>
      <c r="K30" s="202">
        <f>COUNTIF(TT!$D$139:$D$151,TALLY!A30)</f>
        <v>0</v>
      </c>
      <c r="L30" s="202">
        <f>COUNTIF(TT!$D$156:$D$164,TALLY!A30)</f>
        <v>0</v>
      </c>
      <c r="M30" s="202">
        <f>COUNTIF(TT!$D$169:$D$180,TALLY!A30)</f>
        <v>0</v>
      </c>
      <c r="N30" s="205">
        <f>COUNTIF(TT!$D$185:$D$197,TALLY!A30)</f>
        <v>1</v>
      </c>
      <c r="O30" s="205">
        <f>COUNTIF(TT!$D$202:$D$208,TALLY!A30)</f>
        <v>0</v>
      </c>
      <c r="P30" s="205">
        <f>COUNTIF(TT!$D$213:$D$220,TALLY!A30)</f>
        <v>0</v>
      </c>
      <c r="Q30" s="204">
        <f>COUNTIF(TT!$D$225:$D$239,TALLY!A30)</f>
        <v>0</v>
      </c>
      <c r="R30" s="204">
        <f>COUNTIF(TT!$D$244:$D$254,TALLY!A30)</f>
        <v>0</v>
      </c>
      <c r="S30" s="204">
        <f>COUNTIF(TT!$D$259:$D$268,TALLY!A30)</f>
        <v>0</v>
      </c>
      <c r="T30" s="205">
        <f>COUNTIF(TT!$D$271:$D$282,TALLY!A30)</f>
        <v>1</v>
      </c>
      <c r="U30" s="205">
        <f>COUNTIF(TT!$D$287:$D$298,TALLY!A30)</f>
        <v>0</v>
      </c>
      <c r="V30" s="205">
        <f>COUNTIF(TT!$D$303:$D$311,TALLY!A30)</f>
        <v>0</v>
      </c>
      <c r="W30" s="202">
        <f>COUNTIF(TT!$D$316:$D$337,TALLY!A30)</f>
        <v>1</v>
      </c>
      <c r="X30" s="202">
        <f>COUNTIF(TT!$D$342:$D$350,TALLY!A30)</f>
        <v>0</v>
      </c>
      <c r="Y30" s="202">
        <f>COUNTIF(TT!$D$357:$D$365,TALLY!A30)</f>
        <v>0</v>
      </c>
      <c r="Z30" s="205">
        <f>COUNTIF(TT!$D$370:$D$377,TALLY!A30)</f>
        <v>0</v>
      </c>
      <c r="AA30" s="205">
        <f>COUNTIF(TT!$D$382:$D$393,TALLY!A30)</f>
        <v>0</v>
      </c>
      <c r="AB30" s="205">
        <f>COUNTIF(TT!$D$398:$D$408,TALLY!A30)</f>
        <v>0</v>
      </c>
      <c r="AC30" s="202">
        <f>COUNTIF(TT!$D$413:$D$425,TALLY!A30)</f>
        <v>1</v>
      </c>
      <c r="AD30" s="202">
        <f>COUNTIF(TT!$D$430:$D$433,TALLY!A30)</f>
        <v>0</v>
      </c>
      <c r="AE30" s="202">
        <f>COUNTIF(TT!$D$454:$D$466,TALLY!A30)</f>
        <v>0</v>
      </c>
      <c r="AF30" s="204">
        <f>COUNTIF(TT!$D$471:$D$480,TALLY!A30)</f>
        <v>0</v>
      </c>
      <c r="AG30" s="204">
        <f>COUNTIF(TT!$D$487:$D$496,TALLY!A30)</f>
        <v>0</v>
      </c>
      <c r="AH30" s="204">
        <f>COUNTIF(TT!$D$501:$D$517,TALLY!A30)</f>
        <v>0</v>
      </c>
      <c r="AI30" s="202">
        <f>COUNTIF(TT!$D$522:$D$533,TALLY!A30)</f>
        <v>0</v>
      </c>
      <c r="AJ30" s="202">
        <f>COUNTIF(TT!$D$538:$D$550,TALLY!A30)</f>
        <v>0</v>
      </c>
      <c r="AK30" s="202">
        <f>COUNTIF(TT!$D$555:$D$569,TALLY!A30)</f>
        <v>0</v>
      </c>
      <c r="AL30" s="205">
        <f>COUNTIF(TT!$D$574:$D$582,TALLY!A30)</f>
        <v>0</v>
      </c>
      <c r="AM30" s="205">
        <f>COUNTIF(TT!$D$587:$D$593,TALLY!A30)</f>
        <v>1</v>
      </c>
      <c r="AN30" s="205">
        <f>COUNTIF(TT!$D$598:$D$606,TALLY!A30)</f>
        <v>0</v>
      </c>
      <c r="AO30" s="202">
        <f>COUNTIF(TT!$D$611:$D$620,TALLY!A30)</f>
        <v>0</v>
      </c>
      <c r="AP30" s="202">
        <f>COUNTIF(TT!$D$627:$D$639,TALLY!A30)</f>
        <v>0</v>
      </c>
      <c r="AQ30" s="202">
        <f>COUNTIF(TT!$D$645:$D$657,TALLY!A30)</f>
        <v>0</v>
      </c>
      <c r="AR30" s="205">
        <f>COUNTIF(TT!$D$663:$D$671,TALLY!A30)</f>
        <v>0</v>
      </c>
      <c r="AS30" s="205">
        <f>COUNTIF(TT!$D$677:$D$685,TALLY!A30)</f>
        <v>0</v>
      </c>
      <c r="AT30" s="205">
        <f>COUNTIF(TT!$D$689:$D$698,TALLY!A30)</f>
        <v>0</v>
      </c>
      <c r="AU30" s="207" t="s">
        <v>170</v>
      </c>
      <c r="AV30" s="202">
        <f t="shared" si="0"/>
        <v>0</v>
      </c>
      <c r="AW30" s="202">
        <f t="shared" si="1"/>
        <v>0</v>
      </c>
      <c r="AX30" s="202">
        <f t="shared" si="2"/>
        <v>1</v>
      </c>
      <c r="AY30" s="202">
        <f t="shared" si="3"/>
        <v>0</v>
      </c>
      <c r="AZ30" s="202">
        <f t="shared" si="4"/>
        <v>1</v>
      </c>
      <c r="BA30" s="202">
        <f t="shared" si="5"/>
        <v>0</v>
      </c>
      <c r="BB30" s="202">
        <f t="shared" si="6"/>
        <v>1</v>
      </c>
      <c r="BC30" s="202">
        <f t="shared" si="7"/>
        <v>1</v>
      </c>
      <c r="BD30" s="202">
        <f t="shared" si="15"/>
        <v>0</v>
      </c>
      <c r="BE30" s="202">
        <f t="shared" si="8"/>
        <v>1</v>
      </c>
      <c r="BF30" s="202">
        <f t="shared" si="9"/>
        <v>0</v>
      </c>
      <c r="BG30" s="202">
        <f t="shared" si="10"/>
        <v>0</v>
      </c>
      <c r="BH30" s="202">
        <f t="shared" si="11"/>
        <v>1</v>
      </c>
      <c r="BI30" s="202">
        <f t="shared" si="12"/>
        <v>0</v>
      </c>
      <c r="BJ30" s="202">
        <f t="shared" si="13"/>
        <v>0</v>
      </c>
      <c r="BK30">
        <f t="shared" si="14"/>
        <v>6</v>
      </c>
    </row>
    <row r="31" spans="1:63" x14ac:dyDescent="0.3">
      <c r="A31" s="207" t="s">
        <v>38</v>
      </c>
      <c r="B31" s="204">
        <f>COUNTIF(TT!$D$4:$D$9,TALLY!A31)</f>
        <v>0</v>
      </c>
      <c r="C31" s="204">
        <f>COUNTIF(TT!$D$15:$D$28,TALLY!A31)</f>
        <v>1</v>
      </c>
      <c r="D31" s="204">
        <f>COUNTIF(TT!$D$34:$D$41,TALLY!A31)</f>
        <v>0</v>
      </c>
      <c r="E31" s="202">
        <f>COUNTIF(TT!$D$47:$D$60,TALLY!A31)</f>
        <v>0</v>
      </c>
      <c r="F31" s="202">
        <f>COUNTIF(TT!$D$66:$D$79,TALLY!A31)</f>
        <v>0</v>
      </c>
      <c r="G31" s="202">
        <f>COUNTIF(TT!$D$84:$D$93,TALLY!A31)</f>
        <v>0</v>
      </c>
      <c r="H31" s="205">
        <f>COUNTIF(TT!$D$98:$D$106,TALLY!A31)</f>
        <v>1</v>
      </c>
      <c r="I31" s="205">
        <f>COUNTIF(TT!$D$111:$D$121,TALLY!A31)</f>
        <v>0</v>
      </c>
      <c r="J31" s="205">
        <f>COUNTIF(TT!$D$126:$D$134,TALLY!A31)</f>
        <v>0</v>
      </c>
      <c r="K31" s="202">
        <f>COUNTIF(TT!$D$139:$D$151,TALLY!A31)</f>
        <v>0</v>
      </c>
      <c r="L31" s="202">
        <f>COUNTIF(TT!$D$156:$D$164,TALLY!A31)</f>
        <v>0</v>
      </c>
      <c r="M31" s="202">
        <f>COUNTIF(TT!$D$169:$D$180,TALLY!A31)</f>
        <v>0</v>
      </c>
      <c r="N31" s="205">
        <f>COUNTIF(TT!$D$185:$D$197,TALLY!A31)</f>
        <v>1</v>
      </c>
      <c r="O31" s="205">
        <f>COUNTIF(TT!$D$202:$D$208,TALLY!A31)</f>
        <v>0</v>
      </c>
      <c r="P31" s="205">
        <f>COUNTIF(TT!$D$213:$D$220,TALLY!A31)</f>
        <v>0</v>
      </c>
      <c r="Q31" s="204">
        <f>COUNTIF(TT!$D$225:$D$239,TALLY!A31)</f>
        <v>0</v>
      </c>
      <c r="R31" s="204">
        <f>COUNTIF(TT!$D$244:$D$254,TALLY!A31)</f>
        <v>0</v>
      </c>
      <c r="S31" s="204">
        <f>COUNTIF(TT!$D$259:$D$268,TALLY!A31)</f>
        <v>0</v>
      </c>
      <c r="T31" s="205">
        <f>COUNTIF(TT!$D$271:$D$282,TALLY!A31)</f>
        <v>1</v>
      </c>
      <c r="U31" s="205">
        <f>COUNTIF(TT!$D$287:$D$298,TALLY!A31)</f>
        <v>0</v>
      </c>
      <c r="V31" s="205">
        <f>COUNTIF(TT!$D$303:$D$311,TALLY!A31)</f>
        <v>0</v>
      </c>
      <c r="W31" s="202">
        <f>COUNTIF(TT!$D$316:$D$337,TALLY!A31)</f>
        <v>1</v>
      </c>
      <c r="X31" s="202">
        <f>COUNTIF(TT!$D$342:$D$350,TALLY!A31)</f>
        <v>0</v>
      </c>
      <c r="Y31" s="202">
        <f>COUNTIF(TT!$D$357:$D$365,TALLY!A31)</f>
        <v>0</v>
      </c>
      <c r="Z31" s="205">
        <f>COUNTIF(TT!$D$370:$D$377,TALLY!A31)</f>
        <v>1</v>
      </c>
      <c r="AA31" s="205">
        <f>COUNTIF(TT!$D$382:$D$393,TALLY!A31)</f>
        <v>0</v>
      </c>
      <c r="AB31" s="205">
        <f>COUNTIF(TT!$D$398:$D$408,TALLY!A31)</f>
        <v>0</v>
      </c>
      <c r="AC31" s="202">
        <f>COUNTIF(TT!$D$413:$D$425,TALLY!A31)</f>
        <v>0</v>
      </c>
      <c r="AD31" s="202">
        <f>COUNTIF(TT!$D$430:$D$433,TALLY!A31)</f>
        <v>0</v>
      </c>
      <c r="AE31" s="202">
        <f>COUNTIF(TT!$D$454:$D$466,TALLY!A31)</f>
        <v>0</v>
      </c>
      <c r="AF31" s="204">
        <f>COUNTIF(TT!$D$471:$D$480,TALLY!A31)</f>
        <v>1</v>
      </c>
      <c r="AG31" s="204">
        <f>COUNTIF(TT!$D$487:$D$496,TALLY!A31)</f>
        <v>0</v>
      </c>
      <c r="AH31" s="204">
        <f>COUNTIF(TT!$D$501:$D$517,TALLY!A31)</f>
        <v>0</v>
      </c>
      <c r="AI31" s="202">
        <f>COUNTIF(TT!$D$522:$D$533,TALLY!A31)</f>
        <v>1</v>
      </c>
      <c r="AJ31" s="202">
        <f>COUNTIF(TT!$D$538:$D$550,TALLY!A31)</f>
        <v>0</v>
      </c>
      <c r="AK31" s="202">
        <f>COUNTIF(TT!$D$555:$D$569,TALLY!A31)</f>
        <v>0</v>
      </c>
      <c r="AL31" s="205">
        <f>COUNTIF(TT!$D$574:$D$582,TALLY!A31)</f>
        <v>0</v>
      </c>
      <c r="AM31" s="205">
        <f>COUNTIF(TT!$D$587:$D$593,TALLY!A31)</f>
        <v>0</v>
      </c>
      <c r="AN31" s="205">
        <f>COUNTIF(TT!$D$598:$D$606,TALLY!A31)</f>
        <v>0</v>
      </c>
      <c r="AO31" s="202">
        <f>COUNTIF(TT!$D$611:$D$620,TALLY!A31)</f>
        <v>0</v>
      </c>
      <c r="AP31" s="202">
        <f>COUNTIF(TT!$D$627:$D$639,TALLY!A31)</f>
        <v>0</v>
      </c>
      <c r="AQ31" s="202">
        <f>COUNTIF(TT!$D$645:$D$657,TALLY!A31)</f>
        <v>0</v>
      </c>
      <c r="AR31" s="205">
        <f>COUNTIF(TT!$D$663:$D$671,TALLY!A31)</f>
        <v>0</v>
      </c>
      <c r="AS31" s="205">
        <f>COUNTIF(TT!$D$677:$D$685,TALLY!A31)</f>
        <v>0</v>
      </c>
      <c r="AT31" s="205">
        <f>COUNTIF(TT!$D$689:$D$698,TALLY!A31)</f>
        <v>0</v>
      </c>
      <c r="AU31" s="207" t="s">
        <v>38</v>
      </c>
      <c r="AV31" s="202">
        <f t="shared" si="0"/>
        <v>1</v>
      </c>
      <c r="AW31" s="202">
        <f t="shared" si="1"/>
        <v>0</v>
      </c>
      <c r="AX31" s="202">
        <f t="shared" si="2"/>
        <v>1</v>
      </c>
      <c r="AY31" s="202">
        <f t="shared" si="3"/>
        <v>0</v>
      </c>
      <c r="AZ31" s="202">
        <f t="shared" si="4"/>
        <v>1</v>
      </c>
      <c r="BA31" s="202">
        <f t="shared" si="5"/>
        <v>0</v>
      </c>
      <c r="BB31" s="202">
        <f t="shared" si="6"/>
        <v>1</v>
      </c>
      <c r="BC31" s="202">
        <f t="shared" si="7"/>
        <v>1</v>
      </c>
      <c r="BD31" s="202">
        <f t="shared" si="15"/>
        <v>1</v>
      </c>
      <c r="BE31" s="202">
        <f t="shared" si="8"/>
        <v>0</v>
      </c>
      <c r="BF31" s="202">
        <f t="shared" si="9"/>
        <v>1</v>
      </c>
      <c r="BG31" s="202">
        <f t="shared" si="10"/>
        <v>1</v>
      </c>
      <c r="BH31" s="202">
        <f t="shared" si="11"/>
        <v>0</v>
      </c>
      <c r="BI31" s="202">
        <f t="shared" si="12"/>
        <v>0</v>
      </c>
      <c r="BJ31" s="202">
        <f t="shared" si="13"/>
        <v>0</v>
      </c>
      <c r="BK31">
        <f t="shared" si="14"/>
        <v>8</v>
      </c>
    </row>
    <row r="32" spans="1:63" x14ac:dyDescent="0.3">
      <c r="A32" s="207" t="s">
        <v>42</v>
      </c>
      <c r="B32" s="204">
        <f>COUNTIF(TT!$D$4:$D$9,TALLY!A32)</f>
        <v>0</v>
      </c>
      <c r="C32" s="204">
        <f>COUNTIF(TT!$D$15:$D$28,TALLY!A32)</f>
        <v>1</v>
      </c>
      <c r="D32" s="204">
        <f>COUNTIF(TT!$D$34:$D$41,TALLY!A32)</f>
        <v>0</v>
      </c>
      <c r="E32" s="202">
        <f>COUNTIF(TT!$D$47:$D$60,TALLY!A32)</f>
        <v>1</v>
      </c>
      <c r="F32" s="202">
        <f>COUNTIF(TT!$D$66:$D$79,TALLY!A32)</f>
        <v>0</v>
      </c>
      <c r="G32" s="202">
        <f>COUNTIF(TT!$D$84:$D$93,TALLY!A32)</f>
        <v>0</v>
      </c>
      <c r="H32" s="205">
        <f>COUNTIF(TT!$D$98:$D$106,TALLY!A32)</f>
        <v>1</v>
      </c>
      <c r="I32" s="205">
        <f>COUNTIF(TT!$D$111:$D$121,TALLY!A32)</f>
        <v>0</v>
      </c>
      <c r="J32" s="205">
        <f>COUNTIF(TT!$D$126:$D$134,TALLY!A32)</f>
        <v>0</v>
      </c>
      <c r="K32" s="202">
        <f>COUNTIF(TT!$D$139:$D$151,TALLY!A32)</f>
        <v>0</v>
      </c>
      <c r="L32" s="202">
        <f>COUNTIF(TT!$D$156:$D$164,TALLY!A32)</f>
        <v>0</v>
      </c>
      <c r="M32" s="202">
        <f>COUNTIF(TT!$D$169:$D$180,TALLY!A32)</f>
        <v>0</v>
      </c>
      <c r="N32" s="205">
        <f>COUNTIF(TT!$D$185:$D$197,TALLY!A32)</f>
        <v>1</v>
      </c>
      <c r="O32" s="205">
        <f>COUNTIF(TT!$D$202:$D$208,TALLY!A32)</f>
        <v>0</v>
      </c>
      <c r="P32" s="205">
        <f>COUNTIF(TT!$D$213:$D$220,TALLY!A32)</f>
        <v>0</v>
      </c>
      <c r="Q32" s="204">
        <f>COUNTIF(TT!$D$225:$D$239,TALLY!A32)</f>
        <v>0</v>
      </c>
      <c r="R32" s="204">
        <f>COUNTIF(TT!$D$244:$D$254,TALLY!A32)</f>
        <v>0</v>
      </c>
      <c r="S32" s="204">
        <f>COUNTIF(TT!$D$259:$D$268,TALLY!A32)</f>
        <v>0</v>
      </c>
      <c r="T32" s="205">
        <f>COUNTIF(TT!$D$271:$D$282,TALLY!A32)</f>
        <v>1</v>
      </c>
      <c r="U32" s="205">
        <f>COUNTIF(TT!$D$287:$D$298,TALLY!A32)</f>
        <v>0</v>
      </c>
      <c r="V32" s="205">
        <f>COUNTIF(TT!$D$303:$D$311,TALLY!A32)</f>
        <v>0</v>
      </c>
      <c r="W32" s="202">
        <f>COUNTIF(TT!$D$316:$D$337,TALLY!A32)</f>
        <v>0</v>
      </c>
      <c r="X32" s="202">
        <f>COUNTIF(TT!$D$342:$D$350,TALLY!A32)</f>
        <v>0</v>
      </c>
      <c r="Y32" s="202">
        <f>COUNTIF(TT!$D$357:$D$365,TALLY!A32)</f>
        <v>0</v>
      </c>
      <c r="Z32" s="205">
        <f>COUNTIF(TT!$D$370:$D$377,TALLY!A32)</f>
        <v>1</v>
      </c>
      <c r="AA32" s="205">
        <f>COUNTIF(TT!$D$382:$D$393,TALLY!A32)</f>
        <v>0</v>
      </c>
      <c r="AB32" s="205">
        <f>COUNTIF(TT!$D$398:$D$408,TALLY!A32)</f>
        <v>0</v>
      </c>
      <c r="AC32" s="202">
        <f>COUNTIF(TT!$D$413:$D$425,TALLY!A32)</f>
        <v>0</v>
      </c>
      <c r="AD32" s="202">
        <f>COUNTIF(TT!$D$430:$D$433,TALLY!A32)</f>
        <v>0</v>
      </c>
      <c r="AE32" s="202">
        <f>COUNTIF(TT!$D$454:$D$466,TALLY!A32)</f>
        <v>0</v>
      </c>
      <c r="AF32" s="204">
        <f>COUNTIF(TT!$D$471:$D$480,TALLY!A32)</f>
        <v>1</v>
      </c>
      <c r="AG32" s="204">
        <f>COUNTIF(TT!$D$487:$D$496,TALLY!A32)</f>
        <v>0</v>
      </c>
      <c r="AH32" s="204">
        <f>COUNTIF(TT!$D$501:$D$517,TALLY!A32)</f>
        <v>0</v>
      </c>
      <c r="AI32" s="202">
        <f>COUNTIF(TT!$D$522:$D$533,TALLY!A32)</f>
        <v>0</v>
      </c>
      <c r="AJ32" s="202">
        <f>COUNTIF(TT!$D$538:$D$550,TALLY!A32)</f>
        <v>0</v>
      </c>
      <c r="AK32" s="202">
        <f>COUNTIF(TT!$D$555:$D$569,TALLY!A32)</f>
        <v>0</v>
      </c>
      <c r="AL32" s="205">
        <f>COUNTIF(TT!$D$574:$D$582,TALLY!A32)</f>
        <v>1</v>
      </c>
      <c r="AM32" s="205">
        <f>COUNTIF(TT!$D$587:$D$593,TALLY!A32)</f>
        <v>0</v>
      </c>
      <c r="AN32" s="205">
        <f>COUNTIF(TT!$D$598:$D$606,TALLY!A32)</f>
        <v>0</v>
      </c>
      <c r="AO32" s="202">
        <f>COUNTIF(TT!$D$611:$D$620,TALLY!A32)</f>
        <v>0</v>
      </c>
      <c r="AP32" s="202">
        <f>COUNTIF(TT!$D$627:$D$639,TALLY!A32)</f>
        <v>0</v>
      </c>
      <c r="AQ32" s="202">
        <f>COUNTIF(TT!$D$645:$D$657,TALLY!A32)</f>
        <v>0</v>
      </c>
      <c r="AR32" s="205">
        <f>COUNTIF(TT!$D$663:$D$671,TALLY!A32)</f>
        <v>0</v>
      </c>
      <c r="AS32" s="205">
        <f>COUNTIF(TT!$D$677:$D$685,TALLY!A32)</f>
        <v>0</v>
      </c>
      <c r="AT32" s="205">
        <f>COUNTIF(TT!$D$689:$D$698,TALLY!A32)</f>
        <v>0</v>
      </c>
      <c r="AU32" s="207" t="s">
        <v>42</v>
      </c>
      <c r="AV32" s="202">
        <f t="shared" si="0"/>
        <v>1</v>
      </c>
      <c r="AW32" s="202">
        <f t="shared" si="1"/>
        <v>1</v>
      </c>
      <c r="AX32" s="202">
        <f t="shared" si="2"/>
        <v>1</v>
      </c>
      <c r="AY32" s="202">
        <f t="shared" si="3"/>
        <v>0</v>
      </c>
      <c r="AZ32" s="202">
        <f t="shared" si="4"/>
        <v>1</v>
      </c>
      <c r="BA32" s="202">
        <f t="shared" si="5"/>
        <v>0</v>
      </c>
      <c r="BB32" s="202">
        <f t="shared" si="6"/>
        <v>1</v>
      </c>
      <c r="BC32" s="202">
        <f t="shared" si="7"/>
        <v>0</v>
      </c>
      <c r="BD32" s="202">
        <f t="shared" si="15"/>
        <v>1</v>
      </c>
      <c r="BE32" s="202">
        <f t="shared" si="8"/>
        <v>0</v>
      </c>
      <c r="BF32" s="202">
        <f t="shared" si="9"/>
        <v>1</v>
      </c>
      <c r="BG32" s="202">
        <f t="shared" si="10"/>
        <v>0</v>
      </c>
      <c r="BH32" s="202">
        <f t="shared" si="11"/>
        <v>1</v>
      </c>
      <c r="BI32" s="202">
        <f t="shared" si="12"/>
        <v>0</v>
      </c>
      <c r="BJ32" s="202">
        <f t="shared" si="13"/>
        <v>0</v>
      </c>
      <c r="BK32">
        <f t="shared" si="14"/>
        <v>8</v>
      </c>
    </row>
    <row r="33" spans="1:63" x14ac:dyDescent="0.3">
      <c r="A33" s="207" t="s">
        <v>33</v>
      </c>
      <c r="B33" s="204">
        <f>COUNTIF(TT!$D$4:$D$9,TALLY!A33)</f>
        <v>0</v>
      </c>
      <c r="C33" s="204">
        <f>COUNTIF(TT!$D$15:$D$28,TALLY!A33)</f>
        <v>1</v>
      </c>
      <c r="D33" s="204">
        <f>COUNTIF(TT!$D$34:$D$41,TALLY!A33)</f>
        <v>0</v>
      </c>
      <c r="E33" s="202">
        <f>COUNTIF(TT!$D$47:$D$60,TALLY!A33)</f>
        <v>0</v>
      </c>
      <c r="F33" s="202">
        <f>COUNTIF(TT!$D$66:$D$79,TALLY!A33)</f>
        <v>0</v>
      </c>
      <c r="G33" s="202">
        <f>COUNTIF(TT!$D$84:$D$93,TALLY!A33)</f>
        <v>0</v>
      </c>
      <c r="H33" s="205">
        <f>COUNTIF(TT!$D$98:$D$106,TALLY!A33)</f>
        <v>1</v>
      </c>
      <c r="I33" s="205">
        <f>COUNTIF(TT!$D$111:$D$121,TALLY!A33)</f>
        <v>0</v>
      </c>
      <c r="J33" s="205">
        <f>COUNTIF(TT!$D$126:$D$134,TALLY!A33)</f>
        <v>0</v>
      </c>
      <c r="K33" s="202">
        <f>COUNTIF(TT!$D$139:$D$151,TALLY!A33)</f>
        <v>0</v>
      </c>
      <c r="L33" s="202">
        <f>COUNTIF(TT!$D$156:$D$164,TALLY!A33)</f>
        <v>0</v>
      </c>
      <c r="M33" s="202">
        <f>COUNTIF(TT!$D$169:$D$180,TALLY!A33)</f>
        <v>0</v>
      </c>
      <c r="N33" s="205">
        <f>COUNTIF(TT!$D$185:$D$197,TALLY!A33)</f>
        <v>0</v>
      </c>
      <c r="O33" s="205">
        <f>COUNTIF(TT!$D$202:$D$208,TALLY!A33)</f>
        <v>0</v>
      </c>
      <c r="P33" s="205">
        <f>COUNTIF(TT!$D$213:$D$220,TALLY!A33)</f>
        <v>1</v>
      </c>
      <c r="Q33" s="204">
        <f>COUNTIF(TT!$D$225:$D$239,TALLY!A33)</f>
        <v>0</v>
      </c>
      <c r="R33" s="204">
        <f>COUNTIF(TT!$D$244:$D$254,TALLY!A33)</f>
        <v>0</v>
      </c>
      <c r="S33" s="204">
        <f>COUNTIF(TT!$D$259:$D$268,TALLY!A33)</f>
        <v>0</v>
      </c>
      <c r="T33" s="205">
        <f>COUNTIF(TT!$D$271:$D$282,TALLY!A33)</f>
        <v>1</v>
      </c>
      <c r="U33" s="205">
        <f>COUNTIF(TT!$D$287:$D$298,TALLY!A33)</f>
        <v>0</v>
      </c>
      <c r="V33" s="205">
        <f>COUNTIF(TT!$D$303:$D$311,TALLY!A33)</f>
        <v>0</v>
      </c>
      <c r="W33" s="202">
        <f>COUNTIF(TT!$D$316:$D$337,TALLY!A33)</f>
        <v>0</v>
      </c>
      <c r="X33" s="202">
        <f>COUNTIF(TT!$D$342:$D$350,TALLY!A33)</f>
        <v>0</v>
      </c>
      <c r="Y33" s="202">
        <f>COUNTIF(TT!$D$357:$D$365,TALLY!A33)</f>
        <v>0</v>
      </c>
      <c r="Z33" s="205">
        <f>COUNTIF(TT!$D$370:$D$377,TALLY!A33)</f>
        <v>0</v>
      </c>
      <c r="AA33" s="205">
        <f>COUNTIF(TT!$D$382:$D$393,TALLY!A33)</f>
        <v>0</v>
      </c>
      <c r="AB33" s="205">
        <f>COUNTIF(TT!$D$398:$D$408,TALLY!A33)</f>
        <v>0</v>
      </c>
      <c r="AC33" s="202">
        <f>COUNTIF(TT!$D$413:$D$425,TALLY!A33)</f>
        <v>0</v>
      </c>
      <c r="AD33" s="202">
        <f>COUNTIF(TT!$D$430:$D$433,TALLY!A33)</f>
        <v>0</v>
      </c>
      <c r="AE33" s="202">
        <f>COUNTIF(TT!$D$454:$D$466,TALLY!A33)</f>
        <v>0</v>
      </c>
      <c r="AF33" s="204">
        <f>COUNTIF(TT!$D$471:$D$480,TALLY!A33)</f>
        <v>1</v>
      </c>
      <c r="AG33" s="204">
        <f>COUNTIF(TT!$D$487:$D$496,TALLY!A33)</f>
        <v>0</v>
      </c>
      <c r="AH33" s="204">
        <f>COUNTIF(TT!$D$501:$D$517,TALLY!A33)</f>
        <v>0</v>
      </c>
      <c r="AI33" s="202">
        <f>COUNTIF(TT!$D$522:$D$533,TALLY!A33)</f>
        <v>1</v>
      </c>
      <c r="AJ33" s="202">
        <f>COUNTIF(TT!$D$538:$D$550,TALLY!A33)</f>
        <v>0</v>
      </c>
      <c r="AK33" s="202">
        <f>COUNTIF(TT!$D$555:$D$569,TALLY!A33)</f>
        <v>0</v>
      </c>
      <c r="AL33" s="205">
        <f>COUNTIF(TT!$D$574:$D$582,TALLY!A33)</f>
        <v>0</v>
      </c>
      <c r="AM33" s="205">
        <f>COUNTIF(TT!$D$587:$D$593,TALLY!A33)</f>
        <v>0</v>
      </c>
      <c r="AN33" s="205">
        <f>COUNTIF(TT!$D$598:$D$606,TALLY!A33)</f>
        <v>0</v>
      </c>
      <c r="AO33" s="202">
        <f>COUNTIF(TT!$D$611:$D$620,TALLY!A33)</f>
        <v>0</v>
      </c>
      <c r="AP33" s="202">
        <f>COUNTIF(TT!$D$627:$D$639,TALLY!A33)</f>
        <v>0</v>
      </c>
      <c r="AQ33" s="202">
        <f>COUNTIF(TT!$D$645:$D$657,TALLY!A33)</f>
        <v>0</v>
      </c>
      <c r="AR33" s="205">
        <f>COUNTIF(TT!$D$663:$D$671,TALLY!A33)</f>
        <v>0</v>
      </c>
      <c r="AS33" s="205">
        <f>COUNTIF(TT!$D$677:$D$685,TALLY!A33)</f>
        <v>0</v>
      </c>
      <c r="AT33" s="205">
        <f>COUNTIF(TT!$D$689:$D$698,TALLY!A33)</f>
        <v>0</v>
      </c>
      <c r="AU33" s="207" t="s">
        <v>33</v>
      </c>
      <c r="AV33" s="202">
        <f t="shared" si="0"/>
        <v>1</v>
      </c>
      <c r="AW33" s="202">
        <f t="shared" si="1"/>
        <v>0</v>
      </c>
      <c r="AX33" s="202">
        <f t="shared" si="2"/>
        <v>1</v>
      </c>
      <c r="AY33" s="202">
        <f t="shared" si="3"/>
        <v>0</v>
      </c>
      <c r="AZ33" s="202">
        <f t="shared" si="4"/>
        <v>1</v>
      </c>
      <c r="BA33" s="202">
        <f t="shared" si="5"/>
        <v>0</v>
      </c>
      <c r="BB33" s="202">
        <f t="shared" si="6"/>
        <v>1</v>
      </c>
      <c r="BC33" s="202">
        <f t="shared" si="7"/>
        <v>0</v>
      </c>
      <c r="BD33" s="202">
        <f t="shared" si="15"/>
        <v>0</v>
      </c>
      <c r="BE33" s="202">
        <f t="shared" si="8"/>
        <v>0</v>
      </c>
      <c r="BF33" s="202">
        <f t="shared" si="9"/>
        <v>1</v>
      </c>
      <c r="BG33" s="202">
        <f t="shared" si="10"/>
        <v>1</v>
      </c>
      <c r="BH33" s="202">
        <f t="shared" si="11"/>
        <v>0</v>
      </c>
      <c r="BI33" s="202">
        <f t="shared" si="12"/>
        <v>0</v>
      </c>
      <c r="BJ33" s="202">
        <f t="shared" si="13"/>
        <v>0</v>
      </c>
      <c r="BK33">
        <f t="shared" si="14"/>
        <v>6</v>
      </c>
    </row>
    <row r="34" spans="1:63" x14ac:dyDescent="0.3">
      <c r="A34" s="207" t="s">
        <v>101</v>
      </c>
      <c r="B34" s="204">
        <f>COUNTIF(TT!$D$4:$D$9,TALLY!A34)</f>
        <v>0</v>
      </c>
      <c r="C34" s="204">
        <f>COUNTIF(TT!$D$15:$D$28,TALLY!A34)</f>
        <v>0</v>
      </c>
      <c r="D34" s="204">
        <f>COUNTIF(TT!$D$34:$D$41,TALLY!A34)</f>
        <v>0</v>
      </c>
      <c r="E34" s="202">
        <f>COUNTIF(TT!$D$47:$D$60,TALLY!A34)</f>
        <v>0</v>
      </c>
      <c r="F34" s="202">
        <f>COUNTIF(TT!$D$66:$D$79,TALLY!A34)</f>
        <v>1</v>
      </c>
      <c r="G34" s="202">
        <f>COUNTIF(TT!$D$84:$D$93,TALLY!A34)</f>
        <v>0</v>
      </c>
      <c r="H34" s="205">
        <f>COUNTIF(TT!$D$98:$D$106,TALLY!A34)</f>
        <v>0</v>
      </c>
      <c r="I34" s="205">
        <f>COUNTIF(TT!$D$111:$D$121,TALLY!A34)</f>
        <v>0</v>
      </c>
      <c r="J34" s="205">
        <f>COUNTIF(TT!$D$126:$D$134,TALLY!A34)</f>
        <v>0</v>
      </c>
      <c r="K34" s="202">
        <f>COUNTIF(TT!$D$139:$D$151,TALLY!A34)</f>
        <v>0</v>
      </c>
      <c r="L34" s="202">
        <f>COUNTIF(TT!$D$156:$D$164,TALLY!A34)</f>
        <v>0</v>
      </c>
      <c r="M34" s="202">
        <f>COUNTIF(TT!$D$169:$D$180,TALLY!A34)</f>
        <v>1</v>
      </c>
      <c r="N34" s="205">
        <f>COUNTIF(TT!$D$185:$D$197,TALLY!A34)</f>
        <v>0</v>
      </c>
      <c r="O34" s="205">
        <f>COUNTIF(TT!$D$202:$D$208,TALLY!A34)</f>
        <v>0</v>
      </c>
      <c r="P34" s="205">
        <f>COUNTIF(TT!$D$213:$D$220,TALLY!A34)</f>
        <v>0</v>
      </c>
      <c r="Q34" s="204">
        <f>COUNTIF(TT!$D$225:$D$239,TALLY!A34)</f>
        <v>0</v>
      </c>
      <c r="R34" s="204">
        <f>COUNTIF(TT!$D$244:$D$254,TALLY!A34)</f>
        <v>1</v>
      </c>
      <c r="S34" s="204">
        <f>COUNTIF(TT!$D$259:$D$268,TALLY!A34)</f>
        <v>0</v>
      </c>
      <c r="T34" s="205">
        <f>COUNTIF(TT!$D$271:$D$282,TALLY!A34)</f>
        <v>0</v>
      </c>
      <c r="U34" s="205">
        <f>COUNTIF(TT!$D$287:$D$298,TALLY!A34)</f>
        <v>0</v>
      </c>
      <c r="V34" s="205">
        <f>COUNTIF(TT!$D$303:$D$311,TALLY!A34)</f>
        <v>0</v>
      </c>
      <c r="W34" s="202">
        <f>COUNTIF(TT!$D$316:$D$337,TALLY!A34)</f>
        <v>1</v>
      </c>
      <c r="X34" s="202">
        <f>COUNTIF(TT!$D$342:$D$350,TALLY!A34)</f>
        <v>0</v>
      </c>
      <c r="Y34" s="202">
        <f>COUNTIF(TT!$D$357:$D$365,TALLY!A34)</f>
        <v>0</v>
      </c>
      <c r="Z34" s="205">
        <f>COUNTIF(TT!$D$370:$D$377,TALLY!A34)</f>
        <v>0</v>
      </c>
      <c r="AA34" s="205">
        <f>COUNTIF(TT!$D$382:$D$393,TALLY!A34)</f>
        <v>0</v>
      </c>
      <c r="AB34" s="205">
        <f>COUNTIF(TT!$D$398:$D$408,TALLY!A34)</f>
        <v>1</v>
      </c>
      <c r="AC34" s="202">
        <f>COUNTIF(TT!$D$413:$D$425,TALLY!A34)</f>
        <v>0</v>
      </c>
      <c r="AD34" s="202">
        <f>COUNTIF(TT!$D$430:$D$433,TALLY!A34)</f>
        <v>0</v>
      </c>
      <c r="AE34" s="202">
        <f>COUNTIF(TT!$D$454:$D$466,TALLY!A34)</f>
        <v>0</v>
      </c>
      <c r="AF34" s="204">
        <f>COUNTIF(TT!$D$471:$D$480,TALLY!A34)</f>
        <v>0</v>
      </c>
      <c r="AG34" s="204">
        <f>COUNTIF(TT!$D$487:$D$496,TALLY!A34)</f>
        <v>1</v>
      </c>
      <c r="AH34" s="204">
        <f>COUNTIF(TT!$D$501:$D$517,TALLY!A34)</f>
        <v>0</v>
      </c>
      <c r="AI34" s="202">
        <f>COUNTIF(TT!$D$522:$D$533,TALLY!A34)</f>
        <v>0</v>
      </c>
      <c r="AJ34" s="202">
        <f>COUNTIF(TT!$D$538:$D$550,TALLY!A34)</f>
        <v>0</v>
      </c>
      <c r="AK34" s="202">
        <f>COUNTIF(TT!$D$555:$D$569,TALLY!A34)</f>
        <v>0</v>
      </c>
      <c r="AL34" s="205">
        <f>COUNTIF(TT!$D$574:$D$582,TALLY!A34)</f>
        <v>0</v>
      </c>
      <c r="AM34" s="205">
        <f>COUNTIF(TT!$D$587:$D$593,TALLY!A34)</f>
        <v>0</v>
      </c>
      <c r="AN34" s="205">
        <f>COUNTIF(TT!$D$598:$D$606,TALLY!A34)</f>
        <v>0</v>
      </c>
      <c r="AO34" s="202">
        <f>COUNTIF(TT!$D$611:$D$620,TALLY!A34)</f>
        <v>0</v>
      </c>
      <c r="AP34" s="202">
        <f>COUNTIF(TT!$D$627:$D$639,TALLY!A34)</f>
        <v>1</v>
      </c>
      <c r="AQ34" s="202">
        <f>COUNTIF(TT!$D$645:$D$657,TALLY!A34)</f>
        <v>0</v>
      </c>
      <c r="AR34" s="205">
        <f>COUNTIF(TT!$D$663:$D$671,TALLY!A34)</f>
        <v>0</v>
      </c>
      <c r="AS34" s="205">
        <f>COUNTIF(TT!$D$677:$D$685,TALLY!A34)</f>
        <v>0</v>
      </c>
      <c r="AT34" s="205">
        <f>COUNTIF(TT!$D$689:$D$698,TALLY!A34)</f>
        <v>0</v>
      </c>
      <c r="AU34" s="207" t="s">
        <v>101</v>
      </c>
      <c r="AV34" s="202">
        <f t="shared" si="0"/>
        <v>0</v>
      </c>
      <c r="AW34" s="202">
        <f t="shared" si="1"/>
        <v>1</v>
      </c>
      <c r="AX34" s="202">
        <f t="shared" si="2"/>
        <v>0</v>
      </c>
      <c r="AY34" s="202">
        <f t="shared" si="3"/>
        <v>1</v>
      </c>
      <c r="AZ34" s="202">
        <f t="shared" si="4"/>
        <v>0</v>
      </c>
      <c r="BA34" s="202">
        <f t="shared" si="5"/>
        <v>1</v>
      </c>
      <c r="BB34" s="202">
        <f t="shared" si="6"/>
        <v>0</v>
      </c>
      <c r="BC34" s="202">
        <f t="shared" si="7"/>
        <v>1</v>
      </c>
      <c r="BD34" s="202">
        <f t="shared" si="15"/>
        <v>1</v>
      </c>
      <c r="BE34" s="202">
        <f t="shared" si="8"/>
        <v>0</v>
      </c>
      <c r="BF34" s="202">
        <f t="shared" si="9"/>
        <v>1</v>
      </c>
      <c r="BG34" s="202">
        <f t="shared" si="10"/>
        <v>0</v>
      </c>
      <c r="BH34" s="202">
        <f t="shared" si="11"/>
        <v>0</v>
      </c>
      <c r="BI34" s="202">
        <f t="shared" si="12"/>
        <v>1</v>
      </c>
      <c r="BJ34" s="202">
        <f t="shared" si="13"/>
        <v>0</v>
      </c>
      <c r="BK34">
        <f t="shared" si="14"/>
        <v>7</v>
      </c>
    </row>
    <row r="35" spans="1:63" x14ac:dyDescent="0.3">
      <c r="A35" s="207" t="s">
        <v>210</v>
      </c>
      <c r="B35" s="204">
        <f>COUNTIF(TT!$D$4:$D$9,TALLY!A35)</f>
        <v>0</v>
      </c>
      <c r="C35" s="204">
        <f>COUNTIF(TT!$D$15:$D$28,TALLY!A35)</f>
        <v>0</v>
      </c>
      <c r="D35" s="204">
        <f>COUNTIF(TT!$D$34:$D$41,TALLY!A35)</f>
        <v>0</v>
      </c>
      <c r="E35" s="202">
        <f>COUNTIF(TT!$D$47:$D$60,TALLY!A35)</f>
        <v>0</v>
      </c>
      <c r="F35" s="202">
        <f>COUNTIF(TT!$D$66:$D$79,TALLY!A35)</f>
        <v>0</v>
      </c>
      <c r="G35" s="202">
        <f>COUNTIF(TT!$D$84:$D$93,TALLY!A35)</f>
        <v>1</v>
      </c>
      <c r="H35" s="205">
        <f>COUNTIF(TT!$D$98:$D$106,TALLY!A35)</f>
        <v>0</v>
      </c>
      <c r="I35" s="205">
        <f>COUNTIF(TT!$D$111:$D$121,TALLY!A35)</f>
        <v>0</v>
      </c>
      <c r="J35" s="205">
        <f>COUNTIF(TT!$D$126:$D$134,TALLY!A35)</f>
        <v>0</v>
      </c>
      <c r="K35" s="202">
        <f>COUNTIF(TT!$D$139:$D$151,TALLY!A35)</f>
        <v>0</v>
      </c>
      <c r="L35" s="202">
        <f>COUNTIF(TT!$D$156:$D$164,TALLY!A35)</f>
        <v>0</v>
      </c>
      <c r="M35" s="202">
        <f>COUNTIF(TT!$D$169:$D$180,TALLY!A35)</f>
        <v>1</v>
      </c>
      <c r="N35" s="205">
        <f>COUNTIF(TT!$D$185:$D$197,TALLY!A35)</f>
        <v>0</v>
      </c>
      <c r="O35" s="205">
        <f>COUNTIF(TT!$D$202:$D$208,TALLY!A35)</f>
        <v>0</v>
      </c>
      <c r="P35" s="205">
        <f>COUNTIF(TT!$D$213:$D$220,TALLY!A35)</f>
        <v>0</v>
      </c>
      <c r="Q35" s="204">
        <f>COUNTIF(TT!$D$225:$D$239,TALLY!A35)</f>
        <v>0</v>
      </c>
      <c r="R35" s="204">
        <f>COUNTIF(TT!$D$244:$D$254,TALLY!A35)</f>
        <v>1</v>
      </c>
      <c r="S35" s="204">
        <f>COUNTIF(TT!$D$259:$D$268,TALLY!A35)</f>
        <v>0</v>
      </c>
      <c r="T35" s="205">
        <f>COUNTIF(TT!$D$271:$D$282,TALLY!A35)</f>
        <v>0</v>
      </c>
      <c r="U35" s="205">
        <f>COUNTIF(TT!$D$287:$D$298,TALLY!A35)</f>
        <v>0</v>
      </c>
      <c r="V35" s="205">
        <f>COUNTIF(TT!$D$303:$D$311,TALLY!A35)</f>
        <v>0</v>
      </c>
      <c r="W35" s="202">
        <f>COUNTIF(TT!$D$316:$D$337,TALLY!A35)</f>
        <v>1</v>
      </c>
      <c r="X35" s="202">
        <f>COUNTIF(TT!$D$342:$D$350,TALLY!A35)</f>
        <v>0</v>
      </c>
      <c r="Y35" s="202">
        <f>COUNTIF(TT!$D$357:$D$365,TALLY!A35)</f>
        <v>0</v>
      </c>
      <c r="Z35" s="205">
        <f>COUNTIF(TT!$D$370:$D$377,TALLY!A35)</f>
        <v>0</v>
      </c>
      <c r="AA35" s="205">
        <f>COUNTIF(TT!$D$382:$D$393,TALLY!A35)</f>
        <v>0</v>
      </c>
      <c r="AB35" s="205">
        <f>COUNTIF(TT!$D$398:$D$408,TALLY!A35)</f>
        <v>1</v>
      </c>
      <c r="AC35" s="202">
        <f>COUNTIF(TT!$D$413:$D$425,TALLY!A35)</f>
        <v>0</v>
      </c>
      <c r="AD35" s="202">
        <f>COUNTIF(TT!$D$430:$D$433,TALLY!A35)</f>
        <v>0</v>
      </c>
      <c r="AE35" s="202">
        <f>COUNTIF(TT!$D$454:$D$466,TALLY!A35)</f>
        <v>0</v>
      </c>
      <c r="AF35" s="204">
        <f>COUNTIF(TT!$D$471:$D$480,TALLY!A35)</f>
        <v>0</v>
      </c>
      <c r="AG35" s="204">
        <f>COUNTIF(TT!$D$487:$D$496,TALLY!A35)</f>
        <v>0</v>
      </c>
      <c r="AH35" s="204">
        <f>COUNTIF(TT!$D$501:$D$517,TALLY!A35)</f>
        <v>0</v>
      </c>
      <c r="AI35" s="202">
        <f>COUNTIF(TT!$D$522:$D$533,TALLY!A35)</f>
        <v>0</v>
      </c>
      <c r="AJ35" s="202">
        <f>COUNTIF(TT!$D$538:$D$550,TALLY!A35)</f>
        <v>0</v>
      </c>
      <c r="AK35" s="202">
        <f>COUNTIF(TT!$D$555:$D$569,TALLY!A35)</f>
        <v>0</v>
      </c>
      <c r="AL35" s="205">
        <f>COUNTIF(TT!$D$574:$D$582,TALLY!A35)</f>
        <v>0</v>
      </c>
      <c r="AM35" s="205">
        <f>COUNTIF(TT!$D$587:$D$593,TALLY!A35)</f>
        <v>0</v>
      </c>
      <c r="AN35" s="205">
        <f>COUNTIF(TT!$D$598:$D$606,TALLY!A35)</f>
        <v>0</v>
      </c>
      <c r="AO35" s="202">
        <f>COUNTIF(TT!$D$611:$D$620,TALLY!A35)</f>
        <v>0</v>
      </c>
      <c r="AP35" s="202">
        <f>COUNTIF(TT!$D$627:$D$639,TALLY!A35)</f>
        <v>1</v>
      </c>
      <c r="AQ35" s="202">
        <f>COUNTIF(TT!$D$645:$D$657,TALLY!A35)</f>
        <v>0</v>
      </c>
      <c r="AR35" s="205">
        <f>COUNTIF(TT!$D$663:$D$671,TALLY!A35)</f>
        <v>0</v>
      </c>
      <c r="AS35" s="205">
        <f>COUNTIF(TT!$D$677:$D$685,TALLY!A35)</f>
        <v>0</v>
      </c>
      <c r="AT35" s="205">
        <f>COUNTIF(TT!$D$689:$D$698,TALLY!A35)</f>
        <v>0</v>
      </c>
      <c r="AU35" s="207" t="s">
        <v>210</v>
      </c>
      <c r="AV35" s="202">
        <f t="shared" ref="AV35:AV66" si="16">SUM($B35:$D35)</f>
        <v>0</v>
      </c>
      <c r="AW35" s="202">
        <f t="shared" ref="AW35:AW66" si="17">SUM($E35:$G35)</f>
        <v>1</v>
      </c>
      <c r="AX35" s="202">
        <f t="shared" ref="AX35:AX66" si="18">SUM($H35:$J35)</f>
        <v>0</v>
      </c>
      <c r="AY35" s="202">
        <f t="shared" ref="AY35:AY66" si="19">SUM($K35:$M35)</f>
        <v>1</v>
      </c>
      <c r="AZ35" s="202">
        <f t="shared" ref="AZ35:AZ66" si="20">SUM($N35:$P35)</f>
        <v>0</v>
      </c>
      <c r="BA35" s="202">
        <f t="shared" ref="BA35:BA66" si="21">SUM($Q35:$S35)</f>
        <v>1</v>
      </c>
      <c r="BB35" s="202">
        <f t="shared" ref="BB35:BB66" si="22">SUM($T35:$V35)</f>
        <v>0</v>
      </c>
      <c r="BC35" s="202">
        <f t="shared" ref="BC35:BC66" si="23">SUM($W35:$Y35)</f>
        <v>1</v>
      </c>
      <c r="BD35" s="202">
        <f t="shared" si="15"/>
        <v>1</v>
      </c>
      <c r="BE35" s="202">
        <f t="shared" ref="BE35:BE66" si="24">SUM($AC35:$AE35)</f>
        <v>0</v>
      </c>
      <c r="BF35" s="202">
        <f t="shared" ref="BF35:BF66" si="25">SUM($AF35:$AH35)</f>
        <v>0</v>
      </c>
      <c r="BG35" s="202">
        <f t="shared" ref="BG35:BG66" si="26">SUM($AI35:$AK35)</f>
        <v>0</v>
      </c>
      <c r="BH35" s="202">
        <f t="shared" ref="BH35:BH66" si="27">SUM($AL35:$AN35)</f>
        <v>0</v>
      </c>
      <c r="BI35" s="202">
        <f t="shared" ref="BI35:BI66" si="28">SUM($AO35:$AQ35)</f>
        <v>1</v>
      </c>
      <c r="BJ35" s="202">
        <f t="shared" ref="BJ35:BJ66" si="29">SUM($AR35:$AT35)</f>
        <v>0</v>
      </c>
      <c r="BK35">
        <f t="shared" ref="BK35:BK66" si="30">SUM(AV35:BJ35)</f>
        <v>6</v>
      </c>
    </row>
    <row r="36" spans="1:63" x14ac:dyDescent="0.3">
      <c r="A36" s="207" t="s">
        <v>14</v>
      </c>
      <c r="B36" s="204">
        <f>COUNTIF(TT!$D$4:$D$9,TALLY!A36)</f>
        <v>1</v>
      </c>
      <c r="C36" s="204">
        <f>COUNTIF(TT!$D$15:$D$28,TALLY!A36)</f>
        <v>0</v>
      </c>
      <c r="D36" s="204">
        <f>COUNTIF(TT!$D$34:$D$41,TALLY!A36)</f>
        <v>0</v>
      </c>
      <c r="E36" s="202">
        <f>COUNTIF(TT!$D$47:$D$60,TALLY!A36)</f>
        <v>0</v>
      </c>
      <c r="F36" s="202">
        <f>COUNTIF(TT!$D$66:$D$79,TALLY!A36)</f>
        <v>0</v>
      </c>
      <c r="G36" s="202">
        <f>COUNTIF(TT!$D$84:$D$93,TALLY!A36)</f>
        <v>0</v>
      </c>
      <c r="H36" s="205">
        <f>COUNTIF(TT!$D$98:$D$106,TALLY!A36)</f>
        <v>0</v>
      </c>
      <c r="I36" s="205">
        <f>COUNTIF(TT!$D$111:$D$121,TALLY!A36)</f>
        <v>0</v>
      </c>
      <c r="J36" s="205">
        <f>COUNTIF(TT!$D$126:$D$134,TALLY!A36)</f>
        <v>1</v>
      </c>
      <c r="K36" s="202">
        <f>COUNTIF(TT!$D$139:$D$151,TALLY!A36)</f>
        <v>0</v>
      </c>
      <c r="L36" s="202">
        <f>COUNTIF(TT!$D$156:$D$164,TALLY!A36)</f>
        <v>0</v>
      </c>
      <c r="M36" s="202">
        <f>COUNTIF(TT!$D$169:$D$180,TALLY!A36)</f>
        <v>0</v>
      </c>
      <c r="N36" s="205">
        <f>COUNTIF(TT!$D$185:$D$197,TALLY!A36)</f>
        <v>0</v>
      </c>
      <c r="O36" s="205">
        <f>COUNTIF(TT!$D$202:$D$208,TALLY!A36)</f>
        <v>0</v>
      </c>
      <c r="P36" s="205">
        <f>COUNTIF(TT!$D$213:$D$220,TALLY!A36)</f>
        <v>0</v>
      </c>
      <c r="Q36" s="204">
        <f>COUNTIF(TT!$D$225:$D$239,TALLY!A36)</f>
        <v>0</v>
      </c>
      <c r="R36" s="204">
        <f>COUNTIF(TT!$D$244:$D$254,TALLY!A36)</f>
        <v>1</v>
      </c>
      <c r="S36" s="204">
        <f>COUNTIF(TT!$D$259:$D$268,TALLY!A36)</f>
        <v>0</v>
      </c>
      <c r="T36" s="205">
        <f>COUNTIF(TT!$D$271:$D$282,TALLY!A36)</f>
        <v>0</v>
      </c>
      <c r="U36" s="205">
        <f>COUNTIF(TT!$D$287:$D$298,TALLY!A36)</f>
        <v>0</v>
      </c>
      <c r="V36" s="205">
        <f>COUNTIF(TT!$D$303:$D$311,TALLY!A36)</f>
        <v>0</v>
      </c>
      <c r="W36" s="202">
        <f>COUNTIF(TT!$D$316:$D$337,TALLY!A36)</f>
        <v>1</v>
      </c>
      <c r="X36" s="202">
        <f>COUNTIF(TT!$D$342:$D$350,TALLY!A36)</f>
        <v>0</v>
      </c>
      <c r="Y36" s="202">
        <f>COUNTIF(TT!$D$357:$D$365,TALLY!A36)</f>
        <v>0</v>
      </c>
      <c r="Z36" s="205">
        <f>COUNTIF(TT!$D$370:$D$377,TALLY!A36)</f>
        <v>0</v>
      </c>
      <c r="AA36" s="205">
        <f>COUNTIF(TT!$D$382:$D$393,TALLY!A36)</f>
        <v>0</v>
      </c>
      <c r="AB36" s="205">
        <f>COUNTIF(TT!$D$398:$D$408,TALLY!A36)</f>
        <v>1</v>
      </c>
      <c r="AC36" s="202">
        <f>COUNTIF(TT!$D$413:$D$425,TALLY!A36)</f>
        <v>0</v>
      </c>
      <c r="AD36" s="202">
        <f>COUNTIF(TT!$D$430:$D$433,TALLY!A36)</f>
        <v>0</v>
      </c>
      <c r="AE36" s="202">
        <f>COUNTIF(TT!$D$454:$D$466,TALLY!A36)</f>
        <v>0</v>
      </c>
      <c r="AF36" s="204">
        <f>COUNTIF(TT!$D$471:$D$480,TALLY!A36)</f>
        <v>0</v>
      </c>
      <c r="AG36" s="204">
        <f>COUNTIF(TT!$D$487:$D$496,TALLY!A36)</f>
        <v>1</v>
      </c>
      <c r="AH36" s="204">
        <f>COUNTIF(TT!$D$501:$D$517,TALLY!A36)</f>
        <v>0</v>
      </c>
      <c r="AI36" s="202">
        <f>COUNTIF(TT!$D$522:$D$533,TALLY!A36)</f>
        <v>0</v>
      </c>
      <c r="AJ36" s="202">
        <f>COUNTIF(TT!$D$538:$D$550,TALLY!A36)</f>
        <v>0</v>
      </c>
      <c r="AK36" s="202">
        <f>COUNTIF(TT!$D$555:$D$569,TALLY!A36)</f>
        <v>0</v>
      </c>
      <c r="AL36" s="205">
        <f>COUNTIF(TT!$D$574:$D$582,TALLY!A36)</f>
        <v>0</v>
      </c>
      <c r="AM36" s="205">
        <f>COUNTIF(TT!$D$587:$D$593,TALLY!A36)</f>
        <v>0</v>
      </c>
      <c r="AN36" s="205">
        <f>COUNTIF(TT!$D$598:$D$606,TALLY!A36)</f>
        <v>0</v>
      </c>
      <c r="AO36" s="202">
        <f>COUNTIF(TT!$D$611:$D$620,TALLY!A36)</f>
        <v>0</v>
      </c>
      <c r="AP36" s="202">
        <f>COUNTIF(TT!$D$627:$D$639,TALLY!A36)</f>
        <v>0</v>
      </c>
      <c r="AQ36" s="202">
        <f>COUNTIF(TT!$D$645:$D$657,TALLY!A36)</f>
        <v>1</v>
      </c>
      <c r="AR36" s="205">
        <f>COUNTIF(TT!$D$663:$D$671,TALLY!A36)</f>
        <v>0</v>
      </c>
      <c r="AS36" s="205">
        <f>COUNTIF(TT!$D$677:$D$685,TALLY!A36)</f>
        <v>0</v>
      </c>
      <c r="AT36" s="205">
        <f>COUNTIF(TT!$D$689:$D$698,TALLY!A36)</f>
        <v>0</v>
      </c>
      <c r="AU36" s="207" t="s">
        <v>14</v>
      </c>
      <c r="AV36" s="202">
        <f t="shared" si="16"/>
        <v>1</v>
      </c>
      <c r="AW36" s="202">
        <f t="shared" si="17"/>
        <v>0</v>
      </c>
      <c r="AX36" s="202">
        <f t="shared" si="18"/>
        <v>1</v>
      </c>
      <c r="AY36" s="202">
        <f t="shared" si="19"/>
        <v>0</v>
      </c>
      <c r="AZ36" s="202">
        <f t="shared" si="20"/>
        <v>0</v>
      </c>
      <c r="BA36" s="202">
        <f t="shared" si="21"/>
        <v>1</v>
      </c>
      <c r="BB36" s="202">
        <f t="shared" si="22"/>
        <v>0</v>
      </c>
      <c r="BC36" s="202">
        <f t="shared" si="23"/>
        <v>1</v>
      </c>
      <c r="BD36" s="202">
        <f t="shared" si="15"/>
        <v>1</v>
      </c>
      <c r="BE36" s="202">
        <f t="shared" si="24"/>
        <v>0</v>
      </c>
      <c r="BF36" s="202">
        <f t="shared" si="25"/>
        <v>1</v>
      </c>
      <c r="BG36" s="202">
        <f t="shared" si="26"/>
        <v>0</v>
      </c>
      <c r="BH36" s="202">
        <f t="shared" si="27"/>
        <v>0</v>
      </c>
      <c r="BI36" s="202">
        <f t="shared" si="28"/>
        <v>1</v>
      </c>
      <c r="BJ36" s="202">
        <f t="shared" si="29"/>
        <v>0</v>
      </c>
      <c r="BK36">
        <f t="shared" si="30"/>
        <v>7</v>
      </c>
    </row>
    <row r="37" spans="1:63" x14ac:dyDescent="0.3">
      <c r="A37" s="207" t="s">
        <v>93</v>
      </c>
      <c r="B37" s="204">
        <f>COUNTIF(TT!$D$4:$D$9,TALLY!A37)</f>
        <v>0</v>
      </c>
      <c r="C37" s="204">
        <f>COUNTIF(TT!$D$15:$D$28,TALLY!A37)</f>
        <v>0</v>
      </c>
      <c r="D37" s="204">
        <f>COUNTIF(TT!$D$34:$D$41,TALLY!A37)</f>
        <v>0</v>
      </c>
      <c r="E37" s="202">
        <f>COUNTIF(TT!$D$47:$D$60,TALLY!A37)</f>
        <v>1</v>
      </c>
      <c r="F37" s="202">
        <f>COUNTIF(TT!$D$66:$D$79,TALLY!A37)</f>
        <v>0</v>
      </c>
      <c r="G37" s="202">
        <f>COUNTIF(TT!$D$84:$D$93,TALLY!A37)</f>
        <v>0</v>
      </c>
      <c r="H37" s="205">
        <f>COUNTIF(TT!$D$98:$D$106,TALLY!A37)</f>
        <v>0</v>
      </c>
      <c r="I37" s="205">
        <f>COUNTIF(TT!$D$111:$D$121,TALLY!A37)</f>
        <v>0</v>
      </c>
      <c r="J37" s="205">
        <f>COUNTIF(TT!$D$126:$D$134,TALLY!A37)</f>
        <v>0</v>
      </c>
      <c r="K37" s="202">
        <f>COUNTIF(TT!$D$139:$D$151,TALLY!A37)</f>
        <v>0</v>
      </c>
      <c r="L37" s="202">
        <f>COUNTIF(TT!$D$156:$D$164,TALLY!A37)</f>
        <v>0</v>
      </c>
      <c r="M37" s="202">
        <f>COUNTIF(TT!$D$169:$D$180,TALLY!A37)</f>
        <v>1</v>
      </c>
      <c r="N37" s="205">
        <f>COUNTIF(TT!$D$185:$D$197,TALLY!A37)</f>
        <v>0</v>
      </c>
      <c r="O37" s="205">
        <f>COUNTIF(TT!$D$202:$D$208,TALLY!A37)</f>
        <v>0</v>
      </c>
      <c r="P37" s="205">
        <f>COUNTIF(TT!$D$213:$D$220,TALLY!A37)</f>
        <v>0</v>
      </c>
      <c r="Q37" s="204">
        <f>COUNTIF(TT!$D$225:$D$239,TALLY!A37)</f>
        <v>0</v>
      </c>
      <c r="R37" s="204">
        <f>COUNTIF(TT!$D$244:$D$254,TALLY!A37)</f>
        <v>0</v>
      </c>
      <c r="S37" s="204">
        <f>COUNTIF(TT!$D$259:$D$268,TALLY!A37)</f>
        <v>1</v>
      </c>
      <c r="T37" s="205">
        <f>COUNTIF(TT!$D$271:$D$282,TALLY!A37)</f>
        <v>0</v>
      </c>
      <c r="U37" s="205">
        <f>COUNTIF(TT!$D$287:$D$298,TALLY!A37)</f>
        <v>0</v>
      </c>
      <c r="V37" s="205">
        <f>COUNTIF(TT!$D$303:$D$311,TALLY!A37)</f>
        <v>0</v>
      </c>
      <c r="W37" s="202">
        <f>COUNTIF(TT!$D$316:$D$337,TALLY!A37)</f>
        <v>1</v>
      </c>
      <c r="X37" s="202">
        <f>COUNTIF(TT!$D$342:$D$350,TALLY!A37)</f>
        <v>0</v>
      </c>
      <c r="Y37" s="202">
        <f>COUNTIF(TT!$D$357:$D$365,TALLY!A37)</f>
        <v>0</v>
      </c>
      <c r="Z37" s="205">
        <f>COUNTIF(TT!$D$370:$D$377,TALLY!A37)</f>
        <v>0</v>
      </c>
      <c r="AA37" s="205">
        <f>COUNTIF(TT!$D$382:$D$393,TALLY!A37)</f>
        <v>0</v>
      </c>
      <c r="AB37" s="205">
        <f>COUNTIF(TT!$D$398:$D$408,TALLY!A37)</f>
        <v>1</v>
      </c>
      <c r="AC37" s="202">
        <f>COUNTIF(TT!$D$413:$D$425,TALLY!A37)</f>
        <v>0</v>
      </c>
      <c r="AD37" s="202">
        <f>COUNTIF(TT!$D$430:$D$433,TALLY!A37)</f>
        <v>0</v>
      </c>
      <c r="AE37" s="202">
        <f>COUNTIF(TT!$D$454:$D$466,TALLY!A37)</f>
        <v>0</v>
      </c>
      <c r="AF37" s="204">
        <f>COUNTIF(TT!$D$471:$D$480,TALLY!A37)</f>
        <v>0</v>
      </c>
      <c r="AG37" s="204">
        <f>COUNTIF(TT!$D$487:$D$496,TALLY!A37)</f>
        <v>1</v>
      </c>
      <c r="AH37" s="204">
        <f>COUNTIF(TT!$D$501:$D$517,TALLY!A37)</f>
        <v>0</v>
      </c>
      <c r="AI37" s="202">
        <f>COUNTIF(TT!$D$522:$D$533,TALLY!A37)</f>
        <v>0</v>
      </c>
      <c r="AJ37" s="202">
        <f>COUNTIF(TT!$D$538:$D$550,TALLY!A37)</f>
        <v>0</v>
      </c>
      <c r="AK37" s="202">
        <f>COUNTIF(TT!$D$555:$D$569,TALLY!A37)</f>
        <v>1</v>
      </c>
      <c r="AL37" s="205">
        <f>COUNTIF(TT!$D$574:$D$582,TALLY!A37)</f>
        <v>0</v>
      </c>
      <c r="AM37" s="205">
        <f>COUNTIF(TT!$D$587:$D$593,TALLY!A37)</f>
        <v>0</v>
      </c>
      <c r="AN37" s="205">
        <f>COUNTIF(TT!$D$598:$D$606,TALLY!A37)</f>
        <v>0</v>
      </c>
      <c r="AO37" s="202">
        <f>COUNTIF(TT!$D$611:$D$620,TALLY!A37)</f>
        <v>0</v>
      </c>
      <c r="AP37" s="202">
        <f>COUNTIF(TT!$D$627:$D$639,TALLY!A37)</f>
        <v>1</v>
      </c>
      <c r="AQ37" s="202">
        <f>COUNTIF(TT!$D$645:$D$657,TALLY!A37)</f>
        <v>0</v>
      </c>
      <c r="AR37" s="205">
        <f>COUNTIF(TT!$D$663:$D$671,TALLY!A37)</f>
        <v>0</v>
      </c>
      <c r="AS37" s="205">
        <f>COUNTIF(TT!$D$677:$D$685,TALLY!A37)</f>
        <v>0</v>
      </c>
      <c r="AT37" s="205">
        <f>COUNTIF(TT!$D$689:$D$698,TALLY!A37)</f>
        <v>0</v>
      </c>
      <c r="AU37" s="207" t="s">
        <v>93</v>
      </c>
      <c r="AV37" s="202">
        <f t="shared" si="16"/>
        <v>0</v>
      </c>
      <c r="AW37" s="202">
        <f t="shared" si="17"/>
        <v>1</v>
      </c>
      <c r="AX37" s="202">
        <f t="shared" si="18"/>
        <v>0</v>
      </c>
      <c r="AY37" s="202">
        <f t="shared" si="19"/>
        <v>1</v>
      </c>
      <c r="AZ37" s="202">
        <f t="shared" si="20"/>
        <v>0</v>
      </c>
      <c r="BA37" s="202">
        <f t="shared" si="21"/>
        <v>1</v>
      </c>
      <c r="BB37" s="202">
        <f t="shared" si="22"/>
        <v>0</v>
      </c>
      <c r="BC37" s="202">
        <f t="shared" si="23"/>
        <v>1</v>
      </c>
      <c r="BD37" s="202">
        <f t="shared" ref="BD37:BD68" si="31">SUM($Z37:$AB37)</f>
        <v>1</v>
      </c>
      <c r="BE37" s="202">
        <f t="shared" si="24"/>
        <v>0</v>
      </c>
      <c r="BF37" s="202">
        <f t="shared" si="25"/>
        <v>1</v>
      </c>
      <c r="BG37" s="202">
        <f t="shared" si="26"/>
        <v>1</v>
      </c>
      <c r="BH37" s="202">
        <f t="shared" si="27"/>
        <v>0</v>
      </c>
      <c r="BI37" s="202">
        <f t="shared" si="28"/>
        <v>1</v>
      </c>
      <c r="BJ37" s="202">
        <f t="shared" si="29"/>
        <v>0</v>
      </c>
      <c r="BK37">
        <f t="shared" si="30"/>
        <v>8</v>
      </c>
    </row>
    <row r="38" spans="1:63" x14ac:dyDescent="0.3">
      <c r="A38" s="207" t="s">
        <v>172</v>
      </c>
      <c r="B38" s="204">
        <f>COUNTIF(TT!$D$4:$D$9,TALLY!A38)</f>
        <v>0</v>
      </c>
      <c r="C38" s="204">
        <f>COUNTIF(TT!$D$15:$D$28,TALLY!A38)</f>
        <v>0</v>
      </c>
      <c r="D38" s="204">
        <f>COUNTIF(TT!$D$34:$D$41,TALLY!A38)</f>
        <v>0</v>
      </c>
      <c r="E38" s="202">
        <f>COUNTIF(TT!$D$47:$D$60,TALLY!A38)</f>
        <v>0</v>
      </c>
      <c r="F38" s="202">
        <f>COUNTIF(TT!$D$66:$D$79,TALLY!A38)</f>
        <v>0</v>
      </c>
      <c r="G38" s="202">
        <f>COUNTIF(TT!$D$84:$D$93,TALLY!A38)</f>
        <v>0</v>
      </c>
      <c r="H38" s="205">
        <f>COUNTIF(TT!$D$98:$D$106,TALLY!A38)</f>
        <v>0</v>
      </c>
      <c r="I38" s="205">
        <f>COUNTIF(TT!$D$111:$D$121,TALLY!A38)</f>
        <v>0</v>
      </c>
      <c r="J38" s="205">
        <f>COUNTIF(TT!$D$126:$D$134,TALLY!A38)</f>
        <v>1</v>
      </c>
      <c r="K38" s="202">
        <f>COUNTIF(TT!$D$139:$D$151,TALLY!A38)</f>
        <v>0</v>
      </c>
      <c r="L38" s="202">
        <f>COUNTIF(TT!$D$156:$D$164,TALLY!A38)</f>
        <v>0</v>
      </c>
      <c r="M38" s="202">
        <f>COUNTIF(TT!$D$169:$D$180,TALLY!A38)</f>
        <v>0</v>
      </c>
      <c r="N38" s="205">
        <f>COUNTIF(TT!$D$185:$D$197,TALLY!A38)</f>
        <v>0</v>
      </c>
      <c r="O38" s="205">
        <f>COUNTIF(TT!$D$202:$D$208,TALLY!A38)</f>
        <v>1</v>
      </c>
      <c r="P38" s="205">
        <f>COUNTIF(TT!$D$213:$D$220,TALLY!A38)</f>
        <v>0</v>
      </c>
      <c r="Q38" s="204">
        <f>COUNTIF(TT!$D$225:$D$239,TALLY!A38)</f>
        <v>1</v>
      </c>
      <c r="R38" s="204">
        <f>COUNTIF(TT!$D$244:$D$254,TALLY!A38)</f>
        <v>0</v>
      </c>
      <c r="S38" s="204">
        <f>COUNTIF(TT!$D$259:$D$268,TALLY!A38)</f>
        <v>0</v>
      </c>
      <c r="T38" s="205">
        <f>COUNTIF(TT!$D$271:$D$282,TALLY!A38)</f>
        <v>0</v>
      </c>
      <c r="U38" s="205">
        <f>COUNTIF(TT!$D$287:$D$298,TALLY!A38)</f>
        <v>0</v>
      </c>
      <c r="V38" s="205">
        <f>COUNTIF(TT!$D$303:$D$311,TALLY!A38)</f>
        <v>0</v>
      </c>
      <c r="W38" s="202">
        <f>COUNTIF(TT!$D$316:$D$337,TALLY!A38)</f>
        <v>1</v>
      </c>
      <c r="X38" s="202">
        <f>COUNTIF(TT!$D$342:$D$350,TALLY!A38)</f>
        <v>0</v>
      </c>
      <c r="Y38" s="202">
        <f>COUNTIF(TT!$D$357:$D$365,TALLY!A38)</f>
        <v>0</v>
      </c>
      <c r="Z38" s="205">
        <f>COUNTIF(TT!$D$370:$D$377,TALLY!A38)</f>
        <v>0</v>
      </c>
      <c r="AA38" s="205">
        <f>COUNTIF(TT!$D$382:$D$393,TALLY!A38)</f>
        <v>0</v>
      </c>
      <c r="AB38" s="205">
        <f>COUNTIF(TT!$D$398:$D$408,TALLY!A38)</f>
        <v>1</v>
      </c>
      <c r="AC38" s="202">
        <f>COUNTIF(TT!$D$413:$D$425,TALLY!A38)</f>
        <v>0</v>
      </c>
      <c r="AD38" s="202">
        <f>COUNTIF(TT!$D$430:$D$433,TALLY!A38)</f>
        <v>0</v>
      </c>
      <c r="AE38" s="202">
        <f>COUNTIF(TT!$D$454:$D$466,TALLY!A38)</f>
        <v>0</v>
      </c>
      <c r="AF38" s="204">
        <f>COUNTIF(TT!$D$471:$D$480,TALLY!A38)</f>
        <v>0</v>
      </c>
      <c r="AG38" s="204">
        <f>COUNTIF(TT!$D$487:$D$496,TALLY!A38)</f>
        <v>0</v>
      </c>
      <c r="AH38" s="204">
        <f>COUNTIF(TT!$D$501:$D$517,TALLY!A38)</f>
        <v>1</v>
      </c>
      <c r="AI38" s="202">
        <f>COUNTIF(TT!$D$522:$D$533,TALLY!A38)</f>
        <v>1</v>
      </c>
      <c r="AJ38" s="202">
        <f>COUNTIF(TT!$D$538:$D$550,TALLY!A38)</f>
        <v>0</v>
      </c>
      <c r="AK38" s="202">
        <f>COUNTIF(TT!$D$555:$D$569,TALLY!A38)</f>
        <v>0</v>
      </c>
      <c r="AL38" s="205">
        <f>COUNTIF(TT!$D$574:$D$582,TALLY!A38)</f>
        <v>1</v>
      </c>
      <c r="AM38" s="205">
        <f>COUNTIF(TT!$D$587:$D$593,TALLY!A38)</f>
        <v>0</v>
      </c>
      <c r="AN38" s="205">
        <f>COUNTIF(TT!$D$598:$D$606,TALLY!A38)</f>
        <v>0</v>
      </c>
      <c r="AO38" s="202">
        <f>COUNTIF(TT!$D$611:$D$620,TALLY!A38)</f>
        <v>0</v>
      </c>
      <c r="AP38" s="202">
        <f>COUNTIF(TT!$D$627:$D$639,TALLY!A38)</f>
        <v>0</v>
      </c>
      <c r="AQ38" s="202">
        <f>COUNTIF(TT!$D$645:$D$657,TALLY!A38)</f>
        <v>0</v>
      </c>
      <c r="AR38" s="205">
        <f>COUNTIF(TT!$D$663:$D$671,TALLY!A38)</f>
        <v>0</v>
      </c>
      <c r="AS38" s="205">
        <f>COUNTIF(TT!$D$677:$D$685,TALLY!A38)</f>
        <v>0</v>
      </c>
      <c r="AT38" s="205">
        <f>COUNTIF(TT!$D$689:$D$698,TALLY!A38)</f>
        <v>0</v>
      </c>
      <c r="AU38" s="207" t="s">
        <v>172</v>
      </c>
      <c r="AV38" s="202">
        <f t="shared" si="16"/>
        <v>0</v>
      </c>
      <c r="AW38" s="202">
        <f t="shared" si="17"/>
        <v>0</v>
      </c>
      <c r="AX38" s="202">
        <f t="shared" si="18"/>
        <v>1</v>
      </c>
      <c r="AY38" s="202">
        <f t="shared" si="19"/>
        <v>0</v>
      </c>
      <c r="AZ38" s="202">
        <f t="shared" si="20"/>
        <v>1</v>
      </c>
      <c r="BA38" s="202">
        <f t="shared" si="21"/>
        <v>1</v>
      </c>
      <c r="BB38" s="202">
        <f t="shared" si="22"/>
        <v>0</v>
      </c>
      <c r="BC38" s="202">
        <f t="shared" si="23"/>
        <v>1</v>
      </c>
      <c r="BD38" s="202">
        <f t="shared" si="31"/>
        <v>1</v>
      </c>
      <c r="BE38" s="202">
        <f t="shared" si="24"/>
        <v>0</v>
      </c>
      <c r="BF38" s="202">
        <f t="shared" si="25"/>
        <v>1</v>
      </c>
      <c r="BG38" s="202">
        <f t="shared" si="26"/>
        <v>1</v>
      </c>
      <c r="BH38" s="202">
        <f t="shared" si="27"/>
        <v>1</v>
      </c>
      <c r="BI38" s="202">
        <f t="shared" si="28"/>
        <v>0</v>
      </c>
      <c r="BJ38" s="202">
        <f t="shared" si="29"/>
        <v>0</v>
      </c>
      <c r="BK38">
        <f t="shared" si="30"/>
        <v>8</v>
      </c>
    </row>
    <row r="39" spans="1:63" x14ac:dyDescent="0.3">
      <c r="A39" s="203" t="s">
        <v>88</v>
      </c>
      <c r="B39" s="204">
        <f>COUNTIF(TT!$D$4:$D$9,TALLY!A39)</f>
        <v>0</v>
      </c>
      <c r="C39" s="204">
        <f>COUNTIF(TT!$D$15:$D$28,TALLY!A39)</f>
        <v>0</v>
      </c>
      <c r="D39" s="204">
        <f>COUNTIF(TT!$D$34:$D$41,TALLY!A39)</f>
        <v>0</v>
      </c>
      <c r="E39" s="202">
        <f>COUNTIF(TT!$D$47:$D$60,TALLY!A39)</f>
        <v>1</v>
      </c>
      <c r="F39" s="202">
        <f>COUNTIF(TT!$D$66:$D$79,TALLY!A39)</f>
        <v>0</v>
      </c>
      <c r="G39" s="202">
        <f>COUNTIF(TT!$D$84:$D$93,TALLY!A39)</f>
        <v>0</v>
      </c>
      <c r="H39" s="205">
        <f>COUNTIF(TT!$D$98:$D$106,TALLY!A39)</f>
        <v>0</v>
      </c>
      <c r="I39" s="205">
        <f>COUNTIF(TT!$D$111:$D$121,TALLY!A39)</f>
        <v>0</v>
      </c>
      <c r="J39" s="205">
        <f>COUNTIF(TT!$D$126:$D$134,TALLY!A39)</f>
        <v>0</v>
      </c>
      <c r="K39" s="202">
        <f>COUNTIF(TT!$D$139:$D$151,TALLY!A39)</f>
        <v>1</v>
      </c>
      <c r="L39" s="202">
        <f>COUNTIF(TT!$D$156:$D$164,TALLY!A39)</f>
        <v>0</v>
      </c>
      <c r="M39" s="202">
        <f>COUNTIF(TT!$D$169:$D$180,TALLY!A39)</f>
        <v>0</v>
      </c>
      <c r="N39" s="205">
        <f>COUNTIF(TT!$D$185:$D$197,TALLY!A39)</f>
        <v>1</v>
      </c>
      <c r="O39" s="205">
        <f>COUNTIF(TT!$D$202:$D$208,TALLY!A39)</f>
        <v>0</v>
      </c>
      <c r="P39" s="205">
        <f>COUNTIF(TT!$D$213:$D$220,TALLY!A39)</f>
        <v>0</v>
      </c>
      <c r="Q39" s="204">
        <f>COUNTIF(TT!$D$225:$D$239,TALLY!A39)</f>
        <v>0</v>
      </c>
      <c r="R39" s="204">
        <f>COUNTIF(TT!$D$244:$D$254,TALLY!A39)</f>
        <v>0</v>
      </c>
      <c r="S39" s="204">
        <f>COUNTIF(TT!$D$259:$D$268,TALLY!A39)</f>
        <v>1</v>
      </c>
      <c r="T39" s="205">
        <f>COUNTIF(TT!$D$271:$D$282,TALLY!A39)</f>
        <v>0</v>
      </c>
      <c r="U39" s="205">
        <f>COUNTIF(TT!$D$287:$D$298,TALLY!A39)</f>
        <v>0</v>
      </c>
      <c r="V39" s="205">
        <f>COUNTIF(TT!$D$303:$D$311,TALLY!A39)</f>
        <v>0</v>
      </c>
      <c r="W39" s="202">
        <f>COUNTIF(TT!$D$316:$D$337,TALLY!A39)</f>
        <v>1</v>
      </c>
      <c r="X39" s="202">
        <f>COUNTIF(TT!$D$342:$D$350,TALLY!A39)</f>
        <v>0</v>
      </c>
      <c r="Y39" s="202">
        <f>COUNTIF(TT!$D$357:$D$365,TALLY!A39)</f>
        <v>0</v>
      </c>
      <c r="Z39" s="205">
        <f>COUNTIF(TT!$D$370:$D$377,TALLY!A39)</f>
        <v>0</v>
      </c>
      <c r="AA39" s="205">
        <f>COUNTIF(TT!$D$382:$D$393,TALLY!A39)</f>
        <v>1</v>
      </c>
      <c r="AB39" s="205">
        <f>COUNTIF(TT!$D$398:$D$408,TALLY!A39)</f>
        <v>0</v>
      </c>
      <c r="AC39" s="202">
        <f>COUNTIF(TT!$D$413:$D$425,TALLY!A39)</f>
        <v>0</v>
      </c>
      <c r="AD39" s="202">
        <f>COUNTIF(TT!$D$430:$D$433,TALLY!A39)</f>
        <v>0</v>
      </c>
      <c r="AE39" s="202">
        <f>COUNTIF(TT!$D$454:$D$466,TALLY!A39)</f>
        <v>0</v>
      </c>
      <c r="AF39" s="204">
        <f>COUNTIF(TT!$D$471:$D$480,TALLY!A39)</f>
        <v>0</v>
      </c>
      <c r="AG39" s="204">
        <f>COUNTIF(TT!$D$487:$D$496,TALLY!A39)</f>
        <v>0</v>
      </c>
      <c r="AH39" s="204">
        <f>COUNTIF(TT!$D$501:$D$517,TALLY!A39)</f>
        <v>0</v>
      </c>
      <c r="AI39" s="202">
        <f>COUNTIF(TT!$D$522:$D$533,TALLY!A39)</f>
        <v>0</v>
      </c>
      <c r="AJ39" s="202">
        <f>COUNTIF(TT!$D$538:$D$550,TALLY!A39)</f>
        <v>0</v>
      </c>
      <c r="AK39" s="202">
        <f>COUNTIF(TT!$D$555:$D$569,TALLY!A39)</f>
        <v>0</v>
      </c>
      <c r="AL39" s="205">
        <f>COUNTIF(TT!$D$574:$D$582,TALLY!A39)</f>
        <v>1</v>
      </c>
      <c r="AM39" s="205">
        <f>COUNTIF(TT!$D$587:$D$593,TALLY!A39)</f>
        <v>0</v>
      </c>
      <c r="AN39" s="205">
        <f>COUNTIF(TT!$D$598:$D$606,TALLY!A39)</f>
        <v>0</v>
      </c>
      <c r="AO39" s="202">
        <f>COUNTIF(TT!$D$611:$D$620,TALLY!A39)</f>
        <v>0</v>
      </c>
      <c r="AP39" s="202">
        <f>COUNTIF(TT!$D$627:$D$639,TALLY!A39)</f>
        <v>1</v>
      </c>
      <c r="AQ39" s="202">
        <f>COUNTIF(TT!$D$645:$D$657,TALLY!A39)</f>
        <v>0</v>
      </c>
      <c r="AR39" s="205">
        <f>COUNTIF(TT!$D$663:$D$671,TALLY!A39)</f>
        <v>0</v>
      </c>
      <c r="AS39" s="205">
        <f>COUNTIF(TT!$D$677:$D$685,TALLY!A39)</f>
        <v>0</v>
      </c>
      <c r="AT39" s="205">
        <f>COUNTIF(TT!$D$689:$D$698,TALLY!A39)</f>
        <v>0</v>
      </c>
      <c r="AU39" s="203" t="s">
        <v>88</v>
      </c>
      <c r="AV39" s="202">
        <f t="shared" si="16"/>
        <v>0</v>
      </c>
      <c r="AW39" s="202">
        <f t="shared" si="17"/>
        <v>1</v>
      </c>
      <c r="AX39" s="202">
        <f t="shared" si="18"/>
        <v>0</v>
      </c>
      <c r="AY39" s="202">
        <f t="shared" si="19"/>
        <v>1</v>
      </c>
      <c r="AZ39" s="202">
        <f t="shared" si="20"/>
        <v>1</v>
      </c>
      <c r="BA39" s="202">
        <f t="shared" si="21"/>
        <v>1</v>
      </c>
      <c r="BB39" s="202">
        <f t="shared" si="22"/>
        <v>0</v>
      </c>
      <c r="BC39" s="202">
        <f t="shared" si="23"/>
        <v>1</v>
      </c>
      <c r="BD39" s="202">
        <f t="shared" si="31"/>
        <v>1</v>
      </c>
      <c r="BE39" s="202">
        <f t="shared" si="24"/>
        <v>0</v>
      </c>
      <c r="BF39" s="202">
        <f t="shared" si="25"/>
        <v>0</v>
      </c>
      <c r="BG39" s="202">
        <f t="shared" si="26"/>
        <v>0</v>
      </c>
      <c r="BH39" s="202">
        <f t="shared" si="27"/>
        <v>1</v>
      </c>
      <c r="BI39" s="202">
        <f t="shared" si="28"/>
        <v>1</v>
      </c>
      <c r="BJ39" s="202">
        <f t="shared" si="29"/>
        <v>0</v>
      </c>
      <c r="BK39">
        <f t="shared" si="30"/>
        <v>8</v>
      </c>
    </row>
    <row r="40" spans="1:63" x14ac:dyDescent="0.3">
      <c r="A40" s="203" t="s">
        <v>133</v>
      </c>
      <c r="B40" s="204">
        <f>COUNTIF(TT!$D$4:$D$9,TALLY!A40)</f>
        <v>1</v>
      </c>
      <c r="C40" s="204">
        <f>COUNTIF(TT!$D$15:$D$28,TALLY!A40)</f>
        <v>0</v>
      </c>
      <c r="D40" s="204">
        <f>COUNTIF(TT!$D$34:$D$41,TALLY!A40)</f>
        <v>0</v>
      </c>
      <c r="E40" s="202">
        <f>COUNTIF(TT!$D$47:$D$60,TALLY!A40)</f>
        <v>1</v>
      </c>
      <c r="F40" s="202">
        <f>COUNTIF(TT!$D$66:$D$79,TALLY!A40)</f>
        <v>0</v>
      </c>
      <c r="G40" s="202">
        <f>COUNTIF(TT!$D$84:$D$93,TALLY!A40)</f>
        <v>0</v>
      </c>
      <c r="H40" s="205">
        <f>COUNTIF(TT!$D$98:$D$106,TALLY!A40)</f>
        <v>0</v>
      </c>
      <c r="I40" s="205">
        <f>COUNTIF(TT!$D$111:$D$121,TALLY!A40)</f>
        <v>0</v>
      </c>
      <c r="J40" s="205">
        <f>COUNTIF(TT!$D$126:$D$134,TALLY!A40)</f>
        <v>0</v>
      </c>
      <c r="K40" s="202">
        <f>COUNTIF(TT!$D$139:$D$151,TALLY!A40)</f>
        <v>0</v>
      </c>
      <c r="L40" s="202">
        <f>COUNTIF(TT!$D$156:$D$164,TALLY!A40)</f>
        <v>0</v>
      </c>
      <c r="M40" s="202">
        <f>COUNTIF(TT!$D$169:$D$180,TALLY!A40)</f>
        <v>0</v>
      </c>
      <c r="N40" s="205">
        <f>COUNTIF(TT!$D$185:$D$197,TALLY!A40)</f>
        <v>0</v>
      </c>
      <c r="O40" s="205">
        <f>COUNTIF(TT!$D$202:$D$208,TALLY!A40)</f>
        <v>0</v>
      </c>
      <c r="P40" s="205">
        <f>COUNTIF(TT!$D$213:$D$220,TALLY!A40)</f>
        <v>1</v>
      </c>
      <c r="Q40" s="204">
        <f>COUNTIF(TT!$D$225:$D$239,TALLY!A40)</f>
        <v>0</v>
      </c>
      <c r="R40" s="204">
        <f>COUNTIF(TT!$D$244:$D$254,TALLY!A40)</f>
        <v>0</v>
      </c>
      <c r="S40" s="204">
        <f>COUNTIF(TT!$D$259:$D$268,TALLY!A40)</f>
        <v>0</v>
      </c>
      <c r="T40" s="205">
        <f>COUNTIF(TT!$D$271:$D$282,TALLY!A40)</f>
        <v>1</v>
      </c>
      <c r="U40" s="205">
        <f>COUNTIF(TT!$D$287:$D$298,TALLY!A40)</f>
        <v>0</v>
      </c>
      <c r="V40" s="205">
        <f>COUNTIF(TT!$D$303:$D$311,TALLY!A40)</f>
        <v>0</v>
      </c>
      <c r="W40" s="202">
        <f>COUNTIF(TT!$D$316:$D$337,TALLY!A40)</f>
        <v>0</v>
      </c>
      <c r="X40" s="202">
        <f>COUNTIF(TT!$D$342:$D$350,TALLY!A40)</f>
        <v>0</v>
      </c>
      <c r="Y40" s="202">
        <f>COUNTIF(TT!$D$357:$D$365,TALLY!A40)</f>
        <v>0</v>
      </c>
      <c r="Z40" s="205">
        <f>COUNTIF(TT!$D$370:$D$377,TALLY!A40)</f>
        <v>0</v>
      </c>
      <c r="AA40" s="205">
        <f>COUNTIF(TT!$D$382:$D$393,TALLY!A40)</f>
        <v>1</v>
      </c>
      <c r="AB40" s="205">
        <f>COUNTIF(TT!$D$398:$D$408,TALLY!A40)</f>
        <v>0</v>
      </c>
      <c r="AC40" s="202">
        <f>COUNTIF(TT!$D$413:$D$425,TALLY!A40)</f>
        <v>0</v>
      </c>
      <c r="AD40" s="202">
        <f>COUNTIF(TT!$D$430:$D$433,TALLY!A40)</f>
        <v>0</v>
      </c>
      <c r="AE40" s="202">
        <f>COUNTIF(TT!$D$454:$D$466,TALLY!A40)</f>
        <v>0</v>
      </c>
      <c r="AF40" s="204">
        <f>COUNTIF(TT!$D$471:$D$480,TALLY!A40)</f>
        <v>0</v>
      </c>
      <c r="AG40" s="204">
        <f>COUNTIF(TT!$D$487:$D$496,TALLY!A40)</f>
        <v>0</v>
      </c>
      <c r="AH40" s="204">
        <f>COUNTIF(TT!$D$501:$D$517,TALLY!A40)</f>
        <v>0</v>
      </c>
      <c r="AI40" s="202">
        <f>COUNTIF(TT!$D$522:$D$533,TALLY!A40)</f>
        <v>0</v>
      </c>
      <c r="AJ40" s="202">
        <f>COUNTIF(TT!$D$538:$D$550,TALLY!A40)</f>
        <v>0</v>
      </c>
      <c r="AK40" s="202">
        <f>COUNTIF(TT!$D$555:$D$569,TALLY!A40)</f>
        <v>1</v>
      </c>
      <c r="AL40" s="205">
        <f>COUNTIF(TT!$D$574:$D$582,TALLY!A40)</f>
        <v>0</v>
      </c>
      <c r="AM40" s="205">
        <f>COUNTIF(TT!$D$587:$D$593,TALLY!A40)</f>
        <v>0</v>
      </c>
      <c r="AN40" s="205">
        <f>COUNTIF(TT!$D$598:$D$606,TALLY!A40)</f>
        <v>0</v>
      </c>
      <c r="AO40" s="202">
        <f>COUNTIF(TT!$D$611:$D$620,TALLY!A40)</f>
        <v>0</v>
      </c>
      <c r="AP40" s="202">
        <f>COUNTIF(TT!$D$627:$D$639,TALLY!A40)</f>
        <v>0</v>
      </c>
      <c r="AQ40" s="202">
        <f>COUNTIF(TT!$D$645:$D$657,TALLY!A40)</f>
        <v>0</v>
      </c>
      <c r="AR40" s="205">
        <f>COUNTIF(TT!$D$663:$D$671,TALLY!A40)</f>
        <v>0</v>
      </c>
      <c r="AS40" s="205">
        <f>COUNTIF(TT!$D$677:$D$685,TALLY!A40)</f>
        <v>0</v>
      </c>
      <c r="AT40" s="205">
        <f>COUNTIF(TT!$D$689:$D$698,TALLY!A40)</f>
        <v>1</v>
      </c>
      <c r="AU40" s="203" t="s">
        <v>133</v>
      </c>
      <c r="AV40" s="202">
        <f t="shared" si="16"/>
        <v>1</v>
      </c>
      <c r="AW40" s="202">
        <f t="shared" si="17"/>
        <v>1</v>
      </c>
      <c r="AX40" s="202">
        <f t="shared" si="18"/>
        <v>0</v>
      </c>
      <c r="AY40" s="202">
        <f t="shared" si="19"/>
        <v>0</v>
      </c>
      <c r="AZ40" s="202">
        <f t="shared" si="20"/>
        <v>1</v>
      </c>
      <c r="BA40" s="202">
        <f t="shared" si="21"/>
        <v>0</v>
      </c>
      <c r="BB40" s="202">
        <f t="shared" si="22"/>
        <v>1</v>
      </c>
      <c r="BC40" s="202">
        <f t="shared" si="23"/>
        <v>0</v>
      </c>
      <c r="BD40" s="202">
        <f t="shared" si="31"/>
        <v>1</v>
      </c>
      <c r="BE40" s="202">
        <f t="shared" si="24"/>
        <v>0</v>
      </c>
      <c r="BF40" s="202">
        <f t="shared" si="25"/>
        <v>0</v>
      </c>
      <c r="BG40" s="202">
        <f t="shared" si="26"/>
        <v>1</v>
      </c>
      <c r="BH40" s="202">
        <f t="shared" si="27"/>
        <v>0</v>
      </c>
      <c r="BI40" s="202">
        <f t="shared" si="28"/>
        <v>0</v>
      </c>
      <c r="BJ40" s="202">
        <f t="shared" si="29"/>
        <v>1</v>
      </c>
      <c r="BK40">
        <f t="shared" si="30"/>
        <v>7</v>
      </c>
    </row>
    <row r="41" spans="1:63" x14ac:dyDescent="0.3">
      <c r="A41" s="203" t="s">
        <v>23</v>
      </c>
      <c r="B41" s="204">
        <f>COUNTIF(TT!$D$4:$D$9,TALLY!A41)</f>
        <v>0</v>
      </c>
      <c r="C41" s="204">
        <f>COUNTIF(TT!$D$15:$D$28,TALLY!A41)</f>
        <v>0</v>
      </c>
      <c r="D41" s="204">
        <f>COUNTIF(TT!$D$34:$D$41,TALLY!A41)</f>
        <v>1</v>
      </c>
      <c r="E41" s="202">
        <f>COUNTIF(TT!$D$47:$D$60,TALLY!A41)</f>
        <v>0</v>
      </c>
      <c r="F41" s="202">
        <f>COUNTIF(TT!$D$66:$D$79,TALLY!A41)</f>
        <v>0</v>
      </c>
      <c r="G41" s="202">
        <f>COUNTIF(TT!$D$84:$D$93,TALLY!A41)</f>
        <v>0</v>
      </c>
      <c r="H41" s="205">
        <f>COUNTIF(TT!$D$98:$D$106,TALLY!A41)</f>
        <v>0</v>
      </c>
      <c r="I41" s="205">
        <f>COUNTIF(TT!$D$111:$D$121,TALLY!A41)</f>
        <v>1</v>
      </c>
      <c r="J41" s="205">
        <f>COUNTIF(TT!$D$126:$D$134,TALLY!A41)</f>
        <v>0</v>
      </c>
      <c r="K41" s="202">
        <f>COUNTIF(TT!$D$139:$D$151,TALLY!A41)</f>
        <v>0</v>
      </c>
      <c r="L41" s="202">
        <f>COUNTIF(TT!$D$156:$D$164,TALLY!A41)</f>
        <v>0</v>
      </c>
      <c r="M41" s="202">
        <f>COUNTIF(TT!$D$169:$D$180,TALLY!A41)</f>
        <v>0</v>
      </c>
      <c r="N41" s="205">
        <f>COUNTIF(TT!$D$185:$D$197,TALLY!A41)</f>
        <v>0</v>
      </c>
      <c r="O41" s="205">
        <f>COUNTIF(TT!$D$202:$D$208,TALLY!A41)</f>
        <v>0</v>
      </c>
      <c r="P41" s="205">
        <f>COUNTIF(TT!$D$213:$D$220,TALLY!A41)</f>
        <v>1</v>
      </c>
      <c r="Q41" s="204">
        <f>COUNTIF(TT!$D$225:$D$239,TALLY!A41)</f>
        <v>0</v>
      </c>
      <c r="R41" s="204">
        <f>COUNTIF(TT!$D$244:$D$254,TALLY!A41)</f>
        <v>0</v>
      </c>
      <c r="S41" s="204">
        <f>COUNTIF(TT!$D$259:$D$268,TALLY!A41)</f>
        <v>0</v>
      </c>
      <c r="T41" s="205">
        <f>COUNTIF(TT!$D$271:$D$282,TALLY!A41)</f>
        <v>0</v>
      </c>
      <c r="U41" s="205">
        <f>COUNTIF(TT!$D$287:$D$298,TALLY!A41)</f>
        <v>1</v>
      </c>
      <c r="V41" s="205">
        <f>COUNTIF(TT!$D$303:$D$311,TALLY!A41)</f>
        <v>0</v>
      </c>
      <c r="W41" s="202">
        <f>COUNTIF(TT!$D$316:$D$337,TALLY!A41)</f>
        <v>0</v>
      </c>
      <c r="X41" s="202">
        <f>COUNTIF(TT!$D$342:$D$350,TALLY!A41)</f>
        <v>0</v>
      </c>
      <c r="Y41" s="202">
        <f>COUNTIF(TT!$D$357:$D$365,TALLY!A41)</f>
        <v>0</v>
      </c>
      <c r="Z41" s="205">
        <f>COUNTIF(TT!$D$370:$D$377,TALLY!A41)</f>
        <v>0</v>
      </c>
      <c r="AA41" s="205">
        <f>COUNTIF(TT!$D$382:$D$393,TALLY!A41)</f>
        <v>0</v>
      </c>
      <c r="AB41" s="205">
        <f>COUNTIF(TT!$D$398:$D$408,TALLY!A41)</f>
        <v>0</v>
      </c>
      <c r="AC41" s="202">
        <f>COUNTIF(TT!$D$413:$D$425,TALLY!A41)</f>
        <v>0</v>
      </c>
      <c r="AD41" s="202">
        <f>COUNTIF(TT!$D$430:$D$433,TALLY!A41)</f>
        <v>0</v>
      </c>
      <c r="AE41" s="202">
        <f>COUNTIF(TT!$D$454:$D$466,TALLY!A41)</f>
        <v>0</v>
      </c>
      <c r="AF41" s="204">
        <f>COUNTIF(TT!$D$471:$D$480,TALLY!A41)</f>
        <v>0</v>
      </c>
      <c r="AG41" s="204">
        <f>COUNTIF(TT!$D$487:$D$496,TALLY!A41)</f>
        <v>0</v>
      </c>
      <c r="AH41" s="204">
        <f>COUNTIF(TT!$D$501:$D$517,TALLY!A41)</f>
        <v>0</v>
      </c>
      <c r="AI41" s="202">
        <f>COUNTIF(TT!$D$522:$D$533,TALLY!A41)</f>
        <v>0</v>
      </c>
      <c r="AJ41" s="202">
        <f>COUNTIF(TT!$D$538:$D$550,TALLY!A41)</f>
        <v>1</v>
      </c>
      <c r="AK41" s="202">
        <f>COUNTIF(TT!$D$555:$D$569,TALLY!A41)</f>
        <v>0</v>
      </c>
      <c r="AL41" s="205">
        <f>COUNTIF(TT!$D$574:$D$582,TALLY!A41)</f>
        <v>0</v>
      </c>
      <c r="AM41" s="205">
        <f>COUNTIF(TT!$D$587:$D$593,TALLY!A41)</f>
        <v>0</v>
      </c>
      <c r="AN41" s="205">
        <f>COUNTIF(TT!$D$598:$D$606,TALLY!A41)</f>
        <v>0</v>
      </c>
      <c r="AO41" s="202">
        <f>COUNTIF(TT!$D$611:$D$620,TALLY!A41)</f>
        <v>0</v>
      </c>
      <c r="AP41" s="202">
        <f>COUNTIF(TT!$D$627:$D$639,TALLY!A41)</f>
        <v>0</v>
      </c>
      <c r="AQ41" s="202">
        <f>COUNTIF(TT!$D$645:$D$657,TALLY!A41)</f>
        <v>0</v>
      </c>
      <c r="AR41" s="205">
        <f>COUNTIF(TT!$D$663:$D$671,TALLY!A41)</f>
        <v>0</v>
      </c>
      <c r="AS41" s="205">
        <f>COUNTIF(TT!$D$677:$D$685,TALLY!A41)</f>
        <v>0</v>
      </c>
      <c r="AT41" s="205">
        <f>COUNTIF(TT!$D$689:$D$698,TALLY!A41)</f>
        <v>1</v>
      </c>
      <c r="AU41" s="203" t="s">
        <v>23</v>
      </c>
      <c r="AV41" s="202">
        <f t="shared" si="16"/>
        <v>1</v>
      </c>
      <c r="AW41" s="202">
        <f t="shared" si="17"/>
        <v>0</v>
      </c>
      <c r="AX41" s="202">
        <f t="shared" si="18"/>
        <v>1</v>
      </c>
      <c r="AY41" s="202">
        <f t="shared" si="19"/>
        <v>0</v>
      </c>
      <c r="AZ41" s="202">
        <f t="shared" si="20"/>
        <v>1</v>
      </c>
      <c r="BA41" s="202">
        <f t="shared" si="21"/>
        <v>0</v>
      </c>
      <c r="BB41" s="202">
        <f t="shared" si="22"/>
        <v>1</v>
      </c>
      <c r="BC41" s="202">
        <f t="shared" si="23"/>
        <v>0</v>
      </c>
      <c r="BD41" s="202">
        <f t="shared" si="31"/>
        <v>0</v>
      </c>
      <c r="BE41" s="202">
        <f t="shared" si="24"/>
        <v>0</v>
      </c>
      <c r="BF41" s="202">
        <f t="shared" si="25"/>
        <v>0</v>
      </c>
      <c r="BG41" s="202">
        <f t="shared" si="26"/>
        <v>1</v>
      </c>
      <c r="BH41" s="202">
        <f t="shared" si="27"/>
        <v>0</v>
      </c>
      <c r="BI41" s="202">
        <f t="shared" si="28"/>
        <v>0</v>
      </c>
      <c r="BJ41" s="202">
        <f t="shared" si="29"/>
        <v>1</v>
      </c>
      <c r="BK41">
        <f t="shared" si="30"/>
        <v>6</v>
      </c>
    </row>
    <row r="42" spans="1:63" x14ac:dyDescent="0.3">
      <c r="A42" s="203" t="s">
        <v>65</v>
      </c>
      <c r="B42" s="204">
        <f>COUNTIF(TT!$D$4:$D$9,TALLY!A42)</f>
        <v>0</v>
      </c>
      <c r="C42" s="204">
        <f>COUNTIF(TT!$D$15:$D$28,TALLY!A42)</f>
        <v>0</v>
      </c>
      <c r="D42" s="204">
        <f>COUNTIF(TT!$D$34:$D$41,TALLY!A42)</f>
        <v>0</v>
      </c>
      <c r="E42" s="202">
        <f>COUNTIF(TT!$D$47:$D$60,TALLY!A42)</f>
        <v>1</v>
      </c>
      <c r="F42" s="202">
        <f>COUNTIF(TT!$D$66:$D$79,TALLY!A42)</f>
        <v>0</v>
      </c>
      <c r="G42" s="202">
        <f>COUNTIF(TT!$D$84:$D$93,TALLY!A42)</f>
        <v>0</v>
      </c>
      <c r="H42" s="205">
        <f>COUNTIF(TT!$D$98:$D$106,TALLY!A42)</f>
        <v>0</v>
      </c>
      <c r="I42" s="205">
        <f>COUNTIF(TT!$D$111:$D$121,TALLY!A42)</f>
        <v>0</v>
      </c>
      <c r="J42" s="205">
        <f>COUNTIF(TT!$D$126:$D$134,TALLY!A42)</f>
        <v>0</v>
      </c>
      <c r="K42" s="202">
        <f>COUNTIF(TT!$D$139:$D$151,TALLY!A42)</f>
        <v>0</v>
      </c>
      <c r="L42" s="202">
        <f>COUNTIF(TT!$D$156:$D$164,TALLY!A42)</f>
        <v>0</v>
      </c>
      <c r="M42" s="202">
        <f>COUNTIF(TT!$D$169:$D$180,TALLY!A42)</f>
        <v>0</v>
      </c>
      <c r="N42" s="205">
        <f>COUNTIF(TT!$D$185:$D$197,TALLY!A42)</f>
        <v>1</v>
      </c>
      <c r="O42" s="205">
        <f>COUNTIF(TT!$D$202:$D$208,TALLY!A42)</f>
        <v>0</v>
      </c>
      <c r="P42" s="205">
        <f>COUNTIF(TT!$D$213:$D$220,TALLY!A42)</f>
        <v>0</v>
      </c>
      <c r="Q42" s="204">
        <f>COUNTIF(TT!$D$225:$D$239,TALLY!A42)</f>
        <v>0</v>
      </c>
      <c r="R42" s="204">
        <f>COUNTIF(TT!$D$244:$D$254,TALLY!A42)</f>
        <v>0</v>
      </c>
      <c r="S42" s="204">
        <f>COUNTIF(TT!$D$259:$D$268,TALLY!A42)</f>
        <v>0</v>
      </c>
      <c r="T42" s="205">
        <f>COUNTIF(TT!$D$271:$D$282,TALLY!A42)</f>
        <v>0</v>
      </c>
      <c r="U42" s="205">
        <f>COUNTIF(TT!$D$287:$D$298,TALLY!A42)</f>
        <v>0</v>
      </c>
      <c r="V42" s="205">
        <f>COUNTIF(TT!$D$303:$D$311,TALLY!A42)</f>
        <v>0</v>
      </c>
      <c r="W42" s="202">
        <f>COUNTIF(TT!$D$316:$D$337,TALLY!A42)</f>
        <v>0</v>
      </c>
      <c r="X42" s="202">
        <f>COUNTIF(TT!$D$342:$D$350,TALLY!A42)</f>
        <v>1</v>
      </c>
      <c r="Y42" s="202">
        <f>COUNTIF(TT!$D$357:$D$365,TALLY!A42)</f>
        <v>0</v>
      </c>
      <c r="Z42" s="205">
        <f>COUNTIF(TT!$D$370:$D$377,TALLY!A42)</f>
        <v>0</v>
      </c>
      <c r="AA42" s="205">
        <f>COUNTIF(TT!$D$382:$D$393,TALLY!A42)</f>
        <v>0</v>
      </c>
      <c r="AB42" s="205">
        <f>COUNTIF(TT!$D$398:$D$408,TALLY!A42)</f>
        <v>0</v>
      </c>
      <c r="AC42" s="202">
        <f>COUNTIF(TT!$D$413:$D$425,TALLY!A42)</f>
        <v>1</v>
      </c>
      <c r="AD42" s="202">
        <f>COUNTIF(TT!$D$430:$D$433,TALLY!A42)</f>
        <v>0</v>
      </c>
      <c r="AE42" s="202">
        <f>COUNTIF(TT!$D$454:$D$466,TALLY!A42)</f>
        <v>0</v>
      </c>
      <c r="AF42" s="204">
        <f>COUNTIF(TT!$D$471:$D$480,TALLY!A42)</f>
        <v>0</v>
      </c>
      <c r="AG42" s="204">
        <f>COUNTIF(TT!$D$487:$D$496,TALLY!A42)</f>
        <v>0</v>
      </c>
      <c r="AH42" s="204">
        <f>COUNTIF(TT!$D$501:$D$517,TALLY!A42)</f>
        <v>0</v>
      </c>
      <c r="AI42" s="202">
        <f>COUNTIF(TT!$D$522:$D$533,TALLY!A42)</f>
        <v>0</v>
      </c>
      <c r="AJ42" s="202">
        <f>COUNTIF(TT!$D$538:$D$550,TALLY!A42)</f>
        <v>1</v>
      </c>
      <c r="AK42" s="202">
        <f>COUNTIF(TT!$D$555:$D$569,TALLY!A42)</f>
        <v>0</v>
      </c>
      <c r="AL42" s="205">
        <f>COUNTIF(TT!$D$574:$D$582,TALLY!A42)</f>
        <v>0</v>
      </c>
      <c r="AM42" s="205">
        <f>COUNTIF(TT!$D$587:$D$593,TALLY!A42)</f>
        <v>0</v>
      </c>
      <c r="AN42" s="205">
        <f>COUNTIF(TT!$D$598:$D$606,TALLY!A42)</f>
        <v>0</v>
      </c>
      <c r="AO42" s="202">
        <f>COUNTIF(TT!$D$611:$D$620,TALLY!A42)</f>
        <v>0</v>
      </c>
      <c r="AP42" s="202">
        <f>COUNTIF(TT!$D$627:$D$639,TALLY!A42)</f>
        <v>0</v>
      </c>
      <c r="AQ42" s="202">
        <f>COUNTIF(TT!$D$645:$D$657,TALLY!A42)</f>
        <v>1</v>
      </c>
      <c r="AR42" s="205">
        <f>COUNTIF(TT!$D$663:$D$671,TALLY!A42)</f>
        <v>0</v>
      </c>
      <c r="AS42" s="205">
        <f>COUNTIF(TT!$D$677:$D$685,TALLY!A42)</f>
        <v>0</v>
      </c>
      <c r="AT42" s="205">
        <f>COUNTIF(TT!$D$689:$D$698,TALLY!A42)</f>
        <v>0</v>
      </c>
      <c r="AU42" s="203" t="s">
        <v>65</v>
      </c>
      <c r="AV42" s="202">
        <f t="shared" si="16"/>
        <v>0</v>
      </c>
      <c r="AW42" s="202">
        <f t="shared" si="17"/>
        <v>1</v>
      </c>
      <c r="AX42" s="202">
        <f t="shared" si="18"/>
        <v>0</v>
      </c>
      <c r="AY42" s="202">
        <f t="shared" si="19"/>
        <v>0</v>
      </c>
      <c r="AZ42" s="202">
        <f t="shared" si="20"/>
        <v>1</v>
      </c>
      <c r="BA42" s="202">
        <f t="shared" si="21"/>
        <v>0</v>
      </c>
      <c r="BB42" s="202">
        <f t="shared" si="22"/>
        <v>0</v>
      </c>
      <c r="BC42" s="202">
        <f t="shared" si="23"/>
        <v>1</v>
      </c>
      <c r="BD42" s="202">
        <f t="shared" si="31"/>
        <v>0</v>
      </c>
      <c r="BE42" s="202">
        <f t="shared" si="24"/>
        <v>1</v>
      </c>
      <c r="BF42" s="202">
        <f t="shared" si="25"/>
        <v>0</v>
      </c>
      <c r="BG42" s="202">
        <f t="shared" si="26"/>
        <v>1</v>
      </c>
      <c r="BH42" s="202">
        <f t="shared" si="27"/>
        <v>0</v>
      </c>
      <c r="BI42" s="202">
        <f t="shared" si="28"/>
        <v>1</v>
      </c>
      <c r="BJ42" s="202">
        <f t="shared" si="29"/>
        <v>0</v>
      </c>
      <c r="BK42">
        <f t="shared" si="30"/>
        <v>6</v>
      </c>
    </row>
    <row r="43" spans="1:63" x14ac:dyDescent="0.3">
      <c r="A43" s="203" t="s">
        <v>157</v>
      </c>
      <c r="B43" s="204">
        <f>COUNTIF(TT!$D$4:$D$9,TALLY!A43)</f>
        <v>0</v>
      </c>
      <c r="C43" s="204">
        <f>COUNTIF(TT!$D$15:$D$28,TALLY!A43)</f>
        <v>0</v>
      </c>
      <c r="D43" s="204">
        <f>COUNTIF(TT!$D$34:$D$41,TALLY!A43)</f>
        <v>1</v>
      </c>
      <c r="E43" s="202">
        <f>COUNTIF(TT!$D$47:$D$60,TALLY!A43)</f>
        <v>0</v>
      </c>
      <c r="F43" s="202">
        <f>COUNTIF(TT!$D$66:$D$79,TALLY!A43)</f>
        <v>0</v>
      </c>
      <c r="G43" s="202">
        <f>COUNTIF(TT!$D$84:$D$93,TALLY!A43)</f>
        <v>0</v>
      </c>
      <c r="H43" s="205">
        <f>COUNTIF(TT!$D$98:$D$106,TALLY!A43)</f>
        <v>1</v>
      </c>
      <c r="I43" s="205">
        <f>COUNTIF(TT!$D$111:$D$121,TALLY!A43)</f>
        <v>0</v>
      </c>
      <c r="J43" s="205">
        <f>COUNTIF(TT!$D$126:$D$134,TALLY!A43)</f>
        <v>0</v>
      </c>
      <c r="K43" s="202">
        <f>COUNTIF(TT!$D$139:$D$151,TALLY!A43)</f>
        <v>0</v>
      </c>
      <c r="L43" s="202">
        <f>COUNTIF(TT!$D$156:$D$164,TALLY!A43)</f>
        <v>0</v>
      </c>
      <c r="M43" s="202">
        <f>COUNTIF(TT!$D$169:$D$180,TALLY!A43)</f>
        <v>0</v>
      </c>
      <c r="N43" s="205">
        <f>COUNTIF(TT!$D$185:$D$197,TALLY!A43)</f>
        <v>0</v>
      </c>
      <c r="O43" s="205">
        <f>COUNTIF(TT!$D$202:$D$208,TALLY!A43)</f>
        <v>0</v>
      </c>
      <c r="P43" s="205">
        <f>COUNTIF(TT!$D$213:$D$220,TALLY!A43)</f>
        <v>0</v>
      </c>
      <c r="Q43" s="204">
        <f>COUNTIF(TT!$D$225:$D$239,TALLY!A43)</f>
        <v>0</v>
      </c>
      <c r="R43" s="204">
        <f>COUNTIF(TT!$D$244:$D$254,TALLY!A43)</f>
        <v>0</v>
      </c>
      <c r="S43" s="204">
        <f>COUNTIF(TT!$D$259:$D$268,TALLY!A43)</f>
        <v>0</v>
      </c>
      <c r="T43" s="205">
        <f>COUNTIF(TT!$D$271:$D$282,TALLY!A43)</f>
        <v>0</v>
      </c>
      <c r="U43" s="205">
        <f>COUNTIF(TT!$D$287:$D$298,TALLY!A43)</f>
        <v>0</v>
      </c>
      <c r="V43" s="205">
        <f>COUNTIF(TT!$D$303:$D$311,TALLY!A43)</f>
        <v>1</v>
      </c>
      <c r="W43" s="202">
        <f>COUNTIF(TT!$D$316:$D$337,TALLY!A43)</f>
        <v>0</v>
      </c>
      <c r="X43" s="202">
        <f>COUNTIF(TT!$D$342:$D$350,TALLY!A43)</f>
        <v>0</v>
      </c>
      <c r="Y43" s="202">
        <f>COUNTIF(TT!$D$357:$D$365,TALLY!A43)</f>
        <v>0</v>
      </c>
      <c r="Z43" s="205">
        <f>COUNTIF(TT!$D$370:$D$377,TALLY!A43)</f>
        <v>1</v>
      </c>
      <c r="AA43" s="205">
        <f>COUNTIF(TT!$D$382:$D$393,TALLY!A43)</f>
        <v>0</v>
      </c>
      <c r="AB43" s="205">
        <f>COUNTIF(TT!$D$398:$D$408,TALLY!A43)</f>
        <v>0</v>
      </c>
      <c r="AC43" s="202">
        <f>COUNTIF(TT!$D$413:$D$425,TALLY!A43)</f>
        <v>0</v>
      </c>
      <c r="AD43" s="202">
        <f>COUNTIF(TT!$D$430:$D$433,TALLY!A43)</f>
        <v>0</v>
      </c>
      <c r="AE43" s="202">
        <f>COUNTIF(TT!$D$454:$D$466,TALLY!A43)</f>
        <v>1</v>
      </c>
      <c r="AF43" s="204">
        <f>COUNTIF(TT!$D$471:$D$480,TALLY!A43)</f>
        <v>0</v>
      </c>
      <c r="AG43" s="204">
        <f>COUNTIF(TT!$D$487:$D$496,TALLY!A43)</f>
        <v>1</v>
      </c>
      <c r="AH43" s="204">
        <f>COUNTIF(TT!$D$501:$D$517,TALLY!A43)</f>
        <v>0</v>
      </c>
      <c r="AI43" s="202">
        <f>COUNTIF(TT!$D$522:$D$533,TALLY!A43)</f>
        <v>0</v>
      </c>
      <c r="AJ43" s="202">
        <f>COUNTIF(TT!$D$538:$D$550,TALLY!A43)</f>
        <v>0</v>
      </c>
      <c r="AK43" s="202">
        <f>COUNTIF(TT!$D$555:$D$569,TALLY!A43)</f>
        <v>0</v>
      </c>
      <c r="AL43" s="205">
        <f>COUNTIF(TT!$D$574:$D$582,TALLY!A43)</f>
        <v>0</v>
      </c>
      <c r="AM43" s="205">
        <f>COUNTIF(TT!$D$587:$D$593,TALLY!A43)</f>
        <v>0</v>
      </c>
      <c r="AN43" s="205">
        <f>COUNTIF(TT!$D$598:$D$606,TALLY!A43)</f>
        <v>0</v>
      </c>
      <c r="AO43" s="202">
        <f>COUNTIF(TT!$D$611:$D$620,TALLY!A43)</f>
        <v>0</v>
      </c>
      <c r="AP43" s="202">
        <f>COUNTIF(TT!$D$627:$D$639,TALLY!A43)</f>
        <v>0</v>
      </c>
      <c r="AQ43" s="202">
        <f>COUNTIF(TT!$D$645:$D$657,TALLY!A43)</f>
        <v>0</v>
      </c>
      <c r="AR43" s="205">
        <f>COUNTIF(TT!$D$663:$D$671,TALLY!A43)</f>
        <v>0</v>
      </c>
      <c r="AS43" s="205">
        <f>COUNTIF(TT!$D$677:$D$685,TALLY!A43)</f>
        <v>0</v>
      </c>
      <c r="AT43" s="205">
        <f>COUNTIF(TT!$D$689:$D$698,TALLY!A43)</f>
        <v>0</v>
      </c>
      <c r="AU43" s="203" t="s">
        <v>157</v>
      </c>
      <c r="AV43" s="202">
        <f t="shared" si="16"/>
        <v>1</v>
      </c>
      <c r="AW43" s="202">
        <f t="shared" si="17"/>
        <v>0</v>
      </c>
      <c r="AX43" s="202">
        <f t="shared" si="18"/>
        <v>1</v>
      </c>
      <c r="AY43" s="202">
        <f t="shared" si="19"/>
        <v>0</v>
      </c>
      <c r="AZ43" s="202">
        <f t="shared" si="20"/>
        <v>0</v>
      </c>
      <c r="BA43" s="202">
        <f t="shared" si="21"/>
        <v>0</v>
      </c>
      <c r="BB43" s="202">
        <f t="shared" si="22"/>
        <v>1</v>
      </c>
      <c r="BC43" s="202">
        <f t="shared" si="23"/>
        <v>0</v>
      </c>
      <c r="BD43" s="202">
        <f t="shared" si="31"/>
        <v>1</v>
      </c>
      <c r="BE43" s="202">
        <f t="shared" si="24"/>
        <v>1</v>
      </c>
      <c r="BF43" s="202">
        <f t="shared" si="25"/>
        <v>1</v>
      </c>
      <c r="BG43" s="202">
        <f t="shared" si="26"/>
        <v>0</v>
      </c>
      <c r="BH43" s="202">
        <f t="shared" si="27"/>
        <v>0</v>
      </c>
      <c r="BI43" s="202">
        <f t="shared" si="28"/>
        <v>0</v>
      </c>
      <c r="BJ43" s="202">
        <f t="shared" si="29"/>
        <v>0</v>
      </c>
      <c r="BK43">
        <f t="shared" si="30"/>
        <v>6</v>
      </c>
    </row>
    <row r="44" spans="1:63" x14ac:dyDescent="0.3">
      <c r="A44" s="203" t="s">
        <v>73</v>
      </c>
      <c r="B44" s="204">
        <f>COUNTIF(TT!$D$4:$D$9,TALLY!A44)</f>
        <v>0</v>
      </c>
      <c r="C44" s="204">
        <f>COUNTIF(TT!$D$15:$D$28,TALLY!A44)</f>
        <v>1</v>
      </c>
      <c r="D44" s="204">
        <f>COUNTIF(TT!$D$34:$D$41,TALLY!A44)</f>
        <v>0</v>
      </c>
      <c r="E44" s="202">
        <f>COUNTIF(TT!$D$47:$D$60,TALLY!A44)</f>
        <v>0</v>
      </c>
      <c r="F44" s="202">
        <f>COUNTIF(TT!$D$66:$D$79,TALLY!A44)</f>
        <v>1</v>
      </c>
      <c r="G44" s="202">
        <f>COUNTIF(TT!$D$84:$D$93,TALLY!A44)</f>
        <v>0</v>
      </c>
      <c r="H44" s="205">
        <f>COUNTIF(TT!$D$98:$D$106,TALLY!A44)</f>
        <v>0</v>
      </c>
      <c r="I44" s="205">
        <f>COUNTIF(TT!$D$111:$D$121,TALLY!A44)</f>
        <v>0</v>
      </c>
      <c r="J44" s="205">
        <f>COUNTIF(TT!$D$126:$D$134,TALLY!A44)</f>
        <v>0</v>
      </c>
      <c r="K44" s="202">
        <f>COUNTIF(TT!$D$139:$D$151,TALLY!A44)</f>
        <v>0</v>
      </c>
      <c r="L44" s="202">
        <f>COUNTIF(TT!$D$156:$D$164,TALLY!A44)</f>
        <v>1</v>
      </c>
      <c r="M44" s="202">
        <f>COUNTIF(TT!$D$169:$D$180,TALLY!A44)</f>
        <v>0</v>
      </c>
      <c r="N44" s="205">
        <f>COUNTIF(TT!$D$185:$D$197,TALLY!A44)</f>
        <v>0</v>
      </c>
      <c r="O44" s="205">
        <f>COUNTIF(TT!$D$202:$D$208,TALLY!A44)</f>
        <v>0</v>
      </c>
      <c r="P44" s="205">
        <f>COUNTIF(TT!$D$213:$D$220,TALLY!A44)</f>
        <v>0</v>
      </c>
      <c r="Q44" s="204">
        <f>COUNTIF(TT!$D$225:$D$239,TALLY!A44)</f>
        <v>1</v>
      </c>
      <c r="R44" s="204">
        <f>COUNTIF(TT!$D$244:$D$254,TALLY!A44)</f>
        <v>0</v>
      </c>
      <c r="S44" s="204">
        <f>COUNTIF(TT!$D$259:$D$268,TALLY!A44)</f>
        <v>0</v>
      </c>
      <c r="T44" s="205">
        <f>COUNTIF(TT!$D$271:$D$282,TALLY!A44)</f>
        <v>0</v>
      </c>
      <c r="U44" s="205">
        <f>COUNTIF(TT!$D$287:$D$298,TALLY!A44)</f>
        <v>0</v>
      </c>
      <c r="V44" s="205">
        <f>COUNTIF(TT!$D$303:$D$311,TALLY!A44)</f>
        <v>0</v>
      </c>
      <c r="W44" s="202">
        <f>COUNTIF(TT!$D$316:$D$337,TALLY!A44)</f>
        <v>0</v>
      </c>
      <c r="X44" s="202">
        <f>COUNTIF(TT!$D$342:$D$350,TALLY!A44)</f>
        <v>1</v>
      </c>
      <c r="Y44" s="202">
        <f>COUNTIF(TT!$D$357:$D$365,TALLY!A44)</f>
        <v>0</v>
      </c>
      <c r="Z44" s="205">
        <f>COUNTIF(TT!$D$370:$D$377,TALLY!A44)</f>
        <v>0</v>
      </c>
      <c r="AA44" s="205">
        <f>COUNTIF(TT!$D$382:$D$393,TALLY!A44)</f>
        <v>0</v>
      </c>
      <c r="AB44" s="205">
        <f>COUNTIF(TT!$D$398:$D$408,TALLY!A44)</f>
        <v>0</v>
      </c>
      <c r="AC44" s="202">
        <f>COUNTIF(TT!$D$413:$D$425,TALLY!A44)</f>
        <v>1</v>
      </c>
      <c r="AD44" s="202">
        <f>COUNTIF(TT!$D$430:$D$433,TALLY!A44)</f>
        <v>0</v>
      </c>
      <c r="AE44" s="202">
        <f>COUNTIF(TT!$D$454:$D$466,TALLY!A44)</f>
        <v>0</v>
      </c>
      <c r="AF44" s="204">
        <f>COUNTIF(TT!$D$471:$D$480,TALLY!A44)</f>
        <v>0</v>
      </c>
      <c r="AG44" s="204">
        <f>COUNTIF(TT!$D$487:$D$496,TALLY!A44)</f>
        <v>0</v>
      </c>
      <c r="AH44" s="204">
        <f>COUNTIF(TT!$D$501:$D$517,TALLY!A44)</f>
        <v>1</v>
      </c>
      <c r="AI44" s="202">
        <f>COUNTIF(TT!$D$522:$D$533,TALLY!A44)</f>
        <v>0</v>
      </c>
      <c r="AJ44" s="202">
        <f>COUNTIF(TT!$D$538:$D$550,TALLY!A44)</f>
        <v>0</v>
      </c>
      <c r="AK44" s="202">
        <f>COUNTIF(TT!$D$555:$D$569,TALLY!A44)</f>
        <v>0</v>
      </c>
      <c r="AL44" s="205">
        <f>COUNTIF(TT!$D$574:$D$582,TALLY!A44)</f>
        <v>0</v>
      </c>
      <c r="AM44" s="205">
        <f>COUNTIF(TT!$D$587:$D$593,TALLY!A44)</f>
        <v>0</v>
      </c>
      <c r="AN44" s="205">
        <f>COUNTIF(TT!$D$598:$D$606,TALLY!A44)</f>
        <v>1</v>
      </c>
      <c r="AO44" s="202">
        <f>COUNTIF(TT!$D$611:$D$620,TALLY!A44)</f>
        <v>0</v>
      </c>
      <c r="AP44" s="202">
        <f>COUNTIF(TT!$D$627:$D$639,TALLY!A44)</f>
        <v>0</v>
      </c>
      <c r="AQ44" s="202">
        <f>COUNTIF(TT!$D$645:$D$657,TALLY!A44)</f>
        <v>0</v>
      </c>
      <c r="AR44" s="205">
        <f>COUNTIF(TT!$D$663:$D$671,TALLY!A44)</f>
        <v>0</v>
      </c>
      <c r="AS44" s="205">
        <f>COUNTIF(TT!$D$677:$D$685,TALLY!A44)</f>
        <v>0</v>
      </c>
      <c r="AT44" s="205">
        <f>COUNTIF(TT!$D$689:$D$698,TALLY!A44)</f>
        <v>1</v>
      </c>
      <c r="AU44" s="203" t="s">
        <v>73</v>
      </c>
      <c r="AV44" s="202">
        <f t="shared" si="16"/>
        <v>1</v>
      </c>
      <c r="AW44" s="202">
        <f t="shared" si="17"/>
        <v>1</v>
      </c>
      <c r="AX44" s="202">
        <f t="shared" si="18"/>
        <v>0</v>
      </c>
      <c r="AY44" s="202">
        <f t="shared" si="19"/>
        <v>1</v>
      </c>
      <c r="AZ44" s="202">
        <f t="shared" si="20"/>
        <v>0</v>
      </c>
      <c r="BA44" s="202">
        <f t="shared" si="21"/>
        <v>1</v>
      </c>
      <c r="BB44" s="202">
        <f t="shared" si="22"/>
        <v>0</v>
      </c>
      <c r="BC44" s="202">
        <f t="shared" si="23"/>
        <v>1</v>
      </c>
      <c r="BD44" s="202">
        <f t="shared" si="31"/>
        <v>0</v>
      </c>
      <c r="BE44" s="202">
        <f t="shared" si="24"/>
        <v>1</v>
      </c>
      <c r="BF44" s="202">
        <f t="shared" si="25"/>
        <v>1</v>
      </c>
      <c r="BG44" s="202">
        <f t="shared" si="26"/>
        <v>0</v>
      </c>
      <c r="BH44" s="202">
        <f t="shared" si="27"/>
        <v>1</v>
      </c>
      <c r="BI44" s="202">
        <f t="shared" si="28"/>
        <v>0</v>
      </c>
      <c r="BJ44" s="202">
        <f t="shared" si="29"/>
        <v>1</v>
      </c>
      <c r="BK44">
        <f t="shared" si="30"/>
        <v>9</v>
      </c>
    </row>
    <row r="45" spans="1:63" x14ac:dyDescent="0.3">
      <c r="A45" s="203" t="s">
        <v>16</v>
      </c>
      <c r="B45" s="204">
        <f>COUNTIF(TT!$D$4:$D$9,TALLY!A45)</f>
        <v>1</v>
      </c>
      <c r="C45" s="204">
        <f>COUNTIF(TT!$D$15:$D$28,TALLY!A45)</f>
        <v>0</v>
      </c>
      <c r="D45" s="204">
        <f>COUNTIF(TT!$D$34:$D$41,TALLY!A45)</f>
        <v>0</v>
      </c>
      <c r="E45" s="202">
        <f>COUNTIF(TT!$D$47:$D$60,TALLY!A45)</f>
        <v>0</v>
      </c>
      <c r="F45" s="202">
        <f>COUNTIF(TT!$D$66:$D$79,TALLY!A45)</f>
        <v>0</v>
      </c>
      <c r="G45" s="202">
        <f>COUNTIF(TT!$D$84:$D$93,TALLY!A45)</f>
        <v>0</v>
      </c>
      <c r="H45" s="205">
        <f>COUNTIF(TT!$D$98:$D$106,TALLY!A45)</f>
        <v>0</v>
      </c>
      <c r="I45" s="205">
        <f>COUNTIF(TT!$D$111:$D$121,TALLY!A45)</f>
        <v>0</v>
      </c>
      <c r="J45" s="205">
        <f>COUNTIF(TT!$D$126:$D$134,TALLY!A45)</f>
        <v>0</v>
      </c>
      <c r="K45" s="202">
        <f>COUNTIF(TT!$D$139:$D$151,TALLY!A45)</f>
        <v>0</v>
      </c>
      <c r="L45" s="202">
        <f>COUNTIF(TT!$D$156:$D$164,TALLY!A45)</f>
        <v>1</v>
      </c>
      <c r="M45" s="202">
        <f>COUNTIF(TT!$D$169:$D$180,TALLY!A45)</f>
        <v>0</v>
      </c>
      <c r="N45" s="205">
        <f>COUNTIF(TT!$D$185:$D$197,TALLY!A45)</f>
        <v>0</v>
      </c>
      <c r="O45" s="205">
        <f>COUNTIF(TT!$D$202:$D$208,TALLY!A45)</f>
        <v>0</v>
      </c>
      <c r="P45" s="205">
        <f>COUNTIF(TT!$D$213:$D$220,TALLY!A45)</f>
        <v>0</v>
      </c>
      <c r="Q45" s="204">
        <f>COUNTIF(TT!$D$225:$D$239,TALLY!A45)</f>
        <v>0</v>
      </c>
      <c r="R45" s="204">
        <f>COUNTIF(TT!$D$244:$D$254,TALLY!A45)</f>
        <v>0</v>
      </c>
      <c r="S45" s="204">
        <f>COUNTIF(TT!$D$259:$D$268,TALLY!A45)</f>
        <v>0</v>
      </c>
      <c r="T45" s="205">
        <f>COUNTIF(TT!$D$271:$D$282,TALLY!A45)</f>
        <v>0</v>
      </c>
      <c r="U45" s="205">
        <f>COUNTIF(TT!$D$287:$D$298,TALLY!A45)</f>
        <v>0</v>
      </c>
      <c r="V45" s="205">
        <f>COUNTIF(TT!$D$303:$D$311,TALLY!A45)</f>
        <v>0</v>
      </c>
      <c r="W45" s="202">
        <f>COUNTIF(TT!$D$316:$D$337,TALLY!A45)</f>
        <v>0</v>
      </c>
      <c r="X45" s="202">
        <f>COUNTIF(TT!$D$342:$D$350,TALLY!A45)</f>
        <v>1</v>
      </c>
      <c r="Y45" s="202">
        <f>COUNTIF(TT!$D$357:$D$365,TALLY!A45)</f>
        <v>0</v>
      </c>
      <c r="Z45" s="205">
        <f>COUNTIF(TT!$D$370:$D$377,TALLY!A45)</f>
        <v>0</v>
      </c>
      <c r="AA45" s="205">
        <f>COUNTIF(TT!$D$382:$D$393,TALLY!A45)</f>
        <v>0</v>
      </c>
      <c r="AB45" s="205">
        <f>COUNTIF(TT!$D$398:$D$408,TALLY!A45)</f>
        <v>0</v>
      </c>
      <c r="AC45" s="202">
        <f>COUNTIF(TT!$D$413:$D$425,TALLY!A45)</f>
        <v>0</v>
      </c>
      <c r="AD45" s="202">
        <f>COUNTIF(TT!$D$430:$D$433,TALLY!A45)</f>
        <v>0</v>
      </c>
      <c r="AE45" s="202">
        <f>COUNTIF(TT!$D$454:$D$466,TALLY!A45)</f>
        <v>0</v>
      </c>
      <c r="AF45" s="204">
        <f>COUNTIF(TT!$D$471:$D$480,TALLY!A45)</f>
        <v>0</v>
      </c>
      <c r="AG45" s="204">
        <f>COUNTIF(TT!$D$487:$D$496,TALLY!A45)</f>
        <v>0</v>
      </c>
      <c r="AH45" s="204">
        <f>COUNTIF(TT!$D$501:$D$517,TALLY!A45)</f>
        <v>1</v>
      </c>
      <c r="AI45" s="202">
        <f>COUNTIF(TT!$D$522:$D$533,TALLY!A45)</f>
        <v>0</v>
      </c>
      <c r="AJ45" s="202">
        <f>COUNTIF(TT!$D$538:$D$550,TALLY!A45)</f>
        <v>0</v>
      </c>
      <c r="AK45" s="202">
        <f>COUNTIF(TT!$D$555:$D$569,TALLY!A45)</f>
        <v>0</v>
      </c>
      <c r="AL45" s="205">
        <f>COUNTIF(TT!$D$574:$D$582,TALLY!A45)</f>
        <v>0</v>
      </c>
      <c r="AM45" s="205">
        <f>COUNTIF(TT!$D$587:$D$593,TALLY!A45)</f>
        <v>0</v>
      </c>
      <c r="AN45" s="205">
        <f>COUNTIF(TT!$D$598:$D$606,TALLY!A45)</f>
        <v>0</v>
      </c>
      <c r="AO45" s="202">
        <f>COUNTIF(TT!$D$611:$D$620,TALLY!A45)</f>
        <v>0</v>
      </c>
      <c r="AP45" s="202">
        <f>COUNTIF(TT!$D$627:$D$639,TALLY!A45)</f>
        <v>0</v>
      </c>
      <c r="AQ45" s="202">
        <f>COUNTIF(TT!$D$645:$D$657,TALLY!A45)</f>
        <v>0</v>
      </c>
      <c r="AR45" s="205">
        <f>COUNTIF(TT!$D$663:$D$671,TALLY!A45)</f>
        <v>0</v>
      </c>
      <c r="AS45" s="205">
        <f>COUNTIF(TT!$D$677:$D$685,TALLY!A45)</f>
        <v>0</v>
      </c>
      <c r="AT45" s="205">
        <f>COUNTIF(TT!$D$689:$D$698,TALLY!A45)</f>
        <v>0</v>
      </c>
      <c r="AU45" s="203" t="s">
        <v>16</v>
      </c>
      <c r="AV45" s="202">
        <f t="shared" si="16"/>
        <v>1</v>
      </c>
      <c r="AW45" s="202">
        <f t="shared" si="17"/>
        <v>0</v>
      </c>
      <c r="AX45" s="202">
        <f t="shared" si="18"/>
        <v>0</v>
      </c>
      <c r="AY45" s="202">
        <f t="shared" si="19"/>
        <v>1</v>
      </c>
      <c r="AZ45" s="202">
        <f t="shared" si="20"/>
        <v>0</v>
      </c>
      <c r="BA45" s="202">
        <f t="shared" si="21"/>
        <v>0</v>
      </c>
      <c r="BB45" s="202">
        <f t="shared" si="22"/>
        <v>0</v>
      </c>
      <c r="BC45" s="202">
        <f t="shared" si="23"/>
        <v>1</v>
      </c>
      <c r="BD45" s="202">
        <f t="shared" si="31"/>
        <v>0</v>
      </c>
      <c r="BE45" s="202">
        <f t="shared" si="24"/>
        <v>0</v>
      </c>
      <c r="BF45" s="202">
        <f t="shared" si="25"/>
        <v>1</v>
      </c>
      <c r="BG45" s="202">
        <f t="shared" si="26"/>
        <v>0</v>
      </c>
      <c r="BH45" s="202">
        <f t="shared" si="27"/>
        <v>0</v>
      </c>
      <c r="BI45" s="202">
        <f t="shared" si="28"/>
        <v>0</v>
      </c>
      <c r="BJ45" s="202">
        <f t="shared" si="29"/>
        <v>0</v>
      </c>
      <c r="BK45">
        <f t="shared" si="30"/>
        <v>4</v>
      </c>
    </row>
    <row r="46" spans="1:63" x14ac:dyDescent="0.3">
      <c r="A46" s="203" t="s">
        <v>71</v>
      </c>
      <c r="B46" s="204">
        <f>COUNTIF(TT!$D$4:$D$9,TALLY!A46)</f>
        <v>0</v>
      </c>
      <c r="C46" s="204">
        <f>COUNTIF(TT!$D$15:$D$28,TALLY!A46)</f>
        <v>0</v>
      </c>
      <c r="D46" s="204">
        <f>COUNTIF(TT!$D$34:$D$41,TALLY!A46)</f>
        <v>1</v>
      </c>
      <c r="E46" s="202">
        <f>COUNTIF(TT!$D$47:$D$60,TALLY!A46)</f>
        <v>0</v>
      </c>
      <c r="F46" s="202">
        <f>COUNTIF(TT!$D$66:$D$79,TALLY!A46)</f>
        <v>1</v>
      </c>
      <c r="G46" s="202">
        <f>COUNTIF(TT!$D$84:$D$93,TALLY!A46)</f>
        <v>0</v>
      </c>
      <c r="H46" s="205">
        <f>COUNTIF(TT!$D$98:$D$106,TALLY!A46)</f>
        <v>0</v>
      </c>
      <c r="I46" s="205">
        <f>COUNTIF(TT!$D$111:$D$121,TALLY!A46)</f>
        <v>0</v>
      </c>
      <c r="J46" s="205">
        <f>COUNTIF(TT!$D$126:$D$134,TALLY!A46)</f>
        <v>0</v>
      </c>
      <c r="K46" s="202">
        <f>COUNTIF(TT!$D$139:$D$151,TALLY!A46)</f>
        <v>0</v>
      </c>
      <c r="L46" s="202">
        <f>COUNTIF(TT!$D$156:$D$164,TALLY!A46)</f>
        <v>0</v>
      </c>
      <c r="M46" s="202">
        <f>COUNTIF(TT!$D$169:$D$180,TALLY!A46)</f>
        <v>0</v>
      </c>
      <c r="N46" s="205">
        <f>COUNTIF(TT!$D$185:$D$197,TALLY!A46)</f>
        <v>0</v>
      </c>
      <c r="O46" s="205">
        <f>COUNTIF(TT!$D$202:$D$208,TALLY!A46)</f>
        <v>1</v>
      </c>
      <c r="P46" s="205">
        <f>COUNTIF(TT!$D$213:$D$220,TALLY!A46)</f>
        <v>0</v>
      </c>
      <c r="Q46" s="204">
        <f>COUNTIF(TT!$D$225:$D$239,TALLY!A46)</f>
        <v>0</v>
      </c>
      <c r="R46" s="204">
        <f>COUNTIF(TT!$D$244:$D$254,TALLY!A46)</f>
        <v>0</v>
      </c>
      <c r="S46" s="204">
        <f>COUNTIF(TT!$D$259:$D$268,TALLY!A46)</f>
        <v>0</v>
      </c>
      <c r="T46" s="205">
        <f>COUNTIF(TT!$D$271:$D$282,TALLY!A46)</f>
        <v>0</v>
      </c>
      <c r="U46" s="205">
        <f>COUNTIF(TT!$D$287:$D$298,TALLY!A46)</f>
        <v>0</v>
      </c>
      <c r="V46" s="205">
        <f>COUNTIF(TT!$D$303:$D$311,TALLY!A46)</f>
        <v>1</v>
      </c>
      <c r="W46" s="202">
        <f>COUNTIF(TT!$D$316:$D$337,TALLY!A46)</f>
        <v>0</v>
      </c>
      <c r="X46" s="202">
        <f>COUNTIF(TT!$D$342:$D$350,TALLY!A46)</f>
        <v>0</v>
      </c>
      <c r="Y46" s="202">
        <f>COUNTIF(TT!$D$357:$D$365,TALLY!A46)</f>
        <v>1</v>
      </c>
      <c r="Z46" s="205">
        <f>COUNTIF(TT!$D$370:$D$377,TALLY!A46)</f>
        <v>0</v>
      </c>
      <c r="AA46" s="205">
        <f>COUNTIF(TT!$D$382:$D$393,TALLY!A46)</f>
        <v>0</v>
      </c>
      <c r="AB46" s="205">
        <f>COUNTIF(TT!$D$398:$D$408,TALLY!A46)</f>
        <v>0</v>
      </c>
      <c r="AC46" s="202">
        <f>COUNTIF(TT!$D$413:$D$425,TALLY!A46)</f>
        <v>0</v>
      </c>
      <c r="AD46" s="202">
        <f>COUNTIF(TT!$D$430:$D$433,TALLY!A46)</f>
        <v>0</v>
      </c>
      <c r="AE46" s="202">
        <f>COUNTIF(TT!$D$454:$D$466,TALLY!A46)</f>
        <v>1</v>
      </c>
      <c r="AF46" s="204">
        <f>COUNTIF(TT!$D$471:$D$480,TALLY!A46)</f>
        <v>0</v>
      </c>
      <c r="AG46" s="204">
        <f>COUNTIF(TT!$D$487:$D$496,TALLY!A46)</f>
        <v>0</v>
      </c>
      <c r="AH46" s="204">
        <f>COUNTIF(TT!$D$501:$D$517,TALLY!A46)</f>
        <v>1</v>
      </c>
      <c r="AI46" s="202">
        <f>COUNTIF(TT!$D$522:$D$533,TALLY!A46)</f>
        <v>0</v>
      </c>
      <c r="AJ46" s="202">
        <f>COUNTIF(TT!$D$538:$D$550,TALLY!A46)</f>
        <v>0</v>
      </c>
      <c r="AK46" s="202">
        <f>COUNTIF(TT!$D$555:$D$569,TALLY!A46)</f>
        <v>0</v>
      </c>
      <c r="AL46" s="205">
        <f>COUNTIF(TT!$D$574:$D$582,TALLY!A46)</f>
        <v>0</v>
      </c>
      <c r="AM46" s="205">
        <f>COUNTIF(TT!$D$587:$D$593,TALLY!A46)</f>
        <v>1</v>
      </c>
      <c r="AN46" s="205">
        <f>COUNTIF(TT!$D$598:$D$606,TALLY!A46)</f>
        <v>0</v>
      </c>
      <c r="AO46" s="202">
        <f>COUNTIF(TT!$D$611:$D$620,TALLY!A46)</f>
        <v>0</v>
      </c>
      <c r="AP46" s="202">
        <f>COUNTIF(TT!$D$627:$D$639,TALLY!A46)</f>
        <v>0</v>
      </c>
      <c r="AQ46" s="202">
        <f>COUNTIF(TT!$D$645:$D$657,TALLY!A46)</f>
        <v>0</v>
      </c>
      <c r="AR46" s="205">
        <f>COUNTIF(TT!$D$663:$D$671,TALLY!A46)</f>
        <v>0</v>
      </c>
      <c r="AS46" s="205">
        <f>COUNTIF(TT!$D$677:$D$685,TALLY!A46)</f>
        <v>0</v>
      </c>
      <c r="AT46" s="205">
        <f>COUNTIF(TT!$D$689:$D$698,TALLY!A46)</f>
        <v>1</v>
      </c>
      <c r="AU46" s="203" t="s">
        <v>71</v>
      </c>
      <c r="AV46" s="202">
        <f t="shared" si="16"/>
        <v>1</v>
      </c>
      <c r="AW46" s="202">
        <f t="shared" si="17"/>
        <v>1</v>
      </c>
      <c r="AX46" s="202">
        <f t="shared" si="18"/>
        <v>0</v>
      </c>
      <c r="AY46" s="202">
        <f t="shared" si="19"/>
        <v>0</v>
      </c>
      <c r="AZ46" s="202">
        <f t="shared" si="20"/>
        <v>1</v>
      </c>
      <c r="BA46" s="202">
        <f t="shared" si="21"/>
        <v>0</v>
      </c>
      <c r="BB46" s="202">
        <f t="shared" si="22"/>
        <v>1</v>
      </c>
      <c r="BC46" s="202">
        <f t="shared" si="23"/>
        <v>1</v>
      </c>
      <c r="BD46" s="202">
        <f t="shared" si="31"/>
        <v>0</v>
      </c>
      <c r="BE46" s="202">
        <f t="shared" si="24"/>
        <v>1</v>
      </c>
      <c r="BF46" s="202">
        <f t="shared" si="25"/>
        <v>1</v>
      </c>
      <c r="BG46" s="202">
        <f t="shared" si="26"/>
        <v>0</v>
      </c>
      <c r="BH46" s="202">
        <f t="shared" si="27"/>
        <v>1</v>
      </c>
      <c r="BI46" s="202">
        <f t="shared" si="28"/>
        <v>0</v>
      </c>
      <c r="BJ46" s="202">
        <f t="shared" si="29"/>
        <v>1</v>
      </c>
      <c r="BK46">
        <f t="shared" si="30"/>
        <v>9</v>
      </c>
    </row>
    <row r="47" spans="1:63" x14ac:dyDescent="0.3">
      <c r="A47" s="203" t="s">
        <v>154</v>
      </c>
      <c r="B47" s="204">
        <f>COUNTIF(TT!$D$4:$D$9,TALLY!A47)</f>
        <v>0</v>
      </c>
      <c r="C47" s="204">
        <f>COUNTIF(TT!$D$15:$D$28,TALLY!A47)</f>
        <v>0</v>
      </c>
      <c r="D47" s="204">
        <f>COUNTIF(TT!$D$34:$D$41,TALLY!A47)</f>
        <v>0</v>
      </c>
      <c r="E47" s="202">
        <f>COUNTIF(TT!$D$47:$D$60,TALLY!A47)</f>
        <v>0</v>
      </c>
      <c r="F47" s="202">
        <f>COUNTIF(TT!$D$66:$D$79,TALLY!A47)</f>
        <v>0</v>
      </c>
      <c r="G47" s="202">
        <f>COUNTIF(TT!$D$84:$D$93,TALLY!A47)</f>
        <v>0</v>
      </c>
      <c r="H47" s="205">
        <f>COUNTIF(TT!$D$98:$D$106,TALLY!A47)</f>
        <v>1</v>
      </c>
      <c r="I47" s="205">
        <f>COUNTIF(TT!$D$111:$D$121,TALLY!A47)</f>
        <v>0</v>
      </c>
      <c r="J47" s="205">
        <f>COUNTIF(TT!$D$126:$D$134,TALLY!A47)</f>
        <v>0</v>
      </c>
      <c r="K47" s="202">
        <f>COUNTIF(TT!$D$139:$D$151,TALLY!A47)</f>
        <v>0</v>
      </c>
      <c r="L47" s="202">
        <f>COUNTIF(TT!$D$156:$D$164,TALLY!A47)</f>
        <v>0</v>
      </c>
      <c r="M47" s="202">
        <f>COUNTIF(TT!$D$169:$D$180,TALLY!A47)</f>
        <v>0</v>
      </c>
      <c r="N47" s="205">
        <f>COUNTIF(TT!$D$185:$D$197,TALLY!A47)</f>
        <v>1</v>
      </c>
      <c r="O47" s="205">
        <f>COUNTIF(TT!$D$202:$D$208,TALLY!A47)</f>
        <v>0</v>
      </c>
      <c r="P47" s="205">
        <f>COUNTIF(TT!$D$213:$D$220,TALLY!A47)</f>
        <v>0</v>
      </c>
      <c r="Q47" s="204">
        <f>COUNTIF(TT!$D$225:$D$239,TALLY!A47)</f>
        <v>0</v>
      </c>
      <c r="R47" s="204">
        <f>COUNTIF(TT!$D$244:$D$254,TALLY!A47)</f>
        <v>0</v>
      </c>
      <c r="S47" s="204">
        <f>COUNTIF(TT!$D$259:$D$268,TALLY!A47)</f>
        <v>1</v>
      </c>
      <c r="T47" s="205">
        <f>COUNTIF(TT!$D$271:$D$282,TALLY!A47)</f>
        <v>0</v>
      </c>
      <c r="U47" s="205">
        <f>COUNTIF(TT!$D$287:$D$298,TALLY!A47)</f>
        <v>0</v>
      </c>
      <c r="V47" s="205">
        <f>COUNTIF(TT!$D$303:$D$311,TALLY!A47)</f>
        <v>0</v>
      </c>
      <c r="W47" s="202">
        <f>COUNTIF(TT!$D$316:$D$337,TALLY!A47)</f>
        <v>0</v>
      </c>
      <c r="X47" s="202">
        <f>COUNTIF(TT!$D$342:$D$350,TALLY!A47)</f>
        <v>0</v>
      </c>
      <c r="Y47" s="202">
        <f>COUNTIF(TT!$D$357:$D$365,TALLY!A47)</f>
        <v>0</v>
      </c>
      <c r="Z47" s="205">
        <f>COUNTIF(TT!$D$370:$D$377,TALLY!A47)</f>
        <v>1</v>
      </c>
      <c r="AA47" s="205">
        <f>COUNTIF(TT!$D$382:$D$393,TALLY!A47)</f>
        <v>0</v>
      </c>
      <c r="AB47" s="205">
        <f>COUNTIF(TT!$D$398:$D$408,TALLY!A47)</f>
        <v>0</v>
      </c>
      <c r="AC47" s="202">
        <f>COUNTIF(TT!$D$413:$D$425,TALLY!A47)</f>
        <v>0</v>
      </c>
      <c r="AD47" s="202">
        <f>COUNTIF(TT!$D$430:$D$433,TALLY!A47)</f>
        <v>0</v>
      </c>
      <c r="AE47" s="202">
        <f>COUNTIF(TT!$D$454:$D$466,TALLY!A47)</f>
        <v>1</v>
      </c>
      <c r="AF47" s="204">
        <f>COUNTIF(TT!$D$471:$D$480,TALLY!A47)</f>
        <v>0</v>
      </c>
      <c r="AG47" s="204">
        <f>COUNTIF(TT!$D$487:$D$496,TALLY!A47)</f>
        <v>0</v>
      </c>
      <c r="AH47" s="204">
        <f>COUNTIF(TT!$D$501:$D$517,TALLY!A47)</f>
        <v>0</v>
      </c>
      <c r="AI47" s="202">
        <f>COUNTIF(TT!$D$522:$D$533,TALLY!A47)</f>
        <v>0</v>
      </c>
      <c r="AJ47" s="202">
        <f>COUNTIF(TT!$D$538:$D$550,TALLY!A47)</f>
        <v>0</v>
      </c>
      <c r="AK47" s="202">
        <f>COUNTIF(TT!$D$555:$D$569,TALLY!A47)</f>
        <v>1</v>
      </c>
      <c r="AL47" s="205">
        <f>COUNTIF(TT!$D$574:$D$582,TALLY!A47)</f>
        <v>0</v>
      </c>
      <c r="AM47" s="205">
        <f>COUNTIF(TT!$D$587:$D$593,TALLY!A47)</f>
        <v>0</v>
      </c>
      <c r="AN47" s="205">
        <f>COUNTIF(TT!$D$598:$D$606,TALLY!A47)</f>
        <v>0</v>
      </c>
      <c r="AO47" s="202">
        <f>COUNTIF(TT!$D$611:$D$620,TALLY!A47)</f>
        <v>0</v>
      </c>
      <c r="AP47" s="202">
        <f>COUNTIF(TT!$D$627:$D$639,TALLY!A47)</f>
        <v>1</v>
      </c>
      <c r="AQ47" s="202">
        <f>COUNTIF(TT!$D$645:$D$657,TALLY!A47)</f>
        <v>0</v>
      </c>
      <c r="AR47" s="205">
        <f>COUNTIF(TT!$D$663:$D$671,TALLY!A47)</f>
        <v>0</v>
      </c>
      <c r="AS47" s="205">
        <f>COUNTIF(TT!$D$677:$D$685,TALLY!A47)</f>
        <v>0</v>
      </c>
      <c r="AT47" s="205">
        <f>COUNTIF(TT!$D$689:$D$698,TALLY!A47)</f>
        <v>0</v>
      </c>
      <c r="AU47" s="203" t="s">
        <v>154</v>
      </c>
      <c r="AV47" s="202">
        <f t="shared" si="16"/>
        <v>0</v>
      </c>
      <c r="AW47" s="202">
        <f t="shared" si="17"/>
        <v>0</v>
      </c>
      <c r="AX47" s="202">
        <f t="shared" si="18"/>
        <v>1</v>
      </c>
      <c r="AY47" s="202">
        <f t="shared" si="19"/>
        <v>0</v>
      </c>
      <c r="AZ47" s="202">
        <f t="shared" si="20"/>
        <v>1</v>
      </c>
      <c r="BA47" s="202">
        <f t="shared" si="21"/>
        <v>1</v>
      </c>
      <c r="BB47" s="202">
        <f t="shared" si="22"/>
        <v>0</v>
      </c>
      <c r="BC47" s="202">
        <f t="shared" si="23"/>
        <v>0</v>
      </c>
      <c r="BD47" s="202">
        <f t="shared" si="31"/>
        <v>1</v>
      </c>
      <c r="BE47" s="202">
        <f t="shared" si="24"/>
        <v>1</v>
      </c>
      <c r="BF47" s="202">
        <f t="shared" si="25"/>
        <v>0</v>
      </c>
      <c r="BG47" s="202">
        <f t="shared" si="26"/>
        <v>1</v>
      </c>
      <c r="BH47" s="202">
        <f t="shared" si="27"/>
        <v>0</v>
      </c>
      <c r="BI47" s="202">
        <f t="shared" si="28"/>
        <v>1</v>
      </c>
      <c r="BJ47" s="202">
        <f t="shared" si="29"/>
        <v>0</v>
      </c>
      <c r="BK47">
        <f t="shared" si="30"/>
        <v>7</v>
      </c>
    </row>
    <row r="48" spans="1:63" x14ac:dyDescent="0.3">
      <c r="A48" s="203" t="s">
        <v>77</v>
      </c>
      <c r="B48" s="204">
        <f>COUNTIF(TT!$D$4:$D$9,TALLY!A48)</f>
        <v>0</v>
      </c>
      <c r="C48" s="204">
        <f>COUNTIF(TT!$D$15:$D$28,TALLY!A48)</f>
        <v>0</v>
      </c>
      <c r="D48" s="204">
        <f>COUNTIF(TT!$D$34:$D$41,TALLY!A48)</f>
        <v>1</v>
      </c>
      <c r="E48" s="202">
        <f>COUNTIF(TT!$D$47:$D$60,TALLY!A48)</f>
        <v>0</v>
      </c>
      <c r="F48" s="202">
        <f>COUNTIF(TT!$D$66:$D$79,TALLY!A48)</f>
        <v>0</v>
      </c>
      <c r="G48" s="202">
        <f>COUNTIF(TT!$D$84:$D$93,TALLY!A48)</f>
        <v>0</v>
      </c>
      <c r="H48" s="205">
        <f>COUNTIF(TT!$D$98:$D$106,TALLY!A48)</f>
        <v>1</v>
      </c>
      <c r="I48" s="205">
        <f>COUNTIF(TT!$D$111:$D$121,TALLY!A48)</f>
        <v>0</v>
      </c>
      <c r="J48" s="205">
        <f>COUNTIF(TT!$D$126:$D$134,TALLY!A48)</f>
        <v>0</v>
      </c>
      <c r="K48" s="202">
        <f>COUNTIF(TT!$D$139:$D$151,TALLY!A48)</f>
        <v>0</v>
      </c>
      <c r="L48" s="202">
        <f>COUNTIF(TT!$D$156:$D$164,TALLY!A48)</f>
        <v>0</v>
      </c>
      <c r="M48" s="202">
        <f>COUNTIF(TT!$D$169:$D$180,TALLY!A48)</f>
        <v>0</v>
      </c>
      <c r="N48" s="205">
        <f>COUNTIF(TT!$D$185:$D$197,TALLY!A48)</f>
        <v>1</v>
      </c>
      <c r="O48" s="205">
        <f>COUNTIF(TT!$D$202:$D$208,TALLY!A48)</f>
        <v>0</v>
      </c>
      <c r="P48" s="205">
        <f>COUNTIF(TT!$D$213:$D$220,TALLY!A48)</f>
        <v>0</v>
      </c>
      <c r="Q48" s="204">
        <f>COUNTIF(TT!$D$225:$D$239,TALLY!A48)</f>
        <v>1</v>
      </c>
      <c r="R48" s="204">
        <f>COUNTIF(TT!$D$244:$D$254,TALLY!A48)</f>
        <v>0</v>
      </c>
      <c r="S48" s="204">
        <f>COUNTIF(TT!$D$259:$D$268,TALLY!A48)</f>
        <v>0</v>
      </c>
      <c r="T48" s="205">
        <f>COUNTIF(TT!$D$271:$D$282,TALLY!A48)</f>
        <v>0</v>
      </c>
      <c r="U48" s="205">
        <f>COUNTIF(TT!$D$287:$D$298,TALLY!A48)</f>
        <v>0</v>
      </c>
      <c r="V48" s="205">
        <f>COUNTIF(TT!$D$303:$D$311,TALLY!A48)</f>
        <v>0</v>
      </c>
      <c r="W48" s="202">
        <f>COUNTIF(TT!$D$316:$D$337,TALLY!A48)</f>
        <v>0</v>
      </c>
      <c r="X48" s="202">
        <f>COUNTIF(TT!$D$342:$D$350,TALLY!A48)</f>
        <v>0</v>
      </c>
      <c r="Y48" s="202">
        <f>COUNTIF(TT!$D$357:$D$365,TALLY!A48)</f>
        <v>1</v>
      </c>
      <c r="Z48" s="205">
        <f>COUNTIF(TT!$D$370:$D$377,TALLY!A48)</f>
        <v>0</v>
      </c>
      <c r="AA48" s="205">
        <f>COUNTIF(TT!$D$382:$D$393,TALLY!A48)</f>
        <v>0</v>
      </c>
      <c r="AB48" s="205">
        <f>COUNTIF(TT!$D$398:$D$408,TALLY!A48)</f>
        <v>0</v>
      </c>
      <c r="AC48" s="202">
        <f>COUNTIF(TT!$D$413:$D$425,TALLY!A48)</f>
        <v>0</v>
      </c>
      <c r="AD48" s="202">
        <f>COUNTIF(TT!$D$430:$D$433,TALLY!A48)</f>
        <v>0</v>
      </c>
      <c r="AE48" s="202">
        <f>COUNTIF(TT!$D$454:$D$466,TALLY!A48)</f>
        <v>0</v>
      </c>
      <c r="AF48" s="204">
        <f>COUNTIF(TT!$D$471:$D$480,TALLY!A48)</f>
        <v>0</v>
      </c>
      <c r="AG48" s="204">
        <f>COUNTIF(TT!$D$487:$D$496,TALLY!A48)</f>
        <v>0</v>
      </c>
      <c r="AH48" s="204">
        <f>COUNTIF(TT!$D$501:$D$517,TALLY!A48)</f>
        <v>1</v>
      </c>
      <c r="AI48" s="202">
        <f>COUNTIF(TT!$D$522:$D$533,TALLY!A48)</f>
        <v>1</v>
      </c>
      <c r="AJ48" s="202">
        <f>COUNTIF(TT!$D$538:$D$550,TALLY!A48)</f>
        <v>0</v>
      </c>
      <c r="AK48" s="202">
        <f>COUNTIF(TT!$D$555:$D$569,TALLY!A48)</f>
        <v>0</v>
      </c>
      <c r="AL48" s="205">
        <f>COUNTIF(TT!$D$574:$D$582,TALLY!A48)</f>
        <v>0</v>
      </c>
      <c r="AM48" s="205">
        <f>COUNTIF(TT!$D$587:$D$593,TALLY!A48)</f>
        <v>0</v>
      </c>
      <c r="AN48" s="205">
        <f>COUNTIF(TT!$D$598:$D$606,TALLY!A48)</f>
        <v>0</v>
      </c>
      <c r="AO48" s="202">
        <f>COUNTIF(TT!$D$611:$D$620,TALLY!A48)</f>
        <v>0</v>
      </c>
      <c r="AP48" s="202">
        <f>COUNTIF(TT!$D$627:$D$639,TALLY!A48)</f>
        <v>0</v>
      </c>
      <c r="AQ48" s="202">
        <f>COUNTIF(TT!$D$645:$D$657,TALLY!A48)</f>
        <v>1</v>
      </c>
      <c r="AR48" s="205">
        <f>COUNTIF(TT!$D$663:$D$671,TALLY!A48)</f>
        <v>0</v>
      </c>
      <c r="AS48" s="205">
        <f>COUNTIF(TT!$D$677:$D$685,TALLY!A48)</f>
        <v>0</v>
      </c>
      <c r="AT48" s="205">
        <f>COUNTIF(TT!$D$689:$D$698,TALLY!A48)</f>
        <v>0</v>
      </c>
      <c r="AU48" s="203" t="s">
        <v>77</v>
      </c>
      <c r="AV48" s="202">
        <f t="shared" si="16"/>
        <v>1</v>
      </c>
      <c r="AW48" s="202">
        <f t="shared" si="17"/>
        <v>0</v>
      </c>
      <c r="AX48" s="202">
        <f t="shared" si="18"/>
        <v>1</v>
      </c>
      <c r="AY48" s="202">
        <f t="shared" si="19"/>
        <v>0</v>
      </c>
      <c r="AZ48" s="202">
        <f t="shared" si="20"/>
        <v>1</v>
      </c>
      <c r="BA48" s="202">
        <f t="shared" si="21"/>
        <v>1</v>
      </c>
      <c r="BB48" s="202">
        <f t="shared" si="22"/>
        <v>0</v>
      </c>
      <c r="BC48" s="202">
        <f t="shared" si="23"/>
        <v>1</v>
      </c>
      <c r="BD48" s="202">
        <f t="shared" si="31"/>
        <v>0</v>
      </c>
      <c r="BE48" s="202">
        <f t="shared" si="24"/>
        <v>0</v>
      </c>
      <c r="BF48" s="202">
        <f t="shared" si="25"/>
        <v>1</v>
      </c>
      <c r="BG48" s="202">
        <f t="shared" si="26"/>
        <v>1</v>
      </c>
      <c r="BH48" s="202">
        <f t="shared" si="27"/>
        <v>0</v>
      </c>
      <c r="BI48" s="202">
        <f t="shared" si="28"/>
        <v>1</v>
      </c>
      <c r="BJ48" s="202">
        <f t="shared" si="29"/>
        <v>0</v>
      </c>
      <c r="BK48">
        <f t="shared" si="30"/>
        <v>8</v>
      </c>
    </row>
    <row r="49" spans="1:63" x14ac:dyDescent="0.3">
      <c r="A49" s="203" t="s">
        <v>121</v>
      </c>
      <c r="B49" s="204">
        <f>COUNTIF(TT!$D$4:$D$9,TALLY!A49)</f>
        <v>0</v>
      </c>
      <c r="C49" s="204">
        <f>COUNTIF(TT!$D$15:$D$28,TALLY!A49)</f>
        <v>0</v>
      </c>
      <c r="D49" s="204">
        <f>COUNTIF(TT!$D$34:$D$41,TALLY!A49)</f>
        <v>0</v>
      </c>
      <c r="E49" s="202">
        <f>COUNTIF(TT!$D$47:$D$60,TALLY!A49)</f>
        <v>0</v>
      </c>
      <c r="F49" s="202">
        <f>COUNTIF(TT!$D$66:$D$79,TALLY!A49)</f>
        <v>1</v>
      </c>
      <c r="G49" s="202">
        <f>COUNTIF(TT!$D$84:$D$93,TALLY!A49)</f>
        <v>0</v>
      </c>
      <c r="H49" s="205">
        <f>COUNTIF(TT!$D$98:$D$106,TALLY!A49)</f>
        <v>0</v>
      </c>
      <c r="I49" s="205">
        <f>COUNTIF(TT!$D$111:$D$121,TALLY!A49)</f>
        <v>0</v>
      </c>
      <c r="J49" s="205">
        <f>COUNTIF(TT!$D$126:$D$134,TALLY!A49)</f>
        <v>0</v>
      </c>
      <c r="K49" s="202">
        <f>COUNTIF(TT!$D$139:$D$151,TALLY!A49)</f>
        <v>0</v>
      </c>
      <c r="L49" s="202">
        <f>COUNTIF(TT!$D$156:$D$164,TALLY!A49)</f>
        <v>0</v>
      </c>
      <c r="M49" s="202">
        <f>COUNTIF(TT!$D$169:$D$180,TALLY!A49)</f>
        <v>0</v>
      </c>
      <c r="N49" s="205">
        <f>COUNTIF(TT!$D$185:$D$197,TALLY!A49)</f>
        <v>1</v>
      </c>
      <c r="O49" s="205">
        <f>COUNTIF(TT!$D$202:$D$208,TALLY!A49)</f>
        <v>0</v>
      </c>
      <c r="P49" s="205">
        <f>COUNTIF(TT!$D$213:$D$220,TALLY!A49)</f>
        <v>0</v>
      </c>
      <c r="Q49" s="204">
        <f>COUNTIF(TT!$D$225:$D$239,TALLY!A49)</f>
        <v>0</v>
      </c>
      <c r="R49" s="204">
        <f>COUNTIF(TT!$D$244:$D$254,TALLY!A49)</f>
        <v>0</v>
      </c>
      <c r="S49" s="204">
        <f>COUNTIF(TT!$D$259:$D$268,TALLY!A49)</f>
        <v>1</v>
      </c>
      <c r="T49" s="205">
        <f>COUNTIF(TT!$D$271:$D$282,TALLY!A49)</f>
        <v>0</v>
      </c>
      <c r="U49" s="205">
        <f>COUNTIF(TT!$D$287:$D$298,TALLY!A49)</f>
        <v>0</v>
      </c>
      <c r="V49" s="205">
        <f>COUNTIF(TT!$D$303:$D$311,TALLY!A49)</f>
        <v>0</v>
      </c>
      <c r="W49" s="202">
        <f>COUNTIF(TT!$D$316:$D$337,TALLY!A49)</f>
        <v>0</v>
      </c>
      <c r="X49" s="202">
        <f>COUNTIF(TT!$D$342:$D$350,TALLY!A49)</f>
        <v>0</v>
      </c>
      <c r="Y49" s="202">
        <f>COUNTIF(TT!$D$357:$D$365,TALLY!A49)</f>
        <v>0</v>
      </c>
      <c r="Z49" s="205">
        <f>COUNTIF(TT!$D$370:$D$377,TALLY!A49)</f>
        <v>1</v>
      </c>
      <c r="AA49" s="205">
        <f>COUNTIF(TT!$D$382:$D$393,TALLY!A49)</f>
        <v>0</v>
      </c>
      <c r="AB49" s="205">
        <f>COUNTIF(TT!$D$398:$D$408,TALLY!A49)</f>
        <v>0</v>
      </c>
      <c r="AC49" s="202">
        <f>COUNTIF(TT!$D$413:$D$425,TALLY!A49)</f>
        <v>0</v>
      </c>
      <c r="AD49" s="202">
        <f>COUNTIF(TT!$D$430:$D$433,TALLY!A49)</f>
        <v>0</v>
      </c>
      <c r="AE49" s="202">
        <f>COUNTIF(TT!$D$454:$D$466,TALLY!A49)</f>
        <v>0</v>
      </c>
      <c r="AF49" s="204">
        <f>COUNTIF(TT!$D$471:$D$480,TALLY!A49)</f>
        <v>0</v>
      </c>
      <c r="AG49" s="204">
        <f>COUNTIF(TT!$D$487:$D$496,TALLY!A49)</f>
        <v>1</v>
      </c>
      <c r="AH49" s="204">
        <f>COUNTIF(TT!$D$501:$D$517,TALLY!A49)</f>
        <v>0</v>
      </c>
      <c r="AI49" s="202">
        <f>COUNTIF(TT!$D$522:$D$533,TALLY!A49)</f>
        <v>0</v>
      </c>
      <c r="AJ49" s="202">
        <f>COUNTIF(TT!$D$538:$D$550,TALLY!A49)</f>
        <v>0</v>
      </c>
      <c r="AK49" s="202">
        <f>COUNTIF(TT!$D$555:$D$569,TALLY!A49)</f>
        <v>1</v>
      </c>
      <c r="AL49" s="205">
        <f>COUNTIF(TT!$D$574:$D$582,TALLY!A49)</f>
        <v>0</v>
      </c>
      <c r="AM49" s="205">
        <f>COUNTIF(TT!$D$587:$D$593,TALLY!A49)</f>
        <v>0</v>
      </c>
      <c r="AN49" s="205">
        <f>COUNTIF(TT!$D$598:$D$606,TALLY!A49)</f>
        <v>0</v>
      </c>
      <c r="AO49" s="202">
        <f>COUNTIF(TT!$D$611:$D$620,TALLY!A49)</f>
        <v>1</v>
      </c>
      <c r="AP49" s="202">
        <f>COUNTIF(TT!$D$627:$D$639,TALLY!A49)</f>
        <v>0</v>
      </c>
      <c r="AQ49" s="202">
        <f>COUNTIF(TT!$D$645:$D$657,TALLY!A49)</f>
        <v>0</v>
      </c>
      <c r="AR49" s="205">
        <f>COUNTIF(TT!$D$663:$D$671,TALLY!A49)</f>
        <v>0</v>
      </c>
      <c r="AS49" s="205">
        <f>COUNTIF(TT!$D$677:$D$685,TALLY!A49)</f>
        <v>0</v>
      </c>
      <c r="AT49" s="205">
        <f>COUNTIF(TT!$D$689:$D$698,TALLY!A49)</f>
        <v>0</v>
      </c>
      <c r="AU49" s="203" t="s">
        <v>121</v>
      </c>
      <c r="AV49" s="202">
        <f t="shared" si="16"/>
        <v>0</v>
      </c>
      <c r="AW49" s="202">
        <f t="shared" si="17"/>
        <v>1</v>
      </c>
      <c r="AX49" s="202">
        <f t="shared" si="18"/>
        <v>0</v>
      </c>
      <c r="AY49" s="202">
        <f t="shared" si="19"/>
        <v>0</v>
      </c>
      <c r="AZ49" s="202">
        <f t="shared" si="20"/>
        <v>1</v>
      </c>
      <c r="BA49" s="202">
        <f t="shared" si="21"/>
        <v>1</v>
      </c>
      <c r="BB49" s="202">
        <f t="shared" si="22"/>
        <v>0</v>
      </c>
      <c r="BC49" s="202">
        <f t="shared" si="23"/>
        <v>0</v>
      </c>
      <c r="BD49" s="202">
        <f t="shared" si="31"/>
        <v>1</v>
      </c>
      <c r="BE49" s="202">
        <f t="shared" si="24"/>
        <v>0</v>
      </c>
      <c r="BF49" s="202">
        <f t="shared" si="25"/>
        <v>1</v>
      </c>
      <c r="BG49" s="202">
        <f t="shared" si="26"/>
        <v>1</v>
      </c>
      <c r="BH49" s="202">
        <f t="shared" si="27"/>
        <v>0</v>
      </c>
      <c r="BI49" s="202">
        <f t="shared" si="28"/>
        <v>1</v>
      </c>
      <c r="BJ49" s="202">
        <f t="shared" si="29"/>
        <v>0</v>
      </c>
      <c r="BK49">
        <f t="shared" si="30"/>
        <v>7</v>
      </c>
    </row>
    <row r="50" spans="1:63" x14ac:dyDescent="0.3">
      <c r="A50" s="203" t="s">
        <v>86</v>
      </c>
      <c r="B50" s="204">
        <f>COUNTIF(TT!$D$4:$D$9,TALLY!A50)</f>
        <v>0</v>
      </c>
      <c r="C50" s="204">
        <f>COUNTIF(TT!$D$15:$D$28,TALLY!A50)</f>
        <v>0</v>
      </c>
      <c r="D50" s="204">
        <f>COUNTIF(TT!$D$34:$D$41,TALLY!A50)</f>
        <v>0</v>
      </c>
      <c r="E50" s="202">
        <f>COUNTIF(TT!$D$47:$D$60,TALLY!A50)</f>
        <v>1</v>
      </c>
      <c r="F50" s="202">
        <f>COUNTIF(TT!$D$66:$D$79,TALLY!A50)</f>
        <v>0</v>
      </c>
      <c r="G50" s="202">
        <f>COUNTIF(TT!$D$84:$D$93,TALLY!A50)</f>
        <v>0</v>
      </c>
      <c r="H50" s="205">
        <f>COUNTIF(TT!$D$98:$D$106,TALLY!A50)</f>
        <v>0</v>
      </c>
      <c r="I50" s="205">
        <f>COUNTIF(TT!$D$111:$D$121,TALLY!A50)</f>
        <v>0</v>
      </c>
      <c r="J50" s="205">
        <f>COUNTIF(TT!$D$126:$D$134,TALLY!A50)</f>
        <v>1</v>
      </c>
      <c r="K50" s="202">
        <f>COUNTIF(TT!$D$139:$D$151,TALLY!A50)</f>
        <v>0</v>
      </c>
      <c r="L50" s="202">
        <f>COUNTIF(TT!$D$156:$D$164,TALLY!A50)</f>
        <v>0</v>
      </c>
      <c r="M50" s="202">
        <f>COUNTIF(TT!$D$169:$D$180,TALLY!A50)</f>
        <v>0</v>
      </c>
      <c r="N50" s="205">
        <f>COUNTIF(TT!$D$185:$D$197,TALLY!A50)</f>
        <v>0</v>
      </c>
      <c r="O50" s="205">
        <f>COUNTIF(TT!$D$202:$D$208,TALLY!A50)</f>
        <v>0</v>
      </c>
      <c r="P50" s="205">
        <f>COUNTIF(TT!$D$213:$D$220,TALLY!A50)</f>
        <v>1</v>
      </c>
      <c r="Q50" s="204">
        <f>COUNTIF(TT!$D$225:$D$239,TALLY!A50)</f>
        <v>0</v>
      </c>
      <c r="R50" s="204">
        <f>COUNTIF(TT!$D$244:$D$254,TALLY!A50)</f>
        <v>0</v>
      </c>
      <c r="S50" s="204">
        <f>COUNTIF(TT!$D$259:$D$268,TALLY!A50)</f>
        <v>0</v>
      </c>
      <c r="T50" s="205">
        <f>COUNTIF(TT!$D$271:$D$282,TALLY!A50)</f>
        <v>0</v>
      </c>
      <c r="U50" s="205">
        <f>COUNTIF(TT!$D$287:$D$298,TALLY!A50)</f>
        <v>0</v>
      </c>
      <c r="V50" s="205">
        <f>COUNTIF(TT!$D$303:$D$311,TALLY!A50)</f>
        <v>0</v>
      </c>
      <c r="W50" s="202">
        <f>COUNTIF(TT!$D$316:$D$337,TALLY!A50)</f>
        <v>1</v>
      </c>
      <c r="X50" s="202">
        <f>COUNTIF(TT!$D$342:$D$350,TALLY!A50)</f>
        <v>0</v>
      </c>
      <c r="Y50" s="202">
        <f>COUNTIF(TT!$D$357:$D$365,TALLY!A50)</f>
        <v>0</v>
      </c>
      <c r="Z50" s="205">
        <f>COUNTIF(TT!$D$370:$D$377,TALLY!A50)</f>
        <v>0</v>
      </c>
      <c r="AA50" s="205">
        <f>COUNTIF(TT!$D$382:$D$393,TALLY!A50)</f>
        <v>1</v>
      </c>
      <c r="AB50" s="205">
        <f>COUNTIF(TT!$D$398:$D$408,TALLY!A50)</f>
        <v>0</v>
      </c>
      <c r="AC50" s="202">
        <f>COUNTIF(TT!$D$413:$D$425,TALLY!A50)</f>
        <v>0</v>
      </c>
      <c r="AD50" s="202">
        <f>COUNTIF(TT!$D$430:$D$433,TALLY!A50)</f>
        <v>0</v>
      </c>
      <c r="AE50" s="202">
        <f>COUNTIF(TT!$D$454:$D$466,TALLY!A50)</f>
        <v>1</v>
      </c>
      <c r="AF50" s="204">
        <f>COUNTIF(TT!$D$471:$D$480,TALLY!A50)</f>
        <v>0</v>
      </c>
      <c r="AG50" s="204">
        <f>COUNTIF(TT!$D$487:$D$496,TALLY!A50)</f>
        <v>0</v>
      </c>
      <c r="AH50" s="204">
        <f>COUNTIF(TT!$D$501:$D$517,TALLY!A50)</f>
        <v>0</v>
      </c>
      <c r="AI50" s="202">
        <f>COUNTIF(TT!$D$522:$D$533,TALLY!A50)</f>
        <v>0</v>
      </c>
      <c r="AJ50" s="202">
        <f>COUNTIF(TT!$D$538:$D$550,TALLY!A50)</f>
        <v>0</v>
      </c>
      <c r="AK50" s="202">
        <f>COUNTIF(TT!$D$555:$D$569,TALLY!A50)</f>
        <v>1</v>
      </c>
      <c r="AL50" s="205">
        <f>COUNTIF(TT!$D$574:$D$582,TALLY!A50)</f>
        <v>0</v>
      </c>
      <c r="AM50" s="205">
        <f>COUNTIF(TT!$D$587:$D$593,TALLY!A50)</f>
        <v>0</v>
      </c>
      <c r="AN50" s="205">
        <f>COUNTIF(TT!$D$598:$D$606,TALLY!A50)</f>
        <v>0</v>
      </c>
      <c r="AO50" s="202">
        <f>COUNTIF(TT!$D$611:$D$620,TALLY!A50)</f>
        <v>0</v>
      </c>
      <c r="AP50" s="202">
        <f>COUNTIF(TT!$D$627:$D$639,TALLY!A50)</f>
        <v>0</v>
      </c>
      <c r="AQ50" s="202">
        <f>COUNTIF(TT!$D$645:$D$657,TALLY!A50)</f>
        <v>0</v>
      </c>
      <c r="AR50" s="205">
        <f>COUNTIF(TT!$D$663:$D$671,TALLY!A50)</f>
        <v>0</v>
      </c>
      <c r="AS50" s="205">
        <f>COUNTIF(TT!$D$677:$D$685,TALLY!A50)</f>
        <v>0</v>
      </c>
      <c r="AT50" s="205">
        <f>COUNTIF(TT!$D$689:$D$698,TALLY!A50)</f>
        <v>1</v>
      </c>
      <c r="AU50" s="203" t="s">
        <v>86</v>
      </c>
      <c r="AV50" s="202">
        <f t="shared" si="16"/>
        <v>0</v>
      </c>
      <c r="AW50" s="202">
        <f t="shared" si="17"/>
        <v>1</v>
      </c>
      <c r="AX50" s="202">
        <f t="shared" si="18"/>
        <v>1</v>
      </c>
      <c r="AY50" s="202">
        <f t="shared" si="19"/>
        <v>0</v>
      </c>
      <c r="AZ50" s="202">
        <f t="shared" si="20"/>
        <v>1</v>
      </c>
      <c r="BA50" s="202">
        <f t="shared" si="21"/>
        <v>0</v>
      </c>
      <c r="BB50" s="202">
        <f t="shared" si="22"/>
        <v>0</v>
      </c>
      <c r="BC50" s="202">
        <f t="shared" si="23"/>
        <v>1</v>
      </c>
      <c r="BD50" s="202">
        <f t="shared" si="31"/>
        <v>1</v>
      </c>
      <c r="BE50" s="202">
        <f t="shared" si="24"/>
        <v>1</v>
      </c>
      <c r="BF50" s="202">
        <f t="shared" si="25"/>
        <v>0</v>
      </c>
      <c r="BG50" s="202">
        <f t="shared" si="26"/>
        <v>1</v>
      </c>
      <c r="BH50" s="202">
        <f t="shared" si="27"/>
        <v>0</v>
      </c>
      <c r="BI50" s="202">
        <f t="shared" si="28"/>
        <v>0</v>
      </c>
      <c r="BJ50" s="202">
        <f t="shared" si="29"/>
        <v>1</v>
      </c>
      <c r="BK50">
        <f t="shared" si="30"/>
        <v>8</v>
      </c>
    </row>
    <row r="51" spans="1:63" x14ac:dyDescent="0.3">
      <c r="A51" s="203" t="s">
        <v>61</v>
      </c>
      <c r="B51" s="204">
        <f>COUNTIF(TT!$D$4:$D$9,TALLY!A51)</f>
        <v>0</v>
      </c>
      <c r="C51" s="204">
        <f>COUNTIF(TT!$D$15:$D$28,TALLY!A51)</f>
        <v>0</v>
      </c>
      <c r="D51" s="204">
        <f>COUNTIF(TT!$D$34:$D$41,TALLY!A51)</f>
        <v>1</v>
      </c>
      <c r="E51" s="202">
        <f>COUNTIF(TT!$D$47:$D$60,TALLY!A51)</f>
        <v>0</v>
      </c>
      <c r="F51" s="202">
        <f>COUNTIF(TT!$D$66:$D$79,TALLY!A51)</f>
        <v>0</v>
      </c>
      <c r="G51" s="202">
        <f>COUNTIF(TT!$D$84:$D$93,TALLY!A51)</f>
        <v>0</v>
      </c>
      <c r="H51" s="205">
        <f>COUNTIF(TT!$D$98:$D$106,TALLY!A51)</f>
        <v>0</v>
      </c>
      <c r="I51" s="205">
        <f>COUNTIF(TT!$D$111:$D$121,TALLY!A51)</f>
        <v>0</v>
      </c>
      <c r="J51" s="205">
        <f>COUNTIF(TT!$D$126:$D$134,TALLY!A51)</f>
        <v>1</v>
      </c>
      <c r="K51" s="202">
        <f>COUNTIF(TT!$D$139:$D$151,TALLY!A51)</f>
        <v>0</v>
      </c>
      <c r="L51" s="202">
        <f>COUNTIF(TT!$D$156:$D$164,TALLY!A51)</f>
        <v>0</v>
      </c>
      <c r="M51" s="202">
        <f>COUNTIF(TT!$D$169:$D$180,TALLY!A51)</f>
        <v>0</v>
      </c>
      <c r="N51" s="205">
        <f>COUNTIF(TT!$D$185:$D$197,TALLY!A51)</f>
        <v>0</v>
      </c>
      <c r="O51" s="205">
        <f>COUNTIF(TT!$D$202:$D$208,TALLY!A51)</f>
        <v>0</v>
      </c>
      <c r="P51" s="205">
        <f>COUNTIF(TT!$D$213:$D$220,TALLY!A51)</f>
        <v>0</v>
      </c>
      <c r="Q51" s="204">
        <f>COUNTIF(TT!$D$225:$D$239,TALLY!A51)</f>
        <v>0</v>
      </c>
      <c r="R51" s="204">
        <f>COUNTIF(TT!$D$244:$D$254,TALLY!A51)</f>
        <v>0</v>
      </c>
      <c r="S51" s="204">
        <f>COUNTIF(TT!$D$259:$D$268,TALLY!A51)</f>
        <v>0</v>
      </c>
      <c r="T51" s="205">
        <f>COUNTIF(TT!$D$271:$D$282,TALLY!A51)</f>
        <v>0</v>
      </c>
      <c r="U51" s="205">
        <f>COUNTIF(TT!$D$287:$D$298,TALLY!A51)</f>
        <v>0</v>
      </c>
      <c r="V51" s="205">
        <f>COUNTIF(TT!$D$303:$D$311,TALLY!A51)</f>
        <v>0</v>
      </c>
      <c r="W51" s="202">
        <f>COUNTIF(TT!$D$316:$D$337,TALLY!A51)</f>
        <v>1</v>
      </c>
      <c r="X51" s="202">
        <f>COUNTIF(TT!$D$342:$D$350,TALLY!A51)</f>
        <v>0</v>
      </c>
      <c r="Y51" s="202">
        <f>COUNTIF(TT!$D$357:$D$365,TALLY!A51)</f>
        <v>0</v>
      </c>
      <c r="Z51" s="205">
        <f>COUNTIF(TT!$D$370:$D$377,TALLY!A51)</f>
        <v>0</v>
      </c>
      <c r="AA51" s="205">
        <f>COUNTIF(TT!$D$382:$D$393,TALLY!A51)</f>
        <v>1</v>
      </c>
      <c r="AB51" s="205">
        <f>COUNTIF(TT!$D$398:$D$408,TALLY!A51)</f>
        <v>0</v>
      </c>
      <c r="AC51" s="202">
        <f>COUNTIF(TT!$D$413:$D$425,TALLY!A51)</f>
        <v>0</v>
      </c>
      <c r="AD51" s="202">
        <f>COUNTIF(TT!$D$430:$D$447,TALLY!A51)</f>
        <v>0</v>
      </c>
      <c r="AE51" s="202">
        <f>COUNTIF(TT!$D$454:$D$466,TALLY!A51)</f>
        <v>0</v>
      </c>
      <c r="AF51" s="204">
        <f>COUNTIF(TT!$D$471:$D$480,TALLY!A51)</f>
        <v>1</v>
      </c>
      <c r="AG51" s="204">
        <f>COUNTIF(TT!$D$487:$D$496,TALLY!A51)</f>
        <v>0</v>
      </c>
      <c r="AH51" s="204">
        <f>COUNTIF(TT!$D$501:$D$517,TALLY!A51)</f>
        <v>0</v>
      </c>
      <c r="AI51" s="202">
        <f>COUNTIF(TT!$D$522:$D$533,TALLY!A51)</f>
        <v>0</v>
      </c>
      <c r="AJ51" s="202">
        <f>COUNTIF(TT!$D$538:$D$550,TALLY!A51)</f>
        <v>0</v>
      </c>
      <c r="AK51" s="202">
        <f>COUNTIF(TT!$D$555:$D$569,TALLY!A51)</f>
        <v>0</v>
      </c>
      <c r="AL51" s="205">
        <f>COUNTIF(TT!$D$574:$D$582,TALLY!A51)</f>
        <v>0</v>
      </c>
      <c r="AM51" s="205">
        <f>COUNTIF(TT!$D$587:$D$593,TALLY!A51)</f>
        <v>0</v>
      </c>
      <c r="AN51" s="205">
        <f>COUNTIF(TT!$D$598:$D$606,TALLY!A51)</f>
        <v>1</v>
      </c>
      <c r="AO51" s="202">
        <f>COUNTIF(TT!$D$611:$D$620,TALLY!A51)</f>
        <v>0</v>
      </c>
      <c r="AP51" s="202">
        <f>COUNTIF(TT!$D$627:$D$639,TALLY!A51)</f>
        <v>0</v>
      </c>
      <c r="AQ51" s="202">
        <f>COUNTIF(TT!$D$645:$D$657,TALLY!A51)</f>
        <v>0</v>
      </c>
      <c r="AR51" s="205">
        <f>COUNTIF(TT!$D$663:$D$671,TALLY!A51)</f>
        <v>0</v>
      </c>
      <c r="AS51" s="205">
        <f>COUNTIF(TT!$D$677:$D$685,TALLY!A51)</f>
        <v>0</v>
      </c>
      <c r="AT51" s="205">
        <f>COUNTIF(TT!$D$689:$D$698,TALLY!A51)</f>
        <v>1</v>
      </c>
      <c r="AU51" s="203" t="s">
        <v>61</v>
      </c>
      <c r="AV51" s="202">
        <f t="shared" si="16"/>
        <v>1</v>
      </c>
      <c r="AW51" s="202">
        <f t="shared" si="17"/>
        <v>0</v>
      </c>
      <c r="AX51" s="202">
        <f t="shared" si="18"/>
        <v>1</v>
      </c>
      <c r="AY51" s="202">
        <f t="shared" si="19"/>
        <v>0</v>
      </c>
      <c r="AZ51" s="202">
        <f t="shared" si="20"/>
        <v>0</v>
      </c>
      <c r="BA51" s="202">
        <f t="shared" si="21"/>
        <v>0</v>
      </c>
      <c r="BB51" s="202">
        <f t="shared" si="22"/>
        <v>0</v>
      </c>
      <c r="BC51" s="202">
        <f t="shared" si="23"/>
        <v>1</v>
      </c>
      <c r="BD51" s="202">
        <f t="shared" si="31"/>
        <v>1</v>
      </c>
      <c r="BE51" s="202">
        <f t="shared" si="24"/>
        <v>0</v>
      </c>
      <c r="BF51" s="202">
        <f t="shared" si="25"/>
        <v>1</v>
      </c>
      <c r="BG51" s="202">
        <f t="shared" si="26"/>
        <v>0</v>
      </c>
      <c r="BH51" s="202">
        <f t="shared" si="27"/>
        <v>1</v>
      </c>
      <c r="BI51" s="202">
        <f t="shared" si="28"/>
        <v>0</v>
      </c>
      <c r="BJ51" s="202">
        <f t="shared" si="29"/>
        <v>1</v>
      </c>
      <c r="BK51">
        <f t="shared" si="30"/>
        <v>7</v>
      </c>
    </row>
    <row r="52" spans="1:63" x14ac:dyDescent="0.3">
      <c r="A52" s="203" t="s">
        <v>142</v>
      </c>
      <c r="B52" s="204">
        <f>COUNTIF(TT!$D$4:$D$9,TALLY!A52)</f>
        <v>0</v>
      </c>
      <c r="C52" s="204">
        <f>COUNTIF(TT!$D$15:$D$28,TALLY!A52)</f>
        <v>0</v>
      </c>
      <c r="D52" s="204">
        <f>COUNTIF(TT!$D$34:$D$41,TALLY!A52)</f>
        <v>0</v>
      </c>
      <c r="E52" s="202">
        <f>COUNTIF(TT!$D$47:$D$60,TALLY!A52)</f>
        <v>0</v>
      </c>
      <c r="F52" s="202">
        <f>COUNTIF(TT!$D$66:$D$79,TALLY!A52)</f>
        <v>0</v>
      </c>
      <c r="G52" s="202">
        <f>COUNTIF(TT!$D$84:$D$93,TALLY!A52)</f>
        <v>1</v>
      </c>
      <c r="H52" s="205">
        <f>COUNTIF(TT!$D$98:$D$106,TALLY!A52)</f>
        <v>0</v>
      </c>
      <c r="I52" s="205">
        <f>COUNTIF(TT!$D$111:$D$121,TALLY!A52)</f>
        <v>0</v>
      </c>
      <c r="J52" s="205">
        <f>COUNTIF(TT!$D$126:$D$134,TALLY!A52)</f>
        <v>0</v>
      </c>
      <c r="K52" s="202">
        <f>COUNTIF(TT!$D$139:$D$151,TALLY!A52)</f>
        <v>0</v>
      </c>
      <c r="L52" s="202">
        <f>COUNTIF(TT!$D$156:$D$164,TALLY!A52)</f>
        <v>0</v>
      </c>
      <c r="M52" s="202">
        <f>COUNTIF(TT!$D$169:$D$180,TALLY!A52)</f>
        <v>1</v>
      </c>
      <c r="N52" s="205">
        <f>COUNTIF(TT!$D$185:$D$197,TALLY!A52)</f>
        <v>0</v>
      </c>
      <c r="O52" s="205">
        <f>COUNTIF(TT!$D$202:$D$208,TALLY!A52)</f>
        <v>0</v>
      </c>
      <c r="P52" s="205">
        <f>COUNTIF(TT!$D$213:$D$220,TALLY!A52)</f>
        <v>0</v>
      </c>
      <c r="Q52" s="204">
        <f>COUNTIF(TT!$D$225:$D$239,TALLY!A52)</f>
        <v>0</v>
      </c>
      <c r="R52" s="204">
        <f>COUNTIF(TT!$D$244:$D$254,TALLY!A52)</f>
        <v>0</v>
      </c>
      <c r="S52" s="204">
        <f>COUNTIF(TT!$D$259:$D$268,TALLY!A52)</f>
        <v>1</v>
      </c>
      <c r="T52" s="205">
        <f>COUNTIF(TT!$D$271:$D$282,TALLY!A52)</f>
        <v>0</v>
      </c>
      <c r="U52" s="205">
        <f>COUNTIF(TT!$D$287:$D$298,TALLY!A52)</f>
        <v>0</v>
      </c>
      <c r="V52" s="205">
        <f>COUNTIF(TT!$D$303:$D$311,TALLY!A52)</f>
        <v>0</v>
      </c>
      <c r="W52" s="202">
        <f>COUNTIF(TT!$D$316:$D$337,TALLY!A52)</f>
        <v>0</v>
      </c>
      <c r="X52" s="202">
        <f>COUNTIF(TT!$D$342:$D$350,TALLY!A52)</f>
        <v>1</v>
      </c>
      <c r="Y52" s="202">
        <f>COUNTIF(TT!$D$357:$D$365,TALLY!A52)</f>
        <v>0</v>
      </c>
      <c r="Z52" s="205">
        <f>COUNTIF(TT!$D$370:$D$377,TALLY!A52)</f>
        <v>0</v>
      </c>
      <c r="AA52" s="205">
        <f>COUNTIF(TT!$D$382:$D$393,TALLY!A52)</f>
        <v>0</v>
      </c>
      <c r="AB52" s="205">
        <f>COUNTIF(TT!$D$398:$D$408,TALLY!A52)</f>
        <v>0</v>
      </c>
      <c r="AC52" s="202">
        <f>COUNTIF(TT!$D$413:$D$425,TALLY!A52)</f>
        <v>0</v>
      </c>
      <c r="AD52" s="202">
        <f>COUNTIF(TT!$D$430:$D$447,TALLY!A52)</f>
        <v>0</v>
      </c>
      <c r="AE52" s="202">
        <f>COUNTIF(TT!$D$454:$D$466,TALLY!A52)</f>
        <v>0</v>
      </c>
      <c r="AF52" s="204">
        <f>COUNTIF(TT!$D$471:$D$480,TALLY!A52)</f>
        <v>1</v>
      </c>
      <c r="AG52" s="204">
        <f>COUNTIF(TT!$D$487:$D$496,TALLY!A52)</f>
        <v>0</v>
      </c>
      <c r="AH52" s="204">
        <f>COUNTIF(TT!$D$501:$D$517,TALLY!A52)</f>
        <v>0</v>
      </c>
      <c r="AI52" s="202">
        <f>COUNTIF(TT!$D$522:$D$533,TALLY!A52)</f>
        <v>0</v>
      </c>
      <c r="AJ52" s="202">
        <f>COUNTIF(TT!$D$538:$D$550,TALLY!A52)</f>
        <v>0</v>
      </c>
      <c r="AK52" s="202">
        <f>COUNTIF(TT!$D$555:$D$569,TALLY!A52)</f>
        <v>0</v>
      </c>
      <c r="AL52" s="205">
        <f>COUNTIF(TT!$D$574:$D$582,TALLY!A52)</f>
        <v>0</v>
      </c>
      <c r="AM52" s="205">
        <f>COUNTIF(TT!$D$587:$D$593,TALLY!A52)</f>
        <v>0</v>
      </c>
      <c r="AN52" s="205">
        <f>COUNTIF(TT!$D$598:$D$606,TALLY!A52)</f>
        <v>0</v>
      </c>
      <c r="AO52" s="202">
        <f>COUNTIF(TT!$D$611:$D$620,TALLY!A52)</f>
        <v>0</v>
      </c>
      <c r="AP52" s="202">
        <f>COUNTIF(TT!$D$627:$D$639,TALLY!A52)</f>
        <v>1</v>
      </c>
      <c r="AQ52" s="202">
        <f>COUNTIF(TT!$D$645:$D$657,TALLY!A52)</f>
        <v>0</v>
      </c>
      <c r="AR52" s="205">
        <f>COUNTIF(TT!$D$663:$D$671,TALLY!A52)</f>
        <v>0</v>
      </c>
      <c r="AS52" s="205">
        <f>COUNTIF(TT!$D$677:$D$685,TALLY!A52)</f>
        <v>0</v>
      </c>
      <c r="AT52" s="205">
        <f>COUNTIF(TT!$D$689:$D$698,TALLY!A52)</f>
        <v>0</v>
      </c>
      <c r="AU52" s="203" t="s">
        <v>142</v>
      </c>
      <c r="AV52" s="202">
        <f t="shared" si="16"/>
        <v>0</v>
      </c>
      <c r="AW52" s="202">
        <f t="shared" si="17"/>
        <v>1</v>
      </c>
      <c r="AX52" s="202">
        <f t="shared" si="18"/>
        <v>0</v>
      </c>
      <c r="AY52" s="202">
        <f t="shared" si="19"/>
        <v>1</v>
      </c>
      <c r="AZ52" s="202">
        <f t="shared" si="20"/>
        <v>0</v>
      </c>
      <c r="BA52" s="202">
        <f t="shared" si="21"/>
        <v>1</v>
      </c>
      <c r="BB52" s="202">
        <f t="shared" si="22"/>
        <v>0</v>
      </c>
      <c r="BC52" s="202">
        <f t="shared" si="23"/>
        <v>1</v>
      </c>
      <c r="BD52" s="202">
        <f t="shared" si="31"/>
        <v>0</v>
      </c>
      <c r="BE52" s="202">
        <f t="shared" si="24"/>
        <v>0</v>
      </c>
      <c r="BF52" s="202">
        <f t="shared" si="25"/>
        <v>1</v>
      </c>
      <c r="BG52" s="202">
        <f t="shared" si="26"/>
        <v>0</v>
      </c>
      <c r="BH52" s="202">
        <f t="shared" si="27"/>
        <v>0</v>
      </c>
      <c r="BI52" s="202">
        <f t="shared" si="28"/>
        <v>1</v>
      </c>
      <c r="BJ52" s="202">
        <f t="shared" si="29"/>
        <v>0</v>
      </c>
      <c r="BK52">
        <f t="shared" si="30"/>
        <v>6</v>
      </c>
    </row>
    <row r="53" spans="1:63" x14ac:dyDescent="0.3">
      <c r="A53" s="203" t="s">
        <v>140</v>
      </c>
      <c r="B53" s="204">
        <f>COUNTIF(TT!$D$4:$D$9,TALLY!A53)</f>
        <v>0</v>
      </c>
      <c r="C53" s="204">
        <f>COUNTIF(TT!$D$15:$D$28,TALLY!A53)</f>
        <v>0</v>
      </c>
      <c r="D53" s="204">
        <f>COUNTIF(TT!$D$34:$D$41,TALLY!A53)</f>
        <v>0</v>
      </c>
      <c r="E53" s="202">
        <f>COUNTIF(TT!$D$47:$D$60,TALLY!A53)</f>
        <v>0</v>
      </c>
      <c r="F53" s="202">
        <f>COUNTIF(TT!$D$66:$D$79,TALLY!A53)</f>
        <v>0</v>
      </c>
      <c r="G53" s="202">
        <f>COUNTIF(TT!$D$84:$D$93,TALLY!A53)</f>
        <v>1</v>
      </c>
      <c r="H53" s="205">
        <f>COUNTIF(TT!$D$98:$D$106,TALLY!A53)</f>
        <v>0</v>
      </c>
      <c r="I53" s="205">
        <f>COUNTIF(TT!$D$111:$D$121,TALLY!A53)</f>
        <v>0</v>
      </c>
      <c r="J53" s="205">
        <f>COUNTIF(TT!$D$126:$D$134,TALLY!A53)</f>
        <v>0</v>
      </c>
      <c r="K53" s="202">
        <f>COUNTIF(TT!$D$139:$D$151,TALLY!A53)</f>
        <v>0</v>
      </c>
      <c r="L53" s="202">
        <f>COUNTIF(TT!$D$156:$D$164,TALLY!A53)</f>
        <v>0</v>
      </c>
      <c r="M53" s="202">
        <f>COUNTIF(TT!$D$169:$D$180,TALLY!A53)</f>
        <v>1</v>
      </c>
      <c r="N53" s="205">
        <f>COUNTIF(TT!$D$185:$D$197,TALLY!A53)</f>
        <v>0</v>
      </c>
      <c r="O53" s="205">
        <f>COUNTIF(TT!$D$202:$D$208,TALLY!A53)</f>
        <v>0</v>
      </c>
      <c r="P53" s="205">
        <f>COUNTIF(TT!$D$213:$D$220,TALLY!A53)</f>
        <v>0</v>
      </c>
      <c r="Q53" s="204">
        <f>COUNTIF(TT!$D$225:$D$239,TALLY!A53)</f>
        <v>0</v>
      </c>
      <c r="R53" s="204">
        <f>COUNTIF(TT!$D$244:$D$254,TALLY!A53)</f>
        <v>1</v>
      </c>
      <c r="S53" s="204">
        <f>COUNTIF(TT!$D$259:$D$268,TALLY!A53)</f>
        <v>0</v>
      </c>
      <c r="T53" s="205">
        <f>COUNTIF(TT!$D$271:$D$282,TALLY!A53)</f>
        <v>0</v>
      </c>
      <c r="U53" s="205">
        <f>COUNTIF(TT!$D$287:$D$298,TALLY!A53)</f>
        <v>0</v>
      </c>
      <c r="V53" s="205">
        <f>COUNTIF(TT!$D$303:$D$311,TALLY!A53)</f>
        <v>0</v>
      </c>
      <c r="W53" s="202">
        <f>COUNTIF(TT!$D$316:$D$337,TALLY!A53)</f>
        <v>0</v>
      </c>
      <c r="X53" s="202">
        <f>COUNTIF(TT!$D$342:$D$350,TALLY!A53)</f>
        <v>1</v>
      </c>
      <c r="Y53" s="202">
        <f>COUNTIF(TT!$D$357:$D$365,TALLY!A53)</f>
        <v>0</v>
      </c>
      <c r="Z53" s="205">
        <f>COUNTIF(TT!$D$370:$D$377,TALLY!A53)</f>
        <v>0</v>
      </c>
      <c r="AA53" s="205">
        <f>COUNTIF(TT!$D$382:$D$393,TALLY!A53)</f>
        <v>0</v>
      </c>
      <c r="AB53" s="205">
        <f>COUNTIF(TT!$D$398:$D$408,TALLY!A53)</f>
        <v>1</v>
      </c>
      <c r="AC53" s="202">
        <f>COUNTIF(TT!$D$413:$D$425,TALLY!A53)</f>
        <v>0</v>
      </c>
      <c r="AD53" s="202">
        <f>COUNTIF(TT!$D$430:$D$447,TALLY!A53)</f>
        <v>0</v>
      </c>
      <c r="AE53" s="202">
        <f>COUNTIF(TT!$D$454:$D$466,TALLY!A53)</f>
        <v>0</v>
      </c>
      <c r="AF53" s="204">
        <f>COUNTIF(TT!$D$471:$D$480,TALLY!A53)</f>
        <v>0</v>
      </c>
      <c r="AG53" s="204">
        <f>COUNTIF(TT!$D$487:$D$496,TALLY!A53)</f>
        <v>0</v>
      </c>
      <c r="AH53" s="204">
        <f>COUNTIF(TT!$D$501:$D$517,TALLY!A53)</f>
        <v>1</v>
      </c>
      <c r="AI53" s="202">
        <f>COUNTIF(TT!$D$522:$D$533,TALLY!A53)</f>
        <v>0</v>
      </c>
      <c r="AJ53" s="202">
        <f>COUNTIF(TT!$D$538:$D$550,TALLY!A53)</f>
        <v>0</v>
      </c>
      <c r="AK53" s="202">
        <f>COUNTIF(TT!$D$555:$D$569,TALLY!A53)</f>
        <v>0</v>
      </c>
      <c r="AL53" s="205">
        <f>COUNTIF(TT!$D$574:$D$582,TALLY!A53)</f>
        <v>0</v>
      </c>
      <c r="AM53" s="205">
        <f>COUNTIF(TT!$D$587:$D$593,TALLY!A53)</f>
        <v>0</v>
      </c>
      <c r="AN53" s="205">
        <f>COUNTIF(TT!$D$598:$D$606,TALLY!A53)</f>
        <v>0</v>
      </c>
      <c r="AO53" s="202">
        <f>COUNTIF(TT!$D$611:$D$620,TALLY!A53)</f>
        <v>0</v>
      </c>
      <c r="AP53" s="202">
        <f>COUNTIF(TT!$D$627:$D$639,TALLY!A53)</f>
        <v>1</v>
      </c>
      <c r="AQ53" s="202">
        <f>COUNTIF(TT!$D$645:$D$657,TALLY!A53)</f>
        <v>0</v>
      </c>
      <c r="AR53" s="205">
        <f>COUNTIF(TT!$D$663:$D$671,TALLY!A53)</f>
        <v>0</v>
      </c>
      <c r="AS53" s="205">
        <f>COUNTIF(TT!$D$677:$D$685,TALLY!A53)</f>
        <v>0</v>
      </c>
      <c r="AT53" s="205">
        <f>COUNTIF(TT!$D$689:$D$698,TALLY!A53)</f>
        <v>0</v>
      </c>
      <c r="AU53" s="203" t="s">
        <v>140</v>
      </c>
      <c r="AV53" s="202">
        <f t="shared" si="16"/>
        <v>0</v>
      </c>
      <c r="AW53" s="202">
        <f t="shared" si="17"/>
        <v>1</v>
      </c>
      <c r="AX53" s="202">
        <f t="shared" si="18"/>
        <v>0</v>
      </c>
      <c r="AY53" s="202">
        <f t="shared" si="19"/>
        <v>1</v>
      </c>
      <c r="AZ53" s="202">
        <f t="shared" si="20"/>
        <v>0</v>
      </c>
      <c r="BA53" s="202">
        <f t="shared" si="21"/>
        <v>1</v>
      </c>
      <c r="BB53" s="202">
        <f t="shared" si="22"/>
        <v>0</v>
      </c>
      <c r="BC53" s="202">
        <f t="shared" si="23"/>
        <v>1</v>
      </c>
      <c r="BD53" s="202">
        <f t="shared" si="31"/>
        <v>1</v>
      </c>
      <c r="BE53" s="202">
        <f t="shared" si="24"/>
        <v>0</v>
      </c>
      <c r="BF53" s="202">
        <f t="shared" si="25"/>
        <v>1</v>
      </c>
      <c r="BG53" s="202">
        <f t="shared" si="26"/>
        <v>0</v>
      </c>
      <c r="BH53" s="202">
        <f t="shared" si="27"/>
        <v>0</v>
      </c>
      <c r="BI53" s="202">
        <f t="shared" si="28"/>
        <v>1</v>
      </c>
      <c r="BJ53" s="202">
        <f t="shared" si="29"/>
        <v>0</v>
      </c>
      <c r="BK53">
        <f t="shared" si="30"/>
        <v>7</v>
      </c>
    </row>
    <row r="54" spans="1:63" x14ac:dyDescent="0.3">
      <c r="A54" s="203" t="s">
        <v>63</v>
      </c>
      <c r="B54" s="204">
        <f>COUNTIF(TT!$D$4:$D$9,TALLY!A54)</f>
        <v>0</v>
      </c>
      <c r="C54" s="204">
        <f>COUNTIF(TT!$D$15:$D$28,TALLY!A54)</f>
        <v>0</v>
      </c>
      <c r="D54" s="204">
        <f>COUNTIF(TT!$D$34:$D$41,TALLY!A54)</f>
        <v>0</v>
      </c>
      <c r="E54" s="202">
        <f>COUNTIF(TT!$D$47:$D$60,TALLY!A54)</f>
        <v>1</v>
      </c>
      <c r="F54" s="202">
        <f>COUNTIF(TT!$D$66:$D$79,TALLY!A54)</f>
        <v>0</v>
      </c>
      <c r="G54" s="202">
        <f>COUNTIF(TT!$D$84:$D$93,TALLY!A54)</f>
        <v>0</v>
      </c>
      <c r="H54" s="205">
        <f>COUNTIF(TT!$D$98:$D$106,TALLY!A54)</f>
        <v>0</v>
      </c>
      <c r="I54" s="205">
        <f>COUNTIF(TT!$D$111:$D$121,TALLY!A54)</f>
        <v>0</v>
      </c>
      <c r="J54" s="205">
        <f>COUNTIF(TT!$D$126:$D$134,TALLY!A54)</f>
        <v>0</v>
      </c>
      <c r="K54" s="202">
        <f>COUNTIF(TT!$D$139:$D$151,TALLY!A54)</f>
        <v>0</v>
      </c>
      <c r="L54" s="202">
        <f>COUNTIF(TT!$D$156:$D$164,TALLY!A54)</f>
        <v>1</v>
      </c>
      <c r="M54" s="202">
        <f>COUNTIF(TT!$D$169:$D$180,TALLY!A54)</f>
        <v>0</v>
      </c>
      <c r="N54" s="205">
        <f>COUNTIF(TT!$D$185:$D$197,TALLY!A54)</f>
        <v>0</v>
      </c>
      <c r="O54" s="205">
        <f>COUNTIF(TT!$D$202:$D$208,TALLY!A54)</f>
        <v>0</v>
      </c>
      <c r="P54" s="205">
        <f>COUNTIF(TT!$D$213:$D$220,TALLY!A54)</f>
        <v>0</v>
      </c>
      <c r="Q54" s="204">
        <f>COUNTIF(TT!$D$225:$D$239,TALLY!A54)</f>
        <v>1</v>
      </c>
      <c r="R54" s="204">
        <f>COUNTIF(TT!$D$244:$D$254,TALLY!A54)</f>
        <v>0</v>
      </c>
      <c r="S54" s="204">
        <f>COUNTIF(TT!$D$259:$D$268,TALLY!A54)</f>
        <v>0</v>
      </c>
      <c r="T54" s="205">
        <f>COUNTIF(TT!$D$271:$D$282,TALLY!A54)</f>
        <v>0</v>
      </c>
      <c r="U54" s="205">
        <f>COUNTIF(TT!$D$287:$D$298,TALLY!A54)</f>
        <v>0</v>
      </c>
      <c r="V54" s="205">
        <f>COUNTIF(TT!$D$303:$D$311,TALLY!A54)</f>
        <v>1</v>
      </c>
      <c r="W54" s="202">
        <f>COUNTIF(TT!$D$316:$D$337,TALLY!A54)</f>
        <v>0</v>
      </c>
      <c r="X54" s="202">
        <f>COUNTIF(TT!$D$342:$D$350,TALLY!A54)</f>
        <v>1</v>
      </c>
      <c r="Y54" s="202">
        <f>COUNTIF(TT!$D$357:$D$365,TALLY!A54)</f>
        <v>0</v>
      </c>
      <c r="Z54" s="205">
        <f>COUNTIF(TT!$D$370:$D$377,TALLY!A54)</f>
        <v>0</v>
      </c>
      <c r="AA54" s="205">
        <f>COUNTIF(TT!$D$382:$D$393,TALLY!A54)</f>
        <v>0</v>
      </c>
      <c r="AB54" s="205">
        <f>COUNTIF(TT!$D$398:$D$408,TALLY!A54)</f>
        <v>1</v>
      </c>
      <c r="AC54" s="202">
        <f>COUNTIF(TT!$D$413:$D$425,TALLY!A54)</f>
        <v>0</v>
      </c>
      <c r="AD54" s="202">
        <f>COUNTIF(TT!$D$430:$D$447,TALLY!A54)</f>
        <v>0</v>
      </c>
      <c r="AE54" s="202">
        <f>COUNTIF(TT!$D$454:$D$466,TALLY!A54)</f>
        <v>0</v>
      </c>
      <c r="AF54" s="204">
        <f>COUNTIF(TT!$D$471:$D$480,TALLY!A54)</f>
        <v>1</v>
      </c>
      <c r="AG54" s="204">
        <f>COUNTIF(TT!$D$487:$D$496,TALLY!A54)</f>
        <v>0</v>
      </c>
      <c r="AH54" s="204">
        <f>COUNTIF(TT!$D$501:$D$517,TALLY!A54)</f>
        <v>0</v>
      </c>
      <c r="AI54" s="202">
        <f>COUNTIF(TT!$D$522:$D$533,TALLY!A54)</f>
        <v>0</v>
      </c>
      <c r="AJ54" s="202">
        <f>COUNTIF(TT!$D$538:$D$550,TALLY!A54)</f>
        <v>0</v>
      </c>
      <c r="AK54" s="202">
        <f>COUNTIF(TT!$D$555:$D$569,TALLY!A54)</f>
        <v>1</v>
      </c>
      <c r="AL54" s="205">
        <f>COUNTIF(TT!$D$574:$D$582,TALLY!A54)</f>
        <v>0</v>
      </c>
      <c r="AM54" s="205">
        <f>COUNTIF(TT!$D$587:$D$593,TALLY!A54)</f>
        <v>0</v>
      </c>
      <c r="AN54" s="205">
        <f>COUNTIF(TT!$D$598:$D$606,TALLY!A54)</f>
        <v>0</v>
      </c>
      <c r="AO54" s="202">
        <f>COUNTIF(TT!$D$611:$D$620,TALLY!A54)</f>
        <v>0</v>
      </c>
      <c r="AP54" s="202">
        <f>COUNTIF(TT!$D$627:$D$639,TALLY!A54)</f>
        <v>1</v>
      </c>
      <c r="AQ54" s="202">
        <f>COUNTIF(TT!$D$645:$D$657,TALLY!A54)</f>
        <v>0</v>
      </c>
      <c r="AR54" s="205">
        <f>COUNTIF(TT!$D$663:$D$671,TALLY!A54)</f>
        <v>0</v>
      </c>
      <c r="AS54" s="205">
        <f>COUNTIF(TT!$D$677:$D$685,TALLY!A54)</f>
        <v>0</v>
      </c>
      <c r="AT54" s="205">
        <f>COUNTIF(TT!$D$689:$D$698,TALLY!A54)</f>
        <v>0</v>
      </c>
      <c r="AU54" s="203" t="s">
        <v>63</v>
      </c>
      <c r="AV54" s="202">
        <f t="shared" si="16"/>
        <v>0</v>
      </c>
      <c r="AW54" s="202">
        <f t="shared" si="17"/>
        <v>1</v>
      </c>
      <c r="AX54" s="202">
        <f t="shared" si="18"/>
        <v>0</v>
      </c>
      <c r="AY54" s="202">
        <f t="shared" si="19"/>
        <v>1</v>
      </c>
      <c r="AZ54" s="202">
        <f t="shared" si="20"/>
        <v>0</v>
      </c>
      <c r="BA54" s="202">
        <f t="shared" si="21"/>
        <v>1</v>
      </c>
      <c r="BB54" s="202">
        <f t="shared" si="22"/>
        <v>1</v>
      </c>
      <c r="BC54" s="202">
        <f t="shared" si="23"/>
        <v>1</v>
      </c>
      <c r="BD54" s="202">
        <f t="shared" si="31"/>
        <v>1</v>
      </c>
      <c r="BE54" s="202">
        <f t="shared" si="24"/>
        <v>0</v>
      </c>
      <c r="BF54" s="202">
        <f t="shared" si="25"/>
        <v>1</v>
      </c>
      <c r="BG54" s="202">
        <f t="shared" si="26"/>
        <v>1</v>
      </c>
      <c r="BH54" s="202">
        <f t="shared" si="27"/>
        <v>0</v>
      </c>
      <c r="BI54" s="202">
        <f t="shared" si="28"/>
        <v>1</v>
      </c>
      <c r="BJ54" s="202">
        <f t="shared" si="29"/>
        <v>0</v>
      </c>
      <c r="BK54">
        <f t="shared" si="30"/>
        <v>9</v>
      </c>
    </row>
    <row r="55" spans="1:63" x14ac:dyDescent="0.3">
      <c r="A55" s="203" t="s">
        <v>18</v>
      </c>
      <c r="B55" s="204">
        <f>COUNTIF(TT!$D$4:$D$9,TALLY!A55)</f>
        <v>0</v>
      </c>
      <c r="C55" s="204">
        <f>COUNTIF(TT!$D$15:$D$28,TALLY!A55)</f>
        <v>0</v>
      </c>
      <c r="D55" s="204">
        <f>COUNTIF(TT!$D$34:$D$41,TALLY!A55)</f>
        <v>1</v>
      </c>
      <c r="E55" s="202">
        <f>COUNTIF(TT!$D$47:$D$60,TALLY!A55)</f>
        <v>0</v>
      </c>
      <c r="F55" s="202">
        <f>COUNTIF(TT!$D$66:$D$79,TALLY!A55)</f>
        <v>0</v>
      </c>
      <c r="G55" s="202">
        <f>COUNTIF(TT!$D$84:$D$93,TALLY!A55)</f>
        <v>0</v>
      </c>
      <c r="H55" s="205">
        <f>COUNTIF(TT!$D$98:$D$106,TALLY!A55)</f>
        <v>0</v>
      </c>
      <c r="I55" s="205">
        <f>COUNTIF(TT!$D$111:$D$121,TALLY!A55)</f>
        <v>1</v>
      </c>
      <c r="J55" s="205">
        <f>COUNTIF(TT!$D$126:$D$134,TALLY!A55)</f>
        <v>0</v>
      </c>
      <c r="K55" s="202">
        <f>COUNTIF(TT!$D$139:$D$151,TALLY!A55)</f>
        <v>0</v>
      </c>
      <c r="L55" s="202">
        <f>COUNTIF(TT!$D$156:$D$164,TALLY!A55)</f>
        <v>0</v>
      </c>
      <c r="M55" s="202">
        <f>COUNTIF(TT!$D$169:$D$180,TALLY!A55)</f>
        <v>1</v>
      </c>
      <c r="N55" s="205">
        <f>COUNTIF(TT!$D$185:$D$197,TALLY!A55)</f>
        <v>0</v>
      </c>
      <c r="O55" s="205">
        <f>COUNTIF(TT!$D$202:$D$208,TALLY!A55)</f>
        <v>0</v>
      </c>
      <c r="P55" s="205">
        <f>COUNTIF(TT!$D$213:$D$220,TALLY!A55)</f>
        <v>0</v>
      </c>
      <c r="Q55" s="204">
        <f>COUNTIF(TT!$D$225:$D$239,TALLY!A55)</f>
        <v>0</v>
      </c>
      <c r="R55" s="204">
        <f>COUNTIF(TT!$D$244:$D$254,TALLY!A55)</f>
        <v>0</v>
      </c>
      <c r="S55" s="204">
        <f>COUNTIF(TT!$D$259:$D$268,TALLY!A55)</f>
        <v>0</v>
      </c>
      <c r="T55" s="205">
        <f>COUNTIF(TT!$D$271:$D$282,TALLY!A55)</f>
        <v>1</v>
      </c>
      <c r="U55" s="205">
        <f>COUNTIF(TT!$D$287:$D$298,TALLY!A55)</f>
        <v>0</v>
      </c>
      <c r="V55" s="205">
        <f>COUNTIF(TT!$D$303:$D$311,TALLY!A55)</f>
        <v>0</v>
      </c>
      <c r="W55" s="202">
        <f>COUNTIF(TT!$D$316:$D$337,TALLY!A55)</f>
        <v>0</v>
      </c>
      <c r="X55" s="202">
        <f>COUNTIF(TT!$D$342:$D$350,TALLY!A55)</f>
        <v>0</v>
      </c>
      <c r="Y55" s="202">
        <f>COUNTIF(TT!$D$357:$D$365,TALLY!A55)</f>
        <v>0</v>
      </c>
      <c r="Z55" s="205">
        <f>COUNTIF(TT!$D$370:$D$377,TALLY!A55)</f>
        <v>0</v>
      </c>
      <c r="AA55" s="205">
        <f>COUNTIF(TT!$D$382:$D$393,TALLY!A55)</f>
        <v>1</v>
      </c>
      <c r="AB55" s="205">
        <f>COUNTIF(TT!$D$398:$D$408,TALLY!A55)</f>
        <v>0</v>
      </c>
      <c r="AC55" s="202">
        <f>COUNTIF(TT!$D$413:$D$425,TALLY!A55)</f>
        <v>0</v>
      </c>
      <c r="AD55" s="202">
        <f>COUNTIF(TT!$D$430:$D$447,TALLY!A55)</f>
        <v>0</v>
      </c>
      <c r="AE55" s="202">
        <f>COUNTIF(TT!$D$454:$D$466,TALLY!A55)</f>
        <v>0</v>
      </c>
      <c r="AF55" s="204">
        <f>COUNTIF(TT!$D$471:$D$480,TALLY!A55)</f>
        <v>0</v>
      </c>
      <c r="AG55" s="204">
        <f>COUNTIF(TT!$D$487:$D$496,TALLY!A55)</f>
        <v>0</v>
      </c>
      <c r="AH55" s="204">
        <f>COUNTIF(TT!$D$501:$D$517,TALLY!A55)</f>
        <v>1</v>
      </c>
      <c r="AI55" s="202">
        <f>COUNTIF(TT!$D$522:$D$533,TALLY!A55)</f>
        <v>0</v>
      </c>
      <c r="AJ55" s="202">
        <f>COUNTIF(TT!$D$538:$D$550,TALLY!A55)</f>
        <v>0</v>
      </c>
      <c r="AK55" s="202">
        <f>COUNTIF(TT!$D$555:$D$569,TALLY!A55)</f>
        <v>0</v>
      </c>
      <c r="AL55" s="205">
        <f>COUNTIF(TT!$D$574:$D$582,TALLY!A55)</f>
        <v>0</v>
      </c>
      <c r="AM55" s="205">
        <f>COUNTIF(TT!$D$587:$D$593,TALLY!A55)</f>
        <v>1</v>
      </c>
      <c r="AN55" s="205">
        <f>COUNTIF(TT!$D$598:$D$606,TALLY!A55)</f>
        <v>0</v>
      </c>
      <c r="AO55" s="202">
        <f>COUNTIF(TT!$D$611:$D$620,TALLY!A55)</f>
        <v>0</v>
      </c>
      <c r="AP55" s="202">
        <f>COUNTIF(TT!$D$627:$D$639,TALLY!A55)</f>
        <v>1</v>
      </c>
      <c r="AQ55" s="202">
        <f>COUNTIF(TT!$D$645:$D$657,TALLY!A55)</f>
        <v>0</v>
      </c>
      <c r="AR55" s="205">
        <f>COUNTIF(TT!$D$663:$D$671,TALLY!A55)</f>
        <v>0</v>
      </c>
      <c r="AS55" s="205">
        <f>COUNTIF(TT!$D$677:$D$685,TALLY!A55)</f>
        <v>0</v>
      </c>
      <c r="AT55" s="205">
        <f>COUNTIF(TT!$D$689:$D$698,TALLY!A55)</f>
        <v>0</v>
      </c>
      <c r="AU55" s="203" t="s">
        <v>18</v>
      </c>
      <c r="AV55" s="202">
        <f t="shared" si="16"/>
        <v>1</v>
      </c>
      <c r="AW55" s="202">
        <f t="shared" si="17"/>
        <v>0</v>
      </c>
      <c r="AX55" s="202">
        <f t="shared" si="18"/>
        <v>1</v>
      </c>
      <c r="AY55" s="202">
        <f t="shared" si="19"/>
        <v>1</v>
      </c>
      <c r="AZ55" s="202">
        <f t="shared" si="20"/>
        <v>0</v>
      </c>
      <c r="BA55" s="202">
        <f t="shared" si="21"/>
        <v>0</v>
      </c>
      <c r="BB55" s="202">
        <f t="shared" si="22"/>
        <v>1</v>
      </c>
      <c r="BC55" s="202">
        <f t="shared" si="23"/>
        <v>0</v>
      </c>
      <c r="BD55" s="202">
        <f t="shared" si="31"/>
        <v>1</v>
      </c>
      <c r="BE55" s="202">
        <f t="shared" si="24"/>
        <v>0</v>
      </c>
      <c r="BF55" s="202">
        <f t="shared" si="25"/>
        <v>1</v>
      </c>
      <c r="BG55" s="202">
        <f t="shared" si="26"/>
        <v>0</v>
      </c>
      <c r="BH55" s="202">
        <f t="shared" si="27"/>
        <v>1</v>
      </c>
      <c r="BI55" s="202">
        <f t="shared" si="28"/>
        <v>1</v>
      </c>
      <c r="BJ55" s="202">
        <f t="shared" si="29"/>
        <v>0</v>
      </c>
      <c r="BK55">
        <f t="shared" si="30"/>
        <v>8</v>
      </c>
    </row>
    <row r="56" spans="1:63" x14ac:dyDescent="0.3">
      <c r="A56" s="203" t="s">
        <v>119</v>
      </c>
      <c r="B56" s="204">
        <f>COUNTIF(TT!$D$4:$D$9,TALLY!A56)</f>
        <v>0</v>
      </c>
      <c r="C56" s="204">
        <f>COUNTIF(TT!$D$15:$D$28,TALLY!A56)</f>
        <v>0</v>
      </c>
      <c r="D56" s="204">
        <f>COUNTIF(TT!$D$34:$D$41,TALLY!A56)</f>
        <v>0</v>
      </c>
      <c r="E56" s="202">
        <f>COUNTIF(TT!$D$47:$D$60,TALLY!A56)</f>
        <v>0</v>
      </c>
      <c r="F56" s="202">
        <f>COUNTIF(TT!$D$66:$D$79,TALLY!A56)</f>
        <v>1</v>
      </c>
      <c r="G56" s="202">
        <f>COUNTIF(TT!$D$84:$D$93,TALLY!A56)</f>
        <v>0</v>
      </c>
      <c r="H56" s="205">
        <f>COUNTIF(TT!$D$98:$D$106,TALLY!A56)</f>
        <v>0</v>
      </c>
      <c r="I56" s="205">
        <f>COUNTIF(TT!$D$111:$D$121,TALLY!A56)</f>
        <v>0</v>
      </c>
      <c r="J56" s="205">
        <f>COUNTIF(TT!$D$126:$D$134,TALLY!A56)</f>
        <v>0</v>
      </c>
      <c r="K56" s="202">
        <f>COUNTIF(TT!$D$139:$D$151,TALLY!A56)</f>
        <v>1</v>
      </c>
      <c r="L56" s="202">
        <f>COUNTIF(TT!$D$156:$D$164,TALLY!A56)</f>
        <v>0</v>
      </c>
      <c r="M56" s="202">
        <f>COUNTIF(TT!$D$169:$D$180,TALLY!A56)</f>
        <v>0</v>
      </c>
      <c r="N56" s="205">
        <f>COUNTIF(TT!$D$185:$D$197,TALLY!A56)</f>
        <v>0</v>
      </c>
      <c r="O56" s="205">
        <f>COUNTIF(TT!$D$202:$D$208,TALLY!A56)</f>
        <v>0</v>
      </c>
      <c r="P56" s="205">
        <f>COUNTIF(TT!$D$213:$D$220,TALLY!A56)</f>
        <v>0</v>
      </c>
      <c r="Q56" s="204">
        <f>COUNTIF(TT!$D$225:$D$239,TALLY!A56)</f>
        <v>0</v>
      </c>
      <c r="R56" s="204">
        <f>COUNTIF(TT!$D$244:$D$254,TALLY!A56)</f>
        <v>0</v>
      </c>
      <c r="S56" s="204">
        <f>COUNTIF(TT!$D$259:$D$268,TALLY!A56)</f>
        <v>0</v>
      </c>
      <c r="T56" s="205">
        <f>COUNTIF(TT!$D$271:$D$282,TALLY!A56)</f>
        <v>0</v>
      </c>
      <c r="U56" s="205">
        <f>COUNTIF(TT!$D$287:$D$298,TALLY!A56)</f>
        <v>0</v>
      </c>
      <c r="V56" s="205">
        <f>COUNTIF(TT!$D$303:$D$311,TALLY!A56)</f>
        <v>0</v>
      </c>
      <c r="W56" s="202">
        <f>COUNTIF(TT!$D$316:$D$337,TALLY!A56)</f>
        <v>1</v>
      </c>
      <c r="X56" s="202">
        <f>COUNTIF(TT!$D$342:$D$350,TALLY!A56)</f>
        <v>0</v>
      </c>
      <c r="Y56" s="202">
        <f>COUNTIF(TT!$D$357:$D$365,TALLY!A56)</f>
        <v>0</v>
      </c>
      <c r="Z56" s="205">
        <f>COUNTIF(TT!$D$370:$D$377,TALLY!A56)</f>
        <v>0</v>
      </c>
      <c r="AA56" s="205">
        <f>COUNTIF(TT!$D$382:$D$393,TALLY!A56)</f>
        <v>0</v>
      </c>
      <c r="AB56" s="205">
        <f>COUNTIF(TT!$D$398:$D$408,TALLY!A56)</f>
        <v>1</v>
      </c>
      <c r="AC56" s="202">
        <f>COUNTIF(TT!$D$413:$D$425,TALLY!A56)</f>
        <v>0</v>
      </c>
      <c r="AD56" s="202">
        <f>COUNTIF(TT!$D$430:$D$447,TALLY!A56)</f>
        <v>0</v>
      </c>
      <c r="AE56" s="202">
        <f>COUNTIF(TT!$D$454:$D$466,TALLY!A56)</f>
        <v>0</v>
      </c>
      <c r="AF56" s="204">
        <f>COUNTIF(TT!$D$471:$D$480,TALLY!A56)</f>
        <v>1</v>
      </c>
      <c r="AG56" s="204">
        <f>COUNTIF(TT!$D$487:$D$496,TALLY!A56)</f>
        <v>0</v>
      </c>
      <c r="AH56" s="204">
        <f>COUNTIF(TT!$D$501:$D$517,TALLY!A56)</f>
        <v>0</v>
      </c>
      <c r="AI56" s="202">
        <f>COUNTIF(TT!$D$522:$D$533,TALLY!A56)</f>
        <v>0</v>
      </c>
      <c r="AJ56" s="202">
        <f>COUNTIF(TT!$D$538:$D$550,TALLY!A56)</f>
        <v>0</v>
      </c>
      <c r="AK56" s="202">
        <f>COUNTIF(TT!$D$555:$D$569,TALLY!A56)</f>
        <v>0</v>
      </c>
      <c r="AL56" s="205">
        <f>COUNTIF(TT!$D$574:$D$582,TALLY!A56)</f>
        <v>0</v>
      </c>
      <c r="AM56" s="205">
        <f>COUNTIF(TT!$D$587:$D$593,TALLY!A56)</f>
        <v>1</v>
      </c>
      <c r="AN56" s="205">
        <f>COUNTIF(TT!$D$598:$D$606,TALLY!A56)</f>
        <v>0</v>
      </c>
      <c r="AO56" s="202">
        <f>COUNTIF(TT!$D$611:$D$620,TALLY!A56)</f>
        <v>0</v>
      </c>
      <c r="AP56" s="202">
        <f>COUNTIF(TT!$D$627:$D$639,TALLY!A56)</f>
        <v>0</v>
      </c>
      <c r="AQ56" s="202">
        <f>COUNTIF(TT!$D$645:$D$657,TALLY!A56)</f>
        <v>0</v>
      </c>
      <c r="AR56" s="205">
        <f>COUNTIF(TT!$D$663:$D$671,TALLY!A56)</f>
        <v>0</v>
      </c>
      <c r="AS56" s="205">
        <f>COUNTIF(TT!$D$677:$D$685,TALLY!A56)</f>
        <v>0</v>
      </c>
      <c r="AT56" s="205">
        <f>COUNTIF(TT!$D$689:$D$698,TALLY!A56)</f>
        <v>0</v>
      </c>
      <c r="AU56" s="203" t="s">
        <v>119</v>
      </c>
      <c r="AV56" s="202">
        <f t="shared" si="16"/>
        <v>0</v>
      </c>
      <c r="AW56" s="202">
        <f t="shared" si="17"/>
        <v>1</v>
      </c>
      <c r="AX56" s="202">
        <f t="shared" si="18"/>
        <v>0</v>
      </c>
      <c r="AY56" s="202">
        <f t="shared" si="19"/>
        <v>1</v>
      </c>
      <c r="AZ56" s="202">
        <f t="shared" si="20"/>
        <v>0</v>
      </c>
      <c r="BA56" s="202">
        <f t="shared" si="21"/>
        <v>0</v>
      </c>
      <c r="BB56" s="202">
        <f t="shared" si="22"/>
        <v>0</v>
      </c>
      <c r="BC56" s="202">
        <f t="shared" si="23"/>
        <v>1</v>
      </c>
      <c r="BD56" s="202">
        <f t="shared" si="31"/>
        <v>1</v>
      </c>
      <c r="BE56" s="202">
        <f t="shared" si="24"/>
        <v>0</v>
      </c>
      <c r="BF56" s="202">
        <f t="shared" si="25"/>
        <v>1</v>
      </c>
      <c r="BG56" s="202">
        <f t="shared" si="26"/>
        <v>0</v>
      </c>
      <c r="BH56" s="202">
        <f t="shared" si="27"/>
        <v>1</v>
      </c>
      <c r="BI56" s="202">
        <f t="shared" si="28"/>
        <v>0</v>
      </c>
      <c r="BJ56" s="202">
        <f t="shared" si="29"/>
        <v>0</v>
      </c>
      <c r="BK56">
        <f t="shared" si="30"/>
        <v>6</v>
      </c>
    </row>
    <row r="57" spans="1:63" x14ac:dyDescent="0.3">
      <c r="A57" s="207" t="s">
        <v>50</v>
      </c>
      <c r="B57" s="204">
        <f>COUNTIF(TT!$D$4:$D$9,TALLY!A57)</f>
        <v>0</v>
      </c>
      <c r="C57" s="204">
        <f>COUNTIF(TT!$D$15:$D$28,TALLY!A57)</f>
        <v>0</v>
      </c>
      <c r="D57" s="204">
        <f>COUNTIF(TT!$D$34:$D$41,TALLY!A57)</f>
        <v>0</v>
      </c>
      <c r="E57" s="202">
        <f>COUNTIF(TT!$D$47:$D$60,TALLY!A57)</f>
        <v>1</v>
      </c>
      <c r="F57" s="202">
        <f>COUNTIF(TT!$D$66:$D$79,TALLY!A57)</f>
        <v>0</v>
      </c>
      <c r="G57" s="202">
        <f>COUNTIF(TT!$D$84:$D$93,TALLY!A57)</f>
        <v>0</v>
      </c>
      <c r="H57" s="205">
        <f>COUNTIF(TT!$D$98:$D$106,TALLY!A57)</f>
        <v>0</v>
      </c>
      <c r="I57" s="205">
        <f>COUNTIF(TT!$D$111:$D$121,TALLY!A57)</f>
        <v>0</v>
      </c>
      <c r="J57" s="205">
        <f>COUNTIF(TT!$D$126:$D$134,TALLY!A57)</f>
        <v>0</v>
      </c>
      <c r="K57" s="202">
        <f>COUNTIF(TT!$D$139:$D$151,TALLY!A57)</f>
        <v>0</v>
      </c>
      <c r="L57" s="202">
        <f>COUNTIF(TT!$D$156:$D$164,TALLY!A57)</f>
        <v>0</v>
      </c>
      <c r="M57" s="202">
        <f>COUNTIF(TT!$D$169:$D$180,TALLY!A57)</f>
        <v>1</v>
      </c>
      <c r="N57" s="205">
        <f>COUNTIF(TT!$D$185:$D$197,TALLY!A57)</f>
        <v>0</v>
      </c>
      <c r="O57" s="205">
        <f>COUNTIF(TT!$D$202:$D$208,TALLY!A57)</f>
        <v>0</v>
      </c>
      <c r="P57" s="205">
        <f>COUNTIF(TT!$D$213:$D$220,TALLY!A57)</f>
        <v>0</v>
      </c>
      <c r="Q57" s="204">
        <f>COUNTIF(TT!$D$225:$D$239,TALLY!A57)</f>
        <v>0</v>
      </c>
      <c r="R57" s="204">
        <f>COUNTIF(TT!$D$244:$D$254,TALLY!A57)</f>
        <v>0</v>
      </c>
      <c r="S57" s="204">
        <f>COUNTIF(TT!$D$259:$D$268,TALLY!A57)</f>
        <v>0</v>
      </c>
      <c r="T57" s="205">
        <f>COUNTIF(TT!$D$271:$D$282,TALLY!A57)</f>
        <v>0</v>
      </c>
      <c r="U57" s="205">
        <f>COUNTIF(TT!$D$287:$D$298,TALLY!A57)</f>
        <v>0</v>
      </c>
      <c r="V57" s="205">
        <f>COUNTIF(TT!$D$303:$D$311,TALLY!A57)</f>
        <v>0</v>
      </c>
      <c r="W57" s="202">
        <f>COUNTIF(TT!$D$316:$D$337,TALLY!A57)</f>
        <v>0</v>
      </c>
      <c r="X57" s="202">
        <f>COUNTIF(TT!$D$342:$D$350,TALLY!A57)</f>
        <v>0</v>
      </c>
      <c r="Y57" s="202">
        <f>COUNTIF(TT!$D$357:$D$365,TALLY!A57)</f>
        <v>1</v>
      </c>
      <c r="Z57" s="205">
        <f>COUNTIF(TT!$D$370:$D$377,TALLY!A57)</f>
        <v>0</v>
      </c>
      <c r="AA57" s="205">
        <f>COUNTIF(TT!$D$382:$D$393,TALLY!A57)</f>
        <v>0</v>
      </c>
      <c r="AB57" s="205">
        <f>COUNTIF(TT!$D$398:$D$408,TALLY!A57)</f>
        <v>0</v>
      </c>
      <c r="AC57" s="202">
        <f>COUNTIF(TT!$D$413:$D$425,TALLY!A57)</f>
        <v>0</v>
      </c>
      <c r="AD57" s="202">
        <f>COUNTIF(TT!$D$430:$D$447,TALLY!A57)</f>
        <v>1</v>
      </c>
      <c r="AE57" s="202">
        <f>COUNTIF(TT!$D$454:$D$466,TALLY!A57)</f>
        <v>0</v>
      </c>
      <c r="AF57" s="204">
        <f>COUNTIF(TT!$D$471:$D$480,TALLY!A57)</f>
        <v>0</v>
      </c>
      <c r="AG57" s="204">
        <f>COUNTIF(TT!$D$487:$D$496,TALLY!A57)</f>
        <v>0</v>
      </c>
      <c r="AH57" s="204">
        <f>COUNTIF(TT!$D$501:$D$517,TALLY!A57)</f>
        <v>0</v>
      </c>
      <c r="AI57" s="202">
        <f>COUNTIF(TT!$D$522:$D$533,TALLY!A57)</f>
        <v>0</v>
      </c>
      <c r="AJ57" s="202">
        <f>COUNTIF(TT!$D$538:$D$550,TALLY!A57)</f>
        <v>1</v>
      </c>
      <c r="AK57" s="202">
        <f>COUNTIF(TT!$D$555:$D$569,TALLY!A57)</f>
        <v>0</v>
      </c>
      <c r="AL57" s="205">
        <f>COUNTIF(TT!$D$574:$D$582,TALLY!A57)</f>
        <v>0</v>
      </c>
      <c r="AM57" s="205">
        <f>COUNTIF(TT!$D$587:$D$593,TALLY!A57)</f>
        <v>0</v>
      </c>
      <c r="AN57" s="205">
        <f>COUNTIF(TT!$D$598:$D$606,TALLY!A57)</f>
        <v>1</v>
      </c>
      <c r="AO57" s="202">
        <f>COUNTIF(TT!$D$611:$D$620,TALLY!A57)</f>
        <v>0</v>
      </c>
      <c r="AP57" s="202">
        <f>COUNTIF(TT!$D$627:$D$639,TALLY!A57)</f>
        <v>0</v>
      </c>
      <c r="AQ57" s="202">
        <f>COUNTIF(TT!$D$645:$D$657,TALLY!A57)</f>
        <v>0</v>
      </c>
      <c r="AR57" s="205">
        <f>COUNTIF(TT!$D$663:$D$671,TALLY!A57)</f>
        <v>0</v>
      </c>
      <c r="AS57" s="205">
        <f>COUNTIF(TT!$D$677:$D$685,TALLY!A57)</f>
        <v>0</v>
      </c>
      <c r="AT57" s="205">
        <f>COUNTIF(TT!$D$689:$D$698,TALLY!A57)</f>
        <v>0</v>
      </c>
      <c r="AU57" s="207" t="s">
        <v>50</v>
      </c>
      <c r="AV57" s="202">
        <f t="shared" si="16"/>
        <v>0</v>
      </c>
      <c r="AW57" s="202">
        <f t="shared" si="17"/>
        <v>1</v>
      </c>
      <c r="AX57" s="202">
        <f t="shared" si="18"/>
        <v>0</v>
      </c>
      <c r="AY57" s="202">
        <f t="shared" si="19"/>
        <v>1</v>
      </c>
      <c r="AZ57" s="202">
        <f t="shared" si="20"/>
        <v>0</v>
      </c>
      <c r="BA57" s="202">
        <f t="shared" si="21"/>
        <v>0</v>
      </c>
      <c r="BB57" s="202">
        <f t="shared" si="22"/>
        <v>0</v>
      </c>
      <c r="BC57" s="202">
        <f t="shared" si="23"/>
        <v>1</v>
      </c>
      <c r="BD57" s="202">
        <f t="shared" si="31"/>
        <v>0</v>
      </c>
      <c r="BE57" s="202">
        <f t="shared" si="24"/>
        <v>1</v>
      </c>
      <c r="BF57" s="202">
        <f t="shared" si="25"/>
        <v>0</v>
      </c>
      <c r="BG57" s="202">
        <f t="shared" si="26"/>
        <v>1</v>
      </c>
      <c r="BH57" s="202">
        <f t="shared" si="27"/>
        <v>1</v>
      </c>
      <c r="BI57" s="202">
        <f t="shared" si="28"/>
        <v>0</v>
      </c>
      <c r="BJ57" s="202">
        <f t="shared" si="29"/>
        <v>0</v>
      </c>
      <c r="BK57">
        <f t="shared" si="30"/>
        <v>6</v>
      </c>
    </row>
    <row r="58" spans="1:63" x14ac:dyDescent="0.3">
      <c r="A58" s="208" t="s">
        <v>99</v>
      </c>
      <c r="B58" s="204">
        <f>COUNTIF(TT!$D$4:$D$9,TALLY!A58)</f>
        <v>0</v>
      </c>
      <c r="C58" s="204">
        <f>COUNTIF(TT!$D$15:$D$28,TALLY!A58)</f>
        <v>0</v>
      </c>
      <c r="D58" s="204">
        <f>COUNTIF(TT!$D$34:$D$41,TALLY!A58)</f>
        <v>0</v>
      </c>
      <c r="E58" s="202">
        <f>COUNTIF(TT!$D$47:$D$60,TALLY!A58)</f>
        <v>0</v>
      </c>
      <c r="F58" s="202">
        <f>COUNTIF(TT!$D$66:$D$79,TALLY!A58)</f>
        <v>1</v>
      </c>
      <c r="G58" s="202">
        <f>COUNTIF(TT!$D$84:$D$93,TALLY!A58)</f>
        <v>0</v>
      </c>
      <c r="H58" s="205">
        <f>COUNTIF(TT!$D$98:$D$106,TALLY!A58)</f>
        <v>0</v>
      </c>
      <c r="I58" s="205">
        <f>COUNTIF(TT!$D$111:$D$121,TALLY!A58)</f>
        <v>0</v>
      </c>
      <c r="J58" s="205">
        <f>COUNTIF(TT!$D$126:$D$134,TALLY!A58)</f>
        <v>0</v>
      </c>
      <c r="K58" s="202">
        <f>COUNTIF(TT!$D$139:$D$151,TALLY!A58)</f>
        <v>1</v>
      </c>
      <c r="L58" s="202">
        <f>COUNTIF(TT!$D$156:$D$164,TALLY!A58)</f>
        <v>0</v>
      </c>
      <c r="M58" s="202">
        <f>COUNTIF(TT!$D$169:$D$180,TALLY!A58)</f>
        <v>0</v>
      </c>
      <c r="N58" s="205">
        <f>COUNTIF(TT!$D$185:$D$197,TALLY!A58)</f>
        <v>0</v>
      </c>
      <c r="O58" s="205">
        <f>COUNTIF(TT!$D$202:$D$208,TALLY!A58)</f>
        <v>0</v>
      </c>
      <c r="P58" s="205">
        <f>COUNTIF(TT!$D$213:$D$220,TALLY!A58)</f>
        <v>0</v>
      </c>
      <c r="Q58" s="204">
        <f>COUNTIF(TT!$D$225:$D$239,TALLY!A58)</f>
        <v>0</v>
      </c>
      <c r="R58" s="204">
        <f>COUNTIF(TT!$D$244:$D$254,TALLY!A58)</f>
        <v>1</v>
      </c>
      <c r="S58" s="204">
        <f>COUNTIF(TT!$D$259:$D$268,TALLY!A58)</f>
        <v>0</v>
      </c>
      <c r="T58" s="205">
        <f>COUNTIF(TT!$D$271:$D$282,TALLY!A58)</f>
        <v>0</v>
      </c>
      <c r="U58" s="205">
        <f>COUNTIF(TT!$D$287:$D$298,TALLY!A58)</f>
        <v>0</v>
      </c>
      <c r="V58" s="205">
        <f>COUNTIF(TT!$D$303:$D$311,TALLY!A58)</f>
        <v>0</v>
      </c>
      <c r="W58" s="202">
        <f>COUNTIF(TT!$D$316:$D$337,TALLY!A58)</f>
        <v>0</v>
      </c>
      <c r="X58" s="202">
        <f>COUNTIF(TT!$D$342:$D$350,TALLY!A58)</f>
        <v>0</v>
      </c>
      <c r="Y58" s="202">
        <f>COUNTIF(TT!$D$357:$D$365,TALLY!A58)</f>
        <v>1</v>
      </c>
      <c r="Z58" s="205">
        <f>COUNTIF(TT!$D$370:$D$377,TALLY!A58)</f>
        <v>0</v>
      </c>
      <c r="AA58" s="205">
        <f>COUNTIF(TT!$D$382:$D$393,TALLY!A58)</f>
        <v>0</v>
      </c>
      <c r="AB58" s="205">
        <f>COUNTIF(TT!$D$398:$D$408,TALLY!A58)</f>
        <v>0</v>
      </c>
      <c r="AC58" s="202">
        <f>COUNTIF(TT!$D$413:$D$425,TALLY!A58)</f>
        <v>0</v>
      </c>
      <c r="AD58" s="202">
        <f>COUNTIF(TT!$D$430:$D$447,TALLY!A58)</f>
        <v>1</v>
      </c>
      <c r="AE58" s="202">
        <f>COUNTIF(TT!$D$454:$D$466,TALLY!A58)</f>
        <v>0</v>
      </c>
      <c r="AF58" s="204">
        <f>COUNTIF(TT!$D$471:$D$480,TALLY!A58)</f>
        <v>0</v>
      </c>
      <c r="AG58" s="204">
        <f>COUNTIF(TT!$D$487:$D$496,TALLY!A58)</f>
        <v>0</v>
      </c>
      <c r="AH58" s="204">
        <f>COUNTIF(TT!$D$501:$D$517,TALLY!A58)</f>
        <v>1</v>
      </c>
      <c r="AI58" s="202">
        <f>COUNTIF(TT!$D$522:$D$533,TALLY!A58)</f>
        <v>0</v>
      </c>
      <c r="AJ58" s="202">
        <f>COUNTIF(TT!$D$538:$D$550,TALLY!A58)</f>
        <v>1</v>
      </c>
      <c r="AK58" s="202">
        <f>COUNTIF(TT!$D$555:$D$569,TALLY!A58)</f>
        <v>0</v>
      </c>
      <c r="AL58" s="205">
        <f>COUNTIF(TT!$D$574:$D$582,TALLY!A58)</f>
        <v>1</v>
      </c>
      <c r="AM58" s="205">
        <f>COUNTIF(TT!$D$587:$D$593,TALLY!A58)</f>
        <v>0</v>
      </c>
      <c r="AN58" s="205">
        <f>COUNTIF(TT!$D$598:$D$606,TALLY!A58)</f>
        <v>0</v>
      </c>
      <c r="AO58" s="202">
        <f>COUNTIF(TT!$D$611:$D$620,TALLY!A58)</f>
        <v>0</v>
      </c>
      <c r="AP58" s="202">
        <f>COUNTIF(TT!$D$627:$D$639,TALLY!A58)</f>
        <v>0</v>
      </c>
      <c r="AQ58" s="202">
        <f>COUNTIF(TT!$D$645:$D$657,TALLY!A58)</f>
        <v>0</v>
      </c>
      <c r="AR58" s="205">
        <f>COUNTIF(TT!$D$663:$D$671,TALLY!A58)</f>
        <v>0</v>
      </c>
      <c r="AS58" s="205">
        <f>COUNTIF(TT!$D$677:$D$685,TALLY!A58)</f>
        <v>0</v>
      </c>
      <c r="AT58" s="205">
        <f>COUNTIF(TT!$D$689:$D$698,TALLY!A58)</f>
        <v>0</v>
      </c>
      <c r="AU58" s="207" t="s">
        <v>99</v>
      </c>
      <c r="AV58" s="202">
        <f t="shared" si="16"/>
        <v>0</v>
      </c>
      <c r="AW58" s="202">
        <f t="shared" si="17"/>
        <v>1</v>
      </c>
      <c r="AX58" s="202">
        <f t="shared" si="18"/>
        <v>0</v>
      </c>
      <c r="AY58" s="202">
        <f t="shared" si="19"/>
        <v>1</v>
      </c>
      <c r="AZ58" s="202">
        <f t="shared" si="20"/>
        <v>0</v>
      </c>
      <c r="BA58" s="202">
        <f t="shared" si="21"/>
        <v>1</v>
      </c>
      <c r="BB58" s="202">
        <f t="shared" si="22"/>
        <v>0</v>
      </c>
      <c r="BC58" s="202">
        <f t="shared" si="23"/>
        <v>1</v>
      </c>
      <c r="BD58" s="202">
        <f t="shared" si="31"/>
        <v>0</v>
      </c>
      <c r="BE58" s="202">
        <f t="shared" si="24"/>
        <v>1</v>
      </c>
      <c r="BF58" s="202">
        <f t="shared" si="25"/>
        <v>1</v>
      </c>
      <c r="BG58" s="202">
        <f t="shared" si="26"/>
        <v>1</v>
      </c>
      <c r="BH58" s="202">
        <f t="shared" si="27"/>
        <v>1</v>
      </c>
      <c r="BI58" s="202">
        <f t="shared" si="28"/>
        <v>0</v>
      </c>
      <c r="BJ58" s="202">
        <f t="shared" si="29"/>
        <v>0</v>
      </c>
      <c r="BK58">
        <f t="shared" si="30"/>
        <v>8</v>
      </c>
    </row>
    <row r="59" spans="1:63" x14ac:dyDescent="0.3">
      <c r="A59" s="207" t="s">
        <v>97</v>
      </c>
      <c r="B59" s="204">
        <f>COUNTIF(TT!$D$4:$D$9,TALLY!A59)</f>
        <v>0</v>
      </c>
      <c r="C59" s="204">
        <f>COUNTIF(TT!$D$15:$D$28,TALLY!A59)</f>
        <v>0</v>
      </c>
      <c r="D59" s="204">
        <f>COUNTIF(TT!$D$34:$D$41,TALLY!A59)</f>
        <v>0</v>
      </c>
      <c r="E59" s="202">
        <f>COUNTIF(TT!$D$47:$D$60,TALLY!A59)</f>
        <v>0</v>
      </c>
      <c r="F59" s="202">
        <f>COUNTIF(TT!$D$66:$D$79,TALLY!A59)</f>
        <v>0</v>
      </c>
      <c r="G59" s="202">
        <f>COUNTIF(TT!$D$84:$D$93,TALLY!A59)</f>
        <v>0</v>
      </c>
      <c r="H59" s="205">
        <f>COUNTIF(TT!$D$98:$D$106,TALLY!A59)</f>
        <v>0</v>
      </c>
      <c r="I59" s="205">
        <f>COUNTIF(TT!$D$111:$D$121,TALLY!A59)</f>
        <v>0</v>
      </c>
      <c r="J59" s="205">
        <f>COUNTIF(TT!$D$126:$D$134,TALLY!A59)</f>
        <v>0</v>
      </c>
      <c r="K59" s="202">
        <f>COUNTIF(TT!$D$139:$D$151,TALLY!A59)</f>
        <v>1</v>
      </c>
      <c r="L59" s="202">
        <f>COUNTIF(TT!$D$156:$D$164,TALLY!A59)</f>
        <v>0</v>
      </c>
      <c r="M59" s="202">
        <f>COUNTIF(TT!$D$169:$D$180,TALLY!A59)</f>
        <v>0</v>
      </c>
      <c r="N59" s="205">
        <f>COUNTIF(TT!$D$185:$D$197,TALLY!A59)</f>
        <v>0</v>
      </c>
      <c r="O59" s="205">
        <f>COUNTIF(TT!$D$202:$D$208,TALLY!A59)</f>
        <v>0</v>
      </c>
      <c r="P59" s="205">
        <f>COUNTIF(TT!$D$213:$D$220,TALLY!A59)</f>
        <v>0</v>
      </c>
      <c r="Q59" s="204">
        <f>COUNTIF(TT!$D$225:$D$239,TALLY!A59)</f>
        <v>0</v>
      </c>
      <c r="R59" s="204">
        <f>COUNTIF(TT!$D$244:$D$254,TALLY!A59)</f>
        <v>0</v>
      </c>
      <c r="S59" s="204">
        <f>COUNTIF(TT!$D$259:$D$268,TALLY!A59)</f>
        <v>0</v>
      </c>
      <c r="T59" s="205">
        <f>COUNTIF(TT!$D$271:$D$282,TALLY!A59)</f>
        <v>1</v>
      </c>
      <c r="U59" s="205">
        <f>COUNTIF(TT!$D$287:$D$298,TALLY!A59)</f>
        <v>0</v>
      </c>
      <c r="V59" s="205">
        <f>COUNTIF(TT!$D$303:$D$311,TALLY!A59)</f>
        <v>0</v>
      </c>
      <c r="W59" s="202">
        <f>COUNTIF(TT!$D$316:$D$337,TALLY!A59)</f>
        <v>0</v>
      </c>
      <c r="X59" s="202">
        <f>COUNTIF(TT!$D$342:$D$350,TALLY!A59)</f>
        <v>0</v>
      </c>
      <c r="Y59" s="202">
        <f>COUNTIF(TT!$D$357:$D$365,TALLY!A59)</f>
        <v>0</v>
      </c>
      <c r="Z59" s="205">
        <f>COUNTIF(TT!$D$370:$D$377,TALLY!A59)</f>
        <v>0</v>
      </c>
      <c r="AA59" s="205">
        <f>COUNTIF(TT!$D$382:$D$393,TALLY!A59)</f>
        <v>0</v>
      </c>
      <c r="AB59" s="205">
        <f>COUNTIF(TT!$D$398:$D$408,TALLY!A59)</f>
        <v>0</v>
      </c>
      <c r="AC59" s="202">
        <f>COUNTIF(TT!$D$413:$D$425,TALLY!A59)</f>
        <v>0</v>
      </c>
      <c r="AD59" s="202">
        <f>COUNTIF(TT!$D$430:$D$447,TALLY!A59)</f>
        <v>1</v>
      </c>
      <c r="AE59" s="202">
        <f>COUNTIF(TT!$D$454:$D$466,TALLY!A59)</f>
        <v>0</v>
      </c>
      <c r="AF59" s="204">
        <f>COUNTIF(TT!$D$471:$D$480,TALLY!A59)</f>
        <v>0</v>
      </c>
      <c r="AG59" s="204">
        <f>COUNTIF(TT!$D$487:$D$496,TALLY!A59)</f>
        <v>0</v>
      </c>
      <c r="AH59" s="204">
        <f>COUNTIF(TT!$D$501:$D$517,TALLY!A59)</f>
        <v>0</v>
      </c>
      <c r="AI59" s="202">
        <f>COUNTIF(TT!$D$522:$D$533,TALLY!A59)</f>
        <v>0</v>
      </c>
      <c r="AJ59" s="202">
        <f>COUNTIF(TT!$D$538:$D$550,TALLY!A59)</f>
        <v>0</v>
      </c>
      <c r="AK59" s="202">
        <f>COUNTIF(TT!$D$555:$D$569,TALLY!A59)</f>
        <v>1</v>
      </c>
      <c r="AL59" s="205">
        <f>COUNTIF(TT!$D$574:$D$582,TALLY!A59)</f>
        <v>0</v>
      </c>
      <c r="AM59" s="205">
        <f>COUNTIF(TT!$D$587:$D$593,TALLY!A59)</f>
        <v>0</v>
      </c>
      <c r="AN59" s="205">
        <f>COUNTIF(TT!$D$598:$D$606,TALLY!A59)</f>
        <v>0</v>
      </c>
      <c r="AO59" s="202">
        <f>COUNTIF(TT!$D$611:$D$620,TALLY!A59)</f>
        <v>0</v>
      </c>
      <c r="AP59" s="202">
        <f>COUNTIF(TT!$D$627:$D$639,TALLY!A59)</f>
        <v>0</v>
      </c>
      <c r="AQ59" s="202">
        <f>COUNTIF(TT!$D$645:$D$657,TALLY!A59)</f>
        <v>0</v>
      </c>
      <c r="AR59" s="205">
        <f>COUNTIF(TT!$D$663:$D$671,TALLY!A59)</f>
        <v>0</v>
      </c>
      <c r="AS59" s="205">
        <f>COUNTIF(TT!$D$677:$D$685,TALLY!A59)</f>
        <v>0</v>
      </c>
      <c r="AT59" s="205">
        <f>COUNTIF(TT!$D$689:$D$698,TALLY!A59)</f>
        <v>0</v>
      </c>
      <c r="AU59" s="207" t="s">
        <v>97</v>
      </c>
      <c r="AV59" s="202">
        <f t="shared" si="16"/>
        <v>0</v>
      </c>
      <c r="AW59" s="202">
        <f t="shared" si="17"/>
        <v>0</v>
      </c>
      <c r="AX59" s="202">
        <f t="shared" si="18"/>
        <v>0</v>
      </c>
      <c r="AY59" s="202">
        <f t="shared" si="19"/>
        <v>1</v>
      </c>
      <c r="AZ59" s="202">
        <f t="shared" si="20"/>
        <v>0</v>
      </c>
      <c r="BA59" s="202">
        <f t="shared" si="21"/>
        <v>0</v>
      </c>
      <c r="BB59" s="202">
        <f t="shared" si="22"/>
        <v>1</v>
      </c>
      <c r="BC59" s="202">
        <f t="shared" si="23"/>
        <v>0</v>
      </c>
      <c r="BD59" s="202">
        <f t="shared" si="31"/>
        <v>0</v>
      </c>
      <c r="BE59" s="202">
        <f t="shared" si="24"/>
        <v>1</v>
      </c>
      <c r="BF59" s="202">
        <f t="shared" si="25"/>
        <v>0</v>
      </c>
      <c r="BG59" s="202">
        <f t="shared" si="26"/>
        <v>1</v>
      </c>
      <c r="BH59" s="202">
        <f t="shared" si="27"/>
        <v>0</v>
      </c>
      <c r="BI59" s="202">
        <f t="shared" si="28"/>
        <v>0</v>
      </c>
      <c r="BJ59" s="202">
        <f t="shared" si="29"/>
        <v>0</v>
      </c>
      <c r="BK59">
        <f t="shared" si="30"/>
        <v>4</v>
      </c>
    </row>
    <row r="60" spans="1:63" x14ac:dyDescent="0.3">
      <c r="A60" s="207" t="s">
        <v>252</v>
      </c>
      <c r="B60" s="204">
        <f>COUNTIF(TT!$D$4:$D$9,TALLY!A60)</f>
        <v>0</v>
      </c>
      <c r="C60" s="204">
        <f>COUNTIF(TT!$D$15:$D$28,TALLY!A60)</f>
        <v>0</v>
      </c>
      <c r="D60" s="204">
        <f>COUNTIF(TT!$D$34:$D$41,TALLY!A60)</f>
        <v>0</v>
      </c>
      <c r="E60" s="202">
        <f>COUNTIF(TT!$D$47:$D$60,TALLY!A60)</f>
        <v>0</v>
      </c>
      <c r="F60" s="202">
        <f>COUNTIF(TT!$D$66:$D$79,TALLY!A60)</f>
        <v>0</v>
      </c>
      <c r="G60" s="202">
        <f>COUNTIF(TT!$D$84:$D$93,TALLY!A60)</f>
        <v>0</v>
      </c>
      <c r="H60" s="205">
        <f>COUNTIF(TT!$D$98:$D$106,TALLY!A60)</f>
        <v>0</v>
      </c>
      <c r="I60" s="205">
        <f>COUNTIF(TT!$D$111:$D$121,TALLY!A60)</f>
        <v>0</v>
      </c>
      <c r="J60" s="205">
        <f>COUNTIF(TT!$D$126:$D$134,TALLY!A60)</f>
        <v>0</v>
      </c>
      <c r="K60" s="202">
        <f>COUNTIF(TT!$D$139:$D$151,TALLY!A60)</f>
        <v>0</v>
      </c>
      <c r="L60" s="202">
        <f>COUNTIF(TT!$D$156:$D$164,TALLY!A60)</f>
        <v>0</v>
      </c>
      <c r="M60" s="202">
        <f>COUNTIF(TT!$D$169:$D$180,TALLY!A60)</f>
        <v>0</v>
      </c>
      <c r="N60" s="205">
        <f>COUNTIF(TT!$D$185:$D$197,TALLY!A60)</f>
        <v>0</v>
      </c>
      <c r="O60" s="205">
        <f>COUNTIF(TT!$D$202:$D$208,TALLY!A60)</f>
        <v>0</v>
      </c>
      <c r="P60" s="205">
        <f>COUNTIF(TT!$D$213:$D$220,TALLY!A60)</f>
        <v>0</v>
      </c>
      <c r="Q60" s="204">
        <f>COUNTIF(TT!$D$225:$D$239,TALLY!A60)</f>
        <v>0</v>
      </c>
      <c r="R60" s="204">
        <f>COUNTIF(TT!$D$244:$D$254,TALLY!A60)</f>
        <v>1</v>
      </c>
      <c r="S60" s="204">
        <f>COUNTIF(TT!$D$259:$D$268,TALLY!A60)</f>
        <v>0</v>
      </c>
      <c r="T60" s="205">
        <f>COUNTIF(TT!$D$271:$D$282,TALLY!A60)</f>
        <v>0</v>
      </c>
      <c r="U60" s="205">
        <f>COUNTIF(TT!$D$287:$D$298,TALLY!A60)</f>
        <v>0</v>
      </c>
      <c r="V60" s="205">
        <f>COUNTIF(TT!$D$303:$D$311,TALLY!A60)</f>
        <v>0</v>
      </c>
      <c r="W60" s="202">
        <f>COUNTIF(TT!$D$316:$D$337,TALLY!A60)</f>
        <v>0</v>
      </c>
      <c r="X60" s="202">
        <f>COUNTIF(TT!$D$342:$D$350,TALLY!A60)</f>
        <v>0</v>
      </c>
      <c r="Y60" s="202">
        <f>COUNTIF(TT!$D$357:$D$365,TALLY!A60)</f>
        <v>1</v>
      </c>
      <c r="Z60" s="205">
        <f>COUNTIF(TT!$D$370:$D$377,TALLY!A60)</f>
        <v>0</v>
      </c>
      <c r="AA60" s="205">
        <f>COUNTIF(TT!$D$382:$D$393,TALLY!A60)</f>
        <v>0</v>
      </c>
      <c r="AB60" s="205">
        <f>COUNTIF(TT!$D$398:$D$408,TALLY!A60)</f>
        <v>0</v>
      </c>
      <c r="AC60" s="202">
        <f>COUNTIF(TT!$D$413:$D$425,TALLY!A60)</f>
        <v>0</v>
      </c>
      <c r="AD60" s="202">
        <f>COUNTIF(TT!$D$430:$D$447,TALLY!A60)</f>
        <v>1</v>
      </c>
      <c r="AE60" s="202">
        <f>COUNTIF(TT!$D$454:$D$466,TALLY!A60)</f>
        <v>0</v>
      </c>
      <c r="AF60" s="204">
        <f>COUNTIF(TT!$D$471:$D$480,TALLY!A60)</f>
        <v>0</v>
      </c>
      <c r="AG60" s="204">
        <f>COUNTIF(TT!$D$487:$D$496,TALLY!A60)</f>
        <v>0</v>
      </c>
      <c r="AH60" s="204">
        <f>COUNTIF(TT!$D$501:$D$517,TALLY!A60)</f>
        <v>1</v>
      </c>
      <c r="AI60" s="202">
        <f>COUNTIF(TT!$D$522:$D$533,TALLY!A60)</f>
        <v>0</v>
      </c>
      <c r="AJ60" s="202">
        <f>COUNTIF(TT!$D$538:$D$550,TALLY!A60)</f>
        <v>0</v>
      </c>
      <c r="AK60" s="202">
        <f>COUNTIF(TT!$D$555:$D$569,TALLY!A60)</f>
        <v>0</v>
      </c>
      <c r="AL60" s="205">
        <f>COUNTIF(TT!$D$574:$D$582,TALLY!A60)</f>
        <v>0</v>
      </c>
      <c r="AM60" s="205">
        <f>COUNTIF(TT!$D$587:$D$593,TALLY!A60)</f>
        <v>0</v>
      </c>
      <c r="AN60" s="205">
        <f>COUNTIF(TT!$D$598:$D$606,TALLY!A60)</f>
        <v>0</v>
      </c>
      <c r="AO60" s="202">
        <f>COUNTIF(TT!$D$611:$D$620,TALLY!A60)</f>
        <v>0</v>
      </c>
      <c r="AP60" s="202">
        <f>COUNTIF(TT!$D$627:$D$639,TALLY!A60)</f>
        <v>0</v>
      </c>
      <c r="AQ60" s="202">
        <f>COUNTIF(TT!$D$645:$D$657,TALLY!A60)</f>
        <v>0</v>
      </c>
      <c r="AR60" s="205">
        <f>COUNTIF(TT!$D$663:$D$671,TALLY!A60)</f>
        <v>0</v>
      </c>
      <c r="AS60" s="205">
        <f>COUNTIF(TT!$D$677:$D$685,TALLY!A60)</f>
        <v>0</v>
      </c>
      <c r="AT60" s="205">
        <f>COUNTIF(TT!$D$689:$D$698,TALLY!A60)</f>
        <v>0</v>
      </c>
      <c r="AU60" s="207" t="s">
        <v>252</v>
      </c>
      <c r="AV60" s="202">
        <f t="shared" si="16"/>
        <v>0</v>
      </c>
      <c r="AW60" s="202">
        <f t="shared" si="17"/>
        <v>0</v>
      </c>
      <c r="AX60" s="202">
        <f t="shared" si="18"/>
        <v>0</v>
      </c>
      <c r="AY60" s="202">
        <f t="shared" si="19"/>
        <v>0</v>
      </c>
      <c r="AZ60" s="202">
        <f t="shared" si="20"/>
        <v>0</v>
      </c>
      <c r="BA60" s="202">
        <f t="shared" si="21"/>
        <v>1</v>
      </c>
      <c r="BB60" s="202">
        <f t="shared" si="22"/>
        <v>0</v>
      </c>
      <c r="BC60" s="202">
        <f t="shared" si="23"/>
        <v>1</v>
      </c>
      <c r="BD60" s="202">
        <f t="shared" si="31"/>
        <v>0</v>
      </c>
      <c r="BE60" s="202">
        <f t="shared" si="24"/>
        <v>1</v>
      </c>
      <c r="BF60" s="202">
        <f t="shared" si="25"/>
        <v>1</v>
      </c>
      <c r="BG60" s="202">
        <f t="shared" si="26"/>
        <v>0</v>
      </c>
      <c r="BH60" s="202">
        <f t="shared" si="27"/>
        <v>0</v>
      </c>
      <c r="BI60" s="202">
        <f t="shared" si="28"/>
        <v>0</v>
      </c>
      <c r="BJ60" s="202">
        <f t="shared" si="29"/>
        <v>0</v>
      </c>
      <c r="BK60">
        <f t="shared" si="30"/>
        <v>4</v>
      </c>
    </row>
    <row r="61" spans="1:63" x14ac:dyDescent="0.3">
      <c r="A61" s="207" t="s">
        <v>103</v>
      </c>
      <c r="B61" s="204">
        <f>COUNTIF(TT!$D$4:$D$9,TALLY!A61)</f>
        <v>0</v>
      </c>
      <c r="C61" s="204">
        <f>COUNTIF(TT!$D$15:$D$28,TALLY!A61)</f>
        <v>0</v>
      </c>
      <c r="D61" s="204">
        <f>COUNTIF(TT!$D$34:$D$41,TALLY!A61)</f>
        <v>0</v>
      </c>
      <c r="E61" s="202">
        <f>COUNTIF(TT!$D$47:$D$60,TALLY!A61)</f>
        <v>1</v>
      </c>
      <c r="F61" s="202">
        <f>COUNTIF(TT!$D$66:$D$79,TALLY!A61)</f>
        <v>0</v>
      </c>
      <c r="G61" s="202">
        <f>COUNTIF(TT!$D$84:$D$93,TALLY!A61)</f>
        <v>0</v>
      </c>
      <c r="H61" s="205">
        <f>COUNTIF(TT!$D$98:$D$106,TALLY!A61)</f>
        <v>1</v>
      </c>
      <c r="I61" s="205">
        <f>COUNTIF(TT!$D$111:$D$121,TALLY!A61)</f>
        <v>0</v>
      </c>
      <c r="J61" s="205">
        <f>COUNTIF(TT!$D$126:$D$134,TALLY!A61)</f>
        <v>0</v>
      </c>
      <c r="K61" s="202">
        <f>COUNTIF(TT!$D$139:$D$151,TALLY!A61)</f>
        <v>0</v>
      </c>
      <c r="L61" s="202">
        <f>COUNTIF(TT!$D$156:$D$164,TALLY!A61)</f>
        <v>0</v>
      </c>
      <c r="M61" s="202">
        <f>COUNTIF(TT!$D$169:$D$180,TALLY!A61)</f>
        <v>1</v>
      </c>
      <c r="N61" s="205">
        <f>COUNTIF(TT!$D$185:$D$197,TALLY!A61)</f>
        <v>0</v>
      </c>
      <c r="O61" s="205">
        <f>COUNTIF(TT!$D$202:$D$208,TALLY!A61)</f>
        <v>0</v>
      </c>
      <c r="P61" s="205">
        <f>COUNTIF(TT!$D$213:$D$220,TALLY!A61)</f>
        <v>0</v>
      </c>
      <c r="Q61" s="204">
        <f>COUNTIF(TT!$D$225:$D$239,TALLY!A61)</f>
        <v>1</v>
      </c>
      <c r="R61" s="204">
        <f>COUNTIF(TT!$D$244:$D$254,TALLY!A61)</f>
        <v>0</v>
      </c>
      <c r="S61" s="204">
        <f>COUNTIF(TT!$D$259:$D$268,TALLY!A61)</f>
        <v>0</v>
      </c>
      <c r="T61" s="205">
        <f>COUNTIF(TT!$D$271:$D$282,TALLY!A61)</f>
        <v>0</v>
      </c>
      <c r="U61" s="205">
        <f>COUNTIF(TT!$D$287:$D$298,TALLY!A61)</f>
        <v>0</v>
      </c>
      <c r="V61" s="205">
        <f>COUNTIF(TT!$D$303:$D$311,TALLY!A61)</f>
        <v>0</v>
      </c>
      <c r="W61" s="202">
        <f>COUNTIF(TT!$D$316:$D$337,TALLY!A61)</f>
        <v>0</v>
      </c>
      <c r="X61" s="202">
        <f>COUNTIF(TT!$D$342:$D$350,TALLY!A61)</f>
        <v>0</v>
      </c>
      <c r="Y61" s="202">
        <f>COUNTIF(TT!$D$357:$D$365,TALLY!A61)</f>
        <v>1</v>
      </c>
      <c r="Z61" s="205">
        <f>COUNTIF(TT!$D$370:$D$377,TALLY!A61)</f>
        <v>0</v>
      </c>
      <c r="AA61" s="205">
        <f>COUNTIF(TT!$D$382:$D$393,TALLY!A61)</f>
        <v>1</v>
      </c>
      <c r="AB61" s="205">
        <f>COUNTIF(TT!$D$398:$D$408,TALLY!A61)</f>
        <v>0</v>
      </c>
      <c r="AC61" s="202">
        <f>COUNTIF(TT!$D$413:$D$425,TALLY!A61)</f>
        <v>0</v>
      </c>
      <c r="AD61" s="202">
        <f>COUNTIF(TT!$D$430:$D$447,TALLY!A61)</f>
        <v>0</v>
      </c>
      <c r="AE61" s="202">
        <f>COUNTIF(TT!$D$454:$D$466,TALLY!A61)</f>
        <v>1</v>
      </c>
      <c r="AF61" s="204">
        <f>COUNTIF(TT!$D$471:$D$480,TALLY!A61)</f>
        <v>0</v>
      </c>
      <c r="AG61" s="204">
        <f>COUNTIF(TT!$D$487:$D$496,TALLY!A61)</f>
        <v>1</v>
      </c>
      <c r="AH61" s="204">
        <f>COUNTIF(TT!$D$501:$D$517,TALLY!A61)</f>
        <v>0</v>
      </c>
      <c r="AI61" s="202">
        <f>COUNTIF(TT!$D$522:$D$533,TALLY!A61)</f>
        <v>0</v>
      </c>
      <c r="AJ61" s="202">
        <f>COUNTIF(TT!$D$538:$D$550,TALLY!A61)</f>
        <v>0</v>
      </c>
      <c r="AK61" s="202">
        <f>COUNTIF(TT!$D$555:$D$569,TALLY!A61)</f>
        <v>0</v>
      </c>
      <c r="AL61" s="205">
        <f>COUNTIF(TT!$D$574:$D$582,TALLY!A61)</f>
        <v>0</v>
      </c>
      <c r="AM61" s="205">
        <f>COUNTIF(TT!$D$587:$D$593,TALLY!A61)</f>
        <v>0</v>
      </c>
      <c r="AN61" s="205">
        <f>COUNTIF(TT!$D$598:$D$606,TALLY!A61)</f>
        <v>1</v>
      </c>
      <c r="AO61" s="202">
        <f>COUNTIF(TT!$D$611:$D$620,TALLY!A61)</f>
        <v>0</v>
      </c>
      <c r="AP61" s="202">
        <f>COUNTIF(TT!$D$627:$D$639,TALLY!A61)</f>
        <v>0</v>
      </c>
      <c r="AQ61" s="202">
        <f>COUNTIF(TT!$D$645:$D$657,TALLY!A61)</f>
        <v>0</v>
      </c>
      <c r="AR61" s="205">
        <f>COUNTIF(TT!$D$663:$D$671,TALLY!A61)</f>
        <v>0</v>
      </c>
      <c r="AS61" s="205">
        <f>COUNTIF(TT!$D$677:$D$685,TALLY!A61)</f>
        <v>0</v>
      </c>
      <c r="AT61" s="205">
        <f>COUNTIF(TT!$D$689:$D$698,TALLY!A61)</f>
        <v>0</v>
      </c>
      <c r="AU61" s="207" t="s">
        <v>103</v>
      </c>
      <c r="AV61" s="202">
        <f t="shared" si="16"/>
        <v>0</v>
      </c>
      <c r="AW61" s="202">
        <f t="shared" si="17"/>
        <v>1</v>
      </c>
      <c r="AX61" s="202">
        <f t="shared" si="18"/>
        <v>1</v>
      </c>
      <c r="AY61" s="202">
        <f t="shared" si="19"/>
        <v>1</v>
      </c>
      <c r="AZ61" s="202">
        <f t="shared" si="20"/>
        <v>0</v>
      </c>
      <c r="BA61" s="202">
        <f t="shared" si="21"/>
        <v>1</v>
      </c>
      <c r="BB61" s="202">
        <f t="shared" si="22"/>
        <v>0</v>
      </c>
      <c r="BC61" s="202">
        <f t="shared" si="23"/>
        <v>1</v>
      </c>
      <c r="BD61" s="202">
        <f t="shared" si="31"/>
        <v>1</v>
      </c>
      <c r="BE61" s="202">
        <f t="shared" si="24"/>
        <v>1</v>
      </c>
      <c r="BF61" s="202">
        <f t="shared" si="25"/>
        <v>1</v>
      </c>
      <c r="BG61" s="202">
        <f t="shared" si="26"/>
        <v>0</v>
      </c>
      <c r="BH61" s="202">
        <f t="shared" si="27"/>
        <v>1</v>
      </c>
      <c r="BI61" s="202">
        <f t="shared" si="28"/>
        <v>0</v>
      </c>
      <c r="BJ61" s="202">
        <f t="shared" si="29"/>
        <v>0</v>
      </c>
      <c r="BK61">
        <f t="shared" si="30"/>
        <v>9</v>
      </c>
    </row>
    <row r="62" spans="1:63" x14ac:dyDescent="0.3">
      <c r="A62" s="207" t="s">
        <v>48</v>
      </c>
      <c r="B62" s="204">
        <f>COUNTIF(TT!$D$4:$D$9,TALLY!A62)</f>
        <v>0</v>
      </c>
      <c r="C62" s="204">
        <f>COUNTIF(TT!$D$15:$D$28,TALLY!A62)</f>
        <v>1</v>
      </c>
      <c r="D62" s="204">
        <f>COUNTIF(TT!$D$34:$D$41,TALLY!A62)</f>
        <v>0</v>
      </c>
      <c r="E62" s="202">
        <f>COUNTIF(TT!$D$47:$D$60,TALLY!A62)</f>
        <v>0</v>
      </c>
      <c r="F62" s="202">
        <f>COUNTIF(TT!$D$66:$D$79,TALLY!A62)</f>
        <v>0</v>
      </c>
      <c r="G62" s="202">
        <f>COUNTIF(TT!$D$84:$D$93,TALLY!A62)</f>
        <v>0</v>
      </c>
      <c r="H62" s="205">
        <f>COUNTIF(TT!$D$98:$D$106,TALLY!A62)</f>
        <v>0</v>
      </c>
      <c r="I62" s="205">
        <f>COUNTIF(TT!$D$111:$D$121,TALLY!A62)</f>
        <v>0</v>
      </c>
      <c r="J62" s="205">
        <f>COUNTIF(TT!$D$126:$D$134,TALLY!A62)</f>
        <v>0</v>
      </c>
      <c r="K62" s="202">
        <f>COUNTIF(TT!$D$139:$D$151,TALLY!A62)</f>
        <v>0</v>
      </c>
      <c r="L62" s="202">
        <f>COUNTIF(TT!$D$156:$D$164,TALLY!A62)</f>
        <v>0</v>
      </c>
      <c r="M62" s="202">
        <f>COUNTIF(TT!$D$169:$D$180,TALLY!A62)</f>
        <v>1</v>
      </c>
      <c r="N62" s="205">
        <f>COUNTIF(TT!$D$185:$D$197,TALLY!A62)</f>
        <v>0</v>
      </c>
      <c r="O62" s="205">
        <f>COUNTIF(TT!$D$202:$D$208,TALLY!A62)</f>
        <v>0</v>
      </c>
      <c r="P62" s="205">
        <f>COUNTIF(TT!$D$213:$D$220,TALLY!A62)</f>
        <v>0</v>
      </c>
      <c r="Q62" s="204">
        <f>COUNTIF(TT!$D$225:$D$239,TALLY!A62)</f>
        <v>2</v>
      </c>
      <c r="R62" s="204">
        <f>COUNTIF(TT!$D$244:$D$254,TALLY!A62)</f>
        <v>0</v>
      </c>
      <c r="S62" s="204">
        <f>COUNTIF(TT!$D$259:$D$268,TALLY!A62)</f>
        <v>0</v>
      </c>
      <c r="T62" s="205">
        <f>COUNTIF(TT!$D$271:$D$282,TALLY!A62)</f>
        <v>0</v>
      </c>
      <c r="U62" s="205">
        <f>COUNTIF(TT!$D$287:$D$298,TALLY!A62)</f>
        <v>0</v>
      </c>
      <c r="V62" s="205">
        <f>COUNTIF(TT!$D$303:$D$311,TALLY!A62)</f>
        <v>0</v>
      </c>
      <c r="W62" s="202">
        <f>COUNTIF(TT!$D$316:$D$337,TALLY!A62)</f>
        <v>0</v>
      </c>
      <c r="X62" s="202">
        <f>COUNTIF(TT!$D$342:$D$350,TALLY!A62)</f>
        <v>0</v>
      </c>
      <c r="Y62" s="202">
        <f>COUNTIF(TT!$D$357:$D$365,TALLY!A62)</f>
        <v>0</v>
      </c>
      <c r="Z62" s="205">
        <f>COUNTIF(TT!$D$370:$D$377,TALLY!A62)</f>
        <v>0</v>
      </c>
      <c r="AA62" s="205">
        <f>COUNTIF(TT!$D$382:$D$393,TALLY!A62)</f>
        <v>1</v>
      </c>
      <c r="AB62" s="205">
        <f>COUNTIF(TT!$D$398:$D$408,TALLY!A62)</f>
        <v>0</v>
      </c>
      <c r="AC62" s="202">
        <f>COUNTIF(TT!$D$413:$D$425,TALLY!A62)</f>
        <v>0</v>
      </c>
      <c r="AD62" s="202">
        <f>COUNTIF(TT!$D$430:$D$447,TALLY!A62)</f>
        <v>0</v>
      </c>
      <c r="AE62" s="202">
        <f>COUNTIF(TT!$D$454:$D$466,TALLY!A62)</f>
        <v>0</v>
      </c>
      <c r="AF62" s="204">
        <f>COUNTIF(TT!$D$471:$D$480,TALLY!A62)</f>
        <v>0</v>
      </c>
      <c r="AG62" s="204">
        <f>COUNTIF(TT!$D$487:$D$496,TALLY!A62)</f>
        <v>0</v>
      </c>
      <c r="AH62" s="204">
        <f>COUNTIF(TT!$D$501:$D$517,TALLY!A62)</f>
        <v>0</v>
      </c>
      <c r="AI62" s="202">
        <f>COUNTIF(TT!$D$522:$D$533,TALLY!A62)</f>
        <v>0</v>
      </c>
      <c r="AJ62" s="202">
        <f>COUNTIF(TT!$D$538:$D$550,TALLY!A62)</f>
        <v>0</v>
      </c>
      <c r="AK62" s="202">
        <f>COUNTIF(TT!$D$555:$D$569,TALLY!A62)</f>
        <v>0</v>
      </c>
      <c r="AL62" s="205">
        <f>COUNTIF(TT!$D$574:$D$582,TALLY!A62)</f>
        <v>0</v>
      </c>
      <c r="AM62" s="205">
        <f>COUNTIF(TT!$D$587:$D$593,TALLY!A62)</f>
        <v>0</v>
      </c>
      <c r="AN62" s="205">
        <f>COUNTIF(TT!$D$598:$D$606,TALLY!A62)</f>
        <v>1</v>
      </c>
      <c r="AO62" s="202">
        <f>COUNTIF(TT!$D$611:$D$620,TALLY!A62)</f>
        <v>0</v>
      </c>
      <c r="AP62" s="202">
        <f>COUNTIF(TT!$D$627:$D$639,TALLY!A62)</f>
        <v>0</v>
      </c>
      <c r="AQ62" s="202">
        <f>COUNTIF(TT!$D$645:$D$657,TALLY!A62)</f>
        <v>0</v>
      </c>
      <c r="AR62" s="205">
        <f>COUNTIF(TT!$D$663:$D$671,TALLY!A62)</f>
        <v>0</v>
      </c>
      <c r="AS62" s="205">
        <f>COUNTIF(TT!$D$677:$D$685,TALLY!A62)</f>
        <v>0</v>
      </c>
      <c r="AT62" s="205">
        <f>COUNTIF(TT!$D$689:$D$698,TALLY!A62)</f>
        <v>0</v>
      </c>
      <c r="AU62" s="207" t="s">
        <v>48</v>
      </c>
      <c r="AV62" s="202">
        <f t="shared" si="16"/>
        <v>1</v>
      </c>
      <c r="AW62" s="202">
        <f t="shared" si="17"/>
        <v>0</v>
      </c>
      <c r="AX62" s="202">
        <f t="shared" si="18"/>
        <v>0</v>
      </c>
      <c r="AY62" s="202">
        <f t="shared" si="19"/>
        <v>1</v>
      </c>
      <c r="AZ62" s="202">
        <f t="shared" si="20"/>
        <v>0</v>
      </c>
      <c r="BA62" s="202">
        <f t="shared" si="21"/>
        <v>2</v>
      </c>
      <c r="BB62" s="202">
        <f t="shared" si="22"/>
        <v>0</v>
      </c>
      <c r="BC62" s="202">
        <f t="shared" si="23"/>
        <v>0</v>
      </c>
      <c r="BD62" s="202">
        <f t="shared" si="31"/>
        <v>1</v>
      </c>
      <c r="BE62" s="202">
        <f t="shared" si="24"/>
        <v>0</v>
      </c>
      <c r="BF62" s="202">
        <f t="shared" si="25"/>
        <v>0</v>
      </c>
      <c r="BG62" s="202">
        <f t="shared" si="26"/>
        <v>0</v>
      </c>
      <c r="BH62" s="202">
        <f t="shared" si="27"/>
        <v>1</v>
      </c>
      <c r="BI62" s="202">
        <f t="shared" si="28"/>
        <v>0</v>
      </c>
      <c r="BJ62" s="202">
        <f t="shared" si="29"/>
        <v>0</v>
      </c>
      <c r="BK62">
        <f t="shared" si="30"/>
        <v>6</v>
      </c>
    </row>
    <row r="63" spans="1:63" x14ac:dyDescent="0.3">
      <c r="A63" s="207" t="s">
        <v>251</v>
      </c>
      <c r="B63" s="204">
        <f>COUNTIF(TT!$D$4:$D$9,TALLY!A63)</f>
        <v>0</v>
      </c>
      <c r="C63" s="204">
        <f>COUNTIF(TT!$D$15:$D$28,TALLY!A63)</f>
        <v>0</v>
      </c>
      <c r="D63" s="204">
        <f>COUNTIF(TT!$D$34:$D$41,TALLY!A63)</f>
        <v>0</v>
      </c>
      <c r="E63" s="202">
        <f>COUNTIF(TT!$D$47:$D$60,TALLY!A63)</f>
        <v>0</v>
      </c>
      <c r="F63" s="202">
        <f>COUNTIF(TT!$D$66:$D$79,TALLY!A63)</f>
        <v>0</v>
      </c>
      <c r="G63" s="202">
        <f>COUNTIF(TT!$D$84:$D$93,TALLY!A63)</f>
        <v>0</v>
      </c>
      <c r="H63" s="205">
        <f>COUNTIF(TT!$D$98:$D$106,TALLY!A63)</f>
        <v>0</v>
      </c>
      <c r="I63" s="205">
        <f>COUNTIF(TT!$D$111:$D$121,TALLY!A63)</f>
        <v>0</v>
      </c>
      <c r="J63" s="205">
        <f>COUNTIF(TT!$D$126:$D$134,TALLY!A63)</f>
        <v>1</v>
      </c>
      <c r="K63" s="202">
        <f>COUNTIF(TT!$D$139:$D$151,TALLY!A63)</f>
        <v>0</v>
      </c>
      <c r="L63" s="202">
        <f>COUNTIF(TT!$D$156:$D$164,TALLY!A63)</f>
        <v>0</v>
      </c>
      <c r="M63" s="202">
        <f>COUNTIF(TT!$D$169:$D$180,TALLY!A63)</f>
        <v>0</v>
      </c>
      <c r="N63" s="205">
        <f>COUNTIF(TT!$D$185:$D$197,TALLY!A63)</f>
        <v>0</v>
      </c>
      <c r="O63" s="205">
        <f>COUNTIF(TT!$D$202:$D$208,TALLY!A63)</f>
        <v>0</v>
      </c>
      <c r="P63" s="205">
        <f>COUNTIF(TT!$D$213:$D$220,TALLY!A63)</f>
        <v>0</v>
      </c>
      <c r="Q63" s="204">
        <f>COUNTIF(TT!$D$225:$D$239,TALLY!A63)</f>
        <v>0</v>
      </c>
      <c r="R63" s="204">
        <f>COUNTIF(TT!$D$244:$D$254,TALLY!A63)</f>
        <v>1</v>
      </c>
      <c r="S63" s="204">
        <f>COUNTIF(TT!$D$259:$D$268,TALLY!A63)</f>
        <v>0</v>
      </c>
      <c r="T63" s="205">
        <f>COUNTIF(TT!$D$271:$D$282,TALLY!A63)</f>
        <v>0</v>
      </c>
      <c r="U63" s="205">
        <f>COUNTIF(TT!$D$287:$D$298,TALLY!A63)</f>
        <v>0</v>
      </c>
      <c r="V63" s="205">
        <f>COUNTIF(TT!$D$303:$D$311,TALLY!A63)</f>
        <v>0</v>
      </c>
      <c r="W63" s="202">
        <f>COUNTIF(TT!$D$316:$D$337,TALLY!A63)</f>
        <v>0</v>
      </c>
      <c r="X63" s="202">
        <f>COUNTIF(TT!$D$342:$D$350,TALLY!A63)</f>
        <v>0</v>
      </c>
      <c r="Y63" s="202">
        <f>COUNTIF(TT!$D$357:$D$365,TALLY!A63)</f>
        <v>0</v>
      </c>
      <c r="Z63" s="205">
        <f>COUNTIF(TT!$D$370:$D$377,TALLY!A63)</f>
        <v>0</v>
      </c>
      <c r="AA63" s="205">
        <f>COUNTIF(TT!$D$382:$D$393,TALLY!A63)</f>
        <v>1</v>
      </c>
      <c r="AB63" s="205">
        <f>COUNTIF(TT!$D$398:$D$408,TALLY!A63)</f>
        <v>0</v>
      </c>
      <c r="AC63" s="202">
        <f>COUNTIF(TT!$D$413:$D$425,TALLY!A63)</f>
        <v>0</v>
      </c>
      <c r="AD63" s="202">
        <f>COUNTIF(TT!$D$430:$D$447,TALLY!A63)</f>
        <v>1</v>
      </c>
      <c r="AE63" s="202">
        <f>COUNTIF(TT!$D$454:$D$466,TALLY!A63)</f>
        <v>0</v>
      </c>
      <c r="AF63" s="204">
        <f>COUNTIF(TT!$D$471:$D$480,TALLY!A63)</f>
        <v>0</v>
      </c>
      <c r="AG63" s="204">
        <f>COUNTIF(TT!$D$487:$D$496,TALLY!A63)</f>
        <v>0</v>
      </c>
      <c r="AH63" s="204">
        <f>COUNTIF(TT!$D$501:$D$517,TALLY!A63)</f>
        <v>0</v>
      </c>
      <c r="AI63" s="202">
        <f>COUNTIF(TT!$D$522:$D$533,TALLY!A63)</f>
        <v>0</v>
      </c>
      <c r="AJ63" s="202">
        <f>COUNTIF(TT!$D$538:$D$550,TALLY!A63)</f>
        <v>1</v>
      </c>
      <c r="AK63" s="202">
        <f>COUNTIF(TT!$D$555:$D$569,TALLY!A63)</f>
        <v>0</v>
      </c>
      <c r="AL63" s="205">
        <f>COUNTIF(TT!$D$574:$D$582,TALLY!A63)</f>
        <v>0</v>
      </c>
      <c r="AM63" s="205">
        <f>COUNTIF(TT!$D$587:$D$593,TALLY!A63)</f>
        <v>0</v>
      </c>
      <c r="AN63" s="205">
        <f>COUNTIF(TT!$D$598:$D$606,TALLY!A63)</f>
        <v>0</v>
      </c>
      <c r="AO63" s="202">
        <f>COUNTIF(TT!$D$611:$D$620,TALLY!A63)</f>
        <v>0</v>
      </c>
      <c r="AP63" s="202">
        <f>COUNTIF(TT!$D$627:$D$639,TALLY!A63)</f>
        <v>0</v>
      </c>
      <c r="AQ63" s="209">
        <f>COUNTIF(TT!$D$645:$D$657,TALLY!A63)</f>
        <v>1</v>
      </c>
      <c r="AR63" s="205">
        <f>COUNTIF(TT!$D$663:$D$671,TALLY!A63)</f>
        <v>0</v>
      </c>
      <c r="AS63" s="205">
        <f>COUNTIF(TT!$D$677:$D$685,TALLY!A63)</f>
        <v>0</v>
      </c>
      <c r="AT63" s="205">
        <f>COUNTIF(TT!$D$689:$D$698,TALLY!A63)</f>
        <v>1</v>
      </c>
      <c r="AU63" s="207" t="s">
        <v>251</v>
      </c>
      <c r="AV63" s="202">
        <f t="shared" si="16"/>
        <v>0</v>
      </c>
      <c r="AW63" s="202">
        <f t="shared" si="17"/>
        <v>0</v>
      </c>
      <c r="AX63" s="202">
        <f t="shared" si="18"/>
        <v>1</v>
      </c>
      <c r="AY63" s="202">
        <f t="shared" si="19"/>
        <v>0</v>
      </c>
      <c r="AZ63" s="202">
        <f t="shared" si="20"/>
        <v>0</v>
      </c>
      <c r="BA63" s="202">
        <f t="shared" si="21"/>
        <v>1</v>
      </c>
      <c r="BB63" s="202">
        <f t="shared" si="22"/>
        <v>0</v>
      </c>
      <c r="BC63" s="202">
        <f t="shared" si="23"/>
        <v>0</v>
      </c>
      <c r="BD63" s="202">
        <f t="shared" si="31"/>
        <v>1</v>
      </c>
      <c r="BE63" s="202">
        <f t="shared" si="24"/>
        <v>1</v>
      </c>
      <c r="BF63" s="202">
        <f t="shared" si="25"/>
        <v>0</v>
      </c>
      <c r="BG63" s="202">
        <f t="shared" si="26"/>
        <v>1</v>
      </c>
      <c r="BH63" s="202">
        <f t="shared" si="27"/>
        <v>0</v>
      </c>
      <c r="BI63" s="209">
        <f t="shared" si="28"/>
        <v>1</v>
      </c>
      <c r="BJ63" s="202">
        <f t="shared" si="29"/>
        <v>1</v>
      </c>
      <c r="BK63">
        <f t="shared" si="30"/>
        <v>7</v>
      </c>
    </row>
    <row r="64" spans="1:63" x14ac:dyDescent="0.3">
      <c r="A64" s="207" t="s">
        <v>144</v>
      </c>
      <c r="B64" s="204">
        <f>COUNTIF(TT!$D$4:$D$9,TALLY!A64)</f>
        <v>0</v>
      </c>
      <c r="C64" s="204">
        <f>COUNTIF(TT!$D$15:$D$28,TALLY!A64)</f>
        <v>0</v>
      </c>
      <c r="D64" s="204">
        <f>COUNTIF(TT!$D$34:$D$41,TALLY!A64)</f>
        <v>0</v>
      </c>
      <c r="E64" s="202">
        <f>COUNTIF(TT!$D$47:$D$60,TALLY!A64)</f>
        <v>0</v>
      </c>
      <c r="F64" s="202">
        <f>COUNTIF(TT!$D$66:$D$79,TALLY!A64)</f>
        <v>0</v>
      </c>
      <c r="G64" s="202">
        <f>COUNTIF(TT!$D$84:$D$93,TALLY!A64)</f>
        <v>1</v>
      </c>
      <c r="H64" s="205">
        <f>COUNTIF(TT!$D$98:$D$106,TALLY!A64)</f>
        <v>0</v>
      </c>
      <c r="I64" s="205">
        <f>COUNTIF(TT!$D$111:$D$121,TALLY!A64)</f>
        <v>0</v>
      </c>
      <c r="J64" s="205">
        <f>COUNTIF(TT!$D$126:$D$134,TALLY!A64)</f>
        <v>0</v>
      </c>
      <c r="K64" s="202">
        <f>COUNTIF(TT!$D$139:$D$151,TALLY!A64)</f>
        <v>0</v>
      </c>
      <c r="L64" s="202">
        <f>COUNTIF(TT!$D$156:$D$164,TALLY!A64)</f>
        <v>0</v>
      </c>
      <c r="M64" s="202">
        <f>COUNTIF(TT!$D$169:$D$180,TALLY!A64)</f>
        <v>0</v>
      </c>
      <c r="N64" s="205">
        <f>COUNTIF(TT!$D$185:$D$197,TALLY!A64)</f>
        <v>0</v>
      </c>
      <c r="O64" s="205">
        <f>COUNTIF(TT!$D$202:$D$208,TALLY!A64)</f>
        <v>0</v>
      </c>
      <c r="P64" s="205">
        <f>COUNTIF(TT!$D$213:$D$220,TALLY!A64)</f>
        <v>0</v>
      </c>
      <c r="Q64" s="204">
        <f>COUNTIF(TT!$D$225:$D$239,TALLY!A64)</f>
        <v>0</v>
      </c>
      <c r="R64" s="204">
        <f>COUNTIF(TT!$D$244:$D$254,TALLY!A64)</f>
        <v>0</v>
      </c>
      <c r="S64" s="204">
        <f>COUNTIF(TT!$D$259:$D$268,TALLY!A64)</f>
        <v>1</v>
      </c>
      <c r="T64" s="205">
        <f>COUNTIF(TT!$D$271:$D$282,TALLY!A64)</f>
        <v>0</v>
      </c>
      <c r="U64" s="205">
        <f>COUNTIF(TT!$D$287:$D$298,TALLY!A64)</f>
        <v>0</v>
      </c>
      <c r="V64" s="205">
        <f>COUNTIF(TT!$D$303:$D$311,TALLY!A64)</f>
        <v>0</v>
      </c>
      <c r="W64" s="202">
        <f>COUNTIF(TT!$D$316:$D$337,TALLY!A64)</f>
        <v>1</v>
      </c>
      <c r="X64" s="202">
        <f>COUNTIF(TT!$D$342:$D$350,TALLY!A64)</f>
        <v>0</v>
      </c>
      <c r="Y64" s="202">
        <f>COUNTIF(TT!$D$357:$D$365,TALLY!A64)</f>
        <v>0</v>
      </c>
      <c r="Z64" s="205">
        <f>COUNTIF(TT!$D$370:$D$377,TALLY!A64)</f>
        <v>0</v>
      </c>
      <c r="AA64" s="205">
        <f>COUNTIF(TT!$D$382:$D$393,TALLY!A64)</f>
        <v>0</v>
      </c>
      <c r="AB64" s="205">
        <f>COUNTIF(TT!$D$398:$D$408,TALLY!A64)</f>
        <v>1</v>
      </c>
      <c r="AC64" s="202">
        <f>COUNTIF(TT!$D$413:$D$425,TALLY!A64)</f>
        <v>0</v>
      </c>
      <c r="AD64" s="202">
        <f>COUNTIF(TT!$D$430:$D$447,TALLY!A64)</f>
        <v>1</v>
      </c>
      <c r="AE64" s="202">
        <f>COUNTIF(TT!$D$454:$D$466,TALLY!A64)</f>
        <v>0</v>
      </c>
      <c r="AF64" s="204">
        <f>COUNTIF(TT!$D$471:$D$480,TALLY!A64)</f>
        <v>0</v>
      </c>
      <c r="AG64" s="204">
        <f>COUNTIF(TT!$D$487:$D$496,TALLY!A64)</f>
        <v>0</v>
      </c>
      <c r="AH64" s="204">
        <f>COUNTIF(TT!$D$501:$D$517,TALLY!A64)</f>
        <v>0</v>
      </c>
      <c r="AI64" s="202">
        <f>COUNTIF(TT!$D$522:$D$533,TALLY!A64)</f>
        <v>0</v>
      </c>
      <c r="AJ64" s="202">
        <f>COUNTIF(TT!$D$538:$D$550,TALLY!A64)</f>
        <v>0</v>
      </c>
      <c r="AK64" s="202">
        <f>COUNTIF(TT!$D$555:$D$569,TALLY!A64)</f>
        <v>1</v>
      </c>
      <c r="AL64" s="205">
        <f>COUNTIF(TT!$D$574:$D$582,TALLY!A64)</f>
        <v>0</v>
      </c>
      <c r="AM64" s="205">
        <f>COUNTIF(TT!$D$587:$D$593,TALLY!A64)</f>
        <v>0</v>
      </c>
      <c r="AN64" s="205">
        <f>COUNTIF(TT!$D$598:$D$606,TALLY!A64)</f>
        <v>0</v>
      </c>
      <c r="AO64" s="202">
        <f>COUNTIF(TT!$D$611:$D$620,TALLY!A64)</f>
        <v>0</v>
      </c>
      <c r="AP64" s="202">
        <f>COUNTIF(TT!$D$627:$D$639,TALLY!A64)</f>
        <v>0</v>
      </c>
      <c r="AQ64" s="202">
        <f>COUNTIF(TT!$D$645:$D$657,TALLY!A64)</f>
        <v>1</v>
      </c>
      <c r="AR64" s="205">
        <f>COUNTIF(TT!$D$663:$D$671,TALLY!A64)</f>
        <v>0</v>
      </c>
      <c r="AS64" s="205">
        <f>COUNTIF(TT!$D$677:$D$685,TALLY!A64)</f>
        <v>0</v>
      </c>
      <c r="AT64" s="205">
        <f>COUNTIF(TT!$D$689:$D$698,TALLY!A64)</f>
        <v>0</v>
      </c>
      <c r="AU64" s="207" t="s">
        <v>144</v>
      </c>
      <c r="AV64" s="202">
        <f t="shared" si="16"/>
        <v>0</v>
      </c>
      <c r="AW64" s="202">
        <f t="shared" si="17"/>
        <v>1</v>
      </c>
      <c r="AX64" s="202">
        <f t="shared" si="18"/>
        <v>0</v>
      </c>
      <c r="AY64" s="202">
        <f t="shared" si="19"/>
        <v>0</v>
      </c>
      <c r="AZ64" s="202">
        <f t="shared" si="20"/>
        <v>0</v>
      </c>
      <c r="BA64" s="202">
        <f t="shared" si="21"/>
        <v>1</v>
      </c>
      <c r="BB64" s="202">
        <f t="shared" si="22"/>
        <v>0</v>
      </c>
      <c r="BC64" s="202">
        <f t="shared" si="23"/>
        <v>1</v>
      </c>
      <c r="BD64" s="202">
        <f t="shared" si="31"/>
        <v>1</v>
      </c>
      <c r="BE64" s="202">
        <f t="shared" si="24"/>
        <v>1</v>
      </c>
      <c r="BF64" s="202">
        <f t="shared" si="25"/>
        <v>0</v>
      </c>
      <c r="BG64" s="202">
        <f t="shared" si="26"/>
        <v>1</v>
      </c>
      <c r="BH64" s="202">
        <f t="shared" si="27"/>
        <v>0</v>
      </c>
      <c r="BI64" s="202">
        <f t="shared" si="28"/>
        <v>1</v>
      </c>
      <c r="BJ64" s="202">
        <f t="shared" si="29"/>
        <v>0</v>
      </c>
      <c r="BK64">
        <f t="shared" si="30"/>
        <v>7</v>
      </c>
    </row>
    <row r="65" spans="1:63" x14ac:dyDescent="0.3">
      <c r="A65" s="207" t="s">
        <v>177</v>
      </c>
      <c r="B65" s="204">
        <f>COUNTIF(TT!$D$4:$D$9,TALLY!A65)</f>
        <v>0</v>
      </c>
      <c r="C65" s="204">
        <f>COUNTIF(TT!$D$15:$D$28,TALLY!A65)</f>
        <v>0</v>
      </c>
      <c r="D65" s="204">
        <f>COUNTIF(TT!$D$34:$D$41,TALLY!A65)</f>
        <v>0</v>
      </c>
      <c r="E65" s="202">
        <f>COUNTIF(TT!$D$47:$D$60,TALLY!A65)</f>
        <v>0</v>
      </c>
      <c r="F65" s="202">
        <f>COUNTIF(TT!$D$66:$D$79,TALLY!A65)</f>
        <v>0</v>
      </c>
      <c r="G65" s="202">
        <f>COUNTIF(TT!$D$84:$D$93,TALLY!A65)</f>
        <v>0</v>
      </c>
      <c r="H65" s="205">
        <f>COUNTIF(TT!$D$98:$D$106,TALLY!A65)</f>
        <v>0</v>
      </c>
      <c r="I65" s="205">
        <f>COUNTIF(TT!$D$111:$D$121,TALLY!A65)</f>
        <v>0</v>
      </c>
      <c r="J65" s="205">
        <f>COUNTIF(TT!$D$126:$D$134,TALLY!A65)</f>
        <v>1</v>
      </c>
      <c r="K65" s="202">
        <f>COUNTIF(TT!$D$139:$D$151,TALLY!A65)</f>
        <v>0</v>
      </c>
      <c r="L65" s="202">
        <f>COUNTIF(TT!$D$156:$D$164,TALLY!A65)</f>
        <v>0</v>
      </c>
      <c r="M65" s="202">
        <f>COUNTIF(TT!$D$169:$D$180,TALLY!A65)</f>
        <v>0</v>
      </c>
      <c r="N65" s="205">
        <f>COUNTIF(TT!$D$185:$D$197,TALLY!A65)</f>
        <v>0</v>
      </c>
      <c r="O65" s="205">
        <f>COUNTIF(TT!$D$202:$D$208,TALLY!A65)</f>
        <v>0</v>
      </c>
      <c r="P65" s="205">
        <f>COUNTIF(TT!$D$213:$D$220,TALLY!A65)</f>
        <v>1</v>
      </c>
      <c r="Q65" s="204">
        <f>COUNTIF(TT!$D$225:$D$239,TALLY!A65)</f>
        <v>1</v>
      </c>
      <c r="R65" s="204">
        <f>COUNTIF(TT!$D$244:$D$254,TALLY!A65)</f>
        <v>0</v>
      </c>
      <c r="S65" s="204">
        <f>COUNTIF(TT!$D$259:$D$268,TALLY!A65)</f>
        <v>0</v>
      </c>
      <c r="T65" s="205">
        <f>COUNTIF(TT!$D$271:$D$282,TALLY!A65)</f>
        <v>0</v>
      </c>
      <c r="U65" s="205">
        <f>COUNTIF(TT!$D$287:$D$298,TALLY!A65)</f>
        <v>0</v>
      </c>
      <c r="V65" s="205">
        <f>COUNTIF(TT!$D$303:$D$311,TALLY!A65)</f>
        <v>0</v>
      </c>
      <c r="W65" s="202">
        <f>COUNTIF(TT!$D$316:$D$337,TALLY!A65)</f>
        <v>0</v>
      </c>
      <c r="X65" s="202">
        <f>COUNTIF(TT!$D$342:$D$350,TALLY!A65)</f>
        <v>1</v>
      </c>
      <c r="Y65" s="202">
        <f>COUNTIF(TT!$D$357:$D$365,TALLY!A65)</f>
        <v>0</v>
      </c>
      <c r="Z65" s="205">
        <f>COUNTIF(TT!$D$370:$D$377,TALLY!A65)</f>
        <v>0</v>
      </c>
      <c r="AA65" s="205">
        <f>COUNTIF(TT!$D$382:$D$393,TALLY!A65)</f>
        <v>0</v>
      </c>
      <c r="AB65" s="205">
        <f>COUNTIF(TT!$D$398:$D$408,TALLY!A65)</f>
        <v>0</v>
      </c>
      <c r="AC65" s="202">
        <f>COUNTIF(TT!$D$413:$D$425,TALLY!A65)</f>
        <v>0</v>
      </c>
      <c r="AD65" s="202">
        <f>COUNTIF(TT!$D$430:$D$447,TALLY!A65)</f>
        <v>0</v>
      </c>
      <c r="AE65" s="202">
        <f>COUNTIF(TT!$D$454:$D$466,TALLY!A65)</f>
        <v>1</v>
      </c>
      <c r="AF65" s="204">
        <f>COUNTIF(TT!$D$471:$D$480,TALLY!A65)</f>
        <v>0</v>
      </c>
      <c r="AG65" s="204">
        <f>COUNTIF(TT!$D$487:$D$496,TALLY!A65)</f>
        <v>0</v>
      </c>
      <c r="AH65" s="204">
        <f>COUNTIF(TT!$D$501:$D$517,TALLY!A65)</f>
        <v>1</v>
      </c>
      <c r="AI65" s="202">
        <f>COUNTIF(TT!$D$522:$D$533,TALLY!A65)</f>
        <v>0</v>
      </c>
      <c r="AJ65" s="202">
        <f>COUNTIF(TT!$D$538:$D$550,TALLY!A65)</f>
        <v>0</v>
      </c>
      <c r="AK65" s="202">
        <f>COUNTIF(TT!$D$555:$D$569,TALLY!A65)</f>
        <v>1</v>
      </c>
      <c r="AL65" s="205">
        <f>COUNTIF(TT!$D$574:$D$582,TALLY!A65)</f>
        <v>0</v>
      </c>
      <c r="AM65" s="205">
        <f>COUNTIF(TT!$D$587:$D$593,TALLY!A65)</f>
        <v>0</v>
      </c>
      <c r="AN65" s="205">
        <f>COUNTIF(TT!$D$598:$D$606,TALLY!A65)</f>
        <v>0</v>
      </c>
      <c r="AO65" s="202">
        <f>COUNTIF(TT!$D$611:$D$620,TALLY!A65)</f>
        <v>0</v>
      </c>
      <c r="AP65" s="202">
        <f>COUNTIF(TT!$D$627:$D$639,TALLY!A65)</f>
        <v>0</v>
      </c>
      <c r="AQ65" s="202">
        <f>COUNTIF(TT!$D$645:$D$657,TALLY!A65)</f>
        <v>1</v>
      </c>
      <c r="AR65" s="205">
        <f>COUNTIF(TT!$D$663:$D$671,TALLY!A65)</f>
        <v>0</v>
      </c>
      <c r="AS65" s="205">
        <f>COUNTIF(TT!$D$677:$D$685,TALLY!A65)</f>
        <v>0</v>
      </c>
      <c r="AT65" s="205">
        <f>COUNTIF(TT!$D$689:$D$698,TALLY!A65)</f>
        <v>0</v>
      </c>
      <c r="AU65" s="207" t="s">
        <v>177</v>
      </c>
      <c r="AV65" s="202">
        <f t="shared" si="16"/>
        <v>0</v>
      </c>
      <c r="AW65" s="202">
        <f t="shared" si="17"/>
        <v>0</v>
      </c>
      <c r="AX65" s="202">
        <f t="shared" si="18"/>
        <v>1</v>
      </c>
      <c r="AY65" s="202">
        <f t="shared" si="19"/>
        <v>0</v>
      </c>
      <c r="AZ65" s="202">
        <f t="shared" si="20"/>
        <v>1</v>
      </c>
      <c r="BA65" s="202">
        <f t="shared" si="21"/>
        <v>1</v>
      </c>
      <c r="BB65" s="202">
        <f t="shared" si="22"/>
        <v>0</v>
      </c>
      <c r="BC65" s="202">
        <f t="shared" si="23"/>
        <v>1</v>
      </c>
      <c r="BD65" s="202">
        <f t="shared" si="31"/>
        <v>0</v>
      </c>
      <c r="BE65" s="202">
        <f t="shared" si="24"/>
        <v>1</v>
      </c>
      <c r="BF65" s="202">
        <f t="shared" si="25"/>
        <v>1</v>
      </c>
      <c r="BG65" s="202">
        <f t="shared" si="26"/>
        <v>1</v>
      </c>
      <c r="BH65" s="202">
        <f t="shared" si="27"/>
        <v>0</v>
      </c>
      <c r="BI65" s="202">
        <f t="shared" si="28"/>
        <v>1</v>
      </c>
      <c r="BJ65" s="202">
        <f t="shared" si="29"/>
        <v>0</v>
      </c>
      <c r="BK65">
        <f t="shared" si="30"/>
        <v>8</v>
      </c>
    </row>
    <row r="66" spans="1:63" x14ac:dyDescent="0.3">
      <c r="A66" s="207" t="s">
        <v>194</v>
      </c>
      <c r="B66" s="204">
        <f>COUNTIF(TT!$D$4:$D$9,TALLY!A66)</f>
        <v>0</v>
      </c>
      <c r="C66" s="204">
        <f>COUNTIF(TT!$D$15:$D$28,TALLY!A66)</f>
        <v>0</v>
      </c>
      <c r="D66" s="204">
        <f>COUNTIF(TT!$D$34:$D$41,TALLY!A66)</f>
        <v>0</v>
      </c>
      <c r="E66" s="202">
        <f>COUNTIF(TT!$D$47:$D$60,TALLY!A66)</f>
        <v>0</v>
      </c>
      <c r="F66" s="202">
        <f>COUNTIF(TT!$D$66:$D$79,TALLY!A66)</f>
        <v>0</v>
      </c>
      <c r="G66" s="202">
        <f>COUNTIF(TT!$D$84:$D$93,TALLY!A66)</f>
        <v>0</v>
      </c>
      <c r="H66" s="205">
        <f>COUNTIF(TT!$D$98:$D$106,TALLY!A66)</f>
        <v>0</v>
      </c>
      <c r="I66" s="205">
        <f>COUNTIF(TT!$D$111:$D$121,TALLY!A66)</f>
        <v>0</v>
      </c>
      <c r="J66" s="205">
        <f>COUNTIF(TT!$D$126:$D$134,TALLY!A66)</f>
        <v>0</v>
      </c>
      <c r="K66" s="202">
        <f>COUNTIF(TT!$D$139:$D$151,TALLY!A66)</f>
        <v>1</v>
      </c>
      <c r="L66" s="202">
        <f>COUNTIF(TT!$D$156:$D$164,TALLY!A66)</f>
        <v>0</v>
      </c>
      <c r="M66" s="202">
        <f>COUNTIF(TT!$D$169:$D$180,TALLY!A66)</f>
        <v>0</v>
      </c>
      <c r="N66" s="205">
        <f>COUNTIF(TT!$D$185:$D$197,TALLY!A66)</f>
        <v>0</v>
      </c>
      <c r="O66" s="205">
        <f>COUNTIF(TT!$D$202:$D$208,TALLY!A66)</f>
        <v>1</v>
      </c>
      <c r="P66" s="205">
        <f>COUNTIF(TT!$D$213:$D$220,TALLY!A66)</f>
        <v>0</v>
      </c>
      <c r="Q66" s="204">
        <f>COUNTIF(TT!$D$225:$D$239,TALLY!A66)</f>
        <v>0</v>
      </c>
      <c r="R66" s="204">
        <f>COUNTIF(TT!$D$244:$D$254,TALLY!A66)</f>
        <v>0</v>
      </c>
      <c r="S66" s="204">
        <f>COUNTIF(TT!$D$259:$D$268,TALLY!A66)</f>
        <v>0</v>
      </c>
      <c r="T66" s="205">
        <f>COUNTIF(TT!$D$271:$D$282,TALLY!A66)</f>
        <v>0</v>
      </c>
      <c r="U66" s="205">
        <f>COUNTIF(TT!$D$287:$D$298,TALLY!A66)</f>
        <v>0</v>
      </c>
      <c r="V66" s="205">
        <f>COUNTIF(TT!$D$303:$D$311,TALLY!A66)</f>
        <v>0</v>
      </c>
      <c r="W66" s="202">
        <f>COUNTIF(TT!$D$316:$D$337,TALLY!A66)</f>
        <v>0</v>
      </c>
      <c r="X66" s="202">
        <f>COUNTIF(TT!$D$342:$D$350,TALLY!A66)</f>
        <v>0</v>
      </c>
      <c r="Y66" s="202">
        <f>COUNTIF(TT!$D$357:$D$365,TALLY!A66)</f>
        <v>1</v>
      </c>
      <c r="Z66" s="205">
        <f>COUNTIF(TT!$D$370:$D$377,TALLY!A66)</f>
        <v>0</v>
      </c>
      <c r="AA66" s="205">
        <f>COUNTIF(TT!$D$382:$D$393,TALLY!A66)</f>
        <v>0</v>
      </c>
      <c r="AB66" s="205">
        <f>COUNTIF(TT!$D$398:$D$408,TALLY!A66)</f>
        <v>0</v>
      </c>
      <c r="AC66" s="202">
        <f>COUNTIF(TT!$D$413:$D$425,TALLY!A66)</f>
        <v>0</v>
      </c>
      <c r="AD66" s="202">
        <f>COUNTIF(TT!$D$430:$D$447,TALLY!A66)</f>
        <v>0</v>
      </c>
      <c r="AE66" s="202">
        <f>COUNTIF(TT!$D$454:$D$466,TALLY!A66)</f>
        <v>0</v>
      </c>
      <c r="AF66" s="204">
        <f>COUNTIF(TT!$D$471:$D$480,TALLY!A66)</f>
        <v>0</v>
      </c>
      <c r="AG66" s="204">
        <f>COUNTIF(TT!$D$487:$D$496,TALLY!A66)</f>
        <v>0</v>
      </c>
      <c r="AH66" s="204">
        <f>COUNTIF(TT!$D$501:$D$517,TALLY!A66)</f>
        <v>0</v>
      </c>
      <c r="AI66" s="202">
        <f>COUNTIF(TT!$D$522:$D$533,TALLY!A66)</f>
        <v>0</v>
      </c>
      <c r="AJ66" s="202">
        <f>COUNTIF(TT!$D$538:$D$550,TALLY!A66)</f>
        <v>0</v>
      </c>
      <c r="AK66" s="202">
        <f>COUNTIF(TT!$D$555:$D$569,TALLY!A66)</f>
        <v>0</v>
      </c>
      <c r="AL66" s="205">
        <f>COUNTIF(TT!$D$574:$D$582,TALLY!A66)</f>
        <v>0</v>
      </c>
      <c r="AM66" s="205">
        <f>COUNTIF(TT!$D$587:$D$593,TALLY!A66)</f>
        <v>0</v>
      </c>
      <c r="AN66" s="205">
        <f>COUNTIF(TT!$D$598:$D$606,TALLY!A66)</f>
        <v>1</v>
      </c>
      <c r="AO66" s="202">
        <f>COUNTIF(TT!$D$611:$D$620,TALLY!A66)</f>
        <v>0</v>
      </c>
      <c r="AP66" s="202">
        <f>COUNTIF(TT!$D$627:$D$639,TALLY!A66)</f>
        <v>0</v>
      </c>
      <c r="AQ66" s="202">
        <f>COUNTIF(TT!$D$645:$D$657,TALLY!A66)</f>
        <v>0</v>
      </c>
      <c r="AR66" s="205">
        <f>COUNTIF(TT!$D$663:$D$671,TALLY!A66)</f>
        <v>0</v>
      </c>
      <c r="AS66" s="205">
        <f>COUNTIF(TT!$D$677:$D$685,TALLY!A66)</f>
        <v>0</v>
      </c>
      <c r="AT66" s="205">
        <f>COUNTIF(TT!$D$689:$D$698,TALLY!A66)</f>
        <v>0</v>
      </c>
      <c r="AU66" s="207" t="s">
        <v>194</v>
      </c>
      <c r="AV66" s="202">
        <f t="shared" si="16"/>
        <v>0</v>
      </c>
      <c r="AW66" s="202">
        <f t="shared" si="17"/>
        <v>0</v>
      </c>
      <c r="AX66" s="202">
        <f t="shared" si="18"/>
        <v>0</v>
      </c>
      <c r="AY66" s="202">
        <f t="shared" si="19"/>
        <v>1</v>
      </c>
      <c r="AZ66" s="202">
        <f t="shared" si="20"/>
        <v>1</v>
      </c>
      <c r="BA66" s="202">
        <f t="shared" si="21"/>
        <v>0</v>
      </c>
      <c r="BB66" s="202">
        <f t="shared" si="22"/>
        <v>0</v>
      </c>
      <c r="BC66" s="202">
        <f t="shared" si="23"/>
        <v>1</v>
      </c>
      <c r="BD66" s="202">
        <f t="shared" si="31"/>
        <v>0</v>
      </c>
      <c r="BE66" s="202">
        <f t="shared" si="24"/>
        <v>0</v>
      </c>
      <c r="BF66" s="202">
        <f t="shared" si="25"/>
        <v>0</v>
      </c>
      <c r="BG66" s="202">
        <f t="shared" si="26"/>
        <v>0</v>
      </c>
      <c r="BH66" s="202">
        <f t="shared" si="27"/>
        <v>1</v>
      </c>
      <c r="BI66" s="202">
        <f t="shared" si="28"/>
        <v>0</v>
      </c>
      <c r="BJ66" s="202">
        <f t="shared" si="29"/>
        <v>0</v>
      </c>
      <c r="BK66">
        <f t="shared" si="30"/>
        <v>4</v>
      </c>
    </row>
    <row r="67" spans="1:63" x14ac:dyDescent="0.3">
      <c r="A67" s="207" t="s">
        <v>124</v>
      </c>
      <c r="B67" s="204">
        <f>COUNTIF(TT!$D$4:$D$9,TALLY!A67)</f>
        <v>0</v>
      </c>
      <c r="C67" s="204">
        <f>COUNTIF(TT!$D$15:$D$28,TALLY!A67)</f>
        <v>0</v>
      </c>
      <c r="D67" s="204">
        <f>COUNTIF(TT!$D$34:$D$41,TALLY!A67)</f>
        <v>0</v>
      </c>
      <c r="E67" s="202">
        <f>COUNTIF(TT!$D$47:$D$60,TALLY!A67)</f>
        <v>0</v>
      </c>
      <c r="F67" s="202">
        <f>COUNTIF(TT!$D$66:$D$79,TALLY!A67)</f>
        <v>1</v>
      </c>
      <c r="G67" s="202">
        <f>COUNTIF(TT!$D$84:$D$93,TALLY!A67)</f>
        <v>0</v>
      </c>
      <c r="H67" s="205">
        <f>COUNTIF(TT!$D$98:$D$106,TALLY!A67)</f>
        <v>0</v>
      </c>
      <c r="I67" s="205">
        <f>COUNTIF(TT!$D$111:$D$121,TALLY!A67)</f>
        <v>0</v>
      </c>
      <c r="J67" s="205">
        <f>COUNTIF(TT!$D$126:$D$134,TALLY!A67)</f>
        <v>0</v>
      </c>
      <c r="K67" s="202">
        <f>COUNTIF(TT!$D$139:$D$151,TALLY!A67)</f>
        <v>1</v>
      </c>
      <c r="L67" s="202">
        <f>COUNTIF(TT!$D$156:$D$164,TALLY!A67)</f>
        <v>0</v>
      </c>
      <c r="M67" s="202">
        <f>COUNTIF(TT!$D$169:$D$180,TALLY!A67)</f>
        <v>0</v>
      </c>
      <c r="N67" s="205">
        <f>COUNTIF(TT!$D$185:$D$197,TALLY!A67)</f>
        <v>0</v>
      </c>
      <c r="O67" s="205">
        <f>COUNTIF(TT!$D$202:$D$208,TALLY!A67)</f>
        <v>0</v>
      </c>
      <c r="P67" s="205">
        <f>COUNTIF(TT!$D$213:$D$220,TALLY!A67)</f>
        <v>0</v>
      </c>
      <c r="Q67" s="204">
        <f>COUNTIF(TT!$D$225:$D$239,TALLY!A67)</f>
        <v>0</v>
      </c>
      <c r="R67" s="204">
        <f>COUNTIF(TT!$D$244:$D$254,TALLY!A67)</f>
        <v>0</v>
      </c>
      <c r="S67" s="204">
        <f>COUNTIF(TT!$D$259:$D$268,TALLY!A67)</f>
        <v>0</v>
      </c>
      <c r="T67" s="205">
        <f>COUNTIF(TT!$D$271:$D$282,TALLY!A67)</f>
        <v>0</v>
      </c>
      <c r="U67" s="205">
        <f>COUNTIF(TT!$D$287:$D$298,TALLY!A67)</f>
        <v>0</v>
      </c>
      <c r="V67" s="205">
        <f>COUNTIF(TT!$D$303:$D$311,TALLY!A67)</f>
        <v>1</v>
      </c>
      <c r="W67" s="202">
        <f>COUNTIF(TT!$D$316:$D$337,TALLY!A67)</f>
        <v>0</v>
      </c>
      <c r="X67" s="202">
        <f>COUNTIF(TT!$D$342:$D$350,TALLY!A67)</f>
        <v>0</v>
      </c>
      <c r="Y67" s="202">
        <f>COUNTIF(TT!$D$357:$D$365,TALLY!A67)</f>
        <v>0</v>
      </c>
      <c r="Z67" s="205">
        <f>COUNTIF(TT!$D$370:$D$377,TALLY!A67)</f>
        <v>0</v>
      </c>
      <c r="AA67" s="205">
        <f>COUNTIF(TT!$D$382:$D$393,TALLY!A67)</f>
        <v>0</v>
      </c>
      <c r="AB67" s="205">
        <f>COUNTIF(TT!$D$398:$D$408,TALLY!A67)</f>
        <v>0</v>
      </c>
      <c r="AC67" s="202">
        <f>COUNTIF(TT!$D$413:$D$425,TALLY!A67)</f>
        <v>0</v>
      </c>
      <c r="AD67" s="202">
        <f>COUNTIF(TT!$D$430:$D$447,TALLY!A67)</f>
        <v>1</v>
      </c>
      <c r="AE67" s="202">
        <f>COUNTIF(TT!$D$454:$D$466,TALLY!A67)</f>
        <v>0</v>
      </c>
      <c r="AF67" s="204">
        <f>COUNTIF(TT!$D$471:$D$480,TALLY!A67)</f>
        <v>0</v>
      </c>
      <c r="AG67" s="204">
        <f>COUNTIF(TT!$D$487:$D$496,TALLY!A67)</f>
        <v>0</v>
      </c>
      <c r="AH67" s="204">
        <f>COUNTIF(TT!$D$501:$D$517,TALLY!A67)</f>
        <v>0</v>
      </c>
      <c r="AI67" s="202">
        <f>COUNTIF(TT!$D$522:$D$533,TALLY!A67)</f>
        <v>0</v>
      </c>
      <c r="AJ67" s="202">
        <f>COUNTIF(TT!$D$538:$D$550,TALLY!A67)</f>
        <v>1</v>
      </c>
      <c r="AK67" s="202">
        <f>COUNTIF(TT!$D$555:$D$569,TALLY!A67)</f>
        <v>0</v>
      </c>
      <c r="AL67" s="205">
        <f>COUNTIF(TT!$D$574:$D$582,TALLY!A67)</f>
        <v>0</v>
      </c>
      <c r="AM67" s="205">
        <f>COUNTIF(TT!$D$587:$D$593,TALLY!A67)</f>
        <v>0</v>
      </c>
      <c r="AN67" s="205">
        <f>COUNTIF(TT!$D$598:$D$606,TALLY!A67)</f>
        <v>0</v>
      </c>
      <c r="AO67" s="202">
        <f>COUNTIF(TT!$D$611:$D$620,TALLY!A67)</f>
        <v>0</v>
      </c>
      <c r="AP67" s="202">
        <f>COUNTIF(TT!$D$627:$D$639,TALLY!A67)</f>
        <v>0</v>
      </c>
      <c r="AQ67" s="202">
        <f>COUNTIF(TT!$D$645:$D$657,TALLY!A67)</f>
        <v>1</v>
      </c>
      <c r="AR67" s="205">
        <f>COUNTIF(TT!$D$663:$D$671,TALLY!A67)</f>
        <v>0</v>
      </c>
      <c r="AS67" s="205">
        <f>COUNTIF(TT!$D$677:$D$685,TALLY!A67)</f>
        <v>0</v>
      </c>
      <c r="AT67" s="205">
        <f>COUNTIF(TT!$D$689:$D$698,TALLY!A67)</f>
        <v>0</v>
      </c>
      <c r="AU67" s="207" t="s">
        <v>124</v>
      </c>
      <c r="AV67" s="202">
        <f t="shared" ref="AV67:AV74" si="32">SUM($B67:$D67)</f>
        <v>0</v>
      </c>
      <c r="AW67" s="202">
        <f t="shared" ref="AW67:AW74" si="33">SUM($E67:$G67)</f>
        <v>1</v>
      </c>
      <c r="AX67" s="202">
        <f t="shared" ref="AX67:AX74" si="34">SUM($H67:$J67)</f>
        <v>0</v>
      </c>
      <c r="AY67" s="202">
        <f t="shared" ref="AY67:AY74" si="35">SUM($K67:$M67)</f>
        <v>1</v>
      </c>
      <c r="AZ67" s="202">
        <f t="shared" ref="AZ67:AZ74" si="36">SUM($N67:$P67)</f>
        <v>0</v>
      </c>
      <c r="BA67" s="202">
        <f t="shared" ref="BA67:BA74" si="37">SUM($Q67:$S67)</f>
        <v>0</v>
      </c>
      <c r="BB67" s="202">
        <f t="shared" ref="BB67:BB74" si="38">SUM($T67:$V67)</f>
        <v>1</v>
      </c>
      <c r="BC67" s="202">
        <f t="shared" ref="BC67:BC74" si="39">SUM($W67:$Y67)</f>
        <v>0</v>
      </c>
      <c r="BD67" s="202">
        <f t="shared" si="31"/>
        <v>0</v>
      </c>
      <c r="BE67" s="202">
        <f t="shared" ref="BE67:BE74" si="40">SUM($AC67:$AE67)</f>
        <v>1</v>
      </c>
      <c r="BF67" s="202">
        <f t="shared" ref="BF67:BF74" si="41">SUM($AF67:$AH67)</f>
        <v>0</v>
      </c>
      <c r="BG67" s="202">
        <f t="shared" ref="BG67:BG74" si="42">SUM($AI67:$AK67)</f>
        <v>1</v>
      </c>
      <c r="BH67" s="202">
        <f t="shared" ref="BH67:BH74" si="43">SUM($AL67:$AN67)</f>
        <v>0</v>
      </c>
      <c r="BI67" s="202">
        <f t="shared" ref="BI67:BI74" si="44">SUM($AO67:$AQ67)</f>
        <v>1</v>
      </c>
      <c r="BJ67" s="202">
        <f t="shared" ref="BJ67:BJ74" si="45">SUM($AR67:$AT67)</f>
        <v>0</v>
      </c>
      <c r="BK67">
        <f t="shared" ref="BK67:BK98" si="46">SUM(AV67:BJ67)</f>
        <v>6</v>
      </c>
    </row>
    <row r="68" spans="1:63" x14ac:dyDescent="0.3">
      <c r="A68" s="207" t="s">
        <v>69</v>
      </c>
      <c r="B68" s="204">
        <f>COUNTIF(TT!$D$4:$D$9,TALLY!A68)</f>
        <v>0</v>
      </c>
      <c r="C68" s="204">
        <f>COUNTIF(TT!$D$15:$D$28,TALLY!A68)</f>
        <v>0</v>
      </c>
      <c r="D68" s="204">
        <f>COUNTIF(TT!$D$34:$D$41,TALLY!A68)</f>
        <v>1</v>
      </c>
      <c r="E68" s="202">
        <f>COUNTIF(TT!$D$47:$D$60,TALLY!A68)</f>
        <v>0</v>
      </c>
      <c r="F68" s="202">
        <f>COUNTIF(TT!$D$66:$D$79,TALLY!A68)</f>
        <v>0</v>
      </c>
      <c r="G68" s="202">
        <f>COUNTIF(TT!$D$84:$D$93,TALLY!A68)</f>
        <v>0</v>
      </c>
      <c r="H68" s="205">
        <f>COUNTIF(TT!$D$98:$D$106,TALLY!A68)</f>
        <v>0</v>
      </c>
      <c r="I68" s="205">
        <f>COUNTIF(TT!$D$111:$D$121,TALLY!A68)</f>
        <v>1</v>
      </c>
      <c r="J68" s="205">
        <f>COUNTIF(TT!$D$126:$D$134,TALLY!A68)</f>
        <v>0</v>
      </c>
      <c r="K68" s="202">
        <f>COUNTIF(TT!$D$139:$D$151,TALLY!A68)</f>
        <v>0</v>
      </c>
      <c r="L68" s="202">
        <f>COUNTIF(TT!$D$156:$D$164,TALLY!A68)</f>
        <v>0</v>
      </c>
      <c r="M68" s="202">
        <f>COUNTIF(TT!$D$169:$D$180,TALLY!A68)</f>
        <v>0</v>
      </c>
      <c r="N68" s="205">
        <f>COUNTIF(TT!$D$185:$D$197,TALLY!A68)</f>
        <v>1</v>
      </c>
      <c r="O68" s="205">
        <f>COUNTIF(TT!$D$202:$D$208,TALLY!A68)</f>
        <v>0</v>
      </c>
      <c r="P68" s="205">
        <f>COUNTIF(TT!$D$213:$D$220,TALLY!A68)</f>
        <v>0</v>
      </c>
      <c r="Q68" s="204">
        <f>COUNTIF(TT!$D$225:$D$239,TALLY!A68)</f>
        <v>0</v>
      </c>
      <c r="R68" s="204">
        <f>COUNTIF(TT!$D$244:$D$254,TALLY!A68)</f>
        <v>0</v>
      </c>
      <c r="S68" s="204">
        <f>COUNTIF(TT!$D$259:$D$268,TALLY!A68)</f>
        <v>0</v>
      </c>
      <c r="T68" s="205">
        <f>COUNTIF(TT!$D$271:$D$282,TALLY!A68)</f>
        <v>0</v>
      </c>
      <c r="U68" s="205">
        <f>COUNTIF(TT!$D$287:$D$298,TALLY!A68)</f>
        <v>0</v>
      </c>
      <c r="V68" s="205">
        <f>COUNTIF(TT!$D$303:$D$311,TALLY!A68)</f>
        <v>1</v>
      </c>
      <c r="W68" s="202">
        <f>COUNTIF(TT!$D$316:$D$337,TALLY!A68)</f>
        <v>0</v>
      </c>
      <c r="X68" s="202">
        <f>COUNTIF(TT!$D$342:$D$350,TALLY!A68)</f>
        <v>0</v>
      </c>
      <c r="Y68" s="202">
        <f>COUNTIF(TT!$D$357:$D$365,TALLY!A68)</f>
        <v>0</v>
      </c>
      <c r="Z68" s="205">
        <f>COUNTIF(TT!$D$370:$D$377,TALLY!A68)</f>
        <v>0</v>
      </c>
      <c r="AA68" s="205">
        <f>COUNTIF(TT!$D$382:$D$393,TALLY!A68)</f>
        <v>0</v>
      </c>
      <c r="AB68" s="205">
        <f>COUNTIF(TT!$D$398:$D$408,TALLY!A68)</f>
        <v>0</v>
      </c>
      <c r="AC68" s="202">
        <f>COUNTIF(TT!$D$413:$D$425,TALLY!A68)</f>
        <v>0</v>
      </c>
      <c r="AD68" s="202">
        <f>COUNTIF(TT!$D$430:$D$447,TALLY!A68)</f>
        <v>0</v>
      </c>
      <c r="AE68" s="202">
        <f>COUNTIF(TT!$D$454:$D$466,TALLY!A68)</f>
        <v>0</v>
      </c>
      <c r="AF68" s="204">
        <f>COUNTIF(TT!$D$471:$D$480,TALLY!A68)</f>
        <v>0</v>
      </c>
      <c r="AG68" s="204">
        <f>COUNTIF(TT!$D$487:$D$496,TALLY!A68)</f>
        <v>0</v>
      </c>
      <c r="AH68" s="204">
        <f>COUNTIF(TT!$D$501:$D$517,TALLY!A68)</f>
        <v>0</v>
      </c>
      <c r="AI68" s="202">
        <f>COUNTIF(TT!$D$522:$D$533,TALLY!A68)</f>
        <v>0</v>
      </c>
      <c r="AJ68" s="202">
        <f>COUNTIF(TT!$D$538:$D$550,TALLY!A68)</f>
        <v>0</v>
      </c>
      <c r="AK68" s="202">
        <f>COUNTIF(TT!$D$555:$D$569,TALLY!A68)</f>
        <v>1</v>
      </c>
      <c r="AL68" s="205">
        <f>COUNTIF(TT!$D$574:$D$582,TALLY!A68)</f>
        <v>0</v>
      </c>
      <c r="AM68" s="205">
        <f>COUNTIF(TT!$D$587:$D$593,TALLY!A68)</f>
        <v>0</v>
      </c>
      <c r="AN68" s="205">
        <f>COUNTIF(TT!$D$598:$D$606,TALLY!A68)</f>
        <v>0</v>
      </c>
      <c r="AO68" s="202">
        <f>COUNTIF(TT!$D$611:$D$620,TALLY!A68)</f>
        <v>0</v>
      </c>
      <c r="AP68" s="202">
        <f>COUNTIF(TT!$D$627:$D$639,TALLY!A68)</f>
        <v>0</v>
      </c>
      <c r="AQ68" s="202">
        <f>COUNTIF(TT!$D$645:$D$657,TALLY!A68)</f>
        <v>1</v>
      </c>
      <c r="AR68" s="205">
        <f>COUNTIF(TT!$D$663:$D$671,TALLY!A68)</f>
        <v>0</v>
      </c>
      <c r="AS68" s="205">
        <f>COUNTIF(TT!$D$677:$D$685,TALLY!A68)</f>
        <v>0</v>
      </c>
      <c r="AT68" s="205">
        <f>COUNTIF(TT!$D$689:$D$698,TALLY!A68)</f>
        <v>0</v>
      </c>
      <c r="AU68" s="207" t="s">
        <v>69</v>
      </c>
      <c r="AV68" s="202">
        <f t="shared" si="32"/>
        <v>1</v>
      </c>
      <c r="AW68" s="202">
        <f t="shared" si="33"/>
        <v>0</v>
      </c>
      <c r="AX68" s="202">
        <f t="shared" si="34"/>
        <v>1</v>
      </c>
      <c r="AY68" s="202">
        <f t="shared" si="35"/>
        <v>0</v>
      </c>
      <c r="AZ68" s="202">
        <f t="shared" si="36"/>
        <v>1</v>
      </c>
      <c r="BA68" s="202">
        <f t="shared" si="37"/>
        <v>0</v>
      </c>
      <c r="BB68" s="202">
        <f t="shared" si="38"/>
        <v>1</v>
      </c>
      <c r="BC68" s="202">
        <f t="shared" si="39"/>
        <v>0</v>
      </c>
      <c r="BD68" s="202">
        <f t="shared" si="31"/>
        <v>0</v>
      </c>
      <c r="BE68" s="202">
        <f t="shared" si="40"/>
        <v>0</v>
      </c>
      <c r="BF68" s="202">
        <f t="shared" si="41"/>
        <v>0</v>
      </c>
      <c r="BG68" s="202">
        <f t="shared" si="42"/>
        <v>1</v>
      </c>
      <c r="BH68" s="202">
        <f t="shared" si="43"/>
        <v>0</v>
      </c>
      <c r="BI68" s="202">
        <f t="shared" si="44"/>
        <v>1</v>
      </c>
      <c r="BJ68" s="202">
        <f t="shared" si="45"/>
        <v>0</v>
      </c>
      <c r="BK68">
        <f t="shared" si="46"/>
        <v>6</v>
      </c>
    </row>
    <row r="69" spans="1:63" x14ac:dyDescent="0.3">
      <c r="A69" s="208" t="s">
        <v>67</v>
      </c>
      <c r="B69" s="204">
        <f>COUNTIF(TT!$D$4:$D$9,TALLY!A69)</f>
        <v>0</v>
      </c>
      <c r="C69" s="204">
        <f>COUNTIF(TT!$D$15:$D$28,TALLY!A69)</f>
        <v>0</v>
      </c>
      <c r="D69" s="204">
        <f>COUNTIF(TT!$D$34:$D$41,TALLY!A69)</f>
        <v>1</v>
      </c>
      <c r="E69" s="202">
        <f>COUNTIF(TT!$D$47:$D$60,TALLY!A69)</f>
        <v>0</v>
      </c>
      <c r="F69" s="202">
        <f>COUNTIF(TT!$D$66:$D$79,TALLY!A69)</f>
        <v>1</v>
      </c>
      <c r="G69" s="202">
        <f>COUNTIF(TT!$D$84:$D$93,TALLY!A69)</f>
        <v>0</v>
      </c>
      <c r="H69" s="205">
        <f>COUNTIF(TT!$D$98:$D$106,TALLY!A69)</f>
        <v>0</v>
      </c>
      <c r="I69" s="205">
        <f>COUNTIF(TT!$D$111:$D$121,TALLY!A69)</f>
        <v>0</v>
      </c>
      <c r="J69" s="205">
        <f>COUNTIF(TT!$D$126:$D$134,TALLY!A69)</f>
        <v>0</v>
      </c>
      <c r="K69" s="202">
        <f>COUNTIF(TT!$D$139:$D$151,TALLY!A69)</f>
        <v>1</v>
      </c>
      <c r="L69" s="202">
        <f>COUNTIF(TT!$D$156:$D$164,TALLY!A69)</f>
        <v>0</v>
      </c>
      <c r="M69" s="202">
        <f>COUNTIF(TT!$D$169:$D$180,TALLY!A69)</f>
        <v>0</v>
      </c>
      <c r="N69" s="205">
        <f>COUNTIF(TT!$D$185:$D$197,TALLY!A69)</f>
        <v>0</v>
      </c>
      <c r="O69" s="205">
        <f>COUNTIF(TT!$D$202:$D$208,TALLY!A69)</f>
        <v>0</v>
      </c>
      <c r="P69" s="205">
        <f>COUNTIF(TT!$D$213:$D$220,TALLY!A69)</f>
        <v>0</v>
      </c>
      <c r="Q69" s="204">
        <f>COUNTIF(TT!$D$225:$D$239,TALLY!A69)</f>
        <v>0</v>
      </c>
      <c r="R69" s="204">
        <f>COUNTIF(TT!$D$244:$D$254,TALLY!A69)</f>
        <v>0</v>
      </c>
      <c r="S69" s="204">
        <f>COUNTIF(TT!$D$259:$D$268,TALLY!A69)</f>
        <v>0</v>
      </c>
      <c r="T69" s="205">
        <f>COUNTIF(TT!$D$271:$D$282,TALLY!A69)</f>
        <v>0</v>
      </c>
      <c r="U69" s="205">
        <f>COUNTIF(TT!$D$287:$D$298,TALLY!A69)</f>
        <v>0</v>
      </c>
      <c r="V69" s="205">
        <f>COUNTIF(TT!$D$303:$D$311,TALLY!A69)</f>
        <v>1</v>
      </c>
      <c r="W69" s="202">
        <f>COUNTIF(TT!$D$316:$D$337,TALLY!A69)</f>
        <v>0</v>
      </c>
      <c r="X69" s="202">
        <f>COUNTIF(TT!$D$342:$D$350,TALLY!A69)</f>
        <v>0</v>
      </c>
      <c r="Y69" s="202">
        <f>COUNTIF(TT!$D$357:$D$365,TALLY!A69)</f>
        <v>1</v>
      </c>
      <c r="Z69" s="205">
        <f>COUNTIF(TT!$D$370:$D$377,TALLY!A69)</f>
        <v>0</v>
      </c>
      <c r="AA69" s="205">
        <f>COUNTIF(TT!$D$382:$D$393,TALLY!A69)</f>
        <v>0</v>
      </c>
      <c r="AB69" s="205">
        <f>COUNTIF(TT!$D$398:$D$408,TALLY!A69)</f>
        <v>0</v>
      </c>
      <c r="AC69" s="202">
        <f>COUNTIF(TT!$D$413:$D$425,TALLY!A69)</f>
        <v>0</v>
      </c>
      <c r="AD69" s="202">
        <f>COUNTIF(TT!$D$430:$D$447,TALLY!A69)</f>
        <v>1</v>
      </c>
      <c r="AE69" s="202">
        <f>COUNTIF(TT!$D$454:$D$466,TALLY!A69)</f>
        <v>0</v>
      </c>
      <c r="AF69" s="204">
        <f>COUNTIF(TT!$D$471:$D$480,TALLY!A69)</f>
        <v>0</v>
      </c>
      <c r="AG69" s="204">
        <f>COUNTIF(TT!$D$487:$D$496,TALLY!A69)</f>
        <v>0</v>
      </c>
      <c r="AH69" s="204">
        <f>COUNTIF(TT!$D$501:$D$517,TALLY!A69)</f>
        <v>1</v>
      </c>
      <c r="AI69" s="202">
        <f>COUNTIF(TT!$D$522:$D$533,TALLY!A69)</f>
        <v>0</v>
      </c>
      <c r="AJ69" s="202">
        <f>COUNTIF(TT!$D$538:$D$550,TALLY!A69)</f>
        <v>0</v>
      </c>
      <c r="AK69" s="202">
        <f>COUNTIF(TT!$D$555:$D$569,TALLY!A69)</f>
        <v>0</v>
      </c>
      <c r="AL69" s="205">
        <f>COUNTIF(TT!$D$574:$D$582,TALLY!A69)</f>
        <v>1</v>
      </c>
      <c r="AM69" s="205">
        <f>COUNTIF(TT!$D$587:$D$593,TALLY!A69)</f>
        <v>0</v>
      </c>
      <c r="AN69" s="205">
        <f>COUNTIF(TT!$D$598:$D$606,TALLY!A69)</f>
        <v>0</v>
      </c>
      <c r="AO69" s="202">
        <f>COUNTIF(TT!$D$611:$D$620,TALLY!A69)</f>
        <v>0</v>
      </c>
      <c r="AP69" s="202">
        <f>COUNTIF(TT!$D$627:$D$639,TALLY!A69)</f>
        <v>0</v>
      </c>
      <c r="AQ69" s="202">
        <f>COUNTIF(TT!$D$645:$D$657,TALLY!A69)</f>
        <v>0</v>
      </c>
      <c r="AR69" s="205">
        <f>COUNTIF(TT!$D$663:$D$671,TALLY!A69)</f>
        <v>0</v>
      </c>
      <c r="AS69" s="205">
        <f>COUNTIF(TT!$D$677:$D$685,TALLY!A69)</f>
        <v>0</v>
      </c>
      <c r="AT69" s="205">
        <f>COUNTIF(TT!$D$689:$D$698,TALLY!A69)</f>
        <v>0</v>
      </c>
      <c r="AU69" s="207" t="s">
        <v>67</v>
      </c>
      <c r="AV69" s="202">
        <f t="shared" si="32"/>
        <v>1</v>
      </c>
      <c r="AW69" s="202">
        <f t="shared" si="33"/>
        <v>1</v>
      </c>
      <c r="AX69" s="202">
        <f t="shared" si="34"/>
        <v>0</v>
      </c>
      <c r="AY69" s="202">
        <f t="shared" si="35"/>
        <v>1</v>
      </c>
      <c r="AZ69" s="202">
        <f t="shared" si="36"/>
        <v>0</v>
      </c>
      <c r="BA69" s="202">
        <f t="shared" si="37"/>
        <v>0</v>
      </c>
      <c r="BB69" s="202">
        <f t="shared" si="38"/>
        <v>1</v>
      </c>
      <c r="BC69" s="202">
        <f t="shared" si="39"/>
        <v>1</v>
      </c>
      <c r="BD69" s="202">
        <f t="shared" ref="BD69:BD74" si="47">SUM($Z69:$AB69)</f>
        <v>0</v>
      </c>
      <c r="BE69" s="202">
        <f t="shared" si="40"/>
        <v>1</v>
      </c>
      <c r="BF69" s="202">
        <f t="shared" si="41"/>
        <v>1</v>
      </c>
      <c r="BG69" s="202">
        <f t="shared" si="42"/>
        <v>0</v>
      </c>
      <c r="BH69" s="202">
        <f t="shared" si="43"/>
        <v>1</v>
      </c>
      <c r="BI69" s="202">
        <f t="shared" si="44"/>
        <v>0</v>
      </c>
      <c r="BJ69" s="202">
        <f t="shared" si="45"/>
        <v>0</v>
      </c>
      <c r="BK69">
        <f t="shared" si="46"/>
        <v>8</v>
      </c>
    </row>
    <row r="70" spans="1:63" x14ac:dyDescent="0.3">
      <c r="A70" s="207" t="s">
        <v>136</v>
      </c>
      <c r="B70" s="204">
        <f>COUNTIF(TT!$D$4:$D$9,TALLY!A70)</f>
        <v>0</v>
      </c>
      <c r="C70" s="204">
        <f>COUNTIF(TT!$D$15:$D$28,TALLY!A70)</f>
        <v>0</v>
      </c>
      <c r="D70" s="204">
        <f>COUNTIF(TT!$D$34:$D$41,TALLY!A70)</f>
        <v>0</v>
      </c>
      <c r="E70" s="202">
        <f>COUNTIF(TT!$D$47:$D$60,TALLY!A70)</f>
        <v>0</v>
      </c>
      <c r="F70" s="202">
        <f>COUNTIF(TT!$D$66:$D$79,TALLY!A70)</f>
        <v>0</v>
      </c>
      <c r="G70" s="202">
        <f>COUNTIF(TT!$D$84:$D$93,TALLY!A70)</f>
        <v>1</v>
      </c>
      <c r="H70" s="205">
        <f>COUNTIF(TT!$D$98:$D$106,TALLY!A70)</f>
        <v>0</v>
      </c>
      <c r="I70" s="205">
        <f>COUNTIF(TT!$D$111:$D$121,TALLY!A70)</f>
        <v>0</v>
      </c>
      <c r="J70" s="205">
        <f>COUNTIF(TT!$D$126:$D$134,TALLY!A70)</f>
        <v>0</v>
      </c>
      <c r="K70" s="202">
        <f>COUNTIF(TT!$D$139:$D$151,TALLY!A70)</f>
        <v>0</v>
      </c>
      <c r="L70" s="202">
        <f>COUNTIF(TT!$D$156:$D$164,TALLY!A70)</f>
        <v>0</v>
      </c>
      <c r="M70" s="202">
        <f>COUNTIF(TT!$D$169:$D$180,TALLY!A70)</f>
        <v>0</v>
      </c>
      <c r="N70" s="205">
        <f>COUNTIF(TT!$D$185:$D$197,TALLY!A70)</f>
        <v>1</v>
      </c>
      <c r="O70" s="205">
        <f>COUNTIF(TT!$D$202:$D$208,TALLY!A70)</f>
        <v>0</v>
      </c>
      <c r="P70" s="205">
        <f>COUNTIF(TT!$D$213:$D$220,TALLY!A70)</f>
        <v>0</v>
      </c>
      <c r="Q70" s="204">
        <f>COUNTIF(TT!$D$225:$D$239,TALLY!A70)</f>
        <v>0</v>
      </c>
      <c r="R70" s="204">
        <f>COUNTIF(TT!$D$244:$D$254,TALLY!A70)</f>
        <v>0</v>
      </c>
      <c r="S70" s="204">
        <f>COUNTIF(TT!$D$259:$D$268,TALLY!A70)</f>
        <v>0</v>
      </c>
      <c r="T70" s="205">
        <f>COUNTIF(TT!$D$271:$D$282,TALLY!A70)</f>
        <v>0</v>
      </c>
      <c r="U70" s="205">
        <f>COUNTIF(TT!$D$287:$D$298,TALLY!A70)</f>
        <v>1</v>
      </c>
      <c r="V70" s="205">
        <f>COUNTIF(TT!$D$303:$D$311,TALLY!A70)</f>
        <v>0</v>
      </c>
      <c r="W70" s="202">
        <f>COUNTIF(TT!$D$316:$D$337,TALLY!A70)</f>
        <v>0</v>
      </c>
      <c r="X70" s="202">
        <f>COUNTIF(TT!$D$342:$D$350,TALLY!A70)</f>
        <v>0</v>
      </c>
      <c r="Y70" s="202">
        <f>COUNTIF(TT!$D$357:$D$365,TALLY!A70)</f>
        <v>0</v>
      </c>
      <c r="Z70" s="205">
        <f>COUNTIF(TT!$D$370:$D$377,TALLY!A70)</f>
        <v>0</v>
      </c>
      <c r="AA70" s="205">
        <f>COUNTIF(TT!$D$382:$D$393,TALLY!A70)</f>
        <v>0</v>
      </c>
      <c r="AB70" s="205">
        <f>COUNTIF(TT!$D$398:$D$408,TALLY!A70)</f>
        <v>0</v>
      </c>
      <c r="AC70" s="202">
        <f>COUNTIF(TT!$D$413:$D$425,TALLY!A70)</f>
        <v>0</v>
      </c>
      <c r="AD70" s="202">
        <f>COUNTIF(TT!$D$430:$D$447,TALLY!A70)</f>
        <v>1</v>
      </c>
      <c r="AE70" s="202">
        <f>COUNTIF(TT!$D$454:$D$466,TALLY!A70)</f>
        <v>0</v>
      </c>
      <c r="AF70" s="204">
        <f>COUNTIF(TT!$D$471:$D$480,TALLY!A70)</f>
        <v>0</v>
      </c>
      <c r="AG70" s="204">
        <f>COUNTIF(TT!$D$487:$D$496,TALLY!A70)</f>
        <v>0</v>
      </c>
      <c r="AH70" s="204">
        <f>COUNTIF(TT!$D$501:$D$517,TALLY!A70)</f>
        <v>0</v>
      </c>
      <c r="AI70" s="202">
        <f>COUNTIF(TT!$D$522:$D$533,TALLY!A70)</f>
        <v>0</v>
      </c>
      <c r="AJ70" s="202">
        <f>COUNTIF(TT!$D$538:$D$550,TALLY!A70)</f>
        <v>0</v>
      </c>
      <c r="AK70" s="202">
        <f>COUNTIF(TT!$D$555:$D$569,TALLY!A70)</f>
        <v>1</v>
      </c>
      <c r="AL70" s="205">
        <f>COUNTIF(TT!$D$574:$D$582,TALLY!A70)</f>
        <v>0</v>
      </c>
      <c r="AM70" s="205">
        <f>COUNTIF(TT!$D$587:$D$593,TALLY!A70)</f>
        <v>0</v>
      </c>
      <c r="AN70" s="205">
        <f>COUNTIF(TT!$D$598:$D$606,TALLY!A70)</f>
        <v>0</v>
      </c>
      <c r="AO70" s="202">
        <f>COUNTIF(TT!$D$611:$D$620,TALLY!A70)</f>
        <v>0</v>
      </c>
      <c r="AP70" s="202">
        <f>COUNTIF(TT!$D$627:$D$639,TALLY!A70)</f>
        <v>0</v>
      </c>
      <c r="AQ70" s="202">
        <f>COUNTIF(TT!$D$645:$D$657,TALLY!A70)</f>
        <v>0</v>
      </c>
      <c r="AR70" s="205">
        <f>COUNTIF(TT!$D$663:$D$671,TALLY!A70)</f>
        <v>0</v>
      </c>
      <c r="AS70" s="205">
        <f>COUNTIF(TT!$D$677:$D$685,TALLY!A70)</f>
        <v>0</v>
      </c>
      <c r="AT70" s="205">
        <f>COUNTIF(TT!$D$689:$D$698,TALLY!A70)</f>
        <v>0</v>
      </c>
      <c r="AU70" s="207" t="s">
        <v>136</v>
      </c>
      <c r="AV70" s="202">
        <f t="shared" si="32"/>
        <v>0</v>
      </c>
      <c r="AW70" s="202">
        <f t="shared" si="33"/>
        <v>1</v>
      </c>
      <c r="AX70" s="202">
        <f t="shared" si="34"/>
        <v>0</v>
      </c>
      <c r="AY70" s="202">
        <f t="shared" si="35"/>
        <v>0</v>
      </c>
      <c r="AZ70" s="202">
        <f t="shared" si="36"/>
        <v>1</v>
      </c>
      <c r="BA70" s="202">
        <f t="shared" si="37"/>
        <v>0</v>
      </c>
      <c r="BB70" s="202">
        <f t="shared" si="38"/>
        <v>1</v>
      </c>
      <c r="BC70" s="202">
        <f t="shared" si="39"/>
        <v>0</v>
      </c>
      <c r="BD70" s="202">
        <f t="shared" si="47"/>
        <v>0</v>
      </c>
      <c r="BE70" s="202">
        <f t="shared" si="40"/>
        <v>1</v>
      </c>
      <c r="BF70" s="202">
        <f t="shared" si="41"/>
        <v>0</v>
      </c>
      <c r="BG70" s="202">
        <f t="shared" si="42"/>
        <v>1</v>
      </c>
      <c r="BH70" s="202">
        <f t="shared" si="43"/>
        <v>0</v>
      </c>
      <c r="BI70" s="202">
        <f t="shared" si="44"/>
        <v>0</v>
      </c>
      <c r="BJ70" s="202">
        <f t="shared" si="45"/>
        <v>0</v>
      </c>
      <c r="BK70">
        <f t="shared" si="46"/>
        <v>5</v>
      </c>
    </row>
    <row r="71" spans="1:63" x14ac:dyDescent="0.3">
      <c r="A71" s="207" t="s">
        <v>135</v>
      </c>
      <c r="B71" s="204">
        <f>COUNTIF(TT!$D$4:$D$9,TALLY!A71)</f>
        <v>0</v>
      </c>
      <c r="C71" s="204">
        <f>COUNTIF(TT!$D$15:$D$28,TALLY!A71)</f>
        <v>0</v>
      </c>
      <c r="D71" s="204">
        <f>COUNTIF(TT!$D$34:$D$41,TALLY!A71)</f>
        <v>0</v>
      </c>
      <c r="E71" s="202">
        <f>COUNTIF(TT!$D$47:$D$60,TALLY!A71)</f>
        <v>0</v>
      </c>
      <c r="F71" s="202">
        <f>COUNTIF(TT!$D$66:$D$79,TALLY!A71)</f>
        <v>0</v>
      </c>
      <c r="G71" s="202">
        <f>COUNTIF(TT!$D$84:$D$93,TALLY!A71)</f>
        <v>1</v>
      </c>
      <c r="H71" s="205">
        <f>COUNTIF(TT!$D$98:$D$106,TALLY!A71)</f>
        <v>0</v>
      </c>
      <c r="I71" s="205">
        <f>COUNTIF(TT!$D$111:$D$121,TALLY!A71)</f>
        <v>0</v>
      </c>
      <c r="J71" s="205">
        <f>COUNTIF(TT!$D$126:$D$134,TALLY!A71)</f>
        <v>0</v>
      </c>
      <c r="K71" s="202">
        <f>COUNTIF(TT!$D$139:$D$151,TALLY!A71)</f>
        <v>0</v>
      </c>
      <c r="L71" s="202">
        <f>COUNTIF(TT!$D$156:$D$164,TALLY!A71)</f>
        <v>0</v>
      </c>
      <c r="M71" s="202">
        <f>COUNTIF(TT!$D$169:$D$180,TALLY!A71)</f>
        <v>0</v>
      </c>
      <c r="N71" s="205">
        <f>COUNTIF(TT!$D$185:$D$197,TALLY!A71)</f>
        <v>1</v>
      </c>
      <c r="O71" s="205">
        <f>COUNTIF(TT!$D$202:$D$208,TALLY!A71)</f>
        <v>0</v>
      </c>
      <c r="P71" s="205">
        <f>COUNTIF(TT!$D$213:$D$220,TALLY!A71)</f>
        <v>0</v>
      </c>
      <c r="Q71" s="204">
        <f>COUNTIF(TT!$D$225:$D$239,TALLY!A71)</f>
        <v>0</v>
      </c>
      <c r="R71" s="204">
        <f>COUNTIF(TT!$D$244:$D$254,TALLY!A71)</f>
        <v>0</v>
      </c>
      <c r="S71" s="204">
        <f>COUNTIF(TT!$D$259:$D$268,TALLY!A71)</f>
        <v>0</v>
      </c>
      <c r="T71" s="205">
        <f>COUNTIF(TT!$D$271:$D$282,TALLY!A71)</f>
        <v>0</v>
      </c>
      <c r="U71" s="205">
        <f>COUNTIF(TT!$D$287:$D$298,TALLY!A71)</f>
        <v>1</v>
      </c>
      <c r="V71" s="205">
        <f>COUNTIF(TT!$D$303:$D$311,TALLY!A71)</f>
        <v>0</v>
      </c>
      <c r="W71" s="202">
        <f>COUNTIF(TT!$D$316:$D$337,TALLY!A71)</f>
        <v>0</v>
      </c>
      <c r="X71" s="202">
        <f>COUNTIF(TT!$D$342:$D$350,TALLY!A71)</f>
        <v>0</v>
      </c>
      <c r="Y71" s="202">
        <f>COUNTIF(TT!$D$357:$D$365,TALLY!A71)</f>
        <v>0</v>
      </c>
      <c r="Z71" s="205">
        <f>COUNTIF(TT!$D$370:$D$377,TALLY!A71)</f>
        <v>0</v>
      </c>
      <c r="AA71" s="205">
        <f>COUNTIF(TT!$D$382:$D$393,TALLY!A71)</f>
        <v>0</v>
      </c>
      <c r="AB71" s="205">
        <f>COUNTIF(TT!$D$398:$D$408,TALLY!A71)</f>
        <v>0</v>
      </c>
      <c r="AC71" s="202">
        <f>COUNTIF(TT!$D$413:$D$425,TALLY!A71)</f>
        <v>0</v>
      </c>
      <c r="AD71" s="202">
        <f>COUNTIF(TT!$D$430:$D$447,TALLY!A71)</f>
        <v>1</v>
      </c>
      <c r="AE71" s="202">
        <f>COUNTIF(TT!$D$454:$D$466,TALLY!A71)</f>
        <v>0</v>
      </c>
      <c r="AF71" s="204">
        <f>COUNTIF(TT!$D$471:$D$480,TALLY!A71)</f>
        <v>0</v>
      </c>
      <c r="AG71" s="204">
        <f>COUNTIF(TT!$D$487:$D$496,TALLY!A71)</f>
        <v>0</v>
      </c>
      <c r="AH71" s="204">
        <f>COUNTIF(TT!$D$501:$D$517,TALLY!A71)</f>
        <v>0</v>
      </c>
      <c r="AI71" s="202">
        <f>COUNTIF(TT!$D$522:$D$533,TALLY!A71)</f>
        <v>0</v>
      </c>
      <c r="AJ71" s="202">
        <f>COUNTIF(TT!$D$538:$D$550,TALLY!A71)</f>
        <v>0</v>
      </c>
      <c r="AK71" s="202">
        <f>COUNTIF(TT!$D$555:$D$569,TALLY!A71)</f>
        <v>1</v>
      </c>
      <c r="AL71" s="205">
        <f>COUNTIF(TT!$D$574:$D$582,TALLY!A71)</f>
        <v>0</v>
      </c>
      <c r="AM71" s="205">
        <f>COUNTIF(TT!$D$587:$D$593,TALLY!A71)</f>
        <v>0</v>
      </c>
      <c r="AN71" s="205">
        <f>COUNTIF(TT!$D$598:$D$606,TALLY!A71)</f>
        <v>0</v>
      </c>
      <c r="AO71" s="202">
        <f>COUNTIF(TT!$D$611:$D$620,TALLY!A71)</f>
        <v>0</v>
      </c>
      <c r="AP71" s="202">
        <f>COUNTIF(TT!$D$627:$D$639,TALLY!A71)</f>
        <v>0</v>
      </c>
      <c r="AQ71" s="202">
        <f>COUNTIF(TT!$D$645:$D$657,TALLY!A71)</f>
        <v>0</v>
      </c>
      <c r="AR71" s="205">
        <f>COUNTIF(TT!$D$663:$D$671,TALLY!A71)</f>
        <v>0</v>
      </c>
      <c r="AS71" s="205">
        <f>COUNTIF(TT!$D$677:$D$685,TALLY!A71)</f>
        <v>0</v>
      </c>
      <c r="AT71" s="205">
        <f>COUNTIF(TT!$D$689:$D$698,TALLY!A71)</f>
        <v>0</v>
      </c>
      <c r="AU71" s="207" t="s">
        <v>135</v>
      </c>
      <c r="AV71" s="202">
        <f t="shared" si="32"/>
        <v>0</v>
      </c>
      <c r="AW71" s="202">
        <f t="shared" si="33"/>
        <v>1</v>
      </c>
      <c r="AX71" s="202">
        <f t="shared" si="34"/>
        <v>0</v>
      </c>
      <c r="AY71" s="202">
        <f t="shared" si="35"/>
        <v>0</v>
      </c>
      <c r="AZ71" s="202">
        <f t="shared" si="36"/>
        <v>1</v>
      </c>
      <c r="BA71" s="202">
        <f t="shared" si="37"/>
        <v>0</v>
      </c>
      <c r="BB71" s="202">
        <f t="shared" si="38"/>
        <v>1</v>
      </c>
      <c r="BC71" s="202">
        <f t="shared" si="39"/>
        <v>0</v>
      </c>
      <c r="BD71" s="202">
        <f t="shared" si="47"/>
        <v>0</v>
      </c>
      <c r="BE71" s="202">
        <f t="shared" si="40"/>
        <v>1</v>
      </c>
      <c r="BF71" s="202">
        <f t="shared" si="41"/>
        <v>0</v>
      </c>
      <c r="BG71" s="202">
        <f t="shared" si="42"/>
        <v>1</v>
      </c>
      <c r="BH71" s="202">
        <f t="shared" si="43"/>
        <v>0</v>
      </c>
      <c r="BI71" s="202">
        <f t="shared" si="44"/>
        <v>0</v>
      </c>
      <c r="BJ71" s="202">
        <f t="shared" si="45"/>
        <v>0</v>
      </c>
      <c r="BK71">
        <f t="shared" si="46"/>
        <v>5</v>
      </c>
    </row>
    <row r="72" spans="1:63" x14ac:dyDescent="0.3">
      <c r="A72" s="207" t="s">
        <v>44</v>
      </c>
      <c r="B72" s="204">
        <f>COUNTIF(TT!$D$4:$D$9,TALLY!A72)</f>
        <v>0</v>
      </c>
      <c r="C72" s="204">
        <f>COUNTIF(TT!$D$15:$D$28,TALLY!A72)</f>
        <v>1</v>
      </c>
      <c r="D72" s="204">
        <f>COUNTIF(TT!$D$34:$D$41,TALLY!A72)</f>
        <v>0</v>
      </c>
      <c r="E72" s="202">
        <f>COUNTIF(TT!$D$47:$D$60,TALLY!A72)</f>
        <v>0</v>
      </c>
      <c r="F72" s="202">
        <f>COUNTIF(TT!$D$66:$D$79,TALLY!A72)</f>
        <v>0</v>
      </c>
      <c r="G72" s="202">
        <f>COUNTIF(TT!$D$84:$D$93,TALLY!A72)</f>
        <v>0</v>
      </c>
      <c r="H72" s="205">
        <f>COUNTIF(TT!$D$98:$D$106,TALLY!A72)</f>
        <v>0</v>
      </c>
      <c r="I72" s="205">
        <f>COUNTIF(TT!$D$111:$D$121,TALLY!A72)</f>
        <v>0</v>
      </c>
      <c r="J72" s="205">
        <f>COUNTIF(TT!$D$126:$D$134,TALLY!A72)</f>
        <v>0</v>
      </c>
      <c r="K72" s="202">
        <f>COUNTIF(TT!$D$139:$D$151,TALLY!A72)</f>
        <v>0</v>
      </c>
      <c r="L72" s="202">
        <f>COUNTIF(TT!$D$156:$D$164,TALLY!A72)</f>
        <v>0</v>
      </c>
      <c r="M72" s="202">
        <f>COUNTIF(TT!$D$169:$D$180,TALLY!A72)</f>
        <v>0</v>
      </c>
      <c r="N72" s="205">
        <f>COUNTIF(TT!$D$185:$D$197,TALLY!A72)</f>
        <v>0</v>
      </c>
      <c r="O72" s="205">
        <f>COUNTIF(TT!$D$202:$D$208,TALLY!A72)</f>
        <v>0</v>
      </c>
      <c r="P72" s="205">
        <f>COUNTIF(TT!$D$213:$D$220,TALLY!A72)</f>
        <v>0</v>
      </c>
      <c r="Q72" s="204">
        <f>COUNTIF(TT!$D$225:$D$239,TALLY!A72)</f>
        <v>1</v>
      </c>
      <c r="R72" s="204">
        <f>COUNTIF(TT!$D$244:$D$254,TALLY!A72)</f>
        <v>0</v>
      </c>
      <c r="S72" s="204">
        <f>COUNTIF(TT!$D$259:$D$268,TALLY!A72)</f>
        <v>0</v>
      </c>
      <c r="T72" s="205">
        <f>COUNTIF(TT!$D$271:$D$282,TALLY!A72)</f>
        <v>0</v>
      </c>
      <c r="U72" s="205">
        <f>COUNTIF(TT!$D$287:$D$298,TALLY!A72)</f>
        <v>0</v>
      </c>
      <c r="V72" s="205">
        <f>COUNTIF(TT!$D$303:$D$311,TALLY!A72)</f>
        <v>0</v>
      </c>
      <c r="W72" s="202">
        <f>COUNTIF(TT!$D$316:$D$337,TALLY!A72)</f>
        <v>0</v>
      </c>
      <c r="X72" s="202">
        <f>COUNTIF(TT!$D$342:$D$350,TALLY!A72)</f>
        <v>0</v>
      </c>
      <c r="Y72" s="202">
        <f>COUNTIF(TT!$D$357:$D$365,TALLY!A72)</f>
        <v>0</v>
      </c>
      <c r="Z72" s="205">
        <f>COUNTIF(TT!$D$370:$D$377,TALLY!A72)</f>
        <v>0</v>
      </c>
      <c r="AA72" s="205">
        <f>COUNTIF(TT!$D$382:$D$393,TALLY!A72)</f>
        <v>1</v>
      </c>
      <c r="AB72" s="205">
        <f>COUNTIF(TT!$D$398:$D$408,TALLY!A72)</f>
        <v>0</v>
      </c>
      <c r="AC72" s="202">
        <f>COUNTIF(TT!$D$413:$D$425,TALLY!A72)</f>
        <v>0</v>
      </c>
      <c r="AD72" s="202">
        <f>COUNTIF(TT!$D$430:$D$447,TALLY!A72)</f>
        <v>0</v>
      </c>
      <c r="AE72" s="202">
        <f>COUNTIF(TT!$D$454:$D$466,TALLY!A72)</f>
        <v>0</v>
      </c>
      <c r="AF72" s="204">
        <f>COUNTIF(TT!$D$471:$D$480,TALLY!A72)</f>
        <v>0</v>
      </c>
      <c r="AG72" s="204">
        <f>COUNTIF(TT!$D$487:$D$496,TALLY!A72)</f>
        <v>0</v>
      </c>
      <c r="AH72" s="204">
        <f>COUNTIF(TT!$D$501:$D$517,TALLY!A72)</f>
        <v>0</v>
      </c>
      <c r="AI72" s="202">
        <f>COUNTIF(TT!$D$522:$D$533,TALLY!A72)</f>
        <v>0</v>
      </c>
      <c r="AJ72" s="202">
        <f>COUNTIF(TT!$D$538:$D$550,TALLY!A72)</f>
        <v>0</v>
      </c>
      <c r="AK72" s="202">
        <f>COUNTIF(TT!$D$555:$D$569,TALLY!A72)</f>
        <v>0</v>
      </c>
      <c r="AL72" s="205">
        <f>COUNTIF(TT!$D$574:$D$582,TALLY!A72)</f>
        <v>0</v>
      </c>
      <c r="AM72" s="205">
        <f>COUNTIF(TT!$D$587:$D$593,TALLY!A72)</f>
        <v>0</v>
      </c>
      <c r="AN72" s="205">
        <f>COUNTIF(TT!$D$598:$D$606,TALLY!A72)</f>
        <v>1</v>
      </c>
      <c r="AO72" s="202">
        <f>COUNTIF(TT!$D$611:$D$620,TALLY!A72)</f>
        <v>0</v>
      </c>
      <c r="AP72" s="202">
        <f>COUNTIF(TT!$D$627:$D$639,TALLY!A72)</f>
        <v>0</v>
      </c>
      <c r="AQ72" s="202">
        <f>COUNTIF(TT!$D$645:$D$657,TALLY!A72)</f>
        <v>0</v>
      </c>
      <c r="AR72" s="205">
        <f>COUNTIF(TT!$D$663:$D$671,TALLY!A72)</f>
        <v>0</v>
      </c>
      <c r="AS72" s="205">
        <f>COUNTIF(TT!$D$677:$D$685,TALLY!A72)</f>
        <v>0</v>
      </c>
      <c r="AT72" s="205">
        <f>COUNTIF(TT!$D$689:$D$698,TALLY!A72)</f>
        <v>0</v>
      </c>
      <c r="AU72" s="207" t="s">
        <v>44</v>
      </c>
      <c r="AV72" s="202">
        <f t="shared" si="32"/>
        <v>1</v>
      </c>
      <c r="AW72" s="202">
        <f t="shared" si="33"/>
        <v>0</v>
      </c>
      <c r="AX72" s="202">
        <f t="shared" si="34"/>
        <v>0</v>
      </c>
      <c r="AY72" s="202">
        <f t="shared" si="35"/>
        <v>0</v>
      </c>
      <c r="AZ72" s="202">
        <f t="shared" si="36"/>
        <v>0</v>
      </c>
      <c r="BA72" s="202">
        <f t="shared" si="37"/>
        <v>1</v>
      </c>
      <c r="BB72" s="202">
        <f t="shared" si="38"/>
        <v>0</v>
      </c>
      <c r="BC72" s="202">
        <f t="shared" si="39"/>
        <v>0</v>
      </c>
      <c r="BD72" s="202">
        <f t="shared" si="47"/>
        <v>1</v>
      </c>
      <c r="BE72" s="202">
        <f t="shared" si="40"/>
        <v>0</v>
      </c>
      <c r="BF72" s="202">
        <f t="shared" si="41"/>
        <v>0</v>
      </c>
      <c r="BG72" s="202">
        <f t="shared" si="42"/>
        <v>0</v>
      </c>
      <c r="BH72" s="202">
        <f t="shared" si="43"/>
        <v>1</v>
      </c>
      <c r="BI72" s="202">
        <f t="shared" si="44"/>
        <v>0</v>
      </c>
      <c r="BJ72" s="202">
        <f t="shared" si="45"/>
        <v>0</v>
      </c>
      <c r="BK72">
        <f t="shared" si="46"/>
        <v>4</v>
      </c>
    </row>
    <row r="73" spans="1:63" x14ac:dyDescent="0.3">
      <c r="A73" s="207" t="s">
        <v>46</v>
      </c>
      <c r="B73" s="204">
        <f>COUNTIF(TT!$D$4:$D$9,TALLY!A73)</f>
        <v>0</v>
      </c>
      <c r="C73" s="204">
        <f>COUNTIF(TT!$D$15:$D$28,TALLY!A73)</f>
        <v>0</v>
      </c>
      <c r="D73" s="204">
        <f>COUNTIF(TT!$D$34:$D$41,TALLY!A73)</f>
        <v>0</v>
      </c>
      <c r="E73" s="202">
        <f>COUNTIF(TT!$D$47:$D$60,TALLY!A73)</f>
        <v>0</v>
      </c>
      <c r="F73" s="202">
        <f>COUNTIF(TT!$D$66:$D$79,TALLY!A73)</f>
        <v>0</v>
      </c>
      <c r="G73" s="202">
        <f>COUNTIF(TT!$D$84:$D$93,TALLY!A73)</f>
        <v>1</v>
      </c>
      <c r="H73" s="205">
        <f>COUNTIF(TT!$D$98:$D$106,TALLY!A73)</f>
        <v>0</v>
      </c>
      <c r="I73" s="205">
        <f>COUNTIF(TT!$D$111:$D$121,TALLY!A73)</f>
        <v>0</v>
      </c>
      <c r="J73" s="205">
        <f>COUNTIF(TT!$D$126:$D$134,TALLY!A73)</f>
        <v>0</v>
      </c>
      <c r="K73" s="202">
        <f>COUNTIF(TT!$D$139:$D$151,TALLY!A73)</f>
        <v>0</v>
      </c>
      <c r="L73" s="202">
        <f>COUNTIF(TT!$D$156:$D$164,TALLY!A73)</f>
        <v>0</v>
      </c>
      <c r="M73" s="202">
        <f>COUNTIF(TT!$D$169:$D$180,TALLY!A73)</f>
        <v>1</v>
      </c>
      <c r="N73" s="205">
        <f>COUNTIF(TT!$D$185:$D$197,TALLY!A73)</f>
        <v>0</v>
      </c>
      <c r="O73" s="205">
        <f>COUNTIF(TT!$D$202:$D$208,TALLY!A73)</f>
        <v>0</v>
      </c>
      <c r="P73" s="205">
        <f>COUNTIF(TT!$D$213:$D$220,TALLY!A73)</f>
        <v>0</v>
      </c>
      <c r="Q73" s="204">
        <f>COUNTIF(TT!$D$225:$D$239,TALLY!A73)</f>
        <v>0</v>
      </c>
      <c r="R73" s="204">
        <f>COUNTIF(TT!$D$244:$D$254,TALLY!A73)</f>
        <v>0</v>
      </c>
      <c r="S73" s="204">
        <f>COUNTIF(TT!$D$259:$D$268,TALLY!A73)</f>
        <v>1</v>
      </c>
      <c r="T73" s="205">
        <f>COUNTIF(TT!$D$271:$D$282,TALLY!A73)</f>
        <v>0</v>
      </c>
      <c r="U73" s="205">
        <f>COUNTIF(TT!$D$287:$D$298,TALLY!A73)</f>
        <v>0</v>
      </c>
      <c r="V73" s="205">
        <f>COUNTIF(TT!$D$303:$D$311,TALLY!A73)</f>
        <v>0</v>
      </c>
      <c r="W73" s="202">
        <f>COUNTIF(TT!$D$316:$D$337,TALLY!A73)</f>
        <v>0</v>
      </c>
      <c r="X73" s="202">
        <f>COUNTIF(TT!$D$342:$D$350,TALLY!A73)</f>
        <v>0</v>
      </c>
      <c r="Y73" s="202">
        <f>COUNTIF(TT!$D$357:$D$365,TALLY!A73)</f>
        <v>1</v>
      </c>
      <c r="Z73" s="205">
        <f>COUNTIF(TT!$D$370:$D$377,TALLY!A73)</f>
        <v>0</v>
      </c>
      <c r="AA73" s="205">
        <f>COUNTIF(TT!$D$382:$D$393,TALLY!A73)</f>
        <v>1</v>
      </c>
      <c r="AB73" s="205">
        <f>COUNTIF(TT!$D$398:$D$408,TALLY!A73)</f>
        <v>0</v>
      </c>
      <c r="AC73" s="202">
        <f>COUNTIF(TT!$D$413:$D$425,TALLY!A73)</f>
        <v>0</v>
      </c>
      <c r="AD73" s="202">
        <f>COUNTIF(TT!$D$430:$D$447,TALLY!A73)</f>
        <v>0</v>
      </c>
      <c r="AE73" s="202">
        <f>COUNTIF(TT!$D$454:$D$466,TALLY!A73)</f>
        <v>0</v>
      </c>
      <c r="AF73" s="204">
        <f>COUNTIF(TT!$D$471:$D$480,TALLY!A73)</f>
        <v>0</v>
      </c>
      <c r="AG73" s="204">
        <f>COUNTIF(TT!$D$487:$D$496,TALLY!A73)</f>
        <v>0</v>
      </c>
      <c r="AH73" s="204">
        <f>COUNTIF(TT!$D$501:$D$517,TALLY!A73)</f>
        <v>1</v>
      </c>
      <c r="AI73" s="202">
        <f>COUNTIF(TT!$D$522:$D$533,TALLY!A73)</f>
        <v>0</v>
      </c>
      <c r="AJ73" s="202">
        <f>COUNTIF(TT!$D$538:$D$550,TALLY!A73)</f>
        <v>0</v>
      </c>
      <c r="AK73" s="202">
        <f>COUNTIF(TT!$D$555:$D$569,TALLY!A73)</f>
        <v>1</v>
      </c>
      <c r="AL73" s="205">
        <f>COUNTIF(TT!$D$574:$D$582,TALLY!A73)</f>
        <v>0</v>
      </c>
      <c r="AM73" s="205">
        <f>COUNTIF(TT!$D$587:$D$593,TALLY!A73)</f>
        <v>0</v>
      </c>
      <c r="AN73" s="205">
        <f>COUNTIF(TT!$D$598:$D$606,TALLY!A73)</f>
        <v>0</v>
      </c>
      <c r="AO73" s="202">
        <f>COUNTIF(TT!$D$611:$D$620,TALLY!A73)</f>
        <v>0</v>
      </c>
      <c r="AP73" s="202">
        <f>COUNTIF(TT!$D$627:$D$639,TALLY!A73)</f>
        <v>0</v>
      </c>
      <c r="AQ73" s="202">
        <f>COUNTIF(TT!$D$645:$D$657,TALLY!A73)</f>
        <v>1</v>
      </c>
      <c r="AR73" s="205">
        <f>COUNTIF(TT!$D$663:$D$671,TALLY!A73)</f>
        <v>0</v>
      </c>
      <c r="AS73" s="205">
        <f>COUNTIF(TT!$D$677:$D$685,TALLY!A73)</f>
        <v>0</v>
      </c>
      <c r="AT73" s="205">
        <f>COUNTIF(TT!$D$689:$D$698,TALLY!A73)</f>
        <v>0</v>
      </c>
      <c r="AU73" s="207" t="s">
        <v>46</v>
      </c>
      <c r="AV73" s="202">
        <f t="shared" si="32"/>
        <v>0</v>
      </c>
      <c r="AW73" s="202">
        <f t="shared" si="33"/>
        <v>1</v>
      </c>
      <c r="AX73" s="202">
        <f t="shared" si="34"/>
        <v>0</v>
      </c>
      <c r="AY73" s="202">
        <f t="shared" si="35"/>
        <v>1</v>
      </c>
      <c r="AZ73" s="202">
        <f t="shared" si="36"/>
        <v>0</v>
      </c>
      <c r="BA73" s="202">
        <f t="shared" si="37"/>
        <v>1</v>
      </c>
      <c r="BB73" s="202">
        <f t="shared" si="38"/>
        <v>0</v>
      </c>
      <c r="BC73" s="202">
        <f t="shared" si="39"/>
        <v>1</v>
      </c>
      <c r="BD73" s="202">
        <f t="shared" si="47"/>
        <v>1</v>
      </c>
      <c r="BE73" s="202">
        <f t="shared" si="40"/>
        <v>0</v>
      </c>
      <c r="BF73" s="202">
        <f t="shared" si="41"/>
        <v>1</v>
      </c>
      <c r="BG73" s="202">
        <f t="shared" si="42"/>
        <v>1</v>
      </c>
      <c r="BH73" s="202">
        <f t="shared" si="43"/>
        <v>0</v>
      </c>
      <c r="BI73" s="202">
        <f t="shared" si="44"/>
        <v>1</v>
      </c>
      <c r="BJ73" s="202">
        <f t="shared" si="45"/>
        <v>0</v>
      </c>
      <c r="BK73">
        <f t="shared" si="46"/>
        <v>8</v>
      </c>
    </row>
    <row r="74" spans="1:63" x14ac:dyDescent="0.3">
      <c r="A74" s="207" t="s">
        <v>227</v>
      </c>
      <c r="B74" s="204">
        <f>COUNTIF(TT!$D$4:$D$9,TALLY!A74)</f>
        <v>0</v>
      </c>
      <c r="C74" s="204">
        <f>COUNTIF(TT!$D$15:$D$28,TALLY!A74)</f>
        <v>0</v>
      </c>
      <c r="D74" s="204">
        <f>COUNTIF(TT!$D$34:$D$41,TALLY!A74)</f>
        <v>0</v>
      </c>
      <c r="E74" s="202">
        <f>COUNTIF(TT!$D$47:$D$60,TALLY!A74)</f>
        <v>0</v>
      </c>
      <c r="F74" s="202">
        <f>COUNTIF(TT!$D$66:$D$79,TALLY!A74)</f>
        <v>0</v>
      </c>
      <c r="G74" s="202">
        <f>COUNTIF(TT!$D$84:$D$93,TALLY!A74)</f>
        <v>0</v>
      </c>
      <c r="H74" s="205">
        <f>COUNTIF(TT!$D$98:$D$106,TALLY!A74)</f>
        <v>0</v>
      </c>
      <c r="I74" s="205">
        <f>COUNTIF(TT!$D$111:$D$121,TALLY!A74)</f>
        <v>0</v>
      </c>
      <c r="J74" s="205">
        <f>COUNTIF(TT!$D$126:$D$134,TALLY!A74)</f>
        <v>0</v>
      </c>
      <c r="K74" s="202">
        <f>COUNTIF(TT!$D$139:$D$151,TALLY!A74)</f>
        <v>0</v>
      </c>
      <c r="L74" s="202">
        <f>COUNTIF(TT!$D$156:$D$164,TALLY!A74)</f>
        <v>0</v>
      </c>
      <c r="M74" s="202">
        <f>COUNTIF(TT!$D$169:$D$180,TALLY!A74)</f>
        <v>1</v>
      </c>
      <c r="N74" s="205">
        <f>COUNTIF(TT!$D$185:$D$197,TALLY!A74)</f>
        <v>0</v>
      </c>
      <c r="O74" s="205">
        <f>COUNTIF(TT!$D$202:$D$208,TALLY!A74)</f>
        <v>0</v>
      </c>
      <c r="P74" s="205">
        <f>COUNTIF(TT!$D$213:$D$220,TALLY!A74)</f>
        <v>0</v>
      </c>
      <c r="Q74" s="204">
        <f>COUNTIF(TT!$D$225:$D$239,TALLY!A74)</f>
        <v>0</v>
      </c>
      <c r="R74" s="204">
        <f>COUNTIF(TT!$D$244:$D$254,TALLY!A74)</f>
        <v>0</v>
      </c>
      <c r="S74" s="204">
        <f>COUNTIF(TT!$D$259:$D$268,TALLY!A74)</f>
        <v>1</v>
      </c>
      <c r="T74" s="205">
        <f>COUNTIF(TT!$D$271:$D$282,TALLY!A74)</f>
        <v>0</v>
      </c>
      <c r="U74" s="205">
        <f>COUNTIF(TT!$D$287:$D$298,TALLY!A74)</f>
        <v>0</v>
      </c>
      <c r="V74" s="205">
        <f>COUNTIF(TT!$D$303:$D$311,TALLY!A74)</f>
        <v>0</v>
      </c>
      <c r="W74" s="202">
        <f>COUNTIF(TT!$D$316:$D$337,TALLY!A74)</f>
        <v>1</v>
      </c>
      <c r="X74" s="202">
        <f>COUNTIF(TT!$D$342:$D$350,TALLY!A74)</f>
        <v>0</v>
      </c>
      <c r="Y74" s="202">
        <f>COUNTIF(TT!$D$357:$D$365,TALLY!A74)</f>
        <v>0</v>
      </c>
      <c r="Z74" s="205">
        <f>COUNTIF(TT!$D$370:$D$377,TALLY!A74)</f>
        <v>0</v>
      </c>
      <c r="AA74" s="205">
        <f>COUNTIF(TT!$D$382:$D$393,TALLY!A74)</f>
        <v>0</v>
      </c>
      <c r="AB74" s="205">
        <f>COUNTIF(TT!$D$398:$D$408,TALLY!A74)</f>
        <v>0</v>
      </c>
      <c r="AC74" s="202">
        <f>COUNTIF(TT!$D$413:$D$425,TALLY!A74)</f>
        <v>0</v>
      </c>
      <c r="AD74" s="202">
        <f>COUNTIF(TT!$D$430:$D$447,TALLY!A74)</f>
        <v>1</v>
      </c>
      <c r="AE74" s="202">
        <f>COUNTIF(TT!$D$454:$D$466,TALLY!A74)</f>
        <v>0</v>
      </c>
      <c r="AF74" s="204">
        <f>COUNTIF(TT!$D$471:$D$480,TALLY!A74)</f>
        <v>0</v>
      </c>
      <c r="AG74" s="204">
        <f>COUNTIF(TT!$D$487:$D$496,TALLY!A74)</f>
        <v>1</v>
      </c>
      <c r="AH74" s="204">
        <f>COUNTIF(TT!$D$501:$D$517,TALLY!A74)</f>
        <v>0</v>
      </c>
      <c r="AI74" s="202">
        <f>COUNTIF(TT!$D$522:$D$533,TALLY!A74)</f>
        <v>0</v>
      </c>
      <c r="AJ74" s="202">
        <f>COUNTIF(TT!$D$538:$D$550,TALLY!A74)</f>
        <v>1</v>
      </c>
      <c r="AK74" s="202">
        <f>COUNTIF(TT!$D$555:$D$569,TALLY!A74)</f>
        <v>0</v>
      </c>
      <c r="AL74" s="205">
        <f>COUNTIF(TT!$D$574:$D$582,TALLY!A74)</f>
        <v>0</v>
      </c>
      <c r="AM74" s="205">
        <f>COUNTIF(TT!$D$587:$D$593,TALLY!A74)</f>
        <v>0</v>
      </c>
      <c r="AN74" s="205">
        <f>COUNTIF(TT!$D$598:$D$606,TALLY!A74)</f>
        <v>0</v>
      </c>
      <c r="AO74" s="202">
        <f>COUNTIF(TT!$D$611:$D$620,TALLY!A74)</f>
        <v>0</v>
      </c>
      <c r="AP74" s="202">
        <f>COUNTIF(TT!$D$627:$D$639,TALLY!A74)</f>
        <v>0</v>
      </c>
      <c r="AQ74" s="202">
        <f>COUNTIF(TT!$D$645:$D$657,TALLY!A74)</f>
        <v>1</v>
      </c>
      <c r="AR74" s="205">
        <f>COUNTIF(TT!$D$663:$D$671,TALLY!A74)</f>
        <v>0</v>
      </c>
      <c r="AS74" s="205">
        <f>COUNTIF(TT!$D$677:$D$685,TALLY!A74)</f>
        <v>0</v>
      </c>
      <c r="AT74" s="205">
        <f>COUNTIF(TT!$D$689:$D$698,TALLY!A74)</f>
        <v>0</v>
      </c>
      <c r="AU74" s="207" t="s">
        <v>227</v>
      </c>
      <c r="AV74" s="202">
        <f t="shared" si="32"/>
        <v>0</v>
      </c>
      <c r="AW74" s="202">
        <f t="shared" si="33"/>
        <v>0</v>
      </c>
      <c r="AX74" s="202">
        <f t="shared" si="34"/>
        <v>0</v>
      </c>
      <c r="AY74" s="202">
        <f t="shared" si="35"/>
        <v>1</v>
      </c>
      <c r="AZ74" s="202">
        <f t="shared" si="36"/>
        <v>0</v>
      </c>
      <c r="BA74" s="202">
        <f t="shared" si="37"/>
        <v>1</v>
      </c>
      <c r="BB74" s="202">
        <f t="shared" si="38"/>
        <v>0</v>
      </c>
      <c r="BC74" s="202">
        <f t="shared" si="39"/>
        <v>1</v>
      </c>
      <c r="BD74" s="202">
        <f t="shared" si="47"/>
        <v>0</v>
      </c>
      <c r="BE74" s="202">
        <f t="shared" si="40"/>
        <v>1</v>
      </c>
      <c r="BF74" s="202">
        <f t="shared" si="41"/>
        <v>1</v>
      </c>
      <c r="BG74" s="202">
        <f t="shared" si="42"/>
        <v>1</v>
      </c>
      <c r="BH74" s="202">
        <f t="shared" si="43"/>
        <v>0</v>
      </c>
      <c r="BI74" s="202">
        <f t="shared" si="44"/>
        <v>1</v>
      </c>
      <c r="BJ74" s="202">
        <f t="shared" si="45"/>
        <v>0</v>
      </c>
      <c r="BK74">
        <f t="shared" si="46"/>
        <v>7</v>
      </c>
    </row>
    <row r="75" spans="1:63" x14ac:dyDescent="0.3">
      <c r="B75" s="197">
        <f>SUM(B3:B74)</f>
        <v>6</v>
      </c>
      <c r="C75" s="197">
        <f>SUM(C3:C74)</f>
        <v>14</v>
      </c>
      <c r="D75" s="197">
        <f>SUM(D3:D74)</f>
        <v>8</v>
      </c>
      <c r="E75">
        <f>SUM(E3:E74)</f>
        <v>14</v>
      </c>
      <c r="F75">
        <f>SUM(F3:F74)</f>
        <v>14</v>
      </c>
      <c r="G75" s="202">
        <f>COUNTIF(TT!$D$84:$D$93,TALLY!A75)</f>
        <v>0</v>
      </c>
      <c r="H75" s="205">
        <f>COUNTIF(TT!$D$98:$D$106,TALLY!A75)</f>
        <v>0</v>
      </c>
      <c r="I75" s="198">
        <f>SUM(I3:I74)</f>
        <v>11</v>
      </c>
      <c r="J75" s="198">
        <f>SUM(J3:J74)</f>
        <v>9</v>
      </c>
      <c r="K75">
        <f>SUM(K3:K74)</f>
        <v>13</v>
      </c>
      <c r="L75" s="202">
        <f>COUNTIF(TT!$D$156:$D$164,TALLY!A75)</f>
        <v>0</v>
      </c>
      <c r="M75" s="202">
        <f>COUNTIF(TT!$D$169:$D$180,TALLY!A75)</f>
        <v>0</v>
      </c>
      <c r="N75" s="198">
        <f>SUM(N3:N74)</f>
        <v>13</v>
      </c>
      <c r="O75" s="205">
        <f>COUNTIF(TT!$D$202:$D$208,TALLY!A75)</f>
        <v>0</v>
      </c>
      <c r="P75" s="205">
        <f>COUNTIF(TT!$D$213:$D$220,TALLY!A75)</f>
        <v>0</v>
      </c>
      <c r="Q75" s="197">
        <f t="shared" ref="Q75:W75" si="48">SUM(Q3:Q74)</f>
        <v>15</v>
      </c>
      <c r="R75" s="197">
        <f t="shared" si="48"/>
        <v>11</v>
      </c>
      <c r="S75" s="197">
        <f t="shared" si="48"/>
        <v>10</v>
      </c>
      <c r="T75" s="198">
        <f t="shared" si="48"/>
        <v>10</v>
      </c>
      <c r="U75" s="198">
        <f t="shared" si="48"/>
        <v>12</v>
      </c>
      <c r="V75" s="198">
        <f t="shared" si="48"/>
        <v>9</v>
      </c>
      <c r="W75">
        <f t="shared" si="48"/>
        <v>22</v>
      </c>
      <c r="X75" s="202">
        <f>COUNTIF(TT!$D$342:$D$350,TALLY!A75)</f>
        <v>0</v>
      </c>
      <c r="Y75" s="202">
        <f>COUNTIF(TT!$D$357:$D$365,TALLY!A75)</f>
        <v>0</v>
      </c>
      <c r="Z75" s="198">
        <f>SUM(Z3:Z74)</f>
        <v>8</v>
      </c>
      <c r="AA75" s="198">
        <f>SUM(AA3:AA74)</f>
        <v>12</v>
      </c>
      <c r="AB75" s="205">
        <f>COUNTIF(TT!$D$398:$D$408,TALLY!A75)</f>
        <v>0</v>
      </c>
      <c r="AC75">
        <f t="shared" ref="AC75:AM75" si="49">SUM(AC3:AC74)</f>
        <v>13</v>
      </c>
      <c r="AD75">
        <f t="shared" si="49"/>
        <v>15</v>
      </c>
      <c r="AE75">
        <f t="shared" si="49"/>
        <v>13</v>
      </c>
      <c r="AF75" s="197">
        <f t="shared" si="49"/>
        <v>10</v>
      </c>
      <c r="AG75" s="197">
        <f t="shared" si="49"/>
        <v>10</v>
      </c>
      <c r="AH75" s="197">
        <f t="shared" si="49"/>
        <v>17</v>
      </c>
      <c r="AI75">
        <f t="shared" si="49"/>
        <v>12</v>
      </c>
      <c r="AJ75">
        <f t="shared" si="49"/>
        <v>13</v>
      </c>
      <c r="AK75">
        <f t="shared" si="49"/>
        <v>15</v>
      </c>
      <c r="AL75" s="198">
        <f t="shared" si="49"/>
        <v>9</v>
      </c>
      <c r="AM75" s="198">
        <f t="shared" si="49"/>
        <v>7</v>
      </c>
      <c r="AN75" s="205">
        <f>COUNTIF(TT!$D$598:$D$606,TALLY!A75)</f>
        <v>0</v>
      </c>
      <c r="AO75">
        <f>SUM(AO3:AO74)</f>
        <v>10</v>
      </c>
      <c r="AP75">
        <f>SUM(AP3:AP74)</f>
        <v>13</v>
      </c>
      <c r="AQ75">
        <f>SUM(AQ3:AQ74)</f>
        <v>13</v>
      </c>
      <c r="AR75" s="198">
        <f>SUM(AR3:AR74)</f>
        <v>9</v>
      </c>
      <c r="AS75" s="205">
        <f>COUNTIF(TT!$D$677:$D$685,TALLY!A75)</f>
        <v>0</v>
      </c>
      <c r="AT75" s="205">
        <f>COUNTIF(TT!$D$689:$D$698,TALLY!A75)</f>
        <v>0</v>
      </c>
    </row>
  </sheetData>
  <mergeCells count="15">
    <mergeCell ref="AF1:AH1"/>
    <mergeCell ref="AI1:AK1"/>
    <mergeCell ref="AL1:AN1"/>
    <mergeCell ref="AO1:AQ1"/>
    <mergeCell ref="AR1:AT1"/>
    <mergeCell ref="Q1:S1"/>
    <mergeCell ref="T1:V1"/>
    <mergeCell ref="W1:Y1"/>
    <mergeCell ref="Z1:AB1"/>
    <mergeCell ref="AC1:AE1"/>
    <mergeCell ref="B1:D1"/>
    <mergeCell ref="E1:G1"/>
    <mergeCell ref="H1:J1"/>
    <mergeCell ref="K1:M1"/>
    <mergeCell ref="N1:P1"/>
  </mergeCells>
  <conditionalFormatting sqref="B3:AT3 AV3:BJ74 AC4:AR10 Q4:AA36 B4:F74 I4:K74 N4:N74 G4:H75 L4:M75 O4:P75 AB4:AB75 AS4:AT75 AC11:AM74 AO11:AR74 AN11:AN75 Q37:W74 Z37:AA74 X37:Y75">
    <cfRule type="cellIs" dxfId="3" priority="2" operator="greaterThan">
      <formula>1</formula>
    </cfRule>
  </conditionalFormatting>
  <pageMargins left="0.7" right="0.7" top="0.75" bottom="0.75" header="0.511811023622047" footer="0.511811023622047"/>
  <pageSetup scale="90" orientation="landscape" horizontalDpi="300" verticalDpi="300"/>
  <rowBreaks count="1" manualBreakCount="1">
    <brk id="38" max="16383" man="1"/>
  </rowBreaks>
  <colBreaks count="1" manualBreakCount="1">
    <brk id="46" max="1048575" man="1"/>
  </colBreak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45"/>
  <sheetViews>
    <sheetView zoomScale="140" zoomScaleNormal="140" workbookViewId="0">
      <selection activeCell="B39" sqref="B39"/>
    </sheetView>
  </sheetViews>
  <sheetFormatPr defaultColWidth="8.58203125" defaultRowHeight="14" x14ac:dyDescent="0.3"/>
  <cols>
    <col min="1" max="1" width="22.25" customWidth="1"/>
    <col min="2" max="2" width="68.75" customWidth="1"/>
    <col min="3" max="3" width="42.1640625" customWidth="1"/>
    <col min="4" max="4" width="13" customWidth="1"/>
    <col min="5" max="5" width="18.75" customWidth="1"/>
    <col min="6" max="6" width="13.75" customWidth="1"/>
  </cols>
  <sheetData>
    <row r="1" spans="1:6" x14ac:dyDescent="0.3">
      <c r="B1" t="s">
        <v>982</v>
      </c>
      <c r="C1" t="s">
        <v>983</v>
      </c>
      <c r="D1" t="s">
        <v>984</v>
      </c>
      <c r="E1" t="s">
        <v>985</v>
      </c>
      <c r="F1" t="s">
        <v>986</v>
      </c>
    </row>
    <row r="2" spans="1:6" x14ac:dyDescent="0.3">
      <c r="A2" t="str">
        <f t="shared" ref="A2:A65" si="0">CONCATENATE(F2,",",E2)</f>
        <v>AE 158,ED1-AE</v>
      </c>
      <c r="B2" t="s">
        <v>987</v>
      </c>
      <c r="C2" t="str">
        <f t="array" ref="C2:C545">VLOOKUP(A2:A545,'Combined Data'!A1:C548,2,FALSE())</f>
        <v>Introduction To Information Technology</v>
      </c>
      <c r="D2">
        <v>154</v>
      </c>
      <c r="E2" t="s">
        <v>131</v>
      </c>
      <c r="F2" t="s">
        <v>314</v>
      </c>
    </row>
    <row r="3" spans="1:6" x14ac:dyDescent="0.3">
      <c r="A3" t="str">
        <f t="shared" si="0"/>
        <v>AE 162,ED1-AE</v>
      </c>
      <c r="B3" t="s">
        <v>988</v>
      </c>
      <c r="C3" t="str">
        <v>Basic Agriculture</v>
      </c>
      <c r="D3">
        <v>154</v>
      </c>
      <c r="E3" t="s">
        <v>131</v>
      </c>
      <c r="F3" t="s">
        <v>242</v>
      </c>
    </row>
    <row r="4" spans="1:6" x14ac:dyDescent="0.3">
      <c r="A4" t="str">
        <f t="shared" si="0"/>
        <v>AE 196,ED1-AE</v>
      </c>
      <c r="B4" t="s">
        <v>989</v>
      </c>
      <c r="C4" t="str">
        <v>Engineering Workshop Practice</v>
      </c>
      <c r="D4">
        <v>154</v>
      </c>
      <c r="E4" t="s">
        <v>131</v>
      </c>
      <c r="F4" t="s">
        <v>454</v>
      </c>
    </row>
    <row r="5" spans="1:6" x14ac:dyDescent="0.3">
      <c r="A5" t="str">
        <f t="shared" si="0"/>
        <v>EE 152,ED1-AE</v>
      </c>
      <c r="B5" t="s">
        <v>990</v>
      </c>
      <c r="C5" t="str">
        <v>Basic Electronics</v>
      </c>
      <c r="D5">
        <v>154</v>
      </c>
      <c r="E5" t="s">
        <v>131</v>
      </c>
      <c r="F5" t="s">
        <v>234</v>
      </c>
    </row>
    <row r="6" spans="1:6" x14ac:dyDescent="0.3">
      <c r="A6" t="str">
        <f t="shared" si="0"/>
        <v>ENGL 158,ED1-AE</v>
      </c>
      <c r="B6" t="s">
        <v>991</v>
      </c>
      <c r="C6" t="str">
        <v>Communication Skills II</v>
      </c>
      <c r="D6">
        <v>154</v>
      </c>
      <c r="E6" t="s">
        <v>131</v>
      </c>
      <c r="F6" t="s">
        <v>364</v>
      </c>
    </row>
    <row r="7" spans="1:6" x14ac:dyDescent="0.3">
      <c r="A7" t="str">
        <f t="shared" si="0"/>
        <v>MATH 152,ED1-AE</v>
      </c>
      <c r="B7" t="s">
        <v>992</v>
      </c>
      <c r="C7" t="str">
        <v>Calculus With Analysis</v>
      </c>
      <c r="D7">
        <v>154</v>
      </c>
      <c r="E7" t="s">
        <v>131</v>
      </c>
      <c r="F7" t="s">
        <v>129</v>
      </c>
    </row>
    <row r="8" spans="1:6" x14ac:dyDescent="0.3">
      <c r="A8" t="str">
        <f t="shared" si="0"/>
        <v>ME 160,ED1-AE</v>
      </c>
      <c r="B8" t="s">
        <v>993</v>
      </c>
      <c r="C8" t="str">
        <v>Engineering Drawing</v>
      </c>
      <c r="D8">
        <v>154</v>
      </c>
      <c r="E8" t="s">
        <v>131</v>
      </c>
      <c r="F8" t="s">
        <v>160</v>
      </c>
    </row>
    <row r="9" spans="1:6" x14ac:dyDescent="0.3">
      <c r="A9" t="str">
        <f t="shared" si="0"/>
        <v>ME 162,ED1-AE</v>
      </c>
      <c r="B9" t="s">
        <v>994</v>
      </c>
      <c r="C9" t="str">
        <v>Basic Mechanics</v>
      </c>
      <c r="D9">
        <v>154</v>
      </c>
      <c r="E9" t="s">
        <v>131</v>
      </c>
      <c r="F9" t="s">
        <v>392</v>
      </c>
    </row>
    <row r="10" spans="1:6" x14ac:dyDescent="0.3">
      <c r="A10" t="str">
        <f t="shared" si="0"/>
        <v>EE 252,ED2-AE</v>
      </c>
      <c r="B10" t="s">
        <v>995</v>
      </c>
      <c r="C10" t="str">
        <v>Electrical Engineering Machines</v>
      </c>
      <c r="D10">
        <v>107</v>
      </c>
      <c r="E10" t="s">
        <v>53</v>
      </c>
      <c r="F10" t="s">
        <v>473</v>
      </c>
    </row>
    <row r="11" spans="1:6" x14ac:dyDescent="0.3">
      <c r="A11" t="str">
        <f t="shared" si="0"/>
        <v>ENGL 264,ED2-AE</v>
      </c>
      <c r="B11" t="s">
        <v>996</v>
      </c>
      <c r="C11" t="str">
        <v>Literature In English II</v>
      </c>
      <c r="D11">
        <v>107</v>
      </c>
      <c r="E11" t="s">
        <v>53</v>
      </c>
      <c r="F11" t="s">
        <v>276</v>
      </c>
    </row>
    <row r="12" spans="1:6" x14ac:dyDescent="0.3">
      <c r="A12" t="str">
        <f t="shared" si="0"/>
        <v>GE 286,ED2-AE</v>
      </c>
      <c r="B12" t="s">
        <v>997</v>
      </c>
      <c r="C12" t="str">
        <v>Principles Of Surveying</v>
      </c>
      <c r="D12">
        <v>107</v>
      </c>
      <c r="E12" t="s">
        <v>53</v>
      </c>
      <c r="F12" t="s">
        <v>52</v>
      </c>
    </row>
    <row r="13" spans="1:6" x14ac:dyDescent="0.3">
      <c r="A13" t="str">
        <f t="shared" si="0"/>
        <v>MATH 252,ED2-AE</v>
      </c>
      <c r="B13" t="s">
        <v>998</v>
      </c>
      <c r="C13" t="str">
        <v>Calculus With Several Variables</v>
      </c>
      <c r="D13">
        <v>107</v>
      </c>
      <c r="E13" t="s">
        <v>53</v>
      </c>
      <c r="F13" t="s">
        <v>281</v>
      </c>
    </row>
    <row r="14" spans="1:6" x14ac:dyDescent="0.3">
      <c r="A14" t="str">
        <f t="shared" si="0"/>
        <v>ME 262,ED2-AE</v>
      </c>
      <c r="B14" t="s">
        <v>999</v>
      </c>
      <c r="C14" t="str">
        <v>Theory Of Machines</v>
      </c>
      <c r="D14">
        <v>107</v>
      </c>
      <c r="E14" t="s">
        <v>53</v>
      </c>
      <c r="F14" t="s">
        <v>344</v>
      </c>
    </row>
    <row r="15" spans="1:6" x14ac:dyDescent="0.3">
      <c r="A15" t="str">
        <f t="shared" si="0"/>
        <v>ME 282,ED2-AE</v>
      </c>
      <c r="B15" t="s">
        <v>1000</v>
      </c>
      <c r="C15" t="str">
        <v>Mechanical Engineering Materials II</v>
      </c>
      <c r="D15">
        <v>107</v>
      </c>
      <c r="E15" t="s">
        <v>53</v>
      </c>
      <c r="F15" t="s">
        <v>236</v>
      </c>
    </row>
    <row r="16" spans="1:6" x14ac:dyDescent="0.3">
      <c r="A16" t="str">
        <f t="shared" si="0"/>
        <v>ME 296,ED2-AE</v>
      </c>
      <c r="B16" t="s">
        <v>1001</v>
      </c>
      <c r="C16" t="str">
        <v>Mechanical Engineering Lab. II</v>
      </c>
      <c r="D16">
        <v>107</v>
      </c>
      <c r="E16" t="s">
        <v>53</v>
      </c>
      <c r="F16" t="s">
        <v>542</v>
      </c>
    </row>
    <row r="17" spans="1:6" x14ac:dyDescent="0.3">
      <c r="A17" t="str">
        <f t="shared" si="0"/>
        <v>AE 352,ED3-AE</v>
      </c>
      <c r="B17" t="s">
        <v>1002</v>
      </c>
      <c r="C17" t="str">
        <v>Soil Mechanics Application To Mechanisation</v>
      </c>
      <c r="D17">
        <v>109</v>
      </c>
      <c r="E17" t="s">
        <v>88</v>
      </c>
      <c r="F17" t="s">
        <v>455</v>
      </c>
    </row>
    <row r="18" spans="1:6" x14ac:dyDescent="0.3">
      <c r="A18" t="str">
        <f t="shared" si="0"/>
        <v>AE 356,ED3-AE</v>
      </c>
      <c r="B18" t="s">
        <v>1003</v>
      </c>
      <c r="C18" t="str">
        <v>Farm Power And Machinery</v>
      </c>
      <c r="D18">
        <v>109</v>
      </c>
      <c r="E18" t="s">
        <v>88</v>
      </c>
      <c r="F18" t="s">
        <v>303</v>
      </c>
    </row>
    <row r="19" spans="1:6" x14ac:dyDescent="0.3">
      <c r="A19" t="str">
        <f t="shared" si="0"/>
        <v>AE 358,ED3-AE</v>
      </c>
      <c r="B19" t="s">
        <v>1004</v>
      </c>
      <c r="C19" t="str">
        <v>Renewable Energy Systems And Management</v>
      </c>
      <c r="D19">
        <v>109</v>
      </c>
      <c r="E19" t="s">
        <v>88</v>
      </c>
      <c r="F19" t="s">
        <v>87</v>
      </c>
    </row>
    <row r="20" spans="1:6" x14ac:dyDescent="0.3">
      <c r="A20" t="str">
        <f t="shared" si="0"/>
        <v>AE 360,ED3-AE</v>
      </c>
      <c r="B20" t="s">
        <v>1005</v>
      </c>
      <c r="C20" t="str">
        <v>Rural Engineering</v>
      </c>
      <c r="D20">
        <v>109</v>
      </c>
      <c r="E20" t="s">
        <v>88</v>
      </c>
      <c r="F20" t="s">
        <v>220</v>
      </c>
    </row>
    <row r="21" spans="1:6" x14ac:dyDescent="0.3">
      <c r="A21" t="str">
        <f t="shared" si="0"/>
        <v>AE 362,ED3-AE</v>
      </c>
      <c r="B21" t="s">
        <v>1006</v>
      </c>
      <c r="C21" t="str">
        <v>Research Methods For Engineers</v>
      </c>
      <c r="D21">
        <v>109</v>
      </c>
      <c r="E21" t="s">
        <v>88</v>
      </c>
      <c r="F21" t="s">
        <v>498</v>
      </c>
    </row>
    <row r="22" spans="1:6" x14ac:dyDescent="0.3">
      <c r="A22" t="str">
        <f t="shared" si="0"/>
        <v>ME 366,ED3-AE</v>
      </c>
      <c r="B22" t="s">
        <v>1007</v>
      </c>
      <c r="C22" t="str">
        <v>Heat Transfer</v>
      </c>
      <c r="D22">
        <v>109</v>
      </c>
      <c r="E22" t="s">
        <v>88</v>
      </c>
      <c r="F22" t="s">
        <v>347</v>
      </c>
    </row>
    <row r="23" spans="1:6" x14ac:dyDescent="0.3">
      <c r="A23" t="str">
        <f t="shared" si="0"/>
        <v>ME 374,ED3-AE</v>
      </c>
      <c r="B23" t="s">
        <v>1008</v>
      </c>
      <c r="C23" t="str">
        <v>Machine Design II</v>
      </c>
      <c r="D23">
        <v>109</v>
      </c>
      <c r="E23" t="s">
        <v>88</v>
      </c>
      <c r="F23" t="s">
        <v>60</v>
      </c>
    </row>
    <row r="24" spans="1:6" x14ac:dyDescent="0.3">
      <c r="A24" t="str">
        <f t="shared" si="0"/>
        <v>ME 376,ED3-AE</v>
      </c>
      <c r="B24" t="s">
        <v>1009</v>
      </c>
      <c r="C24" t="str">
        <v>Introduction To Cad/Cam</v>
      </c>
      <c r="D24">
        <v>109</v>
      </c>
      <c r="E24" t="s">
        <v>88</v>
      </c>
      <c r="F24" t="s">
        <v>266</v>
      </c>
    </row>
    <row r="25" spans="1:6" x14ac:dyDescent="0.3">
      <c r="A25" t="str">
        <f t="shared" si="0"/>
        <v>AE 452,ED4-AE</v>
      </c>
      <c r="B25" t="s">
        <v>1010</v>
      </c>
      <c r="C25" t="str">
        <v>Soil And Water Engineering II</v>
      </c>
      <c r="D25">
        <v>123</v>
      </c>
      <c r="E25" t="s">
        <v>50</v>
      </c>
      <c r="F25" t="s">
        <v>213</v>
      </c>
    </row>
    <row r="26" spans="1:6" x14ac:dyDescent="0.3">
      <c r="A26" t="str">
        <f t="shared" si="0"/>
        <v>AE 458,ED4-AE</v>
      </c>
      <c r="B26" t="s">
        <v>1011</v>
      </c>
      <c r="C26" t="str">
        <v>Crop Losses And Their Control</v>
      </c>
      <c r="D26">
        <v>123</v>
      </c>
      <c r="E26" t="s">
        <v>50</v>
      </c>
      <c r="F26" t="s">
        <v>49</v>
      </c>
    </row>
    <row r="27" spans="1:6" x14ac:dyDescent="0.3">
      <c r="A27" t="str">
        <f t="shared" si="0"/>
        <v>AE 460,ED4-AE</v>
      </c>
      <c r="B27" t="s">
        <v>1012</v>
      </c>
      <c r="C27" t="str">
        <v>Maintenance And Repairs Of Agric. Machinery</v>
      </c>
      <c r="D27">
        <v>123</v>
      </c>
      <c r="E27" t="s">
        <v>50</v>
      </c>
      <c r="F27" t="s">
        <v>325</v>
      </c>
    </row>
    <row r="28" spans="1:6" x14ac:dyDescent="0.3">
      <c r="A28" t="str">
        <f t="shared" si="0"/>
        <v>AE 464,ED4-AE</v>
      </c>
      <c r="B28" t="s">
        <v>1013</v>
      </c>
      <c r="C28" t="str">
        <v>Crop Storage And Storage Structures</v>
      </c>
      <c r="D28">
        <v>123</v>
      </c>
      <c r="E28" t="s">
        <v>50</v>
      </c>
      <c r="F28" t="s">
        <v>477</v>
      </c>
    </row>
    <row r="29" spans="1:6" x14ac:dyDescent="0.3">
      <c r="A29" t="str">
        <f t="shared" si="0"/>
        <v>AE 482,ED4-AE</v>
      </c>
      <c r="B29" t="s">
        <v>1014</v>
      </c>
      <c r="C29" t="str">
        <v>Farm Machinery Design</v>
      </c>
      <c r="D29">
        <v>123</v>
      </c>
      <c r="E29" t="s">
        <v>50</v>
      </c>
      <c r="F29" t="s">
        <v>429</v>
      </c>
    </row>
    <row r="30" spans="1:6" x14ac:dyDescent="0.3">
      <c r="A30" t="str">
        <f t="shared" si="0"/>
        <v>ME 492,ED4-AE</v>
      </c>
      <c r="B30" t="s">
        <v>1015</v>
      </c>
      <c r="C30" t="str">
        <v>Management And Entrepreneurship Development</v>
      </c>
      <c r="D30">
        <v>123</v>
      </c>
      <c r="E30" t="s">
        <v>50</v>
      </c>
      <c r="F30" t="s">
        <v>373</v>
      </c>
    </row>
    <row r="31" spans="1:6" x14ac:dyDescent="0.3">
      <c r="A31" t="str">
        <f t="shared" si="0"/>
        <v>AERO 174,ED1-AERO</v>
      </c>
      <c r="B31" t="s">
        <v>1016</v>
      </c>
      <c r="C31" t="str">
        <v>Aerospace Design Project I</v>
      </c>
      <c r="D31">
        <v>76</v>
      </c>
      <c r="E31" t="s">
        <v>191</v>
      </c>
      <c r="F31" t="s">
        <v>483</v>
      </c>
    </row>
    <row r="32" spans="1:6" x14ac:dyDescent="0.3">
      <c r="A32" t="str">
        <f t="shared" si="0"/>
        <v>EE 152,ED1-AERO</v>
      </c>
      <c r="B32" t="s">
        <v>990</v>
      </c>
      <c r="C32" t="str">
        <v>Basic Electronics</v>
      </c>
      <c r="D32">
        <v>76</v>
      </c>
      <c r="E32" t="s">
        <v>191</v>
      </c>
      <c r="F32" t="s">
        <v>234</v>
      </c>
    </row>
    <row r="33" spans="1:6" x14ac:dyDescent="0.3">
      <c r="A33" t="str">
        <f t="shared" si="0"/>
        <v>ENGL 158,ED1-AERO</v>
      </c>
      <c r="B33" t="s">
        <v>991</v>
      </c>
      <c r="C33" t="str">
        <v>Communication Skills II</v>
      </c>
      <c r="D33">
        <v>76</v>
      </c>
      <c r="E33" t="s">
        <v>191</v>
      </c>
      <c r="F33" t="s">
        <v>364</v>
      </c>
    </row>
    <row r="34" spans="1:6" x14ac:dyDescent="0.3">
      <c r="A34" t="str">
        <f t="shared" si="0"/>
        <v>MATH 152,ED1-AERO</v>
      </c>
      <c r="B34" t="s">
        <v>992</v>
      </c>
      <c r="C34" t="str">
        <v>Calculus With Analysis</v>
      </c>
      <c r="D34">
        <v>76</v>
      </c>
      <c r="E34" t="s">
        <v>191</v>
      </c>
      <c r="F34" t="s">
        <v>129</v>
      </c>
    </row>
    <row r="35" spans="1:6" x14ac:dyDescent="0.3">
      <c r="A35" t="str">
        <f t="shared" si="0"/>
        <v>ME 158,ED1-AERO</v>
      </c>
      <c r="B35" t="s">
        <v>1017</v>
      </c>
      <c r="C35" t="str">
        <v>Engineering Graphics</v>
      </c>
      <c r="D35">
        <v>76</v>
      </c>
      <c r="E35" t="s">
        <v>191</v>
      </c>
      <c r="F35" t="s">
        <v>190</v>
      </c>
    </row>
    <row r="36" spans="1:6" x14ac:dyDescent="0.3">
      <c r="A36" t="str">
        <f t="shared" si="0"/>
        <v>ME 164,ED1-AERO</v>
      </c>
      <c r="B36" t="s">
        <v>1018</v>
      </c>
      <c r="C36" t="str">
        <v>Engineering Mechanics I:Statics</v>
      </c>
      <c r="D36">
        <v>76</v>
      </c>
      <c r="E36" t="s">
        <v>191</v>
      </c>
      <c r="F36" t="s">
        <v>268</v>
      </c>
    </row>
    <row r="37" spans="1:6" x14ac:dyDescent="0.3">
      <c r="A37" t="str">
        <f t="shared" si="0"/>
        <v>ME 168,ED1-AERO</v>
      </c>
      <c r="B37" t="s">
        <v>1019</v>
      </c>
      <c r="C37" t="str">
        <v>Computer Programming For Engineers</v>
      </c>
      <c r="D37">
        <v>76</v>
      </c>
      <c r="E37" t="s">
        <v>191</v>
      </c>
      <c r="F37" t="s">
        <v>110</v>
      </c>
    </row>
    <row r="38" spans="1:6" x14ac:dyDescent="0.3">
      <c r="A38" t="str">
        <f t="shared" si="0"/>
        <v>AERO 256,ED2-AERO</v>
      </c>
      <c r="B38" t="s">
        <v>1020</v>
      </c>
      <c r="C38" t="str">
        <v>Aerospace Structures</v>
      </c>
      <c r="D38">
        <v>77</v>
      </c>
      <c r="E38" t="s">
        <v>36</v>
      </c>
      <c r="F38" t="s">
        <v>356</v>
      </c>
    </row>
    <row r="39" spans="1:6" x14ac:dyDescent="0.3">
      <c r="A39" t="str">
        <f t="shared" si="0"/>
        <v>AERO 274,ED2-AERO</v>
      </c>
      <c r="B39" t="s">
        <v>1021</v>
      </c>
      <c r="C39" t="str">
        <v>Aerospace Design Project II</v>
      </c>
      <c r="D39">
        <v>77</v>
      </c>
      <c r="E39" t="s">
        <v>36</v>
      </c>
      <c r="F39" t="s">
        <v>35</v>
      </c>
    </row>
    <row r="40" spans="1:6" x14ac:dyDescent="0.3">
      <c r="A40" t="str">
        <f t="shared" si="0"/>
        <v>ENGL 264,ED2-AERO</v>
      </c>
      <c r="B40" t="s">
        <v>996</v>
      </c>
      <c r="C40" t="str">
        <v>Literature In English II</v>
      </c>
      <c r="D40">
        <v>77</v>
      </c>
      <c r="E40" t="s">
        <v>36</v>
      </c>
      <c r="F40" t="s">
        <v>276</v>
      </c>
    </row>
    <row r="41" spans="1:6" x14ac:dyDescent="0.3">
      <c r="A41" t="str">
        <f t="shared" si="0"/>
        <v>MATH 252,ED2-AERO</v>
      </c>
      <c r="B41" t="s">
        <v>998</v>
      </c>
      <c r="C41" t="str">
        <v>Calculus With Several Variables</v>
      </c>
      <c r="D41">
        <v>77</v>
      </c>
      <c r="E41" t="s">
        <v>36</v>
      </c>
      <c r="F41" t="s">
        <v>281</v>
      </c>
    </row>
    <row r="42" spans="1:6" x14ac:dyDescent="0.3">
      <c r="A42" t="str">
        <f t="shared" si="0"/>
        <v>ME 258,ED2-AERO</v>
      </c>
      <c r="B42" t="s">
        <v>1022</v>
      </c>
      <c r="C42" t="str">
        <v>Computer-Aided Design And Modelling</v>
      </c>
      <c r="D42">
        <v>77</v>
      </c>
      <c r="E42" t="s">
        <v>36</v>
      </c>
      <c r="F42" t="s">
        <v>466</v>
      </c>
    </row>
    <row r="43" spans="1:6" x14ac:dyDescent="0.3">
      <c r="A43" t="str">
        <f t="shared" si="0"/>
        <v>ME 264,ED2-AERO</v>
      </c>
      <c r="B43" t="s">
        <v>1023</v>
      </c>
      <c r="C43" t="str">
        <v>Mechanisms Synthesis And Analysis I</v>
      </c>
      <c r="D43">
        <v>77</v>
      </c>
      <c r="E43" t="s">
        <v>36</v>
      </c>
      <c r="F43" t="s">
        <v>151</v>
      </c>
    </row>
    <row r="44" spans="1:6" x14ac:dyDescent="0.3">
      <c r="A44" t="str">
        <f t="shared" si="0"/>
        <v>ME 266,ED2-AERO</v>
      </c>
      <c r="B44" t="s">
        <v>1024</v>
      </c>
      <c r="C44" t="str">
        <v>Thermodynamics I</v>
      </c>
      <c r="D44">
        <v>77</v>
      </c>
      <c r="E44" t="s">
        <v>36</v>
      </c>
      <c r="F44" t="s">
        <v>420</v>
      </c>
    </row>
    <row r="45" spans="1:6" x14ac:dyDescent="0.3">
      <c r="A45" t="str">
        <f t="shared" si="0"/>
        <v>AERO 362,ED3-AERO</v>
      </c>
      <c r="B45" t="s">
        <v>1025</v>
      </c>
      <c r="C45" t="str">
        <v>Air Vehicle Stability And Control</v>
      </c>
      <c r="D45">
        <v>60</v>
      </c>
      <c r="E45" t="s">
        <v>133</v>
      </c>
      <c r="F45" t="s">
        <v>277</v>
      </c>
    </row>
    <row r="46" spans="1:6" x14ac:dyDescent="0.3">
      <c r="A46" t="str">
        <f t="shared" si="0"/>
        <v>AERO 368,ED3-AERO</v>
      </c>
      <c r="B46" t="s">
        <v>1026</v>
      </c>
      <c r="C46" t="str">
        <v>Propulsion</v>
      </c>
      <c r="D46">
        <v>60</v>
      </c>
      <c r="E46" t="s">
        <v>133</v>
      </c>
      <c r="F46" t="s">
        <v>192</v>
      </c>
    </row>
    <row r="47" spans="1:6" x14ac:dyDescent="0.3">
      <c r="A47" t="str">
        <f t="shared" si="0"/>
        <v>AERO 374,ED3-AERO</v>
      </c>
      <c r="B47" t="s">
        <v>1027</v>
      </c>
      <c r="C47" t="str">
        <v>Aircraft Performance And Design</v>
      </c>
      <c r="D47">
        <v>60</v>
      </c>
      <c r="E47" t="s">
        <v>133</v>
      </c>
      <c r="F47" t="s">
        <v>436</v>
      </c>
    </row>
    <row r="48" spans="1:6" ht="12" customHeight="1" x14ac:dyDescent="0.3">
      <c r="A48" t="str">
        <f t="shared" si="0"/>
        <v>AERO 396,ED3-AERO</v>
      </c>
      <c r="B48" t="s">
        <v>1028</v>
      </c>
      <c r="C48" t="str">
        <v>Aerospace Engineering Lab II</v>
      </c>
      <c r="D48">
        <v>60</v>
      </c>
      <c r="E48" t="s">
        <v>133</v>
      </c>
      <c r="F48" t="s">
        <v>132</v>
      </c>
    </row>
    <row r="49" spans="1:6" x14ac:dyDescent="0.3">
      <c r="A49" t="str">
        <f t="shared" si="0"/>
        <v>ME 362,ED3-AERO</v>
      </c>
      <c r="B49" t="s">
        <v>1029</v>
      </c>
      <c r="C49" t="str">
        <v>Vibrations I</v>
      </c>
      <c r="D49">
        <v>60</v>
      </c>
      <c r="E49" t="s">
        <v>133</v>
      </c>
      <c r="F49" t="s">
        <v>519</v>
      </c>
    </row>
    <row r="50" spans="1:6" x14ac:dyDescent="0.3">
      <c r="A50" t="str">
        <f t="shared" si="0"/>
        <v>ME 366,ED3-AERO</v>
      </c>
      <c r="B50" t="s">
        <v>1007</v>
      </c>
      <c r="C50" t="str">
        <v>Heat Transfer</v>
      </c>
      <c r="D50">
        <v>60</v>
      </c>
      <c r="E50" t="s">
        <v>133</v>
      </c>
      <c r="F50" t="s">
        <v>347</v>
      </c>
    </row>
    <row r="51" spans="1:6" x14ac:dyDescent="0.3">
      <c r="A51" t="str">
        <f t="shared" si="0"/>
        <v>ME 392,ED3-AERO</v>
      </c>
      <c r="B51" t="s">
        <v>1030</v>
      </c>
      <c r="C51" t="str">
        <v>Industrial Engineering And Ergonomics</v>
      </c>
      <c r="D51">
        <v>60</v>
      </c>
      <c r="E51" t="s">
        <v>133</v>
      </c>
      <c r="F51" t="s">
        <v>239</v>
      </c>
    </row>
    <row r="52" spans="1:6" x14ac:dyDescent="0.3">
      <c r="A52" t="str">
        <f t="shared" si="0"/>
        <v>AERO 452,ED4-AERO</v>
      </c>
      <c r="B52" t="s">
        <v>1031</v>
      </c>
      <c r="C52" t="str">
        <v>Aerodynamics II</v>
      </c>
      <c r="D52">
        <v>75</v>
      </c>
      <c r="E52" t="s">
        <v>99</v>
      </c>
      <c r="F52" t="s">
        <v>526</v>
      </c>
    </row>
    <row r="53" spans="1:6" x14ac:dyDescent="0.3">
      <c r="A53" t="str">
        <f t="shared" si="0"/>
        <v>AERO 456,ED4-AERO</v>
      </c>
      <c r="B53" t="s">
        <v>1032</v>
      </c>
      <c r="C53" t="str">
        <v>Applied Meteorology</v>
      </c>
      <c r="D53">
        <v>75</v>
      </c>
      <c r="E53" t="s">
        <v>99</v>
      </c>
      <c r="F53" t="s">
        <v>98</v>
      </c>
    </row>
    <row r="54" spans="1:6" x14ac:dyDescent="0.3">
      <c r="A54" t="str">
        <f t="shared" si="0"/>
        <v>AERO 492,ED4-AERO</v>
      </c>
      <c r="B54" t="s">
        <v>1033</v>
      </c>
      <c r="C54" t="str">
        <v>Aerospace Safety And Air Security</v>
      </c>
      <c r="D54">
        <v>75</v>
      </c>
      <c r="E54" t="s">
        <v>99</v>
      </c>
      <c r="F54" t="s">
        <v>472</v>
      </c>
    </row>
    <row r="55" spans="1:6" x14ac:dyDescent="0.3">
      <c r="A55" t="str">
        <f t="shared" si="0"/>
        <v>ME 456,ED4-AERO</v>
      </c>
      <c r="B55" t="s">
        <v>1034</v>
      </c>
      <c r="C55" t="str">
        <v>Introduction To Finite Element</v>
      </c>
      <c r="D55">
        <v>1</v>
      </c>
      <c r="E55" t="s">
        <v>99</v>
      </c>
      <c r="F55" t="s">
        <v>183</v>
      </c>
    </row>
    <row r="56" spans="1:6" x14ac:dyDescent="0.3">
      <c r="A56" t="str">
        <f t="shared" si="0"/>
        <v>ME 462,ED4-AERO</v>
      </c>
      <c r="B56" t="s">
        <v>1035</v>
      </c>
      <c r="C56" t="str">
        <v>Mechanisms Synthesis And Analysis II</v>
      </c>
      <c r="D56">
        <v>40</v>
      </c>
      <c r="E56" t="s">
        <v>99</v>
      </c>
      <c r="F56" t="s">
        <v>254</v>
      </c>
    </row>
    <row r="57" spans="1:6" x14ac:dyDescent="0.3">
      <c r="A57" t="str">
        <f t="shared" si="0"/>
        <v>ME 468,ED4-AERO</v>
      </c>
      <c r="B57" t="s">
        <v>1036</v>
      </c>
      <c r="C57" t="str">
        <v>Internal Combustion Engines</v>
      </c>
      <c r="D57">
        <v>4</v>
      </c>
      <c r="E57" t="s">
        <v>99</v>
      </c>
      <c r="F57" t="s">
        <v>407</v>
      </c>
    </row>
    <row r="58" spans="1:6" x14ac:dyDescent="0.3">
      <c r="A58" t="str">
        <f t="shared" si="0"/>
        <v>ME 472,ED4-AERO</v>
      </c>
      <c r="B58" t="s">
        <v>1037</v>
      </c>
      <c r="C58" t="str">
        <v>Machine Shop And Factory Design</v>
      </c>
      <c r="D58">
        <v>5</v>
      </c>
      <c r="E58" t="s">
        <v>99</v>
      </c>
      <c r="F58" t="s">
        <v>327</v>
      </c>
    </row>
    <row r="59" spans="1:6" x14ac:dyDescent="0.3">
      <c r="A59" t="str">
        <f t="shared" si="0"/>
        <v>ME 474,ED4-AERO</v>
      </c>
      <c r="B59" t="s">
        <v>1038</v>
      </c>
      <c r="C59" t="str">
        <v>Production Planning And Control</v>
      </c>
      <c r="D59">
        <v>14</v>
      </c>
      <c r="E59" t="s">
        <v>99</v>
      </c>
      <c r="F59" t="s">
        <v>1039</v>
      </c>
    </row>
    <row r="60" spans="1:6" x14ac:dyDescent="0.3">
      <c r="A60" t="str">
        <f t="shared" si="0"/>
        <v>ME 492,ED4-AERO</v>
      </c>
      <c r="B60" t="s">
        <v>1040</v>
      </c>
      <c r="C60" t="str">
        <v>Management And Entrepreneurship Development</v>
      </c>
      <c r="D60">
        <v>75</v>
      </c>
      <c r="E60" t="s">
        <v>99</v>
      </c>
      <c r="F60" t="s">
        <v>373</v>
      </c>
    </row>
    <row r="61" spans="1:6" x14ac:dyDescent="0.3">
      <c r="A61" t="str">
        <f t="shared" si="0"/>
        <v>ME 496,ED4-AERO</v>
      </c>
      <c r="B61" t="s">
        <v>1041</v>
      </c>
      <c r="C61" t="str">
        <v>Human Factors And Ergonomics</v>
      </c>
      <c r="D61">
        <v>37</v>
      </c>
      <c r="E61" t="s">
        <v>99</v>
      </c>
      <c r="F61" t="s">
        <v>1042</v>
      </c>
    </row>
    <row r="62" spans="1:6" x14ac:dyDescent="0.3">
      <c r="A62" t="str">
        <f t="shared" si="0"/>
        <v>EE 152,ED1-AUTO</v>
      </c>
      <c r="B62" t="s">
        <v>990</v>
      </c>
      <c r="C62" t="str">
        <v>Basic Electronics</v>
      </c>
      <c r="D62">
        <v>78</v>
      </c>
      <c r="E62" t="s">
        <v>162</v>
      </c>
      <c r="F62" t="s">
        <v>234</v>
      </c>
    </row>
    <row r="63" spans="1:6" x14ac:dyDescent="0.3">
      <c r="A63" t="str">
        <f t="shared" si="0"/>
        <v>ENGL 158,ED1-AUTO</v>
      </c>
      <c r="B63" t="s">
        <v>991</v>
      </c>
      <c r="C63" t="str">
        <v>Communication Skills II</v>
      </c>
      <c r="D63">
        <v>78</v>
      </c>
      <c r="E63" t="s">
        <v>162</v>
      </c>
      <c r="F63" t="s">
        <v>364</v>
      </c>
    </row>
    <row r="64" spans="1:6" x14ac:dyDescent="0.3">
      <c r="A64" t="str">
        <f t="shared" si="0"/>
        <v>MATH 152,ED1-AUTO</v>
      </c>
      <c r="B64" t="s">
        <v>992</v>
      </c>
      <c r="C64" t="str">
        <v>Calculus With Analysis</v>
      </c>
      <c r="D64">
        <v>78</v>
      </c>
      <c r="E64" t="s">
        <v>162</v>
      </c>
      <c r="F64" t="s">
        <v>129</v>
      </c>
    </row>
    <row r="65" spans="1:6" x14ac:dyDescent="0.3">
      <c r="A65" t="str">
        <f t="shared" si="0"/>
        <v>ME 160,ED1-AUTO</v>
      </c>
      <c r="B65" t="s">
        <v>993</v>
      </c>
      <c r="C65" t="str">
        <v>Engineering Drawing</v>
      </c>
      <c r="D65">
        <v>78</v>
      </c>
      <c r="E65" t="s">
        <v>162</v>
      </c>
      <c r="F65" t="s">
        <v>160</v>
      </c>
    </row>
    <row r="66" spans="1:6" x14ac:dyDescent="0.3">
      <c r="A66" t="str">
        <f t="shared" ref="A66:A129" si="1">CONCATENATE(F66,",",E66)</f>
        <v>ME 164,ED1-AUTO</v>
      </c>
      <c r="B66" t="s">
        <v>1018</v>
      </c>
      <c r="C66" t="str">
        <v>Engineering Mechanics I:Statics</v>
      </c>
      <c r="D66">
        <v>78</v>
      </c>
      <c r="E66" t="s">
        <v>162</v>
      </c>
      <c r="F66" t="s">
        <v>268</v>
      </c>
    </row>
    <row r="67" spans="1:6" x14ac:dyDescent="0.3">
      <c r="A67" t="str">
        <f t="shared" si="1"/>
        <v>ME 174,ED1-AUTO</v>
      </c>
      <c r="B67" t="s">
        <v>1043</v>
      </c>
      <c r="C67" t="str">
        <v xml:space="preserve">Product Design And Manufacturing </v>
      </c>
      <c r="D67">
        <v>78</v>
      </c>
      <c r="E67" t="s">
        <v>162</v>
      </c>
      <c r="F67" t="s">
        <v>486</v>
      </c>
    </row>
    <row r="68" spans="1:6" x14ac:dyDescent="0.3">
      <c r="A68" t="str">
        <f t="shared" si="1"/>
        <v>AME 156,ED1-AUTO</v>
      </c>
      <c r="B68" t="s">
        <v>1044</v>
      </c>
      <c r="C68" t="str">
        <v xml:space="preserve">Basic Thermodynamics </v>
      </c>
      <c r="D68">
        <v>78</v>
      </c>
      <c r="E68" t="s">
        <v>162</v>
      </c>
      <c r="F68" t="s">
        <v>422</v>
      </c>
    </row>
    <row r="69" spans="1:6" x14ac:dyDescent="0.3">
      <c r="A69" t="str">
        <f t="shared" si="1"/>
        <v>AME 274,ED2-AUTO</v>
      </c>
      <c r="B69" t="s">
        <v>1045</v>
      </c>
      <c r="C69" t="str">
        <v>Design Of Auto Machine Elements</v>
      </c>
      <c r="D69">
        <v>48</v>
      </c>
      <c r="E69" t="s">
        <v>40</v>
      </c>
      <c r="F69" t="s">
        <v>39</v>
      </c>
    </row>
    <row r="70" spans="1:6" x14ac:dyDescent="0.3">
      <c r="A70" t="str">
        <f t="shared" si="1"/>
        <v>AME 284,ED2-AUTO</v>
      </c>
      <c r="B70" t="s">
        <v>1046</v>
      </c>
      <c r="C70" t="str">
        <v>AutomotIVe Electrical Systems And Electronics</v>
      </c>
      <c r="D70">
        <v>48</v>
      </c>
      <c r="E70" t="s">
        <v>40</v>
      </c>
      <c r="F70" t="s">
        <v>1047</v>
      </c>
    </row>
    <row r="71" spans="1:6" x14ac:dyDescent="0.3">
      <c r="A71" t="str">
        <f t="shared" si="1"/>
        <v>AME 296,ED2-AUTO</v>
      </c>
      <c r="B71" t="s">
        <v>1048</v>
      </c>
      <c r="C71" t="str">
        <v>Automobile Engineering Laboratory II</v>
      </c>
      <c r="D71">
        <v>48</v>
      </c>
      <c r="E71" t="s">
        <v>40</v>
      </c>
      <c r="F71" t="s">
        <v>1049</v>
      </c>
    </row>
    <row r="72" spans="1:6" x14ac:dyDescent="0.3">
      <c r="A72" t="str">
        <f t="shared" si="1"/>
        <v>AME 384,ED3-AUTO</v>
      </c>
      <c r="B72" t="s">
        <v>1050</v>
      </c>
      <c r="C72" t="str">
        <v>Microprocessors and Mechatronics Applications</v>
      </c>
      <c r="D72">
        <v>26</v>
      </c>
      <c r="E72" t="s">
        <v>23</v>
      </c>
      <c r="F72" t="s">
        <v>279</v>
      </c>
    </row>
    <row r="73" spans="1:6" x14ac:dyDescent="0.3">
      <c r="A73" t="str">
        <f t="shared" si="1"/>
        <v>MATH 252,ED2-AUTO</v>
      </c>
      <c r="B73" t="s">
        <v>998</v>
      </c>
      <c r="C73" t="str">
        <v>Calculus With Several Variables</v>
      </c>
      <c r="D73">
        <v>48</v>
      </c>
      <c r="E73" t="s">
        <v>40</v>
      </c>
      <c r="F73" t="s">
        <v>281</v>
      </c>
    </row>
    <row r="74" spans="1:6" x14ac:dyDescent="0.3">
      <c r="A74" t="str">
        <f t="shared" si="1"/>
        <v>ME 252,ED2-AUTO</v>
      </c>
      <c r="B74" t="s">
        <v>1051</v>
      </c>
      <c r="C74" t="str">
        <v>Fluid Dynamics I</v>
      </c>
      <c r="D74">
        <v>48</v>
      </c>
      <c r="E74" t="s">
        <v>40</v>
      </c>
      <c r="F74" t="s">
        <v>394</v>
      </c>
    </row>
    <row r="75" spans="1:6" x14ac:dyDescent="0.3">
      <c r="A75" t="str">
        <f t="shared" si="1"/>
        <v>ME 264,ED2-AUTO</v>
      </c>
      <c r="B75" t="s">
        <v>1023</v>
      </c>
      <c r="C75" t="str">
        <v>Mechanisms Synthesis And Analysis I</v>
      </c>
      <c r="D75">
        <v>48</v>
      </c>
      <c r="E75" t="s">
        <v>40</v>
      </c>
      <c r="F75" t="s">
        <v>151</v>
      </c>
    </row>
    <row r="76" spans="1:6" x14ac:dyDescent="0.3">
      <c r="A76" t="str">
        <f t="shared" si="1"/>
        <v>ME 270,ED2-AUTO</v>
      </c>
      <c r="B76" t="s">
        <v>1052</v>
      </c>
      <c r="C76" t="str">
        <v>Manufacturing Technology</v>
      </c>
      <c r="D76">
        <v>48</v>
      </c>
      <c r="E76" t="s">
        <v>40</v>
      </c>
      <c r="F76" t="s">
        <v>337</v>
      </c>
    </row>
    <row r="77" spans="1:6" x14ac:dyDescent="0.3">
      <c r="A77" t="str">
        <f t="shared" si="1"/>
        <v>AME 356,ED3-AUTO</v>
      </c>
      <c r="B77" t="s">
        <v>1053</v>
      </c>
      <c r="C77" t="str">
        <v>Land Vehicle Structures</v>
      </c>
      <c r="D77">
        <v>32</v>
      </c>
      <c r="E77" t="s">
        <v>23</v>
      </c>
      <c r="F77" t="s">
        <v>316</v>
      </c>
    </row>
    <row r="78" spans="1:6" x14ac:dyDescent="0.3">
      <c r="A78" t="str">
        <f t="shared" si="1"/>
        <v>AME 362,ED3-AUTO</v>
      </c>
      <c r="B78" t="s">
        <v>1054</v>
      </c>
      <c r="C78" t="str">
        <v>Vibrations For Automobile Engineers</v>
      </c>
      <c r="D78">
        <v>32</v>
      </c>
      <c r="E78" t="s">
        <v>23</v>
      </c>
      <c r="F78" t="s">
        <v>521</v>
      </c>
    </row>
    <row r="79" spans="1:6" x14ac:dyDescent="0.3">
      <c r="A79" t="str">
        <f t="shared" si="1"/>
        <v>AME 368,ED3-AUTO</v>
      </c>
      <c r="B79" t="s">
        <v>1055</v>
      </c>
      <c r="C79" t="str">
        <v>Automotive Spark-Ignition Engines</v>
      </c>
      <c r="D79">
        <v>32</v>
      </c>
      <c r="E79" t="s">
        <v>23</v>
      </c>
      <c r="F79" t="s">
        <v>165</v>
      </c>
    </row>
    <row r="80" spans="1:6" x14ac:dyDescent="0.3">
      <c r="A80" t="str">
        <f t="shared" si="1"/>
        <v>AME 376,ED3-AUTO</v>
      </c>
      <c r="B80" t="s">
        <v>1056</v>
      </c>
      <c r="C80" t="str">
        <v>Automotive Chassis</v>
      </c>
      <c r="D80">
        <v>32</v>
      </c>
      <c r="E80" t="s">
        <v>23</v>
      </c>
      <c r="F80" t="s">
        <v>22</v>
      </c>
    </row>
    <row r="81" spans="1:6" x14ac:dyDescent="0.3">
      <c r="A81" t="str">
        <f t="shared" si="1"/>
        <v>AME 386,ED3-AUTO</v>
      </c>
      <c r="B81" t="s">
        <v>1057</v>
      </c>
      <c r="C81" t="str">
        <v>Manual Power Train</v>
      </c>
      <c r="D81">
        <v>32</v>
      </c>
      <c r="E81" t="s">
        <v>23</v>
      </c>
      <c r="F81" t="s">
        <v>443</v>
      </c>
    </row>
    <row r="82" spans="1:6" x14ac:dyDescent="0.3">
      <c r="A82" t="str">
        <f t="shared" si="1"/>
        <v>AME 392,ED3-AUTO</v>
      </c>
      <c r="B82" t="s">
        <v>1030</v>
      </c>
      <c r="C82" t="str">
        <v>Industrial Engineering And Ergonomics</v>
      </c>
      <c r="D82">
        <v>32</v>
      </c>
      <c r="E82" t="s">
        <v>23</v>
      </c>
      <c r="F82" t="s">
        <v>241</v>
      </c>
    </row>
    <row r="83" spans="1:6" x14ac:dyDescent="0.3">
      <c r="A83" t="str">
        <f t="shared" si="1"/>
        <v>AME 396,ED3-AUTO</v>
      </c>
      <c r="B83" t="s">
        <v>1058</v>
      </c>
      <c r="C83" t="str">
        <v>Automobile Engineering Laboratory IV</v>
      </c>
      <c r="D83">
        <v>32</v>
      </c>
      <c r="E83" t="s">
        <v>23</v>
      </c>
      <c r="F83" t="s">
        <v>1059</v>
      </c>
    </row>
    <row r="84" spans="1:6" x14ac:dyDescent="0.3">
      <c r="A84" t="str">
        <f t="shared" si="1"/>
        <v>ME 384,ED3-AUTO</v>
      </c>
      <c r="B84" t="s">
        <v>1050</v>
      </c>
      <c r="C84" t="str">
        <v>Microprocessors And Mechatronics Applications</v>
      </c>
      <c r="D84">
        <v>32</v>
      </c>
      <c r="E84" t="s">
        <v>23</v>
      </c>
      <c r="F84" t="s">
        <v>1060</v>
      </c>
    </row>
    <row r="85" spans="1:6" x14ac:dyDescent="0.3">
      <c r="A85" t="str">
        <f t="shared" si="1"/>
        <v>AME 476,ED4-AUTO</v>
      </c>
      <c r="B85" t="s">
        <v>1061</v>
      </c>
      <c r="C85" t="str">
        <v>Modern Automobile Technology</v>
      </c>
      <c r="D85">
        <v>78</v>
      </c>
      <c r="E85" t="s">
        <v>97</v>
      </c>
      <c r="F85" t="s">
        <v>257</v>
      </c>
    </row>
    <row r="86" spans="1:6" x14ac:dyDescent="0.3">
      <c r="A86" t="str">
        <f t="shared" si="1"/>
        <v>AME 482,ED4-AUTO</v>
      </c>
      <c r="B86" t="s">
        <v>1062</v>
      </c>
      <c r="C86" t="str">
        <v>Special Vehicle Design</v>
      </c>
      <c r="D86">
        <v>78</v>
      </c>
      <c r="E86" t="s">
        <v>97</v>
      </c>
      <c r="F86" t="s">
        <v>96</v>
      </c>
    </row>
    <row r="87" spans="1:6" x14ac:dyDescent="0.3">
      <c r="A87" t="str">
        <f t="shared" si="1"/>
        <v>AME 496,ED4-AUTO</v>
      </c>
      <c r="B87" t="s">
        <v>1063</v>
      </c>
      <c r="C87" t="str">
        <v>Vehicle Maintenance And Regulation</v>
      </c>
      <c r="D87">
        <v>78</v>
      </c>
      <c r="E87" t="s">
        <v>97</v>
      </c>
      <c r="F87" t="s">
        <v>446</v>
      </c>
    </row>
    <row r="88" spans="1:6" x14ac:dyDescent="0.3">
      <c r="A88" t="str">
        <f t="shared" si="1"/>
        <v>AME 498,ED4-AUTO</v>
      </c>
      <c r="B88" t="s">
        <v>1064</v>
      </c>
      <c r="C88" t="e">
        <v>#N/A</v>
      </c>
      <c r="D88">
        <v>78</v>
      </c>
      <c r="E88" t="s">
        <v>97</v>
      </c>
      <c r="F88" t="s">
        <v>1065</v>
      </c>
    </row>
    <row r="89" spans="1:6" x14ac:dyDescent="0.3">
      <c r="A89" t="str">
        <f t="shared" si="1"/>
        <v>ME 456,ED4-AUTO</v>
      </c>
      <c r="B89" t="s">
        <v>1034</v>
      </c>
      <c r="C89" t="str">
        <v>Finite Element Methods</v>
      </c>
      <c r="D89">
        <v>78</v>
      </c>
      <c r="E89" t="s">
        <v>97</v>
      </c>
      <c r="F89" t="s">
        <v>183</v>
      </c>
    </row>
    <row r="90" spans="1:6" x14ac:dyDescent="0.3">
      <c r="A90" t="str">
        <f t="shared" si="1"/>
        <v>ME 492,ED4-AUTO</v>
      </c>
      <c r="B90" t="s">
        <v>1015</v>
      </c>
      <c r="C90" t="str">
        <v>Management And Entrepreneurship Development</v>
      </c>
      <c r="D90">
        <v>78</v>
      </c>
      <c r="E90" t="s">
        <v>97</v>
      </c>
      <c r="F90" t="s">
        <v>373</v>
      </c>
    </row>
    <row r="91" spans="1:6" x14ac:dyDescent="0.3">
      <c r="A91" t="str">
        <f t="shared" si="1"/>
        <v>COE 152,ED1-BME</v>
      </c>
      <c r="B91" t="s">
        <v>990</v>
      </c>
      <c r="C91" t="str">
        <v>Basic Electronics</v>
      </c>
      <c r="D91">
        <v>84</v>
      </c>
      <c r="E91" t="s">
        <v>130</v>
      </c>
      <c r="F91" t="s">
        <v>260</v>
      </c>
    </row>
    <row r="92" spans="1:6" x14ac:dyDescent="0.3">
      <c r="A92" t="str">
        <f t="shared" si="1"/>
        <v>ENGL 158,ED1-BME</v>
      </c>
      <c r="B92" t="s">
        <v>991</v>
      </c>
      <c r="C92" t="str">
        <v>Communication Skills II</v>
      </c>
      <c r="D92">
        <v>84</v>
      </c>
      <c r="E92" t="s">
        <v>130</v>
      </c>
      <c r="F92" t="s">
        <v>364</v>
      </c>
    </row>
    <row r="93" spans="1:6" x14ac:dyDescent="0.3">
      <c r="A93" t="str">
        <f t="shared" si="1"/>
        <v>COE 181,ED1-BME</v>
      </c>
      <c r="B93" t="s">
        <v>1066</v>
      </c>
      <c r="C93" t="str">
        <v>Applied Electricity</v>
      </c>
      <c r="D93">
        <v>84</v>
      </c>
      <c r="E93" t="s">
        <v>130</v>
      </c>
      <c r="F93" t="s">
        <v>1067</v>
      </c>
    </row>
    <row r="94" spans="1:6" x14ac:dyDescent="0.3">
      <c r="A94" t="str">
        <f t="shared" si="1"/>
        <v>MATH 152,ED1-BME</v>
      </c>
      <c r="B94" t="s">
        <v>992</v>
      </c>
      <c r="C94" t="str">
        <v>Calculus With Analysis</v>
      </c>
      <c r="D94">
        <v>84</v>
      </c>
      <c r="E94" t="s">
        <v>130</v>
      </c>
      <c r="F94" t="s">
        <v>129</v>
      </c>
    </row>
    <row r="95" spans="1:6" x14ac:dyDescent="0.3">
      <c r="A95" t="str">
        <f t="shared" si="1"/>
        <v>PHY 154,ED1-BME</v>
      </c>
      <c r="B95" t="s">
        <v>1068</v>
      </c>
      <c r="C95" t="str">
        <v>Properties Of Matter</v>
      </c>
      <c r="D95">
        <v>84</v>
      </c>
      <c r="E95" t="s">
        <v>130</v>
      </c>
      <c r="F95" t="s">
        <v>313</v>
      </c>
    </row>
    <row r="96" spans="1:6" x14ac:dyDescent="0.3">
      <c r="A96" t="str">
        <f t="shared" si="1"/>
        <v>ME 161,ED1-BME</v>
      </c>
      <c r="B96" t="s">
        <v>1069</v>
      </c>
      <c r="C96" t="str">
        <v>Basic Mechanics</v>
      </c>
      <c r="D96">
        <v>84</v>
      </c>
      <c r="E96" t="s">
        <v>130</v>
      </c>
      <c r="F96" t="s">
        <v>1070</v>
      </c>
    </row>
    <row r="97" spans="1:6" x14ac:dyDescent="0.3">
      <c r="A97" t="str">
        <f t="shared" si="1"/>
        <v>SOC 152,ED1-BME</v>
      </c>
      <c r="B97" t="s">
        <v>1071</v>
      </c>
      <c r="C97" t="str">
        <v>Introduction To Sociology II</v>
      </c>
      <c r="D97">
        <v>84</v>
      </c>
      <c r="E97" t="s">
        <v>130</v>
      </c>
      <c r="F97" t="s">
        <v>197</v>
      </c>
    </row>
    <row r="98" spans="1:6" x14ac:dyDescent="0.3">
      <c r="A98" t="str">
        <f t="shared" si="1"/>
        <v>BME 161,ED1-BME</v>
      </c>
      <c r="B98" t="s">
        <v>1072</v>
      </c>
      <c r="C98" t="str">
        <v>Cell Biology</v>
      </c>
      <c r="D98">
        <v>84</v>
      </c>
      <c r="E98" t="s">
        <v>130</v>
      </c>
      <c r="F98" t="s">
        <v>1073</v>
      </c>
    </row>
    <row r="99" spans="1:6" x14ac:dyDescent="0.3">
      <c r="A99" t="str">
        <f t="shared" si="1"/>
        <v>SSN 166,ED1-BME</v>
      </c>
      <c r="B99" t="s">
        <v>1074</v>
      </c>
      <c r="C99" t="str">
        <v>Biochemistry</v>
      </c>
      <c r="D99">
        <v>84</v>
      </c>
      <c r="E99" t="s">
        <v>130</v>
      </c>
      <c r="F99" t="s">
        <v>1075</v>
      </c>
    </row>
    <row r="100" spans="1:6" x14ac:dyDescent="0.3">
      <c r="A100" t="str">
        <f t="shared" si="1"/>
        <v>ME 166,ED1-BME</v>
      </c>
      <c r="B100" t="s">
        <v>1024</v>
      </c>
      <c r="C100" t="str">
        <v>THERMODYNAMICS I</v>
      </c>
      <c r="D100">
        <v>84</v>
      </c>
      <c r="E100" t="s">
        <v>130</v>
      </c>
      <c r="F100" t="s">
        <v>421</v>
      </c>
    </row>
    <row r="101" spans="1:6" x14ac:dyDescent="0.3">
      <c r="A101" t="str">
        <f t="shared" si="1"/>
        <v>BME 166,ED1-BME</v>
      </c>
      <c r="B101" t="s">
        <v>1074</v>
      </c>
      <c r="C101" t="str">
        <v>Biochemistry</v>
      </c>
      <c r="D101">
        <v>84</v>
      </c>
      <c r="E101" t="s">
        <v>130</v>
      </c>
      <c r="F101" t="s">
        <v>520</v>
      </c>
    </row>
    <row r="102" spans="1:6" x14ac:dyDescent="0.3">
      <c r="A102" t="str">
        <f t="shared" si="1"/>
        <v>ACF 256,ED2-BME</v>
      </c>
      <c r="B102" t="s">
        <v>1076</v>
      </c>
      <c r="C102" t="str">
        <v>Introduction to Financial Accounting II</v>
      </c>
      <c r="D102">
        <v>14</v>
      </c>
      <c r="E102" t="s">
        <v>109</v>
      </c>
      <c r="F102" t="s">
        <v>424</v>
      </c>
    </row>
    <row r="103" spans="1:6" x14ac:dyDescent="0.3">
      <c r="A103" t="str">
        <f t="shared" si="1"/>
        <v>BME 252,ED2-BME</v>
      </c>
      <c r="B103" t="s">
        <v>1077</v>
      </c>
      <c r="C103" t="str">
        <v>Biomedical Engineering Design II</v>
      </c>
      <c r="D103">
        <v>92</v>
      </c>
      <c r="E103" t="s">
        <v>109</v>
      </c>
      <c r="F103" t="s">
        <v>1078</v>
      </c>
    </row>
    <row r="104" spans="1:6" x14ac:dyDescent="0.3">
      <c r="A104" t="str">
        <f t="shared" si="1"/>
        <v>BME 286,ED2-BME</v>
      </c>
      <c r="B104" t="s">
        <v>1079</v>
      </c>
      <c r="C104" t="str">
        <v>Anatomy And Physiology For Engineers II</v>
      </c>
      <c r="D104">
        <v>92</v>
      </c>
      <c r="E104" t="s">
        <v>109</v>
      </c>
      <c r="F104" t="s">
        <v>522</v>
      </c>
    </row>
    <row r="105" spans="1:6" x14ac:dyDescent="0.3">
      <c r="A105" t="str">
        <f t="shared" si="1"/>
        <v>BME 288,ED2-BME</v>
      </c>
      <c r="B105" t="s">
        <v>1080</v>
      </c>
      <c r="C105" t="str">
        <v>Chemical Pathology</v>
      </c>
      <c r="D105">
        <v>92</v>
      </c>
      <c r="E105" t="s">
        <v>109</v>
      </c>
      <c r="F105" t="s">
        <v>1081</v>
      </c>
    </row>
    <row r="106" spans="1:6" x14ac:dyDescent="0.3">
      <c r="A106" t="str">
        <f t="shared" si="1"/>
        <v>COE 254,ED2-BME</v>
      </c>
      <c r="B106" t="s">
        <v>1082</v>
      </c>
      <c r="C106" t="str">
        <v>Object-Oriented Programming</v>
      </c>
      <c r="D106">
        <v>92</v>
      </c>
      <c r="E106" t="s">
        <v>109</v>
      </c>
      <c r="F106" t="s">
        <v>107</v>
      </c>
    </row>
    <row r="107" spans="1:6" x14ac:dyDescent="0.3">
      <c r="A107" t="str">
        <f t="shared" si="1"/>
        <v>COE 272,ED2-BME</v>
      </c>
      <c r="B107" t="s">
        <v>1083</v>
      </c>
      <c r="C107" t="str">
        <v>Digital Systems Design I</v>
      </c>
      <c r="D107">
        <v>92</v>
      </c>
      <c r="E107" t="s">
        <v>109</v>
      </c>
      <c r="F107" t="s">
        <v>377</v>
      </c>
    </row>
    <row r="108" spans="1:6" x14ac:dyDescent="0.3">
      <c r="A108" t="str">
        <f t="shared" si="1"/>
        <v>ECON 152,ED2-BME</v>
      </c>
      <c r="B108" t="s">
        <v>1084</v>
      </c>
      <c r="C108" t="str">
        <v>Elements Of Economics II</v>
      </c>
      <c r="D108">
        <v>12</v>
      </c>
      <c r="E108" t="s">
        <v>109</v>
      </c>
      <c r="F108" t="s">
        <v>406</v>
      </c>
    </row>
    <row r="109" spans="1:6" x14ac:dyDescent="0.3">
      <c r="A109" t="str">
        <f t="shared" si="1"/>
        <v>FC 182,ED2-BME</v>
      </c>
      <c r="B109" t="s">
        <v>1085</v>
      </c>
      <c r="C109" t="str">
        <v>French For Communication II</v>
      </c>
      <c r="D109">
        <v>66</v>
      </c>
      <c r="E109" t="s">
        <v>109</v>
      </c>
      <c r="F109" t="s">
        <v>245</v>
      </c>
    </row>
    <row r="110" spans="1:6" x14ac:dyDescent="0.3">
      <c r="A110" t="str">
        <f t="shared" si="1"/>
        <v>MATH 252,ED2-BME</v>
      </c>
      <c r="B110" t="s">
        <v>998</v>
      </c>
      <c r="C110" t="str">
        <v>Calculus With Several Variables</v>
      </c>
      <c r="D110">
        <v>92</v>
      </c>
      <c r="E110" t="s">
        <v>109</v>
      </c>
      <c r="F110" t="s">
        <v>281</v>
      </c>
    </row>
    <row r="111" spans="1:6" x14ac:dyDescent="0.3">
      <c r="A111" t="str">
        <f t="shared" si="1"/>
        <v>BME 362,ED3-BME</v>
      </c>
      <c r="B111" t="s">
        <v>1086</v>
      </c>
      <c r="C111" t="str">
        <v>Biomaterials I</v>
      </c>
      <c r="D111">
        <v>85</v>
      </c>
      <c r="E111" t="s">
        <v>65</v>
      </c>
      <c r="F111" t="s">
        <v>428</v>
      </c>
    </row>
    <row r="112" spans="1:6" x14ac:dyDescent="0.3">
      <c r="A112" t="str">
        <f t="shared" si="1"/>
        <v>BME 364,ED3-BME</v>
      </c>
      <c r="B112" t="s">
        <v>1087</v>
      </c>
      <c r="C112" t="str">
        <v>Medical Imaging I</v>
      </c>
      <c r="D112">
        <v>85</v>
      </c>
      <c r="E112" t="s">
        <v>65</v>
      </c>
      <c r="F112" t="s">
        <v>330</v>
      </c>
    </row>
    <row r="113" spans="1:6" x14ac:dyDescent="0.3">
      <c r="A113" t="str">
        <f t="shared" si="1"/>
        <v>BME 366,ED3-BME</v>
      </c>
      <c r="B113" t="s">
        <v>1088</v>
      </c>
      <c r="C113" t="str">
        <v>Biosignal Processes And Analysis</v>
      </c>
      <c r="D113">
        <v>85</v>
      </c>
      <c r="E113" t="s">
        <v>65</v>
      </c>
      <c r="F113" t="s">
        <v>368</v>
      </c>
    </row>
    <row r="114" spans="1:6" x14ac:dyDescent="0.3">
      <c r="A114" t="str">
        <f t="shared" si="1"/>
        <v>BME 372,ED3-BME</v>
      </c>
      <c r="B114" t="s">
        <v>1089</v>
      </c>
      <c r="C114" t="str">
        <v>Bioinstrumentation I</v>
      </c>
      <c r="D114">
        <v>85</v>
      </c>
      <c r="E114" t="s">
        <v>65</v>
      </c>
      <c r="F114" t="s">
        <v>64</v>
      </c>
    </row>
    <row r="115" spans="1:6" x14ac:dyDescent="0.3">
      <c r="A115" t="str">
        <f t="shared" si="1"/>
        <v>BME 374,ED3-BME</v>
      </c>
      <c r="B115" t="s">
        <v>1090</v>
      </c>
      <c r="C115" t="str">
        <v>Biomedical Optics</v>
      </c>
      <c r="D115">
        <v>85</v>
      </c>
      <c r="E115" t="s">
        <v>65</v>
      </c>
      <c r="F115" t="s">
        <v>503</v>
      </c>
    </row>
    <row r="116" spans="1:6" x14ac:dyDescent="0.3">
      <c r="A116" t="str">
        <f t="shared" si="1"/>
        <v>COE 358,ED3-BME</v>
      </c>
      <c r="B116" t="s">
        <v>1091</v>
      </c>
      <c r="C116" t="str">
        <v>Embedded Systems</v>
      </c>
      <c r="D116">
        <v>85</v>
      </c>
      <c r="E116" t="s">
        <v>65</v>
      </c>
      <c r="F116" t="s">
        <v>259</v>
      </c>
    </row>
    <row r="117" spans="1:6" x14ac:dyDescent="0.3">
      <c r="A117" t="str">
        <f t="shared" si="1"/>
        <v>BME 454,ED4-BME</v>
      </c>
      <c r="B117" t="s">
        <v>1092</v>
      </c>
      <c r="C117" t="str">
        <v>Medical Device Regulation</v>
      </c>
      <c r="D117">
        <v>61</v>
      </c>
      <c r="E117" t="s">
        <v>252</v>
      </c>
      <c r="F117" t="s">
        <v>320</v>
      </c>
    </row>
    <row r="118" spans="1:6" x14ac:dyDescent="0.3">
      <c r="A118" t="str">
        <f t="shared" si="1"/>
        <v>BME 462,ED4-BME</v>
      </c>
      <c r="B118" t="s">
        <v>1093</v>
      </c>
      <c r="C118" t="str">
        <v>Biomechanics II</v>
      </c>
      <c r="D118">
        <v>61</v>
      </c>
      <c r="E118" t="s">
        <v>252</v>
      </c>
      <c r="F118" t="s">
        <v>411</v>
      </c>
    </row>
    <row r="119" spans="1:6" x14ac:dyDescent="0.3">
      <c r="A119" t="str">
        <f t="shared" si="1"/>
        <v>COE 472,ED4-BME</v>
      </c>
      <c r="B119" t="s">
        <v>1094</v>
      </c>
      <c r="C119" t="str">
        <v>Digital Signal Processing</v>
      </c>
      <c r="D119">
        <v>61</v>
      </c>
      <c r="E119" t="s">
        <v>252</v>
      </c>
      <c r="F119" t="s">
        <v>250</v>
      </c>
    </row>
    <row r="120" spans="1:6" x14ac:dyDescent="0.3">
      <c r="A120" t="str">
        <f t="shared" si="1"/>
        <v>ME 492,ED4-BME</v>
      </c>
      <c r="B120" t="s">
        <v>1095</v>
      </c>
      <c r="C120" t="str">
        <v>Entrepreneurship Development</v>
      </c>
      <c r="D120">
        <v>61</v>
      </c>
      <c r="E120" t="s">
        <v>252</v>
      </c>
      <c r="F120" t="s">
        <v>373</v>
      </c>
    </row>
    <row r="121" spans="1:6" x14ac:dyDescent="0.3">
      <c r="A121" t="str">
        <f t="shared" si="1"/>
        <v>ARC 156,ED1-CE</v>
      </c>
      <c r="B121" t="s">
        <v>1096</v>
      </c>
      <c r="C121" t="str">
        <v>Introduction To Lighting And Acoustics</v>
      </c>
      <c r="D121">
        <v>53</v>
      </c>
      <c r="E121" t="s">
        <v>75</v>
      </c>
      <c r="F121" t="s">
        <v>89</v>
      </c>
    </row>
    <row r="122" spans="1:6" x14ac:dyDescent="0.3">
      <c r="A122" t="str">
        <f t="shared" si="1"/>
        <v>CE 154,ED1-CE</v>
      </c>
      <c r="B122" t="s">
        <v>1097</v>
      </c>
      <c r="C122" t="str">
        <v>Properties Of CIVil Engineering Material</v>
      </c>
      <c r="D122">
        <v>260</v>
      </c>
      <c r="E122" t="s">
        <v>75</v>
      </c>
      <c r="F122" t="s">
        <v>74</v>
      </c>
    </row>
    <row r="123" spans="1:6" x14ac:dyDescent="0.3">
      <c r="A123" t="str">
        <f t="shared" si="1"/>
        <v>CE 156,ED1-CE</v>
      </c>
      <c r="B123" t="s">
        <v>1098</v>
      </c>
      <c r="C123" t="str">
        <v>Elementary Fluids Mechanics</v>
      </c>
      <c r="D123">
        <v>260</v>
      </c>
      <c r="E123" t="s">
        <v>75</v>
      </c>
      <c r="F123" t="s">
        <v>461</v>
      </c>
    </row>
    <row r="124" spans="1:6" x14ac:dyDescent="0.3">
      <c r="A124" t="str">
        <f t="shared" si="1"/>
        <v>CE 164,ED1-CE</v>
      </c>
      <c r="B124" t="s">
        <v>1099</v>
      </c>
      <c r="C124" t="str">
        <v>CIVil Engineering Drawing</v>
      </c>
      <c r="D124">
        <v>260</v>
      </c>
      <c r="E124" t="s">
        <v>75</v>
      </c>
      <c r="F124" t="s">
        <v>182</v>
      </c>
    </row>
    <row r="125" spans="1:6" x14ac:dyDescent="0.3">
      <c r="A125" t="str">
        <f t="shared" si="1"/>
        <v>ECON 152,ED1-CE</v>
      </c>
      <c r="B125" t="s">
        <v>1100</v>
      </c>
      <c r="C125" t="str">
        <v>Introduction To Economics II</v>
      </c>
      <c r="D125">
        <v>32</v>
      </c>
      <c r="E125" t="s">
        <v>75</v>
      </c>
      <c r="F125" t="s">
        <v>406</v>
      </c>
    </row>
    <row r="126" spans="1:6" x14ac:dyDescent="0.3">
      <c r="A126" t="str">
        <f t="shared" si="1"/>
        <v>EE 152,ED1-CE</v>
      </c>
      <c r="B126" t="s">
        <v>990</v>
      </c>
      <c r="C126" t="str">
        <v>Basic Electronics</v>
      </c>
      <c r="D126">
        <v>260</v>
      </c>
      <c r="E126" t="s">
        <v>75</v>
      </c>
      <c r="F126" t="s">
        <v>234</v>
      </c>
    </row>
    <row r="127" spans="1:6" x14ac:dyDescent="0.3">
      <c r="A127" t="str">
        <f t="shared" si="1"/>
        <v>ENGL 158,ED1-CE</v>
      </c>
      <c r="B127" t="s">
        <v>991</v>
      </c>
      <c r="C127" t="str">
        <v>Communication Skills II</v>
      </c>
      <c r="D127">
        <v>260</v>
      </c>
      <c r="E127" t="s">
        <v>75</v>
      </c>
      <c r="F127" t="s">
        <v>364</v>
      </c>
    </row>
    <row r="128" spans="1:6" x14ac:dyDescent="0.3">
      <c r="A128" t="str">
        <f t="shared" si="1"/>
        <v>FC 182,ED1-CE</v>
      </c>
      <c r="B128" t="s">
        <v>1085</v>
      </c>
      <c r="C128" t="str">
        <v>French For Communication II</v>
      </c>
      <c r="D128">
        <v>175</v>
      </c>
      <c r="E128" t="s">
        <v>75</v>
      </c>
      <c r="F128" t="s">
        <v>245</v>
      </c>
    </row>
    <row r="129" spans="1:6" x14ac:dyDescent="0.3">
      <c r="A129" t="str">
        <f t="shared" si="1"/>
        <v>MATH 152,ED1-CE</v>
      </c>
      <c r="B129" t="s">
        <v>998</v>
      </c>
      <c r="C129" t="str">
        <v>Calculus With Several Variables</v>
      </c>
      <c r="D129">
        <v>260</v>
      </c>
      <c r="E129" t="s">
        <v>75</v>
      </c>
      <c r="F129" t="s">
        <v>129</v>
      </c>
    </row>
    <row r="130" spans="1:6" x14ac:dyDescent="0.3">
      <c r="A130" t="str">
        <f t="shared" ref="A130:A193" si="2">CONCATENATE(F130,",",E130)</f>
        <v>CE 256,ED2-CE</v>
      </c>
      <c r="B130" t="s">
        <v>1101</v>
      </c>
      <c r="C130" t="str">
        <v>Fluid Mechanics</v>
      </c>
      <c r="D130">
        <v>227</v>
      </c>
      <c r="E130" t="s">
        <v>56</v>
      </c>
      <c r="F130" t="s">
        <v>54</v>
      </c>
    </row>
    <row r="131" spans="1:6" x14ac:dyDescent="0.3">
      <c r="A131" t="str">
        <f t="shared" si="2"/>
        <v>CE 258,ED2-CE</v>
      </c>
      <c r="B131" t="s">
        <v>1102</v>
      </c>
      <c r="C131" t="str">
        <v>Structural Analysis</v>
      </c>
      <c r="D131">
        <v>227</v>
      </c>
      <c r="E131" t="s">
        <v>56</v>
      </c>
      <c r="F131" t="s">
        <v>215</v>
      </c>
    </row>
    <row r="132" spans="1:6" x14ac:dyDescent="0.3">
      <c r="A132" t="str">
        <f t="shared" si="2"/>
        <v>CE 260,ED2-CE</v>
      </c>
      <c r="B132" t="s">
        <v>1103</v>
      </c>
      <c r="C132" t="str">
        <v>Soil And Rock Mechanics</v>
      </c>
      <c r="D132">
        <v>227</v>
      </c>
      <c r="E132" t="s">
        <v>56</v>
      </c>
      <c r="F132" t="s">
        <v>367</v>
      </c>
    </row>
    <row r="133" spans="1:6" x14ac:dyDescent="0.3">
      <c r="A133" t="str">
        <f t="shared" si="2"/>
        <v>CE 262,ED2-CE</v>
      </c>
      <c r="B133" t="s">
        <v>1104</v>
      </c>
      <c r="C133" t="str">
        <v>Soil And Rocks Mechanics Laboratory</v>
      </c>
      <c r="D133">
        <v>227</v>
      </c>
      <c r="E133" t="s">
        <v>56</v>
      </c>
      <c r="F133" t="s">
        <v>138</v>
      </c>
    </row>
    <row r="134" spans="1:6" x14ac:dyDescent="0.3">
      <c r="A134" t="str">
        <f t="shared" si="2"/>
        <v>CE 264,ED2-CE</v>
      </c>
      <c r="B134" t="s">
        <v>1105</v>
      </c>
      <c r="C134" t="str">
        <v>Intro To Environmental Eng.</v>
      </c>
      <c r="D134">
        <v>227</v>
      </c>
      <c r="E134" t="s">
        <v>56</v>
      </c>
      <c r="F134" t="s">
        <v>278</v>
      </c>
    </row>
    <row r="135" spans="1:6" x14ac:dyDescent="0.3">
      <c r="A135" t="str">
        <f t="shared" si="2"/>
        <v>CE 272,ED2-CE</v>
      </c>
      <c r="B135" t="s">
        <v>1106</v>
      </c>
      <c r="C135" t="str">
        <v>Principle Of Design</v>
      </c>
      <c r="D135">
        <v>227</v>
      </c>
      <c r="E135" t="s">
        <v>56</v>
      </c>
      <c r="F135" t="s">
        <v>459</v>
      </c>
    </row>
    <row r="136" spans="1:6" x14ac:dyDescent="0.3">
      <c r="A136" t="str">
        <f t="shared" si="2"/>
        <v>GE 282,ED2-CE</v>
      </c>
      <c r="B136" t="s">
        <v>1107</v>
      </c>
      <c r="C136" t="str">
        <v>Large Scale Surveying</v>
      </c>
      <c r="D136">
        <v>227</v>
      </c>
      <c r="E136" t="s">
        <v>56</v>
      </c>
      <c r="F136" t="s">
        <v>489</v>
      </c>
    </row>
    <row r="137" spans="1:6" x14ac:dyDescent="0.3">
      <c r="A137" t="str">
        <f t="shared" si="2"/>
        <v>MATH 252,ED2-CE</v>
      </c>
      <c r="B137" t="s">
        <v>998</v>
      </c>
      <c r="C137" t="str">
        <v>Calculus With Several Variables</v>
      </c>
      <c r="D137">
        <v>227</v>
      </c>
      <c r="E137" t="s">
        <v>56</v>
      </c>
      <c r="F137" t="s">
        <v>281</v>
      </c>
    </row>
    <row r="138" spans="1:6" x14ac:dyDescent="0.3">
      <c r="A138" t="str">
        <f t="shared" si="2"/>
        <v>CE 352,ED3-CE</v>
      </c>
      <c r="B138" t="s">
        <v>1108</v>
      </c>
      <c r="C138" t="str">
        <v>Steel And Timber Design</v>
      </c>
      <c r="D138">
        <v>254</v>
      </c>
      <c r="E138" t="s">
        <v>157</v>
      </c>
      <c r="F138" t="s">
        <v>400</v>
      </c>
    </row>
    <row r="139" spans="1:6" x14ac:dyDescent="0.3">
      <c r="A139" t="str">
        <f t="shared" si="2"/>
        <v>CE 356,ED3-CE</v>
      </c>
      <c r="B139" t="s">
        <v>1109</v>
      </c>
      <c r="C139" t="str">
        <v>Hydraulic Engineering</v>
      </c>
      <c r="D139">
        <v>254</v>
      </c>
      <c r="E139" t="s">
        <v>157</v>
      </c>
      <c r="F139" t="s">
        <v>291</v>
      </c>
    </row>
    <row r="140" spans="1:6" x14ac:dyDescent="0.3">
      <c r="A140" t="str">
        <f t="shared" si="2"/>
        <v>CE 360,ED3-CE</v>
      </c>
      <c r="B140" t="s">
        <v>1110</v>
      </c>
      <c r="C140" t="str">
        <v>Foundation Engineering</v>
      </c>
      <c r="D140">
        <v>254</v>
      </c>
      <c r="E140" t="s">
        <v>157</v>
      </c>
      <c r="F140" t="s">
        <v>336</v>
      </c>
    </row>
    <row r="141" spans="1:6" x14ac:dyDescent="0.3">
      <c r="A141" t="str">
        <f t="shared" si="2"/>
        <v>CE 364,ED3-CE</v>
      </c>
      <c r="B141" t="s">
        <v>1111</v>
      </c>
      <c r="C141" t="str">
        <v>Environmental Quality Engineering</v>
      </c>
      <c r="D141">
        <v>254</v>
      </c>
      <c r="E141" t="s">
        <v>157</v>
      </c>
      <c r="F141" t="s">
        <v>156</v>
      </c>
    </row>
    <row r="142" spans="1:6" x14ac:dyDescent="0.3">
      <c r="A142" t="str">
        <f t="shared" si="2"/>
        <v>CE 368,ED3-CE</v>
      </c>
      <c r="B142" t="s">
        <v>1112</v>
      </c>
      <c r="C142" t="str">
        <v>Highway Engineering</v>
      </c>
      <c r="D142">
        <v>254</v>
      </c>
      <c r="E142" t="s">
        <v>157</v>
      </c>
      <c r="F142" t="s">
        <v>378</v>
      </c>
    </row>
    <row r="143" spans="1:6" x14ac:dyDescent="0.3">
      <c r="A143" t="str">
        <f t="shared" si="2"/>
        <v>CE 376,ED3-CE</v>
      </c>
      <c r="B143" t="s">
        <v>1113</v>
      </c>
      <c r="C143" t="str">
        <v>Quantities And Cost Estimation In CIVil Engineering</v>
      </c>
      <c r="D143">
        <v>254</v>
      </c>
      <c r="E143" t="s">
        <v>157</v>
      </c>
      <c r="F143" t="s">
        <v>495</v>
      </c>
    </row>
    <row r="144" spans="1:6" x14ac:dyDescent="0.3">
      <c r="A144" t="str">
        <f t="shared" si="2"/>
        <v>CE 378,ED3-CE</v>
      </c>
      <c r="B144" t="s">
        <v>1114</v>
      </c>
      <c r="C144" t="str">
        <v>Integrated Design</v>
      </c>
      <c r="D144">
        <v>254</v>
      </c>
      <c r="E144" t="s">
        <v>157</v>
      </c>
      <c r="F144" t="s">
        <v>1115</v>
      </c>
    </row>
    <row r="145" spans="1:6" x14ac:dyDescent="0.3">
      <c r="A145" t="str">
        <f t="shared" si="2"/>
        <v>CE 390,ED3-CE</v>
      </c>
      <c r="B145" t="s">
        <v>1116</v>
      </c>
      <c r="C145" t="str">
        <v>Road Design And Material Evoloution Laboratory</v>
      </c>
      <c r="D145">
        <v>254</v>
      </c>
      <c r="E145" t="s">
        <v>157</v>
      </c>
      <c r="F145" t="s">
        <v>1117</v>
      </c>
    </row>
    <row r="146" spans="1:6" x14ac:dyDescent="0.3">
      <c r="A146" t="str">
        <f t="shared" si="2"/>
        <v>CE 452,ED4-CE</v>
      </c>
      <c r="B146" t="s">
        <v>1118</v>
      </c>
      <c r="C146" t="str">
        <v>Computer Applications in Civil Engineering</v>
      </c>
      <c r="D146">
        <v>254</v>
      </c>
      <c r="E146" t="s">
        <v>103</v>
      </c>
      <c r="F146" t="s">
        <v>328</v>
      </c>
    </row>
    <row r="147" spans="1:6" x14ac:dyDescent="0.3">
      <c r="A147" t="str">
        <f t="shared" si="2"/>
        <v>CE 456,ED4-CE</v>
      </c>
      <c r="B147" t="s">
        <v>1119</v>
      </c>
      <c r="C147" t="str">
        <v>Structural Dynamics</v>
      </c>
      <c r="D147">
        <v>103</v>
      </c>
      <c r="E147" t="s">
        <v>103</v>
      </c>
      <c r="F147" t="s">
        <v>469</v>
      </c>
    </row>
    <row r="148" spans="1:6" x14ac:dyDescent="0.3">
      <c r="A148" t="str">
        <f t="shared" si="2"/>
        <v>CE 458,ED4-CE</v>
      </c>
      <c r="B148" t="s">
        <v>1120</v>
      </c>
      <c r="C148" t="str">
        <v>Water Resources Engineering II</v>
      </c>
      <c r="D148">
        <v>139</v>
      </c>
      <c r="E148" t="s">
        <v>103</v>
      </c>
      <c r="F148" t="s">
        <v>384</v>
      </c>
    </row>
    <row r="149" spans="1:6" x14ac:dyDescent="0.3">
      <c r="A149" t="str">
        <f t="shared" si="2"/>
        <v>CE 462,ED4-CE</v>
      </c>
      <c r="B149" t="s">
        <v>1121</v>
      </c>
      <c r="C149" t="str">
        <v>Construction Management</v>
      </c>
      <c r="D149">
        <v>255</v>
      </c>
      <c r="E149" t="s">
        <v>103</v>
      </c>
      <c r="F149" t="s">
        <v>404</v>
      </c>
    </row>
    <row r="150" spans="1:6" x14ac:dyDescent="0.3">
      <c r="A150" t="str">
        <f t="shared" si="2"/>
        <v>CE 464,ED4-CE</v>
      </c>
      <c r="B150" t="s">
        <v>1122</v>
      </c>
      <c r="C150" t="str">
        <v>Environmental Quality Engineering II</v>
      </c>
      <c r="D150">
        <v>196</v>
      </c>
      <c r="E150" t="s">
        <v>103</v>
      </c>
      <c r="F150" t="s">
        <v>102</v>
      </c>
    </row>
    <row r="151" spans="1:6" x14ac:dyDescent="0.3">
      <c r="A151" t="str">
        <f t="shared" si="2"/>
        <v>CE 468,ED4-CE</v>
      </c>
      <c r="B151" t="s">
        <v>1123</v>
      </c>
      <c r="C151" t="str">
        <v>Transportation Engineering</v>
      </c>
      <c r="D151">
        <v>120</v>
      </c>
      <c r="E151" t="s">
        <v>103</v>
      </c>
      <c r="F151" t="s">
        <v>155</v>
      </c>
    </row>
    <row r="152" spans="1:6" x14ac:dyDescent="0.3">
      <c r="A152" t="str">
        <f t="shared" si="2"/>
        <v>CE 476,ED4-CE</v>
      </c>
      <c r="B152" t="s">
        <v>1124</v>
      </c>
      <c r="C152" t="str">
        <v>System Engineering II</v>
      </c>
      <c r="D152">
        <v>98</v>
      </c>
      <c r="E152" t="s">
        <v>103</v>
      </c>
      <c r="F152" t="s">
        <v>346</v>
      </c>
    </row>
    <row r="153" spans="1:6" x14ac:dyDescent="0.3">
      <c r="A153" t="str">
        <f t="shared" si="2"/>
        <v>CE 478,ED4-CE</v>
      </c>
      <c r="B153" t="s">
        <v>1125</v>
      </c>
      <c r="C153" t="str">
        <v>Ground Engineering</v>
      </c>
      <c r="D153">
        <v>86</v>
      </c>
      <c r="E153" t="s">
        <v>103</v>
      </c>
      <c r="F153" t="s">
        <v>270</v>
      </c>
    </row>
    <row r="154" spans="1:6" x14ac:dyDescent="0.3">
      <c r="A154" t="str">
        <f t="shared" si="2"/>
        <v>CE 480,ED4-CE</v>
      </c>
      <c r="B154" t="s">
        <v>1126</v>
      </c>
      <c r="C154" t="str">
        <v>Finite Element Analysis</v>
      </c>
      <c r="D154">
        <v>19</v>
      </c>
      <c r="E154" t="s">
        <v>103</v>
      </c>
      <c r="F154" t="s">
        <v>205</v>
      </c>
    </row>
    <row r="155" spans="1:6" x14ac:dyDescent="0.3">
      <c r="A155" t="str">
        <f t="shared" si="2"/>
        <v>CHE 156,ED1-CHE</v>
      </c>
      <c r="B155" t="s">
        <v>1127</v>
      </c>
      <c r="C155" t="str">
        <v>Physical Chemistry For Engineers</v>
      </c>
      <c r="D155">
        <v>152</v>
      </c>
      <c r="E155" t="s">
        <v>80</v>
      </c>
      <c r="F155" t="s">
        <v>302</v>
      </c>
    </row>
    <row r="156" spans="1:6" x14ac:dyDescent="0.3">
      <c r="A156" t="str">
        <f t="shared" si="2"/>
        <v>CHE 158,ED1-CHE</v>
      </c>
      <c r="B156" t="s">
        <v>987</v>
      </c>
      <c r="C156" t="str">
        <v>Introduction To Information Technology</v>
      </c>
      <c r="D156">
        <v>152</v>
      </c>
      <c r="E156" t="s">
        <v>80</v>
      </c>
      <c r="F156" t="s">
        <v>186</v>
      </c>
    </row>
    <row r="157" spans="1:6" x14ac:dyDescent="0.3">
      <c r="A157" t="str">
        <f t="shared" si="2"/>
        <v>EE 152,ED1-CHE</v>
      </c>
      <c r="B157" t="s">
        <v>990</v>
      </c>
      <c r="C157" t="str">
        <v>Basic Electronics</v>
      </c>
      <c r="D157">
        <v>152</v>
      </c>
      <c r="E157" t="s">
        <v>80</v>
      </c>
      <c r="F157" t="s">
        <v>234</v>
      </c>
    </row>
    <row r="158" spans="1:6" x14ac:dyDescent="0.3">
      <c r="A158" t="str">
        <f t="shared" si="2"/>
        <v>ENGL 158,ED1-CHE</v>
      </c>
      <c r="B158" t="s">
        <v>1128</v>
      </c>
      <c r="C158" t="str">
        <v>Communication Skills II</v>
      </c>
      <c r="D158">
        <v>152</v>
      </c>
      <c r="E158" t="s">
        <v>80</v>
      </c>
      <c r="F158" t="s">
        <v>364</v>
      </c>
    </row>
    <row r="159" spans="1:6" x14ac:dyDescent="0.3">
      <c r="A159" t="str">
        <f t="shared" si="2"/>
        <v>MATH 152,ED1-CHE</v>
      </c>
      <c r="B159" t="s">
        <v>992</v>
      </c>
      <c r="C159" t="str">
        <v>Calculus With Analysis</v>
      </c>
      <c r="D159">
        <v>152</v>
      </c>
      <c r="E159" t="s">
        <v>80</v>
      </c>
      <c r="F159" t="s">
        <v>129</v>
      </c>
    </row>
    <row r="160" spans="1:6" x14ac:dyDescent="0.3">
      <c r="A160" t="str">
        <f t="shared" si="2"/>
        <v>ME 162,ED1-CHE</v>
      </c>
      <c r="B160" t="s">
        <v>994</v>
      </c>
      <c r="C160" t="str">
        <v>Basic Mechanics</v>
      </c>
      <c r="D160">
        <v>152</v>
      </c>
      <c r="E160" t="s">
        <v>80</v>
      </c>
      <c r="F160" t="s">
        <v>392</v>
      </c>
    </row>
    <row r="161" spans="1:6" x14ac:dyDescent="0.3">
      <c r="A161" t="str">
        <f t="shared" si="2"/>
        <v>PHY 170,ED1-CHE</v>
      </c>
      <c r="B161" t="s">
        <v>1129</v>
      </c>
      <c r="C161" t="str">
        <v>General Physics</v>
      </c>
      <c r="D161">
        <v>152</v>
      </c>
      <c r="E161" t="s">
        <v>80</v>
      </c>
      <c r="F161" t="s">
        <v>79</v>
      </c>
    </row>
    <row r="162" spans="1:6" x14ac:dyDescent="0.3">
      <c r="A162" t="str">
        <f t="shared" si="2"/>
        <v>CHE 250,ED2-CHE</v>
      </c>
      <c r="B162" t="s">
        <v>1130</v>
      </c>
      <c r="C162" t="str">
        <v>Strength Of Materials For Chemical Engineers</v>
      </c>
      <c r="D162">
        <v>117</v>
      </c>
      <c r="E162" t="s">
        <v>13</v>
      </c>
      <c r="F162" t="s">
        <v>338</v>
      </c>
    </row>
    <row r="163" spans="1:6" x14ac:dyDescent="0.3">
      <c r="A163" t="str">
        <f t="shared" si="2"/>
        <v>CHE 252,ED2-CHE</v>
      </c>
      <c r="B163" t="s">
        <v>1131</v>
      </c>
      <c r="C163" t="str">
        <v>Chemical Process Calculations II</v>
      </c>
      <c r="D163">
        <v>117</v>
      </c>
      <c r="E163" t="s">
        <v>13</v>
      </c>
      <c r="F163" t="s">
        <v>297</v>
      </c>
    </row>
    <row r="164" spans="1:6" x14ac:dyDescent="0.3">
      <c r="A164" t="str">
        <f t="shared" si="2"/>
        <v>CHE 254,ED2-CHE</v>
      </c>
      <c r="B164" t="s">
        <v>1132</v>
      </c>
      <c r="C164" t="str">
        <v>Chemical Engineering Thermodynamics II</v>
      </c>
      <c r="D164">
        <v>117</v>
      </c>
      <c r="E164" t="s">
        <v>13</v>
      </c>
      <c r="F164" t="s">
        <v>397</v>
      </c>
    </row>
    <row r="165" spans="1:6" x14ac:dyDescent="0.3">
      <c r="A165" t="str">
        <f t="shared" si="2"/>
        <v>CHE 256,ED2-CHE</v>
      </c>
      <c r="B165" t="s">
        <v>1133</v>
      </c>
      <c r="C165" t="str">
        <v>Heat Transport Processes</v>
      </c>
      <c r="D165">
        <v>117</v>
      </c>
      <c r="E165" t="s">
        <v>13</v>
      </c>
      <c r="F165" t="s">
        <v>83</v>
      </c>
    </row>
    <row r="166" spans="1:6" x14ac:dyDescent="0.3">
      <c r="A166" t="str">
        <f t="shared" si="2"/>
        <v>CHE 258,ED2-CHE</v>
      </c>
      <c r="B166" t="s">
        <v>1134</v>
      </c>
      <c r="C166" t="str">
        <v>Drawing For Engineers</v>
      </c>
      <c r="D166">
        <v>117</v>
      </c>
      <c r="E166" t="s">
        <v>13</v>
      </c>
      <c r="F166" t="s">
        <v>12</v>
      </c>
    </row>
    <row r="167" spans="1:6" x14ac:dyDescent="0.3">
      <c r="A167" t="str">
        <f t="shared" si="2"/>
        <v>CHEM 280,ED2-CHE</v>
      </c>
      <c r="B167" t="s">
        <v>1135</v>
      </c>
      <c r="C167" t="str">
        <v>Practical Chemistry II</v>
      </c>
      <c r="D167">
        <v>117</v>
      </c>
      <c r="E167" t="s">
        <v>13</v>
      </c>
      <c r="F167" t="s">
        <v>173</v>
      </c>
    </row>
    <row r="168" spans="1:6" x14ac:dyDescent="0.3">
      <c r="A168" t="str">
        <f t="shared" si="2"/>
        <v>MATH 252,ED2-CHE</v>
      </c>
      <c r="B168" t="s">
        <v>1136</v>
      </c>
      <c r="C168" t="str">
        <v>Calculus Of Several Variables</v>
      </c>
      <c r="D168">
        <v>117</v>
      </c>
      <c r="E168" t="s">
        <v>13</v>
      </c>
      <c r="F168" t="s">
        <v>281</v>
      </c>
    </row>
    <row r="169" spans="1:6" x14ac:dyDescent="0.3">
      <c r="A169" t="str">
        <f t="shared" si="2"/>
        <v>CHE 350,ED3-CHE</v>
      </c>
      <c r="B169" t="s">
        <v>1137</v>
      </c>
      <c r="C169" t="str">
        <v>Materials Science</v>
      </c>
      <c r="D169">
        <v>114</v>
      </c>
      <c r="E169" t="s">
        <v>73</v>
      </c>
      <c r="F169" t="s">
        <v>199</v>
      </c>
    </row>
    <row r="170" spans="1:6" x14ac:dyDescent="0.3">
      <c r="A170" t="str">
        <f t="shared" si="2"/>
        <v>CHE 352,ED3-CHE</v>
      </c>
      <c r="B170" t="s">
        <v>1138</v>
      </c>
      <c r="C170" t="str">
        <v>Chemical Reaction Engineering</v>
      </c>
      <c r="D170">
        <v>114</v>
      </c>
      <c r="E170" t="s">
        <v>73</v>
      </c>
      <c r="F170" t="s">
        <v>516</v>
      </c>
    </row>
    <row r="171" spans="1:6" x14ac:dyDescent="0.3">
      <c r="A171" t="str">
        <f t="shared" si="2"/>
        <v>CHE 354,ED3-CHE</v>
      </c>
      <c r="B171" t="s">
        <v>1139</v>
      </c>
      <c r="C171" t="str">
        <v>Simultaneous Heat/Mass Transfer</v>
      </c>
      <c r="D171">
        <v>114</v>
      </c>
      <c r="E171" t="s">
        <v>73</v>
      </c>
      <c r="F171" t="s">
        <v>476</v>
      </c>
    </row>
    <row r="172" spans="1:6" x14ac:dyDescent="0.3">
      <c r="A172" t="str">
        <f t="shared" si="2"/>
        <v>CHE 358,ED3-CHE</v>
      </c>
      <c r="B172" t="s">
        <v>1140</v>
      </c>
      <c r="C172" t="str">
        <v>Numerical Methods For Chemical Engineers</v>
      </c>
      <c r="D172">
        <v>114</v>
      </c>
      <c r="E172" t="s">
        <v>73</v>
      </c>
      <c r="F172" t="s">
        <v>315</v>
      </c>
    </row>
    <row r="173" spans="1:6" x14ac:dyDescent="0.3">
      <c r="A173" t="str">
        <f t="shared" si="2"/>
        <v>CHE 362,ED3-CHE</v>
      </c>
      <c r="B173" t="s">
        <v>1141</v>
      </c>
      <c r="C173" t="str">
        <v>Silicate Technology II</v>
      </c>
      <c r="D173">
        <v>32</v>
      </c>
      <c r="E173" t="s">
        <v>73</v>
      </c>
      <c r="F173" t="s">
        <v>72</v>
      </c>
    </row>
    <row r="174" spans="1:6" x14ac:dyDescent="0.3">
      <c r="A174" t="str">
        <f t="shared" si="2"/>
        <v>CHE 364,ED3-CHE</v>
      </c>
      <c r="B174" t="s">
        <v>1142</v>
      </c>
      <c r="C174" t="str">
        <v>Packaging Technology</v>
      </c>
      <c r="D174">
        <v>40</v>
      </c>
      <c r="E174" t="s">
        <v>73</v>
      </c>
      <c r="F174" t="s">
        <v>370</v>
      </c>
    </row>
    <row r="175" spans="1:6" x14ac:dyDescent="0.3">
      <c r="A175" t="str">
        <f t="shared" si="2"/>
        <v>CHE 368,ED3-CHE</v>
      </c>
      <c r="B175" t="s">
        <v>1143</v>
      </c>
      <c r="C175" t="str">
        <v>Food Processing Technology</v>
      </c>
      <c r="D175">
        <v>44</v>
      </c>
      <c r="E175" t="s">
        <v>73</v>
      </c>
      <c r="F175" t="s">
        <v>122</v>
      </c>
    </row>
    <row r="176" spans="1:6" x14ac:dyDescent="0.3">
      <c r="A176" t="str">
        <f t="shared" si="2"/>
        <v>ECON 152,ED3-CHE</v>
      </c>
      <c r="B176" t="s">
        <v>1144</v>
      </c>
      <c r="C176" t="str">
        <v>Introductory Economics II</v>
      </c>
      <c r="D176">
        <v>49</v>
      </c>
      <c r="E176" t="s">
        <v>73</v>
      </c>
      <c r="F176" t="s">
        <v>406</v>
      </c>
    </row>
    <row r="177" spans="1:6" x14ac:dyDescent="0.3">
      <c r="A177" t="str">
        <f t="shared" si="2"/>
        <v>FC 182,ED3-CHE</v>
      </c>
      <c r="B177" t="s">
        <v>1085</v>
      </c>
      <c r="C177" t="str">
        <v>French For Communication II</v>
      </c>
      <c r="D177">
        <v>65</v>
      </c>
      <c r="E177" t="s">
        <v>73</v>
      </c>
      <c r="F177" t="s">
        <v>245</v>
      </c>
    </row>
    <row r="178" spans="1:6" x14ac:dyDescent="0.3">
      <c r="A178" t="str">
        <f t="shared" si="2"/>
        <v>CHE 456,ED4-CHE</v>
      </c>
      <c r="B178" t="s">
        <v>1145</v>
      </c>
      <c r="C178" t="str">
        <v>Process Control And Simulation</v>
      </c>
      <c r="D178">
        <v>126</v>
      </c>
      <c r="E178" t="s">
        <v>48</v>
      </c>
      <c r="F178" t="s">
        <v>525</v>
      </c>
    </row>
    <row r="179" spans="1:6" x14ac:dyDescent="0.3">
      <c r="A179" t="str">
        <f t="shared" si="2"/>
        <v>CHE 458,ED4-CHE</v>
      </c>
      <c r="B179" t="s">
        <v>1146</v>
      </c>
      <c r="C179" t="str">
        <v>Entrepreneurship And Business Development</v>
      </c>
      <c r="D179">
        <v>126</v>
      </c>
      <c r="E179" t="s">
        <v>48</v>
      </c>
      <c r="F179" t="s">
        <v>345</v>
      </c>
    </row>
    <row r="180" spans="1:6" x14ac:dyDescent="0.3">
      <c r="A180" t="str">
        <f t="shared" si="2"/>
        <v>CHE 466,ED4-CHE</v>
      </c>
      <c r="B180" t="s">
        <v>1147</v>
      </c>
      <c r="C180" t="str">
        <v>Pulp And Paper Technology</v>
      </c>
      <c r="D180">
        <v>53</v>
      </c>
      <c r="E180" t="s">
        <v>48</v>
      </c>
      <c r="F180" t="s">
        <v>280</v>
      </c>
    </row>
    <row r="181" spans="1:6" x14ac:dyDescent="0.3">
      <c r="A181" t="str">
        <f t="shared" si="2"/>
        <v>CHE 468,ED4-CHE</v>
      </c>
      <c r="B181" t="s">
        <v>1148</v>
      </c>
      <c r="C181" t="str">
        <v>Environmental Eng. Technology</v>
      </c>
      <c r="D181">
        <v>56</v>
      </c>
      <c r="E181" t="s">
        <v>48</v>
      </c>
      <c r="F181" t="s">
        <v>431</v>
      </c>
    </row>
    <row r="182" spans="1:6" x14ac:dyDescent="0.3">
      <c r="A182" t="str">
        <f t="shared" si="2"/>
        <v>CHE 466,ED4-CHE</v>
      </c>
      <c r="B182" t="s">
        <v>1147</v>
      </c>
      <c r="C182" t="str">
        <v>Pulp And Paper Technology</v>
      </c>
      <c r="D182">
        <v>55</v>
      </c>
      <c r="E182" t="s">
        <v>48</v>
      </c>
      <c r="F182" t="s">
        <v>280</v>
      </c>
    </row>
    <row r="183" spans="1:6" x14ac:dyDescent="0.3">
      <c r="A183" t="str">
        <f t="shared" si="2"/>
        <v>CHE 470,ED4-CHE</v>
      </c>
      <c r="B183" t="s">
        <v>1149</v>
      </c>
      <c r="C183" t="str">
        <v>Pharmaceutical Technology</v>
      </c>
      <c r="D183">
        <v>74</v>
      </c>
      <c r="E183" t="s">
        <v>48</v>
      </c>
      <c r="F183" t="s">
        <v>415</v>
      </c>
    </row>
    <row r="184" spans="1:6" x14ac:dyDescent="0.3">
      <c r="A184" t="str">
        <f t="shared" si="2"/>
        <v>PCE 464,ED4-CHE</v>
      </c>
      <c r="B184" t="s">
        <v>1150</v>
      </c>
      <c r="C184" t="str">
        <v>Refining Processes Technology</v>
      </c>
      <c r="D184">
        <v>74</v>
      </c>
      <c r="E184" t="s">
        <v>48</v>
      </c>
      <c r="F184" t="s">
        <v>47</v>
      </c>
    </row>
    <row r="185" spans="1:6" x14ac:dyDescent="0.3">
      <c r="A185" t="str">
        <f t="shared" si="2"/>
        <v>COE 152,ED1-COE</v>
      </c>
      <c r="B185" t="s">
        <v>990</v>
      </c>
      <c r="C185" t="str">
        <v>Basic Electronics</v>
      </c>
      <c r="D185">
        <v>255</v>
      </c>
      <c r="E185" t="s">
        <v>20</v>
      </c>
      <c r="F185" t="s">
        <v>260</v>
      </c>
    </row>
    <row r="186" spans="1:6" x14ac:dyDescent="0.3">
      <c r="A186" t="str">
        <f t="shared" si="2"/>
        <v>COE 158,ED1-COE</v>
      </c>
      <c r="B186" t="s">
        <v>987</v>
      </c>
      <c r="C186" t="str">
        <v>Introduction To Information Technology</v>
      </c>
      <c r="D186">
        <v>255</v>
      </c>
      <c r="E186" t="s">
        <v>20</v>
      </c>
      <c r="F186" t="s">
        <v>175</v>
      </c>
    </row>
    <row r="187" spans="1:6" x14ac:dyDescent="0.3">
      <c r="A187" t="str">
        <f t="shared" si="2"/>
        <v>EE 156,ED1-COE</v>
      </c>
      <c r="B187" t="s">
        <v>1151</v>
      </c>
      <c r="C187" t="str">
        <v>Electrical Eng. Drawing</v>
      </c>
      <c r="D187">
        <v>255</v>
      </c>
      <c r="E187" t="s">
        <v>20</v>
      </c>
      <c r="F187" t="s">
        <v>19</v>
      </c>
    </row>
    <row r="188" spans="1:6" x14ac:dyDescent="0.3">
      <c r="A188" t="str">
        <f t="shared" si="2"/>
        <v>EE 172,ED1-COE</v>
      </c>
      <c r="B188" t="s">
        <v>1152</v>
      </c>
      <c r="C188" t="str">
        <v>Electrical Machines</v>
      </c>
      <c r="D188">
        <v>255</v>
      </c>
      <c r="E188" t="s">
        <v>20</v>
      </c>
      <c r="F188" t="s">
        <v>474</v>
      </c>
    </row>
    <row r="189" spans="1:6" x14ac:dyDescent="0.3">
      <c r="A189" t="str">
        <f t="shared" si="2"/>
        <v>ENGL 158,ED1-COE</v>
      </c>
      <c r="B189" t="s">
        <v>991</v>
      </c>
      <c r="C189" t="str">
        <v>Communication Skills II</v>
      </c>
      <c r="D189">
        <v>255</v>
      </c>
      <c r="E189" t="s">
        <v>20</v>
      </c>
      <c r="F189" t="s">
        <v>364</v>
      </c>
    </row>
    <row r="190" spans="1:6" x14ac:dyDescent="0.3">
      <c r="A190" t="str">
        <f t="shared" si="2"/>
        <v>MATH 152,ED1-COE</v>
      </c>
      <c r="B190" t="s">
        <v>992</v>
      </c>
      <c r="C190" t="str">
        <v>Calculus With Analysis</v>
      </c>
      <c r="D190">
        <v>255</v>
      </c>
      <c r="E190" t="s">
        <v>20</v>
      </c>
      <c r="F190" t="s">
        <v>129</v>
      </c>
    </row>
    <row r="191" spans="1:6" x14ac:dyDescent="0.3">
      <c r="A191" t="str">
        <f t="shared" si="2"/>
        <v>COE 382,ED1-COE</v>
      </c>
      <c r="B191" t="s">
        <v>1153</v>
      </c>
      <c r="C191" t="str">
        <v xml:space="preserve">Digital System Design II      </v>
      </c>
      <c r="D191">
        <v>255</v>
      </c>
      <c r="E191" t="s">
        <v>20</v>
      </c>
      <c r="F191" t="s">
        <v>412</v>
      </c>
    </row>
    <row r="192" spans="1:6" x14ac:dyDescent="0.3">
      <c r="A192" t="str">
        <f t="shared" si="2"/>
        <v>ACF 256,ED2-COE</v>
      </c>
      <c r="B192" t="s">
        <v>1076</v>
      </c>
      <c r="C192" t="str">
        <v>Introduction to Financial Accounting II</v>
      </c>
      <c r="D192">
        <v>37</v>
      </c>
      <c r="E192" t="s">
        <v>108</v>
      </c>
      <c r="F192" t="s">
        <v>424</v>
      </c>
    </row>
    <row r="193" spans="1:6" x14ac:dyDescent="0.3">
      <c r="A193" t="str">
        <f t="shared" si="2"/>
        <v>COE 254,ED2-COE</v>
      </c>
      <c r="B193" t="s">
        <v>1082</v>
      </c>
      <c r="C193" t="str">
        <v>Object-Oriented Programming</v>
      </c>
      <c r="D193">
        <v>277</v>
      </c>
      <c r="E193" t="s">
        <v>108</v>
      </c>
      <c r="F193" t="s">
        <v>107</v>
      </c>
    </row>
    <row r="194" spans="1:6" x14ac:dyDescent="0.3">
      <c r="A194" t="str">
        <f t="shared" ref="A194:A231" si="3">CONCATENATE(F194,",",E194)</f>
        <v>COE 272,ED2-COE</v>
      </c>
      <c r="B194" t="s">
        <v>1083</v>
      </c>
      <c r="C194" t="str">
        <v>Digital Systems Design I</v>
      </c>
      <c r="D194">
        <v>277</v>
      </c>
      <c r="E194" t="s">
        <v>108</v>
      </c>
      <c r="F194" t="s">
        <v>377</v>
      </c>
    </row>
    <row r="195" spans="1:6" x14ac:dyDescent="0.3">
      <c r="A195" t="str">
        <f t="shared" si="3"/>
        <v>COE 288,ED2-COE</v>
      </c>
      <c r="B195" t="s">
        <v>1154</v>
      </c>
      <c r="C195" t="str">
        <v>Circuit Theory</v>
      </c>
      <c r="D195">
        <v>277</v>
      </c>
      <c r="E195" t="s">
        <v>108</v>
      </c>
      <c r="F195" t="s">
        <v>202</v>
      </c>
    </row>
    <row r="196" spans="1:6" x14ac:dyDescent="0.3">
      <c r="A196" t="str">
        <f t="shared" si="3"/>
        <v>COE 292,ED2-COE</v>
      </c>
      <c r="B196" t="s">
        <v>1155</v>
      </c>
      <c r="C196" t="str">
        <v>Computer Engineering Lab II</v>
      </c>
      <c r="D196">
        <v>277</v>
      </c>
      <c r="E196" t="s">
        <v>108</v>
      </c>
      <c r="F196" t="s">
        <v>1156</v>
      </c>
    </row>
    <row r="197" spans="1:6" x14ac:dyDescent="0.3">
      <c r="A197" t="str">
        <f t="shared" si="3"/>
        <v>ECON 152,ED2-COE</v>
      </c>
      <c r="B197" t="s">
        <v>1100</v>
      </c>
      <c r="C197" t="str">
        <v>Introduction To Economics II</v>
      </c>
      <c r="D197">
        <v>24</v>
      </c>
      <c r="E197" t="s">
        <v>108</v>
      </c>
      <c r="F197" t="s">
        <v>406</v>
      </c>
    </row>
    <row r="198" spans="1:6" x14ac:dyDescent="0.3">
      <c r="A198" t="str">
        <f t="shared" si="3"/>
        <v>EE 288,ED2-COE</v>
      </c>
      <c r="B198" t="s">
        <v>1157</v>
      </c>
      <c r="C198" t="str">
        <v>Electrical Measurement And Instrumentation</v>
      </c>
      <c r="D198">
        <v>277</v>
      </c>
      <c r="E198" t="s">
        <v>108</v>
      </c>
      <c r="F198" t="s">
        <v>518</v>
      </c>
    </row>
    <row r="199" spans="1:6" x14ac:dyDescent="0.3">
      <c r="A199" t="str">
        <f t="shared" si="3"/>
        <v>FC 182,ED2-COE</v>
      </c>
      <c r="B199" t="s">
        <v>1158</v>
      </c>
      <c r="C199" t="str">
        <v>French For Communication II</v>
      </c>
      <c r="D199">
        <v>210</v>
      </c>
      <c r="E199" t="s">
        <v>108</v>
      </c>
      <c r="F199" t="s">
        <v>245</v>
      </c>
    </row>
    <row r="200" spans="1:6" x14ac:dyDescent="0.3">
      <c r="A200" t="str">
        <f t="shared" si="3"/>
        <v>MATH 252,ED2-COE</v>
      </c>
      <c r="B200" t="s">
        <v>998</v>
      </c>
      <c r="C200" t="str">
        <v>Calculus With Several Variables</v>
      </c>
      <c r="D200">
        <v>277</v>
      </c>
      <c r="E200" t="s">
        <v>108</v>
      </c>
      <c r="F200" t="s">
        <v>281</v>
      </c>
    </row>
    <row r="201" spans="1:6" x14ac:dyDescent="0.3">
      <c r="A201" t="str">
        <f t="shared" si="3"/>
        <v>TE 262,ED2-COE</v>
      </c>
      <c r="B201" t="s">
        <v>1159</v>
      </c>
      <c r="C201" t="str">
        <v>Electromagnetic Fields</v>
      </c>
      <c r="D201">
        <v>277</v>
      </c>
      <c r="E201" t="s">
        <v>108</v>
      </c>
      <c r="F201" t="s">
        <v>166</v>
      </c>
    </row>
    <row r="202" spans="1:6" x14ac:dyDescent="0.3">
      <c r="A202" t="str">
        <f t="shared" si="3"/>
        <v>COE 354,ED3-COE</v>
      </c>
      <c r="B202" t="s">
        <v>1160</v>
      </c>
      <c r="C202" t="str">
        <v>Operating Systems</v>
      </c>
      <c r="D202">
        <v>170</v>
      </c>
      <c r="E202" t="s">
        <v>16</v>
      </c>
      <c r="F202" t="s">
        <v>15</v>
      </c>
    </row>
    <row r="203" spans="1:6" x14ac:dyDescent="0.3">
      <c r="A203" t="str">
        <f t="shared" si="3"/>
        <v>COE 356,ED3-COE</v>
      </c>
      <c r="B203" t="s">
        <v>1161</v>
      </c>
      <c r="C203" t="str">
        <v xml:space="preserve">Software Engineering I             </v>
      </c>
      <c r="D203">
        <v>170</v>
      </c>
      <c r="E203" t="s">
        <v>16</v>
      </c>
      <c r="F203" t="s">
        <v>318</v>
      </c>
    </row>
    <row r="204" spans="1:6" x14ac:dyDescent="0.3">
      <c r="A204" t="str">
        <f t="shared" si="3"/>
        <v>COE 358,ED3-COE</v>
      </c>
      <c r="B204" t="s">
        <v>1091</v>
      </c>
      <c r="C204" t="str">
        <v>Embedded Systems</v>
      </c>
      <c r="D204">
        <v>170</v>
      </c>
      <c r="E204" t="s">
        <v>16</v>
      </c>
      <c r="F204" t="s">
        <v>259</v>
      </c>
    </row>
    <row r="205" spans="1:6" x14ac:dyDescent="0.3">
      <c r="A205" t="str">
        <f t="shared" si="3"/>
        <v>COE 368,ED3-COE</v>
      </c>
      <c r="B205" t="s">
        <v>1162</v>
      </c>
      <c r="C205" t="str">
        <v>Database And Information Retrieval</v>
      </c>
      <c r="D205">
        <v>170</v>
      </c>
      <c r="E205" t="s">
        <v>16</v>
      </c>
      <c r="F205" t="s">
        <v>198</v>
      </c>
    </row>
    <row r="206" spans="1:6" x14ac:dyDescent="0.3">
      <c r="A206" t="str">
        <f t="shared" si="3"/>
        <v>COE 372,ED3-COE</v>
      </c>
      <c r="B206" t="s">
        <v>1163</v>
      </c>
      <c r="C206" t="str">
        <v>Digital Systems Design II</v>
      </c>
      <c r="D206">
        <v>170</v>
      </c>
      <c r="E206" t="s">
        <v>16</v>
      </c>
      <c r="F206" t="s">
        <v>413</v>
      </c>
    </row>
    <row r="207" spans="1:6" x14ac:dyDescent="0.3">
      <c r="A207" t="str">
        <f t="shared" si="3"/>
        <v>COE 392,ED3-COE</v>
      </c>
      <c r="B207" t="s">
        <v>1164</v>
      </c>
      <c r="C207" t="str">
        <v>Autotronic Lab.</v>
      </c>
      <c r="D207">
        <v>170</v>
      </c>
      <c r="E207" t="s">
        <v>16</v>
      </c>
      <c r="F207" t="s">
        <v>1165</v>
      </c>
    </row>
    <row r="208" spans="1:6" x14ac:dyDescent="0.3">
      <c r="A208" t="str">
        <f t="shared" si="3"/>
        <v>COE 454,ED4-COE</v>
      </c>
      <c r="B208" t="s">
        <v>1166</v>
      </c>
      <c r="C208" t="str">
        <v>Software Engineering</v>
      </c>
      <c r="D208">
        <v>116</v>
      </c>
      <c r="E208" t="s">
        <v>251</v>
      </c>
      <c r="F208" t="s">
        <v>505</v>
      </c>
    </row>
    <row r="209" spans="1:6" x14ac:dyDescent="0.3">
      <c r="A209" t="str">
        <f t="shared" si="3"/>
        <v>COE 456,ED4-COE</v>
      </c>
      <c r="B209" t="s">
        <v>1167</v>
      </c>
      <c r="C209" t="str">
        <v>Secure Network Systems</v>
      </c>
      <c r="D209">
        <v>131</v>
      </c>
      <c r="E209" t="s">
        <v>251</v>
      </c>
      <c r="F209" t="s">
        <v>432</v>
      </c>
    </row>
    <row r="210" spans="1:6" x14ac:dyDescent="0.3">
      <c r="A210" t="str">
        <f t="shared" si="3"/>
        <v>COE 458,ED4-COE</v>
      </c>
      <c r="B210" t="s">
        <v>1168</v>
      </c>
      <c r="C210" t="str">
        <v>Robotics And Computer Vision</v>
      </c>
      <c r="D210">
        <v>84</v>
      </c>
      <c r="E210" t="s">
        <v>251</v>
      </c>
      <c r="F210" t="s">
        <v>348</v>
      </c>
    </row>
    <row r="211" spans="1:6" x14ac:dyDescent="0.3">
      <c r="A211" t="str">
        <f t="shared" si="3"/>
        <v>COE 472,ED4-COE</v>
      </c>
      <c r="B211" t="s">
        <v>1094</v>
      </c>
      <c r="C211" t="str">
        <v>Digital Signal Processing</v>
      </c>
      <c r="D211">
        <v>211</v>
      </c>
      <c r="E211" t="s">
        <v>251</v>
      </c>
      <c r="F211" t="s">
        <v>250</v>
      </c>
    </row>
    <row r="212" spans="1:6" x14ac:dyDescent="0.3">
      <c r="A212" t="str">
        <f t="shared" si="3"/>
        <v>COE 480,ED4-COE</v>
      </c>
      <c r="B212" t="s">
        <v>1169</v>
      </c>
      <c r="C212" t="str">
        <v>Fault Diagnosis And Failure Tolerance</v>
      </c>
      <c r="D212">
        <v>90</v>
      </c>
      <c r="E212" t="s">
        <v>251</v>
      </c>
      <c r="F212" t="s">
        <v>457</v>
      </c>
    </row>
    <row r="213" spans="1:6" x14ac:dyDescent="0.3">
      <c r="A213" t="str">
        <f t="shared" si="3"/>
        <v>COE 486,ED4-COE</v>
      </c>
      <c r="B213" t="s">
        <v>1170</v>
      </c>
      <c r="C213" t="str">
        <v>VLSI Circuit Design</v>
      </c>
      <c r="D213">
        <v>14</v>
      </c>
      <c r="E213" t="s">
        <v>251</v>
      </c>
      <c r="F213" t="s">
        <v>504</v>
      </c>
    </row>
    <row r="214" spans="1:6" x14ac:dyDescent="0.3">
      <c r="A214" t="str">
        <f t="shared" si="3"/>
        <v>ME 492,ED4-COE</v>
      </c>
      <c r="B214" t="s">
        <v>1015</v>
      </c>
      <c r="C214" t="str">
        <v>Management And Entrepreneurship Development</v>
      </c>
      <c r="D214">
        <v>211</v>
      </c>
      <c r="E214" t="s">
        <v>251</v>
      </c>
      <c r="F214" t="s">
        <v>373</v>
      </c>
    </row>
    <row r="215" spans="1:6" x14ac:dyDescent="0.3">
      <c r="A215" t="str">
        <f t="shared" si="3"/>
        <v>COE 482,ED4-COE</v>
      </c>
      <c r="B215" t="s">
        <v>1171</v>
      </c>
      <c r="C215" t="str">
        <v>Digital Control Systems</v>
      </c>
      <c r="D215">
        <v>211</v>
      </c>
      <c r="E215" t="s">
        <v>251</v>
      </c>
      <c r="F215" t="s">
        <v>1172</v>
      </c>
    </row>
    <row r="216" spans="1:6" x14ac:dyDescent="0.3">
      <c r="A216" t="str">
        <f t="shared" si="3"/>
        <v>EE 158,ED1-EE</v>
      </c>
      <c r="B216" t="s">
        <v>1173</v>
      </c>
      <c r="C216" t="str">
        <v>Intro to Python &amp; Computer Networking</v>
      </c>
      <c r="D216">
        <v>378</v>
      </c>
      <c r="E216" t="s">
        <v>51</v>
      </c>
      <c r="F216" t="s">
        <v>329</v>
      </c>
    </row>
    <row r="217" spans="1:6" x14ac:dyDescent="0.3">
      <c r="A217" t="str">
        <f t="shared" si="3"/>
        <v>EE 152,ED1-EE</v>
      </c>
      <c r="B217" t="s">
        <v>990</v>
      </c>
      <c r="C217" t="str">
        <v>Basic Electronics</v>
      </c>
      <c r="D217">
        <v>378</v>
      </c>
      <c r="E217" t="s">
        <v>51</v>
      </c>
      <c r="F217" t="s">
        <v>234</v>
      </c>
    </row>
    <row r="218" spans="1:6" x14ac:dyDescent="0.3">
      <c r="A218" t="str">
        <f t="shared" si="3"/>
        <v>EE 166,ED1-EE</v>
      </c>
      <c r="B218" t="s">
        <v>1154</v>
      </c>
      <c r="C218" t="str">
        <v>CIRCUIT THEORY</v>
      </c>
      <c r="D218">
        <v>378</v>
      </c>
      <c r="E218" t="s">
        <v>51</v>
      </c>
      <c r="F218" t="s">
        <v>184</v>
      </c>
    </row>
    <row r="219" spans="1:6" x14ac:dyDescent="0.3">
      <c r="A219" t="str">
        <f t="shared" si="3"/>
        <v>EE 188,ED1-EE</v>
      </c>
      <c r="B219" t="s">
        <v>1174</v>
      </c>
      <c r="C219" t="str">
        <v>ELECTRICAL MEASUREMENTS &amp; INSTRUMENTATION</v>
      </c>
      <c r="D219">
        <v>378</v>
      </c>
      <c r="E219" t="s">
        <v>51</v>
      </c>
      <c r="F219" t="s">
        <v>137</v>
      </c>
    </row>
    <row r="220" spans="1:6" x14ac:dyDescent="0.3">
      <c r="A220" t="str">
        <f t="shared" si="3"/>
        <v>ENGL 158,ED1-EE</v>
      </c>
      <c r="B220" t="s">
        <v>991</v>
      </c>
      <c r="C220" t="str">
        <v>Communication Skills II</v>
      </c>
      <c r="D220">
        <v>378</v>
      </c>
      <c r="E220" t="s">
        <v>51</v>
      </c>
      <c r="F220" t="s">
        <v>364</v>
      </c>
    </row>
    <row r="221" spans="1:6" x14ac:dyDescent="0.3">
      <c r="A221" t="str">
        <f t="shared" si="3"/>
        <v>MATH 152,ED1-EE</v>
      </c>
      <c r="B221" t="s">
        <v>992</v>
      </c>
      <c r="C221" t="str">
        <v>Calculus With Analysis</v>
      </c>
      <c r="D221">
        <v>378</v>
      </c>
      <c r="E221" t="s">
        <v>51</v>
      </c>
      <c r="F221" t="s">
        <v>129</v>
      </c>
    </row>
    <row r="222" spans="1:6" x14ac:dyDescent="0.3">
      <c r="A222" t="str">
        <f t="shared" si="3"/>
        <v>EE 156,ED1-EE</v>
      </c>
      <c r="B222" t="s">
        <v>1151</v>
      </c>
      <c r="C222" t="str">
        <v>Electrical Eng. Drawing</v>
      </c>
      <c r="D222">
        <v>378</v>
      </c>
      <c r="E222" t="s">
        <v>51</v>
      </c>
      <c r="F222" t="s">
        <v>19</v>
      </c>
    </row>
    <row r="223" spans="1:6" x14ac:dyDescent="0.3">
      <c r="A223" t="str">
        <f t="shared" si="3"/>
        <v>ME 166,ED1-EE</v>
      </c>
      <c r="B223" t="s">
        <v>1175</v>
      </c>
      <c r="C223" t="str">
        <v>Applied Thermodynamics I</v>
      </c>
      <c r="D223">
        <v>378</v>
      </c>
      <c r="E223" t="s">
        <v>51</v>
      </c>
      <c r="F223" t="s">
        <v>421</v>
      </c>
    </row>
    <row r="224" spans="1:6" x14ac:dyDescent="0.3">
      <c r="A224" t="str">
        <f t="shared" si="3"/>
        <v>ECON 152,ED2-EE</v>
      </c>
      <c r="B224" t="s">
        <v>1144</v>
      </c>
      <c r="C224" t="str">
        <v>Introductory Economics II</v>
      </c>
      <c r="D224">
        <v>74</v>
      </c>
      <c r="E224" t="s">
        <v>25</v>
      </c>
      <c r="F224" t="s">
        <v>406</v>
      </c>
    </row>
    <row r="225" spans="1:6" x14ac:dyDescent="0.3">
      <c r="A225" t="str">
        <f t="shared" si="3"/>
        <v>EE 262,ED2-EE</v>
      </c>
      <c r="B225" t="s">
        <v>1176</v>
      </c>
      <c r="C225" t="str">
        <v>Synchronous Machines</v>
      </c>
      <c r="D225">
        <v>256</v>
      </c>
      <c r="E225" t="s">
        <v>25</v>
      </c>
      <c r="F225" t="s">
        <v>365</v>
      </c>
    </row>
    <row r="226" spans="1:6" x14ac:dyDescent="0.3">
      <c r="A226" t="str">
        <f t="shared" si="3"/>
        <v>EE 272,ED2-EE</v>
      </c>
      <c r="B226" t="s">
        <v>1177</v>
      </c>
      <c r="C226" t="str">
        <v>Digital Systems</v>
      </c>
      <c r="D226">
        <v>256</v>
      </c>
      <c r="E226" t="s">
        <v>25</v>
      </c>
      <c r="F226" t="s">
        <v>24</v>
      </c>
    </row>
    <row r="227" spans="1:6" x14ac:dyDescent="0.3">
      <c r="A227" t="str">
        <f t="shared" si="3"/>
        <v>EE 288,ED2-EE</v>
      </c>
      <c r="B227" t="s">
        <v>1178</v>
      </c>
      <c r="C227" t="str">
        <v>Electrical Measurements And Instrumentation</v>
      </c>
      <c r="D227">
        <v>256</v>
      </c>
      <c r="E227" t="s">
        <v>25</v>
      </c>
      <c r="F227" t="s">
        <v>518</v>
      </c>
    </row>
    <row r="228" spans="1:6" x14ac:dyDescent="0.3">
      <c r="A228" t="str">
        <f t="shared" si="3"/>
        <v>EE 292,ED2-EE</v>
      </c>
      <c r="B228" t="s">
        <v>1179</v>
      </c>
      <c r="C228" t="str">
        <v>Electrical Engineering Lab. II</v>
      </c>
      <c r="D228">
        <v>256</v>
      </c>
      <c r="E228" t="s">
        <v>25</v>
      </c>
      <c r="F228" t="s">
        <v>1180</v>
      </c>
    </row>
    <row r="229" spans="1:6" x14ac:dyDescent="0.3">
      <c r="A229" t="str">
        <f t="shared" si="3"/>
        <v>FC 182,ED2-EE</v>
      </c>
      <c r="B229" t="s">
        <v>1085</v>
      </c>
      <c r="C229" t="str">
        <v>French For Communication II</v>
      </c>
      <c r="D229">
        <v>178</v>
      </c>
      <c r="E229" t="s">
        <v>25</v>
      </c>
      <c r="F229" t="s">
        <v>245</v>
      </c>
    </row>
    <row r="230" spans="1:6" x14ac:dyDescent="0.3">
      <c r="A230" t="str">
        <f t="shared" si="3"/>
        <v>MATH 252,ED2-EE</v>
      </c>
      <c r="B230" t="s">
        <v>998</v>
      </c>
      <c r="C230" t="str">
        <v>Calculus With Several Variables</v>
      </c>
      <c r="D230">
        <v>256</v>
      </c>
      <c r="E230" t="s">
        <v>25</v>
      </c>
      <c r="F230" t="s">
        <v>281</v>
      </c>
    </row>
    <row r="231" spans="1:6" x14ac:dyDescent="0.3">
      <c r="A231" t="str">
        <f t="shared" si="3"/>
        <v>TE 262,ED2-EE</v>
      </c>
      <c r="B231" t="s">
        <v>1159</v>
      </c>
      <c r="C231" t="str">
        <v>Electromagnetic Field Theory</v>
      </c>
      <c r="D231">
        <v>256</v>
      </c>
      <c r="E231" t="s">
        <v>25</v>
      </c>
      <c r="F231" t="s">
        <v>166</v>
      </c>
    </row>
    <row r="232" spans="1:6" x14ac:dyDescent="0.3">
      <c r="A232" t="s">
        <v>1181</v>
      </c>
      <c r="B232" t="s">
        <v>1182</v>
      </c>
      <c r="C232" t="str">
        <v>Digital Computer Design</v>
      </c>
      <c r="D232">
        <v>30</v>
      </c>
      <c r="E232" t="s">
        <v>71</v>
      </c>
      <c r="F232" t="s">
        <v>412</v>
      </c>
    </row>
    <row r="233" spans="1:6" x14ac:dyDescent="0.3">
      <c r="A233" t="str">
        <f t="shared" ref="A233:A296" si="4">CONCATENATE(F233,",",E233)</f>
        <v>EE 360,ED3-EE</v>
      </c>
      <c r="B233" t="s">
        <v>1183</v>
      </c>
      <c r="C233" t="str">
        <v>High Voltage Engineering</v>
      </c>
      <c r="D233">
        <v>174</v>
      </c>
      <c r="E233" t="s">
        <v>71</v>
      </c>
      <c r="F233" t="s">
        <v>381</v>
      </c>
    </row>
    <row r="234" spans="1:6" x14ac:dyDescent="0.3">
      <c r="A234" t="str">
        <f t="shared" si="4"/>
        <v>EE 362,ED3-EE</v>
      </c>
      <c r="B234" t="s">
        <v>1184</v>
      </c>
      <c r="C234" t="str">
        <v>Substations And Transmission Line Design</v>
      </c>
      <c r="D234">
        <v>226</v>
      </c>
      <c r="E234" t="s">
        <v>71</v>
      </c>
      <c r="F234" t="s">
        <v>70</v>
      </c>
    </row>
    <row r="235" spans="1:6" x14ac:dyDescent="0.3">
      <c r="A235" t="str">
        <f t="shared" si="4"/>
        <v>EE 366,ED3-EE</v>
      </c>
      <c r="B235" t="s">
        <v>1185</v>
      </c>
      <c r="C235" t="str">
        <v>Power Electronics</v>
      </c>
      <c r="D235">
        <v>226</v>
      </c>
      <c r="E235" t="s">
        <v>71</v>
      </c>
      <c r="F235" t="s">
        <v>286</v>
      </c>
    </row>
    <row r="236" spans="1:6" x14ac:dyDescent="0.3">
      <c r="A236" t="str">
        <f t="shared" si="4"/>
        <v>EE 368,ED3-EE</v>
      </c>
      <c r="B236" t="s">
        <v>1186</v>
      </c>
      <c r="C236" t="str">
        <v>Power Systems Analysis</v>
      </c>
      <c r="D236">
        <v>226</v>
      </c>
      <c r="E236" t="s">
        <v>71</v>
      </c>
      <c r="F236" t="s">
        <v>517</v>
      </c>
    </row>
    <row r="237" spans="1:6" x14ac:dyDescent="0.3">
      <c r="A237" t="str">
        <f t="shared" si="4"/>
        <v>EE 380,ED3-EE</v>
      </c>
      <c r="B237" t="s">
        <v>1187</v>
      </c>
      <c r="C237" t="str">
        <v>Digital Control Systems</v>
      </c>
      <c r="D237">
        <v>82</v>
      </c>
      <c r="E237" t="s">
        <v>71</v>
      </c>
      <c r="F237" t="s">
        <v>233</v>
      </c>
    </row>
    <row r="238" spans="1:6" x14ac:dyDescent="0.3">
      <c r="A238" t="str">
        <f t="shared" si="4"/>
        <v>EE 392,ED3-EE</v>
      </c>
      <c r="B238" t="s">
        <v>1188</v>
      </c>
      <c r="C238" t="str">
        <v>Electrical Engineering Lab. III</v>
      </c>
      <c r="D238">
        <v>226</v>
      </c>
      <c r="E238" t="s">
        <v>71</v>
      </c>
      <c r="F238" t="s">
        <v>1189</v>
      </c>
    </row>
    <row r="239" spans="1:6" x14ac:dyDescent="0.3">
      <c r="A239" t="str">
        <f t="shared" si="4"/>
        <v>TE 372,ED3-EE</v>
      </c>
      <c r="B239" t="s">
        <v>1190</v>
      </c>
      <c r="C239" t="str">
        <v>Antennas And Propagation</v>
      </c>
      <c r="D239">
        <v>142</v>
      </c>
      <c r="E239" t="s">
        <v>71</v>
      </c>
      <c r="F239" t="s">
        <v>308</v>
      </c>
    </row>
    <row r="240" spans="1:6" x14ac:dyDescent="0.3">
      <c r="A240" t="str">
        <f t="shared" si="4"/>
        <v>TE 384,ED3-EE</v>
      </c>
      <c r="B240" t="s">
        <v>1191</v>
      </c>
      <c r="C240" t="str">
        <v>Switching Engineering In Communication</v>
      </c>
      <c r="D240">
        <v>22</v>
      </c>
      <c r="E240" t="s">
        <v>71</v>
      </c>
      <c r="F240" t="s">
        <v>117</v>
      </c>
    </row>
    <row r="241" spans="1:6" x14ac:dyDescent="0.3">
      <c r="A241" t="str">
        <f t="shared" si="4"/>
        <v>TE 386,ED3-EE</v>
      </c>
      <c r="B241" t="s">
        <v>1192</v>
      </c>
      <c r="C241" t="str">
        <v>Digital Communication Systems</v>
      </c>
      <c r="D241">
        <v>230</v>
      </c>
      <c r="E241" t="s">
        <v>71</v>
      </c>
      <c r="F241" t="s">
        <v>465</v>
      </c>
    </row>
    <row r="242" spans="1:6" x14ac:dyDescent="0.3">
      <c r="A242" t="str">
        <f t="shared" si="4"/>
        <v>COE 484,ED4-EE</v>
      </c>
      <c r="B242" t="s">
        <v>1193</v>
      </c>
      <c r="C242" t="str">
        <v>Industrial Automatic Control</v>
      </c>
      <c r="D242">
        <v>200</v>
      </c>
      <c r="E242" t="s">
        <v>144</v>
      </c>
      <c r="F242" t="s">
        <v>1194</v>
      </c>
    </row>
    <row r="243" spans="1:6" x14ac:dyDescent="0.3">
      <c r="A243" t="str">
        <f t="shared" si="4"/>
        <v>COE 486,ED4-EE</v>
      </c>
      <c r="B243" t="s">
        <v>1195</v>
      </c>
      <c r="C243" t="str">
        <v>Introduction To VLSI</v>
      </c>
      <c r="D243">
        <v>7</v>
      </c>
      <c r="E243" t="s">
        <v>144</v>
      </c>
      <c r="F243" t="s">
        <v>504</v>
      </c>
    </row>
    <row r="244" spans="1:6" x14ac:dyDescent="0.3">
      <c r="A244" t="str">
        <f t="shared" si="4"/>
        <v>EE 462,ED4-EE</v>
      </c>
      <c r="B244" t="s">
        <v>1196</v>
      </c>
      <c r="C244" t="str">
        <v>Electric Drives</v>
      </c>
      <c r="D244">
        <v>189</v>
      </c>
      <c r="E244" t="s">
        <v>144</v>
      </c>
      <c r="F244" t="s">
        <v>143</v>
      </c>
    </row>
    <row r="245" spans="1:6" x14ac:dyDescent="0.3">
      <c r="A245" t="str">
        <f t="shared" si="4"/>
        <v>EE 466,ED4-EE</v>
      </c>
      <c r="B245" t="s">
        <v>1197</v>
      </c>
      <c r="C245" t="str">
        <v>Power Systems Planning And Optimization</v>
      </c>
      <c r="D245">
        <v>175</v>
      </c>
      <c r="E245" t="s">
        <v>144</v>
      </c>
      <c r="F245" t="s">
        <v>353</v>
      </c>
    </row>
    <row r="246" spans="1:6" x14ac:dyDescent="0.3">
      <c r="A246" t="str">
        <f t="shared" si="4"/>
        <v>EE 468,ED4-EE</v>
      </c>
      <c r="B246" t="s">
        <v>1198</v>
      </c>
      <c r="C246" t="str">
        <v>Power Systems Protection</v>
      </c>
      <c r="D246">
        <v>200</v>
      </c>
      <c r="E246" t="s">
        <v>144</v>
      </c>
      <c r="F246" t="s">
        <v>267</v>
      </c>
    </row>
    <row r="247" spans="1:6" x14ac:dyDescent="0.3">
      <c r="A247" t="str">
        <f t="shared" si="4"/>
        <v>EE 472,ED4-EE</v>
      </c>
      <c r="B247" t="s">
        <v>1094</v>
      </c>
      <c r="C247" t="str">
        <v>Digital Signal Processing</v>
      </c>
      <c r="D247">
        <v>19</v>
      </c>
      <c r="E247" t="s">
        <v>144</v>
      </c>
      <c r="F247" t="s">
        <v>307</v>
      </c>
    </row>
    <row r="248" spans="1:6" x14ac:dyDescent="0.3">
      <c r="A248" t="str">
        <f t="shared" si="4"/>
        <v>ME 492,ED4-EE</v>
      </c>
      <c r="B248" t="s">
        <v>1199</v>
      </c>
      <c r="C248" t="str">
        <v>Entrepreneurship Development And Management</v>
      </c>
      <c r="D248">
        <v>200</v>
      </c>
      <c r="E248" t="s">
        <v>144</v>
      </c>
      <c r="F248" t="s">
        <v>373</v>
      </c>
    </row>
    <row r="249" spans="1:6" x14ac:dyDescent="0.3">
      <c r="A249" t="str">
        <f t="shared" si="4"/>
        <v>CE 156,ED1-GEOL</v>
      </c>
      <c r="B249" t="s">
        <v>1098</v>
      </c>
      <c r="C249" t="str">
        <v>Elementary Fluids Mechanics</v>
      </c>
      <c r="D249">
        <v>156</v>
      </c>
      <c r="E249" t="s">
        <v>126</v>
      </c>
      <c r="F249" t="s">
        <v>461</v>
      </c>
    </row>
    <row r="250" spans="1:6" x14ac:dyDescent="0.3">
      <c r="A250" t="str">
        <f t="shared" si="4"/>
        <v>CE 164,ED1-GEOL</v>
      </c>
      <c r="B250" t="s">
        <v>1099</v>
      </c>
      <c r="C250" t="str">
        <v>CIVil Engineering Drawing</v>
      </c>
      <c r="D250">
        <v>156</v>
      </c>
      <c r="E250" t="s">
        <v>126</v>
      </c>
      <c r="F250" t="s">
        <v>182</v>
      </c>
    </row>
    <row r="251" spans="1:6" x14ac:dyDescent="0.3">
      <c r="A251" t="str">
        <f t="shared" si="4"/>
        <v>ACF 256,ED1-GEOL</v>
      </c>
      <c r="B251" t="s">
        <v>1200</v>
      </c>
      <c r="C251" t="str">
        <v>Introduction to Financial Accounting II</v>
      </c>
      <c r="D251">
        <v>27</v>
      </c>
      <c r="E251" t="s">
        <v>126</v>
      </c>
      <c r="F251" t="s">
        <v>424</v>
      </c>
    </row>
    <row r="252" spans="1:6" x14ac:dyDescent="0.3">
      <c r="A252" t="str">
        <f t="shared" si="4"/>
        <v>ECON 152,ED1-GEOL</v>
      </c>
      <c r="B252" t="s">
        <v>1144</v>
      </c>
      <c r="C252" t="str">
        <v>Introductory Economics II</v>
      </c>
      <c r="D252">
        <v>27</v>
      </c>
      <c r="E252" t="s">
        <v>126</v>
      </c>
      <c r="F252" t="s">
        <v>406</v>
      </c>
    </row>
    <row r="253" spans="1:6" x14ac:dyDescent="0.3">
      <c r="A253" t="str">
        <f t="shared" si="4"/>
        <v>EE 152,ED1-GEOL</v>
      </c>
      <c r="B253" t="s">
        <v>990</v>
      </c>
      <c r="C253" t="str">
        <v>Basic Electronics</v>
      </c>
      <c r="D253">
        <v>156</v>
      </c>
      <c r="E253" t="s">
        <v>126</v>
      </c>
      <c r="F253" t="s">
        <v>234</v>
      </c>
    </row>
    <row r="254" spans="1:6" x14ac:dyDescent="0.3">
      <c r="A254" t="str">
        <f t="shared" si="4"/>
        <v>ENGL 158,ED1-GEOL</v>
      </c>
      <c r="B254" t="s">
        <v>991</v>
      </c>
      <c r="C254" t="str">
        <v>Communication Skills II</v>
      </c>
      <c r="D254">
        <v>156</v>
      </c>
      <c r="E254" t="s">
        <v>126</v>
      </c>
      <c r="F254" t="s">
        <v>364</v>
      </c>
    </row>
    <row r="255" spans="1:6" x14ac:dyDescent="0.3">
      <c r="A255" t="str">
        <f t="shared" si="4"/>
        <v>FC 182,ED1-GEOL</v>
      </c>
      <c r="B255" t="s">
        <v>1085</v>
      </c>
      <c r="C255" t="str">
        <v>French For Communication II</v>
      </c>
      <c r="D255">
        <v>102</v>
      </c>
      <c r="E255" t="s">
        <v>126</v>
      </c>
      <c r="F255" t="s">
        <v>245</v>
      </c>
    </row>
    <row r="256" spans="1:6" x14ac:dyDescent="0.3">
      <c r="A256" t="str">
        <f t="shared" si="4"/>
        <v>GED 152,ED1-GEOL</v>
      </c>
      <c r="B256" t="s">
        <v>1201</v>
      </c>
      <c r="C256" t="str">
        <v>Basic Mineral Science</v>
      </c>
      <c r="D256">
        <v>156</v>
      </c>
      <c r="E256" t="s">
        <v>126</v>
      </c>
      <c r="F256" t="s">
        <v>354</v>
      </c>
    </row>
    <row r="257" spans="1:6" x14ac:dyDescent="0.3">
      <c r="A257" t="str">
        <f t="shared" si="4"/>
        <v>GED 164,ED1-GEOL</v>
      </c>
      <c r="B257" t="s">
        <v>1202</v>
      </c>
      <c r="C257" t="str">
        <v>Computer Applications</v>
      </c>
      <c r="D257">
        <v>156</v>
      </c>
      <c r="E257" t="s">
        <v>126</v>
      </c>
      <c r="F257" t="s">
        <v>125</v>
      </c>
    </row>
    <row r="258" spans="1:6" x14ac:dyDescent="0.3">
      <c r="A258" t="str">
        <f t="shared" si="4"/>
        <v>MATH 152,ED1-GEOL</v>
      </c>
      <c r="B258" t="s">
        <v>998</v>
      </c>
      <c r="C258" t="str">
        <v>Calculus With Several Variables</v>
      </c>
      <c r="D258">
        <v>156</v>
      </c>
      <c r="E258" t="s">
        <v>126</v>
      </c>
      <c r="F258" t="s">
        <v>129</v>
      </c>
    </row>
    <row r="259" spans="1:6" x14ac:dyDescent="0.3">
      <c r="A259" t="str">
        <f t="shared" si="4"/>
        <v>CE 256,ED2-GEOL</v>
      </c>
      <c r="B259" t="s">
        <v>1101</v>
      </c>
      <c r="C259" t="str">
        <v>Fluid Mechanics</v>
      </c>
      <c r="D259">
        <v>156</v>
      </c>
      <c r="E259" t="s">
        <v>55</v>
      </c>
      <c r="F259" t="s">
        <v>54</v>
      </c>
    </row>
    <row r="260" spans="1:6" x14ac:dyDescent="0.3">
      <c r="A260" t="str">
        <f t="shared" si="4"/>
        <v>GE 282,ED2-GEOL</v>
      </c>
      <c r="B260" t="s">
        <v>1107</v>
      </c>
      <c r="C260" t="str">
        <v>Large Scale Surveying</v>
      </c>
      <c r="D260">
        <v>156</v>
      </c>
      <c r="E260" t="s">
        <v>55</v>
      </c>
      <c r="F260" t="s">
        <v>489</v>
      </c>
    </row>
    <row r="261" spans="1:6" x14ac:dyDescent="0.3">
      <c r="A261" t="str">
        <f t="shared" si="4"/>
        <v>GED 252,ED2-GEOL</v>
      </c>
      <c r="B261" t="s">
        <v>1203</v>
      </c>
      <c r="C261" t="str">
        <v>Stratigraphy</v>
      </c>
      <c r="D261">
        <v>156</v>
      </c>
      <c r="E261" t="s">
        <v>55</v>
      </c>
      <c r="F261" t="s">
        <v>224</v>
      </c>
    </row>
    <row r="262" spans="1:6" x14ac:dyDescent="0.3">
      <c r="A262" t="str">
        <f t="shared" si="4"/>
        <v>GED 254,ED2-GEOL</v>
      </c>
      <c r="B262" t="s">
        <v>1204</v>
      </c>
      <c r="C262" t="str">
        <v>Rock Engineering</v>
      </c>
      <c r="D262">
        <v>156</v>
      </c>
      <c r="E262" t="s">
        <v>55</v>
      </c>
      <c r="F262" t="s">
        <v>399</v>
      </c>
    </row>
    <row r="263" spans="1:6" x14ac:dyDescent="0.3">
      <c r="A263" t="str">
        <f t="shared" si="4"/>
        <v>GED 258,ED2-GEOL</v>
      </c>
      <c r="B263" t="s">
        <v>1205</v>
      </c>
      <c r="C263" t="str">
        <v>Optical Mineralogy</v>
      </c>
      <c r="D263">
        <v>156</v>
      </c>
      <c r="E263" t="s">
        <v>55</v>
      </c>
      <c r="F263" t="s">
        <v>369</v>
      </c>
    </row>
    <row r="264" spans="1:6" x14ac:dyDescent="0.3">
      <c r="A264" t="str">
        <f t="shared" si="4"/>
        <v>GED 262,ED2-GEOL</v>
      </c>
      <c r="B264" t="s">
        <v>1206</v>
      </c>
      <c r="C264" t="str">
        <v>Introduction To Soil Mechanics</v>
      </c>
      <c r="D264">
        <v>156</v>
      </c>
      <c r="E264" t="s">
        <v>55</v>
      </c>
      <c r="F264" t="s">
        <v>247</v>
      </c>
    </row>
    <row r="265" spans="1:6" x14ac:dyDescent="0.3">
      <c r="A265" t="str">
        <f t="shared" si="4"/>
        <v>MATH 252,ED2-GEOL</v>
      </c>
      <c r="B265" t="s">
        <v>1207</v>
      </c>
      <c r="C265" t="str">
        <v>Analysis IV</v>
      </c>
      <c r="D265">
        <v>156</v>
      </c>
      <c r="E265" t="s">
        <v>55</v>
      </c>
      <c r="F265" t="s">
        <v>281</v>
      </c>
    </row>
    <row r="266" spans="1:6" x14ac:dyDescent="0.3">
      <c r="A266" t="str">
        <f t="shared" si="4"/>
        <v>GED 342,ED3-GEOL</v>
      </c>
      <c r="B266" t="s">
        <v>1208</v>
      </c>
      <c r="C266" t="str">
        <v>Mining Principles</v>
      </c>
      <c r="D266">
        <v>105</v>
      </c>
      <c r="E266" t="s">
        <v>154</v>
      </c>
      <c r="F266" t="s">
        <v>497</v>
      </c>
    </row>
    <row r="267" spans="1:6" x14ac:dyDescent="0.3">
      <c r="A267" t="str">
        <f t="shared" si="4"/>
        <v>GED 352,ED3-GEOL</v>
      </c>
      <c r="B267" t="s">
        <v>1209</v>
      </c>
      <c r="C267" t="str">
        <v>Principles Of Geochemistry</v>
      </c>
      <c r="D267">
        <v>105</v>
      </c>
      <c r="E267" t="s">
        <v>154</v>
      </c>
      <c r="F267" t="s">
        <v>153</v>
      </c>
    </row>
    <row r="268" spans="1:6" x14ac:dyDescent="0.3">
      <c r="A268" t="str">
        <f t="shared" si="4"/>
        <v>GED 354,ED3-GEOL</v>
      </c>
      <c r="B268" t="s">
        <v>1210</v>
      </c>
      <c r="C268" t="str">
        <v>Principles Of Geophysics</v>
      </c>
      <c r="D268">
        <v>105</v>
      </c>
      <c r="E268" t="s">
        <v>154</v>
      </c>
      <c r="F268" t="s">
        <v>246</v>
      </c>
    </row>
    <row r="269" spans="1:6" x14ac:dyDescent="0.3">
      <c r="A269" t="str">
        <f t="shared" si="4"/>
        <v>GED 364,ED3-GEOL</v>
      </c>
      <c r="B269" t="s">
        <v>1211</v>
      </c>
      <c r="C269" t="str">
        <v>Structural Geology</v>
      </c>
      <c r="D269">
        <v>105</v>
      </c>
      <c r="E269" t="s">
        <v>154</v>
      </c>
      <c r="F269" t="s">
        <v>437</v>
      </c>
    </row>
    <row r="270" spans="1:6" x14ac:dyDescent="0.3">
      <c r="A270" t="str">
        <f t="shared" si="4"/>
        <v>GED 366,ED3-GEOL</v>
      </c>
      <c r="B270" t="s">
        <v>1212</v>
      </c>
      <c r="C270" t="str">
        <v>Mineral Economics And Evaluation</v>
      </c>
      <c r="D270">
        <v>105</v>
      </c>
      <c r="E270" t="s">
        <v>154</v>
      </c>
      <c r="F270" t="s">
        <v>379</v>
      </c>
    </row>
    <row r="271" spans="1:6" x14ac:dyDescent="0.3">
      <c r="A271" t="str">
        <f t="shared" si="4"/>
        <v>GED 368,ED3-GEOL</v>
      </c>
      <c r="B271" t="s">
        <v>1213</v>
      </c>
      <c r="C271" t="str">
        <v>Gis Applications</v>
      </c>
      <c r="D271">
        <v>105</v>
      </c>
      <c r="E271" t="s">
        <v>154</v>
      </c>
      <c r="F271" t="s">
        <v>222</v>
      </c>
    </row>
    <row r="272" spans="1:6" x14ac:dyDescent="0.3">
      <c r="A272" t="str">
        <f t="shared" si="4"/>
        <v>GED 370,ED3-GEOL</v>
      </c>
      <c r="B272" t="s">
        <v>1110</v>
      </c>
      <c r="C272" t="str">
        <v>Foundation Engineering</v>
      </c>
      <c r="D272">
        <v>105</v>
      </c>
      <c r="E272" t="s">
        <v>154</v>
      </c>
      <c r="F272" t="s">
        <v>335</v>
      </c>
    </row>
    <row r="273" spans="1:6" x14ac:dyDescent="0.3">
      <c r="A273" t="str">
        <f t="shared" si="4"/>
        <v>CE 478,ED4-GEOL</v>
      </c>
      <c r="B273" t="s">
        <v>1125</v>
      </c>
      <c r="C273" t="str">
        <v>Ground Engineering</v>
      </c>
      <c r="D273">
        <v>2</v>
      </c>
      <c r="E273" t="s">
        <v>177</v>
      </c>
      <c r="F273" t="s">
        <v>270</v>
      </c>
    </row>
    <row r="274" spans="1:6" x14ac:dyDescent="0.3">
      <c r="A274" t="str">
        <f t="shared" si="4"/>
        <v>GED 452,ED4-GEOL</v>
      </c>
      <c r="B274" t="s">
        <v>1214</v>
      </c>
      <c r="C274" t="str">
        <v>Advanced Engineering Geology</v>
      </c>
      <c r="D274">
        <v>142</v>
      </c>
      <c r="E274" t="s">
        <v>177</v>
      </c>
      <c r="F274" t="s">
        <v>214</v>
      </c>
    </row>
    <row r="275" spans="1:6" x14ac:dyDescent="0.3">
      <c r="A275" t="str">
        <f t="shared" si="4"/>
        <v>GED 454,ED4-GEOL</v>
      </c>
      <c r="B275" t="s">
        <v>1215</v>
      </c>
      <c r="C275" t="str">
        <v>Environmental Geology</v>
      </c>
      <c r="D275">
        <v>142</v>
      </c>
      <c r="E275" t="s">
        <v>177</v>
      </c>
      <c r="F275" t="s">
        <v>317</v>
      </c>
    </row>
    <row r="276" spans="1:6" x14ac:dyDescent="0.3">
      <c r="A276" t="str">
        <f t="shared" si="4"/>
        <v>GED 462,ED4-GEOL</v>
      </c>
      <c r="B276" t="s">
        <v>1216</v>
      </c>
      <c r="C276" t="str">
        <v>Economic Geology</v>
      </c>
      <c r="D276">
        <v>142</v>
      </c>
      <c r="E276" t="s">
        <v>177</v>
      </c>
      <c r="F276" t="s">
        <v>358</v>
      </c>
    </row>
    <row r="277" spans="1:6" x14ac:dyDescent="0.3">
      <c r="A277" t="str">
        <f t="shared" si="4"/>
        <v>GED 464,ED4-GEOL</v>
      </c>
      <c r="B277" t="s">
        <v>1217</v>
      </c>
      <c r="C277" t="str">
        <v>Engineering Management</v>
      </c>
      <c r="D277">
        <v>142</v>
      </c>
      <c r="E277" t="s">
        <v>177</v>
      </c>
      <c r="F277" t="s">
        <v>176</v>
      </c>
    </row>
    <row r="278" spans="1:6" x14ac:dyDescent="0.3">
      <c r="A278" t="str">
        <f t="shared" si="4"/>
        <v>GED 466,ED4-GEOL</v>
      </c>
      <c r="B278" t="s">
        <v>1218</v>
      </c>
      <c r="C278" t="str">
        <v>Petroleum Geology</v>
      </c>
      <c r="D278">
        <v>52</v>
      </c>
      <c r="E278" t="s">
        <v>177</v>
      </c>
      <c r="F278" t="s">
        <v>410</v>
      </c>
    </row>
    <row r="279" spans="1:6" x14ac:dyDescent="0.3">
      <c r="A279" t="str">
        <f t="shared" si="4"/>
        <v>GED 468,ED4-GEOL</v>
      </c>
      <c r="B279" t="s">
        <v>1219</v>
      </c>
      <c r="C279" t="str">
        <v>Geostatistics</v>
      </c>
      <c r="D279">
        <v>124</v>
      </c>
      <c r="E279" t="s">
        <v>177</v>
      </c>
      <c r="F279" t="s">
        <v>510</v>
      </c>
    </row>
    <row r="280" spans="1:6" x14ac:dyDescent="0.3">
      <c r="A280" t="str">
        <f t="shared" si="4"/>
        <v>GED 476,ED4-GEOL</v>
      </c>
      <c r="B280" t="s">
        <v>1220</v>
      </c>
      <c r="C280" t="str">
        <v>Groundwater Development</v>
      </c>
      <c r="D280">
        <v>142</v>
      </c>
      <c r="E280" t="s">
        <v>177</v>
      </c>
      <c r="F280" t="s">
        <v>445</v>
      </c>
    </row>
    <row r="281" spans="1:6" x14ac:dyDescent="0.3">
      <c r="A281" t="str">
        <f t="shared" si="4"/>
        <v>EE 152,ED1-GEOM</v>
      </c>
      <c r="B281" t="s">
        <v>990</v>
      </c>
      <c r="C281" t="str">
        <v>Basic Electronics</v>
      </c>
      <c r="D281">
        <v>139</v>
      </c>
      <c r="E281" t="s">
        <v>95</v>
      </c>
      <c r="F281" t="s">
        <v>234</v>
      </c>
    </row>
    <row r="282" spans="1:6" x14ac:dyDescent="0.3">
      <c r="A282" t="str">
        <f t="shared" si="4"/>
        <v>ENGL 158,ED1-GEOM</v>
      </c>
      <c r="B282" t="s">
        <v>991</v>
      </c>
      <c r="C282" t="str">
        <v>Communication Skills II</v>
      </c>
      <c r="D282">
        <v>139</v>
      </c>
      <c r="E282" t="s">
        <v>95</v>
      </c>
      <c r="F282" t="s">
        <v>364</v>
      </c>
    </row>
    <row r="283" spans="1:6" x14ac:dyDescent="0.3">
      <c r="A283" t="str">
        <f t="shared" si="4"/>
        <v>GE 152,ED1-GEOM</v>
      </c>
      <c r="B283" t="s">
        <v>1221</v>
      </c>
      <c r="C283" t="str">
        <v>Reproduction Cartography</v>
      </c>
      <c r="D283">
        <v>139</v>
      </c>
      <c r="E283" t="s">
        <v>95</v>
      </c>
      <c r="F283" t="s">
        <v>201</v>
      </c>
    </row>
    <row r="284" spans="1:6" x14ac:dyDescent="0.3">
      <c r="A284" t="str">
        <f t="shared" si="4"/>
        <v>GE 158,ED1-GEOM</v>
      </c>
      <c r="B284" t="s">
        <v>987</v>
      </c>
      <c r="C284" t="str">
        <v>Introduction To Information Technology</v>
      </c>
      <c r="D284">
        <v>139</v>
      </c>
      <c r="E284" t="s">
        <v>95</v>
      </c>
      <c r="F284" t="s">
        <v>430</v>
      </c>
    </row>
    <row r="285" spans="1:6" x14ac:dyDescent="0.3">
      <c r="A285" t="str">
        <f t="shared" si="4"/>
        <v>GE 162,ED1-GEOM</v>
      </c>
      <c r="B285" t="s">
        <v>1107</v>
      </c>
      <c r="C285" t="str">
        <v>Large Scale Surveying</v>
      </c>
      <c r="D285">
        <v>139</v>
      </c>
      <c r="E285" t="s">
        <v>95</v>
      </c>
      <c r="F285" t="s">
        <v>94</v>
      </c>
    </row>
    <row r="286" spans="1:6" x14ac:dyDescent="0.3">
      <c r="A286" t="str">
        <f t="shared" si="4"/>
        <v>MATH 152,ED1-GEOM</v>
      </c>
      <c r="B286" t="s">
        <v>992</v>
      </c>
      <c r="C286" t="str">
        <v>Calculus With Analysis</v>
      </c>
      <c r="D286">
        <v>139</v>
      </c>
      <c r="E286" t="s">
        <v>95</v>
      </c>
      <c r="F286" t="s">
        <v>129</v>
      </c>
    </row>
    <row r="287" spans="1:6" x14ac:dyDescent="0.3">
      <c r="A287" t="str">
        <f t="shared" si="4"/>
        <v>CE 260,ED2-GEOM</v>
      </c>
      <c r="B287" t="s">
        <v>1103</v>
      </c>
      <c r="C287" t="str">
        <v>Soil And Rock Mechanics</v>
      </c>
      <c r="D287">
        <v>122</v>
      </c>
      <c r="E287" t="s">
        <v>170</v>
      </c>
      <c r="F287" t="s">
        <v>367</v>
      </c>
    </row>
    <row r="288" spans="1:6" x14ac:dyDescent="0.3">
      <c r="A288" t="str">
        <f t="shared" si="4"/>
        <v>ENGL 264,ED2-GEOM</v>
      </c>
      <c r="B288" t="s">
        <v>996</v>
      </c>
      <c r="C288" t="str">
        <v>Literature In English II</v>
      </c>
      <c r="D288">
        <v>122</v>
      </c>
      <c r="E288" t="s">
        <v>170</v>
      </c>
      <c r="F288" t="s">
        <v>276</v>
      </c>
    </row>
    <row r="289" spans="1:6" x14ac:dyDescent="0.3">
      <c r="A289" t="str">
        <f t="shared" si="4"/>
        <v>GE 262,ED2-GEOM</v>
      </c>
      <c r="B289" t="s">
        <v>1222</v>
      </c>
      <c r="C289" t="str">
        <v>Principles Of Remote Sensing</v>
      </c>
      <c r="D289">
        <v>122</v>
      </c>
      <c r="E289" t="s">
        <v>170</v>
      </c>
      <c r="F289" t="s">
        <v>169</v>
      </c>
    </row>
    <row r="290" spans="1:6" x14ac:dyDescent="0.3">
      <c r="A290" t="str">
        <f t="shared" si="4"/>
        <v>GE 272,ED2-GEOM</v>
      </c>
      <c r="B290" t="s">
        <v>1223</v>
      </c>
      <c r="C290" t="str">
        <v>Engineering Survey II</v>
      </c>
      <c r="D290">
        <v>122</v>
      </c>
      <c r="E290" t="s">
        <v>170</v>
      </c>
      <c r="F290" t="s">
        <v>219</v>
      </c>
    </row>
    <row r="291" spans="1:6" x14ac:dyDescent="0.3">
      <c r="A291" t="str">
        <f t="shared" si="4"/>
        <v>GE 284,ED2-GEOM</v>
      </c>
      <c r="B291" t="s">
        <v>1224</v>
      </c>
      <c r="C291" t="str">
        <v xml:space="preserve">Hydrographic Surveying </v>
      </c>
      <c r="D291">
        <v>122</v>
      </c>
      <c r="E291" t="s">
        <v>170</v>
      </c>
      <c r="F291" t="s">
        <v>475</v>
      </c>
    </row>
    <row r="292" spans="1:6" x14ac:dyDescent="0.3">
      <c r="A292" t="str">
        <f t="shared" si="4"/>
        <v>MATH 252,ED2-GEOM</v>
      </c>
      <c r="B292" t="s">
        <v>998</v>
      </c>
      <c r="C292" t="str">
        <v>Calculus With Several Variables</v>
      </c>
      <c r="D292">
        <v>122</v>
      </c>
      <c r="E292" t="s">
        <v>170</v>
      </c>
      <c r="F292" t="s">
        <v>281</v>
      </c>
    </row>
    <row r="293" spans="1:6" x14ac:dyDescent="0.3">
      <c r="A293" t="str">
        <f t="shared" si="4"/>
        <v>CE 368,ED3-GEOM</v>
      </c>
      <c r="B293" t="s">
        <v>1225</v>
      </c>
      <c r="C293" t="str">
        <v>Transportation And Highway II</v>
      </c>
      <c r="D293">
        <v>96</v>
      </c>
      <c r="E293" t="s">
        <v>77</v>
      </c>
      <c r="F293" t="s">
        <v>378</v>
      </c>
    </row>
    <row r="294" spans="1:6" x14ac:dyDescent="0.3">
      <c r="A294" t="str">
        <f t="shared" si="4"/>
        <v>ACF 256,ED3-GEOM</v>
      </c>
      <c r="B294" t="s">
        <v>1226</v>
      </c>
      <c r="C294" t="str">
        <v>Introduction to Financial Accounting II</v>
      </c>
      <c r="D294">
        <v>19</v>
      </c>
      <c r="E294" t="s">
        <v>77</v>
      </c>
      <c r="F294" t="s">
        <v>424</v>
      </c>
    </row>
    <row r="295" spans="1:6" x14ac:dyDescent="0.3">
      <c r="A295" t="str">
        <f t="shared" si="4"/>
        <v>ECON 152,ED3-GEOM</v>
      </c>
      <c r="B295" t="s">
        <v>1084</v>
      </c>
      <c r="C295" t="str">
        <v>Elements Of Economics II</v>
      </c>
      <c r="D295">
        <v>15</v>
      </c>
      <c r="E295" t="s">
        <v>77</v>
      </c>
      <c r="F295" t="s">
        <v>406</v>
      </c>
    </row>
    <row r="296" spans="1:6" x14ac:dyDescent="0.3">
      <c r="A296" t="str">
        <f t="shared" si="4"/>
        <v>FC 182,ED3-GEOM</v>
      </c>
      <c r="B296" t="s">
        <v>1227</v>
      </c>
      <c r="C296" t="str">
        <v>French For Communication  II</v>
      </c>
      <c r="D296">
        <v>56</v>
      </c>
      <c r="E296" t="s">
        <v>77</v>
      </c>
      <c r="F296" t="s">
        <v>245</v>
      </c>
    </row>
    <row r="297" spans="1:6" x14ac:dyDescent="0.3">
      <c r="A297" t="str">
        <f t="shared" ref="A297:A360" si="5">CONCATENATE(F297,",",E297)</f>
        <v>GE 354,ED3-GEOM</v>
      </c>
      <c r="B297" t="s">
        <v>1228</v>
      </c>
      <c r="C297" t="str">
        <v>Satellite Surveying</v>
      </c>
      <c r="D297">
        <v>96</v>
      </c>
      <c r="E297" t="s">
        <v>77</v>
      </c>
      <c r="F297" t="s">
        <v>221</v>
      </c>
    </row>
    <row r="298" spans="1:6" x14ac:dyDescent="0.3">
      <c r="A298" t="str">
        <f t="shared" si="5"/>
        <v>GE 362,ED3-GEOM</v>
      </c>
      <c r="B298" t="s">
        <v>1229</v>
      </c>
      <c r="C298" t="str">
        <v>Principles Of Gis</v>
      </c>
      <c r="D298">
        <v>96</v>
      </c>
      <c r="E298" t="s">
        <v>77</v>
      </c>
      <c r="F298" t="s">
        <v>309</v>
      </c>
    </row>
    <row r="299" spans="1:6" x14ac:dyDescent="0.3">
      <c r="A299" t="str">
        <f t="shared" si="5"/>
        <v>GE 372,ED3-GEOM</v>
      </c>
      <c r="B299" t="s">
        <v>1230</v>
      </c>
      <c r="C299" t="str">
        <v>Analysis Of Errors</v>
      </c>
      <c r="D299">
        <v>96</v>
      </c>
      <c r="E299" t="s">
        <v>77</v>
      </c>
      <c r="F299" t="s">
        <v>76</v>
      </c>
    </row>
    <row r="300" spans="1:6" x14ac:dyDescent="0.3">
      <c r="A300" t="str">
        <f t="shared" si="5"/>
        <v>PL 251/2,ED3-GEOM</v>
      </c>
      <c r="B300" t="s">
        <v>1231</v>
      </c>
      <c r="C300" t="str">
        <v>Planning The Physical Environment</v>
      </c>
      <c r="D300">
        <v>96</v>
      </c>
      <c r="E300" t="s">
        <v>77</v>
      </c>
      <c r="F300" t="s">
        <v>1232</v>
      </c>
    </row>
    <row r="301" spans="1:6" x14ac:dyDescent="0.3">
      <c r="A301" t="str">
        <f t="shared" si="5"/>
        <v>GE 464,ED4-GEOM</v>
      </c>
      <c r="B301" t="s">
        <v>1233</v>
      </c>
      <c r="C301" t="str">
        <v>Database Systems</v>
      </c>
      <c r="D301">
        <v>107</v>
      </c>
      <c r="E301" t="s">
        <v>194</v>
      </c>
      <c r="F301" t="s">
        <v>193</v>
      </c>
    </row>
    <row r="302" spans="1:6" x14ac:dyDescent="0.3">
      <c r="A302" t="str">
        <f t="shared" si="5"/>
        <v>GE 472,ED4-GEOM</v>
      </c>
      <c r="B302" t="s">
        <v>1234</v>
      </c>
      <c r="C302" t="str">
        <v>Land Law And Registration</v>
      </c>
      <c r="D302">
        <v>107</v>
      </c>
      <c r="E302" t="s">
        <v>194</v>
      </c>
      <c r="F302" t="s">
        <v>284</v>
      </c>
    </row>
    <row r="303" spans="1:6" x14ac:dyDescent="0.3">
      <c r="A303" t="str">
        <f t="shared" si="5"/>
        <v>GE 474,ED4-GEOM</v>
      </c>
      <c r="B303" t="s">
        <v>1235</v>
      </c>
      <c r="C303" t="str">
        <v>Principles Of Valuation Of Land And Building</v>
      </c>
      <c r="D303">
        <v>107</v>
      </c>
      <c r="E303" t="s">
        <v>194</v>
      </c>
      <c r="F303" t="s">
        <v>471</v>
      </c>
    </row>
    <row r="304" spans="1:6" x14ac:dyDescent="0.3">
      <c r="A304" t="str">
        <f t="shared" si="5"/>
        <v>GE 476,ED4-GEOM</v>
      </c>
      <c r="B304" t="s">
        <v>1236</v>
      </c>
      <c r="C304" t="str">
        <v>Professional Studies And Development</v>
      </c>
      <c r="D304">
        <v>107</v>
      </c>
      <c r="E304" t="s">
        <v>194</v>
      </c>
      <c r="F304" t="s">
        <v>341</v>
      </c>
    </row>
    <row r="305" spans="1:6" x14ac:dyDescent="0.3">
      <c r="A305" t="str">
        <f t="shared" si="5"/>
        <v>EE 152,ED1-IND</v>
      </c>
      <c r="B305" t="s">
        <v>990</v>
      </c>
      <c r="C305" t="str">
        <v>Basic Electronics</v>
      </c>
      <c r="D305">
        <v>88</v>
      </c>
      <c r="E305" t="s">
        <v>111</v>
      </c>
      <c r="F305" t="s">
        <v>234</v>
      </c>
    </row>
    <row r="306" spans="1:6" x14ac:dyDescent="0.3">
      <c r="A306" t="str">
        <f t="shared" si="5"/>
        <v>ENGL 158,ED1-IND</v>
      </c>
      <c r="B306" t="s">
        <v>991</v>
      </c>
      <c r="C306" t="str">
        <v>Communication Skills II</v>
      </c>
      <c r="D306">
        <v>88</v>
      </c>
      <c r="E306" t="s">
        <v>111</v>
      </c>
      <c r="F306" t="s">
        <v>364</v>
      </c>
    </row>
    <row r="307" spans="1:6" x14ac:dyDescent="0.3">
      <c r="A307" t="str">
        <f t="shared" si="5"/>
        <v>IE 174,ED1-IND</v>
      </c>
      <c r="B307" t="s">
        <v>1237</v>
      </c>
      <c r="C307" t="str">
        <v>First Year Design Project</v>
      </c>
      <c r="D307">
        <v>88</v>
      </c>
      <c r="E307" t="s">
        <v>111</v>
      </c>
      <c r="F307" t="s">
        <v>484</v>
      </c>
    </row>
    <row r="308" spans="1:6" x14ac:dyDescent="0.3">
      <c r="A308" t="str">
        <f t="shared" si="5"/>
        <v>MATH 152,ED1-IND</v>
      </c>
      <c r="B308" t="s">
        <v>992</v>
      </c>
      <c r="C308" t="str">
        <v>Calculus With Analysis</v>
      </c>
      <c r="D308">
        <v>88</v>
      </c>
      <c r="E308" t="s">
        <v>111</v>
      </c>
      <c r="F308" t="s">
        <v>129</v>
      </c>
    </row>
    <row r="309" spans="1:6" x14ac:dyDescent="0.3">
      <c r="A309" t="str">
        <f t="shared" si="5"/>
        <v>ME 160,ED1-IND</v>
      </c>
      <c r="B309" t="s">
        <v>993</v>
      </c>
      <c r="C309" t="str">
        <v>Engineering Drawing</v>
      </c>
      <c r="D309">
        <v>88</v>
      </c>
      <c r="E309" t="s">
        <v>111</v>
      </c>
      <c r="F309" t="s">
        <v>160</v>
      </c>
    </row>
    <row r="310" spans="1:6" x14ac:dyDescent="0.3">
      <c r="A310" t="str">
        <f t="shared" si="5"/>
        <v>ME 164,ED1-IND</v>
      </c>
      <c r="B310" t="s">
        <v>1238</v>
      </c>
      <c r="C310" t="str">
        <v>Statics Of Solid Mechanics</v>
      </c>
      <c r="D310">
        <v>88</v>
      </c>
      <c r="E310" t="s">
        <v>111</v>
      </c>
      <c r="F310" t="s">
        <v>268</v>
      </c>
    </row>
    <row r="311" spans="1:6" x14ac:dyDescent="0.3">
      <c r="A311" t="str">
        <f t="shared" si="5"/>
        <v>ME 168,ED1-IND</v>
      </c>
      <c r="B311" t="s">
        <v>1019</v>
      </c>
      <c r="C311" t="str">
        <v>Computer Programming For Engineers</v>
      </c>
      <c r="D311">
        <v>88</v>
      </c>
      <c r="E311" t="s">
        <v>111</v>
      </c>
      <c r="F311" t="s">
        <v>110</v>
      </c>
    </row>
    <row r="312" spans="1:6" x14ac:dyDescent="0.3">
      <c r="A312" t="str">
        <f t="shared" si="5"/>
        <v>ENGL 264,ED2-IND</v>
      </c>
      <c r="B312" t="s">
        <v>996</v>
      </c>
      <c r="C312" t="str">
        <v>Literature In English II</v>
      </c>
      <c r="D312">
        <v>72</v>
      </c>
      <c r="E312" t="s">
        <v>38</v>
      </c>
      <c r="F312" t="s">
        <v>276</v>
      </c>
    </row>
    <row r="313" spans="1:6" x14ac:dyDescent="0.3">
      <c r="A313" t="str">
        <f t="shared" si="5"/>
        <v>IE 296,ED2-IND</v>
      </c>
      <c r="B313" t="s">
        <v>1239</v>
      </c>
      <c r="C313" t="str">
        <v>Industrial Engineeging Laboratory II</v>
      </c>
      <c r="D313">
        <v>72</v>
      </c>
      <c r="E313" t="s">
        <v>38</v>
      </c>
      <c r="F313" t="s">
        <v>225</v>
      </c>
    </row>
    <row r="314" spans="1:6" x14ac:dyDescent="0.3">
      <c r="A314" t="str">
        <f t="shared" si="5"/>
        <v>MATH 252,ED2-IND</v>
      </c>
      <c r="B314" t="s">
        <v>998</v>
      </c>
      <c r="C314" t="str">
        <v>Calculus With Several Variables</v>
      </c>
      <c r="D314">
        <v>72</v>
      </c>
      <c r="E314" t="s">
        <v>38</v>
      </c>
      <c r="F314" t="s">
        <v>281</v>
      </c>
    </row>
    <row r="315" spans="1:6" x14ac:dyDescent="0.3">
      <c r="A315" t="str">
        <f t="shared" si="5"/>
        <v>ME 252,ED2-IND</v>
      </c>
      <c r="B315" t="s">
        <v>1051</v>
      </c>
      <c r="C315" t="str">
        <v>Fluid Dynamics I</v>
      </c>
      <c r="D315">
        <v>72</v>
      </c>
      <c r="E315" t="s">
        <v>38</v>
      </c>
      <c r="F315" t="s">
        <v>394</v>
      </c>
    </row>
    <row r="316" spans="1:6" x14ac:dyDescent="0.3">
      <c r="A316" t="str">
        <f t="shared" si="5"/>
        <v>ME 264,ED2-IND</v>
      </c>
      <c r="B316" t="s">
        <v>1023</v>
      </c>
      <c r="C316" t="str">
        <v>Mechanisms Synthesis And Analysis I</v>
      </c>
      <c r="D316">
        <v>72</v>
      </c>
      <c r="E316" t="s">
        <v>38</v>
      </c>
      <c r="F316" t="s">
        <v>151</v>
      </c>
    </row>
    <row r="317" spans="1:6" x14ac:dyDescent="0.3">
      <c r="A317" t="str">
        <f t="shared" si="5"/>
        <v>ME 266,ED2-IND</v>
      </c>
      <c r="B317" t="s">
        <v>1024</v>
      </c>
      <c r="C317" t="str">
        <v>Thermodynamics I</v>
      </c>
      <c r="D317">
        <v>72</v>
      </c>
      <c r="E317" t="s">
        <v>38</v>
      </c>
      <c r="F317" t="s">
        <v>420</v>
      </c>
    </row>
    <row r="318" spans="1:6" x14ac:dyDescent="0.3">
      <c r="A318" t="str">
        <f t="shared" si="5"/>
        <v>IE 274,ED2-IND</v>
      </c>
      <c r="B318" t="s">
        <v>1240</v>
      </c>
      <c r="C318" t="str">
        <v>Second Year Design Project</v>
      </c>
      <c r="D318">
        <v>72</v>
      </c>
      <c r="E318" t="s">
        <v>38</v>
      </c>
      <c r="F318" t="s">
        <v>37</v>
      </c>
    </row>
    <row r="319" spans="1:6" x14ac:dyDescent="0.3">
      <c r="A319" t="str">
        <f t="shared" si="5"/>
        <v>ME 270,ED2-IND</v>
      </c>
      <c r="B319" t="s">
        <v>1052</v>
      </c>
      <c r="C319" t="str">
        <v>Manufacturing Technology</v>
      </c>
      <c r="D319">
        <v>72</v>
      </c>
      <c r="E319" t="s">
        <v>38</v>
      </c>
      <c r="F319" t="s">
        <v>337</v>
      </c>
    </row>
    <row r="320" spans="1:6" x14ac:dyDescent="0.3">
      <c r="A320" t="str">
        <f t="shared" si="5"/>
        <v>IE 354,ED3-IND</v>
      </c>
      <c r="B320" t="s">
        <v>1241</v>
      </c>
      <c r="C320" t="str">
        <v>Logistics And Supply Chain Engineering</v>
      </c>
      <c r="D320">
        <v>70</v>
      </c>
      <c r="E320" t="s">
        <v>121</v>
      </c>
      <c r="F320" t="s">
        <v>482</v>
      </c>
    </row>
    <row r="321" spans="1:6" x14ac:dyDescent="0.3">
      <c r="A321" t="str">
        <f t="shared" si="5"/>
        <v>IE 356,ED3-IND</v>
      </c>
      <c r="B321" t="s">
        <v>1242</v>
      </c>
      <c r="C321" t="str">
        <v>Reliability Engineering</v>
      </c>
      <c r="D321">
        <v>70</v>
      </c>
      <c r="E321" t="s">
        <v>121</v>
      </c>
      <c r="F321" t="s">
        <v>444</v>
      </c>
    </row>
    <row r="322" spans="1:6" x14ac:dyDescent="0.3">
      <c r="A322" t="str">
        <f t="shared" si="5"/>
        <v>IE 358,ED3-IND</v>
      </c>
      <c r="B322" t="s">
        <v>1243</v>
      </c>
      <c r="C322" t="str">
        <v>Computer-Aided Design And Manufacturing</v>
      </c>
      <c r="D322">
        <v>70</v>
      </c>
      <c r="E322" t="s">
        <v>121</v>
      </c>
      <c r="F322" t="s">
        <v>265</v>
      </c>
    </row>
    <row r="323" spans="1:6" x14ac:dyDescent="0.3">
      <c r="A323" t="str">
        <f t="shared" si="5"/>
        <v>IE 360,ED3-IND</v>
      </c>
      <c r="B323" t="s">
        <v>1244</v>
      </c>
      <c r="C323" t="str">
        <v>Quality Assurance</v>
      </c>
      <c r="D323">
        <v>70</v>
      </c>
      <c r="E323" t="s">
        <v>121</v>
      </c>
      <c r="F323" t="s">
        <v>402</v>
      </c>
    </row>
    <row r="324" spans="1:6" x14ac:dyDescent="0.3">
      <c r="A324" t="str">
        <f t="shared" si="5"/>
        <v>IE 362,ED3-IND</v>
      </c>
      <c r="B324" t="s">
        <v>1245</v>
      </c>
      <c r="C324" t="str">
        <v>Industrial Engineering Lab III</v>
      </c>
      <c r="D324">
        <v>70</v>
      </c>
      <c r="E324" t="s">
        <v>121</v>
      </c>
      <c r="F324" t="s">
        <v>229</v>
      </c>
    </row>
    <row r="325" spans="1:6" x14ac:dyDescent="0.3">
      <c r="A325" t="str">
        <f t="shared" si="5"/>
        <v>IE 366,ED3-IND</v>
      </c>
      <c r="B325" t="s">
        <v>1246</v>
      </c>
      <c r="C325" t="str">
        <v>Advanced Manufacturing Technology I</v>
      </c>
      <c r="D325">
        <v>70</v>
      </c>
      <c r="E325" t="s">
        <v>121</v>
      </c>
      <c r="F325" t="s">
        <v>340</v>
      </c>
    </row>
    <row r="326" spans="1:6" x14ac:dyDescent="0.3">
      <c r="A326" t="str">
        <f t="shared" si="5"/>
        <v>IE 368,ED3-IND</v>
      </c>
      <c r="B326" t="s">
        <v>1247</v>
      </c>
      <c r="C326" t="str">
        <v>Operations Research II</v>
      </c>
      <c r="D326">
        <v>70</v>
      </c>
      <c r="E326" t="s">
        <v>121</v>
      </c>
      <c r="F326" t="s">
        <v>120</v>
      </c>
    </row>
    <row r="327" spans="1:6" x14ac:dyDescent="0.3">
      <c r="A327" t="str">
        <f t="shared" si="5"/>
        <v>IE 452,ED4-IND</v>
      </c>
      <c r="B327" t="s">
        <v>1248</v>
      </c>
      <c r="C327" t="str">
        <v>Automation And Production System</v>
      </c>
      <c r="D327">
        <v>121</v>
      </c>
      <c r="E327" t="s">
        <v>124</v>
      </c>
      <c r="F327" t="s">
        <v>123</v>
      </c>
    </row>
    <row r="328" spans="1:6" x14ac:dyDescent="0.3">
      <c r="A328" t="str">
        <f t="shared" si="5"/>
        <v>IE 454,ED4-IND</v>
      </c>
      <c r="B328" t="s">
        <v>1038</v>
      </c>
      <c r="C328" t="str">
        <v>Production Planning And Control</v>
      </c>
      <c r="D328">
        <v>121</v>
      </c>
      <c r="E328" t="s">
        <v>124</v>
      </c>
      <c r="F328" t="s">
        <v>508</v>
      </c>
    </row>
    <row r="329" spans="1:6" x14ac:dyDescent="0.3">
      <c r="A329" t="str">
        <f t="shared" si="5"/>
        <v>IE 456,ED4-IND</v>
      </c>
      <c r="B329" t="s">
        <v>1249</v>
      </c>
      <c r="C329" t="str">
        <v>Systems Integration</v>
      </c>
      <c r="D329">
        <v>121</v>
      </c>
      <c r="E329" t="s">
        <v>124</v>
      </c>
      <c r="F329" t="s">
        <v>216</v>
      </c>
    </row>
    <row r="330" spans="1:6" x14ac:dyDescent="0.3">
      <c r="A330" t="str">
        <f t="shared" si="5"/>
        <v>IE 458,ED4-IND</v>
      </c>
      <c r="B330" t="s">
        <v>1041</v>
      </c>
      <c r="C330" t="str">
        <v>Human Factors And Ergonomics</v>
      </c>
      <c r="D330">
        <v>121</v>
      </c>
      <c r="E330" t="s">
        <v>124</v>
      </c>
      <c r="F330" t="s">
        <v>427</v>
      </c>
    </row>
    <row r="331" spans="1:6" x14ac:dyDescent="0.3">
      <c r="A331" t="str">
        <f t="shared" si="5"/>
        <v>ME 492,ED4-IND</v>
      </c>
      <c r="B331" t="s">
        <v>1250</v>
      </c>
      <c r="C331" t="str">
        <v>Management And Entrepreneurship Development</v>
      </c>
      <c r="D331">
        <v>121</v>
      </c>
      <c r="E331" t="s">
        <v>124</v>
      </c>
      <c r="F331" t="s">
        <v>373</v>
      </c>
    </row>
    <row r="332" spans="1:6" x14ac:dyDescent="0.3">
      <c r="A332" t="str">
        <f t="shared" si="5"/>
        <v>ME 494,ED4-IND</v>
      </c>
      <c r="B332" t="s">
        <v>1251</v>
      </c>
      <c r="C332" t="str">
        <v xml:space="preserve">Maintenance Engineering </v>
      </c>
      <c r="D332">
        <v>121</v>
      </c>
      <c r="E332" t="s">
        <v>124</v>
      </c>
      <c r="F332" t="s">
        <v>293</v>
      </c>
    </row>
    <row r="333" spans="1:6" x14ac:dyDescent="0.3">
      <c r="A333" t="str">
        <f t="shared" si="5"/>
        <v>EE 152,ED1-MARI</v>
      </c>
      <c r="B333" t="s">
        <v>990</v>
      </c>
      <c r="C333" t="str">
        <v>Basic Electronics</v>
      </c>
      <c r="D333">
        <v>37</v>
      </c>
      <c r="E333" t="s">
        <v>112</v>
      </c>
      <c r="F333" t="s">
        <v>234</v>
      </c>
    </row>
    <row r="334" spans="1:6" x14ac:dyDescent="0.3">
      <c r="A334" t="str">
        <f t="shared" si="5"/>
        <v>ENGL 158,ED1-MARI</v>
      </c>
      <c r="B334" t="s">
        <v>991</v>
      </c>
      <c r="C334" t="str">
        <v>Communication Skills II</v>
      </c>
      <c r="D334">
        <v>37</v>
      </c>
      <c r="E334" t="s">
        <v>112</v>
      </c>
      <c r="F334" t="s">
        <v>364</v>
      </c>
    </row>
    <row r="335" spans="1:6" x14ac:dyDescent="0.3">
      <c r="A335" t="str">
        <f t="shared" si="5"/>
        <v>FC 182,ED1-MARI</v>
      </c>
      <c r="B335" t="s">
        <v>1085</v>
      </c>
      <c r="C335" t="str">
        <v>French For Communication II</v>
      </c>
      <c r="D335">
        <v>37</v>
      </c>
      <c r="E335" t="s">
        <v>112</v>
      </c>
      <c r="F335" t="s">
        <v>245</v>
      </c>
    </row>
    <row r="336" spans="1:6" x14ac:dyDescent="0.3">
      <c r="A336" t="str">
        <f t="shared" si="5"/>
        <v>MATH 152,ED1-MARI</v>
      </c>
      <c r="B336" t="s">
        <v>992</v>
      </c>
      <c r="C336" t="str">
        <v>Calculus With Analysis</v>
      </c>
      <c r="D336">
        <v>37</v>
      </c>
      <c r="E336" t="s">
        <v>112</v>
      </c>
      <c r="F336" t="s">
        <v>129</v>
      </c>
    </row>
    <row r="337" spans="1:6" x14ac:dyDescent="0.3">
      <c r="A337" t="str">
        <f t="shared" si="5"/>
        <v>ME 160,ED1-MARI</v>
      </c>
      <c r="B337" t="s">
        <v>993</v>
      </c>
      <c r="C337" t="str">
        <v>Engineering Drawing</v>
      </c>
      <c r="D337">
        <v>37</v>
      </c>
      <c r="E337" t="s">
        <v>112</v>
      </c>
      <c r="F337" t="s">
        <v>160</v>
      </c>
    </row>
    <row r="338" spans="1:6" x14ac:dyDescent="0.3">
      <c r="A338" t="str">
        <f t="shared" si="5"/>
        <v>ME 164,ED1-MARI</v>
      </c>
      <c r="B338" t="s">
        <v>1238</v>
      </c>
      <c r="C338" t="str">
        <v>Statics Of Solid Mechanics</v>
      </c>
      <c r="D338">
        <v>37</v>
      </c>
      <c r="E338" t="s">
        <v>112</v>
      </c>
      <c r="F338" t="s">
        <v>268</v>
      </c>
    </row>
    <row r="339" spans="1:6" x14ac:dyDescent="0.3">
      <c r="A339" t="str">
        <f t="shared" si="5"/>
        <v>ME 168,ED1-MARI</v>
      </c>
      <c r="B339" t="s">
        <v>1019</v>
      </c>
      <c r="C339" t="str">
        <v>Computer Programming For Engineers</v>
      </c>
      <c r="D339">
        <v>37</v>
      </c>
      <c r="E339" t="s">
        <v>112</v>
      </c>
      <c r="F339" t="s">
        <v>110</v>
      </c>
    </row>
    <row r="340" spans="1:6" x14ac:dyDescent="0.3">
      <c r="A340" t="str">
        <f t="shared" si="5"/>
        <v>MME 174,ED1-MARI</v>
      </c>
      <c r="B340" t="s">
        <v>1252</v>
      </c>
      <c r="C340" t="str">
        <v>Marine Engineering Design Project I</v>
      </c>
      <c r="D340">
        <v>37</v>
      </c>
      <c r="E340" t="s">
        <v>112</v>
      </c>
      <c r="F340" t="s">
        <v>485</v>
      </c>
    </row>
    <row r="341" spans="1:6" x14ac:dyDescent="0.3">
      <c r="A341" t="str">
        <f t="shared" si="5"/>
        <v>MATH 252,ED2-MARI</v>
      </c>
      <c r="B341" t="s">
        <v>998</v>
      </c>
      <c r="C341" t="str">
        <v>Calculus With Several Variables</v>
      </c>
      <c r="D341">
        <v>41</v>
      </c>
      <c r="E341" t="s">
        <v>42</v>
      </c>
      <c r="F341" t="s">
        <v>281</v>
      </c>
    </row>
    <row r="342" spans="1:6" x14ac:dyDescent="0.3">
      <c r="A342" t="str">
        <f t="shared" si="5"/>
        <v>ME 252,ED2-MARI</v>
      </c>
      <c r="B342" t="s">
        <v>1051</v>
      </c>
      <c r="C342" t="str">
        <v>Fluid Dynamics I</v>
      </c>
      <c r="D342">
        <v>41</v>
      </c>
      <c r="E342" t="s">
        <v>42</v>
      </c>
      <c r="F342" t="s">
        <v>394</v>
      </c>
    </row>
    <row r="343" spans="1:6" x14ac:dyDescent="0.3">
      <c r="A343" t="str">
        <f t="shared" si="5"/>
        <v>ME 270,ED2-MARI</v>
      </c>
      <c r="B343" t="s">
        <v>1052</v>
      </c>
      <c r="C343" t="str">
        <v>Manufacturing Technology</v>
      </c>
      <c r="D343">
        <v>41</v>
      </c>
      <c r="E343" t="s">
        <v>42</v>
      </c>
      <c r="F343" t="s">
        <v>337</v>
      </c>
    </row>
    <row r="344" spans="1:6" x14ac:dyDescent="0.3">
      <c r="A344" t="str">
        <f t="shared" si="5"/>
        <v>MME 264,ED2-MARI</v>
      </c>
      <c r="B344" t="s">
        <v>1253</v>
      </c>
      <c r="C344" t="str">
        <v>Marine Mechanisms, Systhesis And Analysis</v>
      </c>
      <c r="D344">
        <v>41</v>
      </c>
      <c r="E344" t="s">
        <v>42</v>
      </c>
      <c r="F344" t="s">
        <v>152</v>
      </c>
    </row>
    <row r="345" spans="1:6" x14ac:dyDescent="0.3">
      <c r="A345" t="str">
        <f t="shared" si="5"/>
        <v>MME 274,ED2-MARI</v>
      </c>
      <c r="B345" t="s">
        <v>1254</v>
      </c>
      <c r="C345" t="str">
        <v>Marine Engineering Design Project II</v>
      </c>
      <c r="D345">
        <v>41</v>
      </c>
      <c r="E345" t="s">
        <v>42</v>
      </c>
      <c r="F345" t="s">
        <v>41</v>
      </c>
    </row>
    <row r="346" spans="1:6" x14ac:dyDescent="0.3">
      <c r="A346" t="str">
        <f t="shared" si="5"/>
        <v>MME 292,ED2-MARI</v>
      </c>
      <c r="B346" t="s">
        <v>1255</v>
      </c>
      <c r="C346" t="str">
        <v>Seamanship</v>
      </c>
      <c r="D346">
        <v>41</v>
      </c>
      <c r="E346" t="s">
        <v>42</v>
      </c>
      <c r="F346" t="s">
        <v>84</v>
      </c>
    </row>
    <row r="347" spans="1:6" x14ac:dyDescent="0.3">
      <c r="A347" t="str">
        <f t="shared" si="5"/>
        <v>MME 296,ED2-MARI</v>
      </c>
      <c r="B347" t="s">
        <v>1256</v>
      </c>
      <c r="C347" t="str">
        <v>Marine Engineering Laboratory II</v>
      </c>
      <c r="D347">
        <v>41</v>
      </c>
      <c r="E347" t="s">
        <v>42</v>
      </c>
      <c r="F347" t="s">
        <v>230</v>
      </c>
    </row>
    <row r="348" spans="1:6" x14ac:dyDescent="0.3">
      <c r="A348" t="str">
        <f t="shared" si="5"/>
        <v>SES 172,ED2-MARI</v>
      </c>
      <c r="B348" t="s">
        <v>1257</v>
      </c>
      <c r="C348" t="str">
        <v>Aquatic Strokes Development And Refinement</v>
      </c>
      <c r="D348">
        <v>41</v>
      </c>
      <c r="E348" t="s">
        <v>42</v>
      </c>
      <c r="F348" t="s">
        <v>456</v>
      </c>
    </row>
    <row r="349" spans="1:6" x14ac:dyDescent="0.3">
      <c r="A349" t="str">
        <f t="shared" si="5"/>
        <v>ME 352,ED3-MARI</v>
      </c>
      <c r="B349" t="s">
        <v>1258</v>
      </c>
      <c r="C349" t="str">
        <v>Fluid Dynamics II</v>
      </c>
      <c r="D349">
        <v>23</v>
      </c>
      <c r="E349" t="s">
        <v>86</v>
      </c>
      <c r="F349" t="s">
        <v>174</v>
      </c>
    </row>
    <row r="350" spans="1:6" x14ac:dyDescent="0.3">
      <c r="A350" t="str">
        <f t="shared" si="5"/>
        <v>ME 362,ED3-MARI</v>
      </c>
      <c r="B350" t="s">
        <v>1029</v>
      </c>
      <c r="C350" t="str">
        <v>Vibrations I</v>
      </c>
      <c r="D350">
        <v>23</v>
      </c>
      <c r="E350" t="s">
        <v>86</v>
      </c>
      <c r="F350" t="s">
        <v>519</v>
      </c>
    </row>
    <row r="351" spans="1:6" x14ac:dyDescent="0.3">
      <c r="A351" t="str">
        <f t="shared" si="5"/>
        <v>ME 366,ED3-MARI</v>
      </c>
      <c r="B351" t="s">
        <v>1007</v>
      </c>
      <c r="C351" t="str">
        <v>Heat Transfer</v>
      </c>
      <c r="D351">
        <v>23</v>
      </c>
      <c r="E351" t="s">
        <v>86</v>
      </c>
      <c r="F351" t="s">
        <v>347</v>
      </c>
    </row>
    <row r="352" spans="1:6" x14ac:dyDescent="0.3">
      <c r="A352" t="str">
        <f t="shared" si="5"/>
        <v>MME 356,ED3-MARI</v>
      </c>
      <c r="B352" t="s">
        <v>1259</v>
      </c>
      <c r="C352" t="str">
        <v>Strength Of Marine Materials II</v>
      </c>
      <c r="D352">
        <v>23</v>
      </c>
      <c r="E352" t="s">
        <v>86</v>
      </c>
      <c r="F352" t="s">
        <v>380</v>
      </c>
    </row>
    <row r="353" spans="1:6" x14ac:dyDescent="0.3">
      <c r="A353" t="str">
        <f t="shared" si="5"/>
        <v>MME 382,ED3-MARI</v>
      </c>
      <c r="B353" t="s">
        <v>1260</v>
      </c>
      <c r="C353" t="str">
        <v>Naval Architecture I</v>
      </c>
      <c r="D353">
        <v>23</v>
      </c>
      <c r="E353" t="s">
        <v>86</v>
      </c>
      <c r="F353" t="s">
        <v>304</v>
      </c>
    </row>
    <row r="354" spans="1:6" x14ac:dyDescent="0.3">
      <c r="A354" t="str">
        <f t="shared" si="5"/>
        <v>MME 386,ED3-MARI</v>
      </c>
      <c r="B354" t="s">
        <v>1261</v>
      </c>
      <c r="C354" t="str">
        <v>Marine Electrical Technology And Electrical Measurements</v>
      </c>
      <c r="D354">
        <v>23</v>
      </c>
      <c r="E354" t="s">
        <v>86</v>
      </c>
      <c r="F354" t="s">
        <v>440</v>
      </c>
    </row>
    <row r="355" spans="1:6" x14ac:dyDescent="0.3">
      <c r="A355" t="str">
        <f t="shared" si="5"/>
        <v>MME 392,ED3-MARI</v>
      </c>
      <c r="B355" t="s">
        <v>1262</v>
      </c>
      <c r="C355" t="str">
        <v>Marine Industrial Engineering And Ergonomics</v>
      </c>
      <c r="D355">
        <v>23</v>
      </c>
      <c r="E355" t="s">
        <v>86</v>
      </c>
      <c r="F355" t="s">
        <v>238</v>
      </c>
    </row>
    <row r="356" spans="1:6" x14ac:dyDescent="0.3">
      <c r="A356" t="str">
        <f t="shared" si="5"/>
        <v>MME 396,ED3-MARI</v>
      </c>
      <c r="B356" t="s">
        <v>1263</v>
      </c>
      <c r="C356" t="str">
        <v>Marine Engineering Laboratory III</v>
      </c>
      <c r="D356">
        <v>23</v>
      </c>
      <c r="E356" t="s">
        <v>86</v>
      </c>
      <c r="F356" t="s">
        <v>85</v>
      </c>
    </row>
    <row r="357" spans="1:6" x14ac:dyDescent="0.3">
      <c r="A357" t="str">
        <f t="shared" si="5"/>
        <v>MME 462,ED4-MARI</v>
      </c>
      <c r="B357" t="s">
        <v>1264</v>
      </c>
      <c r="C357" t="str">
        <v>Marine Control Engineering And Automation</v>
      </c>
      <c r="D357">
        <v>68</v>
      </c>
      <c r="E357" t="s">
        <v>69</v>
      </c>
      <c r="F357" t="s">
        <v>164</v>
      </c>
    </row>
    <row r="358" spans="1:6" x14ac:dyDescent="0.3">
      <c r="A358" t="str">
        <f t="shared" si="5"/>
        <v>MME 476,ED4-MARI</v>
      </c>
      <c r="B358" t="s">
        <v>1265</v>
      </c>
      <c r="C358" t="str">
        <v>Ship Construction</v>
      </c>
      <c r="D358">
        <v>68</v>
      </c>
      <c r="E358" t="s">
        <v>69</v>
      </c>
      <c r="F358" t="s">
        <v>449</v>
      </c>
    </row>
    <row r="359" spans="1:6" x14ac:dyDescent="0.3">
      <c r="A359" t="str">
        <f t="shared" si="5"/>
        <v>MME 482,ED4-MARI</v>
      </c>
      <c r="B359" t="s">
        <v>1266</v>
      </c>
      <c r="C359" t="str">
        <v>Naval Architecture II</v>
      </c>
      <c r="D359">
        <v>68</v>
      </c>
      <c r="E359" t="s">
        <v>69</v>
      </c>
      <c r="F359" t="s">
        <v>68</v>
      </c>
    </row>
    <row r="360" spans="1:6" x14ac:dyDescent="0.3">
      <c r="A360" t="str">
        <f t="shared" si="5"/>
        <v>MME 486,ED4-MARI</v>
      </c>
      <c r="B360" t="s">
        <v>1267</v>
      </c>
      <c r="C360" t="str">
        <v>Ship Safety, Environmental Protection And Safe Watch Keeping</v>
      </c>
      <c r="D360">
        <v>68</v>
      </c>
      <c r="E360" t="s">
        <v>69</v>
      </c>
      <c r="F360" t="s">
        <v>228</v>
      </c>
    </row>
    <row r="361" spans="1:6" x14ac:dyDescent="0.3">
      <c r="A361" t="str">
        <f t="shared" ref="A361:A424" si="6">CONCATENATE(F361,",",E361)</f>
        <v>MME 492,ED4-MARI</v>
      </c>
      <c r="B361" t="s">
        <v>1268</v>
      </c>
      <c r="C361" t="str">
        <v>Ship Operation, Regulation And Management</v>
      </c>
      <c r="D361">
        <v>68</v>
      </c>
      <c r="E361" t="s">
        <v>69</v>
      </c>
      <c r="F361" t="s">
        <v>506</v>
      </c>
    </row>
    <row r="362" spans="1:6" x14ac:dyDescent="0.3">
      <c r="A362" t="str">
        <f t="shared" si="6"/>
        <v>MME 494,ED4-MARI</v>
      </c>
      <c r="B362" t="s">
        <v>1269</v>
      </c>
      <c r="C362" t="str">
        <v>Marine Maintenance Engineering</v>
      </c>
      <c r="D362">
        <v>68</v>
      </c>
      <c r="E362" t="s">
        <v>69</v>
      </c>
      <c r="F362" t="s">
        <v>292</v>
      </c>
    </row>
    <row r="363" spans="1:6" x14ac:dyDescent="0.3">
      <c r="A363" t="str">
        <f t="shared" si="6"/>
        <v>METE 154,ED1-MSE</v>
      </c>
      <c r="B363" t="s">
        <v>1270</v>
      </c>
      <c r="C363" t="str">
        <v>Environmental Science</v>
      </c>
      <c r="D363">
        <v>85</v>
      </c>
      <c r="E363" t="s">
        <v>115</v>
      </c>
      <c r="F363" t="s">
        <v>500</v>
      </c>
    </row>
    <row r="364" spans="1:6" x14ac:dyDescent="0.3">
      <c r="A364" t="str">
        <f t="shared" si="6"/>
        <v>ENGL 158,ED1-MSE</v>
      </c>
      <c r="B364" t="s">
        <v>991</v>
      </c>
      <c r="C364" t="str">
        <v>Communication Skills II</v>
      </c>
      <c r="D364">
        <v>85</v>
      </c>
      <c r="E364" t="s">
        <v>115</v>
      </c>
      <c r="F364" t="s">
        <v>364</v>
      </c>
    </row>
    <row r="365" spans="1:6" x14ac:dyDescent="0.3">
      <c r="A365" t="str">
        <f t="shared" si="6"/>
        <v>MATH 152,ED1-MSE</v>
      </c>
      <c r="B365" t="s">
        <v>992</v>
      </c>
      <c r="C365" t="str">
        <v>Calculus With Analysis</v>
      </c>
      <c r="D365">
        <v>85</v>
      </c>
      <c r="E365" t="s">
        <v>115</v>
      </c>
      <c r="F365" t="s">
        <v>129</v>
      </c>
    </row>
    <row r="366" spans="1:6" x14ac:dyDescent="0.3">
      <c r="A366" t="str">
        <f t="shared" si="6"/>
        <v>ME 160,ED1-MSE</v>
      </c>
      <c r="B366" t="s">
        <v>993</v>
      </c>
      <c r="C366" t="str">
        <v>Engineering Drawing</v>
      </c>
      <c r="D366">
        <v>85</v>
      </c>
      <c r="E366" t="s">
        <v>115</v>
      </c>
      <c r="F366" t="s">
        <v>160</v>
      </c>
    </row>
    <row r="367" spans="1:6" x14ac:dyDescent="0.3">
      <c r="A367" t="str">
        <f t="shared" si="6"/>
        <v>ME 162,ED1-MSE</v>
      </c>
      <c r="B367" t="s">
        <v>994</v>
      </c>
      <c r="C367" t="str">
        <v>Basic Mechanics</v>
      </c>
      <c r="D367">
        <v>85</v>
      </c>
      <c r="E367" t="s">
        <v>115</v>
      </c>
      <c r="F367" t="s">
        <v>392</v>
      </c>
    </row>
    <row r="368" spans="1:6" x14ac:dyDescent="0.3">
      <c r="A368" t="str">
        <f t="shared" si="6"/>
        <v>MSE 152,ED1-MSE</v>
      </c>
      <c r="B368" t="s">
        <v>1271</v>
      </c>
      <c r="C368" t="str">
        <v>Kinetics Of Chemical Reactions</v>
      </c>
      <c r="D368">
        <v>85</v>
      </c>
      <c r="E368" t="s">
        <v>115</v>
      </c>
      <c r="F368" t="s">
        <v>294</v>
      </c>
    </row>
    <row r="369" spans="1:6" x14ac:dyDescent="0.3">
      <c r="A369" t="str">
        <f t="shared" si="6"/>
        <v>MSE 154,ED1-MSE</v>
      </c>
      <c r="B369" t="s">
        <v>1272</v>
      </c>
      <c r="C369" t="str">
        <v>Optical and Thermal Behaviour of Materials</v>
      </c>
      <c r="D369">
        <v>85</v>
      </c>
      <c r="E369" t="s">
        <v>115</v>
      </c>
      <c r="F369" t="s">
        <v>113</v>
      </c>
    </row>
    <row r="370" spans="1:6" x14ac:dyDescent="0.3">
      <c r="A370" t="str">
        <f t="shared" si="6"/>
        <v>MATH 252,ED2-MSE</v>
      </c>
      <c r="B370" t="s">
        <v>998</v>
      </c>
      <c r="C370" t="str">
        <v>Calculus With Several Variables</v>
      </c>
      <c r="D370">
        <v>90</v>
      </c>
      <c r="E370" t="s">
        <v>210</v>
      </c>
      <c r="F370" t="s">
        <v>281</v>
      </c>
    </row>
    <row r="371" spans="1:6" x14ac:dyDescent="0.3">
      <c r="A371" t="str">
        <f t="shared" si="6"/>
        <v>MSE 252,ED2-MSE</v>
      </c>
      <c r="B371" t="s">
        <v>1273</v>
      </c>
      <c r="C371" t="str">
        <v>Heat And Mass Transport</v>
      </c>
      <c r="D371">
        <v>90</v>
      </c>
      <c r="E371" t="s">
        <v>210</v>
      </c>
      <c r="F371" t="s">
        <v>366</v>
      </c>
    </row>
    <row r="372" spans="1:6" x14ac:dyDescent="0.3">
      <c r="A372" t="str">
        <f t="shared" si="6"/>
        <v>MSE 254,ED2-MSE</v>
      </c>
      <c r="B372" t="s">
        <v>1274</v>
      </c>
      <c r="C372" t="str">
        <v>Materials Processing</v>
      </c>
      <c r="D372">
        <v>90</v>
      </c>
      <c r="E372" t="s">
        <v>210</v>
      </c>
      <c r="F372" t="s">
        <v>468</v>
      </c>
    </row>
    <row r="373" spans="1:6" x14ac:dyDescent="0.3">
      <c r="A373" t="str">
        <f t="shared" si="6"/>
        <v>MSE 256,ED2-MSE</v>
      </c>
      <c r="B373" t="s">
        <v>1270</v>
      </c>
      <c r="C373" t="str">
        <v>Environmental Science</v>
      </c>
      <c r="D373">
        <v>90</v>
      </c>
      <c r="E373" t="s">
        <v>210</v>
      </c>
      <c r="F373" t="s">
        <v>511</v>
      </c>
    </row>
    <row r="374" spans="1:6" x14ac:dyDescent="0.3">
      <c r="A374" t="str">
        <f t="shared" si="6"/>
        <v>MSE 258,ED2-MSE</v>
      </c>
      <c r="B374" t="s">
        <v>1275</v>
      </c>
      <c r="C374" t="str">
        <v>Physical Metallurgy Of Non-Ferrous Metals</v>
      </c>
      <c r="D374">
        <v>90</v>
      </c>
      <c r="E374" t="s">
        <v>210</v>
      </c>
      <c r="F374" t="s">
        <v>1276</v>
      </c>
    </row>
    <row r="375" spans="1:6" x14ac:dyDescent="0.3">
      <c r="A375" t="str">
        <f t="shared" si="6"/>
        <v>MSE 260,ED2-MSE</v>
      </c>
      <c r="B375" t="s">
        <v>1277</v>
      </c>
      <c r="C375" t="str">
        <v>Phase Transformations</v>
      </c>
      <c r="D375">
        <v>90</v>
      </c>
      <c r="E375" t="s">
        <v>210</v>
      </c>
      <c r="F375" t="s">
        <v>253</v>
      </c>
    </row>
    <row r="376" spans="1:6" x14ac:dyDescent="0.3">
      <c r="A376" t="str">
        <f t="shared" si="6"/>
        <v>MSE 262,ED2-MSE</v>
      </c>
      <c r="B376" t="s">
        <v>1278</v>
      </c>
      <c r="C376" t="str">
        <v>Computer Programming And Application</v>
      </c>
      <c r="D376">
        <v>90</v>
      </c>
      <c r="E376" t="s">
        <v>210</v>
      </c>
      <c r="F376" t="s">
        <v>209</v>
      </c>
    </row>
    <row r="377" spans="1:6" x14ac:dyDescent="0.3">
      <c r="A377" t="str">
        <f t="shared" si="6"/>
        <v>MSE 352,ED3-MSE</v>
      </c>
      <c r="B377" t="s">
        <v>1279</v>
      </c>
      <c r="C377" t="str">
        <v>Glass And Cement Technologies</v>
      </c>
      <c r="D377">
        <v>65</v>
      </c>
      <c r="E377" t="s">
        <v>140</v>
      </c>
      <c r="F377" t="s">
        <v>414</v>
      </c>
    </row>
    <row r="378" spans="1:6" x14ac:dyDescent="0.3">
      <c r="A378" t="str">
        <f t="shared" si="6"/>
        <v>MSE 354,ED3-MSE</v>
      </c>
      <c r="B378" t="s">
        <v>1280</v>
      </c>
      <c r="C378" t="str">
        <v>Physical Metallurgy Of Ferrous Metals</v>
      </c>
      <c r="D378">
        <v>65</v>
      </c>
      <c r="E378" t="s">
        <v>140</v>
      </c>
      <c r="F378" t="s">
        <v>207</v>
      </c>
    </row>
    <row r="379" spans="1:6" x14ac:dyDescent="0.3">
      <c r="A379" t="str">
        <f t="shared" si="6"/>
        <v>MSE 356,ED3-MSE</v>
      </c>
      <c r="B379" t="s">
        <v>1281</v>
      </c>
      <c r="C379" t="str">
        <v>Engineering Properties Of Polymers</v>
      </c>
      <c r="D379">
        <v>65</v>
      </c>
      <c r="E379" t="s">
        <v>140</v>
      </c>
      <c r="F379" t="s">
        <v>271</v>
      </c>
    </row>
    <row r="380" spans="1:6" x14ac:dyDescent="0.3">
      <c r="A380" t="str">
        <f t="shared" si="6"/>
        <v>MSE 358,ED3-MSE</v>
      </c>
      <c r="B380" t="s">
        <v>1282</v>
      </c>
      <c r="C380" t="str">
        <v>Numerical Methods For Engineers</v>
      </c>
      <c r="D380">
        <v>65</v>
      </c>
      <c r="E380" t="s">
        <v>140</v>
      </c>
      <c r="F380" t="s">
        <v>499</v>
      </c>
    </row>
    <row r="381" spans="1:6" x14ac:dyDescent="0.3">
      <c r="A381" t="str">
        <f t="shared" si="6"/>
        <v>MSE 360,ED3-MSE</v>
      </c>
      <c r="B381" t="s">
        <v>1283</v>
      </c>
      <c r="C381" t="str">
        <v>Mechanics Of Materials</v>
      </c>
      <c r="D381">
        <v>65</v>
      </c>
      <c r="E381" t="s">
        <v>140</v>
      </c>
      <c r="F381" t="s">
        <v>383</v>
      </c>
    </row>
    <row r="382" spans="1:6" x14ac:dyDescent="0.3">
      <c r="A382" t="str">
        <f t="shared" si="6"/>
        <v>MSE 362,ED3-MSE</v>
      </c>
      <c r="B382" t="s">
        <v>1284</v>
      </c>
      <c r="C382" t="str">
        <v>Materials Joining Processes</v>
      </c>
      <c r="D382">
        <v>65</v>
      </c>
      <c r="E382" t="s">
        <v>140</v>
      </c>
      <c r="F382" t="s">
        <v>321</v>
      </c>
    </row>
    <row r="383" spans="1:6" x14ac:dyDescent="0.3">
      <c r="A383" t="str">
        <f t="shared" si="6"/>
        <v>MSE 364,ED3-MSE</v>
      </c>
      <c r="B383" t="s">
        <v>1285</v>
      </c>
      <c r="C383" t="str">
        <v>Materials Characterization Laboratory</v>
      </c>
      <c r="D383">
        <v>65</v>
      </c>
      <c r="E383" t="s">
        <v>140</v>
      </c>
      <c r="F383" t="s">
        <v>139</v>
      </c>
    </row>
    <row r="384" spans="1:6" x14ac:dyDescent="0.3">
      <c r="A384" t="str">
        <f t="shared" si="6"/>
        <v>MSE 396,ED3-MSE</v>
      </c>
      <c r="B384" t="s">
        <v>1286</v>
      </c>
      <c r="C384" t="str">
        <v>Third Year Design Project</v>
      </c>
      <c r="D384">
        <v>65</v>
      </c>
      <c r="E384" t="s">
        <v>140</v>
      </c>
      <c r="F384" t="s">
        <v>1287</v>
      </c>
    </row>
    <row r="385" spans="1:6" x14ac:dyDescent="0.3">
      <c r="A385" t="str">
        <f t="shared" si="6"/>
        <v>ME 492,ED4-MSE</v>
      </c>
      <c r="B385" t="s">
        <v>1015</v>
      </c>
      <c r="C385" t="str">
        <v>Management And Entrepreneurship Development</v>
      </c>
      <c r="D385">
        <v>115</v>
      </c>
      <c r="E385" t="s">
        <v>135</v>
      </c>
      <c r="F385" t="s">
        <v>373</v>
      </c>
    </row>
    <row r="386" spans="1:6" x14ac:dyDescent="0.3">
      <c r="A386" t="str">
        <f t="shared" si="6"/>
        <v>MSE 452,ED4-MSE</v>
      </c>
      <c r="B386" t="s">
        <v>1288</v>
      </c>
      <c r="C386" t="str">
        <v>Waste Management</v>
      </c>
      <c r="D386">
        <v>115</v>
      </c>
      <c r="E386" t="s">
        <v>135</v>
      </c>
      <c r="F386" t="s">
        <v>289</v>
      </c>
    </row>
    <row r="387" spans="1:6" x14ac:dyDescent="0.3">
      <c r="A387" t="str">
        <f t="shared" si="6"/>
        <v>MSE 454,ED4-MSE</v>
      </c>
      <c r="B387" t="s">
        <v>1289</v>
      </c>
      <c r="C387" t="str">
        <v>Surface Treatment Of Materials</v>
      </c>
      <c r="D387">
        <v>115</v>
      </c>
      <c r="E387" t="s">
        <v>135</v>
      </c>
      <c r="F387" t="s">
        <v>441</v>
      </c>
    </row>
    <row r="388" spans="1:6" x14ac:dyDescent="0.3">
      <c r="A388" t="str">
        <f t="shared" si="6"/>
        <v>MSE 456,ED4-MSE</v>
      </c>
      <c r="B388" t="s">
        <v>1290</v>
      </c>
      <c r="C388" t="str">
        <v>Materials Quality Control, Assurrance And Selection</v>
      </c>
      <c r="D388">
        <v>115</v>
      </c>
      <c r="E388" t="s">
        <v>135</v>
      </c>
      <c r="F388" t="s">
        <v>223</v>
      </c>
    </row>
    <row r="389" spans="1:6" x14ac:dyDescent="0.3">
      <c r="A389" t="str">
        <f t="shared" si="6"/>
        <v>MSE 458,ED4-MSE</v>
      </c>
      <c r="B389" t="s">
        <v>1291</v>
      </c>
      <c r="C389" t="str">
        <v>Process Dynamics And Control</v>
      </c>
      <c r="D389">
        <v>115</v>
      </c>
      <c r="E389" t="s">
        <v>135</v>
      </c>
      <c r="F389" t="s">
        <v>134</v>
      </c>
    </row>
    <row r="390" spans="1:6" x14ac:dyDescent="0.3">
      <c r="A390" t="str">
        <f t="shared" si="6"/>
        <v>EE 152,ED1-ME</v>
      </c>
      <c r="B390" t="s">
        <v>990</v>
      </c>
      <c r="C390" t="str">
        <v>Basic Electronics</v>
      </c>
      <c r="D390">
        <v>244</v>
      </c>
      <c r="E390" t="s">
        <v>161</v>
      </c>
      <c r="F390" t="s">
        <v>234</v>
      </c>
    </row>
    <row r="391" spans="1:6" x14ac:dyDescent="0.3">
      <c r="A391" t="str">
        <f t="shared" si="6"/>
        <v>ENGL 158,ED1-ME</v>
      </c>
      <c r="B391" t="s">
        <v>991</v>
      </c>
      <c r="C391" t="str">
        <v>Communication Skills II</v>
      </c>
      <c r="D391">
        <v>244</v>
      </c>
      <c r="E391" t="s">
        <v>161</v>
      </c>
      <c r="F391" t="s">
        <v>364</v>
      </c>
    </row>
    <row r="392" spans="1:6" x14ac:dyDescent="0.3">
      <c r="A392" t="str">
        <f t="shared" si="6"/>
        <v>MATH 152,ED1-ME</v>
      </c>
      <c r="B392" t="s">
        <v>992</v>
      </c>
      <c r="C392" t="str">
        <v>Calculus With Analysis</v>
      </c>
      <c r="D392">
        <v>244</v>
      </c>
      <c r="E392" t="s">
        <v>161</v>
      </c>
      <c r="F392" t="s">
        <v>129</v>
      </c>
    </row>
    <row r="393" spans="1:6" x14ac:dyDescent="0.3">
      <c r="A393" t="str">
        <f t="shared" si="6"/>
        <v>ME 160,ED1-ME</v>
      </c>
      <c r="B393" t="s">
        <v>993</v>
      </c>
      <c r="C393" t="str">
        <v>Engineering Drawing</v>
      </c>
      <c r="D393">
        <v>244</v>
      </c>
      <c r="E393" t="s">
        <v>161</v>
      </c>
      <c r="F393" t="s">
        <v>160</v>
      </c>
    </row>
    <row r="394" spans="1:6" x14ac:dyDescent="0.3">
      <c r="A394" t="str">
        <f t="shared" si="6"/>
        <v>ME 164,ED1-ME</v>
      </c>
      <c r="B394" t="s">
        <v>1292</v>
      </c>
      <c r="C394" t="str">
        <v xml:space="preserve">Engineering Mechanics I: Statics </v>
      </c>
      <c r="D394">
        <v>244</v>
      </c>
      <c r="E394" t="s">
        <v>161</v>
      </c>
      <c r="F394" t="s">
        <v>268</v>
      </c>
    </row>
    <row r="395" spans="1:6" x14ac:dyDescent="0.3">
      <c r="A395" t="str">
        <f t="shared" si="6"/>
        <v>ME 168,ED1-ME</v>
      </c>
      <c r="B395" t="s">
        <v>1019</v>
      </c>
      <c r="C395" t="str">
        <v>Computer Programming For Engineers</v>
      </c>
      <c r="D395">
        <v>244</v>
      </c>
      <c r="E395" t="s">
        <v>161</v>
      </c>
      <c r="F395" t="s">
        <v>110</v>
      </c>
    </row>
    <row r="396" spans="1:6" x14ac:dyDescent="0.3">
      <c r="A396" t="str">
        <f t="shared" si="6"/>
        <v>ME 174,ED1-ME</v>
      </c>
      <c r="B396" t="s">
        <v>1043</v>
      </c>
      <c r="C396" t="str">
        <v xml:space="preserve">Product Design And Manufacturing </v>
      </c>
      <c r="D396">
        <v>244</v>
      </c>
      <c r="E396" t="s">
        <v>161</v>
      </c>
      <c r="F396" t="s">
        <v>486</v>
      </c>
    </row>
    <row r="397" spans="1:6" x14ac:dyDescent="0.3">
      <c r="A397" t="str">
        <f t="shared" si="6"/>
        <v>MATH 252,ED2-ME</v>
      </c>
      <c r="B397" t="s">
        <v>998</v>
      </c>
      <c r="C397" t="str">
        <v>Calculus With Several Variables</v>
      </c>
      <c r="D397">
        <v>237</v>
      </c>
      <c r="E397" t="s">
        <v>33</v>
      </c>
      <c r="F397" t="s">
        <v>281</v>
      </c>
    </row>
    <row r="398" spans="1:6" x14ac:dyDescent="0.3">
      <c r="A398" t="str">
        <f t="shared" si="6"/>
        <v>ME 252,ED2-ME</v>
      </c>
      <c r="B398" t="s">
        <v>1051</v>
      </c>
      <c r="C398" t="str">
        <v>Fluid Dynamics I</v>
      </c>
      <c r="D398">
        <v>237</v>
      </c>
      <c r="E398" t="s">
        <v>33</v>
      </c>
      <c r="F398" t="s">
        <v>394</v>
      </c>
    </row>
    <row r="399" spans="1:6" x14ac:dyDescent="0.3">
      <c r="A399" t="str">
        <f t="shared" si="6"/>
        <v>ME 264,ED2-ME</v>
      </c>
      <c r="B399" t="s">
        <v>1023</v>
      </c>
      <c r="C399" t="str">
        <v>Mechanisms Synthesis And Analysis I</v>
      </c>
      <c r="D399">
        <v>237</v>
      </c>
      <c r="E399" t="s">
        <v>33</v>
      </c>
      <c r="F399" t="s">
        <v>151</v>
      </c>
    </row>
    <row r="400" spans="1:6" x14ac:dyDescent="0.3">
      <c r="A400" t="str">
        <f t="shared" si="6"/>
        <v>ME 266,ED2-ME</v>
      </c>
      <c r="B400" t="s">
        <v>1024</v>
      </c>
      <c r="C400" t="str">
        <v>Thermodynamics I</v>
      </c>
      <c r="D400">
        <v>237</v>
      </c>
      <c r="E400" t="s">
        <v>33</v>
      </c>
      <c r="F400" t="s">
        <v>420</v>
      </c>
    </row>
    <row r="401" spans="1:6" x14ac:dyDescent="0.3">
      <c r="A401" t="str">
        <f t="shared" si="6"/>
        <v>ME 274,ED2-ME</v>
      </c>
      <c r="B401" t="s">
        <v>1293</v>
      </c>
      <c r="C401" t="str">
        <v xml:space="preserve">Machine Design Project </v>
      </c>
      <c r="D401">
        <v>237</v>
      </c>
      <c r="E401" t="s">
        <v>33</v>
      </c>
      <c r="F401" t="s">
        <v>32</v>
      </c>
    </row>
    <row r="402" spans="1:6" x14ac:dyDescent="0.3">
      <c r="A402" t="str">
        <f t="shared" si="6"/>
        <v>ME 292,ED2-ME</v>
      </c>
      <c r="B402" t="s">
        <v>1030</v>
      </c>
      <c r="C402" t="str">
        <v>Industrial Engineering And Ergonomics</v>
      </c>
      <c r="D402">
        <v>237</v>
      </c>
      <c r="E402" t="s">
        <v>33</v>
      </c>
      <c r="F402" t="s">
        <v>240</v>
      </c>
    </row>
    <row r="403" spans="1:6" x14ac:dyDescent="0.3">
      <c r="A403" t="str">
        <f t="shared" si="6"/>
        <v>ME 296,ED2-ME</v>
      </c>
      <c r="B403" t="s">
        <v>1001</v>
      </c>
      <c r="C403" t="str">
        <v>Mechanical Engineering Lab. II</v>
      </c>
      <c r="D403">
        <v>237</v>
      </c>
      <c r="E403" t="s">
        <v>33</v>
      </c>
      <c r="F403" t="s">
        <v>542</v>
      </c>
    </row>
    <row r="404" spans="1:6" x14ac:dyDescent="0.3">
      <c r="A404" t="str">
        <f t="shared" si="6"/>
        <v>EE 252,ED3-ME</v>
      </c>
      <c r="B404" t="s">
        <v>995</v>
      </c>
      <c r="C404" t="str">
        <v>Electrical Engineering Machines</v>
      </c>
      <c r="D404">
        <v>147</v>
      </c>
      <c r="E404" t="s">
        <v>61</v>
      </c>
      <c r="F404" t="s">
        <v>473</v>
      </c>
    </row>
    <row r="405" spans="1:6" x14ac:dyDescent="0.3">
      <c r="A405" t="str">
        <f t="shared" si="6"/>
        <v>ME 352,ED3-ME</v>
      </c>
      <c r="B405" t="s">
        <v>1294</v>
      </c>
      <c r="C405" t="str">
        <v>Fluid Dynamics  II</v>
      </c>
      <c r="D405">
        <v>147</v>
      </c>
      <c r="E405" t="s">
        <v>61</v>
      </c>
      <c r="F405" t="s">
        <v>174</v>
      </c>
    </row>
    <row r="406" spans="1:6" x14ac:dyDescent="0.3">
      <c r="A406" t="str">
        <f t="shared" si="6"/>
        <v>ME 356,ED3-ME</v>
      </c>
      <c r="B406" t="s">
        <v>1295</v>
      </c>
      <c r="C406" t="str">
        <v>Strength Of Materials II</v>
      </c>
      <c r="D406">
        <v>147</v>
      </c>
      <c r="E406" t="s">
        <v>61</v>
      </c>
      <c r="F406" t="s">
        <v>389</v>
      </c>
    </row>
    <row r="407" spans="1:6" x14ac:dyDescent="0.3">
      <c r="A407" t="str">
        <f t="shared" si="6"/>
        <v>ME 370,ED3-ME</v>
      </c>
      <c r="B407" t="s">
        <v>1052</v>
      </c>
      <c r="C407" t="str">
        <v>Manufacturing Technology</v>
      </c>
      <c r="D407">
        <v>147</v>
      </c>
      <c r="E407" t="s">
        <v>61</v>
      </c>
      <c r="F407" t="s">
        <v>310</v>
      </c>
    </row>
    <row r="408" spans="1:6" x14ac:dyDescent="0.3">
      <c r="A408" t="str">
        <f t="shared" si="6"/>
        <v>ME 362,ED3-ME</v>
      </c>
      <c r="B408" t="s">
        <v>1029</v>
      </c>
      <c r="C408" t="str">
        <v>Vibrations I</v>
      </c>
      <c r="D408">
        <v>147</v>
      </c>
      <c r="E408" t="s">
        <v>61</v>
      </c>
      <c r="F408" t="s">
        <v>519</v>
      </c>
    </row>
    <row r="409" spans="1:6" x14ac:dyDescent="0.3">
      <c r="A409" t="str">
        <f t="shared" si="6"/>
        <v>ME 366,ED3-ME</v>
      </c>
      <c r="B409" t="s">
        <v>1007</v>
      </c>
      <c r="C409" t="str">
        <v>Heat Transfer</v>
      </c>
      <c r="D409">
        <v>147</v>
      </c>
      <c r="E409" t="s">
        <v>61</v>
      </c>
      <c r="F409" t="s">
        <v>347</v>
      </c>
    </row>
    <row r="410" spans="1:6" x14ac:dyDescent="0.3">
      <c r="A410" t="str">
        <f t="shared" si="6"/>
        <v>ME 374,ED3-ME</v>
      </c>
      <c r="B410" t="s">
        <v>1296</v>
      </c>
      <c r="C410" t="str">
        <v>Machine Elements Design II</v>
      </c>
      <c r="D410">
        <v>147</v>
      </c>
      <c r="E410" t="s">
        <v>61</v>
      </c>
      <c r="F410" t="s">
        <v>60</v>
      </c>
    </row>
    <row r="411" spans="1:6" x14ac:dyDescent="0.3">
      <c r="A411" t="str">
        <f t="shared" si="6"/>
        <v>ME 396,ED3-ME</v>
      </c>
      <c r="B411" t="s">
        <v>1297</v>
      </c>
      <c r="C411" t="str">
        <v>Mechanical Engineering Laboratory IV</v>
      </c>
      <c r="D411">
        <v>147</v>
      </c>
      <c r="E411" t="s">
        <v>61</v>
      </c>
      <c r="F411" t="s">
        <v>1298</v>
      </c>
    </row>
    <row r="412" spans="1:6" x14ac:dyDescent="0.3">
      <c r="A412" t="str">
        <f t="shared" si="6"/>
        <v>ME 452,ED4-ME</v>
      </c>
      <c r="B412" t="s">
        <v>1299</v>
      </c>
      <c r="C412" t="str">
        <v>Fluid Machinery</v>
      </c>
      <c r="D412">
        <v>38</v>
      </c>
      <c r="E412" t="s">
        <v>67</v>
      </c>
      <c r="F412" t="s">
        <v>458</v>
      </c>
    </row>
    <row r="413" spans="1:6" x14ac:dyDescent="0.3">
      <c r="A413" t="str">
        <f t="shared" si="6"/>
        <v>ME 456,ED4-ME</v>
      </c>
      <c r="B413" t="s">
        <v>1034</v>
      </c>
      <c r="C413" t="str">
        <v>Introduction To Finite Element</v>
      </c>
      <c r="D413">
        <v>6</v>
      </c>
      <c r="E413" t="s">
        <v>67</v>
      </c>
      <c r="F413" t="s">
        <v>183</v>
      </c>
    </row>
    <row r="414" spans="1:6" x14ac:dyDescent="0.3">
      <c r="A414" t="str">
        <f t="shared" si="6"/>
        <v>ME 462,ED4-ME</v>
      </c>
      <c r="B414" t="s">
        <v>1035</v>
      </c>
      <c r="C414" t="str">
        <v>Mechanisms Synthesis And Analysis II</v>
      </c>
      <c r="D414">
        <v>5</v>
      </c>
      <c r="E414" t="s">
        <v>67</v>
      </c>
      <c r="F414" t="s">
        <v>254</v>
      </c>
    </row>
    <row r="415" spans="1:6" x14ac:dyDescent="0.3">
      <c r="A415" t="str">
        <f t="shared" si="6"/>
        <v>ME 464,ED4-ME</v>
      </c>
      <c r="B415" t="s">
        <v>1300</v>
      </c>
      <c r="C415" t="str">
        <v>Instrumentation</v>
      </c>
      <c r="D415">
        <v>184</v>
      </c>
      <c r="E415" t="s">
        <v>67</v>
      </c>
      <c r="F415" t="s">
        <v>66</v>
      </c>
    </row>
    <row r="416" spans="1:6" x14ac:dyDescent="0.3">
      <c r="A416" t="str">
        <f t="shared" si="6"/>
        <v>ME 468,ED4-ME</v>
      </c>
      <c r="B416" t="s">
        <v>1036</v>
      </c>
      <c r="C416" t="str">
        <v>Internal Combustion Engines</v>
      </c>
      <c r="D416">
        <v>99</v>
      </c>
      <c r="E416" t="s">
        <v>67</v>
      </c>
      <c r="F416" t="s">
        <v>407</v>
      </c>
    </row>
    <row r="417" spans="1:6" x14ac:dyDescent="0.3">
      <c r="A417" t="str">
        <f t="shared" si="6"/>
        <v>ME 472,ED4-ME</v>
      </c>
      <c r="B417" t="s">
        <v>1037</v>
      </c>
      <c r="C417" t="str">
        <v>Machine Shop And Factory Design</v>
      </c>
      <c r="D417">
        <v>67</v>
      </c>
      <c r="E417" t="s">
        <v>67</v>
      </c>
      <c r="F417" t="s">
        <v>327</v>
      </c>
    </row>
    <row r="418" spans="1:6" x14ac:dyDescent="0.3">
      <c r="A418" t="str">
        <f t="shared" si="6"/>
        <v>ME 474,ED4-ME</v>
      </c>
      <c r="B418" t="s">
        <v>1038</v>
      </c>
      <c r="C418" t="str">
        <v>Production Planning And Control</v>
      </c>
      <c r="D418">
        <v>15</v>
      </c>
      <c r="E418" t="s">
        <v>67</v>
      </c>
      <c r="F418" t="s">
        <v>1039</v>
      </c>
    </row>
    <row r="419" spans="1:6" x14ac:dyDescent="0.3">
      <c r="A419" t="str">
        <f t="shared" si="6"/>
        <v>ME 476,ED4-ME</v>
      </c>
      <c r="B419" t="s">
        <v>1062</v>
      </c>
      <c r="C419" t="str">
        <v>Special Vehicle Design (AME 482)</v>
      </c>
      <c r="D419">
        <v>63</v>
      </c>
      <c r="E419" t="s">
        <v>67</v>
      </c>
      <c r="F419" t="s">
        <v>1301</v>
      </c>
    </row>
    <row r="420" spans="1:6" x14ac:dyDescent="0.3">
      <c r="A420" t="str">
        <f t="shared" si="6"/>
        <v>ME 478,ED4-ME</v>
      </c>
      <c r="B420" t="s">
        <v>1302</v>
      </c>
      <c r="C420" t="str">
        <v>Production Engineering II</v>
      </c>
      <c r="D420">
        <v>72</v>
      </c>
      <c r="E420" t="s">
        <v>67</v>
      </c>
      <c r="F420" t="s">
        <v>189</v>
      </c>
    </row>
    <row r="421" spans="1:6" x14ac:dyDescent="0.3">
      <c r="A421" t="str">
        <f t="shared" si="6"/>
        <v>ME 482,ED4-ME</v>
      </c>
      <c r="B421" t="s">
        <v>1303</v>
      </c>
      <c r="C421" t="str">
        <v>Mechanical Engineering Materials III</v>
      </c>
      <c r="D421">
        <v>4</v>
      </c>
      <c r="E421" t="s">
        <v>67</v>
      </c>
      <c r="F421" t="s">
        <v>116</v>
      </c>
    </row>
    <row r="422" spans="1:6" x14ac:dyDescent="0.3">
      <c r="A422" t="str">
        <f t="shared" si="6"/>
        <v>ME 492,ED4-ME</v>
      </c>
      <c r="B422" t="s">
        <v>1015</v>
      </c>
      <c r="C422" t="str">
        <v>Management And Entrepreneurship Development</v>
      </c>
      <c r="D422">
        <v>184</v>
      </c>
      <c r="E422" t="s">
        <v>67</v>
      </c>
      <c r="F422" t="s">
        <v>373</v>
      </c>
    </row>
    <row r="423" spans="1:6" x14ac:dyDescent="0.3">
      <c r="A423" t="str">
        <f t="shared" si="6"/>
        <v>ME 494,ED4-ME</v>
      </c>
      <c r="B423" t="s">
        <v>1251</v>
      </c>
      <c r="C423" t="str">
        <v>Maintenance Engineering</v>
      </c>
      <c r="D423">
        <v>184</v>
      </c>
      <c r="E423" t="s">
        <v>67</v>
      </c>
      <c r="F423" t="s">
        <v>293</v>
      </c>
    </row>
    <row r="424" spans="1:6" x14ac:dyDescent="0.3">
      <c r="A424" t="str">
        <f t="shared" si="6"/>
        <v>ME 496,ED4-ME</v>
      </c>
      <c r="B424" t="s">
        <v>1041</v>
      </c>
      <c r="C424" t="str">
        <v>Human Factors And Ergonomics</v>
      </c>
      <c r="D424">
        <v>14</v>
      </c>
      <c r="E424" t="s">
        <v>67</v>
      </c>
      <c r="F424" t="s">
        <v>1042</v>
      </c>
    </row>
    <row r="425" spans="1:6" x14ac:dyDescent="0.3">
      <c r="A425" t="str">
        <f t="shared" ref="A425:A444" si="7">CONCATENATE(F425,",",E425)</f>
        <v>ENGL 158,ED1-METE</v>
      </c>
      <c r="B425" t="s">
        <v>991</v>
      </c>
      <c r="C425" t="str">
        <v>Communication Skills II</v>
      </c>
      <c r="D425">
        <v>61</v>
      </c>
      <c r="E425" t="s">
        <v>114</v>
      </c>
      <c r="F425" t="s">
        <v>364</v>
      </c>
    </row>
    <row r="426" spans="1:6" x14ac:dyDescent="0.3">
      <c r="A426" t="str">
        <f t="shared" si="7"/>
        <v>MATH 152,ED1-METE</v>
      </c>
      <c r="B426" t="s">
        <v>992</v>
      </c>
      <c r="C426" t="str">
        <v>Calculus With Analysis</v>
      </c>
      <c r="D426">
        <v>61</v>
      </c>
      <c r="E426" t="s">
        <v>114</v>
      </c>
      <c r="F426" t="s">
        <v>129</v>
      </c>
    </row>
    <row r="427" spans="1:6" x14ac:dyDescent="0.3">
      <c r="A427" t="str">
        <f t="shared" si="7"/>
        <v>ME 160,ED1-METE</v>
      </c>
      <c r="B427" t="s">
        <v>993</v>
      </c>
      <c r="C427" t="str">
        <v>Engineering Drawing</v>
      </c>
      <c r="D427">
        <v>61</v>
      </c>
      <c r="E427" t="s">
        <v>114</v>
      </c>
      <c r="F427" t="s">
        <v>160</v>
      </c>
    </row>
    <row r="428" spans="1:6" x14ac:dyDescent="0.3">
      <c r="A428" t="str">
        <f t="shared" si="7"/>
        <v>ME 162,ED1-METE</v>
      </c>
      <c r="B428" t="s">
        <v>994</v>
      </c>
      <c r="C428" t="str">
        <v>Basic Mechanics</v>
      </c>
      <c r="D428">
        <v>61</v>
      </c>
      <c r="E428" t="s">
        <v>114</v>
      </c>
      <c r="F428" t="s">
        <v>392</v>
      </c>
    </row>
    <row r="429" spans="1:6" x14ac:dyDescent="0.3">
      <c r="A429" t="str">
        <f t="shared" si="7"/>
        <v>METE 152,ED1-METE</v>
      </c>
      <c r="B429" t="s">
        <v>1304</v>
      </c>
      <c r="C429" t="str">
        <v>Chemistry For Metallurgical Engineers</v>
      </c>
      <c r="D429">
        <v>61</v>
      </c>
      <c r="E429" t="s">
        <v>114</v>
      </c>
      <c r="F429" t="s">
        <v>295</v>
      </c>
    </row>
    <row r="430" spans="1:6" x14ac:dyDescent="0.3">
      <c r="A430" t="str">
        <f t="shared" si="7"/>
        <v>METE 154,ED1-METE</v>
      </c>
      <c r="B430" t="s">
        <v>1270</v>
      </c>
      <c r="C430" t="str">
        <v>Environmental Science</v>
      </c>
      <c r="D430">
        <v>61</v>
      </c>
      <c r="E430" t="s">
        <v>114</v>
      </c>
      <c r="F430" t="s">
        <v>500</v>
      </c>
    </row>
    <row r="431" spans="1:6" x14ac:dyDescent="0.3">
      <c r="A431" t="str">
        <f t="shared" si="7"/>
        <v>MSE 154,ED1-METE</v>
      </c>
      <c r="B431" t="s">
        <v>1272</v>
      </c>
      <c r="C431" t="str">
        <v>Optical and Thermal Behaviour of Materials</v>
      </c>
      <c r="D431">
        <v>61</v>
      </c>
      <c r="E431" t="s">
        <v>114</v>
      </c>
      <c r="F431" t="s">
        <v>113</v>
      </c>
    </row>
    <row r="432" spans="1:6" x14ac:dyDescent="0.3">
      <c r="A432" t="str">
        <f t="shared" si="7"/>
        <v>GED 162,ED1-METE</v>
      </c>
      <c r="B432" t="s">
        <v>1305</v>
      </c>
      <c r="C432" t="str">
        <v>Introductory Geology</v>
      </c>
      <c r="D432">
        <v>61</v>
      </c>
      <c r="E432" t="s">
        <v>114</v>
      </c>
      <c r="F432" t="s">
        <v>355</v>
      </c>
    </row>
    <row r="433" spans="1:6" x14ac:dyDescent="0.3">
      <c r="A433" t="str">
        <f t="shared" si="7"/>
        <v>MATH 252,ED2-METE</v>
      </c>
      <c r="B433" t="s">
        <v>998</v>
      </c>
      <c r="C433" t="str">
        <v>Calculus With Several Variables</v>
      </c>
      <c r="D433">
        <v>86</v>
      </c>
      <c r="E433" t="s">
        <v>101</v>
      </c>
      <c r="F433" t="s">
        <v>281</v>
      </c>
    </row>
    <row r="434" spans="1:6" x14ac:dyDescent="0.3">
      <c r="A434" t="str">
        <f t="shared" si="7"/>
        <v>METE 252,ED2-METE</v>
      </c>
      <c r="B434" t="s">
        <v>1306</v>
      </c>
      <c r="C434" t="str">
        <v>Metallurgical Rate Processes/Surface Phenomena</v>
      </c>
      <c r="D434">
        <v>86</v>
      </c>
      <c r="E434" t="s">
        <v>101</v>
      </c>
      <c r="F434" t="s">
        <v>403</v>
      </c>
    </row>
    <row r="435" spans="1:6" x14ac:dyDescent="0.3">
      <c r="A435" t="str">
        <f t="shared" si="7"/>
        <v>METE 254,ED2-METE</v>
      </c>
      <c r="B435" t="s">
        <v>1307</v>
      </c>
      <c r="C435" t="str">
        <v>Ore Beneficiation</v>
      </c>
      <c r="D435">
        <v>86</v>
      </c>
      <c r="E435" t="s">
        <v>101</v>
      </c>
      <c r="F435" t="s">
        <v>487</v>
      </c>
    </row>
    <row r="436" spans="1:6" x14ac:dyDescent="0.3">
      <c r="A436" t="str">
        <f t="shared" si="7"/>
        <v>METE 256,ED2-METE</v>
      </c>
      <c r="B436" t="s">
        <v>1308</v>
      </c>
      <c r="C436" t="str">
        <v>Assaying</v>
      </c>
      <c r="D436">
        <v>86</v>
      </c>
      <c r="E436" t="s">
        <v>101</v>
      </c>
      <c r="F436" t="s">
        <v>100</v>
      </c>
    </row>
    <row r="437" spans="1:6" x14ac:dyDescent="0.3">
      <c r="A437" t="str">
        <f t="shared" si="7"/>
        <v>METE 258,ED2-METE</v>
      </c>
      <c r="B437" t="s">
        <v>1309</v>
      </c>
      <c r="C437" t="str">
        <v>Computer Programming And Applications</v>
      </c>
      <c r="D437">
        <v>86</v>
      </c>
      <c r="E437" t="s">
        <v>101</v>
      </c>
      <c r="F437" t="s">
        <v>1310</v>
      </c>
    </row>
    <row r="438" spans="1:6" x14ac:dyDescent="0.3">
      <c r="A438" t="str">
        <f t="shared" si="7"/>
        <v>MSE 252,ED2-METE</v>
      </c>
      <c r="B438" t="s">
        <v>1273</v>
      </c>
      <c r="C438" t="str">
        <v>Heat And Mass Transport</v>
      </c>
      <c r="D438">
        <v>86</v>
      </c>
      <c r="E438" t="s">
        <v>101</v>
      </c>
      <c r="F438" t="s">
        <v>366</v>
      </c>
    </row>
    <row r="439" spans="1:6" x14ac:dyDescent="0.3">
      <c r="A439" t="str">
        <f t="shared" si="7"/>
        <v>MSE 260,ED2-METE</v>
      </c>
      <c r="B439" t="s">
        <v>1277</v>
      </c>
      <c r="C439" t="str">
        <v>Phase Transformations</v>
      </c>
      <c r="D439">
        <v>86</v>
      </c>
      <c r="E439" t="s">
        <v>101</v>
      </c>
      <c r="F439" t="s">
        <v>253</v>
      </c>
    </row>
    <row r="440" spans="1:6" x14ac:dyDescent="0.3">
      <c r="A440" t="str">
        <f t="shared" si="7"/>
        <v>METE 352,ED3-METE</v>
      </c>
      <c r="B440" t="s">
        <v>1311</v>
      </c>
      <c r="C440" t="str">
        <v>Hydrometallurgical Applications</v>
      </c>
      <c r="D440">
        <v>55</v>
      </c>
      <c r="E440" t="s">
        <v>142</v>
      </c>
      <c r="F440" t="s">
        <v>256</v>
      </c>
    </row>
    <row r="441" spans="1:6" x14ac:dyDescent="0.3">
      <c r="A441" t="str">
        <f t="shared" si="7"/>
        <v>METE 354,ED3-METE</v>
      </c>
      <c r="B441" t="s">
        <v>1275</v>
      </c>
      <c r="C441" t="str">
        <v>Physical Metallurgy Of Non-Ferrous Metals</v>
      </c>
      <c r="D441">
        <v>55</v>
      </c>
      <c r="E441" t="s">
        <v>142</v>
      </c>
      <c r="F441" t="s">
        <v>390</v>
      </c>
    </row>
    <row r="442" spans="1:6" x14ac:dyDescent="0.3">
      <c r="A442" t="str">
        <f t="shared" si="7"/>
        <v>METE 356,ED3-METE</v>
      </c>
      <c r="B442" t="s">
        <v>1286</v>
      </c>
      <c r="C442" t="str">
        <v>Third Year Design Project</v>
      </c>
      <c r="D442">
        <v>55</v>
      </c>
      <c r="E442" t="s">
        <v>142</v>
      </c>
      <c r="F442" t="s">
        <v>1312</v>
      </c>
    </row>
    <row r="443" spans="1:6" x14ac:dyDescent="0.3">
      <c r="A443" t="str">
        <f t="shared" si="7"/>
        <v>METE 358,ED3-METE</v>
      </c>
      <c r="B443" t="s">
        <v>1313</v>
      </c>
      <c r="C443" t="str">
        <v>Metallurgical Characterization Laboratory</v>
      </c>
      <c r="D443">
        <v>55</v>
      </c>
      <c r="E443" t="s">
        <v>142</v>
      </c>
      <c r="F443" t="s">
        <v>141</v>
      </c>
    </row>
    <row r="444" spans="1:6" x14ac:dyDescent="0.3">
      <c r="A444" t="str">
        <f t="shared" si="7"/>
        <v>METE 362,ED3-METE</v>
      </c>
      <c r="B444" t="s">
        <v>1280</v>
      </c>
      <c r="C444" t="str">
        <v>Physical Metallurgy Of Ferrous Metals</v>
      </c>
      <c r="D444">
        <v>55</v>
      </c>
      <c r="E444" t="s">
        <v>142</v>
      </c>
      <c r="F444" t="s">
        <v>208</v>
      </c>
    </row>
    <row r="445" spans="1:6" x14ac:dyDescent="0.3">
      <c r="A445" t="s">
        <v>1314</v>
      </c>
      <c r="B445" t="s">
        <v>1286</v>
      </c>
      <c r="C445" t="str">
        <v>Third Year Design Project</v>
      </c>
      <c r="D445">
        <v>55</v>
      </c>
      <c r="E445" t="s">
        <v>142</v>
      </c>
      <c r="F445" t="s">
        <v>271</v>
      </c>
    </row>
    <row r="446" spans="1:6" x14ac:dyDescent="0.3">
      <c r="A446" t="str">
        <f t="shared" ref="A446:A477" si="8">CONCATENATE(F446,",",E446)</f>
        <v>MSE 358,ED3-METE</v>
      </c>
      <c r="B446" t="s">
        <v>1282</v>
      </c>
      <c r="C446" t="str">
        <v>Numerical Methods For Engineers</v>
      </c>
      <c r="D446">
        <v>55</v>
      </c>
      <c r="E446" t="s">
        <v>142</v>
      </c>
      <c r="F446" t="s">
        <v>499</v>
      </c>
    </row>
    <row r="447" spans="1:6" x14ac:dyDescent="0.3">
      <c r="A447" t="str">
        <f t="shared" si="8"/>
        <v>MSE 362,ED3-METE</v>
      </c>
      <c r="B447" t="s">
        <v>1284</v>
      </c>
      <c r="C447" t="str">
        <v>Materials Joining Processes</v>
      </c>
      <c r="D447">
        <v>55</v>
      </c>
      <c r="E447" t="s">
        <v>142</v>
      </c>
      <c r="F447" t="s">
        <v>321</v>
      </c>
    </row>
    <row r="448" spans="1:6" x14ac:dyDescent="0.3">
      <c r="A448" t="str">
        <f t="shared" si="8"/>
        <v>ME 492,ED4-METE</v>
      </c>
      <c r="B448" t="s">
        <v>1015</v>
      </c>
      <c r="C448" t="str">
        <v>Management And Entrepreneurship Development</v>
      </c>
      <c r="D448">
        <v>65</v>
      </c>
      <c r="E448" t="s">
        <v>136</v>
      </c>
      <c r="F448" t="s">
        <v>373</v>
      </c>
    </row>
    <row r="449" spans="1:6" x14ac:dyDescent="0.3">
      <c r="A449" t="str">
        <f t="shared" si="8"/>
        <v>METE 452,ED4-METE</v>
      </c>
      <c r="B449" t="s">
        <v>1315</v>
      </c>
      <c r="C449" t="str">
        <v>Electrometallurgy</v>
      </c>
      <c r="D449">
        <v>65</v>
      </c>
      <c r="E449" t="s">
        <v>136</v>
      </c>
      <c r="F449" t="s">
        <v>442</v>
      </c>
    </row>
    <row r="450" spans="1:6" x14ac:dyDescent="0.3">
      <c r="A450" t="str">
        <f t="shared" si="8"/>
        <v>METE 454,ED4-METE</v>
      </c>
      <c r="B450" t="s">
        <v>1316</v>
      </c>
      <c r="C450" t="str">
        <v>Metallurgical waste Management</v>
      </c>
      <c r="D450">
        <v>65</v>
      </c>
      <c r="E450" t="s">
        <v>136</v>
      </c>
      <c r="F450" t="s">
        <v>290</v>
      </c>
    </row>
    <row r="451" spans="1:6" x14ac:dyDescent="0.3">
      <c r="A451" t="str">
        <f t="shared" si="8"/>
        <v>MSE 456,ED4-METE</v>
      </c>
      <c r="B451" t="s">
        <v>1290</v>
      </c>
      <c r="C451" t="str">
        <v>Materials Quality Control, Assurrance And Selection</v>
      </c>
      <c r="D451">
        <v>65</v>
      </c>
      <c r="E451" t="s">
        <v>136</v>
      </c>
      <c r="F451" t="s">
        <v>223</v>
      </c>
    </row>
    <row r="452" spans="1:6" x14ac:dyDescent="0.3">
      <c r="A452" t="str">
        <f t="shared" si="8"/>
        <v>MSE 458,ED4-METE</v>
      </c>
      <c r="B452" t="s">
        <v>1317</v>
      </c>
      <c r="C452" t="str">
        <v>Process Dynanics And Control</v>
      </c>
      <c r="D452">
        <v>65</v>
      </c>
      <c r="E452" t="s">
        <v>136</v>
      </c>
      <c r="F452" t="s">
        <v>134</v>
      </c>
    </row>
    <row r="453" spans="1:6" x14ac:dyDescent="0.3">
      <c r="A453" t="str">
        <f t="shared" si="8"/>
        <v>CHE 156,ED1-PCE</v>
      </c>
      <c r="B453" t="s">
        <v>1127</v>
      </c>
      <c r="C453" t="str">
        <v>Physical Chemistry For Engineers</v>
      </c>
      <c r="D453">
        <v>59</v>
      </c>
      <c r="E453" t="s">
        <v>81</v>
      </c>
      <c r="F453" t="s">
        <v>302</v>
      </c>
    </row>
    <row r="454" spans="1:6" x14ac:dyDescent="0.3">
      <c r="A454" t="str">
        <f t="shared" si="8"/>
        <v>EE 152,ED1-PCE</v>
      </c>
      <c r="B454" t="s">
        <v>990</v>
      </c>
      <c r="C454" t="str">
        <v>Basic Electronics</v>
      </c>
      <c r="D454">
        <v>59</v>
      </c>
      <c r="E454" t="s">
        <v>81</v>
      </c>
      <c r="F454" t="s">
        <v>234</v>
      </c>
    </row>
    <row r="455" spans="1:6" x14ac:dyDescent="0.3">
      <c r="A455" t="str">
        <f t="shared" si="8"/>
        <v>ENGL 158,ED1-PCE</v>
      </c>
      <c r="B455" t="s">
        <v>991</v>
      </c>
      <c r="C455" t="str">
        <v>Communication Skills II</v>
      </c>
      <c r="D455">
        <v>59</v>
      </c>
      <c r="E455" t="s">
        <v>81</v>
      </c>
      <c r="F455" t="s">
        <v>364</v>
      </c>
    </row>
    <row r="456" spans="1:6" x14ac:dyDescent="0.3">
      <c r="A456" t="str">
        <f t="shared" si="8"/>
        <v>MATH 152,ED1-PCE</v>
      </c>
      <c r="B456" t="s">
        <v>1136</v>
      </c>
      <c r="C456" t="str">
        <v>Calculus With Analysis</v>
      </c>
      <c r="D456">
        <v>59</v>
      </c>
      <c r="E456" t="s">
        <v>81</v>
      </c>
      <c r="F456" t="s">
        <v>129</v>
      </c>
    </row>
    <row r="457" spans="1:6" x14ac:dyDescent="0.3">
      <c r="A457" t="str">
        <f t="shared" si="8"/>
        <v>ME 162,ED1-PCE</v>
      </c>
      <c r="B457" t="s">
        <v>994</v>
      </c>
      <c r="C457" t="str">
        <v>Basic Mechanics</v>
      </c>
      <c r="D457">
        <v>59</v>
      </c>
      <c r="E457" t="s">
        <v>81</v>
      </c>
      <c r="F457" t="s">
        <v>392</v>
      </c>
    </row>
    <row r="458" spans="1:6" x14ac:dyDescent="0.3">
      <c r="A458" t="str">
        <f t="shared" si="8"/>
        <v>PCE 158,ED1-PCE</v>
      </c>
      <c r="B458" t="s">
        <v>987</v>
      </c>
      <c r="C458" t="str">
        <v>Introduction To Information Technology</v>
      </c>
      <c r="D458">
        <v>59</v>
      </c>
      <c r="E458" t="s">
        <v>81</v>
      </c>
      <c r="F458" t="s">
        <v>185</v>
      </c>
    </row>
    <row r="459" spans="1:6" x14ac:dyDescent="0.3">
      <c r="A459" t="str">
        <f t="shared" si="8"/>
        <v>PHY 170,ED1-PCE</v>
      </c>
      <c r="B459" t="s">
        <v>1129</v>
      </c>
      <c r="C459" t="str">
        <v>General Physics</v>
      </c>
      <c r="D459">
        <v>59</v>
      </c>
      <c r="E459" t="s">
        <v>81</v>
      </c>
      <c r="F459" t="s">
        <v>79</v>
      </c>
    </row>
    <row r="460" spans="1:6" x14ac:dyDescent="0.3">
      <c r="A460" t="str">
        <f t="shared" si="8"/>
        <v>CHE 250,ED2-PCE</v>
      </c>
      <c r="B460" t="s">
        <v>1130</v>
      </c>
      <c r="C460" t="str">
        <v>Strength Of Materials For Chemical Engineers</v>
      </c>
      <c r="D460">
        <v>59</v>
      </c>
      <c r="E460" t="s">
        <v>14</v>
      </c>
      <c r="F460" t="s">
        <v>338</v>
      </c>
    </row>
    <row r="461" spans="1:6" x14ac:dyDescent="0.3">
      <c r="A461" t="str">
        <f t="shared" si="8"/>
        <v>CHE 252,ED2-PCE</v>
      </c>
      <c r="B461" t="s">
        <v>1131</v>
      </c>
      <c r="C461" t="str">
        <v>Chemical Process Calculations II</v>
      </c>
      <c r="D461">
        <v>59</v>
      </c>
      <c r="E461" t="s">
        <v>14</v>
      </c>
      <c r="F461" t="s">
        <v>297</v>
      </c>
    </row>
    <row r="462" spans="1:6" x14ac:dyDescent="0.3">
      <c r="A462" t="str">
        <f t="shared" si="8"/>
        <v>CHE 254,ED2-PCE</v>
      </c>
      <c r="B462" t="s">
        <v>1132</v>
      </c>
      <c r="C462" t="str">
        <v>Chemical Engineering Thermodynamics II</v>
      </c>
      <c r="D462">
        <v>59</v>
      </c>
      <c r="E462" t="s">
        <v>14</v>
      </c>
      <c r="F462" t="s">
        <v>397</v>
      </c>
    </row>
    <row r="463" spans="1:6" x14ac:dyDescent="0.3">
      <c r="A463" t="str">
        <f t="shared" si="8"/>
        <v>CHE 256,ED2-PCE</v>
      </c>
      <c r="B463" t="s">
        <v>1133</v>
      </c>
      <c r="C463" t="str">
        <v>Heat Transport Processes</v>
      </c>
      <c r="D463">
        <v>59</v>
      </c>
      <c r="E463" t="s">
        <v>14</v>
      </c>
      <c r="F463" t="s">
        <v>83</v>
      </c>
    </row>
    <row r="464" spans="1:6" x14ac:dyDescent="0.3">
      <c r="A464" t="str">
        <f t="shared" si="8"/>
        <v>CHE 258,ED2-PCE</v>
      </c>
      <c r="B464" t="s">
        <v>1134</v>
      </c>
      <c r="C464" t="str">
        <v>Drawing For Engineers</v>
      </c>
      <c r="D464">
        <v>59</v>
      </c>
      <c r="E464" t="s">
        <v>14</v>
      </c>
      <c r="F464" t="s">
        <v>12</v>
      </c>
    </row>
    <row r="465" spans="1:6" x14ac:dyDescent="0.3">
      <c r="A465" t="str">
        <f t="shared" si="8"/>
        <v>CHEM 280,ED2-PCE</v>
      </c>
      <c r="B465" t="s">
        <v>1135</v>
      </c>
      <c r="C465" t="str">
        <v>Practical Chemistry II</v>
      </c>
      <c r="D465">
        <v>59</v>
      </c>
      <c r="E465" t="s">
        <v>14</v>
      </c>
      <c r="F465" t="s">
        <v>173</v>
      </c>
    </row>
    <row r="466" spans="1:6" x14ac:dyDescent="0.3">
      <c r="A466" t="str">
        <f t="shared" si="8"/>
        <v>MATH 252,ED2-PCE</v>
      </c>
      <c r="B466" t="s">
        <v>1136</v>
      </c>
      <c r="C466" t="str">
        <v>Calculus Of Several Variables</v>
      </c>
      <c r="D466">
        <v>59</v>
      </c>
      <c r="E466" t="s">
        <v>14</v>
      </c>
      <c r="F466" t="s">
        <v>281</v>
      </c>
    </row>
    <row r="467" spans="1:6" x14ac:dyDescent="0.3">
      <c r="A467" t="str">
        <f t="shared" si="8"/>
        <v>CHE 350,ED3-PCE</v>
      </c>
      <c r="B467" t="s">
        <v>1137</v>
      </c>
      <c r="C467" t="str">
        <v>Materials Science</v>
      </c>
      <c r="D467">
        <v>62</v>
      </c>
      <c r="E467" t="s">
        <v>63</v>
      </c>
      <c r="F467" t="s">
        <v>199</v>
      </c>
    </row>
    <row r="468" spans="1:6" x14ac:dyDescent="0.3">
      <c r="A468" t="str">
        <f t="shared" si="8"/>
        <v>CHE 358,ED3-PCE</v>
      </c>
      <c r="B468" t="s">
        <v>1140</v>
      </c>
      <c r="C468" t="str">
        <v>Numerical Methods For Chemical Engineers</v>
      </c>
      <c r="D468">
        <v>62</v>
      </c>
      <c r="E468" t="s">
        <v>63</v>
      </c>
      <c r="F468" t="s">
        <v>315</v>
      </c>
    </row>
    <row r="469" spans="1:6" x14ac:dyDescent="0.3">
      <c r="A469" t="str">
        <f t="shared" si="8"/>
        <v>CHE 366,ED3-PCE</v>
      </c>
      <c r="B469" t="s">
        <v>1318</v>
      </c>
      <c r="C469" t="str">
        <v>Renewable Energy Resources</v>
      </c>
      <c r="D469">
        <v>17</v>
      </c>
      <c r="E469" t="s">
        <v>63</v>
      </c>
      <c r="F469" t="s">
        <v>382</v>
      </c>
    </row>
    <row r="470" spans="1:6" x14ac:dyDescent="0.3">
      <c r="A470" t="str">
        <f t="shared" si="8"/>
        <v>CHE 370,ED3-PCE</v>
      </c>
      <c r="B470" t="s">
        <v>1319</v>
      </c>
      <c r="C470" t="str">
        <v>Environmental Impact Assessment</v>
      </c>
      <c r="D470">
        <v>43</v>
      </c>
      <c r="E470" t="s">
        <v>63</v>
      </c>
      <c r="F470" t="s">
        <v>296</v>
      </c>
    </row>
    <row r="471" spans="1:6" x14ac:dyDescent="0.3">
      <c r="A471" t="str">
        <f t="shared" si="8"/>
        <v>PCE 350,ED3-PCE</v>
      </c>
      <c r="B471" t="s">
        <v>1320</v>
      </c>
      <c r="C471" t="str">
        <v>Kinetics And Reactions Engineering</v>
      </c>
      <c r="D471">
        <v>62</v>
      </c>
      <c r="E471" t="s">
        <v>63</v>
      </c>
      <c r="F471" t="s">
        <v>496</v>
      </c>
    </row>
    <row r="472" spans="1:6" x14ac:dyDescent="0.3">
      <c r="A472" t="str">
        <f t="shared" si="8"/>
        <v>PCE 352,ED3-PCE</v>
      </c>
      <c r="B472" t="s">
        <v>1321</v>
      </c>
      <c r="C472" t="str">
        <v>Separation Processes II</v>
      </c>
      <c r="D472">
        <v>62</v>
      </c>
      <c r="E472" t="s">
        <v>63</v>
      </c>
      <c r="F472" t="s">
        <v>258</v>
      </c>
    </row>
    <row r="473" spans="1:6" x14ac:dyDescent="0.3">
      <c r="A473" t="str">
        <f t="shared" si="8"/>
        <v>PCE 354,ED3-PCE</v>
      </c>
      <c r="B473" t="s">
        <v>1322</v>
      </c>
      <c r="C473" t="str">
        <v>Petrochemical Engineering Laboratory II</v>
      </c>
      <c r="D473">
        <v>62</v>
      </c>
      <c r="E473" t="s">
        <v>63</v>
      </c>
      <c r="F473" t="s">
        <v>62</v>
      </c>
    </row>
    <row r="474" spans="1:6" x14ac:dyDescent="0.3">
      <c r="A474" t="str">
        <f t="shared" si="8"/>
        <v>PETE 354,ED3-PCE</v>
      </c>
      <c r="B474" t="s">
        <v>1323</v>
      </c>
      <c r="C474" t="str">
        <v>Petroleum Production Engineering</v>
      </c>
      <c r="D474">
        <v>62</v>
      </c>
      <c r="E474" t="s">
        <v>63</v>
      </c>
      <c r="F474" t="s">
        <v>448</v>
      </c>
    </row>
    <row r="475" spans="1:6" x14ac:dyDescent="0.3">
      <c r="A475" t="str">
        <f t="shared" si="8"/>
        <v>PETE 450,ED3-PCE</v>
      </c>
      <c r="B475" t="s">
        <v>1324</v>
      </c>
      <c r="C475" t="str">
        <v>Natural Gas Engineering</v>
      </c>
      <c r="D475">
        <v>62</v>
      </c>
      <c r="E475" t="s">
        <v>63</v>
      </c>
      <c r="F475" t="s">
        <v>393</v>
      </c>
    </row>
    <row r="476" spans="1:6" x14ac:dyDescent="0.3">
      <c r="A476" t="str">
        <f t="shared" si="8"/>
        <v>CHE 456,ED4-PCE</v>
      </c>
      <c r="B476" t="s">
        <v>1145</v>
      </c>
      <c r="C476" t="str">
        <v>Process Control And Simulation</v>
      </c>
      <c r="D476">
        <v>104</v>
      </c>
      <c r="E476" t="s">
        <v>44</v>
      </c>
      <c r="F476" t="s">
        <v>525</v>
      </c>
    </row>
    <row r="477" spans="1:6" x14ac:dyDescent="0.3">
      <c r="A477" t="str">
        <f t="shared" si="8"/>
        <v>CHE 458,ED4-PCE</v>
      </c>
      <c r="B477" t="s">
        <v>1146</v>
      </c>
      <c r="C477" t="str">
        <v>Entrepreneurship And Business Development</v>
      </c>
      <c r="D477">
        <v>104</v>
      </c>
      <c r="E477" t="s">
        <v>44</v>
      </c>
      <c r="F477" t="s">
        <v>345</v>
      </c>
    </row>
    <row r="478" spans="1:6" x14ac:dyDescent="0.3">
      <c r="A478" t="str">
        <f t="shared" ref="A478:A509" si="9">CONCATENATE(F478,",",E478)</f>
        <v>CHE 464,ED4-PCE</v>
      </c>
      <c r="B478" t="s">
        <v>1325</v>
      </c>
      <c r="C478" t="str">
        <v>Adsorption Separation Process Technology</v>
      </c>
      <c r="D478">
        <v>54</v>
      </c>
      <c r="E478" t="s">
        <v>44</v>
      </c>
      <c r="F478" t="s">
        <v>319</v>
      </c>
    </row>
    <row r="479" spans="1:6" x14ac:dyDescent="0.3">
      <c r="A479" t="str">
        <f t="shared" si="9"/>
        <v>MSE 356,ED4-PCE</v>
      </c>
      <c r="B479" t="s">
        <v>1281</v>
      </c>
      <c r="C479" t="str">
        <v>Engineering Properties Of Polymers</v>
      </c>
      <c r="D479">
        <v>50</v>
      </c>
      <c r="E479" t="s">
        <v>44</v>
      </c>
      <c r="F479" t="s">
        <v>271</v>
      </c>
    </row>
    <row r="480" spans="1:6" x14ac:dyDescent="0.3">
      <c r="A480" t="str">
        <f t="shared" si="9"/>
        <v>PCE 450,ED4-PCE</v>
      </c>
      <c r="B480" t="s">
        <v>1326</v>
      </c>
      <c r="C480" t="str">
        <v>Petroleum Refining Engineering</v>
      </c>
      <c r="D480">
        <v>104</v>
      </c>
      <c r="E480" t="s">
        <v>44</v>
      </c>
      <c r="F480" t="s">
        <v>43</v>
      </c>
    </row>
    <row r="481" spans="1:6" x14ac:dyDescent="0.3">
      <c r="A481" t="str">
        <f t="shared" si="9"/>
        <v>EE 152,ED1-PETE</v>
      </c>
      <c r="B481" t="s">
        <v>990</v>
      </c>
      <c r="C481" t="str">
        <v>Basic Electronics</v>
      </c>
      <c r="D481">
        <v>97</v>
      </c>
      <c r="E481" t="s">
        <v>1327</v>
      </c>
      <c r="F481" t="s">
        <v>234</v>
      </c>
    </row>
    <row r="482" spans="1:6" x14ac:dyDescent="0.3">
      <c r="A482" t="str">
        <f t="shared" si="9"/>
        <v>ENGL 158,ED1-PETE</v>
      </c>
      <c r="B482" t="s">
        <v>991</v>
      </c>
      <c r="C482" t="str">
        <v>Communication Skills II</v>
      </c>
      <c r="D482">
        <v>97</v>
      </c>
      <c r="E482" t="s">
        <v>1327</v>
      </c>
      <c r="F482" t="s">
        <v>364</v>
      </c>
    </row>
    <row r="483" spans="1:6" x14ac:dyDescent="0.3">
      <c r="A483" t="str">
        <f t="shared" si="9"/>
        <v>MATH 152,ED1-PETE</v>
      </c>
      <c r="B483" t="s">
        <v>992</v>
      </c>
      <c r="C483" t="str">
        <v>Calculus With Analysis</v>
      </c>
      <c r="D483">
        <v>97</v>
      </c>
      <c r="E483" t="s">
        <v>1327</v>
      </c>
      <c r="F483" t="s">
        <v>129</v>
      </c>
    </row>
    <row r="484" spans="1:6" x14ac:dyDescent="0.3">
      <c r="A484" t="str">
        <f t="shared" si="9"/>
        <v>ME 162,ED1-PETE</v>
      </c>
      <c r="B484" t="s">
        <v>994</v>
      </c>
      <c r="C484" t="str">
        <v>Basic Mechanics</v>
      </c>
      <c r="D484">
        <v>97</v>
      </c>
      <c r="E484" t="s">
        <v>1327</v>
      </c>
      <c r="F484" t="s">
        <v>392</v>
      </c>
    </row>
    <row r="485" spans="1:6" x14ac:dyDescent="0.3">
      <c r="A485" t="str">
        <f t="shared" si="9"/>
        <v>PE 154,ED1-PETE</v>
      </c>
      <c r="B485" t="s">
        <v>1328</v>
      </c>
      <c r="C485" t="str">
        <v>Introduction To Petroleum Engineering</v>
      </c>
      <c r="D485">
        <v>97</v>
      </c>
      <c r="E485" t="s">
        <v>1327</v>
      </c>
      <c r="F485" t="s">
        <v>188</v>
      </c>
    </row>
    <row r="486" spans="1:6" x14ac:dyDescent="0.3">
      <c r="A486" t="str">
        <f t="shared" si="9"/>
        <v>PE 156,ED1-PETE</v>
      </c>
      <c r="B486" t="s">
        <v>1127</v>
      </c>
      <c r="C486" t="str">
        <v>Physical Chemistry For Engineers</v>
      </c>
      <c r="D486">
        <v>97</v>
      </c>
      <c r="E486" t="s">
        <v>1327</v>
      </c>
      <c r="F486" t="s">
        <v>488</v>
      </c>
    </row>
    <row r="487" spans="1:6" x14ac:dyDescent="0.3">
      <c r="A487" t="str">
        <f t="shared" si="9"/>
        <v>PHY 170,ED1-PETE</v>
      </c>
      <c r="B487" t="s">
        <v>1129</v>
      </c>
      <c r="C487" t="str">
        <v>General Physics</v>
      </c>
      <c r="D487">
        <v>97</v>
      </c>
      <c r="E487" t="s">
        <v>1327</v>
      </c>
      <c r="F487" t="s">
        <v>79</v>
      </c>
    </row>
    <row r="488" spans="1:6" x14ac:dyDescent="0.3">
      <c r="A488" t="str">
        <f t="shared" si="9"/>
        <v>MATH 252,ED2-PETE</v>
      </c>
      <c r="B488" t="s">
        <v>1136</v>
      </c>
      <c r="C488" t="str">
        <v>Calculus Of Several Variables</v>
      </c>
      <c r="D488">
        <v>82</v>
      </c>
      <c r="E488" t="s">
        <v>1329</v>
      </c>
      <c r="F488" t="s">
        <v>281</v>
      </c>
    </row>
    <row r="489" spans="1:6" x14ac:dyDescent="0.3">
      <c r="A489" t="str">
        <f t="shared" si="9"/>
        <v>PE 252,ED2-PETE</v>
      </c>
      <c r="B489" t="s">
        <v>1133</v>
      </c>
      <c r="C489" t="str">
        <v>Heat Transport Processes</v>
      </c>
      <c r="D489">
        <v>82</v>
      </c>
      <c r="E489" t="s">
        <v>1329</v>
      </c>
      <c r="F489" t="s">
        <v>212</v>
      </c>
    </row>
    <row r="490" spans="1:6" x14ac:dyDescent="0.3">
      <c r="A490" t="str">
        <f t="shared" si="9"/>
        <v>PE 254,ED2-PETE</v>
      </c>
      <c r="B490" t="s">
        <v>1134</v>
      </c>
      <c r="C490" t="str">
        <v>Drawing For Engineers</v>
      </c>
      <c r="D490">
        <v>82</v>
      </c>
      <c r="E490" t="s">
        <v>1329</v>
      </c>
      <c r="F490" t="s">
        <v>92</v>
      </c>
    </row>
    <row r="491" spans="1:6" x14ac:dyDescent="0.3">
      <c r="A491" t="str">
        <f t="shared" si="9"/>
        <v>PE 256,ED2-PETE</v>
      </c>
      <c r="B491" t="s">
        <v>1330</v>
      </c>
      <c r="C491" t="str">
        <v>Regional Geology</v>
      </c>
      <c r="D491">
        <v>82</v>
      </c>
      <c r="E491" t="s">
        <v>1329</v>
      </c>
      <c r="F491" t="s">
        <v>439</v>
      </c>
    </row>
    <row r="492" spans="1:6" x14ac:dyDescent="0.3">
      <c r="A492" t="str">
        <f t="shared" si="9"/>
        <v>PE 258,ED2-PETE</v>
      </c>
      <c r="B492" t="s">
        <v>1331</v>
      </c>
      <c r="C492" t="str">
        <v>Petroleum Engineering Thermodynamics II</v>
      </c>
      <c r="D492">
        <v>82</v>
      </c>
      <c r="E492" t="s">
        <v>1329</v>
      </c>
      <c r="F492" t="s">
        <v>398</v>
      </c>
    </row>
    <row r="493" spans="1:6" x14ac:dyDescent="0.3">
      <c r="A493" t="str">
        <f t="shared" si="9"/>
        <v>PE 260,ED2-PETE</v>
      </c>
      <c r="B493" t="s">
        <v>1332</v>
      </c>
      <c r="C493" t="str">
        <v>Reservoir Fluid Properties</v>
      </c>
      <c r="D493">
        <v>82</v>
      </c>
      <c r="E493" t="s">
        <v>1329</v>
      </c>
      <c r="F493" t="s">
        <v>494</v>
      </c>
    </row>
    <row r="494" spans="1:6" x14ac:dyDescent="0.3">
      <c r="A494" t="str">
        <f t="shared" si="9"/>
        <v>PE 262,ED2-PETE</v>
      </c>
      <c r="B494" t="s">
        <v>1333</v>
      </c>
      <c r="C494" t="str">
        <v>Computer Programming In Oil And Gas</v>
      </c>
      <c r="D494">
        <v>82</v>
      </c>
      <c r="E494" t="s">
        <v>1329</v>
      </c>
      <c r="F494" t="s">
        <v>263</v>
      </c>
    </row>
    <row r="495" spans="1:6" x14ac:dyDescent="0.3">
      <c r="A495" t="str">
        <f t="shared" si="9"/>
        <v>PE 264,ED2-PETE</v>
      </c>
      <c r="B495" t="s">
        <v>1334</v>
      </c>
      <c r="C495" t="str">
        <v>Principles Of Land Surveying And Hydrographic Science</v>
      </c>
      <c r="D495">
        <v>82</v>
      </c>
      <c r="E495" t="s">
        <v>1329</v>
      </c>
      <c r="F495" t="s">
        <v>359</v>
      </c>
    </row>
    <row r="496" spans="1:6" x14ac:dyDescent="0.3">
      <c r="A496" t="str">
        <f t="shared" si="9"/>
        <v>PE 350,ED3-PETE</v>
      </c>
      <c r="B496" t="s">
        <v>1335</v>
      </c>
      <c r="C496" t="str">
        <v>Numerical Methods For Petroleum Engineers</v>
      </c>
      <c r="D496">
        <v>103</v>
      </c>
      <c r="E496" t="s">
        <v>1336</v>
      </c>
      <c r="F496" t="s">
        <v>467</v>
      </c>
    </row>
    <row r="497" spans="1:6" x14ac:dyDescent="0.3">
      <c r="A497" t="str">
        <f t="shared" si="9"/>
        <v>PE 352,ED3-PETE</v>
      </c>
      <c r="B497" t="s">
        <v>1218</v>
      </c>
      <c r="C497" t="str">
        <v>Petroleum Geology</v>
      </c>
      <c r="D497">
        <v>103</v>
      </c>
      <c r="E497" t="s">
        <v>1336</v>
      </c>
      <c r="F497" t="s">
        <v>285</v>
      </c>
    </row>
    <row r="498" spans="1:6" x14ac:dyDescent="0.3">
      <c r="A498" t="str">
        <f t="shared" si="9"/>
        <v>PE 354,ED3-PETE</v>
      </c>
      <c r="B498" t="s">
        <v>1337</v>
      </c>
      <c r="C498" t="str">
        <v>Drilling Engineering II</v>
      </c>
      <c r="D498">
        <v>103</v>
      </c>
      <c r="E498" t="s">
        <v>1336</v>
      </c>
      <c r="F498" t="s">
        <v>408</v>
      </c>
    </row>
    <row r="499" spans="1:6" x14ac:dyDescent="0.3">
      <c r="A499" t="str">
        <f t="shared" si="9"/>
        <v>PE 356,ED3-PETE</v>
      </c>
      <c r="B499" t="s">
        <v>1338</v>
      </c>
      <c r="C499" t="str">
        <v>Petroleum Engineering Lab II</v>
      </c>
      <c r="D499">
        <v>103</v>
      </c>
      <c r="E499" t="s">
        <v>1336</v>
      </c>
      <c r="F499" t="s">
        <v>163</v>
      </c>
    </row>
    <row r="500" spans="1:6" x14ac:dyDescent="0.3">
      <c r="A500" t="str">
        <f t="shared" si="9"/>
        <v>PE 358,ED3-PETE</v>
      </c>
      <c r="B500" t="s">
        <v>1339</v>
      </c>
      <c r="C500" t="str">
        <v>Petroleum Production Engineering II</v>
      </c>
      <c r="D500">
        <v>103</v>
      </c>
      <c r="E500" t="s">
        <v>1336</v>
      </c>
      <c r="F500" t="s">
        <v>255</v>
      </c>
    </row>
    <row r="501" spans="1:6" x14ac:dyDescent="0.3">
      <c r="A501" t="str">
        <f t="shared" si="9"/>
        <v>PE 360,ED3-PETE</v>
      </c>
      <c r="B501" t="s">
        <v>1340</v>
      </c>
      <c r="C501" t="str">
        <v>Well Testing</v>
      </c>
      <c r="D501">
        <v>103</v>
      </c>
      <c r="E501" t="s">
        <v>1336</v>
      </c>
      <c r="F501" t="s">
        <v>17</v>
      </c>
    </row>
    <row r="502" spans="1:6" x14ac:dyDescent="0.3">
      <c r="A502" t="str">
        <f t="shared" si="9"/>
        <v>PE 362,ED3-PETE</v>
      </c>
      <c r="B502" t="s">
        <v>1219</v>
      </c>
      <c r="C502" t="str">
        <v>Geostatistics</v>
      </c>
      <c r="D502">
        <v>103</v>
      </c>
      <c r="E502" t="s">
        <v>1336</v>
      </c>
      <c r="F502" t="s">
        <v>509</v>
      </c>
    </row>
    <row r="503" spans="1:6" x14ac:dyDescent="0.3">
      <c r="A503" t="str">
        <f t="shared" si="9"/>
        <v>PE 364,ED3-PETE</v>
      </c>
      <c r="B503" t="s">
        <v>1341</v>
      </c>
      <c r="C503" t="str">
        <v>Oil &amp; Gas Geophysics</v>
      </c>
      <c r="D503">
        <v>103</v>
      </c>
      <c r="E503" t="s">
        <v>1336</v>
      </c>
      <c r="F503" t="s">
        <v>349</v>
      </c>
    </row>
    <row r="504" spans="1:6" x14ac:dyDescent="0.3">
      <c r="A504" t="str">
        <f t="shared" si="9"/>
        <v>PE 366,ED3-PETE</v>
      </c>
      <c r="B504" t="s">
        <v>1342</v>
      </c>
      <c r="C504" t="str">
        <v>Health Safety And Environment</v>
      </c>
      <c r="D504">
        <v>103</v>
      </c>
      <c r="E504" t="s">
        <v>1336</v>
      </c>
      <c r="F504" t="s">
        <v>211</v>
      </c>
    </row>
    <row r="505" spans="1:6" x14ac:dyDescent="0.3">
      <c r="A505" t="str">
        <f t="shared" si="9"/>
        <v>PE 450,ED4-PETE</v>
      </c>
      <c r="B505" t="s">
        <v>1343</v>
      </c>
      <c r="C505" t="str">
        <v>Reservoir Recovery Techniques</v>
      </c>
      <c r="D505">
        <v>160</v>
      </c>
      <c r="E505" t="s">
        <v>1344</v>
      </c>
      <c r="F505" t="s">
        <v>324</v>
      </c>
    </row>
    <row r="506" spans="1:6" x14ac:dyDescent="0.3">
      <c r="A506" t="str">
        <f t="shared" si="9"/>
        <v>PE 452,ED4-PETE</v>
      </c>
      <c r="B506" t="s">
        <v>1345</v>
      </c>
      <c r="C506" t="str">
        <v>Petroleum Project Evaluation</v>
      </c>
      <c r="D506">
        <v>160</v>
      </c>
      <c r="E506" t="s">
        <v>1344</v>
      </c>
      <c r="F506" t="s">
        <v>264</v>
      </c>
    </row>
    <row r="507" spans="1:6" x14ac:dyDescent="0.3">
      <c r="A507" t="str">
        <f t="shared" si="9"/>
        <v>PE 456,ED4-PETE</v>
      </c>
      <c r="B507" t="s">
        <v>1346</v>
      </c>
      <c r="C507" t="str">
        <v>Well Completion And Stimulation</v>
      </c>
      <c r="D507">
        <v>160</v>
      </c>
      <c r="E507" t="s">
        <v>1344</v>
      </c>
      <c r="F507" t="s">
        <v>502</v>
      </c>
    </row>
    <row r="508" spans="1:6" x14ac:dyDescent="0.3">
      <c r="A508" t="str">
        <f t="shared" si="9"/>
        <v>PE 458,ED4-PETE</v>
      </c>
      <c r="B508" t="s">
        <v>1347</v>
      </c>
      <c r="C508" t="str">
        <v>Oilfield Geochemistry</v>
      </c>
      <c r="D508">
        <v>160</v>
      </c>
      <c r="E508" t="s">
        <v>1344</v>
      </c>
      <c r="F508" t="s">
        <v>206</v>
      </c>
    </row>
    <row r="509" spans="1:6" x14ac:dyDescent="0.3">
      <c r="A509" t="str">
        <f t="shared" si="9"/>
        <v>PE 464,ED4-PETE</v>
      </c>
      <c r="B509" t="s">
        <v>1348</v>
      </c>
      <c r="C509" t="str">
        <v>Refining Process Technology</v>
      </c>
      <c r="D509">
        <v>122</v>
      </c>
      <c r="E509" t="s">
        <v>1344</v>
      </c>
      <c r="F509" t="s">
        <v>45</v>
      </c>
    </row>
    <row r="510" spans="1:6" x14ac:dyDescent="0.3">
      <c r="A510" t="str">
        <f t="shared" ref="A510:A545" si="10">CONCATENATE(F510,",",E510)</f>
        <v>PE 466,ED4-PETE</v>
      </c>
      <c r="B510" t="s">
        <v>1349</v>
      </c>
      <c r="C510" t="str">
        <v>Fundamentals Of Petroleum Law</v>
      </c>
      <c r="D510">
        <v>160</v>
      </c>
      <c r="E510" t="s">
        <v>1344</v>
      </c>
      <c r="F510" t="s">
        <v>104</v>
      </c>
    </row>
    <row r="511" spans="1:6" x14ac:dyDescent="0.3">
      <c r="A511" t="str">
        <f t="shared" si="10"/>
        <v>PE 468,ED4-PETE</v>
      </c>
      <c r="B511" t="s">
        <v>1350</v>
      </c>
      <c r="C511" t="str">
        <v>Petroleum Business: Structures, Logistics</v>
      </c>
      <c r="D511">
        <v>160</v>
      </c>
      <c r="E511" t="s">
        <v>1344</v>
      </c>
      <c r="F511" t="s">
        <v>374</v>
      </c>
    </row>
    <row r="512" spans="1:6" x14ac:dyDescent="0.3">
      <c r="A512" t="str">
        <f t="shared" si="10"/>
        <v>PE 472,ED4-PETE</v>
      </c>
      <c r="B512" t="s">
        <v>1351</v>
      </c>
      <c r="C512" t="str">
        <v>Natural Gas Engineering II</v>
      </c>
      <c r="D512">
        <v>160</v>
      </c>
      <c r="E512" t="s">
        <v>1344</v>
      </c>
      <c r="F512" t="s">
        <v>357</v>
      </c>
    </row>
    <row r="513" spans="1:6" x14ac:dyDescent="0.3">
      <c r="A513" t="str">
        <f t="shared" si="10"/>
        <v>PE 474,ED4-PETE</v>
      </c>
      <c r="B513" t="s">
        <v>1352</v>
      </c>
      <c r="C513" t="str">
        <v>Pipeline Engineering</v>
      </c>
      <c r="D513">
        <v>4</v>
      </c>
      <c r="E513" t="s">
        <v>1344</v>
      </c>
      <c r="F513" t="s">
        <v>409</v>
      </c>
    </row>
    <row r="514" spans="1:6" x14ac:dyDescent="0.3">
      <c r="A514" t="str">
        <f t="shared" si="10"/>
        <v>PE 476,ED4-PETE</v>
      </c>
      <c r="B514" t="s">
        <v>1353</v>
      </c>
      <c r="C514" t="str">
        <v>Energy And Climate Change</v>
      </c>
      <c r="D514">
        <v>38</v>
      </c>
      <c r="E514" t="s">
        <v>1344</v>
      </c>
      <c r="F514" t="s">
        <v>438</v>
      </c>
    </row>
    <row r="515" spans="1:6" x14ac:dyDescent="0.3">
      <c r="A515" t="str">
        <f t="shared" si="10"/>
        <v>EE 152,ED1-TEL</v>
      </c>
      <c r="B515" t="s">
        <v>990</v>
      </c>
      <c r="C515" t="str">
        <v>Basic Electronics</v>
      </c>
      <c r="D515">
        <v>180</v>
      </c>
      <c r="E515" t="s">
        <v>91</v>
      </c>
      <c r="F515" t="s">
        <v>234</v>
      </c>
    </row>
    <row r="516" spans="1:6" x14ac:dyDescent="0.3">
      <c r="A516" t="str">
        <f t="shared" si="10"/>
        <v>EE 188,ED1-TEL</v>
      </c>
      <c r="B516" t="s">
        <v>1157</v>
      </c>
      <c r="C516" t="str">
        <v>Electrical Measurement And Instrumentation</v>
      </c>
      <c r="D516">
        <v>180</v>
      </c>
      <c r="E516" t="s">
        <v>91</v>
      </c>
      <c r="F516" t="s">
        <v>137</v>
      </c>
    </row>
    <row r="517" spans="1:6" x14ac:dyDescent="0.3">
      <c r="A517" t="str">
        <f t="shared" si="10"/>
        <v>ENGL 158,ED1-TEL</v>
      </c>
      <c r="B517" t="s">
        <v>991</v>
      </c>
      <c r="C517" t="str">
        <v>Communication Skills II</v>
      </c>
      <c r="D517">
        <v>180</v>
      </c>
      <c r="E517" t="s">
        <v>91</v>
      </c>
      <c r="F517" t="s">
        <v>364</v>
      </c>
    </row>
    <row r="518" spans="1:6" x14ac:dyDescent="0.3">
      <c r="A518" t="str">
        <f t="shared" si="10"/>
        <v>MATH 152,ED1-TEL</v>
      </c>
      <c r="B518" t="s">
        <v>992</v>
      </c>
      <c r="C518" t="str">
        <v>Calculus With Analysis</v>
      </c>
      <c r="D518">
        <v>180</v>
      </c>
      <c r="E518" t="s">
        <v>91</v>
      </c>
      <c r="F518" t="s">
        <v>129</v>
      </c>
    </row>
    <row r="519" spans="1:6" x14ac:dyDescent="0.3">
      <c r="A519" t="str">
        <f t="shared" si="10"/>
        <v>PSYC 154,ED1-TEL</v>
      </c>
      <c r="B519" t="s">
        <v>1354</v>
      </c>
      <c r="C519" t="str">
        <v>Introduction To Psychology</v>
      </c>
      <c r="D519">
        <v>180</v>
      </c>
      <c r="E519" t="s">
        <v>91</v>
      </c>
      <c r="F519" t="s">
        <v>200</v>
      </c>
    </row>
    <row r="520" spans="1:6" x14ac:dyDescent="0.3">
      <c r="A520" t="str">
        <f t="shared" si="10"/>
        <v>TE 152,ED1-TEL</v>
      </c>
      <c r="B520" t="s">
        <v>1355</v>
      </c>
      <c r="C520" t="str">
        <v>Engineering Research And Technical Report Writing</v>
      </c>
      <c r="D520">
        <v>180</v>
      </c>
      <c r="E520" t="s">
        <v>91</v>
      </c>
      <c r="F520" t="s">
        <v>423</v>
      </c>
    </row>
    <row r="521" spans="1:6" x14ac:dyDescent="0.3">
      <c r="A521" t="str">
        <f t="shared" si="10"/>
        <v>TE 156,ED1-TEL</v>
      </c>
      <c r="B521" t="s">
        <v>1356</v>
      </c>
      <c r="C521" t="str">
        <v>Introduction To Communication Networks</v>
      </c>
      <c r="D521">
        <v>180</v>
      </c>
      <c r="E521" t="s">
        <v>91</v>
      </c>
      <c r="F521" t="s">
        <v>90</v>
      </c>
    </row>
    <row r="522" spans="1:6" x14ac:dyDescent="0.3">
      <c r="A522" t="str">
        <f t="shared" si="10"/>
        <v>TE 158,ED1-TEL</v>
      </c>
      <c r="B522" t="s">
        <v>1357</v>
      </c>
      <c r="C522" t="str">
        <v>Introduction To Programming - I</v>
      </c>
      <c r="D522">
        <v>180</v>
      </c>
      <c r="E522" t="s">
        <v>91</v>
      </c>
      <c r="F522" t="s">
        <v>492</v>
      </c>
    </row>
    <row r="523" spans="1:6" x14ac:dyDescent="0.3">
      <c r="A523" t="str">
        <f t="shared" si="10"/>
        <v>ACF 256,ED2-TEL</v>
      </c>
      <c r="B523" t="s">
        <v>1076</v>
      </c>
      <c r="C523" t="str">
        <v>Introduction to Financial Accounting II</v>
      </c>
      <c r="D523">
        <v>30</v>
      </c>
      <c r="E523" t="s">
        <v>172</v>
      </c>
      <c r="F523" t="s">
        <v>424</v>
      </c>
    </row>
    <row r="524" spans="1:6" x14ac:dyDescent="0.3">
      <c r="A524" t="str">
        <f t="shared" si="10"/>
        <v>ECON 152,ED2-TEL</v>
      </c>
      <c r="B524" t="s">
        <v>1144</v>
      </c>
      <c r="C524" t="str">
        <v>Introductory Economics II</v>
      </c>
      <c r="D524">
        <v>7</v>
      </c>
      <c r="E524" t="s">
        <v>172</v>
      </c>
      <c r="F524" t="s">
        <v>406</v>
      </c>
    </row>
    <row r="525" spans="1:6" x14ac:dyDescent="0.3">
      <c r="A525" t="str">
        <f t="shared" si="10"/>
        <v>FC 182,ED2-TEL</v>
      </c>
      <c r="B525" t="s">
        <v>1085</v>
      </c>
      <c r="C525" t="str">
        <v>French For Communication II</v>
      </c>
      <c r="D525">
        <v>107</v>
      </c>
      <c r="E525" t="s">
        <v>172</v>
      </c>
      <c r="F525" t="s">
        <v>245</v>
      </c>
    </row>
    <row r="526" spans="1:6" x14ac:dyDescent="0.3">
      <c r="A526" t="str">
        <f t="shared" si="10"/>
        <v>MATH 252,ED2-TEL</v>
      </c>
      <c r="B526" t="s">
        <v>998</v>
      </c>
      <c r="C526" t="str">
        <v>Calculus With Several Variables</v>
      </c>
      <c r="D526">
        <v>147</v>
      </c>
      <c r="E526" t="s">
        <v>172</v>
      </c>
      <c r="F526" t="s">
        <v>281</v>
      </c>
    </row>
    <row r="527" spans="1:6" x14ac:dyDescent="0.3">
      <c r="A527" t="str">
        <f t="shared" si="10"/>
        <v>TE 252,ED2-TEL</v>
      </c>
      <c r="B527" t="s">
        <v>1358</v>
      </c>
      <c r="C527" t="str">
        <v>Fundamentals of Data Science</v>
      </c>
      <c r="D527">
        <v>147</v>
      </c>
      <c r="E527" t="s">
        <v>172</v>
      </c>
      <c r="F527" t="s">
        <v>460</v>
      </c>
    </row>
    <row r="528" spans="1:6" x14ac:dyDescent="0.3">
      <c r="A528" t="str">
        <f t="shared" si="10"/>
        <v>TE 254,ED2-TEL</v>
      </c>
      <c r="B528" t="s">
        <v>1359</v>
      </c>
      <c r="C528" t="str">
        <v>Electromagnetic Field Theory</v>
      </c>
      <c r="D528">
        <v>147</v>
      </c>
      <c r="E528" t="s">
        <v>172</v>
      </c>
      <c r="F528" t="s">
        <v>235</v>
      </c>
    </row>
    <row r="529" spans="1:6" x14ac:dyDescent="0.3">
      <c r="A529" t="str">
        <f t="shared" si="10"/>
        <v>TE 256,ED2-TEL</v>
      </c>
      <c r="B529" t="s">
        <v>1360</v>
      </c>
      <c r="C529" t="str">
        <v>Communication Circuits</v>
      </c>
      <c r="D529">
        <v>147</v>
      </c>
      <c r="E529" t="s">
        <v>172</v>
      </c>
      <c r="F529" t="s">
        <v>171</v>
      </c>
    </row>
    <row r="530" spans="1:6" x14ac:dyDescent="0.3">
      <c r="A530" t="str">
        <f t="shared" si="10"/>
        <v>TE 258,ED2-TEL</v>
      </c>
      <c r="B530" t="s">
        <v>1361</v>
      </c>
      <c r="C530" t="str">
        <v>Microprocessors</v>
      </c>
      <c r="D530">
        <v>147</v>
      </c>
      <c r="E530" t="s">
        <v>172</v>
      </c>
      <c r="F530" t="s">
        <v>352</v>
      </c>
    </row>
    <row r="531" spans="1:6" x14ac:dyDescent="0.3">
      <c r="A531" t="str">
        <f t="shared" si="10"/>
        <v>TE 292,ED2-TEL</v>
      </c>
      <c r="B531" t="s">
        <v>1362</v>
      </c>
      <c r="C531" t="str">
        <v xml:space="preserve">Digital Electronics &amp; Microprocessor Lab </v>
      </c>
      <c r="D531">
        <v>147</v>
      </c>
      <c r="E531" t="s">
        <v>172</v>
      </c>
      <c r="F531" t="s">
        <v>1363</v>
      </c>
    </row>
    <row r="532" spans="1:6" x14ac:dyDescent="0.3">
      <c r="A532" t="str">
        <f t="shared" si="10"/>
        <v>TE 374,ED3-TEL</v>
      </c>
      <c r="B532" t="s">
        <v>1364</v>
      </c>
      <c r="C532" t="str">
        <v>COMPUTER NETWORKING</v>
      </c>
      <c r="D532">
        <v>142</v>
      </c>
      <c r="E532" t="s">
        <v>119</v>
      </c>
      <c r="F532" t="s">
        <v>391</v>
      </c>
    </row>
    <row r="533" spans="1:6" x14ac:dyDescent="0.3">
      <c r="A533" t="str">
        <f t="shared" si="10"/>
        <v>TE 354,ED3-TEL</v>
      </c>
      <c r="B533" t="s">
        <v>1360</v>
      </c>
      <c r="C533" t="str">
        <v>ANTENNA THEORY AND DESIGN</v>
      </c>
      <c r="D533">
        <v>142</v>
      </c>
      <c r="E533" t="s">
        <v>119</v>
      </c>
      <c r="F533" t="s">
        <v>339</v>
      </c>
    </row>
    <row r="534" spans="1:6" x14ac:dyDescent="0.3">
      <c r="A534" t="str">
        <f t="shared" si="10"/>
        <v>TE 372,ED3-TEL</v>
      </c>
      <c r="B534" t="s">
        <v>1365</v>
      </c>
      <c r="C534" t="str">
        <v>ENGINEERING PROJECT DESIGN AND MANAGEMENT</v>
      </c>
      <c r="D534">
        <v>142</v>
      </c>
      <c r="E534" t="s">
        <v>119</v>
      </c>
      <c r="F534" t="s">
        <v>308</v>
      </c>
    </row>
    <row r="535" spans="1:6" x14ac:dyDescent="0.3">
      <c r="A535" t="str">
        <f t="shared" si="10"/>
        <v>TE 352,ED3-TEL</v>
      </c>
      <c r="B535" t="s">
        <v>1366</v>
      </c>
      <c r="C535" t="str">
        <v>Data Communication Principles</v>
      </c>
      <c r="D535">
        <v>142</v>
      </c>
      <c r="E535" t="s">
        <v>119</v>
      </c>
      <c r="F535" t="s">
        <v>187</v>
      </c>
    </row>
    <row r="536" spans="1:6" x14ac:dyDescent="0.3">
      <c r="A536" t="str">
        <f t="shared" si="10"/>
        <v>TE 356,ED3-TEL</v>
      </c>
      <c r="B536" t="s">
        <v>1367</v>
      </c>
      <c r="C536" t="str">
        <v>Switching Engineering In Communication</v>
      </c>
      <c r="D536">
        <v>142</v>
      </c>
      <c r="E536" t="s">
        <v>119</v>
      </c>
      <c r="F536" t="s">
        <v>118</v>
      </c>
    </row>
    <row r="537" spans="1:6" x14ac:dyDescent="0.3">
      <c r="A537" t="str">
        <f t="shared" si="10"/>
        <v>TE 386,ED3-TEL</v>
      </c>
      <c r="B537" t="s">
        <v>1368</v>
      </c>
      <c r="C537" t="e">
        <v>#N/A</v>
      </c>
      <c r="D537">
        <v>142</v>
      </c>
      <c r="E537" t="s">
        <v>119</v>
      </c>
      <c r="F537" t="s">
        <v>465</v>
      </c>
    </row>
    <row r="538" spans="1:6" x14ac:dyDescent="0.3">
      <c r="A538" t="str">
        <f t="shared" si="10"/>
        <v>TE 358,ED3-TEL</v>
      </c>
      <c r="B538" t="s">
        <v>1368</v>
      </c>
      <c r="C538" t="str">
        <v>Digital Communication Systems</v>
      </c>
      <c r="D538">
        <v>142</v>
      </c>
      <c r="E538" t="s">
        <v>119</v>
      </c>
      <c r="F538" t="s">
        <v>464</v>
      </c>
    </row>
    <row r="539" spans="1:6" x14ac:dyDescent="0.3">
      <c r="A539" t="str">
        <f t="shared" si="10"/>
        <v>TE 392,ED3-TEL</v>
      </c>
      <c r="B539" t="s">
        <v>1369</v>
      </c>
      <c r="C539" t="str">
        <v>Telecommunication Lab IV</v>
      </c>
      <c r="D539">
        <v>142</v>
      </c>
      <c r="E539" t="s">
        <v>119</v>
      </c>
      <c r="F539" t="s">
        <v>1370</v>
      </c>
    </row>
    <row r="540" spans="1:6" x14ac:dyDescent="0.3">
      <c r="A540" t="str">
        <f t="shared" si="10"/>
        <v>EE 472,ED4-TEL</v>
      </c>
      <c r="B540" t="s">
        <v>1094</v>
      </c>
      <c r="C540" t="str">
        <v>Digital Signal Processing</v>
      </c>
      <c r="D540">
        <v>141</v>
      </c>
      <c r="E540" t="s">
        <v>227</v>
      </c>
      <c r="F540" t="s">
        <v>307</v>
      </c>
    </row>
    <row r="541" spans="1:6" x14ac:dyDescent="0.3">
      <c r="A541" t="str">
        <f t="shared" si="10"/>
        <v>ME 492,ED4-TEL</v>
      </c>
      <c r="B541" t="s">
        <v>1015</v>
      </c>
      <c r="C541" t="str">
        <v>Management And Entrepreneurship Development</v>
      </c>
      <c r="D541">
        <v>141</v>
      </c>
      <c r="E541" t="s">
        <v>227</v>
      </c>
      <c r="F541" t="s">
        <v>373</v>
      </c>
    </row>
    <row r="542" spans="1:6" x14ac:dyDescent="0.3">
      <c r="A542" t="str">
        <f t="shared" si="10"/>
        <v>TE 462,ED4-TEL</v>
      </c>
      <c r="B542" t="s">
        <v>1371</v>
      </c>
      <c r="C542" t="str">
        <v>Telecommunication Policy</v>
      </c>
      <c r="D542">
        <v>141</v>
      </c>
      <c r="E542" t="s">
        <v>227</v>
      </c>
      <c r="F542" t="s">
        <v>1372</v>
      </c>
    </row>
    <row r="543" spans="1:6" x14ac:dyDescent="0.3">
      <c r="A543" t="str">
        <f t="shared" si="10"/>
        <v>TE 472,ED4-TEL</v>
      </c>
      <c r="B543" t="s">
        <v>1373</v>
      </c>
      <c r="C543" t="str">
        <v>Mobile And Satellite Communication System</v>
      </c>
      <c r="D543">
        <v>141</v>
      </c>
      <c r="E543" t="s">
        <v>227</v>
      </c>
      <c r="F543" t="s">
        <v>306</v>
      </c>
    </row>
    <row r="544" spans="1:6" x14ac:dyDescent="0.3">
      <c r="A544" t="str">
        <f t="shared" si="10"/>
        <v>TE 474,ED4-TEL</v>
      </c>
      <c r="B544" t="s">
        <v>1374</v>
      </c>
      <c r="C544" t="str">
        <v>Microwave Engineering</v>
      </c>
      <c r="D544">
        <v>141</v>
      </c>
      <c r="E544" t="s">
        <v>227</v>
      </c>
      <c r="F544" t="s">
        <v>1375</v>
      </c>
    </row>
    <row r="545" spans="1:6" x14ac:dyDescent="0.3">
      <c r="A545" t="str">
        <f t="shared" si="10"/>
        <v>TE 484,ED4-TEL</v>
      </c>
      <c r="B545" t="s">
        <v>1376</v>
      </c>
      <c r="C545" t="str">
        <v>Network Planning</v>
      </c>
      <c r="D545">
        <v>141</v>
      </c>
      <c r="E545" t="s">
        <v>227</v>
      </c>
      <c r="F545" t="s">
        <v>1377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48"/>
  <sheetViews>
    <sheetView topLeftCell="A19" zoomScale="130" zoomScaleNormal="130" workbookViewId="0">
      <selection activeCell="A340" sqref="A340"/>
    </sheetView>
  </sheetViews>
  <sheetFormatPr defaultColWidth="8.58203125" defaultRowHeight="14" x14ac:dyDescent="0.3"/>
  <cols>
    <col min="1" max="1" width="28.1640625" style="202" customWidth="1"/>
    <col min="2" max="2" width="40.83203125" style="202" customWidth="1"/>
    <col min="3" max="3" width="34" style="202" customWidth="1"/>
    <col min="4" max="4" width="19.75" style="202" customWidth="1"/>
    <col min="5" max="5" width="14.5" style="202" customWidth="1"/>
  </cols>
  <sheetData>
    <row r="1" spans="1:5" x14ac:dyDescent="0.3">
      <c r="A1" s="210" t="str">
        <f t="shared" ref="A1:A64" si="0">CONCATENATE(E1,",",D1)</f>
        <v>ACF 256,ED2-BME</v>
      </c>
      <c r="B1" s="211" t="s">
        <v>1378</v>
      </c>
      <c r="C1" s="210" t="s">
        <v>1379</v>
      </c>
      <c r="D1" s="212" t="s">
        <v>109</v>
      </c>
      <c r="E1" s="210" t="s">
        <v>424</v>
      </c>
    </row>
    <row r="2" spans="1:5" x14ac:dyDescent="0.3">
      <c r="A2" s="210" t="str">
        <f t="shared" si="0"/>
        <v>ACF 256,ED2-COE</v>
      </c>
      <c r="B2" s="211" t="s">
        <v>1378</v>
      </c>
      <c r="C2" s="210" t="s">
        <v>1379</v>
      </c>
      <c r="D2" s="212" t="s">
        <v>108</v>
      </c>
      <c r="E2" s="210" t="s">
        <v>424</v>
      </c>
    </row>
    <row r="3" spans="1:5" x14ac:dyDescent="0.3">
      <c r="A3" s="210" t="str">
        <f t="shared" si="0"/>
        <v>ACF 256,ED2-TEL</v>
      </c>
      <c r="B3" s="211" t="s">
        <v>1378</v>
      </c>
      <c r="C3" s="210" t="s">
        <v>1379</v>
      </c>
      <c r="D3" s="212" t="s">
        <v>172</v>
      </c>
      <c r="E3" s="210" t="s">
        <v>424</v>
      </c>
    </row>
    <row r="4" spans="1:5" s="216" customFormat="1" ht="15" customHeight="1" x14ac:dyDescent="0.3">
      <c r="A4" s="210" t="str">
        <f t="shared" si="0"/>
        <v>AE 158,ED1-AE</v>
      </c>
      <c r="B4" s="213" t="s">
        <v>1380</v>
      </c>
      <c r="C4" s="214" t="s">
        <v>1381</v>
      </c>
      <c r="D4" s="215" t="s">
        <v>131</v>
      </c>
      <c r="E4" s="214" t="s">
        <v>314</v>
      </c>
    </row>
    <row r="5" spans="1:5" s="216" customFormat="1" x14ac:dyDescent="0.3">
      <c r="A5" s="210" t="str">
        <f t="shared" si="0"/>
        <v>AE 162,ED1-AE</v>
      </c>
      <c r="B5" s="213" t="s">
        <v>1382</v>
      </c>
      <c r="C5" s="214" t="s">
        <v>1381</v>
      </c>
      <c r="D5" s="215" t="s">
        <v>131</v>
      </c>
      <c r="E5" s="214" t="s">
        <v>242</v>
      </c>
    </row>
    <row r="6" spans="1:5" s="216" customFormat="1" x14ac:dyDescent="0.3">
      <c r="A6" s="210" t="str">
        <f t="shared" si="0"/>
        <v>AE 196,ED1-AE</v>
      </c>
      <c r="B6" s="213" t="s">
        <v>1383</v>
      </c>
      <c r="C6" s="214" t="s">
        <v>1384</v>
      </c>
      <c r="D6" s="215" t="s">
        <v>131</v>
      </c>
      <c r="E6" s="214" t="s">
        <v>454</v>
      </c>
    </row>
    <row r="7" spans="1:5" s="216" customFormat="1" x14ac:dyDescent="0.3">
      <c r="A7" s="210" t="str">
        <f t="shared" si="0"/>
        <v>AE 352,ED3-AE</v>
      </c>
      <c r="B7" s="213" t="s">
        <v>1385</v>
      </c>
      <c r="C7" s="214" t="s">
        <v>1386</v>
      </c>
      <c r="D7" s="215" t="s">
        <v>88</v>
      </c>
      <c r="E7" s="214" t="s">
        <v>455</v>
      </c>
    </row>
    <row r="8" spans="1:5" s="216" customFormat="1" x14ac:dyDescent="0.3">
      <c r="A8" s="210" t="str">
        <f t="shared" si="0"/>
        <v>AE 356,ED3-AE</v>
      </c>
      <c r="B8" s="213" t="s">
        <v>1387</v>
      </c>
      <c r="C8" s="214" t="s">
        <v>1388</v>
      </c>
      <c r="D8" s="215" t="s">
        <v>88</v>
      </c>
      <c r="E8" s="214" t="s">
        <v>303</v>
      </c>
    </row>
    <row r="9" spans="1:5" s="216" customFormat="1" x14ac:dyDescent="0.3">
      <c r="A9" s="210" t="str">
        <f t="shared" si="0"/>
        <v>AE 358,ED3-AE</v>
      </c>
      <c r="B9" s="213" t="s">
        <v>1389</v>
      </c>
      <c r="C9" s="214" t="s">
        <v>1390</v>
      </c>
      <c r="D9" s="215" t="s">
        <v>88</v>
      </c>
      <c r="E9" s="214" t="s">
        <v>87</v>
      </c>
    </row>
    <row r="10" spans="1:5" s="216" customFormat="1" x14ac:dyDescent="0.3">
      <c r="A10" s="210" t="str">
        <f t="shared" si="0"/>
        <v>AE 360,ED3-AE</v>
      </c>
      <c r="B10" s="213" t="s">
        <v>1391</v>
      </c>
      <c r="C10" s="214" t="s">
        <v>1392</v>
      </c>
      <c r="D10" s="215" t="s">
        <v>88</v>
      </c>
      <c r="E10" s="214" t="s">
        <v>220</v>
      </c>
    </row>
    <row r="11" spans="1:5" s="216" customFormat="1" x14ac:dyDescent="0.3">
      <c r="A11" s="210" t="str">
        <f t="shared" si="0"/>
        <v>AE 362,ED3-AE</v>
      </c>
      <c r="B11" s="213" t="s">
        <v>1393</v>
      </c>
      <c r="C11" s="214" t="s">
        <v>1394</v>
      </c>
      <c r="D11" s="215" t="s">
        <v>88</v>
      </c>
      <c r="E11" s="214" t="s">
        <v>498</v>
      </c>
    </row>
    <row r="12" spans="1:5" s="216" customFormat="1" x14ac:dyDescent="0.3">
      <c r="A12" s="210" t="str">
        <f t="shared" si="0"/>
        <v>AE 452,ED4-AE</v>
      </c>
      <c r="B12" s="213" t="s">
        <v>1395</v>
      </c>
      <c r="C12" s="214" t="s">
        <v>1396</v>
      </c>
      <c r="D12" s="215" t="s">
        <v>50</v>
      </c>
      <c r="E12" s="214" t="s">
        <v>213</v>
      </c>
    </row>
    <row r="13" spans="1:5" s="216" customFormat="1" x14ac:dyDescent="0.3">
      <c r="A13" s="210" t="str">
        <f t="shared" si="0"/>
        <v>AE 458,ED4-AE</v>
      </c>
      <c r="B13" s="213" t="s">
        <v>1397</v>
      </c>
      <c r="C13" s="214" t="s">
        <v>1398</v>
      </c>
      <c r="D13" s="215" t="s">
        <v>50</v>
      </c>
      <c r="E13" s="214" t="s">
        <v>49</v>
      </c>
    </row>
    <row r="14" spans="1:5" s="216" customFormat="1" x14ac:dyDescent="0.3">
      <c r="A14" s="210" t="str">
        <f t="shared" si="0"/>
        <v>AE 460,ED4-AE</v>
      </c>
      <c r="B14" s="213" t="s">
        <v>1399</v>
      </c>
      <c r="C14" s="214" t="s">
        <v>1400</v>
      </c>
      <c r="D14" s="215" t="s">
        <v>50</v>
      </c>
      <c r="E14" s="214" t="s">
        <v>325</v>
      </c>
    </row>
    <row r="15" spans="1:5" s="216" customFormat="1" x14ac:dyDescent="0.3">
      <c r="A15" s="210" t="str">
        <f t="shared" si="0"/>
        <v>AE 464,ED4-AE</v>
      </c>
      <c r="B15" s="213" t="s">
        <v>1401</v>
      </c>
      <c r="C15" s="214" t="s">
        <v>1402</v>
      </c>
      <c r="D15" s="215" t="s">
        <v>50</v>
      </c>
      <c r="E15" s="214" t="s">
        <v>477</v>
      </c>
    </row>
    <row r="16" spans="1:5" s="216" customFormat="1" x14ac:dyDescent="0.3">
      <c r="A16" s="210" t="str">
        <f t="shared" si="0"/>
        <v>AE 482,ED4-AE</v>
      </c>
      <c r="B16" s="213" t="s">
        <v>1403</v>
      </c>
      <c r="C16" s="214" t="s">
        <v>1404</v>
      </c>
      <c r="D16" s="215" t="s">
        <v>50</v>
      </c>
      <c r="E16" s="214" t="s">
        <v>429</v>
      </c>
    </row>
    <row r="17" spans="1:5" s="216" customFormat="1" x14ac:dyDescent="0.3">
      <c r="A17" s="210" t="str">
        <f t="shared" si="0"/>
        <v>AERO 174,ED1-AERO</v>
      </c>
      <c r="B17" s="213" t="s">
        <v>1405</v>
      </c>
      <c r="C17" s="214" t="s">
        <v>1406</v>
      </c>
      <c r="D17" s="215" t="s">
        <v>191</v>
      </c>
      <c r="E17" s="214" t="s">
        <v>483</v>
      </c>
    </row>
    <row r="18" spans="1:5" s="216" customFormat="1" x14ac:dyDescent="0.3">
      <c r="A18" s="210" t="str">
        <f t="shared" si="0"/>
        <v>AERO 256,ED2-AERO</v>
      </c>
      <c r="B18" s="213" t="s">
        <v>1407</v>
      </c>
      <c r="C18" s="214" t="s">
        <v>1408</v>
      </c>
      <c r="D18" s="215" t="s">
        <v>36</v>
      </c>
      <c r="E18" s="214" t="s">
        <v>356</v>
      </c>
    </row>
    <row r="19" spans="1:5" s="216" customFormat="1" x14ac:dyDescent="0.3">
      <c r="A19" s="210" t="str">
        <f t="shared" si="0"/>
        <v>AERO 274,ED2-AERO</v>
      </c>
      <c r="B19" s="213" t="s">
        <v>1409</v>
      </c>
      <c r="C19" s="214" t="s">
        <v>1410</v>
      </c>
      <c r="D19" s="215" t="s">
        <v>36</v>
      </c>
      <c r="E19" s="214" t="s">
        <v>35</v>
      </c>
    </row>
    <row r="20" spans="1:5" s="216" customFormat="1" x14ac:dyDescent="0.3">
      <c r="A20" s="210" t="str">
        <f t="shared" si="0"/>
        <v>AERO 362,ED3-AERO</v>
      </c>
      <c r="B20" s="213" t="s">
        <v>1411</v>
      </c>
      <c r="C20" s="214" t="s">
        <v>1412</v>
      </c>
      <c r="D20" s="215" t="s">
        <v>133</v>
      </c>
      <c r="E20" s="214" t="s">
        <v>277</v>
      </c>
    </row>
    <row r="21" spans="1:5" s="216" customFormat="1" x14ac:dyDescent="0.3">
      <c r="A21" s="210" t="str">
        <f t="shared" si="0"/>
        <v>AERO 368,ED3-AERO</v>
      </c>
      <c r="B21" s="213" t="s">
        <v>1413</v>
      </c>
      <c r="C21" s="214" t="s">
        <v>1414</v>
      </c>
      <c r="D21" s="215" t="s">
        <v>133</v>
      </c>
      <c r="E21" s="214" t="s">
        <v>192</v>
      </c>
    </row>
    <row r="22" spans="1:5" s="216" customFormat="1" x14ac:dyDescent="0.3">
      <c r="A22" s="210" t="str">
        <f t="shared" si="0"/>
        <v>AERO 374,ED3-AERO</v>
      </c>
      <c r="B22" s="213" t="s">
        <v>1415</v>
      </c>
      <c r="C22" s="214" t="s">
        <v>1408</v>
      </c>
      <c r="D22" s="215" t="s">
        <v>133</v>
      </c>
      <c r="E22" s="214" t="s">
        <v>436</v>
      </c>
    </row>
    <row r="23" spans="1:5" s="216" customFormat="1" x14ac:dyDescent="0.3">
      <c r="A23" s="210" t="str">
        <f t="shared" si="0"/>
        <v>AERO 396,ED3-AERO</v>
      </c>
      <c r="B23" s="213" t="s">
        <v>1416</v>
      </c>
      <c r="C23" s="214" t="s">
        <v>1417</v>
      </c>
      <c r="D23" s="215" t="s">
        <v>133</v>
      </c>
      <c r="E23" s="214" t="s">
        <v>132</v>
      </c>
    </row>
    <row r="24" spans="1:5" s="216" customFormat="1" x14ac:dyDescent="0.3">
      <c r="A24" s="210" t="str">
        <f t="shared" si="0"/>
        <v>AERO 452,ED4-AERO</v>
      </c>
      <c r="B24" s="213" t="s">
        <v>1418</v>
      </c>
      <c r="C24" s="214" t="s">
        <v>1414</v>
      </c>
      <c r="D24" s="215" t="s">
        <v>99</v>
      </c>
      <c r="E24" s="214" t="s">
        <v>526</v>
      </c>
    </row>
    <row r="25" spans="1:5" s="216" customFormat="1" x14ac:dyDescent="0.3">
      <c r="A25" s="210" t="str">
        <f t="shared" si="0"/>
        <v>AERO 456,ED4-AERO</v>
      </c>
      <c r="B25" s="213" t="s">
        <v>1419</v>
      </c>
      <c r="C25" s="214" t="s">
        <v>1420</v>
      </c>
      <c r="D25" s="215" t="s">
        <v>99</v>
      </c>
      <c r="E25" s="214" t="s">
        <v>98</v>
      </c>
    </row>
    <row r="26" spans="1:5" s="216" customFormat="1" x14ac:dyDescent="0.3">
      <c r="A26" s="210" t="str">
        <f t="shared" si="0"/>
        <v>AERO 492,ED4-AERO</v>
      </c>
      <c r="B26" s="213" t="s">
        <v>1421</v>
      </c>
      <c r="C26" s="214" t="s">
        <v>1422</v>
      </c>
      <c r="D26" s="215" t="s">
        <v>99</v>
      </c>
      <c r="E26" s="214" t="s">
        <v>472</v>
      </c>
    </row>
    <row r="27" spans="1:5" s="216" customFormat="1" x14ac:dyDescent="0.3">
      <c r="A27" s="210" t="str">
        <f t="shared" si="0"/>
        <v>AME 274,ED2-AUTO</v>
      </c>
      <c r="B27" s="213" t="s">
        <v>1423</v>
      </c>
      <c r="C27" s="214" t="s">
        <v>1406</v>
      </c>
      <c r="D27" s="215" t="s">
        <v>40</v>
      </c>
      <c r="E27" s="214" t="s">
        <v>39</v>
      </c>
    </row>
    <row r="28" spans="1:5" s="216" customFormat="1" x14ac:dyDescent="0.3">
      <c r="A28" s="210" t="str">
        <f t="shared" si="0"/>
        <v>AME 284,ED2-AUTO</v>
      </c>
      <c r="B28" s="213" t="s">
        <v>1424</v>
      </c>
      <c r="C28" s="214" t="s">
        <v>1425</v>
      </c>
      <c r="D28" s="215" t="s">
        <v>40</v>
      </c>
      <c r="E28" s="214" t="s">
        <v>1047</v>
      </c>
    </row>
    <row r="29" spans="1:5" s="216" customFormat="1" x14ac:dyDescent="0.3">
      <c r="A29" s="210" t="str">
        <f t="shared" si="0"/>
        <v>AME 296,ED2-AUTO</v>
      </c>
      <c r="B29" s="213" t="s">
        <v>1426</v>
      </c>
      <c r="C29" s="214" t="s">
        <v>1425</v>
      </c>
      <c r="D29" s="215" t="s">
        <v>40</v>
      </c>
      <c r="E29" s="214" t="s">
        <v>1049</v>
      </c>
    </row>
    <row r="30" spans="1:5" s="216" customFormat="1" x14ac:dyDescent="0.3">
      <c r="A30" s="210" t="str">
        <f t="shared" si="0"/>
        <v>AME 356,ED3-AUTO</v>
      </c>
      <c r="B30" s="213" t="s">
        <v>1427</v>
      </c>
      <c r="C30" s="214" t="s">
        <v>1425</v>
      </c>
      <c r="D30" s="215" t="s">
        <v>23</v>
      </c>
      <c r="E30" s="214" t="s">
        <v>316</v>
      </c>
    </row>
    <row r="31" spans="1:5" s="216" customFormat="1" x14ac:dyDescent="0.3">
      <c r="A31" s="210" t="str">
        <f t="shared" si="0"/>
        <v>AME 362,ED3-AUTO</v>
      </c>
      <c r="B31" s="213" t="s">
        <v>1428</v>
      </c>
      <c r="C31" s="214" t="s">
        <v>1429</v>
      </c>
      <c r="D31" s="215" t="s">
        <v>23</v>
      </c>
      <c r="E31" s="214" t="s">
        <v>521</v>
      </c>
    </row>
    <row r="32" spans="1:5" s="216" customFormat="1" x14ac:dyDescent="0.3">
      <c r="A32" s="210" t="str">
        <f t="shared" si="0"/>
        <v>AME 368,ED3-AUTO</v>
      </c>
      <c r="B32" s="213" t="s">
        <v>1430</v>
      </c>
      <c r="C32" s="214" t="s">
        <v>1431</v>
      </c>
      <c r="D32" s="215" t="s">
        <v>23</v>
      </c>
      <c r="E32" s="214" t="s">
        <v>165</v>
      </c>
    </row>
    <row r="33" spans="1:5" s="216" customFormat="1" x14ac:dyDescent="0.3">
      <c r="A33" s="210" t="str">
        <f t="shared" si="0"/>
        <v>AME 376,ED3-AUTO</v>
      </c>
      <c r="B33" s="213" t="s">
        <v>1432</v>
      </c>
      <c r="C33" s="214" t="s">
        <v>1425</v>
      </c>
      <c r="D33" s="215" t="s">
        <v>23</v>
      </c>
      <c r="E33" s="214" t="s">
        <v>22</v>
      </c>
    </row>
    <row r="34" spans="1:5" s="216" customFormat="1" x14ac:dyDescent="0.3">
      <c r="A34" s="210" t="str">
        <f t="shared" si="0"/>
        <v>AME 386,ED3-AUTO</v>
      </c>
      <c r="B34" s="213" t="s">
        <v>1433</v>
      </c>
      <c r="C34" s="214" t="s">
        <v>1431</v>
      </c>
      <c r="D34" s="215" t="s">
        <v>23</v>
      </c>
      <c r="E34" s="214" t="s">
        <v>443</v>
      </c>
    </row>
    <row r="35" spans="1:5" s="216" customFormat="1" x14ac:dyDescent="0.3">
      <c r="A35" s="210" t="str">
        <f t="shared" si="0"/>
        <v>AME 392,ED3-AUTO</v>
      </c>
      <c r="B35" s="213" t="s">
        <v>1434</v>
      </c>
      <c r="C35" s="214" t="s">
        <v>1435</v>
      </c>
      <c r="D35" s="215" t="s">
        <v>23</v>
      </c>
      <c r="E35" s="214" t="s">
        <v>241</v>
      </c>
    </row>
    <row r="36" spans="1:5" s="216" customFormat="1" ht="15" customHeight="1" x14ac:dyDescent="0.3">
      <c r="A36" s="210" t="str">
        <f t="shared" si="0"/>
        <v>AME 396,ED3-AUTO</v>
      </c>
      <c r="B36" s="213" t="s">
        <v>1436</v>
      </c>
      <c r="C36" s="214" t="s">
        <v>1425</v>
      </c>
      <c r="D36" s="215" t="s">
        <v>23</v>
      </c>
      <c r="E36" s="214" t="s">
        <v>1059</v>
      </c>
    </row>
    <row r="37" spans="1:5" s="216" customFormat="1" x14ac:dyDescent="0.3">
      <c r="A37" s="210" t="str">
        <f t="shared" si="0"/>
        <v>AME 384,ED3-AUTO</v>
      </c>
      <c r="B37" s="213" t="s">
        <v>1437</v>
      </c>
      <c r="C37" s="214" t="s">
        <v>1438</v>
      </c>
      <c r="D37" s="215" t="s">
        <v>23</v>
      </c>
      <c r="E37" s="214" t="s">
        <v>279</v>
      </c>
    </row>
    <row r="38" spans="1:5" s="216" customFormat="1" x14ac:dyDescent="0.3">
      <c r="A38" s="210" t="str">
        <f t="shared" si="0"/>
        <v>AME 476,ED4-AUTO</v>
      </c>
      <c r="B38" s="213" t="s">
        <v>1439</v>
      </c>
      <c r="C38" s="214" t="s">
        <v>1425</v>
      </c>
      <c r="D38" s="215" t="s">
        <v>97</v>
      </c>
      <c r="E38" s="214" t="s">
        <v>257</v>
      </c>
    </row>
    <row r="39" spans="1:5" s="216" customFormat="1" x14ac:dyDescent="0.3">
      <c r="A39" s="210" t="str">
        <f t="shared" si="0"/>
        <v>AME 482,ED4-AUTO</v>
      </c>
      <c r="B39" s="213" t="s">
        <v>1440</v>
      </c>
      <c r="C39" s="214" t="s">
        <v>1425</v>
      </c>
      <c r="D39" s="215" t="s">
        <v>97</v>
      </c>
      <c r="E39" s="214" t="s">
        <v>96</v>
      </c>
    </row>
    <row r="40" spans="1:5" s="216" customFormat="1" x14ac:dyDescent="0.3">
      <c r="A40" s="210" t="str">
        <f t="shared" si="0"/>
        <v>AME 496,ED4-AUTO</v>
      </c>
      <c r="B40" s="213" t="s">
        <v>1441</v>
      </c>
      <c r="C40" s="214" t="s">
        <v>1431</v>
      </c>
      <c r="D40" s="215" t="s">
        <v>97</v>
      </c>
      <c r="E40" s="214" t="s">
        <v>446</v>
      </c>
    </row>
    <row r="41" spans="1:5" x14ac:dyDescent="0.3">
      <c r="A41" s="210" t="str">
        <f t="shared" si="0"/>
        <v>ARC 156,ED1-CE</v>
      </c>
      <c r="B41" s="213" t="s">
        <v>1442</v>
      </c>
      <c r="C41" s="214" t="s">
        <v>1443</v>
      </c>
      <c r="D41" s="215" t="s">
        <v>75</v>
      </c>
      <c r="E41" s="214" t="s">
        <v>89</v>
      </c>
    </row>
    <row r="42" spans="1:5" s="216" customFormat="1" x14ac:dyDescent="0.3">
      <c r="A42" s="210" t="str">
        <f t="shared" si="0"/>
        <v>BME 252,ED2-BME</v>
      </c>
      <c r="B42" s="213" t="s">
        <v>1444</v>
      </c>
      <c r="C42" s="214" t="s">
        <v>1445</v>
      </c>
      <c r="D42" s="215" t="s">
        <v>109</v>
      </c>
      <c r="E42" s="214" t="s">
        <v>1078</v>
      </c>
    </row>
    <row r="43" spans="1:5" s="216" customFormat="1" x14ac:dyDescent="0.3">
      <c r="A43" s="210" t="str">
        <f t="shared" si="0"/>
        <v>BME 286,ED2-BME</v>
      </c>
      <c r="B43" s="213" t="s">
        <v>1446</v>
      </c>
      <c r="C43" s="214" t="s">
        <v>1447</v>
      </c>
      <c r="D43" s="215" t="s">
        <v>109</v>
      </c>
      <c r="E43" s="214" t="s">
        <v>522</v>
      </c>
    </row>
    <row r="44" spans="1:5" s="216" customFormat="1" x14ac:dyDescent="0.3">
      <c r="A44" s="210" t="str">
        <f t="shared" si="0"/>
        <v>BME 288,ED2-BME</v>
      </c>
      <c r="B44" s="213" t="s">
        <v>1448</v>
      </c>
      <c r="C44" s="214" t="s">
        <v>1449</v>
      </c>
      <c r="D44" s="215" t="s">
        <v>109</v>
      </c>
      <c r="E44" s="214" t="s">
        <v>1081</v>
      </c>
    </row>
    <row r="45" spans="1:5" s="216" customFormat="1" x14ac:dyDescent="0.3">
      <c r="A45" s="210" t="str">
        <f t="shared" si="0"/>
        <v>BME 362,ED3-BME</v>
      </c>
      <c r="B45" s="213" t="s">
        <v>1450</v>
      </c>
      <c r="C45" s="214" t="s">
        <v>1451</v>
      </c>
      <c r="D45" s="215" t="s">
        <v>65</v>
      </c>
      <c r="E45" s="214" t="s">
        <v>428</v>
      </c>
    </row>
    <row r="46" spans="1:5" s="216" customFormat="1" x14ac:dyDescent="0.3">
      <c r="A46" s="210" t="str">
        <f t="shared" si="0"/>
        <v>BME 364,ED3-BME</v>
      </c>
      <c r="B46" s="213" t="s">
        <v>1452</v>
      </c>
      <c r="C46" s="214" t="s">
        <v>1453</v>
      </c>
      <c r="D46" s="215" t="s">
        <v>65</v>
      </c>
      <c r="E46" s="214" t="s">
        <v>330</v>
      </c>
    </row>
    <row r="47" spans="1:5" s="216" customFormat="1" x14ac:dyDescent="0.3">
      <c r="A47" s="210" t="str">
        <f t="shared" si="0"/>
        <v>BME 366,ED3-BME</v>
      </c>
      <c r="B47" s="213" t="s">
        <v>1454</v>
      </c>
      <c r="C47" s="214" t="s">
        <v>1455</v>
      </c>
      <c r="D47" s="215" t="s">
        <v>65</v>
      </c>
      <c r="E47" s="214" t="s">
        <v>368</v>
      </c>
    </row>
    <row r="48" spans="1:5" s="216" customFormat="1" x14ac:dyDescent="0.3">
      <c r="A48" s="210" t="str">
        <f t="shared" si="0"/>
        <v>BME 372,ED3-BME</v>
      </c>
      <c r="B48" s="213" t="s">
        <v>1456</v>
      </c>
      <c r="C48" s="214" t="s">
        <v>1457</v>
      </c>
      <c r="D48" s="215" t="s">
        <v>65</v>
      </c>
      <c r="E48" s="214" t="s">
        <v>64</v>
      </c>
    </row>
    <row r="49" spans="1:5" s="216" customFormat="1" x14ac:dyDescent="0.3">
      <c r="A49" s="210" t="str">
        <f t="shared" si="0"/>
        <v>BME 374,ED3-BME</v>
      </c>
      <c r="B49" s="213" t="s">
        <v>1458</v>
      </c>
      <c r="C49" s="214" t="s">
        <v>1453</v>
      </c>
      <c r="D49" s="215" t="s">
        <v>65</v>
      </c>
      <c r="E49" s="214" t="s">
        <v>503</v>
      </c>
    </row>
    <row r="50" spans="1:5" s="216" customFormat="1" x14ac:dyDescent="0.3">
      <c r="A50" s="210" t="str">
        <f t="shared" si="0"/>
        <v>BME 454,ED4-BME</v>
      </c>
      <c r="B50" s="213" t="s">
        <v>1459</v>
      </c>
      <c r="C50" s="214" t="s">
        <v>1457</v>
      </c>
      <c r="D50" s="215" t="s">
        <v>252</v>
      </c>
      <c r="E50" s="214" t="s">
        <v>320</v>
      </c>
    </row>
    <row r="51" spans="1:5" s="216" customFormat="1" x14ac:dyDescent="0.3">
      <c r="A51" s="210" t="str">
        <f t="shared" si="0"/>
        <v>BME 462,ED4-BME</v>
      </c>
      <c r="B51" s="213" t="s">
        <v>1460</v>
      </c>
      <c r="C51" s="214" t="s">
        <v>1451</v>
      </c>
      <c r="D51" s="215" t="s">
        <v>252</v>
      </c>
      <c r="E51" s="214" t="s">
        <v>411</v>
      </c>
    </row>
    <row r="52" spans="1:5" s="216" customFormat="1" x14ac:dyDescent="0.3">
      <c r="A52" s="210" t="str">
        <f t="shared" si="0"/>
        <v>CE 154,ED1-CE</v>
      </c>
      <c r="B52" s="213" t="s">
        <v>1461</v>
      </c>
      <c r="C52" s="214" t="s">
        <v>1462</v>
      </c>
      <c r="D52" s="215" t="s">
        <v>75</v>
      </c>
      <c r="E52" s="214" t="s">
        <v>74</v>
      </c>
    </row>
    <row r="53" spans="1:5" s="216" customFormat="1" x14ac:dyDescent="0.3">
      <c r="A53" s="210" t="str">
        <f t="shared" si="0"/>
        <v>CE 156,ED1-CE</v>
      </c>
      <c r="B53" s="213" t="s">
        <v>1463</v>
      </c>
      <c r="C53" s="214" t="s">
        <v>1464</v>
      </c>
      <c r="D53" s="215" t="s">
        <v>75</v>
      </c>
      <c r="E53" s="214" t="s">
        <v>461</v>
      </c>
    </row>
    <row r="54" spans="1:5" s="216" customFormat="1" x14ac:dyDescent="0.3">
      <c r="A54" s="210" t="str">
        <f t="shared" si="0"/>
        <v>CE 156,ED1-GEOL</v>
      </c>
      <c r="B54" s="213" t="s">
        <v>1463</v>
      </c>
      <c r="C54" s="214" t="s">
        <v>1464</v>
      </c>
      <c r="D54" s="215" t="s">
        <v>126</v>
      </c>
      <c r="E54" s="214" t="s">
        <v>461</v>
      </c>
    </row>
    <row r="55" spans="1:5" s="216" customFormat="1" x14ac:dyDescent="0.3">
      <c r="A55" s="210" t="str">
        <f t="shared" si="0"/>
        <v>CE 164,ED1-CE</v>
      </c>
      <c r="B55" s="213" t="s">
        <v>1465</v>
      </c>
      <c r="C55" s="214" t="s">
        <v>1466</v>
      </c>
      <c r="D55" s="215" t="s">
        <v>75</v>
      </c>
      <c r="E55" s="214" t="s">
        <v>182</v>
      </c>
    </row>
    <row r="56" spans="1:5" s="216" customFormat="1" x14ac:dyDescent="0.3">
      <c r="A56" s="210" t="str">
        <f t="shared" si="0"/>
        <v>CE 164,ED1-GEOL</v>
      </c>
      <c r="B56" s="213" t="s">
        <v>1465</v>
      </c>
      <c r="C56" s="214" t="s">
        <v>1466</v>
      </c>
      <c r="D56" s="215" t="s">
        <v>126</v>
      </c>
      <c r="E56" s="214" t="s">
        <v>182</v>
      </c>
    </row>
    <row r="57" spans="1:5" s="216" customFormat="1" x14ac:dyDescent="0.3">
      <c r="A57" s="210" t="str">
        <f t="shared" si="0"/>
        <v>CE 256,ED2-CE</v>
      </c>
      <c r="B57" s="213" t="s">
        <v>1467</v>
      </c>
      <c r="C57" s="214" t="s">
        <v>1468</v>
      </c>
      <c r="D57" s="215" t="s">
        <v>56</v>
      </c>
      <c r="E57" s="214" t="s">
        <v>54</v>
      </c>
    </row>
    <row r="58" spans="1:5" s="216" customFormat="1" x14ac:dyDescent="0.3">
      <c r="A58" s="210" t="str">
        <f t="shared" si="0"/>
        <v>CE 256,ED2-GEOL</v>
      </c>
      <c r="B58" s="213" t="s">
        <v>1467</v>
      </c>
      <c r="C58" s="214" t="s">
        <v>1468</v>
      </c>
      <c r="D58" s="215" t="s">
        <v>55</v>
      </c>
      <c r="E58" s="214" t="s">
        <v>54</v>
      </c>
    </row>
    <row r="59" spans="1:5" s="216" customFormat="1" x14ac:dyDescent="0.3">
      <c r="A59" s="210" t="str">
        <f t="shared" si="0"/>
        <v>CE 258,ED2-CE</v>
      </c>
      <c r="B59" s="213" t="s">
        <v>1469</v>
      </c>
      <c r="C59" s="214" t="s">
        <v>1470</v>
      </c>
      <c r="D59" s="215" t="s">
        <v>56</v>
      </c>
      <c r="E59" s="214" t="s">
        <v>215</v>
      </c>
    </row>
    <row r="60" spans="1:5" s="216" customFormat="1" x14ac:dyDescent="0.3">
      <c r="A60" s="210" t="str">
        <f t="shared" si="0"/>
        <v>CE 260,ED2-CE</v>
      </c>
      <c r="B60" s="213" t="s">
        <v>1471</v>
      </c>
      <c r="C60" s="214" t="s">
        <v>1472</v>
      </c>
      <c r="D60" s="215" t="s">
        <v>56</v>
      </c>
      <c r="E60" s="214" t="s">
        <v>367</v>
      </c>
    </row>
    <row r="61" spans="1:5" s="216" customFormat="1" x14ac:dyDescent="0.3">
      <c r="A61" s="210" t="str">
        <f t="shared" si="0"/>
        <v>CE 260,ED2-GEOM</v>
      </c>
      <c r="B61" s="213" t="s">
        <v>1471</v>
      </c>
      <c r="C61" s="214" t="s">
        <v>1473</v>
      </c>
      <c r="D61" s="215" t="s">
        <v>170</v>
      </c>
      <c r="E61" s="214" t="s">
        <v>367</v>
      </c>
    </row>
    <row r="62" spans="1:5" s="216" customFormat="1" ht="15" customHeight="1" x14ac:dyDescent="0.3">
      <c r="A62" s="210" t="str">
        <f t="shared" si="0"/>
        <v>CE 262,ED2-CE</v>
      </c>
      <c r="B62" s="213" t="s">
        <v>1474</v>
      </c>
      <c r="C62" s="214" t="s">
        <v>1475</v>
      </c>
      <c r="D62" s="215" t="s">
        <v>56</v>
      </c>
      <c r="E62" s="214" t="s">
        <v>138</v>
      </c>
    </row>
    <row r="63" spans="1:5" s="216" customFormat="1" x14ac:dyDescent="0.3">
      <c r="A63" s="210" t="str">
        <f t="shared" si="0"/>
        <v>CE 264,ED2-CE</v>
      </c>
      <c r="B63" s="213" t="s">
        <v>1476</v>
      </c>
      <c r="C63" s="214" t="s">
        <v>1477</v>
      </c>
      <c r="D63" s="215" t="s">
        <v>56</v>
      </c>
      <c r="E63" s="214" t="s">
        <v>278</v>
      </c>
    </row>
    <row r="64" spans="1:5" s="216" customFormat="1" x14ac:dyDescent="0.3">
      <c r="A64" s="210" t="str">
        <f t="shared" si="0"/>
        <v>CE 272,ED2-CE</v>
      </c>
      <c r="B64" s="213" t="s">
        <v>1478</v>
      </c>
      <c r="C64" s="214" t="s">
        <v>1479</v>
      </c>
      <c r="D64" s="215" t="s">
        <v>56</v>
      </c>
      <c r="E64" s="214" t="s">
        <v>459</v>
      </c>
    </row>
    <row r="65" spans="1:5" s="216" customFormat="1" x14ac:dyDescent="0.3">
      <c r="A65" s="210" t="str">
        <f t="shared" ref="A65:A128" si="1">CONCATENATE(E65,",",D65)</f>
        <v>CE 352,ED3-CE</v>
      </c>
      <c r="B65" s="213" t="s">
        <v>1480</v>
      </c>
      <c r="C65" s="214" t="s">
        <v>1481</v>
      </c>
      <c r="D65" s="215" t="s">
        <v>157</v>
      </c>
      <c r="E65" s="214" t="s">
        <v>400</v>
      </c>
    </row>
    <row r="66" spans="1:5" s="216" customFormat="1" x14ac:dyDescent="0.3">
      <c r="A66" s="210" t="str">
        <f t="shared" si="1"/>
        <v>CE 356,ED3-CE</v>
      </c>
      <c r="B66" s="213" t="s">
        <v>1482</v>
      </c>
      <c r="C66" s="214" t="s">
        <v>1483</v>
      </c>
      <c r="D66" s="215" t="s">
        <v>157</v>
      </c>
      <c r="E66" s="214" t="s">
        <v>291</v>
      </c>
    </row>
    <row r="67" spans="1:5" s="216" customFormat="1" x14ac:dyDescent="0.3">
      <c r="A67" s="210" t="str">
        <f t="shared" si="1"/>
        <v>CE 360,ED3-CE</v>
      </c>
      <c r="B67" s="213" t="s">
        <v>1484</v>
      </c>
      <c r="C67" s="214" t="s">
        <v>1485</v>
      </c>
      <c r="D67" s="215" t="s">
        <v>157</v>
      </c>
      <c r="E67" s="214" t="s">
        <v>336</v>
      </c>
    </row>
    <row r="68" spans="1:5" s="216" customFormat="1" x14ac:dyDescent="0.3">
      <c r="A68" s="210" t="str">
        <f t="shared" si="1"/>
        <v>CE 364,ED3-CE</v>
      </c>
      <c r="B68" s="213" t="s">
        <v>1486</v>
      </c>
      <c r="C68" s="214" t="s">
        <v>1487</v>
      </c>
      <c r="D68" s="215" t="s">
        <v>157</v>
      </c>
      <c r="E68" s="214" t="s">
        <v>156</v>
      </c>
    </row>
    <row r="69" spans="1:5" s="216" customFormat="1" x14ac:dyDescent="0.3">
      <c r="A69" s="210" t="str">
        <f t="shared" si="1"/>
        <v>CE 368,ED3-CE</v>
      </c>
      <c r="B69" s="213" t="s">
        <v>1488</v>
      </c>
      <c r="C69" s="214" t="s">
        <v>1489</v>
      </c>
      <c r="D69" s="215" t="s">
        <v>157</v>
      </c>
      <c r="E69" s="214" t="s">
        <v>378</v>
      </c>
    </row>
    <row r="70" spans="1:5" s="216" customFormat="1" x14ac:dyDescent="0.3">
      <c r="A70" s="210" t="str">
        <f t="shared" si="1"/>
        <v>CE 368,ED3-GEOM</v>
      </c>
      <c r="B70" s="213" t="s">
        <v>1490</v>
      </c>
      <c r="C70" s="214" t="s">
        <v>1491</v>
      </c>
      <c r="D70" s="215" t="s">
        <v>77</v>
      </c>
      <c r="E70" s="214" t="s">
        <v>378</v>
      </c>
    </row>
    <row r="71" spans="1:5" s="216" customFormat="1" x14ac:dyDescent="0.3">
      <c r="A71" s="210" t="str">
        <f t="shared" si="1"/>
        <v>CE 376,ED3-CE</v>
      </c>
      <c r="B71" s="213" t="s">
        <v>1492</v>
      </c>
      <c r="C71" s="214" t="s">
        <v>1466</v>
      </c>
      <c r="D71" s="215" t="s">
        <v>157</v>
      </c>
      <c r="E71" s="214" t="s">
        <v>495</v>
      </c>
    </row>
    <row r="72" spans="1:5" s="216" customFormat="1" x14ac:dyDescent="0.3">
      <c r="A72" s="210" t="str">
        <f t="shared" si="1"/>
        <v>CE 378,ED3-CE</v>
      </c>
      <c r="B72" s="213" t="s">
        <v>1493</v>
      </c>
      <c r="C72" s="214" t="s">
        <v>1479</v>
      </c>
      <c r="D72" s="215" t="s">
        <v>157</v>
      </c>
      <c r="E72" s="214" t="s">
        <v>1115</v>
      </c>
    </row>
    <row r="73" spans="1:5" s="216" customFormat="1" x14ac:dyDescent="0.3">
      <c r="A73" s="210" t="str">
        <f t="shared" si="1"/>
        <v>CE 390,ED3-CE</v>
      </c>
      <c r="B73" s="213" t="s">
        <v>1494</v>
      </c>
      <c r="C73" s="214" t="s">
        <v>1489</v>
      </c>
      <c r="D73" s="215" t="s">
        <v>157</v>
      </c>
      <c r="E73" s="214" t="s">
        <v>1117</v>
      </c>
    </row>
    <row r="74" spans="1:5" s="216" customFormat="1" x14ac:dyDescent="0.3">
      <c r="A74" s="210" t="str">
        <f t="shared" si="1"/>
        <v>CE 456,ED4-CE</v>
      </c>
      <c r="B74" s="213" t="s">
        <v>1495</v>
      </c>
      <c r="C74" s="214" t="s">
        <v>1481</v>
      </c>
      <c r="D74" s="215" t="s">
        <v>103</v>
      </c>
      <c r="E74" s="214" t="s">
        <v>469</v>
      </c>
    </row>
    <row r="75" spans="1:5" s="216" customFormat="1" x14ac:dyDescent="0.3">
      <c r="A75" s="210" t="str">
        <f t="shared" si="1"/>
        <v>CE 452,ED4-CE</v>
      </c>
      <c r="B75" s="213" t="s">
        <v>1496</v>
      </c>
      <c r="C75" s="214" t="s">
        <v>1497</v>
      </c>
      <c r="D75" s="215" t="s">
        <v>103</v>
      </c>
      <c r="E75" s="214" t="s">
        <v>328</v>
      </c>
    </row>
    <row r="76" spans="1:5" s="216" customFormat="1" x14ac:dyDescent="0.3">
      <c r="A76" s="210" t="str">
        <f t="shared" si="1"/>
        <v>CE 458,ED4-CE</v>
      </c>
      <c r="B76" s="213" t="s">
        <v>1498</v>
      </c>
      <c r="C76" s="214" t="s">
        <v>1468</v>
      </c>
      <c r="D76" s="215" t="s">
        <v>103</v>
      </c>
      <c r="E76" s="214" t="s">
        <v>384</v>
      </c>
    </row>
    <row r="77" spans="1:5" s="216" customFormat="1" x14ac:dyDescent="0.3">
      <c r="A77" s="210" t="str">
        <f t="shared" si="1"/>
        <v>CE 462,ED4-CE</v>
      </c>
      <c r="B77" s="213" t="s">
        <v>1499</v>
      </c>
      <c r="C77" s="214" t="s">
        <v>1500</v>
      </c>
      <c r="D77" s="215" t="s">
        <v>103</v>
      </c>
      <c r="E77" s="214" t="s">
        <v>404</v>
      </c>
    </row>
    <row r="78" spans="1:5" s="216" customFormat="1" x14ac:dyDescent="0.3">
      <c r="A78" s="210" t="str">
        <f t="shared" si="1"/>
        <v>CE 464,ED4-CE</v>
      </c>
      <c r="B78" s="213" t="s">
        <v>1501</v>
      </c>
      <c r="C78" s="214" t="s">
        <v>1502</v>
      </c>
      <c r="D78" s="215" t="s">
        <v>103</v>
      </c>
      <c r="E78" s="214" t="s">
        <v>102</v>
      </c>
    </row>
    <row r="79" spans="1:5" s="216" customFormat="1" x14ac:dyDescent="0.3">
      <c r="A79" s="210" t="str">
        <f t="shared" si="1"/>
        <v>CE 468,ED4-CE</v>
      </c>
      <c r="B79" s="213" t="s">
        <v>1503</v>
      </c>
      <c r="C79" s="214" t="s">
        <v>1504</v>
      </c>
      <c r="D79" s="215" t="s">
        <v>103</v>
      </c>
      <c r="E79" s="214" t="s">
        <v>155</v>
      </c>
    </row>
    <row r="80" spans="1:5" s="216" customFormat="1" x14ac:dyDescent="0.3">
      <c r="A80" s="210" t="str">
        <f t="shared" si="1"/>
        <v>CE 476,ED4-CE</v>
      </c>
      <c r="B80" s="213" t="s">
        <v>1505</v>
      </c>
      <c r="C80" s="214" t="s">
        <v>1466</v>
      </c>
      <c r="D80" s="215" t="s">
        <v>103</v>
      </c>
      <c r="E80" s="214" t="s">
        <v>346</v>
      </c>
    </row>
    <row r="81" spans="1:5" s="216" customFormat="1" x14ac:dyDescent="0.3">
      <c r="A81" s="210" t="str">
        <f t="shared" si="1"/>
        <v>CE 478,ED4-CE</v>
      </c>
      <c r="B81" s="213" t="s">
        <v>1506</v>
      </c>
      <c r="C81" s="214" t="s">
        <v>1507</v>
      </c>
      <c r="D81" s="215" t="s">
        <v>103</v>
      </c>
      <c r="E81" s="214" t="s">
        <v>270</v>
      </c>
    </row>
    <row r="82" spans="1:5" s="216" customFormat="1" x14ac:dyDescent="0.3">
      <c r="A82" s="210" t="str">
        <f t="shared" si="1"/>
        <v>CE 480,ED4-CE</v>
      </c>
      <c r="B82" s="213" t="s">
        <v>1508</v>
      </c>
      <c r="C82" s="214" t="s">
        <v>1509</v>
      </c>
      <c r="D82" s="215" t="s">
        <v>103</v>
      </c>
      <c r="E82" s="214" t="s">
        <v>205</v>
      </c>
    </row>
    <row r="83" spans="1:5" s="216" customFormat="1" x14ac:dyDescent="0.3">
      <c r="A83" s="210" t="str">
        <f t="shared" si="1"/>
        <v>CE 478,ED4-GEOL</v>
      </c>
      <c r="B83" s="213" t="s">
        <v>1506</v>
      </c>
      <c r="C83" s="214" t="s">
        <v>1507</v>
      </c>
      <c r="D83" s="215" t="s">
        <v>177</v>
      </c>
      <c r="E83" s="214" t="s">
        <v>270</v>
      </c>
    </row>
    <row r="84" spans="1:5" s="216" customFormat="1" x14ac:dyDescent="0.3">
      <c r="A84" s="210" t="str">
        <f t="shared" si="1"/>
        <v>CHE 156,ED1-CHE</v>
      </c>
      <c r="B84" s="213" t="s">
        <v>1510</v>
      </c>
      <c r="C84" s="214" t="s">
        <v>1511</v>
      </c>
      <c r="D84" s="215" t="s">
        <v>80</v>
      </c>
      <c r="E84" s="214" t="s">
        <v>302</v>
      </c>
    </row>
    <row r="85" spans="1:5" s="216" customFormat="1" x14ac:dyDescent="0.3">
      <c r="A85" s="210" t="str">
        <f t="shared" si="1"/>
        <v>CHE 156,ED1-PCE</v>
      </c>
      <c r="B85" s="213" t="s">
        <v>1510</v>
      </c>
      <c r="C85" s="214" t="s">
        <v>1512</v>
      </c>
      <c r="D85" s="215" t="s">
        <v>81</v>
      </c>
      <c r="E85" s="214" t="s">
        <v>302</v>
      </c>
    </row>
    <row r="86" spans="1:5" s="216" customFormat="1" x14ac:dyDescent="0.3">
      <c r="A86" s="210" t="str">
        <f t="shared" si="1"/>
        <v>CHE 158,ED1-CHE</v>
      </c>
      <c r="B86" s="213" t="s">
        <v>1380</v>
      </c>
      <c r="C86" s="214" t="s">
        <v>1513</v>
      </c>
      <c r="D86" s="215" t="s">
        <v>80</v>
      </c>
      <c r="E86" s="214" t="s">
        <v>186</v>
      </c>
    </row>
    <row r="87" spans="1:5" s="216" customFormat="1" x14ac:dyDescent="0.3">
      <c r="A87" s="210" t="str">
        <f t="shared" si="1"/>
        <v>CHE 250,ED2-CHE</v>
      </c>
      <c r="B87" s="213" t="s">
        <v>1514</v>
      </c>
      <c r="C87" s="214" t="s">
        <v>1515</v>
      </c>
      <c r="D87" s="215" t="s">
        <v>13</v>
      </c>
      <c r="E87" s="214" t="s">
        <v>338</v>
      </c>
    </row>
    <row r="88" spans="1:5" s="216" customFormat="1" x14ac:dyDescent="0.3">
      <c r="A88" s="210" t="str">
        <f t="shared" si="1"/>
        <v>CHE 250,ED2-PCE</v>
      </c>
      <c r="B88" s="213" t="s">
        <v>1514</v>
      </c>
      <c r="C88" s="214" t="s">
        <v>1516</v>
      </c>
      <c r="D88" s="215" t="s">
        <v>14</v>
      </c>
      <c r="E88" s="214" t="s">
        <v>338</v>
      </c>
    </row>
    <row r="89" spans="1:5" s="216" customFormat="1" x14ac:dyDescent="0.3">
      <c r="A89" s="210" t="str">
        <f t="shared" si="1"/>
        <v>CHE 252,ED2-CHE</v>
      </c>
      <c r="B89" s="213" t="s">
        <v>1517</v>
      </c>
      <c r="C89" s="214" t="s">
        <v>1518</v>
      </c>
      <c r="D89" s="215" t="s">
        <v>13</v>
      </c>
      <c r="E89" s="214" t="s">
        <v>297</v>
      </c>
    </row>
    <row r="90" spans="1:5" s="216" customFormat="1" x14ac:dyDescent="0.3">
      <c r="A90" s="210" t="str">
        <f t="shared" si="1"/>
        <v>CHE 252,ED2-PCE</v>
      </c>
      <c r="B90" s="213" t="s">
        <v>1517</v>
      </c>
      <c r="C90" s="214" t="s">
        <v>1519</v>
      </c>
      <c r="D90" s="215" t="s">
        <v>14</v>
      </c>
      <c r="E90" s="214" t="s">
        <v>297</v>
      </c>
    </row>
    <row r="91" spans="1:5" s="216" customFormat="1" x14ac:dyDescent="0.3">
      <c r="A91" s="210" t="str">
        <f t="shared" si="1"/>
        <v>CHE 254,ED2-CHE</v>
      </c>
      <c r="B91" s="213" t="s">
        <v>1520</v>
      </c>
      <c r="C91" s="214" t="s">
        <v>1513</v>
      </c>
      <c r="D91" s="215" t="s">
        <v>13</v>
      </c>
      <c r="E91" s="214" t="s">
        <v>397</v>
      </c>
    </row>
    <row r="92" spans="1:5" s="216" customFormat="1" x14ac:dyDescent="0.3">
      <c r="A92" s="210" t="str">
        <f t="shared" si="1"/>
        <v>CHE 254,ED2-PCE</v>
      </c>
      <c r="B92" s="213" t="s">
        <v>1520</v>
      </c>
      <c r="C92" s="214" t="s">
        <v>1521</v>
      </c>
      <c r="D92" s="215" t="s">
        <v>14</v>
      </c>
      <c r="E92" s="214" t="s">
        <v>397</v>
      </c>
    </row>
    <row r="93" spans="1:5" s="216" customFormat="1" ht="15" customHeight="1" x14ac:dyDescent="0.3">
      <c r="A93" s="210" t="str">
        <f t="shared" si="1"/>
        <v>CHE 256,ED2-CHE</v>
      </c>
      <c r="B93" s="213" t="s">
        <v>1522</v>
      </c>
      <c r="C93" s="214" t="s">
        <v>1523</v>
      </c>
      <c r="D93" s="215" t="s">
        <v>13</v>
      </c>
      <c r="E93" s="214" t="s">
        <v>83</v>
      </c>
    </row>
    <row r="94" spans="1:5" s="216" customFormat="1" x14ac:dyDescent="0.3">
      <c r="A94" s="210" t="str">
        <f t="shared" si="1"/>
        <v>CHE 256,ED2-PCE</v>
      </c>
      <c r="B94" s="213" t="s">
        <v>1522</v>
      </c>
      <c r="C94" s="214" t="s">
        <v>1519</v>
      </c>
      <c r="D94" s="215" t="s">
        <v>14</v>
      </c>
      <c r="E94" s="214" t="s">
        <v>83</v>
      </c>
    </row>
    <row r="95" spans="1:5" s="216" customFormat="1" x14ac:dyDescent="0.3">
      <c r="A95" s="210" t="str">
        <f t="shared" si="1"/>
        <v>CHE 258,ED2-CHE</v>
      </c>
      <c r="B95" s="213" t="s">
        <v>1524</v>
      </c>
      <c r="C95" s="214" t="s">
        <v>1525</v>
      </c>
      <c r="D95" s="215" t="s">
        <v>13</v>
      </c>
      <c r="E95" s="214" t="s">
        <v>12</v>
      </c>
    </row>
    <row r="96" spans="1:5" s="216" customFormat="1" x14ac:dyDescent="0.3">
      <c r="A96" s="210" t="str">
        <f t="shared" si="1"/>
        <v>CHE 258,ED2-PCE</v>
      </c>
      <c r="B96" s="213" t="s">
        <v>1524</v>
      </c>
      <c r="C96" s="214" t="s">
        <v>1525</v>
      </c>
      <c r="D96" s="215" t="s">
        <v>14</v>
      </c>
      <c r="E96" s="214" t="s">
        <v>12</v>
      </c>
    </row>
    <row r="97" spans="1:5" s="216" customFormat="1" x14ac:dyDescent="0.3">
      <c r="A97" s="210" t="str">
        <f t="shared" si="1"/>
        <v>CHE 350,ED3-CHE</v>
      </c>
      <c r="B97" s="213" t="s">
        <v>1526</v>
      </c>
      <c r="C97" s="214" t="s">
        <v>1527</v>
      </c>
      <c r="D97" s="215" t="s">
        <v>73</v>
      </c>
      <c r="E97" s="214" t="s">
        <v>199</v>
      </c>
    </row>
    <row r="98" spans="1:5" s="216" customFormat="1" x14ac:dyDescent="0.3">
      <c r="A98" s="210" t="str">
        <f t="shared" si="1"/>
        <v>CHE 350,ED3-PCE</v>
      </c>
      <c r="B98" s="213" t="s">
        <v>1526</v>
      </c>
      <c r="C98" s="214" t="s">
        <v>1515</v>
      </c>
      <c r="D98" s="215" t="s">
        <v>63</v>
      </c>
      <c r="E98" s="214" t="s">
        <v>199</v>
      </c>
    </row>
    <row r="99" spans="1:5" s="216" customFormat="1" x14ac:dyDescent="0.3">
      <c r="A99" s="210" t="str">
        <f t="shared" si="1"/>
        <v>CHE 352,ED3-CHE</v>
      </c>
      <c r="B99" s="213" t="s">
        <v>1528</v>
      </c>
      <c r="C99" s="214" t="s">
        <v>1513</v>
      </c>
      <c r="D99" s="215" t="s">
        <v>73</v>
      </c>
      <c r="E99" s="214" t="s">
        <v>516</v>
      </c>
    </row>
    <row r="100" spans="1:5" s="216" customFormat="1" x14ac:dyDescent="0.3">
      <c r="A100" s="210" t="str">
        <f t="shared" si="1"/>
        <v>CHE 354,ED3-CHE</v>
      </c>
      <c r="B100" s="213" t="s">
        <v>1529</v>
      </c>
      <c r="C100" s="214" t="s">
        <v>1530</v>
      </c>
      <c r="D100" s="215" t="s">
        <v>73</v>
      </c>
      <c r="E100" s="214" t="s">
        <v>476</v>
      </c>
    </row>
    <row r="101" spans="1:5" s="216" customFormat="1" x14ac:dyDescent="0.3">
      <c r="A101" s="210" t="str">
        <f t="shared" si="1"/>
        <v>CHE 358,ED3-CHE</v>
      </c>
      <c r="B101" s="213" t="s">
        <v>1531</v>
      </c>
      <c r="C101" s="214" t="s">
        <v>1532</v>
      </c>
      <c r="D101" s="215" t="s">
        <v>73</v>
      </c>
      <c r="E101" s="214" t="s">
        <v>315</v>
      </c>
    </row>
    <row r="102" spans="1:5" s="216" customFormat="1" x14ac:dyDescent="0.3">
      <c r="A102" s="210" t="str">
        <f t="shared" si="1"/>
        <v>CHE 358,ED3-PCE</v>
      </c>
      <c r="B102" s="213" t="s">
        <v>1531</v>
      </c>
      <c r="C102" s="214" t="s">
        <v>1532</v>
      </c>
      <c r="D102" s="215" t="s">
        <v>63</v>
      </c>
      <c r="E102" s="214" t="s">
        <v>315</v>
      </c>
    </row>
    <row r="103" spans="1:5" s="216" customFormat="1" x14ac:dyDescent="0.3">
      <c r="A103" s="210" t="str">
        <f t="shared" si="1"/>
        <v>CHE 362,ED3-CHE</v>
      </c>
      <c r="B103" s="213" t="s">
        <v>1533</v>
      </c>
      <c r="C103" s="214" t="s">
        <v>1523</v>
      </c>
      <c r="D103" s="215" t="s">
        <v>73</v>
      </c>
      <c r="E103" s="214" t="s">
        <v>72</v>
      </c>
    </row>
    <row r="104" spans="1:5" s="216" customFormat="1" x14ac:dyDescent="0.3">
      <c r="A104" s="210" t="str">
        <f t="shared" si="1"/>
        <v>CHE 364,ED3-CHE</v>
      </c>
      <c r="B104" s="213" t="s">
        <v>1534</v>
      </c>
      <c r="C104" s="214" t="s">
        <v>1535</v>
      </c>
      <c r="D104" s="215" t="s">
        <v>73</v>
      </c>
      <c r="E104" s="214" t="s">
        <v>370</v>
      </c>
    </row>
    <row r="105" spans="1:5" s="216" customFormat="1" x14ac:dyDescent="0.3">
      <c r="A105" s="210" t="str">
        <f t="shared" si="1"/>
        <v>CHE 366,ED3-PCE</v>
      </c>
      <c r="B105" s="213" t="s">
        <v>1536</v>
      </c>
      <c r="C105" s="214" t="s">
        <v>1535</v>
      </c>
      <c r="D105" s="215" t="s">
        <v>63</v>
      </c>
      <c r="E105" s="214" t="s">
        <v>382</v>
      </c>
    </row>
    <row r="106" spans="1:5" s="216" customFormat="1" x14ac:dyDescent="0.3">
      <c r="A106" s="210" t="str">
        <f t="shared" si="1"/>
        <v>CHE 368,ED3-CHE</v>
      </c>
      <c r="B106" s="213" t="s">
        <v>1537</v>
      </c>
      <c r="C106" s="214" t="s">
        <v>1515</v>
      </c>
      <c r="D106" s="215" t="s">
        <v>73</v>
      </c>
      <c r="E106" s="214" t="s">
        <v>122</v>
      </c>
    </row>
    <row r="107" spans="1:5" s="216" customFormat="1" x14ac:dyDescent="0.3">
      <c r="A107" s="210" t="str">
        <f t="shared" si="1"/>
        <v>CHE 370,ED3-PCE</v>
      </c>
      <c r="B107" s="213" t="s">
        <v>1538</v>
      </c>
      <c r="C107" s="214" t="s">
        <v>1511</v>
      </c>
      <c r="D107" s="215" t="s">
        <v>63</v>
      </c>
      <c r="E107" s="214" t="s">
        <v>296</v>
      </c>
    </row>
    <row r="108" spans="1:5" s="216" customFormat="1" x14ac:dyDescent="0.3">
      <c r="A108" s="210" t="str">
        <f t="shared" si="1"/>
        <v>CHE 456,ED4-CHE</v>
      </c>
      <c r="B108" s="213" t="s">
        <v>1539</v>
      </c>
      <c r="C108" s="214" t="s">
        <v>1535</v>
      </c>
      <c r="D108" s="215" t="s">
        <v>48</v>
      </c>
      <c r="E108" s="214" t="s">
        <v>525</v>
      </c>
    </row>
    <row r="109" spans="1:5" s="216" customFormat="1" x14ac:dyDescent="0.3">
      <c r="A109" s="210" t="str">
        <f t="shared" si="1"/>
        <v>CHE 456,ED4-PCE</v>
      </c>
      <c r="B109" s="213" t="s">
        <v>1539</v>
      </c>
      <c r="C109" s="214" t="s">
        <v>1516</v>
      </c>
      <c r="D109" s="215" t="s">
        <v>44</v>
      </c>
      <c r="E109" s="214" t="s">
        <v>525</v>
      </c>
    </row>
    <row r="110" spans="1:5" s="216" customFormat="1" x14ac:dyDescent="0.3">
      <c r="A110" s="210" t="str">
        <f t="shared" si="1"/>
        <v>CHE 458,ED4-CHE</v>
      </c>
      <c r="B110" s="213" t="s">
        <v>1540</v>
      </c>
      <c r="C110" s="214" t="s">
        <v>1541</v>
      </c>
      <c r="D110" s="215" t="s">
        <v>48</v>
      </c>
      <c r="E110" s="214" t="s">
        <v>345</v>
      </c>
    </row>
    <row r="111" spans="1:5" s="216" customFormat="1" x14ac:dyDescent="0.3">
      <c r="A111" s="210" t="str">
        <f t="shared" si="1"/>
        <v>CHE 458,ED4-PCE</v>
      </c>
      <c r="B111" s="213" t="s">
        <v>1540</v>
      </c>
      <c r="C111" s="214" t="s">
        <v>1541</v>
      </c>
      <c r="D111" s="215" t="s">
        <v>44</v>
      </c>
      <c r="E111" s="214" t="s">
        <v>345</v>
      </c>
    </row>
    <row r="112" spans="1:5" s="216" customFormat="1" x14ac:dyDescent="0.3">
      <c r="A112" s="210" t="str">
        <f t="shared" si="1"/>
        <v>CHE 464,ED4-PCE</v>
      </c>
      <c r="B112" s="213" t="s">
        <v>1542</v>
      </c>
      <c r="C112" s="214" t="s">
        <v>1519</v>
      </c>
      <c r="D112" s="215" t="s">
        <v>44</v>
      </c>
      <c r="E112" s="214" t="s">
        <v>319</v>
      </c>
    </row>
    <row r="113" spans="1:5" s="216" customFormat="1" x14ac:dyDescent="0.3">
      <c r="A113" s="210" t="str">
        <f t="shared" si="1"/>
        <v>CHE 466,ED4-CHE</v>
      </c>
      <c r="B113" s="213" t="s">
        <v>1543</v>
      </c>
      <c r="C113" s="214" t="s">
        <v>1518</v>
      </c>
      <c r="D113" s="215" t="s">
        <v>48</v>
      </c>
      <c r="E113" s="214" t="s">
        <v>280</v>
      </c>
    </row>
    <row r="114" spans="1:5" s="216" customFormat="1" ht="15" customHeight="1" x14ac:dyDescent="0.3">
      <c r="A114" s="210" t="str">
        <f t="shared" si="1"/>
        <v>CHE 468,ED4-CHE</v>
      </c>
      <c r="B114" s="213" t="s">
        <v>1544</v>
      </c>
      <c r="C114" s="214" t="s">
        <v>1511</v>
      </c>
      <c r="D114" s="215" t="s">
        <v>48</v>
      </c>
      <c r="E114" s="214" t="s">
        <v>431</v>
      </c>
    </row>
    <row r="115" spans="1:5" s="216" customFormat="1" x14ac:dyDescent="0.3">
      <c r="A115" s="210" t="str">
        <f t="shared" si="1"/>
        <v>CHE 470,ED4-CHE</v>
      </c>
      <c r="B115" s="213" t="s">
        <v>1545</v>
      </c>
      <c r="C115" s="214" t="s">
        <v>1546</v>
      </c>
      <c r="D115" s="215" t="s">
        <v>48</v>
      </c>
      <c r="E115" s="214" t="s">
        <v>415</v>
      </c>
    </row>
    <row r="116" spans="1:5" s="216" customFormat="1" x14ac:dyDescent="0.3">
      <c r="A116" s="210" t="str">
        <f t="shared" si="1"/>
        <v>CHEM 280,ED2-CHE</v>
      </c>
      <c r="B116" s="213" t="s">
        <v>1547</v>
      </c>
      <c r="C116" s="214" t="s">
        <v>1548</v>
      </c>
      <c r="D116" s="215" t="s">
        <v>13</v>
      </c>
      <c r="E116" s="214" t="s">
        <v>173</v>
      </c>
    </row>
    <row r="117" spans="1:5" s="216" customFormat="1" x14ac:dyDescent="0.3">
      <c r="A117" s="210" t="str">
        <f t="shared" si="1"/>
        <v>CHEM 280,ED2-PCE</v>
      </c>
      <c r="B117" s="213" t="s">
        <v>1547</v>
      </c>
      <c r="C117" s="214" t="s">
        <v>1548</v>
      </c>
      <c r="D117" s="215" t="s">
        <v>14</v>
      </c>
      <c r="E117" s="214" t="s">
        <v>173</v>
      </c>
    </row>
    <row r="118" spans="1:5" s="216" customFormat="1" x14ac:dyDescent="0.3">
      <c r="A118" s="210" t="str">
        <f t="shared" si="1"/>
        <v>COE 152,ED1-BME</v>
      </c>
      <c r="B118" s="213" t="s">
        <v>1549</v>
      </c>
      <c r="C118" s="214" t="s">
        <v>1445</v>
      </c>
      <c r="D118" s="215" t="s">
        <v>130</v>
      </c>
      <c r="E118" s="214" t="s">
        <v>260</v>
      </c>
    </row>
    <row r="119" spans="1:5" s="216" customFormat="1" x14ac:dyDescent="0.3">
      <c r="A119" s="210" t="str">
        <f t="shared" si="1"/>
        <v>ME 161,ED1-BME</v>
      </c>
      <c r="B119" s="213" t="s">
        <v>1069</v>
      </c>
      <c r="C119" s="214" t="s">
        <v>1550</v>
      </c>
      <c r="D119" s="215" t="s">
        <v>130</v>
      </c>
      <c r="E119" s="214" t="s">
        <v>1070</v>
      </c>
    </row>
    <row r="120" spans="1:5" s="216" customFormat="1" x14ac:dyDescent="0.3">
      <c r="A120" s="210" t="str">
        <f t="shared" si="1"/>
        <v>COE 382,ED1-COE</v>
      </c>
      <c r="B120" s="213" t="s">
        <v>1551</v>
      </c>
      <c r="C120" s="214" t="s">
        <v>1541</v>
      </c>
      <c r="D120" s="215" t="s">
        <v>20</v>
      </c>
      <c r="E120" s="214" t="s">
        <v>412</v>
      </c>
    </row>
    <row r="121" spans="1:5" s="216" customFormat="1" x14ac:dyDescent="0.3">
      <c r="A121" s="210" t="str">
        <f t="shared" si="1"/>
        <v>COE 181,ED1-BME</v>
      </c>
      <c r="B121" s="213" t="s">
        <v>1066</v>
      </c>
      <c r="C121" s="214" t="s">
        <v>1552</v>
      </c>
      <c r="D121" s="215" t="s">
        <v>130</v>
      </c>
      <c r="E121" s="214" t="s">
        <v>1067</v>
      </c>
    </row>
    <row r="122" spans="1:5" s="216" customFormat="1" x14ac:dyDescent="0.3">
      <c r="A122" s="210" t="str">
        <f t="shared" si="1"/>
        <v>BME 161,ED1-BME</v>
      </c>
      <c r="B122" s="213" t="s">
        <v>1553</v>
      </c>
      <c r="C122" s="214" t="s">
        <v>1554</v>
      </c>
      <c r="D122" s="215" t="s">
        <v>130</v>
      </c>
      <c r="E122" s="214" t="s">
        <v>1073</v>
      </c>
    </row>
    <row r="123" spans="1:5" s="216" customFormat="1" x14ac:dyDescent="0.3">
      <c r="A123" s="210" t="str">
        <f t="shared" si="1"/>
        <v>ME 166,ED1-BME</v>
      </c>
      <c r="B123" s="213" t="s">
        <v>1024</v>
      </c>
      <c r="C123" s="214" t="s">
        <v>1550</v>
      </c>
      <c r="D123" s="215" t="s">
        <v>130</v>
      </c>
      <c r="E123" s="214" t="s">
        <v>421</v>
      </c>
    </row>
    <row r="124" spans="1:5" s="216" customFormat="1" x14ac:dyDescent="0.3">
      <c r="A124" s="210" t="str">
        <f t="shared" si="1"/>
        <v>BME 166,ED1-BME</v>
      </c>
      <c r="B124" s="213" t="s">
        <v>1555</v>
      </c>
      <c r="C124" s="214" t="s">
        <v>1556</v>
      </c>
      <c r="D124" s="215" t="s">
        <v>130</v>
      </c>
      <c r="E124" s="214" t="s">
        <v>520</v>
      </c>
    </row>
    <row r="125" spans="1:5" s="216" customFormat="1" ht="15" customHeight="1" x14ac:dyDescent="0.3">
      <c r="A125" s="210" t="str">
        <f t="shared" si="1"/>
        <v>COE 152,ED1-COE</v>
      </c>
      <c r="B125" s="213" t="s">
        <v>1549</v>
      </c>
      <c r="C125" s="214" t="s">
        <v>1557</v>
      </c>
      <c r="D125" s="215" t="s">
        <v>20</v>
      </c>
      <c r="E125" s="214" t="s">
        <v>260</v>
      </c>
    </row>
    <row r="126" spans="1:5" s="216" customFormat="1" x14ac:dyDescent="0.3">
      <c r="A126" s="210" t="str">
        <f t="shared" si="1"/>
        <v>COE 158,ED1-COE</v>
      </c>
      <c r="B126" s="213" t="s">
        <v>1380</v>
      </c>
      <c r="C126" s="214" t="s">
        <v>1558</v>
      </c>
      <c r="D126" s="215" t="s">
        <v>20</v>
      </c>
      <c r="E126" s="214" t="s">
        <v>175</v>
      </c>
    </row>
    <row r="127" spans="1:5" s="216" customFormat="1" x14ac:dyDescent="0.3">
      <c r="A127" s="210" t="str">
        <f t="shared" si="1"/>
        <v>EE 158,ED1-EE</v>
      </c>
      <c r="B127" s="213" t="s">
        <v>1173</v>
      </c>
      <c r="C127" s="214" t="s">
        <v>1559</v>
      </c>
      <c r="D127" s="215" t="s">
        <v>51</v>
      </c>
      <c r="E127" s="214" t="s">
        <v>329</v>
      </c>
    </row>
    <row r="128" spans="1:5" s="216" customFormat="1" x14ac:dyDescent="0.3">
      <c r="A128" s="210" t="str">
        <f t="shared" si="1"/>
        <v>COE 254,ED2-BME</v>
      </c>
      <c r="B128" s="213" t="s">
        <v>1560</v>
      </c>
      <c r="C128" s="214" t="s">
        <v>1561</v>
      </c>
      <c r="D128" s="215" t="s">
        <v>109</v>
      </c>
      <c r="E128" s="214" t="s">
        <v>107</v>
      </c>
    </row>
    <row r="129" spans="1:5" s="216" customFormat="1" x14ac:dyDescent="0.3">
      <c r="A129" s="210" t="str">
        <f t="shared" ref="A129:A192" si="2">CONCATENATE(E129,",",D129)</f>
        <v>COE 254,ED2-COE</v>
      </c>
      <c r="B129" s="213" t="s">
        <v>1560</v>
      </c>
      <c r="C129" s="214" t="s">
        <v>1561</v>
      </c>
      <c r="D129" s="215" t="s">
        <v>108</v>
      </c>
      <c r="E129" s="214" t="s">
        <v>107</v>
      </c>
    </row>
    <row r="130" spans="1:5" s="216" customFormat="1" x14ac:dyDescent="0.3">
      <c r="A130" s="210" t="str">
        <f t="shared" si="2"/>
        <v>COE 272,ED2-BME</v>
      </c>
      <c r="B130" s="213" t="s">
        <v>1562</v>
      </c>
      <c r="C130" s="214" t="s">
        <v>1563</v>
      </c>
      <c r="D130" s="215" t="s">
        <v>109</v>
      </c>
      <c r="E130" s="214" t="s">
        <v>377</v>
      </c>
    </row>
    <row r="131" spans="1:5" s="216" customFormat="1" x14ac:dyDescent="0.3">
      <c r="A131" s="210" t="str">
        <f t="shared" si="2"/>
        <v>COE 272,ED2-COE</v>
      </c>
      <c r="B131" s="213" t="s">
        <v>1562</v>
      </c>
      <c r="C131" s="214" t="s">
        <v>1563</v>
      </c>
      <c r="D131" s="215" t="s">
        <v>108</v>
      </c>
      <c r="E131" s="214" t="s">
        <v>377</v>
      </c>
    </row>
    <row r="132" spans="1:5" s="216" customFormat="1" x14ac:dyDescent="0.3">
      <c r="A132" s="210" t="str">
        <f t="shared" si="2"/>
        <v>COE 288,ED2-COE</v>
      </c>
      <c r="B132" s="213" t="s">
        <v>1564</v>
      </c>
      <c r="C132" s="214" t="s">
        <v>1565</v>
      </c>
      <c r="D132" s="215" t="s">
        <v>108</v>
      </c>
      <c r="E132" s="214" t="s">
        <v>202</v>
      </c>
    </row>
    <row r="133" spans="1:5" s="216" customFormat="1" x14ac:dyDescent="0.3">
      <c r="A133" s="210" t="str">
        <f t="shared" si="2"/>
        <v>COE 292,ED2-COE</v>
      </c>
      <c r="B133" s="213" t="s">
        <v>1566</v>
      </c>
      <c r="C133" s="214" t="s">
        <v>1567</v>
      </c>
      <c r="D133" s="215" t="s">
        <v>108</v>
      </c>
      <c r="E133" s="214" t="s">
        <v>1156</v>
      </c>
    </row>
    <row r="134" spans="1:5" s="216" customFormat="1" x14ac:dyDescent="0.3">
      <c r="A134" s="210" t="str">
        <f t="shared" si="2"/>
        <v>COE 354,ED3-COE</v>
      </c>
      <c r="B134" s="213" t="s">
        <v>1568</v>
      </c>
      <c r="C134" s="214" t="s">
        <v>1567</v>
      </c>
      <c r="D134" s="215" t="s">
        <v>16</v>
      </c>
      <c r="E134" s="214" t="s">
        <v>15</v>
      </c>
    </row>
    <row r="135" spans="1:5" s="216" customFormat="1" x14ac:dyDescent="0.3">
      <c r="A135" s="210" t="str">
        <f t="shared" si="2"/>
        <v>COE 356,ED3-COE</v>
      </c>
      <c r="B135" s="213" t="s">
        <v>1569</v>
      </c>
      <c r="C135" s="214" t="s">
        <v>1561</v>
      </c>
      <c r="D135" s="215" t="s">
        <v>16</v>
      </c>
      <c r="E135" s="214" t="s">
        <v>318</v>
      </c>
    </row>
    <row r="136" spans="1:5" s="216" customFormat="1" x14ac:dyDescent="0.3">
      <c r="A136" s="210" t="str">
        <f t="shared" si="2"/>
        <v>COE 358,ED3-BME</v>
      </c>
      <c r="B136" s="213" t="s">
        <v>1570</v>
      </c>
      <c r="C136" s="214" t="s">
        <v>1567</v>
      </c>
      <c r="D136" s="215" t="s">
        <v>65</v>
      </c>
      <c r="E136" s="214" t="s">
        <v>259</v>
      </c>
    </row>
    <row r="137" spans="1:5" s="216" customFormat="1" x14ac:dyDescent="0.3">
      <c r="A137" s="210" t="str">
        <f t="shared" si="2"/>
        <v>COE 358,ED3-COE</v>
      </c>
      <c r="B137" s="213" t="s">
        <v>1570</v>
      </c>
      <c r="C137" s="214" t="s">
        <v>1567</v>
      </c>
      <c r="D137" s="215" t="s">
        <v>16</v>
      </c>
      <c r="E137" s="214" t="s">
        <v>259</v>
      </c>
    </row>
    <row r="138" spans="1:5" s="216" customFormat="1" x14ac:dyDescent="0.3">
      <c r="A138" s="210" t="str">
        <f t="shared" si="2"/>
        <v>COE 368,ED3-COE</v>
      </c>
      <c r="B138" s="213" t="s">
        <v>1571</v>
      </c>
      <c r="C138" s="214" t="s">
        <v>1572</v>
      </c>
      <c r="D138" s="215" t="s">
        <v>16</v>
      </c>
      <c r="E138" s="214" t="s">
        <v>198</v>
      </c>
    </row>
    <row r="139" spans="1:5" s="216" customFormat="1" x14ac:dyDescent="0.3">
      <c r="A139" s="210" t="str">
        <f t="shared" si="2"/>
        <v>COE 372,ED3-COE</v>
      </c>
      <c r="B139" s="213" t="s">
        <v>1573</v>
      </c>
      <c r="C139" s="214" t="s">
        <v>1574</v>
      </c>
      <c r="D139" s="215" t="s">
        <v>16</v>
      </c>
      <c r="E139" s="214" t="s">
        <v>413</v>
      </c>
    </row>
    <row r="140" spans="1:5" s="216" customFormat="1" x14ac:dyDescent="0.3">
      <c r="A140" s="210" t="str">
        <f t="shared" si="2"/>
        <v>COE 382,ED3-EE</v>
      </c>
      <c r="B140" s="213" t="s">
        <v>1575</v>
      </c>
      <c r="C140" s="214" t="s">
        <v>1574</v>
      </c>
      <c r="D140" s="215" t="s">
        <v>71</v>
      </c>
      <c r="E140" s="214" t="s">
        <v>412</v>
      </c>
    </row>
    <row r="141" spans="1:5" s="216" customFormat="1" x14ac:dyDescent="0.3">
      <c r="A141" s="210" t="str">
        <f t="shared" si="2"/>
        <v>COE 392,ED3-COE</v>
      </c>
      <c r="B141" s="213" t="s">
        <v>1576</v>
      </c>
      <c r="C141" s="214" t="s">
        <v>1567</v>
      </c>
      <c r="D141" s="215" t="s">
        <v>16</v>
      </c>
      <c r="E141" s="214" t="s">
        <v>1165</v>
      </c>
    </row>
    <row r="142" spans="1:5" s="216" customFormat="1" x14ac:dyDescent="0.3">
      <c r="A142" s="210" t="str">
        <f t="shared" si="2"/>
        <v>COE 454,ED4-COE</v>
      </c>
      <c r="B142" s="213" t="s">
        <v>1577</v>
      </c>
      <c r="C142" s="214" t="s">
        <v>1572</v>
      </c>
      <c r="D142" s="215" t="s">
        <v>251</v>
      </c>
      <c r="E142" s="214" t="s">
        <v>505</v>
      </c>
    </row>
    <row r="143" spans="1:5" s="216" customFormat="1" x14ac:dyDescent="0.3">
      <c r="A143" s="210" t="str">
        <f t="shared" si="2"/>
        <v>COE 456,ED4-COE</v>
      </c>
      <c r="B143" s="213" t="s">
        <v>1578</v>
      </c>
      <c r="C143" s="214" t="s">
        <v>1579</v>
      </c>
      <c r="D143" s="215" t="s">
        <v>251</v>
      </c>
      <c r="E143" s="214" t="s">
        <v>432</v>
      </c>
    </row>
    <row r="144" spans="1:5" s="216" customFormat="1" x14ac:dyDescent="0.3">
      <c r="A144" s="210" t="str">
        <f t="shared" si="2"/>
        <v>COE 458,ED4-COE</v>
      </c>
      <c r="B144" s="213" t="s">
        <v>1580</v>
      </c>
      <c r="C144" s="214" t="s">
        <v>1558</v>
      </c>
      <c r="D144" s="215" t="s">
        <v>251</v>
      </c>
      <c r="E144" s="214" t="s">
        <v>348</v>
      </c>
    </row>
    <row r="145" spans="1:5" s="216" customFormat="1" x14ac:dyDescent="0.3">
      <c r="A145" s="210" t="str">
        <f t="shared" si="2"/>
        <v>COE 472,ED4-BME</v>
      </c>
      <c r="B145" s="213" t="s">
        <v>1581</v>
      </c>
      <c r="C145" s="214" t="s">
        <v>1554</v>
      </c>
      <c r="D145" s="215" t="s">
        <v>252</v>
      </c>
      <c r="E145" s="214" t="s">
        <v>250</v>
      </c>
    </row>
    <row r="146" spans="1:5" s="216" customFormat="1" x14ac:dyDescent="0.3">
      <c r="A146" s="210" t="str">
        <f t="shared" si="2"/>
        <v>COE 472,ED4-COE</v>
      </c>
      <c r="B146" s="213" t="s">
        <v>1581</v>
      </c>
      <c r="C146" s="214" t="s">
        <v>1582</v>
      </c>
      <c r="D146" s="215" t="s">
        <v>251</v>
      </c>
      <c r="E146" s="214" t="s">
        <v>250</v>
      </c>
    </row>
    <row r="147" spans="1:5" s="216" customFormat="1" x14ac:dyDescent="0.3">
      <c r="A147" s="210" t="str">
        <f t="shared" si="2"/>
        <v>COE 480,ED4-COE</v>
      </c>
      <c r="B147" s="213" t="s">
        <v>1583</v>
      </c>
      <c r="C147" s="214" t="s">
        <v>1584</v>
      </c>
      <c r="D147" s="215" t="s">
        <v>251</v>
      </c>
      <c r="E147" s="214" t="s">
        <v>457</v>
      </c>
    </row>
    <row r="148" spans="1:5" s="216" customFormat="1" x14ac:dyDescent="0.3">
      <c r="A148" s="210" t="str">
        <f t="shared" si="2"/>
        <v>COE 484,ED4-EE</v>
      </c>
      <c r="B148" s="213" t="s">
        <v>1585</v>
      </c>
      <c r="C148" s="214" t="s">
        <v>1586</v>
      </c>
      <c r="D148" s="215" t="s">
        <v>144</v>
      </c>
      <c r="E148" s="214" t="s">
        <v>1194</v>
      </c>
    </row>
    <row r="149" spans="1:5" s="216" customFormat="1" x14ac:dyDescent="0.3">
      <c r="A149" s="210" t="str">
        <f t="shared" si="2"/>
        <v>COE 486,ED4-COE</v>
      </c>
      <c r="B149" s="213" t="s">
        <v>1587</v>
      </c>
      <c r="C149" s="214" t="s">
        <v>1584</v>
      </c>
      <c r="D149" s="215" t="s">
        <v>251</v>
      </c>
      <c r="E149" s="214" t="s">
        <v>504</v>
      </c>
    </row>
    <row r="150" spans="1:5" s="216" customFormat="1" x14ac:dyDescent="0.3">
      <c r="A150" s="210" t="str">
        <f t="shared" si="2"/>
        <v>COE 486,ED4-EE</v>
      </c>
      <c r="B150" s="213" t="s">
        <v>1588</v>
      </c>
      <c r="C150" s="214" t="s">
        <v>1584</v>
      </c>
      <c r="D150" s="215" t="s">
        <v>144</v>
      </c>
      <c r="E150" s="214" t="s">
        <v>504</v>
      </c>
    </row>
    <row r="151" spans="1:5" x14ac:dyDescent="0.3">
      <c r="A151" s="210" t="str">
        <f t="shared" si="2"/>
        <v>ACF 256,ED1-GEOL</v>
      </c>
      <c r="B151" s="211" t="s">
        <v>1378</v>
      </c>
      <c r="C151" s="210" t="s">
        <v>1589</v>
      </c>
      <c r="D151" s="212" t="s">
        <v>126</v>
      </c>
      <c r="E151" s="210" t="s">
        <v>424</v>
      </c>
    </row>
    <row r="152" spans="1:5" x14ac:dyDescent="0.3">
      <c r="A152" s="210" t="str">
        <f t="shared" si="2"/>
        <v>ACF 256,ED3-GEOM</v>
      </c>
      <c r="B152" s="211" t="s">
        <v>1378</v>
      </c>
      <c r="C152" s="210" t="s">
        <v>1590</v>
      </c>
      <c r="D152" s="212" t="s">
        <v>77</v>
      </c>
      <c r="E152" s="210" t="s">
        <v>424</v>
      </c>
    </row>
    <row r="153" spans="1:5" s="216" customFormat="1" x14ac:dyDescent="0.3">
      <c r="A153" s="210" t="str">
        <f t="shared" si="2"/>
        <v>ECON 152,ED2-BME</v>
      </c>
      <c r="B153" s="213" t="s">
        <v>1591</v>
      </c>
      <c r="C153" s="214" t="s">
        <v>1592</v>
      </c>
      <c r="D153" s="215" t="s">
        <v>109</v>
      </c>
      <c r="E153" s="214" t="s">
        <v>406</v>
      </c>
    </row>
    <row r="154" spans="1:5" s="216" customFormat="1" x14ac:dyDescent="0.3">
      <c r="A154" s="210" t="str">
        <f t="shared" si="2"/>
        <v>ECON 152,ED3-CHE</v>
      </c>
      <c r="B154" s="213" t="s">
        <v>1593</v>
      </c>
      <c r="C154" s="214" t="s">
        <v>1594</v>
      </c>
      <c r="D154" s="215" t="s">
        <v>73</v>
      </c>
      <c r="E154" s="214" t="s">
        <v>406</v>
      </c>
    </row>
    <row r="155" spans="1:5" s="216" customFormat="1" x14ac:dyDescent="0.3">
      <c r="A155" s="210" t="str">
        <f t="shared" si="2"/>
        <v>ECON 152,ED2-COE</v>
      </c>
      <c r="B155" s="213" t="s">
        <v>1595</v>
      </c>
      <c r="C155" s="214" t="s">
        <v>1594</v>
      </c>
      <c r="D155" s="215" t="s">
        <v>108</v>
      </c>
      <c r="E155" s="214" t="s">
        <v>406</v>
      </c>
    </row>
    <row r="156" spans="1:5" s="216" customFormat="1" x14ac:dyDescent="0.3">
      <c r="A156" s="210" t="str">
        <f t="shared" si="2"/>
        <v>ECON 152,ED2-EE</v>
      </c>
      <c r="B156" s="213" t="s">
        <v>1593</v>
      </c>
      <c r="C156" s="214" t="s">
        <v>1594</v>
      </c>
      <c r="D156" s="215" t="s">
        <v>25</v>
      </c>
      <c r="E156" s="214" t="s">
        <v>406</v>
      </c>
    </row>
    <row r="157" spans="1:5" s="216" customFormat="1" x14ac:dyDescent="0.3">
      <c r="A157" s="210" t="str">
        <f t="shared" si="2"/>
        <v>ECON 152,ED1-GEOL</v>
      </c>
      <c r="B157" s="213" t="s">
        <v>1593</v>
      </c>
      <c r="C157" s="214" t="s">
        <v>1596</v>
      </c>
      <c r="D157" s="215" t="s">
        <v>126</v>
      </c>
      <c r="E157" s="214" t="s">
        <v>406</v>
      </c>
    </row>
    <row r="158" spans="1:5" s="216" customFormat="1" x14ac:dyDescent="0.3">
      <c r="A158" s="210" t="str">
        <f t="shared" si="2"/>
        <v>ECON 152,ED3-GEOM</v>
      </c>
      <c r="B158" s="213" t="s">
        <v>1591</v>
      </c>
      <c r="C158" s="214" t="s">
        <v>1597</v>
      </c>
      <c r="D158" s="215" t="s">
        <v>77</v>
      </c>
      <c r="E158" s="214" t="s">
        <v>406</v>
      </c>
    </row>
    <row r="159" spans="1:5" s="216" customFormat="1" x14ac:dyDescent="0.3">
      <c r="A159" s="210" t="str">
        <f t="shared" si="2"/>
        <v>ECON 152,ED2-TEL</v>
      </c>
      <c r="B159" s="213" t="s">
        <v>1593</v>
      </c>
      <c r="C159" s="214" t="s">
        <v>1594</v>
      </c>
      <c r="D159" s="215" t="s">
        <v>172</v>
      </c>
      <c r="E159" s="214" t="s">
        <v>406</v>
      </c>
    </row>
    <row r="160" spans="1:5" s="216" customFormat="1" x14ac:dyDescent="0.3">
      <c r="A160" s="210" t="str">
        <f t="shared" si="2"/>
        <v>ECON 152,ED1-CE</v>
      </c>
      <c r="B160" s="213" t="s">
        <v>1595</v>
      </c>
      <c r="C160" s="214" t="s">
        <v>1594</v>
      </c>
      <c r="D160" s="215" t="s">
        <v>75</v>
      </c>
      <c r="E160" s="214" t="s">
        <v>406</v>
      </c>
    </row>
    <row r="161" spans="1:5" s="216" customFormat="1" x14ac:dyDescent="0.3">
      <c r="A161" s="210" t="str">
        <f t="shared" si="2"/>
        <v>EE 152,ED1-AERO</v>
      </c>
      <c r="B161" s="213" t="s">
        <v>1549</v>
      </c>
      <c r="C161" s="214" t="s">
        <v>1598</v>
      </c>
      <c r="D161" s="215" t="s">
        <v>191</v>
      </c>
      <c r="E161" s="214" t="s">
        <v>234</v>
      </c>
    </row>
    <row r="162" spans="1:5" s="216" customFormat="1" x14ac:dyDescent="0.3">
      <c r="A162" s="210" t="str">
        <f t="shared" si="2"/>
        <v>EE 152,ED1-AE</v>
      </c>
      <c r="B162" s="213" t="s">
        <v>1549</v>
      </c>
      <c r="C162" s="214" t="s">
        <v>1598</v>
      </c>
      <c r="D162" s="215" t="s">
        <v>131</v>
      </c>
      <c r="E162" s="214" t="s">
        <v>234</v>
      </c>
    </row>
    <row r="163" spans="1:5" s="216" customFormat="1" x14ac:dyDescent="0.3">
      <c r="A163" s="210" t="str">
        <f t="shared" si="2"/>
        <v>EE 152,ED1-CHE</v>
      </c>
      <c r="B163" s="213" t="s">
        <v>1549</v>
      </c>
      <c r="C163" s="214" t="s">
        <v>1599</v>
      </c>
      <c r="D163" s="215" t="s">
        <v>80</v>
      </c>
      <c r="E163" s="214" t="s">
        <v>234</v>
      </c>
    </row>
    <row r="164" spans="1:5" s="216" customFormat="1" x14ac:dyDescent="0.3">
      <c r="A164" s="210" t="str">
        <f t="shared" si="2"/>
        <v>EE 152,ED1-CE</v>
      </c>
      <c r="B164" s="213" t="s">
        <v>1549</v>
      </c>
      <c r="C164" s="214" t="s">
        <v>1599</v>
      </c>
      <c r="D164" s="215" t="s">
        <v>75</v>
      </c>
      <c r="E164" s="214" t="s">
        <v>234</v>
      </c>
    </row>
    <row r="165" spans="1:5" s="216" customFormat="1" x14ac:dyDescent="0.3">
      <c r="A165" s="210" t="str">
        <f t="shared" si="2"/>
        <v>EE 152,ED1-EE</v>
      </c>
      <c r="B165" s="213" t="s">
        <v>1549</v>
      </c>
      <c r="C165" s="214" t="s">
        <v>1600</v>
      </c>
      <c r="D165" s="215" t="s">
        <v>51</v>
      </c>
      <c r="E165" s="214" t="s">
        <v>234</v>
      </c>
    </row>
    <row r="166" spans="1:5" s="216" customFormat="1" x14ac:dyDescent="0.3">
      <c r="A166" s="210" t="str">
        <f t="shared" si="2"/>
        <v>EE 152,ED1-AUTO</v>
      </c>
      <c r="B166" s="213" t="s">
        <v>1549</v>
      </c>
      <c r="C166" s="214" t="s">
        <v>1599</v>
      </c>
      <c r="D166" s="215" t="s">
        <v>162</v>
      </c>
      <c r="E166" s="214" t="s">
        <v>234</v>
      </c>
    </row>
    <row r="167" spans="1:5" s="216" customFormat="1" x14ac:dyDescent="0.3">
      <c r="A167" s="210" t="str">
        <f t="shared" si="2"/>
        <v>EE 152,ED1-GEOL</v>
      </c>
      <c r="B167" s="213" t="s">
        <v>1549</v>
      </c>
      <c r="C167" s="214" t="s">
        <v>1601</v>
      </c>
      <c r="D167" s="215" t="s">
        <v>126</v>
      </c>
      <c r="E167" s="214" t="s">
        <v>234</v>
      </c>
    </row>
    <row r="168" spans="1:5" s="216" customFormat="1" x14ac:dyDescent="0.3">
      <c r="A168" s="210" t="str">
        <f t="shared" si="2"/>
        <v>EE 152,ED1-GEOM</v>
      </c>
      <c r="B168" s="213" t="s">
        <v>1549</v>
      </c>
      <c r="C168" s="214" t="s">
        <v>1601</v>
      </c>
      <c r="D168" s="215" t="s">
        <v>95</v>
      </c>
      <c r="E168" s="214" t="s">
        <v>234</v>
      </c>
    </row>
    <row r="169" spans="1:5" s="216" customFormat="1" x14ac:dyDescent="0.3">
      <c r="A169" s="210" t="str">
        <f t="shared" si="2"/>
        <v>EE 152,ED1-IND</v>
      </c>
      <c r="B169" s="213" t="s">
        <v>1549</v>
      </c>
      <c r="C169" s="214" t="s">
        <v>1598</v>
      </c>
      <c r="D169" s="215" t="s">
        <v>111</v>
      </c>
      <c r="E169" s="214" t="s">
        <v>234</v>
      </c>
    </row>
    <row r="170" spans="1:5" s="216" customFormat="1" x14ac:dyDescent="0.3">
      <c r="A170" s="210" t="str">
        <f t="shared" si="2"/>
        <v>EE 152,ED1-MARI</v>
      </c>
      <c r="B170" s="213" t="s">
        <v>1549</v>
      </c>
      <c r="C170" s="214" t="s">
        <v>1599</v>
      </c>
      <c r="D170" s="215" t="s">
        <v>112</v>
      </c>
      <c r="E170" s="214" t="s">
        <v>234</v>
      </c>
    </row>
    <row r="171" spans="1:5" s="216" customFormat="1" x14ac:dyDescent="0.3">
      <c r="A171" s="210" t="str">
        <f t="shared" si="2"/>
        <v>METE 154,ED1-MSE</v>
      </c>
      <c r="B171" s="213" t="s">
        <v>1602</v>
      </c>
      <c r="C171" s="214" t="s">
        <v>1603</v>
      </c>
      <c r="D171" s="215" t="s">
        <v>115</v>
      </c>
      <c r="E171" s="214" t="s">
        <v>500</v>
      </c>
    </row>
    <row r="172" spans="1:5" s="216" customFormat="1" x14ac:dyDescent="0.3">
      <c r="A172" s="210" t="str">
        <f t="shared" si="2"/>
        <v>EE 152,ED1-ME</v>
      </c>
      <c r="B172" s="213" t="s">
        <v>1549</v>
      </c>
      <c r="C172" s="214" t="s">
        <v>1599</v>
      </c>
      <c r="D172" s="215" t="s">
        <v>161</v>
      </c>
      <c r="E172" s="214" t="s">
        <v>234</v>
      </c>
    </row>
    <row r="173" spans="1:5" s="216" customFormat="1" x14ac:dyDescent="0.3">
      <c r="A173" s="210" t="str">
        <f t="shared" si="2"/>
        <v>EE 152,ED1-PCE</v>
      </c>
      <c r="B173" s="213" t="s">
        <v>1549</v>
      </c>
      <c r="C173" s="214" t="s">
        <v>1598</v>
      </c>
      <c r="D173" s="215" t="s">
        <v>81</v>
      </c>
      <c r="E173" s="214" t="s">
        <v>234</v>
      </c>
    </row>
    <row r="174" spans="1:5" s="216" customFormat="1" x14ac:dyDescent="0.3">
      <c r="A174" s="210" t="str">
        <f t="shared" si="2"/>
        <v>EE 152,ED1-PETE</v>
      </c>
      <c r="B174" s="213" t="s">
        <v>1549</v>
      </c>
      <c r="C174" s="214" t="s">
        <v>1598</v>
      </c>
      <c r="D174" s="215" t="s">
        <v>1327</v>
      </c>
      <c r="E174" s="214" t="s">
        <v>234</v>
      </c>
    </row>
    <row r="175" spans="1:5" s="216" customFormat="1" x14ac:dyDescent="0.3">
      <c r="A175" s="210" t="str">
        <f t="shared" si="2"/>
        <v>EE 152,ED1-TEL</v>
      </c>
      <c r="B175" s="213" t="s">
        <v>1549</v>
      </c>
      <c r="C175" s="214" t="s">
        <v>1604</v>
      </c>
      <c r="D175" s="215" t="s">
        <v>91</v>
      </c>
      <c r="E175" s="214" t="s">
        <v>234</v>
      </c>
    </row>
    <row r="176" spans="1:5" s="216" customFormat="1" ht="15" customHeight="1" x14ac:dyDescent="0.3">
      <c r="A176" s="210" t="str">
        <f t="shared" si="2"/>
        <v>EE 156,ED1-COE</v>
      </c>
      <c r="B176" s="213" t="s">
        <v>1605</v>
      </c>
      <c r="C176" s="214" t="s">
        <v>1599</v>
      </c>
      <c r="D176" s="215" t="s">
        <v>20</v>
      </c>
      <c r="E176" s="214" t="s">
        <v>19</v>
      </c>
    </row>
    <row r="177" spans="1:5" s="216" customFormat="1" ht="15" customHeight="1" x14ac:dyDescent="0.3">
      <c r="A177" s="210" t="str">
        <f t="shared" si="2"/>
        <v>EE 156,ED1-EE</v>
      </c>
      <c r="B177" s="213" t="s">
        <v>1605</v>
      </c>
      <c r="C177" s="214" t="s">
        <v>1599</v>
      </c>
      <c r="D177" s="215" t="s">
        <v>51</v>
      </c>
      <c r="E177" s="214" t="s">
        <v>19</v>
      </c>
    </row>
    <row r="178" spans="1:5" s="216" customFormat="1" x14ac:dyDescent="0.3">
      <c r="A178" s="210" t="str">
        <f t="shared" si="2"/>
        <v>EE 166,ED1-EE</v>
      </c>
      <c r="B178" s="213" t="s">
        <v>1154</v>
      </c>
      <c r="C178" s="214" t="s">
        <v>1606</v>
      </c>
      <c r="D178" s="215" t="s">
        <v>51</v>
      </c>
      <c r="E178" s="214" t="s">
        <v>184</v>
      </c>
    </row>
    <row r="179" spans="1:5" s="216" customFormat="1" x14ac:dyDescent="0.3">
      <c r="A179" s="210" t="str">
        <f t="shared" si="2"/>
        <v>EE 188,ED1-EE</v>
      </c>
      <c r="B179" s="213" t="s">
        <v>1174</v>
      </c>
      <c r="C179" s="214" t="s">
        <v>1598</v>
      </c>
      <c r="D179" s="215" t="s">
        <v>51</v>
      </c>
      <c r="E179" s="214" t="s">
        <v>137</v>
      </c>
    </row>
    <row r="180" spans="1:5" s="216" customFormat="1" x14ac:dyDescent="0.3">
      <c r="A180" s="210" t="str">
        <f t="shared" si="2"/>
        <v>EE 172,ED1-COE</v>
      </c>
      <c r="B180" s="213" t="s">
        <v>1607</v>
      </c>
      <c r="C180" s="214" t="s">
        <v>1601</v>
      </c>
      <c r="D180" s="215" t="s">
        <v>20</v>
      </c>
      <c r="E180" s="214" t="s">
        <v>474</v>
      </c>
    </row>
    <row r="181" spans="1:5" s="216" customFormat="1" x14ac:dyDescent="0.3">
      <c r="A181" s="210" t="str">
        <f t="shared" si="2"/>
        <v>EE 188,ED1-TEL</v>
      </c>
      <c r="B181" s="213" t="s">
        <v>1608</v>
      </c>
      <c r="C181" s="214" t="s">
        <v>1552</v>
      </c>
      <c r="D181" s="215" t="s">
        <v>91</v>
      </c>
      <c r="E181" s="214" t="s">
        <v>137</v>
      </c>
    </row>
    <row r="182" spans="1:5" s="216" customFormat="1" x14ac:dyDescent="0.3">
      <c r="A182" s="210" t="str">
        <f t="shared" si="2"/>
        <v>EE 252,ED2-AE</v>
      </c>
      <c r="B182" s="213" t="s">
        <v>1609</v>
      </c>
      <c r="C182" s="214" t="s">
        <v>1601</v>
      </c>
      <c r="D182" s="215" t="s">
        <v>53</v>
      </c>
      <c r="E182" s="214" t="s">
        <v>473</v>
      </c>
    </row>
    <row r="183" spans="1:5" s="216" customFormat="1" x14ac:dyDescent="0.3">
      <c r="A183" s="210" t="str">
        <f t="shared" si="2"/>
        <v>EE 252,ED3-ME</v>
      </c>
      <c r="B183" s="213" t="s">
        <v>1609</v>
      </c>
      <c r="C183" s="214" t="s">
        <v>1601</v>
      </c>
      <c r="D183" s="215" t="s">
        <v>61</v>
      </c>
      <c r="E183" s="214" t="s">
        <v>473</v>
      </c>
    </row>
    <row r="184" spans="1:5" s="216" customFormat="1" x14ac:dyDescent="0.3">
      <c r="A184" s="210" t="str">
        <f t="shared" si="2"/>
        <v>EE 262,ED2-EE</v>
      </c>
      <c r="B184" s="213" t="s">
        <v>1610</v>
      </c>
      <c r="C184" s="214" t="s">
        <v>1611</v>
      </c>
      <c r="D184" s="215" t="s">
        <v>25</v>
      </c>
      <c r="E184" s="214" t="s">
        <v>365</v>
      </c>
    </row>
    <row r="185" spans="1:5" s="216" customFormat="1" x14ac:dyDescent="0.3">
      <c r="A185" s="210" t="str">
        <f t="shared" si="2"/>
        <v>EE 272,ED2-EE</v>
      </c>
      <c r="B185" s="213" t="s">
        <v>1612</v>
      </c>
      <c r="C185" s="214" t="s">
        <v>1586</v>
      </c>
      <c r="D185" s="215" t="s">
        <v>25</v>
      </c>
      <c r="E185" s="214" t="s">
        <v>24</v>
      </c>
    </row>
    <row r="186" spans="1:5" s="216" customFormat="1" x14ac:dyDescent="0.3">
      <c r="A186" s="210" t="str">
        <f t="shared" si="2"/>
        <v>EE 288,ED2-COE</v>
      </c>
      <c r="B186" s="213" t="s">
        <v>1608</v>
      </c>
      <c r="C186" s="214" t="s">
        <v>1558</v>
      </c>
      <c r="D186" s="215" t="s">
        <v>108</v>
      </c>
      <c r="E186" s="214" t="s">
        <v>518</v>
      </c>
    </row>
    <row r="187" spans="1:5" s="216" customFormat="1" x14ac:dyDescent="0.3">
      <c r="A187" s="210" t="str">
        <f t="shared" si="2"/>
        <v>EE 288,ED2-EE</v>
      </c>
      <c r="B187" s="213" t="s">
        <v>1613</v>
      </c>
      <c r="C187" s="214" t="s">
        <v>1586</v>
      </c>
      <c r="D187" s="215" t="s">
        <v>25</v>
      </c>
      <c r="E187" s="214" t="s">
        <v>518</v>
      </c>
    </row>
    <row r="188" spans="1:5" s="216" customFormat="1" x14ac:dyDescent="0.3">
      <c r="A188" s="210" t="str">
        <f t="shared" si="2"/>
        <v>EE 292,ED2-EE</v>
      </c>
      <c r="B188" s="213" t="s">
        <v>1614</v>
      </c>
      <c r="C188" s="214" t="s">
        <v>1615</v>
      </c>
      <c r="D188" s="215" t="s">
        <v>25</v>
      </c>
      <c r="E188" s="214" t="s">
        <v>1180</v>
      </c>
    </row>
    <row r="189" spans="1:5" s="216" customFormat="1" x14ac:dyDescent="0.3">
      <c r="A189" s="210" t="str">
        <f t="shared" si="2"/>
        <v>EE 360,ED3-EE</v>
      </c>
      <c r="B189" s="213" t="s">
        <v>1616</v>
      </c>
      <c r="C189" s="214" t="s">
        <v>1611</v>
      </c>
      <c r="D189" s="215" t="s">
        <v>71</v>
      </c>
      <c r="E189" s="214" t="s">
        <v>381</v>
      </c>
    </row>
    <row r="190" spans="1:5" s="216" customFormat="1" x14ac:dyDescent="0.3">
      <c r="A190" s="210" t="str">
        <f t="shared" si="2"/>
        <v>EE 362,ED3-EE</v>
      </c>
      <c r="B190" s="213" t="s">
        <v>1617</v>
      </c>
      <c r="C190" s="214" t="s">
        <v>1618</v>
      </c>
      <c r="D190" s="215" t="s">
        <v>71</v>
      </c>
      <c r="E190" s="214" t="s">
        <v>70</v>
      </c>
    </row>
    <row r="191" spans="1:5" s="216" customFormat="1" x14ac:dyDescent="0.3">
      <c r="A191" s="210" t="str">
        <f t="shared" si="2"/>
        <v>EE 366,ED3-EE</v>
      </c>
      <c r="B191" s="213" t="s">
        <v>1619</v>
      </c>
      <c r="C191" s="214" t="s">
        <v>1620</v>
      </c>
      <c r="D191" s="215" t="s">
        <v>71</v>
      </c>
      <c r="E191" s="214" t="s">
        <v>286</v>
      </c>
    </row>
    <row r="192" spans="1:5" s="216" customFormat="1" x14ac:dyDescent="0.3">
      <c r="A192" s="210" t="str">
        <f t="shared" si="2"/>
        <v>EE 368,ED3-EE</v>
      </c>
      <c r="B192" s="213" t="s">
        <v>1621</v>
      </c>
      <c r="C192" s="214" t="s">
        <v>1606</v>
      </c>
      <c r="D192" s="215" t="s">
        <v>71</v>
      </c>
      <c r="E192" s="214" t="s">
        <v>517</v>
      </c>
    </row>
    <row r="193" spans="1:5" s="216" customFormat="1" x14ac:dyDescent="0.3">
      <c r="A193" s="210" t="str">
        <f t="shared" ref="A193:A256" si="3">CONCATENATE(E193,",",D193)</f>
        <v>EE 380,ED3-EE</v>
      </c>
      <c r="B193" s="213" t="s">
        <v>1171</v>
      </c>
      <c r="C193" s="214" t="s">
        <v>1586</v>
      </c>
      <c r="D193" s="215" t="s">
        <v>71</v>
      </c>
      <c r="E193" s="214" t="s">
        <v>233</v>
      </c>
    </row>
    <row r="194" spans="1:5" s="216" customFormat="1" x14ac:dyDescent="0.3">
      <c r="A194" s="210" t="str">
        <f t="shared" si="3"/>
        <v>EE 392,ED3-EE</v>
      </c>
      <c r="B194" s="213" t="s">
        <v>1622</v>
      </c>
      <c r="C194" s="214" t="s">
        <v>1623</v>
      </c>
      <c r="D194" s="215" t="s">
        <v>71</v>
      </c>
      <c r="E194" s="214" t="s">
        <v>1189</v>
      </c>
    </row>
    <row r="195" spans="1:5" s="216" customFormat="1" ht="15" customHeight="1" x14ac:dyDescent="0.3">
      <c r="A195" s="210" t="str">
        <f t="shared" si="3"/>
        <v>EE 462,ED4-EE</v>
      </c>
      <c r="B195" s="213" t="s">
        <v>1624</v>
      </c>
      <c r="C195" s="214" t="s">
        <v>1620</v>
      </c>
      <c r="D195" s="215" t="s">
        <v>144</v>
      </c>
      <c r="E195" s="214" t="s">
        <v>143</v>
      </c>
    </row>
    <row r="196" spans="1:5" s="216" customFormat="1" x14ac:dyDescent="0.3">
      <c r="A196" s="210" t="str">
        <f t="shared" si="3"/>
        <v>EE 466,ED4-EE</v>
      </c>
      <c r="B196" s="213" t="s">
        <v>1625</v>
      </c>
      <c r="C196" s="214" t="s">
        <v>1618</v>
      </c>
      <c r="D196" s="215" t="s">
        <v>144</v>
      </c>
      <c r="E196" s="214" t="s">
        <v>353</v>
      </c>
    </row>
    <row r="197" spans="1:5" s="216" customFormat="1" x14ac:dyDescent="0.3">
      <c r="A197" s="210" t="str">
        <f t="shared" si="3"/>
        <v>EE 468,ED4-EE</v>
      </c>
      <c r="B197" s="213" t="s">
        <v>1626</v>
      </c>
      <c r="C197" s="214" t="s">
        <v>1615</v>
      </c>
      <c r="D197" s="215" t="s">
        <v>144</v>
      </c>
      <c r="E197" s="214" t="s">
        <v>267</v>
      </c>
    </row>
    <row r="198" spans="1:5" s="216" customFormat="1" x14ac:dyDescent="0.3">
      <c r="A198" s="210" t="str">
        <f t="shared" si="3"/>
        <v>EE 472,ED4-EE</v>
      </c>
      <c r="B198" s="213" t="s">
        <v>1581</v>
      </c>
      <c r="C198" s="214" t="s">
        <v>1627</v>
      </c>
      <c r="D198" s="215" t="s">
        <v>144</v>
      </c>
      <c r="E198" s="214" t="s">
        <v>307</v>
      </c>
    </row>
    <row r="199" spans="1:5" s="216" customFormat="1" x14ac:dyDescent="0.3">
      <c r="A199" s="210" t="str">
        <f t="shared" si="3"/>
        <v>EE 472,ED4-TEL</v>
      </c>
      <c r="B199" s="213" t="s">
        <v>1581</v>
      </c>
      <c r="C199" s="214" t="s">
        <v>1627</v>
      </c>
      <c r="D199" s="215" t="s">
        <v>227</v>
      </c>
      <c r="E199" s="214" t="s">
        <v>307</v>
      </c>
    </row>
    <row r="200" spans="1:5" s="216" customFormat="1" x14ac:dyDescent="0.3">
      <c r="A200" s="210" t="str">
        <f t="shared" si="3"/>
        <v>ENGL 158,ED1-AERO</v>
      </c>
      <c r="B200" s="213" t="s">
        <v>1628</v>
      </c>
      <c r="C200" s="214" t="s">
        <v>1629</v>
      </c>
      <c r="D200" s="215" t="s">
        <v>191</v>
      </c>
      <c r="E200" s="214" t="s">
        <v>364</v>
      </c>
    </row>
    <row r="201" spans="1:5" s="216" customFormat="1" x14ac:dyDescent="0.3">
      <c r="A201" s="210" t="str">
        <f t="shared" si="3"/>
        <v>ENGL 158,ED1-AE</v>
      </c>
      <c r="B201" s="213" t="s">
        <v>1628</v>
      </c>
      <c r="C201" s="214" t="s">
        <v>1629</v>
      </c>
      <c r="D201" s="215" t="s">
        <v>131</v>
      </c>
      <c r="E201" s="214" t="s">
        <v>364</v>
      </c>
    </row>
    <row r="202" spans="1:5" s="216" customFormat="1" x14ac:dyDescent="0.3">
      <c r="A202" s="210" t="str">
        <f t="shared" si="3"/>
        <v>ENGL 158,ED1-AUTO</v>
      </c>
      <c r="B202" s="213" t="s">
        <v>1628</v>
      </c>
      <c r="C202" s="214" t="s">
        <v>1630</v>
      </c>
      <c r="D202" s="215" t="s">
        <v>162</v>
      </c>
      <c r="E202" s="214" t="s">
        <v>364</v>
      </c>
    </row>
    <row r="203" spans="1:5" s="216" customFormat="1" x14ac:dyDescent="0.3">
      <c r="A203" s="210" t="str">
        <f t="shared" si="3"/>
        <v>ENGL 158,ED1-BME</v>
      </c>
      <c r="B203" s="213" t="s">
        <v>1628</v>
      </c>
      <c r="C203" s="214" t="s">
        <v>1631</v>
      </c>
      <c r="D203" s="215" t="s">
        <v>130</v>
      </c>
      <c r="E203" s="214" t="s">
        <v>364</v>
      </c>
    </row>
    <row r="204" spans="1:5" x14ac:dyDescent="0.3">
      <c r="A204" s="210" t="str">
        <f t="shared" si="3"/>
        <v>ENGL 158,ED1-CE</v>
      </c>
      <c r="B204" s="213" t="s">
        <v>1628</v>
      </c>
      <c r="C204" s="214" t="s">
        <v>1632</v>
      </c>
      <c r="D204" s="215" t="s">
        <v>75</v>
      </c>
      <c r="E204" s="214" t="s">
        <v>364</v>
      </c>
    </row>
    <row r="205" spans="1:5" s="216" customFormat="1" x14ac:dyDescent="0.3">
      <c r="A205" s="210" t="str">
        <f t="shared" si="3"/>
        <v>ENGL 158,ED1-COE</v>
      </c>
      <c r="B205" s="213" t="s">
        <v>1628</v>
      </c>
      <c r="C205" s="214" t="s">
        <v>1633</v>
      </c>
      <c r="D205" s="215" t="s">
        <v>20</v>
      </c>
      <c r="E205" s="214" t="s">
        <v>364</v>
      </c>
    </row>
    <row r="206" spans="1:5" s="216" customFormat="1" x14ac:dyDescent="0.3">
      <c r="A206" s="210" t="str">
        <f t="shared" si="3"/>
        <v>ENGL 158,ED1-CHE</v>
      </c>
      <c r="B206" s="213" t="s">
        <v>1628</v>
      </c>
      <c r="C206" s="214" t="s">
        <v>1629</v>
      </c>
      <c r="D206" s="215" t="s">
        <v>80</v>
      </c>
      <c r="E206" s="214" t="s">
        <v>364</v>
      </c>
    </row>
    <row r="207" spans="1:5" s="216" customFormat="1" x14ac:dyDescent="0.3">
      <c r="A207" s="210" t="str">
        <f t="shared" si="3"/>
        <v>ENGL 158,ED1-EE</v>
      </c>
      <c r="B207" s="213" t="s">
        <v>1628</v>
      </c>
      <c r="C207" s="214" t="s">
        <v>1629</v>
      </c>
      <c r="D207" s="215" t="s">
        <v>51</v>
      </c>
      <c r="E207" s="214" t="s">
        <v>364</v>
      </c>
    </row>
    <row r="208" spans="1:5" s="216" customFormat="1" x14ac:dyDescent="0.3">
      <c r="A208" s="210" t="str">
        <f t="shared" si="3"/>
        <v>ENGL 158,ED1-GEOL</v>
      </c>
      <c r="B208" s="213" t="s">
        <v>1628</v>
      </c>
      <c r="C208" s="214" t="s">
        <v>1629</v>
      </c>
      <c r="D208" s="215" t="s">
        <v>126</v>
      </c>
      <c r="E208" s="214" t="s">
        <v>364</v>
      </c>
    </row>
    <row r="209" spans="1:5" s="216" customFormat="1" ht="15" customHeight="1" x14ac:dyDescent="0.3">
      <c r="A209" s="210" t="str">
        <f t="shared" si="3"/>
        <v>ENGL 158,ED1-GEOM</v>
      </c>
      <c r="B209" s="213" t="s">
        <v>1628</v>
      </c>
      <c r="C209" s="214" t="s">
        <v>1629</v>
      </c>
      <c r="D209" s="215" t="s">
        <v>95</v>
      </c>
      <c r="E209" s="214" t="s">
        <v>364</v>
      </c>
    </row>
    <row r="210" spans="1:5" s="216" customFormat="1" x14ac:dyDescent="0.3">
      <c r="A210" s="210" t="str">
        <f t="shared" si="3"/>
        <v>ENGL 158,ED1-IND</v>
      </c>
      <c r="B210" s="213" t="s">
        <v>1628</v>
      </c>
      <c r="C210" s="214" t="s">
        <v>1629</v>
      </c>
      <c r="D210" s="215" t="s">
        <v>111</v>
      </c>
      <c r="E210" s="214" t="s">
        <v>364</v>
      </c>
    </row>
    <row r="211" spans="1:5" s="216" customFormat="1" x14ac:dyDescent="0.3">
      <c r="A211" s="210" t="str">
        <f t="shared" si="3"/>
        <v>ENGL 158,ED1-MARI</v>
      </c>
      <c r="B211" s="213" t="s">
        <v>1628</v>
      </c>
      <c r="C211" s="214" t="s">
        <v>1629</v>
      </c>
      <c r="D211" s="215" t="s">
        <v>112</v>
      </c>
      <c r="E211" s="214" t="s">
        <v>364</v>
      </c>
    </row>
    <row r="212" spans="1:5" s="216" customFormat="1" x14ac:dyDescent="0.3">
      <c r="A212" s="210" t="str">
        <f t="shared" si="3"/>
        <v>ENGL 158,ED1-MSE</v>
      </c>
      <c r="B212" s="213" t="s">
        <v>1628</v>
      </c>
      <c r="C212" s="214" t="s">
        <v>1634</v>
      </c>
      <c r="D212" s="215" t="s">
        <v>115</v>
      </c>
      <c r="E212" s="214" t="s">
        <v>364</v>
      </c>
    </row>
    <row r="213" spans="1:5" s="216" customFormat="1" x14ac:dyDescent="0.3">
      <c r="A213" s="210" t="str">
        <f t="shared" si="3"/>
        <v>ENGL 158,ED1-ME</v>
      </c>
      <c r="B213" s="213" t="s">
        <v>1628</v>
      </c>
      <c r="C213" s="214" t="s">
        <v>1629</v>
      </c>
      <c r="D213" s="215" t="s">
        <v>161</v>
      </c>
      <c r="E213" s="214" t="s">
        <v>364</v>
      </c>
    </row>
    <row r="214" spans="1:5" s="216" customFormat="1" x14ac:dyDescent="0.3">
      <c r="A214" s="210" t="str">
        <f t="shared" si="3"/>
        <v>ENGL 158,ED1-METE</v>
      </c>
      <c r="B214" s="213" t="s">
        <v>1628</v>
      </c>
      <c r="C214" s="214" t="s">
        <v>1634</v>
      </c>
      <c r="D214" s="215" t="s">
        <v>114</v>
      </c>
      <c r="E214" s="214" t="s">
        <v>364</v>
      </c>
    </row>
    <row r="215" spans="1:5" s="216" customFormat="1" ht="15" customHeight="1" x14ac:dyDescent="0.3">
      <c r="A215" s="210" t="str">
        <f t="shared" si="3"/>
        <v>ENGL 158,ED1-PCE</v>
      </c>
      <c r="B215" s="213" t="s">
        <v>1628</v>
      </c>
      <c r="C215" s="214" t="s">
        <v>1629</v>
      </c>
      <c r="D215" s="215" t="s">
        <v>81</v>
      </c>
      <c r="E215" s="214" t="s">
        <v>364</v>
      </c>
    </row>
    <row r="216" spans="1:5" s="216" customFormat="1" x14ac:dyDescent="0.3">
      <c r="A216" s="210" t="str">
        <f t="shared" si="3"/>
        <v>ENGL 158,ED1-PETE</v>
      </c>
      <c r="B216" s="213" t="s">
        <v>1628</v>
      </c>
      <c r="C216" s="214" t="s">
        <v>1634</v>
      </c>
      <c r="D216" s="215" t="s">
        <v>1327</v>
      </c>
      <c r="E216" s="214" t="s">
        <v>364</v>
      </c>
    </row>
    <row r="217" spans="1:5" s="216" customFormat="1" x14ac:dyDescent="0.3">
      <c r="A217" s="210" t="str">
        <f t="shared" si="3"/>
        <v>ENGL 158,ED1-TEL</v>
      </c>
      <c r="B217" s="213" t="s">
        <v>1628</v>
      </c>
      <c r="C217" s="214" t="s">
        <v>1634</v>
      </c>
      <c r="D217" s="215" t="s">
        <v>91</v>
      </c>
      <c r="E217" s="214" t="s">
        <v>364</v>
      </c>
    </row>
    <row r="218" spans="1:5" s="216" customFormat="1" x14ac:dyDescent="0.3">
      <c r="A218" s="210" t="str">
        <f t="shared" si="3"/>
        <v>ENGL 264,ED2-AERO</v>
      </c>
      <c r="B218" s="213" t="s">
        <v>1635</v>
      </c>
      <c r="C218" s="214" t="s">
        <v>1629</v>
      </c>
      <c r="D218" s="215" t="s">
        <v>36</v>
      </c>
      <c r="E218" s="214" t="s">
        <v>276</v>
      </c>
    </row>
    <row r="219" spans="1:5" s="216" customFormat="1" x14ac:dyDescent="0.3">
      <c r="A219" s="210" t="str">
        <f t="shared" si="3"/>
        <v>ENGL 264,ED2-GEOM</v>
      </c>
      <c r="B219" s="213" t="s">
        <v>1635</v>
      </c>
      <c r="C219" s="214" t="s">
        <v>1629</v>
      </c>
      <c r="D219" s="215" t="s">
        <v>170</v>
      </c>
      <c r="E219" s="214" t="s">
        <v>276</v>
      </c>
    </row>
    <row r="220" spans="1:5" s="216" customFormat="1" x14ac:dyDescent="0.3">
      <c r="A220" s="210" t="str">
        <f t="shared" si="3"/>
        <v>ENGL 264,ED2-AE</v>
      </c>
      <c r="B220" s="213" t="s">
        <v>1635</v>
      </c>
      <c r="C220" s="214" t="s">
        <v>1629</v>
      </c>
      <c r="D220" s="215" t="s">
        <v>53</v>
      </c>
      <c r="E220" s="214" t="s">
        <v>276</v>
      </c>
    </row>
    <row r="221" spans="1:5" s="216" customFormat="1" x14ac:dyDescent="0.3">
      <c r="A221" s="210" t="str">
        <f t="shared" si="3"/>
        <v>ENGL 264,ED2-IND</v>
      </c>
      <c r="B221" s="213" t="s">
        <v>1635</v>
      </c>
      <c r="C221" s="214" t="s">
        <v>1629</v>
      </c>
      <c r="D221" s="215" t="s">
        <v>38</v>
      </c>
      <c r="E221" s="214" t="s">
        <v>276</v>
      </c>
    </row>
    <row r="222" spans="1:5" s="216" customFormat="1" x14ac:dyDescent="0.3">
      <c r="A222" s="210" t="str">
        <f t="shared" si="3"/>
        <v>FC 182,ED2-BME</v>
      </c>
      <c r="B222" s="213" t="s">
        <v>1636</v>
      </c>
      <c r="C222" s="214" t="s">
        <v>1637</v>
      </c>
      <c r="D222" s="215" t="s">
        <v>109</v>
      </c>
      <c r="E222" s="214" t="s">
        <v>245</v>
      </c>
    </row>
    <row r="223" spans="1:5" x14ac:dyDescent="0.3">
      <c r="A223" s="210" t="str">
        <f t="shared" si="3"/>
        <v>FC 182,ED1-CE</v>
      </c>
      <c r="B223" s="213" t="s">
        <v>1636</v>
      </c>
      <c r="C223" s="214" t="s">
        <v>1638</v>
      </c>
      <c r="D223" s="215" t="s">
        <v>75</v>
      </c>
      <c r="E223" s="214" t="s">
        <v>245</v>
      </c>
    </row>
    <row r="224" spans="1:5" s="216" customFormat="1" x14ac:dyDescent="0.3">
      <c r="A224" s="210" t="str">
        <f t="shared" si="3"/>
        <v>FC 182,ED2-EE</v>
      </c>
      <c r="B224" s="213" t="s">
        <v>1636</v>
      </c>
      <c r="C224" s="214" t="s">
        <v>1639</v>
      </c>
      <c r="D224" s="215" t="s">
        <v>25</v>
      </c>
      <c r="E224" s="214" t="s">
        <v>245</v>
      </c>
    </row>
    <row r="225" spans="1:5" s="216" customFormat="1" x14ac:dyDescent="0.3">
      <c r="A225" s="210" t="str">
        <f t="shared" si="3"/>
        <v>FC 182,ED2-COE</v>
      </c>
      <c r="B225" s="213" t="s">
        <v>1636</v>
      </c>
      <c r="C225" s="214" t="s">
        <v>1637</v>
      </c>
      <c r="D225" s="215" t="s">
        <v>108</v>
      </c>
      <c r="E225" s="214" t="s">
        <v>245</v>
      </c>
    </row>
    <row r="226" spans="1:5" s="216" customFormat="1" x14ac:dyDescent="0.3">
      <c r="A226" s="210" t="str">
        <f t="shared" si="3"/>
        <v>FC 182,ED3-CHE</v>
      </c>
      <c r="B226" s="213" t="s">
        <v>1636</v>
      </c>
      <c r="C226" s="214" t="s">
        <v>1639</v>
      </c>
      <c r="D226" s="215" t="s">
        <v>73</v>
      </c>
      <c r="E226" s="214" t="s">
        <v>245</v>
      </c>
    </row>
    <row r="227" spans="1:5" s="216" customFormat="1" x14ac:dyDescent="0.3">
      <c r="A227" s="210" t="str">
        <f t="shared" si="3"/>
        <v>FC 182,ED1-GEOL</v>
      </c>
      <c r="B227" s="213" t="s">
        <v>1636</v>
      </c>
      <c r="C227" s="214" t="s">
        <v>1638</v>
      </c>
      <c r="D227" s="215" t="s">
        <v>126</v>
      </c>
      <c r="E227" s="214" t="s">
        <v>245</v>
      </c>
    </row>
    <row r="228" spans="1:5" s="216" customFormat="1" x14ac:dyDescent="0.3">
      <c r="A228" s="210" t="str">
        <f t="shared" si="3"/>
        <v>FC 182,ED1-MARI</v>
      </c>
      <c r="B228" s="213" t="s">
        <v>1636</v>
      </c>
      <c r="C228" s="214" t="s">
        <v>1638</v>
      </c>
      <c r="D228" s="215" t="s">
        <v>112</v>
      </c>
      <c r="E228" s="214" t="s">
        <v>245</v>
      </c>
    </row>
    <row r="229" spans="1:5" s="216" customFormat="1" x14ac:dyDescent="0.3">
      <c r="A229" s="210" t="str">
        <f t="shared" si="3"/>
        <v>FC 182,ED2-TEL</v>
      </c>
      <c r="B229" s="213" t="s">
        <v>1636</v>
      </c>
      <c r="C229" s="214" t="s">
        <v>1638</v>
      </c>
      <c r="D229" s="215" t="s">
        <v>172</v>
      </c>
      <c r="E229" s="214" t="s">
        <v>245</v>
      </c>
    </row>
    <row r="230" spans="1:5" s="216" customFormat="1" x14ac:dyDescent="0.3">
      <c r="A230" s="210" t="str">
        <f t="shared" si="3"/>
        <v>FC 182,ED3-GEOM</v>
      </c>
      <c r="B230" s="213" t="s">
        <v>1640</v>
      </c>
      <c r="C230" s="214" t="s">
        <v>1637</v>
      </c>
      <c r="D230" s="215" t="s">
        <v>77</v>
      </c>
      <c r="E230" s="214" t="s">
        <v>245</v>
      </c>
    </row>
    <row r="231" spans="1:5" s="216" customFormat="1" x14ac:dyDescent="0.3">
      <c r="A231" s="210" t="str">
        <f t="shared" si="3"/>
        <v>GE 152,ED1-GEOM</v>
      </c>
      <c r="B231" s="213" t="s">
        <v>1641</v>
      </c>
      <c r="C231" s="214" t="s">
        <v>1642</v>
      </c>
      <c r="D231" s="215" t="s">
        <v>95</v>
      </c>
      <c r="E231" s="214" t="s">
        <v>201</v>
      </c>
    </row>
    <row r="232" spans="1:5" s="216" customFormat="1" x14ac:dyDescent="0.3">
      <c r="A232" s="210" t="str">
        <f t="shared" si="3"/>
        <v>GE 158,ED1-GEOM</v>
      </c>
      <c r="B232" s="213" t="s">
        <v>1380</v>
      </c>
      <c r="C232" s="214" t="s">
        <v>1643</v>
      </c>
      <c r="D232" s="215" t="s">
        <v>95</v>
      </c>
      <c r="E232" s="214" t="s">
        <v>430</v>
      </c>
    </row>
    <row r="233" spans="1:5" s="216" customFormat="1" x14ac:dyDescent="0.3">
      <c r="A233" s="210" t="str">
        <f t="shared" si="3"/>
        <v>GE 162,ED1-GEOM</v>
      </c>
      <c r="B233" s="213" t="s">
        <v>1644</v>
      </c>
      <c r="C233" s="214" t="s">
        <v>1645</v>
      </c>
      <c r="D233" s="215" t="s">
        <v>95</v>
      </c>
      <c r="E233" s="214" t="s">
        <v>94</v>
      </c>
    </row>
    <row r="234" spans="1:5" s="216" customFormat="1" x14ac:dyDescent="0.3">
      <c r="A234" s="210" t="str">
        <f t="shared" si="3"/>
        <v>GE 262,ED2-GEOM</v>
      </c>
      <c r="B234" s="213" t="s">
        <v>1646</v>
      </c>
      <c r="C234" s="214" t="s">
        <v>1647</v>
      </c>
      <c r="D234" s="215" t="s">
        <v>170</v>
      </c>
      <c r="E234" s="214" t="s">
        <v>169</v>
      </c>
    </row>
    <row r="235" spans="1:5" s="216" customFormat="1" x14ac:dyDescent="0.3">
      <c r="A235" s="210" t="str">
        <f t="shared" si="3"/>
        <v>GE 272,ED2-GEOM</v>
      </c>
      <c r="B235" s="213" t="s">
        <v>1648</v>
      </c>
      <c r="C235" s="214" t="s">
        <v>1649</v>
      </c>
      <c r="D235" s="215" t="s">
        <v>170</v>
      </c>
      <c r="E235" s="214" t="s">
        <v>219</v>
      </c>
    </row>
    <row r="236" spans="1:5" s="216" customFormat="1" x14ac:dyDescent="0.3">
      <c r="A236" s="210" t="str">
        <f t="shared" si="3"/>
        <v>GE 282,ED2-CE</v>
      </c>
      <c r="B236" s="213" t="s">
        <v>1644</v>
      </c>
      <c r="C236" s="214" t="s">
        <v>1650</v>
      </c>
      <c r="D236" s="215" t="s">
        <v>56</v>
      </c>
      <c r="E236" s="214" t="s">
        <v>489</v>
      </c>
    </row>
    <row r="237" spans="1:5" s="216" customFormat="1" x14ac:dyDescent="0.3">
      <c r="A237" s="210" t="str">
        <f t="shared" si="3"/>
        <v>GE 282,ED2-GEOL</v>
      </c>
      <c r="B237" s="213" t="s">
        <v>1644</v>
      </c>
      <c r="C237" s="214" t="s">
        <v>1650</v>
      </c>
      <c r="D237" s="215" t="s">
        <v>55</v>
      </c>
      <c r="E237" s="214" t="s">
        <v>489</v>
      </c>
    </row>
    <row r="238" spans="1:5" s="216" customFormat="1" x14ac:dyDescent="0.3">
      <c r="A238" s="210" t="str">
        <f t="shared" si="3"/>
        <v>GE 284,ED2-GEOM</v>
      </c>
      <c r="B238" s="213" t="s">
        <v>1651</v>
      </c>
      <c r="C238" s="214" t="s">
        <v>1652</v>
      </c>
      <c r="D238" s="215" t="s">
        <v>170</v>
      </c>
      <c r="E238" s="214" t="s">
        <v>475</v>
      </c>
    </row>
    <row r="239" spans="1:5" s="216" customFormat="1" x14ac:dyDescent="0.3">
      <c r="A239" s="210" t="str">
        <f t="shared" si="3"/>
        <v>GE 286,ED2-AE</v>
      </c>
      <c r="B239" s="213" t="s">
        <v>1653</v>
      </c>
      <c r="C239" s="214" t="s">
        <v>1654</v>
      </c>
      <c r="D239" s="215" t="s">
        <v>53</v>
      </c>
      <c r="E239" s="214" t="s">
        <v>52</v>
      </c>
    </row>
    <row r="240" spans="1:5" s="216" customFormat="1" x14ac:dyDescent="0.3">
      <c r="A240" s="210" t="str">
        <f t="shared" si="3"/>
        <v>GE 354,ED3-GEOM</v>
      </c>
      <c r="B240" s="213" t="s">
        <v>1655</v>
      </c>
      <c r="C240" s="214" t="s">
        <v>1656</v>
      </c>
      <c r="D240" s="215" t="s">
        <v>77</v>
      </c>
      <c r="E240" s="214" t="s">
        <v>221</v>
      </c>
    </row>
    <row r="241" spans="1:5" s="216" customFormat="1" x14ac:dyDescent="0.3">
      <c r="A241" s="210" t="str">
        <f t="shared" si="3"/>
        <v>GE 362,ED3-GEOM</v>
      </c>
      <c r="B241" s="213" t="s">
        <v>1657</v>
      </c>
      <c r="C241" s="214" t="s">
        <v>1658</v>
      </c>
      <c r="D241" s="215" t="s">
        <v>77</v>
      </c>
      <c r="E241" s="214" t="s">
        <v>309</v>
      </c>
    </row>
    <row r="242" spans="1:5" s="216" customFormat="1" x14ac:dyDescent="0.3">
      <c r="A242" s="210" t="str">
        <f t="shared" si="3"/>
        <v>GE 372,ED3-GEOM</v>
      </c>
      <c r="B242" s="213" t="s">
        <v>1659</v>
      </c>
      <c r="C242" s="214" t="s">
        <v>1660</v>
      </c>
      <c r="D242" s="215" t="s">
        <v>77</v>
      </c>
      <c r="E242" s="214" t="s">
        <v>76</v>
      </c>
    </row>
    <row r="243" spans="1:5" s="216" customFormat="1" x14ac:dyDescent="0.3">
      <c r="A243" s="210" t="str">
        <f t="shared" si="3"/>
        <v>GE 464,ED4-GEOM</v>
      </c>
      <c r="B243" s="213" t="s">
        <v>1661</v>
      </c>
      <c r="C243" s="214" t="s">
        <v>1645</v>
      </c>
      <c r="D243" s="215" t="s">
        <v>194</v>
      </c>
      <c r="E243" s="214" t="s">
        <v>193</v>
      </c>
    </row>
    <row r="244" spans="1:5" s="216" customFormat="1" x14ac:dyDescent="0.3">
      <c r="A244" s="210" t="str">
        <f t="shared" si="3"/>
        <v>GE 472,ED4-GEOM</v>
      </c>
      <c r="B244" s="213" t="s">
        <v>1662</v>
      </c>
      <c r="C244" s="214" t="s">
        <v>1649</v>
      </c>
      <c r="D244" s="215" t="s">
        <v>194</v>
      </c>
      <c r="E244" s="214" t="s">
        <v>284</v>
      </c>
    </row>
    <row r="245" spans="1:5" s="216" customFormat="1" ht="15" customHeight="1" x14ac:dyDescent="0.3">
      <c r="A245" s="210" t="str">
        <f t="shared" si="3"/>
        <v>GE 474,ED4-GEOM</v>
      </c>
      <c r="B245" s="213" t="s">
        <v>1663</v>
      </c>
      <c r="C245" s="214" t="s">
        <v>1664</v>
      </c>
      <c r="D245" s="215" t="s">
        <v>194</v>
      </c>
      <c r="E245" s="214" t="s">
        <v>471</v>
      </c>
    </row>
    <row r="246" spans="1:5" s="216" customFormat="1" x14ac:dyDescent="0.3">
      <c r="A246" s="210" t="str">
        <f t="shared" si="3"/>
        <v>GE 476,ED4-GEOM</v>
      </c>
      <c r="B246" s="213" t="s">
        <v>1665</v>
      </c>
      <c r="C246" s="214" t="s">
        <v>1666</v>
      </c>
      <c r="D246" s="215" t="s">
        <v>194</v>
      </c>
      <c r="E246" s="214" t="s">
        <v>341</v>
      </c>
    </row>
    <row r="247" spans="1:5" s="216" customFormat="1" x14ac:dyDescent="0.3">
      <c r="A247" s="210" t="str">
        <f t="shared" si="3"/>
        <v>GED 152,ED1-GEOL</v>
      </c>
      <c r="B247" s="213" t="s">
        <v>1667</v>
      </c>
      <c r="C247" s="214" t="s">
        <v>1668</v>
      </c>
      <c r="D247" s="215" t="s">
        <v>126</v>
      </c>
      <c r="E247" s="214" t="s">
        <v>354</v>
      </c>
    </row>
    <row r="248" spans="1:5" s="216" customFormat="1" x14ac:dyDescent="0.3">
      <c r="A248" s="210" t="str">
        <f t="shared" si="3"/>
        <v>GED 164,ED1-GEOL</v>
      </c>
      <c r="B248" s="213" t="s">
        <v>1669</v>
      </c>
      <c r="C248" s="214" t="s">
        <v>1670</v>
      </c>
      <c r="D248" s="215" t="s">
        <v>126</v>
      </c>
      <c r="E248" s="214" t="s">
        <v>125</v>
      </c>
    </row>
    <row r="249" spans="1:5" s="216" customFormat="1" x14ac:dyDescent="0.3">
      <c r="A249" s="210" t="str">
        <f t="shared" si="3"/>
        <v>GED 252,ED2-GEOL</v>
      </c>
      <c r="B249" s="213" t="s">
        <v>1671</v>
      </c>
      <c r="C249" s="214" t="s">
        <v>1672</v>
      </c>
      <c r="D249" s="215" t="s">
        <v>55</v>
      </c>
      <c r="E249" s="214" t="s">
        <v>224</v>
      </c>
    </row>
    <row r="250" spans="1:5" s="216" customFormat="1" x14ac:dyDescent="0.3">
      <c r="A250" s="210" t="str">
        <f t="shared" si="3"/>
        <v>GED 254,ED2-GEOL</v>
      </c>
      <c r="B250" s="213" t="s">
        <v>1673</v>
      </c>
      <c r="C250" s="214" t="s">
        <v>1674</v>
      </c>
      <c r="D250" s="215" t="s">
        <v>55</v>
      </c>
      <c r="E250" s="214" t="s">
        <v>399</v>
      </c>
    </row>
    <row r="251" spans="1:5" s="216" customFormat="1" x14ac:dyDescent="0.3">
      <c r="A251" s="210" t="str">
        <f t="shared" si="3"/>
        <v>GED 258,ED2-GEOL</v>
      </c>
      <c r="B251" s="213" t="s">
        <v>1675</v>
      </c>
      <c r="C251" s="214" t="s">
        <v>1676</v>
      </c>
      <c r="D251" s="215" t="s">
        <v>55</v>
      </c>
      <c r="E251" s="214" t="s">
        <v>369</v>
      </c>
    </row>
    <row r="252" spans="1:5" s="216" customFormat="1" x14ac:dyDescent="0.3">
      <c r="A252" s="210" t="str">
        <f t="shared" si="3"/>
        <v>GED 262,ED2-GEOL</v>
      </c>
      <c r="B252" s="213" t="s">
        <v>1677</v>
      </c>
      <c r="C252" s="214" t="s">
        <v>1678</v>
      </c>
      <c r="D252" s="215" t="s">
        <v>55</v>
      </c>
      <c r="E252" s="214" t="s">
        <v>247</v>
      </c>
    </row>
    <row r="253" spans="1:5" s="216" customFormat="1" ht="15" customHeight="1" x14ac:dyDescent="0.3">
      <c r="A253" s="210" t="str">
        <f t="shared" si="3"/>
        <v>GED 342,ED3-GEOL</v>
      </c>
      <c r="B253" s="213" t="s">
        <v>1679</v>
      </c>
      <c r="C253" s="214" t="s">
        <v>1680</v>
      </c>
      <c r="D253" s="215" t="s">
        <v>154</v>
      </c>
      <c r="E253" s="214" t="s">
        <v>497</v>
      </c>
    </row>
    <row r="254" spans="1:5" s="216" customFormat="1" x14ac:dyDescent="0.3">
      <c r="A254" s="210" t="str">
        <f t="shared" si="3"/>
        <v>GED 352,ED3-GEOL</v>
      </c>
      <c r="B254" s="213" t="s">
        <v>1681</v>
      </c>
      <c r="C254" s="214" t="s">
        <v>1682</v>
      </c>
      <c r="D254" s="215" t="s">
        <v>154</v>
      </c>
      <c r="E254" s="214" t="s">
        <v>153</v>
      </c>
    </row>
    <row r="255" spans="1:5" s="216" customFormat="1" x14ac:dyDescent="0.3">
      <c r="A255" s="210" t="str">
        <f t="shared" si="3"/>
        <v>GED 354,ED3-GEOL</v>
      </c>
      <c r="B255" s="213" t="s">
        <v>1683</v>
      </c>
      <c r="C255" s="214" t="s">
        <v>1684</v>
      </c>
      <c r="D255" s="215" t="s">
        <v>154</v>
      </c>
      <c r="E255" s="214" t="s">
        <v>246</v>
      </c>
    </row>
    <row r="256" spans="1:5" s="216" customFormat="1" x14ac:dyDescent="0.3">
      <c r="A256" s="210" t="str">
        <f t="shared" si="3"/>
        <v>GED 364,ED3-GEOL</v>
      </c>
      <c r="B256" s="213" t="s">
        <v>1685</v>
      </c>
      <c r="C256" s="214" t="s">
        <v>1686</v>
      </c>
      <c r="D256" s="215" t="s">
        <v>154</v>
      </c>
      <c r="E256" s="214" t="s">
        <v>437</v>
      </c>
    </row>
    <row r="257" spans="1:5" s="216" customFormat="1" x14ac:dyDescent="0.3">
      <c r="A257" s="210" t="str">
        <f t="shared" ref="A257:A320" si="4">CONCATENATE(E257,",",D257)</f>
        <v>GED 366,ED3-GEOL</v>
      </c>
      <c r="B257" s="213" t="s">
        <v>1687</v>
      </c>
      <c r="C257" s="214" t="s">
        <v>1688</v>
      </c>
      <c r="D257" s="215" t="s">
        <v>154</v>
      </c>
      <c r="E257" s="214" t="s">
        <v>379</v>
      </c>
    </row>
    <row r="258" spans="1:5" s="216" customFormat="1" x14ac:dyDescent="0.3">
      <c r="A258" s="210" t="str">
        <f t="shared" si="4"/>
        <v>GED 368,ED3-GEOL</v>
      </c>
      <c r="B258" s="213" t="s">
        <v>1689</v>
      </c>
      <c r="C258" s="214" t="s">
        <v>1668</v>
      </c>
      <c r="D258" s="215" t="s">
        <v>154</v>
      </c>
      <c r="E258" s="214" t="s">
        <v>222</v>
      </c>
    </row>
    <row r="259" spans="1:5" s="216" customFormat="1" x14ac:dyDescent="0.3">
      <c r="A259" s="210" t="str">
        <f t="shared" si="4"/>
        <v>GED 370,ED3-GEOL</v>
      </c>
      <c r="B259" s="213" t="s">
        <v>1484</v>
      </c>
      <c r="C259" s="214" t="s">
        <v>1678</v>
      </c>
      <c r="D259" s="215" t="s">
        <v>154</v>
      </c>
      <c r="E259" s="214" t="s">
        <v>335</v>
      </c>
    </row>
    <row r="260" spans="1:5" s="216" customFormat="1" x14ac:dyDescent="0.3">
      <c r="A260" s="210" t="str">
        <f t="shared" si="4"/>
        <v>GED 452,ED4-GEOL</v>
      </c>
      <c r="B260" s="213" t="s">
        <v>1690</v>
      </c>
      <c r="C260" s="214" t="s">
        <v>1674</v>
      </c>
      <c r="D260" s="215" t="s">
        <v>177</v>
      </c>
      <c r="E260" s="214" t="s">
        <v>214</v>
      </c>
    </row>
    <row r="261" spans="1:5" s="216" customFormat="1" x14ac:dyDescent="0.3">
      <c r="A261" s="210" t="str">
        <f t="shared" si="4"/>
        <v>GED 454,ED4-GEOL</v>
      </c>
      <c r="B261" s="213" t="s">
        <v>1691</v>
      </c>
      <c r="C261" s="214" t="s">
        <v>1688</v>
      </c>
      <c r="D261" s="215" t="s">
        <v>177</v>
      </c>
      <c r="E261" s="214" t="s">
        <v>317</v>
      </c>
    </row>
    <row r="262" spans="1:5" s="216" customFormat="1" x14ac:dyDescent="0.3">
      <c r="A262" s="210" t="str">
        <f t="shared" si="4"/>
        <v>GED 462,ED4-GEOL</v>
      </c>
      <c r="B262" s="213" t="s">
        <v>1692</v>
      </c>
      <c r="C262" s="214" t="s">
        <v>1693</v>
      </c>
      <c r="D262" s="215" t="s">
        <v>177</v>
      </c>
      <c r="E262" s="214" t="s">
        <v>358</v>
      </c>
    </row>
    <row r="263" spans="1:5" s="216" customFormat="1" x14ac:dyDescent="0.3">
      <c r="A263" s="210" t="str">
        <f t="shared" si="4"/>
        <v>GED 464,ED4-GEOL</v>
      </c>
      <c r="B263" s="213" t="s">
        <v>1694</v>
      </c>
      <c r="C263" s="214" t="s">
        <v>1695</v>
      </c>
      <c r="D263" s="215" t="s">
        <v>177</v>
      </c>
      <c r="E263" s="214" t="s">
        <v>176</v>
      </c>
    </row>
    <row r="264" spans="1:5" s="216" customFormat="1" x14ac:dyDescent="0.3">
      <c r="A264" s="210" t="str">
        <f t="shared" si="4"/>
        <v>GED 466,ED4-GEOL</v>
      </c>
      <c r="B264" s="213" t="s">
        <v>1696</v>
      </c>
      <c r="C264" s="214" t="s">
        <v>1688</v>
      </c>
      <c r="D264" s="215" t="s">
        <v>177</v>
      </c>
      <c r="E264" s="214" t="s">
        <v>410</v>
      </c>
    </row>
    <row r="265" spans="1:5" s="216" customFormat="1" x14ac:dyDescent="0.3">
      <c r="A265" s="210" t="str">
        <f t="shared" si="4"/>
        <v>GED 468,ED4-GEOL</v>
      </c>
      <c r="B265" s="213" t="s">
        <v>1697</v>
      </c>
      <c r="C265" s="214" t="s">
        <v>1698</v>
      </c>
      <c r="D265" s="215" t="s">
        <v>177</v>
      </c>
      <c r="E265" s="214" t="s">
        <v>510</v>
      </c>
    </row>
    <row r="266" spans="1:5" s="216" customFormat="1" x14ac:dyDescent="0.3">
      <c r="A266" s="210" t="str">
        <f t="shared" si="4"/>
        <v>GED 476,ED4-GEOL</v>
      </c>
      <c r="B266" s="213" t="s">
        <v>1699</v>
      </c>
      <c r="C266" s="214" t="s">
        <v>1700</v>
      </c>
      <c r="D266" s="215" t="s">
        <v>177</v>
      </c>
      <c r="E266" s="214" t="s">
        <v>445</v>
      </c>
    </row>
    <row r="267" spans="1:5" s="216" customFormat="1" x14ac:dyDescent="0.3">
      <c r="A267" s="210" t="str">
        <f t="shared" si="4"/>
        <v>IE 174,ED1-IND</v>
      </c>
      <c r="B267" s="213" t="s">
        <v>1701</v>
      </c>
      <c r="C267" s="214" t="s">
        <v>1406</v>
      </c>
      <c r="D267" s="215" t="s">
        <v>111</v>
      </c>
      <c r="E267" s="214" t="s">
        <v>484</v>
      </c>
    </row>
    <row r="268" spans="1:5" s="216" customFormat="1" x14ac:dyDescent="0.3">
      <c r="A268" s="210" t="str">
        <f t="shared" si="4"/>
        <v>IE 274,ED2-IND</v>
      </c>
      <c r="B268" s="213" t="s">
        <v>1702</v>
      </c>
      <c r="C268" s="214" t="s">
        <v>1406</v>
      </c>
      <c r="D268" s="215" t="s">
        <v>38</v>
      </c>
      <c r="E268" s="214" t="s">
        <v>37</v>
      </c>
    </row>
    <row r="269" spans="1:5" s="216" customFormat="1" x14ac:dyDescent="0.3">
      <c r="A269" s="210" t="str">
        <f t="shared" si="4"/>
        <v>IE 296,ED2-IND</v>
      </c>
      <c r="B269" s="213" t="s">
        <v>1703</v>
      </c>
      <c r="C269" s="214" t="s">
        <v>1704</v>
      </c>
      <c r="D269" s="215" t="s">
        <v>38</v>
      </c>
      <c r="E269" s="214" t="s">
        <v>225</v>
      </c>
    </row>
    <row r="270" spans="1:5" s="216" customFormat="1" x14ac:dyDescent="0.3">
      <c r="A270" s="210" t="str">
        <f t="shared" si="4"/>
        <v>IE 354,ED3-IND</v>
      </c>
      <c r="B270" s="213" t="s">
        <v>1705</v>
      </c>
      <c r="C270" s="214" t="s">
        <v>1706</v>
      </c>
      <c r="D270" s="215" t="s">
        <v>121</v>
      </c>
      <c r="E270" s="214" t="s">
        <v>482</v>
      </c>
    </row>
    <row r="271" spans="1:5" s="216" customFormat="1" x14ac:dyDescent="0.3">
      <c r="A271" s="210" t="str">
        <f t="shared" si="4"/>
        <v>IE 356,ED3-IND</v>
      </c>
      <c r="B271" s="213" t="s">
        <v>1707</v>
      </c>
      <c r="C271" s="214" t="s">
        <v>1695</v>
      </c>
      <c r="D271" s="215" t="s">
        <v>121</v>
      </c>
      <c r="E271" s="214" t="s">
        <v>444</v>
      </c>
    </row>
    <row r="272" spans="1:5" s="216" customFormat="1" ht="15" customHeight="1" x14ac:dyDescent="0.3">
      <c r="A272" s="210" t="str">
        <f t="shared" si="4"/>
        <v>IE 358,ED3-IND</v>
      </c>
      <c r="B272" s="213" t="s">
        <v>1708</v>
      </c>
      <c r="C272" s="214" t="s">
        <v>1406</v>
      </c>
      <c r="D272" s="215" t="s">
        <v>121</v>
      </c>
      <c r="E272" s="214" t="s">
        <v>265</v>
      </c>
    </row>
    <row r="273" spans="1:5" s="216" customFormat="1" x14ac:dyDescent="0.3">
      <c r="A273" s="210" t="str">
        <f t="shared" si="4"/>
        <v>IE 360,ED3-IND</v>
      </c>
      <c r="B273" s="213" t="s">
        <v>1709</v>
      </c>
      <c r="C273" s="214" t="s">
        <v>1438</v>
      </c>
      <c r="D273" s="215" t="s">
        <v>121</v>
      </c>
      <c r="E273" s="214" t="s">
        <v>402</v>
      </c>
    </row>
    <row r="274" spans="1:5" s="216" customFormat="1" x14ac:dyDescent="0.3">
      <c r="A274" s="210" t="str">
        <f t="shared" si="4"/>
        <v>IE 362,ED3-IND</v>
      </c>
      <c r="B274" s="213" t="s">
        <v>1710</v>
      </c>
      <c r="C274" s="214" t="s">
        <v>1417</v>
      </c>
      <c r="D274" s="215" t="s">
        <v>121</v>
      </c>
      <c r="E274" s="214" t="s">
        <v>229</v>
      </c>
    </row>
    <row r="275" spans="1:5" s="216" customFormat="1" x14ac:dyDescent="0.3">
      <c r="A275" s="210" t="str">
        <f t="shared" si="4"/>
        <v>IE 366,ED3-IND</v>
      </c>
      <c r="B275" s="213" t="s">
        <v>1711</v>
      </c>
      <c r="C275" s="214" t="s">
        <v>1695</v>
      </c>
      <c r="D275" s="215" t="s">
        <v>121</v>
      </c>
      <c r="E275" s="214" t="s">
        <v>340</v>
      </c>
    </row>
    <row r="276" spans="1:5" s="216" customFormat="1" x14ac:dyDescent="0.3">
      <c r="A276" s="210" t="str">
        <f t="shared" si="4"/>
        <v>IE 368,ED3-IND</v>
      </c>
      <c r="B276" s="213" t="s">
        <v>1712</v>
      </c>
      <c r="C276" s="214" t="s">
        <v>1706</v>
      </c>
      <c r="D276" s="215" t="s">
        <v>121</v>
      </c>
      <c r="E276" s="214" t="s">
        <v>120</v>
      </c>
    </row>
    <row r="277" spans="1:5" s="216" customFormat="1" x14ac:dyDescent="0.3">
      <c r="A277" s="210" t="str">
        <f t="shared" si="4"/>
        <v>IE 452,ED4-IND</v>
      </c>
      <c r="B277" s="213" t="s">
        <v>1713</v>
      </c>
      <c r="C277" s="214" t="s">
        <v>1438</v>
      </c>
      <c r="D277" s="215" t="s">
        <v>124</v>
      </c>
      <c r="E277" s="214" t="s">
        <v>123</v>
      </c>
    </row>
    <row r="278" spans="1:5" s="216" customFormat="1" x14ac:dyDescent="0.3">
      <c r="A278" s="210" t="str">
        <f t="shared" si="4"/>
        <v>IE 454,ED4-IND</v>
      </c>
      <c r="B278" s="213" t="s">
        <v>1714</v>
      </c>
      <c r="C278" s="214" t="s">
        <v>1715</v>
      </c>
      <c r="D278" s="215" t="s">
        <v>124</v>
      </c>
      <c r="E278" s="214" t="s">
        <v>508</v>
      </c>
    </row>
    <row r="279" spans="1:5" s="216" customFormat="1" x14ac:dyDescent="0.3">
      <c r="A279" s="210" t="str">
        <f t="shared" si="4"/>
        <v>IE 456,ED4-IND</v>
      </c>
      <c r="B279" s="213" t="s">
        <v>1716</v>
      </c>
      <c r="C279" s="214" t="s">
        <v>1717</v>
      </c>
      <c r="D279" s="215" t="s">
        <v>124</v>
      </c>
      <c r="E279" s="214" t="s">
        <v>216</v>
      </c>
    </row>
    <row r="280" spans="1:5" s="216" customFormat="1" ht="15" customHeight="1" x14ac:dyDescent="0.3">
      <c r="A280" s="210" t="str">
        <f t="shared" si="4"/>
        <v>IE 458,ED4-IND</v>
      </c>
      <c r="B280" s="213" t="s">
        <v>1718</v>
      </c>
      <c r="C280" s="214" t="s">
        <v>1438</v>
      </c>
      <c r="D280" s="215" t="s">
        <v>124</v>
      </c>
      <c r="E280" s="214" t="s">
        <v>427</v>
      </c>
    </row>
    <row r="281" spans="1:5" x14ac:dyDescent="0.3">
      <c r="A281" s="210" t="str">
        <f t="shared" si="4"/>
        <v>MATH 152,ED1-AERO</v>
      </c>
      <c r="B281" s="213" t="s">
        <v>1719</v>
      </c>
      <c r="C281" s="214" t="s">
        <v>1720</v>
      </c>
      <c r="D281" s="215" t="s">
        <v>191</v>
      </c>
      <c r="E281" s="214" t="s">
        <v>129</v>
      </c>
    </row>
    <row r="282" spans="1:5" s="216" customFormat="1" x14ac:dyDescent="0.3">
      <c r="A282" s="210" t="str">
        <f t="shared" si="4"/>
        <v>MATH 152,ED1-AE</v>
      </c>
      <c r="B282" s="213" t="s">
        <v>1719</v>
      </c>
      <c r="C282" s="214" t="s">
        <v>1721</v>
      </c>
      <c r="D282" s="215" t="s">
        <v>131</v>
      </c>
      <c r="E282" s="214" t="s">
        <v>129</v>
      </c>
    </row>
    <row r="283" spans="1:5" s="216" customFormat="1" x14ac:dyDescent="0.3">
      <c r="A283" s="210" t="str">
        <f t="shared" si="4"/>
        <v>MATH 152,ED1-AUTO</v>
      </c>
      <c r="B283" s="213" t="s">
        <v>1719</v>
      </c>
      <c r="C283" s="214" t="s">
        <v>1722</v>
      </c>
      <c r="D283" s="215" t="s">
        <v>162</v>
      </c>
      <c r="E283" s="214" t="s">
        <v>129</v>
      </c>
    </row>
    <row r="284" spans="1:5" s="216" customFormat="1" ht="15" customHeight="1" x14ac:dyDescent="0.3">
      <c r="A284" s="210" t="str">
        <f t="shared" si="4"/>
        <v>MATH 152,ED1-BME</v>
      </c>
      <c r="B284" s="213" t="s">
        <v>1719</v>
      </c>
      <c r="C284" s="214" t="s">
        <v>1721</v>
      </c>
      <c r="D284" s="215" t="s">
        <v>130</v>
      </c>
      <c r="E284" s="214" t="s">
        <v>129</v>
      </c>
    </row>
    <row r="285" spans="1:5" s="216" customFormat="1" x14ac:dyDescent="0.3">
      <c r="A285" s="210" t="str">
        <f t="shared" si="4"/>
        <v>MATH 152,ED1-CHE</v>
      </c>
      <c r="B285" s="213" t="s">
        <v>1719</v>
      </c>
      <c r="C285" s="214" t="s">
        <v>1722</v>
      </c>
      <c r="D285" s="215" t="s">
        <v>80</v>
      </c>
      <c r="E285" s="214" t="s">
        <v>129</v>
      </c>
    </row>
    <row r="286" spans="1:5" x14ac:dyDescent="0.3">
      <c r="A286" s="210" t="str">
        <f t="shared" si="4"/>
        <v>MATH 152,ED1-CE</v>
      </c>
      <c r="B286" s="213" t="s">
        <v>1723</v>
      </c>
      <c r="C286" s="214" t="s">
        <v>1720</v>
      </c>
      <c r="D286" s="215" t="s">
        <v>75</v>
      </c>
      <c r="E286" s="214" t="s">
        <v>129</v>
      </c>
    </row>
    <row r="287" spans="1:5" s="216" customFormat="1" x14ac:dyDescent="0.3">
      <c r="A287" s="210" t="str">
        <f t="shared" si="4"/>
        <v>MATH 152,ED1-COE</v>
      </c>
      <c r="B287" s="213" t="s">
        <v>1719</v>
      </c>
      <c r="C287" s="214" t="s">
        <v>1720</v>
      </c>
      <c r="D287" s="215" t="s">
        <v>20</v>
      </c>
      <c r="E287" s="214" t="s">
        <v>129</v>
      </c>
    </row>
    <row r="288" spans="1:5" s="216" customFormat="1" x14ac:dyDescent="0.3">
      <c r="A288" s="210" t="str">
        <f t="shared" si="4"/>
        <v>MATH 152,ED1-EE</v>
      </c>
      <c r="B288" s="213" t="s">
        <v>1719</v>
      </c>
      <c r="C288" s="214" t="s">
        <v>1724</v>
      </c>
      <c r="D288" s="215" t="s">
        <v>51</v>
      </c>
      <c r="E288" s="214" t="s">
        <v>129</v>
      </c>
    </row>
    <row r="289" spans="1:5" s="216" customFormat="1" x14ac:dyDescent="0.3">
      <c r="A289" s="210" t="str">
        <f t="shared" si="4"/>
        <v>MATH 152,ED1-GEOL</v>
      </c>
      <c r="B289" s="213" t="s">
        <v>1723</v>
      </c>
      <c r="C289" s="214" t="s">
        <v>1725</v>
      </c>
      <c r="D289" s="215" t="s">
        <v>126</v>
      </c>
      <c r="E289" s="214" t="s">
        <v>129</v>
      </c>
    </row>
    <row r="290" spans="1:5" s="216" customFormat="1" x14ac:dyDescent="0.3">
      <c r="A290" s="210" t="str">
        <f t="shared" si="4"/>
        <v>MATH 152,ED1-GEOM</v>
      </c>
      <c r="B290" s="213" t="s">
        <v>1719</v>
      </c>
      <c r="C290" s="214" t="s">
        <v>1722</v>
      </c>
      <c r="D290" s="215" t="s">
        <v>95</v>
      </c>
      <c r="E290" s="214" t="s">
        <v>129</v>
      </c>
    </row>
    <row r="291" spans="1:5" s="216" customFormat="1" x14ac:dyDescent="0.3">
      <c r="A291" s="210" t="str">
        <f t="shared" si="4"/>
        <v>MATH 152,ED1-IND</v>
      </c>
      <c r="B291" s="213" t="s">
        <v>1719</v>
      </c>
      <c r="C291" s="214" t="s">
        <v>1720</v>
      </c>
      <c r="D291" s="215" t="s">
        <v>111</v>
      </c>
      <c r="E291" s="214" t="s">
        <v>129</v>
      </c>
    </row>
    <row r="292" spans="1:5" s="216" customFormat="1" x14ac:dyDescent="0.3">
      <c r="A292" s="210" t="str">
        <f t="shared" si="4"/>
        <v>MATH 152,ED1-MARI</v>
      </c>
      <c r="B292" s="213" t="s">
        <v>1719</v>
      </c>
      <c r="C292" s="214" t="s">
        <v>1720</v>
      </c>
      <c r="D292" s="215" t="s">
        <v>112</v>
      </c>
      <c r="E292" s="214" t="s">
        <v>129</v>
      </c>
    </row>
    <row r="293" spans="1:5" s="216" customFormat="1" x14ac:dyDescent="0.3">
      <c r="A293" s="210" t="str">
        <f t="shared" si="4"/>
        <v>MATH 152,ED1-MSE</v>
      </c>
      <c r="B293" s="213" t="s">
        <v>1719</v>
      </c>
      <c r="C293" s="214" t="s">
        <v>1722</v>
      </c>
      <c r="D293" s="215" t="s">
        <v>115</v>
      </c>
      <c r="E293" s="214" t="s">
        <v>129</v>
      </c>
    </row>
    <row r="294" spans="1:5" s="216" customFormat="1" x14ac:dyDescent="0.3">
      <c r="A294" s="210" t="str">
        <f t="shared" si="4"/>
        <v>MATH 152,ED1-ME</v>
      </c>
      <c r="B294" s="213" t="s">
        <v>1719</v>
      </c>
      <c r="C294" s="214" t="s">
        <v>1722</v>
      </c>
      <c r="D294" s="215" t="s">
        <v>161</v>
      </c>
      <c r="E294" s="214" t="s">
        <v>129</v>
      </c>
    </row>
    <row r="295" spans="1:5" s="216" customFormat="1" x14ac:dyDescent="0.3">
      <c r="A295" s="210" t="str">
        <f t="shared" si="4"/>
        <v>MATH 152,ED1-METE</v>
      </c>
      <c r="B295" s="213" t="s">
        <v>1719</v>
      </c>
      <c r="C295" s="214" t="s">
        <v>1722</v>
      </c>
      <c r="D295" s="215" t="s">
        <v>114</v>
      </c>
      <c r="E295" s="214" t="s">
        <v>129</v>
      </c>
    </row>
    <row r="296" spans="1:5" s="216" customFormat="1" x14ac:dyDescent="0.3">
      <c r="A296" s="210" t="str">
        <f t="shared" si="4"/>
        <v>MATH 152,ED1-PCE</v>
      </c>
      <c r="B296" s="213" t="s">
        <v>1719</v>
      </c>
      <c r="C296" s="214" t="s">
        <v>1722</v>
      </c>
      <c r="D296" s="215" t="s">
        <v>81</v>
      </c>
      <c r="E296" s="214" t="s">
        <v>129</v>
      </c>
    </row>
    <row r="297" spans="1:5" s="216" customFormat="1" x14ac:dyDescent="0.3">
      <c r="A297" s="210" t="str">
        <f t="shared" si="4"/>
        <v>MATH 152,ED1-PETE</v>
      </c>
      <c r="B297" s="213" t="s">
        <v>1719</v>
      </c>
      <c r="C297" s="214" t="s">
        <v>1725</v>
      </c>
      <c r="D297" s="215" t="s">
        <v>1327</v>
      </c>
      <c r="E297" s="214" t="s">
        <v>129</v>
      </c>
    </row>
    <row r="298" spans="1:5" s="216" customFormat="1" x14ac:dyDescent="0.3">
      <c r="A298" s="210" t="str">
        <f t="shared" si="4"/>
        <v>MATH 152,ED1-TEL</v>
      </c>
      <c r="B298" s="213" t="s">
        <v>1719</v>
      </c>
      <c r="C298" s="214" t="s">
        <v>1726</v>
      </c>
      <c r="D298" s="215" t="s">
        <v>91</v>
      </c>
      <c r="E298" s="214" t="s">
        <v>129</v>
      </c>
    </row>
    <row r="299" spans="1:5" s="216" customFormat="1" x14ac:dyDescent="0.3">
      <c r="A299" s="210" t="str">
        <f t="shared" si="4"/>
        <v>MATH 252,ED2-AERO</v>
      </c>
      <c r="B299" s="213" t="s">
        <v>1723</v>
      </c>
      <c r="C299" s="214" t="s">
        <v>1727</v>
      </c>
      <c r="D299" s="215" t="s">
        <v>36</v>
      </c>
      <c r="E299" s="214" t="s">
        <v>281</v>
      </c>
    </row>
    <row r="300" spans="1:5" s="216" customFormat="1" x14ac:dyDescent="0.3">
      <c r="A300" s="210" t="str">
        <f t="shared" si="4"/>
        <v>MATH 252,ED2-GEOL</v>
      </c>
      <c r="B300" s="213" t="s">
        <v>1728</v>
      </c>
      <c r="C300" s="214" t="s">
        <v>1727</v>
      </c>
      <c r="D300" s="215" t="s">
        <v>55</v>
      </c>
      <c r="E300" s="214" t="s">
        <v>281</v>
      </c>
    </row>
    <row r="301" spans="1:5" s="216" customFormat="1" x14ac:dyDescent="0.3">
      <c r="A301" s="210" t="str">
        <f t="shared" si="4"/>
        <v>MATH 252,ED2-IND</v>
      </c>
      <c r="B301" s="213" t="s">
        <v>1723</v>
      </c>
      <c r="C301" s="214" t="s">
        <v>1727</v>
      </c>
      <c r="D301" s="215" t="s">
        <v>38</v>
      </c>
      <c r="E301" s="214" t="s">
        <v>281</v>
      </c>
    </row>
    <row r="302" spans="1:5" s="216" customFormat="1" x14ac:dyDescent="0.3">
      <c r="A302" s="210" t="str">
        <f t="shared" si="4"/>
        <v>MATH 252,ED2-TEL</v>
      </c>
      <c r="B302" s="213" t="s">
        <v>1723</v>
      </c>
      <c r="C302" s="214" t="s">
        <v>1727</v>
      </c>
      <c r="D302" s="215" t="s">
        <v>172</v>
      </c>
      <c r="E302" s="214" t="s">
        <v>281</v>
      </c>
    </row>
    <row r="303" spans="1:5" s="216" customFormat="1" x14ac:dyDescent="0.3">
      <c r="A303" s="210" t="str">
        <f t="shared" si="4"/>
        <v>MATH 252,ED2-AE</v>
      </c>
      <c r="B303" s="213" t="s">
        <v>1723</v>
      </c>
      <c r="C303" s="214" t="s">
        <v>1727</v>
      </c>
      <c r="D303" s="215" t="s">
        <v>53</v>
      </c>
      <c r="E303" s="214" t="s">
        <v>281</v>
      </c>
    </row>
    <row r="304" spans="1:5" s="216" customFormat="1" x14ac:dyDescent="0.3">
      <c r="A304" s="210" t="str">
        <f t="shared" si="4"/>
        <v>MATH 252,ED2-COE</v>
      </c>
      <c r="B304" s="213" t="s">
        <v>1723</v>
      </c>
      <c r="C304" s="214" t="s">
        <v>1727</v>
      </c>
      <c r="D304" s="215" t="s">
        <v>108</v>
      </c>
      <c r="E304" s="214" t="s">
        <v>281</v>
      </c>
    </row>
    <row r="305" spans="1:5" s="216" customFormat="1" x14ac:dyDescent="0.3">
      <c r="A305" s="210" t="str">
        <f t="shared" si="4"/>
        <v>MATH 252,ED2-AUTO</v>
      </c>
      <c r="B305" s="213" t="s">
        <v>1723</v>
      </c>
      <c r="C305" s="214" t="s">
        <v>1729</v>
      </c>
      <c r="D305" s="215" t="s">
        <v>40</v>
      </c>
      <c r="E305" s="214" t="s">
        <v>281</v>
      </c>
    </row>
    <row r="306" spans="1:5" s="216" customFormat="1" x14ac:dyDescent="0.3">
      <c r="A306" s="210" t="str">
        <f t="shared" si="4"/>
        <v>MATH 252,ED2-BME</v>
      </c>
      <c r="B306" s="213" t="s">
        <v>1723</v>
      </c>
      <c r="C306" s="214" t="s">
        <v>1729</v>
      </c>
      <c r="D306" s="215" t="s">
        <v>109</v>
      </c>
      <c r="E306" s="214" t="s">
        <v>281</v>
      </c>
    </row>
    <row r="307" spans="1:5" s="216" customFormat="1" ht="15" customHeight="1" x14ac:dyDescent="0.3">
      <c r="A307" s="210" t="str">
        <f t="shared" si="4"/>
        <v>MATH 252,ED2-CHE</v>
      </c>
      <c r="B307" s="213" t="s">
        <v>1730</v>
      </c>
      <c r="C307" s="214" t="s">
        <v>1731</v>
      </c>
      <c r="D307" s="215" t="s">
        <v>13</v>
      </c>
      <c r="E307" s="214" t="s">
        <v>281</v>
      </c>
    </row>
    <row r="308" spans="1:5" x14ac:dyDescent="0.3">
      <c r="A308" s="210" t="str">
        <f t="shared" si="4"/>
        <v>MATH 252,ED2-EE</v>
      </c>
      <c r="B308" s="213" t="s">
        <v>1723</v>
      </c>
      <c r="C308" s="214" t="s">
        <v>1732</v>
      </c>
      <c r="D308" s="215" t="s">
        <v>25</v>
      </c>
      <c r="E308" s="214" t="s">
        <v>281</v>
      </c>
    </row>
    <row r="309" spans="1:5" s="216" customFormat="1" x14ac:dyDescent="0.3">
      <c r="A309" s="210" t="str">
        <f t="shared" si="4"/>
        <v>MATH 252,ED2-GEOM</v>
      </c>
      <c r="B309" s="213" t="s">
        <v>1723</v>
      </c>
      <c r="C309" s="214" t="s">
        <v>1733</v>
      </c>
      <c r="D309" s="215" t="s">
        <v>170</v>
      </c>
      <c r="E309" s="214" t="s">
        <v>281</v>
      </c>
    </row>
    <row r="310" spans="1:5" s="216" customFormat="1" x14ac:dyDescent="0.3">
      <c r="A310" s="210" t="str">
        <f t="shared" si="4"/>
        <v>MATH 252,ED2-MARI</v>
      </c>
      <c r="B310" s="213" t="s">
        <v>1723</v>
      </c>
      <c r="C310" s="214" t="s">
        <v>1734</v>
      </c>
      <c r="D310" s="215" t="s">
        <v>42</v>
      </c>
      <c r="E310" s="214" t="s">
        <v>281</v>
      </c>
    </row>
    <row r="311" spans="1:5" s="216" customFormat="1" x14ac:dyDescent="0.3">
      <c r="A311" s="210" t="str">
        <f t="shared" si="4"/>
        <v>MATH 252,ED2-MSE</v>
      </c>
      <c r="B311" s="213" t="s">
        <v>1723</v>
      </c>
      <c r="C311" s="214" t="s">
        <v>1721</v>
      </c>
      <c r="D311" s="215" t="s">
        <v>210</v>
      </c>
      <c r="E311" s="214" t="s">
        <v>281</v>
      </c>
    </row>
    <row r="312" spans="1:5" s="216" customFormat="1" x14ac:dyDescent="0.3">
      <c r="A312" s="210" t="str">
        <f t="shared" si="4"/>
        <v>MATH 252,ED2-ME</v>
      </c>
      <c r="B312" s="213" t="s">
        <v>1723</v>
      </c>
      <c r="C312" s="214" t="s">
        <v>1734</v>
      </c>
      <c r="D312" s="215" t="s">
        <v>33</v>
      </c>
      <c r="E312" s="214" t="s">
        <v>281</v>
      </c>
    </row>
    <row r="313" spans="1:5" s="216" customFormat="1" x14ac:dyDescent="0.3">
      <c r="A313" s="210" t="str">
        <f t="shared" si="4"/>
        <v>MATH 252,ED2-METE</v>
      </c>
      <c r="B313" s="213" t="s">
        <v>1723</v>
      </c>
      <c r="C313" s="214" t="s">
        <v>1721</v>
      </c>
      <c r="D313" s="215" t="s">
        <v>101</v>
      </c>
      <c r="E313" s="214" t="s">
        <v>281</v>
      </c>
    </row>
    <row r="314" spans="1:5" s="216" customFormat="1" x14ac:dyDescent="0.3">
      <c r="A314" s="210" t="str">
        <f t="shared" si="4"/>
        <v>MATH 252,ED2-PCE</v>
      </c>
      <c r="B314" s="213" t="s">
        <v>1730</v>
      </c>
      <c r="C314" s="214" t="s">
        <v>1729</v>
      </c>
      <c r="D314" s="215" t="s">
        <v>14</v>
      </c>
      <c r="E314" s="214" t="s">
        <v>281</v>
      </c>
    </row>
    <row r="315" spans="1:5" s="216" customFormat="1" x14ac:dyDescent="0.3">
      <c r="A315" s="210" t="str">
        <f t="shared" si="4"/>
        <v>MATH 252,ED2-PETE</v>
      </c>
      <c r="B315" s="213" t="s">
        <v>1730</v>
      </c>
      <c r="C315" s="214" t="s">
        <v>1729</v>
      </c>
      <c r="D315" s="215" t="s">
        <v>1329</v>
      </c>
      <c r="E315" s="214" t="s">
        <v>281</v>
      </c>
    </row>
    <row r="316" spans="1:5" x14ac:dyDescent="0.3">
      <c r="A316" s="210" t="str">
        <f t="shared" si="4"/>
        <v>MATH 252,ED2-CE</v>
      </c>
      <c r="B316" s="213" t="s">
        <v>1723</v>
      </c>
      <c r="C316" s="214" t="s">
        <v>1735</v>
      </c>
      <c r="D316" s="215" t="s">
        <v>56</v>
      </c>
      <c r="E316" s="214" t="s">
        <v>281</v>
      </c>
    </row>
    <row r="317" spans="1:5" s="216" customFormat="1" x14ac:dyDescent="0.3">
      <c r="A317" s="210" t="str">
        <f t="shared" si="4"/>
        <v>ME 158,ED1-AERO</v>
      </c>
      <c r="B317" s="213" t="s">
        <v>1736</v>
      </c>
      <c r="C317" s="214" t="s">
        <v>1737</v>
      </c>
      <c r="D317" s="215" t="s">
        <v>191</v>
      </c>
      <c r="E317" s="214" t="s">
        <v>190</v>
      </c>
    </row>
    <row r="318" spans="1:5" s="216" customFormat="1" x14ac:dyDescent="0.3">
      <c r="A318" s="210" t="str">
        <f t="shared" si="4"/>
        <v>ME 160,ED1-AE</v>
      </c>
      <c r="B318" s="213" t="s">
        <v>1738</v>
      </c>
      <c r="C318" s="214" t="s">
        <v>1404</v>
      </c>
      <c r="D318" s="215" t="s">
        <v>131</v>
      </c>
      <c r="E318" s="214" t="s">
        <v>160</v>
      </c>
    </row>
    <row r="319" spans="1:5" s="216" customFormat="1" x14ac:dyDescent="0.3">
      <c r="A319" s="210" t="str">
        <f t="shared" si="4"/>
        <v>ME 160,ED1-AUTO</v>
      </c>
      <c r="B319" s="213" t="s">
        <v>1738</v>
      </c>
      <c r="C319" s="214" t="s">
        <v>1739</v>
      </c>
      <c r="D319" s="215" t="s">
        <v>162</v>
      </c>
      <c r="E319" s="214" t="s">
        <v>160</v>
      </c>
    </row>
    <row r="320" spans="1:5" s="216" customFormat="1" x14ac:dyDescent="0.3">
      <c r="A320" s="210" t="str">
        <f t="shared" si="4"/>
        <v>ME 160,ED1-IND</v>
      </c>
      <c r="B320" s="213" t="s">
        <v>1738</v>
      </c>
      <c r="C320" s="214" t="s">
        <v>1739</v>
      </c>
      <c r="D320" s="215" t="s">
        <v>111</v>
      </c>
      <c r="E320" s="214" t="s">
        <v>160</v>
      </c>
    </row>
    <row r="321" spans="1:5" s="216" customFormat="1" x14ac:dyDescent="0.3">
      <c r="A321" s="210" t="str">
        <f t="shared" ref="A321:A384" si="5">CONCATENATE(E321,",",D321)</f>
        <v>ME 160,ED1-MARI</v>
      </c>
      <c r="B321" s="213" t="s">
        <v>1738</v>
      </c>
      <c r="C321" s="214" t="s">
        <v>1739</v>
      </c>
      <c r="D321" s="215" t="s">
        <v>112</v>
      </c>
      <c r="E321" s="214" t="s">
        <v>160</v>
      </c>
    </row>
    <row r="322" spans="1:5" s="216" customFormat="1" x14ac:dyDescent="0.3">
      <c r="A322" s="210" t="str">
        <f t="shared" si="5"/>
        <v>ME 160,ED1-MSE</v>
      </c>
      <c r="B322" s="213" t="s">
        <v>1738</v>
      </c>
      <c r="C322" s="214" t="s">
        <v>1740</v>
      </c>
      <c r="D322" s="215" t="s">
        <v>115</v>
      </c>
      <c r="E322" s="214" t="s">
        <v>160</v>
      </c>
    </row>
    <row r="323" spans="1:5" s="216" customFormat="1" x14ac:dyDescent="0.3">
      <c r="A323" s="210" t="str">
        <f t="shared" si="5"/>
        <v>ME 160,ED1-ME</v>
      </c>
      <c r="B323" s="213" t="s">
        <v>1738</v>
      </c>
      <c r="C323" s="214" t="s">
        <v>1739</v>
      </c>
      <c r="D323" s="215" t="s">
        <v>161</v>
      </c>
      <c r="E323" s="214" t="s">
        <v>160</v>
      </c>
    </row>
    <row r="324" spans="1:5" s="216" customFormat="1" x14ac:dyDescent="0.3">
      <c r="A324" s="210" t="str">
        <f t="shared" si="5"/>
        <v>ME 160,ED1-METE</v>
      </c>
      <c r="B324" s="213" t="s">
        <v>1738</v>
      </c>
      <c r="C324" s="214" t="s">
        <v>1404</v>
      </c>
      <c r="D324" s="215" t="s">
        <v>114</v>
      </c>
      <c r="E324" s="214" t="s">
        <v>160</v>
      </c>
    </row>
    <row r="325" spans="1:5" s="216" customFormat="1" ht="15" customHeight="1" x14ac:dyDescent="0.3">
      <c r="A325" s="210" t="str">
        <f t="shared" si="5"/>
        <v>ME 162,ED1-AE</v>
      </c>
      <c r="B325" s="213" t="s">
        <v>1069</v>
      </c>
      <c r="C325" s="214" t="s">
        <v>1417</v>
      </c>
      <c r="D325" s="215" t="s">
        <v>131</v>
      </c>
      <c r="E325" s="214" t="s">
        <v>392</v>
      </c>
    </row>
    <row r="326" spans="1:5" s="216" customFormat="1" x14ac:dyDescent="0.3">
      <c r="A326" s="210" t="str">
        <f t="shared" si="5"/>
        <v>ME 162,ED1-CHE</v>
      </c>
      <c r="B326" s="213" t="s">
        <v>1069</v>
      </c>
      <c r="C326" s="214" t="s">
        <v>1417</v>
      </c>
      <c r="D326" s="215" t="s">
        <v>80</v>
      </c>
      <c r="E326" s="214" t="s">
        <v>392</v>
      </c>
    </row>
    <row r="327" spans="1:5" s="216" customFormat="1" x14ac:dyDescent="0.3">
      <c r="A327" s="210" t="str">
        <f t="shared" si="5"/>
        <v>ME 162,ED1-MSE</v>
      </c>
      <c r="B327" s="213" t="s">
        <v>1069</v>
      </c>
      <c r="C327" s="214" t="s">
        <v>1741</v>
      </c>
      <c r="D327" s="215" t="s">
        <v>115</v>
      </c>
      <c r="E327" s="214" t="s">
        <v>392</v>
      </c>
    </row>
    <row r="328" spans="1:5" s="216" customFormat="1" x14ac:dyDescent="0.3">
      <c r="A328" s="210" t="str">
        <f t="shared" si="5"/>
        <v>ME 162,ED1-METE</v>
      </c>
      <c r="B328" s="213" t="s">
        <v>1069</v>
      </c>
      <c r="C328" s="214" t="s">
        <v>1550</v>
      </c>
      <c r="D328" s="215" t="s">
        <v>114</v>
      </c>
      <c r="E328" s="214" t="s">
        <v>392</v>
      </c>
    </row>
    <row r="329" spans="1:5" s="216" customFormat="1" x14ac:dyDescent="0.3">
      <c r="A329" s="210" t="str">
        <f t="shared" si="5"/>
        <v>ME 162,ED1-PCE</v>
      </c>
      <c r="B329" s="213" t="s">
        <v>1069</v>
      </c>
      <c r="C329" s="214" t="s">
        <v>1742</v>
      </c>
      <c r="D329" s="215" t="s">
        <v>81</v>
      </c>
      <c r="E329" s="214" t="s">
        <v>392</v>
      </c>
    </row>
    <row r="330" spans="1:5" x14ac:dyDescent="0.3">
      <c r="A330" s="210" t="str">
        <f t="shared" si="5"/>
        <v>ME 162,ED1-PETE</v>
      </c>
      <c r="B330" s="213" t="s">
        <v>1069</v>
      </c>
      <c r="C330" s="214" t="s">
        <v>1741</v>
      </c>
      <c r="D330" s="215" t="s">
        <v>1327</v>
      </c>
      <c r="E330" s="214" t="s">
        <v>392</v>
      </c>
    </row>
    <row r="331" spans="1:5" s="216" customFormat="1" x14ac:dyDescent="0.3">
      <c r="A331" s="210" t="str">
        <f t="shared" si="5"/>
        <v>ME 164,ED1-AERO</v>
      </c>
      <c r="B331" s="213" t="s">
        <v>1743</v>
      </c>
      <c r="C331" s="214" t="s">
        <v>1715</v>
      </c>
      <c r="D331" s="215" t="s">
        <v>191</v>
      </c>
      <c r="E331" s="214" t="s">
        <v>268</v>
      </c>
    </row>
    <row r="332" spans="1:5" s="216" customFormat="1" ht="15" customHeight="1" x14ac:dyDescent="0.3">
      <c r="A332" s="210" t="str">
        <f t="shared" si="5"/>
        <v>ME 164,ED1-AUTO</v>
      </c>
      <c r="B332" s="213" t="s">
        <v>1743</v>
      </c>
      <c r="C332" s="214" t="s">
        <v>1417</v>
      </c>
      <c r="D332" s="215" t="s">
        <v>162</v>
      </c>
      <c r="E332" s="214" t="s">
        <v>268</v>
      </c>
    </row>
    <row r="333" spans="1:5" s="216" customFormat="1" ht="15" customHeight="1" x14ac:dyDescent="0.3">
      <c r="A333" s="210" t="str">
        <f t="shared" si="5"/>
        <v>AME 156,ED1-AUTO</v>
      </c>
      <c r="B333" s="213" t="s">
        <v>1044</v>
      </c>
      <c r="C333" s="214" t="s">
        <v>1744</v>
      </c>
      <c r="D333" s="215" t="s">
        <v>162</v>
      </c>
      <c r="E333" s="214" t="s">
        <v>422</v>
      </c>
    </row>
    <row r="334" spans="1:5" x14ac:dyDescent="0.3">
      <c r="A334" s="210" t="str">
        <f t="shared" si="5"/>
        <v>ME 164,ED1-IND</v>
      </c>
      <c r="B334" s="213" t="s">
        <v>1745</v>
      </c>
      <c r="C334" s="214" t="s">
        <v>1746</v>
      </c>
      <c r="D334" s="215" t="s">
        <v>111</v>
      </c>
      <c r="E334" s="214" t="s">
        <v>268</v>
      </c>
    </row>
    <row r="335" spans="1:5" s="216" customFormat="1" x14ac:dyDescent="0.3">
      <c r="A335" s="210" t="str">
        <f t="shared" si="5"/>
        <v>ME 164,ED1-MARI</v>
      </c>
      <c r="B335" s="213" t="s">
        <v>1745</v>
      </c>
      <c r="C335" s="214" t="s">
        <v>1746</v>
      </c>
      <c r="D335" s="215" t="s">
        <v>112</v>
      </c>
      <c r="E335" s="214" t="s">
        <v>268</v>
      </c>
    </row>
    <row r="336" spans="1:5" x14ac:dyDescent="0.3">
      <c r="A336" s="210" t="str">
        <f t="shared" si="5"/>
        <v>ME 164,ED1-ME</v>
      </c>
      <c r="B336" s="213" t="s">
        <v>1747</v>
      </c>
      <c r="C336" s="214" t="s">
        <v>1715</v>
      </c>
      <c r="D336" s="215" t="s">
        <v>161</v>
      </c>
      <c r="E336" s="214" t="s">
        <v>268</v>
      </c>
    </row>
    <row r="337" spans="1:5" s="216" customFormat="1" x14ac:dyDescent="0.3">
      <c r="A337" s="210" t="str">
        <f t="shared" si="5"/>
        <v>ME 166,ED1-EE</v>
      </c>
      <c r="B337" s="213" t="s">
        <v>1748</v>
      </c>
      <c r="C337" s="214" t="s">
        <v>1741</v>
      </c>
      <c r="D337" s="215" t="s">
        <v>51</v>
      </c>
      <c r="E337" s="214" t="s">
        <v>421</v>
      </c>
    </row>
    <row r="338" spans="1:5" x14ac:dyDescent="0.3">
      <c r="A338" s="210" t="str">
        <f t="shared" si="5"/>
        <v>ME 168,ED1-AERO</v>
      </c>
      <c r="B338" s="213" t="s">
        <v>1749</v>
      </c>
      <c r="C338" s="214" t="s">
        <v>1717</v>
      </c>
      <c r="D338" s="215" t="s">
        <v>191</v>
      </c>
      <c r="E338" s="214" t="s">
        <v>110</v>
      </c>
    </row>
    <row r="339" spans="1:5" x14ac:dyDescent="0.3">
      <c r="A339" s="210" t="str">
        <f t="shared" si="5"/>
        <v>ME 168,ED1-IND</v>
      </c>
      <c r="B339" s="213" t="s">
        <v>1749</v>
      </c>
      <c r="C339" s="214" t="s">
        <v>1715</v>
      </c>
      <c r="D339" s="215" t="s">
        <v>111</v>
      </c>
      <c r="E339" s="214" t="s">
        <v>110</v>
      </c>
    </row>
    <row r="340" spans="1:5" s="216" customFormat="1" x14ac:dyDescent="0.3">
      <c r="A340" s="210" t="str">
        <f t="shared" si="5"/>
        <v>ME 168,ED1-MARI</v>
      </c>
      <c r="B340" s="213" t="s">
        <v>1749</v>
      </c>
      <c r="C340" s="214" t="s">
        <v>1715</v>
      </c>
      <c r="D340" s="215" t="s">
        <v>112</v>
      </c>
      <c r="E340" s="214" t="s">
        <v>110</v>
      </c>
    </row>
    <row r="341" spans="1:5" s="216" customFormat="1" x14ac:dyDescent="0.3">
      <c r="A341" s="210" t="str">
        <f t="shared" si="5"/>
        <v>ME 168,ED1-ME</v>
      </c>
      <c r="B341" s="213" t="s">
        <v>1749</v>
      </c>
      <c r="C341" s="214" t="s">
        <v>1717</v>
      </c>
      <c r="D341" s="215" t="s">
        <v>161</v>
      </c>
      <c r="E341" s="214" t="s">
        <v>110</v>
      </c>
    </row>
    <row r="342" spans="1:5" s="216" customFormat="1" x14ac:dyDescent="0.3">
      <c r="A342" s="210" t="str">
        <f t="shared" si="5"/>
        <v>ME 174,ED1-AUTO</v>
      </c>
      <c r="B342" s="213" t="s">
        <v>1750</v>
      </c>
      <c r="C342" s="214" t="s">
        <v>1406</v>
      </c>
      <c r="D342" s="215" t="s">
        <v>162</v>
      </c>
      <c r="E342" s="214" t="s">
        <v>486</v>
      </c>
    </row>
    <row r="343" spans="1:5" x14ac:dyDescent="0.3">
      <c r="A343" s="210" t="str">
        <f t="shared" si="5"/>
        <v>ME 174,ED1-ME</v>
      </c>
      <c r="B343" s="213" t="s">
        <v>1750</v>
      </c>
      <c r="C343" s="214" t="s">
        <v>1406</v>
      </c>
      <c r="D343" s="215" t="s">
        <v>161</v>
      </c>
      <c r="E343" s="214" t="s">
        <v>486</v>
      </c>
    </row>
    <row r="344" spans="1:5" x14ac:dyDescent="0.3">
      <c r="A344" s="210" t="str">
        <f t="shared" si="5"/>
        <v>ME 252,ED2-AUTO</v>
      </c>
      <c r="B344" s="213" t="s">
        <v>1751</v>
      </c>
      <c r="C344" s="214" t="s">
        <v>1704</v>
      </c>
      <c r="D344" s="215" t="s">
        <v>40</v>
      </c>
      <c r="E344" s="214" t="s">
        <v>394</v>
      </c>
    </row>
    <row r="345" spans="1:5" s="216" customFormat="1" x14ac:dyDescent="0.3">
      <c r="A345" s="210" t="str">
        <f t="shared" si="5"/>
        <v>ME 252,ED2-IND</v>
      </c>
      <c r="B345" s="213" t="s">
        <v>1751</v>
      </c>
      <c r="C345" s="214" t="s">
        <v>1704</v>
      </c>
      <c r="D345" s="215" t="s">
        <v>38</v>
      </c>
      <c r="E345" s="214" t="s">
        <v>394</v>
      </c>
    </row>
    <row r="346" spans="1:5" s="216" customFormat="1" x14ac:dyDescent="0.3">
      <c r="A346" s="210" t="str">
        <f t="shared" si="5"/>
        <v>ME 252,ED2-MARI</v>
      </c>
      <c r="B346" s="213" t="s">
        <v>1751</v>
      </c>
      <c r="C346" s="214" t="s">
        <v>1704</v>
      </c>
      <c r="D346" s="215" t="s">
        <v>42</v>
      </c>
      <c r="E346" s="214" t="s">
        <v>394</v>
      </c>
    </row>
    <row r="347" spans="1:5" s="216" customFormat="1" x14ac:dyDescent="0.3">
      <c r="A347" s="210" t="str">
        <f t="shared" si="5"/>
        <v>ME 252,ED2-ME</v>
      </c>
      <c r="B347" s="213" t="s">
        <v>1751</v>
      </c>
      <c r="C347" s="214" t="s">
        <v>1704</v>
      </c>
      <c r="D347" s="215" t="s">
        <v>33</v>
      </c>
      <c r="E347" s="214" t="s">
        <v>394</v>
      </c>
    </row>
    <row r="348" spans="1:5" s="216" customFormat="1" x14ac:dyDescent="0.3">
      <c r="A348" s="210" t="str">
        <f t="shared" si="5"/>
        <v>ME 258,ED2-AERO</v>
      </c>
      <c r="B348" s="213" t="s">
        <v>1752</v>
      </c>
      <c r="C348" s="214" t="s">
        <v>1737</v>
      </c>
      <c r="D348" s="215" t="s">
        <v>36</v>
      </c>
      <c r="E348" s="214" t="s">
        <v>466</v>
      </c>
    </row>
    <row r="349" spans="1:5" s="216" customFormat="1" x14ac:dyDescent="0.3">
      <c r="A349" s="210" t="str">
        <f t="shared" si="5"/>
        <v>ME 262,ED2-AE</v>
      </c>
      <c r="B349" s="213" t="s">
        <v>1753</v>
      </c>
      <c r="C349" s="214" t="s">
        <v>1429</v>
      </c>
      <c r="D349" s="215" t="s">
        <v>53</v>
      </c>
      <c r="E349" s="214" t="s">
        <v>344</v>
      </c>
    </row>
    <row r="350" spans="1:5" s="216" customFormat="1" x14ac:dyDescent="0.3">
      <c r="A350" s="210" t="str">
        <f t="shared" si="5"/>
        <v>ME 264,ED2-AERO</v>
      </c>
      <c r="B350" s="213" t="s">
        <v>1754</v>
      </c>
      <c r="C350" s="214" t="s">
        <v>1755</v>
      </c>
      <c r="D350" s="215" t="s">
        <v>36</v>
      </c>
      <c r="E350" s="214" t="s">
        <v>151</v>
      </c>
    </row>
    <row r="351" spans="1:5" s="216" customFormat="1" x14ac:dyDescent="0.3">
      <c r="A351" s="210" t="str">
        <f t="shared" si="5"/>
        <v>ME 264,ED2-AUTO</v>
      </c>
      <c r="B351" s="213" t="s">
        <v>1754</v>
      </c>
      <c r="C351" s="214" t="s">
        <v>1755</v>
      </c>
      <c r="D351" s="215" t="s">
        <v>40</v>
      </c>
      <c r="E351" s="214" t="s">
        <v>151</v>
      </c>
    </row>
    <row r="352" spans="1:5" x14ac:dyDescent="0.3">
      <c r="A352" s="210" t="str">
        <f t="shared" si="5"/>
        <v>ME 264,ED2-IND</v>
      </c>
      <c r="B352" s="213" t="s">
        <v>1754</v>
      </c>
      <c r="C352" s="214" t="s">
        <v>1755</v>
      </c>
      <c r="D352" s="215" t="s">
        <v>38</v>
      </c>
      <c r="E352" s="214" t="s">
        <v>151</v>
      </c>
    </row>
    <row r="353" spans="1:5" s="216" customFormat="1" x14ac:dyDescent="0.3">
      <c r="A353" s="210" t="str">
        <f t="shared" si="5"/>
        <v>ME 264,ED2-ME</v>
      </c>
      <c r="B353" s="213" t="s">
        <v>1754</v>
      </c>
      <c r="C353" s="214" t="s">
        <v>1755</v>
      </c>
      <c r="D353" s="215" t="s">
        <v>33</v>
      </c>
      <c r="E353" s="214" t="s">
        <v>151</v>
      </c>
    </row>
    <row r="354" spans="1:5" s="216" customFormat="1" x14ac:dyDescent="0.3">
      <c r="A354" s="210" t="str">
        <f t="shared" si="5"/>
        <v>ME 266,ED2-AERO</v>
      </c>
      <c r="B354" s="213" t="s">
        <v>1756</v>
      </c>
      <c r="C354" s="214" t="s">
        <v>1742</v>
      </c>
      <c r="D354" s="215" t="s">
        <v>36</v>
      </c>
      <c r="E354" s="214" t="s">
        <v>420</v>
      </c>
    </row>
    <row r="355" spans="1:5" s="216" customFormat="1" x14ac:dyDescent="0.3">
      <c r="A355" s="210" t="str">
        <f t="shared" si="5"/>
        <v>ME 266,ED2-IND</v>
      </c>
      <c r="B355" s="213" t="s">
        <v>1756</v>
      </c>
      <c r="C355" s="214" t="s">
        <v>1746</v>
      </c>
      <c r="D355" s="215" t="s">
        <v>38</v>
      </c>
      <c r="E355" s="214" t="s">
        <v>420</v>
      </c>
    </row>
    <row r="356" spans="1:5" x14ac:dyDescent="0.3">
      <c r="A356" s="210" t="str">
        <f t="shared" si="5"/>
        <v>ME 266,ED2-ME</v>
      </c>
      <c r="B356" s="213" t="s">
        <v>1756</v>
      </c>
      <c r="C356" s="214" t="s">
        <v>1746</v>
      </c>
      <c r="D356" s="215" t="s">
        <v>33</v>
      </c>
      <c r="E356" s="214" t="s">
        <v>420</v>
      </c>
    </row>
    <row r="357" spans="1:5" s="216" customFormat="1" x14ac:dyDescent="0.3">
      <c r="A357" s="210" t="str">
        <f t="shared" si="5"/>
        <v>ME 270,ED2-AUTO</v>
      </c>
      <c r="B357" s="213" t="s">
        <v>1757</v>
      </c>
      <c r="C357" s="214" t="s">
        <v>1742</v>
      </c>
      <c r="D357" s="215" t="s">
        <v>40</v>
      </c>
      <c r="E357" s="214" t="s">
        <v>337</v>
      </c>
    </row>
    <row r="358" spans="1:5" s="216" customFormat="1" ht="15" customHeight="1" x14ac:dyDescent="0.3">
      <c r="A358" s="210" t="str">
        <f t="shared" si="5"/>
        <v>ME 270,ED2-IND</v>
      </c>
      <c r="B358" s="213" t="s">
        <v>1757</v>
      </c>
      <c r="C358" s="214" t="s">
        <v>1742</v>
      </c>
      <c r="D358" s="215" t="s">
        <v>38</v>
      </c>
      <c r="E358" s="214" t="s">
        <v>337</v>
      </c>
    </row>
    <row r="359" spans="1:5" x14ac:dyDescent="0.3">
      <c r="A359" s="210" t="str">
        <f t="shared" si="5"/>
        <v>ME 270,ED2-MARI</v>
      </c>
      <c r="B359" s="213" t="s">
        <v>1757</v>
      </c>
      <c r="C359" s="214" t="s">
        <v>1742</v>
      </c>
      <c r="D359" s="215" t="s">
        <v>42</v>
      </c>
      <c r="E359" s="214" t="s">
        <v>337</v>
      </c>
    </row>
    <row r="360" spans="1:5" x14ac:dyDescent="0.3">
      <c r="A360" s="210" t="str">
        <f t="shared" si="5"/>
        <v>ME 370,ED3-ME</v>
      </c>
      <c r="B360" s="213" t="s">
        <v>1757</v>
      </c>
      <c r="C360" s="214" t="s">
        <v>1758</v>
      </c>
      <c r="D360" s="215" t="s">
        <v>61</v>
      </c>
      <c r="E360" s="214" t="s">
        <v>310</v>
      </c>
    </row>
    <row r="361" spans="1:5" s="216" customFormat="1" x14ac:dyDescent="0.3">
      <c r="A361" s="210" t="str">
        <f t="shared" si="5"/>
        <v>ME 274,ED2-ME</v>
      </c>
      <c r="B361" s="213" t="s">
        <v>1759</v>
      </c>
      <c r="C361" s="214" t="s">
        <v>1410</v>
      </c>
      <c r="D361" s="215" t="s">
        <v>33</v>
      </c>
      <c r="E361" s="214" t="s">
        <v>32</v>
      </c>
    </row>
    <row r="362" spans="1:5" x14ac:dyDescent="0.3">
      <c r="A362" s="210" t="str">
        <f t="shared" si="5"/>
        <v>ME 282,ED2-AE</v>
      </c>
      <c r="B362" s="213" t="s">
        <v>1760</v>
      </c>
      <c r="C362" s="214" t="s">
        <v>1761</v>
      </c>
      <c r="D362" s="215" t="s">
        <v>53</v>
      </c>
      <c r="E362" s="214" t="s">
        <v>236</v>
      </c>
    </row>
    <row r="363" spans="1:5" s="216" customFormat="1" x14ac:dyDescent="0.3">
      <c r="A363" s="210" t="str">
        <f t="shared" si="5"/>
        <v>ME 292,ED2-ME</v>
      </c>
      <c r="B363" s="213" t="s">
        <v>1434</v>
      </c>
      <c r="C363" s="214" t="s">
        <v>1435</v>
      </c>
      <c r="D363" s="215" t="s">
        <v>33</v>
      </c>
      <c r="E363" s="214" t="s">
        <v>240</v>
      </c>
    </row>
    <row r="364" spans="1:5" x14ac:dyDescent="0.3">
      <c r="A364" s="210" t="str">
        <f t="shared" si="5"/>
        <v>ME 296,ED2-AE</v>
      </c>
      <c r="B364" s="213" t="s">
        <v>1762</v>
      </c>
      <c r="C364" s="214" t="s">
        <v>1742</v>
      </c>
      <c r="D364" s="215" t="s">
        <v>53</v>
      </c>
      <c r="E364" s="214" t="s">
        <v>542</v>
      </c>
    </row>
    <row r="365" spans="1:5" s="216" customFormat="1" x14ac:dyDescent="0.3">
      <c r="A365" s="210" t="str">
        <f t="shared" si="5"/>
        <v>ME 296,ED2-ME</v>
      </c>
      <c r="B365" s="213" t="s">
        <v>1762</v>
      </c>
      <c r="C365" s="214" t="s">
        <v>1746</v>
      </c>
      <c r="D365" s="215" t="s">
        <v>33</v>
      </c>
      <c r="E365" s="214" t="s">
        <v>542</v>
      </c>
    </row>
    <row r="366" spans="1:5" x14ac:dyDescent="0.3">
      <c r="A366" s="210" t="str">
        <f t="shared" si="5"/>
        <v>ME 352,ED3-MARI</v>
      </c>
      <c r="B366" s="213" t="s">
        <v>1763</v>
      </c>
      <c r="C366" s="214" t="s">
        <v>1717</v>
      </c>
      <c r="D366" s="215" t="s">
        <v>86</v>
      </c>
      <c r="E366" s="214" t="s">
        <v>174</v>
      </c>
    </row>
    <row r="367" spans="1:5" s="216" customFormat="1" x14ac:dyDescent="0.3">
      <c r="A367" s="210" t="str">
        <f t="shared" si="5"/>
        <v>ME 352,ED3-ME</v>
      </c>
      <c r="B367" s="213" t="s">
        <v>1764</v>
      </c>
      <c r="C367" s="214" t="s">
        <v>1717</v>
      </c>
      <c r="D367" s="215" t="s">
        <v>61</v>
      </c>
      <c r="E367" s="214" t="s">
        <v>174</v>
      </c>
    </row>
    <row r="368" spans="1:5" s="216" customFormat="1" x14ac:dyDescent="0.3">
      <c r="A368" s="210" t="str">
        <f t="shared" si="5"/>
        <v>ME 356,ED3-ME</v>
      </c>
      <c r="B368" s="213" t="s">
        <v>1765</v>
      </c>
      <c r="C368" s="214" t="s">
        <v>1717</v>
      </c>
      <c r="D368" s="215" t="s">
        <v>61</v>
      </c>
      <c r="E368" s="214" t="s">
        <v>389</v>
      </c>
    </row>
    <row r="369" spans="1:5" s="216" customFormat="1" x14ac:dyDescent="0.3">
      <c r="A369" s="210" t="str">
        <f t="shared" si="5"/>
        <v>ME 362,ED3-AERO</v>
      </c>
      <c r="B369" s="213" t="s">
        <v>1766</v>
      </c>
      <c r="C369" s="214" t="s">
        <v>1429</v>
      </c>
      <c r="D369" s="215" t="s">
        <v>133</v>
      </c>
      <c r="E369" s="214" t="s">
        <v>519</v>
      </c>
    </row>
    <row r="370" spans="1:5" s="216" customFormat="1" x14ac:dyDescent="0.3">
      <c r="A370" s="210" t="str">
        <f t="shared" si="5"/>
        <v>ME 362,ED3-MARI</v>
      </c>
      <c r="B370" s="213" t="s">
        <v>1766</v>
      </c>
      <c r="C370" s="214" t="s">
        <v>1429</v>
      </c>
      <c r="D370" s="215" t="s">
        <v>86</v>
      </c>
      <c r="E370" s="214" t="s">
        <v>519</v>
      </c>
    </row>
    <row r="371" spans="1:5" s="216" customFormat="1" x14ac:dyDescent="0.3">
      <c r="A371" s="210" t="str">
        <f t="shared" si="5"/>
        <v>ME 362,ED3-ME</v>
      </c>
      <c r="B371" s="213" t="s">
        <v>1766</v>
      </c>
      <c r="C371" s="214" t="s">
        <v>1429</v>
      </c>
      <c r="D371" s="215" t="s">
        <v>61</v>
      </c>
      <c r="E371" s="214" t="s">
        <v>519</v>
      </c>
    </row>
    <row r="372" spans="1:5" s="216" customFormat="1" x14ac:dyDescent="0.3">
      <c r="A372" s="210" t="str">
        <f t="shared" si="5"/>
        <v>ME 366,ED3-AERO</v>
      </c>
      <c r="B372" s="213" t="s">
        <v>1767</v>
      </c>
      <c r="C372" s="214" t="s">
        <v>1768</v>
      </c>
      <c r="D372" s="215" t="s">
        <v>133</v>
      </c>
      <c r="E372" s="214" t="s">
        <v>347</v>
      </c>
    </row>
    <row r="373" spans="1:5" s="216" customFormat="1" x14ac:dyDescent="0.3">
      <c r="A373" s="210" t="str">
        <f t="shared" si="5"/>
        <v>ME 366,ED3-AE</v>
      </c>
      <c r="B373" s="213" t="s">
        <v>1767</v>
      </c>
      <c r="C373" s="214" t="s">
        <v>1768</v>
      </c>
      <c r="D373" s="215" t="s">
        <v>88</v>
      </c>
      <c r="E373" s="214" t="s">
        <v>347</v>
      </c>
    </row>
    <row r="374" spans="1:5" s="216" customFormat="1" x14ac:dyDescent="0.3">
      <c r="A374" s="210" t="str">
        <f t="shared" si="5"/>
        <v>ME 366,ED3-MARI</v>
      </c>
      <c r="B374" s="213" t="s">
        <v>1767</v>
      </c>
      <c r="C374" s="214" t="s">
        <v>1768</v>
      </c>
      <c r="D374" s="215" t="s">
        <v>86</v>
      </c>
      <c r="E374" s="214" t="s">
        <v>347</v>
      </c>
    </row>
    <row r="375" spans="1:5" s="216" customFormat="1" x14ac:dyDescent="0.3">
      <c r="A375" s="210" t="str">
        <f t="shared" si="5"/>
        <v>ME 366,ED3-ME</v>
      </c>
      <c r="B375" s="213" t="s">
        <v>1767</v>
      </c>
      <c r="C375" s="214" t="s">
        <v>1768</v>
      </c>
      <c r="D375" s="215" t="s">
        <v>61</v>
      </c>
      <c r="E375" s="214" t="s">
        <v>347</v>
      </c>
    </row>
    <row r="376" spans="1:5" s="216" customFormat="1" x14ac:dyDescent="0.3">
      <c r="A376" s="210" t="str">
        <f t="shared" si="5"/>
        <v>COE 482,ED4-COE</v>
      </c>
      <c r="B376" s="213" t="s">
        <v>1171</v>
      </c>
      <c r="C376" s="214" t="s">
        <v>1557</v>
      </c>
      <c r="D376" s="215" t="s">
        <v>251</v>
      </c>
      <c r="E376" s="214" t="s">
        <v>1172</v>
      </c>
    </row>
    <row r="377" spans="1:5" s="216" customFormat="1" x14ac:dyDescent="0.3">
      <c r="A377" s="210" t="str">
        <f t="shared" si="5"/>
        <v>ME 366,ED3-ME</v>
      </c>
      <c r="B377" s="213" t="s">
        <v>1767</v>
      </c>
      <c r="C377" s="214" t="s">
        <v>1768</v>
      </c>
      <c r="D377" s="215" t="s">
        <v>61</v>
      </c>
      <c r="E377" s="214" t="s">
        <v>347</v>
      </c>
    </row>
    <row r="378" spans="1:5" s="216" customFormat="1" x14ac:dyDescent="0.3">
      <c r="A378" s="210" t="str">
        <f t="shared" si="5"/>
        <v>ME 374,ED3-AE</v>
      </c>
      <c r="B378" s="213" t="s">
        <v>1769</v>
      </c>
      <c r="C378" s="214" t="s">
        <v>1406</v>
      </c>
      <c r="D378" s="215" t="s">
        <v>88</v>
      </c>
      <c r="E378" s="214" t="s">
        <v>60</v>
      </c>
    </row>
    <row r="379" spans="1:5" s="216" customFormat="1" ht="15" customHeight="1" x14ac:dyDescent="0.3">
      <c r="A379" s="210" t="str">
        <f t="shared" si="5"/>
        <v>ME 374,ED3-ME</v>
      </c>
      <c r="B379" s="213" t="s">
        <v>1770</v>
      </c>
      <c r="C379" s="214" t="s">
        <v>1410</v>
      </c>
      <c r="D379" s="215" t="s">
        <v>61</v>
      </c>
      <c r="E379" s="214" t="s">
        <v>60</v>
      </c>
    </row>
    <row r="380" spans="1:5" s="216" customFormat="1" x14ac:dyDescent="0.3">
      <c r="A380" s="210" t="str">
        <f t="shared" si="5"/>
        <v>ME 376,ED3-AE</v>
      </c>
      <c r="B380" s="213" t="s">
        <v>1771</v>
      </c>
      <c r="C380" s="214" t="s">
        <v>1406</v>
      </c>
      <c r="D380" s="215" t="s">
        <v>88</v>
      </c>
      <c r="E380" s="214" t="s">
        <v>266</v>
      </c>
    </row>
    <row r="381" spans="1:5" s="216" customFormat="1" x14ac:dyDescent="0.3">
      <c r="A381" s="210" t="str">
        <f t="shared" si="5"/>
        <v>ME 384,ED3-AUTO</v>
      </c>
      <c r="B381" s="213" t="s">
        <v>1772</v>
      </c>
      <c r="C381" s="214" t="s">
        <v>1773</v>
      </c>
      <c r="D381" s="215" t="s">
        <v>23</v>
      </c>
      <c r="E381" s="214" t="s">
        <v>1060</v>
      </c>
    </row>
    <row r="382" spans="1:5" s="216" customFormat="1" ht="15" customHeight="1" x14ac:dyDescent="0.3">
      <c r="A382" s="210" t="str">
        <f t="shared" si="5"/>
        <v>ME 392,ED3-AERO</v>
      </c>
      <c r="B382" s="213" t="s">
        <v>1434</v>
      </c>
      <c r="C382" s="214" t="s">
        <v>1435</v>
      </c>
      <c r="D382" s="215" t="s">
        <v>133</v>
      </c>
      <c r="E382" s="214" t="s">
        <v>239</v>
      </c>
    </row>
    <row r="383" spans="1:5" s="216" customFormat="1" x14ac:dyDescent="0.3">
      <c r="A383" s="210" t="str">
        <f t="shared" si="5"/>
        <v>ME 392,ED3-ME</v>
      </c>
      <c r="B383" s="213" t="s">
        <v>1774</v>
      </c>
      <c r="C383" s="214" t="s">
        <v>1435</v>
      </c>
      <c r="D383" s="215" t="s">
        <v>61</v>
      </c>
      <c r="E383" s="214" t="s">
        <v>239</v>
      </c>
    </row>
    <row r="384" spans="1:5" s="216" customFormat="1" x14ac:dyDescent="0.3">
      <c r="A384" s="210" t="str">
        <f t="shared" si="5"/>
        <v>ME 396,ED3-ME</v>
      </c>
      <c r="B384" s="213" t="s">
        <v>1775</v>
      </c>
      <c r="C384" s="214" t="s">
        <v>1715</v>
      </c>
      <c r="D384" s="215" t="s">
        <v>61</v>
      </c>
      <c r="E384" s="214" t="s">
        <v>1298</v>
      </c>
    </row>
    <row r="385" spans="1:5" s="216" customFormat="1" x14ac:dyDescent="0.3">
      <c r="A385" s="210" t="str">
        <f t="shared" ref="A385:A448" si="6">CONCATENATE(E385,",",D385)</f>
        <v>ME 452,ED4-ME</v>
      </c>
      <c r="B385" s="213" t="s">
        <v>1776</v>
      </c>
      <c r="C385" s="214" t="s">
        <v>1777</v>
      </c>
      <c r="D385" s="215" t="s">
        <v>67</v>
      </c>
      <c r="E385" s="214" t="s">
        <v>458</v>
      </c>
    </row>
    <row r="386" spans="1:5" s="216" customFormat="1" x14ac:dyDescent="0.3">
      <c r="A386" s="210" t="str">
        <f t="shared" si="6"/>
        <v>ME 476,ED4-ME</v>
      </c>
      <c r="B386" s="213" t="s">
        <v>1778</v>
      </c>
      <c r="C386" s="214" t="s">
        <v>1779</v>
      </c>
      <c r="D386" s="215" t="s">
        <v>67</v>
      </c>
      <c r="E386" s="214" t="s">
        <v>1301</v>
      </c>
    </row>
    <row r="387" spans="1:5" s="216" customFormat="1" x14ac:dyDescent="0.3">
      <c r="A387" s="210" t="str">
        <f t="shared" si="6"/>
        <v>ME 456,ED4-AERO</v>
      </c>
      <c r="B387" s="213" t="s">
        <v>1780</v>
      </c>
      <c r="C387" s="214" t="s">
        <v>1410</v>
      </c>
      <c r="D387" s="215" t="s">
        <v>99</v>
      </c>
      <c r="E387" s="214" t="s">
        <v>183</v>
      </c>
    </row>
    <row r="388" spans="1:5" s="216" customFormat="1" x14ac:dyDescent="0.3">
      <c r="A388" s="210" t="str">
        <f t="shared" si="6"/>
        <v>ME 456,ED4-AUTO</v>
      </c>
      <c r="B388" s="213" t="s">
        <v>1781</v>
      </c>
      <c r="C388" s="214" t="s">
        <v>1410</v>
      </c>
      <c r="D388" s="215" t="s">
        <v>97</v>
      </c>
      <c r="E388" s="214" t="s">
        <v>183</v>
      </c>
    </row>
    <row r="389" spans="1:5" s="216" customFormat="1" x14ac:dyDescent="0.3">
      <c r="A389" s="210" t="str">
        <f t="shared" si="6"/>
        <v>ME 456,ED4-ME</v>
      </c>
      <c r="B389" s="213" t="s">
        <v>1780</v>
      </c>
      <c r="C389" s="214" t="s">
        <v>1410</v>
      </c>
      <c r="D389" s="215" t="s">
        <v>67</v>
      </c>
      <c r="E389" s="214" t="s">
        <v>183</v>
      </c>
    </row>
    <row r="390" spans="1:5" s="216" customFormat="1" x14ac:dyDescent="0.3">
      <c r="A390" s="210" t="str">
        <f t="shared" si="6"/>
        <v>ME 462,ED4-AERO</v>
      </c>
      <c r="B390" s="213" t="s">
        <v>1782</v>
      </c>
      <c r="C390" s="214" t="s">
        <v>1783</v>
      </c>
      <c r="D390" s="215" t="s">
        <v>99</v>
      </c>
      <c r="E390" s="214" t="s">
        <v>254</v>
      </c>
    </row>
    <row r="391" spans="1:5" s="216" customFormat="1" x14ac:dyDescent="0.3">
      <c r="A391" s="210" t="str">
        <f t="shared" si="6"/>
        <v>ME 462,ED4-ME</v>
      </c>
      <c r="B391" s="213" t="s">
        <v>1782</v>
      </c>
      <c r="C391" s="214" t="s">
        <v>1783</v>
      </c>
      <c r="D391" s="215" t="s">
        <v>67</v>
      </c>
      <c r="E391" s="214" t="s">
        <v>254</v>
      </c>
    </row>
    <row r="392" spans="1:5" s="216" customFormat="1" x14ac:dyDescent="0.3">
      <c r="A392" s="210" t="str">
        <f t="shared" si="6"/>
        <v>ME 464,ED4-ME</v>
      </c>
      <c r="B392" s="213" t="s">
        <v>1784</v>
      </c>
      <c r="C392" s="214" t="s">
        <v>1429</v>
      </c>
      <c r="D392" s="215" t="s">
        <v>67</v>
      </c>
      <c r="E392" s="214" t="s">
        <v>66</v>
      </c>
    </row>
    <row r="393" spans="1:5" s="216" customFormat="1" x14ac:dyDescent="0.3">
      <c r="A393" s="210" t="str">
        <f t="shared" si="6"/>
        <v>ME 468,ED4-AERO</v>
      </c>
      <c r="B393" s="213" t="s">
        <v>1785</v>
      </c>
      <c r="C393" s="214" t="s">
        <v>1768</v>
      </c>
      <c r="D393" s="215" t="s">
        <v>99</v>
      </c>
      <c r="E393" s="214" t="s">
        <v>407</v>
      </c>
    </row>
    <row r="394" spans="1:5" s="216" customFormat="1" x14ac:dyDescent="0.3">
      <c r="A394" s="210" t="str">
        <f t="shared" si="6"/>
        <v>ME 468,ED4-ME</v>
      </c>
      <c r="B394" s="213" t="s">
        <v>1785</v>
      </c>
      <c r="C394" s="214" t="s">
        <v>1768</v>
      </c>
      <c r="D394" s="215" t="s">
        <v>67</v>
      </c>
      <c r="E394" s="214" t="s">
        <v>407</v>
      </c>
    </row>
    <row r="395" spans="1:5" s="216" customFormat="1" x14ac:dyDescent="0.3">
      <c r="A395" s="210" t="str">
        <f t="shared" si="6"/>
        <v>ME 472,ED4-AERO</v>
      </c>
      <c r="B395" s="213" t="s">
        <v>1786</v>
      </c>
      <c r="C395" s="214" t="s">
        <v>1787</v>
      </c>
      <c r="D395" s="215" t="s">
        <v>99</v>
      </c>
      <c r="E395" s="214" t="s">
        <v>327</v>
      </c>
    </row>
    <row r="396" spans="1:5" s="216" customFormat="1" x14ac:dyDescent="0.3">
      <c r="A396" s="210" t="str">
        <f t="shared" si="6"/>
        <v>ME 472,ED4-ME</v>
      </c>
      <c r="B396" s="213" t="s">
        <v>1786</v>
      </c>
      <c r="C396" s="214" t="s">
        <v>1787</v>
      </c>
      <c r="D396" s="215" t="s">
        <v>67</v>
      </c>
      <c r="E396" s="214" t="s">
        <v>327</v>
      </c>
    </row>
    <row r="397" spans="1:5" s="216" customFormat="1" x14ac:dyDescent="0.3">
      <c r="A397" s="210" t="str">
        <f t="shared" si="6"/>
        <v>ME 474,ED4-AERO</v>
      </c>
      <c r="B397" s="213" t="s">
        <v>1714</v>
      </c>
      <c r="C397" s="214" t="s">
        <v>1715</v>
      </c>
      <c r="D397" s="215" t="s">
        <v>99</v>
      </c>
      <c r="E397" s="214" t="s">
        <v>1039</v>
      </c>
    </row>
    <row r="398" spans="1:5" s="216" customFormat="1" x14ac:dyDescent="0.3">
      <c r="A398" s="210" t="str">
        <f t="shared" si="6"/>
        <v>ME 474,ED4-ME</v>
      </c>
      <c r="B398" s="213" t="s">
        <v>1714</v>
      </c>
      <c r="C398" s="214" t="s">
        <v>1715</v>
      </c>
      <c r="D398" s="215" t="s">
        <v>67</v>
      </c>
      <c r="E398" s="214" t="s">
        <v>1039</v>
      </c>
    </row>
    <row r="399" spans="1:5" s="216" customFormat="1" x14ac:dyDescent="0.3">
      <c r="A399" s="210" t="str">
        <f t="shared" si="6"/>
        <v>ME 478,ED4-ME</v>
      </c>
      <c r="B399" s="213" t="s">
        <v>1788</v>
      </c>
      <c r="C399" s="214" t="s">
        <v>1787</v>
      </c>
      <c r="D399" s="215" t="s">
        <v>67</v>
      </c>
      <c r="E399" s="214" t="s">
        <v>189</v>
      </c>
    </row>
    <row r="400" spans="1:5" s="216" customFormat="1" x14ac:dyDescent="0.3">
      <c r="A400" s="210" t="str">
        <f t="shared" si="6"/>
        <v>ME 482,ED4-ME</v>
      </c>
      <c r="B400" s="213" t="s">
        <v>1789</v>
      </c>
      <c r="C400" s="214" t="s">
        <v>1438</v>
      </c>
      <c r="D400" s="215" t="s">
        <v>67</v>
      </c>
      <c r="E400" s="214" t="s">
        <v>116</v>
      </c>
    </row>
    <row r="401" spans="1:5" s="216" customFormat="1" x14ac:dyDescent="0.3">
      <c r="A401" s="210" t="str">
        <f t="shared" si="6"/>
        <v>ME 492,ED4-AERO</v>
      </c>
      <c r="B401" s="213" t="s">
        <v>1790</v>
      </c>
      <c r="C401" s="214" t="s">
        <v>1435</v>
      </c>
      <c r="D401" s="215" t="s">
        <v>99</v>
      </c>
      <c r="E401" s="214" t="s">
        <v>373</v>
      </c>
    </row>
    <row r="402" spans="1:5" s="216" customFormat="1" x14ac:dyDescent="0.3">
      <c r="A402" s="210" t="str">
        <f t="shared" si="6"/>
        <v>ME 492,ED4-AE</v>
      </c>
      <c r="B402" s="213" t="s">
        <v>1790</v>
      </c>
      <c r="C402" s="214" t="s">
        <v>1388</v>
      </c>
      <c r="D402" s="215" t="s">
        <v>50</v>
      </c>
      <c r="E402" s="214" t="s">
        <v>373</v>
      </c>
    </row>
    <row r="403" spans="1:5" s="216" customFormat="1" x14ac:dyDescent="0.3">
      <c r="A403" s="210" t="str">
        <f t="shared" si="6"/>
        <v>ME 492,ED4-AUTO</v>
      </c>
      <c r="B403" s="213" t="s">
        <v>1790</v>
      </c>
      <c r="C403" s="214" t="s">
        <v>1435</v>
      </c>
      <c r="D403" s="215" t="s">
        <v>97</v>
      </c>
      <c r="E403" s="214" t="s">
        <v>373</v>
      </c>
    </row>
    <row r="404" spans="1:5" s="216" customFormat="1" x14ac:dyDescent="0.3">
      <c r="A404" s="210" t="str">
        <f t="shared" si="6"/>
        <v>ME 492,ED4-BME</v>
      </c>
      <c r="B404" s="213" t="s">
        <v>1791</v>
      </c>
      <c r="C404" s="214" t="s">
        <v>1388</v>
      </c>
      <c r="D404" s="215" t="s">
        <v>252</v>
      </c>
      <c r="E404" s="214" t="s">
        <v>373</v>
      </c>
    </row>
    <row r="405" spans="1:5" s="216" customFormat="1" x14ac:dyDescent="0.3">
      <c r="A405" s="210" t="str">
        <f t="shared" si="6"/>
        <v>ME 492,ED4-COE</v>
      </c>
      <c r="B405" s="213" t="s">
        <v>1790</v>
      </c>
      <c r="C405" s="214" t="s">
        <v>1388</v>
      </c>
      <c r="D405" s="215" t="s">
        <v>251</v>
      </c>
      <c r="E405" s="214" t="s">
        <v>373</v>
      </c>
    </row>
    <row r="406" spans="1:5" x14ac:dyDescent="0.3">
      <c r="A406" s="210" t="str">
        <f t="shared" si="6"/>
        <v>ME 492,ED4-EE</v>
      </c>
      <c r="B406" s="213" t="s">
        <v>1792</v>
      </c>
      <c r="C406" s="214" t="s">
        <v>1435</v>
      </c>
      <c r="D406" s="215" t="s">
        <v>144</v>
      </c>
      <c r="E406" s="214" t="s">
        <v>373</v>
      </c>
    </row>
    <row r="407" spans="1:5" s="216" customFormat="1" x14ac:dyDescent="0.3">
      <c r="A407" s="210" t="str">
        <f t="shared" si="6"/>
        <v>ME 492,ED4-IND</v>
      </c>
      <c r="B407" s="213" t="s">
        <v>1790</v>
      </c>
      <c r="C407" s="214" t="s">
        <v>1793</v>
      </c>
      <c r="D407" s="215" t="s">
        <v>124</v>
      </c>
      <c r="E407" s="214" t="s">
        <v>373</v>
      </c>
    </row>
    <row r="408" spans="1:5" x14ac:dyDescent="0.3">
      <c r="A408" s="210" t="str">
        <f t="shared" si="6"/>
        <v>ME 492,ED4-MSE</v>
      </c>
      <c r="B408" s="213" t="s">
        <v>1790</v>
      </c>
      <c r="C408" s="214" t="s">
        <v>1435</v>
      </c>
      <c r="D408" s="215" t="s">
        <v>135</v>
      </c>
      <c r="E408" s="214" t="s">
        <v>373</v>
      </c>
    </row>
    <row r="409" spans="1:5" s="216" customFormat="1" x14ac:dyDescent="0.3">
      <c r="A409" s="210" t="str">
        <f t="shared" si="6"/>
        <v>ME 492,ED4-ME</v>
      </c>
      <c r="B409" s="213" t="s">
        <v>1790</v>
      </c>
      <c r="C409" s="214" t="s">
        <v>1435</v>
      </c>
      <c r="D409" s="215" t="s">
        <v>67</v>
      </c>
      <c r="E409" s="214" t="s">
        <v>373</v>
      </c>
    </row>
    <row r="410" spans="1:5" s="216" customFormat="1" x14ac:dyDescent="0.3">
      <c r="A410" s="210" t="str">
        <f t="shared" si="6"/>
        <v>ME 492,ED4-METE</v>
      </c>
      <c r="B410" s="213" t="s">
        <v>1790</v>
      </c>
      <c r="C410" s="214" t="s">
        <v>1435</v>
      </c>
      <c r="D410" s="215" t="s">
        <v>136</v>
      </c>
      <c r="E410" s="214" t="s">
        <v>373</v>
      </c>
    </row>
    <row r="411" spans="1:5" s="216" customFormat="1" x14ac:dyDescent="0.3">
      <c r="A411" s="210" t="str">
        <f t="shared" si="6"/>
        <v>ME 492,ED4-TEL</v>
      </c>
      <c r="B411" s="213" t="s">
        <v>1790</v>
      </c>
      <c r="C411" s="214" t="s">
        <v>1435</v>
      </c>
      <c r="D411" s="215" t="s">
        <v>227</v>
      </c>
      <c r="E411" s="214" t="s">
        <v>373</v>
      </c>
    </row>
    <row r="412" spans="1:5" s="216" customFormat="1" x14ac:dyDescent="0.3">
      <c r="A412" s="210" t="str">
        <f t="shared" si="6"/>
        <v>ME 494,ED4-IND</v>
      </c>
      <c r="B412" s="213" t="s">
        <v>1794</v>
      </c>
      <c r="C412" s="214" t="s">
        <v>1422</v>
      </c>
      <c r="D412" s="215" t="s">
        <v>124</v>
      </c>
      <c r="E412" s="214" t="s">
        <v>293</v>
      </c>
    </row>
    <row r="413" spans="1:5" s="216" customFormat="1" x14ac:dyDescent="0.3">
      <c r="A413" s="210" t="str">
        <f t="shared" si="6"/>
        <v>ME 494,ED4-ME</v>
      </c>
      <c r="B413" s="213" t="s">
        <v>1795</v>
      </c>
      <c r="C413" s="214" t="s">
        <v>1422</v>
      </c>
      <c r="D413" s="215" t="s">
        <v>67</v>
      </c>
      <c r="E413" s="214" t="s">
        <v>293</v>
      </c>
    </row>
    <row r="414" spans="1:5" s="216" customFormat="1" x14ac:dyDescent="0.3">
      <c r="A414" s="210" t="str">
        <f t="shared" si="6"/>
        <v>ME 496,ED4-AERO</v>
      </c>
      <c r="B414" s="213" t="s">
        <v>1718</v>
      </c>
      <c r="C414" s="214" t="s">
        <v>1438</v>
      </c>
      <c r="D414" s="215" t="s">
        <v>99</v>
      </c>
      <c r="E414" s="214" t="s">
        <v>1042</v>
      </c>
    </row>
    <row r="415" spans="1:5" s="216" customFormat="1" x14ac:dyDescent="0.3">
      <c r="A415" s="210" t="str">
        <f t="shared" si="6"/>
        <v>ME 496,ED4-ME</v>
      </c>
      <c r="B415" s="213" t="s">
        <v>1718</v>
      </c>
      <c r="C415" s="214" t="s">
        <v>1438</v>
      </c>
      <c r="D415" s="215" t="s">
        <v>67</v>
      </c>
      <c r="E415" s="214" t="s">
        <v>1042</v>
      </c>
    </row>
    <row r="416" spans="1:5" s="216" customFormat="1" x14ac:dyDescent="0.3">
      <c r="A416" s="210" t="str">
        <f t="shared" si="6"/>
        <v>METE 152,ED1-METE</v>
      </c>
      <c r="B416" s="213" t="s">
        <v>1796</v>
      </c>
      <c r="C416" s="214" t="s">
        <v>1797</v>
      </c>
      <c r="D416" s="215" t="s">
        <v>114</v>
      </c>
      <c r="E416" s="214" t="s">
        <v>295</v>
      </c>
    </row>
    <row r="417" spans="1:5" s="216" customFormat="1" x14ac:dyDescent="0.3">
      <c r="A417" s="210" t="str">
        <f t="shared" si="6"/>
        <v>METE 154,ED1-METE</v>
      </c>
      <c r="B417" s="213" t="s">
        <v>1602</v>
      </c>
      <c r="C417" s="214" t="s">
        <v>1798</v>
      </c>
      <c r="D417" s="215" t="s">
        <v>114</v>
      </c>
      <c r="E417" s="214" t="s">
        <v>500</v>
      </c>
    </row>
    <row r="418" spans="1:5" s="216" customFormat="1" x14ac:dyDescent="0.3">
      <c r="A418" s="210" t="str">
        <f t="shared" si="6"/>
        <v>METE 154,ED1-MSE</v>
      </c>
      <c r="B418" s="213" t="s">
        <v>1602</v>
      </c>
      <c r="C418" s="214" t="s">
        <v>1798</v>
      </c>
      <c r="D418" s="215" t="s">
        <v>115</v>
      </c>
      <c r="E418" s="214" t="s">
        <v>500</v>
      </c>
    </row>
    <row r="419" spans="1:5" s="216" customFormat="1" x14ac:dyDescent="0.3">
      <c r="A419" s="210" t="str">
        <f t="shared" si="6"/>
        <v>METE 252,ED2-METE</v>
      </c>
      <c r="B419" s="213" t="s">
        <v>1799</v>
      </c>
      <c r="C419" s="214" t="s">
        <v>1800</v>
      </c>
      <c r="D419" s="215" t="s">
        <v>101</v>
      </c>
      <c r="E419" s="214" t="s">
        <v>403</v>
      </c>
    </row>
    <row r="420" spans="1:5" s="216" customFormat="1" x14ac:dyDescent="0.3">
      <c r="A420" s="210" t="str">
        <f t="shared" si="6"/>
        <v>METE 254,ED2-METE</v>
      </c>
      <c r="B420" s="213" t="s">
        <v>1801</v>
      </c>
      <c r="C420" s="214" t="s">
        <v>1802</v>
      </c>
      <c r="D420" s="215" t="s">
        <v>101</v>
      </c>
      <c r="E420" s="214" t="s">
        <v>487</v>
      </c>
    </row>
    <row r="421" spans="1:5" s="216" customFormat="1" x14ac:dyDescent="0.3">
      <c r="A421" s="210" t="str">
        <f t="shared" si="6"/>
        <v>METE 256,ED2-METE</v>
      </c>
      <c r="B421" s="213" t="s">
        <v>1803</v>
      </c>
      <c r="C421" s="214" t="s">
        <v>1802</v>
      </c>
      <c r="D421" s="215" t="s">
        <v>101</v>
      </c>
      <c r="E421" s="214" t="s">
        <v>100</v>
      </c>
    </row>
    <row r="422" spans="1:5" s="216" customFormat="1" x14ac:dyDescent="0.3">
      <c r="A422" s="210" t="str">
        <f t="shared" si="6"/>
        <v>METE 258,ED2-METE</v>
      </c>
      <c r="B422" s="213" t="s">
        <v>1804</v>
      </c>
      <c r="C422" s="214" t="s">
        <v>1805</v>
      </c>
      <c r="D422" s="215" t="s">
        <v>101</v>
      </c>
      <c r="E422" s="214" t="s">
        <v>1310</v>
      </c>
    </row>
    <row r="423" spans="1:5" s="216" customFormat="1" x14ac:dyDescent="0.3">
      <c r="A423" s="210" t="str">
        <f t="shared" si="6"/>
        <v>METE 352,ED3-METE</v>
      </c>
      <c r="B423" s="213" t="s">
        <v>1806</v>
      </c>
      <c r="C423" s="214" t="s">
        <v>1807</v>
      </c>
      <c r="D423" s="215" t="s">
        <v>142</v>
      </c>
      <c r="E423" s="214" t="s">
        <v>256</v>
      </c>
    </row>
    <row r="424" spans="1:5" s="216" customFormat="1" x14ac:dyDescent="0.3">
      <c r="A424" s="210" t="str">
        <f t="shared" si="6"/>
        <v>METE 354,ED3-METE</v>
      </c>
      <c r="B424" s="213" t="s">
        <v>1808</v>
      </c>
      <c r="C424" s="214" t="s">
        <v>1809</v>
      </c>
      <c r="D424" s="215" t="s">
        <v>142</v>
      </c>
      <c r="E424" s="214" t="s">
        <v>390</v>
      </c>
    </row>
    <row r="425" spans="1:5" s="216" customFormat="1" x14ac:dyDescent="0.3">
      <c r="A425" s="210" t="str">
        <f t="shared" si="6"/>
        <v>METE 356,ED3-METE</v>
      </c>
      <c r="B425" s="213" t="s">
        <v>1810</v>
      </c>
      <c r="C425" s="214" t="s">
        <v>1811</v>
      </c>
      <c r="D425" s="215" t="s">
        <v>142</v>
      </c>
      <c r="E425" s="214" t="s">
        <v>1312</v>
      </c>
    </row>
    <row r="426" spans="1:5" s="216" customFormat="1" x14ac:dyDescent="0.3">
      <c r="A426" s="210" t="str">
        <f t="shared" si="6"/>
        <v>METE 358,ED3-METE</v>
      </c>
      <c r="B426" s="213" t="s">
        <v>1812</v>
      </c>
      <c r="C426" s="214" t="s">
        <v>1800</v>
      </c>
      <c r="D426" s="215" t="s">
        <v>142</v>
      </c>
      <c r="E426" s="214" t="s">
        <v>141</v>
      </c>
    </row>
    <row r="427" spans="1:5" s="216" customFormat="1" x14ac:dyDescent="0.3">
      <c r="A427" s="210" t="str">
        <f t="shared" si="6"/>
        <v>METE 362,ED3-METE</v>
      </c>
      <c r="B427" s="213" t="s">
        <v>1813</v>
      </c>
      <c r="C427" s="214" t="s">
        <v>1814</v>
      </c>
      <c r="D427" s="215" t="s">
        <v>142</v>
      </c>
      <c r="E427" s="214" t="s">
        <v>208</v>
      </c>
    </row>
    <row r="428" spans="1:5" s="216" customFormat="1" ht="15" customHeight="1" x14ac:dyDescent="0.3">
      <c r="A428" s="210" t="str">
        <f t="shared" si="6"/>
        <v>METE 452,ED4-METE</v>
      </c>
      <c r="B428" s="213" t="s">
        <v>1815</v>
      </c>
      <c r="C428" s="214" t="s">
        <v>1807</v>
      </c>
      <c r="D428" s="215" t="s">
        <v>136</v>
      </c>
      <c r="E428" s="214" t="s">
        <v>442</v>
      </c>
    </row>
    <row r="429" spans="1:5" s="216" customFormat="1" x14ac:dyDescent="0.3">
      <c r="A429" s="210" t="str">
        <f t="shared" si="6"/>
        <v>MME 174,ED1-MARI</v>
      </c>
      <c r="B429" s="213" t="s">
        <v>1816</v>
      </c>
      <c r="C429" s="214" t="s">
        <v>1406</v>
      </c>
      <c r="D429" s="215" t="s">
        <v>112</v>
      </c>
      <c r="E429" s="214" t="s">
        <v>485</v>
      </c>
    </row>
    <row r="430" spans="1:5" s="216" customFormat="1" x14ac:dyDescent="0.3">
      <c r="A430" s="210" t="str">
        <f t="shared" si="6"/>
        <v>MME 264,ED2-MARI</v>
      </c>
      <c r="B430" s="213" t="s">
        <v>1817</v>
      </c>
      <c r="C430" s="214" t="s">
        <v>1755</v>
      </c>
      <c r="D430" s="215" t="s">
        <v>42</v>
      </c>
      <c r="E430" s="214" t="s">
        <v>152</v>
      </c>
    </row>
    <row r="431" spans="1:5" s="216" customFormat="1" x14ac:dyDescent="0.3">
      <c r="A431" s="210" t="str">
        <f t="shared" si="6"/>
        <v>MME 274,ED2-MARI</v>
      </c>
      <c r="B431" s="213" t="s">
        <v>1818</v>
      </c>
      <c r="C431" s="214" t="s">
        <v>1406</v>
      </c>
      <c r="D431" s="215" t="s">
        <v>42</v>
      </c>
      <c r="E431" s="214" t="s">
        <v>41</v>
      </c>
    </row>
    <row r="432" spans="1:5" s="216" customFormat="1" x14ac:dyDescent="0.3">
      <c r="A432" s="210" t="str">
        <f t="shared" si="6"/>
        <v>MME 292,ED2-MARI</v>
      </c>
      <c r="B432" s="213" t="s">
        <v>1819</v>
      </c>
      <c r="C432" s="214" t="s">
        <v>1820</v>
      </c>
      <c r="D432" s="215" t="s">
        <v>42</v>
      </c>
      <c r="E432" s="214" t="s">
        <v>84</v>
      </c>
    </row>
    <row r="433" spans="1:5" s="216" customFormat="1" x14ac:dyDescent="0.3">
      <c r="A433" s="210" t="str">
        <f t="shared" si="6"/>
        <v>MME 296,ED2-MARI</v>
      </c>
      <c r="B433" s="213" t="s">
        <v>1821</v>
      </c>
      <c r="C433" s="214" t="s">
        <v>1704</v>
      </c>
      <c r="D433" s="215" t="s">
        <v>42</v>
      </c>
      <c r="E433" s="214" t="s">
        <v>230</v>
      </c>
    </row>
    <row r="434" spans="1:5" s="216" customFormat="1" x14ac:dyDescent="0.3">
      <c r="A434" s="210" t="str">
        <f t="shared" si="6"/>
        <v>MME 356,ED3-MARI</v>
      </c>
      <c r="B434" s="213" t="s">
        <v>1822</v>
      </c>
      <c r="C434" s="214" t="s">
        <v>1717</v>
      </c>
      <c r="D434" s="215" t="s">
        <v>86</v>
      </c>
      <c r="E434" s="214" t="s">
        <v>380</v>
      </c>
    </row>
    <row r="435" spans="1:5" s="216" customFormat="1" x14ac:dyDescent="0.3">
      <c r="A435" s="210" t="str">
        <f t="shared" si="6"/>
        <v>MME 382,ED3-MARI</v>
      </c>
      <c r="B435" s="213" t="s">
        <v>1823</v>
      </c>
      <c r="C435" s="214" t="s">
        <v>1824</v>
      </c>
      <c r="D435" s="215" t="s">
        <v>86</v>
      </c>
      <c r="E435" s="214" t="s">
        <v>304</v>
      </c>
    </row>
    <row r="436" spans="1:5" s="216" customFormat="1" x14ac:dyDescent="0.3">
      <c r="A436" s="210" t="str">
        <f t="shared" si="6"/>
        <v>MME 386,ED3-MARI</v>
      </c>
      <c r="B436" s="213" t="s">
        <v>1825</v>
      </c>
      <c r="C436" s="214" t="s">
        <v>1615</v>
      </c>
      <c r="D436" s="215" t="s">
        <v>86</v>
      </c>
      <c r="E436" s="214" t="s">
        <v>440</v>
      </c>
    </row>
    <row r="437" spans="1:5" s="216" customFormat="1" x14ac:dyDescent="0.3">
      <c r="A437" s="210" t="str">
        <f t="shared" si="6"/>
        <v>MME 392,ED3-MARI</v>
      </c>
      <c r="B437" s="213" t="s">
        <v>1826</v>
      </c>
      <c r="C437" s="214" t="s">
        <v>1435</v>
      </c>
      <c r="D437" s="215" t="s">
        <v>86</v>
      </c>
      <c r="E437" s="214" t="s">
        <v>238</v>
      </c>
    </row>
    <row r="438" spans="1:5" s="216" customFormat="1" x14ac:dyDescent="0.3">
      <c r="A438" s="210" t="str">
        <f t="shared" si="6"/>
        <v>MME 396,ED3-MARI</v>
      </c>
      <c r="B438" s="213" t="s">
        <v>1827</v>
      </c>
      <c r="C438" s="214" t="s">
        <v>1717</v>
      </c>
      <c r="D438" s="215" t="s">
        <v>86</v>
      </c>
      <c r="E438" s="214" t="s">
        <v>85</v>
      </c>
    </row>
    <row r="439" spans="1:5" s="216" customFormat="1" x14ac:dyDescent="0.3">
      <c r="A439" s="210" t="str">
        <f t="shared" si="6"/>
        <v>MME 462,ED4-MARI</v>
      </c>
      <c r="B439" s="213" t="s">
        <v>1828</v>
      </c>
      <c r="C439" s="214" t="s">
        <v>1829</v>
      </c>
      <c r="D439" s="215" t="s">
        <v>69</v>
      </c>
      <c r="E439" s="214" t="s">
        <v>164</v>
      </c>
    </row>
    <row r="440" spans="1:5" s="216" customFormat="1" x14ac:dyDescent="0.3">
      <c r="A440" s="210" t="str">
        <f t="shared" si="6"/>
        <v>MME 476,ED4-MARI</v>
      </c>
      <c r="B440" s="213" t="s">
        <v>1830</v>
      </c>
      <c r="C440" s="214" t="s">
        <v>1737</v>
      </c>
      <c r="D440" s="215" t="s">
        <v>69</v>
      </c>
      <c r="E440" s="214" t="s">
        <v>449</v>
      </c>
    </row>
    <row r="441" spans="1:5" s="216" customFormat="1" x14ac:dyDescent="0.3">
      <c r="A441" s="210" t="str">
        <f t="shared" si="6"/>
        <v>MME 482,ED4-MARI</v>
      </c>
      <c r="B441" s="213" t="s">
        <v>1831</v>
      </c>
      <c r="C441" s="214" t="s">
        <v>1824</v>
      </c>
      <c r="D441" s="215" t="s">
        <v>69</v>
      </c>
      <c r="E441" s="214" t="s">
        <v>68</v>
      </c>
    </row>
    <row r="442" spans="1:5" s="216" customFormat="1" ht="23" x14ac:dyDescent="0.3">
      <c r="A442" s="210" t="str">
        <f t="shared" si="6"/>
        <v>MME 486,ED4-MARI</v>
      </c>
      <c r="B442" s="213" t="s">
        <v>1832</v>
      </c>
      <c r="C442" s="214" t="s">
        <v>1820</v>
      </c>
      <c r="D442" s="215" t="s">
        <v>69</v>
      </c>
      <c r="E442" s="214" t="s">
        <v>228</v>
      </c>
    </row>
    <row r="443" spans="1:5" s="216" customFormat="1" x14ac:dyDescent="0.3">
      <c r="A443" s="210" t="str">
        <f t="shared" si="6"/>
        <v>MME 492,ED4-MARI</v>
      </c>
      <c r="B443" s="213" t="s">
        <v>1833</v>
      </c>
      <c r="C443" s="214" t="s">
        <v>1737</v>
      </c>
      <c r="D443" s="215" t="s">
        <v>69</v>
      </c>
      <c r="E443" s="214" t="s">
        <v>506</v>
      </c>
    </row>
    <row r="444" spans="1:5" s="216" customFormat="1" x14ac:dyDescent="0.3">
      <c r="A444" s="210" t="str">
        <f t="shared" si="6"/>
        <v>MME 494,ED4-MARI</v>
      </c>
      <c r="B444" s="213" t="s">
        <v>1834</v>
      </c>
      <c r="C444" s="214" t="s">
        <v>1422</v>
      </c>
      <c r="D444" s="215" t="s">
        <v>69</v>
      </c>
      <c r="E444" s="214" t="s">
        <v>292</v>
      </c>
    </row>
    <row r="445" spans="1:5" s="216" customFormat="1" x14ac:dyDescent="0.3">
      <c r="A445" s="210" t="str">
        <f t="shared" si="6"/>
        <v>MSE 152,ED1-MSE</v>
      </c>
      <c r="B445" s="213" t="s">
        <v>1835</v>
      </c>
      <c r="C445" s="214" t="s">
        <v>1797</v>
      </c>
      <c r="D445" s="215" t="s">
        <v>115</v>
      </c>
      <c r="E445" s="214" t="s">
        <v>294</v>
      </c>
    </row>
    <row r="446" spans="1:5" s="216" customFormat="1" x14ac:dyDescent="0.3">
      <c r="A446" s="210" t="str">
        <f t="shared" si="6"/>
        <v>MSE 154,ED1-MSE</v>
      </c>
      <c r="B446" s="213" t="s">
        <v>1836</v>
      </c>
      <c r="C446" s="214" t="s">
        <v>1837</v>
      </c>
      <c r="D446" s="215" t="s">
        <v>115</v>
      </c>
      <c r="E446" s="214" t="s">
        <v>113</v>
      </c>
    </row>
    <row r="447" spans="1:5" s="216" customFormat="1" x14ac:dyDescent="0.3">
      <c r="A447" s="210" t="str">
        <f t="shared" si="6"/>
        <v>MSE 154,ED1-METE</v>
      </c>
      <c r="B447" s="213" t="s">
        <v>1836</v>
      </c>
      <c r="C447" s="214" t="s">
        <v>1837</v>
      </c>
      <c r="D447" s="215" t="s">
        <v>114</v>
      </c>
      <c r="E447" s="214" t="s">
        <v>113</v>
      </c>
    </row>
    <row r="448" spans="1:5" s="216" customFormat="1" x14ac:dyDescent="0.3">
      <c r="A448" s="210" t="str">
        <f t="shared" si="6"/>
        <v>GED 162,ED1-METE</v>
      </c>
      <c r="B448" s="213" t="s">
        <v>1838</v>
      </c>
      <c r="C448" s="214" t="s">
        <v>1839</v>
      </c>
      <c r="D448" s="215" t="s">
        <v>114</v>
      </c>
      <c r="E448" s="214" t="s">
        <v>355</v>
      </c>
    </row>
    <row r="449" spans="1:5" s="216" customFormat="1" x14ac:dyDescent="0.3">
      <c r="A449" s="210" t="str">
        <f t="shared" ref="A449:A466" si="7">CONCATENATE(E449,",",D449)</f>
        <v>MSE 252,ED2-MSE</v>
      </c>
      <c r="B449" s="213" t="s">
        <v>1840</v>
      </c>
      <c r="C449" s="214" t="s">
        <v>1797</v>
      </c>
      <c r="D449" s="215" t="s">
        <v>210</v>
      </c>
      <c r="E449" s="214" t="s">
        <v>366</v>
      </c>
    </row>
    <row r="450" spans="1:5" s="216" customFormat="1" x14ac:dyDescent="0.3">
      <c r="A450" s="210" t="str">
        <f t="shared" si="7"/>
        <v>MSE 252,ED2-METE</v>
      </c>
      <c r="B450" s="213" t="s">
        <v>1840</v>
      </c>
      <c r="C450" s="214" t="s">
        <v>1797</v>
      </c>
      <c r="D450" s="215" t="s">
        <v>101</v>
      </c>
      <c r="E450" s="214" t="s">
        <v>366</v>
      </c>
    </row>
    <row r="451" spans="1:5" s="216" customFormat="1" x14ac:dyDescent="0.3">
      <c r="A451" s="210" t="str">
        <f t="shared" si="7"/>
        <v>MSE 254,ED2-MSE</v>
      </c>
      <c r="B451" s="213" t="s">
        <v>1841</v>
      </c>
      <c r="C451" s="214" t="s">
        <v>1842</v>
      </c>
      <c r="D451" s="215" t="s">
        <v>210</v>
      </c>
      <c r="E451" s="214" t="s">
        <v>468</v>
      </c>
    </row>
    <row r="452" spans="1:5" s="216" customFormat="1" x14ac:dyDescent="0.3">
      <c r="A452" s="210" t="str">
        <f t="shared" si="7"/>
        <v>MSE 256,ED2-MSE</v>
      </c>
      <c r="B452" s="213" t="s">
        <v>1602</v>
      </c>
      <c r="C452" s="214" t="s">
        <v>1798</v>
      </c>
      <c r="D452" s="215" t="s">
        <v>210</v>
      </c>
      <c r="E452" s="214" t="s">
        <v>511</v>
      </c>
    </row>
    <row r="453" spans="1:5" s="216" customFormat="1" x14ac:dyDescent="0.3">
      <c r="A453" s="210" t="str">
        <f t="shared" si="7"/>
        <v>MSE 258,ED2-MSE</v>
      </c>
      <c r="B453" s="213" t="s">
        <v>1808</v>
      </c>
      <c r="C453" s="214" t="s">
        <v>1761</v>
      </c>
      <c r="D453" s="215" t="s">
        <v>210</v>
      </c>
      <c r="E453" s="214" t="s">
        <v>1276</v>
      </c>
    </row>
    <row r="454" spans="1:5" s="216" customFormat="1" ht="15" customHeight="1" x14ac:dyDescent="0.3">
      <c r="A454" s="210" t="str">
        <f t="shared" si="7"/>
        <v>MSE 260,ED2-MSE</v>
      </c>
      <c r="B454" s="213" t="s">
        <v>1843</v>
      </c>
      <c r="C454" s="214" t="s">
        <v>1800</v>
      </c>
      <c r="D454" s="215" t="s">
        <v>210</v>
      </c>
      <c r="E454" s="214" t="s">
        <v>253</v>
      </c>
    </row>
    <row r="455" spans="1:5" s="216" customFormat="1" x14ac:dyDescent="0.3">
      <c r="A455" s="210" t="str">
        <f t="shared" si="7"/>
        <v>MSE 260,ED2-METE</v>
      </c>
      <c r="B455" s="213" t="s">
        <v>1843</v>
      </c>
      <c r="C455" s="214" t="s">
        <v>1800</v>
      </c>
      <c r="D455" s="215" t="s">
        <v>101</v>
      </c>
      <c r="E455" s="214" t="s">
        <v>253</v>
      </c>
    </row>
    <row r="456" spans="1:5" s="216" customFormat="1" ht="15" customHeight="1" x14ac:dyDescent="0.3">
      <c r="A456" s="210" t="str">
        <f t="shared" si="7"/>
        <v>MSE 262,ED2-MSE</v>
      </c>
      <c r="B456" s="213" t="s">
        <v>1844</v>
      </c>
      <c r="C456" s="214" t="s">
        <v>1805</v>
      </c>
      <c r="D456" s="215" t="s">
        <v>210</v>
      </c>
      <c r="E456" s="214" t="s">
        <v>209</v>
      </c>
    </row>
    <row r="457" spans="1:5" s="216" customFormat="1" x14ac:dyDescent="0.3">
      <c r="A457" s="210" t="str">
        <f t="shared" si="7"/>
        <v>MSE 352,ED3-MSE</v>
      </c>
      <c r="B457" s="213" t="s">
        <v>1845</v>
      </c>
      <c r="C457" s="214" t="s">
        <v>1846</v>
      </c>
      <c r="D457" s="215" t="s">
        <v>140</v>
      </c>
      <c r="E457" s="214" t="s">
        <v>414</v>
      </c>
    </row>
    <row r="458" spans="1:5" s="216" customFormat="1" x14ac:dyDescent="0.3">
      <c r="A458" s="210" t="str">
        <f t="shared" si="7"/>
        <v>MSE 354,ED3-MSE</v>
      </c>
      <c r="B458" s="213" t="s">
        <v>1813</v>
      </c>
      <c r="C458" s="214" t="s">
        <v>1814</v>
      </c>
      <c r="D458" s="215" t="s">
        <v>140</v>
      </c>
      <c r="E458" s="214" t="s">
        <v>207</v>
      </c>
    </row>
    <row r="459" spans="1:5" s="216" customFormat="1" x14ac:dyDescent="0.3">
      <c r="A459" s="210" t="str">
        <f t="shared" si="7"/>
        <v>MSE 356,ED3-MSE</v>
      </c>
      <c r="B459" s="213" t="s">
        <v>1847</v>
      </c>
      <c r="C459" s="214" t="s">
        <v>1842</v>
      </c>
      <c r="D459" s="215" t="s">
        <v>140</v>
      </c>
      <c r="E459" s="214" t="s">
        <v>271</v>
      </c>
    </row>
    <row r="460" spans="1:5" s="216" customFormat="1" x14ac:dyDescent="0.3">
      <c r="A460" s="210" t="str">
        <f t="shared" si="7"/>
        <v>MSE 356,ED4-PCE</v>
      </c>
      <c r="B460" s="213" t="s">
        <v>1847</v>
      </c>
      <c r="C460" s="214" t="s">
        <v>1842</v>
      </c>
      <c r="D460" s="215" t="s">
        <v>44</v>
      </c>
      <c r="E460" s="214" t="s">
        <v>271</v>
      </c>
    </row>
    <row r="461" spans="1:5" s="216" customFormat="1" x14ac:dyDescent="0.3">
      <c r="A461" s="210" t="str">
        <f t="shared" si="7"/>
        <v>MSE 358,ED3-MSE</v>
      </c>
      <c r="B461" s="213" t="s">
        <v>1848</v>
      </c>
      <c r="C461" s="214" t="s">
        <v>1837</v>
      </c>
      <c r="D461" s="215" t="s">
        <v>140</v>
      </c>
      <c r="E461" s="214" t="s">
        <v>499</v>
      </c>
    </row>
    <row r="462" spans="1:5" s="216" customFormat="1" x14ac:dyDescent="0.3">
      <c r="A462" s="210" t="str">
        <f t="shared" si="7"/>
        <v>MSE 358,ED3-METE</v>
      </c>
      <c r="B462" s="213" t="s">
        <v>1848</v>
      </c>
      <c r="C462" s="214" t="s">
        <v>1837</v>
      </c>
      <c r="D462" s="215" t="s">
        <v>142</v>
      </c>
      <c r="E462" s="214" t="s">
        <v>499</v>
      </c>
    </row>
    <row r="463" spans="1:5" s="216" customFormat="1" x14ac:dyDescent="0.3">
      <c r="A463" s="210" t="str">
        <f t="shared" si="7"/>
        <v>MSE 360,ED3-MSE</v>
      </c>
      <c r="B463" s="213" t="s">
        <v>1849</v>
      </c>
      <c r="C463" s="214" t="s">
        <v>1805</v>
      </c>
      <c r="D463" s="215" t="s">
        <v>140</v>
      </c>
      <c r="E463" s="214" t="s">
        <v>383</v>
      </c>
    </row>
    <row r="464" spans="1:5" s="216" customFormat="1" x14ac:dyDescent="0.3">
      <c r="A464" s="210" t="str">
        <f t="shared" si="7"/>
        <v>MSE 362,ED3-MSE</v>
      </c>
      <c r="B464" s="213" t="s">
        <v>1850</v>
      </c>
      <c r="C464" s="214" t="s">
        <v>1814</v>
      </c>
      <c r="D464" s="215" t="s">
        <v>140</v>
      </c>
      <c r="E464" s="214" t="s">
        <v>321</v>
      </c>
    </row>
    <row r="465" spans="1:5" s="216" customFormat="1" x14ac:dyDescent="0.3">
      <c r="A465" s="210" t="str">
        <f t="shared" si="7"/>
        <v>MSE 362,ED3-METE</v>
      </c>
      <c r="B465" s="213" t="s">
        <v>1850</v>
      </c>
      <c r="C465" s="214" t="s">
        <v>1814</v>
      </c>
      <c r="D465" s="215" t="s">
        <v>142</v>
      </c>
      <c r="E465" s="214" t="s">
        <v>321</v>
      </c>
    </row>
    <row r="466" spans="1:5" s="216" customFormat="1" x14ac:dyDescent="0.3">
      <c r="A466" s="210" t="str">
        <f t="shared" si="7"/>
        <v>MSE 364,ED3-MSE</v>
      </c>
      <c r="B466" s="213" t="s">
        <v>1851</v>
      </c>
      <c r="C466" s="214" t="s">
        <v>1800</v>
      </c>
      <c r="D466" s="215" t="s">
        <v>140</v>
      </c>
      <c r="E466" s="214" t="s">
        <v>139</v>
      </c>
    </row>
    <row r="467" spans="1:5" s="216" customFormat="1" x14ac:dyDescent="0.3">
      <c r="A467" s="210" t="s">
        <v>1314</v>
      </c>
      <c r="B467" s="213" t="s">
        <v>1810</v>
      </c>
      <c r="C467" s="214" t="s">
        <v>1811</v>
      </c>
      <c r="D467" s="215" t="s">
        <v>142</v>
      </c>
      <c r="E467" s="214" t="s">
        <v>1287</v>
      </c>
    </row>
    <row r="468" spans="1:5" s="216" customFormat="1" x14ac:dyDescent="0.3">
      <c r="A468" s="210" t="str">
        <f t="shared" ref="A468:A499" si="8">CONCATENATE(E468,",",D468)</f>
        <v>MSE 396,ED3-MSE</v>
      </c>
      <c r="B468" s="213" t="s">
        <v>1810</v>
      </c>
      <c r="C468" s="214" t="s">
        <v>1811</v>
      </c>
      <c r="D468" s="215" t="s">
        <v>140</v>
      </c>
      <c r="E468" s="214" t="s">
        <v>1287</v>
      </c>
    </row>
    <row r="469" spans="1:5" s="216" customFormat="1" x14ac:dyDescent="0.3">
      <c r="A469" s="210" t="str">
        <f t="shared" si="8"/>
        <v>MSE 452,ED4-MSE</v>
      </c>
      <c r="B469" s="213" t="s">
        <v>1852</v>
      </c>
      <c r="C469" s="214" t="s">
        <v>1802</v>
      </c>
      <c r="D469" s="215" t="s">
        <v>135</v>
      </c>
      <c r="E469" s="214" t="s">
        <v>289</v>
      </c>
    </row>
    <row r="470" spans="1:5" s="216" customFormat="1" x14ac:dyDescent="0.3">
      <c r="A470" s="210" t="str">
        <f t="shared" si="8"/>
        <v>METE 454,ED4-METE</v>
      </c>
      <c r="B470" s="213" t="s">
        <v>1853</v>
      </c>
      <c r="C470" s="214" t="s">
        <v>1802</v>
      </c>
      <c r="D470" s="215" t="s">
        <v>136</v>
      </c>
      <c r="E470" s="214" t="s">
        <v>290</v>
      </c>
    </row>
    <row r="471" spans="1:5" s="216" customFormat="1" x14ac:dyDescent="0.3">
      <c r="A471" s="210" t="str">
        <f t="shared" si="8"/>
        <v>MSE 454,ED4-MSE</v>
      </c>
      <c r="B471" s="213" t="s">
        <v>1854</v>
      </c>
      <c r="C471" s="214" t="s">
        <v>1846</v>
      </c>
      <c r="D471" s="215" t="s">
        <v>135</v>
      </c>
      <c r="E471" s="214" t="s">
        <v>441</v>
      </c>
    </row>
    <row r="472" spans="1:5" s="216" customFormat="1" ht="15" customHeight="1" x14ac:dyDescent="0.3">
      <c r="A472" s="210" t="str">
        <f t="shared" si="8"/>
        <v>MSE 456,ED4-MSE</v>
      </c>
      <c r="B472" s="213" t="s">
        <v>1855</v>
      </c>
      <c r="C472" s="214" t="s">
        <v>1761</v>
      </c>
      <c r="D472" s="215" t="s">
        <v>135</v>
      </c>
      <c r="E472" s="214" t="s">
        <v>223</v>
      </c>
    </row>
    <row r="473" spans="1:5" s="216" customFormat="1" x14ac:dyDescent="0.3">
      <c r="A473" s="210" t="str">
        <f t="shared" si="8"/>
        <v>MSE 456,ED4-METE</v>
      </c>
      <c r="B473" s="213" t="s">
        <v>1855</v>
      </c>
      <c r="C473" s="214" t="s">
        <v>1761</v>
      </c>
      <c r="D473" s="215" t="s">
        <v>136</v>
      </c>
      <c r="E473" s="214" t="s">
        <v>223</v>
      </c>
    </row>
    <row r="474" spans="1:5" s="216" customFormat="1" x14ac:dyDescent="0.3">
      <c r="A474" s="210" t="str">
        <f t="shared" si="8"/>
        <v>MSE 458,ED4-MSE</v>
      </c>
      <c r="B474" s="213" t="s">
        <v>1856</v>
      </c>
      <c r="C474" s="214" t="s">
        <v>1857</v>
      </c>
      <c r="D474" s="215" t="s">
        <v>135</v>
      </c>
      <c r="E474" s="214" t="s">
        <v>134</v>
      </c>
    </row>
    <row r="475" spans="1:5" s="216" customFormat="1" x14ac:dyDescent="0.3">
      <c r="A475" s="210" t="str">
        <f t="shared" si="8"/>
        <v>MSE 458,ED4-METE</v>
      </c>
      <c r="B475" s="213" t="s">
        <v>1858</v>
      </c>
      <c r="C475" s="214" t="s">
        <v>1857</v>
      </c>
      <c r="D475" s="215" t="s">
        <v>136</v>
      </c>
      <c r="E475" s="214" t="s">
        <v>134</v>
      </c>
    </row>
    <row r="476" spans="1:5" s="216" customFormat="1" x14ac:dyDescent="0.3">
      <c r="A476" s="210" t="str">
        <f t="shared" si="8"/>
        <v>PCE 158,ED1-PCE</v>
      </c>
      <c r="B476" s="213" t="s">
        <v>1380</v>
      </c>
      <c r="C476" s="214" t="s">
        <v>1516</v>
      </c>
      <c r="D476" s="215" t="s">
        <v>81</v>
      </c>
      <c r="E476" s="214" t="s">
        <v>185</v>
      </c>
    </row>
    <row r="477" spans="1:5" s="216" customFormat="1" x14ac:dyDescent="0.3">
      <c r="A477" s="210" t="str">
        <f t="shared" si="8"/>
        <v>PCE 350,ED3-PCE</v>
      </c>
      <c r="B477" s="213" t="s">
        <v>1859</v>
      </c>
      <c r="C477" s="214" t="s">
        <v>1513</v>
      </c>
      <c r="D477" s="215" t="s">
        <v>63</v>
      </c>
      <c r="E477" s="214" t="s">
        <v>496</v>
      </c>
    </row>
    <row r="478" spans="1:5" s="216" customFormat="1" x14ac:dyDescent="0.3">
      <c r="A478" s="210" t="str">
        <f t="shared" si="8"/>
        <v>PCE 352,ED3-PCE</v>
      </c>
      <c r="B478" s="213" t="s">
        <v>1860</v>
      </c>
      <c r="C478" s="214" t="s">
        <v>1530</v>
      </c>
      <c r="D478" s="215" t="s">
        <v>63</v>
      </c>
      <c r="E478" s="214" t="s">
        <v>258</v>
      </c>
    </row>
    <row r="479" spans="1:5" s="216" customFormat="1" x14ac:dyDescent="0.3">
      <c r="A479" s="210" t="str">
        <f t="shared" si="8"/>
        <v>PCE 354,ED3-PCE</v>
      </c>
      <c r="B479" s="213" t="s">
        <v>1861</v>
      </c>
      <c r="C479" s="214" t="s">
        <v>1513</v>
      </c>
      <c r="D479" s="215" t="s">
        <v>63</v>
      </c>
      <c r="E479" s="214" t="s">
        <v>62</v>
      </c>
    </row>
    <row r="480" spans="1:5" s="216" customFormat="1" x14ac:dyDescent="0.3">
      <c r="A480" s="210" t="str">
        <f t="shared" si="8"/>
        <v>PCE 450,ED4-PCE</v>
      </c>
      <c r="B480" s="213" t="s">
        <v>1862</v>
      </c>
      <c r="C480" s="214" t="s">
        <v>1863</v>
      </c>
      <c r="D480" s="215" t="s">
        <v>44</v>
      </c>
      <c r="E480" s="214" t="s">
        <v>43</v>
      </c>
    </row>
    <row r="481" spans="1:5" s="216" customFormat="1" ht="16.5" customHeight="1" x14ac:dyDescent="0.3">
      <c r="A481" s="210" t="str">
        <f t="shared" si="8"/>
        <v>PCE 464,ED4-CHE</v>
      </c>
      <c r="B481" s="213" t="s">
        <v>1864</v>
      </c>
      <c r="C481" s="214" t="s">
        <v>1863</v>
      </c>
      <c r="D481" s="215" t="s">
        <v>48</v>
      </c>
      <c r="E481" s="214" t="s">
        <v>47</v>
      </c>
    </row>
    <row r="482" spans="1:5" s="216" customFormat="1" x14ac:dyDescent="0.3">
      <c r="A482" s="210" t="str">
        <f t="shared" si="8"/>
        <v>PE 154,ED1-PETE</v>
      </c>
      <c r="B482" s="213" t="s">
        <v>1865</v>
      </c>
      <c r="C482" s="214" t="s">
        <v>1866</v>
      </c>
      <c r="D482" s="215" t="s">
        <v>1327</v>
      </c>
      <c r="E482" s="214" t="s">
        <v>188</v>
      </c>
    </row>
    <row r="483" spans="1:5" s="216" customFormat="1" x14ac:dyDescent="0.3">
      <c r="A483" s="210" t="str">
        <f t="shared" si="8"/>
        <v>PE 156,ED1-PETE</v>
      </c>
      <c r="B483" s="213" t="s">
        <v>1510</v>
      </c>
      <c r="C483" s="214" t="s">
        <v>1512</v>
      </c>
      <c r="D483" s="215" t="s">
        <v>1327</v>
      </c>
      <c r="E483" s="214" t="s">
        <v>488</v>
      </c>
    </row>
    <row r="484" spans="1:5" s="216" customFormat="1" x14ac:dyDescent="0.3">
      <c r="A484" s="210" t="str">
        <f t="shared" si="8"/>
        <v>PE 252,ED2-PETE</v>
      </c>
      <c r="B484" s="213" t="s">
        <v>1522</v>
      </c>
      <c r="C484" s="214" t="s">
        <v>1867</v>
      </c>
      <c r="D484" s="215" t="s">
        <v>1329</v>
      </c>
      <c r="E484" s="214" t="s">
        <v>212</v>
      </c>
    </row>
    <row r="485" spans="1:5" s="216" customFormat="1" ht="15" customHeight="1" x14ac:dyDescent="0.3">
      <c r="A485" s="210" t="str">
        <f t="shared" si="8"/>
        <v>PE 254,ED2-PETE</v>
      </c>
      <c r="B485" s="213" t="s">
        <v>1524</v>
      </c>
      <c r="C485" s="214" t="s">
        <v>1868</v>
      </c>
      <c r="D485" s="215" t="s">
        <v>1329</v>
      </c>
      <c r="E485" s="214" t="s">
        <v>92</v>
      </c>
    </row>
    <row r="486" spans="1:5" s="216" customFormat="1" x14ac:dyDescent="0.3">
      <c r="A486" s="210" t="str">
        <f t="shared" si="8"/>
        <v>PE 256,ED2-PETE</v>
      </c>
      <c r="B486" s="213" t="s">
        <v>1869</v>
      </c>
      <c r="C486" s="214" t="s">
        <v>1870</v>
      </c>
      <c r="D486" s="215" t="s">
        <v>1329</v>
      </c>
      <c r="E486" s="214" t="s">
        <v>439</v>
      </c>
    </row>
    <row r="487" spans="1:5" s="216" customFormat="1" x14ac:dyDescent="0.3">
      <c r="A487" s="210" t="str">
        <f t="shared" si="8"/>
        <v>PE 258,ED2-PETE</v>
      </c>
      <c r="B487" s="213" t="s">
        <v>1871</v>
      </c>
      <c r="C487" s="214" t="s">
        <v>1872</v>
      </c>
      <c r="D487" s="215" t="s">
        <v>1329</v>
      </c>
      <c r="E487" s="214" t="s">
        <v>398</v>
      </c>
    </row>
    <row r="488" spans="1:5" s="216" customFormat="1" x14ac:dyDescent="0.3">
      <c r="A488" s="210" t="str">
        <f t="shared" si="8"/>
        <v>PE 260,ED2-PETE</v>
      </c>
      <c r="B488" s="213" t="s">
        <v>1873</v>
      </c>
      <c r="C488" s="214" t="s">
        <v>1866</v>
      </c>
      <c r="D488" s="215" t="s">
        <v>1329</v>
      </c>
      <c r="E488" s="214" t="s">
        <v>494</v>
      </c>
    </row>
    <row r="489" spans="1:5" s="216" customFormat="1" x14ac:dyDescent="0.3">
      <c r="A489" s="210" t="str">
        <f t="shared" si="8"/>
        <v>PE 262,ED2-PETE</v>
      </c>
      <c r="B489" s="213" t="s">
        <v>1874</v>
      </c>
      <c r="C489" s="214" t="s">
        <v>1872</v>
      </c>
      <c r="D489" s="215" t="s">
        <v>1329</v>
      </c>
      <c r="E489" s="214" t="s">
        <v>263</v>
      </c>
    </row>
    <row r="490" spans="1:5" s="216" customFormat="1" x14ac:dyDescent="0.3">
      <c r="A490" s="210" t="str">
        <f t="shared" si="8"/>
        <v>PE 264,ED2-PETE</v>
      </c>
      <c r="B490" s="213" t="s">
        <v>1875</v>
      </c>
      <c r="C490" s="214" t="s">
        <v>1652</v>
      </c>
      <c r="D490" s="215" t="s">
        <v>1329</v>
      </c>
      <c r="E490" s="214" t="s">
        <v>359</v>
      </c>
    </row>
    <row r="491" spans="1:5" s="216" customFormat="1" x14ac:dyDescent="0.3">
      <c r="A491" s="210" t="str">
        <f t="shared" si="8"/>
        <v>PE 350,ED3-PETE</v>
      </c>
      <c r="B491" s="213" t="s">
        <v>1876</v>
      </c>
      <c r="C491" s="214" t="s">
        <v>1872</v>
      </c>
      <c r="D491" s="215" t="s">
        <v>1336</v>
      </c>
      <c r="E491" s="214" t="s">
        <v>467</v>
      </c>
    </row>
    <row r="492" spans="1:5" s="216" customFormat="1" x14ac:dyDescent="0.3">
      <c r="A492" s="210" t="str">
        <f t="shared" si="8"/>
        <v>PE 352,ED3-PETE</v>
      </c>
      <c r="B492" s="213" t="s">
        <v>1696</v>
      </c>
      <c r="C492" s="214" t="s">
        <v>1877</v>
      </c>
      <c r="D492" s="215" t="s">
        <v>1336</v>
      </c>
      <c r="E492" s="214" t="s">
        <v>285</v>
      </c>
    </row>
    <row r="493" spans="1:5" s="216" customFormat="1" x14ac:dyDescent="0.3">
      <c r="A493" s="210" t="str">
        <f t="shared" si="8"/>
        <v>PE 354,ED3-PETE</v>
      </c>
      <c r="B493" s="213" t="s">
        <v>1878</v>
      </c>
      <c r="C493" s="214" t="s">
        <v>1866</v>
      </c>
      <c r="D493" s="215" t="s">
        <v>1336</v>
      </c>
      <c r="E493" s="214" t="s">
        <v>408</v>
      </c>
    </row>
    <row r="494" spans="1:5" s="216" customFormat="1" x14ac:dyDescent="0.3">
      <c r="A494" s="210" t="str">
        <f t="shared" si="8"/>
        <v>PE 356,ED3-PETE</v>
      </c>
      <c r="B494" s="213" t="s">
        <v>1879</v>
      </c>
      <c r="C494" s="214" t="s">
        <v>1867</v>
      </c>
      <c r="D494" s="215" t="s">
        <v>1336</v>
      </c>
      <c r="E494" s="214" t="s">
        <v>163</v>
      </c>
    </row>
    <row r="495" spans="1:5" s="216" customFormat="1" ht="15" customHeight="1" x14ac:dyDescent="0.3">
      <c r="A495" s="210" t="str">
        <f t="shared" si="8"/>
        <v>PE 358,ED3-PETE</v>
      </c>
      <c r="B495" s="213" t="s">
        <v>1880</v>
      </c>
      <c r="C495" s="214" t="s">
        <v>1881</v>
      </c>
      <c r="D495" s="215" t="s">
        <v>1336</v>
      </c>
      <c r="E495" s="214" t="s">
        <v>255</v>
      </c>
    </row>
    <row r="496" spans="1:5" s="216" customFormat="1" x14ac:dyDescent="0.3">
      <c r="A496" s="210" t="str">
        <f t="shared" si="8"/>
        <v>PE 360,ED3-PETE</v>
      </c>
      <c r="B496" s="213" t="s">
        <v>1882</v>
      </c>
      <c r="C496" s="214" t="s">
        <v>1883</v>
      </c>
      <c r="D496" s="215" t="s">
        <v>1336</v>
      </c>
      <c r="E496" s="214" t="s">
        <v>17</v>
      </c>
    </row>
    <row r="497" spans="1:5" s="216" customFormat="1" x14ac:dyDescent="0.3">
      <c r="A497" s="210" t="str">
        <f t="shared" si="8"/>
        <v>PE 362,ED3-PETE</v>
      </c>
      <c r="B497" s="213" t="s">
        <v>1697</v>
      </c>
      <c r="C497" s="214" t="s">
        <v>1884</v>
      </c>
      <c r="D497" s="215" t="s">
        <v>1336</v>
      </c>
      <c r="E497" s="214" t="s">
        <v>509</v>
      </c>
    </row>
    <row r="498" spans="1:5" s="216" customFormat="1" x14ac:dyDescent="0.3">
      <c r="A498" s="210" t="str">
        <f t="shared" si="8"/>
        <v>PE 364,ED3-PETE</v>
      </c>
      <c r="B498" s="213" t="s">
        <v>1885</v>
      </c>
      <c r="C498" s="214" t="s">
        <v>1870</v>
      </c>
      <c r="D498" s="215" t="s">
        <v>1336</v>
      </c>
      <c r="E498" s="214" t="s">
        <v>349</v>
      </c>
    </row>
    <row r="499" spans="1:5" s="216" customFormat="1" x14ac:dyDescent="0.3">
      <c r="A499" s="210" t="str">
        <f t="shared" si="8"/>
        <v>PE 366,ED3-PETE</v>
      </c>
      <c r="B499" s="213" t="s">
        <v>1886</v>
      </c>
      <c r="C499" s="214" t="s">
        <v>1867</v>
      </c>
      <c r="D499" s="215" t="s">
        <v>1336</v>
      </c>
      <c r="E499" s="214" t="s">
        <v>211</v>
      </c>
    </row>
    <row r="500" spans="1:5" s="216" customFormat="1" x14ac:dyDescent="0.3">
      <c r="A500" s="210" t="str">
        <f t="shared" ref="A500:A531" si="9">CONCATENATE(E500,",",D500)</f>
        <v>PE 450,ED4-PETE</v>
      </c>
      <c r="B500" s="213" t="s">
        <v>1887</v>
      </c>
      <c r="C500" s="214" t="s">
        <v>1883</v>
      </c>
      <c r="D500" s="215" t="s">
        <v>1344</v>
      </c>
      <c r="E500" s="214" t="s">
        <v>324</v>
      </c>
    </row>
    <row r="501" spans="1:5" s="216" customFormat="1" x14ac:dyDescent="0.3">
      <c r="A501" s="210" t="str">
        <f t="shared" si="9"/>
        <v>PE 452,ED4-PETE</v>
      </c>
      <c r="B501" s="213" t="s">
        <v>1888</v>
      </c>
      <c r="C501" s="214" t="s">
        <v>1881</v>
      </c>
      <c r="D501" s="215" t="s">
        <v>1344</v>
      </c>
      <c r="E501" s="214" t="s">
        <v>264</v>
      </c>
    </row>
    <row r="502" spans="1:5" s="216" customFormat="1" x14ac:dyDescent="0.3">
      <c r="A502" s="210" t="str">
        <f t="shared" si="9"/>
        <v>PE 456,ED4-PETE</v>
      </c>
      <c r="B502" s="213" t="s">
        <v>1889</v>
      </c>
      <c r="C502" s="214" t="s">
        <v>1866</v>
      </c>
      <c r="D502" s="215" t="s">
        <v>1344</v>
      </c>
      <c r="E502" s="214" t="s">
        <v>502</v>
      </c>
    </row>
    <row r="503" spans="1:5" s="216" customFormat="1" x14ac:dyDescent="0.3">
      <c r="A503" s="210" t="str">
        <f t="shared" si="9"/>
        <v>PE 458,ED4-PETE</v>
      </c>
      <c r="B503" s="213" t="s">
        <v>1890</v>
      </c>
      <c r="C503" s="214" t="s">
        <v>1883</v>
      </c>
      <c r="D503" s="215" t="s">
        <v>1344</v>
      </c>
      <c r="E503" s="214" t="s">
        <v>206</v>
      </c>
    </row>
    <row r="504" spans="1:5" s="216" customFormat="1" x14ac:dyDescent="0.3">
      <c r="A504" s="210" t="str">
        <f t="shared" si="9"/>
        <v>PE 464,ED4-PETE</v>
      </c>
      <c r="B504" s="213" t="s">
        <v>1891</v>
      </c>
      <c r="C504" s="214" t="s">
        <v>1863</v>
      </c>
      <c r="D504" s="215" t="s">
        <v>1344</v>
      </c>
      <c r="E504" s="214" t="s">
        <v>45</v>
      </c>
    </row>
    <row r="505" spans="1:5" s="216" customFormat="1" x14ac:dyDescent="0.3">
      <c r="A505" s="210" t="str">
        <f t="shared" si="9"/>
        <v>PE 466,ED4-PETE</v>
      </c>
      <c r="B505" s="213" t="s">
        <v>1892</v>
      </c>
      <c r="C505" s="214" t="s">
        <v>1893</v>
      </c>
      <c r="D505" s="215" t="s">
        <v>1344</v>
      </c>
      <c r="E505" s="214" t="s">
        <v>104</v>
      </c>
    </row>
    <row r="506" spans="1:5" s="216" customFormat="1" x14ac:dyDescent="0.3">
      <c r="A506" s="210" t="str">
        <f t="shared" si="9"/>
        <v>PE 468,ED4-PETE</v>
      </c>
      <c r="B506" s="213" t="s">
        <v>1894</v>
      </c>
      <c r="C506" s="214" t="s">
        <v>1870</v>
      </c>
      <c r="D506" s="215" t="s">
        <v>1344</v>
      </c>
      <c r="E506" s="214" t="s">
        <v>374</v>
      </c>
    </row>
    <row r="507" spans="1:5" s="216" customFormat="1" x14ac:dyDescent="0.3">
      <c r="A507" s="210" t="str">
        <f t="shared" si="9"/>
        <v>PE 472,ED4-PETE</v>
      </c>
      <c r="B507" s="213" t="s">
        <v>1895</v>
      </c>
      <c r="C507" s="214" t="s">
        <v>1881</v>
      </c>
      <c r="D507" s="215" t="s">
        <v>1344</v>
      </c>
      <c r="E507" s="214" t="s">
        <v>357</v>
      </c>
    </row>
    <row r="508" spans="1:5" s="216" customFormat="1" x14ac:dyDescent="0.3">
      <c r="A508" s="210" t="str">
        <f t="shared" si="9"/>
        <v>PE 474,ED4-PETE</v>
      </c>
      <c r="B508" s="213" t="s">
        <v>1896</v>
      </c>
      <c r="C508" s="214" t="s">
        <v>1867</v>
      </c>
      <c r="D508" s="215" t="s">
        <v>1344</v>
      </c>
      <c r="E508" s="214" t="s">
        <v>409</v>
      </c>
    </row>
    <row r="509" spans="1:5" s="216" customFormat="1" x14ac:dyDescent="0.3">
      <c r="A509" s="210" t="str">
        <f t="shared" si="9"/>
        <v>PE 476,ED4-PETE</v>
      </c>
      <c r="B509" s="213" t="s">
        <v>1897</v>
      </c>
      <c r="C509" s="214" t="s">
        <v>1872</v>
      </c>
      <c r="D509" s="215" t="s">
        <v>1344</v>
      </c>
      <c r="E509" s="214" t="s">
        <v>438</v>
      </c>
    </row>
    <row r="510" spans="1:5" s="216" customFormat="1" x14ac:dyDescent="0.3">
      <c r="A510" s="210" t="str">
        <f t="shared" si="9"/>
        <v>PETE 354,ED3-PCE</v>
      </c>
      <c r="B510" s="213" t="s">
        <v>1898</v>
      </c>
      <c r="C510" s="214" t="s">
        <v>1899</v>
      </c>
      <c r="D510" s="215" t="s">
        <v>63</v>
      </c>
      <c r="E510" s="214" t="s">
        <v>448</v>
      </c>
    </row>
    <row r="511" spans="1:5" s="216" customFormat="1" x14ac:dyDescent="0.3">
      <c r="A511" s="210" t="str">
        <f t="shared" si="9"/>
        <v>PETE 450,ED3-PCE</v>
      </c>
      <c r="B511" s="213" t="s">
        <v>1900</v>
      </c>
      <c r="C511" s="214" t="s">
        <v>1899</v>
      </c>
      <c r="D511" s="215" t="s">
        <v>63</v>
      </c>
      <c r="E511" s="214" t="s">
        <v>393</v>
      </c>
    </row>
    <row r="512" spans="1:5" s="216" customFormat="1" x14ac:dyDescent="0.3">
      <c r="A512" s="210" t="str">
        <f t="shared" si="9"/>
        <v>PHY 154,ED1-BME</v>
      </c>
      <c r="B512" s="213" t="s">
        <v>1901</v>
      </c>
      <c r="C512" s="214" t="s">
        <v>1902</v>
      </c>
      <c r="D512" s="215" t="s">
        <v>130</v>
      </c>
      <c r="E512" s="214" t="s">
        <v>313</v>
      </c>
    </row>
    <row r="513" spans="1:5" s="216" customFormat="1" x14ac:dyDescent="0.3">
      <c r="A513" s="210" t="str">
        <f t="shared" si="9"/>
        <v>PHY 170,ED1-CHE</v>
      </c>
      <c r="B513" s="213" t="s">
        <v>1903</v>
      </c>
      <c r="C513" s="214" t="s">
        <v>1904</v>
      </c>
      <c r="D513" s="215" t="s">
        <v>80</v>
      </c>
      <c r="E513" s="214" t="s">
        <v>79</v>
      </c>
    </row>
    <row r="514" spans="1:5" s="216" customFormat="1" x14ac:dyDescent="0.3">
      <c r="A514" s="210" t="str">
        <f t="shared" si="9"/>
        <v>PHY 170,ED1-PCE</v>
      </c>
      <c r="B514" s="213" t="s">
        <v>1903</v>
      </c>
      <c r="C514" s="214" t="s">
        <v>1904</v>
      </c>
      <c r="D514" s="215" t="s">
        <v>81</v>
      </c>
      <c r="E514" s="214" t="s">
        <v>79</v>
      </c>
    </row>
    <row r="515" spans="1:5" s="216" customFormat="1" x14ac:dyDescent="0.3">
      <c r="A515" s="210" t="str">
        <f t="shared" si="9"/>
        <v>PHY 170,ED1-PETE</v>
      </c>
      <c r="B515" s="213" t="s">
        <v>1903</v>
      </c>
      <c r="C515" s="214" t="s">
        <v>1905</v>
      </c>
      <c r="D515" s="215" t="s">
        <v>1327</v>
      </c>
      <c r="E515" s="214" t="s">
        <v>79</v>
      </c>
    </row>
    <row r="516" spans="1:5" s="216" customFormat="1" x14ac:dyDescent="0.3">
      <c r="A516" s="210" t="str">
        <f t="shared" si="9"/>
        <v>PL 251/2,ED3-GEOM</v>
      </c>
      <c r="B516" s="213" t="s">
        <v>1906</v>
      </c>
      <c r="C516" s="214" t="s">
        <v>1907</v>
      </c>
      <c r="D516" s="215" t="s">
        <v>77</v>
      </c>
      <c r="E516" s="214" t="s">
        <v>1232</v>
      </c>
    </row>
    <row r="517" spans="1:5" s="216" customFormat="1" x14ac:dyDescent="0.3">
      <c r="A517" s="210" t="str">
        <f t="shared" si="9"/>
        <v>PSYC 154,ED1-TEL</v>
      </c>
      <c r="B517" s="213" t="s">
        <v>1908</v>
      </c>
      <c r="C517" s="214" t="s">
        <v>1909</v>
      </c>
      <c r="D517" s="215" t="s">
        <v>91</v>
      </c>
      <c r="E517" s="214" t="s">
        <v>200</v>
      </c>
    </row>
    <row r="518" spans="1:5" s="216" customFormat="1" x14ac:dyDescent="0.3">
      <c r="A518" s="210" t="str">
        <f t="shared" si="9"/>
        <v>SES 172,ED2-MARI</v>
      </c>
      <c r="B518" s="213" t="s">
        <v>1910</v>
      </c>
      <c r="C518" s="214" t="s">
        <v>1911</v>
      </c>
      <c r="D518" s="215" t="s">
        <v>42</v>
      </c>
      <c r="E518" s="214" t="s">
        <v>456</v>
      </c>
    </row>
    <row r="519" spans="1:5" s="216" customFormat="1" x14ac:dyDescent="0.3">
      <c r="A519" s="210" t="str">
        <f t="shared" si="9"/>
        <v>SOC 152,ED1-BME</v>
      </c>
      <c r="B519" s="213" t="s">
        <v>1912</v>
      </c>
      <c r="C519" s="214" t="s">
        <v>1913</v>
      </c>
      <c r="D519" s="215" t="s">
        <v>130</v>
      </c>
      <c r="E519" s="214" t="s">
        <v>197</v>
      </c>
    </row>
    <row r="520" spans="1:5" s="216" customFormat="1" x14ac:dyDescent="0.3">
      <c r="A520" s="210" t="str">
        <f t="shared" si="9"/>
        <v>SSN 166,ED1-BME</v>
      </c>
      <c r="B520" s="213" t="s">
        <v>1555</v>
      </c>
      <c r="C520" s="214" t="s">
        <v>1556</v>
      </c>
      <c r="D520" s="215" t="s">
        <v>130</v>
      </c>
      <c r="E520" s="214" t="s">
        <v>1075</v>
      </c>
    </row>
    <row r="521" spans="1:5" s="216" customFormat="1" x14ac:dyDescent="0.3">
      <c r="A521" s="210" t="str">
        <f t="shared" si="9"/>
        <v>TE 152,ED1-TEL</v>
      </c>
      <c r="B521" s="213" t="s">
        <v>1914</v>
      </c>
      <c r="C521" s="214" t="s">
        <v>1915</v>
      </c>
      <c r="D521" s="215" t="s">
        <v>91</v>
      </c>
      <c r="E521" s="214" t="s">
        <v>423</v>
      </c>
    </row>
    <row r="522" spans="1:5" s="216" customFormat="1" x14ac:dyDescent="0.3">
      <c r="A522" s="210" t="str">
        <f t="shared" si="9"/>
        <v>TE 156,ED1-TEL</v>
      </c>
      <c r="B522" s="213" t="s">
        <v>1916</v>
      </c>
      <c r="C522" s="214" t="s">
        <v>1917</v>
      </c>
      <c r="D522" s="215" t="s">
        <v>91</v>
      </c>
      <c r="E522" s="214" t="s">
        <v>90</v>
      </c>
    </row>
    <row r="523" spans="1:5" s="216" customFormat="1" x14ac:dyDescent="0.3">
      <c r="A523" s="210" t="str">
        <f t="shared" si="9"/>
        <v>TE 158,ED1-TEL</v>
      </c>
      <c r="B523" s="213" t="s">
        <v>1918</v>
      </c>
      <c r="C523" s="214" t="s">
        <v>1915</v>
      </c>
      <c r="D523" s="215" t="s">
        <v>91</v>
      </c>
      <c r="E523" s="214" t="s">
        <v>492</v>
      </c>
    </row>
    <row r="524" spans="1:5" s="216" customFormat="1" x14ac:dyDescent="0.3">
      <c r="A524" s="210" t="str">
        <f t="shared" si="9"/>
        <v>TE 254,ED2-EE</v>
      </c>
      <c r="B524" s="213" t="s">
        <v>1919</v>
      </c>
      <c r="C524" s="214" t="s">
        <v>1920</v>
      </c>
      <c r="D524" s="215" t="s">
        <v>25</v>
      </c>
      <c r="E524" s="214" t="s">
        <v>235</v>
      </c>
    </row>
    <row r="525" spans="1:5" s="216" customFormat="1" x14ac:dyDescent="0.3">
      <c r="A525" s="210" t="str">
        <f t="shared" si="9"/>
        <v>TE 258,ED2-TEL</v>
      </c>
      <c r="B525" s="213" t="s">
        <v>1921</v>
      </c>
      <c r="C525" s="214" t="s">
        <v>1917</v>
      </c>
      <c r="D525" s="215" t="s">
        <v>172</v>
      </c>
      <c r="E525" s="214" t="s">
        <v>352</v>
      </c>
    </row>
    <row r="526" spans="1:5" s="216" customFormat="1" x14ac:dyDescent="0.3">
      <c r="A526" s="210" t="str">
        <f t="shared" si="9"/>
        <v>TE 252,ED2-TEL</v>
      </c>
      <c r="B526" s="213" t="s">
        <v>1922</v>
      </c>
      <c r="C526" s="214" t="s">
        <v>1915</v>
      </c>
      <c r="D526" s="215" t="s">
        <v>172</v>
      </c>
      <c r="E526" s="214" t="s">
        <v>460</v>
      </c>
    </row>
    <row r="527" spans="1:5" s="216" customFormat="1" x14ac:dyDescent="0.3">
      <c r="A527" s="210" t="str">
        <f t="shared" si="9"/>
        <v>TE 254,ED2-TEL</v>
      </c>
      <c r="B527" s="213" t="s">
        <v>1919</v>
      </c>
      <c r="C527" s="214" t="s">
        <v>1923</v>
      </c>
      <c r="D527" s="215" t="s">
        <v>172</v>
      </c>
      <c r="E527" s="214" t="s">
        <v>235</v>
      </c>
    </row>
    <row r="528" spans="1:5" s="216" customFormat="1" x14ac:dyDescent="0.3">
      <c r="A528" s="210" t="str">
        <f t="shared" si="9"/>
        <v>TE 292,ED2-TEL</v>
      </c>
      <c r="B528" s="213" t="s">
        <v>1924</v>
      </c>
      <c r="C528" s="214" t="s">
        <v>1925</v>
      </c>
      <c r="D528" s="215" t="s">
        <v>172</v>
      </c>
      <c r="E528" s="214" t="s">
        <v>1363</v>
      </c>
    </row>
    <row r="529" spans="1:5" s="216" customFormat="1" x14ac:dyDescent="0.3">
      <c r="A529" s="210" t="str">
        <f t="shared" si="9"/>
        <v>TE 262,ED2-EE</v>
      </c>
      <c r="B529" s="213" t="s">
        <v>1919</v>
      </c>
      <c r="C529" s="214" t="s">
        <v>1923</v>
      </c>
      <c r="D529" s="215" t="s">
        <v>25</v>
      </c>
      <c r="E529" s="214" t="s">
        <v>166</v>
      </c>
    </row>
    <row r="530" spans="1:5" s="216" customFormat="1" x14ac:dyDescent="0.3">
      <c r="A530" s="210" t="str">
        <f t="shared" si="9"/>
        <v>TE 262,ED2-COE</v>
      </c>
      <c r="B530" s="213" t="s">
        <v>1926</v>
      </c>
      <c r="C530" s="214" t="s">
        <v>1565</v>
      </c>
      <c r="D530" s="215" t="s">
        <v>108</v>
      </c>
      <c r="E530" s="214" t="s">
        <v>166</v>
      </c>
    </row>
    <row r="531" spans="1:5" s="216" customFormat="1" x14ac:dyDescent="0.3">
      <c r="A531" s="210" t="str">
        <f t="shared" si="9"/>
        <v>TE 374,ED3-TEL</v>
      </c>
      <c r="B531" s="213" t="s">
        <v>1927</v>
      </c>
      <c r="C531" s="214" t="s">
        <v>1928</v>
      </c>
      <c r="D531" s="215" t="s">
        <v>119</v>
      </c>
      <c r="E531" s="214" t="s">
        <v>391</v>
      </c>
    </row>
    <row r="532" spans="1:5" s="216" customFormat="1" x14ac:dyDescent="0.3">
      <c r="A532" s="210" t="str">
        <f t="shared" ref="A532:A548" si="10">CONCATENATE(E532,",",D532)</f>
        <v>TE 256,ED2-TEL</v>
      </c>
      <c r="B532" s="213" t="s">
        <v>1929</v>
      </c>
      <c r="C532" s="214" t="s">
        <v>1930</v>
      </c>
      <c r="D532" s="215" t="s">
        <v>172</v>
      </c>
      <c r="E532" s="214" t="s">
        <v>171</v>
      </c>
    </row>
    <row r="533" spans="1:5" s="216" customFormat="1" x14ac:dyDescent="0.3">
      <c r="A533" s="210" t="str">
        <f t="shared" si="10"/>
        <v>TE 356,ED3-TEL</v>
      </c>
      <c r="B533" s="213" t="s">
        <v>1367</v>
      </c>
      <c r="C533" s="214" t="s">
        <v>1931</v>
      </c>
      <c r="D533" s="215" t="s">
        <v>119</v>
      </c>
      <c r="E533" s="214" t="s">
        <v>118</v>
      </c>
    </row>
    <row r="534" spans="1:5" s="216" customFormat="1" x14ac:dyDescent="0.3">
      <c r="A534" s="210" t="str">
        <f t="shared" si="10"/>
        <v>TE 354,ED3-TEL</v>
      </c>
      <c r="B534" s="213" t="s">
        <v>1932</v>
      </c>
      <c r="C534" s="214" t="s">
        <v>1920</v>
      </c>
      <c r="D534" s="215" t="s">
        <v>119</v>
      </c>
      <c r="E534" s="214" t="s">
        <v>339</v>
      </c>
    </row>
    <row r="535" spans="1:5" s="216" customFormat="1" x14ac:dyDescent="0.3">
      <c r="A535" s="210" t="str">
        <f t="shared" si="10"/>
        <v>TE 358,ED3-TEL</v>
      </c>
      <c r="B535" s="213" t="s">
        <v>1368</v>
      </c>
      <c r="C535" s="214" t="s">
        <v>1604</v>
      </c>
      <c r="D535" s="215" t="s">
        <v>119</v>
      </c>
      <c r="E535" s="214" t="s">
        <v>464</v>
      </c>
    </row>
    <row r="536" spans="1:5" s="216" customFormat="1" x14ac:dyDescent="0.3">
      <c r="A536" s="210" t="str">
        <f t="shared" si="10"/>
        <v>TE 372,ED3-EE</v>
      </c>
      <c r="B536" s="213" t="s">
        <v>1933</v>
      </c>
      <c r="C536" s="214" t="s">
        <v>1920</v>
      </c>
      <c r="D536" s="215" t="s">
        <v>71</v>
      </c>
      <c r="E536" s="214" t="s">
        <v>308</v>
      </c>
    </row>
    <row r="537" spans="1:5" s="216" customFormat="1" x14ac:dyDescent="0.3">
      <c r="A537" s="210" t="str">
        <f t="shared" si="10"/>
        <v>TE 372,ED3-TEL</v>
      </c>
      <c r="B537" s="213" t="s">
        <v>1365</v>
      </c>
      <c r="C537" s="214" t="s">
        <v>1931</v>
      </c>
      <c r="D537" s="215" t="s">
        <v>119</v>
      </c>
      <c r="E537" s="214" t="s">
        <v>308</v>
      </c>
    </row>
    <row r="538" spans="1:5" s="216" customFormat="1" x14ac:dyDescent="0.3">
      <c r="A538" s="210" t="str">
        <f t="shared" si="10"/>
        <v>TE 352,ED3-TEL</v>
      </c>
      <c r="B538" s="213" t="s">
        <v>1934</v>
      </c>
      <c r="C538" s="214" t="s">
        <v>1935</v>
      </c>
      <c r="D538" s="215" t="s">
        <v>119</v>
      </c>
      <c r="E538" s="214" t="s">
        <v>187</v>
      </c>
    </row>
    <row r="539" spans="1:5" s="216" customFormat="1" x14ac:dyDescent="0.3">
      <c r="A539" s="210" t="str">
        <f t="shared" si="10"/>
        <v>TE 384,ED3-EE</v>
      </c>
      <c r="B539" s="213" t="s">
        <v>1367</v>
      </c>
      <c r="C539" s="214" t="s">
        <v>1925</v>
      </c>
      <c r="D539" s="215" t="s">
        <v>71</v>
      </c>
      <c r="E539" s="214" t="s">
        <v>117</v>
      </c>
    </row>
    <row r="540" spans="1:5" s="216" customFormat="1" x14ac:dyDescent="0.3">
      <c r="A540" s="210" t="str">
        <f t="shared" si="10"/>
        <v>TE 384,ED3-TEL</v>
      </c>
      <c r="B540" s="213" t="s">
        <v>1367</v>
      </c>
      <c r="C540" s="214" t="s">
        <v>1931</v>
      </c>
      <c r="D540" s="215" t="s">
        <v>119</v>
      </c>
      <c r="E540" s="214" t="s">
        <v>117</v>
      </c>
    </row>
    <row r="541" spans="1:5" s="216" customFormat="1" x14ac:dyDescent="0.3">
      <c r="A541" s="210" t="str">
        <f t="shared" si="10"/>
        <v>TE 386,ED3-EE</v>
      </c>
      <c r="B541" s="213" t="s">
        <v>1368</v>
      </c>
      <c r="C541" s="214" t="s">
        <v>1936</v>
      </c>
      <c r="D541" s="215" t="s">
        <v>71</v>
      </c>
      <c r="E541" s="214" t="s">
        <v>465</v>
      </c>
    </row>
    <row r="542" spans="1:5" s="216" customFormat="1" x14ac:dyDescent="0.3">
      <c r="A542" s="210" t="str">
        <f t="shared" si="10"/>
        <v>TE 358,ED3-TEL</v>
      </c>
      <c r="B542" s="213" t="s">
        <v>1368</v>
      </c>
      <c r="C542" s="214" t="s">
        <v>1604</v>
      </c>
      <c r="D542" s="215" t="s">
        <v>119</v>
      </c>
      <c r="E542" s="214" t="s">
        <v>464</v>
      </c>
    </row>
    <row r="543" spans="1:5" s="216" customFormat="1" x14ac:dyDescent="0.3">
      <c r="A543" s="210" t="str">
        <f t="shared" si="10"/>
        <v>TE 392,ED3-TEL</v>
      </c>
      <c r="B543" s="213" t="s">
        <v>1937</v>
      </c>
      <c r="C543" s="214" t="s">
        <v>1931</v>
      </c>
      <c r="D543" s="215" t="s">
        <v>119</v>
      </c>
      <c r="E543" s="214" t="s">
        <v>1370</v>
      </c>
    </row>
    <row r="544" spans="1:5" s="216" customFormat="1" x14ac:dyDescent="0.3">
      <c r="A544" s="210" t="str">
        <f t="shared" si="10"/>
        <v>TE 462,ED4-TEL</v>
      </c>
      <c r="B544" s="213" t="s">
        <v>1938</v>
      </c>
      <c r="C544" s="214" t="s">
        <v>1939</v>
      </c>
      <c r="D544" s="215" t="s">
        <v>227</v>
      </c>
      <c r="E544" s="214" t="s">
        <v>1372</v>
      </c>
    </row>
    <row r="545" spans="1:5" s="216" customFormat="1" ht="15" customHeight="1" x14ac:dyDescent="0.3">
      <c r="A545" s="210" t="str">
        <f t="shared" si="10"/>
        <v>TE 472,ED4-EE</v>
      </c>
      <c r="B545" s="213" t="s">
        <v>1940</v>
      </c>
      <c r="C545" s="214" t="s">
        <v>1935</v>
      </c>
      <c r="D545" s="215" t="s">
        <v>144</v>
      </c>
      <c r="E545" s="214" t="s">
        <v>306</v>
      </c>
    </row>
    <row r="546" spans="1:5" s="216" customFormat="1" x14ac:dyDescent="0.3">
      <c r="A546" s="210" t="str">
        <f t="shared" si="10"/>
        <v>TE 472,ED4-TEL</v>
      </c>
      <c r="B546" s="213" t="s">
        <v>1940</v>
      </c>
      <c r="C546" s="214" t="s">
        <v>1935</v>
      </c>
      <c r="D546" s="215" t="s">
        <v>227</v>
      </c>
      <c r="E546" s="214" t="s">
        <v>306</v>
      </c>
    </row>
    <row r="547" spans="1:5" s="216" customFormat="1" x14ac:dyDescent="0.3">
      <c r="A547" s="210" t="str">
        <f t="shared" si="10"/>
        <v>TE 474,ED4-TEL</v>
      </c>
      <c r="B547" s="213" t="s">
        <v>1941</v>
      </c>
      <c r="C547" s="214" t="s">
        <v>1930</v>
      </c>
      <c r="D547" s="215" t="s">
        <v>227</v>
      </c>
      <c r="E547" s="214" t="s">
        <v>1375</v>
      </c>
    </row>
    <row r="548" spans="1:5" s="216" customFormat="1" x14ac:dyDescent="0.3">
      <c r="A548" s="210" t="str">
        <f t="shared" si="10"/>
        <v>TE 484,ED4-TEL</v>
      </c>
      <c r="B548" s="213" t="s">
        <v>1942</v>
      </c>
      <c r="C548" s="214" t="s">
        <v>1943</v>
      </c>
      <c r="D548" s="215" t="s">
        <v>227</v>
      </c>
      <c r="E548" s="214" t="s">
        <v>1377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34"/>
  <sheetViews>
    <sheetView topLeftCell="A401" zoomScaleNormal="100" workbookViewId="0">
      <selection activeCell="B420" sqref="B420"/>
    </sheetView>
  </sheetViews>
  <sheetFormatPr defaultColWidth="8.58203125" defaultRowHeight="14" x14ac:dyDescent="0.3"/>
  <cols>
    <col min="1" max="1" width="17.5" customWidth="1"/>
    <col min="2" max="2" width="57.75" customWidth="1"/>
    <col min="3" max="3" width="38.1640625" customWidth="1"/>
    <col min="4" max="4" width="13" customWidth="1"/>
    <col min="5" max="5" width="10.1640625" customWidth="1"/>
    <col min="6" max="6" width="10.6640625" customWidth="1"/>
  </cols>
  <sheetData>
    <row r="1" spans="1:6" x14ac:dyDescent="0.3">
      <c r="B1" t="s">
        <v>982</v>
      </c>
      <c r="C1" t="s">
        <v>983</v>
      </c>
      <c r="D1" t="s">
        <v>984</v>
      </c>
      <c r="E1" t="s">
        <v>1944</v>
      </c>
      <c r="F1" t="s">
        <v>986</v>
      </c>
    </row>
    <row r="2" spans="1:6" s="216" customFormat="1" x14ac:dyDescent="0.3">
      <c r="A2" s="202" t="str">
        <f t="shared" ref="A2:A65" si="0">CONCATENATE(F2,",",E2)</f>
        <v>AE 158,ED1-AE</v>
      </c>
      <c r="B2" s="202" t="s">
        <v>987</v>
      </c>
      <c r="C2" s="202" t="s">
        <v>1381</v>
      </c>
      <c r="D2" s="209">
        <v>128</v>
      </c>
      <c r="E2" s="202" t="s">
        <v>131</v>
      </c>
      <c r="F2" s="202" t="s">
        <v>314</v>
      </c>
    </row>
    <row r="3" spans="1:6" s="216" customFormat="1" x14ac:dyDescent="0.3">
      <c r="A3" s="202" t="str">
        <f t="shared" si="0"/>
        <v>AE 162,ED1-AE</v>
      </c>
      <c r="B3" s="202" t="s">
        <v>988</v>
      </c>
      <c r="C3" s="202" t="s">
        <v>1381</v>
      </c>
      <c r="D3" s="209">
        <v>128</v>
      </c>
      <c r="E3" s="202" t="s">
        <v>131</v>
      </c>
      <c r="F3" s="202" t="s">
        <v>242</v>
      </c>
    </row>
    <row r="4" spans="1:6" s="216" customFormat="1" x14ac:dyDescent="0.3">
      <c r="A4" s="202" t="str">
        <f t="shared" si="0"/>
        <v>AE 196,ED1-AE</v>
      </c>
      <c r="B4" s="202" t="s">
        <v>989</v>
      </c>
      <c r="C4" s="202" t="s">
        <v>1945</v>
      </c>
      <c r="D4" s="209">
        <v>128</v>
      </c>
      <c r="E4" s="202" t="s">
        <v>131</v>
      </c>
      <c r="F4" s="202" t="s">
        <v>454</v>
      </c>
    </row>
    <row r="5" spans="1:6" s="216" customFormat="1" x14ac:dyDescent="0.3">
      <c r="A5" s="202" t="str">
        <f t="shared" si="0"/>
        <v>EE 152,ED1-AE</v>
      </c>
      <c r="B5" s="202" t="s">
        <v>990</v>
      </c>
      <c r="C5" s="202" t="s">
        <v>1946</v>
      </c>
      <c r="D5" s="209">
        <v>128</v>
      </c>
      <c r="E5" s="202" t="s">
        <v>131</v>
      </c>
      <c r="F5" s="202" t="s">
        <v>234</v>
      </c>
    </row>
    <row r="6" spans="1:6" s="216" customFormat="1" x14ac:dyDescent="0.3">
      <c r="A6" s="202" t="str">
        <f t="shared" si="0"/>
        <v>ENGL 158,ED1-AE</v>
      </c>
      <c r="B6" s="202" t="s">
        <v>991</v>
      </c>
      <c r="C6" s="202" t="s">
        <v>1629</v>
      </c>
      <c r="D6" s="209">
        <v>128</v>
      </c>
      <c r="E6" s="202" t="s">
        <v>131</v>
      </c>
      <c r="F6" s="202" t="s">
        <v>364</v>
      </c>
    </row>
    <row r="7" spans="1:6" s="216" customFormat="1" x14ac:dyDescent="0.3">
      <c r="A7" s="202" t="str">
        <f t="shared" si="0"/>
        <v>MATH 152,ED1-AE</v>
      </c>
      <c r="B7" s="202" t="s">
        <v>992</v>
      </c>
      <c r="C7" s="202" t="s">
        <v>1720</v>
      </c>
      <c r="D7" s="209">
        <v>128</v>
      </c>
      <c r="E7" s="202" t="s">
        <v>131</v>
      </c>
      <c r="F7" s="202" t="s">
        <v>129</v>
      </c>
    </row>
    <row r="8" spans="1:6" s="216" customFormat="1" x14ac:dyDescent="0.3">
      <c r="A8" s="202" t="str">
        <f t="shared" si="0"/>
        <v>ME 160,ED1-AE</v>
      </c>
      <c r="B8" s="202" t="s">
        <v>993</v>
      </c>
      <c r="C8" s="202" t="s">
        <v>1404</v>
      </c>
      <c r="D8" s="209">
        <v>128</v>
      </c>
      <c r="E8" s="202" t="s">
        <v>131</v>
      </c>
      <c r="F8" s="202" t="s">
        <v>160</v>
      </c>
    </row>
    <row r="9" spans="1:6" s="216" customFormat="1" x14ac:dyDescent="0.3">
      <c r="A9" s="202" t="str">
        <f t="shared" si="0"/>
        <v>ME 162,ED1-AE</v>
      </c>
      <c r="B9" s="202" t="s">
        <v>994</v>
      </c>
      <c r="C9" s="202" t="s">
        <v>1417</v>
      </c>
      <c r="D9" s="209">
        <v>128</v>
      </c>
      <c r="E9" s="202" t="s">
        <v>131</v>
      </c>
      <c r="F9" s="202" t="s">
        <v>392</v>
      </c>
    </row>
    <row r="10" spans="1:6" s="216" customFormat="1" x14ac:dyDescent="0.3">
      <c r="A10" s="202" t="str">
        <f t="shared" si="0"/>
        <v>EE 252,ED2-AE</v>
      </c>
      <c r="B10" s="202" t="s">
        <v>995</v>
      </c>
      <c r="C10" s="202" t="s">
        <v>1947</v>
      </c>
      <c r="D10" s="209">
        <v>155</v>
      </c>
      <c r="E10" s="202" t="s">
        <v>53</v>
      </c>
      <c r="F10" s="202" t="s">
        <v>473</v>
      </c>
    </row>
    <row r="11" spans="1:6" s="216" customFormat="1" x14ac:dyDescent="0.3">
      <c r="A11" s="202" t="str">
        <f t="shared" si="0"/>
        <v>ENGL 264,ED2-AE</v>
      </c>
      <c r="B11" s="202" t="s">
        <v>996</v>
      </c>
      <c r="C11" s="202" t="s">
        <v>1629</v>
      </c>
      <c r="D11" s="209">
        <v>155</v>
      </c>
      <c r="E11" s="202" t="s">
        <v>53</v>
      </c>
      <c r="F11" s="202" t="s">
        <v>276</v>
      </c>
    </row>
    <row r="12" spans="1:6" s="216" customFormat="1" x14ac:dyDescent="0.3">
      <c r="A12" s="202" t="str">
        <f t="shared" si="0"/>
        <v>GE 286,ED2-AE</v>
      </c>
      <c r="B12" s="202" t="s">
        <v>997</v>
      </c>
      <c r="C12" s="202" t="s">
        <v>1948</v>
      </c>
      <c r="D12" s="209">
        <v>155</v>
      </c>
      <c r="E12" s="202" t="s">
        <v>53</v>
      </c>
      <c r="F12" s="202" t="s">
        <v>52</v>
      </c>
    </row>
    <row r="13" spans="1:6" s="216" customFormat="1" x14ac:dyDescent="0.3">
      <c r="A13" s="202" t="str">
        <f t="shared" si="0"/>
        <v>MATH 252,ED2-AE</v>
      </c>
      <c r="B13" s="202" t="s">
        <v>998</v>
      </c>
      <c r="C13" s="202" t="s">
        <v>1727</v>
      </c>
      <c r="D13" s="209">
        <v>155</v>
      </c>
      <c r="E13" s="202" t="s">
        <v>53</v>
      </c>
      <c r="F13" s="202" t="s">
        <v>281</v>
      </c>
    </row>
    <row r="14" spans="1:6" s="216" customFormat="1" x14ac:dyDescent="0.3">
      <c r="A14" s="202" t="str">
        <f t="shared" si="0"/>
        <v>ME 262,ED2-AE</v>
      </c>
      <c r="B14" s="202" t="s">
        <v>999</v>
      </c>
      <c r="C14" s="202" t="s">
        <v>1429</v>
      </c>
      <c r="D14" s="209">
        <v>155</v>
      </c>
      <c r="E14" s="202" t="s">
        <v>53</v>
      </c>
      <c r="F14" s="202" t="s">
        <v>344</v>
      </c>
    </row>
    <row r="15" spans="1:6" s="216" customFormat="1" x14ac:dyDescent="0.3">
      <c r="A15" s="202" t="str">
        <f t="shared" si="0"/>
        <v>ME 282,ED2-AE</v>
      </c>
      <c r="B15" s="202" t="s">
        <v>1000</v>
      </c>
      <c r="C15" s="202" t="s">
        <v>1797</v>
      </c>
      <c r="D15" s="209">
        <v>155</v>
      </c>
      <c r="E15" s="202" t="s">
        <v>53</v>
      </c>
      <c r="F15" s="202" t="s">
        <v>236</v>
      </c>
    </row>
    <row r="16" spans="1:6" s="216" customFormat="1" x14ac:dyDescent="0.3">
      <c r="A16" s="202" t="str">
        <f t="shared" si="0"/>
        <v>ME 296,ED2-AE</v>
      </c>
      <c r="B16" s="202" t="s">
        <v>1001</v>
      </c>
      <c r="C16" s="202" t="s">
        <v>1742</v>
      </c>
      <c r="D16" s="209">
        <v>155</v>
      </c>
      <c r="E16" s="202" t="s">
        <v>53</v>
      </c>
      <c r="F16" s="202" t="s">
        <v>542</v>
      </c>
    </row>
    <row r="17" spans="1:6" s="216" customFormat="1" x14ac:dyDescent="0.3">
      <c r="A17" s="202" t="str">
        <f t="shared" si="0"/>
        <v>AE 352,ED3-AE</v>
      </c>
      <c r="B17" s="202" t="s">
        <v>1002</v>
      </c>
      <c r="C17" s="202" t="s">
        <v>1386</v>
      </c>
      <c r="D17" s="209">
        <v>101</v>
      </c>
      <c r="E17" s="202" t="s">
        <v>88</v>
      </c>
      <c r="F17" s="202" t="s">
        <v>455</v>
      </c>
    </row>
    <row r="18" spans="1:6" s="216" customFormat="1" x14ac:dyDescent="0.3">
      <c r="A18" s="202" t="str">
        <f t="shared" si="0"/>
        <v>AE 356,ED3-AE</v>
      </c>
      <c r="B18" s="202" t="s">
        <v>1003</v>
      </c>
      <c r="C18" s="202" t="s">
        <v>1388</v>
      </c>
      <c r="D18" s="209">
        <v>101</v>
      </c>
      <c r="E18" s="202" t="s">
        <v>88</v>
      </c>
      <c r="F18" s="202" t="s">
        <v>303</v>
      </c>
    </row>
    <row r="19" spans="1:6" s="216" customFormat="1" x14ac:dyDescent="0.3">
      <c r="A19" s="202" t="str">
        <f t="shared" si="0"/>
        <v>AE 358,ED3-AE</v>
      </c>
      <c r="B19" s="202" t="s">
        <v>1004</v>
      </c>
      <c r="C19" s="202" t="s">
        <v>1390</v>
      </c>
      <c r="D19" s="209">
        <v>101</v>
      </c>
      <c r="E19" s="202" t="s">
        <v>88</v>
      </c>
      <c r="F19" s="202" t="s">
        <v>87</v>
      </c>
    </row>
    <row r="20" spans="1:6" s="216" customFormat="1" x14ac:dyDescent="0.3">
      <c r="A20" s="202" t="str">
        <f t="shared" si="0"/>
        <v>AE 360,ED3-AE</v>
      </c>
      <c r="B20" s="202" t="s">
        <v>1005</v>
      </c>
      <c r="C20" s="202" t="s">
        <v>1392</v>
      </c>
      <c r="D20" s="209">
        <v>101</v>
      </c>
      <c r="E20" s="202" t="s">
        <v>88</v>
      </c>
      <c r="F20" s="202" t="s">
        <v>220</v>
      </c>
    </row>
    <row r="21" spans="1:6" s="216" customFormat="1" x14ac:dyDescent="0.3">
      <c r="A21" s="202" t="str">
        <f t="shared" si="0"/>
        <v>AE 362,ED3-AE</v>
      </c>
      <c r="B21" s="202" t="s">
        <v>1006</v>
      </c>
      <c r="C21" s="202" t="s">
        <v>1394</v>
      </c>
      <c r="D21" s="209">
        <v>101</v>
      </c>
      <c r="E21" s="202" t="s">
        <v>88</v>
      </c>
      <c r="F21" s="202" t="s">
        <v>498</v>
      </c>
    </row>
    <row r="22" spans="1:6" s="216" customFormat="1" x14ac:dyDescent="0.3">
      <c r="A22" s="202" t="str">
        <f t="shared" si="0"/>
        <v>ME 366,ED3-AE</v>
      </c>
      <c r="B22" s="202" t="s">
        <v>1007</v>
      </c>
      <c r="C22" s="202" t="s">
        <v>1768</v>
      </c>
      <c r="D22" s="209">
        <v>101</v>
      </c>
      <c r="E22" s="202" t="s">
        <v>88</v>
      </c>
      <c r="F22" s="202" t="s">
        <v>347</v>
      </c>
    </row>
    <row r="23" spans="1:6" s="216" customFormat="1" x14ac:dyDescent="0.3">
      <c r="A23" s="202" t="str">
        <f t="shared" si="0"/>
        <v>ME 374,ED3-AE</v>
      </c>
      <c r="B23" s="202" t="s">
        <v>1008</v>
      </c>
      <c r="C23" s="202" t="s">
        <v>1406</v>
      </c>
      <c r="D23" s="209">
        <v>101</v>
      </c>
      <c r="E23" s="202" t="s">
        <v>88</v>
      </c>
      <c r="F23" s="202" t="s">
        <v>60</v>
      </c>
    </row>
    <row r="24" spans="1:6" s="216" customFormat="1" x14ac:dyDescent="0.3">
      <c r="A24" s="202" t="str">
        <f t="shared" si="0"/>
        <v>ME 376,ED3-AE</v>
      </c>
      <c r="B24" s="202" t="s">
        <v>1009</v>
      </c>
      <c r="C24" s="202" t="s">
        <v>1406</v>
      </c>
      <c r="D24" s="209">
        <v>101</v>
      </c>
      <c r="E24" s="202" t="s">
        <v>88</v>
      </c>
      <c r="F24" s="202" t="s">
        <v>266</v>
      </c>
    </row>
    <row r="25" spans="1:6" s="216" customFormat="1" ht="16.5" customHeight="1" x14ac:dyDescent="0.3">
      <c r="A25" s="202" t="str">
        <f t="shared" si="0"/>
        <v>AE 452,ED4-AE</v>
      </c>
      <c r="B25" s="202" t="s">
        <v>1010</v>
      </c>
      <c r="C25" s="202" t="s">
        <v>1396</v>
      </c>
      <c r="D25" s="209">
        <v>103</v>
      </c>
      <c r="E25" s="202" t="s">
        <v>50</v>
      </c>
      <c r="F25" s="202" t="s">
        <v>213</v>
      </c>
    </row>
    <row r="26" spans="1:6" s="216" customFormat="1" x14ac:dyDescent="0.3">
      <c r="A26" s="202" t="str">
        <f t="shared" si="0"/>
        <v>AE 458,ED4-AE</v>
      </c>
      <c r="B26" s="202" t="s">
        <v>1011</v>
      </c>
      <c r="C26" s="202" t="s">
        <v>1398</v>
      </c>
      <c r="D26" s="209">
        <v>103</v>
      </c>
      <c r="E26" s="202" t="s">
        <v>50</v>
      </c>
      <c r="F26" s="202" t="s">
        <v>49</v>
      </c>
    </row>
    <row r="27" spans="1:6" s="216" customFormat="1" x14ac:dyDescent="0.3">
      <c r="A27" s="202" t="str">
        <f t="shared" si="0"/>
        <v>AE 460,ED4-AE</v>
      </c>
      <c r="B27" s="202" t="s">
        <v>1012</v>
      </c>
      <c r="C27" s="202" t="s">
        <v>1400</v>
      </c>
      <c r="D27" s="209">
        <v>103</v>
      </c>
      <c r="E27" s="202" t="s">
        <v>50</v>
      </c>
      <c r="F27" s="202" t="s">
        <v>325</v>
      </c>
    </row>
    <row r="28" spans="1:6" s="216" customFormat="1" x14ac:dyDescent="0.3">
      <c r="A28" s="202" t="str">
        <f t="shared" si="0"/>
        <v>AE 464,ED4-AE</v>
      </c>
      <c r="B28" s="202" t="s">
        <v>1013</v>
      </c>
      <c r="C28" s="202" t="s">
        <v>1402</v>
      </c>
      <c r="D28" s="209">
        <v>103</v>
      </c>
      <c r="E28" s="202" t="s">
        <v>50</v>
      </c>
      <c r="F28" s="202" t="s">
        <v>477</v>
      </c>
    </row>
    <row r="29" spans="1:6" s="216" customFormat="1" x14ac:dyDescent="0.3">
      <c r="A29" s="202" t="str">
        <f t="shared" si="0"/>
        <v>AE 482,ED4-AE</v>
      </c>
      <c r="B29" s="202" t="s">
        <v>1014</v>
      </c>
      <c r="C29" s="202" t="s">
        <v>1404</v>
      </c>
      <c r="D29" s="209">
        <v>103</v>
      </c>
      <c r="E29" s="202" t="s">
        <v>50</v>
      </c>
      <c r="F29" s="202" t="s">
        <v>429</v>
      </c>
    </row>
    <row r="30" spans="1:6" s="216" customFormat="1" x14ac:dyDescent="0.3">
      <c r="A30" s="202" t="str">
        <f t="shared" si="0"/>
        <v>ME 492,ED4-AE</v>
      </c>
      <c r="B30" s="202" t="s">
        <v>1015</v>
      </c>
      <c r="C30" s="202" t="s">
        <v>1388</v>
      </c>
      <c r="D30" s="209">
        <v>103</v>
      </c>
      <c r="E30" s="202" t="s">
        <v>50</v>
      </c>
      <c r="F30" s="202" t="s">
        <v>373</v>
      </c>
    </row>
    <row r="31" spans="1:6" s="216" customFormat="1" x14ac:dyDescent="0.3">
      <c r="A31" s="202" t="str">
        <f t="shared" si="0"/>
        <v>AERO 174,ED1-AERO</v>
      </c>
      <c r="B31" s="202" t="s">
        <v>1016</v>
      </c>
      <c r="C31" s="202" t="s">
        <v>1406</v>
      </c>
      <c r="D31" s="209">
        <v>70</v>
      </c>
      <c r="E31" s="202" t="s">
        <v>191</v>
      </c>
      <c r="F31" s="202" t="s">
        <v>483</v>
      </c>
    </row>
    <row r="32" spans="1:6" s="216" customFormat="1" x14ac:dyDescent="0.3">
      <c r="A32" s="202" t="str">
        <f t="shared" si="0"/>
        <v>EE 152,ED1-AERO</v>
      </c>
      <c r="B32" s="202" t="s">
        <v>990</v>
      </c>
      <c r="C32" s="202" t="s">
        <v>1946</v>
      </c>
      <c r="D32" s="209">
        <v>70</v>
      </c>
      <c r="E32" s="202" t="s">
        <v>191</v>
      </c>
      <c r="F32" s="202" t="s">
        <v>234</v>
      </c>
    </row>
    <row r="33" spans="1:6" s="216" customFormat="1" x14ac:dyDescent="0.3">
      <c r="A33" s="202" t="str">
        <f t="shared" si="0"/>
        <v>ENGL 158,ED1-AERO</v>
      </c>
      <c r="B33" s="202" t="s">
        <v>991</v>
      </c>
      <c r="C33" s="202" t="s">
        <v>1629</v>
      </c>
      <c r="D33" s="209">
        <v>70</v>
      </c>
      <c r="E33" s="202" t="s">
        <v>191</v>
      </c>
      <c r="F33" s="202" t="s">
        <v>364</v>
      </c>
    </row>
    <row r="34" spans="1:6" s="216" customFormat="1" x14ac:dyDescent="0.3">
      <c r="A34" s="202" t="str">
        <f t="shared" si="0"/>
        <v>MATH 152,ED1-AERO</v>
      </c>
      <c r="B34" s="202" t="s">
        <v>992</v>
      </c>
      <c r="C34" s="202" t="s">
        <v>1720</v>
      </c>
      <c r="D34" s="209">
        <v>70</v>
      </c>
      <c r="E34" s="202" t="s">
        <v>191</v>
      </c>
      <c r="F34" s="202" t="s">
        <v>129</v>
      </c>
    </row>
    <row r="35" spans="1:6" s="216" customFormat="1" x14ac:dyDescent="0.3">
      <c r="A35" s="202" t="str">
        <f t="shared" si="0"/>
        <v>ME 158,ED1-AERO</v>
      </c>
      <c r="B35" s="202" t="s">
        <v>1017</v>
      </c>
      <c r="C35" s="202" t="s">
        <v>1737</v>
      </c>
      <c r="D35" s="209">
        <v>70</v>
      </c>
      <c r="E35" s="202" t="s">
        <v>191</v>
      </c>
      <c r="F35" s="202" t="s">
        <v>190</v>
      </c>
    </row>
    <row r="36" spans="1:6" s="216" customFormat="1" x14ac:dyDescent="0.3">
      <c r="A36" s="202" t="str">
        <f t="shared" si="0"/>
        <v>ME 164,ED1-AERO</v>
      </c>
      <c r="B36" s="202" t="s">
        <v>1018</v>
      </c>
      <c r="C36" s="202" t="s">
        <v>1715</v>
      </c>
      <c r="D36" s="209">
        <v>70</v>
      </c>
      <c r="E36" s="202" t="s">
        <v>191</v>
      </c>
      <c r="F36" s="202" t="s">
        <v>268</v>
      </c>
    </row>
    <row r="37" spans="1:6" s="216" customFormat="1" x14ac:dyDescent="0.3">
      <c r="A37" s="202" t="str">
        <f t="shared" si="0"/>
        <v>ME 168,ED1-AERO</v>
      </c>
      <c r="B37" s="202" t="s">
        <v>1019</v>
      </c>
      <c r="C37" s="202" t="s">
        <v>1717</v>
      </c>
      <c r="D37" s="209">
        <v>70</v>
      </c>
      <c r="E37" s="202" t="s">
        <v>191</v>
      </c>
      <c r="F37" s="202" t="s">
        <v>110</v>
      </c>
    </row>
    <row r="38" spans="1:6" s="216" customFormat="1" x14ac:dyDescent="0.3">
      <c r="A38" s="202" t="str">
        <f t="shared" si="0"/>
        <v>AERO 256,ED2-AERO</v>
      </c>
      <c r="B38" s="202" t="s">
        <v>1020</v>
      </c>
      <c r="C38" s="202" t="s">
        <v>1408</v>
      </c>
      <c r="D38" s="209">
        <v>75</v>
      </c>
      <c r="E38" s="202" t="s">
        <v>36</v>
      </c>
      <c r="F38" s="202" t="s">
        <v>356</v>
      </c>
    </row>
    <row r="39" spans="1:6" s="216" customFormat="1" x14ac:dyDescent="0.3">
      <c r="A39" s="202" t="str">
        <f t="shared" si="0"/>
        <v>AERO 274,ED2-AERO</v>
      </c>
      <c r="B39" s="202" t="s">
        <v>1021</v>
      </c>
      <c r="C39" s="202" t="s">
        <v>1410</v>
      </c>
      <c r="D39" s="209">
        <v>75</v>
      </c>
      <c r="E39" s="202" t="s">
        <v>36</v>
      </c>
      <c r="F39" s="202" t="s">
        <v>35</v>
      </c>
    </row>
    <row r="40" spans="1:6" s="216" customFormat="1" x14ac:dyDescent="0.3">
      <c r="A40" s="202" t="str">
        <f t="shared" si="0"/>
        <v>ENGL 264,ED2-AERO</v>
      </c>
      <c r="B40" s="202" t="s">
        <v>996</v>
      </c>
      <c r="C40" s="202" t="s">
        <v>1629</v>
      </c>
      <c r="D40" s="209">
        <v>75</v>
      </c>
      <c r="E40" s="202" t="s">
        <v>36</v>
      </c>
      <c r="F40" s="202" t="s">
        <v>276</v>
      </c>
    </row>
    <row r="41" spans="1:6" s="216" customFormat="1" x14ac:dyDescent="0.3">
      <c r="A41" s="202" t="str">
        <f t="shared" si="0"/>
        <v>MATH 252,ED2-AERO</v>
      </c>
      <c r="B41" s="202" t="s">
        <v>998</v>
      </c>
      <c r="C41" s="202" t="s">
        <v>1727</v>
      </c>
      <c r="D41" s="209">
        <v>75</v>
      </c>
      <c r="E41" s="202" t="s">
        <v>36</v>
      </c>
      <c r="F41" s="202" t="s">
        <v>281</v>
      </c>
    </row>
    <row r="42" spans="1:6" s="216" customFormat="1" x14ac:dyDescent="0.3">
      <c r="A42" s="202" t="str">
        <f t="shared" si="0"/>
        <v>ME 258,ED2-AERO</v>
      </c>
      <c r="B42" s="202" t="s">
        <v>1022</v>
      </c>
      <c r="C42" s="202" t="s">
        <v>1737</v>
      </c>
      <c r="D42" s="209">
        <v>75</v>
      </c>
      <c r="E42" s="202" t="s">
        <v>36</v>
      </c>
      <c r="F42" s="202" t="s">
        <v>466</v>
      </c>
    </row>
    <row r="43" spans="1:6" s="216" customFormat="1" x14ac:dyDescent="0.3">
      <c r="A43" s="202" t="str">
        <f t="shared" si="0"/>
        <v>ME 264,ED2-AERO</v>
      </c>
      <c r="B43" s="202" t="s">
        <v>1023</v>
      </c>
      <c r="C43" s="202" t="s">
        <v>1755</v>
      </c>
      <c r="D43" s="209">
        <v>75</v>
      </c>
      <c r="E43" s="202" t="s">
        <v>36</v>
      </c>
      <c r="F43" s="202" t="s">
        <v>151</v>
      </c>
    </row>
    <row r="44" spans="1:6" s="216" customFormat="1" x14ac:dyDescent="0.3">
      <c r="A44" s="202" t="str">
        <f t="shared" si="0"/>
        <v>ME 266,ED2-AERO</v>
      </c>
      <c r="B44" s="202" t="s">
        <v>1024</v>
      </c>
      <c r="C44" s="202" t="s">
        <v>1742</v>
      </c>
      <c r="D44" s="209">
        <v>75</v>
      </c>
      <c r="E44" s="202" t="s">
        <v>36</v>
      </c>
      <c r="F44" s="202" t="s">
        <v>420</v>
      </c>
    </row>
    <row r="45" spans="1:6" s="216" customFormat="1" x14ac:dyDescent="0.3">
      <c r="A45" s="202" t="str">
        <f t="shared" si="0"/>
        <v>AERO 362,ED3-AERO</v>
      </c>
      <c r="B45" s="202" t="s">
        <v>1025</v>
      </c>
      <c r="C45" s="202" t="s">
        <v>1417</v>
      </c>
      <c r="D45" s="209">
        <v>76</v>
      </c>
      <c r="E45" s="202" t="s">
        <v>133</v>
      </c>
      <c r="F45" s="202" t="s">
        <v>277</v>
      </c>
    </row>
    <row r="46" spans="1:6" s="216" customFormat="1" x14ac:dyDescent="0.3">
      <c r="A46" s="202" t="str">
        <f t="shared" si="0"/>
        <v>AERO 368,ED3-AERO</v>
      </c>
      <c r="B46" s="202" t="s">
        <v>1026</v>
      </c>
      <c r="C46" s="202" t="s">
        <v>1414</v>
      </c>
      <c r="D46" s="209">
        <v>76</v>
      </c>
      <c r="E46" s="202" t="s">
        <v>133</v>
      </c>
      <c r="F46" s="202" t="s">
        <v>192</v>
      </c>
    </row>
    <row r="47" spans="1:6" s="216" customFormat="1" x14ac:dyDescent="0.3">
      <c r="A47" s="202" t="str">
        <f t="shared" si="0"/>
        <v>AERO 374,ED3-AERO</v>
      </c>
      <c r="B47" s="202" t="s">
        <v>1027</v>
      </c>
      <c r="C47" s="202" t="s">
        <v>1408</v>
      </c>
      <c r="D47" s="209">
        <v>76</v>
      </c>
      <c r="E47" s="202" t="s">
        <v>133</v>
      </c>
      <c r="F47" s="202" t="s">
        <v>436</v>
      </c>
    </row>
    <row r="48" spans="1:6" s="216" customFormat="1" x14ac:dyDescent="0.3">
      <c r="A48" s="202" t="str">
        <f t="shared" si="0"/>
        <v>AERO 396,ED3-AERO</v>
      </c>
      <c r="B48" s="202" t="s">
        <v>1028</v>
      </c>
      <c r="C48" s="202" t="s">
        <v>1417</v>
      </c>
      <c r="D48" s="209">
        <v>76</v>
      </c>
      <c r="E48" s="202" t="s">
        <v>133</v>
      </c>
      <c r="F48" s="202" t="s">
        <v>132</v>
      </c>
    </row>
    <row r="49" spans="1:6" s="216" customFormat="1" x14ac:dyDescent="0.3">
      <c r="A49" s="202" t="str">
        <f t="shared" si="0"/>
        <v>ME 362,ED3-AERO</v>
      </c>
      <c r="B49" s="202" t="s">
        <v>1029</v>
      </c>
      <c r="C49" s="202" t="s">
        <v>1429</v>
      </c>
      <c r="D49" s="209">
        <v>76</v>
      </c>
      <c r="E49" s="202" t="s">
        <v>133</v>
      </c>
      <c r="F49" s="202" t="s">
        <v>519</v>
      </c>
    </row>
    <row r="50" spans="1:6" s="216" customFormat="1" x14ac:dyDescent="0.3">
      <c r="A50" s="202" t="str">
        <f t="shared" si="0"/>
        <v>ME 366,ED3-AERO</v>
      </c>
      <c r="B50" s="202" t="s">
        <v>1007</v>
      </c>
      <c r="C50" s="202" t="s">
        <v>1768</v>
      </c>
      <c r="D50" s="209">
        <v>76</v>
      </c>
      <c r="E50" s="202" t="s">
        <v>133</v>
      </c>
      <c r="F50" s="202" t="s">
        <v>347</v>
      </c>
    </row>
    <row r="51" spans="1:6" s="216" customFormat="1" x14ac:dyDescent="0.3">
      <c r="A51" s="202" t="str">
        <f t="shared" si="0"/>
        <v>ME 392,ED3-AERO</v>
      </c>
      <c r="B51" s="202" t="s">
        <v>1030</v>
      </c>
      <c r="C51" s="202" t="s">
        <v>1435</v>
      </c>
      <c r="D51" s="209">
        <v>76</v>
      </c>
      <c r="E51" s="202" t="s">
        <v>133</v>
      </c>
      <c r="F51" s="202" t="s">
        <v>239</v>
      </c>
    </row>
    <row r="52" spans="1:6" s="216" customFormat="1" x14ac:dyDescent="0.3">
      <c r="A52" s="202" t="str">
        <f t="shared" si="0"/>
        <v>AERO 452,ED4-AERO</v>
      </c>
      <c r="B52" s="202" t="s">
        <v>1031</v>
      </c>
      <c r="C52" s="202" t="s">
        <v>1414</v>
      </c>
      <c r="D52" s="209">
        <v>61</v>
      </c>
      <c r="E52" s="202" t="s">
        <v>99</v>
      </c>
      <c r="F52" s="202" t="s">
        <v>526</v>
      </c>
    </row>
    <row r="53" spans="1:6" s="216" customFormat="1" x14ac:dyDescent="0.3">
      <c r="A53" s="202" t="str">
        <f t="shared" si="0"/>
        <v>AERO 456,ED4-AERO</v>
      </c>
      <c r="B53" s="202" t="s">
        <v>1032</v>
      </c>
      <c r="C53" s="202" t="s">
        <v>1420</v>
      </c>
      <c r="D53" s="209">
        <v>61</v>
      </c>
      <c r="E53" s="202" t="s">
        <v>99</v>
      </c>
      <c r="F53" s="202" t="s">
        <v>98</v>
      </c>
    </row>
    <row r="54" spans="1:6" s="216" customFormat="1" x14ac:dyDescent="0.3">
      <c r="A54" s="202" t="str">
        <f t="shared" si="0"/>
        <v>AERO 492,ED4-AERO</v>
      </c>
      <c r="B54" s="202" t="s">
        <v>1033</v>
      </c>
      <c r="C54" s="202" t="s">
        <v>1949</v>
      </c>
      <c r="D54" s="209">
        <v>61</v>
      </c>
      <c r="E54" s="202" t="s">
        <v>99</v>
      </c>
      <c r="F54" s="202" t="s">
        <v>472</v>
      </c>
    </row>
    <row r="55" spans="1:6" s="216" customFormat="1" x14ac:dyDescent="0.3">
      <c r="A55" s="202" t="str">
        <f t="shared" si="0"/>
        <v>ME 462,ED4-AERO</v>
      </c>
      <c r="B55" s="202" t="s">
        <v>1035</v>
      </c>
      <c r="C55" s="202" t="s">
        <v>1950</v>
      </c>
      <c r="D55" s="209">
        <v>17</v>
      </c>
      <c r="E55" s="202" t="s">
        <v>99</v>
      </c>
      <c r="F55" s="202" t="s">
        <v>254</v>
      </c>
    </row>
    <row r="56" spans="1:6" s="216" customFormat="1" x14ac:dyDescent="0.3">
      <c r="A56" s="202" t="str">
        <f t="shared" si="0"/>
        <v>ME 468,ED4-AERO</v>
      </c>
      <c r="B56" s="202" t="s">
        <v>1036</v>
      </c>
      <c r="C56" s="202" t="s">
        <v>1768</v>
      </c>
      <c r="D56" s="209">
        <v>5</v>
      </c>
      <c r="E56" s="202" t="s">
        <v>99</v>
      </c>
      <c r="F56" s="202" t="s">
        <v>407</v>
      </c>
    </row>
    <row r="57" spans="1:6" s="216" customFormat="1" x14ac:dyDescent="0.3">
      <c r="A57" s="202" t="str">
        <f t="shared" si="0"/>
        <v>ME 472,ED4-AERO</v>
      </c>
      <c r="B57" s="202" t="s">
        <v>1037</v>
      </c>
      <c r="C57" s="202" t="s">
        <v>1787</v>
      </c>
      <c r="D57" s="209">
        <v>52</v>
      </c>
      <c r="E57" s="202" t="s">
        <v>99</v>
      </c>
      <c r="F57" s="202" t="s">
        <v>327</v>
      </c>
    </row>
    <row r="58" spans="1:6" s="216" customFormat="1" x14ac:dyDescent="0.3">
      <c r="A58" s="202" t="str">
        <f t="shared" si="0"/>
        <v>ME 492,ED4-AERO</v>
      </c>
      <c r="B58" s="202" t="s">
        <v>1015</v>
      </c>
      <c r="C58" s="202" t="s">
        <v>1435</v>
      </c>
      <c r="D58" s="209">
        <v>61</v>
      </c>
      <c r="E58" s="202" t="s">
        <v>99</v>
      </c>
      <c r="F58" s="202" t="s">
        <v>373</v>
      </c>
    </row>
    <row r="59" spans="1:6" s="216" customFormat="1" x14ac:dyDescent="0.3">
      <c r="A59" s="202" t="str">
        <f t="shared" si="0"/>
        <v>IE 458,ED4-AERO</v>
      </c>
      <c r="B59" s="202" t="s">
        <v>1041</v>
      </c>
      <c r="C59" s="202" t="s">
        <v>1438</v>
      </c>
      <c r="D59" s="209">
        <v>5</v>
      </c>
      <c r="E59" s="202" t="s">
        <v>99</v>
      </c>
      <c r="F59" s="202" t="s">
        <v>427</v>
      </c>
    </row>
    <row r="60" spans="1:6" s="216" customFormat="1" x14ac:dyDescent="0.3">
      <c r="A60" s="202" t="str">
        <f t="shared" si="0"/>
        <v>EE 152,ED1-AUTO</v>
      </c>
      <c r="B60" s="202" t="s">
        <v>990</v>
      </c>
      <c r="C60" s="202" t="s">
        <v>1946</v>
      </c>
      <c r="D60" s="209">
        <v>85</v>
      </c>
      <c r="E60" s="202" t="s">
        <v>162</v>
      </c>
      <c r="F60" s="202" t="s">
        <v>234</v>
      </c>
    </row>
    <row r="61" spans="1:6" s="216" customFormat="1" x14ac:dyDescent="0.3">
      <c r="A61" s="202" t="str">
        <f t="shared" si="0"/>
        <v>ENGL 158,ED1-AUTO</v>
      </c>
      <c r="B61" s="202" t="s">
        <v>991</v>
      </c>
      <c r="C61" s="202" t="s">
        <v>1630</v>
      </c>
      <c r="D61" s="209">
        <v>85</v>
      </c>
      <c r="E61" s="202" t="s">
        <v>162</v>
      </c>
      <c r="F61" s="202" t="s">
        <v>364</v>
      </c>
    </row>
    <row r="62" spans="1:6" s="216" customFormat="1" x14ac:dyDescent="0.3">
      <c r="A62" s="202" t="str">
        <f t="shared" si="0"/>
        <v>MATH 152,ED1-AUTO</v>
      </c>
      <c r="B62" s="202" t="s">
        <v>992</v>
      </c>
      <c r="C62" s="202" t="s">
        <v>1951</v>
      </c>
      <c r="D62" s="209">
        <v>85</v>
      </c>
      <c r="E62" s="202" t="s">
        <v>162</v>
      </c>
      <c r="F62" s="202" t="s">
        <v>129</v>
      </c>
    </row>
    <row r="63" spans="1:6" s="216" customFormat="1" x14ac:dyDescent="0.3">
      <c r="A63" s="202" t="str">
        <f t="shared" si="0"/>
        <v>ME 160,ED1-AUTO</v>
      </c>
      <c r="B63" s="202" t="s">
        <v>993</v>
      </c>
      <c r="C63" s="202" t="s">
        <v>1739</v>
      </c>
      <c r="D63" s="209">
        <v>85</v>
      </c>
      <c r="E63" s="202" t="s">
        <v>162</v>
      </c>
      <c r="F63" s="202" t="s">
        <v>160</v>
      </c>
    </row>
    <row r="64" spans="1:6" s="216" customFormat="1" x14ac:dyDescent="0.3">
      <c r="A64" s="202" t="str">
        <f t="shared" si="0"/>
        <v>ME 164,ED1-AUTO</v>
      </c>
      <c r="B64" s="202" t="s">
        <v>1018</v>
      </c>
      <c r="C64" s="202" t="s">
        <v>1417</v>
      </c>
      <c r="D64" s="209">
        <v>85</v>
      </c>
      <c r="E64" s="202" t="s">
        <v>162</v>
      </c>
      <c r="F64" s="202" t="s">
        <v>268</v>
      </c>
    </row>
    <row r="65" spans="1:6" s="216" customFormat="1" x14ac:dyDescent="0.3">
      <c r="A65" s="202" t="str">
        <f t="shared" si="0"/>
        <v>ME 174,ED1-AUTO</v>
      </c>
      <c r="B65" s="202" t="s">
        <v>1043</v>
      </c>
      <c r="C65" s="202" t="s">
        <v>1406</v>
      </c>
      <c r="D65" s="209">
        <v>85</v>
      </c>
      <c r="E65" s="202" t="s">
        <v>162</v>
      </c>
      <c r="F65" s="202" t="s">
        <v>486</v>
      </c>
    </row>
    <row r="66" spans="1:6" s="216" customFormat="1" x14ac:dyDescent="0.3">
      <c r="A66" s="202" t="str">
        <f t="shared" ref="A66:A129" si="1">CONCATENATE(F66,",",E66)</f>
        <v>AME 156,ED1-AUTO</v>
      </c>
      <c r="B66" s="202" t="s">
        <v>1952</v>
      </c>
      <c r="C66" s="202" t="s">
        <v>1744</v>
      </c>
      <c r="D66" s="209">
        <v>85</v>
      </c>
      <c r="E66" s="202" t="s">
        <v>162</v>
      </c>
      <c r="F66" s="202" t="s">
        <v>422</v>
      </c>
    </row>
    <row r="67" spans="1:6" s="216" customFormat="1" x14ac:dyDescent="0.3">
      <c r="A67" s="202" t="str">
        <f t="shared" si="1"/>
        <v>AME 274,ED2-AUTO</v>
      </c>
      <c r="B67" s="202" t="s">
        <v>1953</v>
      </c>
      <c r="C67" s="202" t="s">
        <v>1410</v>
      </c>
      <c r="D67" s="209">
        <v>82</v>
      </c>
      <c r="E67" s="202" t="s">
        <v>40</v>
      </c>
      <c r="F67" s="202" t="s">
        <v>39</v>
      </c>
    </row>
    <row r="68" spans="1:6" s="216" customFormat="1" x14ac:dyDescent="0.3">
      <c r="A68" s="202" t="str">
        <f t="shared" si="1"/>
        <v>AME 256,ED2-AUTO</v>
      </c>
      <c r="B68" s="202" t="s">
        <v>1056</v>
      </c>
      <c r="C68" s="202" t="s">
        <v>1425</v>
      </c>
      <c r="D68" s="209">
        <v>82</v>
      </c>
      <c r="E68" s="202" t="s">
        <v>40</v>
      </c>
      <c r="F68" s="202" t="s">
        <v>433</v>
      </c>
    </row>
    <row r="69" spans="1:6" s="216" customFormat="1" x14ac:dyDescent="0.3">
      <c r="A69" s="202" t="str">
        <f t="shared" si="1"/>
        <v>AME 252,ED2-AUTO</v>
      </c>
      <c r="B69" s="202" t="s">
        <v>1046</v>
      </c>
      <c r="C69" s="202" t="s">
        <v>1425</v>
      </c>
      <c r="D69" s="209">
        <v>82</v>
      </c>
      <c r="E69" s="202" t="s">
        <v>40</v>
      </c>
      <c r="F69" s="202" t="s">
        <v>493</v>
      </c>
    </row>
    <row r="70" spans="1:6" s="216" customFormat="1" x14ac:dyDescent="0.3">
      <c r="A70" s="202" t="str">
        <f t="shared" si="1"/>
        <v>AME 296,ED2-AUTO</v>
      </c>
      <c r="B70" s="202" t="s">
        <v>1048</v>
      </c>
      <c r="C70" s="202" t="s">
        <v>1425</v>
      </c>
      <c r="D70" s="209">
        <v>82</v>
      </c>
      <c r="E70" s="202" t="s">
        <v>40</v>
      </c>
      <c r="F70" s="202" t="s">
        <v>1049</v>
      </c>
    </row>
    <row r="71" spans="1:6" s="216" customFormat="1" x14ac:dyDescent="0.3">
      <c r="A71" s="202" t="str">
        <f t="shared" si="1"/>
        <v>MATH 252,ED2-AUTO</v>
      </c>
      <c r="B71" s="202" t="s">
        <v>998</v>
      </c>
      <c r="C71" s="202" t="s">
        <v>1729</v>
      </c>
      <c r="D71" s="209">
        <v>82</v>
      </c>
      <c r="E71" s="202" t="s">
        <v>40</v>
      </c>
      <c r="F71" s="202" t="s">
        <v>281</v>
      </c>
    </row>
    <row r="72" spans="1:6" s="216" customFormat="1" x14ac:dyDescent="0.3">
      <c r="A72" s="202" t="str">
        <f t="shared" si="1"/>
        <v>ME 264,ED2-AUTO</v>
      </c>
      <c r="B72" s="202" t="s">
        <v>1023</v>
      </c>
      <c r="C72" s="202" t="s">
        <v>1755</v>
      </c>
      <c r="D72" s="209">
        <v>82</v>
      </c>
      <c r="E72" s="202" t="s">
        <v>40</v>
      </c>
      <c r="F72" s="202" t="s">
        <v>151</v>
      </c>
    </row>
    <row r="73" spans="1:6" s="216" customFormat="1" x14ac:dyDescent="0.3">
      <c r="A73" s="202" t="str">
        <f t="shared" si="1"/>
        <v>ME 270,ED2-AUTO</v>
      </c>
      <c r="B73" s="202" t="s">
        <v>1052</v>
      </c>
      <c r="C73" s="202" t="s">
        <v>1742</v>
      </c>
      <c r="D73" s="209">
        <v>82</v>
      </c>
      <c r="E73" s="202" t="s">
        <v>40</v>
      </c>
      <c r="F73" s="202" t="s">
        <v>337</v>
      </c>
    </row>
    <row r="74" spans="1:6" s="216" customFormat="1" x14ac:dyDescent="0.3">
      <c r="A74" s="202" t="str">
        <f t="shared" si="1"/>
        <v>AME 356,ED3-AUTO</v>
      </c>
      <c r="B74" s="202" t="s">
        <v>1053</v>
      </c>
      <c r="C74" s="202" t="s">
        <v>1425</v>
      </c>
      <c r="D74" s="209">
        <v>40</v>
      </c>
      <c r="E74" s="202" t="s">
        <v>23</v>
      </c>
      <c r="F74" s="202" t="s">
        <v>316</v>
      </c>
    </row>
    <row r="75" spans="1:6" s="216" customFormat="1" x14ac:dyDescent="0.3">
      <c r="A75" s="202" t="str">
        <f t="shared" si="1"/>
        <v>AME 362,ED3-AUTO</v>
      </c>
      <c r="B75" s="202" t="s">
        <v>1054</v>
      </c>
      <c r="C75" s="202" t="s">
        <v>1429</v>
      </c>
      <c r="D75" s="209">
        <v>40</v>
      </c>
      <c r="E75" s="202" t="s">
        <v>23</v>
      </c>
      <c r="F75" s="202" t="s">
        <v>521</v>
      </c>
    </row>
    <row r="76" spans="1:6" s="216" customFormat="1" x14ac:dyDescent="0.3">
      <c r="A76" s="202" t="str">
        <f t="shared" si="1"/>
        <v>AME 368,ED3-AUTO</v>
      </c>
      <c r="B76" s="202" t="s">
        <v>1055</v>
      </c>
      <c r="C76" s="202" t="s">
        <v>1431</v>
      </c>
      <c r="D76" s="209">
        <v>40</v>
      </c>
      <c r="E76" s="202" t="s">
        <v>23</v>
      </c>
      <c r="F76" s="202" t="s">
        <v>165</v>
      </c>
    </row>
    <row r="77" spans="1:6" s="216" customFormat="1" x14ac:dyDescent="0.3">
      <c r="A77" s="202" t="str">
        <f t="shared" si="1"/>
        <v>AME 376,ED3-AUTO</v>
      </c>
      <c r="B77" s="202" t="s">
        <v>1056</v>
      </c>
      <c r="C77" s="202" t="s">
        <v>1425</v>
      </c>
      <c r="D77" s="209">
        <v>40</v>
      </c>
      <c r="E77" s="202" t="s">
        <v>23</v>
      </c>
      <c r="F77" s="202" t="s">
        <v>22</v>
      </c>
    </row>
    <row r="78" spans="1:6" s="216" customFormat="1" x14ac:dyDescent="0.3">
      <c r="A78" s="202" t="str">
        <f t="shared" si="1"/>
        <v>AME 384,ED3-AUTO</v>
      </c>
      <c r="B78" s="202" t="s">
        <v>1050</v>
      </c>
      <c r="C78" s="202" t="s">
        <v>1737</v>
      </c>
      <c r="D78" s="209">
        <v>40</v>
      </c>
      <c r="E78" s="202" t="s">
        <v>23</v>
      </c>
      <c r="F78" s="202" t="s">
        <v>279</v>
      </c>
    </row>
    <row r="79" spans="1:6" s="216" customFormat="1" x14ac:dyDescent="0.3">
      <c r="A79" s="202" t="str">
        <f t="shared" si="1"/>
        <v>AME 386,ED3-AUTO</v>
      </c>
      <c r="B79" s="202" t="s">
        <v>1057</v>
      </c>
      <c r="C79" s="202" t="s">
        <v>1431</v>
      </c>
      <c r="D79" s="209">
        <v>40</v>
      </c>
      <c r="E79" s="202" t="s">
        <v>23</v>
      </c>
      <c r="F79" s="202" t="s">
        <v>443</v>
      </c>
    </row>
    <row r="80" spans="1:6" s="216" customFormat="1" x14ac:dyDescent="0.3">
      <c r="A80" s="202" t="str">
        <f t="shared" si="1"/>
        <v>AME 392,ED3-AUTO</v>
      </c>
      <c r="B80" s="202" t="s">
        <v>1030</v>
      </c>
      <c r="C80" s="202" t="s">
        <v>1435</v>
      </c>
      <c r="D80" s="209">
        <v>40</v>
      </c>
      <c r="E80" s="202" t="s">
        <v>23</v>
      </c>
      <c r="F80" s="202" t="s">
        <v>241</v>
      </c>
    </row>
    <row r="81" spans="1:6" s="216" customFormat="1" x14ac:dyDescent="0.3">
      <c r="A81" s="202" t="str">
        <f t="shared" si="1"/>
        <v>AME 396,ED3-AUTO</v>
      </c>
      <c r="B81" s="202" t="s">
        <v>1058</v>
      </c>
      <c r="C81" s="202" t="s">
        <v>1425</v>
      </c>
      <c r="D81" s="209">
        <v>40</v>
      </c>
      <c r="E81" s="202" t="s">
        <v>23</v>
      </c>
      <c r="F81" s="202" t="s">
        <v>1059</v>
      </c>
    </row>
    <row r="82" spans="1:6" s="216" customFormat="1" x14ac:dyDescent="0.3">
      <c r="A82" s="202" t="str">
        <f t="shared" si="1"/>
        <v>AME 476,ED4-AUTO</v>
      </c>
      <c r="B82" s="202" t="s">
        <v>1061</v>
      </c>
      <c r="C82" s="202" t="s">
        <v>1425</v>
      </c>
      <c r="D82" s="209">
        <v>32</v>
      </c>
      <c r="E82" s="202" t="s">
        <v>97</v>
      </c>
      <c r="F82" s="202" t="s">
        <v>257</v>
      </c>
    </row>
    <row r="83" spans="1:6" s="216" customFormat="1" x14ac:dyDescent="0.3">
      <c r="A83" s="202" t="str">
        <f t="shared" si="1"/>
        <v>AME 482,ED4-AUTO</v>
      </c>
      <c r="B83" s="202" t="s">
        <v>1062</v>
      </c>
      <c r="C83" s="202" t="s">
        <v>1425</v>
      </c>
      <c r="D83" s="209">
        <v>32</v>
      </c>
      <c r="E83" s="202" t="s">
        <v>97</v>
      </c>
      <c r="F83" s="202" t="s">
        <v>96</v>
      </c>
    </row>
    <row r="84" spans="1:6" s="216" customFormat="1" x14ac:dyDescent="0.3">
      <c r="A84" s="202" t="str">
        <f t="shared" si="1"/>
        <v>AME 496,ED4-AUTO</v>
      </c>
      <c r="B84" s="202" t="s">
        <v>1063</v>
      </c>
      <c r="C84" s="202" t="s">
        <v>1431</v>
      </c>
      <c r="D84" s="209">
        <v>32</v>
      </c>
      <c r="E84" s="202" t="s">
        <v>97</v>
      </c>
      <c r="F84" s="202" t="s">
        <v>446</v>
      </c>
    </row>
    <row r="85" spans="1:6" s="216" customFormat="1" x14ac:dyDescent="0.3">
      <c r="A85" s="202" t="str">
        <f t="shared" si="1"/>
        <v>AME 498,ED4-AUTO</v>
      </c>
      <c r="B85" s="202" t="s">
        <v>1064</v>
      </c>
      <c r="C85" s="202"/>
      <c r="D85" s="209">
        <v>32</v>
      </c>
      <c r="E85" s="202" t="s">
        <v>97</v>
      </c>
      <c r="F85" s="202" t="s">
        <v>1065</v>
      </c>
    </row>
    <row r="86" spans="1:6" s="216" customFormat="1" x14ac:dyDescent="0.3">
      <c r="A86" s="202" t="str">
        <f t="shared" si="1"/>
        <v>ME 456,ED4-AUTO</v>
      </c>
      <c r="B86" s="202" t="s">
        <v>1034</v>
      </c>
      <c r="C86" s="202" t="s">
        <v>1410</v>
      </c>
      <c r="D86" s="209">
        <v>32</v>
      </c>
      <c r="E86" s="202" t="s">
        <v>97</v>
      </c>
      <c r="F86" s="202" t="s">
        <v>183</v>
      </c>
    </row>
    <row r="87" spans="1:6" s="216" customFormat="1" x14ac:dyDescent="0.3">
      <c r="A87" s="202" t="str">
        <f t="shared" si="1"/>
        <v>ME 492,ED4-AUTO</v>
      </c>
      <c r="B87" s="202" t="s">
        <v>1015</v>
      </c>
      <c r="C87" s="202" t="s">
        <v>1435</v>
      </c>
      <c r="D87" s="209">
        <v>32</v>
      </c>
      <c r="E87" s="202" t="s">
        <v>97</v>
      </c>
      <c r="F87" s="202" t="s">
        <v>373</v>
      </c>
    </row>
    <row r="88" spans="1:6" s="216" customFormat="1" x14ac:dyDescent="0.3">
      <c r="A88" s="202" t="str">
        <f t="shared" si="1"/>
        <v>COE 152,ED1-BME</v>
      </c>
      <c r="B88" s="202" t="s">
        <v>990</v>
      </c>
      <c r="C88" s="202" t="s">
        <v>1445</v>
      </c>
      <c r="D88" s="209">
        <v>136</v>
      </c>
      <c r="E88" s="202" t="s">
        <v>130</v>
      </c>
      <c r="F88" s="202" t="s">
        <v>260</v>
      </c>
    </row>
    <row r="89" spans="1:6" s="216" customFormat="1" x14ac:dyDescent="0.3">
      <c r="A89" s="202" t="str">
        <f t="shared" si="1"/>
        <v>ENGL 158,ED1-BME</v>
      </c>
      <c r="B89" s="202" t="s">
        <v>991</v>
      </c>
      <c r="C89" s="202" t="s">
        <v>1629</v>
      </c>
      <c r="D89" s="209">
        <v>136</v>
      </c>
      <c r="E89" s="202" t="s">
        <v>130</v>
      </c>
      <c r="F89" s="202" t="s">
        <v>364</v>
      </c>
    </row>
    <row r="90" spans="1:6" s="216" customFormat="1" x14ac:dyDescent="0.3">
      <c r="A90" s="202" t="str">
        <f t="shared" si="1"/>
        <v>MATH 152,ED1-BME</v>
      </c>
      <c r="B90" s="202" t="s">
        <v>992</v>
      </c>
      <c r="C90" s="202" t="s">
        <v>1720</v>
      </c>
      <c r="D90" s="209">
        <v>136</v>
      </c>
      <c r="E90" s="202" t="s">
        <v>130</v>
      </c>
      <c r="F90" s="202" t="s">
        <v>129</v>
      </c>
    </row>
    <row r="91" spans="1:6" s="216" customFormat="1" x14ac:dyDescent="0.3">
      <c r="A91" s="202" t="str">
        <f t="shared" si="1"/>
        <v>PHY 154,ED1-BME</v>
      </c>
      <c r="B91" s="202" t="s">
        <v>1068</v>
      </c>
      <c r="C91" s="202" t="s">
        <v>1954</v>
      </c>
      <c r="D91" s="209">
        <v>136</v>
      </c>
      <c r="E91" s="202" t="s">
        <v>130</v>
      </c>
      <c r="F91" s="202" t="s">
        <v>313</v>
      </c>
    </row>
    <row r="92" spans="1:6" s="216" customFormat="1" x14ac:dyDescent="0.3">
      <c r="A92" s="202" t="str">
        <f t="shared" si="1"/>
        <v>SOC 152,ED1-BME</v>
      </c>
      <c r="B92" s="202" t="s">
        <v>1071</v>
      </c>
      <c r="C92" s="202" t="s">
        <v>1955</v>
      </c>
      <c r="D92" s="209">
        <v>136</v>
      </c>
      <c r="E92" s="202" t="s">
        <v>130</v>
      </c>
      <c r="F92" s="202" t="s">
        <v>197</v>
      </c>
    </row>
    <row r="93" spans="1:6" s="216" customFormat="1" x14ac:dyDescent="0.3">
      <c r="A93" s="202" t="str">
        <f t="shared" si="1"/>
        <v>BME 166,ED1-BME</v>
      </c>
      <c r="B93" s="202" t="s">
        <v>1074</v>
      </c>
      <c r="C93" s="202" t="s">
        <v>1556</v>
      </c>
      <c r="D93" s="209">
        <v>136</v>
      </c>
      <c r="E93" s="202" t="s">
        <v>130</v>
      </c>
      <c r="F93" s="202" t="s">
        <v>520</v>
      </c>
    </row>
    <row r="94" spans="1:6" s="216" customFormat="1" x14ac:dyDescent="0.3">
      <c r="A94" s="202" t="str">
        <f t="shared" si="1"/>
        <v>ME 166,ED1-BME</v>
      </c>
      <c r="B94" s="202" t="s">
        <v>1956</v>
      </c>
      <c r="C94" s="202" t="s">
        <v>1746</v>
      </c>
      <c r="D94" s="209">
        <v>136</v>
      </c>
      <c r="E94" s="202" t="s">
        <v>130</v>
      </c>
      <c r="F94" s="202" t="s">
        <v>421</v>
      </c>
    </row>
    <row r="95" spans="1:6" s="216" customFormat="1" x14ac:dyDescent="0.3">
      <c r="A95" s="202" t="str">
        <f t="shared" si="1"/>
        <v>ACF 256,ED2-BME</v>
      </c>
      <c r="B95" s="202" t="s">
        <v>1076</v>
      </c>
      <c r="C95" s="202" t="s">
        <v>1379</v>
      </c>
      <c r="D95" s="209">
        <v>18</v>
      </c>
      <c r="E95" s="202" t="s">
        <v>109</v>
      </c>
      <c r="F95" s="202" t="s">
        <v>424</v>
      </c>
    </row>
    <row r="96" spans="1:6" s="216" customFormat="1" x14ac:dyDescent="0.3">
      <c r="A96" s="202" t="str">
        <f t="shared" si="1"/>
        <v>BME 286,ED2-BME</v>
      </c>
      <c r="B96" s="202" t="s">
        <v>1079</v>
      </c>
      <c r="C96" s="202" t="s">
        <v>1447</v>
      </c>
      <c r="D96" s="209">
        <v>80</v>
      </c>
      <c r="E96" s="202" t="s">
        <v>109</v>
      </c>
      <c r="F96" s="202" t="s">
        <v>522</v>
      </c>
    </row>
    <row r="97" spans="1:6" s="216" customFormat="1" x14ac:dyDescent="0.3">
      <c r="A97" s="202" t="str">
        <f t="shared" si="1"/>
        <v>COE 288,ED2-BME</v>
      </c>
      <c r="B97" s="202" t="s">
        <v>1154</v>
      </c>
      <c r="C97" s="202" t="s">
        <v>1565</v>
      </c>
      <c r="D97" s="209">
        <v>80</v>
      </c>
      <c r="E97" s="202" t="s">
        <v>109</v>
      </c>
      <c r="F97" s="202" t="s">
        <v>202</v>
      </c>
    </row>
    <row r="98" spans="1:6" s="216" customFormat="1" x14ac:dyDescent="0.3">
      <c r="A98" s="202" t="str">
        <f t="shared" si="1"/>
        <v>COE 254,ED2-BME</v>
      </c>
      <c r="B98" s="202" t="s">
        <v>1082</v>
      </c>
      <c r="C98" s="202" t="s">
        <v>1561</v>
      </c>
      <c r="D98" s="209">
        <v>80</v>
      </c>
      <c r="E98" s="202" t="s">
        <v>109</v>
      </c>
      <c r="F98" s="202" t="s">
        <v>107</v>
      </c>
    </row>
    <row r="99" spans="1:6" s="216" customFormat="1" x14ac:dyDescent="0.3">
      <c r="A99" s="202" t="str">
        <f t="shared" si="1"/>
        <v>COE 272,ED2-BME</v>
      </c>
      <c r="B99" s="202" t="s">
        <v>1083</v>
      </c>
      <c r="C99" s="202" t="s">
        <v>1563</v>
      </c>
      <c r="D99" s="209">
        <v>80</v>
      </c>
      <c r="E99" s="202" t="s">
        <v>109</v>
      </c>
      <c r="F99" s="202" t="s">
        <v>377</v>
      </c>
    </row>
    <row r="100" spans="1:6" s="216" customFormat="1" x14ac:dyDescent="0.3">
      <c r="A100" s="202" t="str">
        <f t="shared" si="1"/>
        <v>ECON 152,ED2-BME</v>
      </c>
      <c r="B100" s="202" t="s">
        <v>1084</v>
      </c>
      <c r="C100" s="202" t="s">
        <v>1957</v>
      </c>
      <c r="D100" s="209">
        <v>20</v>
      </c>
      <c r="E100" s="202" t="s">
        <v>109</v>
      </c>
      <c r="F100" s="202" t="s">
        <v>406</v>
      </c>
    </row>
    <row r="101" spans="1:6" s="216" customFormat="1" x14ac:dyDescent="0.3">
      <c r="A101" s="202" t="str">
        <f t="shared" si="1"/>
        <v>FC 182,ED2-BME</v>
      </c>
      <c r="B101" s="202" t="s">
        <v>1085</v>
      </c>
      <c r="C101" s="202" t="s">
        <v>1637</v>
      </c>
      <c r="D101" s="209">
        <v>43</v>
      </c>
      <c r="E101" s="202" t="s">
        <v>109</v>
      </c>
      <c r="F101" s="202" t="s">
        <v>245</v>
      </c>
    </row>
    <row r="102" spans="1:6" s="216" customFormat="1" x14ac:dyDescent="0.3">
      <c r="A102" s="202" t="str">
        <f t="shared" si="1"/>
        <v>MATH 252,ED2-BME</v>
      </c>
      <c r="B102" s="202" t="s">
        <v>998</v>
      </c>
      <c r="C102" s="202" t="s">
        <v>1729</v>
      </c>
      <c r="D102" s="209">
        <v>80</v>
      </c>
      <c r="E102" s="202" t="s">
        <v>109</v>
      </c>
      <c r="F102" s="202" t="s">
        <v>281</v>
      </c>
    </row>
    <row r="103" spans="1:6" s="216" customFormat="1" x14ac:dyDescent="0.3">
      <c r="A103" s="202" t="str">
        <f t="shared" si="1"/>
        <v>MSE 154,ED2-BME</v>
      </c>
      <c r="B103" s="202" t="s">
        <v>1958</v>
      </c>
      <c r="C103" s="202" t="s">
        <v>1797</v>
      </c>
      <c r="D103" s="209">
        <v>80</v>
      </c>
      <c r="E103" s="202" t="s">
        <v>109</v>
      </c>
      <c r="F103" s="202" t="s">
        <v>113</v>
      </c>
    </row>
    <row r="104" spans="1:6" s="216" customFormat="1" x14ac:dyDescent="0.3">
      <c r="A104" s="202" t="str">
        <f t="shared" si="1"/>
        <v>BME 362,ED3-BME</v>
      </c>
      <c r="B104" s="202" t="s">
        <v>1086</v>
      </c>
      <c r="C104" s="202" t="s">
        <v>1451</v>
      </c>
      <c r="D104" s="209">
        <v>90</v>
      </c>
      <c r="E104" s="202" t="s">
        <v>65</v>
      </c>
      <c r="F104" s="202" t="s">
        <v>428</v>
      </c>
    </row>
    <row r="105" spans="1:6" s="216" customFormat="1" x14ac:dyDescent="0.3">
      <c r="A105" s="202" t="str">
        <f t="shared" si="1"/>
        <v>BME 364,ED3-BME</v>
      </c>
      <c r="B105" s="202" t="s">
        <v>1087</v>
      </c>
      <c r="C105" s="202" t="s">
        <v>1453</v>
      </c>
      <c r="D105" s="209">
        <v>90</v>
      </c>
      <c r="E105" s="202" t="s">
        <v>65</v>
      </c>
      <c r="F105" s="202" t="s">
        <v>330</v>
      </c>
    </row>
    <row r="106" spans="1:6" s="216" customFormat="1" x14ac:dyDescent="0.3">
      <c r="A106" s="202" t="str">
        <f t="shared" si="1"/>
        <v>BME 366,ED3-BME</v>
      </c>
      <c r="B106" s="202" t="s">
        <v>1088</v>
      </c>
      <c r="C106" s="202" t="s">
        <v>1455</v>
      </c>
      <c r="D106" s="209">
        <v>90</v>
      </c>
      <c r="E106" s="202" t="s">
        <v>65</v>
      </c>
      <c r="F106" s="202" t="s">
        <v>368</v>
      </c>
    </row>
    <row r="107" spans="1:6" s="216" customFormat="1" x14ac:dyDescent="0.3">
      <c r="A107" s="202" t="str">
        <f t="shared" si="1"/>
        <v>BME 372,ED3-BME</v>
      </c>
      <c r="B107" s="202" t="s">
        <v>1089</v>
      </c>
      <c r="C107" s="202" t="s">
        <v>1457</v>
      </c>
      <c r="D107" s="209">
        <v>90</v>
      </c>
      <c r="E107" s="202" t="s">
        <v>65</v>
      </c>
      <c r="F107" s="202" t="s">
        <v>64</v>
      </c>
    </row>
    <row r="108" spans="1:6" s="216" customFormat="1" x14ac:dyDescent="0.3">
      <c r="A108" s="202" t="str">
        <f t="shared" si="1"/>
        <v>BME 374,ED3-BME</v>
      </c>
      <c r="B108" s="202" t="s">
        <v>1090</v>
      </c>
      <c r="C108" s="202" t="s">
        <v>1453</v>
      </c>
      <c r="D108" s="209">
        <v>90</v>
      </c>
      <c r="E108" s="202" t="s">
        <v>65</v>
      </c>
      <c r="F108" s="202" t="s">
        <v>503</v>
      </c>
    </row>
    <row r="109" spans="1:6" s="216" customFormat="1" x14ac:dyDescent="0.3">
      <c r="A109" s="202" t="str">
        <f t="shared" si="1"/>
        <v>COE 358,ED3-BME</v>
      </c>
      <c r="B109" s="202" t="s">
        <v>1091</v>
      </c>
      <c r="C109" s="202" t="s">
        <v>1567</v>
      </c>
      <c r="D109" s="209">
        <v>90</v>
      </c>
      <c r="E109" s="202" t="s">
        <v>65</v>
      </c>
      <c r="F109" s="202" t="s">
        <v>259</v>
      </c>
    </row>
    <row r="110" spans="1:6" s="216" customFormat="1" x14ac:dyDescent="0.3">
      <c r="A110" s="202" t="str">
        <f t="shared" si="1"/>
        <v>BME 454,ED4-BME</v>
      </c>
      <c r="B110" s="202" t="s">
        <v>1092</v>
      </c>
      <c r="C110" s="202" t="s">
        <v>1457</v>
      </c>
      <c r="D110" s="209">
        <v>87</v>
      </c>
      <c r="E110" s="202" t="s">
        <v>252</v>
      </c>
      <c r="F110" s="202" t="s">
        <v>320</v>
      </c>
    </row>
    <row r="111" spans="1:6" s="216" customFormat="1" x14ac:dyDescent="0.3">
      <c r="A111" s="202" t="str">
        <f t="shared" si="1"/>
        <v>BME 462,ED4-BME</v>
      </c>
      <c r="B111" s="202" t="s">
        <v>1093</v>
      </c>
      <c r="C111" s="202" t="s">
        <v>1451</v>
      </c>
      <c r="D111" s="209">
        <v>87</v>
      </c>
      <c r="E111" s="202" t="s">
        <v>252</v>
      </c>
      <c r="F111" s="202" t="s">
        <v>411</v>
      </c>
    </row>
    <row r="112" spans="1:6" s="216" customFormat="1" x14ac:dyDescent="0.3">
      <c r="A112" s="202" t="str">
        <f t="shared" si="1"/>
        <v>COE 472,ED4-BME</v>
      </c>
      <c r="B112" s="202" t="s">
        <v>1094</v>
      </c>
      <c r="C112" s="202" t="s">
        <v>1455</v>
      </c>
      <c r="D112" s="209">
        <v>87</v>
      </c>
      <c r="E112" s="202" t="s">
        <v>252</v>
      </c>
      <c r="F112" s="202" t="s">
        <v>250</v>
      </c>
    </row>
    <row r="113" spans="1:6" s="216" customFormat="1" x14ac:dyDescent="0.3">
      <c r="A113" s="202" t="str">
        <f t="shared" si="1"/>
        <v>ME 492,ED4-BME</v>
      </c>
      <c r="B113" s="202" t="s">
        <v>1095</v>
      </c>
      <c r="C113" s="202" t="s">
        <v>1388</v>
      </c>
      <c r="D113" s="209">
        <v>87</v>
      </c>
      <c r="E113" s="202" t="s">
        <v>252</v>
      </c>
      <c r="F113" s="202" t="s">
        <v>373</v>
      </c>
    </row>
    <row r="114" spans="1:6" s="216" customFormat="1" x14ac:dyDescent="0.3">
      <c r="A114" s="202" t="str">
        <f t="shared" si="1"/>
        <v>ARC 156,ED1-CE</v>
      </c>
      <c r="B114" s="202" t="s">
        <v>1096</v>
      </c>
      <c r="C114" s="202" t="s">
        <v>1443</v>
      </c>
      <c r="D114" s="209">
        <v>55</v>
      </c>
      <c r="E114" s="202" t="s">
        <v>75</v>
      </c>
      <c r="F114" s="202" t="s">
        <v>89</v>
      </c>
    </row>
    <row r="115" spans="1:6" s="216" customFormat="1" x14ac:dyDescent="0.3">
      <c r="A115" s="202" t="str">
        <f t="shared" si="1"/>
        <v>CE 154,ED1-CE</v>
      </c>
      <c r="B115" s="202" t="s">
        <v>1097</v>
      </c>
      <c r="C115" s="202" t="s">
        <v>1470</v>
      </c>
      <c r="D115" s="209">
        <v>245</v>
      </c>
      <c r="E115" s="202" t="s">
        <v>75</v>
      </c>
      <c r="F115" s="202" t="s">
        <v>74</v>
      </c>
    </row>
    <row r="116" spans="1:6" s="216" customFormat="1" x14ac:dyDescent="0.3">
      <c r="A116" s="202" t="str">
        <f t="shared" si="1"/>
        <v>CE 156,ED1-CE</v>
      </c>
      <c r="B116" s="202" t="s">
        <v>1098</v>
      </c>
      <c r="C116" s="202" t="s">
        <v>1464</v>
      </c>
      <c r="D116" s="209">
        <v>245</v>
      </c>
      <c r="E116" s="202" t="s">
        <v>75</v>
      </c>
      <c r="F116" s="202" t="s">
        <v>461</v>
      </c>
    </row>
    <row r="117" spans="1:6" s="216" customFormat="1" x14ac:dyDescent="0.3">
      <c r="A117" s="202" t="str">
        <f t="shared" si="1"/>
        <v>CE 164,ED1-CE</v>
      </c>
      <c r="B117" s="202" t="s">
        <v>1099</v>
      </c>
      <c r="C117" s="202" t="s">
        <v>1466</v>
      </c>
      <c r="D117" s="209">
        <v>245</v>
      </c>
      <c r="E117" s="202" t="s">
        <v>75</v>
      </c>
      <c r="F117" s="202" t="s">
        <v>182</v>
      </c>
    </row>
    <row r="118" spans="1:6" s="216" customFormat="1" x14ac:dyDescent="0.3">
      <c r="A118" s="202" t="str">
        <f t="shared" si="1"/>
        <v>ECON 152,ED1-CE</v>
      </c>
      <c r="B118" s="202" t="s">
        <v>1100</v>
      </c>
      <c r="C118" s="202" t="s">
        <v>1594</v>
      </c>
      <c r="D118" s="209">
        <v>32</v>
      </c>
      <c r="E118" s="202" t="s">
        <v>75</v>
      </c>
      <c r="F118" s="202" t="s">
        <v>406</v>
      </c>
    </row>
    <row r="119" spans="1:6" s="216" customFormat="1" x14ac:dyDescent="0.3">
      <c r="A119" s="202" t="str">
        <f t="shared" si="1"/>
        <v>EE 152,ED1-CE</v>
      </c>
      <c r="B119" s="202" t="s">
        <v>990</v>
      </c>
      <c r="C119" s="202" t="s">
        <v>1599</v>
      </c>
      <c r="D119" s="209">
        <v>245</v>
      </c>
      <c r="E119" s="202" t="s">
        <v>75</v>
      </c>
      <c r="F119" s="202" t="s">
        <v>234</v>
      </c>
    </row>
    <row r="120" spans="1:6" s="216" customFormat="1" x14ac:dyDescent="0.3">
      <c r="A120" s="202" t="str">
        <f t="shared" si="1"/>
        <v>ENGL 158,ED1-CE</v>
      </c>
      <c r="B120" s="202" t="s">
        <v>991</v>
      </c>
      <c r="C120" s="202" t="s">
        <v>1959</v>
      </c>
      <c r="D120" s="209">
        <v>245</v>
      </c>
      <c r="E120" s="202" t="s">
        <v>75</v>
      </c>
      <c r="F120" s="202" t="s">
        <v>364</v>
      </c>
    </row>
    <row r="121" spans="1:6" s="216" customFormat="1" x14ac:dyDescent="0.3">
      <c r="A121" s="202" t="str">
        <f t="shared" si="1"/>
        <v>FC 182,ED1-CE</v>
      </c>
      <c r="B121" s="202" t="s">
        <v>1085</v>
      </c>
      <c r="C121" s="202" t="s">
        <v>1638</v>
      </c>
      <c r="D121" s="209">
        <v>160</v>
      </c>
      <c r="E121" s="202" t="s">
        <v>75</v>
      </c>
      <c r="F121" s="202" t="s">
        <v>245</v>
      </c>
    </row>
    <row r="122" spans="1:6" s="216" customFormat="1" x14ac:dyDescent="0.3">
      <c r="A122" s="202" t="str">
        <f t="shared" si="1"/>
        <v>MATH 152,ED1-CE</v>
      </c>
      <c r="B122" s="202" t="s">
        <v>992</v>
      </c>
      <c r="C122" s="202" t="s">
        <v>1720</v>
      </c>
      <c r="D122" s="209">
        <v>245</v>
      </c>
      <c r="E122" s="202" t="s">
        <v>75</v>
      </c>
      <c r="F122" s="202" t="s">
        <v>129</v>
      </c>
    </row>
    <row r="123" spans="1:6" s="216" customFormat="1" x14ac:dyDescent="0.3">
      <c r="A123" s="202" t="str">
        <f t="shared" si="1"/>
        <v>CE 256,ED2-CE</v>
      </c>
      <c r="B123" s="202" t="s">
        <v>1101</v>
      </c>
      <c r="C123" s="202" t="s">
        <v>1468</v>
      </c>
      <c r="D123" s="209">
        <v>250</v>
      </c>
      <c r="E123" s="202" t="s">
        <v>56</v>
      </c>
      <c r="F123" s="202" t="s">
        <v>54</v>
      </c>
    </row>
    <row r="124" spans="1:6" s="216" customFormat="1" x14ac:dyDescent="0.3">
      <c r="A124" s="202" t="str">
        <f t="shared" si="1"/>
        <v>CE 258,ED2-CE</v>
      </c>
      <c r="B124" s="202" t="s">
        <v>1102</v>
      </c>
      <c r="C124" s="202" t="s">
        <v>1470</v>
      </c>
      <c r="D124" s="209">
        <v>250</v>
      </c>
      <c r="E124" s="202" t="s">
        <v>56</v>
      </c>
      <c r="F124" s="202" t="s">
        <v>215</v>
      </c>
    </row>
    <row r="125" spans="1:6" s="216" customFormat="1" x14ac:dyDescent="0.3">
      <c r="A125" s="202" t="str">
        <f t="shared" si="1"/>
        <v>CE 260,ED2-CE</v>
      </c>
      <c r="B125" s="202" t="s">
        <v>1103</v>
      </c>
      <c r="C125" s="202" t="s">
        <v>1960</v>
      </c>
      <c r="D125" s="209">
        <v>250</v>
      </c>
      <c r="E125" s="202" t="s">
        <v>56</v>
      </c>
      <c r="F125" s="202" t="s">
        <v>367</v>
      </c>
    </row>
    <row r="126" spans="1:6" s="216" customFormat="1" x14ac:dyDescent="0.3">
      <c r="A126" s="202" t="str">
        <f t="shared" si="1"/>
        <v>CE 262,ED2-CE</v>
      </c>
      <c r="B126" s="202" t="s">
        <v>1104</v>
      </c>
      <c r="C126" s="202" t="s">
        <v>1475</v>
      </c>
      <c r="D126" s="209">
        <v>250</v>
      </c>
      <c r="E126" s="202" t="s">
        <v>56</v>
      </c>
      <c r="F126" s="202" t="s">
        <v>138</v>
      </c>
    </row>
    <row r="127" spans="1:6" s="216" customFormat="1" x14ac:dyDescent="0.3">
      <c r="A127" s="202" t="str">
        <f t="shared" si="1"/>
        <v>CE 264,ED2-CE</v>
      </c>
      <c r="B127" s="202" t="s">
        <v>1105</v>
      </c>
      <c r="C127" s="202" t="s">
        <v>1477</v>
      </c>
      <c r="D127" s="209">
        <v>250</v>
      </c>
      <c r="E127" s="202" t="s">
        <v>56</v>
      </c>
      <c r="F127" s="202" t="s">
        <v>278</v>
      </c>
    </row>
    <row r="128" spans="1:6" s="216" customFormat="1" x14ac:dyDescent="0.3">
      <c r="A128" s="202" t="str">
        <f t="shared" si="1"/>
        <v>CE 272,ED2-CE</v>
      </c>
      <c r="B128" s="202" t="s">
        <v>1106</v>
      </c>
      <c r="C128" s="202" t="s">
        <v>1479</v>
      </c>
      <c r="D128" s="209">
        <v>250</v>
      </c>
      <c r="E128" s="202" t="s">
        <v>56</v>
      </c>
      <c r="F128" s="202" t="s">
        <v>459</v>
      </c>
    </row>
    <row r="129" spans="1:6" s="216" customFormat="1" x14ac:dyDescent="0.3">
      <c r="A129" s="202" t="str">
        <f t="shared" si="1"/>
        <v>GE 282,ED2-CE</v>
      </c>
      <c r="B129" s="202" t="s">
        <v>1107</v>
      </c>
      <c r="C129" s="202" t="s">
        <v>1650</v>
      </c>
      <c r="D129" s="209">
        <v>250</v>
      </c>
      <c r="E129" s="202" t="s">
        <v>56</v>
      </c>
      <c r="F129" s="202" t="s">
        <v>489</v>
      </c>
    </row>
    <row r="130" spans="1:6" s="216" customFormat="1" x14ac:dyDescent="0.3">
      <c r="A130" s="202" t="str">
        <f t="shared" ref="A130:A193" si="2">CONCATENATE(F130,",",E130)</f>
        <v>MATH 252,ED2-CE</v>
      </c>
      <c r="B130" s="202" t="s">
        <v>998</v>
      </c>
      <c r="C130" s="202" t="s">
        <v>1961</v>
      </c>
      <c r="D130" s="209">
        <v>250</v>
      </c>
      <c r="E130" s="202" t="s">
        <v>56</v>
      </c>
      <c r="F130" s="202" t="s">
        <v>281</v>
      </c>
    </row>
    <row r="131" spans="1:6" s="216" customFormat="1" x14ac:dyDescent="0.3">
      <c r="A131" s="202" t="str">
        <f t="shared" si="2"/>
        <v>CE 352,ED3-CE</v>
      </c>
      <c r="B131" s="202" t="s">
        <v>1108</v>
      </c>
      <c r="C131" s="202" t="s">
        <v>1962</v>
      </c>
      <c r="D131" s="209">
        <v>230</v>
      </c>
      <c r="E131" s="202" t="s">
        <v>157</v>
      </c>
      <c r="F131" s="202" t="s">
        <v>400</v>
      </c>
    </row>
    <row r="132" spans="1:6" s="216" customFormat="1" x14ac:dyDescent="0.3">
      <c r="A132" s="202" t="str">
        <f t="shared" si="2"/>
        <v>CE 356,ED3-CE</v>
      </c>
      <c r="B132" s="202" t="s">
        <v>1109</v>
      </c>
      <c r="C132" s="202" t="s">
        <v>1963</v>
      </c>
      <c r="D132" s="209">
        <v>230</v>
      </c>
      <c r="E132" s="202" t="s">
        <v>157</v>
      </c>
      <c r="F132" s="202" t="s">
        <v>291</v>
      </c>
    </row>
    <row r="133" spans="1:6" s="216" customFormat="1" x14ac:dyDescent="0.3">
      <c r="A133" s="202" t="str">
        <f t="shared" si="2"/>
        <v>CE 360,ED3-CE</v>
      </c>
      <c r="B133" s="202" t="s">
        <v>1110</v>
      </c>
      <c r="C133" s="202" t="s">
        <v>1485</v>
      </c>
      <c r="D133" s="209">
        <v>230</v>
      </c>
      <c r="E133" s="202" t="s">
        <v>157</v>
      </c>
      <c r="F133" s="202" t="s">
        <v>336</v>
      </c>
    </row>
    <row r="134" spans="1:6" s="216" customFormat="1" x14ac:dyDescent="0.3">
      <c r="A134" s="202" t="str">
        <f t="shared" si="2"/>
        <v>CE 364,ED3-CE</v>
      </c>
      <c r="B134" s="202" t="s">
        <v>1111</v>
      </c>
      <c r="C134" s="202" t="s">
        <v>1502</v>
      </c>
      <c r="D134" s="209">
        <v>230</v>
      </c>
      <c r="E134" s="202" t="s">
        <v>157</v>
      </c>
      <c r="F134" s="202" t="s">
        <v>156</v>
      </c>
    </row>
    <row r="135" spans="1:6" s="216" customFormat="1" x14ac:dyDescent="0.3">
      <c r="A135" s="202" t="str">
        <f t="shared" si="2"/>
        <v>CE 368,ED3-CE</v>
      </c>
      <c r="B135" s="202" t="s">
        <v>1112</v>
      </c>
      <c r="C135" s="202" t="s">
        <v>1489</v>
      </c>
      <c r="D135" s="209">
        <v>230</v>
      </c>
      <c r="E135" s="202" t="s">
        <v>157</v>
      </c>
      <c r="F135" s="202" t="s">
        <v>378</v>
      </c>
    </row>
    <row r="136" spans="1:6" s="216" customFormat="1" x14ac:dyDescent="0.3">
      <c r="A136" s="202" t="str">
        <f t="shared" si="2"/>
        <v>CE 376,ED3-CE</v>
      </c>
      <c r="B136" s="202" t="s">
        <v>1113</v>
      </c>
      <c r="C136" s="202" t="s">
        <v>1466</v>
      </c>
      <c r="D136" s="209">
        <v>230</v>
      </c>
      <c r="E136" s="202" t="s">
        <v>157</v>
      </c>
      <c r="F136" s="202" t="s">
        <v>495</v>
      </c>
    </row>
    <row r="137" spans="1:6" s="216" customFormat="1" x14ac:dyDescent="0.3">
      <c r="A137" s="202" t="str">
        <f t="shared" si="2"/>
        <v>CE 378,ED3-CE</v>
      </c>
      <c r="B137" s="202" t="s">
        <v>1114</v>
      </c>
      <c r="C137" s="202" t="s">
        <v>1479</v>
      </c>
      <c r="D137" s="209">
        <v>230</v>
      </c>
      <c r="E137" s="202" t="s">
        <v>157</v>
      </c>
      <c r="F137" s="202" t="s">
        <v>1115</v>
      </c>
    </row>
    <row r="138" spans="1:6" s="216" customFormat="1" x14ac:dyDescent="0.3">
      <c r="A138" s="202" t="str">
        <f t="shared" si="2"/>
        <v>CE 390,ED3-CE</v>
      </c>
      <c r="B138" s="202" t="s">
        <v>1116</v>
      </c>
      <c r="C138" s="202" t="s">
        <v>1489</v>
      </c>
      <c r="D138" s="209">
        <v>230</v>
      </c>
      <c r="E138" s="202" t="s">
        <v>157</v>
      </c>
      <c r="F138" s="202" t="s">
        <v>1117</v>
      </c>
    </row>
    <row r="139" spans="1:6" s="216" customFormat="1" x14ac:dyDescent="0.3">
      <c r="A139" s="202" t="str">
        <f t="shared" si="2"/>
        <v>CE 452,ED4-CE</v>
      </c>
      <c r="B139" s="202" t="s">
        <v>1118</v>
      </c>
      <c r="C139" s="202" t="s">
        <v>1479</v>
      </c>
      <c r="D139" s="209">
        <v>240</v>
      </c>
      <c r="E139" s="202" t="s">
        <v>103</v>
      </c>
      <c r="F139" s="202" t="s">
        <v>328</v>
      </c>
    </row>
    <row r="140" spans="1:6" s="216" customFormat="1" x14ac:dyDescent="0.3">
      <c r="A140" s="202" t="str">
        <f t="shared" si="2"/>
        <v>CE 456,ED4-CE</v>
      </c>
      <c r="B140" s="202" t="s">
        <v>1119</v>
      </c>
      <c r="C140" s="202" t="s">
        <v>1962</v>
      </c>
      <c r="D140" s="209">
        <v>95</v>
      </c>
      <c r="E140" s="202" t="s">
        <v>103</v>
      </c>
      <c r="F140" s="202" t="s">
        <v>469</v>
      </c>
    </row>
    <row r="141" spans="1:6" s="216" customFormat="1" x14ac:dyDescent="0.3">
      <c r="A141" s="202" t="str">
        <f t="shared" si="2"/>
        <v>CE 458,ED4-CE</v>
      </c>
      <c r="B141" s="202" t="s">
        <v>1120</v>
      </c>
      <c r="C141" s="202" t="s">
        <v>1468</v>
      </c>
      <c r="D141" s="209">
        <v>105</v>
      </c>
      <c r="E141" s="202" t="s">
        <v>103</v>
      </c>
      <c r="F141" s="202" t="s">
        <v>384</v>
      </c>
    </row>
    <row r="142" spans="1:6" s="216" customFormat="1" x14ac:dyDescent="0.3">
      <c r="A142" s="202" t="str">
        <f t="shared" si="2"/>
        <v>CE 462,ED4-CE</v>
      </c>
      <c r="B142" s="202" t="s">
        <v>1121</v>
      </c>
      <c r="C142" s="202" t="s">
        <v>1500</v>
      </c>
      <c r="D142" s="209">
        <v>240</v>
      </c>
      <c r="E142" s="202" t="s">
        <v>103</v>
      </c>
      <c r="F142" s="202" t="s">
        <v>404</v>
      </c>
    </row>
    <row r="143" spans="1:6" s="216" customFormat="1" x14ac:dyDescent="0.3">
      <c r="A143" s="202" t="str">
        <f t="shared" si="2"/>
        <v>CE 464,ED4-CE</v>
      </c>
      <c r="B143" s="202" t="s">
        <v>1122</v>
      </c>
      <c r="C143" s="202" t="s">
        <v>1502</v>
      </c>
      <c r="D143" s="209">
        <v>115</v>
      </c>
      <c r="E143" s="202" t="s">
        <v>103</v>
      </c>
      <c r="F143" s="202" t="s">
        <v>102</v>
      </c>
    </row>
    <row r="144" spans="1:6" s="216" customFormat="1" x14ac:dyDescent="0.3">
      <c r="A144" s="202" t="str">
        <f t="shared" si="2"/>
        <v>CE 468,ED4-CE</v>
      </c>
      <c r="B144" s="202" t="s">
        <v>1123</v>
      </c>
      <c r="C144" s="202" t="s">
        <v>1504</v>
      </c>
      <c r="D144" s="209">
        <v>150</v>
      </c>
      <c r="E144" s="202" t="s">
        <v>103</v>
      </c>
      <c r="F144" s="202" t="s">
        <v>155</v>
      </c>
    </row>
    <row r="145" spans="1:6" s="216" customFormat="1" x14ac:dyDescent="0.3">
      <c r="A145" s="202" t="str">
        <f t="shared" si="2"/>
        <v>CE 476,ED4-CE</v>
      </c>
      <c r="B145" s="202" t="s">
        <v>1124</v>
      </c>
      <c r="C145" s="202" t="s">
        <v>1466</v>
      </c>
      <c r="D145" s="209">
        <v>115</v>
      </c>
      <c r="E145" s="202" t="s">
        <v>103</v>
      </c>
      <c r="F145" s="202" t="s">
        <v>346</v>
      </c>
    </row>
    <row r="146" spans="1:6" s="216" customFormat="1" x14ac:dyDescent="0.3">
      <c r="A146" s="202" t="str">
        <f t="shared" si="2"/>
        <v>CE 478,ED4-CE</v>
      </c>
      <c r="B146" s="202" t="s">
        <v>1125</v>
      </c>
      <c r="C146" s="202" t="s">
        <v>1964</v>
      </c>
      <c r="D146" s="209">
        <v>60</v>
      </c>
      <c r="E146" s="202" t="s">
        <v>103</v>
      </c>
      <c r="F146" s="202" t="s">
        <v>270</v>
      </c>
    </row>
    <row r="147" spans="1:6" s="216" customFormat="1" x14ac:dyDescent="0.3">
      <c r="A147" s="202" t="str">
        <f t="shared" si="2"/>
        <v>CE 480,ED4-CE</v>
      </c>
      <c r="B147" s="202" t="s">
        <v>1126</v>
      </c>
      <c r="C147" s="202" t="s">
        <v>1965</v>
      </c>
      <c r="D147" s="209">
        <v>18</v>
      </c>
      <c r="E147" s="202" t="s">
        <v>103</v>
      </c>
      <c r="F147" s="202" t="s">
        <v>205</v>
      </c>
    </row>
    <row r="148" spans="1:6" s="216" customFormat="1" x14ac:dyDescent="0.3">
      <c r="A148" s="202" t="str">
        <f t="shared" si="2"/>
        <v>CHE 156,ED1-CHE</v>
      </c>
      <c r="B148" s="202" t="s">
        <v>1127</v>
      </c>
      <c r="C148" s="202" t="s">
        <v>1515</v>
      </c>
      <c r="D148" s="209">
        <v>120</v>
      </c>
      <c r="E148" s="202" t="s">
        <v>80</v>
      </c>
      <c r="F148" s="202" t="s">
        <v>302</v>
      </c>
    </row>
    <row r="149" spans="1:6" s="216" customFormat="1" x14ac:dyDescent="0.3">
      <c r="A149" s="202" t="str">
        <f t="shared" si="2"/>
        <v>CHE 158,ED1-CHE</v>
      </c>
      <c r="B149" s="202" t="s">
        <v>987</v>
      </c>
      <c r="C149" s="202" t="s">
        <v>1516</v>
      </c>
      <c r="D149" s="209">
        <v>120</v>
      </c>
      <c r="E149" s="202" t="s">
        <v>80</v>
      </c>
      <c r="F149" s="202" t="s">
        <v>186</v>
      </c>
    </row>
    <row r="150" spans="1:6" s="216" customFormat="1" x14ac:dyDescent="0.3">
      <c r="A150" s="202" t="str">
        <f t="shared" si="2"/>
        <v>EE 152,ED1-CHE</v>
      </c>
      <c r="B150" s="202" t="s">
        <v>990</v>
      </c>
      <c r="C150" s="202" t="s">
        <v>1947</v>
      </c>
      <c r="D150" s="209">
        <v>120</v>
      </c>
      <c r="E150" s="202" t="s">
        <v>80</v>
      </c>
      <c r="F150" s="202" t="s">
        <v>234</v>
      </c>
    </row>
    <row r="151" spans="1:6" s="216" customFormat="1" x14ac:dyDescent="0.3">
      <c r="A151" s="202" t="str">
        <f t="shared" si="2"/>
        <v>ENGL 158,ED1-CHE</v>
      </c>
      <c r="B151" s="202" t="s">
        <v>1128</v>
      </c>
      <c r="C151" s="202" t="s">
        <v>1629</v>
      </c>
      <c r="D151" s="209">
        <v>120</v>
      </c>
      <c r="E151" s="202" t="s">
        <v>80</v>
      </c>
      <c r="F151" s="202" t="s">
        <v>364</v>
      </c>
    </row>
    <row r="152" spans="1:6" s="216" customFormat="1" x14ac:dyDescent="0.3">
      <c r="A152" s="202" t="str">
        <f t="shared" si="2"/>
        <v>MATH 152,ED1-CHE</v>
      </c>
      <c r="B152" s="202" t="s">
        <v>992</v>
      </c>
      <c r="C152" s="202" t="s">
        <v>1966</v>
      </c>
      <c r="D152" s="209">
        <v>120</v>
      </c>
      <c r="E152" s="202" t="s">
        <v>80</v>
      </c>
      <c r="F152" s="202" t="s">
        <v>129</v>
      </c>
    </row>
    <row r="153" spans="1:6" s="216" customFormat="1" x14ac:dyDescent="0.3">
      <c r="A153" s="202" t="str">
        <f t="shared" si="2"/>
        <v>ME 162,ED1-CHE</v>
      </c>
      <c r="B153" s="202" t="s">
        <v>994</v>
      </c>
      <c r="C153" s="202" t="s">
        <v>1417</v>
      </c>
      <c r="D153" s="209">
        <v>120</v>
      </c>
      <c r="E153" s="202" t="s">
        <v>80</v>
      </c>
      <c r="F153" s="202" t="s">
        <v>392</v>
      </c>
    </row>
    <row r="154" spans="1:6" s="216" customFormat="1" x14ac:dyDescent="0.3">
      <c r="A154" s="202" t="str">
        <f t="shared" si="2"/>
        <v>PHY 170,ED1-CHE</v>
      </c>
      <c r="B154" s="202" t="s">
        <v>1129</v>
      </c>
      <c r="C154" s="202" t="s">
        <v>1905</v>
      </c>
      <c r="D154" s="209">
        <v>120</v>
      </c>
      <c r="E154" s="202" t="s">
        <v>80</v>
      </c>
      <c r="F154" s="202" t="s">
        <v>79</v>
      </c>
    </row>
    <row r="155" spans="1:6" s="216" customFormat="1" x14ac:dyDescent="0.3">
      <c r="A155" s="202" t="str">
        <f t="shared" si="2"/>
        <v>CHE 250,ED2-CHE</v>
      </c>
      <c r="B155" s="202" t="s">
        <v>1130</v>
      </c>
      <c r="C155" s="202" t="s">
        <v>1515</v>
      </c>
      <c r="D155" s="209">
        <v>160</v>
      </c>
      <c r="E155" s="202" t="s">
        <v>13</v>
      </c>
      <c r="F155" s="202" t="s">
        <v>338</v>
      </c>
    </row>
    <row r="156" spans="1:6" s="216" customFormat="1" x14ac:dyDescent="0.3">
      <c r="A156" s="202" t="str">
        <f t="shared" si="2"/>
        <v>CHE 252,ED2-CHE</v>
      </c>
      <c r="B156" s="202" t="s">
        <v>1131</v>
      </c>
      <c r="C156" s="202" t="s">
        <v>1518</v>
      </c>
      <c r="D156" s="209">
        <v>160</v>
      </c>
      <c r="E156" s="202" t="s">
        <v>13</v>
      </c>
      <c r="F156" s="202" t="s">
        <v>297</v>
      </c>
    </row>
    <row r="157" spans="1:6" s="216" customFormat="1" x14ac:dyDescent="0.3">
      <c r="A157" s="202" t="str">
        <f t="shared" si="2"/>
        <v>CHE 254,ED2-CHE</v>
      </c>
      <c r="B157" s="202" t="s">
        <v>1132</v>
      </c>
      <c r="C157" s="202" t="s">
        <v>1513</v>
      </c>
      <c r="D157" s="209">
        <v>160</v>
      </c>
      <c r="E157" s="202" t="s">
        <v>13</v>
      </c>
      <c r="F157" s="202" t="s">
        <v>397</v>
      </c>
    </row>
    <row r="158" spans="1:6" s="216" customFormat="1" x14ac:dyDescent="0.3">
      <c r="A158" s="202" t="str">
        <f t="shared" si="2"/>
        <v>CHE 256,ED2-CHE</v>
      </c>
      <c r="B158" s="202" t="s">
        <v>1133</v>
      </c>
      <c r="C158" s="202" t="s">
        <v>1523</v>
      </c>
      <c r="D158" s="209">
        <v>160</v>
      </c>
      <c r="E158" s="202" t="s">
        <v>13</v>
      </c>
      <c r="F158" s="202" t="s">
        <v>83</v>
      </c>
    </row>
    <row r="159" spans="1:6" s="216" customFormat="1" x14ac:dyDescent="0.3">
      <c r="A159" s="202" t="str">
        <f t="shared" si="2"/>
        <v>CHE 258,ED2-CHE</v>
      </c>
      <c r="B159" s="202" t="s">
        <v>1134</v>
      </c>
      <c r="C159" s="202" t="s">
        <v>1525</v>
      </c>
      <c r="D159" s="209">
        <v>160</v>
      </c>
      <c r="E159" s="202" t="s">
        <v>13</v>
      </c>
      <c r="F159" s="202" t="s">
        <v>12</v>
      </c>
    </row>
    <row r="160" spans="1:6" s="216" customFormat="1" x14ac:dyDescent="0.3">
      <c r="A160" s="202" t="str">
        <f t="shared" si="2"/>
        <v>CHEM 280,ED2-CHE</v>
      </c>
      <c r="B160" s="202" t="s">
        <v>1135</v>
      </c>
      <c r="C160" s="202" t="s">
        <v>1548</v>
      </c>
      <c r="D160" s="209">
        <v>160</v>
      </c>
      <c r="E160" s="202" t="s">
        <v>13</v>
      </c>
      <c r="F160" s="202" t="s">
        <v>173</v>
      </c>
    </row>
    <row r="161" spans="1:6" s="216" customFormat="1" x14ac:dyDescent="0.3">
      <c r="A161" s="202" t="str">
        <f t="shared" si="2"/>
        <v>MATH 252,ED2-CHE</v>
      </c>
      <c r="B161" s="202" t="s">
        <v>1136</v>
      </c>
      <c r="C161" s="202" t="s">
        <v>1967</v>
      </c>
      <c r="D161" s="209">
        <v>160</v>
      </c>
      <c r="E161" s="202" t="s">
        <v>13</v>
      </c>
      <c r="F161" s="202" t="s">
        <v>281</v>
      </c>
    </row>
    <row r="162" spans="1:6" s="216" customFormat="1" x14ac:dyDescent="0.3">
      <c r="A162" s="202" t="str">
        <f t="shared" si="2"/>
        <v>CHE 350,ED3-CHE</v>
      </c>
      <c r="B162" s="202" t="s">
        <v>1137</v>
      </c>
      <c r="C162" s="202" t="s">
        <v>1968</v>
      </c>
      <c r="D162" s="209">
        <v>105</v>
      </c>
      <c r="E162" s="202" t="s">
        <v>73</v>
      </c>
      <c r="F162" s="202" t="s">
        <v>199</v>
      </c>
    </row>
    <row r="163" spans="1:6" s="216" customFormat="1" x14ac:dyDescent="0.3">
      <c r="A163" s="202" t="str">
        <f t="shared" si="2"/>
        <v>CHE 352,ED3-CHE</v>
      </c>
      <c r="B163" s="202" t="s">
        <v>1138</v>
      </c>
      <c r="C163" s="202" t="s">
        <v>1513</v>
      </c>
      <c r="D163" s="209">
        <v>105</v>
      </c>
      <c r="E163" s="202" t="s">
        <v>73</v>
      </c>
      <c r="F163" s="202" t="s">
        <v>516</v>
      </c>
    </row>
    <row r="164" spans="1:6" s="216" customFormat="1" x14ac:dyDescent="0.3">
      <c r="A164" s="202" t="str">
        <f t="shared" si="2"/>
        <v>CHE 354,ED3-CHE</v>
      </c>
      <c r="B164" s="202" t="s">
        <v>1139</v>
      </c>
      <c r="C164" s="202" t="s">
        <v>1530</v>
      </c>
      <c r="D164" s="209">
        <v>105</v>
      </c>
      <c r="E164" s="202" t="s">
        <v>73</v>
      </c>
      <c r="F164" s="202" t="s">
        <v>476</v>
      </c>
    </row>
    <row r="165" spans="1:6" s="216" customFormat="1" x14ac:dyDescent="0.3">
      <c r="A165" s="202" t="str">
        <f t="shared" si="2"/>
        <v>CHE 358,ED3-CHE</v>
      </c>
      <c r="B165" s="202" t="s">
        <v>1140</v>
      </c>
      <c r="C165" s="202" t="s">
        <v>1532</v>
      </c>
      <c r="D165" s="209">
        <v>105</v>
      </c>
      <c r="E165" s="202" t="s">
        <v>73</v>
      </c>
      <c r="F165" s="202" t="s">
        <v>315</v>
      </c>
    </row>
    <row r="166" spans="1:6" s="216" customFormat="1" x14ac:dyDescent="0.3">
      <c r="A166" s="202" t="str">
        <f t="shared" si="2"/>
        <v>CHE 362,ED3-CHE</v>
      </c>
      <c r="B166" s="202" t="s">
        <v>1141</v>
      </c>
      <c r="C166" s="202" t="s">
        <v>1523</v>
      </c>
      <c r="D166" s="209">
        <v>15</v>
      </c>
      <c r="E166" s="202" t="s">
        <v>73</v>
      </c>
      <c r="F166" s="202" t="s">
        <v>72</v>
      </c>
    </row>
    <row r="167" spans="1:6" s="216" customFormat="1" x14ac:dyDescent="0.3">
      <c r="A167" s="202" t="str">
        <f t="shared" si="2"/>
        <v>CHE 364,ED3-CHE</v>
      </c>
      <c r="B167" s="202" t="s">
        <v>1142</v>
      </c>
      <c r="C167" s="202" t="s">
        <v>1535</v>
      </c>
      <c r="D167" s="209">
        <v>45</v>
      </c>
      <c r="E167" s="202" t="s">
        <v>73</v>
      </c>
      <c r="F167" s="202" t="s">
        <v>370</v>
      </c>
    </row>
    <row r="168" spans="1:6" s="216" customFormat="1" x14ac:dyDescent="0.3">
      <c r="A168" s="202" t="str">
        <f t="shared" si="2"/>
        <v>CHE 368,ED3-CHE</v>
      </c>
      <c r="B168" s="202" t="s">
        <v>1143</v>
      </c>
      <c r="C168" s="202" t="s">
        <v>1515</v>
      </c>
      <c r="D168" s="209">
        <v>50</v>
      </c>
      <c r="E168" s="202" t="s">
        <v>73</v>
      </c>
      <c r="F168" s="202" t="s">
        <v>122</v>
      </c>
    </row>
    <row r="169" spans="1:6" s="216" customFormat="1" x14ac:dyDescent="0.3">
      <c r="A169" s="202" t="str">
        <f t="shared" si="2"/>
        <v>ECON 152,ED3-CHE</v>
      </c>
      <c r="B169" s="202" t="s">
        <v>1144</v>
      </c>
      <c r="C169" s="202" t="s">
        <v>1594</v>
      </c>
      <c r="D169" s="209">
        <v>80</v>
      </c>
      <c r="E169" s="202" t="s">
        <v>73</v>
      </c>
      <c r="F169" s="202" t="s">
        <v>406</v>
      </c>
    </row>
    <row r="170" spans="1:6" s="216" customFormat="1" x14ac:dyDescent="0.3">
      <c r="A170" s="202" t="str">
        <f t="shared" si="2"/>
        <v>FC 182,ED3-CHE</v>
      </c>
      <c r="B170" s="202" t="s">
        <v>1085</v>
      </c>
      <c r="C170" s="202" t="s">
        <v>1639</v>
      </c>
      <c r="D170" s="209">
        <v>55</v>
      </c>
      <c r="E170" s="202" t="s">
        <v>73</v>
      </c>
      <c r="F170" s="202" t="s">
        <v>245</v>
      </c>
    </row>
    <row r="171" spans="1:6" s="216" customFormat="1" x14ac:dyDescent="0.3">
      <c r="A171" s="202" t="str">
        <f t="shared" si="2"/>
        <v>CHE 456,ED4-CHE</v>
      </c>
      <c r="B171" s="202" t="s">
        <v>1145</v>
      </c>
      <c r="C171" s="202" t="s">
        <v>1535</v>
      </c>
      <c r="D171" s="209">
        <v>114</v>
      </c>
      <c r="E171" s="202" t="s">
        <v>48</v>
      </c>
      <c r="F171" s="202" t="s">
        <v>525</v>
      </c>
    </row>
    <row r="172" spans="1:6" s="216" customFormat="1" x14ac:dyDescent="0.3">
      <c r="A172" s="202" t="str">
        <f t="shared" si="2"/>
        <v>CHE 458,ED4-CHE</v>
      </c>
      <c r="B172" s="202" t="s">
        <v>1146</v>
      </c>
      <c r="C172" s="202" t="s">
        <v>1541</v>
      </c>
      <c r="D172" s="209">
        <v>114</v>
      </c>
      <c r="E172" s="202" t="s">
        <v>48</v>
      </c>
      <c r="F172" s="202" t="s">
        <v>345</v>
      </c>
    </row>
    <row r="173" spans="1:6" s="216" customFormat="1" x14ac:dyDescent="0.3">
      <c r="A173" s="202" t="str">
        <f t="shared" si="2"/>
        <v>CHE 466,ED4-CHE</v>
      </c>
      <c r="B173" s="202" t="s">
        <v>1147</v>
      </c>
      <c r="C173" s="202" t="s">
        <v>1518</v>
      </c>
      <c r="D173" s="209">
        <v>70</v>
      </c>
      <c r="E173" s="202" t="s">
        <v>48</v>
      </c>
      <c r="F173" s="202" t="s">
        <v>280</v>
      </c>
    </row>
    <row r="174" spans="1:6" s="216" customFormat="1" x14ac:dyDescent="0.3">
      <c r="A174" s="202" t="str">
        <f t="shared" si="2"/>
        <v>CHE 468,ED4-CHE</v>
      </c>
      <c r="B174" s="202" t="s">
        <v>1148</v>
      </c>
      <c r="C174" s="202" t="s">
        <v>1511</v>
      </c>
      <c r="D174" s="209">
        <v>54</v>
      </c>
      <c r="E174" s="202" t="s">
        <v>48</v>
      </c>
      <c r="F174" s="202" t="s">
        <v>431</v>
      </c>
    </row>
    <row r="175" spans="1:6" s="216" customFormat="1" x14ac:dyDescent="0.3">
      <c r="A175" s="202" t="str">
        <f t="shared" si="2"/>
        <v>CHE 470,ED4-CHE</v>
      </c>
      <c r="B175" s="202" t="s">
        <v>1149</v>
      </c>
      <c r="C175" s="202" t="s">
        <v>1546</v>
      </c>
      <c r="D175" s="209">
        <v>71</v>
      </c>
      <c r="E175" s="202" t="s">
        <v>48</v>
      </c>
      <c r="F175" s="202" t="s">
        <v>415</v>
      </c>
    </row>
    <row r="176" spans="1:6" s="216" customFormat="1" x14ac:dyDescent="0.3">
      <c r="A176" s="202" t="str">
        <f t="shared" si="2"/>
        <v>PCE 464,ED4-CHE</v>
      </c>
      <c r="B176" s="202" t="s">
        <v>1150</v>
      </c>
      <c r="C176" s="202" t="s">
        <v>1863</v>
      </c>
      <c r="D176" s="209">
        <v>50</v>
      </c>
      <c r="E176" s="202" t="s">
        <v>48</v>
      </c>
      <c r="F176" s="202" t="s">
        <v>47</v>
      </c>
    </row>
    <row r="177" spans="1:6" s="216" customFormat="1" x14ac:dyDescent="0.3">
      <c r="A177" s="202" t="str">
        <f t="shared" si="2"/>
        <v>COE 152,ED1-COE</v>
      </c>
      <c r="B177" s="202" t="s">
        <v>990</v>
      </c>
      <c r="C177" s="202" t="s">
        <v>1557</v>
      </c>
      <c r="D177" s="209">
        <v>262</v>
      </c>
      <c r="E177" s="202" t="s">
        <v>20</v>
      </c>
      <c r="F177" s="202" t="s">
        <v>260</v>
      </c>
    </row>
    <row r="178" spans="1:6" s="216" customFormat="1" x14ac:dyDescent="0.3">
      <c r="A178" s="202" t="str">
        <f t="shared" si="2"/>
        <v>COE 158,ED1-COE</v>
      </c>
      <c r="B178" s="202" t="s">
        <v>987</v>
      </c>
      <c r="C178" s="202" t="s">
        <v>1445</v>
      </c>
      <c r="D178" s="209">
        <v>262</v>
      </c>
      <c r="E178" s="202" t="s">
        <v>20</v>
      </c>
      <c r="F178" s="202" t="s">
        <v>175</v>
      </c>
    </row>
    <row r="179" spans="1:6" s="216" customFormat="1" x14ac:dyDescent="0.3">
      <c r="A179" s="202" t="str">
        <f t="shared" si="2"/>
        <v>EE 156,ED1-COE</v>
      </c>
      <c r="B179" s="202" t="s">
        <v>1151</v>
      </c>
      <c r="C179" s="202" t="s">
        <v>1599</v>
      </c>
      <c r="D179" s="209">
        <v>262</v>
      </c>
      <c r="E179" s="202" t="s">
        <v>20</v>
      </c>
      <c r="F179" s="202" t="s">
        <v>19</v>
      </c>
    </row>
    <row r="180" spans="1:6" s="216" customFormat="1" x14ac:dyDescent="0.3">
      <c r="A180" s="202" t="str">
        <f t="shared" si="2"/>
        <v>EE 172,ED1-COE</v>
      </c>
      <c r="B180" s="202" t="s">
        <v>1152</v>
      </c>
      <c r="C180" s="202" t="s">
        <v>1611</v>
      </c>
      <c r="D180" s="209">
        <v>262</v>
      </c>
      <c r="E180" s="202" t="s">
        <v>20</v>
      </c>
      <c r="F180" s="202" t="s">
        <v>474</v>
      </c>
    </row>
    <row r="181" spans="1:6" s="216" customFormat="1" x14ac:dyDescent="0.3">
      <c r="A181" s="202" t="str">
        <f t="shared" si="2"/>
        <v>ENGL 158,ED1-COE</v>
      </c>
      <c r="B181" s="202" t="s">
        <v>991</v>
      </c>
      <c r="C181" s="202" t="s">
        <v>1969</v>
      </c>
      <c r="D181" s="209">
        <v>262</v>
      </c>
      <c r="E181" s="202" t="s">
        <v>20</v>
      </c>
      <c r="F181" s="202" t="s">
        <v>364</v>
      </c>
    </row>
    <row r="182" spans="1:6" s="216" customFormat="1" x14ac:dyDescent="0.3">
      <c r="A182" s="202" t="str">
        <f t="shared" si="2"/>
        <v>MATH 152,ED1-COE</v>
      </c>
      <c r="B182" s="202" t="s">
        <v>992</v>
      </c>
      <c r="C182" s="202" t="s">
        <v>1720</v>
      </c>
      <c r="D182" s="209">
        <v>262</v>
      </c>
      <c r="E182" s="202" t="s">
        <v>20</v>
      </c>
      <c r="F182" s="202" t="s">
        <v>129</v>
      </c>
    </row>
    <row r="183" spans="1:6" s="216" customFormat="1" x14ac:dyDescent="0.3">
      <c r="A183" s="202" t="str">
        <f t="shared" si="2"/>
        <v>ACF 256,ED2-COE</v>
      </c>
      <c r="B183" s="202" t="s">
        <v>1076</v>
      </c>
      <c r="C183" s="202" t="s">
        <v>1379</v>
      </c>
      <c r="D183" s="209">
        <v>65</v>
      </c>
      <c r="E183" s="202" t="s">
        <v>108</v>
      </c>
      <c r="F183" s="202" t="s">
        <v>424</v>
      </c>
    </row>
    <row r="184" spans="1:6" s="216" customFormat="1" x14ac:dyDescent="0.3">
      <c r="A184" s="202" t="str">
        <f t="shared" si="2"/>
        <v>COE 254,ED2-COE</v>
      </c>
      <c r="B184" s="202" t="s">
        <v>1082</v>
      </c>
      <c r="C184" s="202" t="s">
        <v>1561</v>
      </c>
      <c r="D184" s="209">
        <v>255</v>
      </c>
      <c r="E184" s="202" t="s">
        <v>108</v>
      </c>
      <c r="F184" s="202" t="s">
        <v>107</v>
      </c>
    </row>
    <row r="185" spans="1:6" s="216" customFormat="1" x14ac:dyDescent="0.3">
      <c r="A185" s="202" t="str">
        <f t="shared" si="2"/>
        <v>COE 272,ED2-COE</v>
      </c>
      <c r="B185" s="202" t="s">
        <v>1083</v>
      </c>
      <c r="C185" s="202" t="s">
        <v>1563</v>
      </c>
      <c r="D185" s="209">
        <v>255</v>
      </c>
      <c r="E185" s="202" t="s">
        <v>108</v>
      </c>
      <c r="F185" s="202" t="s">
        <v>377</v>
      </c>
    </row>
    <row r="186" spans="1:6" s="216" customFormat="1" x14ac:dyDescent="0.3">
      <c r="A186" s="202" t="str">
        <f t="shared" si="2"/>
        <v>COE 288,ED2-COE</v>
      </c>
      <c r="B186" s="202" t="s">
        <v>1154</v>
      </c>
      <c r="C186" s="202" t="s">
        <v>1565</v>
      </c>
      <c r="D186" s="209">
        <v>255</v>
      </c>
      <c r="E186" s="202" t="s">
        <v>108</v>
      </c>
      <c r="F186" s="202" t="s">
        <v>202</v>
      </c>
    </row>
    <row r="187" spans="1:6" s="216" customFormat="1" x14ac:dyDescent="0.3">
      <c r="A187" s="202" t="str">
        <f t="shared" si="2"/>
        <v>COE 292,ED2-COE</v>
      </c>
      <c r="B187" s="202" t="s">
        <v>1155</v>
      </c>
      <c r="C187" s="202" t="s">
        <v>1567</v>
      </c>
      <c r="D187" s="209">
        <v>255</v>
      </c>
      <c r="E187" s="202" t="s">
        <v>108</v>
      </c>
      <c r="F187" s="202" t="s">
        <v>1156</v>
      </c>
    </row>
    <row r="188" spans="1:6" s="216" customFormat="1" x14ac:dyDescent="0.3">
      <c r="A188" s="202" t="str">
        <f t="shared" si="2"/>
        <v>ECON 152,ED2-COE</v>
      </c>
      <c r="B188" s="202" t="s">
        <v>1100</v>
      </c>
      <c r="C188" s="202" t="s">
        <v>1594</v>
      </c>
      <c r="D188" s="209">
        <v>40</v>
      </c>
      <c r="E188" s="202" t="s">
        <v>108</v>
      </c>
      <c r="F188" s="202" t="s">
        <v>406</v>
      </c>
    </row>
    <row r="189" spans="1:6" s="216" customFormat="1" x14ac:dyDescent="0.3">
      <c r="A189" s="202" t="str">
        <f t="shared" si="2"/>
        <v>EE 288,ED2-COE</v>
      </c>
      <c r="B189" s="202" t="s">
        <v>1157</v>
      </c>
      <c r="C189" s="202" t="s">
        <v>1557</v>
      </c>
      <c r="D189" s="209">
        <v>255</v>
      </c>
      <c r="E189" s="202" t="s">
        <v>108</v>
      </c>
      <c r="F189" s="202" t="s">
        <v>518</v>
      </c>
    </row>
    <row r="190" spans="1:6" s="216" customFormat="1" x14ac:dyDescent="0.3">
      <c r="A190" s="202" t="str">
        <f t="shared" si="2"/>
        <v>FC 182,ED2-COE</v>
      </c>
      <c r="B190" s="202" t="s">
        <v>1158</v>
      </c>
      <c r="C190" s="202" t="s">
        <v>1637</v>
      </c>
      <c r="D190" s="209">
        <v>150</v>
      </c>
      <c r="E190" s="202" t="s">
        <v>108</v>
      </c>
      <c r="F190" s="202" t="s">
        <v>245</v>
      </c>
    </row>
    <row r="191" spans="1:6" s="216" customFormat="1" x14ac:dyDescent="0.3">
      <c r="A191" s="202" t="str">
        <f t="shared" si="2"/>
        <v>MATH 252,ED2-COE</v>
      </c>
      <c r="B191" s="202" t="s">
        <v>998</v>
      </c>
      <c r="C191" s="202" t="s">
        <v>1727</v>
      </c>
      <c r="D191" s="209">
        <v>255</v>
      </c>
      <c r="E191" s="202" t="s">
        <v>108</v>
      </c>
      <c r="F191" s="202" t="s">
        <v>281</v>
      </c>
    </row>
    <row r="192" spans="1:6" s="216" customFormat="1" x14ac:dyDescent="0.3">
      <c r="A192" s="202" t="str">
        <f t="shared" si="2"/>
        <v>TE 262,ED2-COE</v>
      </c>
      <c r="B192" s="202" t="s">
        <v>1159</v>
      </c>
      <c r="C192" s="202" t="s">
        <v>1565</v>
      </c>
      <c r="D192" s="209">
        <v>255</v>
      </c>
      <c r="E192" s="202" t="s">
        <v>108</v>
      </c>
      <c r="F192" s="202" t="s">
        <v>166</v>
      </c>
    </row>
    <row r="193" spans="1:6" s="216" customFormat="1" x14ac:dyDescent="0.3">
      <c r="A193" s="202" t="str">
        <f t="shared" si="2"/>
        <v>COE 354,ED3-COE</v>
      </c>
      <c r="B193" s="202" t="s">
        <v>1160</v>
      </c>
      <c r="C193" s="202" t="s">
        <v>1567</v>
      </c>
      <c r="D193" s="209">
        <v>265</v>
      </c>
      <c r="E193" s="202" t="s">
        <v>16</v>
      </c>
      <c r="F193" s="202" t="s">
        <v>15</v>
      </c>
    </row>
    <row r="194" spans="1:6" s="216" customFormat="1" x14ac:dyDescent="0.3">
      <c r="A194" s="202" t="str">
        <f t="shared" ref="A194:A257" si="3">CONCATENATE(F194,",",E194)</f>
        <v>COE 356,ED3-COE</v>
      </c>
      <c r="B194" s="202" t="s">
        <v>1161</v>
      </c>
      <c r="C194" s="202" t="s">
        <v>1561</v>
      </c>
      <c r="D194" s="209">
        <v>265</v>
      </c>
      <c r="E194" s="202" t="s">
        <v>16</v>
      </c>
      <c r="F194" s="202" t="s">
        <v>318</v>
      </c>
    </row>
    <row r="195" spans="1:6" s="216" customFormat="1" x14ac:dyDescent="0.3">
      <c r="A195" s="202" t="str">
        <f t="shared" si="3"/>
        <v>COE 358,ED3-COE</v>
      </c>
      <c r="B195" s="202" t="s">
        <v>1091</v>
      </c>
      <c r="C195" s="202" t="s">
        <v>1567</v>
      </c>
      <c r="D195" s="209">
        <v>265</v>
      </c>
      <c r="E195" s="202" t="s">
        <v>16</v>
      </c>
      <c r="F195" s="202" t="s">
        <v>259</v>
      </c>
    </row>
    <row r="196" spans="1:6" s="216" customFormat="1" x14ac:dyDescent="0.3">
      <c r="A196" s="202" t="str">
        <f t="shared" si="3"/>
        <v>COE 368,ED3-COE</v>
      </c>
      <c r="B196" s="202" t="s">
        <v>1162</v>
      </c>
      <c r="C196" s="202" t="s">
        <v>1572</v>
      </c>
      <c r="D196" s="209">
        <v>265</v>
      </c>
      <c r="E196" s="202" t="s">
        <v>16</v>
      </c>
      <c r="F196" s="202" t="s">
        <v>198</v>
      </c>
    </row>
    <row r="197" spans="1:6" s="216" customFormat="1" x14ac:dyDescent="0.3">
      <c r="A197" s="202" t="str">
        <f t="shared" si="3"/>
        <v>COE 372,ED3-COE</v>
      </c>
      <c r="B197" s="202" t="s">
        <v>1163</v>
      </c>
      <c r="C197" s="202" t="s">
        <v>1574</v>
      </c>
      <c r="D197" s="209">
        <v>265</v>
      </c>
      <c r="E197" s="202" t="s">
        <v>16</v>
      </c>
      <c r="F197" s="202" t="s">
        <v>413</v>
      </c>
    </row>
    <row r="198" spans="1:6" s="216" customFormat="1" x14ac:dyDescent="0.3">
      <c r="A198" s="202" t="str">
        <f t="shared" si="3"/>
        <v>COE 392,ED3-COE</v>
      </c>
      <c r="B198" s="202" t="s">
        <v>1164</v>
      </c>
      <c r="C198" s="202" t="s">
        <v>1567</v>
      </c>
      <c r="D198" s="209">
        <v>265</v>
      </c>
      <c r="E198" s="202" t="s">
        <v>16</v>
      </c>
      <c r="F198" s="202" t="s">
        <v>1165</v>
      </c>
    </row>
    <row r="199" spans="1:6" s="216" customFormat="1" x14ac:dyDescent="0.3">
      <c r="A199" s="202" t="str">
        <f t="shared" si="3"/>
        <v>COE 454,ED4-COE</v>
      </c>
      <c r="B199" s="202" t="s">
        <v>1166</v>
      </c>
      <c r="C199" s="202" t="s">
        <v>1572</v>
      </c>
      <c r="D199" s="209">
        <v>115</v>
      </c>
      <c r="E199" s="202" t="s">
        <v>251</v>
      </c>
      <c r="F199" s="202" t="s">
        <v>505</v>
      </c>
    </row>
    <row r="200" spans="1:6" s="216" customFormat="1" x14ac:dyDescent="0.3">
      <c r="A200" s="202" t="str">
        <f t="shared" si="3"/>
        <v>COE 456,ED4-COE</v>
      </c>
      <c r="B200" s="202" t="s">
        <v>1167</v>
      </c>
      <c r="C200" s="202" t="s">
        <v>1579</v>
      </c>
      <c r="D200" s="209">
        <v>90</v>
      </c>
      <c r="E200" s="202" t="s">
        <v>251</v>
      </c>
      <c r="F200" s="202" t="s">
        <v>432</v>
      </c>
    </row>
    <row r="201" spans="1:6" s="216" customFormat="1" x14ac:dyDescent="0.3">
      <c r="A201" s="202" t="str">
        <f t="shared" si="3"/>
        <v>COE 458,ED4-COE</v>
      </c>
      <c r="B201" s="202" t="s">
        <v>1168</v>
      </c>
      <c r="C201" s="202" t="s">
        <v>1557</v>
      </c>
      <c r="D201" s="209">
        <v>45</v>
      </c>
      <c r="E201" s="202" t="s">
        <v>251</v>
      </c>
      <c r="F201" s="202" t="s">
        <v>348</v>
      </c>
    </row>
    <row r="202" spans="1:6" s="216" customFormat="1" x14ac:dyDescent="0.3">
      <c r="A202" s="202" t="str">
        <f t="shared" si="3"/>
        <v>COE 472,ED4-COE</v>
      </c>
      <c r="B202" s="202" t="s">
        <v>1094</v>
      </c>
      <c r="C202" s="202" t="s">
        <v>1582</v>
      </c>
      <c r="D202" s="209">
        <v>160</v>
      </c>
      <c r="E202" s="202" t="s">
        <v>251</v>
      </c>
      <c r="F202" s="202" t="s">
        <v>250</v>
      </c>
    </row>
    <row r="203" spans="1:6" s="216" customFormat="1" x14ac:dyDescent="0.3">
      <c r="A203" s="202" t="str">
        <f t="shared" si="3"/>
        <v>COE 480,ED4-COE</v>
      </c>
      <c r="B203" s="202" t="s">
        <v>1169</v>
      </c>
      <c r="C203" s="202" t="s">
        <v>1584</v>
      </c>
      <c r="D203" s="209">
        <v>70</v>
      </c>
      <c r="E203" s="202" t="s">
        <v>251</v>
      </c>
      <c r="F203" s="202" t="s">
        <v>457</v>
      </c>
    </row>
    <row r="204" spans="1:6" s="216" customFormat="1" x14ac:dyDescent="0.3">
      <c r="A204" s="202" t="str">
        <f t="shared" si="3"/>
        <v>COE 486,ED4-COE</v>
      </c>
      <c r="B204" s="202" t="s">
        <v>1170</v>
      </c>
      <c r="C204" s="202" t="s">
        <v>1584</v>
      </c>
      <c r="D204" s="209">
        <v>20</v>
      </c>
      <c r="E204" s="202" t="s">
        <v>251</v>
      </c>
      <c r="F204" s="202" t="s">
        <v>504</v>
      </c>
    </row>
    <row r="205" spans="1:6" s="216" customFormat="1" x14ac:dyDescent="0.3">
      <c r="A205" s="202" t="str">
        <f t="shared" si="3"/>
        <v>ME 492,ED4-COE</v>
      </c>
      <c r="B205" s="202" t="s">
        <v>1015</v>
      </c>
      <c r="C205" s="202" t="s">
        <v>1388</v>
      </c>
      <c r="D205" s="209">
        <v>160</v>
      </c>
      <c r="E205" s="202" t="s">
        <v>251</v>
      </c>
      <c r="F205" s="202" t="s">
        <v>373</v>
      </c>
    </row>
    <row r="206" spans="1:6" s="216" customFormat="1" x14ac:dyDescent="0.3">
      <c r="A206" s="202" t="str">
        <f t="shared" si="3"/>
        <v>COE 482,ED4-COE</v>
      </c>
      <c r="B206" s="202" t="s">
        <v>1187</v>
      </c>
      <c r="C206" s="202" t="s">
        <v>1970</v>
      </c>
      <c r="D206" s="209">
        <v>76</v>
      </c>
      <c r="E206" s="202" t="s">
        <v>251</v>
      </c>
      <c r="F206" s="202" t="s">
        <v>1172</v>
      </c>
    </row>
    <row r="207" spans="1:6" s="216" customFormat="1" x14ac:dyDescent="0.3">
      <c r="A207" s="202" t="str">
        <f t="shared" si="3"/>
        <v>EE 158,ED1-EE</v>
      </c>
      <c r="B207" s="202" t="s">
        <v>1971</v>
      </c>
      <c r="C207" s="202" t="s">
        <v>1972</v>
      </c>
      <c r="D207" s="209">
        <v>340</v>
      </c>
      <c r="E207" s="202" t="s">
        <v>51</v>
      </c>
      <c r="F207" s="202" t="s">
        <v>329</v>
      </c>
    </row>
    <row r="208" spans="1:6" s="216" customFormat="1" x14ac:dyDescent="0.3">
      <c r="A208" s="202" t="str">
        <f t="shared" si="3"/>
        <v>EE 152,ED1-EE</v>
      </c>
      <c r="B208" s="202" t="s">
        <v>990</v>
      </c>
      <c r="C208" s="202" t="s">
        <v>1947</v>
      </c>
      <c r="D208" s="209">
        <v>295</v>
      </c>
      <c r="E208" s="202" t="s">
        <v>51</v>
      </c>
      <c r="F208" s="202" t="s">
        <v>234</v>
      </c>
    </row>
    <row r="209" spans="1:6" s="216" customFormat="1" x14ac:dyDescent="0.3">
      <c r="A209" s="202" t="str">
        <f t="shared" si="3"/>
        <v>EE 166,ED1-EE</v>
      </c>
      <c r="B209" s="202" t="s">
        <v>1154</v>
      </c>
      <c r="C209" s="202" t="s">
        <v>1606</v>
      </c>
      <c r="D209" s="209">
        <v>295</v>
      </c>
      <c r="E209" s="202" t="s">
        <v>51</v>
      </c>
      <c r="F209" s="202" t="s">
        <v>184</v>
      </c>
    </row>
    <row r="210" spans="1:6" s="216" customFormat="1" x14ac:dyDescent="0.3">
      <c r="A210" s="202" t="str">
        <f t="shared" si="3"/>
        <v>EE 188,ED1-EE</v>
      </c>
      <c r="B210" s="202" t="s">
        <v>1174</v>
      </c>
      <c r="C210" s="202" t="s">
        <v>1946</v>
      </c>
      <c r="D210" s="209">
        <v>295</v>
      </c>
      <c r="E210" s="202" t="s">
        <v>51</v>
      </c>
      <c r="F210" s="202" t="s">
        <v>137</v>
      </c>
    </row>
    <row r="211" spans="1:6" s="216" customFormat="1" x14ac:dyDescent="0.3">
      <c r="A211" s="202" t="str">
        <f t="shared" si="3"/>
        <v>ENGL 158,ED1-EE</v>
      </c>
      <c r="B211" s="202" t="s">
        <v>991</v>
      </c>
      <c r="C211" s="202" t="s">
        <v>1629</v>
      </c>
      <c r="D211" s="209">
        <v>295</v>
      </c>
      <c r="E211" s="202" t="s">
        <v>51</v>
      </c>
      <c r="F211" s="202" t="s">
        <v>364</v>
      </c>
    </row>
    <row r="212" spans="1:6" s="216" customFormat="1" x14ac:dyDescent="0.3">
      <c r="A212" s="202" t="str">
        <f t="shared" si="3"/>
        <v>MATH 152,ED1-EE</v>
      </c>
      <c r="B212" s="202" t="s">
        <v>992</v>
      </c>
      <c r="C212" s="202" t="s">
        <v>1724</v>
      </c>
      <c r="D212" s="209">
        <v>295</v>
      </c>
      <c r="E212" s="202" t="s">
        <v>51</v>
      </c>
      <c r="F212" s="202" t="s">
        <v>129</v>
      </c>
    </row>
    <row r="213" spans="1:6" s="216" customFormat="1" x14ac:dyDescent="0.3">
      <c r="A213" s="202" t="str">
        <f t="shared" si="3"/>
        <v>EE 156,ED1-EE</v>
      </c>
      <c r="B213" s="202" t="s">
        <v>1151</v>
      </c>
      <c r="C213" s="202" t="s">
        <v>1599</v>
      </c>
      <c r="D213" s="209">
        <v>295</v>
      </c>
      <c r="E213" s="202" t="s">
        <v>51</v>
      </c>
      <c r="F213" s="202" t="s">
        <v>19</v>
      </c>
    </row>
    <row r="214" spans="1:6" s="216" customFormat="1" x14ac:dyDescent="0.3">
      <c r="A214" s="202" t="str">
        <f t="shared" si="3"/>
        <v>ME 166,ED1-EE</v>
      </c>
      <c r="B214" s="202" t="s">
        <v>1175</v>
      </c>
      <c r="C214" s="202" t="s">
        <v>1741</v>
      </c>
      <c r="D214" s="209">
        <v>295</v>
      </c>
      <c r="E214" s="202" t="s">
        <v>51</v>
      </c>
      <c r="F214" s="202" t="s">
        <v>421</v>
      </c>
    </row>
    <row r="215" spans="1:6" s="216" customFormat="1" x14ac:dyDescent="0.3">
      <c r="A215" s="202" t="str">
        <f t="shared" si="3"/>
        <v>ECON 152,ED2-EE</v>
      </c>
      <c r="B215" s="202" t="s">
        <v>1144</v>
      </c>
      <c r="C215" s="202" t="s">
        <v>1594</v>
      </c>
      <c r="D215" s="209">
        <v>150</v>
      </c>
      <c r="E215" s="202" t="s">
        <v>25</v>
      </c>
      <c r="F215" s="202" t="s">
        <v>406</v>
      </c>
    </row>
    <row r="216" spans="1:6" s="216" customFormat="1" x14ac:dyDescent="0.3">
      <c r="A216" s="202" t="str">
        <f t="shared" si="3"/>
        <v>EE 258,ED2-EE</v>
      </c>
      <c r="B216" s="202" t="s">
        <v>1973</v>
      </c>
      <c r="C216" s="202" t="s">
        <v>1620</v>
      </c>
      <c r="D216" s="209">
        <v>340</v>
      </c>
      <c r="E216" s="202" t="s">
        <v>25</v>
      </c>
      <c r="F216" s="202" t="s">
        <v>305</v>
      </c>
    </row>
    <row r="217" spans="1:6" s="216" customFormat="1" x14ac:dyDescent="0.3">
      <c r="A217" s="202" t="str">
        <f t="shared" si="3"/>
        <v>EE 262,ED2-EE</v>
      </c>
      <c r="B217" s="202" t="s">
        <v>1974</v>
      </c>
      <c r="C217" s="202" t="s">
        <v>1611</v>
      </c>
      <c r="D217" s="209">
        <v>340</v>
      </c>
      <c r="E217" s="202" t="s">
        <v>25</v>
      </c>
      <c r="F217" s="202" t="s">
        <v>365</v>
      </c>
    </row>
    <row r="218" spans="1:6" s="216" customFormat="1" x14ac:dyDescent="0.3">
      <c r="A218" s="202" t="str">
        <f t="shared" si="3"/>
        <v>EE 272,ED2-EE</v>
      </c>
      <c r="B218" s="202" t="s">
        <v>1177</v>
      </c>
      <c r="C218" s="202" t="s">
        <v>1586</v>
      </c>
      <c r="D218" s="209">
        <v>340</v>
      </c>
      <c r="E218" s="202" t="s">
        <v>25</v>
      </c>
      <c r="F218" s="202" t="s">
        <v>24</v>
      </c>
    </row>
    <row r="219" spans="1:6" s="216" customFormat="1" x14ac:dyDescent="0.3">
      <c r="A219" s="202" t="str">
        <f t="shared" si="3"/>
        <v>EE 292,ED2-EE</v>
      </c>
      <c r="B219" s="202" t="s">
        <v>1179</v>
      </c>
      <c r="C219" s="202" t="s">
        <v>1615</v>
      </c>
      <c r="D219" s="209">
        <v>340</v>
      </c>
      <c r="E219" s="202" t="s">
        <v>25</v>
      </c>
      <c r="F219" s="202" t="s">
        <v>1180</v>
      </c>
    </row>
    <row r="220" spans="1:6" s="216" customFormat="1" x14ac:dyDescent="0.3">
      <c r="A220" s="202" t="str">
        <f t="shared" si="3"/>
        <v>FC 182,ED2-EE</v>
      </c>
      <c r="B220" s="202" t="s">
        <v>1085</v>
      </c>
      <c r="C220" s="202" t="s">
        <v>1639</v>
      </c>
      <c r="D220" s="209">
        <v>170</v>
      </c>
      <c r="E220" s="202" t="s">
        <v>25</v>
      </c>
      <c r="F220" s="202" t="s">
        <v>245</v>
      </c>
    </row>
    <row r="221" spans="1:6" s="216" customFormat="1" x14ac:dyDescent="0.3">
      <c r="A221" s="202" t="str">
        <f t="shared" si="3"/>
        <v>MATH 252,ED2-EE</v>
      </c>
      <c r="B221" s="202" t="s">
        <v>998</v>
      </c>
      <c r="C221" s="202" t="s">
        <v>1975</v>
      </c>
      <c r="D221" s="209">
        <v>340</v>
      </c>
      <c r="E221" s="202" t="s">
        <v>25</v>
      </c>
      <c r="F221" s="202" t="s">
        <v>281</v>
      </c>
    </row>
    <row r="222" spans="1:6" s="216" customFormat="1" x14ac:dyDescent="0.3">
      <c r="A222" s="202" t="str">
        <f t="shared" si="3"/>
        <v>TE 254,ED2-EE</v>
      </c>
      <c r="B222" s="202" t="s">
        <v>1159</v>
      </c>
      <c r="C222" s="202" t="s">
        <v>1923</v>
      </c>
      <c r="D222" s="209">
        <v>340</v>
      </c>
      <c r="E222" s="202" t="s">
        <v>25</v>
      </c>
      <c r="F222" s="202" t="s">
        <v>235</v>
      </c>
    </row>
    <row r="223" spans="1:6" s="217" customFormat="1" x14ac:dyDescent="0.3">
      <c r="A223" s="202" t="str">
        <f t="shared" si="3"/>
        <v>COE 382,ED3-EE</v>
      </c>
      <c r="B223" s="202" t="s">
        <v>1182</v>
      </c>
      <c r="C223" s="202" t="s">
        <v>1574</v>
      </c>
      <c r="D223" s="209">
        <v>29</v>
      </c>
      <c r="E223" s="202" t="s">
        <v>71</v>
      </c>
      <c r="F223" s="202" t="s">
        <v>412</v>
      </c>
    </row>
    <row r="224" spans="1:6" s="216" customFormat="1" x14ac:dyDescent="0.3">
      <c r="A224" s="202" t="str">
        <f t="shared" si="3"/>
        <v>EE 360,ED3-EE</v>
      </c>
      <c r="B224" s="202" t="s">
        <v>1183</v>
      </c>
      <c r="C224" s="202" t="s">
        <v>1611</v>
      </c>
      <c r="D224" s="209">
        <v>185</v>
      </c>
      <c r="E224" s="202" t="s">
        <v>71</v>
      </c>
      <c r="F224" s="202" t="s">
        <v>381</v>
      </c>
    </row>
    <row r="225" spans="1:6" s="216" customFormat="1" x14ac:dyDescent="0.3">
      <c r="A225" s="202" t="str">
        <f t="shared" si="3"/>
        <v>EE 362,ED3-EE</v>
      </c>
      <c r="B225" s="202" t="s">
        <v>1184</v>
      </c>
      <c r="C225" s="202" t="s">
        <v>1618</v>
      </c>
      <c r="D225" s="209">
        <v>240</v>
      </c>
      <c r="E225" s="202" t="s">
        <v>71</v>
      </c>
      <c r="F225" s="202" t="s">
        <v>70</v>
      </c>
    </row>
    <row r="226" spans="1:6" s="216" customFormat="1" x14ac:dyDescent="0.3">
      <c r="A226" s="202" t="str">
        <f t="shared" si="3"/>
        <v>EE 366,ED3-EE</v>
      </c>
      <c r="B226" s="202" t="s">
        <v>1185</v>
      </c>
      <c r="C226" s="202" t="s">
        <v>1620</v>
      </c>
      <c r="D226" s="209">
        <v>240</v>
      </c>
      <c r="E226" s="202" t="s">
        <v>71</v>
      </c>
      <c r="F226" s="202" t="s">
        <v>286</v>
      </c>
    </row>
    <row r="227" spans="1:6" s="216" customFormat="1" x14ac:dyDescent="0.3">
      <c r="A227" s="202" t="str">
        <f t="shared" si="3"/>
        <v>EE 368,ED3-EE</v>
      </c>
      <c r="B227" s="202" t="s">
        <v>1186</v>
      </c>
      <c r="C227" s="202" t="s">
        <v>1606</v>
      </c>
      <c r="D227" s="209">
        <v>240</v>
      </c>
      <c r="E227" s="202" t="s">
        <v>71</v>
      </c>
      <c r="F227" s="202" t="s">
        <v>517</v>
      </c>
    </row>
    <row r="228" spans="1:6" s="216" customFormat="1" x14ac:dyDescent="0.3">
      <c r="A228" s="202" t="str">
        <f t="shared" si="3"/>
        <v>EE 380,ED3-EE</v>
      </c>
      <c r="B228" s="202" t="s">
        <v>1187</v>
      </c>
      <c r="C228" s="202" t="s">
        <v>1586</v>
      </c>
      <c r="D228" s="209">
        <v>70</v>
      </c>
      <c r="E228" s="202" t="s">
        <v>71</v>
      </c>
      <c r="F228" s="202" t="s">
        <v>233</v>
      </c>
    </row>
    <row r="229" spans="1:6" s="216" customFormat="1" x14ac:dyDescent="0.3">
      <c r="A229" s="202" t="str">
        <f t="shared" si="3"/>
        <v>EE 392,ED3-EE</v>
      </c>
      <c r="B229" s="202" t="s">
        <v>1188</v>
      </c>
      <c r="C229" s="202" t="s">
        <v>1976</v>
      </c>
      <c r="D229" s="209">
        <v>240</v>
      </c>
      <c r="E229" s="202" t="s">
        <v>71</v>
      </c>
      <c r="F229" s="202" t="s">
        <v>1189</v>
      </c>
    </row>
    <row r="230" spans="1:6" s="216" customFormat="1" x14ac:dyDescent="0.3">
      <c r="A230" s="202" t="str">
        <f t="shared" si="3"/>
        <v>TE 372,ED3-EE</v>
      </c>
      <c r="B230" s="202" t="s">
        <v>1190</v>
      </c>
      <c r="C230" s="202" t="s">
        <v>1920</v>
      </c>
      <c r="D230" s="209">
        <v>170</v>
      </c>
      <c r="E230" s="202" t="s">
        <v>71</v>
      </c>
      <c r="F230" s="202" t="s">
        <v>308</v>
      </c>
    </row>
    <row r="231" spans="1:6" s="216" customFormat="1" x14ac:dyDescent="0.3">
      <c r="A231" s="202" t="str">
        <f t="shared" si="3"/>
        <v>TE 384,ED3-EE</v>
      </c>
      <c r="B231" s="202" t="s">
        <v>1191</v>
      </c>
      <c r="C231" s="202" t="s">
        <v>1925</v>
      </c>
      <c r="D231" s="209">
        <v>10</v>
      </c>
      <c r="E231" s="202" t="s">
        <v>71</v>
      </c>
      <c r="F231" s="202" t="s">
        <v>117</v>
      </c>
    </row>
    <row r="232" spans="1:6" s="216" customFormat="1" x14ac:dyDescent="0.3">
      <c r="A232" s="202" t="str">
        <f t="shared" si="3"/>
        <v>TE 386,ED3-EE</v>
      </c>
      <c r="B232" s="202" t="s">
        <v>1192</v>
      </c>
      <c r="C232" s="202" t="s">
        <v>1972</v>
      </c>
      <c r="D232" s="209">
        <v>240</v>
      </c>
      <c r="E232" s="202" t="s">
        <v>71</v>
      </c>
      <c r="F232" s="202" t="s">
        <v>465</v>
      </c>
    </row>
    <row r="233" spans="1:6" s="216" customFormat="1" x14ac:dyDescent="0.3">
      <c r="A233" s="202" t="str">
        <f t="shared" si="3"/>
        <v>EE 484,ED4-EE</v>
      </c>
      <c r="B233" s="202" t="s">
        <v>1193</v>
      </c>
      <c r="C233" s="202" t="s">
        <v>1586</v>
      </c>
      <c r="D233" s="209">
        <v>205</v>
      </c>
      <c r="E233" s="202" t="s">
        <v>144</v>
      </c>
      <c r="F233" s="202" t="s">
        <v>447</v>
      </c>
    </row>
    <row r="234" spans="1:6" s="216" customFormat="1" x14ac:dyDescent="0.3">
      <c r="A234" s="202" t="str">
        <f t="shared" si="3"/>
        <v>COE 486,ED4-EE</v>
      </c>
      <c r="B234" s="202" t="s">
        <v>1195</v>
      </c>
      <c r="C234" s="202" t="s">
        <v>1584</v>
      </c>
      <c r="D234" s="209">
        <v>15</v>
      </c>
      <c r="E234" s="202" t="s">
        <v>144</v>
      </c>
      <c r="F234" s="202" t="s">
        <v>504</v>
      </c>
    </row>
    <row r="235" spans="1:6" s="216" customFormat="1" x14ac:dyDescent="0.3">
      <c r="A235" s="202" t="str">
        <f t="shared" si="3"/>
        <v>EE 462,ED4-EE</v>
      </c>
      <c r="B235" s="202" t="s">
        <v>1196</v>
      </c>
      <c r="C235" s="202" t="s">
        <v>1620</v>
      </c>
      <c r="D235" s="209">
        <v>189</v>
      </c>
      <c r="E235" s="202" t="s">
        <v>144</v>
      </c>
      <c r="F235" s="202" t="s">
        <v>143</v>
      </c>
    </row>
    <row r="236" spans="1:6" s="216" customFormat="1" x14ac:dyDescent="0.3">
      <c r="A236" s="202" t="str">
        <f t="shared" si="3"/>
        <v>EE 466,ED4-EE</v>
      </c>
      <c r="B236" s="202" t="s">
        <v>1197</v>
      </c>
      <c r="C236" s="202" t="s">
        <v>1618</v>
      </c>
      <c r="D236" s="209">
        <v>165</v>
      </c>
      <c r="E236" s="202" t="s">
        <v>144</v>
      </c>
      <c r="F236" s="202" t="s">
        <v>353</v>
      </c>
    </row>
    <row r="237" spans="1:6" s="216" customFormat="1" x14ac:dyDescent="0.3">
      <c r="A237" s="202" t="str">
        <f t="shared" si="3"/>
        <v>EE 468,ED4-EE</v>
      </c>
      <c r="B237" s="202" t="s">
        <v>1198</v>
      </c>
      <c r="C237" s="202" t="s">
        <v>1615</v>
      </c>
      <c r="D237" s="209">
        <v>205</v>
      </c>
      <c r="E237" s="202" t="s">
        <v>144</v>
      </c>
      <c r="F237" s="202" t="s">
        <v>267</v>
      </c>
    </row>
    <row r="238" spans="1:6" s="216" customFormat="1" x14ac:dyDescent="0.3">
      <c r="A238" s="202" t="str">
        <f t="shared" si="3"/>
        <v>EE 472,ED4-EE</v>
      </c>
      <c r="B238" s="202" t="s">
        <v>1094</v>
      </c>
      <c r="C238" s="202" t="s">
        <v>1627</v>
      </c>
      <c r="D238" s="209">
        <v>12</v>
      </c>
      <c r="E238" s="202" t="s">
        <v>144</v>
      </c>
      <c r="F238" s="202" t="s">
        <v>307</v>
      </c>
    </row>
    <row r="239" spans="1:6" s="216" customFormat="1" x14ac:dyDescent="0.3">
      <c r="A239" s="202" t="str">
        <f t="shared" si="3"/>
        <v>ME 492,ED4-EE</v>
      </c>
      <c r="B239" s="202" t="s">
        <v>1199</v>
      </c>
      <c r="C239" s="202" t="s">
        <v>1435</v>
      </c>
      <c r="D239" s="209">
        <v>205</v>
      </c>
      <c r="E239" s="202" t="s">
        <v>144</v>
      </c>
      <c r="F239" s="202" t="s">
        <v>373</v>
      </c>
    </row>
    <row r="240" spans="1:6" s="216" customFormat="1" x14ac:dyDescent="0.3">
      <c r="A240" s="202" t="str">
        <f t="shared" si="3"/>
        <v>TE 472,ED4-EE</v>
      </c>
      <c r="B240" s="202" t="s">
        <v>1373</v>
      </c>
      <c r="C240" s="202" t="s">
        <v>1935</v>
      </c>
      <c r="D240" s="209">
        <v>4</v>
      </c>
      <c r="E240" s="202" t="s">
        <v>144</v>
      </c>
      <c r="F240" s="202" t="s">
        <v>306</v>
      </c>
    </row>
    <row r="241" spans="1:6" s="216" customFormat="1" x14ac:dyDescent="0.3">
      <c r="A241" s="202" t="str">
        <f t="shared" si="3"/>
        <v>CE 156,ED1-GEOL</v>
      </c>
      <c r="B241" s="202" t="s">
        <v>1098</v>
      </c>
      <c r="C241" s="202" t="s">
        <v>1464</v>
      </c>
      <c r="D241" s="209">
        <v>125</v>
      </c>
      <c r="E241" s="202" t="s">
        <v>126</v>
      </c>
      <c r="F241" s="202" t="s">
        <v>461</v>
      </c>
    </row>
    <row r="242" spans="1:6" s="216" customFormat="1" x14ac:dyDescent="0.3">
      <c r="A242" s="202" t="str">
        <f t="shared" si="3"/>
        <v>CE 164,ED1-GEOL</v>
      </c>
      <c r="B242" s="202" t="s">
        <v>1099</v>
      </c>
      <c r="C242" s="202" t="s">
        <v>1466</v>
      </c>
      <c r="D242" s="209">
        <v>125</v>
      </c>
      <c r="E242" s="202" t="s">
        <v>126</v>
      </c>
      <c r="F242" s="202" t="s">
        <v>182</v>
      </c>
    </row>
    <row r="243" spans="1:6" s="216" customFormat="1" x14ac:dyDescent="0.3">
      <c r="A243" s="202" t="str">
        <f t="shared" si="3"/>
        <v>ACF 256,ED1-GEOL</v>
      </c>
      <c r="B243" s="202" t="s">
        <v>1200</v>
      </c>
      <c r="C243" s="202" t="s">
        <v>1977</v>
      </c>
      <c r="D243" s="209">
        <v>5</v>
      </c>
      <c r="E243" s="202" t="s">
        <v>126</v>
      </c>
      <c r="F243" s="202" t="s">
        <v>424</v>
      </c>
    </row>
    <row r="244" spans="1:6" s="216" customFormat="1" x14ac:dyDescent="0.3">
      <c r="A244" s="202" t="str">
        <f t="shared" si="3"/>
        <v>ECON 152,ED1-GEOL</v>
      </c>
      <c r="B244" s="202" t="s">
        <v>1144</v>
      </c>
      <c r="C244" s="202" t="s">
        <v>1978</v>
      </c>
      <c r="D244" s="209">
        <v>30</v>
      </c>
      <c r="E244" s="202" t="s">
        <v>126</v>
      </c>
      <c r="F244" s="202" t="s">
        <v>406</v>
      </c>
    </row>
    <row r="245" spans="1:6" s="216" customFormat="1" x14ac:dyDescent="0.3">
      <c r="A245" s="202" t="str">
        <f t="shared" si="3"/>
        <v>EE 152,ED1-GEOL</v>
      </c>
      <c r="B245" s="202" t="s">
        <v>990</v>
      </c>
      <c r="C245" s="202" t="s">
        <v>1599</v>
      </c>
      <c r="D245" s="209">
        <v>125</v>
      </c>
      <c r="E245" s="202" t="s">
        <v>126</v>
      </c>
      <c r="F245" s="202" t="s">
        <v>234</v>
      </c>
    </row>
    <row r="246" spans="1:6" s="216" customFormat="1" x14ac:dyDescent="0.3">
      <c r="A246" s="202" t="str">
        <f t="shared" si="3"/>
        <v>ENGL 158,ED1-GEOL</v>
      </c>
      <c r="B246" s="202" t="s">
        <v>991</v>
      </c>
      <c r="C246" s="202" t="s">
        <v>1629</v>
      </c>
      <c r="D246" s="209">
        <v>125</v>
      </c>
      <c r="E246" s="202" t="s">
        <v>126</v>
      </c>
      <c r="F246" s="202" t="s">
        <v>364</v>
      </c>
    </row>
    <row r="247" spans="1:6" s="216" customFormat="1" x14ac:dyDescent="0.3">
      <c r="A247" s="202" t="str">
        <f t="shared" si="3"/>
        <v>FC 182,ED1-GEOL</v>
      </c>
      <c r="B247" s="202" t="s">
        <v>1085</v>
      </c>
      <c r="C247" s="202" t="s">
        <v>1638</v>
      </c>
      <c r="D247" s="209">
        <v>90</v>
      </c>
      <c r="E247" s="202" t="s">
        <v>126</v>
      </c>
      <c r="F247" s="202" t="s">
        <v>245</v>
      </c>
    </row>
    <row r="248" spans="1:6" s="216" customFormat="1" x14ac:dyDescent="0.3">
      <c r="A248" s="202" t="str">
        <f t="shared" si="3"/>
        <v>GED 152,ED1-GEOL</v>
      </c>
      <c r="B248" s="202" t="s">
        <v>1201</v>
      </c>
      <c r="C248" s="202" t="s">
        <v>1668</v>
      </c>
      <c r="D248" s="209">
        <v>125</v>
      </c>
      <c r="E248" s="202" t="s">
        <v>126</v>
      </c>
      <c r="F248" s="202" t="s">
        <v>354</v>
      </c>
    </row>
    <row r="249" spans="1:6" s="216" customFormat="1" x14ac:dyDescent="0.3">
      <c r="A249" s="202" t="str">
        <f t="shared" si="3"/>
        <v>GED 164,ED1-GEOL</v>
      </c>
      <c r="B249" s="202" t="s">
        <v>1202</v>
      </c>
      <c r="C249" s="202" t="s">
        <v>1979</v>
      </c>
      <c r="D249" s="209">
        <v>125</v>
      </c>
      <c r="E249" s="202" t="s">
        <v>126</v>
      </c>
      <c r="F249" s="202" t="s">
        <v>125</v>
      </c>
    </row>
    <row r="250" spans="1:6" s="216" customFormat="1" x14ac:dyDescent="0.3">
      <c r="A250" s="202" t="str">
        <f t="shared" si="3"/>
        <v>MATH 152,ED1-GEOL</v>
      </c>
      <c r="B250" s="202" t="s">
        <v>992</v>
      </c>
      <c r="C250" s="202" t="s">
        <v>1725</v>
      </c>
      <c r="D250" s="209">
        <v>125</v>
      </c>
      <c r="E250" s="202" t="s">
        <v>126</v>
      </c>
      <c r="F250" s="202" t="s">
        <v>129</v>
      </c>
    </row>
    <row r="251" spans="1:6" s="216" customFormat="1" x14ac:dyDescent="0.3">
      <c r="A251" s="202" t="str">
        <f t="shared" si="3"/>
        <v>CE 256,ED2-GEOL</v>
      </c>
      <c r="B251" s="202" t="s">
        <v>1101</v>
      </c>
      <c r="C251" s="202" t="s">
        <v>1468</v>
      </c>
      <c r="D251" s="209">
        <v>150</v>
      </c>
      <c r="E251" s="202" t="s">
        <v>55</v>
      </c>
      <c r="F251" s="202" t="s">
        <v>54</v>
      </c>
    </row>
    <row r="252" spans="1:6" s="216" customFormat="1" x14ac:dyDescent="0.3">
      <c r="A252" s="202" t="str">
        <f t="shared" si="3"/>
        <v>GE 282,ED2-GEOL</v>
      </c>
      <c r="B252" s="202" t="s">
        <v>1107</v>
      </c>
      <c r="C252" s="202" t="s">
        <v>1650</v>
      </c>
      <c r="D252" s="209">
        <v>150</v>
      </c>
      <c r="E252" s="202" t="s">
        <v>55</v>
      </c>
      <c r="F252" s="202" t="s">
        <v>489</v>
      </c>
    </row>
    <row r="253" spans="1:6" s="216" customFormat="1" x14ac:dyDescent="0.3">
      <c r="A253" s="202" t="str">
        <f t="shared" si="3"/>
        <v>GED 252,ED2-GEOL</v>
      </c>
      <c r="B253" s="202" t="s">
        <v>1203</v>
      </c>
      <c r="C253" s="202" t="s">
        <v>1672</v>
      </c>
      <c r="D253" s="209">
        <v>150</v>
      </c>
      <c r="E253" s="202" t="s">
        <v>55</v>
      </c>
      <c r="F253" s="202" t="s">
        <v>224</v>
      </c>
    </row>
    <row r="254" spans="1:6" s="216" customFormat="1" x14ac:dyDescent="0.3">
      <c r="A254" s="202" t="str">
        <f t="shared" si="3"/>
        <v>GED 254,ED2-GEOL</v>
      </c>
      <c r="B254" s="202" t="s">
        <v>1204</v>
      </c>
      <c r="C254" s="202" t="s">
        <v>1674</v>
      </c>
      <c r="D254" s="209">
        <v>150</v>
      </c>
      <c r="E254" s="202" t="s">
        <v>55</v>
      </c>
      <c r="F254" s="202" t="s">
        <v>399</v>
      </c>
    </row>
    <row r="255" spans="1:6" s="216" customFormat="1" x14ac:dyDescent="0.3">
      <c r="A255" s="202" t="str">
        <f t="shared" si="3"/>
        <v>GED 258,ED2-GEOL</v>
      </c>
      <c r="B255" s="202" t="s">
        <v>1205</v>
      </c>
      <c r="C255" s="202" t="s">
        <v>1686</v>
      </c>
      <c r="D255" s="209">
        <v>150</v>
      </c>
      <c r="E255" s="202" t="s">
        <v>55</v>
      </c>
      <c r="F255" s="202" t="s">
        <v>369</v>
      </c>
    </row>
    <row r="256" spans="1:6" s="216" customFormat="1" x14ac:dyDescent="0.3">
      <c r="A256" s="202" t="str">
        <f t="shared" si="3"/>
        <v>GED 262,ED2-GEOL</v>
      </c>
      <c r="B256" s="202" t="s">
        <v>1206</v>
      </c>
      <c r="C256" s="202" t="s">
        <v>1678</v>
      </c>
      <c r="D256" s="209">
        <v>150</v>
      </c>
      <c r="E256" s="202" t="s">
        <v>55</v>
      </c>
      <c r="F256" s="202" t="s">
        <v>247</v>
      </c>
    </row>
    <row r="257" spans="1:6" s="216" customFormat="1" x14ac:dyDescent="0.3">
      <c r="A257" s="202" t="str">
        <f t="shared" si="3"/>
        <v>MATH 252,ED2-GEOL</v>
      </c>
      <c r="B257" s="202" t="s">
        <v>998</v>
      </c>
      <c r="C257" s="202" t="s">
        <v>1727</v>
      </c>
      <c r="D257" s="209">
        <v>150</v>
      </c>
      <c r="E257" s="202" t="s">
        <v>55</v>
      </c>
      <c r="F257" s="202" t="s">
        <v>281</v>
      </c>
    </row>
    <row r="258" spans="1:6" s="216" customFormat="1" x14ac:dyDescent="0.3">
      <c r="A258" s="202" t="str">
        <f t="shared" ref="A258:A321" si="4">CONCATENATE(F258,",",E258)</f>
        <v>GED 342,ED3-GEOL</v>
      </c>
      <c r="B258" s="202" t="s">
        <v>1208</v>
      </c>
      <c r="C258" s="202" t="s">
        <v>1680</v>
      </c>
      <c r="D258" s="209">
        <v>154</v>
      </c>
      <c r="E258" s="202" t="s">
        <v>154</v>
      </c>
      <c r="F258" s="202" t="s">
        <v>497</v>
      </c>
    </row>
    <row r="259" spans="1:6" s="216" customFormat="1" x14ac:dyDescent="0.3">
      <c r="A259" s="202" t="str">
        <f t="shared" si="4"/>
        <v>GED 352,ED3-GEOL</v>
      </c>
      <c r="B259" s="202" t="s">
        <v>1209</v>
      </c>
      <c r="C259" s="202" t="s">
        <v>1682</v>
      </c>
      <c r="D259" s="209">
        <v>154</v>
      </c>
      <c r="E259" s="202" t="s">
        <v>154</v>
      </c>
      <c r="F259" s="202" t="s">
        <v>153</v>
      </c>
    </row>
    <row r="260" spans="1:6" s="216" customFormat="1" x14ac:dyDescent="0.3">
      <c r="A260" s="202" t="str">
        <f t="shared" si="4"/>
        <v>GED 354,ED3-GEOL</v>
      </c>
      <c r="B260" s="202" t="s">
        <v>1980</v>
      </c>
      <c r="C260" s="202" t="s">
        <v>1700</v>
      </c>
      <c r="D260" s="209">
        <v>154</v>
      </c>
      <c r="E260" s="202" t="s">
        <v>154</v>
      </c>
      <c r="F260" s="202" t="s">
        <v>246</v>
      </c>
    </row>
    <row r="261" spans="1:6" s="216" customFormat="1" x14ac:dyDescent="0.3">
      <c r="A261" s="202" t="str">
        <f t="shared" si="4"/>
        <v>GED 364,ED3-GEOL</v>
      </c>
      <c r="B261" s="202" t="s">
        <v>1211</v>
      </c>
      <c r="C261" s="202" t="s">
        <v>1686</v>
      </c>
      <c r="D261" s="209">
        <v>154</v>
      </c>
      <c r="E261" s="202" t="s">
        <v>154</v>
      </c>
      <c r="F261" s="202" t="s">
        <v>437</v>
      </c>
    </row>
    <row r="262" spans="1:6" s="216" customFormat="1" x14ac:dyDescent="0.3">
      <c r="A262" s="202" t="str">
        <f t="shared" si="4"/>
        <v>GED 366,ED3-GEOL</v>
      </c>
      <c r="B262" s="202" t="s">
        <v>1212</v>
      </c>
      <c r="C262" s="202" t="s">
        <v>1688</v>
      </c>
      <c r="D262" s="209">
        <v>154</v>
      </c>
      <c r="E262" s="202" t="s">
        <v>154</v>
      </c>
      <c r="F262" s="202" t="s">
        <v>379</v>
      </c>
    </row>
    <row r="263" spans="1:6" s="216" customFormat="1" x14ac:dyDescent="0.3">
      <c r="A263" s="202" t="str">
        <f t="shared" si="4"/>
        <v>GED 368,ED3-GEOL</v>
      </c>
      <c r="B263" s="202" t="s">
        <v>1213</v>
      </c>
      <c r="C263" s="202" t="s">
        <v>1668</v>
      </c>
      <c r="D263" s="209">
        <v>154</v>
      </c>
      <c r="E263" s="202" t="s">
        <v>154</v>
      </c>
      <c r="F263" s="202" t="s">
        <v>222</v>
      </c>
    </row>
    <row r="264" spans="1:6" s="216" customFormat="1" x14ac:dyDescent="0.3">
      <c r="A264" s="202" t="str">
        <f t="shared" si="4"/>
        <v>GED 370,ED3-GEOL</v>
      </c>
      <c r="B264" s="202" t="s">
        <v>1110</v>
      </c>
      <c r="C264" s="202" t="s">
        <v>1678</v>
      </c>
      <c r="D264" s="209">
        <v>154</v>
      </c>
      <c r="E264" s="202" t="s">
        <v>154</v>
      </c>
      <c r="F264" s="202" t="s">
        <v>335</v>
      </c>
    </row>
    <row r="265" spans="1:6" s="216" customFormat="1" x14ac:dyDescent="0.3">
      <c r="A265" s="202" t="str">
        <f t="shared" si="4"/>
        <v>CE 478,ED4-GEOL</v>
      </c>
      <c r="B265" s="202" t="s">
        <v>1125</v>
      </c>
      <c r="C265" s="202" t="s">
        <v>1964</v>
      </c>
      <c r="D265" s="209">
        <v>2</v>
      </c>
      <c r="E265" s="202" t="s">
        <v>177</v>
      </c>
      <c r="F265" s="202" t="s">
        <v>270</v>
      </c>
    </row>
    <row r="266" spans="1:6" s="216" customFormat="1" x14ac:dyDescent="0.3">
      <c r="A266" s="202" t="str">
        <f t="shared" si="4"/>
        <v>GED 452,ED4-GEOL</v>
      </c>
      <c r="B266" s="202" t="s">
        <v>1214</v>
      </c>
      <c r="C266" s="202" t="s">
        <v>1674</v>
      </c>
      <c r="D266" s="209">
        <v>95</v>
      </c>
      <c r="E266" s="202" t="s">
        <v>177</v>
      </c>
      <c r="F266" s="202" t="s">
        <v>214</v>
      </c>
    </row>
    <row r="267" spans="1:6" s="216" customFormat="1" x14ac:dyDescent="0.3">
      <c r="A267" s="202" t="str">
        <f t="shared" si="4"/>
        <v>GED 454,ED4-GEOL</v>
      </c>
      <c r="B267" s="202" t="s">
        <v>1215</v>
      </c>
      <c r="C267" s="202" t="s">
        <v>1688</v>
      </c>
      <c r="D267" s="209">
        <v>95</v>
      </c>
      <c r="E267" s="202" t="s">
        <v>177</v>
      </c>
      <c r="F267" s="202" t="s">
        <v>317</v>
      </c>
    </row>
    <row r="268" spans="1:6" s="216" customFormat="1" x14ac:dyDescent="0.3">
      <c r="A268" s="202" t="str">
        <f t="shared" si="4"/>
        <v>GED 462,ED4-GEOL</v>
      </c>
      <c r="B268" s="202" t="s">
        <v>1216</v>
      </c>
      <c r="C268" s="202" t="s">
        <v>1693</v>
      </c>
      <c r="D268" s="209">
        <v>95</v>
      </c>
      <c r="E268" s="202" t="s">
        <v>177</v>
      </c>
      <c r="F268" s="202" t="s">
        <v>358</v>
      </c>
    </row>
    <row r="269" spans="1:6" s="216" customFormat="1" x14ac:dyDescent="0.3">
      <c r="A269" s="202" t="str">
        <f t="shared" si="4"/>
        <v>GED 464,ED4-GEOL</v>
      </c>
      <c r="B269" s="202" t="s">
        <v>1217</v>
      </c>
      <c r="C269" s="202" t="s">
        <v>1695</v>
      </c>
      <c r="D269" s="209">
        <v>95</v>
      </c>
      <c r="E269" s="202" t="s">
        <v>177</v>
      </c>
      <c r="F269" s="202" t="s">
        <v>176</v>
      </c>
    </row>
    <row r="270" spans="1:6" s="216" customFormat="1" x14ac:dyDescent="0.3">
      <c r="A270" s="202" t="str">
        <f t="shared" si="4"/>
        <v>GED 466,ED4-GEOL</v>
      </c>
      <c r="B270" s="202" t="s">
        <v>1218</v>
      </c>
      <c r="C270" s="202" t="s">
        <v>1688</v>
      </c>
      <c r="D270" s="209">
        <v>35</v>
      </c>
      <c r="E270" s="202" t="s">
        <v>177</v>
      </c>
      <c r="F270" s="202" t="s">
        <v>410</v>
      </c>
    </row>
    <row r="271" spans="1:6" s="216" customFormat="1" x14ac:dyDescent="0.3">
      <c r="A271" s="202" t="str">
        <f t="shared" si="4"/>
        <v>GED 468,ED4-GEOL</v>
      </c>
      <c r="B271" s="202" t="s">
        <v>1219</v>
      </c>
      <c r="C271" s="202" t="s">
        <v>1698</v>
      </c>
      <c r="D271" s="209">
        <v>72</v>
      </c>
      <c r="E271" s="202" t="s">
        <v>177</v>
      </c>
      <c r="F271" s="202" t="s">
        <v>510</v>
      </c>
    </row>
    <row r="272" spans="1:6" s="216" customFormat="1" x14ac:dyDescent="0.3">
      <c r="A272" s="202" t="str">
        <f t="shared" si="4"/>
        <v>GED 476,ED4-GEOL</v>
      </c>
      <c r="B272" s="202" t="s">
        <v>1220</v>
      </c>
      <c r="C272" s="202" t="s">
        <v>1700</v>
      </c>
      <c r="D272" s="209">
        <v>95</v>
      </c>
      <c r="E272" s="202" t="s">
        <v>177</v>
      </c>
      <c r="F272" s="202" t="s">
        <v>445</v>
      </c>
    </row>
    <row r="273" spans="1:6" s="216" customFormat="1" x14ac:dyDescent="0.3">
      <c r="A273" s="202" t="str">
        <f t="shared" si="4"/>
        <v>EE 152,ED1-GEOM</v>
      </c>
      <c r="B273" s="202" t="s">
        <v>990</v>
      </c>
      <c r="C273" s="202" t="s">
        <v>1599</v>
      </c>
      <c r="D273" s="209">
        <v>103</v>
      </c>
      <c r="E273" s="202" t="s">
        <v>95</v>
      </c>
      <c r="F273" s="202" t="s">
        <v>234</v>
      </c>
    </row>
    <row r="274" spans="1:6" s="216" customFormat="1" x14ac:dyDescent="0.3">
      <c r="A274" s="202" t="str">
        <f t="shared" si="4"/>
        <v>ENGL 158,ED1-GEOM</v>
      </c>
      <c r="B274" s="202" t="s">
        <v>991</v>
      </c>
      <c r="C274" s="202" t="s">
        <v>1629</v>
      </c>
      <c r="D274" s="209">
        <v>103</v>
      </c>
      <c r="E274" s="202" t="s">
        <v>95</v>
      </c>
      <c r="F274" s="202" t="s">
        <v>364</v>
      </c>
    </row>
    <row r="275" spans="1:6" s="216" customFormat="1" x14ac:dyDescent="0.3">
      <c r="A275" s="202" t="str">
        <f t="shared" si="4"/>
        <v>GE 152,ED1-GEOM</v>
      </c>
      <c r="B275" s="202" t="s">
        <v>1221</v>
      </c>
      <c r="C275" s="202" t="s">
        <v>1642</v>
      </c>
      <c r="D275" s="209">
        <v>103</v>
      </c>
      <c r="E275" s="202" t="s">
        <v>95</v>
      </c>
      <c r="F275" s="202" t="s">
        <v>201</v>
      </c>
    </row>
    <row r="276" spans="1:6" s="216" customFormat="1" x14ac:dyDescent="0.3">
      <c r="A276" s="202" t="str">
        <f t="shared" si="4"/>
        <v>GE 158,ED1-GEOM</v>
      </c>
      <c r="B276" s="202" t="s">
        <v>987</v>
      </c>
      <c r="C276" s="202" t="s">
        <v>1981</v>
      </c>
      <c r="D276" s="209">
        <v>103</v>
      </c>
      <c r="E276" s="202" t="s">
        <v>95</v>
      </c>
      <c r="F276" s="202" t="s">
        <v>430</v>
      </c>
    </row>
    <row r="277" spans="1:6" s="216" customFormat="1" x14ac:dyDescent="0.3">
      <c r="A277" s="202" t="str">
        <f t="shared" si="4"/>
        <v>GE 162,ED1-GEOM</v>
      </c>
      <c r="B277" s="202" t="s">
        <v>1107</v>
      </c>
      <c r="C277" s="202" t="s">
        <v>1645</v>
      </c>
      <c r="D277" s="209">
        <v>103</v>
      </c>
      <c r="E277" s="202" t="s">
        <v>95</v>
      </c>
      <c r="F277" s="202" t="s">
        <v>94</v>
      </c>
    </row>
    <row r="278" spans="1:6" s="216" customFormat="1" x14ac:dyDescent="0.3">
      <c r="A278" s="202" t="str">
        <f t="shared" si="4"/>
        <v>MATH 152,ED1-GEOM</v>
      </c>
      <c r="B278" s="202" t="s">
        <v>992</v>
      </c>
      <c r="C278" s="202" t="s">
        <v>1951</v>
      </c>
      <c r="D278" s="209">
        <v>103</v>
      </c>
      <c r="E278" s="202" t="s">
        <v>95</v>
      </c>
      <c r="F278" s="202" t="s">
        <v>129</v>
      </c>
    </row>
    <row r="279" spans="1:6" s="216" customFormat="1" x14ac:dyDescent="0.3">
      <c r="A279" s="202" t="str">
        <f t="shared" si="4"/>
        <v>CE 260,ED2-GEOM</v>
      </c>
      <c r="B279" s="202" t="s">
        <v>1103</v>
      </c>
      <c r="C279" s="202" t="s">
        <v>1473</v>
      </c>
      <c r="D279" s="209">
        <v>132</v>
      </c>
      <c r="E279" s="202" t="s">
        <v>170</v>
      </c>
      <c r="F279" s="202" t="s">
        <v>367</v>
      </c>
    </row>
    <row r="280" spans="1:6" s="216" customFormat="1" x14ac:dyDescent="0.3">
      <c r="A280" s="202" t="str">
        <f t="shared" si="4"/>
        <v>ENGL 264,ED2-GEOM</v>
      </c>
      <c r="B280" s="202" t="s">
        <v>996</v>
      </c>
      <c r="C280" s="202" t="s">
        <v>1629</v>
      </c>
      <c r="D280" s="209">
        <v>132</v>
      </c>
      <c r="E280" s="202" t="s">
        <v>170</v>
      </c>
      <c r="F280" s="202" t="s">
        <v>276</v>
      </c>
    </row>
    <row r="281" spans="1:6" s="216" customFormat="1" x14ac:dyDescent="0.3">
      <c r="A281" s="202" t="str">
        <f t="shared" si="4"/>
        <v>GE 262,ED2-GEOM</v>
      </c>
      <c r="B281" s="202" t="s">
        <v>1222</v>
      </c>
      <c r="C281" s="202" t="s">
        <v>1982</v>
      </c>
      <c r="D281" s="209">
        <v>132</v>
      </c>
      <c r="E281" s="202" t="s">
        <v>170</v>
      </c>
      <c r="F281" s="202" t="s">
        <v>169</v>
      </c>
    </row>
    <row r="282" spans="1:6" s="216" customFormat="1" x14ac:dyDescent="0.3">
      <c r="A282" s="202" t="str">
        <f t="shared" si="4"/>
        <v>GE 272,ED2-GEOM</v>
      </c>
      <c r="B282" s="202" t="s">
        <v>1223</v>
      </c>
      <c r="C282" s="202" t="s">
        <v>1649</v>
      </c>
      <c r="D282" s="209">
        <v>132</v>
      </c>
      <c r="E282" s="202" t="s">
        <v>170</v>
      </c>
      <c r="F282" s="202" t="s">
        <v>219</v>
      </c>
    </row>
    <row r="283" spans="1:6" s="216" customFormat="1" x14ac:dyDescent="0.3">
      <c r="A283" s="202" t="str">
        <f t="shared" si="4"/>
        <v>GE 284,ED2-GEOM</v>
      </c>
      <c r="B283" s="202" t="s">
        <v>1224</v>
      </c>
      <c r="C283" s="202" t="s">
        <v>1652</v>
      </c>
      <c r="D283" s="209">
        <v>132</v>
      </c>
      <c r="E283" s="202" t="s">
        <v>170</v>
      </c>
      <c r="F283" s="202" t="s">
        <v>475</v>
      </c>
    </row>
    <row r="284" spans="1:6" s="216" customFormat="1" x14ac:dyDescent="0.3">
      <c r="A284" s="202" t="str">
        <f t="shared" si="4"/>
        <v>MATH 252,ED2-GEOM</v>
      </c>
      <c r="B284" s="202" t="s">
        <v>998</v>
      </c>
      <c r="C284" s="202" t="s">
        <v>1721</v>
      </c>
      <c r="D284" s="209">
        <v>132</v>
      </c>
      <c r="E284" s="202" t="s">
        <v>170</v>
      </c>
      <c r="F284" s="202" t="s">
        <v>281</v>
      </c>
    </row>
    <row r="285" spans="1:6" s="216" customFormat="1" x14ac:dyDescent="0.3">
      <c r="A285" s="202" t="str">
        <f t="shared" si="4"/>
        <v>CE 368,ED3-GEOM</v>
      </c>
      <c r="B285" s="202" t="s">
        <v>1225</v>
      </c>
      <c r="C285" s="202" t="s">
        <v>1491</v>
      </c>
      <c r="D285" s="209">
        <v>122</v>
      </c>
      <c r="E285" s="202" t="s">
        <v>77</v>
      </c>
      <c r="F285" s="202" t="s">
        <v>378</v>
      </c>
    </row>
    <row r="286" spans="1:6" s="216" customFormat="1" x14ac:dyDescent="0.3">
      <c r="A286" s="202" t="str">
        <f t="shared" si="4"/>
        <v>CE 390,ED3-GEOM</v>
      </c>
      <c r="B286" s="202" t="s">
        <v>1983</v>
      </c>
      <c r="C286" s="202" t="s">
        <v>1491</v>
      </c>
      <c r="D286" s="209">
        <v>122</v>
      </c>
      <c r="E286" s="202" t="s">
        <v>77</v>
      </c>
      <c r="F286" s="202" t="s">
        <v>1117</v>
      </c>
    </row>
    <row r="287" spans="1:6" s="216" customFormat="1" x14ac:dyDescent="0.3">
      <c r="A287" s="202" t="str">
        <f t="shared" si="4"/>
        <v>ACF 256,ED3-GEOM</v>
      </c>
      <c r="B287" s="202" t="s">
        <v>1200</v>
      </c>
      <c r="C287" s="202" t="s">
        <v>1978</v>
      </c>
      <c r="D287" s="209">
        <v>35</v>
      </c>
      <c r="E287" s="202" t="s">
        <v>77</v>
      </c>
      <c r="F287" s="202" t="s">
        <v>424</v>
      </c>
    </row>
    <row r="288" spans="1:6" s="216" customFormat="1" x14ac:dyDescent="0.3">
      <c r="A288" s="202" t="str">
        <f t="shared" si="4"/>
        <v>ECON 152,ED3-GEOM</v>
      </c>
      <c r="B288" s="202" t="s">
        <v>1084</v>
      </c>
      <c r="C288" s="202" t="s">
        <v>1984</v>
      </c>
      <c r="D288" s="209">
        <v>15</v>
      </c>
      <c r="E288" s="202" t="s">
        <v>77</v>
      </c>
      <c r="F288" s="202" t="s">
        <v>406</v>
      </c>
    </row>
    <row r="289" spans="1:6" s="216" customFormat="1" x14ac:dyDescent="0.3">
      <c r="A289" s="202" t="str">
        <f t="shared" si="4"/>
        <v>FC 182,ED3-GEOM</v>
      </c>
      <c r="B289" s="202" t="s">
        <v>1227</v>
      </c>
      <c r="C289" s="202" t="s">
        <v>1637</v>
      </c>
      <c r="D289" s="209">
        <v>65</v>
      </c>
      <c r="E289" s="202" t="s">
        <v>77</v>
      </c>
      <c r="F289" s="202" t="s">
        <v>245</v>
      </c>
    </row>
    <row r="290" spans="1:6" s="216" customFormat="1" x14ac:dyDescent="0.3">
      <c r="A290" s="202" t="str">
        <f t="shared" si="4"/>
        <v>GE 354,ED3-GEOM</v>
      </c>
      <c r="B290" s="202" t="s">
        <v>1228</v>
      </c>
      <c r="C290" s="202" t="s">
        <v>1656</v>
      </c>
      <c r="D290" s="209">
        <v>122</v>
      </c>
      <c r="E290" s="202" t="s">
        <v>77</v>
      </c>
      <c r="F290" s="202" t="s">
        <v>221</v>
      </c>
    </row>
    <row r="291" spans="1:6" s="216" customFormat="1" x14ac:dyDescent="0.3">
      <c r="A291" s="202" t="str">
        <f t="shared" si="4"/>
        <v>GE 362,ED3-GEOM</v>
      </c>
      <c r="B291" s="202" t="s">
        <v>1229</v>
      </c>
      <c r="C291" s="202" t="s">
        <v>1658</v>
      </c>
      <c r="D291" s="209">
        <v>122</v>
      </c>
      <c r="E291" s="202" t="s">
        <v>77</v>
      </c>
      <c r="F291" s="202" t="s">
        <v>309</v>
      </c>
    </row>
    <row r="292" spans="1:6" s="216" customFormat="1" x14ac:dyDescent="0.3">
      <c r="A292" s="202" t="str">
        <f t="shared" si="4"/>
        <v>GE 372,ED3-GEOM</v>
      </c>
      <c r="B292" s="202" t="s">
        <v>1230</v>
      </c>
      <c r="C292" s="202" t="s">
        <v>1985</v>
      </c>
      <c r="D292" s="209">
        <v>122</v>
      </c>
      <c r="E292" s="202" t="s">
        <v>77</v>
      </c>
      <c r="F292" s="202" t="s">
        <v>76</v>
      </c>
    </row>
    <row r="293" spans="1:6" s="216" customFormat="1" x14ac:dyDescent="0.3">
      <c r="A293" s="202" t="str">
        <f t="shared" si="4"/>
        <v>PL 252,ED3-GEOM</v>
      </c>
      <c r="B293" s="202" t="s">
        <v>1231</v>
      </c>
      <c r="C293" s="202" t="s">
        <v>1907</v>
      </c>
      <c r="D293" s="209">
        <v>122</v>
      </c>
      <c r="E293" s="202" t="s">
        <v>77</v>
      </c>
      <c r="F293" s="202" t="s">
        <v>150</v>
      </c>
    </row>
    <row r="294" spans="1:6" s="216" customFormat="1" x14ac:dyDescent="0.3">
      <c r="A294" s="202" t="str">
        <f t="shared" si="4"/>
        <v>GE 464,ED4-GEOM</v>
      </c>
      <c r="B294" s="202" t="s">
        <v>1233</v>
      </c>
      <c r="C294" s="202" t="s">
        <v>1645</v>
      </c>
      <c r="D294" s="209">
        <v>93</v>
      </c>
      <c r="E294" s="202" t="s">
        <v>194</v>
      </c>
      <c r="F294" s="202" t="s">
        <v>193</v>
      </c>
    </row>
    <row r="295" spans="1:6" s="216" customFormat="1" x14ac:dyDescent="0.3">
      <c r="A295" s="202" t="str">
        <f t="shared" si="4"/>
        <v>GE 472,ED4-GEOM</v>
      </c>
      <c r="B295" s="202" t="s">
        <v>1234</v>
      </c>
      <c r="C295" s="202" t="s">
        <v>1649</v>
      </c>
      <c r="D295" s="209">
        <v>93</v>
      </c>
      <c r="E295" s="202" t="s">
        <v>194</v>
      </c>
      <c r="F295" s="202" t="s">
        <v>284</v>
      </c>
    </row>
    <row r="296" spans="1:6" s="216" customFormat="1" x14ac:dyDescent="0.3">
      <c r="A296" s="202" t="str">
        <f t="shared" si="4"/>
        <v>GE 474,ED4-GEOM</v>
      </c>
      <c r="B296" s="202" t="s">
        <v>1235</v>
      </c>
      <c r="C296" s="202" t="s">
        <v>1664</v>
      </c>
      <c r="D296" s="209">
        <v>93</v>
      </c>
      <c r="E296" s="202" t="s">
        <v>194</v>
      </c>
      <c r="F296" s="202" t="s">
        <v>471</v>
      </c>
    </row>
    <row r="297" spans="1:6" s="216" customFormat="1" x14ac:dyDescent="0.3">
      <c r="A297" s="202" t="str">
        <f t="shared" si="4"/>
        <v>GE 476,ED4-GEOM</v>
      </c>
      <c r="B297" s="202" t="s">
        <v>1236</v>
      </c>
      <c r="C297" s="202" t="s">
        <v>1666</v>
      </c>
      <c r="D297" s="209">
        <v>93</v>
      </c>
      <c r="E297" s="202" t="s">
        <v>194</v>
      </c>
      <c r="F297" s="202" t="s">
        <v>341</v>
      </c>
    </row>
    <row r="298" spans="1:6" s="216" customFormat="1" x14ac:dyDescent="0.3">
      <c r="A298" s="202" t="str">
        <f t="shared" si="4"/>
        <v>EE 152,ED1-IND</v>
      </c>
      <c r="B298" s="202" t="s">
        <v>990</v>
      </c>
      <c r="C298" s="202" t="s">
        <v>1946</v>
      </c>
      <c r="D298" s="209">
        <v>83</v>
      </c>
      <c r="E298" s="202" t="s">
        <v>111</v>
      </c>
      <c r="F298" s="202" t="s">
        <v>234</v>
      </c>
    </row>
    <row r="299" spans="1:6" s="216" customFormat="1" x14ac:dyDescent="0.3">
      <c r="A299" s="202" t="str">
        <f t="shared" si="4"/>
        <v>ENGL 158,ED1-IND</v>
      </c>
      <c r="B299" s="202" t="s">
        <v>991</v>
      </c>
      <c r="C299" s="202" t="s">
        <v>1629</v>
      </c>
      <c r="D299" s="209">
        <v>83</v>
      </c>
      <c r="E299" s="202" t="s">
        <v>111</v>
      </c>
      <c r="F299" s="202" t="s">
        <v>364</v>
      </c>
    </row>
    <row r="300" spans="1:6" s="216" customFormat="1" x14ac:dyDescent="0.3">
      <c r="A300" s="202" t="str">
        <f t="shared" si="4"/>
        <v>IE 174,ED1-IND</v>
      </c>
      <c r="B300" s="202" t="s">
        <v>1237</v>
      </c>
      <c r="C300" s="202" t="s">
        <v>1406</v>
      </c>
      <c r="D300" s="209">
        <v>83</v>
      </c>
      <c r="E300" s="202" t="s">
        <v>111</v>
      </c>
      <c r="F300" s="202" t="s">
        <v>484</v>
      </c>
    </row>
    <row r="301" spans="1:6" s="216" customFormat="1" x14ac:dyDescent="0.3">
      <c r="A301" s="202" t="str">
        <f t="shared" si="4"/>
        <v>MATH 152,ED1-IND</v>
      </c>
      <c r="B301" s="202" t="s">
        <v>992</v>
      </c>
      <c r="C301" s="202" t="s">
        <v>1720</v>
      </c>
      <c r="D301" s="209">
        <v>83</v>
      </c>
      <c r="E301" s="202" t="s">
        <v>111</v>
      </c>
      <c r="F301" s="202" t="s">
        <v>129</v>
      </c>
    </row>
    <row r="302" spans="1:6" s="216" customFormat="1" x14ac:dyDescent="0.3">
      <c r="A302" s="202" t="str">
        <f t="shared" si="4"/>
        <v>ME 160,ED1-IND</v>
      </c>
      <c r="B302" s="202" t="s">
        <v>993</v>
      </c>
      <c r="C302" s="202" t="s">
        <v>1739</v>
      </c>
      <c r="D302" s="209">
        <v>83</v>
      </c>
      <c r="E302" s="202" t="s">
        <v>111</v>
      </c>
      <c r="F302" s="202" t="s">
        <v>160</v>
      </c>
    </row>
    <row r="303" spans="1:6" s="216" customFormat="1" x14ac:dyDescent="0.3">
      <c r="A303" s="202" t="str">
        <f t="shared" si="4"/>
        <v>ME 164,ED1-IND</v>
      </c>
      <c r="B303" s="202" t="s">
        <v>1238</v>
      </c>
      <c r="C303" s="202" t="s">
        <v>1746</v>
      </c>
      <c r="D303" s="209">
        <v>83</v>
      </c>
      <c r="E303" s="202" t="s">
        <v>111</v>
      </c>
      <c r="F303" s="202" t="s">
        <v>268</v>
      </c>
    </row>
    <row r="304" spans="1:6" s="216" customFormat="1" x14ac:dyDescent="0.3">
      <c r="A304" s="202" t="str">
        <f t="shared" si="4"/>
        <v>ME 168,ED1-IND</v>
      </c>
      <c r="B304" s="202" t="s">
        <v>1019</v>
      </c>
      <c r="C304" s="202" t="s">
        <v>1715</v>
      </c>
      <c r="D304" s="209">
        <v>83</v>
      </c>
      <c r="E304" s="202" t="s">
        <v>111</v>
      </c>
      <c r="F304" s="202" t="s">
        <v>110</v>
      </c>
    </row>
    <row r="305" spans="1:6" s="216" customFormat="1" x14ac:dyDescent="0.3">
      <c r="A305" s="202" t="str">
        <f t="shared" si="4"/>
        <v>ENGL 264,ED2-IND</v>
      </c>
      <c r="B305" s="202" t="s">
        <v>996</v>
      </c>
      <c r="C305" s="202" t="s">
        <v>1629</v>
      </c>
      <c r="D305" s="209">
        <v>80</v>
      </c>
      <c r="E305" s="202" t="s">
        <v>38</v>
      </c>
      <c r="F305" s="202" t="s">
        <v>276</v>
      </c>
    </row>
    <row r="306" spans="1:6" s="216" customFormat="1" x14ac:dyDescent="0.3">
      <c r="A306" s="202" t="str">
        <f t="shared" si="4"/>
        <v>IE 296,ED2-IND</v>
      </c>
      <c r="B306" s="202" t="s">
        <v>1239</v>
      </c>
      <c r="C306" s="202" t="s">
        <v>1704</v>
      </c>
      <c r="D306" s="209">
        <v>80</v>
      </c>
      <c r="E306" s="202" t="s">
        <v>38</v>
      </c>
      <c r="F306" s="202" t="s">
        <v>225</v>
      </c>
    </row>
    <row r="307" spans="1:6" s="216" customFormat="1" x14ac:dyDescent="0.3">
      <c r="A307" s="202" t="str">
        <f t="shared" si="4"/>
        <v>MATH 252,ED2-IND</v>
      </c>
      <c r="B307" s="202" t="s">
        <v>998</v>
      </c>
      <c r="C307" s="202" t="s">
        <v>1727</v>
      </c>
      <c r="D307" s="209">
        <v>80</v>
      </c>
      <c r="E307" s="202" t="s">
        <v>38</v>
      </c>
      <c r="F307" s="202" t="s">
        <v>281</v>
      </c>
    </row>
    <row r="308" spans="1:6" s="216" customFormat="1" x14ac:dyDescent="0.3">
      <c r="A308" s="202" t="str">
        <f t="shared" si="4"/>
        <v>ME 252,ED2-IND</v>
      </c>
      <c r="B308" s="202" t="s">
        <v>1051</v>
      </c>
      <c r="C308" s="202" t="s">
        <v>1704</v>
      </c>
      <c r="D308" s="209">
        <v>80</v>
      </c>
      <c r="E308" s="202" t="s">
        <v>38</v>
      </c>
      <c r="F308" s="202" t="s">
        <v>394</v>
      </c>
    </row>
    <row r="309" spans="1:6" s="216" customFormat="1" x14ac:dyDescent="0.3">
      <c r="A309" s="202" t="str">
        <f t="shared" si="4"/>
        <v>ME 264,ED2-IND</v>
      </c>
      <c r="B309" s="202" t="s">
        <v>1023</v>
      </c>
      <c r="C309" s="202" t="s">
        <v>1755</v>
      </c>
      <c r="D309" s="209">
        <v>80</v>
      </c>
      <c r="E309" s="202" t="s">
        <v>38</v>
      </c>
      <c r="F309" s="202" t="s">
        <v>151</v>
      </c>
    </row>
    <row r="310" spans="1:6" s="216" customFormat="1" x14ac:dyDescent="0.3">
      <c r="A310" s="202" t="str">
        <f t="shared" si="4"/>
        <v>ME 266,ED2-IND</v>
      </c>
      <c r="B310" s="202" t="s">
        <v>1024</v>
      </c>
      <c r="C310" s="202" t="s">
        <v>1746</v>
      </c>
      <c r="D310" s="209">
        <v>80</v>
      </c>
      <c r="E310" s="202" t="s">
        <v>38</v>
      </c>
      <c r="F310" s="202" t="s">
        <v>420</v>
      </c>
    </row>
    <row r="311" spans="1:6" s="216" customFormat="1" x14ac:dyDescent="0.3">
      <c r="A311" s="202" t="str">
        <f t="shared" si="4"/>
        <v>IE 274,ED2-IND</v>
      </c>
      <c r="B311" s="202" t="s">
        <v>1240</v>
      </c>
      <c r="C311" s="202" t="s">
        <v>1410</v>
      </c>
      <c r="D311" s="209">
        <v>80</v>
      </c>
      <c r="E311" s="202" t="s">
        <v>38</v>
      </c>
      <c r="F311" s="202" t="s">
        <v>37</v>
      </c>
    </row>
    <row r="312" spans="1:6" s="216" customFormat="1" x14ac:dyDescent="0.3">
      <c r="A312" s="202" t="str">
        <f t="shared" si="4"/>
        <v>ME 270,ED2-IND</v>
      </c>
      <c r="B312" s="202" t="s">
        <v>1052</v>
      </c>
      <c r="C312" s="202" t="s">
        <v>1742</v>
      </c>
      <c r="D312" s="209">
        <v>80</v>
      </c>
      <c r="E312" s="202" t="s">
        <v>38</v>
      </c>
      <c r="F312" s="202" t="s">
        <v>337</v>
      </c>
    </row>
    <row r="313" spans="1:6" s="216" customFormat="1" x14ac:dyDescent="0.3">
      <c r="A313" s="202" t="str">
        <f t="shared" si="4"/>
        <v>IE 354,ED3-IND</v>
      </c>
      <c r="B313" s="202" t="s">
        <v>1241</v>
      </c>
      <c r="C313" s="202" t="s">
        <v>1793</v>
      </c>
      <c r="D313" s="209">
        <v>70</v>
      </c>
      <c r="E313" s="202" t="s">
        <v>121</v>
      </c>
      <c r="F313" s="202" t="s">
        <v>482</v>
      </c>
    </row>
    <row r="314" spans="1:6" s="216" customFormat="1" x14ac:dyDescent="0.3">
      <c r="A314" s="202" t="str">
        <f t="shared" si="4"/>
        <v>IE 356,ED3-IND</v>
      </c>
      <c r="B314" s="202" t="s">
        <v>1242</v>
      </c>
      <c r="C314" s="202" t="s">
        <v>1695</v>
      </c>
      <c r="D314" s="209">
        <v>70</v>
      </c>
      <c r="E314" s="202" t="s">
        <v>121</v>
      </c>
      <c r="F314" s="202" t="s">
        <v>444</v>
      </c>
    </row>
    <row r="315" spans="1:6" s="216" customFormat="1" x14ac:dyDescent="0.3">
      <c r="A315" s="202" t="str">
        <f t="shared" si="4"/>
        <v>IE 358,ED3-IND</v>
      </c>
      <c r="B315" s="202" t="s">
        <v>1243</v>
      </c>
      <c r="C315" s="202" t="s">
        <v>1406</v>
      </c>
      <c r="D315" s="209">
        <v>70</v>
      </c>
      <c r="E315" s="202" t="s">
        <v>121</v>
      </c>
      <c r="F315" s="202" t="s">
        <v>265</v>
      </c>
    </row>
    <row r="316" spans="1:6" s="216" customFormat="1" x14ac:dyDescent="0.3">
      <c r="A316" s="202" t="str">
        <f t="shared" si="4"/>
        <v>IE 360,ED3-IND</v>
      </c>
      <c r="B316" s="202" t="s">
        <v>1244</v>
      </c>
      <c r="C316" s="202" t="s">
        <v>1438</v>
      </c>
      <c r="D316" s="209">
        <v>70</v>
      </c>
      <c r="E316" s="202" t="s">
        <v>121</v>
      </c>
      <c r="F316" s="202" t="s">
        <v>402</v>
      </c>
    </row>
    <row r="317" spans="1:6" s="216" customFormat="1" x14ac:dyDescent="0.3">
      <c r="A317" s="202" t="str">
        <f t="shared" si="4"/>
        <v>IE 362,ED3-IND</v>
      </c>
      <c r="B317" s="202" t="s">
        <v>1245</v>
      </c>
      <c r="C317" s="202" t="s">
        <v>1417</v>
      </c>
      <c r="D317" s="209">
        <v>70</v>
      </c>
      <c r="E317" s="202" t="s">
        <v>121</v>
      </c>
      <c r="F317" s="202" t="s">
        <v>229</v>
      </c>
    </row>
    <row r="318" spans="1:6" s="216" customFormat="1" x14ac:dyDescent="0.3">
      <c r="A318" s="202" t="str">
        <f t="shared" si="4"/>
        <v>IE 366,ED3-IND</v>
      </c>
      <c r="B318" s="202" t="s">
        <v>1246</v>
      </c>
      <c r="C318" s="202" t="s">
        <v>1695</v>
      </c>
      <c r="D318" s="209">
        <v>70</v>
      </c>
      <c r="E318" s="202" t="s">
        <v>121</v>
      </c>
      <c r="F318" s="202" t="s">
        <v>340</v>
      </c>
    </row>
    <row r="319" spans="1:6" s="216" customFormat="1" x14ac:dyDescent="0.3">
      <c r="A319" s="202" t="str">
        <f t="shared" si="4"/>
        <v>IE 368,ED3-IND</v>
      </c>
      <c r="B319" s="202" t="s">
        <v>1247</v>
      </c>
      <c r="C319" s="202" t="s">
        <v>1793</v>
      </c>
      <c r="D319" s="209">
        <v>70</v>
      </c>
      <c r="E319" s="202" t="s">
        <v>121</v>
      </c>
      <c r="F319" s="202" t="s">
        <v>120</v>
      </c>
    </row>
    <row r="320" spans="1:6" s="216" customFormat="1" x14ac:dyDescent="0.3">
      <c r="A320" s="202" t="str">
        <f t="shared" si="4"/>
        <v>IE 452,ED4-IND</v>
      </c>
      <c r="B320" s="202" t="s">
        <v>1248</v>
      </c>
      <c r="C320" s="202" t="s">
        <v>1438</v>
      </c>
      <c r="D320" s="209">
        <v>69</v>
      </c>
      <c r="E320" s="202" t="s">
        <v>124</v>
      </c>
      <c r="F320" s="202" t="s">
        <v>123</v>
      </c>
    </row>
    <row r="321" spans="1:6" s="216" customFormat="1" x14ac:dyDescent="0.3">
      <c r="A321" s="202" t="str">
        <f t="shared" si="4"/>
        <v>IE 454,ED4-IND</v>
      </c>
      <c r="B321" s="202" t="s">
        <v>1038</v>
      </c>
      <c r="C321" s="202" t="s">
        <v>1715</v>
      </c>
      <c r="D321" s="209">
        <v>69</v>
      </c>
      <c r="E321" s="202" t="s">
        <v>124</v>
      </c>
      <c r="F321" s="202" t="s">
        <v>508</v>
      </c>
    </row>
    <row r="322" spans="1:6" s="216" customFormat="1" x14ac:dyDescent="0.3">
      <c r="A322" s="202" t="str">
        <f t="shared" ref="A322:A385" si="5">CONCATENATE(F322,",",E322)</f>
        <v>IE 456,ED4-IND</v>
      </c>
      <c r="B322" s="202" t="s">
        <v>1249</v>
      </c>
      <c r="C322" s="202" t="s">
        <v>1717</v>
      </c>
      <c r="D322" s="209">
        <v>69</v>
      </c>
      <c r="E322" s="202" t="s">
        <v>124</v>
      </c>
      <c r="F322" s="202" t="s">
        <v>216</v>
      </c>
    </row>
    <row r="323" spans="1:6" s="216" customFormat="1" x14ac:dyDescent="0.3">
      <c r="A323" s="202" t="str">
        <f t="shared" si="5"/>
        <v>IE 458,ED4-IND</v>
      </c>
      <c r="B323" s="202" t="s">
        <v>1041</v>
      </c>
      <c r="C323" s="202" t="s">
        <v>1438</v>
      </c>
      <c r="D323" s="209">
        <v>69</v>
      </c>
      <c r="E323" s="202" t="s">
        <v>124</v>
      </c>
      <c r="F323" s="202" t="s">
        <v>427</v>
      </c>
    </row>
    <row r="324" spans="1:6" s="216" customFormat="1" x14ac:dyDescent="0.3">
      <c r="A324" s="202" t="str">
        <f t="shared" si="5"/>
        <v>ME 492,ED4-IND</v>
      </c>
      <c r="B324" s="202" t="s">
        <v>1250</v>
      </c>
      <c r="C324" s="202" t="s">
        <v>1793</v>
      </c>
      <c r="D324" s="209">
        <v>69</v>
      </c>
      <c r="E324" s="202" t="s">
        <v>124</v>
      </c>
      <c r="F324" s="202" t="s">
        <v>373</v>
      </c>
    </row>
    <row r="325" spans="1:6" s="216" customFormat="1" x14ac:dyDescent="0.3">
      <c r="A325" s="202" t="str">
        <f t="shared" si="5"/>
        <v>ME 494,ED4-IND</v>
      </c>
      <c r="B325" s="202" t="s">
        <v>1251</v>
      </c>
      <c r="C325" s="202" t="s">
        <v>1949</v>
      </c>
      <c r="D325" s="209">
        <v>69</v>
      </c>
      <c r="E325" s="202" t="s">
        <v>124</v>
      </c>
      <c r="F325" s="202" t="s">
        <v>293</v>
      </c>
    </row>
    <row r="326" spans="1:6" s="216" customFormat="1" x14ac:dyDescent="0.3">
      <c r="A326" s="202" t="str">
        <f t="shared" si="5"/>
        <v>EE 152,ED1-MARI</v>
      </c>
      <c r="B326" s="202" t="s">
        <v>990</v>
      </c>
      <c r="C326" s="202" t="s">
        <v>1946</v>
      </c>
      <c r="D326" s="209">
        <v>46</v>
      </c>
      <c r="E326" s="202" t="s">
        <v>112</v>
      </c>
      <c r="F326" s="202" t="s">
        <v>234</v>
      </c>
    </row>
    <row r="327" spans="1:6" s="216" customFormat="1" x14ac:dyDescent="0.3">
      <c r="A327" s="202" t="str">
        <f t="shared" si="5"/>
        <v>ENGL 158,ED1-MARI</v>
      </c>
      <c r="B327" s="202" t="s">
        <v>991</v>
      </c>
      <c r="C327" s="202" t="s">
        <v>1629</v>
      </c>
      <c r="D327" s="209">
        <v>46</v>
      </c>
      <c r="E327" s="202" t="s">
        <v>112</v>
      </c>
      <c r="F327" s="202" t="s">
        <v>364</v>
      </c>
    </row>
    <row r="328" spans="1:6" s="216" customFormat="1" x14ac:dyDescent="0.3">
      <c r="A328" s="202" t="str">
        <f t="shared" si="5"/>
        <v>FC 182,ED1-MARI</v>
      </c>
      <c r="B328" s="202" t="s">
        <v>1085</v>
      </c>
      <c r="C328" s="202" t="s">
        <v>1638</v>
      </c>
      <c r="D328" s="209">
        <v>46</v>
      </c>
      <c r="E328" s="202" t="s">
        <v>112</v>
      </c>
      <c r="F328" s="202" t="s">
        <v>245</v>
      </c>
    </row>
    <row r="329" spans="1:6" s="216" customFormat="1" x14ac:dyDescent="0.3">
      <c r="A329" s="202" t="str">
        <f t="shared" si="5"/>
        <v>MATH 152,ED1-MARI</v>
      </c>
      <c r="B329" s="202" t="s">
        <v>992</v>
      </c>
      <c r="C329" s="202" t="s">
        <v>1720</v>
      </c>
      <c r="D329" s="209">
        <v>46</v>
      </c>
      <c r="E329" s="202" t="s">
        <v>112</v>
      </c>
      <c r="F329" s="202" t="s">
        <v>129</v>
      </c>
    </row>
    <row r="330" spans="1:6" s="216" customFormat="1" x14ac:dyDescent="0.3">
      <c r="A330" s="202" t="str">
        <f t="shared" si="5"/>
        <v>ME 160,ED1-MARI</v>
      </c>
      <c r="B330" s="202" t="s">
        <v>993</v>
      </c>
      <c r="C330" s="202" t="s">
        <v>1739</v>
      </c>
      <c r="D330" s="209">
        <v>46</v>
      </c>
      <c r="E330" s="202" t="s">
        <v>112</v>
      </c>
      <c r="F330" s="202" t="s">
        <v>160</v>
      </c>
    </row>
    <row r="331" spans="1:6" s="216" customFormat="1" x14ac:dyDescent="0.3">
      <c r="A331" s="202" t="str">
        <f t="shared" si="5"/>
        <v>ME 164,ED1-MARI</v>
      </c>
      <c r="B331" s="202" t="s">
        <v>1238</v>
      </c>
      <c r="C331" s="202" t="s">
        <v>1746</v>
      </c>
      <c r="D331" s="209">
        <v>46</v>
      </c>
      <c r="E331" s="202" t="s">
        <v>112</v>
      </c>
      <c r="F331" s="202" t="s">
        <v>268</v>
      </c>
    </row>
    <row r="332" spans="1:6" s="216" customFormat="1" x14ac:dyDescent="0.3">
      <c r="A332" s="202" t="str">
        <f t="shared" si="5"/>
        <v>ME 168,ED1-MARI</v>
      </c>
      <c r="B332" s="202" t="s">
        <v>1019</v>
      </c>
      <c r="C332" s="202" t="s">
        <v>1715</v>
      </c>
      <c r="D332" s="209">
        <v>46</v>
      </c>
      <c r="E332" s="202" t="s">
        <v>112</v>
      </c>
      <c r="F332" s="202" t="s">
        <v>110</v>
      </c>
    </row>
    <row r="333" spans="1:6" s="216" customFormat="1" x14ac:dyDescent="0.3">
      <c r="A333" s="202" t="str">
        <f t="shared" si="5"/>
        <v>MME 174,ED1-MARI</v>
      </c>
      <c r="B333" s="202" t="s">
        <v>1252</v>
      </c>
      <c r="C333" s="202" t="s">
        <v>1406</v>
      </c>
      <c r="D333" s="209">
        <v>46</v>
      </c>
      <c r="E333" s="202" t="s">
        <v>112</v>
      </c>
      <c r="F333" s="202" t="s">
        <v>485</v>
      </c>
    </row>
    <row r="334" spans="1:6" s="216" customFormat="1" x14ac:dyDescent="0.3">
      <c r="A334" s="202" t="str">
        <f t="shared" si="5"/>
        <v>MATH 252,ED2-MARI</v>
      </c>
      <c r="B334" s="202" t="s">
        <v>998</v>
      </c>
      <c r="C334" s="202" t="s">
        <v>1734</v>
      </c>
      <c r="D334" s="209">
        <v>37</v>
      </c>
      <c r="E334" s="202" t="s">
        <v>42</v>
      </c>
      <c r="F334" s="202" t="s">
        <v>281</v>
      </c>
    </row>
    <row r="335" spans="1:6" s="216" customFormat="1" x14ac:dyDescent="0.3">
      <c r="A335" s="202" t="str">
        <f t="shared" si="5"/>
        <v>ME 252,ED2-MARI</v>
      </c>
      <c r="B335" s="202" t="s">
        <v>1051</v>
      </c>
      <c r="C335" s="202" t="s">
        <v>1704</v>
      </c>
      <c r="D335" s="209">
        <v>37</v>
      </c>
      <c r="E335" s="202" t="s">
        <v>42</v>
      </c>
      <c r="F335" s="202" t="s">
        <v>394</v>
      </c>
    </row>
    <row r="336" spans="1:6" s="216" customFormat="1" x14ac:dyDescent="0.3">
      <c r="A336" s="202" t="str">
        <f t="shared" si="5"/>
        <v>ME 270,ED2-MARI</v>
      </c>
      <c r="B336" s="202" t="s">
        <v>1052</v>
      </c>
      <c r="C336" s="202" t="s">
        <v>1742</v>
      </c>
      <c r="D336" s="209">
        <v>37</v>
      </c>
      <c r="E336" s="202" t="s">
        <v>42</v>
      </c>
      <c r="F336" s="202" t="s">
        <v>337</v>
      </c>
    </row>
    <row r="337" spans="1:6" s="216" customFormat="1" x14ac:dyDescent="0.3">
      <c r="A337" s="202" t="str">
        <f t="shared" si="5"/>
        <v>MME 264,ED2-MARI</v>
      </c>
      <c r="B337" s="202" t="s">
        <v>1253</v>
      </c>
      <c r="C337" s="202" t="s">
        <v>1755</v>
      </c>
      <c r="D337" s="209">
        <v>37</v>
      </c>
      <c r="E337" s="202" t="s">
        <v>42</v>
      </c>
      <c r="F337" s="202" t="s">
        <v>152</v>
      </c>
    </row>
    <row r="338" spans="1:6" s="216" customFormat="1" x14ac:dyDescent="0.3">
      <c r="A338" s="202" t="str">
        <f t="shared" si="5"/>
        <v>MME 274,ED2-MARI</v>
      </c>
      <c r="B338" s="202" t="s">
        <v>1254</v>
      </c>
      <c r="C338" s="202" t="s">
        <v>1410</v>
      </c>
      <c r="D338" s="209">
        <v>37</v>
      </c>
      <c r="E338" s="202" t="s">
        <v>42</v>
      </c>
      <c r="F338" s="202" t="s">
        <v>41</v>
      </c>
    </row>
    <row r="339" spans="1:6" s="216" customFormat="1" x14ac:dyDescent="0.3">
      <c r="A339" s="202" t="str">
        <f t="shared" si="5"/>
        <v>MME 292,ED2-MARI</v>
      </c>
      <c r="B339" s="202" t="s">
        <v>1255</v>
      </c>
      <c r="C339" s="202" t="s">
        <v>1820</v>
      </c>
      <c r="D339" s="209">
        <v>37</v>
      </c>
      <c r="E339" s="202" t="s">
        <v>42</v>
      </c>
      <c r="F339" s="202" t="s">
        <v>84</v>
      </c>
    </row>
    <row r="340" spans="1:6" s="216" customFormat="1" x14ac:dyDescent="0.3">
      <c r="A340" s="202" t="str">
        <f t="shared" si="5"/>
        <v>MME 296,ED2-MARI</v>
      </c>
      <c r="B340" s="202" t="s">
        <v>1256</v>
      </c>
      <c r="C340" s="202" t="s">
        <v>1704</v>
      </c>
      <c r="D340" s="209">
        <v>37</v>
      </c>
      <c r="E340" s="202" t="s">
        <v>42</v>
      </c>
      <c r="F340" s="202" t="s">
        <v>230</v>
      </c>
    </row>
    <row r="341" spans="1:6" s="216" customFormat="1" x14ac:dyDescent="0.3">
      <c r="A341" s="202" t="str">
        <f t="shared" si="5"/>
        <v>SES 172,ED2-MARI</v>
      </c>
      <c r="B341" s="202" t="s">
        <v>1257</v>
      </c>
      <c r="C341" s="202" t="s">
        <v>1911</v>
      </c>
      <c r="D341" s="209">
        <v>37</v>
      </c>
      <c r="E341" s="202" t="s">
        <v>42</v>
      </c>
      <c r="F341" s="202" t="s">
        <v>456</v>
      </c>
    </row>
    <row r="342" spans="1:6" s="216" customFormat="1" x14ac:dyDescent="0.3">
      <c r="A342" s="202" t="str">
        <f t="shared" si="5"/>
        <v>ME 352,ED3-MARI</v>
      </c>
      <c r="B342" s="202" t="s">
        <v>1258</v>
      </c>
      <c r="C342" s="202" t="s">
        <v>1717</v>
      </c>
      <c r="D342" s="209">
        <v>40</v>
      </c>
      <c r="E342" s="202" t="s">
        <v>86</v>
      </c>
      <c r="F342" s="202" t="s">
        <v>174</v>
      </c>
    </row>
    <row r="343" spans="1:6" s="216" customFormat="1" x14ac:dyDescent="0.3">
      <c r="A343" s="202" t="str">
        <f t="shared" si="5"/>
        <v>ME 362,ED3-MARI</v>
      </c>
      <c r="B343" s="202" t="s">
        <v>1029</v>
      </c>
      <c r="C343" s="202" t="s">
        <v>1429</v>
      </c>
      <c r="D343" s="209">
        <v>40</v>
      </c>
      <c r="E343" s="202" t="s">
        <v>86</v>
      </c>
      <c r="F343" s="202" t="s">
        <v>519</v>
      </c>
    </row>
    <row r="344" spans="1:6" s="216" customFormat="1" x14ac:dyDescent="0.3">
      <c r="A344" s="202" t="str">
        <f t="shared" si="5"/>
        <v>ME 366,ED3-MARI</v>
      </c>
      <c r="B344" s="202" t="s">
        <v>1007</v>
      </c>
      <c r="C344" s="202" t="s">
        <v>1768</v>
      </c>
      <c r="D344" s="209">
        <v>40</v>
      </c>
      <c r="E344" s="202" t="s">
        <v>86</v>
      </c>
      <c r="F344" s="202" t="s">
        <v>347</v>
      </c>
    </row>
    <row r="345" spans="1:6" s="216" customFormat="1" x14ac:dyDescent="0.3">
      <c r="A345" s="202" t="str">
        <f t="shared" si="5"/>
        <v>MME 356,ED3-MARI</v>
      </c>
      <c r="B345" s="202" t="s">
        <v>1259</v>
      </c>
      <c r="C345" s="202" t="s">
        <v>1429</v>
      </c>
      <c r="D345" s="209">
        <v>40</v>
      </c>
      <c r="E345" s="202" t="s">
        <v>86</v>
      </c>
      <c r="F345" s="202" t="s">
        <v>380</v>
      </c>
    </row>
    <row r="346" spans="1:6" s="216" customFormat="1" x14ac:dyDescent="0.3">
      <c r="A346" s="202" t="str">
        <f t="shared" si="5"/>
        <v>MME 382,ED3-MARI</v>
      </c>
      <c r="B346" s="202" t="s">
        <v>1260</v>
      </c>
      <c r="C346" s="202" t="s">
        <v>1824</v>
      </c>
      <c r="D346" s="209">
        <v>40</v>
      </c>
      <c r="E346" s="202" t="s">
        <v>86</v>
      </c>
      <c r="F346" s="202" t="s">
        <v>304</v>
      </c>
    </row>
    <row r="347" spans="1:6" s="216" customFormat="1" x14ac:dyDescent="0.3">
      <c r="A347" s="202" t="str">
        <f t="shared" si="5"/>
        <v>MME 386,ED3-MARI</v>
      </c>
      <c r="B347" s="202" t="s">
        <v>1261</v>
      </c>
      <c r="C347" s="202" t="s">
        <v>1615</v>
      </c>
      <c r="D347" s="209">
        <v>40</v>
      </c>
      <c r="E347" s="202" t="s">
        <v>86</v>
      </c>
      <c r="F347" s="202" t="s">
        <v>440</v>
      </c>
    </row>
    <row r="348" spans="1:6" s="216" customFormat="1" x14ac:dyDescent="0.3">
      <c r="A348" s="202" t="str">
        <f t="shared" si="5"/>
        <v>MME 392,ED3-MARI</v>
      </c>
      <c r="B348" s="202" t="s">
        <v>1262</v>
      </c>
      <c r="C348" s="202" t="s">
        <v>1435</v>
      </c>
      <c r="D348" s="209">
        <v>40</v>
      </c>
      <c r="E348" s="202" t="s">
        <v>86</v>
      </c>
      <c r="F348" s="202" t="s">
        <v>238</v>
      </c>
    </row>
    <row r="349" spans="1:6" s="216" customFormat="1" x14ac:dyDescent="0.3">
      <c r="A349" s="202" t="str">
        <f t="shared" si="5"/>
        <v>MME 396,ED3-MARI</v>
      </c>
      <c r="B349" s="202" t="s">
        <v>1263</v>
      </c>
      <c r="C349" s="202" t="s">
        <v>1717</v>
      </c>
      <c r="D349" s="209">
        <v>40</v>
      </c>
      <c r="E349" s="202" t="s">
        <v>86</v>
      </c>
      <c r="F349" s="202" t="s">
        <v>85</v>
      </c>
    </row>
    <row r="350" spans="1:6" s="216" customFormat="1" x14ac:dyDescent="0.3">
      <c r="A350" s="202" t="str">
        <f t="shared" si="5"/>
        <v>MME 462,ED4-MARI</v>
      </c>
      <c r="B350" s="202" t="s">
        <v>1264</v>
      </c>
      <c r="C350" s="202" t="s">
        <v>1829</v>
      </c>
      <c r="D350" s="209">
        <v>23</v>
      </c>
      <c r="E350" s="202" t="s">
        <v>69</v>
      </c>
      <c r="F350" s="202" t="s">
        <v>164</v>
      </c>
    </row>
    <row r="351" spans="1:6" s="216" customFormat="1" x14ac:dyDescent="0.3">
      <c r="A351" s="202" t="str">
        <f t="shared" si="5"/>
        <v>MME 476,ED4-MARI</v>
      </c>
      <c r="B351" s="202" t="s">
        <v>1265</v>
      </c>
      <c r="C351" s="202" t="s">
        <v>1986</v>
      </c>
      <c r="D351" s="209">
        <v>23</v>
      </c>
      <c r="E351" s="202" t="s">
        <v>69</v>
      </c>
      <c r="F351" s="202" t="s">
        <v>449</v>
      </c>
    </row>
    <row r="352" spans="1:6" s="216" customFormat="1" x14ac:dyDescent="0.3">
      <c r="A352" s="202" t="str">
        <f t="shared" si="5"/>
        <v>MME 482,ED4-MARI</v>
      </c>
      <c r="B352" s="202" t="s">
        <v>1266</v>
      </c>
      <c r="C352" s="202" t="s">
        <v>1824</v>
      </c>
      <c r="D352" s="209">
        <v>23</v>
      </c>
      <c r="E352" s="202" t="s">
        <v>69</v>
      </c>
      <c r="F352" s="202" t="s">
        <v>68</v>
      </c>
    </row>
    <row r="353" spans="1:6" s="216" customFormat="1" x14ac:dyDescent="0.3">
      <c r="A353" s="202" t="str">
        <f t="shared" si="5"/>
        <v>MME 486,ED4-MARI</v>
      </c>
      <c r="B353" s="202" t="s">
        <v>1267</v>
      </c>
      <c r="C353" s="202" t="s">
        <v>1820</v>
      </c>
      <c r="D353" s="209">
        <v>23</v>
      </c>
      <c r="E353" s="202" t="s">
        <v>69</v>
      </c>
      <c r="F353" s="202" t="s">
        <v>228</v>
      </c>
    </row>
    <row r="354" spans="1:6" s="216" customFormat="1" x14ac:dyDescent="0.3">
      <c r="A354" s="202" t="str">
        <f t="shared" si="5"/>
        <v>MME 492,ED4-MARI</v>
      </c>
      <c r="B354" s="202" t="s">
        <v>1268</v>
      </c>
      <c r="C354" s="202" t="s">
        <v>1737</v>
      </c>
      <c r="D354" s="209">
        <v>23</v>
      </c>
      <c r="E354" s="202" t="s">
        <v>69</v>
      </c>
      <c r="F354" s="202" t="s">
        <v>506</v>
      </c>
    </row>
    <row r="355" spans="1:6" s="216" customFormat="1" x14ac:dyDescent="0.3">
      <c r="A355" s="202" t="str">
        <f t="shared" si="5"/>
        <v>MME 494,ED4-MARI</v>
      </c>
      <c r="B355" s="202" t="s">
        <v>1269</v>
      </c>
      <c r="C355" s="202" t="s">
        <v>1949</v>
      </c>
      <c r="D355" s="209">
        <v>23</v>
      </c>
      <c r="E355" s="202" t="s">
        <v>69</v>
      </c>
      <c r="F355" s="202" t="s">
        <v>292</v>
      </c>
    </row>
    <row r="356" spans="1:6" s="216" customFormat="1" x14ac:dyDescent="0.3">
      <c r="A356" s="202" t="str">
        <f t="shared" si="5"/>
        <v>METE 154,ED1-MSE</v>
      </c>
      <c r="B356" s="202" t="s">
        <v>1270</v>
      </c>
      <c r="C356" s="202" t="s">
        <v>1802</v>
      </c>
      <c r="D356" s="209">
        <v>100</v>
      </c>
      <c r="E356" s="202" t="s">
        <v>115</v>
      </c>
      <c r="F356" s="202" t="s">
        <v>500</v>
      </c>
    </row>
    <row r="357" spans="1:6" s="216" customFormat="1" x14ac:dyDescent="0.3">
      <c r="A357" s="202" t="str">
        <f t="shared" si="5"/>
        <v>ENGL 158,ED1-MSE</v>
      </c>
      <c r="B357" s="202" t="s">
        <v>991</v>
      </c>
      <c r="C357" s="202" t="s">
        <v>1634</v>
      </c>
      <c r="D357" s="209">
        <v>100</v>
      </c>
      <c r="E357" s="202" t="s">
        <v>115</v>
      </c>
      <c r="F357" s="202" t="s">
        <v>364</v>
      </c>
    </row>
    <row r="358" spans="1:6" s="216" customFormat="1" x14ac:dyDescent="0.3">
      <c r="A358" s="202" t="str">
        <f t="shared" si="5"/>
        <v>MATH 152,ED1-MSE</v>
      </c>
      <c r="B358" s="202" t="s">
        <v>992</v>
      </c>
      <c r="C358" s="202" t="s">
        <v>1975</v>
      </c>
      <c r="D358" s="209">
        <v>100</v>
      </c>
      <c r="E358" s="202" t="s">
        <v>115</v>
      </c>
      <c r="F358" s="202" t="s">
        <v>129</v>
      </c>
    </row>
    <row r="359" spans="1:6" s="216" customFormat="1" x14ac:dyDescent="0.3">
      <c r="A359" s="202" t="str">
        <f t="shared" si="5"/>
        <v>ME 160,ED1-MSE</v>
      </c>
      <c r="B359" s="202" t="s">
        <v>993</v>
      </c>
      <c r="C359" s="202" t="s">
        <v>1987</v>
      </c>
      <c r="D359" s="209">
        <v>100</v>
      </c>
      <c r="E359" s="202" t="s">
        <v>115</v>
      </c>
      <c r="F359" s="202" t="s">
        <v>160</v>
      </c>
    </row>
    <row r="360" spans="1:6" s="216" customFormat="1" x14ac:dyDescent="0.3">
      <c r="A360" s="202" t="str">
        <f t="shared" si="5"/>
        <v>ME 162,ED1-MSE</v>
      </c>
      <c r="B360" s="202" t="s">
        <v>994</v>
      </c>
      <c r="C360" s="202" t="s">
        <v>1741</v>
      </c>
      <c r="D360" s="209">
        <v>100</v>
      </c>
      <c r="E360" s="202" t="s">
        <v>115</v>
      </c>
      <c r="F360" s="202" t="s">
        <v>392</v>
      </c>
    </row>
    <row r="361" spans="1:6" s="216" customFormat="1" x14ac:dyDescent="0.3">
      <c r="A361" s="202" t="str">
        <f t="shared" si="5"/>
        <v>MSE 152,ED1-MSE</v>
      </c>
      <c r="B361" s="202" t="s">
        <v>1271</v>
      </c>
      <c r="C361" s="202" t="s">
        <v>1988</v>
      </c>
      <c r="D361" s="209">
        <v>100</v>
      </c>
      <c r="E361" s="202" t="s">
        <v>115</v>
      </c>
      <c r="F361" s="202" t="s">
        <v>294</v>
      </c>
    </row>
    <row r="362" spans="1:6" s="216" customFormat="1" x14ac:dyDescent="0.3">
      <c r="A362" s="202" t="str">
        <f t="shared" si="5"/>
        <v>MSE 154,ED1-MSE</v>
      </c>
      <c r="B362" s="202" t="s">
        <v>1272</v>
      </c>
      <c r="C362" s="202" t="s">
        <v>1837</v>
      </c>
      <c r="D362" s="209">
        <v>100</v>
      </c>
      <c r="E362" s="202" t="s">
        <v>115</v>
      </c>
      <c r="F362" s="202" t="s">
        <v>113</v>
      </c>
    </row>
    <row r="363" spans="1:6" s="216" customFormat="1" x14ac:dyDescent="0.3">
      <c r="A363" s="202" t="str">
        <f t="shared" si="5"/>
        <v>MATH 252,ED2-MSE</v>
      </c>
      <c r="B363" s="202" t="s">
        <v>998</v>
      </c>
      <c r="C363" s="202" t="s">
        <v>1721</v>
      </c>
      <c r="D363" s="209">
        <v>83</v>
      </c>
      <c r="E363" s="202" t="s">
        <v>210</v>
      </c>
      <c r="F363" s="202" t="s">
        <v>281</v>
      </c>
    </row>
    <row r="364" spans="1:6" s="216" customFormat="1" x14ac:dyDescent="0.3">
      <c r="A364" s="202" t="str">
        <f t="shared" si="5"/>
        <v>MSE 252,ED2-MSE</v>
      </c>
      <c r="B364" s="202" t="s">
        <v>1273</v>
      </c>
      <c r="C364" s="202" t="s">
        <v>1797</v>
      </c>
      <c r="D364" s="209">
        <v>83</v>
      </c>
      <c r="E364" s="202" t="s">
        <v>210</v>
      </c>
      <c r="F364" s="202" t="s">
        <v>366</v>
      </c>
    </row>
    <row r="365" spans="1:6" s="216" customFormat="1" x14ac:dyDescent="0.3">
      <c r="A365" s="202" t="str">
        <f t="shared" si="5"/>
        <v>MSE 254,ED2-MSE</v>
      </c>
      <c r="B365" s="202" t="s">
        <v>1989</v>
      </c>
      <c r="C365" s="202" t="s">
        <v>1846</v>
      </c>
      <c r="D365" s="209">
        <v>83</v>
      </c>
      <c r="E365" s="202" t="s">
        <v>210</v>
      </c>
      <c r="F365" s="202" t="s">
        <v>468</v>
      </c>
    </row>
    <row r="366" spans="1:6" s="216" customFormat="1" x14ac:dyDescent="0.3">
      <c r="A366" s="202" t="str">
        <f t="shared" si="5"/>
        <v>MSE 256,ED2-MSE</v>
      </c>
      <c r="B366" s="202" t="s">
        <v>1990</v>
      </c>
      <c r="C366" s="202" t="s">
        <v>1842</v>
      </c>
      <c r="D366" s="209">
        <v>83</v>
      </c>
      <c r="E366" s="202" t="s">
        <v>210</v>
      </c>
      <c r="F366" s="202" t="s">
        <v>511</v>
      </c>
    </row>
    <row r="367" spans="1:6" s="216" customFormat="1" x14ac:dyDescent="0.3">
      <c r="A367" s="202" t="str">
        <f t="shared" si="5"/>
        <v>MSE 258,ED2-MSE</v>
      </c>
      <c r="B367" s="202" t="s">
        <v>1275</v>
      </c>
      <c r="C367" s="202" t="s">
        <v>1761</v>
      </c>
      <c r="D367" s="209">
        <v>83</v>
      </c>
      <c r="E367" s="202" t="s">
        <v>210</v>
      </c>
      <c r="F367" s="202" t="s">
        <v>1276</v>
      </c>
    </row>
    <row r="368" spans="1:6" s="216" customFormat="1" x14ac:dyDescent="0.3">
      <c r="A368" s="202" t="str">
        <f t="shared" si="5"/>
        <v>MSE 260,ED2-MSE</v>
      </c>
      <c r="B368" s="202" t="s">
        <v>1277</v>
      </c>
      <c r="C368" s="202" t="s">
        <v>1800</v>
      </c>
      <c r="D368" s="209">
        <v>83</v>
      </c>
      <c r="E368" s="202" t="s">
        <v>210</v>
      </c>
      <c r="F368" s="202" t="s">
        <v>253</v>
      </c>
    </row>
    <row r="369" spans="1:6" s="216" customFormat="1" x14ac:dyDescent="0.3">
      <c r="A369" s="202" t="str">
        <f t="shared" si="5"/>
        <v>MSE 262,ED2-MSE</v>
      </c>
      <c r="B369" s="202" t="s">
        <v>1991</v>
      </c>
      <c r="C369" s="202" t="s">
        <v>1805</v>
      </c>
      <c r="D369" s="209">
        <v>83</v>
      </c>
      <c r="E369" s="202" t="s">
        <v>210</v>
      </c>
      <c r="F369" s="202" t="s">
        <v>209</v>
      </c>
    </row>
    <row r="370" spans="1:6" s="216" customFormat="1" x14ac:dyDescent="0.3">
      <c r="A370" s="202" t="str">
        <f t="shared" si="5"/>
        <v>MSE 352,ED3-MSE</v>
      </c>
      <c r="B370" s="202" t="s">
        <v>1279</v>
      </c>
      <c r="C370" s="202" t="s">
        <v>1846</v>
      </c>
      <c r="D370" s="209">
        <v>85</v>
      </c>
      <c r="E370" s="202" t="s">
        <v>140</v>
      </c>
      <c r="F370" s="202" t="s">
        <v>414</v>
      </c>
    </row>
    <row r="371" spans="1:6" s="216" customFormat="1" x14ac:dyDescent="0.3">
      <c r="A371" s="202" t="str">
        <f t="shared" si="5"/>
        <v>MSE 354,ED3-MSE</v>
      </c>
      <c r="B371" s="202" t="s">
        <v>1280</v>
      </c>
      <c r="C371" s="202" t="s">
        <v>1814</v>
      </c>
      <c r="D371" s="209">
        <v>85</v>
      </c>
      <c r="E371" s="202" t="s">
        <v>140</v>
      </c>
      <c r="F371" s="202" t="s">
        <v>207</v>
      </c>
    </row>
    <row r="372" spans="1:6" s="216" customFormat="1" x14ac:dyDescent="0.3">
      <c r="A372" s="202" t="str">
        <f t="shared" si="5"/>
        <v>MSE 356,ED3-MSE</v>
      </c>
      <c r="B372" s="202" t="s">
        <v>1281</v>
      </c>
      <c r="C372" s="202" t="s">
        <v>1842</v>
      </c>
      <c r="D372" s="209">
        <v>85</v>
      </c>
      <c r="E372" s="202" t="s">
        <v>140</v>
      </c>
      <c r="F372" s="202" t="s">
        <v>271</v>
      </c>
    </row>
    <row r="373" spans="1:6" s="216" customFormat="1" x14ac:dyDescent="0.3">
      <c r="A373" s="202" t="str">
        <f t="shared" si="5"/>
        <v>MSE 358,ED3-MSE</v>
      </c>
      <c r="B373" s="202" t="s">
        <v>1282</v>
      </c>
      <c r="C373" s="202" t="s">
        <v>1837</v>
      </c>
      <c r="D373" s="209">
        <v>85</v>
      </c>
      <c r="E373" s="202" t="s">
        <v>140</v>
      </c>
      <c r="F373" s="202" t="s">
        <v>499</v>
      </c>
    </row>
    <row r="374" spans="1:6" s="216" customFormat="1" x14ac:dyDescent="0.3">
      <c r="A374" s="202" t="str">
        <f t="shared" si="5"/>
        <v>MSE 360,ED3-MSE</v>
      </c>
      <c r="B374" s="202" t="s">
        <v>1283</v>
      </c>
      <c r="C374" s="202" t="s">
        <v>1805</v>
      </c>
      <c r="D374" s="209">
        <v>85</v>
      </c>
      <c r="E374" s="202" t="s">
        <v>140</v>
      </c>
      <c r="F374" s="202" t="s">
        <v>383</v>
      </c>
    </row>
    <row r="375" spans="1:6" s="216" customFormat="1" x14ac:dyDescent="0.3">
      <c r="A375" s="202" t="str">
        <f t="shared" si="5"/>
        <v>MSE 362,ED3-MSE</v>
      </c>
      <c r="B375" s="202" t="s">
        <v>1284</v>
      </c>
      <c r="C375" s="202" t="s">
        <v>1814</v>
      </c>
      <c r="D375" s="209">
        <v>85</v>
      </c>
      <c r="E375" s="202" t="s">
        <v>140</v>
      </c>
      <c r="F375" s="202" t="s">
        <v>321</v>
      </c>
    </row>
    <row r="376" spans="1:6" s="216" customFormat="1" x14ac:dyDescent="0.3">
      <c r="A376" s="202" t="str">
        <f t="shared" si="5"/>
        <v>MSE 364,ED3-MSE</v>
      </c>
      <c r="B376" s="202" t="s">
        <v>1285</v>
      </c>
      <c r="C376" s="202" t="s">
        <v>1761</v>
      </c>
      <c r="D376" s="209">
        <v>85</v>
      </c>
      <c r="E376" s="202" t="s">
        <v>140</v>
      </c>
      <c r="F376" s="202" t="s">
        <v>139</v>
      </c>
    </row>
    <row r="377" spans="1:6" s="216" customFormat="1" x14ac:dyDescent="0.3">
      <c r="A377" s="202" t="str">
        <f t="shared" si="5"/>
        <v>MSE 396,ED3-MSE</v>
      </c>
      <c r="B377" s="202" t="s">
        <v>1286</v>
      </c>
      <c r="C377" s="202" t="s">
        <v>1811</v>
      </c>
      <c r="D377" s="209">
        <v>85</v>
      </c>
      <c r="E377" s="202" t="s">
        <v>140</v>
      </c>
      <c r="F377" s="202" t="s">
        <v>1287</v>
      </c>
    </row>
    <row r="378" spans="1:6" s="216" customFormat="1" x14ac:dyDescent="0.3">
      <c r="A378" s="202" t="str">
        <f t="shared" si="5"/>
        <v>ME 492,ED4-MSE</v>
      </c>
      <c r="B378" s="202" t="s">
        <v>1015</v>
      </c>
      <c r="C378" s="202" t="s">
        <v>1435</v>
      </c>
      <c r="D378" s="209">
        <v>60</v>
      </c>
      <c r="E378" s="202" t="s">
        <v>135</v>
      </c>
      <c r="F378" s="202" t="s">
        <v>373</v>
      </c>
    </row>
    <row r="379" spans="1:6" s="216" customFormat="1" x14ac:dyDescent="0.3">
      <c r="A379" s="202" t="str">
        <f t="shared" si="5"/>
        <v>MSE 452,ED4-MSE</v>
      </c>
      <c r="B379" s="202" t="s">
        <v>1288</v>
      </c>
      <c r="C379" s="202" t="s">
        <v>1802</v>
      </c>
      <c r="D379" s="209">
        <v>60</v>
      </c>
      <c r="E379" s="202" t="s">
        <v>135</v>
      </c>
      <c r="F379" s="202" t="s">
        <v>289</v>
      </c>
    </row>
    <row r="380" spans="1:6" s="216" customFormat="1" x14ac:dyDescent="0.3">
      <c r="A380" s="202" t="str">
        <f t="shared" si="5"/>
        <v>MSE 454,ED4-MSE</v>
      </c>
      <c r="B380" s="202" t="s">
        <v>1289</v>
      </c>
      <c r="C380" s="202" t="s">
        <v>1846</v>
      </c>
      <c r="D380" s="209">
        <v>60</v>
      </c>
      <c r="E380" s="202" t="s">
        <v>135</v>
      </c>
      <c r="F380" s="202" t="s">
        <v>441</v>
      </c>
    </row>
    <row r="381" spans="1:6" s="216" customFormat="1" x14ac:dyDescent="0.3">
      <c r="A381" s="202" t="str">
        <f t="shared" si="5"/>
        <v>MSE 456,ED4-MSE</v>
      </c>
      <c r="B381" s="202" t="s">
        <v>1290</v>
      </c>
      <c r="C381" s="202" t="s">
        <v>1761</v>
      </c>
      <c r="D381" s="209">
        <v>60</v>
      </c>
      <c r="E381" s="202" t="s">
        <v>135</v>
      </c>
      <c r="F381" s="202" t="s">
        <v>223</v>
      </c>
    </row>
    <row r="382" spans="1:6" s="216" customFormat="1" x14ac:dyDescent="0.3">
      <c r="A382" s="202" t="str">
        <f t="shared" si="5"/>
        <v>MSE 458,ED4-MSE</v>
      </c>
      <c r="B382" s="202" t="s">
        <v>1291</v>
      </c>
      <c r="C382" s="202" t="s">
        <v>1857</v>
      </c>
      <c r="D382" s="209">
        <v>60</v>
      </c>
      <c r="E382" s="202" t="s">
        <v>135</v>
      </c>
      <c r="F382" s="202" t="s">
        <v>134</v>
      </c>
    </row>
    <row r="383" spans="1:6" x14ac:dyDescent="0.3">
      <c r="A383" s="202" t="str">
        <f t="shared" si="5"/>
        <v>EE 152,ED1-ME</v>
      </c>
      <c r="B383" s="202" t="s">
        <v>990</v>
      </c>
      <c r="C383" s="202" t="s">
        <v>1947</v>
      </c>
      <c r="D383" s="209">
        <v>225</v>
      </c>
      <c r="E383" s="202" t="s">
        <v>161</v>
      </c>
      <c r="F383" s="202" t="s">
        <v>234</v>
      </c>
    </row>
    <row r="384" spans="1:6" x14ac:dyDescent="0.3">
      <c r="A384" s="202" t="str">
        <f t="shared" si="5"/>
        <v>ENGL 158,ED1-ME</v>
      </c>
      <c r="B384" s="202" t="s">
        <v>991</v>
      </c>
      <c r="C384" s="202" t="s">
        <v>1629</v>
      </c>
      <c r="D384" s="209">
        <v>225</v>
      </c>
      <c r="E384" s="202" t="s">
        <v>161</v>
      </c>
      <c r="F384" s="202" t="s">
        <v>364</v>
      </c>
    </row>
    <row r="385" spans="1:6" x14ac:dyDescent="0.3">
      <c r="A385" s="202" t="str">
        <f t="shared" si="5"/>
        <v>MATH 152,ED1-ME</v>
      </c>
      <c r="B385" s="202" t="s">
        <v>992</v>
      </c>
      <c r="C385" s="202" t="s">
        <v>1951</v>
      </c>
      <c r="D385" s="209">
        <v>225</v>
      </c>
      <c r="E385" s="202" t="s">
        <v>161</v>
      </c>
      <c r="F385" s="202" t="s">
        <v>129</v>
      </c>
    </row>
    <row r="386" spans="1:6" x14ac:dyDescent="0.3">
      <c r="A386" s="202" t="str">
        <f t="shared" ref="A386:A449" si="6">CONCATENATE(F386,",",E386)</f>
        <v>ME 160,ED1-ME</v>
      </c>
      <c r="B386" s="202" t="s">
        <v>993</v>
      </c>
      <c r="C386" s="202" t="s">
        <v>1992</v>
      </c>
      <c r="D386" s="209">
        <v>225</v>
      </c>
      <c r="E386" s="202" t="s">
        <v>161</v>
      </c>
      <c r="F386" s="202" t="s">
        <v>160</v>
      </c>
    </row>
    <row r="387" spans="1:6" x14ac:dyDescent="0.3">
      <c r="A387" s="202" t="str">
        <f t="shared" si="6"/>
        <v>ME 164,ED1-ME</v>
      </c>
      <c r="B387" s="202" t="s">
        <v>1292</v>
      </c>
      <c r="C387" s="202" t="s">
        <v>1715</v>
      </c>
      <c r="D387" s="209">
        <v>225</v>
      </c>
      <c r="E387" s="202" t="s">
        <v>161</v>
      </c>
      <c r="F387" s="202" t="s">
        <v>268</v>
      </c>
    </row>
    <row r="388" spans="1:6" x14ac:dyDescent="0.3">
      <c r="A388" s="202" t="str">
        <f t="shared" si="6"/>
        <v>ME 168,ED1-ME</v>
      </c>
      <c r="B388" s="202" t="s">
        <v>1019</v>
      </c>
      <c r="C388" s="202" t="s">
        <v>1717</v>
      </c>
      <c r="D388" s="209">
        <v>225</v>
      </c>
      <c r="E388" s="202" t="s">
        <v>161</v>
      </c>
      <c r="F388" s="202" t="s">
        <v>110</v>
      </c>
    </row>
    <row r="389" spans="1:6" x14ac:dyDescent="0.3">
      <c r="A389" s="202" t="str">
        <f t="shared" si="6"/>
        <v>ME 174,ED1-ME</v>
      </c>
      <c r="B389" s="202" t="s">
        <v>1043</v>
      </c>
      <c r="C389" s="202" t="s">
        <v>1406</v>
      </c>
      <c r="D389" s="209">
        <v>225</v>
      </c>
      <c r="E389" s="202" t="s">
        <v>161</v>
      </c>
      <c r="F389" s="202" t="s">
        <v>486</v>
      </c>
    </row>
    <row r="390" spans="1:6" s="216" customFormat="1" x14ac:dyDescent="0.3">
      <c r="A390" s="202" t="str">
        <f t="shared" si="6"/>
        <v>MATH 252,ED2-ME</v>
      </c>
      <c r="B390" s="202" t="s">
        <v>998</v>
      </c>
      <c r="C390" s="202" t="s">
        <v>1734</v>
      </c>
      <c r="D390" s="209">
        <v>240</v>
      </c>
      <c r="E390" s="202" t="s">
        <v>33</v>
      </c>
      <c r="F390" s="202" t="s">
        <v>281</v>
      </c>
    </row>
    <row r="391" spans="1:6" s="216" customFormat="1" x14ac:dyDescent="0.3">
      <c r="A391" s="202" t="str">
        <f t="shared" si="6"/>
        <v>ME 252,ED2-ME</v>
      </c>
      <c r="B391" s="202" t="s">
        <v>1051</v>
      </c>
      <c r="C391" s="202" t="s">
        <v>1704</v>
      </c>
      <c r="D391" s="209">
        <v>240</v>
      </c>
      <c r="E391" s="202" t="s">
        <v>33</v>
      </c>
      <c r="F391" s="202" t="s">
        <v>394</v>
      </c>
    </row>
    <row r="392" spans="1:6" s="216" customFormat="1" x14ac:dyDescent="0.3">
      <c r="A392" s="202" t="str">
        <f t="shared" si="6"/>
        <v>ME 264,ED2-ME</v>
      </c>
      <c r="B392" s="202" t="s">
        <v>1023</v>
      </c>
      <c r="C392" s="202" t="s">
        <v>1755</v>
      </c>
      <c r="D392" s="209">
        <v>240</v>
      </c>
      <c r="E392" s="202" t="s">
        <v>33</v>
      </c>
      <c r="F392" s="202" t="s">
        <v>151</v>
      </c>
    </row>
    <row r="393" spans="1:6" s="216" customFormat="1" x14ac:dyDescent="0.3">
      <c r="A393" s="202" t="str">
        <f t="shared" si="6"/>
        <v>ME 266,ED2-ME</v>
      </c>
      <c r="B393" s="202" t="s">
        <v>1024</v>
      </c>
      <c r="C393" s="202" t="s">
        <v>1746</v>
      </c>
      <c r="D393" s="209">
        <v>240</v>
      </c>
      <c r="E393" s="202" t="s">
        <v>33</v>
      </c>
      <c r="F393" s="202" t="s">
        <v>420</v>
      </c>
    </row>
    <row r="394" spans="1:6" s="216" customFormat="1" x14ac:dyDescent="0.3">
      <c r="A394" s="202" t="str">
        <f t="shared" si="6"/>
        <v>ME 274,ED2-ME</v>
      </c>
      <c r="B394" s="202" t="s">
        <v>1293</v>
      </c>
      <c r="C394" s="202" t="s">
        <v>1410</v>
      </c>
      <c r="D394" s="209">
        <v>240</v>
      </c>
      <c r="E394" s="202" t="s">
        <v>33</v>
      </c>
      <c r="F394" s="202" t="s">
        <v>32</v>
      </c>
    </row>
    <row r="395" spans="1:6" s="216" customFormat="1" x14ac:dyDescent="0.3">
      <c r="A395" s="202" t="str">
        <f t="shared" si="6"/>
        <v>ME 292,ED2-ME</v>
      </c>
      <c r="B395" s="202" t="s">
        <v>1030</v>
      </c>
      <c r="C395" s="202" t="s">
        <v>1435</v>
      </c>
      <c r="D395" s="209">
        <v>240</v>
      </c>
      <c r="E395" s="202" t="s">
        <v>33</v>
      </c>
      <c r="F395" s="202" t="s">
        <v>240</v>
      </c>
    </row>
    <row r="396" spans="1:6" s="216" customFormat="1" x14ac:dyDescent="0.3">
      <c r="A396" s="202" t="str">
        <f t="shared" si="6"/>
        <v>ME 296,ED2-ME</v>
      </c>
      <c r="B396" s="202" t="s">
        <v>1001</v>
      </c>
      <c r="C396" s="202" t="s">
        <v>1746</v>
      </c>
      <c r="D396" s="209">
        <v>240</v>
      </c>
      <c r="E396" s="202" t="s">
        <v>33</v>
      </c>
      <c r="F396" s="202" t="s">
        <v>542</v>
      </c>
    </row>
    <row r="397" spans="1:6" s="216" customFormat="1" x14ac:dyDescent="0.3">
      <c r="A397" s="202" t="str">
        <f t="shared" si="6"/>
        <v>EE 252,ED3-ME</v>
      </c>
      <c r="B397" s="202" t="s">
        <v>995</v>
      </c>
      <c r="C397" s="202" t="s">
        <v>1947</v>
      </c>
      <c r="D397" s="209">
        <v>222</v>
      </c>
      <c r="E397" s="202" t="s">
        <v>61</v>
      </c>
      <c r="F397" s="202" t="s">
        <v>473</v>
      </c>
    </row>
    <row r="398" spans="1:6" s="216" customFormat="1" x14ac:dyDescent="0.3">
      <c r="A398" s="202" t="str">
        <f t="shared" si="6"/>
        <v>ME 352,ED3-ME</v>
      </c>
      <c r="B398" s="202" t="s">
        <v>1294</v>
      </c>
      <c r="C398" s="202" t="s">
        <v>1992</v>
      </c>
      <c r="D398" s="209">
        <v>222</v>
      </c>
      <c r="E398" s="202" t="s">
        <v>61</v>
      </c>
      <c r="F398" s="202" t="s">
        <v>174</v>
      </c>
    </row>
    <row r="399" spans="1:6" s="216" customFormat="1" x14ac:dyDescent="0.3">
      <c r="A399" s="202" t="str">
        <f t="shared" si="6"/>
        <v>ME 356,ED3-ME</v>
      </c>
      <c r="B399" s="202" t="s">
        <v>1295</v>
      </c>
      <c r="C399" s="202" t="s">
        <v>1717</v>
      </c>
      <c r="D399" s="209">
        <v>222</v>
      </c>
      <c r="E399" s="202" t="s">
        <v>61</v>
      </c>
      <c r="F399" s="202" t="s">
        <v>389</v>
      </c>
    </row>
    <row r="400" spans="1:6" s="216" customFormat="1" x14ac:dyDescent="0.3">
      <c r="A400" s="202" t="str">
        <f t="shared" si="6"/>
        <v>ME 370,ED3-ME</v>
      </c>
      <c r="B400" s="202" t="s">
        <v>1052</v>
      </c>
      <c r="C400" s="202" t="s">
        <v>1758</v>
      </c>
      <c r="D400" s="209">
        <v>222</v>
      </c>
      <c r="E400" s="202" t="s">
        <v>61</v>
      </c>
      <c r="F400" s="202" t="s">
        <v>310</v>
      </c>
    </row>
    <row r="401" spans="1:6" s="216" customFormat="1" x14ac:dyDescent="0.3">
      <c r="A401" s="202" t="str">
        <f t="shared" si="6"/>
        <v>ME 362,ED3-ME</v>
      </c>
      <c r="B401" s="202" t="s">
        <v>1029</v>
      </c>
      <c r="C401" s="202" t="s">
        <v>1429</v>
      </c>
      <c r="D401" s="209">
        <v>222</v>
      </c>
      <c r="E401" s="202" t="s">
        <v>61</v>
      </c>
      <c r="F401" s="202" t="s">
        <v>519</v>
      </c>
    </row>
    <row r="402" spans="1:6" s="216" customFormat="1" x14ac:dyDescent="0.3">
      <c r="A402" s="202" t="str">
        <f t="shared" si="6"/>
        <v>ME 366,ED3-ME</v>
      </c>
      <c r="B402" s="202" t="s">
        <v>1007</v>
      </c>
      <c r="C402" s="202" t="s">
        <v>1768</v>
      </c>
      <c r="D402" s="209">
        <v>222</v>
      </c>
      <c r="E402" s="202" t="s">
        <v>61</v>
      </c>
      <c r="F402" s="202" t="s">
        <v>347</v>
      </c>
    </row>
    <row r="403" spans="1:6" s="216" customFormat="1" x14ac:dyDescent="0.3">
      <c r="A403" s="202" t="str">
        <f t="shared" si="6"/>
        <v>ME 374,ED3-ME</v>
      </c>
      <c r="B403" s="202" t="s">
        <v>1296</v>
      </c>
      <c r="C403" s="202" t="s">
        <v>1410</v>
      </c>
      <c r="D403" s="209">
        <v>222</v>
      </c>
      <c r="E403" s="202" t="s">
        <v>61</v>
      </c>
      <c r="F403" s="202" t="s">
        <v>60</v>
      </c>
    </row>
    <row r="404" spans="1:6" s="216" customFormat="1" x14ac:dyDescent="0.3">
      <c r="A404" s="202" t="str">
        <f t="shared" si="6"/>
        <v>ME 396,ED3-ME</v>
      </c>
      <c r="B404" s="202" t="s">
        <v>1297</v>
      </c>
      <c r="C404" s="202" t="s">
        <v>1715</v>
      </c>
      <c r="D404" s="209">
        <v>222</v>
      </c>
      <c r="E404" s="202" t="s">
        <v>61</v>
      </c>
      <c r="F404" s="202" t="s">
        <v>1298</v>
      </c>
    </row>
    <row r="405" spans="1:6" s="216" customFormat="1" x14ac:dyDescent="0.3">
      <c r="A405" s="202" t="str">
        <f t="shared" si="6"/>
        <v>ME 452,ED4-ME</v>
      </c>
      <c r="B405" s="202" t="s">
        <v>1299</v>
      </c>
      <c r="C405" s="202" t="s">
        <v>1777</v>
      </c>
      <c r="D405" s="209">
        <v>80</v>
      </c>
      <c r="E405" s="202" t="s">
        <v>67</v>
      </c>
      <c r="F405" s="202" t="s">
        <v>458</v>
      </c>
    </row>
    <row r="406" spans="1:6" s="216" customFormat="1" x14ac:dyDescent="0.3">
      <c r="A406" s="202" t="str">
        <f t="shared" si="6"/>
        <v>ME 464,ED4-ME</v>
      </c>
      <c r="B406" s="202" t="s">
        <v>1300</v>
      </c>
      <c r="C406" s="202" t="s">
        <v>1429</v>
      </c>
      <c r="D406" s="209">
        <v>135</v>
      </c>
      <c r="E406" s="202" t="s">
        <v>67</v>
      </c>
      <c r="F406" s="202" t="s">
        <v>66</v>
      </c>
    </row>
    <row r="407" spans="1:6" s="216" customFormat="1" x14ac:dyDescent="0.3">
      <c r="A407" s="202" t="str">
        <f t="shared" si="6"/>
        <v>ME 468,ED4-ME</v>
      </c>
      <c r="B407" s="202" t="s">
        <v>1036</v>
      </c>
      <c r="C407" s="202" t="s">
        <v>1768</v>
      </c>
      <c r="D407" s="209">
        <v>40</v>
      </c>
      <c r="E407" s="202" t="s">
        <v>67</v>
      </c>
      <c r="F407" s="202" t="s">
        <v>407</v>
      </c>
    </row>
    <row r="408" spans="1:6" s="216" customFormat="1" x14ac:dyDescent="0.3">
      <c r="A408" s="202" t="str">
        <f t="shared" si="6"/>
        <v>ME 472,ED4-ME</v>
      </c>
      <c r="B408" s="202" t="s">
        <v>1037</v>
      </c>
      <c r="C408" s="202" t="s">
        <v>1787</v>
      </c>
      <c r="D408" s="209">
        <v>54</v>
      </c>
      <c r="E408" s="202" t="s">
        <v>67</v>
      </c>
      <c r="F408" s="202" t="s">
        <v>327</v>
      </c>
    </row>
    <row r="409" spans="1:6" s="216" customFormat="1" x14ac:dyDescent="0.3">
      <c r="A409" s="202" t="str">
        <f t="shared" si="6"/>
        <v>ME 478,ED4-ME</v>
      </c>
      <c r="B409" s="202" t="s">
        <v>1302</v>
      </c>
      <c r="C409" s="202" t="s">
        <v>1787</v>
      </c>
      <c r="D409" s="209">
        <v>40</v>
      </c>
      <c r="E409" s="202" t="s">
        <v>67</v>
      </c>
      <c r="F409" s="202" t="s">
        <v>189</v>
      </c>
    </row>
    <row r="410" spans="1:6" s="216" customFormat="1" x14ac:dyDescent="0.3">
      <c r="A410" s="202" t="str">
        <f t="shared" si="6"/>
        <v>ME 482,ED4-ME</v>
      </c>
      <c r="B410" s="202" t="s">
        <v>1303</v>
      </c>
      <c r="C410" s="202" t="s">
        <v>1438</v>
      </c>
      <c r="D410" s="209">
        <v>55</v>
      </c>
      <c r="E410" s="202" t="s">
        <v>67</v>
      </c>
      <c r="F410" s="202" t="s">
        <v>116</v>
      </c>
    </row>
    <row r="411" spans="1:6" s="216" customFormat="1" x14ac:dyDescent="0.3">
      <c r="A411" s="202" t="str">
        <f t="shared" si="6"/>
        <v>ME 492,ED4-ME</v>
      </c>
      <c r="B411" s="202" t="s">
        <v>1015</v>
      </c>
      <c r="C411" s="202" t="s">
        <v>1435</v>
      </c>
      <c r="D411" s="209">
        <v>135</v>
      </c>
      <c r="E411" s="202" t="s">
        <v>67</v>
      </c>
      <c r="F411" s="202" t="s">
        <v>373</v>
      </c>
    </row>
    <row r="412" spans="1:6" s="216" customFormat="1" x14ac:dyDescent="0.3">
      <c r="A412" s="202" t="str">
        <f t="shared" si="6"/>
        <v>ME 494,ED4-ME</v>
      </c>
      <c r="B412" s="202" t="s">
        <v>1251</v>
      </c>
      <c r="C412" s="202" t="s">
        <v>1949</v>
      </c>
      <c r="D412" s="209">
        <v>135</v>
      </c>
      <c r="E412" s="202" t="s">
        <v>67</v>
      </c>
      <c r="F412" s="202" t="s">
        <v>293</v>
      </c>
    </row>
    <row r="413" spans="1:6" s="216" customFormat="1" x14ac:dyDescent="0.3">
      <c r="A413" s="202" t="str">
        <f t="shared" si="6"/>
        <v>ENGL 158,ED1-METE</v>
      </c>
      <c r="B413" s="202" t="s">
        <v>991</v>
      </c>
      <c r="C413" s="202" t="s">
        <v>1634</v>
      </c>
      <c r="D413" s="209">
        <v>75</v>
      </c>
      <c r="E413" s="202" t="s">
        <v>114</v>
      </c>
      <c r="F413" s="202" t="s">
        <v>364</v>
      </c>
    </row>
    <row r="414" spans="1:6" s="216" customFormat="1" x14ac:dyDescent="0.3">
      <c r="A414" s="202" t="str">
        <f t="shared" si="6"/>
        <v>MATH 152,ED1-METE</v>
      </c>
      <c r="B414" s="202" t="s">
        <v>992</v>
      </c>
      <c r="C414" s="202" t="s">
        <v>1975</v>
      </c>
      <c r="D414" s="209">
        <v>75</v>
      </c>
      <c r="E414" s="202" t="s">
        <v>114</v>
      </c>
      <c r="F414" s="202" t="s">
        <v>129</v>
      </c>
    </row>
    <row r="415" spans="1:6" s="216" customFormat="1" x14ac:dyDescent="0.3">
      <c r="A415" s="202" t="str">
        <f t="shared" si="6"/>
        <v>ME 160,ED1-METE</v>
      </c>
      <c r="B415" s="202" t="s">
        <v>993</v>
      </c>
      <c r="C415" s="202" t="s">
        <v>1404</v>
      </c>
      <c r="D415" s="209">
        <v>75</v>
      </c>
      <c r="E415" s="202" t="s">
        <v>114</v>
      </c>
      <c r="F415" s="202" t="s">
        <v>160</v>
      </c>
    </row>
    <row r="416" spans="1:6" s="216" customFormat="1" x14ac:dyDescent="0.3">
      <c r="A416" s="202" t="str">
        <f t="shared" si="6"/>
        <v>ME 162,ED1-METE</v>
      </c>
      <c r="B416" s="202" t="s">
        <v>994</v>
      </c>
      <c r="C416" s="202" t="s">
        <v>1777</v>
      </c>
      <c r="D416" s="209">
        <v>75</v>
      </c>
      <c r="E416" s="202" t="s">
        <v>114</v>
      </c>
      <c r="F416" s="202" t="s">
        <v>392</v>
      </c>
    </row>
    <row r="417" spans="1:6" s="216" customFormat="1" x14ac:dyDescent="0.3">
      <c r="A417" s="202" t="str">
        <f t="shared" si="6"/>
        <v>METE 152,ED1-METE</v>
      </c>
      <c r="B417" s="202" t="s">
        <v>1304</v>
      </c>
      <c r="C417" s="202" t="s">
        <v>1988</v>
      </c>
      <c r="D417" s="209">
        <v>75</v>
      </c>
      <c r="E417" s="202" t="s">
        <v>114</v>
      </c>
      <c r="F417" s="202" t="s">
        <v>295</v>
      </c>
    </row>
    <row r="418" spans="1:6" s="216" customFormat="1" x14ac:dyDescent="0.3">
      <c r="A418" s="202" t="str">
        <f t="shared" si="6"/>
        <v>METE 154,ED1-METE</v>
      </c>
      <c r="B418" s="202" t="s">
        <v>1270</v>
      </c>
      <c r="C418" s="202" t="s">
        <v>1802</v>
      </c>
      <c r="D418" s="209">
        <v>75</v>
      </c>
      <c r="E418" s="202" t="s">
        <v>114</v>
      </c>
      <c r="F418" s="202" t="s">
        <v>500</v>
      </c>
    </row>
    <row r="419" spans="1:6" s="216" customFormat="1" x14ac:dyDescent="0.3">
      <c r="A419" s="202" t="str">
        <f t="shared" si="6"/>
        <v>MSE 154,ED1-METE</v>
      </c>
      <c r="B419" s="202" t="s">
        <v>1272</v>
      </c>
      <c r="C419" s="202" t="s">
        <v>1837</v>
      </c>
      <c r="D419" s="209">
        <v>75</v>
      </c>
      <c r="E419" s="202" t="s">
        <v>114</v>
      </c>
      <c r="F419" s="202" t="s">
        <v>113</v>
      </c>
    </row>
    <row r="420" spans="1:6" s="216" customFormat="1" x14ac:dyDescent="0.3">
      <c r="A420" s="202" t="str">
        <f t="shared" si="6"/>
        <v>GED 162,ED1-METE</v>
      </c>
      <c r="B420" s="202" t="s">
        <v>1993</v>
      </c>
      <c r="C420" s="202" t="s">
        <v>1682</v>
      </c>
      <c r="D420" s="209">
        <v>75</v>
      </c>
      <c r="E420" s="202" t="s">
        <v>114</v>
      </c>
      <c r="F420" s="202" t="s">
        <v>355</v>
      </c>
    </row>
    <row r="421" spans="1:6" s="216" customFormat="1" x14ac:dyDescent="0.3">
      <c r="A421" s="202" t="str">
        <f t="shared" si="6"/>
        <v>MATH 252,ED2-METE</v>
      </c>
      <c r="B421" s="202" t="s">
        <v>998</v>
      </c>
      <c r="C421" s="202" t="s">
        <v>1721</v>
      </c>
      <c r="D421" s="209">
        <v>57</v>
      </c>
      <c r="E421" s="202" t="s">
        <v>101</v>
      </c>
      <c r="F421" s="202" t="s">
        <v>281</v>
      </c>
    </row>
    <row r="422" spans="1:6" s="216" customFormat="1" x14ac:dyDescent="0.3">
      <c r="A422" s="202" t="str">
        <f t="shared" si="6"/>
        <v>METE 252,ED2-METE</v>
      </c>
      <c r="B422" s="202" t="s">
        <v>1306</v>
      </c>
      <c r="C422" s="202" t="s">
        <v>1988</v>
      </c>
      <c r="D422" s="209">
        <v>57</v>
      </c>
      <c r="E422" s="202" t="s">
        <v>101</v>
      </c>
      <c r="F422" s="202" t="s">
        <v>403</v>
      </c>
    </row>
    <row r="423" spans="1:6" s="216" customFormat="1" x14ac:dyDescent="0.3">
      <c r="A423" s="202" t="str">
        <f t="shared" si="6"/>
        <v>METE 254,ED2-METE</v>
      </c>
      <c r="B423" s="202" t="s">
        <v>1307</v>
      </c>
      <c r="C423" s="202" t="s">
        <v>1802</v>
      </c>
      <c r="D423" s="209">
        <v>57</v>
      </c>
      <c r="E423" s="202" t="s">
        <v>101</v>
      </c>
      <c r="F423" s="202" t="s">
        <v>487</v>
      </c>
    </row>
    <row r="424" spans="1:6" s="216" customFormat="1" x14ac:dyDescent="0.3">
      <c r="A424" s="202" t="str">
        <f t="shared" si="6"/>
        <v>METE 256,ED2-METE</v>
      </c>
      <c r="B424" s="202" t="s">
        <v>1308</v>
      </c>
      <c r="C424" s="202" t="s">
        <v>1802</v>
      </c>
      <c r="D424" s="209">
        <v>57</v>
      </c>
      <c r="E424" s="202" t="s">
        <v>101</v>
      </c>
      <c r="F424" s="202" t="s">
        <v>100</v>
      </c>
    </row>
    <row r="425" spans="1:6" s="216" customFormat="1" x14ac:dyDescent="0.3">
      <c r="A425" s="202" t="str">
        <f t="shared" si="6"/>
        <v>MSE 262,ED2-METE</v>
      </c>
      <c r="B425" s="202" t="s">
        <v>1991</v>
      </c>
      <c r="C425" s="202" t="s">
        <v>1805</v>
      </c>
      <c r="D425" s="209">
        <v>57</v>
      </c>
      <c r="E425" s="202" t="s">
        <v>101</v>
      </c>
      <c r="F425" s="202" t="s">
        <v>209</v>
      </c>
    </row>
    <row r="426" spans="1:6" s="216" customFormat="1" x14ac:dyDescent="0.3">
      <c r="A426" s="202" t="str">
        <f t="shared" si="6"/>
        <v>MSE 252,ED2-METE</v>
      </c>
      <c r="B426" s="202" t="s">
        <v>1273</v>
      </c>
      <c r="C426" s="202" t="s">
        <v>1797</v>
      </c>
      <c r="D426" s="209">
        <v>57</v>
      </c>
      <c r="E426" s="202" t="s">
        <v>101</v>
      </c>
      <c r="F426" s="202" t="s">
        <v>366</v>
      </c>
    </row>
    <row r="427" spans="1:6" s="216" customFormat="1" x14ac:dyDescent="0.3">
      <c r="A427" s="202" t="str">
        <f t="shared" si="6"/>
        <v>MSE 260,ED2-METE</v>
      </c>
      <c r="B427" s="202" t="s">
        <v>1277</v>
      </c>
      <c r="C427" s="202" t="s">
        <v>1800</v>
      </c>
      <c r="D427" s="209">
        <v>57</v>
      </c>
      <c r="E427" s="202" t="s">
        <v>101</v>
      </c>
      <c r="F427" s="202" t="s">
        <v>253</v>
      </c>
    </row>
    <row r="428" spans="1:6" s="216" customFormat="1" x14ac:dyDescent="0.3">
      <c r="A428" s="202" t="str">
        <f t="shared" si="6"/>
        <v>MSE 258,ED2-METE</v>
      </c>
      <c r="B428" s="202" t="s">
        <v>1275</v>
      </c>
      <c r="C428" s="202" t="s">
        <v>1761</v>
      </c>
      <c r="D428" s="209">
        <v>57</v>
      </c>
      <c r="E428" s="202" t="s">
        <v>101</v>
      </c>
      <c r="F428" s="202" t="s">
        <v>1276</v>
      </c>
    </row>
    <row r="429" spans="1:6" s="216" customFormat="1" x14ac:dyDescent="0.3">
      <c r="A429" s="202" t="str">
        <f t="shared" si="6"/>
        <v>METE 352,ED3-METE</v>
      </c>
      <c r="B429" s="202" t="s">
        <v>1311</v>
      </c>
      <c r="C429" s="202" t="s">
        <v>1807</v>
      </c>
      <c r="D429" s="209">
        <v>87</v>
      </c>
      <c r="E429" s="202" t="s">
        <v>142</v>
      </c>
      <c r="F429" s="202" t="s">
        <v>256</v>
      </c>
    </row>
    <row r="430" spans="1:6" s="216" customFormat="1" x14ac:dyDescent="0.3">
      <c r="A430" s="202" t="str">
        <f t="shared" si="6"/>
        <v>METE 354,ED3-METE</v>
      </c>
      <c r="B430" s="202" t="s">
        <v>1275</v>
      </c>
      <c r="C430" s="202" t="s">
        <v>1797</v>
      </c>
      <c r="D430" s="209">
        <v>87</v>
      </c>
      <c r="E430" s="202" t="s">
        <v>142</v>
      </c>
      <c r="F430" s="202" t="s">
        <v>390</v>
      </c>
    </row>
    <row r="431" spans="1:6" s="216" customFormat="1" x14ac:dyDescent="0.3">
      <c r="A431" s="202" t="str">
        <f t="shared" si="6"/>
        <v>METE 356,ED3-METE</v>
      </c>
      <c r="B431" s="202" t="s">
        <v>1286</v>
      </c>
      <c r="C431" s="202" t="s">
        <v>1811</v>
      </c>
      <c r="D431" s="209">
        <v>87</v>
      </c>
      <c r="E431" s="202" t="s">
        <v>142</v>
      </c>
      <c r="F431" s="202" t="s">
        <v>1312</v>
      </c>
    </row>
    <row r="432" spans="1:6" s="216" customFormat="1" x14ac:dyDescent="0.3">
      <c r="A432" s="202" t="str">
        <f t="shared" si="6"/>
        <v>METE 358,ED3-METE</v>
      </c>
      <c r="B432" s="202" t="s">
        <v>1313</v>
      </c>
      <c r="C432" s="202" t="s">
        <v>1761</v>
      </c>
      <c r="D432" s="209">
        <v>87</v>
      </c>
      <c r="E432" s="202" t="s">
        <v>142</v>
      </c>
      <c r="F432" s="202" t="s">
        <v>141</v>
      </c>
    </row>
    <row r="433" spans="1:6" s="216" customFormat="1" x14ac:dyDescent="0.3">
      <c r="A433" s="202" t="str">
        <f t="shared" si="6"/>
        <v>METE 362,ED3-METE</v>
      </c>
      <c r="B433" s="202" t="s">
        <v>1280</v>
      </c>
      <c r="C433" s="202" t="s">
        <v>1814</v>
      </c>
      <c r="D433" s="209">
        <v>87</v>
      </c>
      <c r="E433" s="202" t="s">
        <v>142</v>
      </c>
      <c r="F433" s="202" t="s">
        <v>208</v>
      </c>
    </row>
    <row r="434" spans="1:6" s="216" customFormat="1" x14ac:dyDescent="0.3">
      <c r="A434" s="202" t="str">
        <f t="shared" si="6"/>
        <v>MSE 356,ED3-METE</v>
      </c>
      <c r="B434" s="202" t="s">
        <v>1286</v>
      </c>
      <c r="C434" s="202" t="s">
        <v>1811</v>
      </c>
      <c r="D434" s="209">
        <v>87</v>
      </c>
      <c r="E434" s="202" t="s">
        <v>142</v>
      </c>
      <c r="F434" s="202" t="s">
        <v>271</v>
      </c>
    </row>
    <row r="435" spans="1:6" s="216" customFormat="1" x14ac:dyDescent="0.3">
      <c r="A435" s="202" t="str">
        <f t="shared" si="6"/>
        <v>MSE 358,ED3-METE</v>
      </c>
      <c r="B435" s="202" t="s">
        <v>1282</v>
      </c>
      <c r="C435" s="202" t="s">
        <v>1837</v>
      </c>
      <c r="D435" s="209">
        <v>87</v>
      </c>
      <c r="E435" s="202" t="s">
        <v>142</v>
      </c>
      <c r="F435" s="202" t="s">
        <v>499</v>
      </c>
    </row>
    <row r="436" spans="1:6" s="216" customFormat="1" x14ac:dyDescent="0.3">
      <c r="A436" s="202" t="str">
        <f t="shared" si="6"/>
        <v>MSE 362,ED3-METE</v>
      </c>
      <c r="B436" s="202" t="s">
        <v>1284</v>
      </c>
      <c r="C436" s="202" t="s">
        <v>1814</v>
      </c>
      <c r="D436" s="209">
        <v>87</v>
      </c>
      <c r="E436" s="202" t="s">
        <v>142</v>
      </c>
      <c r="F436" s="202" t="s">
        <v>321</v>
      </c>
    </row>
    <row r="437" spans="1:6" s="216" customFormat="1" x14ac:dyDescent="0.3">
      <c r="A437" s="202" t="str">
        <f t="shared" si="6"/>
        <v>ME 492,ED4-METE</v>
      </c>
      <c r="B437" s="202" t="s">
        <v>1015</v>
      </c>
      <c r="C437" s="202" t="s">
        <v>1435</v>
      </c>
      <c r="D437" s="209">
        <v>55</v>
      </c>
      <c r="E437" s="202" t="s">
        <v>136</v>
      </c>
      <c r="F437" s="202" t="s">
        <v>373</v>
      </c>
    </row>
    <row r="438" spans="1:6" s="216" customFormat="1" x14ac:dyDescent="0.3">
      <c r="A438" s="202" t="str">
        <f t="shared" si="6"/>
        <v>METE 452,ED4-METE</v>
      </c>
      <c r="B438" s="202" t="s">
        <v>1315</v>
      </c>
      <c r="C438" s="202" t="s">
        <v>1807</v>
      </c>
      <c r="D438" s="209">
        <v>55</v>
      </c>
      <c r="E438" s="202" t="s">
        <v>136</v>
      </c>
      <c r="F438" s="202" t="s">
        <v>442</v>
      </c>
    </row>
    <row r="439" spans="1:6" s="216" customFormat="1" x14ac:dyDescent="0.3">
      <c r="A439" s="202" t="str">
        <f t="shared" si="6"/>
        <v>METE 454,ED4-METE</v>
      </c>
      <c r="B439" s="202" t="s">
        <v>1316</v>
      </c>
      <c r="C439" s="202" t="s">
        <v>1802</v>
      </c>
      <c r="D439" s="209">
        <v>55</v>
      </c>
      <c r="E439" s="202" t="s">
        <v>136</v>
      </c>
      <c r="F439" s="202" t="s">
        <v>290</v>
      </c>
    </row>
    <row r="440" spans="1:6" s="216" customFormat="1" x14ac:dyDescent="0.3">
      <c r="A440" s="202" t="str">
        <f t="shared" si="6"/>
        <v>MSE 456,ED4-METE</v>
      </c>
      <c r="B440" s="202" t="s">
        <v>1290</v>
      </c>
      <c r="C440" s="202" t="s">
        <v>1761</v>
      </c>
      <c r="D440" s="209">
        <v>55</v>
      </c>
      <c r="E440" s="202" t="s">
        <v>136</v>
      </c>
      <c r="F440" s="202" t="s">
        <v>223</v>
      </c>
    </row>
    <row r="441" spans="1:6" s="216" customFormat="1" x14ac:dyDescent="0.3">
      <c r="A441" s="202" t="str">
        <f t="shared" si="6"/>
        <v>MSE 458,ED4-METE</v>
      </c>
      <c r="B441" s="202" t="s">
        <v>1317</v>
      </c>
      <c r="C441" s="202" t="s">
        <v>1857</v>
      </c>
      <c r="D441" s="209">
        <v>55</v>
      </c>
      <c r="E441" s="202" t="s">
        <v>136</v>
      </c>
      <c r="F441" s="202" t="s">
        <v>134</v>
      </c>
    </row>
    <row r="442" spans="1:6" s="216" customFormat="1" x14ac:dyDescent="0.3">
      <c r="A442" s="202" t="str">
        <f t="shared" si="6"/>
        <v>CHE 156,ED1-PCE</v>
      </c>
      <c r="B442" s="202" t="s">
        <v>1127</v>
      </c>
      <c r="C442" s="202" t="s">
        <v>1512</v>
      </c>
      <c r="D442" s="209">
        <v>56</v>
      </c>
      <c r="E442" s="202" t="s">
        <v>81</v>
      </c>
      <c r="F442" s="202" t="s">
        <v>302</v>
      </c>
    </row>
    <row r="443" spans="1:6" s="216" customFormat="1" x14ac:dyDescent="0.3">
      <c r="A443" s="202" t="str">
        <f t="shared" si="6"/>
        <v>EE 152,ED1-PCE</v>
      </c>
      <c r="B443" s="202" t="s">
        <v>990</v>
      </c>
      <c r="C443" s="202" t="s">
        <v>1606</v>
      </c>
      <c r="D443" s="209">
        <v>56</v>
      </c>
      <c r="E443" s="202" t="s">
        <v>81</v>
      </c>
      <c r="F443" s="202" t="s">
        <v>234</v>
      </c>
    </row>
    <row r="444" spans="1:6" s="216" customFormat="1" x14ac:dyDescent="0.3">
      <c r="A444" s="202" t="str">
        <f t="shared" si="6"/>
        <v>ENGL 158,ED1-PCE</v>
      </c>
      <c r="B444" s="202" t="s">
        <v>991</v>
      </c>
      <c r="C444" s="202" t="s">
        <v>1629</v>
      </c>
      <c r="D444" s="209">
        <v>56</v>
      </c>
      <c r="E444" s="202" t="s">
        <v>81</v>
      </c>
      <c r="F444" s="202" t="s">
        <v>364</v>
      </c>
    </row>
    <row r="445" spans="1:6" s="216" customFormat="1" x14ac:dyDescent="0.3">
      <c r="A445" s="202" t="str">
        <f t="shared" si="6"/>
        <v>MATH 152,ED1-PCE</v>
      </c>
      <c r="B445" s="202" t="s">
        <v>992</v>
      </c>
      <c r="C445" s="202" t="s">
        <v>1966</v>
      </c>
      <c r="D445" s="209">
        <v>56</v>
      </c>
      <c r="E445" s="202" t="s">
        <v>81</v>
      </c>
      <c r="F445" s="202" t="s">
        <v>129</v>
      </c>
    </row>
    <row r="446" spans="1:6" s="216" customFormat="1" x14ac:dyDescent="0.3">
      <c r="A446" s="202" t="str">
        <f t="shared" si="6"/>
        <v>ME 162,ED1-PCE</v>
      </c>
      <c r="B446" s="202" t="s">
        <v>994</v>
      </c>
      <c r="C446" s="202" t="s">
        <v>1742</v>
      </c>
      <c r="D446" s="209">
        <v>56</v>
      </c>
      <c r="E446" s="202" t="s">
        <v>81</v>
      </c>
      <c r="F446" s="202" t="s">
        <v>392</v>
      </c>
    </row>
    <row r="447" spans="1:6" s="216" customFormat="1" x14ac:dyDescent="0.3">
      <c r="A447" s="202" t="str">
        <f t="shared" si="6"/>
        <v>PCE 158,ED1-PCE</v>
      </c>
      <c r="B447" s="202" t="s">
        <v>987</v>
      </c>
      <c r="C447" s="202" t="s">
        <v>1516</v>
      </c>
      <c r="D447" s="209">
        <v>56</v>
      </c>
      <c r="E447" s="202" t="s">
        <v>81</v>
      </c>
      <c r="F447" s="202" t="s">
        <v>185</v>
      </c>
    </row>
    <row r="448" spans="1:6" s="216" customFormat="1" x14ac:dyDescent="0.3">
      <c r="A448" s="202" t="str">
        <f t="shared" si="6"/>
        <v>PHY 170,ED1-PCE</v>
      </c>
      <c r="B448" s="202" t="s">
        <v>1129</v>
      </c>
      <c r="C448" s="202" t="s">
        <v>1904</v>
      </c>
      <c r="D448" s="209">
        <v>56</v>
      </c>
      <c r="E448" s="202" t="s">
        <v>81</v>
      </c>
      <c r="F448" s="202" t="s">
        <v>79</v>
      </c>
    </row>
    <row r="449" spans="1:6" s="216" customFormat="1" x14ac:dyDescent="0.3">
      <c r="A449" s="202" t="str">
        <f t="shared" si="6"/>
        <v>CHE 250,ED2-PCE</v>
      </c>
      <c r="B449" s="202" t="s">
        <v>1130</v>
      </c>
      <c r="C449" s="202" t="s">
        <v>1516</v>
      </c>
      <c r="D449" s="209">
        <v>65</v>
      </c>
      <c r="E449" s="202" t="s">
        <v>14</v>
      </c>
      <c r="F449" s="202" t="s">
        <v>338</v>
      </c>
    </row>
    <row r="450" spans="1:6" s="216" customFormat="1" x14ac:dyDescent="0.3">
      <c r="A450" s="202" t="str">
        <f t="shared" ref="A450:A513" si="7">CONCATENATE(F450,",",E450)</f>
        <v>CHE 252,ED2-PCE</v>
      </c>
      <c r="B450" s="202" t="s">
        <v>1131</v>
      </c>
      <c r="C450" s="202" t="s">
        <v>1519</v>
      </c>
      <c r="D450" s="209">
        <v>65</v>
      </c>
      <c r="E450" s="202" t="s">
        <v>14</v>
      </c>
      <c r="F450" s="202" t="s">
        <v>297</v>
      </c>
    </row>
    <row r="451" spans="1:6" s="216" customFormat="1" x14ac:dyDescent="0.3">
      <c r="A451" s="202" t="str">
        <f t="shared" si="7"/>
        <v>CHE 254,ED2-PCE</v>
      </c>
      <c r="B451" s="202" t="s">
        <v>1132</v>
      </c>
      <c r="C451" s="202" t="s">
        <v>1994</v>
      </c>
      <c r="D451" s="209">
        <v>65</v>
      </c>
      <c r="E451" s="202" t="s">
        <v>14</v>
      </c>
      <c r="F451" s="202" t="s">
        <v>397</v>
      </c>
    </row>
    <row r="452" spans="1:6" s="216" customFormat="1" x14ac:dyDescent="0.3">
      <c r="A452" s="202" t="str">
        <f t="shared" si="7"/>
        <v>CHE 256,ED2-PCE</v>
      </c>
      <c r="B452" s="202" t="s">
        <v>1133</v>
      </c>
      <c r="C452" s="202" t="s">
        <v>1519</v>
      </c>
      <c r="D452" s="209">
        <v>65</v>
      </c>
      <c r="E452" s="202" t="s">
        <v>14</v>
      </c>
      <c r="F452" s="202" t="s">
        <v>83</v>
      </c>
    </row>
    <row r="453" spans="1:6" s="216" customFormat="1" x14ac:dyDescent="0.3">
      <c r="A453" s="202" t="str">
        <f t="shared" si="7"/>
        <v>CHE 258,ED2-PCE</v>
      </c>
      <c r="B453" s="202" t="s">
        <v>1134</v>
      </c>
      <c r="C453" s="202" t="s">
        <v>1525</v>
      </c>
      <c r="D453" s="209">
        <v>65</v>
      </c>
      <c r="E453" s="202" t="s">
        <v>14</v>
      </c>
      <c r="F453" s="202" t="s">
        <v>12</v>
      </c>
    </row>
    <row r="454" spans="1:6" s="216" customFormat="1" x14ac:dyDescent="0.3">
      <c r="A454" s="202" t="str">
        <f t="shared" si="7"/>
        <v>CHEM 280,ED2-PCE</v>
      </c>
      <c r="B454" s="202" t="s">
        <v>1135</v>
      </c>
      <c r="C454" s="202" t="s">
        <v>1548</v>
      </c>
      <c r="D454" s="209">
        <v>65</v>
      </c>
      <c r="E454" s="202" t="s">
        <v>14</v>
      </c>
      <c r="F454" s="202" t="s">
        <v>173</v>
      </c>
    </row>
    <row r="455" spans="1:6" s="216" customFormat="1" x14ac:dyDescent="0.3">
      <c r="A455" s="202" t="str">
        <f t="shared" si="7"/>
        <v>MATH 252,ED2-PCE</v>
      </c>
      <c r="B455" s="202" t="s">
        <v>1136</v>
      </c>
      <c r="C455" s="202" t="s">
        <v>1729</v>
      </c>
      <c r="D455" s="209">
        <v>65</v>
      </c>
      <c r="E455" s="202" t="s">
        <v>14</v>
      </c>
      <c r="F455" s="202" t="s">
        <v>281</v>
      </c>
    </row>
    <row r="456" spans="1:6" s="216" customFormat="1" x14ac:dyDescent="0.3">
      <c r="A456" s="202" t="str">
        <f t="shared" si="7"/>
        <v>CHE 350,ED3-PCE</v>
      </c>
      <c r="B456" s="202" t="s">
        <v>1137</v>
      </c>
      <c r="C456" s="202" t="s">
        <v>1515</v>
      </c>
      <c r="D456" s="209">
        <v>53</v>
      </c>
      <c r="E456" s="202" t="s">
        <v>63</v>
      </c>
      <c r="F456" s="202" t="s">
        <v>199</v>
      </c>
    </row>
    <row r="457" spans="1:6" s="216" customFormat="1" x14ac:dyDescent="0.3">
      <c r="A457" s="202" t="str">
        <f t="shared" si="7"/>
        <v>CHE 358,ED3-PCE</v>
      </c>
      <c r="B457" s="202" t="s">
        <v>1140</v>
      </c>
      <c r="C457" s="202" t="s">
        <v>1532</v>
      </c>
      <c r="D457" s="209">
        <v>53</v>
      </c>
      <c r="E457" s="202" t="s">
        <v>63</v>
      </c>
      <c r="F457" s="202" t="s">
        <v>315</v>
      </c>
    </row>
    <row r="458" spans="1:6" s="216" customFormat="1" x14ac:dyDescent="0.3">
      <c r="A458" s="202" t="str">
        <f t="shared" si="7"/>
        <v>CHE 366,ED3-PCE</v>
      </c>
      <c r="B458" s="202" t="s">
        <v>1318</v>
      </c>
      <c r="C458" s="202" t="s">
        <v>1535</v>
      </c>
      <c r="D458" s="209">
        <v>20</v>
      </c>
      <c r="E458" s="202" t="s">
        <v>63</v>
      </c>
      <c r="F458" s="202" t="s">
        <v>382</v>
      </c>
    </row>
    <row r="459" spans="1:6" s="216" customFormat="1" x14ac:dyDescent="0.3">
      <c r="A459" s="202" t="str">
        <f t="shared" si="7"/>
        <v>CHE 370,ED3-PCE</v>
      </c>
      <c r="B459" s="202" t="s">
        <v>1319</v>
      </c>
      <c r="C459" s="202" t="s">
        <v>1511</v>
      </c>
      <c r="D459" s="209">
        <v>30</v>
      </c>
      <c r="E459" s="202" t="s">
        <v>63</v>
      </c>
      <c r="F459" s="202" t="s">
        <v>296</v>
      </c>
    </row>
    <row r="460" spans="1:6" s="216" customFormat="1" x14ac:dyDescent="0.3">
      <c r="A460" s="202" t="str">
        <f t="shared" si="7"/>
        <v>PCE 350,ED3-PCE</v>
      </c>
      <c r="B460" s="202" t="s">
        <v>1320</v>
      </c>
      <c r="C460" s="202" t="s">
        <v>1995</v>
      </c>
      <c r="D460" s="209">
        <v>53</v>
      </c>
      <c r="E460" s="202" t="s">
        <v>63</v>
      </c>
      <c r="F460" s="202" t="s">
        <v>496</v>
      </c>
    </row>
    <row r="461" spans="1:6" s="216" customFormat="1" x14ac:dyDescent="0.3">
      <c r="A461" s="202" t="str">
        <f t="shared" si="7"/>
        <v>PCE 352,ED3-PCE</v>
      </c>
      <c r="B461" s="202" t="s">
        <v>1321</v>
      </c>
      <c r="C461" s="202" t="s">
        <v>1995</v>
      </c>
      <c r="D461" s="209">
        <v>53</v>
      </c>
      <c r="E461" s="202" t="s">
        <v>63</v>
      </c>
      <c r="F461" s="202" t="s">
        <v>258</v>
      </c>
    </row>
    <row r="462" spans="1:6" s="216" customFormat="1" x14ac:dyDescent="0.3">
      <c r="A462" s="202" t="str">
        <f t="shared" si="7"/>
        <v>PCE 354,ED3-PCE</v>
      </c>
      <c r="B462" s="202" t="s">
        <v>1322</v>
      </c>
      <c r="C462" s="202" t="s">
        <v>1513</v>
      </c>
      <c r="D462" s="209">
        <v>53</v>
      </c>
      <c r="E462" s="202" t="s">
        <v>63</v>
      </c>
      <c r="F462" s="202" t="s">
        <v>62</v>
      </c>
    </row>
    <row r="463" spans="1:6" s="216" customFormat="1" x14ac:dyDescent="0.3">
      <c r="A463" s="202" t="str">
        <f t="shared" si="7"/>
        <v>PETE 354,ED3-PCE</v>
      </c>
      <c r="B463" s="202" t="s">
        <v>1323</v>
      </c>
      <c r="C463" s="202" t="s">
        <v>1899</v>
      </c>
      <c r="D463" s="209">
        <v>53</v>
      </c>
      <c r="E463" s="202" t="s">
        <v>63</v>
      </c>
      <c r="F463" s="202" t="s">
        <v>448</v>
      </c>
    </row>
    <row r="464" spans="1:6" s="216" customFormat="1" x14ac:dyDescent="0.3">
      <c r="A464" s="202" t="str">
        <f t="shared" si="7"/>
        <v>PETE 450,ED3-PCE</v>
      </c>
      <c r="B464" s="202" t="s">
        <v>1324</v>
      </c>
      <c r="C464" s="202" t="s">
        <v>1899</v>
      </c>
      <c r="D464" s="209">
        <v>53</v>
      </c>
      <c r="E464" s="202" t="s">
        <v>63</v>
      </c>
      <c r="F464" s="202" t="s">
        <v>393</v>
      </c>
    </row>
    <row r="465" spans="1:6" s="216" customFormat="1" x14ac:dyDescent="0.3">
      <c r="A465" s="202" t="str">
        <f t="shared" si="7"/>
        <v>CHE 456,ED4-PCE</v>
      </c>
      <c r="B465" s="202" t="s">
        <v>1145</v>
      </c>
      <c r="C465" s="202" t="s">
        <v>1516</v>
      </c>
      <c r="D465" s="209">
        <v>55</v>
      </c>
      <c r="E465" s="202" t="s">
        <v>44</v>
      </c>
      <c r="F465" s="202" t="s">
        <v>525</v>
      </c>
    </row>
    <row r="466" spans="1:6" s="216" customFormat="1" x14ac:dyDescent="0.3">
      <c r="A466" s="202" t="str">
        <f t="shared" si="7"/>
        <v>CHE 458,ED4-PCE</v>
      </c>
      <c r="B466" s="202" t="s">
        <v>1146</v>
      </c>
      <c r="C466" s="202" t="s">
        <v>1541</v>
      </c>
      <c r="D466" s="209">
        <v>55</v>
      </c>
      <c r="E466" s="202" t="s">
        <v>44</v>
      </c>
      <c r="F466" s="202" t="s">
        <v>345</v>
      </c>
    </row>
    <row r="467" spans="1:6" s="216" customFormat="1" x14ac:dyDescent="0.3">
      <c r="A467" s="202" t="str">
        <f t="shared" si="7"/>
        <v>CHE 464,ED4-PCE</v>
      </c>
      <c r="B467" s="202" t="s">
        <v>1325</v>
      </c>
      <c r="C467" s="202" t="s">
        <v>1519</v>
      </c>
      <c r="D467" s="209">
        <v>40</v>
      </c>
      <c r="E467" s="202" t="s">
        <v>44</v>
      </c>
      <c r="F467" s="202" t="s">
        <v>319</v>
      </c>
    </row>
    <row r="468" spans="1:6" s="216" customFormat="1" x14ac:dyDescent="0.3">
      <c r="A468" s="202" t="str">
        <f t="shared" si="7"/>
        <v>MSE 356,ED4-PCE</v>
      </c>
      <c r="B468" s="202" t="s">
        <v>1281</v>
      </c>
      <c r="C468" s="202" t="s">
        <v>1842</v>
      </c>
      <c r="D468" s="209">
        <v>0</v>
      </c>
      <c r="E468" s="202" t="s">
        <v>44</v>
      </c>
      <c r="F468" s="202" t="s">
        <v>271</v>
      </c>
    </row>
    <row r="469" spans="1:6" s="216" customFormat="1" x14ac:dyDescent="0.3">
      <c r="A469" s="202" t="str">
        <f t="shared" si="7"/>
        <v>PCE 450,ED4-PCE</v>
      </c>
      <c r="B469" s="202" t="s">
        <v>1326</v>
      </c>
      <c r="C469" s="202" t="s">
        <v>1863</v>
      </c>
      <c r="D469" s="209">
        <v>55</v>
      </c>
      <c r="E469" s="202" t="s">
        <v>44</v>
      </c>
      <c r="F469" s="202" t="s">
        <v>43</v>
      </c>
    </row>
    <row r="470" spans="1:6" s="216" customFormat="1" x14ac:dyDescent="0.3">
      <c r="A470" s="202" t="str">
        <f t="shared" si="7"/>
        <v>EE 152,ED1-PE</v>
      </c>
      <c r="B470" s="202" t="s">
        <v>990</v>
      </c>
      <c r="C470" s="202" t="s">
        <v>1606</v>
      </c>
      <c r="D470" s="209">
        <v>130</v>
      </c>
      <c r="E470" s="202" t="s">
        <v>82</v>
      </c>
      <c r="F470" s="202" t="s">
        <v>234</v>
      </c>
    </row>
    <row r="471" spans="1:6" s="216" customFormat="1" x14ac:dyDescent="0.3">
      <c r="A471" s="202" t="str">
        <f t="shared" si="7"/>
        <v>ENGL 158,ED1-PE</v>
      </c>
      <c r="B471" s="202" t="s">
        <v>991</v>
      </c>
      <c r="C471" s="202" t="s">
        <v>1634</v>
      </c>
      <c r="D471" s="209">
        <v>130</v>
      </c>
      <c r="E471" s="202" t="s">
        <v>82</v>
      </c>
      <c r="F471" s="202" t="s">
        <v>364</v>
      </c>
    </row>
    <row r="472" spans="1:6" s="216" customFormat="1" x14ac:dyDescent="0.3">
      <c r="A472" s="202" t="str">
        <f t="shared" si="7"/>
        <v>MATH 152,ED1-PE</v>
      </c>
      <c r="B472" s="202" t="s">
        <v>992</v>
      </c>
      <c r="C472" s="202" t="s">
        <v>1725</v>
      </c>
      <c r="D472" s="209">
        <v>130</v>
      </c>
      <c r="E472" s="202" t="s">
        <v>82</v>
      </c>
      <c r="F472" s="202" t="s">
        <v>129</v>
      </c>
    </row>
    <row r="473" spans="1:6" s="216" customFormat="1" x14ac:dyDescent="0.3">
      <c r="A473" s="202" t="str">
        <f t="shared" si="7"/>
        <v>ME 162,ED1-PE</v>
      </c>
      <c r="B473" s="202" t="s">
        <v>994</v>
      </c>
      <c r="C473" s="202" t="s">
        <v>1741</v>
      </c>
      <c r="D473" s="209">
        <v>130</v>
      </c>
      <c r="E473" s="202" t="s">
        <v>82</v>
      </c>
      <c r="F473" s="202" t="s">
        <v>392</v>
      </c>
    </row>
    <row r="474" spans="1:6" s="216" customFormat="1" x14ac:dyDescent="0.3">
      <c r="A474" s="202" t="str">
        <f t="shared" si="7"/>
        <v>PE 154,ED1-PE</v>
      </c>
      <c r="B474" s="202" t="s">
        <v>1328</v>
      </c>
      <c r="C474" s="202" t="s">
        <v>1866</v>
      </c>
      <c r="D474" s="209">
        <v>130</v>
      </c>
      <c r="E474" s="202" t="s">
        <v>82</v>
      </c>
      <c r="F474" s="202" t="s">
        <v>188</v>
      </c>
    </row>
    <row r="475" spans="1:6" s="216" customFormat="1" x14ac:dyDescent="0.3">
      <c r="A475" s="202" t="str">
        <f t="shared" si="7"/>
        <v>PE 156,ED1-PE</v>
      </c>
      <c r="B475" s="202" t="s">
        <v>1127</v>
      </c>
      <c r="C475" s="202" t="s">
        <v>1512</v>
      </c>
      <c r="D475" s="209">
        <v>130</v>
      </c>
      <c r="E475" s="202" t="s">
        <v>82</v>
      </c>
      <c r="F475" s="202" t="s">
        <v>488</v>
      </c>
    </row>
    <row r="476" spans="1:6" s="216" customFormat="1" x14ac:dyDescent="0.3">
      <c r="A476" s="202" t="str">
        <f t="shared" si="7"/>
        <v>PHY 170,ED1-PE</v>
      </c>
      <c r="B476" s="202" t="s">
        <v>1129</v>
      </c>
      <c r="C476" s="202" t="s">
        <v>1905</v>
      </c>
      <c r="D476" s="209">
        <v>130</v>
      </c>
      <c r="E476" s="202" t="s">
        <v>82</v>
      </c>
      <c r="F476" s="202" t="s">
        <v>79</v>
      </c>
    </row>
    <row r="477" spans="1:6" s="216" customFormat="1" x14ac:dyDescent="0.3">
      <c r="A477" s="202" t="str">
        <f t="shared" si="7"/>
        <v>MATH 252,ED2-PE</v>
      </c>
      <c r="B477" s="202" t="s">
        <v>1136</v>
      </c>
      <c r="C477" s="202" t="s">
        <v>1729</v>
      </c>
      <c r="D477" s="209">
        <v>95</v>
      </c>
      <c r="E477" s="202" t="s">
        <v>93</v>
      </c>
      <c r="F477" s="202" t="s">
        <v>281</v>
      </c>
    </row>
    <row r="478" spans="1:6" s="216" customFormat="1" x14ac:dyDescent="0.3">
      <c r="A478" s="202" t="str">
        <f t="shared" si="7"/>
        <v>PE 252,ED2-PE</v>
      </c>
      <c r="B478" s="202" t="s">
        <v>1133</v>
      </c>
      <c r="C478" s="202" t="s">
        <v>1867</v>
      </c>
      <c r="D478" s="209">
        <v>95</v>
      </c>
      <c r="E478" s="202" t="s">
        <v>93</v>
      </c>
      <c r="F478" s="202" t="s">
        <v>212</v>
      </c>
    </row>
    <row r="479" spans="1:6" s="216" customFormat="1" x14ac:dyDescent="0.3">
      <c r="A479" s="202" t="str">
        <f t="shared" si="7"/>
        <v>PE 254,ED2-PE</v>
      </c>
      <c r="B479" s="202" t="s">
        <v>1134</v>
      </c>
      <c r="C479" s="202" t="s">
        <v>1868</v>
      </c>
      <c r="D479" s="209">
        <v>95</v>
      </c>
      <c r="E479" s="202" t="s">
        <v>93</v>
      </c>
      <c r="F479" s="202" t="s">
        <v>92</v>
      </c>
    </row>
    <row r="480" spans="1:6" s="216" customFormat="1" x14ac:dyDescent="0.3">
      <c r="A480" s="202" t="str">
        <f t="shared" si="7"/>
        <v>PE 256,ED2-PE</v>
      </c>
      <c r="B480" s="202" t="s">
        <v>1330</v>
      </c>
      <c r="C480" s="202" t="s">
        <v>1870</v>
      </c>
      <c r="D480" s="209">
        <v>95</v>
      </c>
      <c r="E480" s="202" t="s">
        <v>93</v>
      </c>
      <c r="F480" s="202" t="s">
        <v>439</v>
      </c>
    </row>
    <row r="481" spans="1:6" s="216" customFormat="1" x14ac:dyDescent="0.3">
      <c r="A481" s="202" t="str">
        <f t="shared" si="7"/>
        <v>PE 258,ED2-PE</v>
      </c>
      <c r="B481" s="202" t="s">
        <v>1331</v>
      </c>
      <c r="C481" s="202" t="s">
        <v>1872</v>
      </c>
      <c r="D481" s="209">
        <v>95</v>
      </c>
      <c r="E481" s="202" t="s">
        <v>93</v>
      </c>
      <c r="F481" s="202" t="s">
        <v>398</v>
      </c>
    </row>
    <row r="482" spans="1:6" s="216" customFormat="1" x14ac:dyDescent="0.3">
      <c r="A482" s="202" t="str">
        <f t="shared" si="7"/>
        <v>PE 260,ED2-PE</v>
      </c>
      <c r="B482" s="202" t="s">
        <v>1332</v>
      </c>
      <c r="C482" s="202" t="s">
        <v>1996</v>
      </c>
      <c r="D482" s="209">
        <v>95</v>
      </c>
      <c r="E482" s="202" t="s">
        <v>93</v>
      </c>
      <c r="F482" s="202" t="s">
        <v>494</v>
      </c>
    </row>
    <row r="483" spans="1:6" s="216" customFormat="1" x14ac:dyDescent="0.3">
      <c r="A483" s="202" t="str">
        <f t="shared" si="7"/>
        <v>PE 262,ED2-PE</v>
      </c>
      <c r="B483" s="202" t="s">
        <v>1333</v>
      </c>
      <c r="C483" s="202" t="s">
        <v>1872</v>
      </c>
      <c r="D483" s="209">
        <v>95</v>
      </c>
      <c r="E483" s="202" t="s">
        <v>93</v>
      </c>
      <c r="F483" s="202" t="s">
        <v>263</v>
      </c>
    </row>
    <row r="484" spans="1:6" s="216" customFormat="1" x14ac:dyDescent="0.3">
      <c r="A484" s="202" t="str">
        <f t="shared" si="7"/>
        <v>PE 264,ED2-PE</v>
      </c>
      <c r="B484" s="202" t="s">
        <v>1334</v>
      </c>
      <c r="C484" s="202" t="s">
        <v>1652</v>
      </c>
      <c r="D484" s="209">
        <v>95</v>
      </c>
      <c r="E484" s="202" t="s">
        <v>93</v>
      </c>
      <c r="F484" s="202" t="s">
        <v>359</v>
      </c>
    </row>
    <row r="485" spans="1:6" s="216" customFormat="1" x14ac:dyDescent="0.3">
      <c r="A485" s="202" t="str">
        <f t="shared" si="7"/>
        <v>PE 350,ED3-PE</v>
      </c>
      <c r="B485" s="202" t="s">
        <v>1335</v>
      </c>
      <c r="C485" s="202" t="s">
        <v>1872</v>
      </c>
      <c r="D485" s="209">
        <v>80</v>
      </c>
      <c r="E485" s="202" t="s">
        <v>18</v>
      </c>
      <c r="F485" s="202" t="s">
        <v>467</v>
      </c>
    </row>
    <row r="486" spans="1:6" s="216" customFormat="1" x14ac:dyDescent="0.3">
      <c r="A486" s="202" t="str">
        <f t="shared" si="7"/>
        <v>PE 352,ED3-PE</v>
      </c>
      <c r="B486" s="202" t="s">
        <v>1218</v>
      </c>
      <c r="C486" s="202" t="s">
        <v>1877</v>
      </c>
      <c r="D486" s="209">
        <v>80</v>
      </c>
      <c r="E486" s="202" t="s">
        <v>18</v>
      </c>
      <c r="F486" s="202" t="s">
        <v>285</v>
      </c>
    </row>
    <row r="487" spans="1:6" s="216" customFormat="1" x14ac:dyDescent="0.3">
      <c r="A487" s="202" t="str">
        <f t="shared" si="7"/>
        <v>PE 354,ED3-PE</v>
      </c>
      <c r="B487" s="202" t="s">
        <v>1337</v>
      </c>
      <c r="C487" s="202" t="s">
        <v>1866</v>
      </c>
      <c r="D487" s="209">
        <v>80</v>
      </c>
      <c r="E487" s="202" t="s">
        <v>18</v>
      </c>
      <c r="F487" s="202" t="s">
        <v>408</v>
      </c>
    </row>
    <row r="488" spans="1:6" s="216" customFormat="1" x14ac:dyDescent="0.3">
      <c r="A488" s="202" t="str">
        <f t="shared" si="7"/>
        <v>PE 356,ED3-PE</v>
      </c>
      <c r="B488" s="202" t="s">
        <v>1338</v>
      </c>
      <c r="C488" s="202" t="s">
        <v>1866</v>
      </c>
      <c r="D488" s="209">
        <v>80</v>
      </c>
      <c r="E488" s="202" t="s">
        <v>18</v>
      </c>
      <c r="F488" s="202" t="s">
        <v>163</v>
      </c>
    </row>
    <row r="489" spans="1:6" s="216" customFormat="1" x14ac:dyDescent="0.3">
      <c r="A489" s="202" t="str">
        <f t="shared" si="7"/>
        <v>PE 358,ED3-PE</v>
      </c>
      <c r="B489" s="202" t="s">
        <v>1339</v>
      </c>
      <c r="C489" s="202" t="s">
        <v>1881</v>
      </c>
      <c r="D489" s="209">
        <v>80</v>
      </c>
      <c r="E489" s="202" t="s">
        <v>18</v>
      </c>
      <c r="F489" s="202" t="s">
        <v>255</v>
      </c>
    </row>
    <row r="490" spans="1:6" s="216" customFormat="1" x14ac:dyDescent="0.3">
      <c r="A490" s="202" t="str">
        <f t="shared" si="7"/>
        <v>PE 360,ED3-PE</v>
      </c>
      <c r="B490" s="202" t="s">
        <v>1340</v>
      </c>
      <c r="C490" s="202" t="s">
        <v>1883</v>
      </c>
      <c r="D490" s="209">
        <v>80</v>
      </c>
      <c r="E490" s="202" t="s">
        <v>18</v>
      </c>
      <c r="F490" s="202" t="s">
        <v>17</v>
      </c>
    </row>
    <row r="491" spans="1:6" s="216" customFormat="1" x14ac:dyDescent="0.3">
      <c r="A491" s="202" t="str">
        <f t="shared" si="7"/>
        <v>PE 362,ED3-PE</v>
      </c>
      <c r="B491" s="202" t="s">
        <v>1219</v>
      </c>
      <c r="C491" s="202" t="s">
        <v>1997</v>
      </c>
      <c r="D491" s="209">
        <v>80</v>
      </c>
      <c r="E491" s="202" t="s">
        <v>18</v>
      </c>
      <c r="F491" s="202" t="s">
        <v>509</v>
      </c>
    </row>
    <row r="492" spans="1:6" s="216" customFormat="1" x14ac:dyDescent="0.3">
      <c r="A492" s="202" t="str">
        <f t="shared" si="7"/>
        <v>PE 364,ED3-PE</v>
      </c>
      <c r="B492" s="202" t="s">
        <v>1341</v>
      </c>
      <c r="C492" s="202" t="s">
        <v>1870</v>
      </c>
      <c r="D492" s="209">
        <v>80</v>
      </c>
      <c r="E492" s="202" t="s">
        <v>18</v>
      </c>
      <c r="F492" s="202" t="s">
        <v>349</v>
      </c>
    </row>
    <row r="493" spans="1:6" s="216" customFormat="1" x14ac:dyDescent="0.3">
      <c r="A493" s="202" t="str">
        <f t="shared" si="7"/>
        <v>PE 366,ED3-PE</v>
      </c>
      <c r="B493" s="202" t="s">
        <v>1342</v>
      </c>
      <c r="C493" s="202" t="s">
        <v>1867</v>
      </c>
      <c r="D493" s="209">
        <v>80</v>
      </c>
      <c r="E493" s="202" t="s">
        <v>18</v>
      </c>
      <c r="F493" s="202" t="s">
        <v>211</v>
      </c>
    </row>
    <row r="494" spans="1:6" s="216" customFormat="1" x14ac:dyDescent="0.3">
      <c r="A494" s="202" t="str">
        <f t="shared" si="7"/>
        <v>PE 450,ED4-PE</v>
      </c>
      <c r="B494" s="202" t="s">
        <v>1343</v>
      </c>
      <c r="C494" s="202" t="s">
        <v>1883</v>
      </c>
      <c r="D494" s="209">
        <v>99</v>
      </c>
      <c r="E494" s="202" t="s">
        <v>46</v>
      </c>
      <c r="F494" s="202" t="s">
        <v>324</v>
      </c>
    </row>
    <row r="495" spans="1:6" s="216" customFormat="1" x14ac:dyDescent="0.3">
      <c r="A495" s="202" t="str">
        <f t="shared" si="7"/>
        <v>PE 452,ED4-PE</v>
      </c>
      <c r="B495" s="202" t="s">
        <v>1345</v>
      </c>
      <c r="C495" s="202" t="s">
        <v>1881</v>
      </c>
      <c r="D495" s="209">
        <v>99</v>
      </c>
      <c r="E495" s="202" t="s">
        <v>46</v>
      </c>
      <c r="F495" s="202" t="s">
        <v>264</v>
      </c>
    </row>
    <row r="496" spans="1:6" s="216" customFormat="1" x14ac:dyDescent="0.3">
      <c r="A496" s="202" t="str">
        <f t="shared" si="7"/>
        <v>PE 456,ED4-PE</v>
      </c>
      <c r="B496" s="202" t="s">
        <v>1346</v>
      </c>
      <c r="C496" s="202" t="s">
        <v>1866</v>
      </c>
      <c r="D496" s="209">
        <v>99</v>
      </c>
      <c r="E496" s="202" t="s">
        <v>46</v>
      </c>
      <c r="F496" s="202" t="s">
        <v>502</v>
      </c>
    </row>
    <row r="497" spans="1:6" s="216" customFormat="1" x14ac:dyDescent="0.3">
      <c r="A497" s="202" t="str">
        <f t="shared" si="7"/>
        <v>PE 458,ED4-PE</v>
      </c>
      <c r="B497" s="202" t="s">
        <v>1347</v>
      </c>
      <c r="C497" s="202" t="s">
        <v>1883</v>
      </c>
      <c r="D497" s="209">
        <v>99</v>
      </c>
      <c r="E497" s="202" t="s">
        <v>46</v>
      </c>
      <c r="F497" s="202" t="s">
        <v>206</v>
      </c>
    </row>
    <row r="498" spans="1:6" s="216" customFormat="1" x14ac:dyDescent="0.3">
      <c r="A498" s="202" t="str">
        <f t="shared" si="7"/>
        <v>PE 464,ED4-PE</v>
      </c>
      <c r="B498" s="202" t="s">
        <v>1348</v>
      </c>
      <c r="C498" s="202" t="s">
        <v>1863</v>
      </c>
      <c r="D498" s="209">
        <v>99</v>
      </c>
      <c r="E498" s="202" t="s">
        <v>46</v>
      </c>
      <c r="F498" s="202" t="s">
        <v>45</v>
      </c>
    </row>
    <row r="499" spans="1:6" s="216" customFormat="1" x14ac:dyDescent="0.3">
      <c r="A499" s="202" t="str">
        <f t="shared" si="7"/>
        <v>PE 466,ED4-PE</v>
      </c>
      <c r="B499" s="202" t="s">
        <v>1349</v>
      </c>
      <c r="C499" s="202" t="s">
        <v>1893</v>
      </c>
      <c r="D499" s="209">
        <v>99</v>
      </c>
      <c r="E499" s="202" t="s">
        <v>46</v>
      </c>
      <c r="F499" s="202" t="s">
        <v>104</v>
      </c>
    </row>
    <row r="500" spans="1:6" s="216" customFormat="1" x14ac:dyDescent="0.3">
      <c r="A500" s="202" t="str">
        <f t="shared" si="7"/>
        <v>PE 468,ED4-PE</v>
      </c>
      <c r="B500" s="202" t="s">
        <v>1350</v>
      </c>
      <c r="C500" s="202" t="s">
        <v>1870</v>
      </c>
      <c r="D500" s="209">
        <v>77</v>
      </c>
      <c r="E500" s="202" t="s">
        <v>46</v>
      </c>
      <c r="F500" s="202" t="s">
        <v>374</v>
      </c>
    </row>
    <row r="501" spans="1:6" s="216" customFormat="1" x14ac:dyDescent="0.3">
      <c r="A501" s="202" t="str">
        <f t="shared" si="7"/>
        <v>PE 472,ED4-PE</v>
      </c>
      <c r="B501" s="202" t="s">
        <v>1351</v>
      </c>
      <c r="C501" s="202" t="s">
        <v>1881</v>
      </c>
      <c r="D501" s="209">
        <v>99</v>
      </c>
      <c r="E501" s="202" t="s">
        <v>46</v>
      </c>
      <c r="F501" s="202" t="s">
        <v>357</v>
      </c>
    </row>
    <row r="502" spans="1:6" s="216" customFormat="1" x14ac:dyDescent="0.3">
      <c r="A502" s="202" t="str">
        <f t="shared" si="7"/>
        <v>PE 474,ED4-PE</v>
      </c>
      <c r="B502" s="202" t="s">
        <v>1352</v>
      </c>
      <c r="C502" s="202" t="s">
        <v>1867</v>
      </c>
      <c r="D502" s="209">
        <v>99</v>
      </c>
      <c r="E502" s="202" t="s">
        <v>46</v>
      </c>
      <c r="F502" s="202" t="s">
        <v>409</v>
      </c>
    </row>
    <row r="503" spans="1:6" s="216" customFormat="1" x14ac:dyDescent="0.3">
      <c r="A503" s="202" t="str">
        <f t="shared" si="7"/>
        <v>PE 476,ED4-PE</v>
      </c>
      <c r="B503" s="202" t="s">
        <v>1353</v>
      </c>
      <c r="C503" s="202" t="s">
        <v>1872</v>
      </c>
      <c r="D503" s="209">
        <v>22</v>
      </c>
      <c r="E503" s="202" t="s">
        <v>46</v>
      </c>
      <c r="F503" s="202" t="s">
        <v>438</v>
      </c>
    </row>
    <row r="504" spans="1:6" s="216" customFormat="1" x14ac:dyDescent="0.3">
      <c r="A504" s="202" t="str">
        <f t="shared" si="7"/>
        <v>EE 152,ED1-TEL</v>
      </c>
      <c r="B504" s="202" t="s">
        <v>990</v>
      </c>
      <c r="C504" s="202" t="s">
        <v>1604</v>
      </c>
      <c r="D504" s="209">
        <v>130</v>
      </c>
      <c r="E504" s="202" t="s">
        <v>91</v>
      </c>
      <c r="F504" s="202" t="s">
        <v>234</v>
      </c>
    </row>
    <row r="505" spans="1:6" s="216" customFormat="1" x14ac:dyDescent="0.3">
      <c r="A505" s="202" t="str">
        <f t="shared" si="7"/>
        <v>EE 188,ED1-TEL</v>
      </c>
      <c r="B505" s="202" t="s">
        <v>1157</v>
      </c>
      <c r="C505" s="202" t="s">
        <v>1552</v>
      </c>
      <c r="D505" s="209">
        <v>130</v>
      </c>
      <c r="E505" s="202" t="s">
        <v>91</v>
      </c>
      <c r="F505" s="202" t="s">
        <v>137</v>
      </c>
    </row>
    <row r="506" spans="1:6" s="216" customFormat="1" x14ac:dyDescent="0.3">
      <c r="A506" s="202" t="str">
        <f t="shared" si="7"/>
        <v>ENGL 158,ED1-TEL</v>
      </c>
      <c r="B506" s="202" t="s">
        <v>991</v>
      </c>
      <c r="C506" s="202" t="s">
        <v>1634</v>
      </c>
      <c r="D506" s="209">
        <v>130</v>
      </c>
      <c r="E506" s="202" t="s">
        <v>91</v>
      </c>
      <c r="F506" s="202" t="s">
        <v>364</v>
      </c>
    </row>
    <row r="507" spans="1:6" s="216" customFormat="1" x14ac:dyDescent="0.3">
      <c r="A507" s="202" t="str">
        <f t="shared" si="7"/>
        <v>MATH 152,ED1-TEL</v>
      </c>
      <c r="B507" s="202" t="s">
        <v>992</v>
      </c>
      <c r="C507" s="202" t="s">
        <v>1951</v>
      </c>
      <c r="D507" s="209">
        <v>130</v>
      </c>
      <c r="E507" s="202" t="s">
        <v>91</v>
      </c>
      <c r="F507" s="202" t="s">
        <v>129</v>
      </c>
    </row>
    <row r="508" spans="1:6" s="216" customFormat="1" x14ac:dyDescent="0.3">
      <c r="A508" s="202" t="str">
        <f t="shared" si="7"/>
        <v>PSYC 154,ED1-TEL</v>
      </c>
      <c r="B508" s="202" t="s">
        <v>1354</v>
      </c>
      <c r="C508" s="202" t="s">
        <v>1909</v>
      </c>
      <c r="D508" s="209">
        <v>130</v>
      </c>
      <c r="E508" s="202" t="s">
        <v>91</v>
      </c>
      <c r="F508" s="202" t="s">
        <v>200</v>
      </c>
    </row>
    <row r="509" spans="1:6" s="216" customFormat="1" x14ac:dyDescent="0.3">
      <c r="A509" s="202" t="str">
        <f t="shared" si="7"/>
        <v>TE 152,ED1-TEL</v>
      </c>
      <c r="B509" s="202" t="s">
        <v>1355</v>
      </c>
      <c r="C509" s="202" t="s">
        <v>1552</v>
      </c>
      <c r="D509" s="209">
        <v>130</v>
      </c>
      <c r="E509" s="202" t="s">
        <v>91</v>
      </c>
      <c r="F509" s="202" t="s">
        <v>423</v>
      </c>
    </row>
    <row r="510" spans="1:6" s="216" customFormat="1" x14ac:dyDescent="0.3">
      <c r="A510" s="202" t="str">
        <f t="shared" si="7"/>
        <v>TE 156,ED1-TEL</v>
      </c>
      <c r="B510" s="202" t="s">
        <v>1356</v>
      </c>
      <c r="C510" s="202" t="s">
        <v>1917</v>
      </c>
      <c r="D510" s="209">
        <v>130</v>
      </c>
      <c r="E510" s="202" t="s">
        <v>91</v>
      </c>
      <c r="F510" s="202" t="s">
        <v>90</v>
      </c>
    </row>
    <row r="511" spans="1:6" s="216" customFormat="1" x14ac:dyDescent="0.3">
      <c r="A511" s="202" t="str">
        <f t="shared" si="7"/>
        <v>TE 158,ED1-TEL</v>
      </c>
      <c r="B511" s="202" t="s">
        <v>1357</v>
      </c>
      <c r="C511" s="202" t="s">
        <v>1917</v>
      </c>
      <c r="D511" s="209">
        <v>130</v>
      </c>
      <c r="E511" s="202" t="s">
        <v>91</v>
      </c>
      <c r="F511" s="202" t="s">
        <v>492</v>
      </c>
    </row>
    <row r="512" spans="1:6" s="216" customFormat="1" x14ac:dyDescent="0.3">
      <c r="A512" s="202" t="str">
        <f t="shared" si="7"/>
        <v>ACF 256,ED2-TEL</v>
      </c>
      <c r="B512" s="202" t="s">
        <v>1076</v>
      </c>
      <c r="C512" s="202" t="s">
        <v>1379</v>
      </c>
      <c r="D512" s="209">
        <v>40</v>
      </c>
      <c r="E512" s="202" t="s">
        <v>172</v>
      </c>
      <c r="F512" s="202" t="s">
        <v>424</v>
      </c>
    </row>
    <row r="513" spans="1:6" s="216" customFormat="1" x14ac:dyDescent="0.3">
      <c r="A513" s="202" t="str">
        <f t="shared" si="7"/>
        <v>ECON 152,ED2-TEL</v>
      </c>
      <c r="B513" s="202" t="s">
        <v>1144</v>
      </c>
      <c r="C513" s="202" t="s">
        <v>1594</v>
      </c>
      <c r="D513" s="209">
        <v>30</v>
      </c>
      <c r="E513" s="202" t="s">
        <v>172</v>
      </c>
      <c r="F513" s="202" t="s">
        <v>406</v>
      </c>
    </row>
    <row r="514" spans="1:6" s="216" customFormat="1" x14ac:dyDescent="0.3">
      <c r="A514" s="202" t="str">
        <f t="shared" ref="A514:A534" si="8">CONCATENATE(F514,",",E514)</f>
        <v>FC 182,ED2-TEL</v>
      </c>
      <c r="B514" s="202" t="s">
        <v>1085</v>
      </c>
      <c r="C514" s="202" t="s">
        <v>1638</v>
      </c>
      <c r="D514" s="209">
        <v>103</v>
      </c>
      <c r="E514" s="202" t="s">
        <v>172</v>
      </c>
      <c r="F514" s="202" t="s">
        <v>245</v>
      </c>
    </row>
    <row r="515" spans="1:6" s="216" customFormat="1" x14ac:dyDescent="0.3">
      <c r="A515" s="202" t="str">
        <f t="shared" si="8"/>
        <v>MATH 252,ED2-TEL</v>
      </c>
      <c r="B515" s="202" t="s">
        <v>998</v>
      </c>
      <c r="C515" s="202" t="s">
        <v>1727</v>
      </c>
      <c r="D515" s="209">
        <v>175</v>
      </c>
      <c r="E515" s="202" t="s">
        <v>172</v>
      </c>
      <c r="F515" s="202" t="s">
        <v>281</v>
      </c>
    </row>
    <row r="516" spans="1:6" s="216" customFormat="1" x14ac:dyDescent="0.3">
      <c r="A516" s="202" t="str">
        <f t="shared" si="8"/>
        <v>TE 252,ED2-TEL</v>
      </c>
      <c r="B516" s="202" t="s">
        <v>1358</v>
      </c>
      <c r="C516" s="202" t="s">
        <v>1925</v>
      </c>
      <c r="D516" s="209">
        <v>175</v>
      </c>
      <c r="E516" s="202" t="s">
        <v>172</v>
      </c>
      <c r="F516" s="202" t="s">
        <v>460</v>
      </c>
    </row>
    <row r="517" spans="1:6" s="216" customFormat="1" x14ac:dyDescent="0.3">
      <c r="A517" s="202" t="str">
        <f t="shared" si="8"/>
        <v>TE 254,ED2-TEL</v>
      </c>
      <c r="B517" s="202" t="s">
        <v>1359</v>
      </c>
      <c r="C517" s="202" t="s">
        <v>1923</v>
      </c>
      <c r="D517" s="209">
        <v>175</v>
      </c>
      <c r="E517" s="202" t="s">
        <v>172</v>
      </c>
      <c r="F517" s="202" t="s">
        <v>235</v>
      </c>
    </row>
    <row r="518" spans="1:6" s="216" customFormat="1" x14ac:dyDescent="0.3">
      <c r="A518" s="202" t="str">
        <f t="shared" si="8"/>
        <v>TE 256,ED2-TEL</v>
      </c>
      <c r="B518" s="202" t="s">
        <v>1360</v>
      </c>
      <c r="C518" s="202" t="s">
        <v>1930</v>
      </c>
      <c r="D518" s="209">
        <v>175</v>
      </c>
      <c r="E518" s="202" t="s">
        <v>172</v>
      </c>
      <c r="F518" s="202" t="s">
        <v>171</v>
      </c>
    </row>
    <row r="519" spans="1:6" s="216" customFormat="1" x14ac:dyDescent="0.3">
      <c r="A519" s="202" t="str">
        <f t="shared" si="8"/>
        <v>TE 258,ED2-TEL</v>
      </c>
      <c r="B519" s="202" t="s">
        <v>1361</v>
      </c>
      <c r="C519" s="202" t="s">
        <v>1917</v>
      </c>
      <c r="D519" s="209">
        <v>175</v>
      </c>
      <c r="E519" s="202" t="s">
        <v>172</v>
      </c>
      <c r="F519" s="202" t="s">
        <v>352</v>
      </c>
    </row>
    <row r="520" spans="1:6" s="216" customFormat="1" x14ac:dyDescent="0.3">
      <c r="A520" s="202" t="str">
        <f t="shared" si="8"/>
        <v>TE 292,ED2-TEL</v>
      </c>
      <c r="B520" s="202" t="s">
        <v>1362</v>
      </c>
      <c r="C520" s="202" t="s">
        <v>1925</v>
      </c>
      <c r="D520" s="209">
        <v>175</v>
      </c>
      <c r="E520" s="202" t="s">
        <v>172</v>
      </c>
      <c r="F520" s="202" t="s">
        <v>1363</v>
      </c>
    </row>
    <row r="521" spans="1:6" s="216" customFormat="1" x14ac:dyDescent="0.3">
      <c r="A521" s="202" t="str">
        <f t="shared" si="8"/>
        <v>TE 374,ED3-TEL</v>
      </c>
      <c r="B521" s="202" t="s">
        <v>1927</v>
      </c>
      <c r="C521" s="202" t="s">
        <v>1998</v>
      </c>
      <c r="D521" s="209">
        <v>140</v>
      </c>
      <c r="E521" s="202" t="s">
        <v>119</v>
      </c>
      <c r="F521" s="202" t="s">
        <v>391</v>
      </c>
    </row>
    <row r="522" spans="1:6" s="216" customFormat="1" x14ac:dyDescent="0.3">
      <c r="A522" s="202" t="str">
        <f t="shared" si="8"/>
        <v>TE 354,ED3-TEL</v>
      </c>
      <c r="B522" s="202" t="s">
        <v>1932</v>
      </c>
      <c r="C522" s="202" t="s">
        <v>1920</v>
      </c>
      <c r="D522" s="209">
        <v>140</v>
      </c>
      <c r="E522" s="202" t="s">
        <v>119</v>
      </c>
      <c r="F522" s="202" t="s">
        <v>339</v>
      </c>
    </row>
    <row r="523" spans="1:6" s="216" customFormat="1" x14ac:dyDescent="0.3">
      <c r="A523" s="202" t="str">
        <f t="shared" si="8"/>
        <v>TE 372,ED3-TEL</v>
      </c>
      <c r="B523" s="202" t="s">
        <v>1365</v>
      </c>
      <c r="C523" s="202" t="s">
        <v>1931</v>
      </c>
      <c r="D523" s="209">
        <v>140</v>
      </c>
      <c r="E523" s="202" t="s">
        <v>119</v>
      </c>
      <c r="F523" s="202" t="s">
        <v>308</v>
      </c>
    </row>
    <row r="524" spans="1:6" s="216" customFormat="1" x14ac:dyDescent="0.3">
      <c r="A524" s="202" t="str">
        <f t="shared" si="8"/>
        <v>TE 352,ED3-TEL</v>
      </c>
      <c r="B524" s="202" t="s">
        <v>1366</v>
      </c>
      <c r="C524" s="202" t="s">
        <v>1935</v>
      </c>
      <c r="D524" s="209">
        <v>140</v>
      </c>
      <c r="E524" s="202" t="s">
        <v>119</v>
      </c>
      <c r="F524" s="202" t="s">
        <v>187</v>
      </c>
    </row>
    <row r="525" spans="1:6" s="216" customFormat="1" x14ac:dyDescent="0.3">
      <c r="A525" s="202" t="str">
        <f t="shared" si="8"/>
        <v>TE 356,ED3-TEL</v>
      </c>
      <c r="B525" s="202" t="s">
        <v>1191</v>
      </c>
      <c r="C525" s="202" t="s">
        <v>1931</v>
      </c>
      <c r="D525" s="209">
        <v>140</v>
      </c>
      <c r="E525" s="202" t="s">
        <v>119</v>
      </c>
      <c r="F525" s="202" t="s">
        <v>118</v>
      </c>
    </row>
    <row r="526" spans="1:6" s="216" customFormat="1" x14ac:dyDescent="0.3">
      <c r="A526" s="202" t="str">
        <f t="shared" si="8"/>
        <v>TE 358,ED3-TEL</v>
      </c>
      <c r="B526" s="202" t="s">
        <v>1192</v>
      </c>
      <c r="C526" s="202" t="s">
        <v>1604</v>
      </c>
      <c r="D526" s="209">
        <v>140</v>
      </c>
      <c r="E526" s="202" t="s">
        <v>119</v>
      </c>
      <c r="F526" s="202" t="s">
        <v>464</v>
      </c>
    </row>
    <row r="527" spans="1:6" s="216" customFormat="1" x14ac:dyDescent="0.3">
      <c r="A527" s="202" t="str">
        <f t="shared" si="8"/>
        <v>TE 392,ED3-TEL</v>
      </c>
      <c r="B527" s="202" t="s">
        <v>1369</v>
      </c>
      <c r="C527" s="202" t="s">
        <v>1931</v>
      </c>
      <c r="D527" s="209">
        <v>140</v>
      </c>
      <c r="E527" s="202" t="s">
        <v>119</v>
      </c>
      <c r="F527" s="202" t="s">
        <v>1370</v>
      </c>
    </row>
    <row r="528" spans="1:6" s="216" customFormat="1" x14ac:dyDescent="0.3">
      <c r="A528" s="202" t="str">
        <f t="shared" si="8"/>
        <v>TE 454,ED4-TEL</v>
      </c>
      <c r="B528" s="202" t="s">
        <v>1094</v>
      </c>
      <c r="C528" s="202" t="s">
        <v>1627</v>
      </c>
      <c r="D528" s="209">
        <v>138</v>
      </c>
      <c r="E528" s="202" t="s">
        <v>227</v>
      </c>
      <c r="F528" s="202" t="s">
        <v>507</v>
      </c>
    </row>
    <row r="529" spans="1:6" s="216" customFormat="1" x14ac:dyDescent="0.3">
      <c r="A529" s="202" t="str">
        <f t="shared" si="8"/>
        <v>ME 492,ED4-TEL</v>
      </c>
      <c r="B529" s="202" t="s">
        <v>1015</v>
      </c>
      <c r="C529" s="202" t="s">
        <v>1999</v>
      </c>
      <c r="D529" s="209">
        <v>138</v>
      </c>
      <c r="E529" s="202" t="s">
        <v>227</v>
      </c>
      <c r="F529" s="202" t="s">
        <v>373</v>
      </c>
    </row>
    <row r="530" spans="1:6" s="216" customFormat="1" x14ac:dyDescent="0.3">
      <c r="A530" s="202" t="str">
        <f t="shared" si="8"/>
        <v>TE 452,ED4-TEL</v>
      </c>
      <c r="B530" s="202" t="s">
        <v>2000</v>
      </c>
      <c r="C530" s="202" t="s">
        <v>2001</v>
      </c>
      <c r="D530" s="209">
        <v>138</v>
      </c>
      <c r="E530" s="202" t="s">
        <v>227</v>
      </c>
      <c r="F530" s="202" t="s">
        <v>326</v>
      </c>
    </row>
    <row r="531" spans="1:6" s="216" customFormat="1" x14ac:dyDescent="0.3">
      <c r="A531" s="202" t="str">
        <f t="shared" si="8"/>
        <v>TE 456,ED4-TEL</v>
      </c>
      <c r="B531" s="202" t="s">
        <v>2002</v>
      </c>
      <c r="C531" s="202" t="s">
        <v>1935</v>
      </c>
      <c r="D531" s="209">
        <v>138</v>
      </c>
      <c r="E531" s="202" t="s">
        <v>227</v>
      </c>
      <c r="F531" s="202" t="s">
        <v>434</v>
      </c>
    </row>
    <row r="532" spans="1:6" s="216" customFormat="1" x14ac:dyDescent="0.3">
      <c r="A532" s="202" t="str">
        <f t="shared" si="8"/>
        <v>TE 458,ED4-TEL</v>
      </c>
      <c r="B532" s="202" t="s">
        <v>2003</v>
      </c>
      <c r="C532" s="202" t="s">
        <v>1998</v>
      </c>
      <c r="D532" s="209">
        <v>138</v>
      </c>
      <c r="E532" s="202" t="s">
        <v>227</v>
      </c>
      <c r="F532" s="202" t="s">
        <v>269</v>
      </c>
    </row>
    <row r="533" spans="1:6" s="216" customFormat="1" x14ac:dyDescent="0.3">
      <c r="A533" s="202" t="str">
        <f t="shared" si="8"/>
        <v>TE 464,ED4-TEL</v>
      </c>
      <c r="B533" s="202" t="s">
        <v>2004</v>
      </c>
      <c r="C533" s="202" t="s">
        <v>2005</v>
      </c>
      <c r="D533" s="209">
        <v>105</v>
      </c>
      <c r="E533" s="202" t="s">
        <v>227</v>
      </c>
      <c r="F533" s="202" t="s">
        <v>226</v>
      </c>
    </row>
    <row r="534" spans="1:6" s="216" customFormat="1" x14ac:dyDescent="0.3">
      <c r="A534" s="202" t="str">
        <f t="shared" si="8"/>
        <v>TE 468,ED4-TEL</v>
      </c>
      <c r="B534" s="202" t="s">
        <v>2006</v>
      </c>
      <c r="C534" s="202" t="s">
        <v>1930</v>
      </c>
      <c r="D534" s="209">
        <v>33</v>
      </c>
      <c r="E534" s="202" t="s">
        <v>227</v>
      </c>
      <c r="F534" s="202" t="s">
        <v>401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31"/>
  <sheetViews>
    <sheetView zoomScale="180" zoomScaleNormal="180" workbookViewId="0">
      <selection activeCell="Q21" sqref="Q21"/>
    </sheetView>
  </sheetViews>
  <sheetFormatPr defaultColWidth="7.75" defaultRowHeight="14" x14ac:dyDescent="0.3"/>
  <cols>
    <col min="1" max="1" width="18" style="218" customWidth="1"/>
    <col min="2" max="5" width="13.08203125" style="218" customWidth="1"/>
    <col min="6" max="6" width="8.1640625" style="218" customWidth="1"/>
    <col min="7" max="8" width="7.75" style="218"/>
    <col min="9" max="9" width="3.33203125" style="218" customWidth="1"/>
    <col min="10" max="10" width="3.83203125" style="218" customWidth="1"/>
    <col min="11" max="15" width="3.33203125" style="218" customWidth="1"/>
    <col min="16" max="22" width="2.9140625" style="218" customWidth="1"/>
    <col min="23" max="29" width="3.5" style="218" customWidth="1"/>
    <col min="30" max="36" width="3.1640625" style="218" customWidth="1"/>
    <col min="37" max="37" width="2.75" style="218" customWidth="1"/>
    <col min="38" max="38" width="5.75" style="218" customWidth="1"/>
    <col min="39" max="39" width="4.33203125" style="218" customWidth="1"/>
    <col min="40" max="40" width="5.25" style="218" customWidth="1"/>
    <col min="41" max="41" width="5.08203125" style="218" customWidth="1"/>
    <col min="42" max="42" width="5.83203125" style="218" customWidth="1"/>
    <col min="43" max="16384" width="7.75" style="218"/>
  </cols>
  <sheetData>
    <row r="1" spans="1:6" x14ac:dyDescent="0.3">
      <c r="A1" s="331" t="s">
        <v>2007</v>
      </c>
      <c r="B1" s="331"/>
      <c r="C1" s="219"/>
      <c r="D1" s="219"/>
      <c r="E1" s="219"/>
      <c r="F1" s="219"/>
    </row>
    <row r="2" spans="1:6" x14ac:dyDescent="0.3">
      <c r="A2" s="331" t="s">
        <v>2008</v>
      </c>
      <c r="B2" s="331"/>
      <c r="C2" s="219"/>
      <c r="D2" s="219"/>
      <c r="E2" s="219"/>
      <c r="F2" s="219"/>
    </row>
    <row r="3" spans="1:6" x14ac:dyDescent="0.3">
      <c r="A3" s="220" t="s">
        <v>2009</v>
      </c>
      <c r="B3" s="220" t="s">
        <v>2010</v>
      </c>
      <c r="C3" s="220"/>
      <c r="D3" s="220"/>
      <c r="E3" s="220"/>
      <c r="F3" s="220"/>
    </row>
    <row r="4" spans="1:6" ht="15" customHeight="1" x14ac:dyDescent="0.35">
      <c r="A4" s="221" t="s">
        <v>862</v>
      </c>
      <c r="B4" s="222">
        <v>50</v>
      </c>
      <c r="C4" s="332" t="s">
        <v>2011</v>
      </c>
      <c r="D4" s="333" t="s">
        <v>2012</v>
      </c>
      <c r="E4" s="223">
        <v>2</v>
      </c>
      <c r="F4" s="224"/>
    </row>
    <row r="5" spans="1:6" ht="15.5" x14ac:dyDescent="0.35">
      <c r="A5" s="221" t="s">
        <v>544</v>
      </c>
      <c r="B5" s="222">
        <v>48</v>
      </c>
      <c r="C5" s="332"/>
      <c r="D5" s="332"/>
      <c r="E5" s="223">
        <v>1</v>
      </c>
      <c r="F5" s="224"/>
    </row>
    <row r="6" spans="1:6" ht="15.5" x14ac:dyDescent="0.35">
      <c r="A6" s="221" t="s">
        <v>886</v>
      </c>
      <c r="B6" s="222">
        <v>48</v>
      </c>
      <c r="C6" s="332"/>
      <c r="D6" s="332"/>
      <c r="E6" s="223">
        <v>1</v>
      </c>
      <c r="F6" s="224"/>
    </row>
    <row r="7" spans="1:6" ht="15.5" x14ac:dyDescent="0.35">
      <c r="A7" s="221" t="s">
        <v>633</v>
      </c>
      <c r="B7" s="222">
        <v>90</v>
      </c>
      <c r="C7" s="332"/>
      <c r="D7" s="332"/>
      <c r="E7" s="223">
        <v>2</v>
      </c>
      <c r="F7" s="219">
        <v>474</v>
      </c>
    </row>
    <row r="8" spans="1:6" ht="15.5" x14ac:dyDescent="0.35">
      <c r="A8" s="225">
        <v>206</v>
      </c>
      <c r="B8" s="222">
        <v>48</v>
      </c>
      <c r="C8" s="332" t="s">
        <v>2013</v>
      </c>
      <c r="D8" s="333"/>
      <c r="E8" s="223">
        <v>1</v>
      </c>
      <c r="F8" s="224"/>
    </row>
    <row r="9" spans="1:6" ht="15.5" x14ac:dyDescent="0.35">
      <c r="A9" s="225">
        <v>303</v>
      </c>
      <c r="B9" s="222">
        <v>60</v>
      </c>
      <c r="C9" s="332"/>
      <c r="D9" s="332"/>
      <c r="E9" s="223">
        <v>2</v>
      </c>
      <c r="F9" s="224"/>
    </row>
    <row r="10" spans="1:6" ht="15.5" x14ac:dyDescent="0.35">
      <c r="A10" s="225">
        <v>304</v>
      </c>
      <c r="B10" s="222">
        <v>40</v>
      </c>
      <c r="C10" s="332"/>
      <c r="D10" s="332"/>
      <c r="E10" s="223">
        <v>1</v>
      </c>
      <c r="F10" s="224"/>
    </row>
    <row r="11" spans="1:6" ht="15.5" x14ac:dyDescent="0.35">
      <c r="A11" s="221" t="s">
        <v>2014</v>
      </c>
      <c r="B11" s="222">
        <v>50</v>
      </c>
      <c r="C11" s="332" t="s">
        <v>2015</v>
      </c>
      <c r="D11" s="333"/>
      <c r="E11" s="223">
        <v>1</v>
      </c>
      <c r="F11" s="224"/>
    </row>
    <row r="12" spans="1:6" ht="15.5" x14ac:dyDescent="0.35">
      <c r="A12" s="221" t="s">
        <v>2016</v>
      </c>
      <c r="B12" s="222">
        <v>40</v>
      </c>
      <c r="C12" s="332"/>
      <c r="D12" s="332"/>
      <c r="E12" s="223">
        <v>1</v>
      </c>
      <c r="F12" s="224"/>
    </row>
    <row r="13" spans="1:6" ht="15" customHeight="1" x14ac:dyDescent="0.35">
      <c r="A13" s="226" t="s">
        <v>864</v>
      </c>
      <c r="B13" s="227">
        <v>80</v>
      </c>
      <c r="C13" s="334" t="s">
        <v>2017</v>
      </c>
      <c r="D13" s="335" t="s">
        <v>2018</v>
      </c>
      <c r="E13" s="228">
        <v>2</v>
      </c>
      <c r="F13" s="229"/>
    </row>
    <row r="14" spans="1:6" ht="15.5" x14ac:dyDescent="0.35">
      <c r="A14" s="226" t="s">
        <v>560</v>
      </c>
      <c r="B14" s="227">
        <v>80</v>
      </c>
      <c r="C14" s="334"/>
      <c r="D14" s="334"/>
      <c r="E14" s="228">
        <v>2</v>
      </c>
      <c r="F14" s="229"/>
    </row>
    <row r="15" spans="1:6" ht="15.5" x14ac:dyDescent="0.35">
      <c r="A15" s="226" t="s">
        <v>632</v>
      </c>
      <c r="B15" s="227">
        <v>80</v>
      </c>
      <c r="C15" s="334"/>
      <c r="D15" s="334"/>
      <c r="E15" s="228">
        <v>2</v>
      </c>
      <c r="F15" s="229"/>
    </row>
    <row r="16" spans="1:6" ht="15.5" x14ac:dyDescent="0.35">
      <c r="A16" s="226" t="s">
        <v>874</v>
      </c>
      <c r="B16" s="227">
        <v>60</v>
      </c>
      <c r="C16" s="334"/>
      <c r="D16" s="334"/>
      <c r="E16" s="228">
        <v>2</v>
      </c>
      <c r="F16" s="229"/>
    </row>
    <row r="17" spans="1:6" ht="15.5" x14ac:dyDescent="0.35">
      <c r="A17" s="226" t="s">
        <v>863</v>
      </c>
      <c r="B17" s="227">
        <v>80</v>
      </c>
      <c r="C17" s="334" t="s">
        <v>2019</v>
      </c>
      <c r="D17" s="335"/>
      <c r="E17" s="228">
        <v>2</v>
      </c>
      <c r="F17" s="229"/>
    </row>
    <row r="18" spans="1:6" ht="15.5" x14ac:dyDescent="0.35">
      <c r="A18" s="226" t="s">
        <v>781</v>
      </c>
      <c r="B18" s="227">
        <v>80</v>
      </c>
      <c r="C18" s="334"/>
      <c r="D18" s="334"/>
      <c r="E18" s="228">
        <v>2</v>
      </c>
      <c r="F18" s="229"/>
    </row>
    <row r="19" spans="1:6" ht="15.5" x14ac:dyDescent="0.35">
      <c r="A19" s="226" t="s">
        <v>2020</v>
      </c>
      <c r="B19" s="227">
        <v>50</v>
      </c>
      <c r="C19" s="334"/>
      <c r="D19" s="334"/>
      <c r="E19" s="228">
        <v>1</v>
      </c>
      <c r="F19" s="229"/>
    </row>
    <row r="20" spans="1:6" ht="15.5" x14ac:dyDescent="0.35">
      <c r="A20" s="226" t="s">
        <v>663</v>
      </c>
      <c r="B20" s="227">
        <v>60</v>
      </c>
      <c r="C20" s="334"/>
      <c r="D20" s="334"/>
      <c r="E20" s="228">
        <v>1</v>
      </c>
      <c r="F20" s="230">
        <f>SUM(B13:B20)</f>
        <v>570</v>
      </c>
    </row>
    <row r="21" spans="1:6" ht="15" customHeight="1" x14ac:dyDescent="0.35">
      <c r="A21" s="231" t="s">
        <v>932</v>
      </c>
      <c r="B21" s="232">
        <v>50</v>
      </c>
      <c r="C21" s="336" t="s">
        <v>2021</v>
      </c>
      <c r="D21" s="337" t="s">
        <v>2022</v>
      </c>
      <c r="E21" s="233">
        <v>1</v>
      </c>
      <c r="F21" s="234"/>
    </row>
    <row r="22" spans="1:6" ht="15.5" x14ac:dyDescent="0.35">
      <c r="A22" s="231" t="s">
        <v>2023</v>
      </c>
      <c r="B22" s="232">
        <v>50</v>
      </c>
      <c r="C22" s="336"/>
      <c r="D22" s="336"/>
      <c r="E22" s="233">
        <v>1</v>
      </c>
      <c r="F22" s="234"/>
    </row>
    <row r="23" spans="1:6" ht="15.5" x14ac:dyDescent="0.35">
      <c r="A23" s="231" t="s">
        <v>2024</v>
      </c>
      <c r="B23" s="232">
        <v>60</v>
      </c>
      <c r="C23" s="336"/>
      <c r="D23" s="336"/>
      <c r="E23" s="233">
        <v>2</v>
      </c>
      <c r="F23" s="234"/>
    </row>
    <row r="24" spans="1:6" ht="15.5" x14ac:dyDescent="0.35">
      <c r="A24" s="231" t="s">
        <v>584</v>
      </c>
      <c r="B24" s="232">
        <v>60</v>
      </c>
      <c r="C24" s="336" t="s">
        <v>2025</v>
      </c>
      <c r="D24" s="337"/>
      <c r="E24" s="233">
        <v>3</v>
      </c>
      <c r="F24" s="234"/>
    </row>
    <row r="25" spans="1:6" ht="15.5" x14ac:dyDescent="0.35">
      <c r="A25" s="231" t="s">
        <v>616</v>
      </c>
      <c r="B25" s="232">
        <v>90</v>
      </c>
      <c r="C25" s="336"/>
      <c r="D25" s="336"/>
      <c r="E25" s="233">
        <v>2</v>
      </c>
      <c r="F25" s="234">
        <f>SUM(B21:B25)</f>
        <v>310</v>
      </c>
    </row>
    <row r="26" spans="1:6" ht="15" customHeight="1" x14ac:dyDescent="0.35">
      <c r="A26" s="235" t="s">
        <v>2026</v>
      </c>
      <c r="B26" s="236">
        <v>160</v>
      </c>
      <c r="C26" s="237" t="s">
        <v>2027</v>
      </c>
      <c r="D26" s="338" t="s">
        <v>2028</v>
      </c>
      <c r="E26" s="238">
        <v>3</v>
      </c>
      <c r="F26" s="239"/>
    </row>
    <row r="27" spans="1:6" ht="15.5" x14ac:dyDescent="0.35">
      <c r="A27" s="235" t="s">
        <v>770</v>
      </c>
      <c r="B27" s="236">
        <v>60</v>
      </c>
      <c r="C27" s="237" t="s">
        <v>2029</v>
      </c>
      <c r="D27" s="338"/>
      <c r="E27" s="238">
        <v>2</v>
      </c>
      <c r="F27" s="239"/>
    </row>
    <row r="28" spans="1:6" ht="15.5" x14ac:dyDescent="0.35">
      <c r="A28" s="235" t="s">
        <v>541</v>
      </c>
      <c r="B28" s="236">
        <v>100</v>
      </c>
      <c r="C28" s="339" t="s">
        <v>2030</v>
      </c>
      <c r="D28" s="338"/>
      <c r="E28" s="238"/>
      <c r="F28" s="239"/>
    </row>
    <row r="29" spans="1:6" ht="15.5" x14ac:dyDescent="0.35">
      <c r="A29" s="235" t="s">
        <v>546</v>
      </c>
      <c r="B29" s="240">
        <v>160</v>
      </c>
      <c r="C29" s="339"/>
      <c r="D29" s="339"/>
      <c r="E29" s="241">
        <v>2</v>
      </c>
      <c r="F29" s="242">
        <f>SUM(B26:B29)</f>
        <v>480</v>
      </c>
    </row>
    <row r="30" spans="1:6" x14ac:dyDescent="0.3">
      <c r="B30" s="243"/>
      <c r="E30" s="218">
        <v>1</v>
      </c>
    </row>
    <row r="31" spans="1:6" ht="15" x14ac:dyDescent="0.3">
      <c r="A31" s="244" t="s">
        <v>2031</v>
      </c>
      <c r="B31" s="245">
        <f>SUM(B4:B29)</f>
        <v>1834</v>
      </c>
      <c r="C31" s="246"/>
      <c r="D31" s="246"/>
      <c r="E31" s="246"/>
      <c r="F31" s="247"/>
    </row>
  </sheetData>
  <mergeCells count="14">
    <mergeCell ref="D26:D29"/>
    <mergeCell ref="C28:C29"/>
    <mergeCell ref="C13:C16"/>
    <mergeCell ref="D13:D20"/>
    <mergeCell ref="C17:C20"/>
    <mergeCell ref="C21:C23"/>
    <mergeCell ref="D21:D25"/>
    <mergeCell ref="C24:C25"/>
    <mergeCell ref="A1:B1"/>
    <mergeCell ref="A2:B2"/>
    <mergeCell ref="C4:C7"/>
    <mergeCell ref="D4:D12"/>
    <mergeCell ref="C8:C10"/>
    <mergeCell ref="C11:C12"/>
  </mergeCells>
  <pageMargins left="0.7" right="0.7" top="0.75" bottom="0.75" header="0.511811023622047" footer="0.511811023622047"/>
  <pageSetup paperSize="9" fitToWidth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74"/>
  <sheetViews>
    <sheetView topLeftCell="A20" zoomScale="70" zoomScaleNormal="70" workbookViewId="0">
      <selection activeCell="M41" sqref="M41"/>
    </sheetView>
  </sheetViews>
  <sheetFormatPr defaultColWidth="9.83203125" defaultRowHeight="14" x14ac:dyDescent="0.3"/>
  <cols>
    <col min="1" max="1" width="26" style="218" customWidth="1"/>
    <col min="2" max="2" width="7.25" style="218" customWidth="1"/>
    <col min="3" max="3" width="5.6640625" style="218" customWidth="1"/>
    <col min="4" max="4" width="10.6640625" style="218" customWidth="1"/>
    <col min="5" max="5" width="16.6640625" style="218" customWidth="1"/>
    <col min="6" max="6" width="16" style="248" customWidth="1"/>
    <col min="7" max="7" width="7" style="218" hidden="1" customWidth="1"/>
    <col min="8" max="8" width="21" style="218" customWidth="1"/>
    <col min="9" max="9" width="25.33203125" style="218" customWidth="1"/>
    <col min="10" max="10" width="13.75" style="218" customWidth="1"/>
    <col min="11" max="11" width="3.25" style="218" customWidth="1"/>
    <col min="12" max="12" width="33" style="218" customWidth="1"/>
    <col min="13" max="13" width="73.33203125" style="218" customWidth="1"/>
    <col min="14" max="14" width="46.5" style="218" customWidth="1"/>
    <col min="15" max="15" width="15.5" style="218" customWidth="1"/>
    <col min="16" max="16" width="16.1640625" style="218" customWidth="1"/>
    <col min="17" max="17" width="4.75" style="218" customWidth="1"/>
    <col min="18" max="42" width="3.25" style="218" customWidth="1"/>
    <col min="43" max="43" width="9.83203125" style="218"/>
    <col min="44" max="44" width="4.25" style="218" customWidth="1"/>
    <col min="45" max="45" width="3.6640625" style="218" customWidth="1"/>
    <col min="46" max="46" width="3.25" style="218" customWidth="1"/>
    <col min="47" max="47" width="4" style="218" customWidth="1"/>
    <col min="48" max="48" width="3.25" style="218" customWidth="1"/>
    <col min="49" max="49" width="3.6640625" style="218" customWidth="1"/>
    <col min="50" max="50" width="3.25" style="218" customWidth="1"/>
    <col min="51" max="51" width="4" style="218" customWidth="1"/>
    <col min="52" max="52" width="3.25" style="218" customWidth="1"/>
    <col min="53" max="53" width="4.25" style="218" customWidth="1"/>
    <col min="54" max="54" width="3.6640625" style="218" customWidth="1"/>
    <col min="55" max="55" width="3.25" style="218" customWidth="1"/>
    <col min="56" max="16384" width="9.83203125" style="218"/>
  </cols>
  <sheetData>
    <row r="1" spans="1:52" ht="34.5" customHeight="1" x14ac:dyDescent="0.45">
      <c r="A1" s="340" t="s">
        <v>2007</v>
      </c>
      <c r="B1" s="340"/>
      <c r="C1" s="249"/>
      <c r="D1" s="249"/>
      <c r="E1" s="249"/>
      <c r="F1" s="250"/>
      <c r="G1" s="249"/>
      <c r="H1" s="249"/>
      <c r="I1" s="249"/>
      <c r="J1" s="249"/>
      <c r="K1" s="249"/>
    </row>
    <row r="2" spans="1:52" ht="34.5" customHeight="1" x14ac:dyDescent="0.45">
      <c r="A2" s="340" t="s">
        <v>2008</v>
      </c>
      <c r="B2" s="340"/>
      <c r="C2" s="249"/>
      <c r="D2" s="249"/>
      <c r="E2" s="249"/>
      <c r="F2" s="250"/>
      <c r="G2" s="249"/>
      <c r="H2" s="249"/>
      <c r="I2" s="341"/>
      <c r="J2" s="341"/>
      <c r="K2" s="341"/>
      <c r="L2" s="342" t="s">
        <v>2007</v>
      </c>
      <c r="M2" s="342"/>
      <c r="N2" s="251"/>
      <c r="O2" s="251"/>
      <c r="P2" s="251"/>
      <c r="AN2" s="343"/>
      <c r="AO2" s="343"/>
      <c r="AP2" s="343"/>
    </row>
    <row r="3" spans="1:52" ht="34.5" customHeight="1" x14ac:dyDescent="0.4">
      <c r="A3" s="252"/>
      <c r="B3" s="344" t="s">
        <v>2032</v>
      </c>
      <c r="C3" s="344"/>
      <c r="D3" s="344"/>
      <c r="E3" s="253" t="s">
        <v>2033</v>
      </c>
      <c r="F3" s="254" t="s">
        <v>2034</v>
      </c>
      <c r="G3" s="255" t="s">
        <v>2035</v>
      </c>
      <c r="H3" s="256" t="s">
        <v>2036</v>
      </c>
      <c r="I3" s="345" t="s">
        <v>2037</v>
      </c>
      <c r="J3" s="346" t="s">
        <v>2038</v>
      </c>
      <c r="K3" s="257"/>
      <c r="L3" s="347" t="s">
        <v>2008</v>
      </c>
      <c r="M3" s="347"/>
      <c r="N3" s="251"/>
      <c r="O3" s="251"/>
      <c r="P3" s="251"/>
    </row>
    <row r="4" spans="1:52" ht="34.5" customHeight="1" x14ac:dyDescent="0.5">
      <c r="A4" s="258" t="s">
        <v>2009</v>
      </c>
      <c r="B4" s="253" t="s">
        <v>2039</v>
      </c>
      <c r="C4" s="253" t="s">
        <v>862</v>
      </c>
      <c r="D4" s="253" t="s">
        <v>2040</v>
      </c>
      <c r="E4" s="253" t="s">
        <v>2041</v>
      </c>
      <c r="F4" s="254" t="s">
        <v>2042</v>
      </c>
      <c r="G4" s="259" t="s">
        <v>2043</v>
      </c>
      <c r="H4" s="260" t="s">
        <v>2044</v>
      </c>
      <c r="I4" s="345"/>
      <c r="J4" s="346"/>
      <c r="K4" s="257"/>
      <c r="L4" s="261" t="s">
        <v>2009</v>
      </c>
      <c r="M4" s="261" t="s">
        <v>2045</v>
      </c>
      <c r="N4" s="261" t="s">
        <v>2046</v>
      </c>
      <c r="O4" s="261" t="s">
        <v>2047</v>
      </c>
      <c r="P4" s="261" t="s">
        <v>2048</v>
      </c>
      <c r="Q4" s="262"/>
      <c r="AQ4" s="249"/>
    </row>
    <row r="5" spans="1:52" ht="34.5" customHeight="1" x14ac:dyDescent="0.5">
      <c r="A5" s="263" t="s">
        <v>862</v>
      </c>
      <c r="B5" s="264">
        <v>1</v>
      </c>
      <c r="C5" s="264">
        <v>1</v>
      </c>
      <c r="D5" s="264">
        <v>1</v>
      </c>
      <c r="E5" s="265">
        <f t="shared" ref="E5:E31" si="0">SUM(B5:D5)</f>
        <v>3</v>
      </c>
      <c r="F5" s="266">
        <f t="shared" ref="F5:F37" si="1">E5*3</f>
        <v>9</v>
      </c>
      <c r="G5" s="267">
        <f t="shared" ref="G5:G37" si="2">F5/16</f>
        <v>0.5625</v>
      </c>
      <c r="H5" s="268" t="s">
        <v>2049</v>
      </c>
      <c r="I5" s="269">
        <f t="shared" ref="I5:I31" si="3">E5*J5</f>
        <v>99</v>
      </c>
      <c r="J5" s="270">
        <v>33</v>
      </c>
      <c r="K5" s="257"/>
      <c r="L5" s="271" t="s">
        <v>862</v>
      </c>
      <c r="M5" s="272"/>
      <c r="N5" s="272"/>
      <c r="O5" s="272"/>
      <c r="P5" s="273" t="str">
        <f t="shared" ref="P5:P37" si="4">_xlfn.CONCAT(E5," btls")</f>
        <v>3 btls</v>
      </c>
      <c r="Q5" s="274"/>
      <c r="AQ5" s="249"/>
    </row>
    <row r="6" spans="1:52" ht="34.5" customHeight="1" x14ac:dyDescent="0.5">
      <c r="A6" s="263" t="s">
        <v>2050</v>
      </c>
      <c r="B6" s="275">
        <v>1</v>
      </c>
      <c r="C6" s="275">
        <v>1</v>
      </c>
      <c r="D6" s="264">
        <v>1</v>
      </c>
      <c r="E6" s="265">
        <f t="shared" si="0"/>
        <v>3</v>
      </c>
      <c r="F6" s="266">
        <f t="shared" si="1"/>
        <v>9</v>
      </c>
      <c r="G6" s="276">
        <f t="shared" si="2"/>
        <v>0.5625</v>
      </c>
      <c r="H6" s="268" t="s">
        <v>2049</v>
      </c>
      <c r="I6" s="270">
        <f t="shared" si="3"/>
        <v>96</v>
      </c>
      <c r="J6" s="270">
        <v>32</v>
      </c>
      <c r="K6" s="257"/>
      <c r="L6" s="271" t="s">
        <v>544</v>
      </c>
      <c r="M6" s="223"/>
      <c r="N6" s="223"/>
      <c r="O6" s="223"/>
      <c r="P6" s="273" t="str">
        <f t="shared" si="4"/>
        <v>3 btls</v>
      </c>
      <c r="AQ6" s="249"/>
    </row>
    <row r="7" spans="1:52" ht="34.5" customHeight="1" x14ac:dyDescent="0.5">
      <c r="A7" s="263" t="s">
        <v>2051</v>
      </c>
      <c r="B7" s="275">
        <v>1</v>
      </c>
      <c r="C7" s="275">
        <v>1</v>
      </c>
      <c r="D7" s="264">
        <v>1</v>
      </c>
      <c r="E7" s="265">
        <f t="shared" si="0"/>
        <v>3</v>
      </c>
      <c r="F7" s="266">
        <f t="shared" si="1"/>
        <v>9</v>
      </c>
      <c r="G7" s="276">
        <f t="shared" si="2"/>
        <v>0.5625</v>
      </c>
      <c r="H7" s="268" t="s">
        <v>2049</v>
      </c>
      <c r="I7" s="270">
        <f t="shared" si="3"/>
        <v>81</v>
      </c>
      <c r="J7" s="270">
        <v>27</v>
      </c>
      <c r="K7" s="257"/>
      <c r="L7" s="271" t="s">
        <v>886</v>
      </c>
      <c r="M7" s="223"/>
      <c r="N7" s="223"/>
      <c r="O7" s="223"/>
      <c r="P7" s="273" t="str">
        <f t="shared" si="4"/>
        <v>3 btls</v>
      </c>
      <c r="AQ7" s="277"/>
    </row>
    <row r="8" spans="1:52" ht="34.5" customHeight="1" x14ac:dyDescent="0.5">
      <c r="A8" s="278">
        <v>206</v>
      </c>
      <c r="B8" s="275">
        <v>1</v>
      </c>
      <c r="C8" s="275">
        <v>1</v>
      </c>
      <c r="D8" s="264">
        <v>1</v>
      </c>
      <c r="E8" s="265">
        <f t="shared" si="0"/>
        <v>3</v>
      </c>
      <c r="F8" s="266">
        <f t="shared" si="1"/>
        <v>9</v>
      </c>
      <c r="G8" s="276">
        <f t="shared" si="2"/>
        <v>0.5625</v>
      </c>
      <c r="H8" s="268" t="s">
        <v>2049</v>
      </c>
      <c r="I8" s="270">
        <f t="shared" si="3"/>
        <v>81</v>
      </c>
      <c r="J8" s="270">
        <v>27</v>
      </c>
      <c r="K8" s="257"/>
      <c r="L8" s="279">
        <v>206</v>
      </c>
      <c r="M8" s="223"/>
      <c r="N8" s="223"/>
      <c r="O8" s="223"/>
      <c r="P8" s="273" t="str">
        <f t="shared" si="4"/>
        <v>3 btls</v>
      </c>
      <c r="AQ8" s="277"/>
    </row>
    <row r="9" spans="1:52" ht="34.5" customHeight="1" x14ac:dyDescent="0.5">
      <c r="A9" s="278">
        <v>303</v>
      </c>
      <c r="B9" s="275">
        <v>1</v>
      </c>
      <c r="C9" s="275">
        <v>2</v>
      </c>
      <c r="D9" s="264">
        <v>1</v>
      </c>
      <c r="E9" s="265">
        <f t="shared" si="0"/>
        <v>4</v>
      </c>
      <c r="F9" s="266">
        <f t="shared" si="1"/>
        <v>12</v>
      </c>
      <c r="G9" s="276">
        <f t="shared" si="2"/>
        <v>0.75</v>
      </c>
      <c r="H9" s="268" t="s">
        <v>2052</v>
      </c>
      <c r="I9" s="270">
        <f t="shared" si="3"/>
        <v>116</v>
      </c>
      <c r="J9" s="270">
        <v>29</v>
      </c>
      <c r="K9" s="257"/>
      <c r="L9" s="279">
        <v>303</v>
      </c>
      <c r="M9" s="223"/>
      <c r="N9" s="223"/>
      <c r="O9" s="223"/>
      <c r="P9" s="273" t="str">
        <f t="shared" si="4"/>
        <v>4 btls</v>
      </c>
      <c r="AQ9" s="277"/>
    </row>
    <row r="10" spans="1:52" ht="34.5" customHeight="1" x14ac:dyDescent="0.5">
      <c r="A10" s="278">
        <v>304</v>
      </c>
      <c r="B10" s="275">
        <v>1</v>
      </c>
      <c r="C10" s="275">
        <v>1</v>
      </c>
      <c r="D10" s="264">
        <v>1</v>
      </c>
      <c r="E10" s="265">
        <f t="shared" si="0"/>
        <v>3</v>
      </c>
      <c r="F10" s="266">
        <f t="shared" si="1"/>
        <v>9</v>
      </c>
      <c r="G10" s="276">
        <f t="shared" si="2"/>
        <v>0.5625</v>
      </c>
      <c r="H10" s="268" t="s">
        <v>2049</v>
      </c>
      <c r="I10" s="270">
        <f t="shared" si="3"/>
        <v>84</v>
      </c>
      <c r="J10" s="270">
        <v>28</v>
      </c>
      <c r="K10" s="257"/>
      <c r="L10" s="279">
        <v>304</v>
      </c>
      <c r="M10" s="223"/>
      <c r="N10" s="223"/>
      <c r="O10" s="223"/>
      <c r="P10" s="273" t="str">
        <f t="shared" si="4"/>
        <v>3 btls</v>
      </c>
      <c r="AQ10" s="249"/>
    </row>
    <row r="11" spans="1:52" ht="34.5" customHeight="1" x14ac:dyDescent="0.5">
      <c r="A11" s="263" t="s">
        <v>2014</v>
      </c>
      <c r="B11" s="275">
        <v>1</v>
      </c>
      <c r="C11" s="275">
        <v>1</v>
      </c>
      <c r="D11" s="264">
        <v>1</v>
      </c>
      <c r="E11" s="265">
        <f t="shared" si="0"/>
        <v>3</v>
      </c>
      <c r="F11" s="266">
        <f t="shared" si="1"/>
        <v>9</v>
      </c>
      <c r="G11" s="276">
        <f t="shared" si="2"/>
        <v>0.5625</v>
      </c>
      <c r="H11" s="268" t="s">
        <v>2049</v>
      </c>
      <c r="I11" s="270">
        <f t="shared" si="3"/>
        <v>39</v>
      </c>
      <c r="J11" s="270">
        <v>13</v>
      </c>
      <c r="K11" s="257"/>
      <c r="L11" s="271" t="s">
        <v>2014</v>
      </c>
      <c r="M11" s="223"/>
      <c r="N11" s="223"/>
      <c r="O11" s="223"/>
      <c r="P11" s="273" t="str">
        <f t="shared" si="4"/>
        <v>3 btls</v>
      </c>
      <c r="AQ11" s="249"/>
    </row>
    <row r="12" spans="1:52" ht="34.5" customHeight="1" x14ac:dyDescent="0.5">
      <c r="A12" s="263" t="s">
        <v>2016</v>
      </c>
      <c r="B12" s="275">
        <v>1</v>
      </c>
      <c r="C12" s="275">
        <v>1</v>
      </c>
      <c r="D12" s="264">
        <v>1</v>
      </c>
      <c r="E12" s="265">
        <f t="shared" si="0"/>
        <v>3</v>
      </c>
      <c r="F12" s="266">
        <f t="shared" si="1"/>
        <v>9</v>
      </c>
      <c r="G12" s="276">
        <f t="shared" si="2"/>
        <v>0.5625</v>
      </c>
      <c r="H12" s="268" t="s">
        <v>2049</v>
      </c>
      <c r="I12" s="270">
        <f t="shared" si="3"/>
        <v>42</v>
      </c>
      <c r="J12" s="270">
        <v>14</v>
      </c>
      <c r="K12" s="257"/>
      <c r="L12" s="271" t="s">
        <v>2016</v>
      </c>
      <c r="M12" s="223"/>
      <c r="N12" s="223"/>
      <c r="O12" s="223"/>
      <c r="P12" s="273" t="str">
        <f t="shared" si="4"/>
        <v>3 btls</v>
      </c>
      <c r="AQ12" s="249"/>
    </row>
    <row r="13" spans="1:52" ht="34.5" customHeight="1" x14ac:dyDescent="0.5">
      <c r="A13" s="280" t="s">
        <v>584</v>
      </c>
      <c r="B13" s="275">
        <v>1</v>
      </c>
      <c r="C13" s="275">
        <v>2</v>
      </c>
      <c r="D13" s="264">
        <v>1</v>
      </c>
      <c r="E13" s="265">
        <f t="shared" si="0"/>
        <v>4</v>
      </c>
      <c r="F13" s="266">
        <f t="shared" si="1"/>
        <v>12</v>
      </c>
      <c r="G13" s="276">
        <f t="shared" si="2"/>
        <v>0.75</v>
      </c>
      <c r="H13" s="268" t="s">
        <v>2052</v>
      </c>
      <c r="I13" s="270">
        <f t="shared" si="3"/>
        <v>124</v>
      </c>
      <c r="J13" s="270">
        <v>31</v>
      </c>
      <c r="K13" s="257"/>
      <c r="L13" s="281" t="s">
        <v>584</v>
      </c>
      <c r="M13" s="223"/>
      <c r="N13" s="223"/>
      <c r="O13" s="223"/>
      <c r="P13" s="273" t="str">
        <f t="shared" si="4"/>
        <v>4 btls</v>
      </c>
      <c r="AQ13" s="249"/>
    </row>
    <row r="14" spans="1:52" ht="34.5" customHeight="1" x14ac:dyDescent="0.5">
      <c r="A14" s="282" t="s">
        <v>616</v>
      </c>
      <c r="B14" s="275">
        <v>1</v>
      </c>
      <c r="C14" s="275">
        <v>3</v>
      </c>
      <c r="D14" s="264">
        <v>1</v>
      </c>
      <c r="E14" s="265">
        <f t="shared" si="0"/>
        <v>5</v>
      </c>
      <c r="F14" s="266">
        <f t="shared" si="1"/>
        <v>15</v>
      </c>
      <c r="G14" s="276">
        <f t="shared" si="2"/>
        <v>0.9375</v>
      </c>
      <c r="H14" s="268" t="s">
        <v>2053</v>
      </c>
      <c r="I14" s="270">
        <f t="shared" si="3"/>
        <v>145</v>
      </c>
      <c r="J14" s="270">
        <v>29</v>
      </c>
      <c r="K14" s="257"/>
      <c r="L14" s="283" t="s">
        <v>616</v>
      </c>
      <c r="M14" s="223"/>
      <c r="N14" s="223"/>
      <c r="O14" s="223"/>
      <c r="P14" s="273" t="str">
        <f t="shared" si="4"/>
        <v>5 btls</v>
      </c>
      <c r="AQ14" s="249"/>
    </row>
    <row r="15" spans="1:52" ht="34.5" customHeight="1" x14ac:dyDescent="0.5">
      <c r="A15" s="280" t="s">
        <v>2024</v>
      </c>
      <c r="B15" s="275">
        <v>1</v>
      </c>
      <c r="C15" s="275">
        <v>2</v>
      </c>
      <c r="D15" s="264">
        <v>1</v>
      </c>
      <c r="E15" s="265">
        <f t="shared" si="0"/>
        <v>4</v>
      </c>
      <c r="F15" s="266">
        <f t="shared" si="1"/>
        <v>12</v>
      </c>
      <c r="G15" s="276">
        <f t="shared" si="2"/>
        <v>0.75</v>
      </c>
      <c r="H15" s="268" t="s">
        <v>2052</v>
      </c>
      <c r="I15" s="270">
        <f t="shared" si="3"/>
        <v>128</v>
      </c>
      <c r="J15" s="270">
        <v>32</v>
      </c>
      <c r="K15" s="257"/>
      <c r="L15" s="281" t="s">
        <v>2024</v>
      </c>
      <c r="M15" s="223"/>
      <c r="N15" s="223"/>
      <c r="O15" s="223"/>
      <c r="P15" s="273" t="str">
        <f t="shared" si="4"/>
        <v>4 btls</v>
      </c>
      <c r="AQ15" s="249"/>
    </row>
    <row r="16" spans="1:52" ht="34.5" customHeight="1" x14ac:dyDescent="0.5">
      <c r="A16" s="263" t="s">
        <v>633</v>
      </c>
      <c r="B16" s="275">
        <v>1</v>
      </c>
      <c r="C16" s="275">
        <v>3</v>
      </c>
      <c r="D16" s="264">
        <v>1</v>
      </c>
      <c r="E16" s="265">
        <f t="shared" si="0"/>
        <v>5</v>
      </c>
      <c r="F16" s="266">
        <f t="shared" si="1"/>
        <v>15</v>
      </c>
      <c r="G16" s="276">
        <f t="shared" si="2"/>
        <v>0.9375</v>
      </c>
      <c r="H16" s="268" t="s">
        <v>2053</v>
      </c>
      <c r="I16" s="270">
        <f t="shared" si="3"/>
        <v>190</v>
      </c>
      <c r="J16" s="270">
        <v>38</v>
      </c>
      <c r="K16" s="257"/>
      <c r="L16" s="271" t="s">
        <v>633</v>
      </c>
      <c r="M16" s="223"/>
      <c r="N16" s="223"/>
      <c r="O16" s="223"/>
      <c r="P16" s="273" t="str">
        <f t="shared" si="4"/>
        <v>5 btls</v>
      </c>
      <c r="AQ16" s="249"/>
    </row>
    <row r="17" spans="1:56" ht="34.5" customHeight="1" x14ac:dyDescent="0.5">
      <c r="A17" s="284" t="s">
        <v>864</v>
      </c>
      <c r="B17" s="275">
        <v>1</v>
      </c>
      <c r="C17" s="275">
        <v>2</v>
      </c>
      <c r="D17" s="264">
        <v>1</v>
      </c>
      <c r="E17" s="265">
        <f t="shared" si="0"/>
        <v>4</v>
      </c>
      <c r="F17" s="266">
        <f t="shared" si="1"/>
        <v>12</v>
      </c>
      <c r="G17" s="276">
        <f t="shared" si="2"/>
        <v>0.75</v>
      </c>
      <c r="H17" s="268" t="s">
        <v>2052</v>
      </c>
      <c r="I17" s="270">
        <f t="shared" si="3"/>
        <v>164</v>
      </c>
      <c r="J17" s="270">
        <v>41</v>
      </c>
      <c r="K17" s="257"/>
      <c r="L17" s="285" t="s">
        <v>864</v>
      </c>
      <c r="M17" s="223"/>
      <c r="N17" s="223"/>
      <c r="O17" s="223"/>
      <c r="P17" s="273" t="str">
        <f t="shared" si="4"/>
        <v>4 btls</v>
      </c>
      <c r="AQ17" s="249"/>
    </row>
    <row r="18" spans="1:56" ht="34.5" customHeight="1" x14ac:dyDescent="0.5">
      <c r="A18" s="284" t="s">
        <v>560</v>
      </c>
      <c r="B18" s="275">
        <v>1</v>
      </c>
      <c r="C18" s="275">
        <v>2</v>
      </c>
      <c r="D18" s="264">
        <v>1</v>
      </c>
      <c r="E18" s="265">
        <f t="shared" si="0"/>
        <v>4</v>
      </c>
      <c r="F18" s="266">
        <f t="shared" si="1"/>
        <v>12</v>
      </c>
      <c r="G18" s="276">
        <f t="shared" si="2"/>
        <v>0.75</v>
      </c>
      <c r="H18" s="268" t="s">
        <v>2052</v>
      </c>
      <c r="I18" s="270">
        <f t="shared" si="3"/>
        <v>164</v>
      </c>
      <c r="J18" s="270">
        <v>41</v>
      </c>
      <c r="K18" s="257"/>
      <c r="L18" s="285" t="s">
        <v>560</v>
      </c>
      <c r="M18" s="223"/>
      <c r="N18" s="223"/>
      <c r="O18" s="223"/>
      <c r="P18" s="273" t="str">
        <f t="shared" si="4"/>
        <v>4 btls</v>
      </c>
      <c r="AQ18" s="249"/>
    </row>
    <row r="19" spans="1:56" ht="34.5" customHeight="1" x14ac:dyDescent="0.5">
      <c r="A19" s="284" t="s">
        <v>632</v>
      </c>
      <c r="B19" s="275">
        <v>1</v>
      </c>
      <c r="C19" s="275">
        <v>2</v>
      </c>
      <c r="D19" s="264">
        <v>1</v>
      </c>
      <c r="E19" s="265">
        <f t="shared" si="0"/>
        <v>4</v>
      </c>
      <c r="F19" s="266">
        <f t="shared" si="1"/>
        <v>12</v>
      </c>
      <c r="G19" s="276">
        <f t="shared" si="2"/>
        <v>0.75</v>
      </c>
      <c r="H19" s="268" t="s">
        <v>2052</v>
      </c>
      <c r="I19" s="270">
        <f t="shared" si="3"/>
        <v>160</v>
      </c>
      <c r="J19" s="270">
        <v>40</v>
      </c>
      <c r="K19" s="257"/>
      <c r="L19" s="285" t="s">
        <v>632</v>
      </c>
      <c r="M19" s="223"/>
      <c r="N19" s="223"/>
      <c r="O19" s="223"/>
      <c r="P19" s="273" t="str">
        <f t="shared" si="4"/>
        <v>4 btls</v>
      </c>
      <c r="AQ19" s="249"/>
    </row>
    <row r="20" spans="1:56" ht="34.5" customHeight="1" x14ac:dyDescent="0.5">
      <c r="A20" s="284" t="s">
        <v>2054</v>
      </c>
      <c r="B20" s="275">
        <v>1</v>
      </c>
      <c r="C20" s="275">
        <v>1</v>
      </c>
      <c r="D20" s="264">
        <v>1</v>
      </c>
      <c r="E20" s="265">
        <f t="shared" si="0"/>
        <v>3</v>
      </c>
      <c r="F20" s="266">
        <f t="shared" si="1"/>
        <v>9</v>
      </c>
      <c r="G20" s="276">
        <f t="shared" si="2"/>
        <v>0.5625</v>
      </c>
      <c r="H20" s="268" t="s">
        <v>2049</v>
      </c>
      <c r="I20" s="270">
        <f t="shared" si="3"/>
        <v>102</v>
      </c>
      <c r="J20" s="270">
        <v>34</v>
      </c>
      <c r="K20" s="257"/>
      <c r="L20" s="285" t="s">
        <v>2054</v>
      </c>
      <c r="M20" s="223"/>
      <c r="N20" s="223"/>
      <c r="O20" s="223"/>
      <c r="P20" s="273" t="str">
        <f t="shared" si="4"/>
        <v>3 btls</v>
      </c>
      <c r="AQ20" s="249"/>
    </row>
    <row r="21" spans="1:56" ht="34.5" customHeight="1" x14ac:dyDescent="0.5">
      <c r="A21" s="284" t="s">
        <v>874</v>
      </c>
      <c r="B21" s="275">
        <v>1</v>
      </c>
      <c r="C21" s="275">
        <v>2</v>
      </c>
      <c r="D21" s="264">
        <v>1</v>
      </c>
      <c r="E21" s="265">
        <f t="shared" si="0"/>
        <v>4</v>
      </c>
      <c r="F21" s="266">
        <f t="shared" si="1"/>
        <v>12</v>
      </c>
      <c r="G21" s="276">
        <f t="shared" si="2"/>
        <v>0.75</v>
      </c>
      <c r="H21" s="268" t="s">
        <v>2052</v>
      </c>
      <c r="I21" s="270">
        <f t="shared" si="3"/>
        <v>140</v>
      </c>
      <c r="J21" s="270">
        <v>35</v>
      </c>
      <c r="K21" s="257"/>
      <c r="L21" s="285" t="s">
        <v>874</v>
      </c>
      <c r="M21" s="223"/>
      <c r="N21" s="223"/>
      <c r="O21" s="223"/>
      <c r="P21" s="273" t="str">
        <f t="shared" si="4"/>
        <v>4 btls</v>
      </c>
      <c r="AQ21" s="249"/>
    </row>
    <row r="22" spans="1:56" ht="34.5" customHeight="1" x14ac:dyDescent="0.5">
      <c r="A22" s="284" t="s">
        <v>863</v>
      </c>
      <c r="B22" s="275">
        <v>1</v>
      </c>
      <c r="C22" s="275">
        <v>2</v>
      </c>
      <c r="D22" s="264">
        <v>1</v>
      </c>
      <c r="E22" s="265">
        <f t="shared" si="0"/>
        <v>4</v>
      </c>
      <c r="F22" s="266">
        <f t="shared" si="1"/>
        <v>12</v>
      </c>
      <c r="G22" s="276">
        <f t="shared" si="2"/>
        <v>0.75</v>
      </c>
      <c r="H22" s="268" t="s">
        <v>2052</v>
      </c>
      <c r="I22" s="270">
        <f t="shared" si="3"/>
        <v>152</v>
      </c>
      <c r="J22" s="270">
        <v>38</v>
      </c>
      <c r="K22" s="257"/>
      <c r="L22" s="285" t="s">
        <v>863</v>
      </c>
      <c r="M22" s="268"/>
      <c r="N22" s="223"/>
      <c r="O22" s="223"/>
      <c r="P22" s="273" t="str">
        <f t="shared" si="4"/>
        <v>4 btls</v>
      </c>
      <c r="AQ22" s="249"/>
    </row>
    <row r="23" spans="1:56" ht="34.5" customHeight="1" x14ac:dyDescent="0.5">
      <c r="A23" s="284" t="s">
        <v>781</v>
      </c>
      <c r="B23" s="275">
        <v>1</v>
      </c>
      <c r="C23" s="275">
        <v>2</v>
      </c>
      <c r="D23" s="264">
        <v>1</v>
      </c>
      <c r="E23" s="265">
        <f t="shared" si="0"/>
        <v>4</v>
      </c>
      <c r="F23" s="266">
        <f t="shared" si="1"/>
        <v>12</v>
      </c>
      <c r="G23" s="276">
        <f t="shared" si="2"/>
        <v>0.75</v>
      </c>
      <c r="H23" s="268" t="s">
        <v>2052</v>
      </c>
      <c r="I23" s="270">
        <f t="shared" si="3"/>
        <v>132</v>
      </c>
      <c r="J23" s="270">
        <v>33</v>
      </c>
      <c r="K23" s="257"/>
      <c r="L23" s="285" t="s">
        <v>781</v>
      </c>
      <c r="M23" s="286"/>
      <c r="N23" s="223"/>
      <c r="O23" s="223"/>
      <c r="P23" s="273" t="str">
        <f t="shared" si="4"/>
        <v>4 btls</v>
      </c>
      <c r="AQ23" s="249"/>
    </row>
    <row r="24" spans="1:56" ht="34.5" customHeight="1" x14ac:dyDescent="0.5">
      <c r="A24" s="284" t="s">
        <v>2020</v>
      </c>
      <c r="B24" s="275">
        <v>1</v>
      </c>
      <c r="C24" s="275">
        <v>1</v>
      </c>
      <c r="D24" s="264">
        <v>1</v>
      </c>
      <c r="E24" s="265">
        <f t="shared" si="0"/>
        <v>3</v>
      </c>
      <c r="F24" s="266">
        <f t="shared" si="1"/>
        <v>9</v>
      </c>
      <c r="G24" s="276">
        <f t="shared" si="2"/>
        <v>0.5625</v>
      </c>
      <c r="H24" s="268" t="s">
        <v>2049</v>
      </c>
      <c r="I24" s="270">
        <f t="shared" si="3"/>
        <v>87</v>
      </c>
      <c r="J24" s="270">
        <v>29</v>
      </c>
      <c r="K24" s="257"/>
      <c r="L24" s="285" t="s">
        <v>2020</v>
      </c>
      <c r="M24" s="286"/>
      <c r="N24" s="223"/>
      <c r="O24" s="223"/>
      <c r="P24" s="273" t="str">
        <f t="shared" si="4"/>
        <v>3 btls</v>
      </c>
      <c r="AQ24" s="249"/>
    </row>
    <row r="25" spans="1:56" ht="34.5" customHeight="1" x14ac:dyDescent="0.5">
      <c r="A25" s="284" t="s">
        <v>663</v>
      </c>
      <c r="B25" s="275">
        <v>1</v>
      </c>
      <c r="C25" s="275">
        <v>2</v>
      </c>
      <c r="D25" s="264">
        <v>1</v>
      </c>
      <c r="E25" s="265">
        <f t="shared" si="0"/>
        <v>4</v>
      </c>
      <c r="F25" s="266">
        <f t="shared" si="1"/>
        <v>12</v>
      </c>
      <c r="G25" s="276">
        <f t="shared" si="2"/>
        <v>0.75</v>
      </c>
      <c r="H25" s="268" t="s">
        <v>2052</v>
      </c>
      <c r="I25" s="270">
        <f t="shared" si="3"/>
        <v>112</v>
      </c>
      <c r="J25" s="270">
        <v>28</v>
      </c>
      <c r="K25" s="257"/>
      <c r="L25" s="285" t="s">
        <v>663</v>
      </c>
      <c r="M25" s="268"/>
      <c r="N25" s="223"/>
      <c r="O25" s="223"/>
      <c r="P25" s="273" t="str">
        <f t="shared" si="4"/>
        <v>4 btls</v>
      </c>
      <c r="AQ25" s="249"/>
    </row>
    <row r="26" spans="1:56" ht="34.5" customHeight="1" x14ac:dyDescent="0.5">
      <c r="A26" s="280" t="s">
        <v>932</v>
      </c>
      <c r="B26" s="275">
        <v>1</v>
      </c>
      <c r="C26" s="275">
        <v>1</v>
      </c>
      <c r="D26" s="264">
        <v>1</v>
      </c>
      <c r="E26" s="265">
        <f t="shared" si="0"/>
        <v>3</v>
      </c>
      <c r="F26" s="266">
        <f t="shared" si="1"/>
        <v>9</v>
      </c>
      <c r="G26" s="276">
        <f t="shared" si="2"/>
        <v>0.5625</v>
      </c>
      <c r="H26" s="268" t="s">
        <v>2049</v>
      </c>
      <c r="I26" s="270">
        <f t="shared" si="3"/>
        <v>81</v>
      </c>
      <c r="J26" s="270">
        <v>27</v>
      </c>
      <c r="K26" s="257"/>
      <c r="L26" s="281" t="s">
        <v>932</v>
      </c>
      <c r="M26" s="286"/>
      <c r="N26" s="223"/>
      <c r="O26" s="223"/>
      <c r="P26" s="273" t="str">
        <f t="shared" si="4"/>
        <v>3 btls</v>
      </c>
      <c r="AQ26" s="249"/>
    </row>
    <row r="27" spans="1:56" ht="34.5" customHeight="1" x14ac:dyDescent="0.5">
      <c r="A27" s="280" t="s">
        <v>2023</v>
      </c>
      <c r="B27" s="275">
        <v>1</v>
      </c>
      <c r="C27" s="275">
        <v>1</v>
      </c>
      <c r="D27" s="264">
        <v>1</v>
      </c>
      <c r="E27" s="265">
        <f t="shared" si="0"/>
        <v>3</v>
      </c>
      <c r="F27" s="266">
        <f t="shared" si="1"/>
        <v>9</v>
      </c>
      <c r="G27" s="276">
        <f t="shared" si="2"/>
        <v>0.5625</v>
      </c>
      <c r="H27" s="268" t="s">
        <v>2049</v>
      </c>
      <c r="I27" s="270">
        <f t="shared" si="3"/>
        <v>84</v>
      </c>
      <c r="J27" s="270">
        <v>28</v>
      </c>
      <c r="K27" s="257"/>
      <c r="L27" s="281" t="s">
        <v>2023</v>
      </c>
      <c r="M27" s="286"/>
      <c r="N27" s="223"/>
      <c r="O27" s="223"/>
      <c r="P27" s="273" t="str">
        <f t="shared" si="4"/>
        <v>3 btls</v>
      </c>
      <c r="AQ27" s="249"/>
    </row>
    <row r="28" spans="1:56" ht="30" customHeight="1" x14ac:dyDescent="0.5">
      <c r="A28" s="287" t="s">
        <v>546</v>
      </c>
      <c r="B28" s="288">
        <v>2</v>
      </c>
      <c r="C28" s="223">
        <v>4</v>
      </c>
      <c r="D28" s="264">
        <v>3</v>
      </c>
      <c r="E28" s="265">
        <f t="shared" si="0"/>
        <v>9</v>
      </c>
      <c r="F28" s="266">
        <f t="shared" si="1"/>
        <v>27</v>
      </c>
      <c r="G28" s="267">
        <f t="shared" si="2"/>
        <v>1.6875</v>
      </c>
      <c r="H28" s="268" t="s">
        <v>2055</v>
      </c>
      <c r="I28" s="270">
        <f t="shared" si="3"/>
        <v>369</v>
      </c>
      <c r="J28" s="270">
        <v>41</v>
      </c>
      <c r="L28" s="271" t="s">
        <v>546</v>
      </c>
      <c r="M28" s="202"/>
      <c r="N28" s="223"/>
      <c r="O28" s="223"/>
      <c r="P28" s="273" t="str">
        <f t="shared" si="4"/>
        <v>9 btls</v>
      </c>
      <c r="Q28" s="289"/>
      <c r="R28" s="290"/>
      <c r="AS28" s="249"/>
    </row>
    <row r="29" spans="1:56" ht="30" customHeight="1" x14ac:dyDescent="0.5">
      <c r="A29" s="287" t="s">
        <v>541</v>
      </c>
      <c r="B29" s="288">
        <v>2</v>
      </c>
      <c r="C29" s="223">
        <v>2</v>
      </c>
      <c r="D29" s="264">
        <v>2</v>
      </c>
      <c r="E29" s="265">
        <f t="shared" si="0"/>
        <v>6</v>
      </c>
      <c r="F29" s="266">
        <f t="shared" si="1"/>
        <v>18</v>
      </c>
      <c r="G29" s="267">
        <f t="shared" si="2"/>
        <v>1.125</v>
      </c>
      <c r="H29" s="268" t="s">
        <v>2053</v>
      </c>
      <c r="I29" s="270">
        <f t="shared" si="3"/>
        <v>246</v>
      </c>
      <c r="J29" s="270">
        <v>41</v>
      </c>
      <c r="L29" s="271" t="s">
        <v>541</v>
      </c>
      <c r="M29" s="202"/>
      <c r="N29" s="223"/>
      <c r="O29" s="223"/>
      <c r="P29" s="273" t="str">
        <f t="shared" si="4"/>
        <v>6 btls</v>
      </c>
      <c r="Q29" s="289"/>
      <c r="R29" s="290"/>
      <c r="AS29" s="249"/>
    </row>
    <row r="30" spans="1:56" ht="30" customHeight="1" x14ac:dyDescent="0.5">
      <c r="A30" s="287" t="s">
        <v>770</v>
      </c>
      <c r="B30" s="288">
        <v>1</v>
      </c>
      <c r="C30" s="223">
        <v>2</v>
      </c>
      <c r="D30" s="264">
        <v>1</v>
      </c>
      <c r="E30" s="265">
        <f t="shared" si="0"/>
        <v>4</v>
      </c>
      <c r="F30" s="266">
        <f t="shared" si="1"/>
        <v>12</v>
      </c>
      <c r="G30" s="267">
        <f t="shared" si="2"/>
        <v>0.75</v>
      </c>
      <c r="H30" s="268" t="s">
        <v>2052</v>
      </c>
      <c r="I30" s="270">
        <f t="shared" si="3"/>
        <v>152</v>
      </c>
      <c r="J30" s="270">
        <v>38</v>
      </c>
      <c r="L30" s="271" t="s">
        <v>770</v>
      </c>
      <c r="M30" s="202"/>
      <c r="N30" s="223"/>
      <c r="O30" s="223"/>
      <c r="P30" s="273" t="str">
        <f t="shared" si="4"/>
        <v>4 btls</v>
      </c>
      <c r="Q30" s="289"/>
      <c r="R30" s="290"/>
      <c r="AS30" s="291"/>
    </row>
    <row r="31" spans="1:56" ht="30" customHeight="1" x14ac:dyDescent="0.5">
      <c r="A31" s="287" t="s">
        <v>2026</v>
      </c>
      <c r="B31" s="288">
        <v>2</v>
      </c>
      <c r="C31" s="223">
        <v>4</v>
      </c>
      <c r="D31" s="264">
        <v>3</v>
      </c>
      <c r="E31" s="265">
        <f t="shared" si="0"/>
        <v>9</v>
      </c>
      <c r="F31" s="266">
        <f t="shared" si="1"/>
        <v>27</v>
      </c>
      <c r="G31" s="267">
        <f t="shared" si="2"/>
        <v>1.6875</v>
      </c>
      <c r="H31" s="268" t="s">
        <v>2056</v>
      </c>
      <c r="I31" s="270">
        <f t="shared" si="3"/>
        <v>378</v>
      </c>
      <c r="J31" s="270">
        <v>42</v>
      </c>
      <c r="L31" s="271" t="s">
        <v>2026</v>
      </c>
      <c r="M31" s="289"/>
      <c r="N31" s="223"/>
      <c r="O31" s="223"/>
      <c r="P31" s="273" t="str">
        <f t="shared" si="4"/>
        <v>9 btls</v>
      </c>
      <c r="Q31" s="289"/>
      <c r="R31" s="290"/>
      <c r="AS31" s="249"/>
    </row>
    <row r="32" spans="1:56" s="304" customFormat="1" ht="34.5" customHeight="1" x14ac:dyDescent="0.5">
      <c r="A32" s="292" t="s">
        <v>2057</v>
      </c>
      <c r="B32" s="292"/>
      <c r="C32" s="293"/>
      <c r="D32" s="293"/>
      <c r="E32" s="294">
        <v>11</v>
      </c>
      <c r="F32" s="295">
        <f t="shared" si="1"/>
        <v>33</v>
      </c>
      <c r="G32" s="267">
        <f t="shared" si="2"/>
        <v>2.0625</v>
      </c>
      <c r="H32" s="268" t="s">
        <v>2058</v>
      </c>
      <c r="I32" s="270">
        <f t="shared" ref="I32:I37" si="5">14*F32</f>
        <v>462</v>
      </c>
      <c r="J32" s="296">
        <v>42</v>
      </c>
      <c r="K32" s="297"/>
      <c r="L32" s="298" t="s">
        <v>2059</v>
      </c>
      <c r="M32" s="299"/>
      <c r="N32" s="300"/>
      <c r="O32" s="300"/>
      <c r="P32" s="273" t="str">
        <f t="shared" si="4"/>
        <v>11 btls</v>
      </c>
      <c r="Q32" s="301"/>
      <c r="R32" s="302"/>
      <c r="S32" s="302"/>
      <c r="T32" s="302"/>
      <c r="U32" s="302"/>
      <c r="V32" s="302"/>
      <c r="W32" s="302"/>
      <c r="X32" s="302"/>
      <c r="Y32" s="302"/>
      <c r="Z32" s="302"/>
      <c r="AA32" s="302"/>
      <c r="AB32" s="302"/>
      <c r="AC32" s="302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3"/>
      <c r="AR32" s="302"/>
      <c r="AS32" s="302"/>
      <c r="AT32" s="302"/>
      <c r="AU32" s="302"/>
      <c r="AV32" s="302"/>
      <c r="AW32" s="302"/>
      <c r="AX32" s="302"/>
      <c r="AY32" s="302"/>
      <c r="AZ32" s="302"/>
      <c r="BA32" s="302"/>
      <c r="BB32" s="302"/>
      <c r="BC32" s="302"/>
      <c r="BD32" s="302"/>
    </row>
    <row r="33" spans="1:56" s="304" customFormat="1" ht="34.5" customHeight="1" x14ac:dyDescent="0.5">
      <c r="A33" s="292" t="s">
        <v>2060</v>
      </c>
      <c r="B33" s="292"/>
      <c r="C33" s="293"/>
      <c r="D33" s="293"/>
      <c r="E33" s="294">
        <v>38</v>
      </c>
      <c r="F33" s="295">
        <f t="shared" si="1"/>
        <v>114</v>
      </c>
      <c r="G33" s="267">
        <f t="shared" si="2"/>
        <v>7.125</v>
      </c>
      <c r="H33" s="268" t="s">
        <v>2061</v>
      </c>
      <c r="I33" s="270">
        <f t="shared" si="5"/>
        <v>1596</v>
      </c>
      <c r="J33" s="296">
        <v>42</v>
      </c>
      <c r="K33" s="297"/>
      <c r="L33" s="298" t="s">
        <v>2060</v>
      </c>
      <c r="M33" s="299"/>
      <c r="N33" s="300"/>
      <c r="O33" s="300"/>
      <c r="P33" s="273" t="str">
        <f t="shared" si="4"/>
        <v>38 btls</v>
      </c>
      <c r="Q33" s="218"/>
      <c r="R33" s="302"/>
      <c r="S33" s="302"/>
      <c r="T33" s="302"/>
      <c r="U33" s="302"/>
      <c r="V33" s="302"/>
      <c r="W33" s="302"/>
      <c r="X33" s="302"/>
      <c r="Y33" s="302"/>
      <c r="Z33" s="302"/>
      <c r="AA33" s="302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3"/>
      <c r="AR33" s="302"/>
      <c r="AS33" s="302"/>
      <c r="AT33" s="302"/>
      <c r="AU33" s="302"/>
      <c r="AV33" s="302"/>
      <c r="AW33" s="302"/>
      <c r="AX33" s="302"/>
      <c r="AY33" s="302"/>
      <c r="AZ33" s="302"/>
      <c r="BA33" s="302"/>
      <c r="BB33" s="302"/>
      <c r="BC33" s="302"/>
      <c r="BD33" s="302"/>
    </row>
    <row r="34" spans="1:56" s="304" customFormat="1" ht="34.5" customHeight="1" x14ac:dyDescent="0.5">
      <c r="A34" s="292" t="s">
        <v>2062</v>
      </c>
      <c r="B34" s="292"/>
      <c r="C34" s="293"/>
      <c r="D34" s="293"/>
      <c r="E34" s="294">
        <v>21</v>
      </c>
      <c r="F34" s="295">
        <f t="shared" si="1"/>
        <v>63</v>
      </c>
      <c r="G34" s="267">
        <f t="shared" si="2"/>
        <v>3.9375</v>
      </c>
      <c r="H34" s="268" t="s">
        <v>2063</v>
      </c>
      <c r="I34" s="270">
        <f t="shared" si="5"/>
        <v>882</v>
      </c>
      <c r="J34" s="296">
        <v>42</v>
      </c>
      <c r="K34" s="297"/>
      <c r="L34" s="298" t="s">
        <v>2062</v>
      </c>
      <c r="M34" s="299"/>
      <c r="N34" s="300"/>
      <c r="O34" s="300"/>
      <c r="P34" s="273" t="str">
        <f t="shared" si="4"/>
        <v>21 btls</v>
      </c>
      <c r="Q34" s="218"/>
      <c r="R34" s="302"/>
      <c r="S34" s="302"/>
      <c r="T34" s="302"/>
      <c r="U34" s="302"/>
      <c r="V34" s="302"/>
      <c r="W34" s="302"/>
      <c r="X34" s="302"/>
      <c r="Y34" s="302"/>
      <c r="Z34" s="302"/>
      <c r="AA34" s="302"/>
      <c r="AB34" s="302"/>
      <c r="AC34" s="302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3"/>
      <c r="AR34" s="302"/>
      <c r="AS34" s="302"/>
      <c r="AT34" s="302"/>
      <c r="AU34" s="302"/>
      <c r="AV34" s="302"/>
      <c r="AW34" s="302"/>
      <c r="AX34" s="302"/>
      <c r="AY34" s="302"/>
      <c r="AZ34" s="302"/>
      <c r="BA34" s="302"/>
      <c r="BB34" s="302"/>
      <c r="BC34" s="302"/>
      <c r="BD34" s="302"/>
    </row>
    <row r="35" spans="1:56" s="304" customFormat="1" ht="34.5" customHeight="1" x14ac:dyDescent="0.5">
      <c r="A35" s="305" t="s">
        <v>2064</v>
      </c>
      <c r="B35" s="292"/>
      <c r="C35" s="293"/>
      <c r="D35" s="293"/>
      <c r="E35" s="294">
        <v>11</v>
      </c>
      <c r="F35" s="295">
        <f t="shared" si="1"/>
        <v>33</v>
      </c>
      <c r="G35" s="267">
        <f t="shared" si="2"/>
        <v>2.0625</v>
      </c>
      <c r="H35" s="268" t="s">
        <v>2058</v>
      </c>
      <c r="I35" s="270">
        <f t="shared" si="5"/>
        <v>462</v>
      </c>
      <c r="J35" s="296">
        <v>42</v>
      </c>
      <c r="K35" s="297"/>
      <c r="L35" s="298" t="s">
        <v>2064</v>
      </c>
      <c r="M35" s="299"/>
      <c r="N35" s="300"/>
      <c r="O35" s="300"/>
      <c r="P35" s="273" t="str">
        <f t="shared" si="4"/>
        <v>11 btls</v>
      </c>
      <c r="Q35" s="301"/>
      <c r="R35" s="302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3"/>
      <c r="AR35" s="302"/>
      <c r="AS35" s="302"/>
      <c r="AT35" s="302"/>
      <c r="AU35" s="302"/>
      <c r="AV35" s="302"/>
      <c r="AW35" s="302"/>
      <c r="AX35" s="302"/>
      <c r="AY35" s="302"/>
      <c r="AZ35" s="302"/>
      <c r="BA35" s="302"/>
      <c r="BB35" s="302"/>
      <c r="BC35" s="302"/>
      <c r="BD35" s="302"/>
    </row>
    <row r="36" spans="1:56" s="304" customFormat="1" ht="34.5" customHeight="1" x14ac:dyDescent="0.5">
      <c r="A36" s="292" t="s">
        <v>2065</v>
      </c>
      <c r="B36" s="292"/>
      <c r="C36" s="293"/>
      <c r="D36" s="293"/>
      <c r="E36" s="294">
        <v>21</v>
      </c>
      <c r="F36" s="295">
        <f t="shared" si="1"/>
        <v>63</v>
      </c>
      <c r="G36" s="267">
        <f t="shared" si="2"/>
        <v>3.9375</v>
      </c>
      <c r="H36" s="268" t="s">
        <v>2063</v>
      </c>
      <c r="I36" s="270">
        <f t="shared" si="5"/>
        <v>882</v>
      </c>
      <c r="J36" s="296">
        <v>42</v>
      </c>
      <c r="K36" s="297"/>
      <c r="L36" s="298" t="s">
        <v>2065</v>
      </c>
      <c r="M36" s="299"/>
      <c r="N36" s="300"/>
      <c r="O36" s="300"/>
      <c r="P36" s="273" t="str">
        <f t="shared" si="4"/>
        <v>21 btls</v>
      </c>
      <c r="Q36" s="301"/>
      <c r="R36" s="302"/>
      <c r="S36" s="302"/>
      <c r="T36" s="302"/>
      <c r="U36" s="302"/>
      <c r="V36" s="302"/>
      <c r="W36" s="302"/>
      <c r="X36" s="302"/>
      <c r="Y36" s="302"/>
      <c r="Z36" s="302"/>
      <c r="AA36" s="302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3"/>
      <c r="AR36" s="302"/>
      <c r="AS36" s="302"/>
      <c r="AT36" s="302"/>
      <c r="AU36" s="302"/>
      <c r="AV36" s="302"/>
      <c r="AW36" s="302"/>
      <c r="AX36" s="302"/>
      <c r="AY36" s="302"/>
      <c r="AZ36" s="302"/>
      <c r="BA36" s="302"/>
      <c r="BB36" s="302"/>
      <c r="BC36" s="302"/>
      <c r="BD36" s="302"/>
    </row>
    <row r="37" spans="1:56" s="304" customFormat="1" ht="34.5" customHeight="1" x14ac:dyDescent="0.5">
      <c r="A37" s="292" t="s">
        <v>2066</v>
      </c>
      <c r="B37" s="292"/>
      <c r="C37" s="293"/>
      <c r="D37" s="293"/>
      <c r="E37" s="294">
        <v>3</v>
      </c>
      <c r="F37" s="295">
        <f t="shared" si="1"/>
        <v>9</v>
      </c>
      <c r="G37" s="267">
        <f t="shared" si="2"/>
        <v>0.5625</v>
      </c>
      <c r="H37" s="268" t="s">
        <v>2067</v>
      </c>
      <c r="I37" s="270">
        <f t="shared" si="5"/>
        <v>126</v>
      </c>
      <c r="J37" s="296">
        <v>42</v>
      </c>
      <c r="K37" s="297"/>
      <c r="L37" s="298" t="s">
        <v>2066</v>
      </c>
      <c r="M37" s="299"/>
      <c r="N37" s="300"/>
      <c r="O37" s="300"/>
      <c r="P37" s="273" t="str">
        <f t="shared" si="4"/>
        <v>3 btls</v>
      </c>
      <c r="Q37" s="301"/>
      <c r="R37" s="302"/>
      <c r="S37" s="302"/>
      <c r="T37" s="302"/>
      <c r="U37" s="302"/>
      <c r="V37" s="302"/>
      <c r="W37" s="302"/>
      <c r="X37" s="302"/>
      <c r="Y37" s="302"/>
      <c r="Z37" s="302"/>
      <c r="AA37" s="302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3"/>
      <c r="AR37" s="302"/>
      <c r="AS37" s="302"/>
      <c r="AT37" s="302"/>
      <c r="AU37" s="302"/>
      <c r="AV37" s="302"/>
      <c r="AW37" s="302"/>
      <c r="AX37" s="302"/>
      <c r="AY37" s="302"/>
      <c r="AZ37" s="302"/>
      <c r="BA37" s="302"/>
      <c r="BB37" s="302"/>
      <c r="BC37" s="302"/>
      <c r="BD37" s="302"/>
    </row>
    <row r="38" spans="1:56" ht="34.5" customHeight="1" x14ac:dyDescent="0.5">
      <c r="A38" s="306"/>
      <c r="B38" s="275"/>
      <c r="C38" s="306"/>
      <c r="D38" s="306"/>
      <c r="E38" s="307">
        <v>0</v>
      </c>
      <c r="F38" s="308"/>
      <c r="G38" s="309"/>
      <c r="H38" s="310"/>
      <c r="I38" s="311"/>
      <c r="J38" s="311"/>
      <c r="K38" s="257"/>
      <c r="L38" s="312"/>
      <c r="M38" s="299"/>
      <c r="N38" s="300"/>
      <c r="O38" s="300"/>
      <c r="P38" s="300"/>
      <c r="Q38" s="301"/>
      <c r="AQ38" s="291"/>
    </row>
    <row r="39" spans="1:56" ht="34.5" customHeight="1" x14ac:dyDescent="0.5">
      <c r="A39" s="313" t="s">
        <v>2068</v>
      </c>
      <c r="B39" s="306">
        <f>SUM(B5:B38)</f>
        <v>30</v>
      </c>
      <c r="C39" s="306">
        <f>SUM(C5:C38)</f>
        <v>49</v>
      </c>
      <c r="D39" s="306">
        <f>SUM(D5:D38)</f>
        <v>32</v>
      </c>
      <c r="E39" s="307">
        <f>SUM(E5:E38)</f>
        <v>216</v>
      </c>
      <c r="F39" s="314">
        <f>SUM(F5:F38)</f>
        <v>648</v>
      </c>
      <c r="G39" s="315">
        <f>SUM(G5:G37)</f>
        <v>40.5</v>
      </c>
      <c r="H39" s="310"/>
      <c r="I39" s="311"/>
      <c r="J39" s="311"/>
      <c r="K39" s="257"/>
      <c r="L39" s="289"/>
      <c r="M39" s="224"/>
      <c r="N39" s="289"/>
      <c r="O39" s="289"/>
      <c r="P39" s="289"/>
      <c r="AQ39" s="291"/>
    </row>
    <row r="40" spans="1:56" ht="34.5" customHeight="1" x14ac:dyDescent="0.5">
      <c r="A40" s="316" t="s">
        <v>2069</v>
      </c>
      <c r="B40" s="317"/>
      <c r="C40" s="317"/>
      <c r="D40" s="317"/>
      <c r="E40" s="318"/>
      <c r="F40" s="348" t="s">
        <v>2070</v>
      </c>
      <c r="G40" s="348"/>
      <c r="H40" s="349" t="s">
        <v>2071</v>
      </c>
      <c r="I40" s="319"/>
      <c r="J40" s="320"/>
      <c r="K40" s="257"/>
      <c r="L40" s="244" t="s">
        <v>2072</v>
      </c>
      <c r="M40" s="289"/>
      <c r="N40" s="289"/>
      <c r="O40" s="289"/>
      <c r="P40" s="289"/>
      <c r="AQ40" s="291"/>
    </row>
    <row r="41" spans="1:56" ht="34.5" customHeight="1" x14ac:dyDescent="0.45">
      <c r="A41" s="321"/>
      <c r="B41" s="340"/>
      <c r="C41" s="340"/>
      <c r="D41" s="340"/>
      <c r="E41" s="340"/>
      <c r="F41" s="348"/>
      <c r="G41" s="348"/>
      <c r="H41" s="349"/>
      <c r="I41" s="322"/>
      <c r="J41" s="323"/>
      <c r="K41" s="257"/>
      <c r="L41" s="220" t="s">
        <v>2073</v>
      </c>
      <c r="M41" s="289"/>
      <c r="N41" s="289"/>
      <c r="O41" s="289"/>
      <c r="P41" s="289"/>
      <c r="Q41" s="350"/>
      <c r="AQ41" s="291"/>
    </row>
    <row r="42" spans="1:56" ht="34.5" customHeight="1" x14ac:dyDescent="0.45">
      <c r="A42" s="324"/>
      <c r="B42" s="351"/>
      <c r="C42" s="351"/>
      <c r="D42" s="351"/>
      <c r="E42" s="351"/>
      <c r="F42" s="348"/>
      <c r="G42" s="348"/>
      <c r="H42" s="349"/>
      <c r="I42" s="325"/>
      <c r="J42" s="326"/>
      <c r="K42" s="257"/>
      <c r="L42" s="327" t="s">
        <v>2074</v>
      </c>
      <c r="M42" s="220"/>
      <c r="N42" s="220"/>
      <c r="O42" s="220"/>
      <c r="P42" s="220"/>
      <c r="Q42" s="350"/>
      <c r="AQ42" s="291"/>
    </row>
    <row r="43" spans="1:56" ht="34.5" customHeight="1" x14ac:dyDescent="0.3">
      <c r="L43" s="328" t="s">
        <v>2075</v>
      </c>
      <c r="M43" s="220"/>
      <c r="N43" s="220"/>
      <c r="O43" s="220"/>
      <c r="P43" s="220"/>
      <c r="Q43" s="350"/>
      <c r="AQ43" s="291"/>
    </row>
    <row r="44" spans="1:56" ht="34.5" customHeight="1" x14ac:dyDescent="0.3">
      <c r="AQ44" s="291"/>
    </row>
    <row r="45" spans="1:56" ht="15.75" customHeight="1" x14ac:dyDescent="0.3">
      <c r="AQ45" s="291"/>
    </row>
    <row r="46" spans="1:56" x14ac:dyDescent="0.3">
      <c r="AQ46" s="291"/>
    </row>
    <row r="47" spans="1:56" x14ac:dyDescent="0.3">
      <c r="AQ47" s="291"/>
    </row>
    <row r="48" spans="1:56" x14ac:dyDescent="0.3">
      <c r="AQ48" s="291"/>
    </row>
    <row r="49" spans="12:52" x14ac:dyDescent="0.3">
      <c r="AQ49" s="291"/>
    </row>
    <row r="50" spans="12:52" x14ac:dyDescent="0.3">
      <c r="AQ50" s="291"/>
    </row>
    <row r="51" spans="12:52" x14ac:dyDescent="0.3">
      <c r="AQ51" s="291"/>
    </row>
    <row r="52" spans="12:52" x14ac:dyDescent="0.3">
      <c r="AQ52" s="291"/>
    </row>
    <row r="53" spans="12:52" x14ac:dyDescent="0.3">
      <c r="AQ53" s="291"/>
    </row>
    <row r="54" spans="12:52" x14ac:dyDescent="0.3">
      <c r="AQ54" s="291"/>
    </row>
    <row r="55" spans="12:52" x14ac:dyDescent="0.3">
      <c r="AQ55" s="291"/>
    </row>
    <row r="56" spans="12:52" x14ac:dyDescent="0.3">
      <c r="AQ56" s="291"/>
    </row>
    <row r="57" spans="12:52" ht="15.5" x14ac:dyDescent="0.35">
      <c r="L57" s="223"/>
      <c r="AQ57" s="291"/>
    </row>
    <row r="58" spans="12:52" ht="15.5" x14ac:dyDescent="0.35">
      <c r="L58" s="223"/>
      <c r="AQ58" s="291"/>
    </row>
    <row r="59" spans="12:52" ht="15.5" x14ac:dyDescent="0.35">
      <c r="L59" s="223"/>
      <c r="AQ59" s="291"/>
    </row>
    <row r="60" spans="12:52" x14ac:dyDescent="0.3">
      <c r="L60" s="329">
        <f>604/16</f>
        <v>37.75</v>
      </c>
      <c r="AQ60" s="291"/>
    </row>
    <row r="61" spans="12:52" x14ac:dyDescent="0.3">
      <c r="L61" s="329">
        <f>0.75*16</f>
        <v>12</v>
      </c>
      <c r="AQ61" s="291"/>
    </row>
    <row r="62" spans="12:52" ht="15.5" x14ac:dyDescent="0.35">
      <c r="L62" s="223"/>
      <c r="AQ62" s="291"/>
    </row>
    <row r="63" spans="12:52" ht="15.5" x14ac:dyDescent="0.35">
      <c r="L63" s="223"/>
      <c r="AQ63" s="291"/>
    </row>
    <row r="64" spans="12:52" x14ac:dyDescent="0.3">
      <c r="L64" s="329">
        <f>7546/16</f>
        <v>471.625</v>
      </c>
      <c r="AQ64" s="291"/>
    </row>
    <row r="65" spans="12:55" x14ac:dyDescent="0.3">
      <c r="L65" s="329">
        <f>0.625*16</f>
        <v>10</v>
      </c>
      <c r="AQ65" s="291"/>
    </row>
    <row r="66" spans="12:55" x14ac:dyDescent="0.3">
      <c r="L66" s="289"/>
      <c r="AQ66" s="291"/>
    </row>
    <row r="67" spans="12:55" x14ac:dyDescent="0.3">
      <c r="AQ67" s="291"/>
    </row>
    <row r="68" spans="12:55" x14ac:dyDescent="0.3">
      <c r="AQ68" s="291"/>
    </row>
    <row r="69" spans="12:55" x14ac:dyDescent="0.3">
      <c r="AQ69" s="291"/>
    </row>
    <row r="70" spans="12:55" x14ac:dyDescent="0.3">
      <c r="AQ70" s="291"/>
    </row>
    <row r="71" spans="12:55" x14ac:dyDescent="0.3">
      <c r="AQ71" s="291"/>
    </row>
    <row r="72" spans="12:55" x14ac:dyDescent="0.3">
      <c r="AQ72" s="291"/>
    </row>
    <row r="73" spans="12:55" x14ac:dyDescent="0.3">
      <c r="AQ73" s="291"/>
    </row>
    <row r="74" spans="12:55" x14ac:dyDescent="0.3">
      <c r="AQ74" s="291"/>
    </row>
  </sheetData>
  <mergeCells count="14">
    <mergeCell ref="Q41:Q43"/>
    <mergeCell ref="B42:E42"/>
    <mergeCell ref="B3:D3"/>
    <mergeCell ref="I3:I4"/>
    <mergeCell ref="J3:J4"/>
    <mergeCell ref="L3:M3"/>
    <mergeCell ref="F40:G42"/>
    <mergeCell ref="H40:H42"/>
    <mergeCell ref="B41:E41"/>
    <mergeCell ref="A1:B1"/>
    <mergeCell ref="A2:B2"/>
    <mergeCell ref="I2:K2"/>
    <mergeCell ref="L2:M2"/>
    <mergeCell ref="AN2:AP2"/>
  </mergeCells>
  <conditionalFormatting sqref="R4:AP27 AR4:BC27 AR32:BC74 M44:AP74">
    <cfRule type="cellIs" dxfId="2" priority="4" operator="greaterThan">
      <formula>1</formula>
    </cfRule>
  </conditionalFormatting>
  <conditionalFormatting sqref="R32:AP43">
    <cfRule type="cellIs" dxfId="1" priority="3" operator="greaterThan">
      <formula>1</formula>
    </cfRule>
  </conditionalFormatting>
  <conditionalFormatting sqref="T28:AR31 AT28:BE31">
    <cfRule type="cellIs" dxfId="0" priority="2" operator="greaterThan">
      <formula>1</formula>
    </cfRule>
  </conditionalFormatting>
  <pageMargins left="0.25" right="0.25" top="0.75" bottom="0.75" header="0.511811023622047" footer="0.511811023622047"/>
  <pageSetup scale="44" orientation="portrait" horizontalDpi="300" verticalDpi="300"/>
  <colBreaks count="1" manualBreakCount="1">
    <brk id="11" max="1048575" man="1"/>
  </colBreak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99"/>
  <sheetViews>
    <sheetView tabSelected="1" topLeftCell="B215" zoomScaleNormal="100" workbookViewId="0">
      <selection activeCell="H255" sqref="H255"/>
    </sheetView>
  </sheetViews>
  <sheetFormatPr defaultColWidth="10.1640625" defaultRowHeight="14" x14ac:dyDescent="0.3"/>
  <cols>
    <col min="1" max="1" width="29.25" customWidth="1"/>
    <col min="2" max="2" width="65" customWidth="1"/>
    <col min="3" max="3" width="41.6640625" customWidth="1"/>
    <col min="6" max="6" width="68.83203125" style="330" customWidth="1"/>
    <col min="8" max="8" width="10.1640625" style="330"/>
  </cols>
  <sheetData>
    <row r="1" spans="1:8" x14ac:dyDescent="0.3">
      <c r="A1" t="s">
        <v>0</v>
      </c>
    </row>
    <row r="2" spans="1:8" x14ac:dyDescent="0.3">
      <c r="A2" t="s">
        <v>2</v>
      </c>
    </row>
    <row r="3" spans="1:8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s="330" t="s">
        <v>9</v>
      </c>
      <c r="G3" t="s">
        <v>10</v>
      </c>
    </row>
    <row r="4" spans="1:8" x14ac:dyDescent="0.3">
      <c r="A4" t="s">
        <v>12</v>
      </c>
      <c r="B4" t="s">
        <v>1134</v>
      </c>
      <c r="C4" t="s">
        <v>1525</v>
      </c>
      <c r="D4" t="s">
        <v>13</v>
      </c>
      <c r="E4">
        <v>160</v>
      </c>
      <c r="F4" s="330" t="s">
        <v>527</v>
      </c>
      <c r="G4">
        <v>176</v>
      </c>
      <c r="H4" s="330" t="s">
        <v>528</v>
      </c>
    </row>
    <row r="5" spans="1:8" x14ac:dyDescent="0.3">
      <c r="A5" t="s">
        <v>12</v>
      </c>
      <c r="B5" t="s">
        <v>1134</v>
      </c>
      <c r="C5" t="s">
        <v>1525</v>
      </c>
      <c r="D5" t="s">
        <v>14</v>
      </c>
      <c r="E5">
        <v>65</v>
      </c>
      <c r="F5" s="330" t="s">
        <v>529</v>
      </c>
      <c r="G5">
        <v>71.5</v>
      </c>
      <c r="H5" s="330" t="s">
        <v>530</v>
      </c>
    </row>
    <row r="6" spans="1:8" x14ac:dyDescent="0.3">
      <c r="A6" t="s">
        <v>15</v>
      </c>
      <c r="B6" t="s">
        <v>1160</v>
      </c>
      <c r="C6" t="s">
        <v>1567</v>
      </c>
      <c r="D6" t="s">
        <v>16</v>
      </c>
      <c r="E6">
        <v>265</v>
      </c>
      <c r="F6" s="330" t="s">
        <v>531</v>
      </c>
      <c r="G6">
        <v>291.5</v>
      </c>
      <c r="H6" s="330" t="s">
        <v>532</v>
      </c>
    </row>
    <row r="7" spans="1:8" x14ac:dyDescent="0.3">
      <c r="A7" t="s">
        <v>19</v>
      </c>
      <c r="B7" t="s">
        <v>1151</v>
      </c>
      <c r="C7" t="s">
        <v>1599</v>
      </c>
      <c r="D7" t="s">
        <v>20</v>
      </c>
      <c r="E7">
        <v>262</v>
      </c>
      <c r="F7" s="330" t="s">
        <v>954</v>
      </c>
      <c r="G7">
        <v>288.2</v>
      </c>
      <c r="H7" s="330" t="s">
        <v>534</v>
      </c>
    </row>
    <row r="8" spans="1:8" x14ac:dyDescent="0.3">
      <c r="A8" t="s">
        <v>192</v>
      </c>
      <c r="B8" t="s">
        <v>1026</v>
      </c>
      <c r="C8" t="s">
        <v>1414</v>
      </c>
      <c r="D8" t="s">
        <v>133</v>
      </c>
      <c r="E8">
        <v>76</v>
      </c>
      <c r="F8" s="330" t="s">
        <v>535</v>
      </c>
      <c r="G8">
        <v>83.6</v>
      </c>
      <c r="H8" s="330" t="s">
        <v>536</v>
      </c>
    </row>
    <row r="9" spans="1:8" x14ac:dyDescent="0.3">
      <c r="A9" t="s">
        <v>24</v>
      </c>
      <c r="B9" t="s">
        <v>1177</v>
      </c>
      <c r="C9" t="s">
        <v>1586</v>
      </c>
      <c r="D9" t="s">
        <v>25</v>
      </c>
      <c r="E9">
        <v>340</v>
      </c>
      <c r="F9" s="330" t="s">
        <v>537</v>
      </c>
      <c r="G9">
        <v>374</v>
      </c>
      <c r="H9" s="330" t="s">
        <v>538</v>
      </c>
    </row>
    <row r="10" spans="1:8" x14ac:dyDescent="0.3">
      <c r="D10" t="s">
        <v>26</v>
      </c>
      <c r="E10">
        <v>1168</v>
      </c>
    </row>
    <row r="12" spans="1:8" x14ac:dyDescent="0.3">
      <c r="A12" t="s">
        <v>0</v>
      </c>
    </row>
    <row r="13" spans="1:8" x14ac:dyDescent="0.3">
      <c r="A13" t="s">
        <v>29</v>
      </c>
    </row>
    <row r="14" spans="1:8" x14ac:dyDescent="0.3">
      <c r="A14" t="s">
        <v>4</v>
      </c>
      <c r="B14" t="s">
        <v>5</v>
      </c>
      <c r="C14" t="s">
        <v>6</v>
      </c>
      <c r="D14" t="s">
        <v>7</v>
      </c>
      <c r="E14" t="s">
        <v>8</v>
      </c>
      <c r="F14" s="330" t="s">
        <v>9</v>
      </c>
      <c r="G14" t="s">
        <v>10</v>
      </c>
    </row>
    <row r="15" spans="1:8" x14ac:dyDescent="0.3">
      <c r="A15" t="s">
        <v>32</v>
      </c>
      <c r="B15" t="s">
        <v>1293</v>
      </c>
      <c r="C15" t="s">
        <v>1410</v>
      </c>
      <c r="D15" t="s">
        <v>33</v>
      </c>
      <c r="E15">
        <v>240</v>
      </c>
      <c r="F15" s="330" t="s">
        <v>34</v>
      </c>
      <c r="G15">
        <v>264</v>
      </c>
    </row>
    <row r="16" spans="1:8" x14ac:dyDescent="0.3">
      <c r="A16" t="s">
        <v>35</v>
      </c>
      <c r="B16" t="s">
        <v>1021</v>
      </c>
      <c r="C16" t="s">
        <v>1410</v>
      </c>
      <c r="D16" t="s">
        <v>36</v>
      </c>
      <c r="E16">
        <v>75</v>
      </c>
      <c r="F16" s="330" t="s">
        <v>34</v>
      </c>
      <c r="G16">
        <v>82.5</v>
      </c>
    </row>
    <row r="17" spans="1:8" x14ac:dyDescent="0.3">
      <c r="A17" t="s">
        <v>37</v>
      </c>
      <c r="B17" t="s">
        <v>1240</v>
      </c>
      <c r="C17" t="s">
        <v>1410</v>
      </c>
      <c r="D17" t="s">
        <v>38</v>
      </c>
      <c r="E17">
        <v>80</v>
      </c>
      <c r="F17" s="330" t="s">
        <v>34</v>
      </c>
      <c r="G17">
        <v>88</v>
      </c>
    </row>
    <row r="18" spans="1:8" x14ac:dyDescent="0.3">
      <c r="A18" t="s">
        <v>39</v>
      </c>
      <c r="B18" t="s">
        <v>1953</v>
      </c>
      <c r="C18" t="s">
        <v>1410</v>
      </c>
      <c r="D18" t="s">
        <v>40</v>
      </c>
      <c r="E18">
        <v>82</v>
      </c>
      <c r="F18" s="330" t="s">
        <v>34</v>
      </c>
      <c r="G18">
        <v>90.2</v>
      </c>
    </row>
    <row r="19" spans="1:8" x14ac:dyDescent="0.3">
      <c r="A19" t="s">
        <v>41</v>
      </c>
      <c r="B19" t="s">
        <v>1254</v>
      </c>
      <c r="C19" t="s">
        <v>1410</v>
      </c>
      <c r="D19" t="s">
        <v>42</v>
      </c>
      <c r="E19">
        <v>37</v>
      </c>
      <c r="F19" s="330" t="s">
        <v>34</v>
      </c>
      <c r="G19">
        <v>40.700000000000003</v>
      </c>
    </row>
    <row r="20" spans="1:8" x14ac:dyDescent="0.3">
      <c r="A20" t="s">
        <v>43</v>
      </c>
      <c r="B20" t="s">
        <v>1326</v>
      </c>
      <c r="C20" t="s">
        <v>1863</v>
      </c>
      <c r="D20" t="s">
        <v>44</v>
      </c>
      <c r="E20">
        <v>55</v>
      </c>
      <c r="F20" s="330" t="s">
        <v>539</v>
      </c>
      <c r="G20">
        <v>60.5</v>
      </c>
      <c r="H20" s="330" t="s">
        <v>540</v>
      </c>
    </row>
    <row r="21" spans="1:8" x14ac:dyDescent="0.3">
      <c r="A21" t="s">
        <v>47</v>
      </c>
      <c r="B21" t="s">
        <v>1150</v>
      </c>
      <c r="C21" t="s">
        <v>1863</v>
      </c>
      <c r="D21" t="s">
        <v>48</v>
      </c>
      <c r="E21">
        <v>50</v>
      </c>
      <c r="F21" s="330" t="s">
        <v>541</v>
      </c>
      <c r="G21">
        <v>55</v>
      </c>
      <c r="H21" s="330">
        <v>50</v>
      </c>
    </row>
    <row r="22" spans="1:8" x14ac:dyDescent="0.3">
      <c r="A22" t="s">
        <v>542</v>
      </c>
      <c r="B22" t="s">
        <v>1001</v>
      </c>
      <c r="C22" t="s">
        <v>1742</v>
      </c>
      <c r="D22" t="s">
        <v>53</v>
      </c>
      <c r="E22">
        <v>155</v>
      </c>
      <c r="F22" s="330" t="s">
        <v>527</v>
      </c>
      <c r="G22">
        <v>170.5</v>
      </c>
      <c r="H22" s="330" t="s">
        <v>543</v>
      </c>
    </row>
    <row r="23" spans="1:8" x14ac:dyDescent="0.3">
      <c r="A23" t="s">
        <v>72</v>
      </c>
      <c r="B23" t="s">
        <v>1141</v>
      </c>
      <c r="C23" t="s">
        <v>1523</v>
      </c>
      <c r="D23" t="s">
        <v>73</v>
      </c>
      <c r="E23">
        <v>15</v>
      </c>
      <c r="F23" s="330" t="s">
        <v>544</v>
      </c>
      <c r="G23">
        <v>16.5</v>
      </c>
      <c r="H23" s="330">
        <v>15</v>
      </c>
    </row>
    <row r="24" spans="1:8" x14ac:dyDescent="0.3">
      <c r="A24" t="s">
        <v>234</v>
      </c>
      <c r="B24" t="s">
        <v>990</v>
      </c>
      <c r="C24" t="s">
        <v>1599</v>
      </c>
      <c r="D24" t="s">
        <v>95</v>
      </c>
      <c r="E24">
        <v>103</v>
      </c>
      <c r="F24" s="330" t="s">
        <v>955</v>
      </c>
      <c r="G24">
        <v>113.3</v>
      </c>
      <c r="H24" s="330">
        <v>103</v>
      </c>
    </row>
    <row r="25" spans="1:8" x14ac:dyDescent="0.3">
      <c r="A25" t="s">
        <v>234</v>
      </c>
      <c r="B25" t="s">
        <v>990</v>
      </c>
      <c r="C25" t="s">
        <v>1599</v>
      </c>
      <c r="D25" t="s">
        <v>126</v>
      </c>
      <c r="E25">
        <v>125</v>
      </c>
      <c r="F25" s="330" t="s">
        <v>956</v>
      </c>
      <c r="G25">
        <v>137.5</v>
      </c>
      <c r="H25" s="330">
        <v>125</v>
      </c>
    </row>
    <row r="26" spans="1:8" x14ac:dyDescent="0.3">
      <c r="A26" t="s">
        <v>74</v>
      </c>
      <c r="B26" t="s">
        <v>1097</v>
      </c>
      <c r="C26" t="s">
        <v>1470</v>
      </c>
      <c r="D26" t="s">
        <v>75</v>
      </c>
      <c r="E26">
        <v>245</v>
      </c>
      <c r="F26" s="330" t="s">
        <v>531</v>
      </c>
      <c r="G26">
        <v>269.5</v>
      </c>
      <c r="H26" s="330" t="s">
        <v>547</v>
      </c>
    </row>
    <row r="27" spans="1:8" x14ac:dyDescent="0.3">
      <c r="A27" t="s">
        <v>54</v>
      </c>
      <c r="B27" t="s">
        <v>1101</v>
      </c>
      <c r="C27" t="s">
        <v>1468</v>
      </c>
      <c r="D27" t="s">
        <v>55</v>
      </c>
      <c r="E27">
        <v>150</v>
      </c>
      <c r="F27" s="330" t="s">
        <v>548</v>
      </c>
      <c r="G27">
        <v>165</v>
      </c>
      <c r="H27" s="330" t="s">
        <v>549</v>
      </c>
    </row>
    <row r="28" spans="1:8" x14ac:dyDescent="0.3">
      <c r="A28" t="s">
        <v>54</v>
      </c>
      <c r="B28" t="s">
        <v>1101</v>
      </c>
      <c r="C28" t="s">
        <v>1468</v>
      </c>
      <c r="D28" t="s">
        <v>56</v>
      </c>
      <c r="E28">
        <v>250</v>
      </c>
      <c r="F28" s="330" t="s">
        <v>531</v>
      </c>
      <c r="G28">
        <v>275</v>
      </c>
      <c r="H28" s="330" t="s">
        <v>550</v>
      </c>
    </row>
    <row r="29" spans="1:8" x14ac:dyDescent="0.3">
      <c r="D29" t="s">
        <v>57</v>
      </c>
      <c r="E29">
        <v>1148</v>
      </c>
    </row>
    <row r="31" spans="1:8" x14ac:dyDescent="0.3">
      <c r="A31" t="s">
        <v>0</v>
      </c>
    </row>
    <row r="32" spans="1:8" x14ac:dyDescent="0.3">
      <c r="A32" t="s">
        <v>59</v>
      </c>
    </row>
    <row r="33" spans="1:8" x14ac:dyDescent="0.3">
      <c r="A33" t="s">
        <v>4</v>
      </c>
      <c r="B33" t="s">
        <v>5</v>
      </c>
      <c r="C33" t="s">
        <v>6</v>
      </c>
      <c r="D33" t="s">
        <v>7</v>
      </c>
      <c r="E33" t="s">
        <v>8</v>
      </c>
      <c r="F33" s="330" t="s">
        <v>9</v>
      </c>
      <c r="G33" t="s">
        <v>10</v>
      </c>
    </row>
    <row r="34" spans="1:8" x14ac:dyDescent="0.3">
      <c r="A34" t="s">
        <v>60</v>
      </c>
      <c r="B34" t="s">
        <v>1296</v>
      </c>
      <c r="C34" t="s">
        <v>1410</v>
      </c>
      <c r="D34" t="s">
        <v>61</v>
      </c>
      <c r="E34">
        <v>222</v>
      </c>
      <c r="F34" s="330" t="s">
        <v>34</v>
      </c>
      <c r="G34">
        <v>244.2</v>
      </c>
    </row>
    <row r="35" spans="1:8" x14ac:dyDescent="0.3">
      <c r="A35" t="s">
        <v>66</v>
      </c>
      <c r="B35" t="s">
        <v>1300</v>
      </c>
      <c r="C35" t="s">
        <v>1429</v>
      </c>
      <c r="D35" t="s">
        <v>67</v>
      </c>
      <c r="E35">
        <v>135</v>
      </c>
      <c r="F35" s="330" t="s">
        <v>552</v>
      </c>
      <c r="G35">
        <v>148.5</v>
      </c>
      <c r="H35" s="330" t="s">
        <v>553</v>
      </c>
    </row>
    <row r="36" spans="1:8" x14ac:dyDescent="0.3">
      <c r="A36" t="s">
        <v>495</v>
      </c>
      <c r="B36" t="s">
        <v>1113</v>
      </c>
      <c r="C36" t="s">
        <v>1466</v>
      </c>
      <c r="D36" t="s">
        <v>157</v>
      </c>
      <c r="E36">
        <v>230</v>
      </c>
      <c r="F36" s="330" t="s">
        <v>554</v>
      </c>
      <c r="G36">
        <v>253</v>
      </c>
      <c r="H36" s="330" t="s">
        <v>555</v>
      </c>
    </row>
    <row r="37" spans="1:8" x14ac:dyDescent="0.3">
      <c r="A37" t="s">
        <v>70</v>
      </c>
      <c r="B37" t="s">
        <v>1184</v>
      </c>
      <c r="C37" t="s">
        <v>1618</v>
      </c>
      <c r="D37" t="s">
        <v>71</v>
      </c>
      <c r="E37">
        <v>240</v>
      </c>
      <c r="F37" s="330" t="s">
        <v>556</v>
      </c>
      <c r="G37">
        <v>264</v>
      </c>
      <c r="H37" s="330" t="s">
        <v>557</v>
      </c>
    </row>
    <row r="38" spans="1:8" x14ac:dyDescent="0.3">
      <c r="A38" t="s">
        <v>443</v>
      </c>
      <c r="B38" t="s">
        <v>1057</v>
      </c>
      <c r="C38" t="s">
        <v>1431</v>
      </c>
      <c r="D38" t="s">
        <v>23</v>
      </c>
      <c r="E38">
        <v>40</v>
      </c>
      <c r="F38" s="330" t="s">
        <v>558</v>
      </c>
      <c r="G38">
        <v>44</v>
      </c>
      <c r="H38" s="330" t="s">
        <v>559</v>
      </c>
    </row>
    <row r="39" spans="1:8" x14ac:dyDescent="0.3">
      <c r="A39" t="s">
        <v>68</v>
      </c>
      <c r="B39" t="s">
        <v>1266</v>
      </c>
      <c r="C39" t="s">
        <v>1824</v>
      </c>
      <c r="D39" t="s">
        <v>69</v>
      </c>
      <c r="E39">
        <v>23</v>
      </c>
      <c r="F39" s="330" t="s">
        <v>560</v>
      </c>
      <c r="G39">
        <v>25.3</v>
      </c>
      <c r="H39" s="330">
        <v>23</v>
      </c>
    </row>
    <row r="40" spans="1:8" x14ac:dyDescent="0.3">
      <c r="A40" t="s">
        <v>17</v>
      </c>
      <c r="B40" t="s">
        <v>1340</v>
      </c>
      <c r="C40" t="s">
        <v>1883</v>
      </c>
      <c r="D40" t="s">
        <v>18</v>
      </c>
      <c r="E40">
        <v>80</v>
      </c>
      <c r="F40" s="330" t="s">
        <v>533</v>
      </c>
      <c r="G40">
        <v>88</v>
      </c>
      <c r="H40" s="330" t="s">
        <v>561</v>
      </c>
    </row>
    <row r="41" spans="1:8" x14ac:dyDescent="0.3">
      <c r="A41" t="s">
        <v>76</v>
      </c>
      <c r="B41" t="s">
        <v>1230</v>
      </c>
      <c r="C41" t="s">
        <v>1985</v>
      </c>
      <c r="D41" t="s">
        <v>77</v>
      </c>
      <c r="E41">
        <v>122</v>
      </c>
      <c r="F41" s="330" t="s">
        <v>562</v>
      </c>
      <c r="G41">
        <v>134.19999999999999</v>
      </c>
      <c r="H41" s="330" t="s">
        <v>563</v>
      </c>
    </row>
    <row r="42" spans="1:8" x14ac:dyDescent="0.3">
      <c r="D42" t="s">
        <v>57</v>
      </c>
      <c r="E42">
        <v>1092</v>
      </c>
    </row>
    <row r="44" spans="1:8" x14ac:dyDescent="0.3">
      <c r="A44" t="s">
        <v>78</v>
      </c>
    </row>
    <row r="45" spans="1:8" x14ac:dyDescent="0.3">
      <c r="A45" t="s">
        <v>2</v>
      </c>
    </row>
    <row r="46" spans="1:8" x14ac:dyDescent="0.3">
      <c r="A46" t="s">
        <v>4</v>
      </c>
      <c r="B46" t="s">
        <v>5</v>
      </c>
      <c r="C46" t="s">
        <v>6</v>
      </c>
      <c r="D46" t="s">
        <v>7</v>
      </c>
      <c r="E46" t="s">
        <v>8</v>
      </c>
      <c r="F46" s="330" t="s">
        <v>9</v>
      </c>
      <c r="G46" t="s">
        <v>10</v>
      </c>
    </row>
    <row r="47" spans="1:8" x14ac:dyDescent="0.3">
      <c r="A47" t="s">
        <v>79</v>
      </c>
      <c r="B47" t="s">
        <v>1129</v>
      </c>
      <c r="C47" t="s">
        <v>1905</v>
      </c>
      <c r="D47" t="s">
        <v>80</v>
      </c>
      <c r="E47">
        <v>120</v>
      </c>
      <c r="F47" s="330" t="s">
        <v>34</v>
      </c>
      <c r="G47">
        <v>132</v>
      </c>
    </row>
    <row r="48" spans="1:8" x14ac:dyDescent="0.3">
      <c r="A48" t="s">
        <v>79</v>
      </c>
      <c r="B48" t="s">
        <v>1129</v>
      </c>
      <c r="C48" t="s">
        <v>1904</v>
      </c>
      <c r="D48" t="s">
        <v>81</v>
      </c>
      <c r="E48">
        <v>56</v>
      </c>
      <c r="F48" s="330" t="s">
        <v>34</v>
      </c>
      <c r="G48">
        <v>61.6</v>
      </c>
    </row>
    <row r="49" spans="1:8" x14ac:dyDescent="0.3">
      <c r="A49" t="s">
        <v>79</v>
      </c>
      <c r="B49" t="s">
        <v>1129</v>
      </c>
      <c r="C49" t="s">
        <v>1905</v>
      </c>
      <c r="D49" t="s">
        <v>82</v>
      </c>
      <c r="E49">
        <v>130</v>
      </c>
      <c r="F49" s="330" t="s">
        <v>34</v>
      </c>
      <c r="G49">
        <v>143</v>
      </c>
    </row>
    <row r="50" spans="1:8" x14ac:dyDescent="0.3">
      <c r="A50" t="s">
        <v>84</v>
      </c>
      <c r="B50" t="s">
        <v>1255</v>
      </c>
      <c r="C50" t="s">
        <v>1820</v>
      </c>
      <c r="D50" t="s">
        <v>42</v>
      </c>
      <c r="E50">
        <v>37</v>
      </c>
      <c r="F50" s="330" t="s">
        <v>560</v>
      </c>
      <c r="G50">
        <v>40.700000000000003</v>
      </c>
      <c r="H50" s="330">
        <v>37</v>
      </c>
    </row>
    <row r="51" spans="1:8" x14ac:dyDescent="0.3">
      <c r="A51" t="s">
        <v>85</v>
      </c>
      <c r="B51" t="s">
        <v>1263</v>
      </c>
      <c r="C51" t="s">
        <v>1717</v>
      </c>
      <c r="D51" t="s">
        <v>86</v>
      </c>
      <c r="E51">
        <v>40</v>
      </c>
      <c r="F51" s="330" t="s">
        <v>541</v>
      </c>
      <c r="G51">
        <v>44</v>
      </c>
      <c r="H51" s="330">
        <v>40</v>
      </c>
    </row>
    <row r="52" spans="1:8" x14ac:dyDescent="0.3">
      <c r="A52" t="s">
        <v>87</v>
      </c>
      <c r="B52" t="s">
        <v>1004</v>
      </c>
      <c r="C52" t="s">
        <v>1390</v>
      </c>
      <c r="D52" t="s">
        <v>88</v>
      </c>
      <c r="E52">
        <v>101</v>
      </c>
      <c r="F52" s="330" t="s">
        <v>564</v>
      </c>
      <c r="G52">
        <v>111.1</v>
      </c>
      <c r="H52" s="330" t="s">
        <v>565</v>
      </c>
    </row>
    <row r="53" spans="1:8" x14ac:dyDescent="0.3">
      <c r="A53" t="s">
        <v>89</v>
      </c>
      <c r="B53" t="s">
        <v>1096</v>
      </c>
      <c r="C53" t="s">
        <v>1443</v>
      </c>
      <c r="D53" t="s">
        <v>75</v>
      </c>
      <c r="E53">
        <v>55</v>
      </c>
      <c r="F53" s="330" t="s">
        <v>545</v>
      </c>
      <c r="G53">
        <v>60.5</v>
      </c>
      <c r="H53" s="330">
        <v>55</v>
      </c>
    </row>
    <row r="54" spans="1:8" x14ac:dyDescent="0.3">
      <c r="A54" t="s">
        <v>90</v>
      </c>
      <c r="B54" t="s">
        <v>1356</v>
      </c>
      <c r="C54" t="s">
        <v>1917</v>
      </c>
      <c r="D54" t="s">
        <v>91</v>
      </c>
      <c r="E54">
        <v>130</v>
      </c>
      <c r="F54" s="330" t="s">
        <v>956</v>
      </c>
      <c r="G54">
        <v>143</v>
      </c>
      <c r="H54" s="330">
        <v>130</v>
      </c>
    </row>
    <row r="55" spans="1:8" x14ac:dyDescent="0.3">
      <c r="A55" t="s">
        <v>62</v>
      </c>
      <c r="B55" t="s">
        <v>1322</v>
      </c>
      <c r="C55" t="s">
        <v>1513</v>
      </c>
      <c r="D55" t="s">
        <v>63</v>
      </c>
      <c r="E55">
        <v>53</v>
      </c>
      <c r="F55" s="330" t="s">
        <v>955</v>
      </c>
      <c r="G55">
        <v>58.3</v>
      </c>
      <c r="H55" s="330">
        <v>53</v>
      </c>
    </row>
    <row r="56" spans="1:8" x14ac:dyDescent="0.3">
      <c r="A56" t="s">
        <v>92</v>
      </c>
      <c r="B56" t="s">
        <v>1134</v>
      </c>
      <c r="C56" t="s">
        <v>1868</v>
      </c>
      <c r="D56" t="s">
        <v>93</v>
      </c>
      <c r="E56">
        <v>95</v>
      </c>
      <c r="F56" s="330" t="s">
        <v>567</v>
      </c>
      <c r="G56">
        <v>104.5</v>
      </c>
      <c r="H56" s="330" t="s">
        <v>568</v>
      </c>
    </row>
    <row r="57" spans="1:8" x14ac:dyDescent="0.3">
      <c r="A57" t="s">
        <v>64</v>
      </c>
      <c r="B57" t="s">
        <v>1089</v>
      </c>
      <c r="C57" t="s">
        <v>1457</v>
      </c>
      <c r="D57" t="s">
        <v>65</v>
      </c>
      <c r="E57">
        <v>90</v>
      </c>
      <c r="F57" s="330" t="s">
        <v>569</v>
      </c>
      <c r="G57">
        <v>99</v>
      </c>
      <c r="H57" s="330" t="s">
        <v>570</v>
      </c>
    </row>
    <row r="58" spans="1:8" x14ac:dyDescent="0.3">
      <c r="A58" t="s">
        <v>49</v>
      </c>
      <c r="B58" t="s">
        <v>1011</v>
      </c>
      <c r="C58" t="s">
        <v>1398</v>
      </c>
      <c r="D58" t="s">
        <v>50</v>
      </c>
      <c r="E58">
        <v>103</v>
      </c>
      <c r="F58" s="330" t="s">
        <v>571</v>
      </c>
      <c r="G58">
        <v>113.3</v>
      </c>
      <c r="H58" s="330" t="s">
        <v>572</v>
      </c>
    </row>
    <row r="59" spans="1:8" x14ac:dyDescent="0.3">
      <c r="A59" t="s">
        <v>102</v>
      </c>
      <c r="B59" t="s">
        <v>1122</v>
      </c>
      <c r="C59" t="s">
        <v>1502</v>
      </c>
      <c r="D59" t="s">
        <v>103</v>
      </c>
      <c r="E59">
        <v>115</v>
      </c>
      <c r="F59" s="330" t="s">
        <v>569</v>
      </c>
      <c r="G59">
        <v>126.5</v>
      </c>
      <c r="H59" s="330" t="s">
        <v>573</v>
      </c>
    </row>
    <row r="60" spans="1:8" x14ac:dyDescent="0.3">
      <c r="A60" t="s">
        <v>132</v>
      </c>
      <c r="B60" t="s">
        <v>1028</v>
      </c>
      <c r="C60" t="s">
        <v>1417</v>
      </c>
      <c r="D60" t="s">
        <v>133</v>
      </c>
      <c r="E60">
        <v>76</v>
      </c>
      <c r="F60" s="330" t="s">
        <v>574</v>
      </c>
      <c r="G60">
        <v>83.6</v>
      </c>
      <c r="H60" s="330" t="s">
        <v>575</v>
      </c>
    </row>
    <row r="61" spans="1:8" x14ac:dyDescent="0.3">
      <c r="D61" t="s">
        <v>105</v>
      </c>
      <c r="E61">
        <v>895</v>
      </c>
    </row>
    <row r="63" spans="1:8" x14ac:dyDescent="0.3">
      <c r="A63" t="s">
        <v>78</v>
      </c>
    </row>
    <row r="64" spans="1:8" x14ac:dyDescent="0.3">
      <c r="A64" t="s">
        <v>29</v>
      </c>
    </row>
    <row r="65" spans="1:8" x14ac:dyDescent="0.3">
      <c r="A65" t="s">
        <v>4</v>
      </c>
      <c r="B65" t="s">
        <v>5</v>
      </c>
      <c r="C65" t="s">
        <v>6</v>
      </c>
      <c r="D65" t="s">
        <v>7</v>
      </c>
      <c r="E65" t="s">
        <v>8</v>
      </c>
      <c r="F65" s="330" t="s">
        <v>9</v>
      </c>
      <c r="G65" t="s">
        <v>10</v>
      </c>
    </row>
    <row r="66" spans="1:8" x14ac:dyDescent="0.3">
      <c r="A66" t="s">
        <v>107</v>
      </c>
      <c r="B66" t="s">
        <v>1082</v>
      </c>
      <c r="C66" t="s">
        <v>1561</v>
      </c>
      <c r="D66" t="s">
        <v>108</v>
      </c>
      <c r="E66">
        <v>255</v>
      </c>
      <c r="F66" s="330" t="s">
        <v>956</v>
      </c>
      <c r="G66">
        <v>280.5</v>
      </c>
      <c r="H66" s="330" t="s">
        <v>576</v>
      </c>
    </row>
    <row r="67" spans="1:8" x14ac:dyDescent="0.3">
      <c r="A67" t="s">
        <v>107</v>
      </c>
      <c r="B67" t="s">
        <v>1082</v>
      </c>
      <c r="C67" t="s">
        <v>1561</v>
      </c>
      <c r="D67" t="s">
        <v>109</v>
      </c>
      <c r="E67">
        <v>80</v>
      </c>
      <c r="F67" s="330" t="s">
        <v>955</v>
      </c>
      <c r="G67">
        <v>88</v>
      </c>
      <c r="H67" s="330">
        <v>80</v>
      </c>
    </row>
    <row r="68" spans="1:8" x14ac:dyDescent="0.3">
      <c r="A68" t="s">
        <v>110</v>
      </c>
      <c r="B68" t="s">
        <v>1019</v>
      </c>
      <c r="C68" t="s">
        <v>1715</v>
      </c>
      <c r="D68" t="s">
        <v>111</v>
      </c>
      <c r="E68">
        <v>83</v>
      </c>
      <c r="F68" s="330" t="s">
        <v>577</v>
      </c>
      <c r="G68">
        <v>91.3</v>
      </c>
      <c r="H68" s="330" t="s">
        <v>578</v>
      </c>
    </row>
    <row r="69" spans="1:8" x14ac:dyDescent="0.3">
      <c r="A69" t="s">
        <v>110</v>
      </c>
      <c r="B69" t="s">
        <v>1019</v>
      </c>
      <c r="C69" t="s">
        <v>1715</v>
      </c>
      <c r="D69" t="s">
        <v>112</v>
      </c>
      <c r="E69">
        <v>46</v>
      </c>
      <c r="F69" s="330" t="s">
        <v>579</v>
      </c>
      <c r="G69">
        <v>50.6</v>
      </c>
      <c r="H69" s="330" t="s">
        <v>580</v>
      </c>
    </row>
    <row r="70" spans="1:8" x14ac:dyDescent="0.3">
      <c r="A70" t="s">
        <v>113</v>
      </c>
      <c r="B70" t="s">
        <v>1272</v>
      </c>
      <c r="C70" t="s">
        <v>1837</v>
      </c>
      <c r="D70" t="s">
        <v>114</v>
      </c>
      <c r="E70">
        <v>75</v>
      </c>
      <c r="F70" s="330" t="s">
        <v>529</v>
      </c>
      <c r="G70">
        <v>82.5</v>
      </c>
      <c r="H70" s="330" t="s">
        <v>581</v>
      </c>
    </row>
    <row r="71" spans="1:8" x14ac:dyDescent="0.3">
      <c r="A71" t="s">
        <v>113</v>
      </c>
      <c r="B71" t="s">
        <v>1272</v>
      </c>
      <c r="C71" t="s">
        <v>1837</v>
      </c>
      <c r="D71" t="s">
        <v>115</v>
      </c>
      <c r="E71">
        <v>100</v>
      </c>
      <c r="F71" s="330" t="s">
        <v>582</v>
      </c>
      <c r="G71">
        <v>110</v>
      </c>
      <c r="H71" s="330" t="s">
        <v>583</v>
      </c>
    </row>
    <row r="72" spans="1:8" x14ac:dyDescent="0.3">
      <c r="A72" t="s">
        <v>116</v>
      </c>
      <c r="B72" t="s">
        <v>1303</v>
      </c>
      <c r="C72" t="s">
        <v>1438</v>
      </c>
      <c r="D72" t="s">
        <v>67</v>
      </c>
      <c r="E72">
        <v>55</v>
      </c>
      <c r="F72" s="330" t="s">
        <v>539</v>
      </c>
      <c r="G72">
        <v>60.5</v>
      </c>
      <c r="H72" s="330" t="s">
        <v>540</v>
      </c>
    </row>
    <row r="73" spans="1:8" x14ac:dyDescent="0.3">
      <c r="A73" t="s">
        <v>117</v>
      </c>
      <c r="B73" t="s">
        <v>1191</v>
      </c>
      <c r="C73" t="s">
        <v>1925</v>
      </c>
      <c r="D73" t="s">
        <v>71</v>
      </c>
      <c r="E73">
        <v>10</v>
      </c>
      <c r="F73" s="330" t="s">
        <v>584</v>
      </c>
      <c r="G73">
        <v>11</v>
      </c>
      <c r="H73" s="330">
        <v>10</v>
      </c>
    </row>
    <row r="74" spans="1:8" x14ac:dyDescent="0.3">
      <c r="A74" t="s">
        <v>118</v>
      </c>
      <c r="B74" t="s">
        <v>1191</v>
      </c>
      <c r="C74" t="s">
        <v>1931</v>
      </c>
      <c r="D74" t="s">
        <v>119</v>
      </c>
      <c r="E74">
        <v>140</v>
      </c>
      <c r="F74" s="330" t="s">
        <v>585</v>
      </c>
      <c r="G74">
        <v>154</v>
      </c>
      <c r="H74" s="330" t="s">
        <v>586</v>
      </c>
    </row>
    <row r="75" spans="1:8" x14ac:dyDescent="0.3">
      <c r="A75" t="s">
        <v>526</v>
      </c>
      <c r="B75" t="s">
        <v>1031</v>
      </c>
      <c r="C75" t="s">
        <v>1414</v>
      </c>
      <c r="D75" t="s">
        <v>99</v>
      </c>
      <c r="E75">
        <v>61</v>
      </c>
      <c r="F75" s="330" t="s">
        <v>587</v>
      </c>
      <c r="G75">
        <v>67.099999999999994</v>
      </c>
      <c r="H75" s="330" t="s">
        <v>588</v>
      </c>
    </row>
    <row r="76" spans="1:8" x14ac:dyDescent="0.3">
      <c r="A76" t="s">
        <v>100</v>
      </c>
      <c r="B76" t="s">
        <v>1308</v>
      </c>
      <c r="C76" t="s">
        <v>1802</v>
      </c>
      <c r="D76" t="s">
        <v>101</v>
      </c>
      <c r="E76">
        <v>57</v>
      </c>
      <c r="F76" s="330" t="s">
        <v>535</v>
      </c>
      <c r="G76">
        <v>62.7</v>
      </c>
      <c r="H76" s="330" t="s">
        <v>589</v>
      </c>
    </row>
    <row r="77" spans="1:8" x14ac:dyDescent="0.3">
      <c r="A77" t="s">
        <v>120</v>
      </c>
      <c r="B77" t="s">
        <v>1247</v>
      </c>
      <c r="C77" t="s">
        <v>1793</v>
      </c>
      <c r="D77" t="s">
        <v>121</v>
      </c>
      <c r="E77">
        <v>70</v>
      </c>
      <c r="F77" s="330" t="s">
        <v>558</v>
      </c>
      <c r="G77">
        <v>77</v>
      </c>
      <c r="H77" s="330" t="s">
        <v>590</v>
      </c>
    </row>
    <row r="78" spans="1:8" x14ac:dyDescent="0.3">
      <c r="A78" t="s">
        <v>122</v>
      </c>
      <c r="B78" t="s">
        <v>1143</v>
      </c>
      <c r="C78" t="s">
        <v>1515</v>
      </c>
      <c r="D78" t="s">
        <v>73</v>
      </c>
      <c r="E78">
        <v>50</v>
      </c>
      <c r="F78" s="330" t="s">
        <v>591</v>
      </c>
      <c r="G78">
        <v>55</v>
      </c>
      <c r="H78" s="330" t="s">
        <v>592</v>
      </c>
    </row>
    <row r="79" spans="1:8" x14ac:dyDescent="0.3">
      <c r="A79" t="s">
        <v>123</v>
      </c>
      <c r="B79" t="s">
        <v>1248</v>
      </c>
      <c r="C79" t="s">
        <v>1438</v>
      </c>
      <c r="D79" t="s">
        <v>124</v>
      </c>
      <c r="E79">
        <v>69</v>
      </c>
      <c r="F79" s="330" t="s">
        <v>593</v>
      </c>
      <c r="G79">
        <v>75.900000000000006</v>
      </c>
      <c r="H79" s="330" t="s">
        <v>594</v>
      </c>
    </row>
    <row r="80" spans="1:8" x14ac:dyDescent="0.3">
      <c r="D80" t="s">
        <v>127</v>
      </c>
      <c r="E80">
        <v>1151</v>
      </c>
    </row>
    <row r="81" spans="1:8" x14ac:dyDescent="0.3">
      <c r="A81" t="s">
        <v>78</v>
      </c>
    </row>
    <row r="82" spans="1:8" x14ac:dyDescent="0.3">
      <c r="A82" t="s">
        <v>59</v>
      </c>
    </row>
    <row r="83" spans="1:8" x14ac:dyDescent="0.3">
      <c r="A83" t="s">
        <v>4</v>
      </c>
      <c r="B83" t="s">
        <v>5</v>
      </c>
      <c r="C83" t="s">
        <v>6</v>
      </c>
      <c r="D83" t="s">
        <v>7</v>
      </c>
      <c r="E83" t="s">
        <v>8</v>
      </c>
      <c r="F83" s="330" t="s">
        <v>9</v>
      </c>
      <c r="G83" t="s">
        <v>10</v>
      </c>
    </row>
    <row r="84" spans="1:8" x14ac:dyDescent="0.3">
      <c r="A84" t="s">
        <v>520</v>
      </c>
      <c r="B84" t="s">
        <v>1074</v>
      </c>
      <c r="C84" t="s">
        <v>1556</v>
      </c>
      <c r="D84" t="s">
        <v>130</v>
      </c>
      <c r="E84">
        <v>136</v>
      </c>
      <c r="F84" s="330" t="s">
        <v>595</v>
      </c>
      <c r="G84">
        <v>149.6</v>
      </c>
      <c r="H84" s="330" t="s">
        <v>596</v>
      </c>
    </row>
    <row r="85" spans="1:8" x14ac:dyDescent="0.3">
      <c r="A85" t="s">
        <v>134</v>
      </c>
      <c r="B85" t="s">
        <v>1291</v>
      </c>
      <c r="C85" t="s">
        <v>1857</v>
      </c>
      <c r="D85" t="s">
        <v>135</v>
      </c>
      <c r="E85">
        <v>60</v>
      </c>
      <c r="F85" s="330" t="s">
        <v>545</v>
      </c>
      <c r="G85">
        <v>66</v>
      </c>
      <c r="H85" s="330">
        <v>60</v>
      </c>
    </row>
    <row r="86" spans="1:8" x14ac:dyDescent="0.3">
      <c r="A86" t="s">
        <v>134</v>
      </c>
      <c r="B86" t="s">
        <v>1317</v>
      </c>
      <c r="C86" t="s">
        <v>1857</v>
      </c>
      <c r="D86" t="s">
        <v>136</v>
      </c>
      <c r="E86">
        <v>55</v>
      </c>
      <c r="F86" s="330" t="s">
        <v>597</v>
      </c>
      <c r="G86">
        <v>60.5</v>
      </c>
      <c r="H86" s="330" t="s">
        <v>598</v>
      </c>
    </row>
    <row r="87" spans="1:8" x14ac:dyDescent="0.3">
      <c r="A87" t="s">
        <v>137</v>
      </c>
      <c r="B87" t="s">
        <v>1174</v>
      </c>
      <c r="C87" t="s">
        <v>1946</v>
      </c>
      <c r="D87" t="s">
        <v>51</v>
      </c>
      <c r="E87">
        <v>295</v>
      </c>
      <c r="F87" s="330" t="s">
        <v>599</v>
      </c>
      <c r="G87">
        <v>324.5</v>
      </c>
      <c r="H87" s="330" t="s">
        <v>600</v>
      </c>
    </row>
    <row r="88" spans="1:8" x14ac:dyDescent="0.3">
      <c r="A88" t="s">
        <v>52</v>
      </c>
      <c r="B88" t="s">
        <v>997</v>
      </c>
      <c r="C88" t="s">
        <v>1948</v>
      </c>
      <c r="D88" t="s">
        <v>53</v>
      </c>
      <c r="E88">
        <v>155</v>
      </c>
      <c r="F88" s="330" t="s">
        <v>601</v>
      </c>
      <c r="G88">
        <v>170.5</v>
      </c>
      <c r="H88" s="330" t="s">
        <v>543</v>
      </c>
    </row>
    <row r="89" spans="1:8" x14ac:dyDescent="0.3">
      <c r="A89" t="s">
        <v>104</v>
      </c>
      <c r="B89" t="s">
        <v>1349</v>
      </c>
      <c r="C89" t="s">
        <v>1893</v>
      </c>
      <c r="D89" t="s">
        <v>46</v>
      </c>
      <c r="E89">
        <v>99</v>
      </c>
      <c r="F89" s="330" t="s">
        <v>571</v>
      </c>
      <c r="G89">
        <v>108.9</v>
      </c>
      <c r="H89" s="330" t="s">
        <v>602</v>
      </c>
    </row>
    <row r="90" spans="1:8" x14ac:dyDescent="0.3">
      <c r="A90" t="s">
        <v>468</v>
      </c>
      <c r="B90" t="s">
        <v>1989</v>
      </c>
      <c r="C90" t="s">
        <v>1846</v>
      </c>
      <c r="D90" t="s">
        <v>210</v>
      </c>
      <c r="E90">
        <v>83</v>
      </c>
      <c r="F90" s="330" t="s">
        <v>603</v>
      </c>
      <c r="G90">
        <v>91.3</v>
      </c>
      <c r="H90" s="330" t="s">
        <v>604</v>
      </c>
    </row>
    <row r="91" spans="1:8" x14ac:dyDescent="0.3">
      <c r="A91" t="s">
        <v>139</v>
      </c>
      <c r="B91" t="s">
        <v>1285</v>
      </c>
      <c r="C91" t="s">
        <v>1761</v>
      </c>
      <c r="D91" t="s">
        <v>140</v>
      </c>
      <c r="E91">
        <v>85</v>
      </c>
      <c r="F91" s="330" t="s">
        <v>605</v>
      </c>
      <c r="G91">
        <v>93.5</v>
      </c>
      <c r="H91" s="330" t="s">
        <v>606</v>
      </c>
    </row>
    <row r="92" spans="1:8" x14ac:dyDescent="0.3">
      <c r="A92" t="s">
        <v>141</v>
      </c>
      <c r="B92" t="s">
        <v>1313</v>
      </c>
      <c r="C92" t="s">
        <v>1761</v>
      </c>
      <c r="D92" t="s">
        <v>142</v>
      </c>
      <c r="E92">
        <v>87</v>
      </c>
      <c r="F92" s="330" t="s">
        <v>607</v>
      </c>
      <c r="G92">
        <v>95.7</v>
      </c>
      <c r="H92" s="330" t="s">
        <v>608</v>
      </c>
    </row>
    <row r="93" spans="1:8" x14ac:dyDescent="0.3">
      <c r="A93" t="s">
        <v>267</v>
      </c>
      <c r="B93" t="s">
        <v>1198</v>
      </c>
      <c r="C93" t="s">
        <v>1615</v>
      </c>
      <c r="D93" t="s">
        <v>144</v>
      </c>
      <c r="E93">
        <v>205</v>
      </c>
      <c r="F93" s="330" t="s">
        <v>609</v>
      </c>
      <c r="G93">
        <v>225.5</v>
      </c>
      <c r="H93" s="330" t="s">
        <v>610</v>
      </c>
    </row>
    <row r="94" spans="1:8" x14ac:dyDescent="0.3">
      <c r="D94" t="s">
        <v>145</v>
      </c>
      <c r="E94">
        <v>1124</v>
      </c>
    </row>
    <row r="95" spans="1:8" x14ac:dyDescent="0.3">
      <c r="A95" t="s">
        <v>147</v>
      </c>
    </row>
    <row r="96" spans="1:8" x14ac:dyDescent="0.3">
      <c r="A96" t="s">
        <v>2</v>
      </c>
    </row>
    <row r="97" spans="1:8" x14ac:dyDescent="0.3">
      <c r="A97" t="s">
        <v>4</v>
      </c>
      <c r="B97" t="s">
        <v>5</v>
      </c>
      <c r="C97" t="s">
        <v>6</v>
      </c>
      <c r="D97" t="s">
        <v>7</v>
      </c>
      <c r="E97" t="s">
        <v>8</v>
      </c>
      <c r="F97" s="330" t="s">
        <v>9</v>
      </c>
      <c r="G97" t="s">
        <v>10</v>
      </c>
    </row>
    <row r="98" spans="1:8" x14ac:dyDescent="0.3">
      <c r="A98" t="s">
        <v>150</v>
      </c>
      <c r="B98" t="s">
        <v>1231</v>
      </c>
      <c r="C98" t="s">
        <v>1907</v>
      </c>
      <c r="D98" t="s">
        <v>77</v>
      </c>
      <c r="E98">
        <v>122</v>
      </c>
      <c r="F98" s="330" t="s">
        <v>611</v>
      </c>
      <c r="G98">
        <v>134.19999999999999</v>
      </c>
      <c r="H98" s="330" t="s">
        <v>563</v>
      </c>
    </row>
    <row r="99" spans="1:8" x14ac:dyDescent="0.3">
      <c r="A99" t="s">
        <v>151</v>
      </c>
      <c r="B99" t="s">
        <v>1023</v>
      </c>
      <c r="C99" t="s">
        <v>1755</v>
      </c>
      <c r="D99" t="s">
        <v>33</v>
      </c>
      <c r="E99">
        <v>240</v>
      </c>
      <c r="F99" s="330" t="s">
        <v>531</v>
      </c>
      <c r="G99">
        <v>264</v>
      </c>
      <c r="H99" s="330" t="s">
        <v>612</v>
      </c>
    </row>
    <row r="100" spans="1:8" x14ac:dyDescent="0.3">
      <c r="A100" t="s">
        <v>151</v>
      </c>
      <c r="B100" t="s">
        <v>1023</v>
      </c>
      <c r="C100" t="s">
        <v>1755</v>
      </c>
      <c r="D100" t="s">
        <v>36</v>
      </c>
      <c r="E100">
        <v>75</v>
      </c>
      <c r="F100" s="330" t="s">
        <v>546</v>
      </c>
      <c r="G100">
        <v>82.5</v>
      </c>
      <c r="H100" s="330">
        <v>75</v>
      </c>
    </row>
    <row r="101" spans="1:8" x14ac:dyDescent="0.3">
      <c r="A101" t="s">
        <v>151</v>
      </c>
      <c r="B101" t="s">
        <v>1023</v>
      </c>
      <c r="C101" t="s">
        <v>1755</v>
      </c>
      <c r="D101" t="s">
        <v>38</v>
      </c>
      <c r="E101">
        <v>80</v>
      </c>
      <c r="F101" s="330" t="s">
        <v>577</v>
      </c>
      <c r="G101">
        <v>88</v>
      </c>
      <c r="H101" s="330" t="s">
        <v>613</v>
      </c>
    </row>
    <row r="102" spans="1:8" x14ac:dyDescent="0.3">
      <c r="A102" t="s">
        <v>151</v>
      </c>
      <c r="B102" t="s">
        <v>1023</v>
      </c>
      <c r="C102" t="s">
        <v>1755</v>
      </c>
      <c r="D102" t="s">
        <v>40</v>
      </c>
      <c r="E102">
        <v>82</v>
      </c>
      <c r="F102" s="330" t="s">
        <v>614</v>
      </c>
      <c r="G102">
        <v>90.2</v>
      </c>
      <c r="H102" s="330" t="s">
        <v>615</v>
      </c>
    </row>
    <row r="103" spans="1:8" x14ac:dyDescent="0.3">
      <c r="A103" t="s">
        <v>152</v>
      </c>
      <c r="B103" t="s">
        <v>1253</v>
      </c>
      <c r="C103" t="s">
        <v>1755</v>
      </c>
      <c r="D103" t="s">
        <v>42</v>
      </c>
      <c r="E103">
        <v>37</v>
      </c>
      <c r="F103" s="330" t="s">
        <v>616</v>
      </c>
      <c r="G103">
        <v>40.700000000000003</v>
      </c>
      <c r="H103" s="330">
        <v>37</v>
      </c>
    </row>
    <row r="104" spans="1:8" x14ac:dyDescent="0.3">
      <c r="A104" t="s">
        <v>153</v>
      </c>
      <c r="B104" t="s">
        <v>1209</v>
      </c>
      <c r="C104" t="s">
        <v>1682</v>
      </c>
      <c r="D104" t="s">
        <v>154</v>
      </c>
      <c r="E104">
        <v>154</v>
      </c>
      <c r="F104" s="330" t="s">
        <v>601</v>
      </c>
      <c r="G104">
        <v>169.4</v>
      </c>
      <c r="H104" s="330" t="s">
        <v>543</v>
      </c>
    </row>
    <row r="105" spans="1:8" x14ac:dyDescent="0.3">
      <c r="A105" t="s">
        <v>155</v>
      </c>
      <c r="B105" t="s">
        <v>1123</v>
      </c>
      <c r="C105" t="s">
        <v>1504</v>
      </c>
      <c r="D105" t="s">
        <v>103</v>
      </c>
      <c r="E105">
        <v>150</v>
      </c>
      <c r="F105" s="330" t="s">
        <v>617</v>
      </c>
      <c r="G105">
        <v>165</v>
      </c>
      <c r="H105" s="330" t="s">
        <v>618</v>
      </c>
    </row>
    <row r="106" spans="1:8" x14ac:dyDescent="0.3">
      <c r="A106" t="s">
        <v>156</v>
      </c>
      <c r="B106" t="s">
        <v>1111</v>
      </c>
      <c r="C106" t="s">
        <v>1502</v>
      </c>
      <c r="D106" t="s">
        <v>157</v>
      </c>
      <c r="E106">
        <v>230</v>
      </c>
      <c r="F106" s="330" t="s">
        <v>619</v>
      </c>
      <c r="G106">
        <v>253</v>
      </c>
      <c r="H106" s="330" t="s">
        <v>620</v>
      </c>
    </row>
    <row r="107" spans="1:8" x14ac:dyDescent="0.3">
      <c r="D107" t="s">
        <v>158</v>
      </c>
      <c r="E107">
        <v>1170</v>
      </c>
    </row>
    <row r="108" spans="1:8" x14ac:dyDescent="0.3">
      <c r="A108" t="s">
        <v>147</v>
      </c>
    </row>
    <row r="109" spans="1:8" x14ac:dyDescent="0.3">
      <c r="A109" t="s">
        <v>29</v>
      </c>
    </row>
    <row r="110" spans="1:8" x14ac:dyDescent="0.3">
      <c r="A110" t="s">
        <v>4</v>
      </c>
      <c r="B110" t="s">
        <v>5</v>
      </c>
      <c r="C110" t="s">
        <v>6</v>
      </c>
      <c r="D110" t="s">
        <v>7</v>
      </c>
      <c r="E110" t="s">
        <v>8</v>
      </c>
      <c r="F110" s="330" t="s">
        <v>9</v>
      </c>
      <c r="G110" t="s">
        <v>10</v>
      </c>
    </row>
    <row r="111" spans="1:8" x14ac:dyDescent="0.3">
      <c r="A111" t="s">
        <v>160</v>
      </c>
      <c r="B111" t="s">
        <v>993</v>
      </c>
      <c r="C111" t="s">
        <v>1404</v>
      </c>
      <c r="D111" t="s">
        <v>131</v>
      </c>
      <c r="E111">
        <v>128</v>
      </c>
      <c r="F111" s="330" t="s">
        <v>957</v>
      </c>
      <c r="G111">
        <v>140.80000000000001</v>
      </c>
      <c r="H111" s="330" t="s">
        <v>621</v>
      </c>
    </row>
    <row r="112" spans="1:8" x14ac:dyDescent="0.3">
      <c r="A112" t="s">
        <v>160</v>
      </c>
      <c r="B112" t="s">
        <v>993</v>
      </c>
      <c r="C112" t="s">
        <v>1739</v>
      </c>
      <c r="D112" t="s">
        <v>112</v>
      </c>
      <c r="E112">
        <v>46</v>
      </c>
      <c r="F112" s="330" t="s">
        <v>958</v>
      </c>
      <c r="G112">
        <v>50.6</v>
      </c>
      <c r="H112" s="330" t="s">
        <v>623</v>
      </c>
    </row>
    <row r="113" spans="1:8" x14ac:dyDescent="0.3">
      <c r="A113" t="s">
        <v>160</v>
      </c>
      <c r="B113" t="s">
        <v>993</v>
      </c>
      <c r="C113" t="s">
        <v>1404</v>
      </c>
      <c r="D113" t="s">
        <v>114</v>
      </c>
      <c r="E113">
        <v>75</v>
      </c>
      <c r="F113" s="330" t="s">
        <v>624</v>
      </c>
      <c r="G113">
        <v>82.5</v>
      </c>
      <c r="H113" s="330" t="s">
        <v>590</v>
      </c>
    </row>
    <row r="114" spans="1:8" x14ac:dyDescent="0.3">
      <c r="A114" t="s">
        <v>160</v>
      </c>
      <c r="B114" t="s">
        <v>993</v>
      </c>
      <c r="C114" t="s">
        <v>1987</v>
      </c>
      <c r="D114" t="s">
        <v>115</v>
      </c>
      <c r="E114">
        <v>100</v>
      </c>
      <c r="F114" s="330" t="s">
        <v>582</v>
      </c>
      <c r="G114">
        <v>110</v>
      </c>
      <c r="H114" s="330" t="s">
        <v>583</v>
      </c>
    </row>
    <row r="115" spans="1:8" x14ac:dyDescent="0.3">
      <c r="A115" t="s">
        <v>160</v>
      </c>
      <c r="B115" t="s">
        <v>993</v>
      </c>
      <c r="C115" t="s">
        <v>1992</v>
      </c>
      <c r="D115" t="s">
        <v>161</v>
      </c>
      <c r="E115">
        <v>225</v>
      </c>
      <c r="F115" s="330" t="s">
        <v>619</v>
      </c>
      <c r="G115">
        <v>247.5</v>
      </c>
      <c r="H115" s="330" t="s">
        <v>625</v>
      </c>
    </row>
    <row r="116" spans="1:8" x14ac:dyDescent="0.3">
      <c r="A116" t="s">
        <v>160</v>
      </c>
      <c r="B116" t="s">
        <v>993</v>
      </c>
      <c r="C116" t="s">
        <v>1739</v>
      </c>
      <c r="D116" t="s">
        <v>162</v>
      </c>
      <c r="E116">
        <v>85</v>
      </c>
      <c r="F116" s="330" t="s">
        <v>626</v>
      </c>
      <c r="G116">
        <v>93.5</v>
      </c>
      <c r="H116" s="330" t="s">
        <v>627</v>
      </c>
    </row>
    <row r="117" spans="1:8" x14ac:dyDescent="0.3">
      <c r="A117" t="s">
        <v>160</v>
      </c>
      <c r="B117" t="s">
        <v>993</v>
      </c>
      <c r="C117" t="s">
        <v>1739</v>
      </c>
      <c r="D117" t="s">
        <v>111</v>
      </c>
      <c r="E117">
        <v>83</v>
      </c>
      <c r="F117" s="330" t="s">
        <v>628</v>
      </c>
      <c r="G117">
        <v>91.3</v>
      </c>
      <c r="H117" s="330" t="s">
        <v>629</v>
      </c>
    </row>
    <row r="118" spans="1:8" x14ac:dyDescent="0.3">
      <c r="A118" t="s">
        <v>163</v>
      </c>
      <c r="B118" t="s">
        <v>1338</v>
      </c>
      <c r="C118" t="s">
        <v>1866</v>
      </c>
      <c r="D118" t="s">
        <v>18</v>
      </c>
      <c r="E118">
        <v>80</v>
      </c>
      <c r="F118" s="330" t="s">
        <v>630</v>
      </c>
      <c r="G118">
        <v>88</v>
      </c>
      <c r="H118" s="330" t="s">
        <v>631</v>
      </c>
    </row>
    <row r="119" spans="1:8" x14ac:dyDescent="0.3">
      <c r="A119" t="s">
        <v>164</v>
      </c>
      <c r="B119" t="s">
        <v>1264</v>
      </c>
      <c r="C119" t="s">
        <v>1829</v>
      </c>
      <c r="D119" t="s">
        <v>69</v>
      </c>
      <c r="E119">
        <v>23</v>
      </c>
      <c r="F119" s="330" t="s">
        <v>632</v>
      </c>
      <c r="G119">
        <v>25.3</v>
      </c>
      <c r="H119" s="330">
        <v>23</v>
      </c>
    </row>
    <row r="120" spans="1:8" x14ac:dyDescent="0.3">
      <c r="A120" t="s">
        <v>165</v>
      </c>
      <c r="B120" t="s">
        <v>1055</v>
      </c>
      <c r="C120" t="s">
        <v>1431</v>
      </c>
      <c r="D120" t="s">
        <v>23</v>
      </c>
      <c r="E120">
        <v>40</v>
      </c>
      <c r="F120" s="330" t="s">
        <v>633</v>
      </c>
      <c r="G120">
        <v>44</v>
      </c>
      <c r="H120" s="330">
        <v>40</v>
      </c>
    </row>
    <row r="121" spans="1:8" x14ac:dyDescent="0.3">
      <c r="A121" t="s">
        <v>166</v>
      </c>
      <c r="B121" t="s">
        <v>1159</v>
      </c>
      <c r="C121" t="s">
        <v>1565</v>
      </c>
      <c r="D121" t="s">
        <v>108</v>
      </c>
      <c r="E121">
        <v>255</v>
      </c>
      <c r="F121" s="330" t="s">
        <v>531</v>
      </c>
      <c r="G121">
        <v>280.5</v>
      </c>
      <c r="H121" s="330" t="s">
        <v>634</v>
      </c>
    </row>
    <row r="122" spans="1:8" x14ac:dyDescent="0.3">
      <c r="D122" t="s">
        <v>167</v>
      </c>
      <c r="E122">
        <v>1140</v>
      </c>
    </row>
    <row r="123" spans="1:8" x14ac:dyDescent="0.3">
      <c r="A123" t="s">
        <v>147</v>
      </c>
    </row>
    <row r="124" spans="1:8" x14ac:dyDescent="0.3">
      <c r="A124" t="s">
        <v>59</v>
      </c>
    </row>
    <row r="125" spans="1:8" x14ac:dyDescent="0.3">
      <c r="A125" t="s">
        <v>4</v>
      </c>
      <c r="B125" t="s">
        <v>5</v>
      </c>
      <c r="C125" t="s">
        <v>6</v>
      </c>
      <c r="D125" t="s">
        <v>7</v>
      </c>
      <c r="E125" t="s">
        <v>8</v>
      </c>
      <c r="F125" s="330" t="s">
        <v>9</v>
      </c>
      <c r="G125" t="s">
        <v>10</v>
      </c>
    </row>
    <row r="126" spans="1:8" x14ac:dyDescent="0.3">
      <c r="A126" t="s">
        <v>169</v>
      </c>
      <c r="B126" t="s">
        <v>1222</v>
      </c>
      <c r="C126" t="s">
        <v>1982</v>
      </c>
      <c r="D126" t="s">
        <v>170</v>
      </c>
      <c r="E126">
        <v>132</v>
      </c>
      <c r="F126" s="330" t="s">
        <v>552</v>
      </c>
      <c r="G126">
        <v>145.19999999999999</v>
      </c>
      <c r="H126" s="330" t="s">
        <v>635</v>
      </c>
    </row>
    <row r="127" spans="1:8" x14ac:dyDescent="0.3">
      <c r="A127" t="s">
        <v>171</v>
      </c>
      <c r="B127" t="s">
        <v>1360</v>
      </c>
      <c r="C127" t="s">
        <v>1930</v>
      </c>
      <c r="D127" t="s">
        <v>172</v>
      </c>
      <c r="E127">
        <v>175</v>
      </c>
      <c r="F127" s="330" t="s">
        <v>617</v>
      </c>
      <c r="G127">
        <v>192.5</v>
      </c>
      <c r="H127" s="330" t="s">
        <v>636</v>
      </c>
    </row>
    <row r="128" spans="1:8" x14ac:dyDescent="0.3">
      <c r="A128" t="s">
        <v>175</v>
      </c>
      <c r="B128" t="s">
        <v>987</v>
      </c>
      <c r="C128" t="s">
        <v>1445</v>
      </c>
      <c r="D128" t="s">
        <v>20</v>
      </c>
      <c r="E128">
        <v>262</v>
      </c>
      <c r="F128" s="330" t="s">
        <v>531</v>
      </c>
      <c r="G128">
        <v>288.2</v>
      </c>
      <c r="H128" s="330" t="s">
        <v>637</v>
      </c>
    </row>
    <row r="129" spans="1:8" x14ac:dyDescent="0.3">
      <c r="A129" t="s">
        <v>173</v>
      </c>
      <c r="B129" t="s">
        <v>1135</v>
      </c>
      <c r="C129" t="s">
        <v>1548</v>
      </c>
      <c r="D129" t="s">
        <v>14</v>
      </c>
      <c r="E129">
        <v>65</v>
      </c>
      <c r="F129" s="330" t="s">
        <v>535</v>
      </c>
      <c r="G129">
        <v>71.5</v>
      </c>
      <c r="H129" s="330" t="s">
        <v>638</v>
      </c>
    </row>
    <row r="130" spans="1:8" x14ac:dyDescent="0.3">
      <c r="A130" t="s">
        <v>173</v>
      </c>
      <c r="B130" t="s">
        <v>1135</v>
      </c>
      <c r="C130" t="s">
        <v>1548</v>
      </c>
      <c r="D130" t="s">
        <v>13</v>
      </c>
      <c r="E130">
        <v>160</v>
      </c>
      <c r="F130" s="330" t="s">
        <v>639</v>
      </c>
      <c r="G130">
        <v>176</v>
      </c>
      <c r="H130" s="330" t="s">
        <v>640</v>
      </c>
    </row>
    <row r="131" spans="1:8" x14ac:dyDescent="0.3">
      <c r="A131" t="s">
        <v>457</v>
      </c>
      <c r="B131" t="s">
        <v>1169</v>
      </c>
      <c r="C131" t="s">
        <v>1584</v>
      </c>
      <c r="D131" t="s">
        <v>251</v>
      </c>
      <c r="E131">
        <v>70</v>
      </c>
      <c r="F131" s="330" t="s">
        <v>641</v>
      </c>
      <c r="G131">
        <v>77</v>
      </c>
      <c r="H131" s="330" t="s">
        <v>642</v>
      </c>
    </row>
    <row r="132" spans="1:8" x14ac:dyDescent="0.3">
      <c r="A132" t="s">
        <v>510</v>
      </c>
      <c r="B132" t="s">
        <v>1219</v>
      </c>
      <c r="C132" t="s">
        <v>1698</v>
      </c>
      <c r="D132" t="s">
        <v>177</v>
      </c>
      <c r="E132">
        <v>72</v>
      </c>
      <c r="F132" s="330" t="s">
        <v>959</v>
      </c>
      <c r="G132">
        <v>79.2</v>
      </c>
      <c r="H132" s="330" t="s">
        <v>960</v>
      </c>
    </row>
    <row r="133" spans="1:8" x14ac:dyDescent="0.3">
      <c r="A133" t="s">
        <v>174</v>
      </c>
      <c r="B133" t="s">
        <v>1294</v>
      </c>
      <c r="C133" t="s">
        <v>1992</v>
      </c>
      <c r="D133" t="s">
        <v>61</v>
      </c>
      <c r="E133">
        <v>222</v>
      </c>
      <c r="F133" s="330" t="s">
        <v>619</v>
      </c>
      <c r="G133">
        <v>244.2</v>
      </c>
      <c r="H133" s="330" t="s">
        <v>643</v>
      </c>
    </row>
    <row r="134" spans="1:8" x14ac:dyDescent="0.3">
      <c r="A134" t="s">
        <v>174</v>
      </c>
      <c r="B134" t="s">
        <v>1258</v>
      </c>
      <c r="C134" t="s">
        <v>1717</v>
      </c>
      <c r="D134" t="s">
        <v>86</v>
      </c>
      <c r="E134">
        <v>40</v>
      </c>
      <c r="F134" s="330" t="s">
        <v>633</v>
      </c>
      <c r="G134">
        <v>44</v>
      </c>
      <c r="H134" s="330">
        <v>40</v>
      </c>
    </row>
    <row r="135" spans="1:8" x14ac:dyDescent="0.3">
      <c r="D135" t="s">
        <v>178</v>
      </c>
      <c r="E135">
        <v>1198</v>
      </c>
    </row>
    <row r="136" spans="1:8" x14ac:dyDescent="0.3">
      <c r="A136" t="s">
        <v>180</v>
      </c>
    </row>
    <row r="137" spans="1:8" x14ac:dyDescent="0.3">
      <c r="A137" t="s">
        <v>2</v>
      </c>
    </row>
    <row r="138" spans="1:8" x14ac:dyDescent="0.3">
      <c r="A138" t="s">
        <v>4</v>
      </c>
      <c r="B138" t="s">
        <v>5</v>
      </c>
      <c r="C138" t="s">
        <v>6</v>
      </c>
      <c r="D138" t="s">
        <v>7</v>
      </c>
      <c r="E138" t="s">
        <v>8</v>
      </c>
      <c r="F138" s="330" t="s">
        <v>9</v>
      </c>
      <c r="G138" t="s">
        <v>10</v>
      </c>
    </row>
    <row r="139" spans="1:8" x14ac:dyDescent="0.3">
      <c r="A139" t="s">
        <v>182</v>
      </c>
      <c r="B139" t="s">
        <v>1099</v>
      </c>
      <c r="C139" t="s">
        <v>1466</v>
      </c>
      <c r="D139" t="s">
        <v>126</v>
      </c>
      <c r="E139">
        <v>125</v>
      </c>
      <c r="F139" s="330" t="s">
        <v>34</v>
      </c>
      <c r="G139">
        <v>137.5</v>
      </c>
    </row>
    <row r="140" spans="1:8" x14ac:dyDescent="0.3">
      <c r="A140" t="s">
        <v>183</v>
      </c>
      <c r="B140" t="s">
        <v>1034</v>
      </c>
      <c r="C140" t="s">
        <v>1410</v>
      </c>
      <c r="D140" t="s">
        <v>97</v>
      </c>
      <c r="E140">
        <v>32</v>
      </c>
      <c r="F140" s="330" t="s">
        <v>34</v>
      </c>
      <c r="G140">
        <v>35.200000000000003</v>
      </c>
    </row>
    <row r="141" spans="1:8" x14ac:dyDescent="0.3">
      <c r="A141" t="s">
        <v>60</v>
      </c>
      <c r="B141" t="s">
        <v>1008</v>
      </c>
      <c r="C141" t="s">
        <v>1406</v>
      </c>
      <c r="D141" t="s">
        <v>88</v>
      </c>
      <c r="E141">
        <v>101</v>
      </c>
      <c r="F141" s="330" t="s">
        <v>571</v>
      </c>
      <c r="G141">
        <v>111.1</v>
      </c>
      <c r="H141" s="330" t="s">
        <v>644</v>
      </c>
    </row>
    <row r="142" spans="1:8" x14ac:dyDescent="0.3">
      <c r="A142" t="s">
        <v>184</v>
      </c>
      <c r="B142" t="s">
        <v>1154</v>
      </c>
      <c r="C142" t="s">
        <v>1606</v>
      </c>
      <c r="D142" t="s">
        <v>51</v>
      </c>
      <c r="E142">
        <v>295</v>
      </c>
      <c r="F142" s="330" t="s">
        <v>645</v>
      </c>
      <c r="G142">
        <v>324.5</v>
      </c>
      <c r="H142" s="330" t="s">
        <v>646</v>
      </c>
    </row>
    <row r="143" spans="1:8" x14ac:dyDescent="0.3">
      <c r="A143" t="s">
        <v>185</v>
      </c>
      <c r="B143" t="s">
        <v>987</v>
      </c>
      <c r="C143" t="s">
        <v>1516</v>
      </c>
      <c r="D143" t="s">
        <v>81</v>
      </c>
      <c r="E143">
        <v>56</v>
      </c>
      <c r="F143" s="330" t="s">
        <v>955</v>
      </c>
      <c r="G143">
        <v>61.6</v>
      </c>
      <c r="H143" s="330">
        <v>56</v>
      </c>
    </row>
    <row r="144" spans="1:8" x14ac:dyDescent="0.3">
      <c r="A144" t="s">
        <v>186</v>
      </c>
      <c r="B144" t="s">
        <v>987</v>
      </c>
      <c r="C144" t="s">
        <v>1516</v>
      </c>
      <c r="D144" t="s">
        <v>80</v>
      </c>
      <c r="E144">
        <v>120</v>
      </c>
      <c r="F144" s="330" t="s">
        <v>956</v>
      </c>
      <c r="G144">
        <v>132</v>
      </c>
      <c r="H144" s="330">
        <v>120</v>
      </c>
    </row>
    <row r="145" spans="1:8" x14ac:dyDescent="0.3">
      <c r="A145" t="s">
        <v>187</v>
      </c>
      <c r="B145" t="s">
        <v>1366</v>
      </c>
      <c r="C145" t="s">
        <v>1935</v>
      </c>
      <c r="D145" t="s">
        <v>119</v>
      </c>
      <c r="E145">
        <v>140</v>
      </c>
      <c r="F145" s="330" t="s">
        <v>585</v>
      </c>
      <c r="G145">
        <v>154</v>
      </c>
      <c r="H145" s="330" t="s">
        <v>586</v>
      </c>
    </row>
    <row r="146" spans="1:8" x14ac:dyDescent="0.3">
      <c r="A146" t="s">
        <v>188</v>
      </c>
      <c r="B146" t="s">
        <v>1328</v>
      </c>
      <c r="C146" t="s">
        <v>1866</v>
      </c>
      <c r="D146" t="s">
        <v>82</v>
      </c>
      <c r="E146">
        <v>130</v>
      </c>
      <c r="F146" s="330" t="s">
        <v>552</v>
      </c>
      <c r="G146">
        <v>143</v>
      </c>
      <c r="H146" s="330" t="s">
        <v>647</v>
      </c>
    </row>
    <row r="147" spans="1:8" x14ac:dyDescent="0.3">
      <c r="A147" t="s">
        <v>189</v>
      </c>
      <c r="B147" t="s">
        <v>1302</v>
      </c>
      <c r="C147" t="s">
        <v>1787</v>
      </c>
      <c r="D147" t="s">
        <v>67</v>
      </c>
      <c r="E147">
        <v>40</v>
      </c>
      <c r="F147" s="330" t="s">
        <v>641</v>
      </c>
      <c r="G147">
        <v>44</v>
      </c>
      <c r="H147" s="330" t="s">
        <v>648</v>
      </c>
    </row>
    <row r="148" spans="1:8" x14ac:dyDescent="0.3">
      <c r="A148" t="s">
        <v>190</v>
      </c>
      <c r="B148" t="s">
        <v>1017</v>
      </c>
      <c r="C148" t="s">
        <v>1737</v>
      </c>
      <c r="D148" t="s">
        <v>191</v>
      </c>
      <c r="E148">
        <v>70</v>
      </c>
      <c r="F148" s="330" t="s">
        <v>529</v>
      </c>
      <c r="G148">
        <v>77</v>
      </c>
      <c r="H148" s="330" t="s">
        <v>649</v>
      </c>
    </row>
    <row r="149" spans="1:8" x14ac:dyDescent="0.3">
      <c r="A149" t="s">
        <v>216</v>
      </c>
      <c r="B149" t="s">
        <v>1249</v>
      </c>
      <c r="C149" t="s">
        <v>1717</v>
      </c>
      <c r="D149" t="s">
        <v>124</v>
      </c>
      <c r="E149">
        <v>69</v>
      </c>
      <c r="F149" s="330" t="s">
        <v>545</v>
      </c>
      <c r="G149">
        <v>75.900000000000006</v>
      </c>
      <c r="H149" s="330">
        <v>69</v>
      </c>
    </row>
    <row r="150" spans="1:8" x14ac:dyDescent="0.3">
      <c r="A150" t="s">
        <v>98</v>
      </c>
      <c r="B150" t="s">
        <v>1032</v>
      </c>
      <c r="C150" t="s">
        <v>1420</v>
      </c>
      <c r="D150" t="s">
        <v>99</v>
      </c>
      <c r="E150">
        <v>61</v>
      </c>
      <c r="F150" s="330" t="s">
        <v>650</v>
      </c>
      <c r="G150">
        <v>67.099999999999994</v>
      </c>
      <c r="H150" s="330" t="s">
        <v>651</v>
      </c>
    </row>
    <row r="151" spans="1:8" x14ac:dyDescent="0.3">
      <c r="A151" t="s">
        <v>193</v>
      </c>
      <c r="B151" t="s">
        <v>1233</v>
      </c>
      <c r="C151" t="s">
        <v>1645</v>
      </c>
      <c r="D151" t="s">
        <v>194</v>
      </c>
      <c r="E151">
        <v>93</v>
      </c>
      <c r="F151" s="330" t="s">
        <v>652</v>
      </c>
      <c r="G151">
        <v>102.3</v>
      </c>
      <c r="H151" s="330" t="s">
        <v>653</v>
      </c>
    </row>
    <row r="152" spans="1:8" x14ac:dyDescent="0.3">
      <c r="D152" t="s">
        <v>195</v>
      </c>
      <c r="E152">
        <v>1175</v>
      </c>
    </row>
    <row r="153" spans="1:8" x14ac:dyDescent="0.3">
      <c r="A153" t="s">
        <v>180</v>
      </c>
    </row>
    <row r="154" spans="1:8" x14ac:dyDescent="0.3">
      <c r="A154" t="s">
        <v>29</v>
      </c>
    </row>
    <row r="155" spans="1:8" x14ac:dyDescent="0.3">
      <c r="A155" t="s">
        <v>4</v>
      </c>
      <c r="B155" t="s">
        <v>5</v>
      </c>
      <c r="C155" t="s">
        <v>6</v>
      </c>
      <c r="D155" t="s">
        <v>7</v>
      </c>
      <c r="E155" t="s">
        <v>8</v>
      </c>
      <c r="F155" s="330" t="s">
        <v>9</v>
      </c>
      <c r="G155" t="s">
        <v>10</v>
      </c>
    </row>
    <row r="156" spans="1:8" x14ac:dyDescent="0.3">
      <c r="A156" t="s">
        <v>182</v>
      </c>
      <c r="B156" t="s">
        <v>1099</v>
      </c>
      <c r="C156" t="s">
        <v>1466</v>
      </c>
      <c r="D156" t="s">
        <v>75</v>
      </c>
      <c r="E156">
        <v>245</v>
      </c>
      <c r="F156" s="330" t="s">
        <v>34</v>
      </c>
      <c r="G156">
        <v>269.5</v>
      </c>
    </row>
    <row r="157" spans="1:8" x14ac:dyDescent="0.3">
      <c r="A157" t="s">
        <v>197</v>
      </c>
      <c r="B157" t="s">
        <v>1071</v>
      </c>
      <c r="C157" t="s">
        <v>1955</v>
      </c>
      <c r="D157" t="s">
        <v>130</v>
      </c>
      <c r="E157">
        <v>136</v>
      </c>
      <c r="F157" s="330" t="s">
        <v>585</v>
      </c>
      <c r="G157">
        <v>149.6</v>
      </c>
      <c r="H157" s="330" t="s">
        <v>596</v>
      </c>
    </row>
    <row r="158" spans="1:8" x14ac:dyDescent="0.3">
      <c r="A158" t="s">
        <v>198</v>
      </c>
      <c r="B158" t="s">
        <v>1162</v>
      </c>
      <c r="C158" t="s">
        <v>1572</v>
      </c>
      <c r="D158" t="s">
        <v>16</v>
      </c>
      <c r="E158">
        <v>265</v>
      </c>
      <c r="F158" s="330" t="s">
        <v>954</v>
      </c>
      <c r="G158">
        <v>291.5</v>
      </c>
      <c r="H158" s="330" t="s">
        <v>654</v>
      </c>
    </row>
    <row r="159" spans="1:8" x14ac:dyDescent="0.3">
      <c r="A159" t="s">
        <v>199</v>
      </c>
      <c r="B159" t="s">
        <v>1137</v>
      </c>
      <c r="C159" t="s">
        <v>1968</v>
      </c>
      <c r="D159" t="s">
        <v>73</v>
      </c>
      <c r="E159">
        <v>105</v>
      </c>
      <c r="F159" s="330" t="s">
        <v>655</v>
      </c>
      <c r="G159">
        <v>115.5</v>
      </c>
      <c r="H159" s="330" t="s">
        <v>656</v>
      </c>
    </row>
    <row r="160" spans="1:8" x14ac:dyDescent="0.3">
      <c r="A160" t="s">
        <v>199</v>
      </c>
      <c r="B160" t="s">
        <v>1137</v>
      </c>
      <c r="C160" t="s">
        <v>1515</v>
      </c>
      <c r="D160" t="s">
        <v>63</v>
      </c>
      <c r="E160">
        <v>53</v>
      </c>
      <c r="F160" s="330" t="s">
        <v>535</v>
      </c>
      <c r="G160">
        <v>58.3</v>
      </c>
      <c r="H160" s="330" t="s">
        <v>657</v>
      </c>
    </row>
    <row r="161" spans="1:8" x14ac:dyDescent="0.3">
      <c r="A161" t="s">
        <v>200</v>
      </c>
      <c r="B161" t="s">
        <v>1354</v>
      </c>
      <c r="C161" t="s">
        <v>1909</v>
      </c>
      <c r="D161" t="s">
        <v>91</v>
      </c>
      <c r="E161">
        <v>130</v>
      </c>
      <c r="F161" s="330" t="s">
        <v>552</v>
      </c>
      <c r="G161">
        <v>143</v>
      </c>
      <c r="H161" s="330" t="s">
        <v>658</v>
      </c>
    </row>
    <row r="162" spans="1:8" x14ac:dyDescent="0.3">
      <c r="A162" t="s">
        <v>201</v>
      </c>
      <c r="B162" t="s">
        <v>1221</v>
      </c>
      <c r="C162" t="s">
        <v>1642</v>
      </c>
      <c r="D162" t="s">
        <v>95</v>
      </c>
      <c r="E162">
        <v>103</v>
      </c>
      <c r="F162" s="330" t="s">
        <v>659</v>
      </c>
      <c r="G162">
        <v>113.3</v>
      </c>
      <c r="H162" s="330" t="s">
        <v>660</v>
      </c>
    </row>
    <row r="163" spans="1:8" x14ac:dyDescent="0.3">
      <c r="A163" t="s">
        <v>202</v>
      </c>
      <c r="B163" t="s">
        <v>1154</v>
      </c>
      <c r="C163" t="s">
        <v>1565</v>
      </c>
      <c r="D163" t="s">
        <v>109</v>
      </c>
      <c r="E163">
        <v>80</v>
      </c>
      <c r="F163" s="330" t="s">
        <v>574</v>
      </c>
      <c r="G163">
        <v>88</v>
      </c>
      <c r="H163" s="330" t="s">
        <v>661</v>
      </c>
    </row>
    <row r="164" spans="1:8" x14ac:dyDescent="0.3">
      <c r="A164" t="s">
        <v>202</v>
      </c>
      <c r="B164" t="s">
        <v>1154</v>
      </c>
      <c r="C164" t="s">
        <v>1565</v>
      </c>
      <c r="D164" t="s">
        <v>108</v>
      </c>
      <c r="E164">
        <v>255</v>
      </c>
      <c r="F164" s="330" t="s">
        <v>531</v>
      </c>
      <c r="G164">
        <v>280.5</v>
      </c>
      <c r="H164" s="330" t="s">
        <v>662</v>
      </c>
    </row>
    <row r="165" spans="1:8" x14ac:dyDescent="0.3">
      <c r="D165" t="s">
        <v>203</v>
      </c>
      <c r="E165">
        <v>1127</v>
      </c>
    </row>
    <row r="166" spans="1:8" x14ac:dyDescent="0.3">
      <c r="A166" t="s">
        <v>180</v>
      </c>
    </row>
    <row r="167" spans="1:8" x14ac:dyDescent="0.3">
      <c r="A167" t="s">
        <v>59</v>
      </c>
    </row>
    <row r="168" spans="1:8" x14ac:dyDescent="0.3">
      <c r="A168" t="s">
        <v>4</v>
      </c>
      <c r="B168" t="s">
        <v>5</v>
      </c>
      <c r="C168" t="s">
        <v>6</v>
      </c>
      <c r="D168" t="s">
        <v>7</v>
      </c>
      <c r="E168" t="s">
        <v>8</v>
      </c>
      <c r="F168" s="330" t="s">
        <v>9</v>
      </c>
      <c r="G168" t="s">
        <v>10</v>
      </c>
    </row>
    <row r="169" spans="1:8" x14ac:dyDescent="0.3">
      <c r="A169" t="s">
        <v>205</v>
      </c>
      <c r="B169" t="s">
        <v>1126</v>
      </c>
      <c r="C169" t="s">
        <v>1965</v>
      </c>
      <c r="D169" t="s">
        <v>103</v>
      </c>
      <c r="E169">
        <v>18</v>
      </c>
      <c r="F169" s="330" t="s">
        <v>663</v>
      </c>
      <c r="G169">
        <v>19.8</v>
      </c>
      <c r="H169" s="330">
        <v>18</v>
      </c>
    </row>
    <row r="170" spans="1:8" x14ac:dyDescent="0.3">
      <c r="A170" t="s">
        <v>206</v>
      </c>
      <c r="B170" t="s">
        <v>1347</v>
      </c>
      <c r="C170" t="s">
        <v>1883</v>
      </c>
      <c r="D170" t="s">
        <v>46</v>
      </c>
      <c r="E170">
        <v>99</v>
      </c>
      <c r="F170" s="330" t="s">
        <v>655</v>
      </c>
      <c r="G170">
        <v>108.9</v>
      </c>
      <c r="H170" s="330" t="s">
        <v>664</v>
      </c>
    </row>
    <row r="171" spans="1:8" x14ac:dyDescent="0.3">
      <c r="A171" t="s">
        <v>321</v>
      </c>
      <c r="B171" t="s">
        <v>1284</v>
      </c>
      <c r="C171" t="s">
        <v>1814</v>
      </c>
      <c r="D171" t="s">
        <v>140</v>
      </c>
      <c r="E171">
        <v>85</v>
      </c>
      <c r="F171" s="330" t="s">
        <v>665</v>
      </c>
      <c r="G171">
        <v>93.5</v>
      </c>
      <c r="H171" s="330" t="s">
        <v>666</v>
      </c>
    </row>
    <row r="172" spans="1:8" x14ac:dyDescent="0.3">
      <c r="A172" t="s">
        <v>321</v>
      </c>
      <c r="B172" t="s">
        <v>1284</v>
      </c>
      <c r="C172" t="s">
        <v>1814</v>
      </c>
      <c r="D172" t="s">
        <v>142</v>
      </c>
      <c r="E172">
        <v>87</v>
      </c>
      <c r="F172" s="330" t="s">
        <v>667</v>
      </c>
      <c r="G172">
        <v>95.7</v>
      </c>
      <c r="H172" s="330" t="s">
        <v>668</v>
      </c>
    </row>
    <row r="173" spans="1:8" x14ac:dyDescent="0.3">
      <c r="A173" t="s">
        <v>209</v>
      </c>
      <c r="B173" t="s">
        <v>1991</v>
      </c>
      <c r="C173" t="s">
        <v>1805</v>
      </c>
      <c r="D173" t="s">
        <v>101</v>
      </c>
      <c r="E173">
        <v>57</v>
      </c>
      <c r="F173" s="330" t="s">
        <v>574</v>
      </c>
      <c r="G173">
        <v>62.7</v>
      </c>
      <c r="H173" s="330" t="s">
        <v>669</v>
      </c>
    </row>
    <row r="174" spans="1:8" x14ac:dyDescent="0.3">
      <c r="A174" t="s">
        <v>209</v>
      </c>
      <c r="B174" t="s">
        <v>1991</v>
      </c>
      <c r="C174" t="s">
        <v>1805</v>
      </c>
      <c r="D174" t="s">
        <v>210</v>
      </c>
      <c r="E174">
        <v>83</v>
      </c>
      <c r="F174" s="330" t="s">
        <v>571</v>
      </c>
      <c r="G174">
        <v>91.3</v>
      </c>
      <c r="H174" s="330" t="s">
        <v>670</v>
      </c>
    </row>
    <row r="175" spans="1:8" x14ac:dyDescent="0.3">
      <c r="A175" t="s">
        <v>211</v>
      </c>
      <c r="B175" t="s">
        <v>1342</v>
      </c>
      <c r="C175" t="s">
        <v>1867</v>
      </c>
      <c r="D175" t="s">
        <v>18</v>
      </c>
      <c r="E175">
        <v>80</v>
      </c>
      <c r="F175" s="330" t="s">
        <v>955</v>
      </c>
      <c r="G175">
        <v>88</v>
      </c>
      <c r="H175" s="330">
        <v>80</v>
      </c>
    </row>
    <row r="176" spans="1:8" x14ac:dyDescent="0.3">
      <c r="A176" t="s">
        <v>212</v>
      </c>
      <c r="B176" t="s">
        <v>1133</v>
      </c>
      <c r="C176" t="s">
        <v>1867</v>
      </c>
      <c r="D176" t="s">
        <v>93</v>
      </c>
      <c r="E176">
        <v>95</v>
      </c>
      <c r="F176" s="330" t="s">
        <v>956</v>
      </c>
      <c r="G176">
        <v>104.5</v>
      </c>
      <c r="H176" s="330">
        <v>95</v>
      </c>
    </row>
    <row r="177" spans="1:8" x14ac:dyDescent="0.3">
      <c r="A177" t="s">
        <v>226</v>
      </c>
      <c r="B177" t="s">
        <v>2004</v>
      </c>
      <c r="C177" t="s">
        <v>2005</v>
      </c>
      <c r="D177" t="s">
        <v>227</v>
      </c>
      <c r="E177">
        <v>105</v>
      </c>
      <c r="F177" s="330" t="s">
        <v>652</v>
      </c>
      <c r="G177">
        <v>115.5</v>
      </c>
      <c r="H177" s="330" t="s">
        <v>656</v>
      </c>
    </row>
    <row r="178" spans="1:8" x14ac:dyDescent="0.3">
      <c r="A178" t="s">
        <v>213</v>
      </c>
      <c r="B178" t="s">
        <v>1010</v>
      </c>
      <c r="C178" t="s">
        <v>1396</v>
      </c>
      <c r="D178" t="s">
        <v>50</v>
      </c>
      <c r="E178">
        <v>103</v>
      </c>
      <c r="F178" s="330" t="s">
        <v>582</v>
      </c>
      <c r="G178">
        <v>113.3</v>
      </c>
      <c r="H178" s="330" t="s">
        <v>660</v>
      </c>
    </row>
    <row r="179" spans="1:8" x14ac:dyDescent="0.3">
      <c r="A179" t="s">
        <v>280</v>
      </c>
      <c r="B179" t="s">
        <v>1147</v>
      </c>
      <c r="C179" t="s">
        <v>1518</v>
      </c>
      <c r="D179" t="s">
        <v>48</v>
      </c>
      <c r="E179">
        <v>70</v>
      </c>
      <c r="F179" s="330" t="s">
        <v>574</v>
      </c>
      <c r="G179">
        <v>77</v>
      </c>
      <c r="H179" s="330" t="s">
        <v>671</v>
      </c>
    </row>
    <row r="180" spans="1:8" x14ac:dyDescent="0.3">
      <c r="A180" t="s">
        <v>215</v>
      </c>
      <c r="B180" t="s">
        <v>1102</v>
      </c>
      <c r="C180" t="s">
        <v>1470</v>
      </c>
      <c r="D180" t="s">
        <v>56</v>
      </c>
      <c r="E180">
        <v>250</v>
      </c>
      <c r="F180" s="330" t="s">
        <v>556</v>
      </c>
      <c r="G180">
        <v>275</v>
      </c>
      <c r="H180" s="330" t="s">
        <v>672</v>
      </c>
    </row>
    <row r="181" spans="1:8" x14ac:dyDescent="0.3">
      <c r="D181" t="s">
        <v>203</v>
      </c>
      <c r="E181">
        <v>1132</v>
      </c>
    </row>
    <row r="182" spans="1:8" x14ac:dyDescent="0.3">
      <c r="A182" t="s">
        <v>217</v>
      </c>
    </row>
    <row r="183" spans="1:8" x14ac:dyDescent="0.3">
      <c r="A183" t="s">
        <v>2</v>
      </c>
    </row>
    <row r="184" spans="1:8" x14ac:dyDescent="0.3">
      <c r="A184" t="s">
        <v>4</v>
      </c>
      <c r="B184" t="s">
        <v>5</v>
      </c>
      <c r="C184" t="s">
        <v>6</v>
      </c>
      <c r="D184" t="s">
        <v>7</v>
      </c>
      <c r="E184" t="s">
        <v>8</v>
      </c>
      <c r="F184" s="330" t="s">
        <v>9</v>
      </c>
      <c r="G184" t="s">
        <v>10</v>
      </c>
    </row>
    <row r="185" spans="1:8" x14ac:dyDescent="0.3">
      <c r="A185" t="s">
        <v>219</v>
      </c>
      <c r="B185" t="s">
        <v>1223</v>
      </c>
      <c r="C185" t="s">
        <v>1649</v>
      </c>
      <c r="D185" t="s">
        <v>170</v>
      </c>
      <c r="E185">
        <v>132</v>
      </c>
      <c r="F185" s="330" t="s">
        <v>652</v>
      </c>
      <c r="G185">
        <v>145.19999999999999</v>
      </c>
      <c r="H185" s="330" t="s">
        <v>635</v>
      </c>
    </row>
    <row r="186" spans="1:8" x14ac:dyDescent="0.3">
      <c r="A186" t="s">
        <v>220</v>
      </c>
      <c r="B186" t="s">
        <v>1005</v>
      </c>
      <c r="C186" t="s">
        <v>1392</v>
      </c>
      <c r="D186" t="s">
        <v>88</v>
      </c>
      <c r="E186">
        <v>101</v>
      </c>
      <c r="F186" s="330" t="s">
        <v>673</v>
      </c>
      <c r="G186">
        <v>111.1</v>
      </c>
      <c r="H186" s="330" t="s">
        <v>674</v>
      </c>
    </row>
    <row r="187" spans="1:8" x14ac:dyDescent="0.3">
      <c r="A187" t="s">
        <v>221</v>
      </c>
      <c r="B187" t="s">
        <v>1228</v>
      </c>
      <c r="C187" t="s">
        <v>1656</v>
      </c>
      <c r="D187" t="s">
        <v>77</v>
      </c>
      <c r="E187">
        <v>122</v>
      </c>
      <c r="F187" s="330" t="s">
        <v>675</v>
      </c>
      <c r="G187">
        <v>134.19999999999999</v>
      </c>
      <c r="H187" s="330" t="s">
        <v>676</v>
      </c>
    </row>
    <row r="188" spans="1:8" x14ac:dyDescent="0.3">
      <c r="A188" t="s">
        <v>222</v>
      </c>
      <c r="B188" t="s">
        <v>1213</v>
      </c>
      <c r="C188" t="s">
        <v>1668</v>
      </c>
      <c r="D188" t="s">
        <v>154</v>
      </c>
      <c r="E188">
        <v>154</v>
      </c>
      <c r="F188" s="330" t="s">
        <v>2076</v>
      </c>
      <c r="G188">
        <v>169.4</v>
      </c>
      <c r="H188" s="330" t="s">
        <v>678</v>
      </c>
    </row>
    <row r="189" spans="1:8" x14ac:dyDescent="0.3">
      <c r="A189" t="s">
        <v>223</v>
      </c>
      <c r="B189" t="s">
        <v>1290</v>
      </c>
      <c r="C189" t="s">
        <v>1761</v>
      </c>
      <c r="D189" t="s">
        <v>136</v>
      </c>
      <c r="E189">
        <v>55</v>
      </c>
      <c r="F189" s="330" t="s">
        <v>539</v>
      </c>
      <c r="G189">
        <v>60.5</v>
      </c>
      <c r="H189" s="330" t="s">
        <v>679</v>
      </c>
    </row>
    <row r="190" spans="1:8" x14ac:dyDescent="0.3">
      <c r="A190" t="s">
        <v>223</v>
      </c>
      <c r="B190" t="s">
        <v>1290</v>
      </c>
      <c r="C190" t="s">
        <v>1761</v>
      </c>
      <c r="D190" t="s">
        <v>135</v>
      </c>
      <c r="E190">
        <v>60</v>
      </c>
      <c r="F190" s="330" t="s">
        <v>579</v>
      </c>
      <c r="G190">
        <v>66</v>
      </c>
      <c r="H190" s="330" t="s">
        <v>680</v>
      </c>
    </row>
    <row r="191" spans="1:8" x14ac:dyDescent="0.3">
      <c r="A191" t="s">
        <v>224</v>
      </c>
      <c r="B191" t="s">
        <v>1203</v>
      </c>
      <c r="C191" t="s">
        <v>1672</v>
      </c>
      <c r="D191" t="s">
        <v>55</v>
      </c>
      <c r="E191">
        <v>150</v>
      </c>
      <c r="F191" s="330" t="s">
        <v>533</v>
      </c>
      <c r="G191">
        <v>165</v>
      </c>
      <c r="H191" s="330" t="s">
        <v>681</v>
      </c>
    </row>
    <row r="192" spans="1:8" x14ac:dyDescent="0.3">
      <c r="A192" t="s">
        <v>225</v>
      </c>
      <c r="B192" t="s">
        <v>1239</v>
      </c>
      <c r="C192" t="s">
        <v>1704</v>
      </c>
      <c r="D192" t="s">
        <v>38</v>
      </c>
      <c r="E192">
        <v>80</v>
      </c>
      <c r="F192" s="330" t="s">
        <v>574</v>
      </c>
      <c r="G192">
        <v>88</v>
      </c>
      <c r="H192" s="330" t="s">
        <v>661</v>
      </c>
    </row>
    <row r="193" spans="1:8" x14ac:dyDescent="0.3">
      <c r="A193" t="s">
        <v>228</v>
      </c>
      <c r="B193" t="s">
        <v>1267</v>
      </c>
      <c r="C193" t="s">
        <v>1820</v>
      </c>
      <c r="D193" t="s">
        <v>69</v>
      </c>
      <c r="E193">
        <v>23</v>
      </c>
      <c r="F193" s="330" t="s">
        <v>616</v>
      </c>
      <c r="G193">
        <v>25.3</v>
      </c>
      <c r="H193" s="330">
        <v>23</v>
      </c>
    </row>
    <row r="194" spans="1:8" x14ac:dyDescent="0.3">
      <c r="A194" t="s">
        <v>330</v>
      </c>
      <c r="B194" t="s">
        <v>1087</v>
      </c>
      <c r="C194" t="s">
        <v>1453</v>
      </c>
      <c r="D194" t="s">
        <v>65</v>
      </c>
      <c r="E194">
        <v>90</v>
      </c>
      <c r="F194" s="330" t="s">
        <v>628</v>
      </c>
      <c r="G194">
        <v>99</v>
      </c>
      <c r="H194" s="330" t="s">
        <v>682</v>
      </c>
    </row>
    <row r="195" spans="1:8" x14ac:dyDescent="0.3">
      <c r="A195" t="s">
        <v>242</v>
      </c>
      <c r="B195" t="s">
        <v>988</v>
      </c>
      <c r="C195" t="s">
        <v>1381</v>
      </c>
      <c r="D195" t="s">
        <v>131</v>
      </c>
      <c r="E195">
        <v>128</v>
      </c>
      <c r="F195" s="330" t="s">
        <v>683</v>
      </c>
      <c r="G195">
        <v>140.80000000000001</v>
      </c>
      <c r="H195" s="330" t="s">
        <v>684</v>
      </c>
    </row>
    <row r="196" spans="1:8" x14ac:dyDescent="0.3">
      <c r="A196" t="s">
        <v>229</v>
      </c>
      <c r="B196" t="s">
        <v>1245</v>
      </c>
      <c r="C196" t="s">
        <v>1417</v>
      </c>
      <c r="D196" t="s">
        <v>121</v>
      </c>
      <c r="E196">
        <v>70</v>
      </c>
      <c r="F196" s="330" t="s">
        <v>546</v>
      </c>
      <c r="G196">
        <v>77</v>
      </c>
      <c r="H196" s="330">
        <v>70</v>
      </c>
    </row>
    <row r="197" spans="1:8" x14ac:dyDescent="0.3">
      <c r="A197" t="s">
        <v>230</v>
      </c>
      <c r="B197" t="s">
        <v>1256</v>
      </c>
      <c r="C197" t="s">
        <v>1704</v>
      </c>
      <c r="D197" t="s">
        <v>42</v>
      </c>
      <c r="E197">
        <v>37</v>
      </c>
      <c r="F197" s="330" t="s">
        <v>541</v>
      </c>
      <c r="G197">
        <v>40.700000000000003</v>
      </c>
      <c r="H197" s="330">
        <v>37</v>
      </c>
    </row>
    <row r="198" spans="1:8" x14ac:dyDescent="0.3">
      <c r="D198" t="s">
        <v>231</v>
      </c>
      <c r="E198">
        <v>1202</v>
      </c>
    </row>
    <row r="199" spans="1:8" x14ac:dyDescent="0.3">
      <c r="A199" t="s">
        <v>217</v>
      </c>
    </row>
    <row r="200" spans="1:8" x14ac:dyDescent="0.3">
      <c r="A200" t="s">
        <v>29</v>
      </c>
    </row>
    <row r="201" spans="1:8" x14ac:dyDescent="0.3">
      <c r="A201" t="s">
        <v>4</v>
      </c>
      <c r="B201" t="s">
        <v>5</v>
      </c>
      <c r="C201" t="s">
        <v>6</v>
      </c>
      <c r="D201" t="s">
        <v>7</v>
      </c>
      <c r="E201" t="s">
        <v>8</v>
      </c>
      <c r="F201" s="330" t="s">
        <v>9</v>
      </c>
      <c r="G201" t="s">
        <v>10</v>
      </c>
    </row>
    <row r="202" spans="1:8" x14ac:dyDescent="0.3">
      <c r="A202" t="s">
        <v>233</v>
      </c>
      <c r="B202" t="s">
        <v>1187</v>
      </c>
      <c r="C202" t="s">
        <v>1586</v>
      </c>
      <c r="D202" t="s">
        <v>71</v>
      </c>
      <c r="E202">
        <v>70</v>
      </c>
      <c r="F202" s="330" t="s">
        <v>685</v>
      </c>
      <c r="G202">
        <v>77</v>
      </c>
      <c r="H202" s="330" t="s">
        <v>590</v>
      </c>
    </row>
    <row r="203" spans="1:8" x14ac:dyDescent="0.3">
      <c r="A203" t="s">
        <v>234</v>
      </c>
      <c r="B203" t="s">
        <v>990</v>
      </c>
      <c r="C203" t="s">
        <v>1599</v>
      </c>
      <c r="D203" t="s">
        <v>75</v>
      </c>
      <c r="E203">
        <v>245</v>
      </c>
      <c r="F203" s="330" t="s">
        <v>954</v>
      </c>
      <c r="G203">
        <v>269.5</v>
      </c>
      <c r="H203" s="330" t="s">
        <v>686</v>
      </c>
    </row>
    <row r="204" spans="1:8" x14ac:dyDescent="0.3">
      <c r="A204" t="s">
        <v>235</v>
      </c>
      <c r="B204" t="s">
        <v>1159</v>
      </c>
      <c r="C204" t="s">
        <v>1923</v>
      </c>
      <c r="D204" t="s">
        <v>25</v>
      </c>
      <c r="E204">
        <v>340</v>
      </c>
      <c r="F204" s="330" t="s">
        <v>687</v>
      </c>
      <c r="G204">
        <v>374</v>
      </c>
      <c r="H204" s="330" t="s">
        <v>688</v>
      </c>
    </row>
    <row r="205" spans="1:8" x14ac:dyDescent="0.3">
      <c r="A205" t="s">
        <v>235</v>
      </c>
      <c r="B205" t="s">
        <v>1359</v>
      </c>
      <c r="C205" t="s">
        <v>1923</v>
      </c>
      <c r="D205" t="s">
        <v>172</v>
      </c>
      <c r="E205">
        <v>175</v>
      </c>
      <c r="F205" s="330" t="s">
        <v>689</v>
      </c>
      <c r="G205">
        <v>192.5</v>
      </c>
      <c r="H205" s="330" t="s">
        <v>690</v>
      </c>
    </row>
    <row r="206" spans="1:8" x14ac:dyDescent="0.3">
      <c r="A206" t="s">
        <v>284</v>
      </c>
      <c r="B206" t="s">
        <v>1234</v>
      </c>
      <c r="C206" t="s">
        <v>1649</v>
      </c>
      <c r="D206" t="s">
        <v>194</v>
      </c>
      <c r="E206">
        <v>93</v>
      </c>
      <c r="F206" s="330" t="s">
        <v>571</v>
      </c>
      <c r="G206">
        <v>102.3</v>
      </c>
      <c r="H206" s="330" t="s">
        <v>691</v>
      </c>
    </row>
    <row r="207" spans="1:8" x14ac:dyDescent="0.3">
      <c r="A207" t="s">
        <v>113</v>
      </c>
      <c r="B207" t="s">
        <v>1958</v>
      </c>
      <c r="C207" t="s">
        <v>1797</v>
      </c>
      <c r="D207" t="s">
        <v>109</v>
      </c>
      <c r="E207">
        <v>80</v>
      </c>
      <c r="F207" s="330" t="s">
        <v>571</v>
      </c>
      <c r="G207">
        <v>88</v>
      </c>
      <c r="H207" s="330" t="s">
        <v>692</v>
      </c>
    </row>
    <row r="208" spans="1:8" x14ac:dyDescent="0.3">
      <c r="A208" t="s">
        <v>236</v>
      </c>
      <c r="B208" t="s">
        <v>1000</v>
      </c>
      <c r="C208" t="s">
        <v>1797</v>
      </c>
      <c r="D208" t="s">
        <v>53</v>
      </c>
      <c r="E208">
        <v>155</v>
      </c>
      <c r="F208" s="330" t="s">
        <v>693</v>
      </c>
      <c r="G208">
        <v>170.5</v>
      </c>
      <c r="H208" s="330" t="s">
        <v>694</v>
      </c>
    </row>
    <row r="209" spans="1:8" x14ac:dyDescent="0.3">
      <c r="D209" t="s">
        <v>237</v>
      </c>
      <c r="E209">
        <v>1158</v>
      </c>
    </row>
    <row r="210" spans="1:8" x14ac:dyDescent="0.3">
      <c r="A210" t="s">
        <v>217</v>
      </c>
    </row>
    <row r="211" spans="1:8" x14ac:dyDescent="0.3">
      <c r="A211" t="s">
        <v>59</v>
      </c>
    </row>
    <row r="212" spans="1:8" x14ac:dyDescent="0.3">
      <c r="A212" t="s">
        <v>4</v>
      </c>
      <c r="B212" t="s">
        <v>5</v>
      </c>
      <c r="C212" t="s">
        <v>6</v>
      </c>
      <c r="D212" t="s">
        <v>7</v>
      </c>
      <c r="E212" t="s">
        <v>8</v>
      </c>
      <c r="F212" s="330" t="s">
        <v>9</v>
      </c>
      <c r="G212" t="s">
        <v>10</v>
      </c>
    </row>
    <row r="213" spans="1:8" x14ac:dyDescent="0.3">
      <c r="A213" t="s">
        <v>238</v>
      </c>
      <c r="B213" t="s">
        <v>1262</v>
      </c>
      <c r="C213" t="s">
        <v>1435</v>
      </c>
      <c r="D213" t="s">
        <v>86</v>
      </c>
      <c r="E213">
        <v>40</v>
      </c>
      <c r="F213" s="330" t="s">
        <v>695</v>
      </c>
      <c r="G213">
        <v>44</v>
      </c>
      <c r="H213" s="330" t="s">
        <v>559</v>
      </c>
    </row>
    <row r="214" spans="1:8" x14ac:dyDescent="0.3">
      <c r="A214" t="s">
        <v>239</v>
      </c>
      <c r="B214" t="s">
        <v>1030</v>
      </c>
      <c r="C214" t="s">
        <v>1435</v>
      </c>
      <c r="D214" t="s">
        <v>133</v>
      </c>
      <c r="E214">
        <v>76</v>
      </c>
      <c r="F214" s="330" t="s">
        <v>696</v>
      </c>
      <c r="G214">
        <v>83.6</v>
      </c>
      <c r="H214" s="330" t="s">
        <v>697</v>
      </c>
    </row>
    <row r="215" spans="1:8" x14ac:dyDescent="0.3">
      <c r="A215" t="s">
        <v>240</v>
      </c>
      <c r="B215" t="s">
        <v>1030</v>
      </c>
      <c r="C215" t="s">
        <v>1435</v>
      </c>
      <c r="D215" t="s">
        <v>33</v>
      </c>
      <c r="E215">
        <v>240</v>
      </c>
      <c r="F215" s="330" t="s">
        <v>531</v>
      </c>
      <c r="G215">
        <v>264</v>
      </c>
      <c r="H215" s="330" t="s">
        <v>612</v>
      </c>
    </row>
    <row r="216" spans="1:8" x14ac:dyDescent="0.3">
      <c r="A216" t="s">
        <v>241</v>
      </c>
      <c r="B216" t="s">
        <v>1030</v>
      </c>
      <c r="C216" t="s">
        <v>1435</v>
      </c>
      <c r="D216" t="s">
        <v>23</v>
      </c>
      <c r="E216">
        <v>40</v>
      </c>
      <c r="F216" s="330" t="s">
        <v>633</v>
      </c>
      <c r="G216">
        <v>44</v>
      </c>
      <c r="H216" s="330">
        <v>40</v>
      </c>
    </row>
    <row r="217" spans="1:8" x14ac:dyDescent="0.3">
      <c r="A217" t="s">
        <v>214</v>
      </c>
      <c r="B217" t="s">
        <v>1214</v>
      </c>
      <c r="C217" t="s">
        <v>1674</v>
      </c>
      <c r="D217" t="s">
        <v>177</v>
      </c>
      <c r="E217">
        <v>95</v>
      </c>
      <c r="F217" s="330" t="s">
        <v>582</v>
      </c>
      <c r="G217">
        <v>104.5</v>
      </c>
      <c r="H217" s="330" t="s">
        <v>698</v>
      </c>
    </row>
    <row r="218" spans="1:8" x14ac:dyDescent="0.3">
      <c r="A218" t="s">
        <v>234</v>
      </c>
      <c r="B218" t="s">
        <v>990</v>
      </c>
      <c r="C218" t="s">
        <v>1947</v>
      </c>
      <c r="D218" t="s">
        <v>80</v>
      </c>
      <c r="E218">
        <v>120</v>
      </c>
      <c r="F218" s="330" t="s">
        <v>611</v>
      </c>
      <c r="G218">
        <v>132</v>
      </c>
      <c r="H218" s="330" t="s">
        <v>699</v>
      </c>
    </row>
    <row r="219" spans="1:8" x14ac:dyDescent="0.3">
      <c r="A219" t="s">
        <v>234</v>
      </c>
      <c r="B219" t="s">
        <v>990</v>
      </c>
      <c r="C219" t="s">
        <v>1947</v>
      </c>
      <c r="D219" t="s">
        <v>51</v>
      </c>
      <c r="E219">
        <v>295</v>
      </c>
      <c r="F219" s="330" t="s">
        <v>700</v>
      </c>
      <c r="G219">
        <v>324.5</v>
      </c>
      <c r="H219" s="330" t="s">
        <v>701</v>
      </c>
    </row>
    <row r="220" spans="1:8" x14ac:dyDescent="0.3">
      <c r="A220" t="s">
        <v>234</v>
      </c>
      <c r="B220" t="s">
        <v>990</v>
      </c>
      <c r="C220" t="s">
        <v>1947</v>
      </c>
      <c r="D220" t="s">
        <v>161</v>
      </c>
      <c r="E220">
        <v>225</v>
      </c>
      <c r="F220" s="330" t="s">
        <v>702</v>
      </c>
      <c r="G220">
        <v>247.5</v>
      </c>
      <c r="H220" s="330" t="s">
        <v>703</v>
      </c>
    </row>
    <row r="221" spans="1:8" x14ac:dyDescent="0.3">
      <c r="D221" t="s">
        <v>237</v>
      </c>
      <c r="E221">
        <v>1131</v>
      </c>
    </row>
    <row r="222" spans="1:8" x14ac:dyDescent="0.3">
      <c r="A222" t="s">
        <v>243</v>
      </c>
    </row>
    <row r="223" spans="1:8" x14ac:dyDescent="0.3">
      <c r="A223" t="s">
        <v>2</v>
      </c>
    </row>
    <row r="224" spans="1:8" x14ac:dyDescent="0.3">
      <c r="A224" t="s">
        <v>4</v>
      </c>
      <c r="B224" t="s">
        <v>5</v>
      </c>
      <c r="C224" t="s">
        <v>6</v>
      </c>
      <c r="D224" t="s">
        <v>7</v>
      </c>
      <c r="E224" t="s">
        <v>8</v>
      </c>
      <c r="F224" s="330" t="s">
        <v>9</v>
      </c>
      <c r="G224" t="s">
        <v>10</v>
      </c>
    </row>
    <row r="225" spans="1:8" x14ac:dyDescent="0.3">
      <c r="A225" t="s">
        <v>245</v>
      </c>
      <c r="B225" t="s">
        <v>1085</v>
      </c>
      <c r="C225" t="s">
        <v>1638</v>
      </c>
      <c r="D225" t="s">
        <v>172</v>
      </c>
      <c r="E225">
        <v>103</v>
      </c>
      <c r="F225" s="330" t="s">
        <v>582</v>
      </c>
      <c r="G225">
        <v>113.3</v>
      </c>
      <c r="H225" s="330" t="s">
        <v>660</v>
      </c>
    </row>
    <row r="226" spans="1:8" x14ac:dyDescent="0.3">
      <c r="A226" t="s">
        <v>245</v>
      </c>
      <c r="B226" t="s">
        <v>1085</v>
      </c>
      <c r="C226" t="s">
        <v>1639</v>
      </c>
      <c r="D226" t="s">
        <v>73</v>
      </c>
      <c r="E226">
        <v>55</v>
      </c>
      <c r="F226" s="330" t="s">
        <v>704</v>
      </c>
      <c r="G226">
        <v>60.5</v>
      </c>
      <c r="H226" s="330" t="s">
        <v>598</v>
      </c>
    </row>
    <row r="227" spans="1:8" x14ac:dyDescent="0.3">
      <c r="A227" t="s">
        <v>245</v>
      </c>
      <c r="B227" t="s">
        <v>1227</v>
      </c>
      <c r="C227" t="s">
        <v>1637</v>
      </c>
      <c r="D227" t="s">
        <v>77</v>
      </c>
      <c r="E227">
        <v>65</v>
      </c>
      <c r="F227" s="330" t="s">
        <v>705</v>
      </c>
      <c r="G227">
        <v>71.5</v>
      </c>
      <c r="H227" s="330">
        <v>65</v>
      </c>
    </row>
    <row r="228" spans="1:8" x14ac:dyDescent="0.3">
      <c r="A228" t="s">
        <v>245</v>
      </c>
      <c r="B228" t="s">
        <v>1085</v>
      </c>
      <c r="C228" t="s">
        <v>1639</v>
      </c>
      <c r="D228" t="s">
        <v>25</v>
      </c>
      <c r="E228">
        <v>170</v>
      </c>
      <c r="F228" s="330" t="s">
        <v>706</v>
      </c>
      <c r="G228">
        <v>187</v>
      </c>
      <c r="H228" s="330" t="s">
        <v>707</v>
      </c>
    </row>
    <row r="229" spans="1:8" x14ac:dyDescent="0.3">
      <c r="A229" t="s">
        <v>245</v>
      </c>
      <c r="B229" t="s">
        <v>1085</v>
      </c>
      <c r="C229" t="s">
        <v>1638</v>
      </c>
      <c r="D229" t="s">
        <v>126</v>
      </c>
      <c r="E229">
        <v>90</v>
      </c>
      <c r="F229" s="330" t="s">
        <v>708</v>
      </c>
      <c r="G229">
        <v>99</v>
      </c>
      <c r="H229" s="330" t="s">
        <v>709</v>
      </c>
    </row>
    <row r="230" spans="1:8" x14ac:dyDescent="0.3">
      <c r="A230" t="s">
        <v>245</v>
      </c>
      <c r="B230" t="s">
        <v>1085</v>
      </c>
      <c r="C230" t="s">
        <v>1638</v>
      </c>
      <c r="D230" t="s">
        <v>75</v>
      </c>
      <c r="E230">
        <v>160</v>
      </c>
      <c r="F230" s="330" t="s">
        <v>710</v>
      </c>
      <c r="G230">
        <v>176</v>
      </c>
      <c r="H230" s="330" t="s">
        <v>711</v>
      </c>
    </row>
    <row r="231" spans="1:8" x14ac:dyDescent="0.3">
      <c r="A231" t="s">
        <v>245</v>
      </c>
      <c r="B231" t="s">
        <v>1085</v>
      </c>
      <c r="C231" t="s">
        <v>1638</v>
      </c>
      <c r="D231" t="s">
        <v>112</v>
      </c>
      <c r="E231">
        <v>46</v>
      </c>
      <c r="F231" s="330" t="s">
        <v>541</v>
      </c>
      <c r="G231">
        <v>50.6</v>
      </c>
      <c r="H231" s="330">
        <v>46</v>
      </c>
    </row>
    <row r="232" spans="1:8" x14ac:dyDescent="0.3">
      <c r="A232" t="s">
        <v>245</v>
      </c>
      <c r="B232" t="s">
        <v>1085</v>
      </c>
      <c r="C232" t="s">
        <v>1637</v>
      </c>
      <c r="D232" t="s">
        <v>109</v>
      </c>
      <c r="E232">
        <v>43</v>
      </c>
      <c r="F232" s="330" t="s">
        <v>712</v>
      </c>
      <c r="G232">
        <v>47.3</v>
      </c>
      <c r="H232" s="330" t="s">
        <v>713</v>
      </c>
    </row>
    <row r="233" spans="1:8" x14ac:dyDescent="0.3">
      <c r="A233" t="s">
        <v>245</v>
      </c>
      <c r="B233" t="s">
        <v>1158</v>
      </c>
      <c r="C233" t="s">
        <v>1637</v>
      </c>
      <c r="D233" t="s">
        <v>108</v>
      </c>
      <c r="E233">
        <v>150</v>
      </c>
      <c r="F233" s="330" t="s">
        <v>714</v>
      </c>
      <c r="G233">
        <v>165</v>
      </c>
      <c r="H233" s="330" t="s">
        <v>715</v>
      </c>
    </row>
    <row r="234" spans="1:8" x14ac:dyDescent="0.3">
      <c r="A234" t="s">
        <v>270</v>
      </c>
      <c r="B234" t="s">
        <v>1125</v>
      </c>
      <c r="C234" t="s">
        <v>1964</v>
      </c>
      <c r="D234" t="s">
        <v>177</v>
      </c>
      <c r="E234">
        <v>2</v>
      </c>
      <c r="F234" s="330" t="s">
        <v>716</v>
      </c>
      <c r="G234">
        <v>2.2000000000000002</v>
      </c>
      <c r="H234" s="330">
        <v>2</v>
      </c>
    </row>
    <row r="235" spans="1:8" x14ac:dyDescent="0.3">
      <c r="A235" t="s">
        <v>270</v>
      </c>
      <c r="B235" t="s">
        <v>1125</v>
      </c>
      <c r="C235" t="s">
        <v>1964</v>
      </c>
      <c r="D235" t="s">
        <v>103</v>
      </c>
      <c r="E235">
        <v>60</v>
      </c>
      <c r="F235" s="330" t="s">
        <v>566</v>
      </c>
      <c r="G235">
        <v>66</v>
      </c>
      <c r="H235" s="330" t="s">
        <v>717</v>
      </c>
    </row>
    <row r="236" spans="1:8" x14ac:dyDescent="0.3">
      <c r="A236" t="s">
        <v>258</v>
      </c>
      <c r="B236" t="s">
        <v>1321</v>
      </c>
      <c r="C236" t="s">
        <v>1995</v>
      </c>
      <c r="D236" t="s">
        <v>63</v>
      </c>
      <c r="E236">
        <v>53</v>
      </c>
      <c r="F236" s="330" t="s">
        <v>718</v>
      </c>
      <c r="G236">
        <v>58.3</v>
      </c>
      <c r="H236" s="330" t="s">
        <v>657</v>
      </c>
    </row>
    <row r="237" spans="1:8" x14ac:dyDescent="0.3">
      <c r="A237" t="s">
        <v>319</v>
      </c>
      <c r="B237" t="s">
        <v>1325</v>
      </c>
      <c r="C237" t="s">
        <v>1519</v>
      </c>
      <c r="D237" t="s">
        <v>44</v>
      </c>
      <c r="E237">
        <v>40</v>
      </c>
      <c r="F237" s="330" t="s">
        <v>541</v>
      </c>
      <c r="G237">
        <v>44</v>
      </c>
      <c r="H237" s="330">
        <v>40</v>
      </c>
    </row>
    <row r="238" spans="1:8" x14ac:dyDescent="0.3">
      <c r="A238" t="s">
        <v>415</v>
      </c>
      <c r="B238" t="s">
        <v>1149</v>
      </c>
      <c r="C238" t="s">
        <v>1546</v>
      </c>
      <c r="D238" t="s">
        <v>48</v>
      </c>
      <c r="E238">
        <v>71</v>
      </c>
      <c r="F238" s="330" t="s">
        <v>546</v>
      </c>
      <c r="G238">
        <v>78.099999999999994</v>
      </c>
      <c r="H238" s="330">
        <v>71</v>
      </c>
    </row>
    <row r="239" spans="1:8" x14ac:dyDescent="0.3">
      <c r="A239" t="s">
        <v>431</v>
      </c>
      <c r="B239" t="s">
        <v>1148</v>
      </c>
      <c r="C239" t="s">
        <v>1511</v>
      </c>
      <c r="D239" t="s">
        <v>48</v>
      </c>
      <c r="E239">
        <v>54</v>
      </c>
      <c r="F239" s="330" t="s">
        <v>719</v>
      </c>
      <c r="G239">
        <v>59.4</v>
      </c>
      <c r="H239" s="330" t="s">
        <v>720</v>
      </c>
    </row>
    <row r="240" spans="1:8" x14ac:dyDescent="0.3">
      <c r="D240" t="s">
        <v>248</v>
      </c>
      <c r="E240">
        <v>1162</v>
      </c>
    </row>
    <row r="241" spans="1:8" x14ac:dyDescent="0.3">
      <c r="A241" t="s">
        <v>243</v>
      </c>
    </row>
    <row r="242" spans="1:8" x14ac:dyDescent="0.3">
      <c r="A242" t="s">
        <v>29</v>
      </c>
    </row>
    <row r="243" spans="1:8" x14ac:dyDescent="0.3">
      <c r="A243" t="s">
        <v>4</v>
      </c>
      <c r="B243" t="s">
        <v>5</v>
      </c>
      <c r="C243" t="s">
        <v>6</v>
      </c>
      <c r="D243" t="s">
        <v>7</v>
      </c>
      <c r="E243" t="s">
        <v>8</v>
      </c>
      <c r="F243" s="330" t="s">
        <v>9</v>
      </c>
      <c r="G243" t="s">
        <v>10</v>
      </c>
    </row>
    <row r="244" spans="1:8" x14ac:dyDescent="0.3">
      <c r="A244" t="s">
        <v>250</v>
      </c>
      <c r="B244" t="s">
        <v>1094</v>
      </c>
      <c r="C244" t="s">
        <v>1582</v>
      </c>
      <c r="D244" t="s">
        <v>251</v>
      </c>
      <c r="E244">
        <v>160</v>
      </c>
      <c r="F244" s="330" t="s">
        <v>34</v>
      </c>
      <c r="G244">
        <v>176</v>
      </c>
    </row>
    <row r="245" spans="1:8" x14ac:dyDescent="0.3">
      <c r="A245" t="s">
        <v>250</v>
      </c>
      <c r="B245" t="s">
        <v>1094</v>
      </c>
      <c r="C245" t="s">
        <v>1455</v>
      </c>
      <c r="D245" t="s">
        <v>252</v>
      </c>
      <c r="E245">
        <v>87</v>
      </c>
      <c r="F245" s="330" t="s">
        <v>721</v>
      </c>
      <c r="G245">
        <v>95.7</v>
      </c>
      <c r="H245" s="330" t="s">
        <v>722</v>
      </c>
    </row>
    <row r="246" spans="1:8" x14ac:dyDescent="0.3">
      <c r="A246" t="s">
        <v>19</v>
      </c>
      <c r="B246" t="s">
        <v>1151</v>
      </c>
      <c r="C246" t="s">
        <v>1599</v>
      </c>
      <c r="D246" t="s">
        <v>51</v>
      </c>
      <c r="E246">
        <v>295</v>
      </c>
      <c r="F246" s="330" t="s">
        <v>954</v>
      </c>
      <c r="G246">
        <v>324.5</v>
      </c>
      <c r="H246" s="330" t="s">
        <v>723</v>
      </c>
    </row>
    <row r="247" spans="1:8" x14ac:dyDescent="0.3">
      <c r="A247" t="s">
        <v>253</v>
      </c>
      <c r="B247" t="s">
        <v>1277</v>
      </c>
      <c r="C247" t="s">
        <v>1800</v>
      </c>
      <c r="D247" t="s">
        <v>210</v>
      </c>
      <c r="E247">
        <v>83</v>
      </c>
      <c r="F247" s="330" t="s">
        <v>724</v>
      </c>
      <c r="G247">
        <v>91.3</v>
      </c>
      <c r="H247" s="330" t="s">
        <v>725</v>
      </c>
    </row>
    <row r="248" spans="1:8" x14ac:dyDescent="0.3">
      <c r="A248" t="s">
        <v>253</v>
      </c>
      <c r="B248" t="s">
        <v>1277</v>
      </c>
      <c r="C248" t="s">
        <v>1800</v>
      </c>
      <c r="D248" t="s">
        <v>101</v>
      </c>
      <c r="E248">
        <v>57</v>
      </c>
      <c r="F248" s="330" t="s">
        <v>529</v>
      </c>
      <c r="G248">
        <v>62.7</v>
      </c>
      <c r="H248" s="330" t="s">
        <v>726</v>
      </c>
    </row>
    <row r="249" spans="1:8" x14ac:dyDescent="0.3">
      <c r="A249" t="s">
        <v>247</v>
      </c>
      <c r="B249" t="s">
        <v>1206</v>
      </c>
      <c r="C249" t="s">
        <v>1678</v>
      </c>
      <c r="D249" t="s">
        <v>55</v>
      </c>
      <c r="E249">
        <v>150</v>
      </c>
      <c r="F249" s="330" t="s">
        <v>714</v>
      </c>
      <c r="G249">
        <v>165</v>
      </c>
      <c r="H249" s="330" t="s">
        <v>715</v>
      </c>
    </row>
    <row r="250" spans="1:8" x14ac:dyDescent="0.3">
      <c r="A250" t="s">
        <v>254</v>
      </c>
      <c r="B250" t="s">
        <v>1035</v>
      </c>
      <c r="C250" t="s">
        <v>1950</v>
      </c>
      <c r="D250" t="s">
        <v>99</v>
      </c>
      <c r="E250">
        <v>17</v>
      </c>
      <c r="F250" s="330" t="s">
        <v>727</v>
      </c>
      <c r="G250">
        <v>18.7</v>
      </c>
      <c r="H250" s="330">
        <v>17</v>
      </c>
    </row>
    <row r="251" spans="1:8" x14ac:dyDescent="0.3">
      <c r="A251" t="s">
        <v>297</v>
      </c>
      <c r="B251" t="s">
        <v>1131</v>
      </c>
      <c r="C251" t="s">
        <v>1519</v>
      </c>
      <c r="D251" t="s">
        <v>14</v>
      </c>
      <c r="E251">
        <v>65</v>
      </c>
      <c r="F251" s="330" t="s">
        <v>574</v>
      </c>
      <c r="G251">
        <v>71.5</v>
      </c>
      <c r="H251" s="330" t="s">
        <v>638</v>
      </c>
    </row>
    <row r="252" spans="1:8" x14ac:dyDescent="0.3">
      <c r="A252" t="s">
        <v>297</v>
      </c>
      <c r="B252" t="s">
        <v>1131</v>
      </c>
      <c r="C252" t="s">
        <v>1518</v>
      </c>
      <c r="D252" t="s">
        <v>13</v>
      </c>
      <c r="E252">
        <v>160</v>
      </c>
      <c r="F252" s="330" t="s">
        <v>706</v>
      </c>
      <c r="G252">
        <v>176</v>
      </c>
      <c r="H252" s="330" t="s">
        <v>728</v>
      </c>
    </row>
    <row r="253" spans="1:8" x14ac:dyDescent="0.3">
      <c r="A253" t="s">
        <v>271</v>
      </c>
      <c r="B253" t="s">
        <v>1281</v>
      </c>
      <c r="C253" t="s">
        <v>1842</v>
      </c>
      <c r="D253" t="s">
        <v>140</v>
      </c>
      <c r="E253">
        <v>85</v>
      </c>
      <c r="F253" s="330" t="s">
        <v>729</v>
      </c>
      <c r="G253">
        <v>93.5</v>
      </c>
      <c r="H253" s="330" t="s">
        <v>730</v>
      </c>
    </row>
    <row r="254" spans="1:8" x14ac:dyDescent="0.3">
      <c r="A254" t="s">
        <v>260</v>
      </c>
      <c r="B254" t="s">
        <v>990</v>
      </c>
      <c r="C254" t="s">
        <v>1445</v>
      </c>
      <c r="D254" t="s">
        <v>130</v>
      </c>
      <c r="E254">
        <v>136</v>
      </c>
      <c r="F254" s="330" t="s">
        <v>731</v>
      </c>
      <c r="G254">
        <v>149.6</v>
      </c>
      <c r="H254" s="330" t="s">
        <v>732</v>
      </c>
    </row>
    <row r="255" spans="1:8" x14ac:dyDescent="0.3">
      <c r="D255" t="s">
        <v>261</v>
      </c>
      <c r="E255">
        <v>1135</v>
      </c>
    </row>
    <row r="256" spans="1:8" x14ac:dyDescent="0.3">
      <c r="A256" t="s">
        <v>243</v>
      </c>
    </row>
    <row r="257" spans="1:8" x14ac:dyDescent="0.3">
      <c r="A257" t="s">
        <v>59</v>
      </c>
    </row>
    <row r="258" spans="1:8" x14ac:dyDescent="0.3">
      <c r="A258" t="s">
        <v>4</v>
      </c>
      <c r="B258" t="s">
        <v>5</v>
      </c>
      <c r="C258" t="s">
        <v>6</v>
      </c>
      <c r="D258" t="s">
        <v>7</v>
      </c>
      <c r="E258" t="s">
        <v>8</v>
      </c>
      <c r="F258" s="330" t="s">
        <v>9</v>
      </c>
      <c r="G258" t="s">
        <v>10</v>
      </c>
    </row>
    <row r="259" spans="1:8" x14ac:dyDescent="0.3">
      <c r="A259" t="s">
        <v>263</v>
      </c>
      <c r="B259" t="s">
        <v>1333</v>
      </c>
      <c r="C259" t="s">
        <v>1872</v>
      </c>
      <c r="D259" t="s">
        <v>93</v>
      </c>
      <c r="E259">
        <v>95</v>
      </c>
      <c r="F259" s="330" t="s">
        <v>571</v>
      </c>
      <c r="G259">
        <v>104.5</v>
      </c>
      <c r="H259" s="330" t="s">
        <v>733</v>
      </c>
    </row>
    <row r="260" spans="1:8" x14ac:dyDescent="0.3">
      <c r="A260" t="s">
        <v>264</v>
      </c>
      <c r="B260" t="s">
        <v>1345</v>
      </c>
      <c r="C260" t="s">
        <v>1881</v>
      </c>
      <c r="D260" t="s">
        <v>46</v>
      </c>
      <c r="E260">
        <v>99</v>
      </c>
      <c r="F260" s="330" t="s">
        <v>734</v>
      </c>
      <c r="G260">
        <v>108.9</v>
      </c>
      <c r="H260" s="330" t="s">
        <v>735</v>
      </c>
    </row>
    <row r="261" spans="1:8" x14ac:dyDescent="0.3">
      <c r="A261" t="s">
        <v>265</v>
      </c>
      <c r="B261" t="s">
        <v>1243</v>
      </c>
      <c r="C261" t="s">
        <v>1406</v>
      </c>
      <c r="D261" t="s">
        <v>121</v>
      </c>
      <c r="E261">
        <v>70</v>
      </c>
      <c r="F261" s="330" t="s">
        <v>574</v>
      </c>
      <c r="G261">
        <v>77</v>
      </c>
      <c r="H261" s="330" t="s">
        <v>736</v>
      </c>
    </row>
    <row r="262" spans="1:8" x14ac:dyDescent="0.3">
      <c r="A262" t="s">
        <v>266</v>
      </c>
      <c r="B262" t="s">
        <v>1009</v>
      </c>
      <c r="C262" t="s">
        <v>1406</v>
      </c>
      <c r="D262" t="s">
        <v>88</v>
      </c>
      <c r="E262">
        <v>101</v>
      </c>
      <c r="F262" s="330" t="s">
        <v>954</v>
      </c>
      <c r="G262">
        <v>111.1</v>
      </c>
      <c r="H262" s="330" t="s">
        <v>961</v>
      </c>
    </row>
    <row r="263" spans="1:8" x14ac:dyDescent="0.3">
      <c r="A263" t="s">
        <v>143</v>
      </c>
      <c r="B263" t="s">
        <v>1196</v>
      </c>
      <c r="C263" t="s">
        <v>1620</v>
      </c>
      <c r="D263" t="s">
        <v>144</v>
      </c>
      <c r="E263">
        <v>189</v>
      </c>
      <c r="F263" s="330" t="s">
        <v>954</v>
      </c>
      <c r="G263">
        <v>207.9</v>
      </c>
      <c r="H263" s="330" t="s">
        <v>738</v>
      </c>
    </row>
    <row r="264" spans="1:8" x14ac:dyDescent="0.3">
      <c r="A264" t="s">
        <v>268</v>
      </c>
      <c r="B264" t="s">
        <v>1018</v>
      </c>
      <c r="C264" t="s">
        <v>1715</v>
      </c>
      <c r="D264" t="s">
        <v>191</v>
      </c>
      <c r="E264">
        <v>70</v>
      </c>
      <c r="F264" s="330" t="s">
        <v>529</v>
      </c>
      <c r="G264">
        <v>77</v>
      </c>
      <c r="H264" s="330" t="s">
        <v>649</v>
      </c>
    </row>
    <row r="265" spans="1:8" x14ac:dyDescent="0.3">
      <c r="A265" t="s">
        <v>269</v>
      </c>
      <c r="B265" t="s">
        <v>2003</v>
      </c>
      <c r="C265" t="s">
        <v>1998</v>
      </c>
      <c r="D265" t="s">
        <v>227</v>
      </c>
      <c r="E265">
        <v>138</v>
      </c>
      <c r="F265" s="330" t="s">
        <v>731</v>
      </c>
      <c r="G265">
        <v>151.80000000000001</v>
      </c>
      <c r="H265" s="330" t="s">
        <v>739</v>
      </c>
    </row>
    <row r="266" spans="1:8" x14ac:dyDescent="0.3">
      <c r="A266" t="s">
        <v>268</v>
      </c>
      <c r="B266" t="s">
        <v>1292</v>
      </c>
      <c r="C266" t="s">
        <v>1715</v>
      </c>
      <c r="D266" t="s">
        <v>161</v>
      </c>
      <c r="E266">
        <v>225</v>
      </c>
      <c r="F266" s="330" t="s">
        <v>740</v>
      </c>
      <c r="G266">
        <v>247.5</v>
      </c>
      <c r="H266" s="330" t="s">
        <v>741</v>
      </c>
    </row>
    <row r="267" spans="1:8" x14ac:dyDescent="0.3">
      <c r="A267" t="s">
        <v>256</v>
      </c>
      <c r="B267" t="s">
        <v>1311</v>
      </c>
      <c r="C267" t="s">
        <v>1807</v>
      </c>
      <c r="D267" t="s">
        <v>142</v>
      </c>
      <c r="E267">
        <v>87</v>
      </c>
      <c r="F267" s="330" t="s">
        <v>742</v>
      </c>
      <c r="G267">
        <v>95.7</v>
      </c>
      <c r="H267" s="330" t="s">
        <v>743</v>
      </c>
    </row>
    <row r="268" spans="1:8" x14ac:dyDescent="0.3">
      <c r="A268" t="s">
        <v>246</v>
      </c>
      <c r="B268" t="s">
        <v>1980</v>
      </c>
      <c r="C268" t="s">
        <v>1700</v>
      </c>
      <c r="D268" t="s">
        <v>154</v>
      </c>
      <c r="E268">
        <v>154</v>
      </c>
      <c r="F268" s="330" t="s">
        <v>706</v>
      </c>
      <c r="G268">
        <v>169.4</v>
      </c>
      <c r="H268" s="330" t="s">
        <v>744</v>
      </c>
    </row>
    <row r="269" spans="1:8" x14ac:dyDescent="0.3">
      <c r="D269" t="s">
        <v>272</v>
      </c>
      <c r="E269">
        <v>1228</v>
      </c>
    </row>
    <row r="270" spans="1:8" x14ac:dyDescent="0.3">
      <c r="A270" t="s">
        <v>274</v>
      </c>
    </row>
    <row r="271" spans="1:8" x14ac:dyDescent="0.3">
      <c r="A271" t="s">
        <v>2</v>
      </c>
    </row>
    <row r="272" spans="1:8" x14ac:dyDescent="0.3">
      <c r="A272" t="s">
        <v>4</v>
      </c>
      <c r="B272" t="s">
        <v>5</v>
      </c>
      <c r="C272" t="s">
        <v>6</v>
      </c>
      <c r="D272" t="s">
        <v>7</v>
      </c>
      <c r="E272" t="s">
        <v>8</v>
      </c>
      <c r="F272" s="330" t="s">
        <v>9</v>
      </c>
      <c r="G272" t="s">
        <v>10</v>
      </c>
    </row>
    <row r="273" spans="1:8" x14ac:dyDescent="0.3">
      <c r="A273" t="s">
        <v>276</v>
      </c>
      <c r="B273" t="s">
        <v>996</v>
      </c>
      <c r="C273" t="s">
        <v>1629</v>
      </c>
      <c r="D273" t="s">
        <v>53</v>
      </c>
      <c r="E273">
        <v>155</v>
      </c>
      <c r="F273" s="330" t="s">
        <v>745</v>
      </c>
      <c r="G273">
        <v>170.5</v>
      </c>
      <c r="H273" s="330" t="s">
        <v>746</v>
      </c>
    </row>
    <row r="274" spans="1:8" x14ac:dyDescent="0.3">
      <c r="A274" t="s">
        <v>276</v>
      </c>
      <c r="B274" t="s">
        <v>996</v>
      </c>
      <c r="C274" t="s">
        <v>1629</v>
      </c>
      <c r="D274" t="s">
        <v>36</v>
      </c>
      <c r="E274">
        <v>75</v>
      </c>
      <c r="F274" s="330" t="s">
        <v>545</v>
      </c>
      <c r="G274">
        <v>82.5</v>
      </c>
      <c r="H274" s="330">
        <v>75</v>
      </c>
    </row>
    <row r="275" spans="1:8" x14ac:dyDescent="0.3">
      <c r="A275" t="s">
        <v>276</v>
      </c>
      <c r="B275" t="s">
        <v>996</v>
      </c>
      <c r="C275" t="s">
        <v>1629</v>
      </c>
      <c r="D275" t="s">
        <v>170</v>
      </c>
      <c r="E275">
        <v>132</v>
      </c>
      <c r="F275" s="330" t="s">
        <v>747</v>
      </c>
      <c r="G275">
        <v>145.19999999999999</v>
      </c>
      <c r="H275" s="330" t="s">
        <v>748</v>
      </c>
    </row>
    <row r="276" spans="1:8" x14ac:dyDescent="0.3">
      <c r="A276" t="s">
        <v>276</v>
      </c>
      <c r="B276" t="s">
        <v>996</v>
      </c>
      <c r="C276" t="s">
        <v>1629</v>
      </c>
      <c r="D276" t="s">
        <v>38</v>
      </c>
      <c r="E276">
        <v>80</v>
      </c>
      <c r="F276" s="330" t="s">
        <v>724</v>
      </c>
      <c r="G276">
        <v>88</v>
      </c>
      <c r="H276" s="330" t="s">
        <v>692</v>
      </c>
    </row>
    <row r="277" spans="1:8" x14ac:dyDescent="0.3">
      <c r="A277" t="s">
        <v>277</v>
      </c>
      <c r="B277" t="s">
        <v>1025</v>
      </c>
      <c r="C277" t="s">
        <v>1417</v>
      </c>
      <c r="D277" t="s">
        <v>133</v>
      </c>
      <c r="E277">
        <v>76</v>
      </c>
      <c r="F277" s="330" t="s">
        <v>956</v>
      </c>
      <c r="G277">
        <v>83.6</v>
      </c>
      <c r="H277" s="330">
        <v>76</v>
      </c>
    </row>
    <row r="278" spans="1:8" x14ac:dyDescent="0.3">
      <c r="A278" t="s">
        <v>257</v>
      </c>
      <c r="B278" t="s">
        <v>1061</v>
      </c>
      <c r="C278" t="s">
        <v>1425</v>
      </c>
      <c r="D278" t="s">
        <v>97</v>
      </c>
      <c r="E278">
        <v>32</v>
      </c>
      <c r="F278" s="330" t="s">
        <v>956</v>
      </c>
      <c r="G278">
        <v>35.200000000000003</v>
      </c>
      <c r="H278" s="330">
        <v>32</v>
      </c>
    </row>
    <row r="279" spans="1:8" x14ac:dyDescent="0.3">
      <c r="A279" t="s">
        <v>285</v>
      </c>
      <c r="B279" t="s">
        <v>1218</v>
      </c>
      <c r="C279" t="s">
        <v>1877</v>
      </c>
      <c r="D279" t="s">
        <v>18</v>
      </c>
      <c r="E279">
        <v>80</v>
      </c>
      <c r="F279" s="330" t="s">
        <v>749</v>
      </c>
      <c r="G279">
        <v>88</v>
      </c>
      <c r="H279" s="330" t="s">
        <v>750</v>
      </c>
    </row>
    <row r="280" spans="1:8" x14ac:dyDescent="0.3">
      <c r="A280" t="s">
        <v>278</v>
      </c>
      <c r="B280" t="s">
        <v>1105</v>
      </c>
      <c r="C280" t="s">
        <v>1477</v>
      </c>
      <c r="D280" t="s">
        <v>56</v>
      </c>
      <c r="E280">
        <v>250</v>
      </c>
      <c r="F280" s="330" t="s">
        <v>531</v>
      </c>
      <c r="G280">
        <v>275</v>
      </c>
      <c r="H280" s="330" t="s">
        <v>751</v>
      </c>
    </row>
    <row r="281" spans="1:8" x14ac:dyDescent="0.3">
      <c r="A281" t="s">
        <v>281</v>
      </c>
      <c r="B281" t="s">
        <v>998</v>
      </c>
      <c r="C281" t="s">
        <v>1734</v>
      </c>
      <c r="D281" t="s">
        <v>42</v>
      </c>
      <c r="E281">
        <v>37</v>
      </c>
      <c r="F281" s="330" t="s">
        <v>616</v>
      </c>
      <c r="G281">
        <v>40.700000000000003</v>
      </c>
      <c r="H281" s="330">
        <v>37</v>
      </c>
    </row>
    <row r="282" spans="1:8" x14ac:dyDescent="0.3">
      <c r="A282" t="s">
        <v>281</v>
      </c>
      <c r="B282" t="s">
        <v>998</v>
      </c>
      <c r="C282" t="s">
        <v>1734</v>
      </c>
      <c r="D282" t="s">
        <v>33</v>
      </c>
      <c r="E282">
        <v>240</v>
      </c>
      <c r="F282" s="330" t="s">
        <v>556</v>
      </c>
      <c r="G282">
        <v>264</v>
      </c>
      <c r="H282" s="330" t="s">
        <v>752</v>
      </c>
    </row>
    <row r="283" spans="1:8" x14ac:dyDescent="0.3">
      <c r="D283" t="s">
        <v>282</v>
      </c>
      <c r="E283">
        <v>1157</v>
      </c>
    </row>
    <row r="284" spans="1:8" x14ac:dyDescent="0.3">
      <c r="A284" t="s">
        <v>274</v>
      </c>
    </row>
    <row r="285" spans="1:8" x14ac:dyDescent="0.3">
      <c r="A285" t="s">
        <v>29</v>
      </c>
    </row>
    <row r="286" spans="1:8" x14ac:dyDescent="0.3">
      <c r="A286" t="s">
        <v>4</v>
      </c>
      <c r="B286" t="s">
        <v>5</v>
      </c>
      <c r="C286" t="s">
        <v>6</v>
      </c>
      <c r="D286" t="s">
        <v>7</v>
      </c>
      <c r="E286" t="s">
        <v>8</v>
      </c>
      <c r="F286" s="330" t="s">
        <v>9</v>
      </c>
      <c r="G286" t="s">
        <v>10</v>
      </c>
    </row>
    <row r="287" spans="1:8" x14ac:dyDescent="0.3">
      <c r="A287" t="s">
        <v>234</v>
      </c>
      <c r="B287" t="s">
        <v>990</v>
      </c>
      <c r="C287" t="s">
        <v>1946</v>
      </c>
      <c r="D287" t="s">
        <v>191</v>
      </c>
      <c r="E287">
        <v>70</v>
      </c>
      <c r="F287" s="330" t="s">
        <v>574</v>
      </c>
      <c r="G287">
        <v>77</v>
      </c>
      <c r="H287" s="330" t="s">
        <v>671</v>
      </c>
    </row>
    <row r="288" spans="1:8" x14ac:dyDescent="0.3">
      <c r="A288" t="s">
        <v>234</v>
      </c>
      <c r="B288" t="s">
        <v>990</v>
      </c>
      <c r="C288" t="s">
        <v>1946</v>
      </c>
      <c r="D288" t="s">
        <v>112</v>
      </c>
      <c r="E288">
        <v>46</v>
      </c>
      <c r="F288" s="330" t="s">
        <v>753</v>
      </c>
      <c r="G288">
        <v>50.6</v>
      </c>
      <c r="H288" s="330" t="s">
        <v>754</v>
      </c>
    </row>
    <row r="289" spans="1:8" x14ac:dyDescent="0.3">
      <c r="A289" t="s">
        <v>234</v>
      </c>
      <c r="B289" t="s">
        <v>990</v>
      </c>
      <c r="C289" t="s">
        <v>1946</v>
      </c>
      <c r="D289" t="s">
        <v>111</v>
      </c>
      <c r="E289">
        <v>83</v>
      </c>
      <c r="F289" s="330" t="s">
        <v>755</v>
      </c>
      <c r="G289">
        <v>91.3</v>
      </c>
      <c r="H289" s="330" t="s">
        <v>756</v>
      </c>
    </row>
    <row r="290" spans="1:8" x14ac:dyDescent="0.3">
      <c r="A290" t="s">
        <v>234</v>
      </c>
      <c r="B290" t="s">
        <v>990</v>
      </c>
      <c r="C290" t="s">
        <v>1946</v>
      </c>
      <c r="D290" t="s">
        <v>162</v>
      </c>
      <c r="E290">
        <v>85</v>
      </c>
      <c r="F290" s="330" t="s">
        <v>571</v>
      </c>
      <c r="G290">
        <v>93.5</v>
      </c>
      <c r="H290" s="330" t="s">
        <v>757</v>
      </c>
    </row>
    <row r="291" spans="1:8" x14ac:dyDescent="0.3">
      <c r="A291" t="s">
        <v>234</v>
      </c>
      <c r="B291" t="s">
        <v>990</v>
      </c>
      <c r="C291" t="s">
        <v>1606</v>
      </c>
      <c r="D291" t="s">
        <v>81</v>
      </c>
      <c r="E291">
        <v>56</v>
      </c>
      <c r="F291" s="330" t="s">
        <v>758</v>
      </c>
      <c r="G291">
        <v>61.6</v>
      </c>
      <c r="H291" s="330" t="s">
        <v>759</v>
      </c>
    </row>
    <row r="292" spans="1:8" x14ac:dyDescent="0.3">
      <c r="A292" t="s">
        <v>234</v>
      </c>
      <c r="B292" t="s">
        <v>990</v>
      </c>
      <c r="C292" t="s">
        <v>1606</v>
      </c>
      <c r="D292" t="s">
        <v>82</v>
      </c>
      <c r="E292">
        <v>130</v>
      </c>
      <c r="F292" s="330" t="s">
        <v>760</v>
      </c>
      <c r="G292">
        <v>143</v>
      </c>
      <c r="H292" s="330" t="s">
        <v>761</v>
      </c>
    </row>
    <row r="293" spans="1:8" x14ac:dyDescent="0.3">
      <c r="A293" t="s">
        <v>234</v>
      </c>
      <c r="B293" t="s">
        <v>990</v>
      </c>
      <c r="C293" t="s">
        <v>1946</v>
      </c>
      <c r="D293" t="s">
        <v>131</v>
      </c>
      <c r="E293">
        <v>128</v>
      </c>
      <c r="F293" s="330" t="s">
        <v>731</v>
      </c>
      <c r="G293">
        <v>140.80000000000001</v>
      </c>
      <c r="H293" s="330" t="s">
        <v>762</v>
      </c>
    </row>
    <row r="294" spans="1:8" x14ac:dyDescent="0.3">
      <c r="A294" t="s">
        <v>234</v>
      </c>
      <c r="B294" t="s">
        <v>990</v>
      </c>
      <c r="C294" t="s">
        <v>1604</v>
      </c>
      <c r="D294" t="s">
        <v>91</v>
      </c>
      <c r="E294">
        <v>130</v>
      </c>
      <c r="F294" s="330" t="s">
        <v>763</v>
      </c>
      <c r="G294">
        <v>143</v>
      </c>
      <c r="H294" s="330" t="s">
        <v>764</v>
      </c>
    </row>
    <row r="295" spans="1:8" x14ac:dyDescent="0.3">
      <c r="A295" t="s">
        <v>260</v>
      </c>
      <c r="B295" t="s">
        <v>990</v>
      </c>
      <c r="C295" t="s">
        <v>1557</v>
      </c>
      <c r="D295" t="s">
        <v>20</v>
      </c>
      <c r="E295">
        <v>262</v>
      </c>
      <c r="F295" s="330" t="s">
        <v>954</v>
      </c>
      <c r="G295">
        <v>288.2</v>
      </c>
      <c r="H295" s="330" t="s">
        <v>534</v>
      </c>
    </row>
    <row r="296" spans="1:8" x14ac:dyDescent="0.3">
      <c r="A296" t="s">
        <v>289</v>
      </c>
      <c r="B296" t="s">
        <v>1288</v>
      </c>
      <c r="C296" t="s">
        <v>1802</v>
      </c>
      <c r="D296" t="s">
        <v>135</v>
      </c>
      <c r="E296">
        <v>60</v>
      </c>
      <c r="F296" s="330" t="s">
        <v>529</v>
      </c>
      <c r="G296">
        <v>66</v>
      </c>
      <c r="H296" s="330" t="s">
        <v>765</v>
      </c>
    </row>
    <row r="297" spans="1:8" x14ac:dyDescent="0.3">
      <c r="A297" t="s">
        <v>290</v>
      </c>
      <c r="B297" t="s">
        <v>1316</v>
      </c>
      <c r="C297" t="s">
        <v>1802</v>
      </c>
      <c r="D297" t="s">
        <v>136</v>
      </c>
      <c r="E297">
        <v>55</v>
      </c>
      <c r="F297" s="330" t="s">
        <v>766</v>
      </c>
      <c r="G297">
        <v>60.5</v>
      </c>
      <c r="H297" s="330" t="s">
        <v>767</v>
      </c>
    </row>
    <row r="298" spans="1:8" x14ac:dyDescent="0.3">
      <c r="A298" t="s">
        <v>279</v>
      </c>
      <c r="B298" t="s">
        <v>1050</v>
      </c>
      <c r="C298" t="s">
        <v>1737</v>
      </c>
      <c r="D298" t="s">
        <v>23</v>
      </c>
      <c r="E298">
        <v>40</v>
      </c>
      <c r="F298" s="330" t="s">
        <v>616</v>
      </c>
      <c r="G298">
        <v>44</v>
      </c>
      <c r="H298" s="330">
        <v>40</v>
      </c>
    </row>
    <row r="299" spans="1:8" x14ac:dyDescent="0.3">
      <c r="D299" t="s">
        <v>287</v>
      </c>
      <c r="E299">
        <v>1145</v>
      </c>
    </row>
    <row r="300" spans="1:8" x14ac:dyDescent="0.3">
      <c r="A300" t="s">
        <v>274</v>
      </c>
    </row>
    <row r="301" spans="1:8" x14ac:dyDescent="0.3">
      <c r="A301" t="s">
        <v>59</v>
      </c>
    </row>
    <row r="302" spans="1:8" x14ac:dyDescent="0.3">
      <c r="A302" t="s">
        <v>4</v>
      </c>
      <c r="B302" t="s">
        <v>5</v>
      </c>
      <c r="C302" t="s">
        <v>6</v>
      </c>
      <c r="D302" t="s">
        <v>7</v>
      </c>
      <c r="E302" t="s">
        <v>8</v>
      </c>
      <c r="F302" s="330" t="s">
        <v>9</v>
      </c>
      <c r="G302" t="s">
        <v>10</v>
      </c>
    </row>
    <row r="303" spans="1:8" x14ac:dyDescent="0.3">
      <c r="A303" t="s">
        <v>296</v>
      </c>
      <c r="B303" t="s">
        <v>1319</v>
      </c>
      <c r="C303" t="s">
        <v>1511</v>
      </c>
      <c r="D303" t="s">
        <v>63</v>
      </c>
      <c r="E303">
        <v>30</v>
      </c>
      <c r="F303" s="330" t="s">
        <v>541</v>
      </c>
      <c r="G303">
        <v>33</v>
      </c>
      <c r="H303" s="330">
        <v>30</v>
      </c>
    </row>
    <row r="304" spans="1:8" x14ac:dyDescent="0.3">
      <c r="A304" t="s">
        <v>291</v>
      </c>
      <c r="B304" t="s">
        <v>1109</v>
      </c>
      <c r="C304" t="s">
        <v>1963</v>
      </c>
      <c r="D304" t="s">
        <v>157</v>
      </c>
      <c r="E304">
        <v>230</v>
      </c>
      <c r="F304" s="330" t="s">
        <v>768</v>
      </c>
      <c r="G304">
        <v>253</v>
      </c>
      <c r="H304" s="330" t="s">
        <v>769</v>
      </c>
    </row>
    <row r="305" spans="1:8" x14ac:dyDescent="0.3">
      <c r="A305" t="s">
        <v>292</v>
      </c>
      <c r="B305" t="s">
        <v>1269</v>
      </c>
      <c r="C305" t="s">
        <v>1949</v>
      </c>
      <c r="D305" t="s">
        <v>69</v>
      </c>
      <c r="E305">
        <v>23</v>
      </c>
      <c r="F305" s="330" t="s">
        <v>770</v>
      </c>
      <c r="G305">
        <v>25.3</v>
      </c>
      <c r="H305" s="330">
        <v>23</v>
      </c>
    </row>
    <row r="306" spans="1:8" x14ac:dyDescent="0.3">
      <c r="A306" t="s">
        <v>293</v>
      </c>
      <c r="B306" t="s">
        <v>1251</v>
      </c>
      <c r="C306" t="s">
        <v>1949</v>
      </c>
      <c r="D306" t="s">
        <v>67</v>
      </c>
      <c r="E306">
        <v>135</v>
      </c>
      <c r="F306" s="330" t="s">
        <v>731</v>
      </c>
      <c r="G306">
        <v>148.5</v>
      </c>
      <c r="H306" s="330" t="s">
        <v>771</v>
      </c>
    </row>
    <row r="307" spans="1:8" x14ac:dyDescent="0.3">
      <c r="A307" t="s">
        <v>293</v>
      </c>
      <c r="B307" t="s">
        <v>1251</v>
      </c>
      <c r="C307" t="s">
        <v>1949</v>
      </c>
      <c r="D307" t="s">
        <v>124</v>
      </c>
      <c r="E307">
        <v>69</v>
      </c>
      <c r="F307" s="330" t="s">
        <v>641</v>
      </c>
      <c r="G307">
        <v>75.900000000000006</v>
      </c>
      <c r="H307" s="330" t="s">
        <v>772</v>
      </c>
    </row>
    <row r="308" spans="1:8" x14ac:dyDescent="0.3">
      <c r="A308" t="s">
        <v>294</v>
      </c>
      <c r="B308" t="s">
        <v>1271</v>
      </c>
      <c r="C308" t="s">
        <v>1988</v>
      </c>
      <c r="D308" t="s">
        <v>115</v>
      </c>
      <c r="E308">
        <v>100</v>
      </c>
      <c r="F308" s="330" t="s">
        <v>571</v>
      </c>
      <c r="G308">
        <v>110</v>
      </c>
      <c r="H308" s="330" t="s">
        <v>602</v>
      </c>
    </row>
    <row r="309" spans="1:8" x14ac:dyDescent="0.3">
      <c r="A309" t="s">
        <v>295</v>
      </c>
      <c r="B309" t="s">
        <v>1304</v>
      </c>
      <c r="C309" t="s">
        <v>1988</v>
      </c>
      <c r="D309" t="s">
        <v>114</v>
      </c>
      <c r="E309">
        <v>75</v>
      </c>
      <c r="F309" s="330" t="s">
        <v>574</v>
      </c>
      <c r="G309">
        <v>82.5</v>
      </c>
      <c r="H309" s="330" t="s">
        <v>773</v>
      </c>
    </row>
    <row r="310" spans="1:8" x14ac:dyDescent="0.3">
      <c r="A310" t="s">
        <v>397</v>
      </c>
      <c r="B310" t="s">
        <v>1132</v>
      </c>
      <c r="C310" t="s">
        <v>1513</v>
      </c>
      <c r="D310" t="s">
        <v>13</v>
      </c>
      <c r="E310">
        <v>160</v>
      </c>
      <c r="F310" s="330" t="s">
        <v>617</v>
      </c>
      <c r="G310">
        <v>176</v>
      </c>
      <c r="H310" s="330" t="s">
        <v>774</v>
      </c>
    </row>
    <row r="311" spans="1:8" x14ac:dyDescent="0.3">
      <c r="A311" t="s">
        <v>286</v>
      </c>
      <c r="B311" t="s">
        <v>1185</v>
      </c>
      <c r="C311" t="s">
        <v>1620</v>
      </c>
      <c r="D311" t="s">
        <v>71</v>
      </c>
      <c r="E311">
        <v>240</v>
      </c>
      <c r="F311" s="330" t="s">
        <v>954</v>
      </c>
      <c r="G311">
        <v>264</v>
      </c>
      <c r="H311" s="330" t="s">
        <v>775</v>
      </c>
    </row>
    <row r="312" spans="1:8" x14ac:dyDescent="0.3">
      <c r="D312" t="s">
        <v>298</v>
      </c>
      <c r="E312">
        <v>1062</v>
      </c>
    </row>
    <row r="313" spans="1:8" x14ac:dyDescent="0.3">
      <c r="A313" t="s">
        <v>300</v>
      </c>
    </row>
    <row r="314" spans="1:8" x14ac:dyDescent="0.3">
      <c r="A314" t="s">
        <v>2</v>
      </c>
    </row>
    <row r="315" spans="1:8" x14ac:dyDescent="0.3">
      <c r="A315" t="s">
        <v>4</v>
      </c>
      <c r="B315" t="s">
        <v>5</v>
      </c>
      <c r="C315" t="s">
        <v>6</v>
      </c>
      <c r="D315" t="s">
        <v>7</v>
      </c>
      <c r="E315" t="s">
        <v>8</v>
      </c>
      <c r="F315" s="330" t="s">
        <v>9</v>
      </c>
      <c r="G315" t="s">
        <v>10</v>
      </c>
    </row>
    <row r="316" spans="1:8" x14ac:dyDescent="0.3">
      <c r="A316" t="s">
        <v>281</v>
      </c>
      <c r="B316" t="s">
        <v>998</v>
      </c>
      <c r="C316" t="s">
        <v>1729</v>
      </c>
      <c r="D316" t="s">
        <v>109</v>
      </c>
      <c r="E316">
        <v>80</v>
      </c>
      <c r="F316" s="330" t="s">
        <v>34</v>
      </c>
      <c r="G316">
        <v>88</v>
      </c>
    </row>
    <row r="317" spans="1:8" x14ac:dyDescent="0.3">
      <c r="A317" t="s">
        <v>281</v>
      </c>
      <c r="B317" t="s">
        <v>998</v>
      </c>
      <c r="C317" t="s">
        <v>1729</v>
      </c>
      <c r="D317" t="s">
        <v>40</v>
      </c>
      <c r="E317">
        <v>82</v>
      </c>
      <c r="F317" s="330" t="s">
        <v>34</v>
      </c>
      <c r="G317">
        <v>90.2</v>
      </c>
    </row>
    <row r="318" spans="1:8" x14ac:dyDescent="0.3">
      <c r="A318" t="s">
        <v>281</v>
      </c>
      <c r="B318" t="s">
        <v>998</v>
      </c>
      <c r="C318" t="s">
        <v>1961</v>
      </c>
      <c r="D318" t="s">
        <v>56</v>
      </c>
      <c r="E318">
        <v>250</v>
      </c>
      <c r="F318" s="330" t="s">
        <v>34</v>
      </c>
      <c r="G318">
        <v>275</v>
      </c>
    </row>
    <row r="319" spans="1:8" x14ac:dyDescent="0.3">
      <c r="A319" t="s">
        <v>281</v>
      </c>
      <c r="B319" t="s">
        <v>1136</v>
      </c>
      <c r="C319" t="s">
        <v>1729</v>
      </c>
      <c r="D319" t="s">
        <v>14</v>
      </c>
      <c r="E319">
        <v>65</v>
      </c>
      <c r="F319" s="330" t="s">
        <v>34</v>
      </c>
      <c r="G319">
        <v>71.5</v>
      </c>
    </row>
    <row r="320" spans="1:8" x14ac:dyDescent="0.3">
      <c r="A320" t="s">
        <v>281</v>
      </c>
      <c r="B320" t="s">
        <v>1136</v>
      </c>
      <c r="C320" t="s">
        <v>1729</v>
      </c>
      <c r="D320" t="s">
        <v>93</v>
      </c>
      <c r="E320">
        <v>95</v>
      </c>
      <c r="F320" s="330" t="s">
        <v>34</v>
      </c>
      <c r="G320">
        <v>104.5</v>
      </c>
    </row>
    <row r="321" spans="1:8" x14ac:dyDescent="0.3">
      <c r="A321" t="s">
        <v>281</v>
      </c>
      <c r="B321" t="s">
        <v>998</v>
      </c>
      <c r="C321" t="s">
        <v>1721</v>
      </c>
      <c r="D321" t="s">
        <v>170</v>
      </c>
      <c r="E321">
        <v>132</v>
      </c>
      <c r="F321" s="330" t="s">
        <v>34</v>
      </c>
      <c r="G321">
        <v>145.19999999999999</v>
      </c>
    </row>
    <row r="322" spans="1:8" x14ac:dyDescent="0.3">
      <c r="A322" t="s">
        <v>281</v>
      </c>
      <c r="B322" t="s">
        <v>998</v>
      </c>
      <c r="C322" t="s">
        <v>1721</v>
      </c>
      <c r="D322" t="s">
        <v>210</v>
      </c>
      <c r="E322">
        <v>83</v>
      </c>
      <c r="F322" s="330" t="s">
        <v>34</v>
      </c>
      <c r="G322">
        <v>91.3</v>
      </c>
    </row>
    <row r="323" spans="1:8" x14ac:dyDescent="0.3">
      <c r="A323" t="s">
        <v>281</v>
      </c>
      <c r="B323" t="s">
        <v>998</v>
      </c>
      <c r="C323" t="s">
        <v>1721</v>
      </c>
      <c r="D323" t="s">
        <v>101</v>
      </c>
      <c r="E323">
        <v>57</v>
      </c>
      <c r="F323" s="330" t="s">
        <v>34</v>
      </c>
      <c r="G323">
        <v>62.7</v>
      </c>
    </row>
    <row r="324" spans="1:8" x14ac:dyDescent="0.3">
      <c r="A324" t="s">
        <v>281</v>
      </c>
      <c r="B324" t="s">
        <v>998</v>
      </c>
      <c r="C324" t="s">
        <v>1727</v>
      </c>
      <c r="D324" t="s">
        <v>108</v>
      </c>
      <c r="E324">
        <v>255</v>
      </c>
      <c r="F324" s="330" t="s">
        <v>34</v>
      </c>
      <c r="G324">
        <v>280.5</v>
      </c>
    </row>
    <row r="325" spans="1:8" x14ac:dyDescent="0.3">
      <c r="A325" t="s">
        <v>281</v>
      </c>
      <c r="B325" t="s">
        <v>998</v>
      </c>
      <c r="C325" t="s">
        <v>1727</v>
      </c>
      <c r="D325" t="s">
        <v>55</v>
      </c>
      <c r="E325">
        <v>150</v>
      </c>
      <c r="F325" s="330" t="s">
        <v>34</v>
      </c>
      <c r="G325">
        <v>165</v>
      </c>
    </row>
    <row r="326" spans="1:8" x14ac:dyDescent="0.3">
      <c r="A326" t="s">
        <v>281</v>
      </c>
      <c r="B326" t="s">
        <v>998</v>
      </c>
      <c r="C326" t="s">
        <v>1727</v>
      </c>
      <c r="D326" t="s">
        <v>172</v>
      </c>
      <c r="E326">
        <v>175</v>
      </c>
      <c r="F326" s="330" t="s">
        <v>34</v>
      </c>
      <c r="G326">
        <v>192.5</v>
      </c>
    </row>
    <row r="327" spans="1:8" x14ac:dyDescent="0.3">
      <c r="A327" t="s">
        <v>281</v>
      </c>
      <c r="B327" t="s">
        <v>998</v>
      </c>
      <c r="C327" t="s">
        <v>1727</v>
      </c>
      <c r="D327" t="s">
        <v>53</v>
      </c>
      <c r="E327">
        <v>155</v>
      </c>
      <c r="F327" s="330" t="s">
        <v>34</v>
      </c>
      <c r="G327">
        <v>170.5</v>
      </c>
    </row>
    <row r="328" spans="1:8" x14ac:dyDescent="0.3">
      <c r="A328" t="s">
        <v>281</v>
      </c>
      <c r="B328" t="s">
        <v>998</v>
      </c>
      <c r="C328" t="s">
        <v>1727</v>
      </c>
      <c r="D328" t="s">
        <v>36</v>
      </c>
      <c r="E328">
        <v>75</v>
      </c>
      <c r="F328" s="330" t="s">
        <v>34</v>
      </c>
      <c r="G328">
        <v>82.5</v>
      </c>
    </row>
    <row r="329" spans="1:8" x14ac:dyDescent="0.3">
      <c r="A329" t="s">
        <v>281</v>
      </c>
      <c r="B329" t="s">
        <v>998</v>
      </c>
      <c r="C329" t="s">
        <v>1727</v>
      </c>
      <c r="D329" t="s">
        <v>38</v>
      </c>
      <c r="E329">
        <v>80</v>
      </c>
      <c r="F329" s="330" t="s">
        <v>34</v>
      </c>
      <c r="G329">
        <v>88</v>
      </c>
    </row>
    <row r="330" spans="1:8" x14ac:dyDescent="0.3">
      <c r="A330" t="s">
        <v>302</v>
      </c>
      <c r="B330" t="s">
        <v>1127</v>
      </c>
      <c r="C330" t="s">
        <v>1515</v>
      </c>
      <c r="D330" t="s">
        <v>80</v>
      </c>
      <c r="E330">
        <v>120</v>
      </c>
      <c r="F330" s="330" t="s">
        <v>776</v>
      </c>
      <c r="G330">
        <v>132</v>
      </c>
      <c r="H330" s="330" t="s">
        <v>777</v>
      </c>
    </row>
    <row r="331" spans="1:8" x14ac:dyDescent="0.3">
      <c r="A331" t="s">
        <v>303</v>
      </c>
      <c r="B331" t="s">
        <v>1003</v>
      </c>
      <c r="C331" t="s">
        <v>1388</v>
      </c>
      <c r="D331" t="s">
        <v>88</v>
      </c>
      <c r="E331">
        <v>101</v>
      </c>
      <c r="F331" s="330" t="s">
        <v>571</v>
      </c>
      <c r="G331">
        <v>111.1</v>
      </c>
      <c r="H331" s="330" t="s">
        <v>644</v>
      </c>
    </row>
    <row r="332" spans="1:8" x14ac:dyDescent="0.3">
      <c r="A332" t="s">
        <v>304</v>
      </c>
      <c r="B332" t="s">
        <v>1260</v>
      </c>
      <c r="C332" t="s">
        <v>1824</v>
      </c>
      <c r="D332" t="s">
        <v>86</v>
      </c>
      <c r="E332">
        <v>40</v>
      </c>
      <c r="F332" s="330" t="s">
        <v>541</v>
      </c>
      <c r="G332">
        <v>44</v>
      </c>
      <c r="H332" s="330">
        <v>40</v>
      </c>
    </row>
    <row r="333" spans="1:8" x14ac:dyDescent="0.3">
      <c r="A333" t="s">
        <v>305</v>
      </c>
      <c r="B333" t="s">
        <v>1973</v>
      </c>
      <c r="C333" t="s">
        <v>1620</v>
      </c>
      <c r="D333" t="s">
        <v>25</v>
      </c>
      <c r="E333">
        <v>340</v>
      </c>
      <c r="F333" s="330" t="s">
        <v>954</v>
      </c>
      <c r="G333">
        <v>374</v>
      </c>
      <c r="H333" s="330" t="s">
        <v>778</v>
      </c>
    </row>
    <row r="334" spans="1:8" x14ac:dyDescent="0.3">
      <c r="A334" t="s">
        <v>507</v>
      </c>
      <c r="B334" t="s">
        <v>1094</v>
      </c>
      <c r="C334" t="s">
        <v>1627</v>
      </c>
      <c r="D334" t="s">
        <v>227</v>
      </c>
      <c r="E334">
        <v>138</v>
      </c>
      <c r="F334" s="330" t="s">
        <v>779</v>
      </c>
      <c r="G334">
        <v>151.80000000000001</v>
      </c>
      <c r="H334" s="330" t="s">
        <v>780</v>
      </c>
    </row>
    <row r="335" spans="1:8" x14ac:dyDescent="0.3">
      <c r="A335" t="s">
        <v>307</v>
      </c>
      <c r="B335" t="s">
        <v>1094</v>
      </c>
      <c r="C335" t="s">
        <v>1627</v>
      </c>
      <c r="D335" t="s">
        <v>144</v>
      </c>
      <c r="E335">
        <v>12</v>
      </c>
      <c r="F335" s="330" t="s">
        <v>781</v>
      </c>
      <c r="G335">
        <v>13.2</v>
      </c>
      <c r="H335" s="330">
        <v>12</v>
      </c>
    </row>
    <row r="336" spans="1:8" x14ac:dyDescent="0.3">
      <c r="A336" t="s">
        <v>308</v>
      </c>
      <c r="B336" t="s">
        <v>1365</v>
      </c>
      <c r="C336" t="s">
        <v>1931</v>
      </c>
      <c r="D336" t="s">
        <v>119</v>
      </c>
      <c r="E336">
        <v>140</v>
      </c>
      <c r="F336" s="330" t="s">
        <v>782</v>
      </c>
      <c r="G336">
        <v>154</v>
      </c>
      <c r="H336" s="330" t="s">
        <v>586</v>
      </c>
    </row>
    <row r="337" spans="1:8" x14ac:dyDescent="0.3">
      <c r="A337" t="s">
        <v>310</v>
      </c>
      <c r="B337" t="s">
        <v>1052</v>
      </c>
      <c r="C337" t="s">
        <v>1758</v>
      </c>
      <c r="D337" t="s">
        <v>61</v>
      </c>
      <c r="E337">
        <v>222</v>
      </c>
      <c r="F337" s="330" t="s">
        <v>768</v>
      </c>
      <c r="G337">
        <v>244.2</v>
      </c>
      <c r="H337" s="330" t="s">
        <v>783</v>
      </c>
    </row>
    <row r="338" spans="1:8" x14ac:dyDescent="0.3">
      <c r="D338" t="s">
        <v>311</v>
      </c>
      <c r="E338">
        <v>1113</v>
      </c>
    </row>
    <row r="339" spans="1:8" x14ac:dyDescent="0.3">
      <c r="A339" t="s">
        <v>300</v>
      </c>
    </row>
    <row r="340" spans="1:8" x14ac:dyDescent="0.3">
      <c r="A340" t="s">
        <v>29</v>
      </c>
    </row>
    <row r="341" spans="1:8" x14ac:dyDescent="0.3">
      <c r="A341" t="s">
        <v>4</v>
      </c>
      <c r="B341" t="s">
        <v>5</v>
      </c>
      <c r="C341" t="s">
        <v>6</v>
      </c>
      <c r="D341" t="s">
        <v>7</v>
      </c>
      <c r="E341" t="s">
        <v>8</v>
      </c>
      <c r="F341" s="330" t="s">
        <v>9</v>
      </c>
      <c r="G341" t="s">
        <v>10</v>
      </c>
    </row>
    <row r="342" spans="1:8" x14ac:dyDescent="0.3">
      <c r="A342" t="s">
        <v>313</v>
      </c>
      <c r="B342" t="s">
        <v>1068</v>
      </c>
      <c r="C342" t="s">
        <v>1954</v>
      </c>
      <c r="D342" t="s">
        <v>130</v>
      </c>
      <c r="E342">
        <v>136</v>
      </c>
      <c r="F342" s="330" t="s">
        <v>710</v>
      </c>
      <c r="G342">
        <v>149.6</v>
      </c>
      <c r="H342" s="330" t="s">
        <v>784</v>
      </c>
    </row>
    <row r="343" spans="1:8" x14ac:dyDescent="0.3">
      <c r="A343" t="s">
        <v>314</v>
      </c>
      <c r="B343" t="s">
        <v>987</v>
      </c>
      <c r="C343" t="s">
        <v>1381</v>
      </c>
      <c r="D343" t="s">
        <v>131</v>
      </c>
      <c r="E343">
        <v>128</v>
      </c>
      <c r="F343" s="330" t="s">
        <v>533</v>
      </c>
      <c r="G343">
        <v>140.80000000000001</v>
      </c>
      <c r="H343" s="330" t="s">
        <v>785</v>
      </c>
    </row>
    <row r="344" spans="1:8" x14ac:dyDescent="0.3">
      <c r="A344" t="s">
        <v>315</v>
      </c>
      <c r="B344" t="s">
        <v>1140</v>
      </c>
      <c r="C344" t="s">
        <v>1532</v>
      </c>
      <c r="D344" t="s">
        <v>63</v>
      </c>
      <c r="E344">
        <v>53</v>
      </c>
      <c r="F344" s="330" t="s">
        <v>786</v>
      </c>
      <c r="G344">
        <v>58.3</v>
      </c>
      <c r="H344" s="330" t="s">
        <v>787</v>
      </c>
    </row>
    <row r="345" spans="1:8" x14ac:dyDescent="0.3">
      <c r="A345" t="s">
        <v>315</v>
      </c>
      <c r="B345" t="s">
        <v>1140</v>
      </c>
      <c r="C345" t="s">
        <v>1532</v>
      </c>
      <c r="D345" t="s">
        <v>73</v>
      </c>
      <c r="E345">
        <v>105</v>
      </c>
      <c r="F345" s="330" t="s">
        <v>603</v>
      </c>
      <c r="G345">
        <v>115.5</v>
      </c>
      <c r="H345" s="330" t="s">
        <v>788</v>
      </c>
    </row>
    <row r="346" spans="1:8" x14ac:dyDescent="0.3">
      <c r="A346" t="s">
        <v>317</v>
      </c>
      <c r="B346" t="s">
        <v>1215</v>
      </c>
      <c r="C346" t="s">
        <v>1688</v>
      </c>
      <c r="D346" t="s">
        <v>177</v>
      </c>
      <c r="E346">
        <v>95</v>
      </c>
      <c r="F346" s="330" t="s">
        <v>749</v>
      </c>
      <c r="G346">
        <v>104.5</v>
      </c>
      <c r="H346" s="330" t="s">
        <v>789</v>
      </c>
    </row>
    <row r="347" spans="1:8" x14ac:dyDescent="0.3">
      <c r="A347" t="s">
        <v>259</v>
      </c>
      <c r="B347" t="s">
        <v>1091</v>
      </c>
      <c r="C347" t="s">
        <v>1567</v>
      </c>
      <c r="D347" t="s">
        <v>16</v>
      </c>
      <c r="E347">
        <v>265</v>
      </c>
      <c r="F347" s="330" t="s">
        <v>531</v>
      </c>
      <c r="G347">
        <v>291.5</v>
      </c>
      <c r="H347" s="330" t="s">
        <v>790</v>
      </c>
    </row>
    <row r="348" spans="1:8" x14ac:dyDescent="0.3">
      <c r="A348" t="s">
        <v>259</v>
      </c>
      <c r="B348" t="s">
        <v>1091</v>
      </c>
      <c r="C348" t="s">
        <v>1567</v>
      </c>
      <c r="D348" t="s">
        <v>65</v>
      </c>
      <c r="E348">
        <v>90</v>
      </c>
      <c r="F348" s="330" t="s">
        <v>791</v>
      </c>
      <c r="G348">
        <v>99</v>
      </c>
      <c r="H348" s="330" t="s">
        <v>709</v>
      </c>
    </row>
    <row r="349" spans="1:8" x14ac:dyDescent="0.3">
      <c r="A349" t="s">
        <v>208</v>
      </c>
      <c r="B349" t="s">
        <v>1280</v>
      </c>
      <c r="C349" t="s">
        <v>1814</v>
      </c>
      <c r="D349" t="s">
        <v>142</v>
      </c>
      <c r="E349">
        <v>87</v>
      </c>
      <c r="F349" s="330" t="s">
        <v>792</v>
      </c>
      <c r="G349">
        <v>95.7</v>
      </c>
      <c r="H349" s="330" t="s">
        <v>793</v>
      </c>
    </row>
    <row r="350" spans="1:8" x14ac:dyDescent="0.3">
      <c r="A350" t="s">
        <v>207</v>
      </c>
      <c r="B350" t="s">
        <v>1280</v>
      </c>
      <c r="C350" t="s">
        <v>1814</v>
      </c>
      <c r="D350" t="s">
        <v>140</v>
      </c>
      <c r="E350">
        <v>85</v>
      </c>
      <c r="F350" s="330" t="s">
        <v>582</v>
      </c>
      <c r="G350">
        <v>93.5</v>
      </c>
      <c r="H350" s="330" t="s">
        <v>794</v>
      </c>
    </row>
    <row r="351" spans="1:8" x14ac:dyDescent="0.3">
      <c r="D351" t="s">
        <v>322</v>
      </c>
      <c r="E351">
        <v>1044</v>
      </c>
    </row>
    <row r="354" spans="1:8" x14ac:dyDescent="0.3">
      <c r="A354" t="s">
        <v>300</v>
      </c>
    </row>
    <row r="355" spans="1:8" x14ac:dyDescent="0.3">
      <c r="A355" t="s">
        <v>59</v>
      </c>
    </row>
    <row r="356" spans="1:8" x14ac:dyDescent="0.3">
      <c r="A356" t="s">
        <v>4</v>
      </c>
      <c r="B356" t="s">
        <v>5</v>
      </c>
      <c r="C356" t="s">
        <v>6</v>
      </c>
      <c r="D356" t="s">
        <v>7</v>
      </c>
      <c r="E356" t="s">
        <v>8</v>
      </c>
      <c r="F356" s="330" t="s">
        <v>9</v>
      </c>
      <c r="G356" t="s">
        <v>10</v>
      </c>
    </row>
    <row r="357" spans="1:8" x14ac:dyDescent="0.3">
      <c r="A357" t="s">
        <v>324</v>
      </c>
      <c r="B357" t="s">
        <v>1343</v>
      </c>
      <c r="C357" t="s">
        <v>1883</v>
      </c>
      <c r="D357" t="s">
        <v>46</v>
      </c>
      <c r="E357">
        <v>99</v>
      </c>
      <c r="F357" s="330" t="s">
        <v>795</v>
      </c>
      <c r="G357">
        <v>108.9</v>
      </c>
      <c r="H357" s="330" t="s">
        <v>796</v>
      </c>
    </row>
    <row r="358" spans="1:8" x14ac:dyDescent="0.3">
      <c r="A358" t="s">
        <v>325</v>
      </c>
      <c r="B358" t="s">
        <v>1012</v>
      </c>
      <c r="C358" t="s">
        <v>1400</v>
      </c>
      <c r="D358" t="s">
        <v>50</v>
      </c>
      <c r="E358">
        <v>103</v>
      </c>
      <c r="F358" s="330" t="s">
        <v>797</v>
      </c>
      <c r="G358">
        <v>113.3</v>
      </c>
      <c r="H358" s="330" t="s">
        <v>798</v>
      </c>
    </row>
    <row r="359" spans="1:8" x14ac:dyDescent="0.3">
      <c r="A359" t="s">
        <v>327</v>
      </c>
      <c r="B359" t="s">
        <v>1037</v>
      </c>
      <c r="C359" t="s">
        <v>1787</v>
      </c>
      <c r="D359" t="s">
        <v>67</v>
      </c>
      <c r="E359">
        <v>54</v>
      </c>
      <c r="F359" s="330" t="s">
        <v>574</v>
      </c>
      <c r="G359">
        <v>59.4</v>
      </c>
      <c r="H359" s="330" t="s">
        <v>799</v>
      </c>
    </row>
    <row r="360" spans="1:8" x14ac:dyDescent="0.3">
      <c r="A360" t="s">
        <v>327</v>
      </c>
      <c r="B360" t="s">
        <v>1037</v>
      </c>
      <c r="C360" t="s">
        <v>1787</v>
      </c>
      <c r="D360" t="s">
        <v>99</v>
      </c>
      <c r="E360">
        <v>52</v>
      </c>
      <c r="F360" s="330" t="s">
        <v>786</v>
      </c>
      <c r="G360">
        <v>57.2</v>
      </c>
      <c r="H360" s="330" t="s">
        <v>800</v>
      </c>
    </row>
    <row r="361" spans="1:8" x14ac:dyDescent="0.3">
      <c r="A361" t="s">
        <v>328</v>
      </c>
      <c r="B361" t="s">
        <v>1118</v>
      </c>
      <c r="C361" t="s">
        <v>1479</v>
      </c>
      <c r="D361" t="s">
        <v>103</v>
      </c>
      <c r="E361">
        <v>240</v>
      </c>
      <c r="F361" s="330" t="s">
        <v>556</v>
      </c>
      <c r="G361">
        <v>264</v>
      </c>
      <c r="H361" s="330" t="s">
        <v>752</v>
      </c>
    </row>
    <row r="362" spans="1:8" x14ac:dyDescent="0.3">
      <c r="A362" t="s">
        <v>341</v>
      </c>
      <c r="B362" t="s">
        <v>1236</v>
      </c>
      <c r="C362" t="s">
        <v>1666</v>
      </c>
      <c r="D362" t="s">
        <v>194</v>
      </c>
      <c r="E362">
        <v>93</v>
      </c>
      <c r="F362" s="330" t="s">
        <v>582</v>
      </c>
      <c r="G362">
        <v>102.3</v>
      </c>
      <c r="H362" s="330" t="s">
        <v>801</v>
      </c>
    </row>
    <row r="363" spans="1:8" x14ac:dyDescent="0.3">
      <c r="A363" t="s">
        <v>320</v>
      </c>
      <c r="B363" t="s">
        <v>1092</v>
      </c>
      <c r="C363" t="s">
        <v>1457</v>
      </c>
      <c r="D363" t="s">
        <v>252</v>
      </c>
      <c r="E363">
        <v>87</v>
      </c>
      <c r="F363" s="330" t="s">
        <v>792</v>
      </c>
      <c r="G363">
        <v>95.7</v>
      </c>
      <c r="H363" s="330" t="s">
        <v>802</v>
      </c>
    </row>
    <row r="364" spans="1:8" x14ac:dyDescent="0.3">
      <c r="A364" t="s">
        <v>465</v>
      </c>
      <c r="B364" t="s">
        <v>1192</v>
      </c>
      <c r="C364" t="s">
        <v>1972</v>
      </c>
      <c r="D364" t="s">
        <v>71</v>
      </c>
      <c r="E364">
        <v>240</v>
      </c>
      <c r="F364" s="330" t="s">
        <v>954</v>
      </c>
      <c r="G364">
        <v>264</v>
      </c>
      <c r="H364" s="330" t="s">
        <v>775</v>
      </c>
    </row>
    <row r="365" spans="1:8" x14ac:dyDescent="0.3">
      <c r="A365" t="s">
        <v>309</v>
      </c>
      <c r="B365" t="s">
        <v>1229</v>
      </c>
      <c r="C365" t="s">
        <v>1658</v>
      </c>
      <c r="D365" t="s">
        <v>77</v>
      </c>
      <c r="E365">
        <v>122</v>
      </c>
      <c r="F365" s="330" t="s">
        <v>803</v>
      </c>
      <c r="G365">
        <v>134.19999999999999</v>
      </c>
      <c r="H365" s="330" t="s">
        <v>804</v>
      </c>
    </row>
    <row r="366" spans="1:8" x14ac:dyDescent="0.3">
      <c r="D366" t="s">
        <v>331</v>
      </c>
      <c r="E366">
        <v>1090</v>
      </c>
    </row>
    <row r="367" spans="1:8" x14ac:dyDescent="0.3">
      <c r="A367" t="s">
        <v>2077</v>
      </c>
    </row>
    <row r="368" spans="1:8" x14ac:dyDescent="0.3">
      <c r="A368" t="s">
        <v>2</v>
      </c>
    </row>
    <row r="369" spans="1:8" x14ac:dyDescent="0.3">
      <c r="A369" t="s">
        <v>4</v>
      </c>
      <c r="B369" t="s">
        <v>5</v>
      </c>
      <c r="C369" t="s">
        <v>6</v>
      </c>
      <c r="D369" t="s">
        <v>7</v>
      </c>
      <c r="E369" t="s">
        <v>8</v>
      </c>
      <c r="F369" s="330" t="s">
        <v>9</v>
      </c>
      <c r="G369" t="s">
        <v>10</v>
      </c>
    </row>
    <row r="370" spans="1:8" x14ac:dyDescent="0.3">
      <c r="A370" t="s">
        <v>335</v>
      </c>
      <c r="B370" t="s">
        <v>1110</v>
      </c>
      <c r="C370" t="s">
        <v>1678</v>
      </c>
      <c r="D370" t="s">
        <v>154</v>
      </c>
      <c r="E370">
        <v>154</v>
      </c>
      <c r="F370" s="330" t="s">
        <v>805</v>
      </c>
      <c r="G370">
        <v>169.4</v>
      </c>
      <c r="H370" s="330" t="s">
        <v>806</v>
      </c>
    </row>
    <row r="371" spans="1:8" x14ac:dyDescent="0.3">
      <c r="A371" t="s">
        <v>336</v>
      </c>
      <c r="B371" t="s">
        <v>1110</v>
      </c>
      <c r="C371" t="s">
        <v>1485</v>
      </c>
      <c r="D371" t="s">
        <v>157</v>
      </c>
      <c r="E371">
        <v>230</v>
      </c>
      <c r="F371" s="330" t="s">
        <v>556</v>
      </c>
      <c r="G371">
        <v>253</v>
      </c>
      <c r="H371" s="330" t="s">
        <v>807</v>
      </c>
    </row>
    <row r="372" spans="1:8" x14ac:dyDescent="0.3">
      <c r="A372" t="s">
        <v>337</v>
      </c>
      <c r="B372" t="s">
        <v>1052</v>
      </c>
      <c r="C372" t="s">
        <v>1742</v>
      </c>
      <c r="D372" t="s">
        <v>38</v>
      </c>
      <c r="E372">
        <v>80</v>
      </c>
      <c r="F372" s="330" t="s">
        <v>574</v>
      </c>
      <c r="G372">
        <v>88</v>
      </c>
      <c r="H372" s="330" t="s">
        <v>661</v>
      </c>
    </row>
    <row r="373" spans="1:8" x14ac:dyDescent="0.3">
      <c r="A373" t="s">
        <v>337</v>
      </c>
      <c r="B373" t="s">
        <v>1052</v>
      </c>
      <c r="C373" t="s">
        <v>1742</v>
      </c>
      <c r="D373" t="s">
        <v>42</v>
      </c>
      <c r="E373">
        <v>37</v>
      </c>
      <c r="F373" s="330" t="s">
        <v>808</v>
      </c>
      <c r="G373">
        <v>40.700000000000003</v>
      </c>
      <c r="H373" s="330">
        <v>37</v>
      </c>
    </row>
    <row r="374" spans="1:8" x14ac:dyDescent="0.3">
      <c r="A374" t="s">
        <v>337</v>
      </c>
      <c r="B374" t="s">
        <v>1052</v>
      </c>
      <c r="C374" t="s">
        <v>1742</v>
      </c>
      <c r="D374" t="s">
        <v>40</v>
      </c>
      <c r="E374">
        <v>82</v>
      </c>
      <c r="F374" s="330" t="s">
        <v>571</v>
      </c>
      <c r="G374">
        <v>90.2</v>
      </c>
      <c r="H374" s="330" t="s">
        <v>809</v>
      </c>
    </row>
    <row r="375" spans="1:8" x14ac:dyDescent="0.3">
      <c r="A375" t="s">
        <v>338</v>
      </c>
      <c r="B375" t="s">
        <v>1130</v>
      </c>
      <c r="C375" t="s">
        <v>1515</v>
      </c>
      <c r="D375" t="s">
        <v>13</v>
      </c>
      <c r="E375">
        <v>160</v>
      </c>
      <c r="F375" s="330" t="s">
        <v>745</v>
      </c>
      <c r="G375">
        <v>176</v>
      </c>
      <c r="H375" s="330" t="s">
        <v>810</v>
      </c>
    </row>
    <row r="376" spans="1:8" x14ac:dyDescent="0.3">
      <c r="A376" t="s">
        <v>329</v>
      </c>
      <c r="B376" t="s">
        <v>1971</v>
      </c>
      <c r="C376" t="s">
        <v>1972</v>
      </c>
      <c r="D376" t="s">
        <v>51</v>
      </c>
      <c r="E376">
        <v>340</v>
      </c>
      <c r="F376" s="330" t="s">
        <v>954</v>
      </c>
      <c r="G376">
        <v>374</v>
      </c>
      <c r="H376" s="330" t="s">
        <v>778</v>
      </c>
    </row>
    <row r="377" spans="1:8" x14ac:dyDescent="0.3">
      <c r="A377" t="s">
        <v>340</v>
      </c>
      <c r="B377" t="s">
        <v>1246</v>
      </c>
      <c r="C377" t="s">
        <v>1695</v>
      </c>
      <c r="D377" t="s">
        <v>121</v>
      </c>
      <c r="E377">
        <v>70</v>
      </c>
      <c r="F377" s="330" t="s">
        <v>529</v>
      </c>
      <c r="G377">
        <v>77</v>
      </c>
      <c r="H377" s="330" t="s">
        <v>649</v>
      </c>
    </row>
    <row r="378" spans="1:8" x14ac:dyDescent="0.3">
      <c r="D378" t="s">
        <v>342</v>
      </c>
      <c r="E378">
        <v>1153</v>
      </c>
    </row>
    <row r="379" spans="1:8" x14ac:dyDescent="0.3">
      <c r="A379" t="s">
        <v>2077</v>
      </c>
    </row>
    <row r="380" spans="1:8" x14ac:dyDescent="0.3">
      <c r="A380" t="s">
        <v>29</v>
      </c>
    </row>
    <row r="381" spans="1:8" x14ac:dyDescent="0.3">
      <c r="A381" t="s">
        <v>4</v>
      </c>
      <c r="B381" t="s">
        <v>5</v>
      </c>
      <c r="C381" t="s">
        <v>6</v>
      </c>
      <c r="D381" t="s">
        <v>7</v>
      </c>
      <c r="E381" t="s">
        <v>8</v>
      </c>
      <c r="F381" s="330" t="s">
        <v>9</v>
      </c>
      <c r="G381" t="s">
        <v>10</v>
      </c>
    </row>
    <row r="382" spans="1:8" x14ac:dyDescent="0.3">
      <c r="A382" t="s">
        <v>137</v>
      </c>
      <c r="B382" t="s">
        <v>1157</v>
      </c>
      <c r="C382" t="s">
        <v>1552</v>
      </c>
      <c r="D382" t="s">
        <v>91</v>
      </c>
      <c r="E382">
        <v>130</v>
      </c>
      <c r="F382" s="330" t="s">
        <v>731</v>
      </c>
      <c r="G382">
        <v>143</v>
      </c>
      <c r="H382" s="330" t="s">
        <v>658</v>
      </c>
    </row>
    <row r="383" spans="1:8" x14ac:dyDescent="0.3">
      <c r="A383" t="s">
        <v>345</v>
      </c>
      <c r="B383" t="s">
        <v>1146</v>
      </c>
      <c r="C383" t="s">
        <v>1541</v>
      </c>
      <c r="D383" t="s">
        <v>48</v>
      </c>
      <c r="E383">
        <v>114</v>
      </c>
      <c r="F383" s="330" t="s">
        <v>811</v>
      </c>
      <c r="G383">
        <v>125.4</v>
      </c>
      <c r="H383" s="330" t="s">
        <v>812</v>
      </c>
    </row>
    <row r="384" spans="1:8" x14ac:dyDescent="0.3">
      <c r="A384" t="s">
        <v>345</v>
      </c>
      <c r="B384" t="s">
        <v>1146</v>
      </c>
      <c r="C384" t="s">
        <v>1541</v>
      </c>
      <c r="D384" t="s">
        <v>44</v>
      </c>
      <c r="E384">
        <v>55</v>
      </c>
      <c r="F384" s="330" t="s">
        <v>545</v>
      </c>
      <c r="G384">
        <v>60.5</v>
      </c>
      <c r="H384" s="330">
        <v>55</v>
      </c>
    </row>
    <row r="385" spans="1:8" x14ac:dyDescent="0.3">
      <c r="A385" t="s">
        <v>346</v>
      </c>
      <c r="B385" t="s">
        <v>1124</v>
      </c>
      <c r="C385" t="s">
        <v>1466</v>
      </c>
      <c r="D385" t="s">
        <v>103</v>
      </c>
      <c r="E385">
        <v>115</v>
      </c>
      <c r="F385" s="330" t="s">
        <v>813</v>
      </c>
      <c r="G385">
        <v>126.5</v>
      </c>
      <c r="H385" s="330" t="s">
        <v>814</v>
      </c>
    </row>
    <row r="386" spans="1:8" x14ac:dyDescent="0.3">
      <c r="A386" t="s">
        <v>347</v>
      </c>
      <c r="B386" t="s">
        <v>1007</v>
      </c>
      <c r="C386" t="s">
        <v>1768</v>
      </c>
      <c r="D386" t="s">
        <v>61</v>
      </c>
      <c r="E386">
        <v>222</v>
      </c>
      <c r="F386" s="330" t="s">
        <v>556</v>
      </c>
      <c r="G386">
        <v>244.2</v>
      </c>
      <c r="H386" s="330" t="s">
        <v>815</v>
      </c>
    </row>
    <row r="387" spans="1:8" x14ac:dyDescent="0.3">
      <c r="A387" t="s">
        <v>347</v>
      </c>
      <c r="B387" t="s">
        <v>1007</v>
      </c>
      <c r="C387" t="s">
        <v>1768</v>
      </c>
      <c r="D387" t="s">
        <v>133</v>
      </c>
      <c r="E387">
        <v>76</v>
      </c>
      <c r="F387" s="330" t="s">
        <v>574</v>
      </c>
      <c r="G387">
        <v>83.6</v>
      </c>
      <c r="H387" s="330" t="s">
        <v>536</v>
      </c>
    </row>
    <row r="388" spans="1:8" x14ac:dyDescent="0.3">
      <c r="A388" t="s">
        <v>347</v>
      </c>
      <c r="B388" t="s">
        <v>1007</v>
      </c>
      <c r="C388" t="s">
        <v>1768</v>
      </c>
      <c r="D388" t="s">
        <v>88</v>
      </c>
      <c r="E388">
        <v>101</v>
      </c>
      <c r="F388" s="330" t="s">
        <v>603</v>
      </c>
      <c r="G388">
        <v>111.1</v>
      </c>
      <c r="H388" s="330" t="s">
        <v>644</v>
      </c>
    </row>
    <row r="389" spans="1:8" x14ac:dyDescent="0.3">
      <c r="A389" t="s">
        <v>347</v>
      </c>
      <c r="B389" t="s">
        <v>1007</v>
      </c>
      <c r="C389" t="s">
        <v>1768</v>
      </c>
      <c r="D389" t="s">
        <v>86</v>
      </c>
      <c r="E389">
        <v>40</v>
      </c>
      <c r="F389" s="330" t="s">
        <v>560</v>
      </c>
      <c r="G389">
        <v>44</v>
      </c>
      <c r="H389" s="330">
        <v>40</v>
      </c>
    </row>
    <row r="390" spans="1:8" x14ac:dyDescent="0.3">
      <c r="A390" t="s">
        <v>348</v>
      </c>
      <c r="B390" t="s">
        <v>1168</v>
      </c>
      <c r="C390" t="s">
        <v>1557</v>
      </c>
      <c r="D390" t="s">
        <v>251</v>
      </c>
      <c r="E390">
        <v>45</v>
      </c>
      <c r="F390" s="330" t="s">
        <v>541</v>
      </c>
      <c r="G390">
        <v>49.5</v>
      </c>
      <c r="H390" s="330">
        <v>45</v>
      </c>
    </row>
    <row r="391" spans="1:8" x14ac:dyDescent="0.3">
      <c r="A391" t="s">
        <v>355</v>
      </c>
      <c r="B391" t="s">
        <v>1993</v>
      </c>
      <c r="C391" t="s">
        <v>1682</v>
      </c>
      <c r="D391" t="s">
        <v>114</v>
      </c>
      <c r="E391">
        <v>75</v>
      </c>
      <c r="F391" s="330" t="s">
        <v>546</v>
      </c>
      <c r="G391">
        <v>82.5</v>
      </c>
      <c r="H391" s="330">
        <v>75</v>
      </c>
    </row>
    <row r="392" spans="1:8" x14ac:dyDescent="0.3">
      <c r="A392" t="s">
        <v>374</v>
      </c>
      <c r="B392" t="s">
        <v>1350</v>
      </c>
      <c r="C392" t="s">
        <v>1870</v>
      </c>
      <c r="D392" t="s">
        <v>46</v>
      </c>
      <c r="E392">
        <v>77</v>
      </c>
      <c r="F392" s="330" t="s">
        <v>956</v>
      </c>
      <c r="G392">
        <v>84.7</v>
      </c>
      <c r="H392" s="330">
        <v>77</v>
      </c>
    </row>
    <row r="393" spans="1:8" x14ac:dyDescent="0.3">
      <c r="A393" t="s">
        <v>349</v>
      </c>
      <c r="B393" t="s">
        <v>1341</v>
      </c>
      <c r="C393" t="s">
        <v>1870</v>
      </c>
      <c r="D393" t="s">
        <v>18</v>
      </c>
      <c r="E393">
        <v>80</v>
      </c>
      <c r="F393" s="330" t="s">
        <v>955</v>
      </c>
      <c r="G393">
        <v>88</v>
      </c>
      <c r="H393" s="330">
        <v>80</v>
      </c>
    </row>
    <row r="394" spans="1:8" x14ac:dyDescent="0.3">
      <c r="D394" t="s">
        <v>350</v>
      </c>
      <c r="E394">
        <v>1130</v>
      </c>
    </row>
    <row r="395" spans="1:8" x14ac:dyDescent="0.3">
      <c r="A395" t="s">
        <v>2077</v>
      </c>
    </row>
    <row r="396" spans="1:8" x14ac:dyDescent="0.3">
      <c r="A396" t="s">
        <v>59</v>
      </c>
    </row>
    <row r="397" spans="1:8" x14ac:dyDescent="0.3">
      <c r="A397" t="s">
        <v>4</v>
      </c>
      <c r="B397" t="s">
        <v>5</v>
      </c>
      <c r="C397" t="s">
        <v>6</v>
      </c>
      <c r="D397" t="s">
        <v>7</v>
      </c>
      <c r="E397" t="s">
        <v>8</v>
      </c>
      <c r="F397" s="330" t="s">
        <v>9</v>
      </c>
      <c r="G397" t="s">
        <v>10</v>
      </c>
    </row>
    <row r="398" spans="1:8" x14ac:dyDescent="0.3">
      <c r="A398" t="s">
        <v>352</v>
      </c>
      <c r="B398" t="s">
        <v>1361</v>
      </c>
      <c r="C398" t="s">
        <v>1917</v>
      </c>
      <c r="D398" t="s">
        <v>172</v>
      </c>
      <c r="E398">
        <v>175</v>
      </c>
      <c r="F398" s="330" t="s">
        <v>962</v>
      </c>
      <c r="G398">
        <v>192.5</v>
      </c>
      <c r="H398" s="330" t="s">
        <v>816</v>
      </c>
    </row>
    <row r="399" spans="1:8" x14ac:dyDescent="0.3">
      <c r="A399" t="s">
        <v>338</v>
      </c>
      <c r="B399" t="s">
        <v>1130</v>
      </c>
      <c r="C399" t="s">
        <v>1516</v>
      </c>
      <c r="D399" t="s">
        <v>14</v>
      </c>
      <c r="E399">
        <v>65</v>
      </c>
      <c r="F399" s="330" t="s">
        <v>956</v>
      </c>
      <c r="G399">
        <v>71.5</v>
      </c>
      <c r="H399" s="330">
        <v>65</v>
      </c>
    </row>
    <row r="400" spans="1:8" x14ac:dyDescent="0.3">
      <c r="A400" t="s">
        <v>353</v>
      </c>
      <c r="B400" t="s">
        <v>1197</v>
      </c>
      <c r="C400" t="s">
        <v>1618</v>
      </c>
      <c r="D400" t="s">
        <v>144</v>
      </c>
      <c r="E400">
        <v>165</v>
      </c>
      <c r="F400" s="330" t="s">
        <v>706</v>
      </c>
      <c r="G400">
        <v>181.5</v>
      </c>
      <c r="H400" s="330" t="s">
        <v>817</v>
      </c>
    </row>
    <row r="401" spans="1:8" x14ac:dyDescent="0.3">
      <c r="A401" t="s">
        <v>354</v>
      </c>
      <c r="B401" t="s">
        <v>1201</v>
      </c>
      <c r="C401" t="s">
        <v>1668</v>
      </c>
      <c r="D401" t="s">
        <v>126</v>
      </c>
      <c r="E401">
        <v>125</v>
      </c>
      <c r="F401" s="330" t="s">
        <v>818</v>
      </c>
      <c r="G401">
        <v>137.5</v>
      </c>
      <c r="H401" s="330" t="s">
        <v>819</v>
      </c>
    </row>
    <row r="402" spans="1:8" x14ac:dyDescent="0.3">
      <c r="A402" t="s">
        <v>356</v>
      </c>
      <c r="B402" t="s">
        <v>1020</v>
      </c>
      <c r="C402" t="s">
        <v>1408</v>
      </c>
      <c r="D402" t="s">
        <v>36</v>
      </c>
      <c r="E402">
        <v>75</v>
      </c>
      <c r="F402" s="330" t="s">
        <v>574</v>
      </c>
      <c r="G402">
        <v>82.5</v>
      </c>
      <c r="H402" s="330" t="s">
        <v>820</v>
      </c>
    </row>
    <row r="403" spans="1:8" x14ac:dyDescent="0.3">
      <c r="A403" t="s">
        <v>383</v>
      </c>
      <c r="B403" t="s">
        <v>1283</v>
      </c>
      <c r="C403" t="s">
        <v>1805</v>
      </c>
      <c r="D403" t="s">
        <v>140</v>
      </c>
      <c r="E403">
        <v>85</v>
      </c>
      <c r="F403" s="330" t="s">
        <v>791</v>
      </c>
      <c r="G403">
        <v>93.5</v>
      </c>
      <c r="H403" s="330" t="s">
        <v>821</v>
      </c>
    </row>
    <row r="404" spans="1:8" x14ac:dyDescent="0.3">
      <c r="A404" t="s">
        <v>366</v>
      </c>
      <c r="B404" t="s">
        <v>1273</v>
      </c>
      <c r="C404" t="s">
        <v>1797</v>
      </c>
      <c r="D404" t="s">
        <v>210</v>
      </c>
      <c r="E404">
        <v>83</v>
      </c>
      <c r="F404" s="330" t="s">
        <v>822</v>
      </c>
      <c r="G404">
        <v>91.3</v>
      </c>
      <c r="H404" s="330" t="s">
        <v>823</v>
      </c>
    </row>
    <row r="405" spans="1:8" x14ac:dyDescent="0.3">
      <c r="A405" t="s">
        <v>366</v>
      </c>
      <c r="B405" t="s">
        <v>1273</v>
      </c>
      <c r="C405" t="s">
        <v>1797</v>
      </c>
      <c r="D405" t="s">
        <v>101</v>
      </c>
      <c r="E405">
        <v>57</v>
      </c>
      <c r="F405" s="330" t="s">
        <v>529</v>
      </c>
      <c r="G405">
        <v>62.7</v>
      </c>
      <c r="H405" s="330" t="s">
        <v>824</v>
      </c>
    </row>
    <row r="406" spans="1:8" x14ac:dyDescent="0.3">
      <c r="A406" t="s">
        <v>382</v>
      </c>
      <c r="B406" t="s">
        <v>1318</v>
      </c>
      <c r="C406" t="s">
        <v>1535</v>
      </c>
      <c r="D406" t="s">
        <v>63</v>
      </c>
      <c r="E406">
        <v>20</v>
      </c>
      <c r="F406" s="330" t="s">
        <v>716</v>
      </c>
      <c r="G406">
        <v>22</v>
      </c>
      <c r="H406" s="330">
        <v>20</v>
      </c>
    </row>
    <row r="407" spans="1:8" x14ac:dyDescent="0.3">
      <c r="A407" t="s">
        <v>339</v>
      </c>
      <c r="B407" t="s">
        <v>1932</v>
      </c>
      <c r="C407" t="s">
        <v>1920</v>
      </c>
      <c r="D407" t="s">
        <v>119</v>
      </c>
      <c r="E407">
        <v>140</v>
      </c>
      <c r="F407" s="330" t="s">
        <v>706</v>
      </c>
      <c r="G407">
        <v>154</v>
      </c>
      <c r="H407" s="330" t="s">
        <v>825</v>
      </c>
    </row>
    <row r="408" spans="1:8" x14ac:dyDescent="0.3">
      <c r="A408" t="s">
        <v>359</v>
      </c>
      <c r="B408" t="s">
        <v>1334</v>
      </c>
      <c r="C408" t="s">
        <v>1652</v>
      </c>
      <c r="D408" t="s">
        <v>93</v>
      </c>
      <c r="E408">
        <v>95</v>
      </c>
      <c r="F408" s="330" t="s">
        <v>571</v>
      </c>
      <c r="G408">
        <v>104.5</v>
      </c>
      <c r="H408" s="330" t="s">
        <v>826</v>
      </c>
    </row>
    <row r="409" spans="1:8" x14ac:dyDescent="0.3">
      <c r="D409" t="s">
        <v>360</v>
      </c>
      <c r="E409">
        <v>1085</v>
      </c>
    </row>
    <row r="410" spans="1:8" x14ac:dyDescent="0.3">
      <c r="A410" t="s">
        <v>362</v>
      </c>
    </row>
    <row r="411" spans="1:8" x14ac:dyDescent="0.3">
      <c r="A411" t="s">
        <v>2</v>
      </c>
    </row>
    <row r="412" spans="1:8" x14ac:dyDescent="0.3">
      <c r="A412" t="s">
        <v>4</v>
      </c>
      <c r="B412" t="s">
        <v>5</v>
      </c>
      <c r="C412" t="s">
        <v>6</v>
      </c>
      <c r="D412" t="s">
        <v>7</v>
      </c>
      <c r="E412" t="s">
        <v>8</v>
      </c>
      <c r="F412" s="330" t="s">
        <v>9</v>
      </c>
      <c r="G412" t="s">
        <v>10</v>
      </c>
    </row>
    <row r="413" spans="1:8" x14ac:dyDescent="0.3">
      <c r="A413" t="s">
        <v>364</v>
      </c>
      <c r="B413" t="s">
        <v>991</v>
      </c>
      <c r="C413" t="s">
        <v>1629</v>
      </c>
      <c r="D413" t="s">
        <v>191</v>
      </c>
      <c r="E413">
        <v>70</v>
      </c>
      <c r="F413" s="330" t="s">
        <v>34</v>
      </c>
      <c r="G413">
        <v>77</v>
      </c>
    </row>
    <row r="414" spans="1:8" x14ac:dyDescent="0.3">
      <c r="A414" t="s">
        <v>364</v>
      </c>
      <c r="B414" t="s">
        <v>991</v>
      </c>
      <c r="C414" t="s">
        <v>1629</v>
      </c>
      <c r="D414" t="s">
        <v>131</v>
      </c>
      <c r="E414">
        <v>128</v>
      </c>
      <c r="F414" s="330" t="s">
        <v>34</v>
      </c>
      <c r="G414">
        <v>140.80000000000001</v>
      </c>
    </row>
    <row r="415" spans="1:8" x14ac:dyDescent="0.3">
      <c r="A415" t="s">
        <v>364</v>
      </c>
      <c r="B415" t="s">
        <v>991</v>
      </c>
      <c r="C415" t="s">
        <v>1629</v>
      </c>
      <c r="D415" t="s">
        <v>130</v>
      </c>
      <c r="E415">
        <v>136</v>
      </c>
      <c r="F415" s="330" t="s">
        <v>34</v>
      </c>
      <c r="G415">
        <v>149.6</v>
      </c>
    </row>
    <row r="416" spans="1:8" x14ac:dyDescent="0.3">
      <c r="A416" t="s">
        <v>364</v>
      </c>
      <c r="B416" t="s">
        <v>991</v>
      </c>
      <c r="C416" t="s">
        <v>1959</v>
      </c>
      <c r="D416" t="s">
        <v>75</v>
      </c>
      <c r="E416">
        <v>245</v>
      </c>
      <c r="F416" s="330" t="s">
        <v>34</v>
      </c>
      <c r="G416">
        <v>269.5</v>
      </c>
    </row>
    <row r="417" spans="1:8" x14ac:dyDescent="0.3">
      <c r="A417" t="s">
        <v>364</v>
      </c>
      <c r="B417" t="s">
        <v>1128</v>
      </c>
      <c r="C417" t="s">
        <v>1629</v>
      </c>
      <c r="D417" t="s">
        <v>80</v>
      </c>
      <c r="E417">
        <v>120</v>
      </c>
      <c r="F417" s="330" t="s">
        <v>34</v>
      </c>
      <c r="G417">
        <v>132</v>
      </c>
    </row>
    <row r="418" spans="1:8" x14ac:dyDescent="0.3">
      <c r="A418" t="s">
        <v>364</v>
      </c>
      <c r="B418" t="s">
        <v>991</v>
      </c>
      <c r="C418" t="s">
        <v>1969</v>
      </c>
      <c r="D418" t="s">
        <v>20</v>
      </c>
      <c r="E418">
        <v>262</v>
      </c>
      <c r="F418" s="330" t="s">
        <v>34</v>
      </c>
      <c r="G418">
        <v>288.2</v>
      </c>
    </row>
    <row r="419" spans="1:8" x14ac:dyDescent="0.3">
      <c r="A419" t="s">
        <v>365</v>
      </c>
      <c r="B419" t="s">
        <v>1974</v>
      </c>
      <c r="C419" t="s">
        <v>1611</v>
      </c>
      <c r="D419" t="s">
        <v>25</v>
      </c>
      <c r="E419">
        <v>340</v>
      </c>
      <c r="F419" s="330" t="s">
        <v>954</v>
      </c>
      <c r="G419">
        <v>374</v>
      </c>
      <c r="H419" s="330" t="s">
        <v>778</v>
      </c>
    </row>
    <row r="420" spans="1:8" x14ac:dyDescent="0.3">
      <c r="A420" t="s">
        <v>367</v>
      </c>
      <c r="B420" t="s">
        <v>1103</v>
      </c>
      <c r="C420" t="s">
        <v>1960</v>
      </c>
      <c r="D420" t="s">
        <v>56</v>
      </c>
      <c r="E420">
        <v>250</v>
      </c>
      <c r="F420" s="330" t="s">
        <v>531</v>
      </c>
      <c r="G420">
        <v>275</v>
      </c>
      <c r="H420" s="330" t="s">
        <v>827</v>
      </c>
    </row>
    <row r="421" spans="1:8" x14ac:dyDescent="0.3">
      <c r="A421" t="s">
        <v>367</v>
      </c>
      <c r="B421" t="s">
        <v>1103</v>
      </c>
      <c r="C421" t="s">
        <v>1473</v>
      </c>
      <c r="D421" t="s">
        <v>170</v>
      </c>
      <c r="E421">
        <v>132</v>
      </c>
      <c r="F421" s="330" t="s">
        <v>731</v>
      </c>
      <c r="G421">
        <v>145.19999999999999</v>
      </c>
      <c r="H421" s="330" t="s">
        <v>828</v>
      </c>
    </row>
    <row r="422" spans="1:8" x14ac:dyDescent="0.3">
      <c r="A422" t="s">
        <v>368</v>
      </c>
      <c r="B422" t="s">
        <v>1088</v>
      </c>
      <c r="C422" t="s">
        <v>1455</v>
      </c>
      <c r="D422" t="s">
        <v>65</v>
      </c>
      <c r="E422">
        <v>90</v>
      </c>
      <c r="F422" s="330" t="s">
        <v>571</v>
      </c>
      <c r="G422">
        <v>99</v>
      </c>
      <c r="H422" s="330" t="s">
        <v>709</v>
      </c>
    </row>
    <row r="423" spans="1:8" x14ac:dyDescent="0.3">
      <c r="A423" t="s">
        <v>369</v>
      </c>
      <c r="B423" t="s">
        <v>1205</v>
      </c>
      <c r="C423" t="s">
        <v>1686</v>
      </c>
      <c r="D423" t="s">
        <v>55</v>
      </c>
      <c r="E423">
        <v>150</v>
      </c>
      <c r="F423" s="330" t="s">
        <v>829</v>
      </c>
      <c r="G423">
        <v>165</v>
      </c>
      <c r="H423" s="330" t="s">
        <v>830</v>
      </c>
    </row>
    <row r="424" spans="1:8" x14ac:dyDescent="0.3">
      <c r="A424" t="s">
        <v>344</v>
      </c>
      <c r="B424" t="s">
        <v>999</v>
      </c>
      <c r="C424" t="s">
        <v>1429</v>
      </c>
      <c r="D424" t="s">
        <v>53</v>
      </c>
      <c r="E424">
        <v>155</v>
      </c>
      <c r="F424" s="330" t="s">
        <v>831</v>
      </c>
      <c r="G424">
        <v>170.5</v>
      </c>
      <c r="H424" s="330" t="s">
        <v>832</v>
      </c>
    </row>
    <row r="425" spans="1:8" x14ac:dyDescent="0.3">
      <c r="A425" t="s">
        <v>370</v>
      </c>
      <c r="B425" t="s">
        <v>1142</v>
      </c>
      <c r="C425" t="s">
        <v>1535</v>
      </c>
      <c r="D425" t="s">
        <v>73</v>
      </c>
      <c r="E425">
        <v>45</v>
      </c>
      <c r="F425" s="330" t="s">
        <v>539</v>
      </c>
      <c r="G425">
        <v>49.5</v>
      </c>
      <c r="H425" s="330" t="s">
        <v>833</v>
      </c>
    </row>
    <row r="426" spans="1:8" x14ac:dyDescent="0.3">
      <c r="D426" t="s">
        <v>371</v>
      </c>
      <c r="E426">
        <v>1162</v>
      </c>
    </row>
    <row r="427" spans="1:8" x14ac:dyDescent="0.3">
      <c r="A427" t="s">
        <v>362</v>
      </c>
    </row>
    <row r="428" spans="1:8" x14ac:dyDescent="0.3">
      <c r="A428" t="s">
        <v>29</v>
      </c>
    </row>
    <row r="429" spans="1:8" x14ac:dyDescent="0.3">
      <c r="A429" t="s">
        <v>4</v>
      </c>
      <c r="B429" t="s">
        <v>5</v>
      </c>
      <c r="C429" t="s">
        <v>6</v>
      </c>
      <c r="D429" t="s">
        <v>7</v>
      </c>
      <c r="E429" t="s">
        <v>8</v>
      </c>
      <c r="F429" s="330" t="s">
        <v>9</v>
      </c>
      <c r="G429" t="s">
        <v>10</v>
      </c>
    </row>
    <row r="430" spans="1:8" x14ac:dyDescent="0.3">
      <c r="A430" t="s">
        <v>364</v>
      </c>
      <c r="B430" t="s">
        <v>991</v>
      </c>
      <c r="C430" t="s">
        <v>1629</v>
      </c>
      <c r="D430" t="s">
        <v>81</v>
      </c>
      <c r="E430">
        <v>56</v>
      </c>
      <c r="F430" s="330" t="s">
        <v>34</v>
      </c>
      <c r="G430">
        <v>61.6</v>
      </c>
    </row>
    <row r="431" spans="1:8" x14ac:dyDescent="0.3">
      <c r="A431" t="s">
        <v>364</v>
      </c>
      <c r="B431" t="s">
        <v>991</v>
      </c>
      <c r="C431" t="s">
        <v>1630</v>
      </c>
      <c r="D431" t="s">
        <v>162</v>
      </c>
      <c r="E431">
        <v>85</v>
      </c>
      <c r="F431" s="330" t="s">
        <v>34</v>
      </c>
      <c r="G431">
        <v>93.5</v>
      </c>
    </row>
    <row r="432" spans="1:8" x14ac:dyDescent="0.3">
      <c r="A432" t="s">
        <v>364</v>
      </c>
      <c r="B432" t="s">
        <v>991</v>
      </c>
      <c r="C432" t="s">
        <v>1629</v>
      </c>
      <c r="D432" t="s">
        <v>51</v>
      </c>
      <c r="E432">
        <v>295</v>
      </c>
      <c r="F432" s="330" t="s">
        <v>34</v>
      </c>
      <c r="G432">
        <v>324.5</v>
      </c>
    </row>
    <row r="433" spans="1:8" x14ac:dyDescent="0.3">
      <c r="A433" t="s">
        <v>364</v>
      </c>
      <c r="B433" t="s">
        <v>991</v>
      </c>
      <c r="C433" t="s">
        <v>1629</v>
      </c>
      <c r="D433" t="s">
        <v>111</v>
      </c>
      <c r="E433">
        <v>83</v>
      </c>
      <c r="F433" s="330" t="s">
        <v>34</v>
      </c>
      <c r="G433">
        <v>91.3</v>
      </c>
    </row>
    <row r="434" spans="1:8" x14ac:dyDescent="0.3">
      <c r="A434" t="s">
        <v>364</v>
      </c>
      <c r="B434" t="s">
        <v>991</v>
      </c>
      <c r="C434" t="s">
        <v>1629</v>
      </c>
      <c r="D434" t="s">
        <v>126</v>
      </c>
      <c r="E434">
        <v>125</v>
      </c>
      <c r="F434" s="330" t="s">
        <v>34</v>
      </c>
      <c r="G434">
        <v>137.5</v>
      </c>
    </row>
    <row r="435" spans="1:8" x14ac:dyDescent="0.3">
      <c r="A435" t="s">
        <v>364</v>
      </c>
      <c r="B435" t="s">
        <v>991</v>
      </c>
      <c r="C435" t="s">
        <v>1634</v>
      </c>
      <c r="D435" t="s">
        <v>115</v>
      </c>
      <c r="E435">
        <v>100</v>
      </c>
      <c r="F435" s="330" t="s">
        <v>34</v>
      </c>
      <c r="G435">
        <v>110</v>
      </c>
    </row>
    <row r="436" spans="1:8" x14ac:dyDescent="0.3">
      <c r="A436" t="s">
        <v>364</v>
      </c>
      <c r="B436" t="s">
        <v>991</v>
      </c>
      <c r="C436" t="s">
        <v>1629</v>
      </c>
      <c r="D436" t="s">
        <v>95</v>
      </c>
      <c r="E436">
        <v>103</v>
      </c>
      <c r="F436" s="330" t="s">
        <v>34</v>
      </c>
      <c r="G436">
        <v>113.3</v>
      </c>
    </row>
    <row r="437" spans="1:8" x14ac:dyDescent="0.3">
      <c r="A437" t="s">
        <v>373</v>
      </c>
      <c r="B437" t="s">
        <v>1015</v>
      </c>
      <c r="C437" t="s">
        <v>1388</v>
      </c>
      <c r="D437" t="s">
        <v>251</v>
      </c>
      <c r="E437">
        <v>160</v>
      </c>
      <c r="F437" s="330" t="s">
        <v>617</v>
      </c>
      <c r="G437">
        <v>176</v>
      </c>
      <c r="H437" s="330" t="s">
        <v>774</v>
      </c>
    </row>
    <row r="438" spans="1:8" x14ac:dyDescent="0.3">
      <c r="A438" t="s">
        <v>373</v>
      </c>
      <c r="B438" t="s">
        <v>1199</v>
      </c>
      <c r="C438" t="s">
        <v>1435</v>
      </c>
      <c r="D438" t="s">
        <v>144</v>
      </c>
      <c r="E438">
        <v>205</v>
      </c>
      <c r="F438" s="330" t="s">
        <v>834</v>
      </c>
      <c r="G438">
        <v>225.5</v>
      </c>
      <c r="H438" s="330" t="s">
        <v>610</v>
      </c>
    </row>
    <row r="439" spans="1:8" x14ac:dyDescent="0.3">
      <c r="A439" t="s">
        <v>373</v>
      </c>
      <c r="B439" t="s">
        <v>1250</v>
      </c>
      <c r="C439" t="s">
        <v>1793</v>
      </c>
      <c r="D439" t="s">
        <v>124</v>
      </c>
      <c r="E439">
        <v>69</v>
      </c>
      <c r="F439" s="330" t="s">
        <v>545</v>
      </c>
      <c r="G439">
        <v>75.900000000000006</v>
      </c>
      <c r="H439" s="330">
        <v>69</v>
      </c>
    </row>
    <row r="440" spans="1:8" x14ac:dyDescent="0.3">
      <c r="A440" t="s">
        <v>373</v>
      </c>
      <c r="B440" t="s">
        <v>1015</v>
      </c>
      <c r="C440" t="s">
        <v>1435</v>
      </c>
      <c r="D440" t="s">
        <v>67</v>
      </c>
      <c r="E440">
        <v>135</v>
      </c>
      <c r="F440" s="330" t="s">
        <v>835</v>
      </c>
      <c r="G440">
        <v>148.5</v>
      </c>
      <c r="H440" s="330" t="s">
        <v>836</v>
      </c>
    </row>
    <row r="441" spans="1:8" x14ac:dyDescent="0.3">
      <c r="A441" t="s">
        <v>373</v>
      </c>
      <c r="B441" t="s">
        <v>1015</v>
      </c>
      <c r="C441" t="s">
        <v>1435</v>
      </c>
      <c r="D441" t="s">
        <v>136</v>
      </c>
      <c r="E441">
        <v>55</v>
      </c>
      <c r="F441" s="330" t="s">
        <v>837</v>
      </c>
      <c r="G441">
        <v>60.5</v>
      </c>
      <c r="H441" s="330" t="s">
        <v>767</v>
      </c>
    </row>
    <row r="442" spans="1:8" x14ac:dyDescent="0.3">
      <c r="A442" t="s">
        <v>373</v>
      </c>
      <c r="B442" t="s">
        <v>1015</v>
      </c>
      <c r="C442" t="s">
        <v>1435</v>
      </c>
      <c r="D442" t="s">
        <v>99</v>
      </c>
      <c r="E442">
        <v>61</v>
      </c>
      <c r="F442" s="330" t="s">
        <v>624</v>
      </c>
      <c r="G442">
        <v>67.099999999999994</v>
      </c>
      <c r="H442" s="330" t="s">
        <v>588</v>
      </c>
    </row>
    <row r="443" spans="1:8" x14ac:dyDescent="0.3">
      <c r="A443" t="s">
        <v>373</v>
      </c>
      <c r="B443" t="s">
        <v>1015</v>
      </c>
      <c r="C443" t="s">
        <v>1435</v>
      </c>
      <c r="D443" t="s">
        <v>97</v>
      </c>
      <c r="E443">
        <v>32</v>
      </c>
      <c r="F443" s="330" t="s">
        <v>541</v>
      </c>
      <c r="G443">
        <v>35.200000000000003</v>
      </c>
      <c r="H443" s="330">
        <v>32</v>
      </c>
    </row>
    <row r="444" spans="1:8" x14ac:dyDescent="0.3">
      <c r="A444" t="s">
        <v>373</v>
      </c>
      <c r="B444" t="s">
        <v>1095</v>
      </c>
      <c r="C444" t="s">
        <v>1388</v>
      </c>
      <c r="D444" t="s">
        <v>252</v>
      </c>
      <c r="E444">
        <v>87</v>
      </c>
      <c r="F444" s="330" t="s">
        <v>582</v>
      </c>
      <c r="G444">
        <v>95.7</v>
      </c>
      <c r="H444" s="330" t="s">
        <v>838</v>
      </c>
    </row>
    <row r="445" spans="1:8" x14ac:dyDescent="0.3">
      <c r="A445" t="s">
        <v>373</v>
      </c>
      <c r="B445" t="s">
        <v>1015</v>
      </c>
      <c r="C445" t="s">
        <v>1388</v>
      </c>
      <c r="D445" t="s">
        <v>50</v>
      </c>
      <c r="E445">
        <v>103</v>
      </c>
      <c r="F445" s="330" t="s">
        <v>571</v>
      </c>
      <c r="G445">
        <v>113.3</v>
      </c>
      <c r="H445" s="330" t="s">
        <v>572</v>
      </c>
    </row>
    <row r="446" spans="1:8" x14ac:dyDescent="0.3">
      <c r="A446" t="s">
        <v>373</v>
      </c>
      <c r="B446" t="s">
        <v>1015</v>
      </c>
      <c r="C446" t="s">
        <v>1435</v>
      </c>
      <c r="D446" t="s">
        <v>135</v>
      </c>
      <c r="E446">
        <v>60</v>
      </c>
      <c r="F446" s="330" t="s">
        <v>546</v>
      </c>
      <c r="G446">
        <v>66</v>
      </c>
      <c r="H446" s="330">
        <v>60</v>
      </c>
    </row>
    <row r="447" spans="1:8" x14ac:dyDescent="0.3">
      <c r="A447" t="s">
        <v>373</v>
      </c>
      <c r="B447" t="s">
        <v>1015</v>
      </c>
      <c r="C447" t="s">
        <v>1999</v>
      </c>
      <c r="D447" t="s">
        <v>227</v>
      </c>
      <c r="E447">
        <v>138</v>
      </c>
      <c r="F447" s="330" t="s">
        <v>839</v>
      </c>
      <c r="G447">
        <v>151.80000000000001</v>
      </c>
      <c r="H447" s="330" t="s">
        <v>840</v>
      </c>
    </row>
    <row r="448" spans="1:8" x14ac:dyDescent="0.3">
      <c r="D448" t="s">
        <v>375</v>
      </c>
      <c r="E448">
        <v>1105</v>
      </c>
    </row>
    <row r="451" spans="1:8" x14ac:dyDescent="0.3">
      <c r="A451" t="s">
        <v>362</v>
      </c>
    </row>
    <row r="452" spans="1:8" x14ac:dyDescent="0.3">
      <c r="A452" t="s">
        <v>59</v>
      </c>
    </row>
    <row r="453" spans="1:8" x14ac:dyDescent="0.3">
      <c r="A453" t="s">
        <v>4</v>
      </c>
      <c r="B453" t="s">
        <v>5</v>
      </c>
      <c r="C453" t="s">
        <v>6</v>
      </c>
      <c r="D453" t="s">
        <v>7</v>
      </c>
      <c r="E453" t="s">
        <v>8</v>
      </c>
      <c r="F453" s="330" t="s">
        <v>9</v>
      </c>
      <c r="G453" t="s">
        <v>10</v>
      </c>
    </row>
    <row r="454" spans="1:8" x14ac:dyDescent="0.3">
      <c r="A454" t="s">
        <v>364</v>
      </c>
      <c r="B454" t="s">
        <v>991</v>
      </c>
      <c r="C454" t="s">
        <v>1629</v>
      </c>
      <c r="D454" t="s">
        <v>112</v>
      </c>
      <c r="E454">
        <v>46</v>
      </c>
      <c r="F454" s="330" t="s">
        <v>34</v>
      </c>
      <c r="G454">
        <v>50.6</v>
      </c>
    </row>
    <row r="455" spans="1:8" x14ac:dyDescent="0.3">
      <c r="A455" t="s">
        <v>364</v>
      </c>
      <c r="B455" t="s">
        <v>991</v>
      </c>
      <c r="C455" t="s">
        <v>1629</v>
      </c>
      <c r="D455" t="s">
        <v>161</v>
      </c>
      <c r="E455">
        <v>225</v>
      </c>
      <c r="F455" s="330" t="s">
        <v>34</v>
      </c>
      <c r="G455">
        <v>247.5</v>
      </c>
    </row>
    <row r="456" spans="1:8" x14ac:dyDescent="0.3">
      <c r="A456" t="s">
        <v>364</v>
      </c>
      <c r="B456" t="s">
        <v>991</v>
      </c>
      <c r="C456" t="s">
        <v>1634</v>
      </c>
      <c r="D456" t="s">
        <v>82</v>
      </c>
      <c r="E456">
        <v>130</v>
      </c>
      <c r="F456" s="330" t="s">
        <v>34</v>
      </c>
      <c r="G456">
        <v>143</v>
      </c>
    </row>
    <row r="457" spans="1:8" x14ac:dyDescent="0.3">
      <c r="A457" t="s">
        <v>364</v>
      </c>
      <c r="B457" t="s">
        <v>991</v>
      </c>
      <c r="C457" t="s">
        <v>1634</v>
      </c>
      <c r="D457" t="s">
        <v>91</v>
      </c>
      <c r="E457">
        <v>130</v>
      </c>
      <c r="F457" s="330" t="s">
        <v>34</v>
      </c>
      <c r="G457">
        <v>143</v>
      </c>
    </row>
    <row r="458" spans="1:8" x14ac:dyDescent="0.3">
      <c r="A458" t="s">
        <v>364</v>
      </c>
      <c r="B458" t="s">
        <v>991</v>
      </c>
      <c r="C458" t="s">
        <v>1634</v>
      </c>
      <c r="D458" t="s">
        <v>114</v>
      </c>
      <c r="E458">
        <v>75</v>
      </c>
      <c r="F458" s="330" t="s">
        <v>34</v>
      </c>
      <c r="G458">
        <v>82.5</v>
      </c>
    </row>
    <row r="459" spans="1:8" x14ac:dyDescent="0.3">
      <c r="A459" t="s">
        <v>377</v>
      </c>
      <c r="B459" t="s">
        <v>1083</v>
      </c>
      <c r="C459" t="s">
        <v>1563</v>
      </c>
      <c r="D459" t="s">
        <v>109</v>
      </c>
      <c r="E459">
        <v>80</v>
      </c>
      <c r="F459" s="330" t="s">
        <v>529</v>
      </c>
      <c r="G459">
        <v>88</v>
      </c>
      <c r="H459" s="330" t="s">
        <v>841</v>
      </c>
    </row>
    <row r="460" spans="1:8" x14ac:dyDescent="0.3">
      <c r="A460" t="s">
        <v>377</v>
      </c>
      <c r="B460" t="s">
        <v>1083</v>
      </c>
      <c r="C460" t="s">
        <v>1563</v>
      </c>
      <c r="D460" t="s">
        <v>108</v>
      </c>
      <c r="E460">
        <v>255</v>
      </c>
      <c r="F460" s="330" t="s">
        <v>531</v>
      </c>
      <c r="G460">
        <v>280.5</v>
      </c>
      <c r="H460" s="330" t="s">
        <v>662</v>
      </c>
    </row>
    <row r="461" spans="1:8" x14ac:dyDescent="0.3">
      <c r="A461" t="s">
        <v>378</v>
      </c>
      <c r="B461" t="s">
        <v>1112</v>
      </c>
      <c r="C461" t="s">
        <v>1489</v>
      </c>
      <c r="D461" t="s">
        <v>157</v>
      </c>
      <c r="E461">
        <v>230</v>
      </c>
      <c r="F461" s="330" t="s">
        <v>556</v>
      </c>
      <c r="G461">
        <v>253</v>
      </c>
      <c r="H461" s="330" t="s">
        <v>807</v>
      </c>
    </row>
    <row r="462" spans="1:8" x14ac:dyDescent="0.3">
      <c r="A462" t="s">
        <v>379</v>
      </c>
      <c r="B462" t="s">
        <v>1212</v>
      </c>
      <c r="C462" t="s">
        <v>1688</v>
      </c>
      <c r="D462" t="s">
        <v>154</v>
      </c>
      <c r="E462">
        <v>154</v>
      </c>
      <c r="F462" s="330" t="s">
        <v>842</v>
      </c>
      <c r="G462">
        <v>169.4</v>
      </c>
      <c r="H462" s="330" t="s">
        <v>843</v>
      </c>
    </row>
    <row r="463" spans="1:8" x14ac:dyDescent="0.3">
      <c r="A463" t="s">
        <v>380</v>
      </c>
      <c r="B463" t="s">
        <v>1259</v>
      </c>
      <c r="C463" t="s">
        <v>1429</v>
      </c>
      <c r="D463" t="s">
        <v>86</v>
      </c>
      <c r="E463">
        <v>40</v>
      </c>
      <c r="F463" s="330" t="s">
        <v>633</v>
      </c>
      <c r="G463">
        <v>44</v>
      </c>
      <c r="H463" s="330">
        <v>40</v>
      </c>
    </row>
    <row r="464" spans="1:8" x14ac:dyDescent="0.3">
      <c r="A464" t="s">
        <v>381</v>
      </c>
      <c r="B464" t="s">
        <v>1183</v>
      </c>
      <c r="C464" t="s">
        <v>1611</v>
      </c>
      <c r="D464" t="s">
        <v>71</v>
      </c>
      <c r="E464">
        <v>185</v>
      </c>
      <c r="F464" s="330" t="s">
        <v>962</v>
      </c>
      <c r="G464">
        <v>203.5</v>
      </c>
      <c r="H464" s="330" t="s">
        <v>844</v>
      </c>
    </row>
    <row r="465" spans="1:8" x14ac:dyDescent="0.3">
      <c r="A465" t="s">
        <v>358</v>
      </c>
      <c r="B465" t="s">
        <v>1216</v>
      </c>
      <c r="C465" t="s">
        <v>1693</v>
      </c>
      <c r="D465" t="s">
        <v>177</v>
      </c>
      <c r="E465">
        <v>95</v>
      </c>
      <c r="F465" s="330" t="s">
        <v>582</v>
      </c>
      <c r="G465">
        <v>104.5</v>
      </c>
      <c r="H465" s="330" t="s">
        <v>698</v>
      </c>
    </row>
    <row r="466" spans="1:8" x14ac:dyDescent="0.3">
      <c r="A466" t="s">
        <v>384</v>
      </c>
      <c r="B466" t="s">
        <v>1120</v>
      </c>
      <c r="C466" t="s">
        <v>1468</v>
      </c>
      <c r="D466" t="s">
        <v>103</v>
      </c>
      <c r="E466">
        <v>105</v>
      </c>
      <c r="F466" s="330" t="s">
        <v>571</v>
      </c>
      <c r="G466">
        <v>115.5</v>
      </c>
      <c r="H466" s="330" t="s">
        <v>788</v>
      </c>
    </row>
    <row r="467" spans="1:8" x14ac:dyDescent="0.3">
      <c r="D467" t="s">
        <v>385</v>
      </c>
      <c r="E467">
        <v>1144</v>
      </c>
    </row>
    <row r="468" spans="1:8" x14ac:dyDescent="0.3">
      <c r="A468" t="s">
        <v>2078</v>
      </c>
    </row>
    <row r="469" spans="1:8" x14ac:dyDescent="0.3">
      <c r="A469" t="s">
        <v>2</v>
      </c>
    </row>
    <row r="470" spans="1:8" x14ac:dyDescent="0.3">
      <c r="A470" t="s">
        <v>4</v>
      </c>
      <c r="B470" t="s">
        <v>5</v>
      </c>
      <c r="C470" t="s">
        <v>6</v>
      </c>
      <c r="D470" t="s">
        <v>7</v>
      </c>
      <c r="E470" t="s">
        <v>8</v>
      </c>
      <c r="F470" s="330" t="s">
        <v>9</v>
      </c>
      <c r="G470" t="s">
        <v>10</v>
      </c>
    </row>
    <row r="471" spans="1:8" x14ac:dyDescent="0.3">
      <c r="A471" t="s">
        <v>389</v>
      </c>
      <c r="B471" t="s">
        <v>1295</v>
      </c>
      <c r="C471" t="s">
        <v>1717</v>
      </c>
      <c r="D471" t="s">
        <v>61</v>
      </c>
      <c r="E471">
        <v>222</v>
      </c>
      <c r="F471" s="330" t="s">
        <v>619</v>
      </c>
      <c r="G471">
        <v>244.2</v>
      </c>
      <c r="H471" s="330" t="s">
        <v>845</v>
      </c>
    </row>
    <row r="472" spans="1:8" x14ac:dyDescent="0.3">
      <c r="A472" t="s">
        <v>390</v>
      </c>
      <c r="B472" t="s">
        <v>1275</v>
      </c>
      <c r="C472" t="s">
        <v>1797</v>
      </c>
      <c r="D472" t="s">
        <v>142</v>
      </c>
      <c r="E472">
        <v>87</v>
      </c>
      <c r="F472" s="330" t="s">
        <v>564</v>
      </c>
      <c r="G472">
        <v>95.7</v>
      </c>
      <c r="H472" s="330" t="s">
        <v>846</v>
      </c>
    </row>
    <row r="473" spans="1:8" x14ac:dyDescent="0.3">
      <c r="A473" t="s">
        <v>391</v>
      </c>
      <c r="B473" t="s">
        <v>1927</v>
      </c>
      <c r="C473" t="s">
        <v>1998</v>
      </c>
      <c r="D473" t="s">
        <v>119</v>
      </c>
      <c r="E473">
        <v>140</v>
      </c>
      <c r="F473" s="330" t="s">
        <v>693</v>
      </c>
      <c r="G473">
        <v>154</v>
      </c>
      <c r="H473" s="330" t="s">
        <v>847</v>
      </c>
    </row>
    <row r="474" spans="1:8" x14ac:dyDescent="0.3">
      <c r="A474" t="s">
        <v>392</v>
      </c>
      <c r="B474" t="s">
        <v>994</v>
      </c>
      <c r="C474" t="s">
        <v>1417</v>
      </c>
      <c r="D474" t="s">
        <v>131</v>
      </c>
      <c r="E474">
        <v>128</v>
      </c>
      <c r="F474" s="330" t="s">
        <v>611</v>
      </c>
      <c r="G474">
        <v>140.80000000000001</v>
      </c>
      <c r="H474" s="330" t="s">
        <v>848</v>
      </c>
    </row>
    <row r="475" spans="1:8" x14ac:dyDescent="0.3">
      <c r="A475" t="s">
        <v>392</v>
      </c>
      <c r="B475" t="s">
        <v>994</v>
      </c>
      <c r="C475" t="s">
        <v>1417</v>
      </c>
      <c r="D475" t="s">
        <v>80</v>
      </c>
      <c r="E475">
        <v>120</v>
      </c>
      <c r="F475" s="330" t="s">
        <v>533</v>
      </c>
      <c r="G475">
        <v>132</v>
      </c>
      <c r="H475" s="330" t="s">
        <v>849</v>
      </c>
    </row>
    <row r="476" spans="1:8" x14ac:dyDescent="0.3">
      <c r="A476" t="s">
        <v>268</v>
      </c>
      <c r="B476" t="s">
        <v>1018</v>
      </c>
      <c r="C476" t="s">
        <v>1417</v>
      </c>
      <c r="D476" t="s">
        <v>162</v>
      </c>
      <c r="E476">
        <v>85</v>
      </c>
      <c r="F476" s="330" t="s">
        <v>850</v>
      </c>
      <c r="G476">
        <v>93.5</v>
      </c>
      <c r="H476" s="330" t="s">
        <v>851</v>
      </c>
    </row>
    <row r="477" spans="1:8" x14ac:dyDescent="0.3">
      <c r="A477" t="s">
        <v>393</v>
      </c>
      <c r="B477" t="s">
        <v>1324</v>
      </c>
      <c r="C477" t="s">
        <v>1899</v>
      </c>
      <c r="D477" t="s">
        <v>63</v>
      </c>
      <c r="E477">
        <v>53</v>
      </c>
      <c r="F477" s="330" t="s">
        <v>852</v>
      </c>
      <c r="G477">
        <v>58.3</v>
      </c>
      <c r="H477" s="330" t="s">
        <v>853</v>
      </c>
    </row>
    <row r="478" spans="1:8" x14ac:dyDescent="0.3">
      <c r="A478" t="s">
        <v>394</v>
      </c>
      <c r="B478" t="s">
        <v>1051</v>
      </c>
      <c r="C478" t="s">
        <v>1704</v>
      </c>
      <c r="D478" t="s">
        <v>38</v>
      </c>
      <c r="E478">
        <v>80</v>
      </c>
      <c r="F478" s="330" t="s">
        <v>574</v>
      </c>
      <c r="G478">
        <v>88</v>
      </c>
      <c r="H478" s="330" t="s">
        <v>661</v>
      </c>
    </row>
    <row r="479" spans="1:8" x14ac:dyDescent="0.3">
      <c r="A479" t="s">
        <v>394</v>
      </c>
      <c r="B479" t="s">
        <v>1051</v>
      </c>
      <c r="C479" t="s">
        <v>1704</v>
      </c>
      <c r="D479" t="s">
        <v>42</v>
      </c>
      <c r="E479">
        <v>37</v>
      </c>
      <c r="F479" s="330" t="s">
        <v>616</v>
      </c>
      <c r="G479">
        <v>40.700000000000003</v>
      </c>
      <c r="H479" s="330">
        <v>37</v>
      </c>
    </row>
    <row r="480" spans="1:8" x14ac:dyDescent="0.3">
      <c r="A480" t="s">
        <v>394</v>
      </c>
      <c r="B480" t="s">
        <v>1051</v>
      </c>
      <c r="C480" t="s">
        <v>1704</v>
      </c>
      <c r="D480" t="s">
        <v>33</v>
      </c>
      <c r="E480">
        <v>240</v>
      </c>
      <c r="F480" s="330" t="s">
        <v>854</v>
      </c>
      <c r="G480">
        <v>264</v>
      </c>
      <c r="H480" s="330" t="s">
        <v>855</v>
      </c>
    </row>
    <row r="481" spans="1:8" x14ac:dyDescent="0.3">
      <c r="D481" t="s">
        <v>395</v>
      </c>
      <c r="E481">
        <v>1192</v>
      </c>
    </row>
    <row r="484" spans="1:8" x14ac:dyDescent="0.3">
      <c r="A484" t="s">
        <v>2078</v>
      </c>
    </row>
    <row r="485" spans="1:8" x14ac:dyDescent="0.3">
      <c r="A485" t="s">
        <v>29</v>
      </c>
    </row>
    <row r="486" spans="1:8" x14ac:dyDescent="0.3">
      <c r="A486" t="s">
        <v>4</v>
      </c>
      <c r="B486" t="s">
        <v>5</v>
      </c>
      <c r="C486" t="s">
        <v>6</v>
      </c>
      <c r="D486" t="s">
        <v>7</v>
      </c>
      <c r="E486" t="s">
        <v>8</v>
      </c>
      <c r="F486" s="330" t="s">
        <v>9</v>
      </c>
      <c r="G486" t="s">
        <v>10</v>
      </c>
    </row>
    <row r="487" spans="1:8" x14ac:dyDescent="0.3">
      <c r="A487" t="s">
        <v>397</v>
      </c>
      <c r="B487" t="s">
        <v>1132</v>
      </c>
      <c r="C487" t="s">
        <v>1994</v>
      </c>
      <c r="D487" t="s">
        <v>14</v>
      </c>
      <c r="E487">
        <v>65</v>
      </c>
      <c r="F487" s="330" t="s">
        <v>546</v>
      </c>
      <c r="G487">
        <v>71.5</v>
      </c>
      <c r="H487" s="330">
        <v>65</v>
      </c>
    </row>
    <row r="488" spans="1:8" x14ac:dyDescent="0.3">
      <c r="A488" t="s">
        <v>398</v>
      </c>
      <c r="B488" t="s">
        <v>1331</v>
      </c>
      <c r="C488" t="s">
        <v>1872</v>
      </c>
      <c r="D488" t="s">
        <v>93</v>
      </c>
      <c r="E488">
        <v>95</v>
      </c>
      <c r="F488" s="330" t="s">
        <v>571</v>
      </c>
      <c r="G488">
        <v>104.5</v>
      </c>
      <c r="H488" s="330" t="s">
        <v>856</v>
      </c>
    </row>
    <row r="489" spans="1:8" x14ac:dyDescent="0.3">
      <c r="A489" t="s">
        <v>399</v>
      </c>
      <c r="B489" t="s">
        <v>1204</v>
      </c>
      <c r="C489" t="s">
        <v>1674</v>
      </c>
      <c r="D489" t="s">
        <v>55</v>
      </c>
      <c r="E489">
        <v>150</v>
      </c>
      <c r="F489" s="330" t="s">
        <v>693</v>
      </c>
      <c r="G489">
        <v>165</v>
      </c>
      <c r="H489" s="330" t="s">
        <v>857</v>
      </c>
    </row>
    <row r="490" spans="1:8" x14ac:dyDescent="0.3">
      <c r="A490" t="s">
        <v>392</v>
      </c>
      <c r="B490" t="s">
        <v>994</v>
      </c>
      <c r="C490" t="s">
        <v>1741</v>
      </c>
      <c r="D490" t="s">
        <v>82</v>
      </c>
      <c r="E490">
        <v>130</v>
      </c>
      <c r="F490" s="330" t="s">
        <v>533</v>
      </c>
      <c r="G490">
        <v>143</v>
      </c>
      <c r="H490" s="330" t="s">
        <v>858</v>
      </c>
    </row>
    <row r="491" spans="1:8" x14ac:dyDescent="0.3">
      <c r="A491" t="s">
        <v>392</v>
      </c>
      <c r="B491" t="s">
        <v>994</v>
      </c>
      <c r="C491" t="s">
        <v>1741</v>
      </c>
      <c r="D491" t="s">
        <v>115</v>
      </c>
      <c r="E491">
        <v>100</v>
      </c>
      <c r="F491" s="330" t="s">
        <v>859</v>
      </c>
      <c r="G491">
        <v>110</v>
      </c>
      <c r="H491" s="330" t="s">
        <v>860</v>
      </c>
    </row>
    <row r="492" spans="1:8" x14ac:dyDescent="0.3">
      <c r="A492" t="s">
        <v>400</v>
      </c>
      <c r="B492" t="s">
        <v>1108</v>
      </c>
      <c r="C492" t="s">
        <v>1962</v>
      </c>
      <c r="D492" t="s">
        <v>157</v>
      </c>
      <c r="E492">
        <v>230</v>
      </c>
      <c r="F492" s="330" t="s">
        <v>854</v>
      </c>
      <c r="G492">
        <v>253</v>
      </c>
      <c r="H492" s="330" t="s">
        <v>861</v>
      </c>
    </row>
    <row r="493" spans="1:8" x14ac:dyDescent="0.3">
      <c r="A493" t="s">
        <v>401</v>
      </c>
      <c r="B493" t="s">
        <v>2006</v>
      </c>
      <c r="C493" t="s">
        <v>1930</v>
      </c>
      <c r="D493" t="s">
        <v>227</v>
      </c>
      <c r="E493">
        <v>33</v>
      </c>
      <c r="F493" s="330" t="s">
        <v>770</v>
      </c>
      <c r="G493">
        <v>36.299999999999997</v>
      </c>
      <c r="H493" s="330">
        <v>33</v>
      </c>
    </row>
    <row r="494" spans="1:8" x14ac:dyDescent="0.3">
      <c r="A494" t="s">
        <v>402</v>
      </c>
      <c r="B494" t="s">
        <v>1244</v>
      </c>
      <c r="C494" t="s">
        <v>1438</v>
      </c>
      <c r="D494" t="s">
        <v>121</v>
      </c>
      <c r="E494">
        <v>70</v>
      </c>
      <c r="F494" s="330" t="s">
        <v>545</v>
      </c>
      <c r="G494">
        <v>77</v>
      </c>
      <c r="H494" s="330">
        <v>70</v>
      </c>
    </row>
    <row r="495" spans="1:8" x14ac:dyDescent="0.3">
      <c r="A495" t="s">
        <v>403</v>
      </c>
      <c r="B495" t="s">
        <v>1306</v>
      </c>
      <c r="C495" t="s">
        <v>1988</v>
      </c>
      <c r="D495" t="s">
        <v>101</v>
      </c>
      <c r="E495">
        <v>57</v>
      </c>
      <c r="F495" s="330" t="s">
        <v>566</v>
      </c>
      <c r="G495">
        <v>62.7</v>
      </c>
      <c r="H495" s="330" t="s">
        <v>669</v>
      </c>
    </row>
    <row r="496" spans="1:8" x14ac:dyDescent="0.3">
      <c r="A496" t="s">
        <v>404</v>
      </c>
      <c r="B496" t="s">
        <v>1121</v>
      </c>
      <c r="C496" t="s">
        <v>1500</v>
      </c>
      <c r="D496" t="s">
        <v>103</v>
      </c>
      <c r="E496">
        <v>240</v>
      </c>
      <c r="F496" s="330" t="s">
        <v>854</v>
      </c>
      <c r="G496">
        <v>264</v>
      </c>
      <c r="H496" s="330" t="s">
        <v>855</v>
      </c>
    </row>
    <row r="497" spans="1:8" x14ac:dyDescent="0.3">
      <c r="D497" t="s">
        <v>405</v>
      </c>
      <c r="E497">
        <v>1170</v>
      </c>
    </row>
    <row r="498" spans="1:8" x14ac:dyDescent="0.3">
      <c r="A498" t="s">
        <v>2078</v>
      </c>
    </row>
    <row r="499" spans="1:8" x14ac:dyDescent="0.3">
      <c r="A499" t="s">
        <v>59</v>
      </c>
    </row>
    <row r="500" spans="1:8" x14ac:dyDescent="0.3">
      <c r="A500" t="s">
        <v>4</v>
      </c>
      <c r="B500" t="s">
        <v>5</v>
      </c>
      <c r="C500" t="s">
        <v>6</v>
      </c>
      <c r="D500" t="s">
        <v>7</v>
      </c>
      <c r="E500" t="s">
        <v>8</v>
      </c>
      <c r="F500" s="330" t="s">
        <v>9</v>
      </c>
      <c r="G500" t="s">
        <v>10</v>
      </c>
    </row>
    <row r="501" spans="1:8" x14ac:dyDescent="0.3">
      <c r="A501" t="s">
        <v>406</v>
      </c>
      <c r="B501" t="s">
        <v>1144</v>
      </c>
      <c r="C501" t="s">
        <v>1594</v>
      </c>
      <c r="D501" t="s">
        <v>25</v>
      </c>
      <c r="E501">
        <v>150</v>
      </c>
      <c r="F501" s="330" t="s">
        <v>693</v>
      </c>
      <c r="G501">
        <v>165</v>
      </c>
      <c r="H501" s="330" t="s">
        <v>857</v>
      </c>
    </row>
    <row r="502" spans="1:8" x14ac:dyDescent="0.3">
      <c r="A502" t="s">
        <v>406</v>
      </c>
      <c r="B502" t="s">
        <v>1084</v>
      </c>
      <c r="C502" t="s">
        <v>1984</v>
      </c>
      <c r="D502" t="s">
        <v>77</v>
      </c>
      <c r="E502">
        <v>15</v>
      </c>
      <c r="F502" s="330" t="s">
        <v>862</v>
      </c>
      <c r="G502">
        <v>16.5</v>
      </c>
      <c r="H502" s="330">
        <v>15</v>
      </c>
    </row>
    <row r="503" spans="1:8" x14ac:dyDescent="0.3">
      <c r="A503" t="s">
        <v>406</v>
      </c>
      <c r="B503" t="s">
        <v>1100</v>
      </c>
      <c r="C503" t="s">
        <v>1594</v>
      </c>
      <c r="D503" t="s">
        <v>75</v>
      </c>
      <c r="E503">
        <v>32</v>
      </c>
      <c r="F503" s="330" t="s">
        <v>632</v>
      </c>
      <c r="G503">
        <v>35.200000000000003</v>
      </c>
      <c r="H503" s="330">
        <v>32</v>
      </c>
    </row>
    <row r="504" spans="1:8" x14ac:dyDescent="0.3">
      <c r="A504" t="s">
        <v>406</v>
      </c>
      <c r="B504" t="s">
        <v>1144</v>
      </c>
      <c r="C504" t="s">
        <v>1978</v>
      </c>
      <c r="D504" t="s">
        <v>126</v>
      </c>
      <c r="E504">
        <v>30</v>
      </c>
      <c r="F504" s="330" t="s">
        <v>863</v>
      </c>
      <c r="G504">
        <v>33</v>
      </c>
      <c r="H504" s="330">
        <v>30</v>
      </c>
    </row>
    <row r="505" spans="1:8" x14ac:dyDescent="0.3">
      <c r="A505" t="s">
        <v>406</v>
      </c>
      <c r="B505" t="s">
        <v>1084</v>
      </c>
      <c r="C505" t="s">
        <v>1957</v>
      </c>
      <c r="D505" t="s">
        <v>109</v>
      </c>
      <c r="E505">
        <v>20</v>
      </c>
      <c r="F505" s="330" t="s">
        <v>544</v>
      </c>
      <c r="G505">
        <v>22</v>
      </c>
      <c r="H505" s="330">
        <v>20</v>
      </c>
    </row>
    <row r="506" spans="1:8" x14ac:dyDescent="0.3">
      <c r="A506" t="s">
        <v>406</v>
      </c>
      <c r="B506" t="s">
        <v>1100</v>
      </c>
      <c r="C506" t="s">
        <v>1594</v>
      </c>
      <c r="D506" t="s">
        <v>108</v>
      </c>
      <c r="E506">
        <v>40</v>
      </c>
      <c r="F506" s="330" t="s">
        <v>633</v>
      </c>
      <c r="G506">
        <v>44</v>
      </c>
      <c r="H506" s="330">
        <v>40</v>
      </c>
    </row>
    <row r="507" spans="1:8" x14ac:dyDescent="0.3">
      <c r="A507" t="s">
        <v>406</v>
      </c>
      <c r="B507" t="s">
        <v>1144</v>
      </c>
      <c r="C507" t="s">
        <v>1594</v>
      </c>
      <c r="D507" t="s">
        <v>172</v>
      </c>
      <c r="E507">
        <v>30</v>
      </c>
      <c r="F507" s="330" t="s">
        <v>864</v>
      </c>
      <c r="G507">
        <v>33</v>
      </c>
      <c r="H507" s="330">
        <v>30</v>
      </c>
    </row>
    <row r="508" spans="1:8" x14ac:dyDescent="0.3">
      <c r="A508" t="s">
        <v>406</v>
      </c>
      <c r="B508" t="s">
        <v>1144</v>
      </c>
      <c r="C508" t="s">
        <v>1594</v>
      </c>
      <c r="D508" t="s">
        <v>73</v>
      </c>
      <c r="E508">
        <v>80</v>
      </c>
      <c r="F508" s="330" t="s">
        <v>545</v>
      </c>
      <c r="G508">
        <v>88</v>
      </c>
      <c r="H508" s="330">
        <v>80</v>
      </c>
    </row>
    <row r="509" spans="1:8" x14ac:dyDescent="0.3">
      <c r="A509" t="s">
        <v>407</v>
      </c>
      <c r="B509" t="s">
        <v>1036</v>
      </c>
      <c r="C509" t="s">
        <v>1768</v>
      </c>
      <c r="D509" t="s">
        <v>99</v>
      </c>
      <c r="E509">
        <v>5</v>
      </c>
      <c r="F509" s="330" t="s">
        <v>663</v>
      </c>
      <c r="G509">
        <v>5.5</v>
      </c>
      <c r="H509" s="330">
        <v>5</v>
      </c>
    </row>
    <row r="510" spans="1:8" x14ac:dyDescent="0.3">
      <c r="A510" t="s">
        <v>407</v>
      </c>
      <c r="B510" t="s">
        <v>1036</v>
      </c>
      <c r="C510" t="s">
        <v>1768</v>
      </c>
      <c r="D510" t="s">
        <v>67</v>
      </c>
      <c r="E510">
        <v>40</v>
      </c>
      <c r="F510" s="330" t="s">
        <v>781</v>
      </c>
      <c r="G510">
        <v>44</v>
      </c>
      <c r="H510" s="330">
        <v>40</v>
      </c>
    </row>
    <row r="511" spans="1:8" x14ac:dyDescent="0.3">
      <c r="A511" t="s">
        <v>408</v>
      </c>
      <c r="B511" t="s">
        <v>1337</v>
      </c>
      <c r="C511" t="s">
        <v>1866</v>
      </c>
      <c r="D511" t="s">
        <v>18</v>
      </c>
      <c r="E511">
        <v>80</v>
      </c>
      <c r="F511" s="330" t="s">
        <v>545</v>
      </c>
      <c r="G511">
        <v>88</v>
      </c>
      <c r="H511" s="330">
        <v>80</v>
      </c>
    </row>
    <row r="512" spans="1:8" x14ac:dyDescent="0.3">
      <c r="A512" t="s">
        <v>409</v>
      </c>
      <c r="B512" t="s">
        <v>1352</v>
      </c>
      <c r="C512" t="s">
        <v>1867</v>
      </c>
      <c r="D512" t="s">
        <v>46</v>
      </c>
      <c r="E512">
        <v>99</v>
      </c>
      <c r="F512" s="330" t="s">
        <v>956</v>
      </c>
      <c r="G512">
        <v>108.9</v>
      </c>
      <c r="H512" s="330">
        <v>99</v>
      </c>
    </row>
    <row r="513" spans="1:8" x14ac:dyDescent="0.3">
      <c r="A513" t="s">
        <v>410</v>
      </c>
      <c r="B513" t="s">
        <v>1218</v>
      </c>
      <c r="C513" t="s">
        <v>1688</v>
      </c>
      <c r="D513" t="s">
        <v>177</v>
      </c>
      <c r="E513">
        <v>35</v>
      </c>
      <c r="F513" s="330" t="s">
        <v>560</v>
      </c>
      <c r="G513">
        <v>38.5</v>
      </c>
      <c r="H513" s="330">
        <v>35</v>
      </c>
    </row>
    <row r="514" spans="1:8" x14ac:dyDescent="0.3">
      <c r="A514" t="s">
        <v>411</v>
      </c>
      <c r="B514" t="s">
        <v>1093</v>
      </c>
      <c r="C514" t="s">
        <v>1451</v>
      </c>
      <c r="D514" t="s">
        <v>252</v>
      </c>
      <c r="E514">
        <v>87</v>
      </c>
      <c r="F514" s="330" t="s">
        <v>571</v>
      </c>
      <c r="G514">
        <v>95.7</v>
      </c>
      <c r="H514" s="330" t="s">
        <v>865</v>
      </c>
    </row>
    <row r="515" spans="1:8" x14ac:dyDescent="0.3">
      <c r="A515" t="s">
        <v>412</v>
      </c>
      <c r="B515" t="s">
        <v>1182</v>
      </c>
      <c r="C515" t="s">
        <v>1574</v>
      </c>
      <c r="D515" t="s">
        <v>71</v>
      </c>
      <c r="E515">
        <v>29</v>
      </c>
      <c r="F515" s="330">
        <v>303</v>
      </c>
      <c r="G515">
        <v>31.9</v>
      </c>
      <c r="H515" s="330">
        <v>29</v>
      </c>
    </row>
    <row r="516" spans="1:8" x14ac:dyDescent="0.3">
      <c r="A516" t="s">
        <v>413</v>
      </c>
      <c r="B516" t="s">
        <v>1163</v>
      </c>
      <c r="C516" t="s">
        <v>1574</v>
      </c>
      <c r="D516" t="s">
        <v>16</v>
      </c>
      <c r="E516">
        <v>265</v>
      </c>
      <c r="F516" s="330" t="s">
        <v>854</v>
      </c>
      <c r="G516">
        <v>291.5</v>
      </c>
      <c r="H516" s="330" t="s">
        <v>866</v>
      </c>
    </row>
    <row r="517" spans="1:8" x14ac:dyDescent="0.3">
      <c r="A517" t="s">
        <v>414</v>
      </c>
      <c r="B517" t="s">
        <v>1279</v>
      </c>
      <c r="C517" t="s">
        <v>1846</v>
      </c>
      <c r="D517" t="s">
        <v>140</v>
      </c>
      <c r="E517">
        <v>85</v>
      </c>
      <c r="F517" s="330" t="s">
        <v>571</v>
      </c>
      <c r="G517">
        <v>93.5</v>
      </c>
      <c r="H517" s="330" t="s">
        <v>867</v>
      </c>
    </row>
    <row r="518" spans="1:8" x14ac:dyDescent="0.3">
      <c r="D518" t="s">
        <v>416</v>
      </c>
      <c r="E518">
        <v>1122</v>
      </c>
    </row>
    <row r="519" spans="1:8" x14ac:dyDescent="0.3">
      <c r="A519" t="s">
        <v>418</v>
      </c>
    </row>
    <row r="520" spans="1:8" x14ac:dyDescent="0.3">
      <c r="A520" t="s">
        <v>2</v>
      </c>
    </row>
    <row r="521" spans="1:8" x14ac:dyDescent="0.3">
      <c r="A521" t="s">
        <v>4</v>
      </c>
      <c r="B521" t="s">
        <v>5</v>
      </c>
      <c r="C521" t="s">
        <v>6</v>
      </c>
      <c r="D521" t="s">
        <v>7</v>
      </c>
      <c r="E521" t="s">
        <v>8</v>
      </c>
      <c r="F521" s="330" t="s">
        <v>9</v>
      </c>
      <c r="G521" t="s">
        <v>10</v>
      </c>
    </row>
    <row r="522" spans="1:8" x14ac:dyDescent="0.3">
      <c r="A522" t="s">
        <v>420</v>
      </c>
      <c r="B522" t="s">
        <v>1024</v>
      </c>
      <c r="C522" t="s">
        <v>1746</v>
      </c>
      <c r="D522" t="s">
        <v>38</v>
      </c>
      <c r="E522">
        <v>80</v>
      </c>
      <c r="F522" s="330" t="s">
        <v>673</v>
      </c>
      <c r="G522">
        <v>88</v>
      </c>
      <c r="H522" s="330" t="s">
        <v>631</v>
      </c>
    </row>
    <row r="523" spans="1:8" x14ac:dyDescent="0.3">
      <c r="A523" t="s">
        <v>420</v>
      </c>
      <c r="B523" t="s">
        <v>1024</v>
      </c>
      <c r="C523" t="s">
        <v>1746</v>
      </c>
      <c r="D523" t="s">
        <v>33</v>
      </c>
      <c r="E523">
        <v>240</v>
      </c>
      <c r="F523" s="330" t="s">
        <v>619</v>
      </c>
      <c r="G523">
        <v>264</v>
      </c>
      <c r="H523" s="330" t="s">
        <v>868</v>
      </c>
    </row>
    <row r="524" spans="1:8" x14ac:dyDescent="0.3">
      <c r="A524" t="s">
        <v>421</v>
      </c>
      <c r="B524" t="s">
        <v>1956</v>
      </c>
      <c r="C524" t="s">
        <v>1746</v>
      </c>
      <c r="D524" t="s">
        <v>130</v>
      </c>
      <c r="E524">
        <v>136</v>
      </c>
      <c r="F524" s="330" t="s">
        <v>693</v>
      </c>
      <c r="G524">
        <v>149.6</v>
      </c>
      <c r="H524" s="330" t="s">
        <v>869</v>
      </c>
    </row>
    <row r="525" spans="1:8" x14ac:dyDescent="0.3">
      <c r="A525" t="s">
        <v>422</v>
      </c>
      <c r="B525" t="s">
        <v>1952</v>
      </c>
      <c r="C525" t="s">
        <v>1744</v>
      </c>
      <c r="D525" t="s">
        <v>162</v>
      </c>
      <c r="E525">
        <v>85</v>
      </c>
      <c r="F525" s="330" t="s">
        <v>582</v>
      </c>
      <c r="G525">
        <v>93.5</v>
      </c>
      <c r="H525" s="330" t="s">
        <v>870</v>
      </c>
    </row>
    <row r="526" spans="1:8" x14ac:dyDescent="0.3">
      <c r="A526" t="s">
        <v>420</v>
      </c>
      <c r="B526" t="s">
        <v>1024</v>
      </c>
      <c r="C526" t="s">
        <v>1742</v>
      </c>
      <c r="D526" t="s">
        <v>36</v>
      </c>
      <c r="E526">
        <v>75</v>
      </c>
      <c r="F526" s="330" t="s">
        <v>545</v>
      </c>
      <c r="G526">
        <v>82.5</v>
      </c>
      <c r="H526" s="330">
        <v>75</v>
      </c>
    </row>
    <row r="527" spans="1:8" x14ac:dyDescent="0.3">
      <c r="A527" t="s">
        <v>421</v>
      </c>
      <c r="B527" t="s">
        <v>1175</v>
      </c>
      <c r="C527" t="s">
        <v>1741</v>
      </c>
      <c r="D527" t="s">
        <v>51</v>
      </c>
      <c r="E527">
        <v>295</v>
      </c>
      <c r="F527" s="330" t="s">
        <v>871</v>
      </c>
      <c r="G527">
        <v>324.5</v>
      </c>
      <c r="H527" s="330" t="s">
        <v>872</v>
      </c>
    </row>
    <row r="528" spans="1:8" x14ac:dyDescent="0.3">
      <c r="A528" t="s">
        <v>423</v>
      </c>
      <c r="B528" t="s">
        <v>1355</v>
      </c>
      <c r="C528" t="s">
        <v>1552</v>
      </c>
      <c r="D528" t="s">
        <v>91</v>
      </c>
      <c r="E528">
        <v>130</v>
      </c>
      <c r="F528" s="330" t="s">
        <v>873</v>
      </c>
      <c r="G528">
        <v>143</v>
      </c>
      <c r="H528" s="330" t="s">
        <v>658</v>
      </c>
    </row>
    <row r="529" spans="1:8" x14ac:dyDescent="0.3">
      <c r="A529" t="s">
        <v>424</v>
      </c>
      <c r="B529" t="s">
        <v>1076</v>
      </c>
      <c r="C529" t="s">
        <v>1379</v>
      </c>
      <c r="D529" t="s">
        <v>108</v>
      </c>
      <c r="E529">
        <v>65</v>
      </c>
      <c r="F529" s="330" t="s">
        <v>546</v>
      </c>
      <c r="G529">
        <v>71.5</v>
      </c>
      <c r="H529" s="330">
        <v>65</v>
      </c>
    </row>
    <row r="530" spans="1:8" x14ac:dyDescent="0.3">
      <c r="A530" t="s">
        <v>424</v>
      </c>
      <c r="B530" t="s">
        <v>1076</v>
      </c>
      <c r="C530" t="s">
        <v>1379</v>
      </c>
      <c r="D530" t="s">
        <v>109</v>
      </c>
      <c r="E530">
        <v>18</v>
      </c>
      <c r="F530" s="330" t="s">
        <v>781</v>
      </c>
      <c r="G530">
        <v>19.8</v>
      </c>
      <c r="H530" s="330">
        <v>18</v>
      </c>
    </row>
    <row r="531" spans="1:8" x14ac:dyDescent="0.3">
      <c r="A531" t="s">
        <v>424</v>
      </c>
      <c r="B531" t="s">
        <v>1076</v>
      </c>
      <c r="C531" t="s">
        <v>1379</v>
      </c>
      <c r="D531" t="s">
        <v>172</v>
      </c>
      <c r="E531">
        <v>40</v>
      </c>
      <c r="F531" s="330" t="s">
        <v>616</v>
      </c>
      <c r="G531">
        <v>44</v>
      </c>
      <c r="H531" s="330">
        <v>40</v>
      </c>
    </row>
    <row r="532" spans="1:8" x14ac:dyDescent="0.3">
      <c r="A532" t="s">
        <v>424</v>
      </c>
      <c r="B532" t="s">
        <v>1200</v>
      </c>
      <c r="C532" t="s">
        <v>1977</v>
      </c>
      <c r="D532" t="s">
        <v>126</v>
      </c>
      <c r="E532">
        <v>5</v>
      </c>
      <c r="F532" s="330" t="s">
        <v>874</v>
      </c>
      <c r="G532">
        <v>5.5</v>
      </c>
      <c r="H532" s="330">
        <v>5</v>
      </c>
    </row>
    <row r="533" spans="1:8" x14ac:dyDescent="0.3">
      <c r="A533" t="s">
        <v>424</v>
      </c>
      <c r="B533" t="s">
        <v>1200</v>
      </c>
      <c r="C533" t="s">
        <v>1978</v>
      </c>
      <c r="D533" t="s">
        <v>77</v>
      </c>
      <c r="E533">
        <v>35</v>
      </c>
      <c r="F533" s="330" t="s">
        <v>863</v>
      </c>
      <c r="G533">
        <v>38.5</v>
      </c>
      <c r="H533" s="330">
        <v>35</v>
      </c>
    </row>
    <row r="534" spans="1:8" x14ac:dyDescent="0.3">
      <c r="D534" t="s">
        <v>425</v>
      </c>
      <c r="E534">
        <v>1204</v>
      </c>
    </row>
    <row r="535" spans="1:8" x14ac:dyDescent="0.3">
      <c r="A535" t="s">
        <v>418</v>
      </c>
    </row>
    <row r="536" spans="1:8" x14ac:dyDescent="0.3">
      <c r="A536" t="s">
        <v>29</v>
      </c>
    </row>
    <row r="537" spans="1:8" x14ac:dyDescent="0.3">
      <c r="A537" t="s">
        <v>4</v>
      </c>
      <c r="B537" t="s">
        <v>5</v>
      </c>
      <c r="C537" t="s">
        <v>6</v>
      </c>
      <c r="D537" t="s">
        <v>7</v>
      </c>
      <c r="E537" t="s">
        <v>8</v>
      </c>
      <c r="F537" s="330" t="s">
        <v>9</v>
      </c>
      <c r="G537" t="s">
        <v>10</v>
      </c>
    </row>
    <row r="538" spans="1:8" x14ac:dyDescent="0.3">
      <c r="A538" t="s">
        <v>427</v>
      </c>
      <c r="B538" t="s">
        <v>1041</v>
      </c>
      <c r="C538" t="s">
        <v>1438</v>
      </c>
      <c r="D538" t="s">
        <v>124</v>
      </c>
      <c r="E538">
        <v>69</v>
      </c>
      <c r="F538" s="330" t="s">
        <v>574</v>
      </c>
      <c r="G538">
        <v>75.900000000000006</v>
      </c>
      <c r="H538" s="330" t="s">
        <v>875</v>
      </c>
    </row>
    <row r="539" spans="1:8" x14ac:dyDescent="0.3">
      <c r="A539" t="s">
        <v>427</v>
      </c>
      <c r="B539" t="s">
        <v>1041</v>
      </c>
      <c r="C539" t="s">
        <v>1438</v>
      </c>
      <c r="D539" t="s">
        <v>99</v>
      </c>
      <c r="E539">
        <v>5</v>
      </c>
      <c r="F539" s="330" t="s">
        <v>864</v>
      </c>
      <c r="G539">
        <v>5.5</v>
      </c>
      <c r="H539" s="330">
        <v>5</v>
      </c>
    </row>
    <row r="540" spans="1:8" x14ac:dyDescent="0.3">
      <c r="A540" t="s">
        <v>110</v>
      </c>
      <c r="B540" t="s">
        <v>1019</v>
      </c>
      <c r="C540" t="s">
        <v>1717</v>
      </c>
      <c r="D540" t="s">
        <v>191</v>
      </c>
      <c r="E540">
        <v>70</v>
      </c>
      <c r="F540" s="330" t="s">
        <v>574</v>
      </c>
      <c r="G540">
        <v>77</v>
      </c>
      <c r="H540" s="330" t="s">
        <v>671</v>
      </c>
    </row>
    <row r="541" spans="1:8" x14ac:dyDescent="0.3">
      <c r="A541" t="s">
        <v>110</v>
      </c>
      <c r="B541" t="s">
        <v>1019</v>
      </c>
      <c r="C541" t="s">
        <v>1717</v>
      </c>
      <c r="D541" t="s">
        <v>161</v>
      </c>
      <c r="E541">
        <v>225</v>
      </c>
      <c r="F541" s="330" t="s">
        <v>687</v>
      </c>
      <c r="G541">
        <v>247.5</v>
      </c>
      <c r="H541" s="330" t="s">
        <v>876</v>
      </c>
    </row>
    <row r="542" spans="1:8" x14ac:dyDescent="0.3">
      <c r="A542" t="s">
        <v>428</v>
      </c>
      <c r="B542" t="s">
        <v>1086</v>
      </c>
      <c r="C542" t="s">
        <v>1451</v>
      </c>
      <c r="D542" t="s">
        <v>65</v>
      </c>
      <c r="E542">
        <v>90</v>
      </c>
      <c r="F542" s="330" t="s">
        <v>571</v>
      </c>
      <c r="G542">
        <v>99</v>
      </c>
      <c r="H542" s="330" t="s">
        <v>877</v>
      </c>
    </row>
    <row r="543" spans="1:8" x14ac:dyDescent="0.3">
      <c r="A543" t="s">
        <v>268</v>
      </c>
      <c r="B543" t="s">
        <v>1238</v>
      </c>
      <c r="C543" t="s">
        <v>1746</v>
      </c>
      <c r="D543" t="s">
        <v>111</v>
      </c>
      <c r="E543">
        <v>83</v>
      </c>
      <c r="F543" s="330" t="s">
        <v>667</v>
      </c>
      <c r="G543">
        <v>91.3</v>
      </c>
      <c r="H543" s="330" t="s">
        <v>878</v>
      </c>
    </row>
    <row r="544" spans="1:8" x14ac:dyDescent="0.3">
      <c r="A544" t="s">
        <v>268</v>
      </c>
      <c r="B544" t="s">
        <v>1238</v>
      </c>
      <c r="C544" t="s">
        <v>1746</v>
      </c>
      <c r="D544" t="s">
        <v>112</v>
      </c>
      <c r="E544">
        <v>46</v>
      </c>
      <c r="F544" s="330" t="s">
        <v>879</v>
      </c>
      <c r="G544">
        <v>50.6</v>
      </c>
      <c r="H544" s="330" t="s">
        <v>623</v>
      </c>
    </row>
    <row r="545" spans="1:8" x14ac:dyDescent="0.3">
      <c r="A545" t="s">
        <v>429</v>
      </c>
      <c r="B545" t="s">
        <v>1014</v>
      </c>
      <c r="C545" t="s">
        <v>1404</v>
      </c>
      <c r="D545" t="s">
        <v>50</v>
      </c>
      <c r="E545">
        <v>103</v>
      </c>
      <c r="F545" s="330" t="s">
        <v>859</v>
      </c>
      <c r="G545">
        <v>113.3</v>
      </c>
      <c r="H545" s="330" t="s">
        <v>880</v>
      </c>
    </row>
    <row r="546" spans="1:8" x14ac:dyDescent="0.3">
      <c r="A546" t="s">
        <v>430</v>
      </c>
      <c r="B546" t="s">
        <v>987</v>
      </c>
      <c r="C546" t="s">
        <v>1981</v>
      </c>
      <c r="D546" t="s">
        <v>95</v>
      </c>
      <c r="E546">
        <v>103</v>
      </c>
      <c r="F546" s="330" t="s">
        <v>881</v>
      </c>
      <c r="G546">
        <v>113.3</v>
      </c>
      <c r="H546" s="330" t="s">
        <v>882</v>
      </c>
    </row>
    <row r="547" spans="1:8" x14ac:dyDescent="0.3">
      <c r="A547" t="s">
        <v>432</v>
      </c>
      <c r="B547" t="s">
        <v>1167</v>
      </c>
      <c r="C547" t="s">
        <v>1579</v>
      </c>
      <c r="D547" t="s">
        <v>251</v>
      </c>
      <c r="E547">
        <v>90</v>
      </c>
      <c r="F547" s="330" t="s">
        <v>571</v>
      </c>
      <c r="G547">
        <v>99</v>
      </c>
      <c r="H547" s="330" t="s">
        <v>877</v>
      </c>
    </row>
    <row r="548" spans="1:8" x14ac:dyDescent="0.3">
      <c r="A548" t="s">
        <v>22</v>
      </c>
      <c r="B548" t="s">
        <v>1056</v>
      </c>
      <c r="C548" t="s">
        <v>1425</v>
      </c>
      <c r="D548" t="s">
        <v>23</v>
      </c>
      <c r="E548">
        <v>40</v>
      </c>
      <c r="F548" s="330" t="s">
        <v>955</v>
      </c>
      <c r="G548">
        <v>44</v>
      </c>
      <c r="H548" s="330">
        <v>40</v>
      </c>
    </row>
    <row r="549" spans="1:8" x14ac:dyDescent="0.3">
      <c r="A549" t="s">
        <v>433</v>
      </c>
      <c r="B549" t="s">
        <v>1056</v>
      </c>
      <c r="C549" t="s">
        <v>1425</v>
      </c>
      <c r="D549" t="s">
        <v>40</v>
      </c>
      <c r="E549">
        <v>82</v>
      </c>
      <c r="F549" s="330" t="s">
        <v>956</v>
      </c>
      <c r="G549">
        <v>90.2</v>
      </c>
      <c r="H549" s="330">
        <v>82</v>
      </c>
    </row>
    <row r="550" spans="1:8" x14ac:dyDescent="0.3">
      <c r="A550" t="s">
        <v>434</v>
      </c>
      <c r="B550" t="s">
        <v>2002</v>
      </c>
      <c r="C550" t="s">
        <v>1935</v>
      </c>
      <c r="D550" t="s">
        <v>227</v>
      </c>
      <c r="E550">
        <v>138</v>
      </c>
      <c r="F550" s="330" t="s">
        <v>954</v>
      </c>
      <c r="G550">
        <v>151.80000000000001</v>
      </c>
      <c r="H550" s="330" t="s">
        <v>883</v>
      </c>
    </row>
    <row r="551" spans="1:8" x14ac:dyDescent="0.3">
      <c r="D551" t="s">
        <v>435</v>
      </c>
      <c r="E551" t="e">
        <f>#NAME?</f>
        <v>#NAME?</v>
      </c>
    </row>
    <row r="552" spans="1:8" x14ac:dyDescent="0.3">
      <c r="A552" t="s">
        <v>418</v>
      </c>
    </row>
    <row r="553" spans="1:8" x14ac:dyDescent="0.3">
      <c r="A553" t="s">
        <v>59</v>
      </c>
    </row>
    <row r="554" spans="1:8" x14ac:dyDescent="0.3">
      <c r="A554" t="s">
        <v>4</v>
      </c>
      <c r="B554" t="s">
        <v>5</v>
      </c>
      <c r="C554" t="s">
        <v>6</v>
      </c>
      <c r="D554" t="s">
        <v>7</v>
      </c>
      <c r="E554" t="s">
        <v>8</v>
      </c>
      <c r="F554" s="330" t="s">
        <v>9</v>
      </c>
      <c r="G554" t="s">
        <v>10</v>
      </c>
    </row>
    <row r="555" spans="1:8" x14ac:dyDescent="0.3">
      <c r="A555" t="s">
        <v>436</v>
      </c>
      <c r="B555" t="s">
        <v>1027</v>
      </c>
      <c r="C555" t="s">
        <v>1408</v>
      </c>
      <c r="D555" t="s">
        <v>133</v>
      </c>
      <c r="E555">
        <v>76</v>
      </c>
      <c r="F555" s="330" t="s">
        <v>850</v>
      </c>
      <c r="G555">
        <v>83.6</v>
      </c>
      <c r="H555" s="330" t="s">
        <v>884</v>
      </c>
    </row>
    <row r="556" spans="1:8" x14ac:dyDescent="0.3">
      <c r="A556" t="s">
        <v>437</v>
      </c>
      <c r="B556" t="s">
        <v>1211</v>
      </c>
      <c r="C556" t="s">
        <v>1686</v>
      </c>
      <c r="D556" t="s">
        <v>154</v>
      </c>
      <c r="E556">
        <v>154</v>
      </c>
      <c r="F556" s="330" t="s">
        <v>693</v>
      </c>
      <c r="G556">
        <v>169.4</v>
      </c>
      <c r="H556" s="330" t="s">
        <v>885</v>
      </c>
    </row>
    <row r="557" spans="1:8" x14ac:dyDescent="0.3">
      <c r="A557" t="s">
        <v>438</v>
      </c>
      <c r="B557" t="s">
        <v>1353</v>
      </c>
      <c r="C557" t="s">
        <v>1872</v>
      </c>
      <c r="D557" t="s">
        <v>46</v>
      </c>
      <c r="E557">
        <v>22</v>
      </c>
      <c r="F557" s="330" t="s">
        <v>886</v>
      </c>
      <c r="G557">
        <v>24.2</v>
      </c>
      <c r="H557" s="330">
        <v>22</v>
      </c>
    </row>
    <row r="558" spans="1:8" x14ac:dyDescent="0.3">
      <c r="A558" t="s">
        <v>439</v>
      </c>
      <c r="B558" t="s">
        <v>1330</v>
      </c>
      <c r="C558" t="s">
        <v>1870</v>
      </c>
      <c r="D558" t="s">
        <v>93</v>
      </c>
      <c r="E558">
        <v>95</v>
      </c>
      <c r="F558" s="330" t="s">
        <v>956</v>
      </c>
      <c r="G558">
        <v>104.5</v>
      </c>
      <c r="H558" s="330">
        <v>95</v>
      </c>
    </row>
    <row r="559" spans="1:8" x14ac:dyDescent="0.3">
      <c r="A559" t="s">
        <v>440</v>
      </c>
      <c r="B559" t="s">
        <v>1261</v>
      </c>
      <c r="C559" t="s">
        <v>1615</v>
      </c>
      <c r="D559" t="s">
        <v>86</v>
      </c>
      <c r="E559">
        <v>40</v>
      </c>
      <c r="F559" s="330" t="s">
        <v>864</v>
      </c>
      <c r="G559">
        <v>44</v>
      </c>
      <c r="H559" s="330">
        <v>40</v>
      </c>
    </row>
    <row r="560" spans="1:8" x14ac:dyDescent="0.3">
      <c r="A560" t="s">
        <v>441</v>
      </c>
      <c r="B560" t="s">
        <v>1289</v>
      </c>
      <c r="C560" t="s">
        <v>1846</v>
      </c>
      <c r="D560" t="s">
        <v>135</v>
      </c>
      <c r="E560">
        <v>60</v>
      </c>
      <c r="F560" s="330" t="s">
        <v>545</v>
      </c>
      <c r="G560">
        <v>66</v>
      </c>
      <c r="H560" s="330">
        <v>60</v>
      </c>
    </row>
    <row r="561" spans="1:8" x14ac:dyDescent="0.3">
      <c r="A561" t="s">
        <v>442</v>
      </c>
      <c r="B561" t="s">
        <v>1315</v>
      </c>
      <c r="C561" t="s">
        <v>1807</v>
      </c>
      <c r="D561" t="s">
        <v>136</v>
      </c>
      <c r="E561">
        <v>55</v>
      </c>
      <c r="F561" s="330" t="s">
        <v>650</v>
      </c>
      <c r="G561">
        <v>60.5</v>
      </c>
      <c r="H561" s="330" t="s">
        <v>540</v>
      </c>
    </row>
    <row r="562" spans="1:8" x14ac:dyDescent="0.3">
      <c r="A562" t="s">
        <v>392</v>
      </c>
      <c r="B562" t="s">
        <v>994</v>
      </c>
      <c r="C562" t="s">
        <v>1777</v>
      </c>
      <c r="D562" t="s">
        <v>114</v>
      </c>
      <c r="E562">
        <v>75</v>
      </c>
      <c r="F562" s="330" t="s">
        <v>571</v>
      </c>
      <c r="G562">
        <v>82.5</v>
      </c>
      <c r="H562" s="330" t="s">
        <v>887</v>
      </c>
    </row>
    <row r="563" spans="1:8" x14ac:dyDescent="0.3">
      <c r="A563" t="s">
        <v>392</v>
      </c>
      <c r="B563" t="s">
        <v>994</v>
      </c>
      <c r="C563" t="s">
        <v>1742</v>
      </c>
      <c r="D563" t="s">
        <v>81</v>
      </c>
      <c r="E563">
        <v>56</v>
      </c>
      <c r="F563" s="330" t="s">
        <v>574</v>
      </c>
      <c r="G563">
        <v>61.6</v>
      </c>
      <c r="H563" s="330" t="s">
        <v>888</v>
      </c>
    </row>
    <row r="564" spans="1:8" x14ac:dyDescent="0.3">
      <c r="A564" t="s">
        <v>444</v>
      </c>
      <c r="B564" t="s">
        <v>1242</v>
      </c>
      <c r="C564" t="s">
        <v>1695</v>
      </c>
      <c r="D564" t="s">
        <v>121</v>
      </c>
      <c r="E564">
        <v>70</v>
      </c>
      <c r="F564" s="330" t="s">
        <v>545</v>
      </c>
      <c r="G564">
        <v>77</v>
      </c>
      <c r="H564" s="330">
        <v>70</v>
      </c>
    </row>
    <row r="565" spans="1:8" x14ac:dyDescent="0.3">
      <c r="A565" t="s">
        <v>445</v>
      </c>
      <c r="B565" t="s">
        <v>1220</v>
      </c>
      <c r="C565" t="s">
        <v>1700</v>
      </c>
      <c r="D565" t="s">
        <v>177</v>
      </c>
      <c r="E565">
        <v>95</v>
      </c>
      <c r="F565" s="330" t="s">
        <v>571</v>
      </c>
      <c r="G565">
        <v>104.5</v>
      </c>
      <c r="H565" s="330" t="s">
        <v>856</v>
      </c>
    </row>
    <row r="566" spans="1:8" x14ac:dyDescent="0.3">
      <c r="A566" t="s">
        <v>446</v>
      </c>
      <c r="B566" t="s">
        <v>1063</v>
      </c>
      <c r="C566" t="s">
        <v>1431</v>
      </c>
      <c r="D566" t="s">
        <v>97</v>
      </c>
      <c r="E566">
        <v>32</v>
      </c>
      <c r="F566" s="330" t="s">
        <v>632</v>
      </c>
      <c r="G566">
        <v>35.200000000000003</v>
      </c>
      <c r="H566" s="330">
        <v>32</v>
      </c>
    </row>
    <row r="567" spans="1:8" x14ac:dyDescent="0.3">
      <c r="A567" t="s">
        <v>447</v>
      </c>
      <c r="B567" t="s">
        <v>1193</v>
      </c>
      <c r="C567" t="s">
        <v>1586</v>
      </c>
      <c r="D567" t="s">
        <v>144</v>
      </c>
      <c r="E567">
        <v>205</v>
      </c>
      <c r="F567" s="330" t="s">
        <v>889</v>
      </c>
      <c r="G567">
        <v>225.5</v>
      </c>
      <c r="H567" s="330" t="s">
        <v>890</v>
      </c>
    </row>
    <row r="568" spans="1:8" x14ac:dyDescent="0.3">
      <c r="A568" t="s">
        <v>448</v>
      </c>
      <c r="B568" t="s">
        <v>1323</v>
      </c>
      <c r="C568" t="s">
        <v>1899</v>
      </c>
      <c r="D568" t="s">
        <v>63</v>
      </c>
      <c r="E568">
        <v>53</v>
      </c>
      <c r="F568" s="330" t="s">
        <v>574</v>
      </c>
      <c r="G568">
        <v>58.3</v>
      </c>
      <c r="H568" s="330" t="s">
        <v>891</v>
      </c>
    </row>
    <row r="569" spans="1:8" x14ac:dyDescent="0.3">
      <c r="A569" t="s">
        <v>449</v>
      </c>
      <c r="B569" t="s">
        <v>1265</v>
      </c>
      <c r="C569" t="s">
        <v>1986</v>
      </c>
      <c r="D569" t="s">
        <v>69</v>
      </c>
      <c r="E569">
        <v>23</v>
      </c>
      <c r="F569" s="330">
        <v>303</v>
      </c>
      <c r="G569">
        <v>25.3</v>
      </c>
      <c r="H569" s="330">
        <v>23</v>
      </c>
    </row>
    <row r="570" spans="1:8" x14ac:dyDescent="0.3">
      <c r="D570" t="s">
        <v>450</v>
      </c>
      <c r="E570">
        <v>1111</v>
      </c>
    </row>
    <row r="571" spans="1:8" x14ac:dyDescent="0.3">
      <c r="A571" t="s">
        <v>452</v>
      </c>
    </row>
    <row r="572" spans="1:8" x14ac:dyDescent="0.3">
      <c r="A572" t="s">
        <v>2</v>
      </c>
    </row>
    <row r="573" spans="1:8" x14ac:dyDescent="0.3">
      <c r="A573" t="s">
        <v>4</v>
      </c>
      <c r="B573" t="s">
        <v>5</v>
      </c>
      <c r="C573" t="s">
        <v>6</v>
      </c>
      <c r="D573" t="s">
        <v>7</v>
      </c>
      <c r="E573" t="s">
        <v>8</v>
      </c>
      <c r="F573" s="330" t="s">
        <v>9</v>
      </c>
      <c r="G573" t="s">
        <v>10</v>
      </c>
    </row>
    <row r="574" spans="1:8" x14ac:dyDescent="0.3">
      <c r="A574" t="s">
        <v>454</v>
      </c>
      <c r="B574" t="s">
        <v>989</v>
      </c>
      <c r="C574" t="s">
        <v>1945</v>
      </c>
      <c r="D574" t="s">
        <v>131</v>
      </c>
      <c r="E574">
        <v>128</v>
      </c>
      <c r="F574" s="330" t="s">
        <v>611</v>
      </c>
      <c r="G574">
        <v>140.80000000000001</v>
      </c>
      <c r="H574" s="330" t="s">
        <v>848</v>
      </c>
    </row>
    <row r="575" spans="1:8" x14ac:dyDescent="0.3">
      <c r="A575" t="s">
        <v>455</v>
      </c>
      <c r="B575" t="s">
        <v>1002</v>
      </c>
      <c r="C575" t="s">
        <v>1386</v>
      </c>
      <c r="D575" t="s">
        <v>88</v>
      </c>
      <c r="E575">
        <v>101</v>
      </c>
      <c r="F575" s="330" t="s">
        <v>859</v>
      </c>
      <c r="G575">
        <v>111.1</v>
      </c>
      <c r="H575" s="330" t="s">
        <v>892</v>
      </c>
    </row>
    <row r="576" spans="1:8" x14ac:dyDescent="0.3">
      <c r="A576" t="s">
        <v>456</v>
      </c>
      <c r="B576" t="s">
        <v>1257</v>
      </c>
      <c r="C576" t="s">
        <v>1911</v>
      </c>
      <c r="D576" t="s">
        <v>42</v>
      </c>
      <c r="E576">
        <v>37</v>
      </c>
      <c r="F576" s="330" t="s">
        <v>541</v>
      </c>
      <c r="G576">
        <v>40.700000000000003</v>
      </c>
      <c r="H576" s="330">
        <v>37</v>
      </c>
    </row>
    <row r="577" spans="1:8" x14ac:dyDescent="0.3">
      <c r="A577" t="s">
        <v>458</v>
      </c>
      <c r="B577" t="s">
        <v>1299</v>
      </c>
      <c r="C577" t="s">
        <v>1777</v>
      </c>
      <c r="D577" t="s">
        <v>67</v>
      </c>
      <c r="E577">
        <v>80</v>
      </c>
      <c r="F577" s="330" t="s">
        <v>893</v>
      </c>
      <c r="G577">
        <v>88</v>
      </c>
      <c r="H577" s="330" t="s">
        <v>692</v>
      </c>
    </row>
    <row r="578" spans="1:8" x14ac:dyDescent="0.3">
      <c r="A578" t="s">
        <v>459</v>
      </c>
      <c r="B578" t="s">
        <v>1106</v>
      </c>
      <c r="C578" t="s">
        <v>1479</v>
      </c>
      <c r="D578" t="s">
        <v>56</v>
      </c>
      <c r="E578">
        <v>250</v>
      </c>
      <c r="F578" s="330" t="s">
        <v>854</v>
      </c>
      <c r="G578">
        <v>275</v>
      </c>
      <c r="H578" s="330" t="s">
        <v>894</v>
      </c>
    </row>
    <row r="579" spans="1:8" x14ac:dyDescent="0.3">
      <c r="A579" t="s">
        <v>472</v>
      </c>
      <c r="B579" t="s">
        <v>1033</v>
      </c>
      <c r="C579" t="s">
        <v>1949</v>
      </c>
      <c r="D579" t="s">
        <v>99</v>
      </c>
      <c r="E579">
        <v>61</v>
      </c>
      <c r="F579" s="330" t="s">
        <v>685</v>
      </c>
      <c r="G579">
        <v>67.099999999999994</v>
      </c>
      <c r="H579" s="330" t="s">
        <v>588</v>
      </c>
    </row>
    <row r="580" spans="1:8" x14ac:dyDescent="0.3">
      <c r="A580" t="s">
        <v>460</v>
      </c>
      <c r="B580" t="s">
        <v>1358</v>
      </c>
      <c r="C580" t="s">
        <v>1925</v>
      </c>
      <c r="D580" t="s">
        <v>172</v>
      </c>
      <c r="E580">
        <v>175</v>
      </c>
      <c r="F580" s="330" t="s">
        <v>954</v>
      </c>
      <c r="G580">
        <v>192.5</v>
      </c>
      <c r="H580" s="330" t="s">
        <v>895</v>
      </c>
    </row>
    <row r="581" spans="1:8" x14ac:dyDescent="0.3">
      <c r="A581" t="s">
        <v>461</v>
      </c>
      <c r="B581" t="s">
        <v>1098</v>
      </c>
      <c r="C581" t="s">
        <v>1464</v>
      </c>
      <c r="D581" t="s">
        <v>75</v>
      </c>
      <c r="E581">
        <v>245</v>
      </c>
      <c r="F581" s="330" t="s">
        <v>854</v>
      </c>
      <c r="G581">
        <v>269.5</v>
      </c>
      <c r="H581" s="330" t="s">
        <v>547</v>
      </c>
    </row>
    <row r="582" spans="1:8" x14ac:dyDescent="0.3">
      <c r="A582" t="s">
        <v>461</v>
      </c>
      <c r="B582" t="s">
        <v>1098</v>
      </c>
      <c r="C582" t="s">
        <v>1464</v>
      </c>
      <c r="D582" t="s">
        <v>126</v>
      </c>
      <c r="E582">
        <v>125</v>
      </c>
      <c r="F582" s="330" t="s">
        <v>611</v>
      </c>
      <c r="G582">
        <v>137.5</v>
      </c>
      <c r="H582" s="330" t="s">
        <v>896</v>
      </c>
    </row>
    <row r="583" spans="1:8" x14ac:dyDescent="0.3">
      <c r="D583" t="s">
        <v>462</v>
      </c>
      <c r="E583">
        <v>1202</v>
      </c>
    </row>
    <row r="584" spans="1:8" x14ac:dyDescent="0.3">
      <c r="A584" t="s">
        <v>452</v>
      </c>
    </row>
    <row r="585" spans="1:8" x14ac:dyDescent="0.3">
      <c r="A585" t="s">
        <v>29</v>
      </c>
    </row>
    <row r="586" spans="1:8" x14ac:dyDescent="0.3">
      <c r="A586" t="s">
        <v>4</v>
      </c>
      <c r="B586" t="s">
        <v>5</v>
      </c>
      <c r="C586" t="s">
        <v>6</v>
      </c>
      <c r="D586" t="s">
        <v>7</v>
      </c>
      <c r="E586" t="s">
        <v>8</v>
      </c>
      <c r="F586" s="330" t="s">
        <v>9</v>
      </c>
      <c r="G586" t="s">
        <v>10</v>
      </c>
    </row>
    <row r="587" spans="1:8" x14ac:dyDescent="0.3">
      <c r="A587" t="s">
        <v>464</v>
      </c>
      <c r="B587" t="s">
        <v>1192</v>
      </c>
      <c r="C587" t="s">
        <v>1604</v>
      </c>
      <c r="D587" t="s">
        <v>119</v>
      </c>
      <c r="E587">
        <v>140</v>
      </c>
      <c r="F587" s="330" t="s">
        <v>897</v>
      </c>
      <c r="G587">
        <v>154</v>
      </c>
      <c r="H587" s="330" t="s">
        <v>898</v>
      </c>
    </row>
    <row r="588" spans="1:8" x14ac:dyDescent="0.3">
      <c r="A588" t="s">
        <v>308</v>
      </c>
      <c r="B588" t="s">
        <v>1190</v>
      </c>
      <c r="C588" t="s">
        <v>1920</v>
      </c>
      <c r="D588" t="s">
        <v>71</v>
      </c>
      <c r="E588">
        <v>170</v>
      </c>
      <c r="F588" s="330" t="s">
        <v>706</v>
      </c>
      <c r="G588">
        <v>187</v>
      </c>
      <c r="H588" s="330" t="s">
        <v>899</v>
      </c>
    </row>
    <row r="589" spans="1:8" x14ac:dyDescent="0.3">
      <c r="A589" t="s">
        <v>466</v>
      </c>
      <c r="B589" t="s">
        <v>1022</v>
      </c>
      <c r="C589" t="s">
        <v>1737</v>
      </c>
      <c r="D589" t="s">
        <v>36</v>
      </c>
      <c r="E589">
        <v>75</v>
      </c>
      <c r="F589" s="330" t="s">
        <v>571</v>
      </c>
      <c r="G589">
        <v>82.5</v>
      </c>
      <c r="H589" s="330" t="s">
        <v>606</v>
      </c>
    </row>
    <row r="590" spans="1:8" x14ac:dyDescent="0.3">
      <c r="A590" t="s">
        <v>467</v>
      </c>
      <c r="B590" t="s">
        <v>1335</v>
      </c>
      <c r="C590" t="s">
        <v>1872</v>
      </c>
      <c r="D590" t="s">
        <v>18</v>
      </c>
      <c r="E590">
        <v>80</v>
      </c>
      <c r="F590" s="330" t="s">
        <v>571</v>
      </c>
      <c r="G590">
        <v>88</v>
      </c>
      <c r="H590" s="330" t="s">
        <v>692</v>
      </c>
    </row>
    <row r="591" spans="1:8" x14ac:dyDescent="0.3">
      <c r="A591" t="s">
        <v>475</v>
      </c>
      <c r="B591" t="s">
        <v>1224</v>
      </c>
      <c r="C591" t="s">
        <v>1652</v>
      </c>
      <c r="D591" t="s">
        <v>170</v>
      </c>
      <c r="E591">
        <v>132</v>
      </c>
      <c r="F591" s="330" t="s">
        <v>897</v>
      </c>
      <c r="G591">
        <v>145.19999999999999</v>
      </c>
      <c r="H591" s="330" t="s">
        <v>900</v>
      </c>
    </row>
    <row r="592" spans="1:8" x14ac:dyDescent="0.3">
      <c r="A592" t="s">
        <v>281</v>
      </c>
      <c r="B592" t="s">
        <v>998</v>
      </c>
      <c r="C592" t="s">
        <v>1975</v>
      </c>
      <c r="D592" t="s">
        <v>25</v>
      </c>
      <c r="E592">
        <v>340</v>
      </c>
      <c r="F592" s="330" t="s">
        <v>901</v>
      </c>
      <c r="G592">
        <v>374</v>
      </c>
      <c r="H592" s="330" t="s">
        <v>902</v>
      </c>
    </row>
    <row r="593" spans="1:8" x14ac:dyDescent="0.3">
      <c r="A593" t="s">
        <v>281</v>
      </c>
      <c r="B593" t="s">
        <v>1136</v>
      </c>
      <c r="C593" t="s">
        <v>1967</v>
      </c>
      <c r="D593" t="s">
        <v>13</v>
      </c>
      <c r="E593">
        <v>160</v>
      </c>
      <c r="F593" s="330" t="s">
        <v>747</v>
      </c>
      <c r="G593">
        <v>176</v>
      </c>
      <c r="H593" s="330" t="s">
        <v>903</v>
      </c>
    </row>
    <row r="594" spans="1:8" x14ac:dyDescent="0.3">
      <c r="D594" t="s">
        <v>470</v>
      </c>
      <c r="E594">
        <v>1097</v>
      </c>
    </row>
    <row r="595" spans="1:8" x14ac:dyDescent="0.3">
      <c r="A595" t="s">
        <v>452</v>
      </c>
    </row>
    <row r="596" spans="1:8" x14ac:dyDescent="0.3">
      <c r="A596" t="s">
        <v>59</v>
      </c>
    </row>
    <row r="597" spans="1:8" x14ac:dyDescent="0.3">
      <c r="A597" t="s">
        <v>4</v>
      </c>
      <c r="B597" t="s">
        <v>5</v>
      </c>
      <c r="C597" t="s">
        <v>6</v>
      </c>
      <c r="D597" t="s">
        <v>7</v>
      </c>
      <c r="E597" t="s">
        <v>8</v>
      </c>
      <c r="F597" s="330" t="s">
        <v>9</v>
      </c>
      <c r="G597" t="s">
        <v>10</v>
      </c>
    </row>
    <row r="598" spans="1:8" x14ac:dyDescent="0.3">
      <c r="A598" t="s">
        <v>471</v>
      </c>
      <c r="B598" t="s">
        <v>1235</v>
      </c>
      <c r="C598" t="s">
        <v>1664</v>
      </c>
      <c r="D598" t="s">
        <v>194</v>
      </c>
      <c r="E598">
        <v>93</v>
      </c>
      <c r="F598" s="330" t="s">
        <v>571</v>
      </c>
      <c r="G598">
        <v>102.3</v>
      </c>
      <c r="H598" s="330" t="s">
        <v>904</v>
      </c>
    </row>
    <row r="599" spans="1:8" x14ac:dyDescent="0.3">
      <c r="A599" t="s">
        <v>473</v>
      </c>
      <c r="B599" t="s">
        <v>995</v>
      </c>
      <c r="C599" t="s">
        <v>1947</v>
      </c>
      <c r="D599" t="s">
        <v>61</v>
      </c>
      <c r="E599">
        <v>222</v>
      </c>
      <c r="F599" s="330" t="s">
        <v>687</v>
      </c>
      <c r="G599">
        <v>244.2</v>
      </c>
      <c r="H599" s="330" t="s">
        <v>905</v>
      </c>
    </row>
    <row r="600" spans="1:8" x14ac:dyDescent="0.3">
      <c r="A600" t="s">
        <v>473</v>
      </c>
      <c r="B600" t="s">
        <v>995</v>
      </c>
      <c r="C600" t="s">
        <v>1947</v>
      </c>
      <c r="D600" t="s">
        <v>53</v>
      </c>
      <c r="E600">
        <v>155</v>
      </c>
      <c r="F600" s="330" t="s">
        <v>693</v>
      </c>
      <c r="G600">
        <v>170.5</v>
      </c>
      <c r="H600" s="330" t="s">
        <v>906</v>
      </c>
    </row>
    <row r="601" spans="1:8" x14ac:dyDescent="0.3">
      <c r="A601" t="s">
        <v>474</v>
      </c>
      <c r="B601" t="s">
        <v>1152</v>
      </c>
      <c r="C601" t="s">
        <v>1611</v>
      </c>
      <c r="D601" t="s">
        <v>20</v>
      </c>
      <c r="E601">
        <v>262</v>
      </c>
      <c r="F601" s="330" t="s">
        <v>954</v>
      </c>
      <c r="G601">
        <v>288.2</v>
      </c>
      <c r="H601" s="330" t="s">
        <v>534</v>
      </c>
    </row>
    <row r="602" spans="1:8" x14ac:dyDescent="0.3">
      <c r="A602" t="s">
        <v>476</v>
      </c>
      <c r="B602" t="s">
        <v>1139</v>
      </c>
      <c r="C602" t="s">
        <v>1530</v>
      </c>
      <c r="D602" t="s">
        <v>73</v>
      </c>
      <c r="E602">
        <v>105</v>
      </c>
      <c r="F602" s="330" t="s">
        <v>859</v>
      </c>
      <c r="G602">
        <v>115.5</v>
      </c>
      <c r="H602" s="330" t="s">
        <v>907</v>
      </c>
    </row>
    <row r="603" spans="1:8" x14ac:dyDescent="0.3">
      <c r="A603" t="s">
        <v>469</v>
      </c>
      <c r="B603" t="s">
        <v>1119</v>
      </c>
      <c r="C603" t="s">
        <v>1962</v>
      </c>
      <c r="D603" t="s">
        <v>103</v>
      </c>
      <c r="E603">
        <v>95</v>
      </c>
      <c r="F603" s="330" t="s">
        <v>659</v>
      </c>
      <c r="G603">
        <v>104.5</v>
      </c>
      <c r="H603" s="330" t="s">
        <v>908</v>
      </c>
    </row>
    <row r="604" spans="1:8" x14ac:dyDescent="0.3">
      <c r="A604" t="s">
        <v>525</v>
      </c>
      <c r="B604" t="s">
        <v>1145</v>
      </c>
      <c r="C604" t="s">
        <v>1535</v>
      </c>
      <c r="D604" t="s">
        <v>48</v>
      </c>
      <c r="E604">
        <v>114</v>
      </c>
      <c r="F604" s="330" t="s">
        <v>909</v>
      </c>
      <c r="G604">
        <v>125.4</v>
      </c>
      <c r="H604" s="330" t="s">
        <v>910</v>
      </c>
    </row>
    <row r="605" spans="1:8" x14ac:dyDescent="0.3">
      <c r="A605" t="s">
        <v>525</v>
      </c>
      <c r="B605" t="s">
        <v>1145</v>
      </c>
      <c r="C605" t="s">
        <v>1516</v>
      </c>
      <c r="D605" t="s">
        <v>44</v>
      </c>
      <c r="E605">
        <v>55</v>
      </c>
      <c r="F605" s="330" t="s">
        <v>541</v>
      </c>
      <c r="G605">
        <v>60.5</v>
      </c>
      <c r="H605" s="330">
        <v>55</v>
      </c>
    </row>
    <row r="606" spans="1:8" x14ac:dyDescent="0.3">
      <c r="A606" t="s">
        <v>477</v>
      </c>
      <c r="B606" t="s">
        <v>1013</v>
      </c>
      <c r="C606" t="s">
        <v>1402</v>
      </c>
      <c r="D606" t="s">
        <v>50</v>
      </c>
      <c r="E606">
        <v>103</v>
      </c>
      <c r="F606" s="330" t="s">
        <v>665</v>
      </c>
      <c r="G606">
        <v>113.3</v>
      </c>
      <c r="H606" s="330" t="s">
        <v>911</v>
      </c>
    </row>
    <row r="607" spans="1:8" x14ac:dyDescent="0.3">
      <c r="D607" t="s">
        <v>478</v>
      </c>
      <c r="E607">
        <v>1204</v>
      </c>
    </row>
    <row r="608" spans="1:8" x14ac:dyDescent="0.3">
      <c r="A608" t="s">
        <v>480</v>
      </c>
    </row>
    <row r="609" spans="1:8" x14ac:dyDescent="0.3">
      <c r="A609" t="s">
        <v>2</v>
      </c>
    </row>
    <row r="610" spans="1:8" x14ac:dyDescent="0.3">
      <c r="A610" t="s">
        <v>4</v>
      </c>
      <c r="B610" t="s">
        <v>5</v>
      </c>
      <c r="C610" t="s">
        <v>6</v>
      </c>
      <c r="D610" t="s">
        <v>7</v>
      </c>
      <c r="E610" t="s">
        <v>8</v>
      </c>
      <c r="F610" s="330" t="s">
        <v>9</v>
      </c>
      <c r="G610" t="s">
        <v>10</v>
      </c>
    </row>
    <row r="611" spans="1:8" x14ac:dyDescent="0.3">
      <c r="A611" t="s">
        <v>482</v>
      </c>
      <c r="B611" t="s">
        <v>1241</v>
      </c>
      <c r="C611" t="s">
        <v>1793</v>
      </c>
      <c r="D611" t="s">
        <v>121</v>
      </c>
      <c r="E611">
        <v>70</v>
      </c>
      <c r="F611" s="330" t="s">
        <v>603</v>
      </c>
      <c r="G611">
        <v>77</v>
      </c>
      <c r="H611" s="330" t="s">
        <v>912</v>
      </c>
    </row>
    <row r="612" spans="1:8" x14ac:dyDescent="0.3">
      <c r="A612" t="s">
        <v>483</v>
      </c>
      <c r="B612" t="s">
        <v>1016</v>
      </c>
      <c r="C612" t="s">
        <v>1406</v>
      </c>
      <c r="D612" t="s">
        <v>191</v>
      </c>
      <c r="E612">
        <v>70</v>
      </c>
      <c r="F612" s="330" t="s">
        <v>571</v>
      </c>
      <c r="G612">
        <v>77</v>
      </c>
      <c r="H612" s="330" t="s">
        <v>912</v>
      </c>
    </row>
    <row r="613" spans="1:8" x14ac:dyDescent="0.3">
      <c r="A613" t="s">
        <v>484</v>
      </c>
      <c r="B613" t="s">
        <v>1237</v>
      </c>
      <c r="C613" t="s">
        <v>1406</v>
      </c>
      <c r="D613" t="s">
        <v>111</v>
      </c>
      <c r="E613">
        <v>83</v>
      </c>
      <c r="F613" s="330" t="s">
        <v>850</v>
      </c>
      <c r="G613">
        <v>91.3</v>
      </c>
      <c r="H613" s="330" t="s">
        <v>913</v>
      </c>
    </row>
    <row r="614" spans="1:8" x14ac:dyDescent="0.3">
      <c r="A614" t="s">
        <v>485</v>
      </c>
      <c r="B614" t="s">
        <v>1252</v>
      </c>
      <c r="C614" t="s">
        <v>1406</v>
      </c>
      <c r="D614" t="s">
        <v>112</v>
      </c>
      <c r="E614">
        <v>46</v>
      </c>
      <c r="F614" s="330" t="s">
        <v>622</v>
      </c>
      <c r="G614">
        <v>50.6</v>
      </c>
      <c r="H614" s="330" t="s">
        <v>914</v>
      </c>
    </row>
    <row r="615" spans="1:8" x14ac:dyDescent="0.3">
      <c r="A615" t="s">
        <v>486</v>
      </c>
      <c r="B615" t="s">
        <v>1043</v>
      </c>
      <c r="C615" t="s">
        <v>1406</v>
      </c>
      <c r="D615" t="s">
        <v>161</v>
      </c>
      <c r="E615">
        <v>225</v>
      </c>
      <c r="F615" s="330" t="s">
        <v>687</v>
      </c>
      <c r="G615">
        <v>247.5</v>
      </c>
      <c r="H615" s="330" t="s">
        <v>876</v>
      </c>
    </row>
    <row r="616" spans="1:8" x14ac:dyDescent="0.3">
      <c r="A616" t="s">
        <v>486</v>
      </c>
      <c r="B616" t="s">
        <v>1043</v>
      </c>
      <c r="C616" t="s">
        <v>1406</v>
      </c>
      <c r="D616" t="s">
        <v>162</v>
      </c>
      <c r="E616">
        <v>85</v>
      </c>
      <c r="F616" s="330" t="s">
        <v>850</v>
      </c>
      <c r="G616">
        <v>93.5</v>
      </c>
      <c r="H616" s="330" t="s">
        <v>851</v>
      </c>
    </row>
    <row r="617" spans="1:8" x14ac:dyDescent="0.3">
      <c r="A617" t="s">
        <v>488</v>
      </c>
      <c r="B617" t="s">
        <v>1127</v>
      </c>
      <c r="C617" t="s">
        <v>1512</v>
      </c>
      <c r="D617" t="s">
        <v>82</v>
      </c>
      <c r="E617">
        <v>130</v>
      </c>
      <c r="F617" s="330" t="s">
        <v>533</v>
      </c>
      <c r="G617">
        <v>143</v>
      </c>
      <c r="H617" s="330" t="s">
        <v>858</v>
      </c>
    </row>
    <row r="618" spans="1:8" x14ac:dyDescent="0.3">
      <c r="A618" t="s">
        <v>302</v>
      </c>
      <c r="B618" t="s">
        <v>1127</v>
      </c>
      <c r="C618" t="s">
        <v>1512</v>
      </c>
      <c r="D618" t="s">
        <v>81</v>
      </c>
      <c r="E618">
        <v>56</v>
      </c>
      <c r="F618" s="330" t="s">
        <v>915</v>
      </c>
      <c r="G618">
        <v>61.6</v>
      </c>
      <c r="H618" s="330" t="s">
        <v>916</v>
      </c>
    </row>
    <row r="619" spans="1:8" x14ac:dyDescent="0.3">
      <c r="A619" t="s">
        <v>489</v>
      </c>
      <c r="B619" t="s">
        <v>1107</v>
      </c>
      <c r="C619" t="s">
        <v>1650</v>
      </c>
      <c r="D619" t="s">
        <v>56</v>
      </c>
      <c r="E619">
        <v>250</v>
      </c>
      <c r="F619" s="330" t="s">
        <v>854</v>
      </c>
      <c r="G619">
        <v>275</v>
      </c>
      <c r="H619" s="330" t="s">
        <v>894</v>
      </c>
    </row>
    <row r="620" spans="1:8" x14ac:dyDescent="0.3">
      <c r="A620" t="s">
        <v>489</v>
      </c>
      <c r="B620" t="s">
        <v>1107</v>
      </c>
      <c r="C620" t="s">
        <v>1650</v>
      </c>
      <c r="D620" t="s">
        <v>55</v>
      </c>
      <c r="E620">
        <v>150</v>
      </c>
      <c r="F620" s="330" t="s">
        <v>533</v>
      </c>
      <c r="G620">
        <v>165</v>
      </c>
      <c r="H620" s="330" t="s">
        <v>681</v>
      </c>
    </row>
    <row r="621" spans="1:8" x14ac:dyDescent="0.3">
      <c r="D621" t="s">
        <v>490</v>
      </c>
      <c r="E621">
        <v>1165</v>
      </c>
    </row>
    <row r="624" spans="1:8" x14ac:dyDescent="0.3">
      <c r="A624" t="s">
        <v>480</v>
      </c>
    </row>
    <row r="625" spans="1:8" x14ac:dyDescent="0.3">
      <c r="A625" t="s">
        <v>29</v>
      </c>
    </row>
    <row r="626" spans="1:8" x14ac:dyDescent="0.3">
      <c r="A626" t="s">
        <v>4</v>
      </c>
      <c r="B626" t="s">
        <v>5</v>
      </c>
      <c r="C626" t="s">
        <v>6</v>
      </c>
      <c r="D626" t="s">
        <v>7</v>
      </c>
      <c r="E626" t="s">
        <v>8</v>
      </c>
      <c r="F626" s="330" t="s">
        <v>9</v>
      </c>
      <c r="G626" t="s">
        <v>10</v>
      </c>
    </row>
    <row r="627" spans="1:8" x14ac:dyDescent="0.3">
      <c r="A627" t="s">
        <v>492</v>
      </c>
      <c r="B627" t="s">
        <v>1357</v>
      </c>
      <c r="C627" t="s">
        <v>1917</v>
      </c>
      <c r="D627" t="s">
        <v>91</v>
      </c>
      <c r="E627">
        <v>130</v>
      </c>
      <c r="F627" s="330" t="s">
        <v>954</v>
      </c>
      <c r="G627">
        <v>143</v>
      </c>
      <c r="H627" s="330" t="s">
        <v>917</v>
      </c>
    </row>
    <row r="628" spans="1:8" x14ac:dyDescent="0.3">
      <c r="A628" t="s">
        <v>493</v>
      </c>
      <c r="B628" t="s">
        <v>1046</v>
      </c>
      <c r="C628" t="s">
        <v>1425</v>
      </c>
      <c r="D628" t="s">
        <v>40</v>
      </c>
      <c r="E628">
        <v>82</v>
      </c>
      <c r="F628" s="330" t="s">
        <v>956</v>
      </c>
      <c r="G628">
        <v>90.2</v>
      </c>
      <c r="H628" s="330">
        <v>82</v>
      </c>
    </row>
    <row r="629" spans="1:8" x14ac:dyDescent="0.3">
      <c r="A629" t="s">
        <v>494</v>
      </c>
      <c r="B629" t="s">
        <v>1332</v>
      </c>
      <c r="C629" t="s">
        <v>1996</v>
      </c>
      <c r="D629" t="s">
        <v>93</v>
      </c>
      <c r="E629">
        <v>95</v>
      </c>
      <c r="F629" s="330" t="s">
        <v>571</v>
      </c>
      <c r="G629">
        <v>104.5</v>
      </c>
      <c r="H629" s="330" t="s">
        <v>856</v>
      </c>
    </row>
    <row r="630" spans="1:8" x14ac:dyDescent="0.3">
      <c r="A630" t="s">
        <v>496</v>
      </c>
      <c r="B630" t="s">
        <v>1320</v>
      </c>
      <c r="C630" t="s">
        <v>1995</v>
      </c>
      <c r="D630" t="s">
        <v>63</v>
      </c>
      <c r="E630">
        <v>53</v>
      </c>
      <c r="F630" s="330" t="s">
        <v>541</v>
      </c>
      <c r="G630">
        <v>58.3</v>
      </c>
      <c r="H630" s="330">
        <v>53</v>
      </c>
    </row>
    <row r="631" spans="1:8" x14ac:dyDescent="0.3">
      <c r="A631" t="s">
        <v>497</v>
      </c>
      <c r="B631" t="s">
        <v>1208</v>
      </c>
      <c r="C631" t="s">
        <v>1680</v>
      </c>
      <c r="D631" t="s">
        <v>154</v>
      </c>
      <c r="E631">
        <v>154</v>
      </c>
      <c r="F631" s="330" t="s">
        <v>693</v>
      </c>
      <c r="G631">
        <v>169.4</v>
      </c>
      <c r="H631" s="330" t="s">
        <v>918</v>
      </c>
    </row>
    <row r="632" spans="1:8" x14ac:dyDescent="0.3">
      <c r="A632" t="s">
        <v>498</v>
      </c>
      <c r="B632" t="s">
        <v>1006</v>
      </c>
      <c r="C632" t="s">
        <v>1394</v>
      </c>
      <c r="D632" t="s">
        <v>88</v>
      </c>
      <c r="E632">
        <v>101</v>
      </c>
      <c r="F632" s="330" t="s">
        <v>582</v>
      </c>
      <c r="G632">
        <v>111.1</v>
      </c>
      <c r="H632" s="330" t="s">
        <v>737</v>
      </c>
    </row>
    <row r="633" spans="1:8" x14ac:dyDescent="0.3">
      <c r="A633" t="s">
        <v>499</v>
      </c>
      <c r="B633" t="s">
        <v>1282</v>
      </c>
      <c r="C633" t="s">
        <v>1837</v>
      </c>
      <c r="D633" t="s">
        <v>142</v>
      </c>
      <c r="E633">
        <v>87</v>
      </c>
      <c r="F633" s="330" t="s">
        <v>919</v>
      </c>
      <c r="G633">
        <v>95.7</v>
      </c>
      <c r="H633" s="330" t="s">
        <v>920</v>
      </c>
    </row>
    <row r="634" spans="1:8" x14ac:dyDescent="0.3">
      <c r="A634" t="s">
        <v>499</v>
      </c>
      <c r="B634" t="s">
        <v>1282</v>
      </c>
      <c r="C634" t="s">
        <v>1837</v>
      </c>
      <c r="D634" t="s">
        <v>140</v>
      </c>
      <c r="E634">
        <v>85</v>
      </c>
      <c r="F634" s="330" t="s">
        <v>921</v>
      </c>
      <c r="G634">
        <v>93.5</v>
      </c>
      <c r="H634" s="330" t="s">
        <v>922</v>
      </c>
    </row>
    <row r="635" spans="1:8" x14ac:dyDescent="0.3">
      <c r="A635" t="s">
        <v>511</v>
      </c>
      <c r="B635" t="s">
        <v>1990</v>
      </c>
      <c r="C635" t="s">
        <v>1842</v>
      </c>
      <c r="D635" t="s">
        <v>210</v>
      </c>
      <c r="E635">
        <v>83</v>
      </c>
      <c r="F635" s="330" t="s">
        <v>567</v>
      </c>
      <c r="G635">
        <v>91.3</v>
      </c>
      <c r="H635" s="330" t="s">
        <v>923</v>
      </c>
    </row>
    <row r="636" spans="1:8" x14ac:dyDescent="0.3">
      <c r="A636" t="s">
        <v>509</v>
      </c>
      <c r="B636" t="s">
        <v>1219</v>
      </c>
      <c r="C636" t="s">
        <v>1997</v>
      </c>
      <c r="D636" t="s">
        <v>18</v>
      </c>
      <c r="E636">
        <v>80</v>
      </c>
      <c r="F636" s="330" t="s">
        <v>685</v>
      </c>
      <c r="G636">
        <v>88</v>
      </c>
      <c r="H636" s="330" t="s">
        <v>561</v>
      </c>
    </row>
    <row r="637" spans="1:8" x14ac:dyDescent="0.3">
      <c r="A637" t="s">
        <v>487</v>
      </c>
      <c r="B637" t="s">
        <v>1307</v>
      </c>
      <c r="C637" t="s">
        <v>1802</v>
      </c>
      <c r="D637" t="s">
        <v>101</v>
      </c>
      <c r="E637">
        <v>57</v>
      </c>
      <c r="F637" s="330" t="s">
        <v>924</v>
      </c>
      <c r="G637">
        <v>62.7</v>
      </c>
      <c r="H637" s="330" t="s">
        <v>925</v>
      </c>
    </row>
    <row r="638" spans="1:8" x14ac:dyDescent="0.3">
      <c r="A638" t="s">
        <v>500</v>
      </c>
      <c r="B638" t="s">
        <v>1270</v>
      </c>
      <c r="C638" t="s">
        <v>1802</v>
      </c>
      <c r="D638" t="s">
        <v>114</v>
      </c>
      <c r="E638">
        <v>75</v>
      </c>
      <c r="F638" s="330" t="s">
        <v>926</v>
      </c>
      <c r="G638">
        <v>82.5</v>
      </c>
      <c r="H638" s="330" t="s">
        <v>927</v>
      </c>
    </row>
    <row r="639" spans="1:8" x14ac:dyDescent="0.3">
      <c r="A639" t="s">
        <v>500</v>
      </c>
      <c r="B639" t="s">
        <v>1270</v>
      </c>
      <c r="C639" t="s">
        <v>1802</v>
      </c>
      <c r="D639" t="s">
        <v>115</v>
      </c>
      <c r="E639">
        <v>100</v>
      </c>
      <c r="F639" s="330" t="s">
        <v>928</v>
      </c>
      <c r="G639">
        <v>110</v>
      </c>
      <c r="H639" s="330" t="s">
        <v>929</v>
      </c>
    </row>
    <row r="640" spans="1:8" x14ac:dyDescent="0.3">
      <c r="D640" t="s">
        <v>501</v>
      </c>
      <c r="E640">
        <v>1182</v>
      </c>
    </row>
    <row r="642" spans="1:8" x14ac:dyDescent="0.3">
      <c r="A642" t="s">
        <v>480</v>
      </c>
    </row>
    <row r="643" spans="1:8" x14ac:dyDescent="0.3">
      <c r="A643" t="s">
        <v>59</v>
      </c>
    </row>
    <row r="644" spans="1:8" x14ac:dyDescent="0.3">
      <c r="A644" t="s">
        <v>4</v>
      </c>
      <c r="B644" t="s">
        <v>5</v>
      </c>
      <c r="C644" t="s">
        <v>6</v>
      </c>
      <c r="D644" t="s">
        <v>7</v>
      </c>
      <c r="E644" t="s">
        <v>8</v>
      </c>
      <c r="F644" s="330" t="s">
        <v>9</v>
      </c>
      <c r="G644" t="s">
        <v>10</v>
      </c>
    </row>
    <row r="645" spans="1:8" x14ac:dyDescent="0.3">
      <c r="A645" t="s">
        <v>502</v>
      </c>
      <c r="B645" t="s">
        <v>1346</v>
      </c>
      <c r="C645" t="s">
        <v>1866</v>
      </c>
      <c r="D645" t="s">
        <v>46</v>
      </c>
      <c r="E645">
        <v>99</v>
      </c>
      <c r="F645" s="330" t="s">
        <v>582</v>
      </c>
      <c r="G645">
        <v>108.9</v>
      </c>
      <c r="H645" s="330" t="s">
        <v>930</v>
      </c>
    </row>
    <row r="646" spans="1:8" x14ac:dyDescent="0.3">
      <c r="A646" t="s">
        <v>503</v>
      </c>
      <c r="B646" t="s">
        <v>1090</v>
      </c>
      <c r="C646" t="s">
        <v>1453</v>
      </c>
      <c r="D646" t="s">
        <v>65</v>
      </c>
      <c r="E646">
        <v>90</v>
      </c>
      <c r="F646" s="330" t="s">
        <v>919</v>
      </c>
      <c r="G646">
        <v>99</v>
      </c>
      <c r="H646" s="330" t="s">
        <v>931</v>
      </c>
    </row>
    <row r="647" spans="1:8" x14ac:dyDescent="0.3">
      <c r="A647" t="s">
        <v>504</v>
      </c>
      <c r="B647" t="s">
        <v>1195</v>
      </c>
      <c r="C647" t="s">
        <v>1584</v>
      </c>
      <c r="D647" t="s">
        <v>144</v>
      </c>
      <c r="E647">
        <v>15</v>
      </c>
      <c r="F647" s="330" t="s">
        <v>932</v>
      </c>
      <c r="G647">
        <v>16.5</v>
      </c>
      <c r="H647" s="330">
        <v>15</v>
      </c>
    </row>
    <row r="648" spans="1:8" x14ac:dyDescent="0.3">
      <c r="A648" t="s">
        <v>504</v>
      </c>
      <c r="B648" t="s">
        <v>1170</v>
      </c>
      <c r="C648" t="s">
        <v>1584</v>
      </c>
      <c r="D648" t="s">
        <v>251</v>
      </c>
      <c r="E648">
        <v>20</v>
      </c>
      <c r="F648" s="330" t="s">
        <v>632</v>
      </c>
      <c r="G648">
        <v>22</v>
      </c>
      <c r="H648" s="330">
        <v>20</v>
      </c>
    </row>
    <row r="649" spans="1:8" x14ac:dyDescent="0.3">
      <c r="A649" t="s">
        <v>506</v>
      </c>
      <c r="B649" t="s">
        <v>1268</v>
      </c>
      <c r="C649" t="s">
        <v>1737</v>
      </c>
      <c r="D649" t="s">
        <v>69</v>
      </c>
      <c r="E649">
        <v>23</v>
      </c>
      <c r="F649" s="330" t="s">
        <v>863</v>
      </c>
      <c r="G649">
        <v>25.3</v>
      </c>
      <c r="H649" s="330">
        <v>23</v>
      </c>
    </row>
    <row r="650" spans="1:8" x14ac:dyDescent="0.3">
      <c r="A650" t="s">
        <v>326</v>
      </c>
      <c r="B650" t="s">
        <v>2000</v>
      </c>
      <c r="C650" t="s">
        <v>2001</v>
      </c>
      <c r="D650" t="s">
        <v>227</v>
      </c>
      <c r="E650">
        <v>138</v>
      </c>
      <c r="F650" s="330" t="s">
        <v>533</v>
      </c>
      <c r="G650">
        <v>151.80000000000001</v>
      </c>
      <c r="H650" s="330" t="s">
        <v>883</v>
      </c>
    </row>
    <row r="651" spans="1:8" x14ac:dyDescent="0.3">
      <c r="A651" t="s">
        <v>508</v>
      </c>
      <c r="B651" t="s">
        <v>1038</v>
      </c>
      <c r="C651" t="s">
        <v>1715</v>
      </c>
      <c r="D651" t="s">
        <v>124</v>
      </c>
      <c r="E651">
        <v>69</v>
      </c>
      <c r="F651" s="330" t="s">
        <v>933</v>
      </c>
      <c r="G651">
        <v>75.900000000000006</v>
      </c>
      <c r="H651" s="330" t="s">
        <v>934</v>
      </c>
    </row>
    <row r="652" spans="1:8" x14ac:dyDescent="0.3">
      <c r="A652" t="s">
        <v>176</v>
      </c>
      <c r="B652" t="s">
        <v>1217</v>
      </c>
      <c r="C652" t="s">
        <v>1695</v>
      </c>
      <c r="D652" t="s">
        <v>177</v>
      </c>
      <c r="E652">
        <v>95</v>
      </c>
      <c r="F652" s="330" t="s">
        <v>919</v>
      </c>
      <c r="G652">
        <v>104.5</v>
      </c>
      <c r="H652" s="330" t="s">
        <v>935</v>
      </c>
    </row>
    <row r="653" spans="1:8" x14ac:dyDescent="0.3">
      <c r="A653" t="s">
        <v>378</v>
      </c>
      <c r="B653" t="s">
        <v>1225</v>
      </c>
      <c r="C653" t="s">
        <v>1491</v>
      </c>
      <c r="D653" t="s">
        <v>77</v>
      </c>
      <c r="E653">
        <v>122</v>
      </c>
      <c r="F653" s="330" t="s">
        <v>936</v>
      </c>
      <c r="G653">
        <v>134.19999999999999</v>
      </c>
      <c r="H653" s="330" t="s">
        <v>937</v>
      </c>
    </row>
    <row r="654" spans="1:8" x14ac:dyDescent="0.3">
      <c r="A654" t="s">
        <v>83</v>
      </c>
      <c r="B654" t="s">
        <v>1133</v>
      </c>
      <c r="C654" t="s">
        <v>1519</v>
      </c>
      <c r="D654" t="s">
        <v>14</v>
      </c>
      <c r="E654">
        <v>65</v>
      </c>
      <c r="F654" s="330" t="s">
        <v>624</v>
      </c>
      <c r="G654">
        <v>71.5</v>
      </c>
      <c r="H654" s="330" t="s">
        <v>938</v>
      </c>
    </row>
    <row r="655" spans="1:8" x14ac:dyDescent="0.3">
      <c r="A655" t="s">
        <v>83</v>
      </c>
      <c r="B655" t="s">
        <v>1133</v>
      </c>
      <c r="C655" t="s">
        <v>1523</v>
      </c>
      <c r="D655" t="s">
        <v>13</v>
      </c>
      <c r="E655">
        <v>160</v>
      </c>
      <c r="F655" s="330" t="s">
        <v>710</v>
      </c>
      <c r="G655">
        <v>176</v>
      </c>
      <c r="H655" s="330" t="s">
        <v>711</v>
      </c>
    </row>
    <row r="656" spans="1:8" x14ac:dyDescent="0.3">
      <c r="A656" t="s">
        <v>125</v>
      </c>
      <c r="B656" t="s">
        <v>1202</v>
      </c>
      <c r="C656" t="s">
        <v>1979</v>
      </c>
      <c r="D656" t="s">
        <v>126</v>
      </c>
      <c r="E656">
        <v>125</v>
      </c>
      <c r="F656" s="330" t="s">
        <v>939</v>
      </c>
      <c r="G656">
        <v>137.5</v>
      </c>
      <c r="H656" s="330" t="s">
        <v>940</v>
      </c>
    </row>
    <row r="657" spans="1:8" x14ac:dyDescent="0.3">
      <c r="A657" t="s">
        <v>94</v>
      </c>
      <c r="B657" t="s">
        <v>1107</v>
      </c>
      <c r="C657" t="s">
        <v>1645</v>
      </c>
      <c r="D657" t="s">
        <v>95</v>
      </c>
      <c r="E657">
        <v>103</v>
      </c>
      <c r="F657" s="330" t="s">
        <v>611</v>
      </c>
      <c r="G657">
        <v>113.3</v>
      </c>
      <c r="H657" s="330" t="s">
        <v>941</v>
      </c>
    </row>
    <row r="658" spans="1:8" x14ac:dyDescent="0.3">
      <c r="D658" t="s">
        <v>512</v>
      </c>
      <c r="E658">
        <v>1124</v>
      </c>
    </row>
    <row r="660" spans="1:8" x14ac:dyDescent="0.3">
      <c r="A660" t="s">
        <v>514</v>
      </c>
    </row>
    <row r="661" spans="1:8" x14ac:dyDescent="0.3">
      <c r="A661" t="s">
        <v>2</v>
      </c>
    </row>
    <row r="662" spans="1:8" x14ac:dyDescent="0.3">
      <c r="A662" t="s">
        <v>4</v>
      </c>
      <c r="B662" t="s">
        <v>5</v>
      </c>
      <c r="C662" t="s">
        <v>6</v>
      </c>
      <c r="D662" t="s">
        <v>7</v>
      </c>
      <c r="E662" t="s">
        <v>8</v>
      </c>
      <c r="F662" s="330" t="s">
        <v>9</v>
      </c>
      <c r="G662" t="s">
        <v>10</v>
      </c>
    </row>
    <row r="663" spans="1:8" x14ac:dyDescent="0.3">
      <c r="A663" t="s">
        <v>129</v>
      </c>
      <c r="B663" t="s">
        <v>992</v>
      </c>
      <c r="C663" t="s">
        <v>1725</v>
      </c>
      <c r="D663" t="s">
        <v>82</v>
      </c>
      <c r="E663">
        <v>130</v>
      </c>
      <c r="F663" s="330" t="s">
        <v>533</v>
      </c>
      <c r="G663">
        <v>143</v>
      </c>
      <c r="H663" s="330" t="s">
        <v>917</v>
      </c>
    </row>
    <row r="664" spans="1:8" x14ac:dyDescent="0.3">
      <c r="A664" t="s">
        <v>129</v>
      </c>
      <c r="B664" t="s">
        <v>992</v>
      </c>
      <c r="C664" t="s">
        <v>1725</v>
      </c>
      <c r="D664" t="s">
        <v>126</v>
      </c>
      <c r="E664">
        <v>125</v>
      </c>
      <c r="F664" s="330" t="s">
        <v>942</v>
      </c>
      <c r="G664">
        <v>137.5</v>
      </c>
      <c r="H664" s="330" t="s">
        <v>943</v>
      </c>
    </row>
    <row r="665" spans="1:8" x14ac:dyDescent="0.3">
      <c r="A665" t="s">
        <v>129</v>
      </c>
      <c r="B665" t="s">
        <v>992</v>
      </c>
      <c r="C665" t="s">
        <v>1720</v>
      </c>
      <c r="D665" t="s">
        <v>131</v>
      </c>
      <c r="E665">
        <v>128</v>
      </c>
      <c r="F665" s="330" t="s">
        <v>936</v>
      </c>
      <c r="G665">
        <v>140.80000000000001</v>
      </c>
      <c r="H665" s="330" t="s">
        <v>944</v>
      </c>
    </row>
    <row r="666" spans="1:8" x14ac:dyDescent="0.3">
      <c r="A666" t="s">
        <v>129</v>
      </c>
      <c r="B666" t="s">
        <v>992</v>
      </c>
      <c r="C666" t="s">
        <v>1720</v>
      </c>
      <c r="D666" t="s">
        <v>130</v>
      </c>
      <c r="E666">
        <v>136</v>
      </c>
      <c r="F666" s="330" t="s">
        <v>710</v>
      </c>
      <c r="G666">
        <v>149.6</v>
      </c>
      <c r="H666" s="330" t="s">
        <v>784</v>
      </c>
    </row>
    <row r="667" spans="1:8" x14ac:dyDescent="0.3">
      <c r="A667" t="s">
        <v>129</v>
      </c>
      <c r="B667" t="s">
        <v>992</v>
      </c>
      <c r="C667" t="s">
        <v>1720</v>
      </c>
      <c r="D667" t="s">
        <v>191</v>
      </c>
      <c r="E667">
        <v>70</v>
      </c>
      <c r="F667" s="330" t="s">
        <v>945</v>
      </c>
      <c r="G667">
        <v>77</v>
      </c>
      <c r="H667" s="330" t="s">
        <v>946</v>
      </c>
    </row>
    <row r="668" spans="1:8" x14ac:dyDescent="0.3">
      <c r="A668" t="s">
        <v>129</v>
      </c>
      <c r="B668" t="s">
        <v>992</v>
      </c>
      <c r="C668" t="s">
        <v>1720</v>
      </c>
      <c r="D668" t="s">
        <v>111</v>
      </c>
      <c r="E668">
        <v>83</v>
      </c>
      <c r="F668" s="330" t="s">
        <v>571</v>
      </c>
      <c r="G668">
        <v>91.3</v>
      </c>
      <c r="H668" s="330" t="s">
        <v>572</v>
      </c>
    </row>
    <row r="669" spans="1:8" x14ac:dyDescent="0.3">
      <c r="A669" t="s">
        <v>129</v>
      </c>
      <c r="B669" t="s">
        <v>992</v>
      </c>
      <c r="C669" t="s">
        <v>1720</v>
      </c>
      <c r="D669" t="s">
        <v>75</v>
      </c>
      <c r="E669">
        <v>245</v>
      </c>
      <c r="F669" s="330" t="s">
        <v>854</v>
      </c>
      <c r="G669">
        <v>269.5</v>
      </c>
      <c r="H669" s="330" t="s">
        <v>547</v>
      </c>
    </row>
    <row r="670" spans="1:8" x14ac:dyDescent="0.3">
      <c r="A670" t="s">
        <v>129</v>
      </c>
      <c r="B670" t="s">
        <v>992</v>
      </c>
      <c r="C670" t="s">
        <v>1720</v>
      </c>
      <c r="D670" t="s">
        <v>112</v>
      </c>
      <c r="E670">
        <v>46</v>
      </c>
      <c r="F670" s="330" t="s">
        <v>541</v>
      </c>
      <c r="G670">
        <v>50.6</v>
      </c>
      <c r="H670" s="330">
        <v>46</v>
      </c>
    </row>
    <row r="671" spans="1:8" x14ac:dyDescent="0.3">
      <c r="A671" t="s">
        <v>129</v>
      </c>
      <c r="B671" t="s">
        <v>992</v>
      </c>
      <c r="C671" t="s">
        <v>1720</v>
      </c>
      <c r="D671" t="s">
        <v>20</v>
      </c>
      <c r="E671">
        <v>262</v>
      </c>
      <c r="F671" s="330" t="s">
        <v>854</v>
      </c>
      <c r="G671">
        <v>288.2</v>
      </c>
      <c r="H671" s="330" t="s">
        <v>947</v>
      </c>
    </row>
    <row r="672" spans="1:8" x14ac:dyDescent="0.3">
      <c r="D672" t="s">
        <v>523</v>
      </c>
      <c r="E672">
        <v>1225</v>
      </c>
    </row>
    <row r="674" spans="1:8" x14ac:dyDescent="0.3">
      <c r="A674" t="s">
        <v>514</v>
      </c>
    </row>
    <row r="675" spans="1:8" x14ac:dyDescent="0.3">
      <c r="A675" t="s">
        <v>29</v>
      </c>
    </row>
    <row r="676" spans="1:8" x14ac:dyDescent="0.3">
      <c r="A676" t="s">
        <v>4</v>
      </c>
      <c r="B676" t="s">
        <v>5</v>
      </c>
      <c r="C676" t="s">
        <v>6</v>
      </c>
      <c r="D676" t="s">
        <v>7</v>
      </c>
      <c r="E676" t="s">
        <v>8</v>
      </c>
      <c r="F676" s="330" t="s">
        <v>9</v>
      </c>
      <c r="G676" t="s">
        <v>10</v>
      </c>
    </row>
    <row r="677" spans="1:8" x14ac:dyDescent="0.3">
      <c r="A677" t="s">
        <v>129</v>
      </c>
      <c r="B677" t="s">
        <v>992</v>
      </c>
      <c r="C677" t="s">
        <v>1724</v>
      </c>
      <c r="D677" t="s">
        <v>51</v>
      </c>
      <c r="E677">
        <v>295</v>
      </c>
      <c r="F677" s="330" t="s">
        <v>948</v>
      </c>
      <c r="G677">
        <v>324.5</v>
      </c>
      <c r="H677" s="330" t="s">
        <v>600</v>
      </c>
    </row>
    <row r="678" spans="1:8" x14ac:dyDescent="0.3">
      <c r="A678" t="s">
        <v>129</v>
      </c>
      <c r="B678" t="s">
        <v>992</v>
      </c>
      <c r="C678" t="s">
        <v>1951</v>
      </c>
      <c r="D678" t="s">
        <v>162</v>
      </c>
      <c r="E678">
        <v>85</v>
      </c>
      <c r="F678" s="330" t="s">
        <v>571</v>
      </c>
      <c r="G678">
        <v>93.5</v>
      </c>
      <c r="H678" s="330" t="s">
        <v>757</v>
      </c>
    </row>
    <row r="679" spans="1:8" x14ac:dyDescent="0.3">
      <c r="A679" t="s">
        <v>129</v>
      </c>
      <c r="B679" t="s">
        <v>992</v>
      </c>
      <c r="C679" t="s">
        <v>1951</v>
      </c>
      <c r="D679" t="s">
        <v>161</v>
      </c>
      <c r="E679">
        <v>225</v>
      </c>
      <c r="F679" s="330" t="s">
        <v>687</v>
      </c>
      <c r="G679">
        <v>247.5</v>
      </c>
      <c r="H679" s="330" t="s">
        <v>876</v>
      </c>
    </row>
    <row r="680" spans="1:8" x14ac:dyDescent="0.3">
      <c r="A680" t="s">
        <v>129</v>
      </c>
      <c r="B680" t="s">
        <v>992</v>
      </c>
      <c r="C680" t="s">
        <v>1951</v>
      </c>
      <c r="D680" t="s">
        <v>91</v>
      </c>
      <c r="E680">
        <v>130</v>
      </c>
      <c r="F680" s="330" t="s">
        <v>533</v>
      </c>
      <c r="G680">
        <v>143</v>
      </c>
      <c r="H680" s="330" t="s">
        <v>917</v>
      </c>
    </row>
    <row r="681" spans="1:8" x14ac:dyDescent="0.3">
      <c r="A681" t="s">
        <v>129</v>
      </c>
      <c r="B681" t="s">
        <v>992</v>
      </c>
      <c r="C681" t="s">
        <v>1951</v>
      </c>
      <c r="D681" t="s">
        <v>95</v>
      </c>
      <c r="E681">
        <v>103</v>
      </c>
      <c r="F681" s="330" t="s">
        <v>569</v>
      </c>
      <c r="G681">
        <v>113.3</v>
      </c>
      <c r="H681" s="330" t="s">
        <v>949</v>
      </c>
    </row>
    <row r="682" spans="1:8" x14ac:dyDescent="0.3">
      <c r="A682" t="s">
        <v>129</v>
      </c>
      <c r="B682" t="s">
        <v>992</v>
      </c>
      <c r="C682" t="s">
        <v>1975</v>
      </c>
      <c r="D682" t="s">
        <v>115</v>
      </c>
      <c r="E682">
        <v>100</v>
      </c>
      <c r="F682" s="330" t="s">
        <v>582</v>
      </c>
      <c r="G682">
        <v>110</v>
      </c>
      <c r="H682" s="330" t="s">
        <v>583</v>
      </c>
    </row>
    <row r="683" spans="1:8" x14ac:dyDescent="0.3">
      <c r="A683" t="s">
        <v>129</v>
      </c>
      <c r="B683" t="s">
        <v>992</v>
      </c>
      <c r="C683" t="s">
        <v>1975</v>
      </c>
      <c r="D683" t="s">
        <v>114</v>
      </c>
      <c r="E683">
        <v>75</v>
      </c>
      <c r="F683" s="330" t="s">
        <v>545</v>
      </c>
      <c r="G683">
        <v>82.5</v>
      </c>
      <c r="H683" s="330">
        <v>75</v>
      </c>
    </row>
    <row r="684" spans="1:8" x14ac:dyDescent="0.3">
      <c r="A684" t="s">
        <v>129</v>
      </c>
      <c r="B684" t="s">
        <v>992</v>
      </c>
      <c r="C684" t="s">
        <v>1966</v>
      </c>
      <c r="D684" t="s">
        <v>80</v>
      </c>
      <c r="E684">
        <v>120</v>
      </c>
      <c r="F684" s="330" t="s">
        <v>950</v>
      </c>
      <c r="G684">
        <v>132</v>
      </c>
      <c r="H684" s="330" t="s">
        <v>951</v>
      </c>
    </row>
    <row r="685" spans="1:8" x14ac:dyDescent="0.3">
      <c r="A685" t="s">
        <v>129</v>
      </c>
      <c r="B685" t="s">
        <v>992</v>
      </c>
      <c r="C685" t="s">
        <v>1966</v>
      </c>
      <c r="D685" t="s">
        <v>81</v>
      </c>
      <c r="E685">
        <v>56</v>
      </c>
      <c r="F685" s="330" t="s">
        <v>546</v>
      </c>
      <c r="G685">
        <v>61.6</v>
      </c>
      <c r="H685" s="330">
        <v>56</v>
      </c>
    </row>
    <row r="686" spans="1:8" x14ac:dyDescent="0.3">
      <c r="D686" t="s">
        <v>523</v>
      </c>
      <c r="E686" t="e">
        <f>#NAME?</f>
        <v>#NAME?</v>
      </c>
    </row>
    <row r="687" spans="1:8" x14ac:dyDescent="0.3">
      <c r="A687" t="s">
        <v>514</v>
      </c>
    </row>
    <row r="688" spans="1:8" x14ac:dyDescent="0.3">
      <c r="A688" t="s">
        <v>59</v>
      </c>
    </row>
    <row r="689" spans="1:8" x14ac:dyDescent="0.3">
      <c r="A689" t="s">
        <v>4</v>
      </c>
      <c r="B689" t="s">
        <v>5</v>
      </c>
      <c r="C689" t="s">
        <v>6</v>
      </c>
      <c r="D689" t="s">
        <v>7</v>
      </c>
      <c r="E689" t="s">
        <v>8</v>
      </c>
      <c r="F689" s="330" t="s">
        <v>9</v>
      </c>
      <c r="G689" t="s">
        <v>10</v>
      </c>
    </row>
    <row r="690" spans="1:8" x14ac:dyDescent="0.3">
      <c r="A690" t="s">
        <v>505</v>
      </c>
      <c r="B690" t="s">
        <v>1166</v>
      </c>
      <c r="C690" t="s">
        <v>1572</v>
      </c>
      <c r="D690" t="s">
        <v>251</v>
      </c>
      <c r="E690">
        <v>115</v>
      </c>
      <c r="F690" s="330" t="s">
        <v>541</v>
      </c>
      <c r="G690">
        <v>126.5</v>
      </c>
      <c r="H690" s="330">
        <v>115</v>
      </c>
    </row>
    <row r="691" spans="1:8" x14ac:dyDescent="0.3">
      <c r="A691" t="s">
        <v>516</v>
      </c>
      <c r="B691" t="s">
        <v>1138</v>
      </c>
      <c r="C691" t="s">
        <v>1513</v>
      </c>
      <c r="D691" t="s">
        <v>73</v>
      </c>
      <c r="E691">
        <v>105</v>
      </c>
      <c r="F691" s="330" t="s">
        <v>571</v>
      </c>
      <c r="G691">
        <v>115.5</v>
      </c>
      <c r="H691" s="330" t="s">
        <v>788</v>
      </c>
    </row>
    <row r="692" spans="1:8" x14ac:dyDescent="0.3">
      <c r="A692" t="s">
        <v>517</v>
      </c>
      <c r="B692" t="s">
        <v>1186</v>
      </c>
      <c r="C692" t="s">
        <v>1606</v>
      </c>
      <c r="D692" t="s">
        <v>71</v>
      </c>
      <c r="E692">
        <v>240</v>
      </c>
      <c r="F692" s="330" t="s">
        <v>854</v>
      </c>
      <c r="G692">
        <v>264</v>
      </c>
      <c r="H692" s="330" t="s">
        <v>855</v>
      </c>
    </row>
    <row r="693" spans="1:8" x14ac:dyDescent="0.3">
      <c r="A693" t="s">
        <v>518</v>
      </c>
      <c r="B693" t="s">
        <v>1157</v>
      </c>
      <c r="C693" t="s">
        <v>1557</v>
      </c>
      <c r="D693" t="s">
        <v>108</v>
      </c>
      <c r="E693">
        <v>255</v>
      </c>
      <c r="F693" s="330" t="s">
        <v>954</v>
      </c>
      <c r="G693">
        <v>280.5</v>
      </c>
      <c r="H693" s="330" t="s">
        <v>952</v>
      </c>
    </row>
    <row r="694" spans="1:8" x14ac:dyDescent="0.3">
      <c r="A694" t="s">
        <v>519</v>
      </c>
      <c r="B694" t="s">
        <v>1029</v>
      </c>
      <c r="C694" t="s">
        <v>1429</v>
      </c>
      <c r="D694" t="s">
        <v>133</v>
      </c>
      <c r="E694">
        <v>76</v>
      </c>
      <c r="F694" s="330" t="s">
        <v>850</v>
      </c>
      <c r="G694">
        <v>83.6</v>
      </c>
      <c r="H694" s="330" t="s">
        <v>884</v>
      </c>
    </row>
    <row r="695" spans="1:8" x14ac:dyDescent="0.3">
      <c r="A695" t="s">
        <v>519</v>
      </c>
      <c r="B695" t="s">
        <v>1029</v>
      </c>
      <c r="C695" t="s">
        <v>1429</v>
      </c>
      <c r="D695" t="s">
        <v>61</v>
      </c>
      <c r="E695">
        <v>222</v>
      </c>
      <c r="F695" s="330" t="s">
        <v>687</v>
      </c>
      <c r="G695">
        <v>244.2</v>
      </c>
      <c r="H695" s="330" t="s">
        <v>905</v>
      </c>
    </row>
    <row r="696" spans="1:8" x14ac:dyDescent="0.3">
      <c r="A696" t="s">
        <v>519</v>
      </c>
      <c r="B696" t="s">
        <v>1029</v>
      </c>
      <c r="C696" t="s">
        <v>1429</v>
      </c>
      <c r="D696" t="s">
        <v>86</v>
      </c>
      <c r="E696">
        <v>40</v>
      </c>
      <c r="F696" s="330" t="s">
        <v>616</v>
      </c>
      <c r="G696">
        <v>44</v>
      </c>
      <c r="H696" s="330">
        <v>40</v>
      </c>
    </row>
    <row r="697" spans="1:8" x14ac:dyDescent="0.3">
      <c r="A697" t="s">
        <v>521</v>
      </c>
      <c r="B697" t="s">
        <v>1054</v>
      </c>
      <c r="C697" t="s">
        <v>1429</v>
      </c>
      <c r="D697" t="s">
        <v>23</v>
      </c>
      <c r="E697">
        <v>40</v>
      </c>
      <c r="F697" s="330" t="s">
        <v>766</v>
      </c>
      <c r="G697">
        <v>44</v>
      </c>
      <c r="H697" s="330" t="s">
        <v>559</v>
      </c>
    </row>
    <row r="698" spans="1:8" x14ac:dyDescent="0.3">
      <c r="A698" t="s">
        <v>522</v>
      </c>
      <c r="B698" t="s">
        <v>1079</v>
      </c>
      <c r="C698" t="s">
        <v>1447</v>
      </c>
      <c r="D698" t="s">
        <v>109</v>
      </c>
      <c r="E698">
        <v>80</v>
      </c>
      <c r="F698" s="330" t="s">
        <v>953</v>
      </c>
      <c r="G698">
        <v>88</v>
      </c>
      <c r="H698" s="330" t="s">
        <v>692</v>
      </c>
    </row>
    <row r="699" spans="1:8" x14ac:dyDescent="0.3">
      <c r="D699" t="s">
        <v>523</v>
      </c>
      <c r="E699" t="e">
        <f>#NAME?</f>
        <v>#NAME?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&amp;C&amp;"Noto Serif,Regular"&amp;12&amp;Kffffff&amp;A</oddHeader>
    <oddFooter>&amp;C&amp;"Noto Serif,Regular"&amp;12&amp;KffffffPage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124</vt:i4>
      </vt:variant>
    </vt:vector>
  </HeadingPairs>
  <TitlesOfParts>
    <vt:vector size="134" baseType="lpstr">
      <vt:lpstr>TT 1.0</vt:lpstr>
      <vt:lpstr>TTFINAL</vt:lpstr>
      <vt:lpstr>TT</vt:lpstr>
      <vt:lpstr>TALLY</vt:lpstr>
      <vt:lpstr>combined_data</vt:lpstr>
      <vt:lpstr>Combined Data</vt:lpstr>
      <vt:lpstr>Lectures_1</vt:lpstr>
      <vt:lpstr>ROOMS</vt:lpstr>
      <vt:lpstr>WATER</vt:lpstr>
      <vt:lpstr>Sheet1</vt:lpstr>
      <vt:lpstr>ROOMS!Print_Area</vt:lpstr>
      <vt:lpstr>TT!Print_Area</vt:lpstr>
      <vt:lpstr>'TT 1.0'!Print_Area</vt:lpstr>
      <vt:lpstr>TTFINAL!Print_Area</vt:lpstr>
      <vt:lpstr>'TT 1.0'!Total_F1_1</vt:lpstr>
      <vt:lpstr>TTFINAL!Total_F1_1</vt:lpstr>
      <vt:lpstr>Total_F1_1</vt:lpstr>
      <vt:lpstr>'TT 1.0'!Total_F1_2</vt:lpstr>
      <vt:lpstr>TTFINAL!Total_F1_2</vt:lpstr>
      <vt:lpstr>Total_F1_2</vt:lpstr>
      <vt:lpstr>'TT 1.0'!Total_F2_1</vt:lpstr>
      <vt:lpstr>TTFINAL!Total_F2_1</vt:lpstr>
      <vt:lpstr>Total_F2_1</vt:lpstr>
      <vt:lpstr>'TT 1.0'!Total_F2_2</vt:lpstr>
      <vt:lpstr>TTFINAL!Total_F2_2</vt:lpstr>
      <vt:lpstr>Total_F2_2</vt:lpstr>
      <vt:lpstr>'TT 1.0'!Total_F2_3</vt:lpstr>
      <vt:lpstr>TTFINAL!Total_F2_3</vt:lpstr>
      <vt:lpstr>Total_F2_3</vt:lpstr>
      <vt:lpstr>'TT 1.0'!Total_F3_1</vt:lpstr>
      <vt:lpstr>TTFINAL!Total_F3_1</vt:lpstr>
      <vt:lpstr>Total_F3_1</vt:lpstr>
      <vt:lpstr>'TT 1.0'!Total_H1_1</vt:lpstr>
      <vt:lpstr>TTFINAL!Total_H1_1</vt:lpstr>
      <vt:lpstr>Total_H1_1</vt:lpstr>
      <vt:lpstr>'TT 1.0'!Total_H1_2</vt:lpstr>
      <vt:lpstr>TTFINAL!Total_H1_2</vt:lpstr>
      <vt:lpstr>Total_H1_2</vt:lpstr>
      <vt:lpstr>'TT 1.0'!Total_H2_1</vt:lpstr>
      <vt:lpstr>TTFINAL!Total_H2_1</vt:lpstr>
      <vt:lpstr>Total_H2_1</vt:lpstr>
      <vt:lpstr>'TT 1.0'!Total_H2_2</vt:lpstr>
      <vt:lpstr>TTFINAL!Total_H2_2</vt:lpstr>
      <vt:lpstr>Total_H2_2</vt:lpstr>
      <vt:lpstr>'TT 1.0'!Total_H2_3</vt:lpstr>
      <vt:lpstr>TTFINAL!Total_H2_3</vt:lpstr>
      <vt:lpstr>Total_H2_3</vt:lpstr>
      <vt:lpstr>'TT 1.0'!Total_H3_1</vt:lpstr>
      <vt:lpstr>TTFINAL!Total_H3_1</vt:lpstr>
      <vt:lpstr>Total_H3_1</vt:lpstr>
      <vt:lpstr>'TT 1.0'!Total_H3_2</vt:lpstr>
      <vt:lpstr>TTFINAL!Total_H3_2</vt:lpstr>
      <vt:lpstr>Total_H3_2</vt:lpstr>
      <vt:lpstr>'TT 1.0'!Total_H3_3</vt:lpstr>
      <vt:lpstr>TTFINAL!Total_H3_3</vt:lpstr>
      <vt:lpstr>Total_H3_3</vt:lpstr>
      <vt:lpstr>'TT 1.0'!Total_M1_1</vt:lpstr>
      <vt:lpstr>TTFINAL!Total_M1_1</vt:lpstr>
      <vt:lpstr>Total_M1_1</vt:lpstr>
      <vt:lpstr>'TT 1.0'!Total_M1_2</vt:lpstr>
      <vt:lpstr>TTFINAL!Total_M1_2</vt:lpstr>
      <vt:lpstr>Total_M1_2</vt:lpstr>
      <vt:lpstr>'TT 1.0'!Total_M2_1</vt:lpstr>
      <vt:lpstr>TTFINAL!Total_M2_1</vt:lpstr>
      <vt:lpstr>Total_M2_1</vt:lpstr>
      <vt:lpstr>'TT 1.0'!Total_M2_2</vt:lpstr>
      <vt:lpstr>TTFINAL!Total_M2_2</vt:lpstr>
      <vt:lpstr>Total_M2_2</vt:lpstr>
      <vt:lpstr>'TT 1.0'!Total_M2_3</vt:lpstr>
      <vt:lpstr>TTFINAL!Total_M2_3</vt:lpstr>
      <vt:lpstr>Total_M2_3</vt:lpstr>
      <vt:lpstr>'TT 1.0'!Total_M3_1</vt:lpstr>
      <vt:lpstr>TTFINAL!Total_M3_1</vt:lpstr>
      <vt:lpstr>Total_M3_1</vt:lpstr>
      <vt:lpstr>'TT 1.0'!Total_M3_2</vt:lpstr>
      <vt:lpstr>TTFINAL!Total_M3_2</vt:lpstr>
      <vt:lpstr>Total_M3_2</vt:lpstr>
      <vt:lpstr>'TT 1.0'!Total_M3_3</vt:lpstr>
      <vt:lpstr>TTFINAL!Total_M3_3</vt:lpstr>
      <vt:lpstr>Total_M3_3</vt:lpstr>
      <vt:lpstr>'TT 1.0'!Total_T1_1</vt:lpstr>
      <vt:lpstr>TTFINAL!Total_T1_1</vt:lpstr>
      <vt:lpstr>Total_T1_1</vt:lpstr>
      <vt:lpstr>'TT 1.0'!Total_T1_2</vt:lpstr>
      <vt:lpstr>TTFINAL!Total_T1_2</vt:lpstr>
      <vt:lpstr>Total_T1_2</vt:lpstr>
      <vt:lpstr>'TT 1.0'!Total_T1_3</vt:lpstr>
      <vt:lpstr>TTFINAL!Total_T1_3</vt:lpstr>
      <vt:lpstr>Total_T1_3</vt:lpstr>
      <vt:lpstr>'TT 1.0'!Total_T2_1</vt:lpstr>
      <vt:lpstr>TTFINAL!Total_T2_1</vt:lpstr>
      <vt:lpstr>Total_T2_1</vt:lpstr>
      <vt:lpstr>'TT 1.0'!Total_T2_2</vt:lpstr>
      <vt:lpstr>TTFINAL!Total_T2_2</vt:lpstr>
      <vt:lpstr>Total_T2_2</vt:lpstr>
      <vt:lpstr>'TT 1.0'!Total_T2_3</vt:lpstr>
      <vt:lpstr>TTFINAL!Total_T2_3</vt:lpstr>
      <vt:lpstr>Total_T2_3</vt:lpstr>
      <vt:lpstr>'TT 1.0'!Total_T3_1</vt:lpstr>
      <vt:lpstr>TTFINAL!Total_T3_1</vt:lpstr>
      <vt:lpstr>Total_T3_1</vt:lpstr>
      <vt:lpstr>'TT 1.0'!Total_T3_2</vt:lpstr>
      <vt:lpstr>TTFINAL!Total_T3_2</vt:lpstr>
      <vt:lpstr>Total_T3_2</vt:lpstr>
      <vt:lpstr>'TT 1.0'!Total_T3_3</vt:lpstr>
      <vt:lpstr>TTFINAL!Total_T3_3</vt:lpstr>
      <vt:lpstr>Total_T3_3</vt:lpstr>
      <vt:lpstr>'TT 1.0'!Total_W1_1</vt:lpstr>
      <vt:lpstr>TTFINAL!Total_W1_1</vt:lpstr>
      <vt:lpstr>Total_W1_1</vt:lpstr>
      <vt:lpstr>'TT 1.0'!Total_W1_2</vt:lpstr>
      <vt:lpstr>TTFINAL!Total_W1_2</vt:lpstr>
      <vt:lpstr>Total_W1_2</vt:lpstr>
      <vt:lpstr>'TT 1.0'!Total_W1_3</vt:lpstr>
      <vt:lpstr>TTFINAL!Total_W1_3</vt:lpstr>
      <vt:lpstr>Total_W1_3</vt:lpstr>
      <vt:lpstr>'TT 1.0'!Total_W2_1</vt:lpstr>
      <vt:lpstr>TTFINAL!Total_W2_1</vt:lpstr>
      <vt:lpstr>Total_W2_1</vt:lpstr>
      <vt:lpstr>'TT 1.0'!Total_W2_2</vt:lpstr>
      <vt:lpstr>TTFINAL!Total_W2_2</vt:lpstr>
      <vt:lpstr>Total_W2_2</vt:lpstr>
      <vt:lpstr>'TT 1.0'!Total_W2_3</vt:lpstr>
      <vt:lpstr>TTFINAL!Total_W2_3</vt:lpstr>
      <vt:lpstr>Total_W2_3</vt:lpstr>
      <vt:lpstr>'TT 1.0'!Total_W3_1</vt:lpstr>
      <vt:lpstr>TTFINAL!Total_W3_1</vt:lpstr>
      <vt:lpstr>Total_W3_1</vt:lpstr>
      <vt:lpstr>'TT 1.0'!Total_W3_2</vt:lpstr>
      <vt:lpstr>TTFINAL!Total_W3_2</vt:lpstr>
      <vt:lpstr>Total_W3_2</vt:lpstr>
      <vt:lpstr>'TT 1.0'!Total_W3_3</vt:lpstr>
      <vt:lpstr>TTFINAL!Total_W3_3</vt:lpstr>
      <vt:lpstr>Total_W3_3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Mr Man</cp:lastModifiedBy>
  <cp:revision>8</cp:revision>
  <cp:lastPrinted>2026-08-10T16:31:58Z</cp:lastPrinted>
  <dcterms:created xsi:type="dcterms:W3CDTF">2019-10-06T15:11:28Z</dcterms:created>
  <dcterms:modified xsi:type="dcterms:W3CDTF">2026-08-12T10:20:39Z</dcterms:modified>
  <dc:language>en-US</dc:language>
</cp:coreProperties>
</file>