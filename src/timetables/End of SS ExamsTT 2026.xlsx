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5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T 1.0" sheetId="1" state="visible" r:id="rId3"/>
    <sheet name="TTFINAL" sheetId="2" state="visible" r:id="rId4"/>
    <sheet name="TT" sheetId="3" state="visible" r:id="rId5"/>
    <sheet name="TALLY" sheetId="4" state="visible" r:id="rId6"/>
    <sheet name="combined_data" sheetId="5" state="hidden" r:id="rId7"/>
    <sheet name="Combined Data" sheetId="6" state="hidden" r:id="rId8"/>
    <sheet name="Lectures_1" sheetId="7" state="visible" r:id="rId9"/>
    <sheet name="ROOMS" sheetId="8" state="visible" r:id="rId10"/>
    <sheet name="WATER" sheetId="9" state="visible" r:id="rId11"/>
    <sheet name="BYOD" sheetId="10" state="visible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function="false" hidden="false" localSheetId="7" name="_xlnm.Print_Area" vbProcedure="false">ROOMS!$A$1:$F$29</definedName>
    <definedName function="false" hidden="false" localSheetId="2" name="_xlnm.Print_Area" vbProcedure="false">TT!$A$1:$H$699</definedName>
    <definedName function="false" hidden="false" localSheetId="0" name="_xlnm.Print_Area" vbProcedure="false">'TT 1.0'!$A$1:$H$711</definedName>
    <definedName function="false" hidden="false" localSheetId="1" name="_xlnm.Print_Area" vbProcedure="false">TTFINAL!$A$1:$G$699</definedName>
    <definedName function="false" hidden="false" name="CLASS" vbProcedure="false">#ref!</definedName>
    <definedName function="false" hidden="false" name="CODE" vbProcedure="false">#ref!</definedName>
    <definedName function="false" hidden="false" name="COURSE_NAME" vbProcedure="false">#ref!</definedName>
    <definedName function="false" hidden="false" name="EA" vbProcedure="false">#ref!</definedName>
    <definedName function="false" hidden="false" name="ED3_TEL" vbProcedure="false">[1]tt!#ref!</definedName>
    <definedName function="false" hidden="false" name="ED4_IND" vbProcedure="false">[1]tt!#ref!</definedName>
    <definedName function="false" hidden="false" name="EXAMINER" vbProcedure="false">#ref!</definedName>
    <definedName function="false" hidden="false" name="hy" vbProcedure="false">#ref!</definedName>
    <definedName function="false" hidden="false" name="po" vbProcedure="false">#ref!</definedName>
    <definedName function="false" hidden="false" name="room_no" vbProcedure="false">#ref!</definedName>
    <definedName function="false" hidden="false" name="ROOM_NO." vbProcedure="false">#ref!</definedName>
    <definedName function="false" hidden="false" name="STDS" vbProcedure="false">#ref!</definedName>
    <definedName function="false" hidden="false" name="Total_F1" vbProcedure="false">'[1]TT (Working)'!$D$668:$D$683</definedName>
    <definedName function="false" hidden="false" name="Total_F1_1" vbProcedure="false">TT!$D$184:$D$197</definedName>
    <definedName function="false" hidden="false" name="Total_F1_2" vbProcedure="false">TT!$D$70:$D$634</definedName>
    <definedName function="false" hidden="false" name="Total_F1_3" vbProcedure="false">'[2]TT (MAIN)'!$D$218:$D$449</definedName>
    <definedName function="false" hidden="false" name="Total_F2" vbProcedure="false">'[1]TT (Working)'!$D$690:$D$712</definedName>
    <definedName function="false" hidden="false" name="Total_F2_1" vbProcedure="false">TT!$D$412:$D$425</definedName>
    <definedName function="false" hidden="false" name="Total_F2_2" vbProcedure="false">TT!$D$429:$D$458</definedName>
    <definedName function="false" hidden="false" name="Total_F2_3" vbProcedure="false">TT!$D$453:$D$457</definedName>
    <definedName function="false" hidden="false" name="Total_F3" vbProcedure="false">'[1]TT (Working)'!$D$718:$D$731</definedName>
    <definedName function="false" hidden="false" name="Total_F3_1" vbProcedure="false">TT!$D$662:$D$698</definedName>
    <definedName function="false" hidden="false" name="Total_F3_2" vbProcedure="false">[3]TT!$D$822:$D$835</definedName>
    <definedName function="false" hidden="false" name="Total_F3_3" vbProcedure="false">[3]TT!$D$841:$D$857</definedName>
    <definedName function="false" hidden="false" name="Total_F4" vbProcedure="false">'[1]TT (Working)'!$D$737:$D$746</definedName>
    <definedName function="false" hidden="false" name="Total_F5" vbProcedure="false">'[1]TT (Working)'!$D$753:$D$766</definedName>
    <definedName function="false" hidden="false" name="Total_F6" vbProcedure="false">'[1]TT (Working)'!$D$773:$D$787</definedName>
    <definedName function="false" hidden="false" name="Total_F7" vbProcedure="false">'[1]TT (Working)'!$D$793:$D$802</definedName>
    <definedName function="false" hidden="false" name="Total_H1" vbProcedure="false">'[1]TT (Working)'!$D$510:$D$528</definedName>
    <definedName function="false" hidden="false" name="Total_H1_1" vbProcedure="false">TT!$D$138:$D$151</definedName>
    <definedName function="false" hidden="false" name="Total_H1_2" vbProcedure="false">TT!$D$168:$D$598</definedName>
    <definedName function="false" hidden="false" name="Total_H1_3" vbProcedure="false">tt!#ref!</definedName>
    <definedName function="false" hidden="false" name="Total_H2" vbProcedure="false">'[1]TT (Working)'!$D$540:$D$552</definedName>
    <definedName function="false" hidden="false" name="Total_H2_1" vbProcedure="false">TT!$D$369:$D$377</definedName>
    <definedName function="false" hidden="false" name="Total_H2_2" vbProcedure="false">TT!$D$381:$D$393</definedName>
    <definedName function="false" hidden="false" name="Total_H2_3" vbProcedure="false">TT!$D$397:$D$465</definedName>
    <definedName function="false" hidden="false" name="Total_H3" vbProcedure="false">'[1]TT (Working)'!$D$564:$D$577</definedName>
    <definedName function="false" hidden="false" name="Total_H3_1" vbProcedure="false">TT!$D$610:$D$620</definedName>
    <definedName function="false" hidden="false" name="Total_H3_2" vbProcedure="false">TT!$D$626:$D$639</definedName>
    <definedName function="false" hidden="false" name="Total_H3_3" vbProcedure="false">TT!$D$644:$D$650</definedName>
    <definedName function="false" hidden="false" name="Total_H4" vbProcedure="false">'[1]TT (Working)'!$D$585:$D$607</definedName>
    <definedName function="false" hidden="false" name="Total_H5" vbProcedure="false">'[1]TT (Working)'!$D$614:$D$677</definedName>
    <definedName function="false" hidden="false" name="Total_H6" vbProcedure="false">'[1]TT (Working)'!$D$631:$D$646</definedName>
    <definedName function="false" hidden="false" name="Total_H7" vbProcedure="false">'[1]TT (Working)'!$D$653:$D$662</definedName>
    <definedName function="false" hidden="false" name="Total_M1" vbProcedure="false">'[1]TT (Working)'!$D$3:$D$471</definedName>
    <definedName function="false" hidden="false" name="Total_M1_1" vbProcedure="false">TT!$D$3:$D$5</definedName>
    <definedName function="false" hidden="false" name="Total_M1_2" vbProcedure="false">TT!$D$14:$D$19</definedName>
    <definedName function="false" hidden="false" name="Total_M1_3" vbProcedure="false">'[2]TT (MAIN)'!$D$39:$D$52</definedName>
    <definedName function="false" hidden="false" name="Total_M2" vbProcedure="false">'[1]TT (Working)'!$D$31:$D$240</definedName>
    <definedName function="false" hidden="false" name="Total_M2_1" vbProcedure="false">TT!$D$224:$D$239</definedName>
    <definedName function="false" hidden="false" name="Total_M2_2" vbProcedure="false">TT!$D$243:$D$254</definedName>
    <definedName function="false" hidden="false" name="Total_M2_3" vbProcedure="false">TT!$D$258:$D$268</definedName>
    <definedName function="false" hidden="false" name="Total_M3" vbProcedure="false">'[1]TT (Working)'!$D$62:$D$77</definedName>
    <definedName function="false" hidden="false" name="Total_M3_1" vbProcedure="false">TT!$D$470:$D$480</definedName>
    <definedName function="false" hidden="false" name="Total_M3_2" vbProcedure="false">TT!$D$486:$D$496</definedName>
    <definedName function="false" hidden="false" name="Total_M3_3" vbProcedure="false">TT!$D$500:$D$517</definedName>
    <definedName function="false" hidden="false" name="Total_M4" vbProcedure="false">'[1]TT (Working)'!$D$84:$D$100</definedName>
    <definedName function="false" hidden="false" name="Total_M5" vbProcedure="false">'[1]TT (Working)'!$D$114:$D$124</definedName>
    <definedName function="false" hidden="false" name="Total_M6" vbProcedure="false">'[1]TT (Working)'!$D$134:$D$146</definedName>
    <definedName function="false" hidden="false" name="Total_M7" vbProcedure="false">'[1]TT (Working)'!$D$159:$D$173</definedName>
    <definedName function="false" hidden="false" name="Total_T1" vbProcedure="false">'[1]TT (Working)'!$D$185:$D$196</definedName>
    <definedName function="false" hidden="false" name="Total_T1_1" vbProcedure="false">TT!$D$46:$D$60</definedName>
    <definedName function="false" hidden="false" name="Total_T1_2" vbProcedure="false">TT!$D$65:$D$213</definedName>
    <definedName function="false" hidden="false" name="Total_T1_3" vbProcedure="false">TT!$D$83:$D$93</definedName>
    <definedName function="false" hidden="false" name="Total_T2" vbProcedure="false">'[1]TT (Working)'!$D$211:$D$225</definedName>
    <definedName function="false" hidden="false" name="Total_T2_1" vbProcedure="false">TT!$D$272:$D$282</definedName>
    <definedName function="false" hidden="false" name="Total_T2_2" vbProcedure="false">TT!$D$286:$D$298</definedName>
    <definedName function="false" hidden="false" name="Total_T2_3" vbProcedure="false">TT!$D$302:$D$311</definedName>
    <definedName function="false" hidden="false" name="Total_T3" vbProcedure="false">'[1]TT (Working)'!$D$233:$D$247</definedName>
    <definedName function="false" hidden="false" name="Total_T3_1" vbProcedure="false">TT!$D$521:$D$533</definedName>
    <definedName function="false" hidden="false" name="Total_T3_2" vbProcedure="false">TT!$D$537:$D$550</definedName>
    <definedName function="false" hidden="false" name="Total_T3_3" vbProcedure="false">TT!$D$554:$D$569</definedName>
    <definedName function="false" hidden="false" name="Total_T4" vbProcedure="false">'[1]TT (Working)'!$D$261:$D$274</definedName>
    <definedName function="false" hidden="false" name="Total_T5" vbProcedure="false">'[1]TT (Working)'!$D$284:$D$295</definedName>
    <definedName function="false" hidden="false" name="Total_T6" vbProcedure="false">'[1]TT (Working)'!$D$304:$D$319</definedName>
    <definedName function="false" hidden="false" name="Total_T7" vbProcedure="false">'[1]TT (Working)'!$D$329:$D$338</definedName>
    <definedName function="false" hidden="false" name="Total_W1" vbProcedure="false">'[1]TT (Working)'!$D$345:$D$359</definedName>
    <definedName function="false" hidden="false" name="Total_W1_1" vbProcedure="false">TT!$D$97:$D$106</definedName>
    <definedName function="false" hidden="false" name="Total_W1_2" vbProcedure="false">TT!$D$110:$D$121</definedName>
    <definedName function="false" hidden="false" name="Total_W1_3" vbProcedure="false">TT!$D$125:$D$134</definedName>
    <definedName function="false" hidden="false" name="Total_W2" vbProcedure="false">'[1]TT (Working)'!$D$368:$D$381</definedName>
    <definedName function="false" hidden="false" name="Total_W2_1" vbProcedure="false">TT!$D$315:$D$337</definedName>
    <definedName function="false" hidden="false" name="Total_W2_2" vbProcedure="false">TT!$D$341:$D$350</definedName>
    <definedName function="false" hidden="false" name="Total_W2_3" vbProcedure="false">TT!$D$356:$D$365</definedName>
    <definedName function="false" hidden="false" name="Total_W3" vbProcedure="false">'[1]TT (Working)'!$D$389:$D$402</definedName>
    <definedName function="false" hidden="false" name="Total_W3_1" vbProcedure="false">TT!$D$573:$D$582</definedName>
    <definedName function="false" hidden="false" name="Total_W3_2" vbProcedure="false">TT!$D$586:$D$593</definedName>
    <definedName function="false" hidden="false" name="Total_W3_3" vbProcedure="false">TT!$D$597:$D$606</definedName>
    <definedName function="false" hidden="false" name="Total_W4" vbProcedure="false">'[1]TT (Working)'!$D$410:$D$423</definedName>
    <definedName function="false" hidden="false" name="Total_W5" vbProcedure="false">'[1]TT (Working)'!$D$432:$D$676</definedName>
    <definedName function="false" hidden="false" name="Total_W6" vbProcedure="false">'[1]TT (Working)'!$D$464:$D$480</definedName>
    <definedName function="false" hidden="false" name="Total_W7" vbProcedure="false">'[1]TT (Working)'!$D$487:$D$502</definedName>
    <definedName function="false" hidden="false" name="TO_PRT" vbProcedure="false">#ref!</definedName>
    <definedName function="false" hidden="false" localSheetId="0" name="Total_F1_1" vbProcedure="false">'TT 1.0'!$D$185:$D$197</definedName>
    <definedName function="false" hidden="false" localSheetId="0" name="Total_F1_2" vbProcedure="false">'TT 1.0'!$D$74:$D$644</definedName>
    <definedName function="false" hidden="false" localSheetId="0" name="Total_F2_1" vbProcedure="false">'TT 1.0'!$D$414:$D$428</definedName>
    <definedName function="false" hidden="false" localSheetId="0" name="Total_F2_2" vbProcedure="false">'TT 1.0'!$D$432:$D$462</definedName>
    <definedName function="false" hidden="false" localSheetId="0" name="Total_F2_3" vbProcedure="false">'TT 1.0'!$D$457:$D$461</definedName>
    <definedName function="false" hidden="false" localSheetId="0" name="Total_F3_1" vbProcedure="false">'TT 1.0'!$D$673:$D$710</definedName>
    <definedName function="false" hidden="false" localSheetId="0" name="Total_H1_1" vbProcedure="false">'TT 1.0'!$D$140:$D$152</definedName>
    <definedName function="false" hidden="false" localSheetId="0" name="Total_H1_2" vbProcedure="false">'TT 1.0'!$D$169:$D$607</definedName>
    <definedName function="false" hidden="false" localSheetId="0" name="Total_H1_3" vbProcedure="false">'tt 1.0'!#ref!</definedName>
    <definedName function="false" hidden="false" localSheetId="0" name="Total_H2_1" vbProcedure="false">'TT 1.0'!$D$372:$D$382</definedName>
    <definedName function="false" hidden="false" localSheetId="0" name="Total_H2_2" vbProcedure="false">'TT 1.0'!$D$386:$D$397</definedName>
    <definedName function="false" hidden="false" localSheetId="0" name="Total_H2_3" vbProcedure="false">'TT 1.0'!$D$401:$D$470</definedName>
    <definedName function="false" hidden="false" localSheetId="0" name="Total_H3_1" vbProcedure="false">'TT 1.0'!$D$618:$D$629</definedName>
    <definedName function="false" hidden="false" localSheetId="0" name="Total_H3_2" vbProcedure="false">'TT 1.0'!$D$635:$D$646</definedName>
    <definedName function="false" hidden="false" localSheetId="0" name="Total_H3_3" vbProcedure="false">'TT 1.0'!$D$651:$D$658</definedName>
    <definedName function="false" hidden="false" localSheetId="0" name="Total_M1_1" vbProcedure="false">'TT 1.0'!$D$3:$D$5</definedName>
    <definedName function="false" hidden="false" localSheetId="0" name="Total_M1_2" vbProcedure="false">'TT 1.0'!$D$15:$D$20</definedName>
    <definedName function="false" hidden="false" localSheetId="0" name="Total_M2_1" vbProcedure="false">'TT 1.0'!$D$224:$D$235</definedName>
    <definedName function="false" hidden="false" localSheetId="0" name="Total_M2_2" vbProcedure="false">'TT 1.0'!$D$239:$D$252</definedName>
    <definedName function="false" hidden="false" localSheetId="0" name="Total_M2_3" vbProcedure="false">'TT 1.0'!$D$256:$D$267</definedName>
    <definedName function="false" hidden="false" localSheetId="0" name="Total_M3_1" vbProcedure="false">'TT 1.0'!$D$475:$D$485</definedName>
    <definedName function="false" hidden="false" localSheetId="0" name="Total_M3_2" vbProcedure="false">'TT 1.0'!$D$491:$D$501</definedName>
    <definedName function="false" hidden="false" localSheetId="0" name="Total_M3_3" vbProcedure="false">'TT 1.0'!$D$505:$D$524</definedName>
    <definedName function="false" hidden="false" localSheetId="0" name="Total_T1_1" vbProcedure="false">'TT 1.0'!$D$47:$D$64</definedName>
    <definedName function="false" hidden="false" localSheetId="0" name="Total_T1_2" vbProcedure="false">'TT 1.0'!$D$69:$D$213</definedName>
    <definedName function="false" hidden="false" localSheetId="0" name="Total_T1_3" vbProcedure="false">'TT 1.0'!$D$86:$D$96</definedName>
    <definedName function="false" hidden="false" localSheetId="0" name="Total_T2_1" vbProcedure="false">'TT 1.0'!$D$271:$D$281</definedName>
    <definedName function="false" hidden="false" localSheetId="0" name="Total_T2_2" vbProcedure="false">'TT 1.0'!$D$285:$D$296</definedName>
    <definedName function="false" hidden="false" localSheetId="0" name="Total_T2_3" vbProcedure="false">'TT 1.0'!$D$300:$D$312</definedName>
    <definedName function="false" hidden="false" localSheetId="0" name="Total_T3_1" vbProcedure="false">'TT 1.0'!$D$528:$D$540</definedName>
    <definedName function="false" hidden="false" localSheetId="0" name="Total_T3_2" vbProcedure="false">'TT 1.0'!$D$544:$D$557</definedName>
    <definedName function="false" hidden="false" localSheetId="0" name="Total_T3_3" vbProcedure="false">'TT 1.0'!$D$561:$D$577</definedName>
    <definedName function="false" hidden="false" localSheetId="0" name="Total_W1_1" vbProcedure="false">'TT 1.0'!$D$100:$D$109</definedName>
    <definedName function="false" hidden="false" localSheetId="0" name="Total_W1_2" vbProcedure="false">'TT 1.0'!$D$113:$D$124</definedName>
    <definedName function="false" hidden="false" localSheetId="0" name="Total_W1_3" vbProcedure="false">'TT 1.0'!$D$128:$D$136</definedName>
    <definedName function="false" hidden="false" localSheetId="0" name="Total_W2_1" vbProcedure="false">'TT 1.0'!$D$316:$D$339</definedName>
    <definedName function="false" hidden="false" localSheetId="0" name="Total_W2_2" vbProcedure="false">'TT 1.0'!$D$343:$D$354</definedName>
    <definedName function="false" hidden="false" localSheetId="0" name="Total_W2_3" vbProcedure="false">'TT 1.0'!$D$360:$D$368</definedName>
    <definedName function="false" hidden="false" localSheetId="0" name="Total_W3_1" vbProcedure="false">'TT 1.0'!$D$581:$D$590</definedName>
    <definedName function="false" hidden="false" localSheetId="0" name="Total_W3_2" vbProcedure="false">'TT 1.0'!$D$594:$D$602</definedName>
    <definedName function="false" hidden="false" localSheetId="0" name="Total_W3_3" vbProcedure="false">'TT 1.0'!$D$606:$D$614</definedName>
    <definedName function="false" hidden="false" localSheetId="1" name="Total_F1_1" vbProcedure="false">TTFINAL!$D$184:$D$197</definedName>
    <definedName function="false" hidden="false" localSheetId="1" name="Total_F1_2" vbProcedure="false">TTFINAL!$D$71:$D$634</definedName>
    <definedName function="false" hidden="false" localSheetId="1" name="Total_F2_1" vbProcedure="false">TTFINAL!$D$412:$D$425</definedName>
    <definedName function="false" hidden="false" localSheetId="1" name="Total_F2_2" vbProcedure="false">TTFINAL!$D$429:$D$458</definedName>
    <definedName function="false" hidden="false" localSheetId="1" name="Total_F2_3" vbProcedure="false">TTFINAL!$D$453:$D$457</definedName>
    <definedName function="false" hidden="false" localSheetId="1" name="Total_F3_1" vbProcedure="false">TTFINAL!$D$662:$D$698</definedName>
    <definedName function="false" hidden="false" localSheetId="1" name="Total_H1_1" vbProcedure="false">TTFINAL!$D$138:$D$151</definedName>
    <definedName function="false" hidden="false" localSheetId="1" name="Total_H1_2" vbProcedure="false">TTFINAL!$D$168:$D$598</definedName>
    <definedName function="false" hidden="false" localSheetId="1" name="Total_H1_3" vbProcedure="false">ttfinal!#ref!</definedName>
    <definedName function="false" hidden="false" localSheetId="1" name="Total_H2_1" vbProcedure="false">TTFINAL!$D$369:$D$377</definedName>
    <definedName function="false" hidden="false" localSheetId="1" name="Total_H2_2" vbProcedure="false">TTFINAL!$D$381:$D$393</definedName>
    <definedName function="false" hidden="false" localSheetId="1" name="Total_H2_3" vbProcedure="false">TTFINAL!$D$397:$D$465</definedName>
    <definedName function="false" hidden="false" localSheetId="1" name="Total_H3_1" vbProcedure="false">TTFINAL!$D$610:$D$620</definedName>
    <definedName function="false" hidden="false" localSheetId="1" name="Total_H3_2" vbProcedure="false">TTFINAL!$D$626:$D$639</definedName>
    <definedName function="false" hidden="false" localSheetId="1" name="Total_H3_3" vbProcedure="false">TTFINAL!$D$644:$D$650</definedName>
    <definedName function="false" hidden="false" localSheetId="1" name="Total_M1_1" vbProcedure="false">TTFINAL!$D$3:$D$5</definedName>
    <definedName function="false" hidden="false" localSheetId="1" name="Total_M1_2" vbProcedure="false">TTFINAL!$D$14:$D$19</definedName>
    <definedName function="false" hidden="false" localSheetId="1" name="Total_M2_1" vbProcedure="false">TTFINAL!$D$224:$D$239</definedName>
    <definedName function="false" hidden="false" localSheetId="1" name="Total_M2_2" vbProcedure="false">TTFINAL!$D$243:$D$254</definedName>
    <definedName function="false" hidden="false" localSheetId="1" name="Total_M2_3" vbProcedure="false">TTFINAL!$D$258:$D$268</definedName>
    <definedName function="false" hidden="false" localSheetId="1" name="Total_M3_1" vbProcedure="false">TTFINAL!$D$470:$D$480</definedName>
    <definedName function="false" hidden="false" localSheetId="1" name="Total_M3_2" vbProcedure="false">TTFINAL!$D$486:$D$496</definedName>
    <definedName function="false" hidden="false" localSheetId="1" name="Total_M3_3" vbProcedure="false">TTFINAL!$D$500:$D$517</definedName>
    <definedName function="false" hidden="false" localSheetId="1" name="Total_T1_1" vbProcedure="false">TTFINAL!$D$46:$D$61</definedName>
    <definedName function="false" hidden="false" localSheetId="1" name="Total_T1_2" vbProcedure="false">TTFINAL!$D$66:$D$213</definedName>
    <definedName function="false" hidden="false" localSheetId="1" name="Total_T1_3" vbProcedure="false">TTFINAL!$D$84:$D$94</definedName>
    <definedName function="false" hidden="false" localSheetId="1" name="Total_T2_1" vbProcedure="false">TTFINAL!$D$272:$D$282</definedName>
    <definedName function="false" hidden="false" localSheetId="1" name="Total_T2_2" vbProcedure="false">TTFINAL!$D$286:$D$298</definedName>
    <definedName function="false" hidden="false" localSheetId="1" name="Total_T2_3" vbProcedure="false">TTFINAL!$D$302:$D$311</definedName>
    <definedName function="false" hidden="false" localSheetId="1" name="Total_T3_1" vbProcedure="false">TTFINAL!$D$521:$D$533</definedName>
    <definedName function="false" hidden="false" localSheetId="1" name="Total_T3_2" vbProcedure="false">TTFINAL!$D$537:$D$550</definedName>
    <definedName function="false" hidden="false" localSheetId="1" name="Total_T3_3" vbProcedure="false">TTFINAL!$D$554:$D$569</definedName>
    <definedName function="false" hidden="false" localSheetId="1" name="Total_W1_1" vbProcedure="false">TTFINAL!$D$98:$D$107</definedName>
    <definedName function="false" hidden="false" localSheetId="1" name="Total_W1_2" vbProcedure="false">TTFINAL!$D$111:$D$122</definedName>
    <definedName function="false" hidden="false" localSheetId="1" name="Total_W1_3" vbProcedure="false">TTFINAL!$D$126:$D$134</definedName>
    <definedName function="false" hidden="false" localSheetId="1" name="Total_W2_1" vbProcedure="false">TTFINAL!$D$315:$D$337</definedName>
    <definedName function="false" hidden="false" localSheetId="1" name="Total_W2_2" vbProcedure="false">TTFINAL!$D$341:$D$350</definedName>
    <definedName function="false" hidden="false" localSheetId="1" name="Total_W2_3" vbProcedure="false">TTFINAL!$D$356:$D$365</definedName>
    <definedName function="false" hidden="false" localSheetId="1" name="Total_W3_1" vbProcedure="false">TTFINAL!$D$573:$D$582</definedName>
    <definedName function="false" hidden="false" localSheetId="1" name="Total_W3_2" vbProcedure="false">TTFINAL!$D$586:$D$593</definedName>
    <definedName function="false" hidden="false" localSheetId="1" name="Total_W3_3" vbProcedure="false">TTFINAL!$D$597:$D$606</definedName>
    <definedName function="false" hidden="false" localSheetId="3" name="CODE" vbProcedure="false">#ref!</definedName>
    <definedName function="false" hidden="false" localSheetId="3" name="COURSE_NAME" vbProcedure="false">#ref!</definedName>
    <definedName function="false" hidden="false" localSheetId="3" name="EXAMINER" vbProcedure="false">#ref!</definedName>
    <definedName function="false" hidden="false" localSheetId="3" name="ROOM_NO." vbProcedure="false">#ref!</definedName>
    <definedName function="false" hidden="false" localSheetId="3" name="STDS" vbProcedure="false">#ref!</definedName>
    <definedName function="false" hidden="false" localSheetId="3" name="Total_F1_1" vbProcedure="false">'[2]TT (MAIN)'!$D$179:$D$212</definedName>
    <definedName function="false" hidden="false" localSheetId="3" name="Total_F1_2" vbProcedure="false">[3]TT!$D$224:$D$238</definedName>
    <definedName function="false" hidden="false" localSheetId="3" name="Total_F2_1" vbProcedure="false">'[2]TT (MAIN)'!$D$458:$D$471</definedName>
    <definedName function="false" hidden="false" localSheetId="3" name="Total_F2_2" vbProcedure="false">'[2]TT (MAIN)'!$D$477:$D$492</definedName>
    <definedName function="false" hidden="false" localSheetId="3" name="Total_F2_3" vbProcedure="false">'[2]TT (MAIN)'!$D$498:$D$502</definedName>
    <definedName function="false" hidden="false" localSheetId="3" name="Total_F3_1" vbProcedure="false">'[2]TT (MAIN)'!$D$765:$D$779</definedName>
    <definedName function="false" hidden="false" localSheetId="3" name="Total_H1_1" vbProcedure="false">[3]TT!$D$147:$D$161</definedName>
    <definedName function="false" hidden="false" localSheetId="3" name="Total_H1_2" vbProcedure="false">[3]TT!$D$167:$D$177</definedName>
    <definedName function="false" hidden="false" localSheetId="3" name="Total_H1_3" vbProcedure="false">[3]TT!$D$183:$D$199</definedName>
    <definedName function="false" hidden="false" localSheetId="3" name="Total_H2_1" vbProcedure="false">'[2]TT (MAIN)'!$D$400:$D$411</definedName>
    <definedName function="false" hidden="false" localSheetId="3" name="Total_H2_2" vbProcedure="false">'[2]TT (MAIN)'!$D$417:$D$433</definedName>
    <definedName function="false" hidden="false" localSheetId="3" name="Total_H2_3" vbProcedure="false">'[2]TT (MAIN)'!$D$439:$D$452</definedName>
    <definedName function="false" hidden="false" localSheetId="3" name="Total_H3_1" vbProcedure="false">'[2]TT (MAIN)'!$D$697:$D$715</definedName>
    <definedName function="false" hidden="false" localSheetId="3" name="Total_H3_2" vbProcedure="false">'[2]TT (MAIN)'!$D$721:$D$733</definedName>
    <definedName function="false" hidden="false" localSheetId="3" name="Total_H3_3" vbProcedure="false">'[2]TT (MAIN)'!$D$739:$D$759</definedName>
    <definedName function="false" hidden="false" localSheetId="3" name="Total_M1_1" vbProcedure="false">'[2]TT (MAIN)'!$D$3:$D$15</definedName>
    <definedName function="false" hidden="false" localSheetId="3" name="Total_M1_2" vbProcedure="false">'[2]TT (MAIN)'!$D$21:$D$33</definedName>
    <definedName function="false" hidden="false" localSheetId="3" name="Total_M2_1" vbProcedure="false">'[2]TT (MAIN)'!$D$224:$D$240</definedName>
    <definedName function="false" hidden="false" localSheetId="3" name="Total_M2_2" vbProcedure="false">'[2]TT (MAIN)'!$D$246:$D$258</definedName>
    <definedName function="false" hidden="false" localSheetId="3" name="Total_M2_3" vbProcedure="false">'[2]TT (MAIN)'!$D$264:$D$280</definedName>
    <definedName function="false" hidden="false" localSheetId="3" name="Total_M3_1" vbProcedure="false">'[2]TT (MAIN)'!$D$563:$D$582</definedName>
    <definedName function="false" hidden="false" localSheetId="3" name="Total_M3_2" vbProcedure="false">'[2]TT (MAIN)'!$D$588:$D$600</definedName>
    <definedName function="false" hidden="false" localSheetId="3" name="Total_M3_3" vbProcedure="false">'[2]TT (MAIN)'!$D$606:$D$622</definedName>
    <definedName function="false" hidden="false" localSheetId="3" name="Total_T1_1" vbProcedure="false">'[2]TT (MAIN)'!$D$58:$D$68</definedName>
    <definedName function="false" hidden="false" localSheetId="3" name="Total_T1_2" vbProcedure="false">'[2]TT (MAIN)'!$D$74:$D$88</definedName>
    <definedName function="false" hidden="false" localSheetId="3" name="Total_T1_3" vbProcedure="false">'[2]TT (MAIN)'!$D$94:$D$107</definedName>
    <definedName function="false" hidden="false" localSheetId="3" name="Total_T2_1" vbProcedure="false">'[2]TT (MAIN)'!$D$286:$D$298</definedName>
    <definedName function="false" hidden="false" localSheetId="3" name="Total_T2_2" vbProcedure="false">'[2]TT (MAIN)'!$D$304:$D$316</definedName>
    <definedName function="false" hidden="false" localSheetId="3" name="Total_T2_3" vbProcedure="false">'[2]TT (MAIN)'!$D$322:$D$335</definedName>
    <definedName function="false" hidden="false" localSheetId="3" name="Total_T3_1" vbProcedure="false">'[2]TT (MAIN)'!$D$508:$D$523</definedName>
    <definedName function="false" hidden="false" localSheetId="3" name="Total_T3_2" vbProcedure="false">'[2]TT (MAIN)'!$D$529:$D$540</definedName>
    <definedName function="false" hidden="false" localSheetId="3" name="Total_T3_3" vbProcedure="false">'[2]TT (MAIN)'!$D$546:$D$557</definedName>
    <definedName function="false" hidden="false" localSheetId="3" name="Total_W1_1" vbProcedure="false">'[2]TT (MAIN)'!$D$114:$D$124</definedName>
    <definedName function="false" hidden="false" localSheetId="3" name="Total_W1_2" vbProcedure="false">'[2]TT (MAIN)'!$D$130:$D$152</definedName>
    <definedName function="false" hidden="false" localSheetId="3" name="Total_W1_3" vbProcedure="false">'[2]TT (MAIN)'!$D$158:$D$173</definedName>
    <definedName function="false" hidden="false" localSheetId="3" name="Total_W2_1" vbProcedure="false">'[2]TT (MAIN)'!$D$341:$D$358</definedName>
    <definedName function="false" hidden="false" localSheetId="3" name="Total_W2_2" vbProcedure="false">'[2]TT (MAIN)'!$D$364:$D$373</definedName>
    <definedName function="false" hidden="false" localSheetId="3" name="Total_W2_3" vbProcedure="false">'[2]TT (MAIN)'!$D$379:$D$394</definedName>
    <definedName function="false" hidden="false" localSheetId="3" name="Total_W3_1" vbProcedure="false">'[2]TT (MAIN)'!$D$630:$D$658</definedName>
    <definedName function="false" hidden="false" localSheetId="3" name="Total_W3_2" vbProcedure="false">'[2]TT (MAIN)'!$D$664:$D$675</definedName>
    <definedName function="false" hidden="false" localSheetId="3" name="Total_W3_3" vbProcedure="false">'[2]TT (MAIN)'!$D$681:$D$691</definedName>
    <definedName function="false" hidden="false" localSheetId="3" name="TO_PRT" vbProcedure="false">#ref!</definedName>
    <definedName function="false" hidden="false" localSheetId="4" name="CODE" vbProcedure="false">#ref!</definedName>
    <definedName function="false" hidden="false" localSheetId="4" name="COURSE_NAME" vbProcedure="false">#ref!</definedName>
    <definedName function="false" hidden="false" localSheetId="4" name="EA" vbProcedure="false">#ref!</definedName>
    <definedName function="false" hidden="false" localSheetId="4" name="EXAMINER" vbProcedure="false">#ref!</definedName>
    <definedName function="false" hidden="false" localSheetId="4" name="hy" vbProcedure="false">#ref!</definedName>
    <definedName function="false" hidden="false" localSheetId="4" name="po" vbProcedure="false">#ref!</definedName>
    <definedName function="false" hidden="false" localSheetId="4" name="room_no" vbProcedure="false">#ref!</definedName>
    <definedName function="false" hidden="false" localSheetId="4" name="ROOM_NO." vbProcedure="false">#ref!</definedName>
    <definedName function="false" hidden="false" localSheetId="4" name="STDS" vbProcedure="false">#ref!</definedName>
    <definedName function="false" hidden="false" localSheetId="4" name="Total_F1_1" vbProcedure="false">'[4]TT (Values)'!$D$176:$D$194</definedName>
    <definedName function="false" hidden="false" localSheetId="4" name="Total_F1_2" vbProcedure="false">[5]TT!$D$225:$D$227</definedName>
    <definedName function="false" hidden="false" localSheetId="4" name="Total_F1_3" vbProcedure="false">[5]TT!$D$245:$D$261</definedName>
    <definedName function="false" hidden="false" localSheetId="4" name="Total_F2_1" vbProcedure="false">'[4]TT (Values)'!$D$450:$D$473</definedName>
    <definedName function="false" hidden="false" localSheetId="4" name="Total_F2_2" vbProcedure="false">'[4]TT (Values)'!$D$479:$D$483</definedName>
    <definedName function="false" hidden="false" localSheetId="4" name="Total_F2_3" vbProcedure="false">'[4]TT (Values)'!$D$489:$D$496</definedName>
    <definedName function="false" hidden="false" localSheetId="4" name="Total_F3_1" vbProcedure="false">'[4]TT (Values)'!$D$740:$D$753</definedName>
    <definedName function="false" hidden="false" localSheetId="4" name="Total_F3_2" vbProcedure="false">[5]TT!$D$823:$D$836</definedName>
    <definedName function="false" hidden="false" localSheetId="4" name="Total_F3_3" vbProcedure="false">[5]TT!$D$842:$D$858</definedName>
    <definedName function="false" hidden="false" localSheetId="4" name="Total_H1_1" vbProcedure="false">'[4]TT (Values)'!$D$113:$D$129</definedName>
    <definedName function="false" hidden="false" localSheetId="4" name="Total_H1_2" vbProcedure="false">'[4]TT (Values)'!$D$135:$D$148</definedName>
    <definedName function="false" hidden="false" localSheetId="4" name="Total_H1_3" vbProcedure="false">'[4]TT (Values)'!$D$154:$D$170</definedName>
    <definedName function="false" hidden="false" localSheetId="4" name="Total_H2_1" vbProcedure="false">'[4]TT (Values)'!$D$392:$D$405</definedName>
    <definedName function="false" hidden="false" localSheetId="4" name="Total_H2_2" vbProcedure="false">'[4]TT (Values)'!$D$411:$D$425</definedName>
    <definedName function="false" hidden="false" localSheetId="4" name="Total_H2_3" vbProcedure="false">'[4]TT (Values)'!$D$431:$D$444</definedName>
    <definedName function="false" hidden="false" localSheetId="4" name="Total_H3_1" vbProcedure="false">'[4]TT (Values)'!$D$685:$D$697</definedName>
    <definedName function="false" hidden="false" localSheetId="4" name="Total_H3_2" vbProcedure="false">'[4]TT (Values)'!$D$703:$D$717</definedName>
    <definedName function="false" hidden="false" localSheetId="4" name="Total_H3_3" vbProcedure="false">'[4]TT (Values)'!$D$723:$D$734</definedName>
    <definedName function="false" hidden="false" localSheetId="4" name="Total_M1_1" vbProcedure="false">'[4]TT (Values)'!$D$3:$D$6</definedName>
    <definedName function="false" hidden="false" localSheetId="4" name="Total_M1_2" vbProcedure="false">'[4]TT (Values)'!$D$12:$D$15</definedName>
    <definedName function="false" hidden="false" localSheetId="4" name="Total_M1_3" vbProcedure="false">[5]TT!$D$35:$D$45</definedName>
    <definedName function="false" hidden="false" localSheetId="4" name="Total_M2_1" vbProcedure="false">'[4]TT (Values)'!$D$213:$D$228</definedName>
    <definedName function="false" hidden="false" localSheetId="4" name="Total_M2_2" vbProcedure="false">'[4]TT (Values)'!$D$234:$D$252</definedName>
    <definedName function="false" hidden="false" localSheetId="4" name="Total_M2_3" vbProcedure="false">'[4]TT (Values)'!$D$258:$D$270</definedName>
    <definedName function="false" hidden="false" localSheetId="4" name="Total_M3_1" vbProcedure="false">'[4]TT (Values)'!$D$502:$D$516</definedName>
    <definedName function="false" hidden="false" localSheetId="4" name="Total_M3_2" vbProcedure="false">'[4]TT (Values)'!$D$522:$D$535</definedName>
    <definedName function="false" hidden="false" localSheetId="4" name="Total_M3_3" vbProcedure="false">'[4]TT (Values)'!$D$541:$D$562</definedName>
    <definedName function="false" hidden="false" localSheetId="4" name="Total_T1_1" vbProcedure="false">'[4]TT (Values)'!$D$20:$D$26</definedName>
    <definedName function="false" hidden="false" localSheetId="4" name="Total_T1_2" vbProcedure="false">'[4]TT (Values)'!$D$32:$D$45</definedName>
    <definedName function="false" hidden="false" localSheetId="4" name="Total_T1_3" vbProcedure="false">'[4]TT (Values)'!$D$51:$D$58</definedName>
    <definedName function="false" hidden="false" localSheetId="4" name="Total_T2_1" vbProcedure="false">'[4]TT (Values)'!$D$276:$D$290</definedName>
    <definedName function="false" hidden="false" localSheetId="4" name="Total_T2_2" vbProcedure="false">'[4]TT (Values)'!$D$296:$D$310</definedName>
    <definedName function="false" hidden="false" localSheetId="4" name="Total_T2_3" vbProcedure="false">'[4]TT (Values)'!$D$316:$D$327</definedName>
    <definedName function="false" hidden="false" localSheetId="4" name="Total_T3_1" vbProcedure="false">'[4]TT (Values)'!$D$568:$D$584</definedName>
    <definedName function="false" hidden="false" localSheetId="4" name="Total_T3_2" vbProcedure="false">'[4]TT (Values)'!$D$590:$D$607</definedName>
    <definedName function="false" hidden="false" localSheetId="4" name="Total_T3_3" vbProcedure="false">'[4]TT (Values)'!$D$613:$D$627</definedName>
    <definedName function="false" hidden="false" localSheetId="4" name="Total_W1_1" vbProcedure="false">'[4]TT (Values)'!$D$64:$D$72</definedName>
    <definedName function="false" hidden="false" localSheetId="4" name="Total_W1_2" vbProcedure="false">'[4]TT (Values)'!$D$78:$D$90</definedName>
    <definedName function="false" hidden="false" localSheetId="4" name="Total_W1_3" vbProcedure="false">'[4]TT (Values)'!$D$96:$D$107</definedName>
    <definedName function="false" hidden="false" localSheetId="4" name="Total_W2_1" vbProcedure="false">'[4]TT (Values)'!$D$333:$D$352</definedName>
    <definedName function="false" hidden="false" localSheetId="4" name="Total_W2_2" vbProcedure="false">'[4]TT (Values)'!$D$358:$D$369</definedName>
    <definedName function="false" hidden="false" localSheetId="4" name="Total_W2_3" vbProcedure="false">'[4]TT (Values)'!$D$375:$D$386</definedName>
    <definedName function="false" hidden="false" localSheetId="4" name="Total_W3_1" vbProcedure="false">'[4]TT (Values)'!$D$633:$D$642</definedName>
    <definedName function="false" hidden="false" localSheetId="4" name="Total_W3_2" vbProcedure="false">'[4]TT (Values)'!$D$648:$D$660</definedName>
    <definedName function="false" hidden="false" localSheetId="4" name="Total_W3_3" vbProcedure="false">'[4]TT (Values)'!$D$666:$D$679</definedName>
    <definedName function="false" hidden="false" localSheetId="4" name="TO_PRT" vbProcedure="false">#ref!</definedName>
    <definedName function="false" hidden="false" localSheetId="5" name="CODE" vbProcedure="false">#ref!</definedName>
    <definedName function="false" hidden="false" localSheetId="5" name="COURSE_NAME" vbProcedure="false">#ref!</definedName>
    <definedName function="false" hidden="false" localSheetId="5" name="EA" vbProcedure="false">#ref!</definedName>
    <definedName function="false" hidden="false" localSheetId="5" name="EXAMINER" vbProcedure="false">#ref!</definedName>
    <definedName function="false" hidden="false" localSheetId="5" name="hy" vbProcedure="false">#ref!</definedName>
    <definedName function="false" hidden="false" localSheetId="5" name="po" vbProcedure="false">#ref!</definedName>
    <definedName function="false" hidden="false" localSheetId="5" name="room_no" vbProcedure="false">#ref!</definedName>
    <definedName function="false" hidden="false" localSheetId="5" name="ROOM_NO." vbProcedure="false">#ref!</definedName>
    <definedName function="false" hidden="false" localSheetId="5" name="STDS" vbProcedure="false">#ref!</definedName>
    <definedName function="false" hidden="false" localSheetId="5" name="Total_F1_1" vbProcedure="false">'[4]TT (Values)'!$D$176:$D$194</definedName>
    <definedName function="false" hidden="false" localSheetId="5" name="Total_F1_2" vbProcedure="false">[5]TT!$D$225:$D$227</definedName>
    <definedName function="false" hidden="false" localSheetId="5" name="Total_F1_3" vbProcedure="false">[5]TT!$D$245:$D$261</definedName>
    <definedName function="false" hidden="false" localSheetId="5" name="Total_F2_1" vbProcedure="false">'[4]TT (Values)'!$D$450:$D$473</definedName>
    <definedName function="false" hidden="false" localSheetId="5" name="Total_F2_2" vbProcedure="false">'[4]TT (Values)'!$D$479:$D$483</definedName>
    <definedName function="false" hidden="false" localSheetId="5" name="Total_F2_3" vbProcedure="false">'[4]TT (Values)'!$D$489:$D$496</definedName>
    <definedName function="false" hidden="false" localSheetId="5" name="Total_F3_1" vbProcedure="false">'[4]TT (Values)'!$D$740:$D$753</definedName>
    <definedName function="false" hidden="false" localSheetId="5" name="Total_F3_2" vbProcedure="false">[5]TT!$D$823:$D$836</definedName>
    <definedName function="false" hidden="false" localSheetId="5" name="Total_F3_3" vbProcedure="false">[5]TT!$D$842:$D$858</definedName>
    <definedName function="false" hidden="false" localSheetId="5" name="Total_H1_1" vbProcedure="false">'[4]TT (Values)'!$D$113:$D$129</definedName>
    <definedName function="false" hidden="false" localSheetId="5" name="Total_H1_2" vbProcedure="false">'[4]TT (Values)'!$D$135:$D$148</definedName>
    <definedName function="false" hidden="false" localSheetId="5" name="Total_H1_3" vbProcedure="false">'[4]TT (Values)'!$D$154:$D$170</definedName>
    <definedName function="false" hidden="false" localSheetId="5" name="Total_H2_1" vbProcedure="false">'[4]TT (Values)'!$D$392:$D$405</definedName>
    <definedName function="false" hidden="false" localSheetId="5" name="Total_H2_2" vbProcedure="false">'[4]TT (Values)'!$D$411:$D$425</definedName>
    <definedName function="false" hidden="false" localSheetId="5" name="Total_H2_3" vbProcedure="false">'[4]TT (Values)'!$D$431:$D$444</definedName>
    <definedName function="false" hidden="false" localSheetId="5" name="Total_H3_1" vbProcedure="false">'[4]TT (Values)'!$D$685:$D$697</definedName>
    <definedName function="false" hidden="false" localSheetId="5" name="Total_H3_2" vbProcedure="false">'[4]TT (Values)'!$D$703:$D$717</definedName>
    <definedName function="false" hidden="false" localSheetId="5" name="Total_H3_3" vbProcedure="false">'[4]TT (Values)'!$D$723:$D$734</definedName>
    <definedName function="false" hidden="false" localSheetId="5" name="Total_M1_1" vbProcedure="false">'[4]TT (Values)'!$D$3:$D$6</definedName>
    <definedName function="false" hidden="false" localSheetId="5" name="Total_M1_2" vbProcedure="false">'[4]TT (Values)'!$D$12:$D$15</definedName>
    <definedName function="false" hidden="false" localSheetId="5" name="Total_M1_3" vbProcedure="false">[5]TT!$D$35:$D$45</definedName>
    <definedName function="false" hidden="false" localSheetId="5" name="Total_M2_1" vbProcedure="false">'[4]TT (Values)'!$D$213:$D$228</definedName>
    <definedName function="false" hidden="false" localSheetId="5" name="Total_M2_2" vbProcedure="false">'[4]TT (Values)'!$D$234:$D$252</definedName>
    <definedName function="false" hidden="false" localSheetId="5" name="Total_M2_3" vbProcedure="false">'[4]TT (Values)'!$D$258:$D$270</definedName>
    <definedName function="false" hidden="false" localSheetId="5" name="Total_M3_1" vbProcedure="false">'[4]TT (Values)'!$D$502:$D$516</definedName>
    <definedName function="false" hidden="false" localSheetId="5" name="Total_M3_2" vbProcedure="false">'[4]TT (Values)'!$D$522:$D$535</definedName>
    <definedName function="false" hidden="false" localSheetId="5" name="Total_M3_3" vbProcedure="false">'[4]TT (Values)'!$D$541:$D$562</definedName>
    <definedName function="false" hidden="false" localSheetId="5" name="Total_T1_1" vbProcedure="false">'[4]TT (Values)'!$D$20:$D$26</definedName>
    <definedName function="false" hidden="false" localSheetId="5" name="Total_T1_2" vbProcedure="false">'[4]TT (Values)'!$D$32:$D$45</definedName>
    <definedName function="false" hidden="false" localSheetId="5" name="Total_T1_3" vbProcedure="false">'[4]TT (Values)'!$D$51:$D$58</definedName>
    <definedName function="false" hidden="false" localSheetId="5" name="Total_T2_1" vbProcedure="false">'[4]TT (Values)'!$D$276:$D$290</definedName>
    <definedName function="false" hidden="false" localSheetId="5" name="Total_T2_2" vbProcedure="false">'[4]TT (Values)'!$D$296:$D$310</definedName>
    <definedName function="false" hidden="false" localSheetId="5" name="Total_T2_3" vbProcedure="false">'[4]TT (Values)'!$D$316:$D$327</definedName>
    <definedName function="false" hidden="false" localSheetId="5" name="Total_T3_1" vbProcedure="false">'[4]TT (Values)'!$D$568:$D$584</definedName>
    <definedName function="false" hidden="false" localSheetId="5" name="Total_T3_2" vbProcedure="false">'[4]TT (Values)'!$D$590:$D$607</definedName>
    <definedName function="false" hidden="false" localSheetId="5" name="Total_T3_3" vbProcedure="false">'[4]TT (Values)'!$D$613:$D$627</definedName>
    <definedName function="false" hidden="false" localSheetId="5" name="Total_W1_1" vbProcedure="false">'[4]TT (Values)'!$D$64:$D$72</definedName>
    <definedName function="false" hidden="false" localSheetId="5" name="Total_W1_2" vbProcedure="false">'[4]TT (Values)'!$D$78:$D$90</definedName>
    <definedName function="false" hidden="false" localSheetId="5" name="Total_W1_3" vbProcedure="false">'[4]TT (Values)'!$D$96:$D$107</definedName>
    <definedName function="false" hidden="false" localSheetId="5" name="Total_W2_1" vbProcedure="false">'[4]TT (Values)'!$D$333:$D$352</definedName>
    <definedName function="false" hidden="false" localSheetId="5" name="Total_W2_2" vbProcedure="false">'[4]TT (Values)'!$D$358:$D$369</definedName>
    <definedName function="false" hidden="false" localSheetId="5" name="Total_W2_3" vbProcedure="false">'[4]TT (Values)'!$D$375:$D$386</definedName>
    <definedName function="false" hidden="false" localSheetId="5" name="Total_W3_1" vbProcedure="false">'[4]TT (Values)'!$D$633:$D$642</definedName>
    <definedName function="false" hidden="false" localSheetId="5" name="Total_W3_2" vbProcedure="false">'[4]TT (Values)'!$D$648:$D$660</definedName>
    <definedName function="false" hidden="false" localSheetId="5" name="Total_W3_3" vbProcedure="false">'[4]TT (Values)'!$D$666:$D$679</definedName>
    <definedName function="false" hidden="false" localSheetId="5" name="TO_PRT" vbProcedure="false">#ref!</definedName>
    <definedName function="false" hidden="false" localSheetId="6" name="CLASS" vbProcedure="false">#ref!</definedName>
    <definedName function="false" hidden="false" localSheetId="6" name="CODE" vbProcedure="false">#ref!</definedName>
    <definedName function="false" hidden="false" localSheetId="6" name="COURSE_NAME" vbProcedure="false">#ref!</definedName>
    <definedName function="false" hidden="false" localSheetId="6" name="EA" vbProcedure="false">#ref!</definedName>
    <definedName function="false" hidden="false" localSheetId="6" name="EXAMINER" vbProcedure="false">#ref!</definedName>
    <definedName function="false" hidden="false" localSheetId="6" name="hy" vbProcedure="false">#ref!</definedName>
    <definedName function="false" hidden="false" localSheetId="6" name="po" vbProcedure="false">#ref!</definedName>
    <definedName function="false" hidden="false" localSheetId="6" name="room_no" vbProcedure="false">#ref!</definedName>
    <definedName function="false" hidden="false" localSheetId="6" name="ROOM_NO." vbProcedure="false">#ref!</definedName>
    <definedName function="false" hidden="false" localSheetId="6" name="STDS" vbProcedure="false">#ref!</definedName>
    <definedName function="false" hidden="false" localSheetId="6" name="Total_F1_1" vbProcedure="false">[5]TT!$D$206:$D$219</definedName>
    <definedName function="false" hidden="false" localSheetId="6" name="Total_F1_2" vbProcedure="false">[5]TT!$D$225:$D$227</definedName>
    <definedName function="false" hidden="false" localSheetId="6" name="Total_F1_3" vbProcedure="false">[5]TT!$D$245:$D$261</definedName>
    <definedName function="false" hidden="false" localSheetId="6" name="Total_F2_1" vbProcedure="false">[5]TT!$D$503:$D$520</definedName>
    <definedName function="false" hidden="false" localSheetId="6" name="Total_F2_2" vbProcedure="false">[5]TT!$D$526:$D$536</definedName>
    <definedName function="false" hidden="false" localSheetId="6" name="Total_F2_3" vbProcedure="false">[5]TT!$D$542:$D$559</definedName>
    <definedName function="false" hidden="false" localSheetId="6" name="Total_F3_1" vbProcedure="false">[5]TT!$D$801:$D$817</definedName>
    <definedName function="false" hidden="false" localSheetId="6" name="Total_F3_2" vbProcedure="false">[5]TT!$D$823:$D$836</definedName>
    <definedName function="false" hidden="false" localSheetId="6" name="Total_F3_3" vbProcedure="false">[5]TT!$D$842:$D$858</definedName>
    <definedName function="false" hidden="false" localSheetId="6" name="Total_H1_1" vbProcedure="false">[5]TT!$D$147:$D$161</definedName>
    <definedName function="false" hidden="false" localSheetId="6" name="Total_H1_2" vbProcedure="false">[5]TT!$D$167:$D$178</definedName>
    <definedName function="false" hidden="false" localSheetId="6" name="Total_H1_3" vbProcedure="false">[5]TT!$D$184:$D$239</definedName>
    <definedName function="false" hidden="false" localSheetId="6" name="Total_H2_1" vbProcedure="false">[5]TT!$D$450:$D$709</definedName>
    <definedName function="false" hidden="false" localSheetId="6" name="Total_H2_2" vbProcedure="false">[5]TT!$D$470:$D$692</definedName>
    <definedName function="false" hidden="false" localSheetId="6" name="Total_H2_3" vbProcedure="false">[5]TT!$D$486:$D$696</definedName>
    <definedName function="false" hidden="false" localSheetId="6" name="Total_H3_1" vbProcedure="false">[5]TT!$D$744:$D$760</definedName>
    <definedName function="false" hidden="false" localSheetId="6" name="Total_H3_2" vbProcedure="false">[5]TT!$D$766:$D$775</definedName>
    <definedName function="false" hidden="false" localSheetId="6" name="Total_H3_3" vbProcedure="false">[5]TT!$D$781:$D$795</definedName>
    <definedName function="false" hidden="false" localSheetId="6" name="Total_H6" vbProcedure="false">[1]tt!#ref!</definedName>
    <definedName function="false" hidden="false" localSheetId="6" name="Total_H7" vbProcedure="false">[1]tt!#ref!</definedName>
    <definedName function="false" hidden="false" localSheetId="6" name="Total_M1" vbProcedure="false">[1]tt!#ref!</definedName>
    <definedName function="false" hidden="false" localSheetId="6" name="Total_M1_1" vbProcedure="false">[5]TT!$D$3:$D$13</definedName>
    <definedName function="false" hidden="false" localSheetId="6" name="Total_M1_2" vbProcedure="false">[5]TT!$D$19:$D$29</definedName>
    <definedName function="false" hidden="false" localSheetId="6" name="Total_M1_3" vbProcedure="false">[5]TT!$D$35:$D$45</definedName>
    <definedName function="false" hidden="false" localSheetId="6" name="Total_M2_1" vbProcedure="false">[5]TT!$D$267:$D$285</definedName>
    <definedName function="false" hidden="false" localSheetId="6" name="Total_M2_2" vbProcedure="false">[5]TT!$D$291:$D$442</definedName>
    <definedName function="false" hidden="false" localSheetId="6" name="Total_M2_3" vbProcedure="false">[5]TT!$D$311:$D$325</definedName>
    <definedName function="false" hidden="false" localSheetId="6" name="Total_M3_1" vbProcedure="false">[5]TT!$D$565:$D$577</definedName>
    <definedName function="false" hidden="false" localSheetId="6" name="Total_M3_2" vbProcedure="false">[5]TT!$D$583:$D$595</definedName>
    <definedName function="false" hidden="false" localSheetId="6" name="Total_M3_3" vbProcedure="false">[5]TT!$D$601:$D$621</definedName>
    <definedName function="false" hidden="false" localSheetId="6" name="Total_T1_1" vbProcedure="false">[5]TT!$D$51:$D$61</definedName>
    <definedName function="false" hidden="false" localSheetId="6" name="Total_T1_2" vbProcedure="false">[5]TT!$D$67:$D$77</definedName>
    <definedName function="false" hidden="false" localSheetId="6" name="Total_T1_3" vbProcedure="false">[5]TT!$D$83:$D$93</definedName>
    <definedName function="false" hidden="false" localSheetId="6" name="Total_T2_1" vbProcedure="false">[5]TT!$D$331:$D$346</definedName>
    <definedName function="false" hidden="false" localSheetId="6" name="Total_T2_2" vbProcedure="false">[5]TT!$D$352:$D$365</definedName>
    <definedName function="false" hidden="false" localSheetId="6" name="Total_T2_3" vbProcedure="false">[5]TT!$D$371:$D$381</definedName>
    <definedName function="false" hidden="false" localSheetId="6" name="Total_T3_1" vbProcedure="false">[5]TT!$D$627:$D$642</definedName>
    <definedName function="false" hidden="false" localSheetId="6" name="Total_T3_2" vbProcedure="false">[5]TT!$D$648:$D$659</definedName>
    <definedName function="false" hidden="false" localSheetId="6" name="Total_T3_3" vbProcedure="false">[5]TT!$D$665:$D$680</definedName>
    <definedName function="false" hidden="false" localSheetId="6" name="Total_T7" vbProcedure="false">[1]tt!#ref!</definedName>
    <definedName function="false" hidden="false" localSheetId="6" name="Total_W1_1" vbProcedure="false">[5]TT!$D$99:$D$109</definedName>
    <definedName function="false" hidden="false" localSheetId="6" name="Total_W1_2" vbProcedure="false">[5]TT!$D$115:$D$125</definedName>
    <definedName function="false" hidden="false" localSheetId="6" name="Total_W1_3" vbProcedure="false">[5]TT!$D$131:$D$141</definedName>
    <definedName function="false" hidden="false" localSheetId="6" name="Total_W2_1" vbProcedure="false">[5]TT!$D$387:$D$405</definedName>
    <definedName function="false" hidden="false" localSheetId="6" name="Total_W2_2" vbProcedure="false">[5]TT!$D$411:$D$424</definedName>
    <definedName function="false" hidden="false" localSheetId="6" name="Total_W2_3" vbProcedure="false">[5]TT!$D$430:$D$444</definedName>
    <definedName function="false" hidden="false" localSheetId="6" name="Total_W3_1" vbProcedure="false">[5]TT!$D$686:$D$696</definedName>
    <definedName function="false" hidden="false" localSheetId="6" name="Total_W3_2" vbProcedure="false">[5]TT!$D$702:$D$753</definedName>
    <definedName function="false" hidden="false" localSheetId="6" name="Total_W3_3" vbProcedure="false">[5]TT!$D$722:$D$738</definedName>
    <definedName function="false" hidden="false" localSheetId="6" name="Total_W7" vbProcedure="false">[1]tt!#ref!</definedName>
    <definedName function="false" hidden="false" localSheetId="6" name="TO_PRT" vbProcedure="false">#ref!</definedName>
    <definedName function="false" hidden="false" localSheetId="7" name="CLASS" vbProcedure="false">#ref!</definedName>
    <definedName function="false" hidden="false" localSheetId="7" name="CODE" vbProcedure="false">#ref!</definedName>
    <definedName function="false" hidden="false" localSheetId="7" name="COURSE_NAME" vbProcedure="false">#ref!</definedName>
    <definedName function="false" hidden="false" localSheetId="7" name="EA" vbProcedure="false">#ref!</definedName>
    <definedName function="false" hidden="false" localSheetId="7" name="EXAMINER" vbProcedure="false">#ref!</definedName>
    <definedName function="false" hidden="false" localSheetId="7" name="hy" vbProcedure="false">#ref!</definedName>
    <definedName function="false" hidden="false" localSheetId="7" name="po" vbProcedure="false">#ref!</definedName>
    <definedName function="false" hidden="false" localSheetId="7" name="room_no" vbProcedure="false">#ref!</definedName>
    <definedName function="false" hidden="false" localSheetId="7" name="ROOM_NO." vbProcedure="false">#ref!</definedName>
    <definedName function="false" hidden="false" localSheetId="7" name="STDS" vbProcedure="false">#ref!</definedName>
    <definedName function="false" hidden="false" localSheetId="7" name="Total_F1" vbProcedure="false">'[1]TT (Working)'!$D$668:$D$683</definedName>
    <definedName function="false" hidden="false" localSheetId="7" name="Total_F1_1" vbProcedure="false">[5]TT!$D$206:$D$219</definedName>
    <definedName function="false" hidden="false" localSheetId="7" name="Total_F1_2" vbProcedure="false">[5]TT!$D$225:$D$227</definedName>
    <definedName function="false" hidden="false" localSheetId="7" name="Total_F1_3" vbProcedure="false">[5]TT!$D$245:$D$261</definedName>
    <definedName function="false" hidden="false" localSheetId="7" name="Total_F2" vbProcedure="false">'[1]TT (Working)'!$D$690:$D$712</definedName>
    <definedName function="false" hidden="false" localSheetId="7" name="Total_F2_1" vbProcedure="false">[5]TT!$D$503:$D$520</definedName>
    <definedName function="false" hidden="false" localSheetId="7" name="Total_F2_2" vbProcedure="false">[5]TT!$D$526:$D$536</definedName>
    <definedName function="false" hidden="false" localSheetId="7" name="Total_F2_3" vbProcedure="false">[5]TT!$D$542:$D$559</definedName>
    <definedName function="false" hidden="false" localSheetId="7" name="Total_F3" vbProcedure="false">'[1]TT (Working)'!$D$718:$D$731</definedName>
    <definedName function="false" hidden="false" localSheetId="7" name="Total_F3_1" vbProcedure="false">[5]TT!$D$801:$D$817</definedName>
    <definedName function="false" hidden="false" localSheetId="7" name="Total_F3_2" vbProcedure="false">[5]TT!$D$823:$D$836</definedName>
    <definedName function="false" hidden="false" localSheetId="7" name="Total_F3_3" vbProcedure="false">[5]TT!$D$842:$D$858</definedName>
    <definedName function="false" hidden="false" localSheetId="7" name="Total_F4" vbProcedure="false">'[1]TT (Working)'!$D$737:$D$746</definedName>
    <definedName function="false" hidden="false" localSheetId="7" name="Total_F5" vbProcedure="false">'[1]TT (Working)'!$D$753:$D$766</definedName>
    <definedName function="false" hidden="false" localSheetId="7" name="Total_F6" vbProcedure="false">'[1]TT (Working)'!$D$773:$D$787</definedName>
    <definedName function="false" hidden="false" localSheetId="7" name="Total_F7" vbProcedure="false">'[1]TT (Working)'!$D$793:$D$802</definedName>
    <definedName function="false" hidden="false" localSheetId="7" name="Total_H1" vbProcedure="false">'[1]TT (Working)'!$D$510:$D$528</definedName>
    <definedName function="false" hidden="false" localSheetId="7" name="Total_H1_1" vbProcedure="false">[5]TT!$D$147:$D$161</definedName>
    <definedName function="false" hidden="false" localSheetId="7" name="Total_H1_2" vbProcedure="false">[5]TT!$D$167:$D$178</definedName>
    <definedName function="false" hidden="false" localSheetId="7" name="Total_H1_3" vbProcedure="false">[5]TT!$D$184:$D$239</definedName>
    <definedName function="false" hidden="false" localSheetId="7" name="Total_H2" vbProcedure="false">'[1]TT (Working)'!$D$540:$D$552</definedName>
    <definedName function="false" hidden="false" localSheetId="7" name="Total_H2_1" vbProcedure="false">[5]TT!$D$450:$D$709</definedName>
    <definedName function="false" hidden="false" localSheetId="7" name="Total_H2_2" vbProcedure="false">[5]TT!$D$470:$D$692</definedName>
    <definedName function="false" hidden="false" localSheetId="7" name="Total_H2_3" vbProcedure="false">[5]TT!$D$486:$D$696</definedName>
    <definedName function="false" hidden="false" localSheetId="7" name="Total_H3" vbProcedure="false">'[1]TT (Working)'!$D$564:$D$577</definedName>
    <definedName function="false" hidden="false" localSheetId="7" name="Total_H3_1" vbProcedure="false">[5]TT!$D$744:$D$760</definedName>
    <definedName function="false" hidden="false" localSheetId="7" name="Total_H3_2" vbProcedure="false">[5]TT!$D$766:$D$775</definedName>
    <definedName function="false" hidden="false" localSheetId="7" name="Total_H3_3" vbProcedure="false">[5]TT!$D$781:$D$795</definedName>
    <definedName function="false" hidden="false" localSheetId="7" name="Total_H4" vbProcedure="false">'[1]TT (Working)'!$D$585:$D$607</definedName>
    <definedName function="false" hidden="false" localSheetId="7" name="Total_H5" vbProcedure="false">'[1]TT (Working)'!$D$614:$D$677</definedName>
    <definedName function="false" hidden="false" localSheetId="7" name="Total_H6" vbProcedure="false">'[1]TT (Working)'!$D$631:$D$646</definedName>
    <definedName function="false" hidden="false" localSheetId="7" name="Total_H7" vbProcedure="false">'[1]TT (Working)'!$D$653:$D$662</definedName>
    <definedName function="false" hidden="false" localSheetId="7" name="Total_M1" vbProcedure="false">'[1]TT (Working)'!$D$3:$D$471</definedName>
    <definedName function="false" hidden="false" localSheetId="7" name="Total_M1_1" vbProcedure="false">[5]TT!$D$3:$D$13</definedName>
    <definedName function="false" hidden="false" localSheetId="7" name="Total_M1_2" vbProcedure="false">[5]TT!$D$19:$D$29</definedName>
    <definedName function="false" hidden="false" localSheetId="7" name="Total_M1_3" vbProcedure="false">[5]TT!$D$35:$D$45</definedName>
    <definedName function="false" hidden="false" localSheetId="7" name="Total_M2" vbProcedure="false">'[1]TT (Working)'!$D$31:$D$240</definedName>
    <definedName function="false" hidden="false" localSheetId="7" name="Total_M2_1" vbProcedure="false">[5]TT!$D$267:$D$285</definedName>
    <definedName function="false" hidden="false" localSheetId="7" name="Total_M2_2" vbProcedure="false">[5]TT!$D$291:$D$442</definedName>
    <definedName function="false" hidden="false" localSheetId="7" name="Total_M2_3" vbProcedure="false">[5]TT!$D$311:$D$325</definedName>
    <definedName function="false" hidden="false" localSheetId="7" name="Total_M3" vbProcedure="false">'[1]TT (Working)'!$D$62:$D$77</definedName>
    <definedName function="false" hidden="false" localSheetId="7" name="Total_M3_1" vbProcedure="false">[5]TT!$D$565:$D$577</definedName>
    <definedName function="false" hidden="false" localSheetId="7" name="Total_M3_2" vbProcedure="false">[5]TT!$D$583:$D$595</definedName>
    <definedName function="false" hidden="false" localSheetId="7" name="Total_M3_3" vbProcedure="false">[5]TT!$D$601:$D$621</definedName>
    <definedName function="false" hidden="false" localSheetId="7" name="Total_M4" vbProcedure="false">'[1]TT (Working)'!$D$84:$D$100</definedName>
    <definedName function="false" hidden="false" localSheetId="7" name="Total_M5" vbProcedure="false">'[1]TT (Working)'!$D$114:$D$124</definedName>
    <definedName function="false" hidden="false" localSheetId="7" name="Total_M6" vbProcedure="false">'[1]TT (Working)'!$D$134:$D$146</definedName>
    <definedName function="false" hidden="false" localSheetId="7" name="Total_M7" vbProcedure="false">'[1]TT (Working)'!$D$159:$D$173</definedName>
    <definedName function="false" hidden="false" localSheetId="7" name="Total_T1" vbProcedure="false">'[1]TT (Working)'!$D$185:$D$196</definedName>
    <definedName function="false" hidden="false" localSheetId="7" name="Total_T1_1" vbProcedure="false">[5]TT!$D$51:$D$61</definedName>
    <definedName function="false" hidden="false" localSheetId="7" name="Total_T1_2" vbProcedure="false">[5]TT!$D$67:$D$77</definedName>
    <definedName function="false" hidden="false" localSheetId="7" name="Total_T1_3" vbProcedure="false">[5]TT!$D$83:$D$93</definedName>
    <definedName function="false" hidden="false" localSheetId="7" name="Total_T2" vbProcedure="false">'[1]TT (Working)'!$D$211:$D$225</definedName>
    <definedName function="false" hidden="false" localSheetId="7" name="Total_T2_1" vbProcedure="false">[5]TT!$D$331:$D$346</definedName>
    <definedName function="false" hidden="false" localSheetId="7" name="Total_T2_2" vbProcedure="false">[5]TT!$D$352:$D$365</definedName>
    <definedName function="false" hidden="false" localSheetId="7" name="Total_T2_3" vbProcedure="false">[5]TT!$D$371:$D$381</definedName>
    <definedName function="false" hidden="false" localSheetId="7" name="Total_T3" vbProcedure="false">'[1]TT (Working)'!$D$233:$D$247</definedName>
    <definedName function="false" hidden="false" localSheetId="7" name="Total_T3_1" vbProcedure="false">[5]TT!$D$627:$D$642</definedName>
    <definedName function="false" hidden="false" localSheetId="7" name="Total_T3_2" vbProcedure="false">[5]TT!$D$648:$D$659</definedName>
    <definedName function="false" hidden="false" localSheetId="7" name="Total_T3_3" vbProcedure="false">[5]TT!$D$665:$D$680</definedName>
    <definedName function="false" hidden="false" localSheetId="7" name="Total_T4" vbProcedure="false">'[1]TT (Working)'!$D$261:$D$274</definedName>
    <definedName function="false" hidden="false" localSheetId="7" name="Total_T5" vbProcedure="false">'[1]TT (Working)'!$D$284:$D$295</definedName>
    <definedName function="false" hidden="false" localSheetId="7" name="Total_T6" vbProcedure="false">'[1]TT (Working)'!$D$304:$D$319</definedName>
    <definedName function="false" hidden="false" localSheetId="7" name="Total_T7" vbProcedure="false">'[1]TT (Working)'!$D$329:$D$338</definedName>
    <definedName function="false" hidden="false" localSheetId="7" name="Total_W1" vbProcedure="false">'[1]TT (Working)'!$D$345:$D$359</definedName>
    <definedName function="false" hidden="false" localSheetId="7" name="Total_W1_1" vbProcedure="false">[5]TT!$D$99:$D$109</definedName>
    <definedName function="false" hidden="false" localSheetId="7" name="Total_W1_2" vbProcedure="false">[5]TT!$D$115:$D$125</definedName>
    <definedName function="false" hidden="false" localSheetId="7" name="Total_W1_3" vbProcedure="false">[5]TT!$D$131:$D$141</definedName>
    <definedName function="false" hidden="false" localSheetId="7" name="Total_W2" vbProcedure="false">'[1]TT (Working)'!$D$368:$D$381</definedName>
    <definedName function="false" hidden="false" localSheetId="7" name="Total_W2_1" vbProcedure="false">[5]TT!$D$387:$D$405</definedName>
    <definedName function="false" hidden="false" localSheetId="7" name="Total_W2_2" vbProcedure="false">[5]TT!$D$411:$D$424</definedName>
    <definedName function="false" hidden="false" localSheetId="7" name="Total_W2_3" vbProcedure="false">[5]TT!$D$430:$D$444</definedName>
    <definedName function="false" hidden="false" localSheetId="7" name="Total_W3" vbProcedure="false">'[1]TT (Working)'!$D$389:$D$402</definedName>
    <definedName function="false" hidden="false" localSheetId="7" name="Total_W3_1" vbProcedure="false">[5]TT!$D$686:$D$696</definedName>
    <definedName function="false" hidden="false" localSheetId="7" name="Total_W3_2" vbProcedure="false">[5]TT!$D$702:$D$753</definedName>
    <definedName function="false" hidden="false" localSheetId="7" name="Total_W3_3" vbProcedure="false">[5]TT!$D$722:$D$738</definedName>
    <definedName function="false" hidden="false" localSheetId="7" name="Total_W4" vbProcedure="false">'[1]TT (Working)'!$D$410:$D$423</definedName>
    <definedName function="false" hidden="false" localSheetId="7" name="Total_W5" vbProcedure="false">'[1]TT (Working)'!$D$432:$D$676</definedName>
    <definedName function="false" hidden="false" localSheetId="7" name="Total_W6" vbProcedure="false">'[1]TT (Working)'!$D$464:$D$480</definedName>
    <definedName function="false" hidden="false" localSheetId="7" name="Total_W7" vbProcedure="false">'[1]TT (Working)'!$D$487:$D$502</definedName>
    <definedName function="false" hidden="false" localSheetId="7" name="TO_PRT" vbProcedure="false">#ref!</definedName>
    <definedName function="false" hidden="false" localSheetId="8" name="CODE" vbProcedure="false">#ref!</definedName>
    <definedName function="false" hidden="false" localSheetId="8" name="COURSE_NAME" vbProcedure="false">#ref!</definedName>
    <definedName function="false" hidden="false" localSheetId="8" name="EXAMINER" vbProcedure="false">#ref!</definedName>
    <definedName function="false" hidden="false" localSheetId="8" name="ROOM_NO." vbProcedure="false">#ref!</definedName>
    <definedName function="false" hidden="false" localSheetId="8" name="STDS" vbProcedure="false">#ref!</definedName>
    <definedName function="false" hidden="false" localSheetId="8" name="TO_P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EXAMINATION OFFICE</author>
  </authors>
  <commentList>
    <comment ref="AZ69" authorId="0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37</xdr:col>
                <xdr:colOff>3</xdr:colOff>
                <xdr:row>67</xdr:row>
                <xdr:rowOff>13</xdr:rowOff>
              </xdr:from>
              <xdr:to>
                <xdr:col>38</xdr:col>
                <xdr:colOff>12</xdr:colOff>
                <xdr:row>71</xdr:row>
                <xdr:rowOff>4</xdr:rowOff>
              </xdr:to>
            </anchor>
          </commentPr>
        </mc:Choice>
        <mc:Fallback/>
      </mc:AlternateContent>
    </comment>
    <comment ref="BE69" authorId="0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57</xdr:col>
                <xdr:colOff>17</xdr:colOff>
                <xdr:row>67</xdr:row>
                <xdr:rowOff>13</xdr:rowOff>
              </xdr:from>
              <xdr:to>
                <xdr:col>58</xdr:col>
                <xdr:colOff>19</xdr:colOff>
                <xdr:row>71</xdr:row>
                <xdr:rowOff>4</xdr:rowOff>
              </xdr:to>
            </anchor>
          </commentPr>
        </mc:Choice>
        <mc:Fallback/>
      </mc:AlternateContent>
    </comment>
    <comment ref="BJ69" authorId="0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62</xdr:col>
                <xdr:colOff>17</xdr:colOff>
                <xdr:row>67</xdr:row>
                <xdr:rowOff>13</xdr:rowOff>
              </xdr:from>
              <xdr:to>
                <xdr:col>63</xdr:col>
                <xdr:colOff>-24</xdr:colOff>
                <xdr:row>71</xdr:row>
                <xdr:rowOff>4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Admin</author>
    <author>EXAMINATION OFFICE</author>
  </authors>
  <commentList>
    <comment ref="AV69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30</xdr:col>
                <xdr:colOff>18</xdr:colOff>
                <xdr:row>32</xdr:row>
                <xdr:rowOff>6</xdr:rowOff>
              </xdr:from>
              <xdr:to>
                <xdr:col>40</xdr:col>
                <xdr:colOff>7</xdr:colOff>
                <xdr:row>33</xdr:row>
                <xdr:rowOff>46</xdr:rowOff>
              </xdr:to>
            </anchor>
          </commentPr>
        </mc:Choice>
        <mc:Fallback/>
      </mc:AlternateContent>
    </comment>
    <comment ref="AW27" authorId="0">
      <text>
        <r>
          <rPr>
            <sz val="10"/>
            <rFont val="Noto Sans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two electives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22</xdr:colOff>
                <xdr:row>11</xdr:row>
                <xdr:rowOff>23</xdr:rowOff>
              </xdr:from>
              <xdr:to>
                <xdr:col>41</xdr:col>
                <xdr:colOff>2</xdr:colOff>
                <xdr:row>13</xdr:row>
                <xdr:rowOff>29</xdr:rowOff>
              </xdr:to>
            </anchor>
          </commentPr>
        </mc:Choice>
        <mc:Fallback/>
      </mc:AlternateContent>
    </comment>
    <comment ref="AW36" authorId="0">
      <text>
        <r>
          <rPr>
            <sz val="10"/>
            <rFont val="Noto Sans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22</xdr:colOff>
                <xdr:row>16</xdr:row>
                <xdr:rowOff>24</xdr:rowOff>
              </xdr:from>
              <xdr:to>
                <xdr:col>41</xdr:col>
                <xdr:colOff>2</xdr:colOff>
                <xdr:row>18</xdr:row>
                <xdr:rowOff>22</xdr:rowOff>
              </xdr:to>
            </anchor>
          </commentPr>
        </mc:Choice>
        <mc:Fallback/>
      </mc:AlternateContent>
    </comment>
    <comment ref="AW48" authorId="0">
      <text>
        <r>
          <rPr>
            <sz val="10"/>
            <rFont val="Noto Sans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electives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22</xdr:colOff>
                <xdr:row>22</xdr:row>
                <xdr:rowOff>2</xdr:rowOff>
              </xdr:from>
              <xdr:to>
                <xdr:col>41</xdr:col>
                <xdr:colOff>2</xdr:colOff>
                <xdr:row>23</xdr:row>
                <xdr:rowOff>46</xdr:rowOff>
              </xdr:to>
            </anchor>
          </commentPr>
        </mc:Choice>
        <mc:Fallback/>
      </mc:AlternateContent>
    </comment>
    <comment ref="AW52" authorId="0">
      <text>
        <r>
          <rPr>
            <sz val="10"/>
            <rFont val="Noto Sans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electives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22</xdr:colOff>
                <xdr:row>23</xdr:row>
                <xdr:rowOff>41</xdr:rowOff>
              </xdr:from>
              <xdr:to>
                <xdr:col>41</xdr:col>
                <xdr:colOff>2</xdr:colOff>
                <xdr:row>25</xdr:row>
                <xdr:rowOff>36</xdr:rowOff>
              </xdr:to>
            </anchor>
          </commentPr>
        </mc:Choice>
        <mc:Fallback/>
      </mc:AlternateContent>
    </comment>
    <comment ref="AW69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22</xdr:colOff>
                <xdr:row>32</xdr:row>
                <xdr:rowOff>6</xdr:rowOff>
              </xdr:from>
              <xdr:to>
                <xdr:col>42</xdr:col>
                <xdr:colOff>16</xdr:colOff>
                <xdr:row>33</xdr:row>
                <xdr:rowOff>46</xdr:rowOff>
              </xdr:to>
            </anchor>
          </commentPr>
        </mc:Choice>
        <mc:Fallback/>
      </mc:AlternateContent>
    </comment>
    <comment ref="AY51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41</xdr:col>
                <xdr:colOff>20</xdr:colOff>
                <xdr:row>23</xdr:row>
                <xdr:rowOff>21</xdr:rowOff>
              </xdr:from>
              <xdr:to>
                <xdr:col>44</xdr:col>
                <xdr:colOff>13</xdr:colOff>
                <xdr:row>25</xdr:row>
                <xdr:rowOff>15</xdr:rowOff>
              </xdr:to>
            </anchor>
          </commentPr>
        </mc:Choice>
        <mc:Fallback/>
      </mc:AlternateContent>
    </comment>
    <comment ref="AY69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41</xdr:col>
                <xdr:colOff>20</xdr:colOff>
                <xdr:row>32</xdr:row>
                <xdr:rowOff>6</xdr:rowOff>
              </xdr:from>
              <xdr:to>
                <xdr:col>44</xdr:col>
                <xdr:colOff>13</xdr:colOff>
                <xdr:row>33</xdr:row>
                <xdr:rowOff>46</xdr:rowOff>
              </xdr:to>
            </anchor>
          </commentPr>
        </mc:Choice>
        <mc:Fallback/>
      </mc:AlternateContent>
    </comment>
    <comment ref="AZ12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5</xdr:row>
                <xdr:rowOff>0</xdr:rowOff>
              </xdr:from>
              <xdr:to>
                <xdr:col>44</xdr:col>
                <xdr:colOff>13</xdr:colOff>
                <xdr:row>6</xdr:row>
                <xdr:rowOff>35</xdr:rowOff>
              </xdr:to>
            </anchor>
          </commentPr>
        </mc:Choice>
        <mc:Fallback/>
      </mc:AlternateContent>
    </comment>
    <comment ref="AZ24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10</xdr:row>
                <xdr:rowOff>5</xdr:rowOff>
              </xdr:from>
              <xdr:to>
                <xdr:col>44</xdr:col>
                <xdr:colOff>13</xdr:colOff>
                <xdr:row>11</xdr:row>
                <xdr:rowOff>46</xdr:rowOff>
              </xdr:to>
            </anchor>
          </commentPr>
        </mc:Choice>
        <mc:Fallback/>
      </mc:AlternateContent>
    </comment>
    <comment ref="AZ27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11</xdr:row>
                <xdr:rowOff>23</xdr:rowOff>
              </xdr:from>
              <xdr:to>
                <xdr:col>44</xdr:col>
                <xdr:colOff>13</xdr:colOff>
                <xdr:row>13</xdr:row>
                <xdr:rowOff>16</xdr:rowOff>
              </xdr:to>
            </anchor>
          </commentPr>
        </mc:Choice>
        <mc:Fallback/>
      </mc:AlternateContent>
    </comment>
    <comment ref="AZ36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16</xdr:row>
                <xdr:rowOff>24</xdr:rowOff>
              </xdr:from>
              <xdr:to>
                <xdr:col>44</xdr:col>
                <xdr:colOff>13</xdr:colOff>
                <xdr:row>18</xdr:row>
                <xdr:rowOff>15</xdr:rowOff>
              </xdr:to>
            </anchor>
          </commentPr>
        </mc:Choice>
        <mc:Fallback/>
      </mc:AlternateContent>
    </comment>
    <comment ref="AZ48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22</xdr:row>
                <xdr:rowOff>2</xdr:rowOff>
              </xdr:from>
              <xdr:to>
                <xdr:col>44</xdr:col>
                <xdr:colOff>13</xdr:colOff>
                <xdr:row>23</xdr:row>
                <xdr:rowOff>42</xdr:rowOff>
              </xdr:to>
            </anchor>
          </commentPr>
        </mc:Choice>
        <mc:Fallback/>
      </mc:AlternateContent>
    </comment>
    <comment ref="AZ52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23</xdr:row>
                <xdr:rowOff>41</xdr:rowOff>
              </xdr:from>
              <xdr:to>
                <xdr:col>44</xdr:col>
                <xdr:colOff>13</xdr:colOff>
                <xdr:row>25</xdr:row>
                <xdr:rowOff>35</xdr:rowOff>
              </xdr:to>
            </anchor>
          </commentPr>
        </mc:Choice>
        <mc:Fallback/>
      </mc:AlternateContent>
    </comment>
    <comment ref="AZ58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26</xdr:row>
                <xdr:rowOff>35</xdr:rowOff>
              </xdr:from>
              <xdr:to>
                <xdr:col>44</xdr:col>
                <xdr:colOff>13</xdr:colOff>
                <xdr:row>28</xdr:row>
                <xdr:rowOff>32</xdr:rowOff>
              </xdr:to>
            </anchor>
          </commentPr>
        </mc:Choice>
        <mc:Fallback/>
      </mc:AlternateContent>
    </comment>
    <comment ref="AZ69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58</xdr:colOff>
                <xdr:row>32</xdr:row>
                <xdr:rowOff>6</xdr:rowOff>
              </xdr:from>
              <xdr:to>
                <xdr:col>44</xdr:col>
                <xdr:colOff>13</xdr:colOff>
                <xdr:row>33</xdr:row>
                <xdr:rowOff>46</xdr:rowOff>
              </xdr:to>
            </anchor>
          </commentPr>
        </mc:Choice>
        <mc:Fallback/>
      </mc:AlternateContent>
    </comment>
    <comment ref="BC69" authorId="1">
      <text>
        <r>
          <rPr>
            <sz val="10"/>
            <rFont val="Noto Sans"/>
            <family val="2"/>
          </rPr>
          <t xml:space="preserve">EXAMINATION OFFICE:
</t>
        </r>
        <r>
          <rPr>
            <sz val="9"/>
            <color rgb="FF000000"/>
            <rFont val="Tahoma"/>
            <family val="2"/>
            <charset val="1"/>
          </rPr>
          <t xml:space="preserve">Elective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45</xdr:col>
                <xdr:colOff>5</xdr:colOff>
                <xdr:row>32</xdr:row>
                <xdr:rowOff>6</xdr:rowOff>
              </xdr:from>
              <xdr:to>
                <xdr:col>52</xdr:col>
                <xdr:colOff>36</xdr:colOff>
                <xdr:row>33</xdr:row>
                <xdr:rowOff>46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<sst xmlns="http://schemas.openxmlformats.org/spreadsheetml/2006/main" count="16111" uniqueCount="2079">
  <si>
    <t xml:space="preserve">Monday, 17 August 2026</t>
  </si>
  <si>
    <t xml:space="preserve">Tuesday, 11 April 2023,,</t>
  </si>
  <si>
    <t xml:space="preserve">Session, 1 (8:30 AM - 10:30 AM)</t>
  </si>
  <si>
    <t xml:space="preserve">Session, 1 (8:30 AM - 10:30 AM),,</t>
  </si>
  <si>
    <t xml:space="preserve">CODE </t>
  </si>
  <si>
    <t xml:space="preserve">COURSE NAME </t>
  </si>
  <si>
    <t xml:space="preserve">EXAMINER </t>
  </si>
  <si>
    <t xml:space="preserve">CLASS</t>
  </si>
  <si>
    <t xml:space="preserve"># STDS</t>
  </si>
  <si>
    <t xml:space="preserve">ROOM NO.</t>
  </si>
  <si>
    <t xml:space="preserve">TO PRT</t>
  </si>
  <si>
    <t xml:space="preserve">CODE ,COURSE NAME ,# STDS</t>
  </si>
  <si>
    <t xml:space="preserve">CHE 258</t>
  </si>
  <si>
    <t xml:space="preserve">ED2-CHE</t>
  </si>
  <si>
    <t xml:space="preserve">ED2-PCE</t>
  </si>
  <si>
    <t xml:space="preserve">COE 354</t>
  </si>
  <si>
    <t xml:space="preserve">ED3-COE</t>
  </si>
  <si>
    <t xml:space="preserve">PE 360</t>
  </si>
  <si>
    <t xml:space="preserve">ED3-PE</t>
  </si>
  <si>
    <t xml:space="preserve">EE 156</t>
  </si>
  <si>
    <t xml:space="preserve">ED1-COE</t>
  </si>
  <si>
    <t xml:space="preserve">BYOD</t>
  </si>
  <si>
    <t xml:space="preserve">AME 376</t>
  </si>
  <si>
    <t xml:space="preserve">ED3-AUTO</t>
  </si>
  <si>
    <t xml:space="preserve">EE 272</t>
  </si>
  <si>
    <t xml:space="preserve">ED2-EE</t>
  </si>
  <si>
    <t xml:space="preserve">Total M1-1</t>
  </si>
  <si>
    <t xml:space="preserve">,Total T1-1</t>
  </si>
  <si>
    <t xml:space="preserve">Tuesday, 11 April 2023,</t>
  </si>
  <si>
    <t xml:space="preserve">Session, 2 (12:00 PM - 2:00 PM)</t>
  </si>
  <si>
    <t xml:space="preserve">Session, 2 (12:00 PM - 2:00 PM),</t>
  </si>
  <si>
    <t xml:space="preserve">CODE ,CLASS</t>
  </si>
  <si>
    <t xml:space="preserve">ME 274</t>
  </si>
  <si>
    <t xml:space="preserve">ED2-ME</t>
  </si>
  <si>
    <t xml:space="preserve">Computer Based</t>
  </si>
  <si>
    <t xml:space="preserve">AERO 274</t>
  </si>
  <si>
    <t xml:space="preserve">ED2-AERO</t>
  </si>
  <si>
    <t xml:space="preserve">IE 274</t>
  </si>
  <si>
    <t xml:space="preserve">ED2-IND</t>
  </si>
  <si>
    <t xml:space="preserve">AME 274</t>
  </si>
  <si>
    <t xml:space="preserve">ED2-AUTO</t>
  </si>
  <si>
    <t xml:space="preserve">MME 274</t>
  </si>
  <si>
    <t xml:space="preserve">ED2-MARI</t>
  </si>
  <si>
    <t xml:space="preserve">PCE 450</t>
  </si>
  <si>
    <t xml:space="preserve">ED4-PCE</t>
  </si>
  <si>
    <t xml:space="preserve">PE 464</t>
  </si>
  <si>
    <t xml:space="preserve">ED4-PE</t>
  </si>
  <si>
    <t xml:space="preserve">PCE 464</t>
  </si>
  <si>
    <t xml:space="preserve">ED4-CHE</t>
  </si>
  <si>
    <t xml:space="preserve">AE 458</t>
  </si>
  <si>
    <t xml:space="preserve">ED4-AE</t>
  </si>
  <si>
    <t xml:space="preserve">ED1-EE</t>
  </si>
  <si>
    <t xml:space="preserve">GE 286</t>
  </si>
  <si>
    <t xml:space="preserve">ED2-AE</t>
  </si>
  <si>
    <t xml:space="preserve">CE 256</t>
  </si>
  <si>
    <t xml:space="preserve">ED2-GEOL</t>
  </si>
  <si>
    <t xml:space="preserve">ED2-CE</t>
  </si>
  <si>
    <t xml:space="preserve">Total M1-2</t>
  </si>
  <si>
    <t xml:space="preserve">,Total T1-2</t>
  </si>
  <si>
    <t xml:space="preserve">Session, 3 (3:00 PM - 5:00 PM)</t>
  </si>
  <si>
    <t xml:space="preserve">ME 374</t>
  </si>
  <si>
    <t xml:space="preserve">ED3-ME</t>
  </si>
  <si>
    <t xml:space="preserve">PCE 354</t>
  </si>
  <si>
    <t xml:space="preserve">ED3-PCE</t>
  </si>
  <si>
    <t xml:space="preserve">BME 372</t>
  </si>
  <si>
    <t xml:space="preserve">ED3-BME</t>
  </si>
  <si>
    <t xml:space="preserve">ME 464</t>
  </si>
  <si>
    <t xml:space="preserve">ED4-ME</t>
  </si>
  <si>
    <t xml:space="preserve">MME 482</t>
  </si>
  <si>
    <t xml:space="preserve">ED4-MARI</t>
  </si>
  <si>
    <t xml:space="preserve">EE 362</t>
  </si>
  <si>
    <t xml:space="preserve">ED3-EE</t>
  </si>
  <si>
    <t xml:space="preserve">CHE 362</t>
  </si>
  <si>
    <t xml:space="preserve">ED3-CHE</t>
  </si>
  <si>
    <t xml:space="preserve">CE 154</t>
  </si>
  <si>
    <t xml:space="preserve">ED1-CE</t>
  </si>
  <si>
    <t xml:space="preserve">GE 372</t>
  </si>
  <si>
    <t xml:space="preserve">ED3-GEOM</t>
  </si>
  <si>
    <t xml:space="preserve">Tuesday, 18 August 2026</t>
  </si>
  <si>
    <t xml:space="preserve">PHY 170</t>
  </si>
  <si>
    <t xml:space="preserve">ED1-CHE</t>
  </si>
  <si>
    <t xml:space="preserve">ED1-PCE</t>
  </si>
  <si>
    <t xml:space="preserve">ED1-PE</t>
  </si>
  <si>
    <t xml:space="preserve">CHE 256</t>
  </si>
  <si>
    <t xml:space="preserve">MME 292</t>
  </si>
  <si>
    <t xml:space="preserve">MME 396</t>
  </si>
  <si>
    <t xml:space="preserve">ED3-MARI</t>
  </si>
  <si>
    <t xml:space="preserve">AE 358</t>
  </si>
  <si>
    <t xml:space="preserve">ED3-AE</t>
  </si>
  <si>
    <t xml:space="preserve">ARC 156</t>
  </si>
  <si>
    <t xml:space="preserve">TE 156</t>
  </si>
  <si>
    <t xml:space="preserve">ED1-TEL</t>
  </si>
  <si>
    <t xml:space="preserve">PE 254</t>
  </si>
  <si>
    <t xml:space="preserve">ED2-PE</t>
  </si>
  <si>
    <t xml:space="preserve">GE 162</t>
  </si>
  <si>
    <t xml:space="preserve">ED1-GEOM</t>
  </si>
  <si>
    <t xml:space="preserve">AME 482</t>
  </si>
  <si>
    <t xml:space="preserve">ED4-AUTO</t>
  </si>
  <si>
    <t xml:space="preserve">AERO 456</t>
  </si>
  <si>
    <t xml:space="preserve">ED4-AERO</t>
  </si>
  <si>
    <t xml:space="preserve">METE 256</t>
  </si>
  <si>
    <t xml:space="preserve">ED2-METE</t>
  </si>
  <si>
    <t xml:space="preserve">CE 464</t>
  </si>
  <si>
    <t xml:space="preserve">ED4-CE</t>
  </si>
  <si>
    <t xml:space="preserve">PE 466</t>
  </si>
  <si>
    <t xml:space="preserve">Total T1-1</t>
  </si>
  <si>
    <t xml:space="preserve">,</t>
  </si>
  <si>
    <t xml:space="preserve">COE 254</t>
  </si>
  <si>
    <t xml:space="preserve">ED2-COE</t>
  </si>
  <si>
    <t xml:space="preserve">ED2-BME</t>
  </si>
  <si>
    <t xml:space="preserve">ME 168</t>
  </si>
  <si>
    <t xml:space="preserve">ED1-IND</t>
  </si>
  <si>
    <t xml:space="preserve">ED1-MARI</t>
  </si>
  <si>
    <t xml:space="preserve">MSE 154</t>
  </si>
  <si>
    <t xml:space="preserve">ED1-METE</t>
  </si>
  <si>
    <t xml:space="preserve">ED1-MSE</t>
  </si>
  <si>
    <t xml:space="preserve">ME 482</t>
  </si>
  <si>
    <t xml:space="preserve">TE 384</t>
  </si>
  <si>
    <t xml:space="preserve">TE 356</t>
  </si>
  <si>
    <t xml:space="preserve">ED3-TEL</t>
  </si>
  <si>
    <t xml:space="preserve">IE 368</t>
  </si>
  <si>
    <t xml:space="preserve">ED3-IND</t>
  </si>
  <si>
    <t xml:space="preserve">CHE 368</t>
  </si>
  <si>
    <t xml:space="preserve">IE 452</t>
  </si>
  <si>
    <t xml:space="preserve">ED4-IND</t>
  </si>
  <si>
    <t xml:space="preserve">GED 164</t>
  </si>
  <si>
    <t xml:space="preserve">ED1-GEOL</t>
  </si>
  <si>
    <t xml:space="preserve">Total T1-2</t>
  </si>
  <si>
    <t xml:space="preserve">Session, 3 (3:00 PM - 5:00 PM),</t>
  </si>
  <si>
    <t xml:space="preserve">MATH 152</t>
  </si>
  <si>
    <t xml:space="preserve">ED1-BME</t>
  </si>
  <si>
    <t xml:space="preserve">ED1-AE</t>
  </si>
  <si>
    <t xml:space="preserve">AERO 396</t>
  </si>
  <si>
    <t xml:space="preserve">ED3-AERO</t>
  </si>
  <si>
    <t xml:space="preserve">MSE 458</t>
  </si>
  <si>
    <t xml:space="preserve">ED4-MSE</t>
  </si>
  <si>
    <t xml:space="preserve">ED4-METE</t>
  </si>
  <si>
    <t xml:space="preserve">EE 188</t>
  </si>
  <si>
    <t xml:space="preserve">CE 262</t>
  </si>
  <si>
    <t xml:space="preserve">MSE 364</t>
  </si>
  <si>
    <t xml:space="preserve">ED3-MSE</t>
  </si>
  <si>
    <t xml:space="preserve">METE 358</t>
  </si>
  <si>
    <t xml:space="preserve">ED3-METE</t>
  </si>
  <si>
    <t xml:space="preserve">EE 462</t>
  </si>
  <si>
    <t xml:space="preserve">ED4-EE</t>
  </si>
  <si>
    <t xml:space="preserve">Total T1-3</t>
  </si>
  <si>
    <t xml:space="preserve">,Total T1-3</t>
  </si>
  <si>
    <t xml:space="preserve">Wednesday, 19 August 2026</t>
  </si>
  <si>
    <t xml:space="preserve">Wednesday, 12 April 2023,</t>
  </si>
  <si>
    <t xml:space="preserve">Session, 1 (8:30 AM - 10:30 AM),</t>
  </si>
  <si>
    <t xml:space="preserve">PL 252</t>
  </si>
  <si>
    <t xml:space="preserve">ME 264</t>
  </si>
  <si>
    <t xml:space="preserve">MME 264</t>
  </si>
  <si>
    <t xml:space="preserve">GED 352</t>
  </si>
  <si>
    <t xml:space="preserve">ED3-GEOL</t>
  </si>
  <si>
    <t xml:space="preserve">CE 468</t>
  </si>
  <si>
    <t xml:space="preserve">CE 364</t>
  </si>
  <si>
    <t xml:space="preserve">ED3-CE</t>
  </si>
  <si>
    <t xml:space="preserve">Total W1-1</t>
  </si>
  <si>
    <t xml:space="preserve">,Total W1-1</t>
  </si>
  <si>
    <t xml:space="preserve">ME 160</t>
  </si>
  <si>
    <t xml:space="preserve">ED1-ME</t>
  </si>
  <si>
    <t xml:space="preserve">ED1-AUTO</t>
  </si>
  <si>
    <t xml:space="preserve">PE 356</t>
  </si>
  <si>
    <t xml:space="preserve">MME 462</t>
  </si>
  <si>
    <t xml:space="preserve">AME 368</t>
  </si>
  <si>
    <t xml:space="preserve">TE 262</t>
  </si>
  <si>
    <t xml:space="preserve">Total W1-2</t>
  </si>
  <si>
    <t xml:space="preserve">,Total W1-2</t>
  </si>
  <si>
    <t xml:space="preserve">GE 262</t>
  </si>
  <si>
    <t xml:space="preserve">ED2-GEOM</t>
  </si>
  <si>
    <t xml:space="preserve">TE 256</t>
  </si>
  <si>
    <t xml:space="preserve">ED2-TEL</t>
  </si>
  <si>
    <t xml:space="preserve">CHEM 280</t>
  </si>
  <si>
    <t xml:space="preserve">ME 352</t>
  </si>
  <si>
    <t xml:space="preserve">COE 158</t>
  </si>
  <si>
    <t xml:space="preserve">GED 464</t>
  </si>
  <si>
    <t xml:space="preserve">ED4-GEOL</t>
  </si>
  <si>
    <t xml:space="preserve">Total W1-3</t>
  </si>
  <si>
    <t xml:space="preserve">,Total W1-3</t>
  </si>
  <si>
    <t xml:space="preserve">Thursday, 20 August 2026</t>
  </si>
  <si>
    <t xml:space="preserve">Thursday, 13 April 2023,</t>
  </si>
  <si>
    <t xml:space="preserve">CE 164</t>
  </si>
  <si>
    <t xml:space="preserve">ME 456</t>
  </si>
  <si>
    <t xml:space="preserve">EE 166</t>
  </si>
  <si>
    <t xml:space="preserve">PCE 158</t>
  </si>
  <si>
    <t xml:space="preserve">CHE 158</t>
  </si>
  <si>
    <t xml:space="preserve">TE 352</t>
  </si>
  <si>
    <t xml:space="preserve">PE 154</t>
  </si>
  <si>
    <t xml:space="preserve">ME 478</t>
  </si>
  <si>
    <t xml:space="preserve">ME 158</t>
  </si>
  <si>
    <t xml:space="preserve">ED1-AERO</t>
  </si>
  <si>
    <t xml:space="preserve">AERO 368</t>
  </si>
  <si>
    <t xml:space="preserve">GE 464</t>
  </si>
  <si>
    <t xml:space="preserve">ED4-GEOM</t>
  </si>
  <si>
    <t xml:space="preserve">Total H1-1</t>
  </si>
  <si>
    <t xml:space="preserve">,Total H1-1</t>
  </si>
  <si>
    <t xml:space="preserve">SOC 152</t>
  </si>
  <si>
    <t xml:space="preserve">COE 368</t>
  </si>
  <si>
    <t xml:space="preserve">CHE 350</t>
  </si>
  <si>
    <t xml:space="preserve">PSYC 154</t>
  </si>
  <si>
    <t xml:space="preserve">GE 152</t>
  </si>
  <si>
    <t xml:space="preserve">COE 288</t>
  </si>
  <si>
    <t xml:space="preserve">Total H1-2</t>
  </si>
  <si>
    <t xml:space="preserve">,Total H1-2</t>
  </si>
  <si>
    <t xml:space="preserve">CE 480</t>
  </si>
  <si>
    <t xml:space="preserve">PE 458</t>
  </si>
  <si>
    <t xml:space="preserve">MSE 354</t>
  </si>
  <si>
    <t xml:space="preserve">METE 362</t>
  </si>
  <si>
    <t xml:space="preserve">MSE 262</t>
  </si>
  <si>
    <t xml:space="preserve">ED2-MSE</t>
  </si>
  <si>
    <t xml:space="preserve">PE 366</t>
  </si>
  <si>
    <t xml:space="preserve">PE 252</t>
  </si>
  <si>
    <t xml:space="preserve">AE 452</t>
  </si>
  <si>
    <t xml:space="preserve">GED 452</t>
  </si>
  <si>
    <t xml:space="preserve">CE 258</t>
  </si>
  <si>
    <t xml:space="preserve">IE 456</t>
  </si>
  <si>
    <t xml:space="preserve">Friday, 21 August 2026</t>
  </si>
  <si>
    <t xml:space="preserve">Friday, 14 April 2023,</t>
  </si>
  <si>
    <t xml:space="preserve">GE 272</t>
  </si>
  <si>
    <t xml:space="preserve">AE 360</t>
  </si>
  <si>
    <t xml:space="preserve">GE 354</t>
  </si>
  <si>
    <t xml:space="preserve">GED 368</t>
  </si>
  <si>
    <t xml:space="preserve">MSE 456</t>
  </si>
  <si>
    <t xml:space="preserve">GED 252</t>
  </si>
  <si>
    <t xml:space="preserve">IE 296</t>
  </si>
  <si>
    <t xml:space="preserve">TE 464</t>
  </si>
  <si>
    <t xml:space="preserve">ED4-TEL</t>
  </si>
  <si>
    <t xml:space="preserve">MME 486</t>
  </si>
  <si>
    <t xml:space="preserve">IE 362</t>
  </si>
  <si>
    <t xml:space="preserve">MME 296</t>
  </si>
  <si>
    <t xml:space="preserve">Total F1-1</t>
  </si>
  <si>
    <t xml:space="preserve">,Total F1-1</t>
  </si>
  <si>
    <t xml:space="preserve">EE 380</t>
  </si>
  <si>
    <t xml:space="preserve">EE 152</t>
  </si>
  <si>
    <t xml:space="preserve">TE 254</t>
  </si>
  <si>
    <t xml:space="preserve">ME 282</t>
  </si>
  <si>
    <t xml:space="preserve">Total F1-2</t>
  </si>
  <si>
    <t xml:space="preserve">MME 392</t>
  </si>
  <si>
    <t xml:space="preserve">ME 392</t>
  </si>
  <si>
    <t xml:space="preserve">ME 292</t>
  </si>
  <si>
    <t xml:space="preserve">AME 392</t>
  </si>
  <si>
    <t xml:space="preserve">AE 162</t>
  </si>
  <si>
    <t xml:space="preserve">Monday, 24 August 2026</t>
  </si>
  <si>
    <t xml:space="preserve">Monday, 17 April 2023,</t>
  </si>
  <si>
    <t xml:space="preserve">FC 182</t>
  </si>
  <si>
    <t xml:space="preserve">GED 354</t>
  </si>
  <si>
    <t xml:space="preserve">GED 262</t>
  </si>
  <si>
    <t xml:space="preserve">Total M2-1</t>
  </si>
  <si>
    <t xml:space="preserve">,Total M2-1</t>
  </si>
  <si>
    <t xml:space="preserve">COE 472</t>
  </si>
  <si>
    <t xml:space="preserve">ED4-COE</t>
  </si>
  <si>
    <t xml:space="preserve">ED4-BME</t>
  </si>
  <si>
    <t xml:space="preserve">MSE 260</t>
  </si>
  <si>
    <t xml:space="preserve">ME 462</t>
  </si>
  <si>
    <t xml:space="preserve">PE 358</t>
  </si>
  <si>
    <t xml:space="preserve">METE 352</t>
  </si>
  <si>
    <t xml:space="preserve">AME 476</t>
  </si>
  <si>
    <t xml:space="preserve">PCE 352</t>
  </si>
  <si>
    <t xml:space="preserve">COE 358</t>
  </si>
  <si>
    <t xml:space="preserve">COE 152</t>
  </si>
  <si>
    <t xml:space="preserve">Total M2-2</t>
  </si>
  <si>
    <t xml:space="preserve">,Total M2-2</t>
  </si>
  <si>
    <t xml:space="preserve">PE 262</t>
  </si>
  <si>
    <t xml:space="preserve">PE 452</t>
  </si>
  <si>
    <t xml:space="preserve">IE 358</t>
  </si>
  <si>
    <t xml:space="preserve">ME 376</t>
  </si>
  <si>
    <t xml:space="preserve">EE 468</t>
  </si>
  <si>
    <t xml:space="preserve">ME 164</t>
  </si>
  <si>
    <t xml:space="preserve">TE 458</t>
  </si>
  <si>
    <t xml:space="preserve">CE 478</t>
  </si>
  <si>
    <t xml:space="preserve">MSE 356</t>
  </si>
  <si>
    <t xml:space="preserve">Total M2-3</t>
  </si>
  <si>
    <t xml:space="preserve">,Total M2-3</t>
  </si>
  <si>
    <t xml:space="preserve">Tuesday, 25 August 2026</t>
  </si>
  <si>
    <t xml:space="preserve">Tuesday, 18 April 2023,</t>
  </si>
  <si>
    <t xml:space="preserve">ENGL 264</t>
  </si>
  <si>
    <t xml:space="preserve">AERO 362</t>
  </si>
  <si>
    <t xml:space="preserve">CE 264</t>
  </si>
  <si>
    <t xml:space="preserve">AME 384</t>
  </si>
  <si>
    <t xml:space="preserve">CHE 466</t>
  </si>
  <si>
    <t xml:space="preserve">MATH 252</t>
  </si>
  <si>
    <t xml:space="preserve">Total T2-1</t>
  </si>
  <si>
    <t xml:space="preserve">,Total T2-1</t>
  </si>
  <si>
    <t xml:space="preserve">GE 472</t>
  </si>
  <si>
    <t xml:space="preserve">PE 352</t>
  </si>
  <si>
    <t xml:space="preserve">EE 366</t>
  </si>
  <si>
    <t xml:space="preserve">Total T2-2</t>
  </si>
  <si>
    <t xml:space="preserve">,Total T2-2</t>
  </si>
  <si>
    <t xml:space="preserve">MSE 452</t>
  </si>
  <si>
    <t xml:space="preserve">METE 454</t>
  </si>
  <si>
    <t xml:space="preserve">CE 356</t>
  </si>
  <si>
    <t xml:space="preserve">MME 494</t>
  </si>
  <si>
    <t xml:space="preserve">ME 494</t>
  </si>
  <si>
    <t xml:space="preserve">MSE 152</t>
  </si>
  <si>
    <t xml:space="preserve">METE 152</t>
  </si>
  <si>
    <t xml:space="preserve">CHE 370</t>
  </si>
  <si>
    <t xml:space="preserve">CHE 252</t>
  </si>
  <si>
    <t xml:space="preserve">Total T2-3</t>
  </si>
  <si>
    <t xml:space="preserve">,Total T2-3</t>
  </si>
  <si>
    <t xml:space="preserve">Wednesday, 26 August 2026</t>
  </si>
  <si>
    <t xml:space="preserve">Wednesday, 19 April 2023,</t>
  </si>
  <si>
    <t xml:space="preserve">CHE 156</t>
  </si>
  <si>
    <t xml:space="preserve">AE 356</t>
  </si>
  <si>
    <t xml:space="preserve">MME 382</t>
  </si>
  <si>
    <t xml:space="preserve">EE 258</t>
  </si>
  <si>
    <t xml:space="preserve">TE 472</t>
  </si>
  <si>
    <t xml:space="preserve">EE 472</t>
  </si>
  <si>
    <t xml:space="preserve">TE 372</t>
  </si>
  <si>
    <t xml:space="preserve">GE 362</t>
  </si>
  <si>
    <t xml:space="preserve">ME 370</t>
  </si>
  <si>
    <t xml:space="preserve">Total W2-1</t>
  </si>
  <si>
    <t xml:space="preserve">,Total W2-1</t>
  </si>
  <si>
    <t xml:space="preserve">PHY 154</t>
  </si>
  <si>
    <t xml:space="preserve">AE 158</t>
  </si>
  <si>
    <t xml:space="preserve">CHE 358</t>
  </si>
  <si>
    <t xml:space="preserve">AME 356</t>
  </si>
  <si>
    <t xml:space="preserve">GED 454</t>
  </si>
  <si>
    <t xml:space="preserve">COE 356</t>
  </si>
  <si>
    <t xml:space="preserve">CHE 464</t>
  </si>
  <si>
    <t xml:space="preserve">BME 454</t>
  </si>
  <si>
    <t xml:space="preserve">MSE 362</t>
  </si>
  <si>
    <t xml:space="preserve">Total W2-2</t>
  </si>
  <si>
    <t xml:space="preserve">,Total W2-2</t>
  </si>
  <si>
    <t xml:space="preserve">PE 450</t>
  </si>
  <si>
    <t xml:space="preserve">AE 460</t>
  </si>
  <si>
    <t xml:space="preserve">TE 452</t>
  </si>
  <si>
    <t xml:space="preserve">ME 472</t>
  </si>
  <si>
    <t xml:space="preserve">CE 452</t>
  </si>
  <si>
    <t xml:space="preserve">EE 158</t>
  </si>
  <si>
    <t xml:space="preserve">BME 364</t>
  </si>
  <si>
    <t xml:space="preserve">Total W2-3</t>
  </si>
  <si>
    <t xml:space="preserve">,Total W2-3</t>
  </si>
  <si>
    <t xml:space="preserve">Thursday, 27 August 2025</t>
  </si>
  <si>
    <t xml:space="preserve">Thursday, 20 April 2023,</t>
  </si>
  <si>
    <t xml:space="preserve">GED 370</t>
  </si>
  <si>
    <t xml:space="preserve">CE 360</t>
  </si>
  <si>
    <t xml:space="preserve">ME 270</t>
  </si>
  <si>
    <t xml:space="preserve">CHE 250</t>
  </si>
  <si>
    <t xml:space="preserve">TE 354</t>
  </si>
  <si>
    <t xml:space="preserve">IE 366</t>
  </si>
  <si>
    <t xml:space="preserve">GE 476</t>
  </si>
  <si>
    <t xml:space="preserve">Total H2-1</t>
  </si>
  <si>
    <t xml:space="preserve">,Total H2-1</t>
  </si>
  <si>
    <t xml:space="preserve">ME 262</t>
  </si>
  <si>
    <t xml:space="preserve">CHE 458</t>
  </si>
  <si>
    <t xml:space="preserve">CE 476</t>
  </si>
  <si>
    <t xml:space="preserve">ME 366</t>
  </si>
  <si>
    <t xml:space="preserve">COE 458</t>
  </si>
  <si>
    <t xml:space="preserve">PE 364</t>
  </si>
  <si>
    <t xml:space="preserve">Total H2-2</t>
  </si>
  <si>
    <t xml:space="preserve">,Total H2-2</t>
  </si>
  <si>
    <t xml:space="preserve">TE 258</t>
  </si>
  <si>
    <t xml:space="preserve">EE 466</t>
  </si>
  <si>
    <t xml:space="preserve">GED 152</t>
  </si>
  <si>
    <t xml:space="preserve">GED 162</t>
  </si>
  <si>
    <t xml:space="preserve">AERO 256</t>
  </si>
  <si>
    <t xml:space="preserve">PE 472</t>
  </si>
  <si>
    <t xml:space="preserve">GED 462</t>
  </si>
  <si>
    <t xml:space="preserve">PE 264</t>
  </si>
  <si>
    <t xml:space="preserve">Total H2-3</t>
  </si>
  <si>
    <t xml:space="preserve">,Total H2-3</t>
  </si>
  <si>
    <t xml:space="preserve">Friday, 28 August 2026</t>
  </si>
  <si>
    <t xml:space="preserve">Friday, 21 April 2023,</t>
  </si>
  <si>
    <t xml:space="preserve">ENGL 158</t>
  </si>
  <si>
    <t xml:space="preserve">EE 262</t>
  </si>
  <si>
    <t xml:space="preserve">MSE 252</t>
  </si>
  <si>
    <t xml:space="preserve">CE 260</t>
  </si>
  <si>
    <t xml:space="preserve">BME 366</t>
  </si>
  <si>
    <t xml:space="preserve">GED 258</t>
  </si>
  <si>
    <t xml:space="preserve">CHE 364</t>
  </si>
  <si>
    <t xml:space="preserve">Total F2-1</t>
  </si>
  <si>
    <t xml:space="preserve">Computer based</t>
  </si>
  <si>
    <t xml:space="preserve">ME 492</t>
  </si>
  <si>
    <t xml:space="preserve">PE 468</t>
  </si>
  <si>
    <t xml:space="preserve">Total F2-2</t>
  </si>
  <si>
    <t xml:space="preserve">,Total F2-2</t>
  </si>
  <si>
    <t xml:space="preserve">COE 272</t>
  </si>
  <si>
    <t xml:space="preserve">CE 368</t>
  </si>
  <si>
    <t xml:space="preserve">GED 366</t>
  </si>
  <si>
    <t xml:space="preserve">MME 356</t>
  </si>
  <si>
    <t xml:space="preserve">EE 360</t>
  </si>
  <si>
    <t xml:space="preserve">CHE 366</t>
  </si>
  <si>
    <t xml:space="preserve">MSE 360</t>
  </si>
  <si>
    <t xml:space="preserve">CE 458</t>
  </si>
  <si>
    <t xml:space="preserve">Total F2-3</t>
  </si>
  <si>
    <t xml:space="preserve">,Total F2-3</t>
  </si>
  <si>
    <t xml:space="preserve">Monday, 31  August 2026</t>
  </si>
  <si>
    <t xml:space="preserve">Monday, 24 April 2023,</t>
  </si>
  <si>
    <t xml:space="preserve">ME 356</t>
  </si>
  <si>
    <t xml:space="preserve">METE 354</t>
  </si>
  <si>
    <t xml:space="preserve">TE 374</t>
  </si>
  <si>
    <t xml:space="preserve">ME 162</t>
  </si>
  <si>
    <t xml:space="preserve">PETE 450</t>
  </si>
  <si>
    <t xml:space="preserve">ME 252</t>
  </si>
  <si>
    <t xml:space="preserve">Total M3-1</t>
  </si>
  <si>
    <t xml:space="preserve">,Total M3-1</t>
  </si>
  <si>
    <t xml:space="preserve">CHE 254</t>
  </si>
  <si>
    <t xml:space="preserve">PE 258</t>
  </si>
  <si>
    <t xml:space="preserve">GED 254</t>
  </si>
  <si>
    <t xml:space="preserve">CE 352</t>
  </si>
  <si>
    <t xml:space="preserve">TE 468</t>
  </si>
  <si>
    <t xml:space="preserve">IE 360</t>
  </si>
  <si>
    <t xml:space="preserve">METE 252</t>
  </si>
  <si>
    <t xml:space="preserve">CE 462</t>
  </si>
  <si>
    <t xml:space="preserve">Total M3-2</t>
  </si>
  <si>
    <t xml:space="preserve">ECON 152</t>
  </si>
  <si>
    <t xml:space="preserve">ME 468</t>
  </si>
  <si>
    <t xml:space="preserve">PE 354</t>
  </si>
  <si>
    <t xml:space="preserve">PE 474</t>
  </si>
  <si>
    <t xml:space="preserve">GED 466</t>
  </si>
  <si>
    <t xml:space="preserve">BME 462</t>
  </si>
  <si>
    <t xml:space="preserve">COE 382</t>
  </si>
  <si>
    <t xml:space="preserve">COE 372</t>
  </si>
  <si>
    <t xml:space="preserve">MSE 352</t>
  </si>
  <si>
    <t xml:space="preserve">CHE 470</t>
  </si>
  <si>
    <t xml:space="preserve">Total M3-3</t>
  </si>
  <si>
    <t xml:space="preserve">,Total M3-3</t>
  </si>
  <si>
    <t xml:space="preserve">Tuesday, 1 September 2026</t>
  </si>
  <si>
    <t xml:space="preserve">Tuesday, 25 April 2023,</t>
  </si>
  <si>
    <t xml:space="preserve">ME 266</t>
  </si>
  <si>
    <t xml:space="preserve">ME 166</t>
  </si>
  <si>
    <t xml:space="preserve">AME 156</t>
  </si>
  <si>
    <t xml:space="preserve">TE 152</t>
  </si>
  <si>
    <t xml:space="preserve">ACF 256</t>
  </si>
  <si>
    <t xml:space="preserve">Total T3-1</t>
  </si>
  <si>
    <t xml:space="preserve">,Total T3-1</t>
  </si>
  <si>
    <t xml:space="preserve">IE 458</t>
  </si>
  <si>
    <t xml:space="preserve">BME 362</t>
  </si>
  <si>
    <t xml:space="preserve">AE 482</t>
  </si>
  <si>
    <t xml:space="preserve">GE 158</t>
  </si>
  <si>
    <t xml:space="preserve">CHE 468</t>
  </si>
  <si>
    <t xml:space="preserve">COE 456</t>
  </si>
  <si>
    <t xml:space="preserve">AME 256</t>
  </si>
  <si>
    <t xml:space="preserve">TE 456</t>
  </si>
  <si>
    <t xml:space="preserve">Total T3-2</t>
  </si>
  <si>
    <t xml:space="preserve">AERO 374</t>
  </si>
  <si>
    <t xml:space="preserve">GED 364</t>
  </si>
  <si>
    <t xml:space="preserve">PE 476</t>
  </si>
  <si>
    <t xml:space="preserve">PE 256</t>
  </si>
  <si>
    <t xml:space="preserve">MME 386</t>
  </si>
  <si>
    <t xml:space="preserve">MSE 454</t>
  </si>
  <si>
    <t xml:space="preserve">METE 452</t>
  </si>
  <si>
    <t xml:space="preserve">AME 386</t>
  </si>
  <si>
    <t xml:space="preserve">IE 356</t>
  </si>
  <si>
    <t xml:space="preserve">GED 476</t>
  </si>
  <si>
    <t xml:space="preserve">AME 496</t>
  </si>
  <si>
    <t xml:space="preserve">EE 484</t>
  </si>
  <si>
    <t xml:space="preserve">PETE 354</t>
  </si>
  <si>
    <t xml:space="preserve">MME 476</t>
  </si>
  <si>
    <t xml:space="preserve">Total T3-3</t>
  </si>
  <si>
    <t xml:space="preserve">,Total T3-3</t>
  </si>
  <si>
    <t xml:space="preserve">Wednesday, 2 September 2026</t>
  </si>
  <si>
    <t xml:space="preserve">Wednesday, 26 April 2023,</t>
  </si>
  <si>
    <t xml:space="preserve">AE 196</t>
  </si>
  <si>
    <t xml:space="preserve">AE 352</t>
  </si>
  <si>
    <t xml:space="preserve">SES 172</t>
  </si>
  <si>
    <t xml:space="preserve">COE 480</t>
  </si>
  <si>
    <t xml:space="preserve">ME 452</t>
  </si>
  <si>
    <t xml:space="preserve">CE 272</t>
  </si>
  <si>
    <t xml:space="preserve">TE 252</t>
  </si>
  <si>
    <t xml:space="preserve">CE 156</t>
  </si>
  <si>
    <t xml:space="preserve">Total W3-1</t>
  </si>
  <si>
    <t xml:space="preserve">,Total W3-1</t>
  </si>
  <si>
    <t xml:space="preserve">TE 358</t>
  </si>
  <si>
    <t xml:space="preserve">TE 386</t>
  </si>
  <si>
    <t xml:space="preserve">ME 258</t>
  </si>
  <si>
    <t xml:space="preserve">PE 350</t>
  </si>
  <si>
    <t xml:space="preserve">MSE 254</t>
  </si>
  <si>
    <t xml:space="preserve">CE 456</t>
  </si>
  <si>
    <t xml:space="preserve">Total W3-2</t>
  </si>
  <si>
    <t xml:space="preserve">GE 474</t>
  </si>
  <si>
    <t xml:space="preserve">AERO 492</t>
  </si>
  <si>
    <t xml:space="preserve">EE 252</t>
  </si>
  <si>
    <t xml:space="preserve">EE 172</t>
  </si>
  <si>
    <t xml:space="preserve">GE 284</t>
  </si>
  <si>
    <t xml:space="preserve">CHE 354</t>
  </si>
  <si>
    <t xml:space="preserve">AE 464</t>
  </si>
  <si>
    <t xml:space="preserve">Total W3-3</t>
  </si>
  <si>
    <t xml:space="preserve">,Total W3-3</t>
  </si>
  <si>
    <t xml:space="preserve">Thursday, 3 September 2026</t>
  </si>
  <si>
    <t xml:space="preserve">Thursday, 27 April 2023,</t>
  </si>
  <si>
    <t xml:space="preserve">IE 354</t>
  </si>
  <si>
    <t xml:space="preserve">AERO 174</t>
  </si>
  <si>
    <t xml:space="preserve">IE 174</t>
  </si>
  <si>
    <t xml:space="preserve">MME 174</t>
  </si>
  <si>
    <t xml:space="preserve">ME 174</t>
  </si>
  <si>
    <t xml:space="preserve">METE 254</t>
  </si>
  <si>
    <t xml:space="preserve">PE 156</t>
  </si>
  <si>
    <t xml:space="preserve">GE 282</t>
  </si>
  <si>
    <t xml:space="preserve">Total H3-1</t>
  </si>
  <si>
    <t xml:space="preserve">,Total H3-1</t>
  </si>
  <si>
    <t xml:space="preserve">TE 158</t>
  </si>
  <si>
    <t xml:space="preserve">AME 252</t>
  </si>
  <si>
    <t xml:space="preserve">PE 260</t>
  </si>
  <si>
    <t xml:space="preserve">CE 376</t>
  </si>
  <si>
    <t xml:space="preserve">PCE 350</t>
  </si>
  <si>
    <t xml:space="preserve">GED 342</t>
  </si>
  <si>
    <t xml:space="preserve">AE 362</t>
  </si>
  <si>
    <t xml:space="preserve">MSE 358</t>
  </si>
  <si>
    <t xml:space="preserve">METE 154</t>
  </si>
  <si>
    <t xml:space="preserve">Total H3-2</t>
  </si>
  <si>
    <t xml:space="preserve">PE 456</t>
  </si>
  <si>
    <t xml:space="preserve">BME 374</t>
  </si>
  <si>
    <t xml:space="preserve">COE 486</t>
  </si>
  <si>
    <t xml:space="preserve">COE 454</t>
  </si>
  <si>
    <t xml:space="preserve">MME 492</t>
  </si>
  <si>
    <t xml:space="preserve">TE 454</t>
  </si>
  <si>
    <t xml:space="preserve">IE 454</t>
  </si>
  <si>
    <t xml:space="preserve">PE 362</t>
  </si>
  <si>
    <t xml:space="preserve">GED 468</t>
  </si>
  <si>
    <t xml:space="preserve">MSE 256</t>
  </si>
  <si>
    <t xml:space="preserve">Total H3-3</t>
  </si>
  <si>
    <t xml:space="preserve">,Total H3-3</t>
  </si>
  <si>
    <t xml:space="preserve">Friday, 4 September 2026</t>
  </si>
  <si>
    <t xml:space="preserve">Friday, 28 April 2023,</t>
  </si>
  <si>
    <t xml:space="preserve">CHE 352</t>
  </si>
  <si>
    <t xml:space="preserve">EE 368</t>
  </si>
  <si>
    <t xml:space="preserve">EE 288</t>
  </si>
  <si>
    <t xml:space="preserve">ME 362</t>
  </si>
  <si>
    <t xml:space="preserve">BME 166</t>
  </si>
  <si>
    <t xml:space="preserve">AME 362</t>
  </si>
  <si>
    <t xml:space="preserve">BME 286</t>
  </si>
  <si>
    <t xml:space="preserve">Total F3-1</t>
  </si>
  <si>
    <t xml:space="preserve">,Total F3-1</t>
  </si>
  <si>
    <t xml:space="preserve">CHE 456</t>
  </si>
  <si>
    <t xml:space="preserve">AERO 452</t>
  </si>
  <si>
    <t xml:space="preserve">VSLA/303/RMA/RMB/206/304</t>
  </si>
  <si>
    <t xml:space="preserve">45/30/22/22/22/20</t>
  </si>
  <si>
    <t xml:space="preserve">NEB-FF2/NEB-FF1</t>
  </si>
  <si>
    <t xml:space="preserve">25/40</t>
  </si>
  <si>
    <t xml:space="preserve">PB001/PB014/PB020/PB201/PB214/PB008/PB208/PB212</t>
  </si>
  <si>
    <t xml:space="preserve">36/36/36/36/36/30/30/22</t>
  </si>
  <si>
    <t xml:space="preserve">NEB-TF/NEB-SF</t>
  </si>
  <si>
    <t xml:space="preserve">131/131</t>
  </si>
  <si>
    <t xml:space="preserve">NAF1/A110</t>
  </si>
  <si>
    <t xml:space="preserve">46/30</t>
  </si>
  <si>
    <t xml:space="preserve">PB001/PB014/PB020/PB201/PB214/PB008/PB208/PB212/NEB-FF1/NEB-FF2</t>
  </si>
  <si>
    <t xml:space="preserve">38/38/38/38/38/28/28/25/45/25</t>
  </si>
  <si>
    <t xml:space="preserve">VSLA/303</t>
  </si>
  <si>
    <t xml:space="preserve">35/20</t>
  </si>
  <si>
    <t xml:space="preserve">NEB-FF1</t>
  </si>
  <si>
    <t xml:space="preserve">ME 296</t>
  </si>
  <si>
    <t xml:space="preserve">40/30/22/22/22/20</t>
  </si>
  <si>
    <t xml:space="preserve">RMA</t>
  </si>
  <si>
    <t xml:space="preserve">NEB-SF</t>
  </si>
  <si>
    <t xml:space="preserve">NEB-TF</t>
  </si>
  <si>
    <t xml:space="preserve">35/35/35/35/35/25/25/20</t>
  </si>
  <si>
    <t xml:space="preserve">NAF1/A110/EA/VCR/NEB-FF1</t>
  </si>
  <si>
    <t xml:space="preserve">40/30/30/25/25</t>
  </si>
  <si>
    <t xml:space="preserve">36/36/36/36/36/25/25/20</t>
  </si>
  <si>
    <t xml:space="preserve">COMPUTER BASED</t>
  </si>
  <si>
    <t xml:space="preserve">VSLA/303/206/RMA/RMB</t>
  </si>
  <si>
    <t xml:space="preserve">40/30/22/22/21</t>
  </si>
  <si>
    <t xml:space="preserve">NEB-FF1/NEB-FF2/NEB-SF/NEB-TF</t>
  </si>
  <si>
    <t xml:space="preserve">50/30/75/75</t>
  </si>
  <si>
    <t xml:space="preserve">PB001/PB014/PB020/PB201/PB214/PB008/PB208</t>
  </si>
  <si>
    <t xml:space="preserve">37/37/37/37/37/28/28</t>
  </si>
  <si>
    <t xml:space="preserve">PB001/PB014</t>
  </si>
  <si>
    <t xml:space="preserve">20/20</t>
  </si>
  <si>
    <t xml:space="preserve">PB020</t>
  </si>
  <si>
    <t xml:space="preserve">40/40</t>
  </si>
  <si>
    <t xml:space="preserve">NAF1/A110/EA/VCR</t>
  </si>
  <si>
    <t xml:space="preserve">40/30/30/22</t>
  </si>
  <si>
    <t xml:space="preserve">PB001/PB020/PB014</t>
  </si>
  <si>
    <t xml:space="preserve">34/34/34</t>
  </si>
  <si>
    <t xml:space="preserve">NAF1/EA</t>
  </si>
  <si>
    <t xml:space="preserve">PB201/PB214/PB008</t>
  </si>
  <si>
    <t xml:space="preserve">33/32/30</t>
  </si>
  <si>
    <t xml:space="preserve">VSLA/303/RMA/RMB</t>
  </si>
  <si>
    <t xml:space="preserve">35/25/15/15</t>
  </si>
  <si>
    <t xml:space="preserve">NAF1/EA/A110</t>
  </si>
  <si>
    <t xml:space="preserve">43/30/30</t>
  </si>
  <si>
    <t xml:space="preserve">42/30/22/21</t>
  </si>
  <si>
    <t xml:space="preserve">NEB-FF1/NEB-FF2</t>
  </si>
  <si>
    <t xml:space="preserve">50/26</t>
  </si>
  <si>
    <t xml:space="preserve">170/85</t>
  </si>
  <si>
    <t xml:space="preserve">VSLA/303/206</t>
  </si>
  <si>
    <t xml:space="preserve">38/25/20</t>
  </si>
  <si>
    <t xml:space="preserve">PB008/PB208</t>
  </si>
  <si>
    <t xml:space="preserve">23/23</t>
  </si>
  <si>
    <t xml:space="preserve">30/45</t>
  </si>
  <si>
    <t xml:space="preserve">EA/A110/NAF1</t>
  </si>
  <si>
    <t xml:space="preserve">30/30/40</t>
  </si>
  <si>
    <t xml:space="preserve">EA</t>
  </si>
  <si>
    <t xml:space="preserve">PB001/PB014/PB201/PB214</t>
  </si>
  <si>
    <t xml:space="preserve">35/35/35/35</t>
  </si>
  <si>
    <t xml:space="preserve">PB214/PB020</t>
  </si>
  <si>
    <t xml:space="preserve">31/30</t>
  </si>
  <si>
    <t xml:space="preserve">35/22</t>
  </si>
  <si>
    <t xml:space="preserve">35/35</t>
  </si>
  <si>
    <t xml:space="preserve">PB208/PB008</t>
  </si>
  <si>
    <t xml:space="preserve">25/25</t>
  </si>
  <si>
    <t xml:space="preserve">PB020/PB201</t>
  </si>
  <si>
    <t xml:space="preserve">35/34</t>
  </si>
  <si>
    <t xml:space="preserve">PB001/PB020/PB201/PB214</t>
  </si>
  <si>
    <t xml:space="preserve">34/34/34/34</t>
  </si>
  <si>
    <t xml:space="preserve">VSLA/304</t>
  </si>
  <si>
    <t xml:space="preserve">40/15</t>
  </si>
  <si>
    <t xml:space="preserve">PB001/PB014/PB020/PB201/PB214/PB008/PB208/PB212/NEB-TF</t>
  </si>
  <si>
    <t xml:space="preserve">36/36/36/36/36/30/30/25/30</t>
  </si>
  <si>
    <t xml:space="preserve">VSLA/303/206/RMA/RMB/304</t>
  </si>
  <si>
    <t xml:space="preserve">40/30/30</t>
  </si>
  <si>
    <t xml:space="preserve">NAF1/A110/EA</t>
  </si>
  <si>
    <t xml:space="preserve">36/24/23</t>
  </si>
  <si>
    <t xml:space="preserve">PB014/PB008/PB208</t>
  </si>
  <si>
    <t xml:space="preserve">35/25/25</t>
  </si>
  <si>
    <t xml:space="preserve">303/RMA/RMA/206</t>
  </si>
  <si>
    <t xml:space="preserve">25/21/21/20</t>
  </si>
  <si>
    <t xml:space="preserve">NEB-TF/NEB-SF/NEB-FF1</t>
  </si>
  <si>
    <t xml:space="preserve">78/77/50</t>
  </si>
  <si>
    <t xml:space="preserve">NAF1/EA/A110/VCR</t>
  </si>
  <si>
    <t xml:space="preserve">34/34/34/34/34/25/25/20</t>
  </si>
  <si>
    <t xml:space="preserve">35/25/20</t>
  </si>
  <si>
    <t xml:space="preserve">NEB-SF/NEB-FF1</t>
  </si>
  <si>
    <t xml:space="preserve">52/30</t>
  </si>
  <si>
    <t xml:space="preserve">NAF1</t>
  </si>
  <si>
    <t xml:space="preserve">PB001/PB014/PB020/PB201/PB214</t>
  </si>
  <si>
    <t xml:space="preserve">30/30/30/30/30</t>
  </si>
  <si>
    <t xml:space="preserve">NEB-TF/NEB-SF/NEB-FF1/NEB-FF2</t>
  </si>
  <si>
    <t xml:space="preserve">75/75/50/30</t>
  </si>
  <si>
    <t xml:space="preserve">40/28/20/20/20</t>
  </si>
  <si>
    <t xml:space="preserve">303/206</t>
  </si>
  <si>
    <t xml:space="preserve">25/21</t>
  </si>
  <si>
    <t xml:space="preserve">PB201/PB214</t>
  </si>
  <si>
    <t xml:space="preserve">75/75/50/25</t>
  </si>
  <si>
    <t xml:space="preserve">NEB-TF/NEB-FF1</t>
  </si>
  <si>
    <t xml:space="preserve">55/30</t>
  </si>
  <si>
    <t xml:space="preserve">NEB-SF/NEB-FF2</t>
  </si>
  <si>
    <t xml:space="preserve">60/23</t>
  </si>
  <si>
    <t xml:space="preserve">PB001/PB020/PB208</t>
  </si>
  <si>
    <t xml:space="preserve">30/30/20</t>
  </si>
  <si>
    <t xml:space="preserve">PB014</t>
  </si>
  <si>
    <t xml:space="preserve">VSLA</t>
  </si>
  <si>
    <t xml:space="preserve">35/35/35/35/35/28/28/25</t>
  </si>
  <si>
    <t xml:space="preserve">40/30/21/21/20</t>
  </si>
  <si>
    <t xml:space="preserve">35/35/35/35/35</t>
  </si>
  <si>
    <t xml:space="preserve">38/38/38/38/38/25/25/22</t>
  </si>
  <si>
    <t xml:space="preserve">40/25</t>
  </si>
  <si>
    <t xml:space="preserve">NEB-TF/NEB-SF/NEB-FF2</t>
  </si>
  <si>
    <t xml:space="preserve">70/70/20</t>
  </si>
  <si>
    <t xml:space="preserve">A110/NAF1</t>
  </si>
  <si>
    <t xml:space="preserve">30/40</t>
  </si>
  <si>
    <t xml:space="preserve">75/75/50/22</t>
  </si>
  <si>
    <t xml:space="preserve">41/30/30</t>
  </si>
  <si>
    <t xml:space="preserve">PB001/PB014/PB020/PB201/PB214/PB008/PB208/NEB-FF1/NEB-FF2</t>
  </si>
  <si>
    <t xml:space="preserve">35/35/35/35/35/25/25/45/25</t>
  </si>
  <si>
    <t xml:space="preserve">40/28/21/21/20</t>
  </si>
  <si>
    <t xml:space="preserve">15/25</t>
  </si>
  <si>
    <t xml:space="preserve">25/45</t>
  </si>
  <si>
    <t xml:space="preserve">PB020/PB008</t>
  </si>
  <si>
    <t xml:space="preserve">35/26</t>
  </si>
  <si>
    <t xml:space="preserve">VSLA/303/206/RMA</t>
  </si>
  <si>
    <t xml:space="preserve">35/22/18/18</t>
  </si>
  <si>
    <t xml:space="preserve">133/132</t>
  </si>
  <si>
    <t xml:space="preserve">VSLA/303/RMA/206</t>
  </si>
  <si>
    <t xml:space="preserve">40/25/20/20</t>
  </si>
  <si>
    <t xml:space="preserve">30/23</t>
  </si>
  <si>
    <t xml:space="preserve">40/30/20/20/20</t>
  </si>
  <si>
    <t xml:space="preserve">A110/EA/NAF1</t>
  </si>
  <si>
    <t xml:space="preserve">30/30/43</t>
  </si>
  <si>
    <t xml:space="preserve">50/30</t>
  </si>
  <si>
    <t xml:space="preserve">36/36/36/36/36/25/25/25</t>
  </si>
  <si>
    <t xml:space="preserve">PB208</t>
  </si>
  <si>
    <t xml:space="preserve">35/25/20/19</t>
  </si>
  <si>
    <t xml:space="preserve">PB001/PB014/PB008</t>
  </si>
  <si>
    <t xml:space="preserve">33/33/20</t>
  </si>
  <si>
    <t xml:space="preserve">PB201/PB214/PB208</t>
  </si>
  <si>
    <t xml:space="preserve">30/30/27</t>
  </si>
  <si>
    <t xml:space="preserve">40/17</t>
  </si>
  <si>
    <t xml:space="preserve">35/25/23</t>
  </si>
  <si>
    <t xml:space="preserve">45/25</t>
  </si>
  <si>
    <t xml:space="preserve">38/38/38/38/38/30/30</t>
  </si>
  <si>
    <t xml:space="preserve">PB001/PB014/PB020</t>
  </si>
  <si>
    <t xml:space="preserve">34/34/33</t>
  </si>
  <si>
    <t xml:space="preserve">PB201/PB214/PB020/PB008</t>
  </si>
  <si>
    <t xml:space="preserve">35/35/35/17</t>
  </si>
  <si>
    <t xml:space="preserve">A110/VCR/ECR</t>
  </si>
  <si>
    <t xml:space="preserve">60/50/44</t>
  </si>
  <si>
    <t xml:space="preserve">30/25</t>
  </si>
  <si>
    <t xml:space="preserve">30/30</t>
  </si>
  <si>
    <t xml:space="preserve">75/75</t>
  </si>
  <si>
    <t xml:space="preserve">70/20</t>
  </si>
  <si>
    <t xml:space="preserve">PB001/PB014/PB020/PB208</t>
  </si>
  <si>
    <t xml:space="preserve">35/35/35/23</t>
  </si>
  <si>
    <t xml:space="preserve">PB001/PB020</t>
  </si>
  <si>
    <t xml:space="preserve">123/122</t>
  </si>
  <si>
    <t xml:space="preserve">PB001/PB020/PB014/PB201/PB214/PB008/PB208</t>
  </si>
  <si>
    <t xml:space="preserve">40/35/35/35/35/30/30</t>
  </si>
  <si>
    <t xml:space="preserve">VSLA/LT/RMA/RMB/303/206/304</t>
  </si>
  <si>
    <t xml:space="preserve">40/22/22/22/30/20/20</t>
  </si>
  <si>
    <t xml:space="preserve">37/28/28</t>
  </si>
  <si>
    <t xml:space="preserve">40/20/20</t>
  </si>
  <si>
    <t xml:space="preserve">VSLA/LT/RMA/RMB/303/206</t>
  </si>
  <si>
    <t xml:space="preserve">40/22/22/22/30/20</t>
  </si>
  <si>
    <t xml:space="preserve">N2/N1</t>
  </si>
  <si>
    <t xml:space="preserve">303/LT/304/RMA</t>
  </si>
  <si>
    <t xml:space="preserve">20/20/20/16</t>
  </si>
  <si>
    <t xml:space="preserve">28/28/39</t>
  </si>
  <si>
    <t xml:space="preserve">40/28/27/25</t>
  </si>
  <si>
    <t xml:space="preserve">NEB-SF/NEB-TF/NEB-FF1/NEB-FF2/PB001/PB014/PB008</t>
  </si>
  <si>
    <t xml:space="preserve">75/75/40/25/30/30/20</t>
  </si>
  <si>
    <t xml:space="preserve">VSLA/303/LT/304/206/RMA/RMB/N1/N2</t>
  </si>
  <si>
    <t xml:space="preserve">42/30/25/21/21/21/21/21/20</t>
  </si>
  <si>
    <t xml:space="preserve">VSLA/206</t>
  </si>
  <si>
    <t xml:space="preserve">NEB-SF </t>
  </si>
  <si>
    <t xml:space="preserve">PB001/PB014/PB020/PB201/PB008</t>
  </si>
  <si>
    <t xml:space="preserve">36/36/36/36/26</t>
  </si>
  <si>
    <t xml:space="preserve">VSLA/LT/303</t>
  </si>
  <si>
    <t xml:space="preserve">40/25/25</t>
  </si>
  <si>
    <t xml:space="preserve">NEB-SF/NEB-TF</t>
  </si>
  <si>
    <t xml:space="preserve">80/80</t>
  </si>
  <si>
    <t xml:space="preserve">206/304</t>
  </si>
  <si>
    <t xml:space="preserve">22/21</t>
  </si>
  <si>
    <t xml:space="preserve">PB008/PB014/PB020/PB201/PB001</t>
  </si>
  <si>
    <t xml:space="preserve">22/32/32/32/32</t>
  </si>
  <si>
    <t xml:space="preserve">VCR </t>
  </si>
  <si>
    <t xml:space="preserve">35/25</t>
  </si>
  <si>
    <t xml:space="preserve">303/LT</t>
  </si>
  <si>
    <t xml:space="preserve">A110/VCR</t>
  </si>
  <si>
    <t xml:space="preserve">30/24</t>
  </si>
  <si>
    <t xml:space="preserve">A110/VCR/NAF1</t>
  </si>
  <si>
    <t xml:space="preserve">24/23/40</t>
  </si>
  <si>
    <t xml:space="preserve">148/147</t>
  </si>
  <si>
    <t xml:space="preserve">NAF1/A110/VCR</t>
  </si>
  <si>
    <t xml:space="preserve">40/25/18</t>
  </si>
  <si>
    <t xml:space="preserve">25/32</t>
  </si>
  <si>
    <t xml:space="preserve">LT </t>
  </si>
  <si>
    <t xml:space="preserve">34/34/34/34/24</t>
  </si>
  <si>
    <t xml:space="preserve">VSLA/RMA/303</t>
  </si>
  <si>
    <t xml:space="preserve">40/20/25</t>
  </si>
  <si>
    <t xml:space="preserve">VSLA/303/LT/RMA/RMB</t>
  </si>
  <si>
    <t xml:space="preserve">40/25/25/23/23</t>
  </si>
  <si>
    <t xml:space="preserve">42/27/26</t>
  </si>
  <si>
    <t xml:space="preserve">VSLA/LT/RMA/303</t>
  </si>
  <si>
    <t xml:space="preserve">40/20/20/19</t>
  </si>
  <si>
    <t xml:space="preserve">40/30</t>
  </si>
  <si>
    <t xml:space="preserve">30/30/41</t>
  </si>
  <si>
    <t xml:space="preserve">95/95</t>
  </si>
  <si>
    <t xml:space="preserve">45/30/25/20/18</t>
  </si>
  <si>
    <t xml:space="preserve">PB001/PB014/PB020/PB201/PB214/PB208</t>
  </si>
  <si>
    <t xml:space="preserve">40/40/40/40/40/25</t>
  </si>
  <si>
    <t xml:space="preserve">PB214/PB212/PB208</t>
  </si>
  <si>
    <t xml:space="preserve">35/25/27</t>
  </si>
  <si>
    <t xml:space="preserve">33/33/33/33/22</t>
  </si>
  <si>
    <t xml:space="preserve">VSLA/303/LT/RMA/RMB/304</t>
  </si>
  <si>
    <t xml:space="preserve">40/30/25/20/20/20</t>
  </si>
  <si>
    <t xml:space="preserve">NEB-SF/NEB-FF1/NEB-FF2</t>
  </si>
  <si>
    <t xml:space="preserve">70/40/22</t>
  </si>
  <si>
    <t xml:space="preserve">303/LT/VSLA</t>
  </si>
  <si>
    <t xml:space="preserve">20/20/40</t>
  </si>
  <si>
    <t xml:space="preserve">36/36/36/36/36/24/24/22</t>
  </si>
  <si>
    <t xml:space="preserve">38/38/38/38/38/25/25</t>
  </si>
  <si>
    <t xml:space="preserve">RMA/303 </t>
  </si>
  <si>
    <t xml:space="preserve">20/26</t>
  </si>
  <si>
    <t xml:space="preserve">PB020/PB014/PB008</t>
  </si>
  <si>
    <t xml:space="preserve">32/32/19</t>
  </si>
  <si>
    <t xml:space="preserve">40/23/22</t>
  </si>
  <si>
    <t xml:space="preserve">VSLA/LT </t>
  </si>
  <si>
    <t xml:space="preserve">35/21</t>
  </si>
  <si>
    <t xml:space="preserve">PB212/PB214/PB201/PB001</t>
  </si>
  <si>
    <t xml:space="preserve">25/35/35/35</t>
  </si>
  <si>
    <t xml:space="preserve">40/22/22/22/22</t>
  </si>
  <si>
    <t xml:space="preserve">PB001/PB014/PB020/PB008</t>
  </si>
  <si>
    <t xml:space="preserve">35/35/35/25</t>
  </si>
  <si>
    <t xml:space="preserve">25/35</t>
  </si>
  <si>
    <t xml:space="preserve">A110/EA</t>
  </si>
  <si>
    <t xml:space="preserve">28/27</t>
  </si>
  <si>
    <t xml:space="preserve">PB001/PB014/PB020/PB201/PB214/PB008</t>
  </si>
  <si>
    <t xml:space="preserve">40/40/40/40/40/30</t>
  </si>
  <si>
    <t xml:space="preserve">NEB-FF2</t>
  </si>
  <si>
    <t xml:space="preserve">45/30/25/18/17</t>
  </si>
  <si>
    <t xml:space="preserve">25/44</t>
  </si>
  <si>
    <t xml:space="preserve">50/25</t>
  </si>
  <si>
    <t xml:space="preserve">32/32/32/32/32</t>
  </si>
  <si>
    <t xml:space="preserve">120/120</t>
  </si>
  <si>
    <t xml:space="preserve">VSLA/303/LT/304</t>
  </si>
  <si>
    <t xml:space="preserve">45/30/25/20</t>
  </si>
  <si>
    <t xml:space="preserve">170/170</t>
  </si>
  <si>
    <t xml:space="preserve">NEB-FF1/NEB-FF2/NAF1/A110</t>
  </si>
  <si>
    <t xml:space="preserve">50/30/38/20</t>
  </si>
  <si>
    <t xml:space="preserve">PB214</t>
  </si>
  <si>
    <t xml:space="preserve">PB001/PB014/PB020/PB201</t>
  </si>
  <si>
    <t xml:space="preserve">38/38/38/39/39/30</t>
  </si>
  <si>
    <t xml:space="preserve">68/68</t>
  </si>
  <si>
    <t xml:space="preserve">64/64</t>
  </si>
  <si>
    <t xml:space="preserve">PB208/PB214 </t>
  </si>
  <si>
    <t xml:space="preserve">20/33</t>
  </si>
  <si>
    <t xml:space="preserve">45/30/30</t>
  </si>
  <si>
    <t xml:space="preserve">30/20/45</t>
  </si>
  <si>
    <t xml:space="preserve">38/38/38/38/38/25/25/25</t>
  </si>
  <si>
    <t xml:space="preserve">VSLA/303/LT</t>
  </si>
  <si>
    <t xml:space="preserve">PB014/PB020/PB008</t>
  </si>
  <si>
    <t xml:space="preserve">33/33/21</t>
  </si>
  <si>
    <t xml:space="preserve">24/24/37</t>
  </si>
  <si>
    <t xml:space="preserve">303/LT/RMA/VSLA</t>
  </si>
  <si>
    <t xml:space="preserve">25/20/15/39</t>
  </si>
  <si>
    <t xml:space="preserve">VSLA/303/LT/RMA</t>
  </si>
  <si>
    <t xml:space="preserve">38/25/20/20</t>
  </si>
  <si>
    <t xml:space="preserve">34/20</t>
  </si>
  <si>
    <t xml:space="preserve">22/30</t>
  </si>
  <si>
    <t xml:space="preserve">30/30/33</t>
  </si>
  <si>
    <t xml:space="preserve">31/31/25</t>
  </si>
  <si>
    <t xml:space="preserve">NEB-FF1/NEB-FF2/NAF1</t>
  </si>
  <si>
    <t xml:space="preserve">50/30/42</t>
  </si>
  <si>
    <t xml:space="preserve">303/LT/RMA/RMB/304/VSLA</t>
  </si>
  <si>
    <t xml:space="preserve">26/22/22/22/22/40</t>
  </si>
  <si>
    <t xml:space="preserve">36/36/36/36/36/25/25</t>
  </si>
  <si>
    <t xml:space="preserve">PB020 </t>
  </si>
  <si>
    <t xml:space="preserve">32/25/25</t>
  </si>
  <si>
    <t xml:space="preserve">45/30/25/21/21/20</t>
  </si>
  <si>
    <t xml:space="preserve">PB201/PB214/PB014</t>
  </si>
  <si>
    <t xml:space="preserve">38/38/38</t>
  </si>
  <si>
    <t xml:space="preserve">303/LT/RMA/RMB/VSLA</t>
  </si>
  <si>
    <t xml:space="preserve">21/21/21/21/31</t>
  </si>
  <si>
    <t xml:space="preserve">35/35/33/33/33/27/26</t>
  </si>
  <si>
    <t xml:space="preserve">110/65</t>
  </si>
  <si>
    <t xml:space="preserve">35/35/35/35/25</t>
  </si>
  <si>
    <t xml:space="preserve">VCR/EA/A110/NAF1</t>
  </si>
  <si>
    <t xml:space="preserve">25/30/30/40</t>
  </si>
  <si>
    <t xml:space="preserve">45/30</t>
  </si>
  <si>
    <t xml:space="preserve">40/25/20</t>
  </si>
  <si>
    <t xml:space="preserve">LT/303/VSLA</t>
  </si>
  <si>
    <t xml:space="preserve">21/22/40</t>
  </si>
  <si>
    <t xml:space="preserve">20/37</t>
  </si>
  <si>
    <t xml:space="preserve">30/30/30/30/20</t>
  </si>
  <si>
    <t xml:space="preserve">44/26/25</t>
  </si>
  <si>
    <t xml:space="preserve">37/37/37/37/37/23/22/20</t>
  </si>
  <si>
    <t xml:space="preserve">37/30/25/20/20</t>
  </si>
  <si>
    <t xml:space="preserve">NEB-FF1/NEB-FF2/NAF1/EA</t>
  </si>
  <si>
    <t xml:space="preserve">45/30/45/30</t>
  </si>
  <si>
    <t xml:space="preserve">PB001/PB014/PB020/PB008/NEB-FF1</t>
  </si>
  <si>
    <t xml:space="preserve">30/30/30/20/45</t>
  </si>
  <si>
    <t xml:space="preserve">25/20</t>
  </si>
  <si>
    <t xml:space="preserve">NEB-SF/NEB-TF/NEB-FF1 </t>
  </si>
  <si>
    <t xml:space="preserve">VSLA/303/LT/206/304</t>
  </si>
  <si>
    <t xml:space="preserve">40/30/25/20/19</t>
  </si>
  <si>
    <t xml:space="preserve">PB014/PB020 </t>
  </si>
  <si>
    <t xml:space="preserve">25/25/37</t>
  </si>
  <si>
    <t xml:space="preserve">303/LT/206/304/VSLA</t>
  </si>
  <si>
    <t xml:space="preserve">26/22/24/24/42</t>
  </si>
  <si>
    <t xml:space="preserve">30/50</t>
  </si>
  <si>
    <t xml:space="preserve">VSLA/303/LT/304/206/RMA</t>
  </si>
  <si>
    <t xml:space="preserve">40/30/22/20/21/21</t>
  </si>
  <si>
    <t xml:space="preserve">95/90</t>
  </si>
  <si>
    <t xml:space="preserve">76/76/45/25</t>
  </si>
  <si>
    <t xml:space="preserve">35/30/22</t>
  </si>
  <si>
    <t xml:space="preserve">40/20/20/20/20/20</t>
  </si>
  <si>
    <t xml:space="preserve">45/30/30/23</t>
  </si>
  <si>
    <t xml:space="preserve">60/60</t>
  </si>
  <si>
    <t xml:space="preserve">VSLA/LT/RMA</t>
  </si>
  <si>
    <t xml:space="preserve">45/20/20</t>
  </si>
  <si>
    <t xml:space="preserve">RMB/303</t>
  </si>
  <si>
    <t xml:space="preserve">23/30</t>
  </si>
  <si>
    <t xml:space="preserve">PB001/PB020/PB014/PB201/PB214/PB008/PB208/PB212</t>
  </si>
  <si>
    <t xml:space="preserve">35/35/35/35/35/25/20/20</t>
  </si>
  <si>
    <t xml:space="preserve">40/30/25</t>
  </si>
  <si>
    <t xml:space="preserve">40/22/22/22/24/20</t>
  </si>
  <si>
    <t xml:space="preserve">70/60</t>
  </si>
  <si>
    <t xml:space="preserve">VSLA/LT/RMA/RMB</t>
  </si>
  <si>
    <t xml:space="preserve">40/20/20/20</t>
  </si>
  <si>
    <t xml:space="preserve">35/35/35/35/30/20/20/20</t>
  </si>
  <si>
    <t xml:space="preserve">LT</t>
  </si>
  <si>
    <t xml:space="preserve">PB201</t>
  </si>
  <si>
    <t xml:space="preserve">PB001</t>
  </si>
  <si>
    <t xml:space="preserve">37/25/25</t>
  </si>
  <si>
    <t xml:space="preserve">36/36/36/36/36/30/30/25</t>
  </si>
  <si>
    <t xml:space="preserve">37/25/23</t>
  </si>
  <si>
    <t xml:space="preserve">80/80/50/30</t>
  </si>
  <si>
    <t xml:space="preserve">35/20/20/20/25/16</t>
  </si>
  <si>
    <t xml:space="preserve">25/25/35</t>
  </si>
  <si>
    <t xml:space="preserve">PB001/PB020/PB014/PB201/PB214/PB008/PB208/PB212/NEB-FF1</t>
  </si>
  <si>
    <t xml:space="preserve">40/40/40/40/30/30/30/25/20</t>
  </si>
  <si>
    <t xml:space="preserve">VSLA/303/206/LT/RMA</t>
  </si>
  <si>
    <t xml:space="preserve">PB008</t>
  </si>
  <si>
    <t xml:space="preserve">45/24</t>
  </si>
  <si>
    <t xml:space="preserve">35/35/35/35/35/25/25</t>
  </si>
  <si>
    <t xml:space="preserve">35/30/25</t>
  </si>
  <si>
    <t xml:space="preserve">30/30/23</t>
  </si>
  <si>
    <t xml:space="preserve">PB014/PB008</t>
  </si>
  <si>
    <t xml:space="preserve">40/21/21/21</t>
  </si>
  <si>
    <t xml:space="preserve">LT/RMA/RMB/VSLA</t>
  </si>
  <si>
    <t xml:space="preserve">21/21/21/40</t>
  </si>
  <si>
    <t xml:space="preserve">69/69</t>
  </si>
  <si>
    <t xml:space="preserve">36/20/20</t>
  </si>
  <si>
    <t xml:space="preserve">40/24/24/22/24/20</t>
  </si>
  <si>
    <t xml:space="preserve">RMB</t>
  </si>
  <si>
    <t xml:space="preserve">30/25/20</t>
  </si>
  <si>
    <t xml:space="preserve">40/16</t>
  </si>
  <si>
    <t xml:space="preserve">PB001/PB020/PB014/PB201/PB214/PB008</t>
  </si>
  <si>
    <t xml:space="preserve">40/35/35/35/35/25</t>
  </si>
  <si>
    <t xml:space="preserve">33/20</t>
  </si>
  <si>
    <t xml:space="preserve">41/20/20/20</t>
  </si>
  <si>
    <t xml:space="preserve">VSLA/RMA/RMB</t>
  </si>
  <si>
    <t xml:space="preserve">40/40/35/35/35/25/20/20</t>
  </si>
  <si>
    <t xml:space="preserve">88/87</t>
  </si>
  <si>
    <t xml:space="preserve">45/30/30/20</t>
  </si>
  <si>
    <t xml:space="preserve">VSLA/LT/RMA/RMB/303</t>
  </si>
  <si>
    <t xml:space="preserve">40/25/24/24/27</t>
  </si>
  <si>
    <t xml:space="preserve">35/35/35/35/30</t>
  </si>
  <si>
    <t xml:space="preserve">35/22/24/24/27</t>
  </si>
  <si>
    <t xml:space="preserve">PB001/PB020/PB014/PB201/PB214/PB008/PB208/PB212/NEB-TF</t>
  </si>
  <si>
    <t xml:space="preserve">40/40/40/40/40/30/30/25/55</t>
  </si>
  <si>
    <t xml:space="preserve">80/50/30</t>
  </si>
  <si>
    <t xml:space="preserve">43/25/25</t>
  </si>
  <si>
    <t xml:space="preserve">35/35/35/35/35/25/22</t>
  </si>
  <si>
    <t xml:space="preserve">35/25/24/24/27/20</t>
  </si>
  <si>
    <t xml:space="preserve">40/21/22/22</t>
  </si>
  <si>
    <t xml:space="preserve">28/27/40</t>
  </si>
  <si>
    <t xml:space="preserve">PB020/PB201/PB214/PB208</t>
  </si>
  <si>
    <t xml:space="preserve">32/32/32/18</t>
  </si>
  <si>
    <t xml:space="preserve">40/40/23</t>
  </si>
  <si>
    <t xml:space="preserve">30/20/20</t>
  </si>
  <si>
    <t xml:space="preserve">43/20/20</t>
  </si>
  <si>
    <t xml:space="preserve">26/20</t>
  </si>
  <si>
    <t xml:space="preserve">RMB/303/206</t>
  </si>
  <si>
    <t xml:space="preserve">20/20/16</t>
  </si>
  <si>
    <t xml:space="preserve">65/65</t>
  </si>
  <si>
    <t xml:space="preserve">40/25/24/24/27/14</t>
  </si>
  <si>
    <t xml:space="preserve">PB001/PB020/PB008</t>
  </si>
  <si>
    <t xml:space="preserve">35/35/17</t>
  </si>
  <si>
    <t xml:space="preserve">PB014/PB201/PB208</t>
  </si>
  <si>
    <t xml:space="preserve">30/30/25</t>
  </si>
  <si>
    <t xml:space="preserve">35/30/20</t>
  </si>
  <si>
    <t xml:space="preserve">VSLA/LT</t>
  </si>
  <si>
    <t xml:space="preserve">37/20</t>
  </si>
  <si>
    <t xml:space="preserve">PB014/PB208/PB214</t>
  </si>
  <si>
    <t xml:space="preserve">30/15/30</t>
  </si>
  <si>
    <t xml:space="preserve">303/RMA/RMB/206</t>
  </si>
  <si>
    <t xml:space="preserve">30/24/24/22</t>
  </si>
  <si>
    <t xml:space="preserve">30/29/40</t>
  </si>
  <si>
    <t xml:space="preserve">35/35/20</t>
  </si>
  <si>
    <t xml:space="preserve">VCR</t>
  </si>
  <si>
    <t xml:space="preserve">PB014/PB214</t>
  </si>
  <si>
    <t xml:space="preserve">38/31</t>
  </si>
  <si>
    <t xml:space="preserve">35/35/25</t>
  </si>
  <si>
    <t xml:space="preserve">VSLA/LT/RMA/RMB/206</t>
  </si>
  <si>
    <t xml:space="preserve">40/21/21/20/20</t>
  </si>
  <si>
    <t xml:space="preserve">30/35</t>
  </si>
  <si>
    <t xml:space="preserve">VSLA/LT/206/RMA/RMB</t>
  </si>
  <si>
    <t xml:space="preserve">40/21/22/22/20</t>
  </si>
  <si>
    <t xml:space="preserve">35/24/24/20</t>
  </si>
  <si>
    <t xml:space="preserve">VSLA/LT/RMA/206/RMB</t>
  </si>
  <si>
    <t xml:space="preserve">40/23/22/20/20</t>
  </si>
  <si>
    <t xml:space="preserve">40/23/22/21/22</t>
  </si>
  <si>
    <t xml:space="preserve">EA/A110/NAF1              </t>
  </si>
  <si>
    <t xml:space="preserve">20/20/30</t>
  </si>
  <si>
    <t xml:space="preserve">38/38/38/38/38/26/26/20</t>
  </si>
  <si>
    <t xml:space="preserve">PB001/PB020/PB014/PB201/PB214/PB008/PB208/PB212/NEB-FF2</t>
  </si>
  <si>
    <t xml:space="preserve">35/30/20/20</t>
  </si>
  <si>
    <t xml:space="preserve">303/RMA/RMB/304/VSLA</t>
  </si>
  <si>
    <t xml:space="preserve">25/20/20/20/35</t>
  </si>
  <si>
    <t xml:space="preserve">128/127</t>
  </si>
  <si>
    <t xml:space="preserve">VSLA/RMA/LT</t>
  </si>
  <si>
    <t xml:space="preserve">BYOD1/BYOD2</t>
  </si>
  <si>
    <t xml:space="preserve">BYOD2</t>
  </si>
  <si>
    <t xml:space="preserve">BYOD1</t>
  </si>
  <si>
    <t xml:space="preserve">VSLA/303/304/N1/N2</t>
  </si>
  <si>
    <t xml:space="preserve">303/N1</t>
  </si>
  <si>
    <t xml:space="preserve">PB008/PB212/PB208</t>
  </si>
  <si>
    <t xml:space="preserve">25/22/25</t>
  </si>
  <si>
    <t xml:space="preserve">51/50</t>
  </si>
  <si>
    <t xml:space="preserve">BYOD2/BYOD1</t>
  </si>
  <si>
    <t xml:space="preserve">D/E</t>
  </si>
  <si>
    <t xml:space="preserve">M1</t>
  </si>
  <si>
    <t xml:space="preserve">T1</t>
  </si>
  <si>
    <t xml:space="preserve">W1</t>
  </si>
  <si>
    <t xml:space="preserve">H1</t>
  </si>
  <si>
    <t xml:space="preserve">F1</t>
  </si>
  <si>
    <t xml:space="preserve">M2</t>
  </si>
  <si>
    <t xml:space="preserve">T2</t>
  </si>
  <si>
    <t xml:space="preserve">W2</t>
  </si>
  <si>
    <t xml:space="preserve">H2</t>
  </si>
  <si>
    <t xml:space="preserve">F2</t>
  </si>
  <si>
    <t xml:space="preserve">M3</t>
  </si>
  <si>
    <t xml:space="preserve">T3</t>
  </si>
  <si>
    <t xml:space="preserve">W3</t>
  </si>
  <si>
    <t xml:space="preserve">H3</t>
  </si>
  <si>
    <t xml:space="preserve">F3</t>
  </si>
  <si>
    <t xml:space="preserve">S1</t>
  </si>
  <si>
    <t xml:space="preserve">S2</t>
  </si>
  <si>
    <t xml:space="preserve">S3</t>
  </si>
  <si>
    <t xml:space="preserve">Course Name</t>
  </si>
  <si>
    <t xml:space="preserve">Name of Lecturer</t>
  </si>
  <si>
    <t xml:space="preserve">No. of Students</t>
  </si>
  <si>
    <t xml:space="preserve">Unnamed: 1</t>
  </si>
  <si>
    <t xml:space="preserve">Course Code</t>
  </si>
  <si>
    <t xml:space="preserve">INTRODUCTION TO INFORMATION TECHNOLOGY</t>
  </si>
  <si>
    <t xml:space="preserve">BASIC AGRICULTURE</t>
  </si>
  <si>
    <t xml:space="preserve">ENGINEERING WORKSHOP PRACTICE</t>
  </si>
  <si>
    <t xml:space="preserve">BASIC ELECTRONICS</t>
  </si>
  <si>
    <t xml:space="preserve">COMMUNICATION SKILLS II</t>
  </si>
  <si>
    <t xml:space="preserve">CALCULUS WITH ANALYSIS</t>
  </si>
  <si>
    <t xml:space="preserve">ENGINEERING DRAWING</t>
  </si>
  <si>
    <t xml:space="preserve">BASIC MECHANICS</t>
  </si>
  <si>
    <t xml:space="preserve">ELECTRICAL ENGINEERING MACHINES</t>
  </si>
  <si>
    <t xml:space="preserve">LITERATURE IN ENGLISH II</t>
  </si>
  <si>
    <t xml:space="preserve">PRINCIPLES OF SURVEYING</t>
  </si>
  <si>
    <t xml:space="preserve">CALCULUS WITH SEVERAL VARIABLES</t>
  </si>
  <si>
    <t xml:space="preserve">THEORY OF MACHINES</t>
  </si>
  <si>
    <t xml:space="preserve">MECHANICAL ENGINEERING MATERIALS II</t>
  </si>
  <si>
    <t xml:space="preserve">MECHANICAL ENGINEERING LAB. II</t>
  </si>
  <si>
    <t xml:space="preserve">SOIL MECHANICS APPLICATION TO MECHANISATION</t>
  </si>
  <si>
    <t xml:space="preserve">FARM POWER AND MACHINERY</t>
  </si>
  <si>
    <t xml:space="preserve">RENEWABLE ENERGY SYSTEMS AND MANAGEMENT</t>
  </si>
  <si>
    <t xml:space="preserve">RURAL ENGINEERING</t>
  </si>
  <si>
    <t xml:space="preserve">RESEARCH METHODS FOR ENGINEERS</t>
  </si>
  <si>
    <t xml:space="preserve">HEAT TRANSFER</t>
  </si>
  <si>
    <t xml:space="preserve">MACHINE DESIGN II</t>
  </si>
  <si>
    <t xml:space="preserve">INTRODUCTION TO CAD/CAM</t>
  </si>
  <si>
    <t xml:space="preserve">SOIL AND WATER ENGINEERING II</t>
  </si>
  <si>
    <t xml:space="preserve">CROP LOSSES AND THEIR CONTROL</t>
  </si>
  <si>
    <t xml:space="preserve">MAINTENANCE AND REPAIRS OF AGRIC. MACHINERY</t>
  </si>
  <si>
    <t xml:space="preserve">CROP STORAGE AND STORAGE STRUCTURES</t>
  </si>
  <si>
    <t xml:space="preserve">FARM MACHINERY DESIGN</t>
  </si>
  <si>
    <t xml:space="preserve">MANAGEMENT AND ENTREPRENEURSHIP DEVELOPMENT</t>
  </si>
  <si>
    <t xml:space="preserve">AEROSPACE DESIGN PROJECT I</t>
  </si>
  <si>
    <t xml:space="preserve">ENGINEERING GRAPHICS</t>
  </si>
  <si>
    <t xml:space="preserve">STATICS OF SOLID MECHANICS</t>
  </si>
  <si>
    <t xml:space="preserve">COMPUTER PROGRAMMING FOR ENGINEERS</t>
  </si>
  <si>
    <t xml:space="preserve">AEROSPACE STRUCTURES</t>
  </si>
  <si>
    <t xml:space="preserve">AEROSPACE DESIGN PROJECT II</t>
  </si>
  <si>
    <t xml:space="preserve">COMPUTER-AIDED DESIGN AND MODELLING</t>
  </si>
  <si>
    <t xml:space="preserve">MECHANISMS SYNTHESIS AND ANALYSIS I</t>
  </si>
  <si>
    <t xml:space="preserve">THERMODYNAMICS I</t>
  </si>
  <si>
    <t xml:space="preserve">AIR VEHICLE STABILITY AND CONTROL</t>
  </si>
  <si>
    <t xml:space="preserve">PROPULSION</t>
  </si>
  <si>
    <t xml:space="preserve">AIRCRAFT PERFORMANCE AND DESIGN</t>
  </si>
  <si>
    <t xml:space="preserve">AEROSPACE ENGINEERING LAB II</t>
  </si>
  <si>
    <t xml:space="preserve">VIBRATIONS I</t>
  </si>
  <si>
    <t xml:space="preserve">INDUSTRIAL ENGINEERING AND ERGONOMICS</t>
  </si>
  <si>
    <t xml:space="preserve">AERODYNAMICS II</t>
  </si>
  <si>
    <t xml:space="preserve">APPLIED METEOROLOGY</t>
  </si>
  <si>
    <t xml:space="preserve">AEROSPACE SAFETY AND AIR SECURITY</t>
  </si>
  <si>
    <t xml:space="preserve">INTRODUCTION TO FINITE ELEMENT</t>
  </si>
  <si>
    <t xml:space="preserve">MECHANISMS SYNTHESIS AND ANALYSIS II</t>
  </si>
  <si>
    <t xml:space="preserve">INTERNAL COMBUSTION ENGINES</t>
  </si>
  <si>
    <t xml:space="preserve">MACHINE SHOP AND FACTORY DESIGN</t>
  </si>
  <si>
    <t xml:space="preserve">PRODUCTION PLANNING AND CONTROL</t>
  </si>
  <si>
    <t xml:space="preserve">ME 474</t>
  </si>
  <si>
    <t xml:space="preserve">MANAGEMENT AND ENTREPRENEURSHIP DEVELOPM</t>
  </si>
  <si>
    <t xml:space="preserve">HUMAN FACTORS AND ERGONOMICS</t>
  </si>
  <si>
    <t xml:space="preserve">ME 496</t>
  </si>
  <si>
    <t xml:space="preserve">PRODUCT DESIGN AND MANUFACTURING</t>
  </si>
  <si>
    <t xml:space="preserve">Basic Thermodynamics </t>
  </si>
  <si>
    <t xml:space="preserve">DESIGN OF AUTO MACHINE ELEMENTS</t>
  </si>
  <si>
    <t xml:space="preserve">AUTOMOTIVE ELECTRICAL SYSTEMS AND ELECTRONICS</t>
  </si>
  <si>
    <t xml:space="preserve">AME 284</t>
  </si>
  <si>
    <t xml:space="preserve">AUTOMOBILE ENGINEERING LABORATORY II</t>
  </si>
  <si>
    <t xml:space="preserve">AME 296</t>
  </si>
  <si>
    <t xml:space="preserve">MICROPROCESSORS AND MECHATRONICS APPLICATIONS</t>
  </si>
  <si>
    <t xml:space="preserve">FLUID DYNAMICS I</t>
  </si>
  <si>
    <t xml:space="preserve">MANUFACTURING TECHNOLOGY</t>
  </si>
  <si>
    <t xml:space="preserve">LAND VEHICLE STRUCTURES</t>
  </si>
  <si>
    <t xml:space="preserve">VIBRATIONS FOR AUTOMOBILE ENGINEERS</t>
  </si>
  <si>
    <t xml:space="preserve">AUTOMOTIVE SPARK-IGNITION ENGINES</t>
  </si>
  <si>
    <t xml:space="preserve">AUTOMOTIVE CHASSIS</t>
  </si>
  <si>
    <t xml:space="preserve">MANUAL POWER TRAIN</t>
  </si>
  <si>
    <t xml:space="preserve">AUTOMOBILE ENGINEERING LABORATORY IV</t>
  </si>
  <si>
    <t xml:space="preserve">AME 396</t>
  </si>
  <si>
    <t xml:space="preserve">ME 384</t>
  </si>
  <si>
    <t xml:space="preserve">MODERN AUTOMOBILE TECHNOLOGY</t>
  </si>
  <si>
    <t xml:space="preserve">SPECIAL VEHICLE DESIGN</t>
  </si>
  <si>
    <t xml:space="preserve">VEHICLE MAINTENANCE AND REGULATION</t>
  </si>
  <si>
    <t xml:space="preserve">FINAL YEAR PROJECT II</t>
  </si>
  <si>
    <t xml:space="preserve">AME 498</t>
  </si>
  <si>
    <t xml:space="preserve">Applied Electricity</t>
  </si>
  <si>
    <t xml:space="preserve">COE 181</t>
  </si>
  <si>
    <t xml:space="preserve">PROPERTIES OF MATTER</t>
  </si>
  <si>
    <t xml:space="preserve">Basic Mechanics</t>
  </si>
  <si>
    <t xml:space="preserve">ME 161</t>
  </si>
  <si>
    <t xml:space="preserve">INTRODUCTION TO SOCIOLOGY II</t>
  </si>
  <si>
    <t xml:space="preserve">CELL BIOLOGY</t>
  </si>
  <si>
    <t xml:space="preserve">BME 161</t>
  </si>
  <si>
    <t xml:space="preserve">BIOCHEMISTRY</t>
  </si>
  <si>
    <t xml:space="preserve">SSN 166</t>
  </si>
  <si>
    <t xml:space="preserve">FINANCIAL ACCOUNTING II</t>
  </si>
  <si>
    <t xml:space="preserve">BIOMEDICAL ENGINEERING DESIGN II</t>
  </si>
  <si>
    <t xml:space="preserve">BME 252</t>
  </si>
  <si>
    <t xml:space="preserve">ANATOMY AND PHYSIOLOGY FOR ENGINEERS II</t>
  </si>
  <si>
    <t xml:space="preserve">CHEMICAL PATHOLOGY</t>
  </si>
  <si>
    <t xml:space="preserve">BME 288</t>
  </si>
  <si>
    <t xml:space="preserve">OBJECT-ORIENTED PROGRAMMING</t>
  </si>
  <si>
    <t xml:space="preserve">DIGITAL SYSTEMS DESIGN I</t>
  </si>
  <si>
    <t xml:space="preserve">ELEMENTS OF ECONOMICS II</t>
  </si>
  <si>
    <t xml:space="preserve">FRENCH FOR COMMUNICATION II</t>
  </si>
  <si>
    <t xml:space="preserve">BIOMATERIALS I</t>
  </si>
  <si>
    <t xml:space="preserve">MEDICAL IMAGING I</t>
  </si>
  <si>
    <t xml:space="preserve">BIOSIGNAL PROCESSES AND ANALYSIS</t>
  </si>
  <si>
    <t xml:space="preserve">BIOINSTRUMENTATION I</t>
  </si>
  <si>
    <t xml:space="preserve">BIOMEDICAL OPTICS</t>
  </si>
  <si>
    <t xml:space="preserve">EMBEDDED SYSTEMS</t>
  </si>
  <si>
    <t xml:space="preserve">MEDICAL DEVICE REGULATION</t>
  </si>
  <si>
    <t xml:space="preserve">BIOMECHANICS II</t>
  </si>
  <si>
    <t xml:space="preserve">DIGITAL SIGNAL PROCESSING</t>
  </si>
  <si>
    <t xml:space="preserve">ENTREPRENEURSHIP DEVELOPMENT</t>
  </si>
  <si>
    <t xml:space="preserve">INTRODUCTION TO LIGHTING AND ACOUSTICS</t>
  </si>
  <si>
    <t xml:space="preserve">PROPERTIES OF CIVIL ENGINEERING MATERIAL</t>
  </si>
  <si>
    <t xml:space="preserve">ELEMENTARY FLUIDS MECHANICS</t>
  </si>
  <si>
    <t xml:space="preserve">CIVIL ENGINEERING DRAWING</t>
  </si>
  <si>
    <t xml:space="preserve">INTRODUCTION TO ECONOMICS II</t>
  </si>
  <si>
    <t xml:space="preserve">FLUID MECHANICS</t>
  </si>
  <si>
    <t xml:space="preserve">STRUCTURAL ANALYSIS</t>
  </si>
  <si>
    <t xml:space="preserve">SOIL AND ROCK MECHANICS</t>
  </si>
  <si>
    <t xml:space="preserve">SOIL AND ROCKS MECHANICS LABORATORY</t>
  </si>
  <si>
    <t xml:space="preserve">INTRO TO ENVIRONMENTAL ENG.</t>
  </si>
  <si>
    <t xml:space="preserve">PRINCIPLE OF DESIGN</t>
  </si>
  <si>
    <t xml:space="preserve">LARGE SCALE SURVEYING</t>
  </si>
  <si>
    <t xml:space="preserve">STEEL AND TIMBER DESIGN</t>
  </si>
  <si>
    <t xml:space="preserve">HYDRAULIC ENGINEERING</t>
  </si>
  <si>
    <t xml:space="preserve">FOUNDATION ENGINEERING</t>
  </si>
  <si>
    <t xml:space="preserve">ENVIRONMENTAL QUALITY ENGINEERING</t>
  </si>
  <si>
    <t xml:space="preserve">HIGHWAY ENGINEERING</t>
  </si>
  <si>
    <t xml:space="preserve">QUANTITIES AND COST ESTIMATION IN CIVIL ENGINEERING</t>
  </si>
  <si>
    <t xml:space="preserve">INTEGRATED DESIGN</t>
  </si>
  <si>
    <t xml:space="preserve">CE 378</t>
  </si>
  <si>
    <t xml:space="preserve">ROAD DESIGN AND MATERIAL EVOLOUTION LABORATORY</t>
  </si>
  <si>
    <t xml:space="preserve">CE 390</t>
  </si>
  <si>
    <t xml:space="preserve">COMPUTER APPLICATIONS IN CIVIL ENGINEERING</t>
  </si>
  <si>
    <t xml:space="preserve">STRUCTURAL DYNAMICS</t>
  </si>
  <si>
    <t xml:space="preserve">WATER RESOURCES ENGINEERING II</t>
  </si>
  <si>
    <t xml:space="preserve">CONSTRUCTION MANAGEMENT</t>
  </si>
  <si>
    <t xml:space="preserve">ENVIRONMENTAL QUALITY ENGINEERING II</t>
  </si>
  <si>
    <t xml:space="preserve">TRANSPORTATION ENGINEERING</t>
  </si>
  <si>
    <t xml:space="preserve">SYSTEM ENGINEERING II</t>
  </si>
  <si>
    <t xml:space="preserve">GROUND ENGINEERING</t>
  </si>
  <si>
    <t xml:space="preserve">FINITE ELEMENT ANALYSIS</t>
  </si>
  <si>
    <t xml:space="preserve">PHYSICAL CHEMISTRY FOR ENGINEERS</t>
  </si>
  <si>
    <t xml:space="preserve">COMMUNICATION  SKILLS II</t>
  </si>
  <si>
    <t xml:space="preserve">GENERAL PHYSICS</t>
  </si>
  <si>
    <t xml:space="preserve">STRENGTH OF MATERIALS FOR CHEMICAL ENGINEERS</t>
  </si>
  <si>
    <t xml:space="preserve">CHEMICAL PROCESS CALCULATIONS II</t>
  </si>
  <si>
    <t xml:space="preserve">CHEMICAL ENGINEERING THERMODYNAMICS II</t>
  </si>
  <si>
    <t xml:space="preserve">HEAT TRANSPORT PROCESSES</t>
  </si>
  <si>
    <t xml:space="preserve">DRAWING FOR ENGINEERS</t>
  </si>
  <si>
    <t xml:space="preserve">PRACTICAL CHEMISTRY II</t>
  </si>
  <si>
    <t xml:space="preserve">CALCULUS OF SEVERAL VARIABLES</t>
  </si>
  <si>
    <t xml:space="preserve">MATERIALS SCIENCE</t>
  </si>
  <si>
    <t xml:space="preserve">CHEMICAL REACTION ENGINEERING</t>
  </si>
  <si>
    <t xml:space="preserve">SIMULTANEOUS HEAT/MASS TRANSFER</t>
  </si>
  <si>
    <t xml:space="preserve">NUMERICAL METHODS FOR CHEMICAL ENGINEERS</t>
  </si>
  <si>
    <t xml:space="preserve">SILICATE TECHNOLOGY II</t>
  </si>
  <si>
    <t xml:space="preserve">PACKAGING TECHNOLOGY</t>
  </si>
  <si>
    <t xml:space="preserve">FOOD PROCESSING TECHNOLOGY</t>
  </si>
  <si>
    <t xml:space="preserve">INTRODUCTORY ECONOMICS II</t>
  </si>
  <si>
    <t xml:space="preserve">PROCESS CONTROL AND SIMULATION</t>
  </si>
  <si>
    <t xml:space="preserve">ENTREPRENEURSHIP AND BUSINESS DEVELOPMENT</t>
  </si>
  <si>
    <t xml:space="preserve">PULP AND PAPER TECHNOLOGY</t>
  </si>
  <si>
    <t xml:space="preserve">ENVIRONMENTAL ENG. TECHNOLOGY</t>
  </si>
  <si>
    <t xml:space="preserve">PHARMACEUTICAL TECHNOLOGY</t>
  </si>
  <si>
    <t xml:space="preserve">REFINING PROCESSES TECHNOLOGY</t>
  </si>
  <si>
    <t xml:space="preserve">ELECTRICAL ENG. DRAWING</t>
  </si>
  <si>
    <t xml:space="preserve">ELECTRICAL MACHINES</t>
  </si>
  <si>
    <t xml:space="preserve">Digital System Design II    </t>
  </si>
  <si>
    <t xml:space="preserve">CIRCUIT THEORY</t>
  </si>
  <si>
    <t xml:space="preserve">COMPUTER ENGINEERING LAB II</t>
  </si>
  <si>
    <t xml:space="preserve">COE 292</t>
  </si>
  <si>
    <t xml:space="preserve">ELECTRICAL MEASUREMENT AND INSTRUMENTATION</t>
  </si>
  <si>
    <t xml:space="preserve">FRENCH FOR COMMUNICATION</t>
  </si>
  <si>
    <t xml:space="preserve">ELECTROMAGNETIC FIELDS</t>
  </si>
  <si>
    <t xml:space="preserve">OPERATING SYSTEMS</t>
  </si>
  <si>
    <t xml:space="preserve">INTRODUCTION TO SOFTWARE ENG.</t>
  </si>
  <si>
    <t xml:space="preserve">DATABASE AND INFORMATION RETRIEVAL</t>
  </si>
  <si>
    <t xml:space="preserve">DIGITAL SYSTEMS DESIGN II</t>
  </si>
  <si>
    <t xml:space="preserve">AUTOTRONIC LAB.</t>
  </si>
  <si>
    <t xml:space="preserve">COE 392</t>
  </si>
  <si>
    <t xml:space="preserve">SOFTWARE ENGINEERING</t>
  </si>
  <si>
    <t xml:space="preserve">SECURE NETWORK SYSTEMS</t>
  </si>
  <si>
    <t xml:space="preserve">ROBOTICS AND COMPUTER VISION</t>
  </si>
  <si>
    <t xml:space="preserve">FAULT DIAGNOSIS AND FAILURE TOLERANCE</t>
  </si>
  <si>
    <t xml:space="preserve">VLSI CIRCUIT DESIGN</t>
  </si>
  <si>
    <t xml:space="preserve">Digital Control Systems</t>
  </si>
  <si>
    <t xml:space="preserve">COE 482</t>
  </si>
  <si>
    <t xml:space="preserve">Intro to Python &amp; Computer Networking</t>
  </si>
  <si>
    <t xml:space="preserve">ELECTRICAL MEASUREMENTS &amp; INSTRUMENTATION</t>
  </si>
  <si>
    <t xml:space="preserve">APPLIED THERMODYNAMICS I</t>
  </si>
  <si>
    <t xml:space="preserve">SYNCHRONOUS MACHINES</t>
  </si>
  <si>
    <t xml:space="preserve">DIGITAL SYSTEMS</t>
  </si>
  <si>
    <t xml:space="preserve">ELECTRICAL MEASUREMENTS AND INSTRUMENTATION</t>
  </si>
  <si>
    <t xml:space="preserve">ELECTRICAL ENGINEERING LAB. II</t>
  </si>
  <si>
    <t xml:space="preserve">EE 292</t>
  </si>
  <si>
    <t xml:space="preserve">COE 382,ED3-EE</t>
  </si>
  <si>
    <t xml:space="preserve">DIGITAL COMPUTER DESIGN</t>
  </si>
  <si>
    <t xml:space="preserve">HIGH VOLTAGE ENGINEERING</t>
  </si>
  <si>
    <t xml:space="preserve">SUBSTATIONS AND TRANSMISSION LINE DESIGN</t>
  </si>
  <si>
    <t xml:space="preserve">POWER ELECTRONICS</t>
  </si>
  <si>
    <t xml:space="preserve">POWER SYSTEMS ANALYSIS</t>
  </si>
  <si>
    <t xml:space="preserve">DIGITAL CONTROL SYSTEMS</t>
  </si>
  <si>
    <t xml:space="preserve">ELECTRICAL ENGINEERING LAB. III</t>
  </si>
  <si>
    <t xml:space="preserve">EE 392</t>
  </si>
  <si>
    <t xml:space="preserve">ANTENNAS AND PROPAGATION</t>
  </si>
  <si>
    <t xml:space="preserve">SWITCHING ENGINEERING IN COMMUNICATION</t>
  </si>
  <si>
    <t xml:space="preserve">DIGITAL COMMUNICATION SYSTEMS</t>
  </si>
  <si>
    <t xml:space="preserve">INDUSTRIAL AUTOMATIC CONTROL</t>
  </si>
  <si>
    <t xml:space="preserve">COE 484</t>
  </si>
  <si>
    <t xml:space="preserve">INTRODUCTION TO VLSI</t>
  </si>
  <si>
    <t xml:space="preserve">ELECTRIC DRIVES</t>
  </si>
  <si>
    <t xml:space="preserve">POWER SYSTEMS PLANNING AND OPTIMIZATION</t>
  </si>
  <si>
    <t xml:space="preserve">POWER SYSTEMS PROTECTION</t>
  </si>
  <si>
    <t xml:space="preserve">ENTREPRENEURSHIP DEVELOPMENT AND MANAGEMENT</t>
  </si>
  <si>
    <t xml:space="preserve">PRINCIPLES OF ACCOUNTING II</t>
  </si>
  <si>
    <t xml:space="preserve">BASIC MINERAL SCIENCE</t>
  </si>
  <si>
    <t xml:space="preserve">COMPUTER APPLICATIONS</t>
  </si>
  <si>
    <t xml:space="preserve">STRATIGRAPHY</t>
  </si>
  <si>
    <t xml:space="preserve">ROCK ENGINEERING</t>
  </si>
  <si>
    <t xml:space="preserve">OPTICAL MINERALOGY</t>
  </si>
  <si>
    <t xml:space="preserve">INTRODUCTION TO SOIL MECHANICS</t>
  </si>
  <si>
    <t xml:space="preserve">ANALYSIS IV</t>
  </si>
  <si>
    <t xml:space="preserve">MINING PRINCIPLES AND SYSTEMS</t>
  </si>
  <si>
    <t xml:space="preserve">PRINCIPLES OF GEOLCHEMISTRY</t>
  </si>
  <si>
    <t xml:space="preserve">PRINCIPLES OF GEOLPHYSICS</t>
  </si>
  <si>
    <t xml:space="preserve">STRUCTURAL GEOLOGY</t>
  </si>
  <si>
    <t xml:space="preserve">MINERAL ECONOMICS AND EVALUATION</t>
  </si>
  <si>
    <t xml:space="preserve">GIS APPLICATIONS</t>
  </si>
  <si>
    <t xml:space="preserve">ADVANCED ENGINEERING GEOLLOGY</t>
  </si>
  <si>
    <t xml:space="preserve">ENVIRONMENTAL GEOLLOGY</t>
  </si>
  <si>
    <t xml:space="preserve">ECONOMIC GEOLLOGY</t>
  </si>
  <si>
    <t xml:space="preserve">ENGINEERING MANAGEMENT</t>
  </si>
  <si>
    <t xml:space="preserve">PETROLEUM GEOLOGY</t>
  </si>
  <si>
    <t xml:space="preserve">GEOSTATISTICS</t>
  </si>
  <si>
    <t xml:space="preserve">GROUNDWATER DEVELOPMENT</t>
  </si>
  <si>
    <t xml:space="preserve">REPRODUCTION CARTOGRAPHY</t>
  </si>
  <si>
    <t xml:space="preserve">PRINCIPLES OF REMOTE SENSING</t>
  </si>
  <si>
    <t xml:space="preserve">ENGINEERING SURVEY II</t>
  </si>
  <si>
    <t xml:space="preserve">HYDROGRAPHIC SURVEYING AND MARINE SCIENCE</t>
  </si>
  <si>
    <t xml:space="preserve"> HIGHWAY ENGINEERING</t>
  </si>
  <si>
    <t xml:space="preserve">ACCOUNTING II</t>
  </si>
  <si>
    <t xml:space="preserve">FRENCH FOR COMMUNICATION  II</t>
  </si>
  <si>
    <t xml:space="preserve">SATELLITE SURVEYING</t>
  </si>
  <si>
    <t xml:space="preserve">PRINCIPLES OF GIS</t>
  </si>
  <si>
    <t xml:space="preserve">ANALYSIS OF ERRORS</t>
  </si>
  <si>
    <t xml:space="preserve">PLANNING THE PHYSICAL ENVIRONMENT</t>
  </si>
  <si>
    <t xml:space="preserve">PL 251/2</t>
  </si>
  <si>
    <t xml:space="preserve">DATABASE SYSTEMS</t>
  </si>
  <si>
    <t xml:space="preserve">LAND LAW AND REGISTRATION</t>
  </si>
  <si>
    <t xml:space="preserve">PRINCIPLES OF VALUATION OF LAND AND BUILDING</t>
  </si>
  <si>
    <t xml:space="preserve">PROFESSIONAL STUDIES AND DEVELOPMENT</t>
  </si>
  <si>
    <t xml:space="preserve">FIRST YEAR DESIGN PROJECT</t>
  </si>
  <si>
    <t xml:space="preserve">ENGINEERING MECHANICS I:STATICS</t>
  </si>
  <si>
    <t xml:space="preserve">INDUSTRIAL ENGINEEGING LABORATORY II</t>
  </si>
  <si>
    <t xml:space="preserve">SECOND YEAR DESIGN PROJECT</t>
  </si>
  <si>
    <t xml:space="preserve">LOGISTICS AND SUPPLY CHAIN ENGINEERING</t>
  </si>
  <si>
    <t xml:space="preserve">RELIABILITY ENGINEERING</t>
  </si>
  <si>
    <t xml:space="preserve">COMPUTER-AIDED DESIGN AND MANUFACTURING</t>
  </si>
  <si>
    <t xml:space="preserve">QUALITY ASSURANCE</t>
  </si>
  <si>
    <t xml:space="preserve">INDUSTRIAL ENGINEERING LAB III</t>
  </si>
  <si>
    <t xml:space="preserve">ADVANCED MANUFACTURING TECHNOLOGY I</t>
  </si>
  <si>
    <t xml:space="preserve">OPERATIONS RESEARCH II</t>
  </si>
  <si>
    <t xml:space="preserve">AUTOMATION AND PRODUCTION SYSTEM</t>
  </si>
  <si>
    <t xml:space="preserve">SYSTEMS INTEGRATION</t>
  </si>
  <si>
    <t xml:space="preserve">ENTREPRENEURSHIP MANAGEMENT </t>
  </si>
  <si>
    <t xml:space="preserve">MAINTENANCE ENGINEERING</t>
  </si>
  <si>
    <t xml:space="preserve">MARINE ENGINEERING DESIGN PROJECT I</t>
  </si>
  <si>
    <t xml:space="preserve">MARINE MECHANISMS, SYSTHESIS AND ANALYSIS</t>
  </si>
  <si>
    <t xml:space="preserve">MARINE ENGINEERING DESIGN PROJECT II</t>
  </si>
  <si>
    <t xml:space="preserve">SEAMANSHIP</t>
  </si>
  <si>
    <t xml:space="preserve">MARINE ENGINEERING LABORATORY I</t>
  </si>
  <si>
    <t xml:space="preserve">AQUATIC STROKES DEVELOPMENT AND REFINEMENT</t>
  </si>
  <si>
    <t xml:space="preserve">FLUID DYNAMICS II</t>
  </si>
  <si>
    <t xml:space="preserve">STRENGTH OF MARINE MATERIALS II</t>
  </si>
  <si>
    <t xml:space="preserve">NAVAL ARCHITECTURE I</t>
  </si>
  <si>
    <t xml:space="preserve">MARINE ELECTRICAL TECHNOLOGY AND ELECTRICAL MEASUREMENTS</t>
  </si>
  <si>
    <t xml:space="preserve">MARINE INDUSTRIAL ENGINEERING AND ERGONOMICS</t>
  </si>
  <si>
    <t xml:space="preserve">MARINE ENGINEERING LABORATORY III</t>
  </si>
  <si>
    <t xml:space="preserve">MARINE CONTROL ENGINEERING AND AUTOMATION</t>
  </si>
  <si>
    <t xml:space="preserve">SHIP CONSTRUCTION</t>
  </si>
  <si>
    <t xml:space="preserve">NAVAL ARCHITECTURE II</t>
  </si>
  <si>
    <t xml:space="preserve">SHIP SAFETY, ENVIRONMENTAL PROTECTION AND SAFE WATCH KEEPING</t>
  </si>
  <si>
    <t xml:space="preserve">SHIP OPERATION, REGULATION AND MANAGEMENT</t>
  </si>
  <si>
    <t xml:space="preserve">MARINE MAINTENANCE ENGINEERING</t>
  </si>
  <si>
    <t xml:space="preserve">ENVIRONMENTAL SCIENCE</t>
  </si>
  <si>
    <t xml:space="preserve">KINETICS OF CHEMICAL REACTIONS</t>
  </si>
  <si>
    <t xml:space="preserve">OPTICAL AND THERMAL BEHAVIOUR OF MATERIALS</t>
  </si>
  <si>
    <t xml:space="preserve">HEAT AND MASS TRANSPORT</t>
  </si>
  <si>
    <t xml:space="preserve">MATERIALS PROCESSING</t>
  </si>
  <si>
    <t xml:space="preserve">PHYSICAL METALLURGY OF NON-FERROUS METALS</t>
  </si>
  <si>
    <t xml:space="preserve">MSE 258</t>
  </si>
  <si>
    <t xml:space="preserve">PHASE TRANSFORMATIONS</t>
  </si>
  <si>
    <t xml:space="preserve">COMPUTER PROGRAMMING AND APPLICATION</t>
  </si>
  <si>
    <t xml:space="preserve">GLASS AND CEMENT TECHNOLOGIES</t>
  </si>
  <si>
    <t xml:space="preserve">PHYSICAL METALLURGY OF FERROUS METALS</t>
  </si>
  <si>
    <t xml:space="preserve">ENGINEERING PROPERTIES OF POLYMERS</t>
  </si>
  <si>
    <t xml:space="preserve">NUMERICAL METHODS FOR ENGINEERS</t>
  </si>
  <si>
    <t xml:space="preserve">MECHANICS OF MATERIALS</t>
  </si>
  <si>
    <t xml:space="preserve">MATERIALS JOINING PROCESSES</t>
  </si>
  <si>
    <t xml:space="preserve">MATERIALS CHARACTERIZATION LABORATORY</t>
  </si>
  <si>
    <t xml:space="preserve">THIRD YEAR DESIGN PROJECT</t>
  </si>
  <si>
    <t xml:space="preserve">MSE 396</t>
  </si>
  <si>
    <t xml:space="preserve">WASTE MANAGEMENT</t>
  </si>
  <si>
    <t xml:space="preserve">SURFACE TREATMENT OF MATERIALS</t>
  </si>
  <si>
    <t xml:space="preserve">MATERIALS QUALITY CONTROL, ASSURRANCE AND SELECTION</t>
  </si>
  <si>
    <t xml:space="preserve">PROCESS DYNAMICS AND CONTROL</t>
  </si>
  <si>
    <t xml:space="preserve">ENGINEERING MECHANICS I: STATICS</t>
  </si>
  <si>
    <t xml:space="preserve">MACHINE DESIGN PROJECT</t>
  </si>
  <si>
    <t xml:space="preserve">FLUID DYNAMICS  II</t>
  </si>
  <si>
    <t xml:space="preserve">STRENGTH OF MATERIALS II</t>
  </si>
  <si>
    <t xml:space="preserve">MACHINE ELEMENTS DESIGN II</t>
  </si>
  <si>
    <t xml:space="preserve">MECHANICAL ENGINEERING LABORATORY IV</t>
  </si>
  <si>
    <t xml:space="preserve">ME 396</t>
  </si>
  <si>
    <t xml:space="preserve">FLUID MACHINERY</t>
  </si>
  <si>
    <t xml:space="preserve">INSTRUMENTATION</t>
  </si>
  <si>
    <t xml:space="preserve">ME 476</t>
  </si>
  <si>
    <t xml:space="preserve">PRODUCTION ENGINEERING II</t>
  </si>
  <si>
    <t xml:space="preserve">MECHANICAL ENGINEERING MATERIALS III</t>
  </si>
  <si>
    <t xml:space="preserve">CHEMISTRY FOR METALLURGICAL ENGINEERS</t>
  </si>
  <si>
    <t xml:space="preserve">BASIC GEOLOGY</t>
  </si>
  <si>
    <t xml:space="preserve">METALLURGICAL RATE PROCESSES/SURFACE PHENOMENA</t>
  </si>
  <si>
    <t xml:space="preserve">ORE BENEFICIATION</t>
  </si>
  <si>
    <t xml:space="preserve">ASSAYING</t>
  </si>
  <si>
    <t xml:space="preserve">COMPUTER PROGRAMMING AND APPLICATIONS</t>
  </si>
  <si>
    <t xml:space="preserve">METE 258</t>
  </si>
  <si>
    <t xml:space="preserve">HYDROMETALLURGICAL APPLICATIONS</t>
  </si>
  <si>
    <t xml:space="preserve">METE 356</t>
  </si>
  <si>
    <t xml:space="preserve">METALLURGICAL CHARACTERIZATION LABORATORY</t>
  </si>
  <si>
    <t xml:space="preserve">METE 356,ED3-METE</t>
  </si>
  <si>
    <t xml:space="preserve">ELECTROMETALLURGY</t>
  </si>
  <si>
    <t xml:space="preserve">METALLURGICAL WASTE MANAGEMENT</t>
  </si>
  <si>
    <t xml:space="preserve">PROCESS DYNANICS AND CONTROL</t>
  </si>
  <si>
    <t xml:space="preserve">RENEWABLE ENERGY RESOURCES</t>
  </si>
  <si>
    <t xml:space="preserve">ENVIRONMENTAL IMPACT ASSESSMENT</t>
  </si>
  <si>
    <t xml:space="preserve">KINETICS AND REACTIONS ENGINEERING</t>
  </si>
  <si>
    <t xml:space="preserve">SEPARATION PROCESSES II</t>
  </si>
  <si>
    <t xml:space="preserve">PETROCHEMICAL ENGINEERING LABORATORY II</t>
  </si>
  <si>
    <t xml:space="preserve">PETROLEUM PRODUCTION ENGINEERING</t>
  </si>
  <si>
    <t xml:space="preserve">NATURAL GAS ENGINEERING</t>
  </si>
  <si>
    <t xml:space="preserve">ADSORPTION SEPARATION PROCESS TECHNOLOGY</t>
  </si>
  <si>
    <t xml:space="preserve">PETROLEUM REFINING ENGINEERING</t>
  </si>
  <si>
    <t xml:space="preserve">ED1-PETE</t>
  </si>
  <si>
    <t xml:space="preserve">INTRODUCTION TO PETROLEUM ENGINEERING</t>
  </si>
  <si>
    <t xml:space="preserve">ED2-PETE</t>
  </si>
  <si>
    <t xml:space="preserve">REGIONAL GEOLOGY</t>
  </si>
  <si>
    <t xml:space="preserve">PETROLEUM ENGINEERING THERMODYNAMICS II</t>
  </si>
  <si>
    <t xml:space="preserve">RESERVOIR FLUID PROPERTIES</t>
  </si>
  <si>
    <t xml:space="preserve">COMPUTER PROGRAMMING IN OIL AND GAS</t>
  </si>
  <si>
    <t xml:space="preserve">PRINCIPLES OF LAND SURVEYING AND HYDROGRAPHIC SCIENCE</t>
  </si>
  <si>
    <t xml:space="preserve">NUMERICAL METHODS FOR PETROLEUM ENGINEERS</t>
  </si>
  <si>
    <t xml:space="preserve">ED3-PETE</t>
  </si>
  <si>
    <t xml:space="preserve">DRILLING ENGINEERING II</t>
  </si>
  <si>
    <t xml:space="preserve">PETROLEUM ENGINEERING LAB II</t>
  </si>
  <si>
    <t xml:space="preserve">PETROLEUM PRODUCTION ENGINEERING II</t>
  </si>
  <si>
    <t xml:space="preserve">WELL TESTING</t>
  </si>
  <si>
    <t xml:space="preserve">OIL &amp; GAS GEOLPHYSICS</t>
  </si>
  <si>
    <t xml:space="preserve">HEALTH SAFETY AND ENVIRONMENT</t>
  </si>
  <si>
    <t xml:space="preserve">RESERVOIR RECOVERY TECHNIQUES</t>
  </si>
  <si>
    <t xml:space="preserve">ED4-PETE</t>
  </si>
  <si>
    <t xml:space="preserve">PETROLEUM PROJECT EVALUATION</t>
  </si>
  <si>
    <t xml:space="preserve">WELL COMPLETION AND STIMULATION</t>
  </si>
  <si>
    <t xml:space="preserve">OILFIELD GEOLCHEMISTRY</t>
  </si>
  <si>
    <t xml:space="preserve">REFINING PROCESS TECHNOLOGY</t>
  </si>
  <si>
    <t xml:space="preserve">FUNDAMENTALS OF PETROLEUM LAW</t>
  </si>
  <si>
    <t xml:space="preserve">PETROLEUM BUSINESS: STRUCTURES, LOGISTICS</t>
  </si>
  <si>
    <t xml:space="preserve">NATURAL GAS ENGINEERING II</t>
  </si>
  <si>
    <t xml:space="preserve">PIPELINE ENGINEERING</t>
  </si>
  <si>
    <t xml:space="preserve">ENERGY AND CLIMATE CHANGE</t>
  </si>
  <si>
    <t xml:space="preserve">INTRODUCTION TO PSYCHOLOGY</t>
  </si>
  <si>
    <t xml:space="preserve">ENGINEERING RESEARCH AND TECHNICAL REPORT WRITING</t>
  </si>
  <si>
    <t xml:space="preserve">INTRODUCTION TO COMMUNICATION NETWORKS</t>
  </si>
  <si>
    <t xml:space="preserve">INTRODUCTION TO PROGRAMMING - I</t>
  </si>
  <si>
    <t xml:space="preserve">FUNDAMENTALS OF DATA SCIENCE</t>
  </si>
  <si>
    <t xml:space="preserve">ELECTROMAGNETIC FIELD THEORY</t>
  </si>
  <si>
    <t xml:space="preserve">COMMUNICATION CIRCUITS</t>
  </si>
  <si>
    <t xml:space="preserve">MICROPROCESSORS</t>
  </si>
  <si>
    <t xml:space="preserve">DIGITAL ELECTRONICS AND MICROPROCESSORS LAB</t>
  </si>
  <si>
    <t xml:space="preserve">TE 292</t>
  </si>
  <si>
    <t xml:space="preserve">TELECOMMUNICATION INFRASTRUCTURE</t>
  </si>
  <si>
    <t xml:space="preserve">ENGINEERING PROJECT DESIGN AND MANAGEMENT</t>
  </si>
  <si>
    <t xml:space="preserve">DATA COMMUNICATION PRINCIPLES</t>
  </si>
  <si>
    <t xml:space="preserve">Switching Engineering In Communication</t>
  </si>
  <si>
    <t xml:space="preserve">Digital Communication Systems</t>
  </si>
  <si>
    <t xml:space="preserve">COMMUNICATION SYSTEMS LAB </t>
  </si>
  <si>
    <t xml:space="preserve">TE 392</t>
  </si>
  <si>
    <t xml:space="preserve">TELECOMMUNICATION POLICY</t>
  </si>
  <si>
    <t xml:space="preserve">TE 462</t>
  </si>
  <si>
    <t xml:space="preserve">MOBILE AND SATELLITE COMMUNICATION SYSTEM</t>
  </si>
  <si>
    <t xml:space="preserve">MICROWAVE ENGINEERING</t>
  </si>
  <si>
    <t xml:space="preserve">TE 474</t>
  </si>
  <si>
    <t xml:space="preserve">NETWORK PLANNING</t>
  </si>
  <si>
    <t xml:space="preserve">TE 484</t>
  </si>
  <si>
    <t xml:space="preserve">Introduction to Financial Accounting II</t>
  </si>
  <si>
    <t xml:space="preserve">Yeboah Edward</t>
  </si>
  <si>
    <t xml:space="preserve">Introduction To Information Technology</t>
  </si>
  <si>
    <t xml:space="preserve">Bessah Enoch</t>
  </si>
  <si>
    <t xml:space="preserve">Basic Agriculture</t>
  </si>
  <si>
    <t xml:space="preserve">Engineering Workshop Practice</t>
  </si>
  <si>
    <t xml:space="preserve">Asante Eric Amoah</t>
  </si>
  <si>
    <t xml:space="preserve">Soil Mechanics Application To Mechanisation</t>
  </si>
  <si>
    <t xml:space="preserve">Agodzo Sampson Kwaku</t>
  </si>
  <si>
    <t xml:space="preserve">Farm Power And Machinery</t>
  </si>
  <si>
    <t xml:space="preserve">Aikins Stephen Hill Mends</t>
  </si>
  <si>
    <t xml:space="preserve">Renewable Energy Systems And Management</t>
  </si>
  <si>
    <t xml:space="preserve">Kemausuor Francis</t>
  </si>
  <si>
    <t xml:space="preserve">Rural Engineering</t>
  </si>
  <si>
    <t xml:space="preserve">Mensah Ebenezer</t>
  </si>
  <si>
    <t xml:space="preserve">Research Methods For Engineers</t>
  </si>
  <si>
    <t xml:space="preserve">Amponsah William</t>
  </si>
  <si>
    <t xml:space="preserve">Soil And Water Engineering II</t>
  </si>
  <si>
    <t xml:space="preserve">Agyare Wilson Agyei</t>
  </si>
  <si>
    <t xml:space="preserve">Crop Losses And Their Control</t>
  </si>
  <si>
    <t xml:space="preserve">Darko Joseph Ofei </t>
  </si>
  <si>
    <t xml:space="preserve">Maintenance And Repairs Of Agric. Machinery</t>
  </si>
  <si>
    <t xml:space="preserve">Bobobee Emmanuel Yaovi Hunnuor</t>
  </si>
  <si>
    <t xml:space="preserve">Crop Storage And Storage Structures</t>
  </si>
  <si>
    <t xml:space="preserve">Bart Plange Ato</t>
  </si>
  <si>
    <t xml:space="preserve">Farm Machinery Design</t>
  </si>
  <si>
    <t xml:space="preserve">Aveyire Joseph</t>
  </si>
  <si>
    <t xml:space="preserve">Aerospace Design Project I</t>
  </si>
  <si>
    <t xml:space="preserve">Afriyie Nyarko Frank Kwabena</t>
  </si>
  <si>
    <t xml:space="preserve">Aerospace Structures</t>
  </si>
  <si>
    <t xml:space="preserve">Agyei Agyemang Anthony</t>
  </si>
  <si>
    <t xml:space="preserve">Aerospace Design Project II</t>
  </si>
  <si>
    <t xml:space="preserve">Andoh Prince Yaw</t>
  </si>
  <si>
    <t xml:space="preserve">Air Vehicle Stability And Control</t>
  </si>
  <si>
    <t xml:space="preserve">Eunice Akyereko Adjei</t>
  </si>
  <si>
    <t xml:space="preserve">Propulsion</t>
  </si>
  <si>
    <t xml:space="preserve">Bofah Kwasi Kete</t>
  </si>
  <si>
    <t xml:space="preserve">Aircraft Performance And Design</t>
  </si>
  <si>
    <t xml:space="preserve">Aerospace Engineering Lab II</t>
  </si>
  <si>
    <t xml:space="preserve">Oppong David Kofi</t>
  </si>
  <si>
    <t xml:space="preserve">Aerodynamics II</t>
  </si>
  <si>
    <t xml:space="preserve">Applied Meteorology</t>
  </si>
  <si>
    <t xml:space="preserve">Prince Junior Asilevi</t>
  </si>
  <si>
    <t xml:space="preserve">Aerospace Safety And Air Security</t>
  </si>
  <si>
    <t xml:space="preserve">Oppong Tawiah Peter</t>
  </si>
  <si>
    <t xml:space="preserve">Design Of Auto Machine Elements</t>
  </si>
  <si>
    <t xml:space="preserve">AutomotIVe Electrical Systems And Electronics</t>
  </si>
  <si>
    <t xml:space="preserve">Ayetor Godwin Kafui Kwesi</t>
  </si>
  <si>
    <t xml:space="preserve">Automobile Engineering Laboratory II</t>
  </si>
  <si>
    <t xml:space="preserve">Land Vehicle Structures</t>
  </si>
  <si>
    <t xml:space="preserve">Vibrations For Automobile Engineers</t>
  </si>
  <si>
    <t xml:space="preserve">Adam Faisal Wahib</t>
  </si>
  <si>
    <t xml:space="preserve">Automotive Spark-Ignition Engines</t>
  </si>
  <si>
    <t xml:space="preserve">Abu Frimpong Solomon</t>
  </si>
  <si>
    <t xml:space="preserve">Automotive Chassis</t>
  </si>
  <si>
    <t xml:space="preserve">Manual Power Train</t>
  </si>
  <si>
    <t xml:space="preserve">Industrial Engineering And Ergonomics</t>
  </si>
  <si>
    <t xml:space="preserve">Mensah Lena Dzifa</t>
  </si>
  <si>
    <t xml:space="preserve">Automobile Engineering Laboratory IV</t>
  </si>
  <si>
    <t xml:space="preserve">Microprocessors and Mechatronics Applications</t>
  </si>
  <si>
    <t xml:space="preserve">Sackey Samuel Mensah</t>
  </si>
  <si>
    <t xml:space="preserve">Modern Automobile Technology</t>
  </si>
  <si>
    <t xml:space="preserve">Special Vehicle Design</t>
  </si>
  <si>
    <t xml:space="preserve">Vehicle Maintenance And Regulation</t>
  </si>
  <si>
    <t xml:space="preserve">Introduction To Lighting And Acoustics</t>
  </si>
  <si>
    <t xml:space="preserve">Amos-Abanyie Samuel</t>
  </si>
  <si>
    <t xml:space="preserve">Biomedical Engineering Design II</t>
  </si>
  <si>
    <t xml:space="preserve">Addo Daniel Akwei</t>
  </si>
  <si>
    <t xml:space="preserve">Anatomy And Physiology For Engineers II</t>
  </si>
  <si>
    <t xml:space="preserve">Agyapong Dorothy Araba Yakoba</t>
  </si>
  <si>
    <t xml:space="preserve">Chemical Pathology</t>
  </si>
  <si>
    <t xml:space="preserve">Sakyi Samuel Asamoah</t>
  </si>
  <si>
    <t xml:space="preserve">Biomaterials I</t>
  </si>
  <si>
    <t xml:space="preserve">Odame Prince</t>
  </si>
  <si>
    <t xml:space="preserve">Medical Imaging I</t>
  </si>
  <si>
    <t xml:space="preserve">Kotei Addison Eric Clement</t>
  </si>
  <si>
    <t xml:space="preserve">Biosignal Processes And Analysis</t>
  </si>
  <si>
    <t xml:space="preserve">Adjei Prince Ebenezer</t>
  </si>
  <si>
    <t xml:space="preserve">Bioinstrumentation I</t>
  </si>
  <si>
    <t xml:space="preserve">Acquah Isaac</t>
  </si>
  <si>
    <t xml:space="preserve">Biomedical Optics</t>
  </si>
  <si>
    <t xml:space="preserve">Medical Device Regulation</t>
  </si>
  <si>
    <t xml:space="preserve">Biomechanics II</t>
  </si>
  <si>
    <t xml:space="preserve">Properties Of CIVil Engineering Material</t>
  </si>
  <si>
    <t xml:space="preserve">Sossou Gnida</t>
  </si>
  <si>
    <t xml:space="preserve">Elementary Fluids Mechanics</t>
  </si>
  <si>
    <t xml:space="preserve">Gyamfi Charles</t>
  </si>
  <si>
    <t xml:space="preserve">CIVil Engineering Drawing</t>
  </si>
  <si>
    <t xml:space="preserve">Osei Jack Banahene</t>
  </si>
  <si>
    <t xml:space="preserve">Fluid Mechanics</t>
  </si>
  <si>
    <t xml:space="preserve">Anornu Geophrey Kwame</t>
  </si>
  <si>
    <t xml:space="preserve">Structural Analysis</t>
  </si>
  <si>
    <t xml:space="preserve">Kankam Charles Kwame</t>
  </si>
  <si>
    <t xml:space="preserve">Soil And Rock Mechanics</t>
  </si>
  <si>
    <t xml:space="preserve">Charkley Frederick Nai</t>
  </si>
  <si>
    <t xml:space="preserve">Owusu-Nimo Frederick</t>
  </si>
  <si>
    <t xml:space="preserve">Soil And Rocks Mechanics Laboratory</t>
  </si>
  <si>
    <t xml:space="preserve">Dzikunu-Bansah Nancy Anataba Kyorku</t>
  </si>
  <si>
    <t xml:space="preserve">Intro To Environmental Eng.</t>
  </si>
  <si>
    <t xml:space="preserve">Essandoh Helen Michelle Korkor</t>
  </si>
  <si>
    <t xml:space="preserve">Principle Of Design</t>
  </si>
  <si>
    <t xml:space="preserve">Ayeh Felix Jojo Fianko</t>
  </si>
  <si>
    <t xml:space="preserve">Steel And Timber Design</t>
  </si>
  <si>
    <t xml:space="preserve">M. Adom-Asamoah</t>
  </si>
  <si>
    <t xml:space="preserve">Hydraulic Engineering</t>
  </si>
  <si>
    <t xml:space="preserve">Adjei Kwaku Amaning </t>
  </si>
  <si>
    <t xml:space="preserve">Foundation Engineering</t>
  </si>
  <si>
    <t xml:space="preserve">Acquaah Vincent Kofi Abaka</t>
  </si>
  <si>
    <t xml:space="preserve">Environmental Quality Engineering</t>
  </si>
  <si>
    <t xml:space="preserve">K.B. Nyarko</t>
  </si>
  <si>
    <t xml:space="preserve">Highway Engineering</t>
  </si>
  <si>
    <t xml:space="preserve">Tutu Kenneth Adomako</t>
  </si>
  <si>
    <t xml:space="preserve">Transportation And Highway II</t>
  </si>
  <si>
    <t xml:space="preserve">Ababio-Donkor Augustus</t>
  </si>
  <si>
    <t xml:space="preserve">Quantities And Cost Estimation In CIVil Engineering</t>
  </si>
  <si>
    <t xml:space="preserve">Integrated Design</t>
  </si>
  <si>
    <t xml:space="preserve">Road Design And Material Evoloution Laboratory</t>
  </si>
  <si>
    <t xml:space="preserve">Structural Dynamics</t>
  </si>
  <si>
    <t xml:space="preserve">Computer Applications in Civil Engineering</t>
  </si>
  <si>
    <t xml:space="preserve">E. Amponsah</t>
  </si>
  <si>
    <t xml:space="preserve">Water Resources Engineering II</t>
  </si>
  <si>
    <t xml:space="preserve">Construction Management</t>
  </si>
  <si>
    <t xml:space="preserve">Obeng Daniel Atuah</t>
  </si>
  <si>
    <t xml:space="preserve">Environmental Quality Engineering II</t>
  </si>
  <si>
    <t xml:space="preserve">Appiah-Effah Eugene</t>
  </si>
  <si>
    <t xml:space="preserve">Transportation Engineering</t>
  </si>
  <si>
    <t xml:space="preserve">Tuffour Yaw Adubofour</t>
  </si>
  <si>
    <t xml:space="preserve">System Engineering II</t>
  </si>
  <si>
    <t xml:space="preserve">Ground Engineering</t>
  </si>
  <si>
    <t xml:space="preserve">S. I. K. Ampadu</t>
  </si>
  <si>
    <t xml:space="preserve">Finite Element Analysis</t>
  </si>
  <si>
    <t xml:space="preserve">J. Owusu Twumasi</t>
  </si>
  <si>
    <t xml:space="preserve">Physical Chemistry For Engineers</t>
  </si>
  <si>
    <t xml:space="preserve">Afotey Benjamin</t>
  </si>
  <si>
    <t xml:space="preserve">Boakye Patrick</t>
  </si>
  <si>
    <t xml:space="preserve">Bonsu Jude Kwaku</t>
  </si>
  <si>
    <t xml:space="preserve">Strength Of Materials For Chemical Engineers</t>
  </si>
  <si>
    <t xml:space="preserve">Anang Daniel Adjah</t>
  </si>
  <si>
    <t xml:space="preserve">Baidoo Martina Francisca</t>
  </si>
  <si>
    <t xml:space="preserve">Chemical Process Calculations II</t>
  </si>
  <si>
    <t xml:space="preserve">Rockson Mizpah Ama Dziedzorm</t>
  </si>
  <si>
    <t xml:space="preserve">Ohemeng-Boahen Godfred</t>
  </si>
  <si>
    <t xml:space="preserve">Chemical Engineering Thermodynamics II</t>
  </si>
  <si>
    <t xml:space="preserve">E. Dogbe</t>
  </si>
  <si>
    <t xml:space="preserve">Heat Transport Processes</t>
  </si>
  <si>
    <t xml:space="preserve">Momade Zsuzsanna Gál</t>
  </si>
  <si>
    <t xml:space="preserve">Drawing For Engineers</t>
  </si>
  <si>
    <t xml:space="preserve">Darkwah Lawrence</t>
  </si>
  <si>
    <t xml:space="preserve">Materials Science</t>
  </si>
  <si>
    <t xml:space="preserve">Asiedu Nana Yaw</t>
  </si>
  <si>
    <t xml:space="preserve">Chemical Reaction Engineering</t>
  </si>
  <si>
    <t xml:space="preserve">Simultaneous Heat/Mass Transfer</t>
  </si>
  <si>
    <t xml:space="preserve">Dogbe Eunice Sefakor Aku</t>
  </si>
  <si>
    <t xml:space="preserve">Numerical Methods For Chemical Engineers</t>
  </si>
  <si>
    <t xml:space="preserve">Mensah Mary</t>
  </si>
  <si>
    <t xml:space="preserve">Silicate Technology II</t>
  </si>
  <si>
    <t xml:space="preserve">Packaging Technology</t>
  </si>
  <si>
    <t xml:space="preserve">Baah-Ennumh Emmanuel Kwaku</t>
  </si>
  <si>
    <t xml:space="preserve">Renewable Energy Resources</t>
  </si>
  <si>
    <t xml:space="preserve">Food Processing Technology</t>
  </si>
  <si>
    <t xml:space="preserve">Environmental Impact Assessment</t>
  </si>
  <si>
    <t xml:space="preserve">Process Control And Simulation</t>
  </si>
  <si>
    <t xml:space="preserve">Entrepreneurship And Business Development</t>
  </si>
  <si>
    <t xml:space="preserve">Asamoah Boateng Kenneth</t>
  </si>
  <si>
    <t xml:space="preserve">Adsorption Separation Process Technology</t>
  </si>
  <si>
    <t xml:space="preserve">Pulp And Paper Technology</t>
  </si>
  <si>
    <t xml:space="preserve">Environmental Eng. Technology</t>
  </si>
  <si>
    <t xml:space="preserve">Pharmaceutical Technology</t>
  </si>
  <si>
    <t xml:space="preserve">Johnson Raphael</t>
  </si>
  <si>
    <t xml:space="preserve">Practical Chemistry II</t>
  </si>
  <si>
    <t xml:space="preserve">Opoku Francis</t>
  </si>
  <si>
    <t xml:space="preserve">Basic Electronics</t>
  </si>
  <si>
    <t xml:space="preserve">K. O. Amoabeng</t>
  </si>
  <si>
    <t xml:space="preserve">Digital System Design II      </t>
  </si>
  <si>
    <t xml:space="preserve">Obeng Kwakye Kingsford Sarkodie</t>
  </si>
  <si>
    <t xml:space="preserve">Cell Biology</t>
  </si>
  <si>
    <t xml:space="preserve">P. Adjei</t>
  </si>
  <si>
    <t xml:space="preserve">Biochemistry</t>
  </si>
  <si>
    <t xml:space="preserve">Charles Apprey</t>
  </si>
  <si>
    <t xml:space="preserve">Klogo Griffith Selorm</t>
  </si>
  <si>
    <t xml:space="preserve">J. Okae</t>
  </si>
  <si>
    <t xml:space="preserve">C. M. Adrah</t>
  </si>
  <si>
    <t xml:space="preserve">Object-Oriented Programming</t>
  </si>
  <si>
    <t xml:space="preserve">Adjaidoo Theresa-Samuelle Maame Atwemaah</t>
  </si>
  <si>
    <t xml:space="preserve">Digital Systems Design I</t>
  </si>
  <si>
    <t xml:space="preserve">Nunoo-Mensah Henry</t>
  </si>
  <si>
    <t xml:space="preserve">Circuit Theory</t>
  </si>
  <si>
    <t xml:space="preserve">Yeboah-Akowuah Bright</t>
  </si>
  <si>
    <t xml:space="preserve">Computer Engineering Lab II</t>
  </si>
  <si>
    <t xml:space="preserve">Kommey Benjamin</t>
  </si>
  <si>
    <t xml:space="preserve">Operating Systems</t>
  </si>
  <si>
    <t xml:space="preserve">Software Engineering I             </t>
  </si>
  <si>
    <t xml:space="preserve">Embedded Systems</t>
  </si>
  <si>
    <t xml:space="preserve">Database And Information Retrieval</t>
  </si>
  <si>
    <t xml:space="preserve">Keelson Eliel</t>
  </si>
  <si>
    <t xml:space="preserve">Digital Systems Design II</t>
  </si>
  <si>
    <t xml:space="preserve">Boateng Kwame Osei</t>
  </si>
  <si>
    <t xml:space="preserve">Digital Computer Design</t>
  </si>
  <si>
    <t xml:space="preserve">Autotronic Lab.</t>
  </si>
  <si>
    <t xml:space="preserve">Software Engineering</t>
  </si>
  <si>
    <t xml:space="preserve">Secure Network Systems</t>
  </si>
  <si>
    <t xml:space="preserve">Tchao Eric Tutu</t>
  </si>
  <si>
    <t xml:space="preserve">Robotics And Computer Vision</t>
  </si>
  <si>
    <t xml:space="preserve">Digital Signal Processing</t>
  </si>
  <si>
    <t xml:space="preserve">Akowuah Emmanuel Kofi</t>
  </si>
  <si>
    <t xml:space="preserve">Fault Diagnosis And Failure Tolerance</t>
  </si>
  <si>
    <t xml:space="preserve">Agbemenu Andrew Selasi</t>
  </si>
  <si>
    <t xml:space="preserve">Industrial Automatic Control</t>
  </si>
  <si>
    <t xml:space="preserve">Opoku Daniel</t>
  </si>
  <si>
    <t xml:space="preserve">VLSI Circuit Design</t>
  </si>
  <si>
    <t xml:space="preserve">Introduction To VLSI</t>
  </si>
  <si>
    <t xml:space="preserve">J. B. Dramani</t>
  </si>
  <si>
    <t xml:space="preserve">B. Sarpong-Danquah</t>
  </si>
  <si>
    <t xml:space="preserve">Elements Of Economics II</t>
  </si>
  <si>
    <t xml:space="preserve">M. H. Yussif</t>
  </si>
  <si>
    <t xml:space="preserve">Introductory Economics II</t>
  </si>
  <si>
    <t xml:space="preserve">Takyi Paul Owusu</t>
  </si>
  <si>
    <t xml:space="preserve">Introduction To Economics II</t>
  </si>
  <si>
    <t xml:space="preserve">B. Sarpong- Danquah</t>
  </si>
  <si>
    <t xml:space="preserve">E. Yeboah</t>
  </si>
  <si>
    <t xml:space="preserve">N. K. Prah II</t>
  </si>
  <si>
    <t xml:space="preserve">Kwegyir Daniel</t>
  </si>
  <si>
    <t xml:space="preserve">Y. O. M. Sekyere</t>
  </si>
  <si>
    <t xml:space="preserve">Y. O. M Sekyere</t>
  </si>
  <si>
    <t xml:space="preserve">Environmental Science</t>
  </si>
  <si>
    <t xml:space="preserve">M. Appiah-Brimpong</t>
  </si>
  <si>
    <t xml:space="preserve">Affum Emmanuel Ampoma</t>
  </si>
  <si>
    <t xml:space="preserve">Electrical Eng. Drawing</t>
  </si>
  <si>
    <t xml:space="preserve">Twumasi Elvis</t>
  </si>
  <si>
    <t xml:space="preserve">Electrical Machines</t>
  </si>
  <si>
    <t xml:space="preserve">Electrical Measurement And Instrumentation</t>
  </si>
  <si>
    <t xml:space="preserve">Electrical Engineering Machines</t>
  </si>
  <si>
    <t xml:space="preserve">Synchronous Machines</t>
  </si>
  <si>
    <t xml:space="preserve">Asigri Peter</t>
  </si>
  <si>
    <t xml:space="preserve">Digital Systems</t>
  </si>
  <si>
    <t xml:space="preserve">Electrical Measurements And Instrumentation</t>
  </si>
  <si>
    <t xml:space="preserve">Electrical Engineering Lab. II</t>
  </si>
  <si>
    <t xml:space="preserve">Frimpong Emmanuel Asuming</t>
  </si>
  <si>
    <t xml:space="preserve">High Voltage Engineering</t>
  </si>
  <si>
    <t xml:space="preserve">Substations And Transmission Line Design</t>
  </si>
  <si>
    <t xml:space="preserve">Antoh Emmanuel Kwaku</t>
  </si>
  <si>
    <t xml:space="preserve">Power Electronics</t>
  </si>
  <si>
    <t xml:space="preserve">Effah Francis Boafo</t>
  </si>
  <si>
    <t xml:space="preserve">Power Systems Analysis</t>
  </si>
  <si>
    <t xml:space="preserve">Electrical Engineering Lab. III</t>
  </si>
  <si>
    <t xml:space="preserve">E. K. Anto</t>
  </si>
  <si>
    <t xml:space="preserve">Electric Drives</t>
  </si>
  <si>
    <t xml:space="preserve">Power Systems Planning And Optimization</t>
  </si>
  <si>
    <t xml:space="preserve">Power Systems Protection</t>
  </si>
  <si>
    <t xml:space="preserve">Kponyo Jerry John</t>
  </si>
  <si>
    <t xml:space="preserve">Communication Skills II</t>
  </si>
  <si>
    <t xml:space="preserve">Yeboah Philomena Ama Okyeso</t>
  </si>
  <si>
    <t xml:space="preserve">Sarfo-Adu Kwasi</t>
  </si>
  <si>
    <t xml:space="preserve">Z. Osei</t>
  </si>
  <si>
    <t xml:space="preserve">P.G. Asamoah</t>
  </si>
  <si>
    <t xml:space="preserve">B. Ampong</t>
  </si>
  <si>
    <t xml:space="preserve">Alhassan Yakubu</t>
  </si>
  <si>
    <t xml:space="preserve">Literature In English II</t>
  </si>
  <si>
    <t xml:space="preserve">French For Communication II</t>
  </si>
  <si>
    <t xml:space="preserve">Pharis Jeel Darko</t>
  </si>
  <si>
    <t xml:space="preserve">Boakye-Agyeman Candy</t>
  </si>
  <si>
    <t xml:space="preserve">Alexander Ocloo</t>
  </si>
  <si>
    <t xml:space="preserve">French For Communication  II</t>
  </si>
  <si>
    <t xml:space="preserve">Reproduction Cartography</t>
  </si>
  <si>
    <t xml:space="preserve">Quaye-Ballard Jonathan Arthur</t>
  </si>
  <si>
    <t xml:space="preserve">T. Tienaah</t>
  </si>
  <si>
    <t xml:space="preserve">Large Scale Surveying</t>
  </si>
  <si>
    <t xml:space="preserve">Ayer John Wise Divine</t>
  </si>
  <si>
    <t xml:space="preserve">Principles Of Remote Sensing</t>
  </si>
  <si>
    <t xml:space="preserve">Y. M. Asare</t>
  </si>
  <si>
    <t xml:space="preserve">Engineering Survey II</t>
  </si>
  <si>
    <t xml:space="preserve">Arko-Adjei Anthony</t>
  </si>
  <si>
    <t xml:space="preserve">Dadzie Isaac</t>
  </si>
  <si>
    <t xml:space="preserve">Hydrographic Surveying </t>
  </si>
  <si>
    <t xml:space="preserve">Asante Cosmas Yaw</t>
  </si>
  <si>
    <t xml:space="preserve">Principles Of Surveying</t>
  </si>
  <si>
    <t xml:space="preserve">A. Acheampong</t>
  </si>
  <si>
    <t xml:space="preserve">Satellite Surveying</t>
  </si>
  <si>
    <t xml:space="preserve">Andam-Akorful Samuel Ato</t>
  </si>
  <si>
    <t xml:space="preserve">Principles Of Gis</t>
  </si>
  <si>
    <t xml:space="preserve">Forkuo Eric Kwabena</t>
  </si>
  <si>
    <t xml:space="preserve">Analysis Of Errors</t>
  </si>
  <si>
    <t xml:space="preserve">C. Fosu</t>
  </si>
  <si>
    <t xml:space="preserve">Database Systems</t>
  </si>
  <si>
    <t xml:space="preserve">Land Law And Registration</t>
  </si>
  <si>
    <t xml:space="preserve">Principles Of Valuation Of Land And Building</t>
  </si>
  <si>
    <t xml:space="preserve">Ayitey Jonathan</t>
  </si>
  <si>
    <t xml:space="preserve">Professional Studies And Development</t>
  </si>
  <si>
    <t xml:space="preserve">Akrofi Emmanuel Offei</t>
  </si>
  <si>
    <t xml:space="preserve">Basic Mineral Science</t>
  </si>
  <si>
    <t xml:space="preserve">Appiah-Adjei Emmanuel Kwame</t>
  </si>
  <si>
    <t xml:space="preserve">Computer Applications</t>
  </si>
  <si>
    <t xml:space="preserve">A. K. Kwaw</t>
  </si>
  <si>
    <t xml:space="preserve">Stratigraphy</t>
  </si>
  <si>
    <t xml:space="preserve">Amedjoe Godfrey Chiri</t>
  </si>
  <si>
    <t xml:space="preserve">Rock Engineering</t>
  </si>
  <si>
    <t xml:space="preserve">Gidigasu Solomon Senyo Robert</t>
  </si>
  <si>
    <t xml:space="preserve">Optical Mineralogy</t>
  </si>
  <si>
    <t xml:space="preserve">Wilson Matthew Coffie / Blestmond Afrifa Brako</t>
  </si>
  <si>
    <t xml:space="preserve">Introduction To Soil Mechanics</t>
  </si>
  <si>
    <t xml:space="preserve">Amenuvor Andrew Cudzo</t>
  </si>
  <si>
    <t xml:space="preserve">Mining Principles</t>
  </si>
  <si>
    <t xml:space="preserve">Owusu-Sarpong Seth</t>
  </si>
  <si>
    <t xml:space="preserve">Principles Of Geochemistry</t>
  </si>
  <si>
    <t xml:space="preserve">Gawu Simon Kafui Yawo</t>
  </si>
  <si>
    <t xml:space="preserve">Principles Of Geophysics</t>
  </si>
  <si>
    <t xml:space="preserve">Bukari Ali</t>
  </si>
  <si>
    <t xml:space="preserve">Structural Geology</t>
  </si>
  <si>
    <t xml:space="preserve">Wilson Matthew Coffie</t>
  </si>
  <si>
    <t xml:space="preserve">Mineral Economics And Evaluation</t>
  </si>
  <si>
    <t xml:space="preserve">Foli Gordon</t>
  </si>
  <si>
    <t xml:space="preserve">Gis Applications</t>
  </si>
  <si>
    <t xml:space="preserve">Advanced Engineering Geology</t>
  </si>
  <si>
    <t xml:space="preserve">Environmental Geology</t>
  </si>
  <si>
    <t xml:space="preserve">Economic Geology</t>
  </si>
  <si>
    <t xml:space="preserve">Mensah Emmanuel</t>
  </si>
  <si>
    <t xml:space="preserve">Engineering Management</t>
  </si>
  <si>
    <t xml:space="preserve">Takyi Gabriel</t>
  </si>
  <si>
    <t xml:space="preserve">Petroleum Geology</t>
  </si>
  <si>
    <t xml:space="preserve">Geostatistics</t>
  </si>
  <si>
    <t xml:space="preserve">Nuamah Daniel Oduro Boatey</t>
  </si>
  <si>
    <t xml:space="preserve">Groundwater Development</t>
  </si>
  <si>
    <t xml:space="preserve">Ali Bukari</t>
  </si>
  <si>
    <t xml:space="preserve">First Year Design Project</t>
  </si>
  <si>
    <t xml:space="preserve">Second Year Design Project</t>
  </si>
  <si>
    <t xml:space="preserve">Industrial Engineeging Laboratory II</t>
  </si>
  <si>
    <t xml:space="preserve">Fiagbe Yesuenyeagbe Atsu Kwabla</t>
  </si>
  <si>
    <t xml:space="preserve">Logistics And Supply Chain Engineering</t>
  </si>
  <si>
    <t xml:space="preserve">Kesse Martin Appiah</t>
  </si>
  <si>
    <t xml:space="preserve">Reliability Engineering</t>
  </si>
  <si>
    <t xml:space="preserve">Computer-Aided Design And Manufacturing</t>
  </si>
  <si>
    <t xml:space="preserve">Quality Assurance</t>
  </si>
  <si>
    <t xml:space="preserve">Industrial Engineering Lab III</t>
  </si>
  <si>
    <t xml:space="preserve">Advanced Manufacturing Technology I</t>
  </si>
  <si>
    <t xml:space="preserve">Operations Research II</t>
  </si>
  <si>
    <t xml:space="preserve">Automation And Production System</t>
  </si>
  <si>
    <t xml:space="preserve">Production Planning And Control</t>
  </si>
  <si>
    <t xml:space="preserve">Dzebre Denis Edem Kwame</t>
  </si>
  <si>
    <t xml:space="preserve">Systems Integration</t>
  </si>
  <si>
    <t xml:space="preserve">Tay Godwin Fabiola Kwaku</t>
  </si>
  <si>
    <t xml:space="preserve">Human Factors And Ergonomics</t>
  </si>
  <si>
    <t xml:space="preserve">Calculus With Analysis</t>
  </si>
  <si>
    <t xml:space="preserve">Ezearn Jeffery</t>
  </si>
  <si>
    <t xml:space="preserve">Asamoah Joshua Kiddy Kwasi</t>
  </si>
  <si>
    <t xml:space="preserve">I. Azure</t>
  </si>
  <si>
    <t xml:space="preserve">Calculus With Several Variables</t>
  </si>
  <si>
    <t xml:space="preserve">Ayekple Yao Elikem</t>
  </si>
  <si>
    <t xml:space="preserve">Kwabi Prince Amponsah</t>
  </si>
  <si>
    <t xml:space="preserve">E. Abekah</t>
  </si>
  <si>
    <t xml:space="preserve">Wireko Fredrick Asenso</t>
  </si>
  <si>
    <t xml:space="preserve">Analysis IV</t>
  </si>
  <si>
    <t xml:space="preserve">Eghan Rhydal Esi</t>
  </si>
  <si>
    <t xml:space="preserve">Calculus Of Several Variables</t>
  </si>
  <si>
    <t xml:space="preserve">Isaac Addae</t>
  </si>
  <si>
    <t xml:space="preserve">Emmanuel Mensah</t>
  </si>
  <si>
    <t xml:space="preserve">E. BONYA</t>
  </si>
  <si>
    <t xml:space="preserve">Boateng Maxwell Akwasi</t>
  </si>
  <si>
    <t xml:space="preserve">R. N. Borkor</t>
  </si>
  <si>
    <t xml:space="preserve">Engineering Graphics</t>
  </si>
  <si>
    <t xml:space="preserve">Sackey Michael Nii</t>
  </si>
  <si>
    <t xml:space="preserve">Engineering Drawing</t>
  </si>
  <si>
    <t xml:space="preserve">Sekyere Charles Kofi Kafui</t>
  </si>
  <si>
    <t xml:space="preserve">P. O. Tawiah</t>
  </si>
  <si>
    <t xml:space="preserve">Quansah David Ato</t>
  </si>
  <si>
    <t xml:space="preserve">Boahen Samuel</t>
  </si>
  <si>
    <t xml:space="preserve">Engineering Mechanics I:Statics</t>
  </si>
  <si>
    <t xml:space="preserve">Samuel Boahen</t>
  </si>
  <si>
    <t xml:space="preserve">Statics Of Solid Mechanics</t>
  </si>
  <si>
    <t xml:space="preserve">Amoabeng Kofi Owura</t>
  </si>
  <si>
    <t xml:space="preserve">Engineering Mechanics I: Statics </t>
  </si>
  <si>
    <t xml:space="preserve">Applied Thermodynamics I</t>
  </si>
  <si>
    <t xml:space="preserve">Computer Programming For Engineers</t>
  </si>
  <si>
    <t xml:space="preserve">Product Design And Manufacturing </t>
  </si>
  <si>
    <t xml:space="preserve">Fluid Dynamics I</t>
  </si>
  <si>
    <t xml:space="preserve">Computer-Aided Design And Modelling</t>
  </si>
  <si>
    <t xml:space="preserve">Theory Of Machines</t>
  </si>
  <si>
    <t xml:space="preserve">Mechanisms Synthesis And Analysis I</t>
  </si>
  <si>
    <t xml:space="preserve">Ampofo Joshua</t>
  </si>
  <si>
    <t xml:space="preserve">Thermodynamics I</t>
  </si>
  <si>
    <t xml:space="preserve">Manufacturing Technology</t>
  </si>
  <si>
    <t xml:space="preserve">Francis Davis</t>
  </si>
  <si>
    <t xml:space="preserve">Machine Design Project </t>
  </si>
  <si>
    <t xml:space="preserve">Mechanical Engineering Materials II</t>
  </si>
  <si>
    <t xml:space="preserve">Arthur Emmanuel Kwesi</t>
  </si>
  <si>
    <t xml:space="preserve">Mechanical Engineering Lab. II</t>
  </si>
  <si>
    <t xml:space="preserve">Fluid Dynamics II</t>
  </si>
  <si>
    <t xml:space="preserve">Fluid Dynamics  II</t>
  </si>
  <si>
    <t xml:space="preserve">Strength Of Materials II</t>
  </si>
  <si>
    <t xml:space="preserve">Vibrations I</t>
  </si>
  <si>
    <t xml:space="preserve">Heat Transfer</t>
  </si>
  <si>
    <t xml:space="preserve">Forson Francis Kofi</t>
  </si>
  <si>
    <t xml:space="preserve">Machine Design II</t>
  </si>
  <si>
    <t xml:space="preserve">Machine Elements Design II</t>
  </si>
  <si>
    <t xml:space="preserve">Introduction To Cad/Cam</t>
  </si>
  <si>
    <t xml:space="preserve">Microprocessors And Mechatronics Applications</t>
  </si>
  <si>
    <t xml:space="preserve">Sackey Michael NII</t>
  </si>
  <si>
    <t xml:space="preserve">Industrial Engineering And Ergonomics </t>
  </si>
  <si>
    <t xml:space="preserve">Mechanical Engineering Laboratory IV</t>
  </si>
  <si>
    <t xml:space="preserve">Fluid Machinery</t>
  </si>
  <si>
    <t xml:space="preserve">Opoku Richard</t>
  </si>
  <si>
    <t xml:space="preserve">Special Vehicle Design (AME 482)</t>
  </si>
  <si>
    <t xml:space="preserve">G. K. K. Ayetor</t>
  </si>
  <si>
    <t xml:space="preserve">Introduction To Finite Element</t>
  </si>
  <si>
    <t xml:space="preserve">Finite Element Methods</t>
  </si>
  <si>
    <t xml:space="preserve">Mechanisms Synthesis And Analysis II</t>
  </si>
  <si>
    <t xml:space="preserve">D. K. Oppong</t>
  </si>
  <si>
    <t xml:space="preserve">Instrumentation</t>
  </si>
  <si>
    <t xml:space="preserve">Internal Combustion Engines</t>
  </si>
  <si>
    <t xml:space="preserve">Machine Shop And Factory Design</t>
  </si>
  <si>
    <t xml:space="preserve">Obeng George Yaw</t>
  </si>
  <si>
    <t xml:space="preserve">Production Engineering II</t>
  </si>
  <si>
    <t xml:space="preserve">Mechanical Engineering Materials III</t>
  </si>
  <si>
    <t xml:space="preserve">Management And Entrepreneurship Development</t>
  </si>
  <si>
    <t xml:space="preserve">Entrepreneurship Development</t>
  </si>
  <si>
    <t xml:space="preserve">Entrepreneurship Development And Management</t>
  </si>
  <si>
    <t xml:space="preserve">Asiedu Charlotte</t>
  </si>
  <si>
    <t xml:space="preserve">Maintenance Engineering </t>
  </si>
  <si>
    <t xml:space="preserve">Maintenance Engineering</t>
  </si>
  <si>
    <t xml:space="preserve">Chemistry For Metallurgical Engineers</t>
  </si>
  <si>
    <t xml:space="preserve">Agyemang Frank Ofori</t>
  </si>
  <si>
    <t xml:space="preserve">Richard Buamah</t>
  </si>
  <si>
    <t xml:space="preserve">Metallurgical Rate Processes/Surface Phenomena</t>
  </si>
  <si>
    <t xml:space="preserve">Gikunoo Emmanuel</t>
  </si>
  <si>
    <t xml:space="preserve">Ore Beneficiation</t>
  </si>
  <si>
    <t xml:space="preserve">Koomson Bennetta</t>
  </si>
  <si>
    <t xml:space="preserve">Assaying</t>
  </si>
  <si>
    <t xml:space="preserve">Computer Programming And Applications</t>
  </si>
  <si>
    <t xml:space="preserve">Mensah-Darkwa Kwadwo</t>
  </si>
  <si>
    <t xml:space="preserve">Hydrometallurgical Applications</t>
  </si>
  <si>
    <t xml:space="preserve">Agbe Henry</t>
  </si>
  <si>
    <t xml:space="preserve">Physical Metallurgy Of Non-Ferrous Metals</t>
  </si>
  <si>
    <t xml:space="preserve">Emmanuel Kwesi Arthur</t>
  </si>
  <si>
    <t xml:space="preserve">Third Year Design Project</t>
  </si>
  <si>
    <t xml:space="preserve">Bota Osei Sekyere</t>
  </si>
  <si>
    <t xml:space="preserve">Metallurgical Characterization Laboratory</t>
  </si>
  <si>
    <t xml:space="preserve">Physical Metallurgy Of Ferrous Metals</t>
  </si>
  <si>
    <t xml:space="preserve">Kwofie Samuel</t>
  </si>
  <si>
    <t xml:space="preserve">Electrometallurgy</t>
  </si>
  <si>
    <t xml:space="preserve">Marine Engineering Design Project I</t>
  </si>
  <si>
    <t xml:space="preserve">Marine Mechanisms, Systhesis And Analysis</t>
  </si>
  <si>
    <t xml:space="preserve">Marine Engineering Design Project II</t>
  </si>
  <si>
    <t xml:space="preserve">Seamanship</t>
  </si>
  <si>
    <t xml:space="preserve">Larkai Francis Laako</t>
  </si>
  <si>
    <t xml:space="preserve">Marine Engineering Laboratory II</t>
  </si>
  <si>
    <t xml:space="preserve">Strength Of Marine Materials II</t>
  </si>
  <si>
    <t xml:space="preserve">Naval Architecture I</t>
  </si>
  <si>
    <t xml:space="preserve">Kudzedzi Emmanuel Yaw Mawuko</t>
  </si>
  <si>
    <t xml:space="preserve">Marine Electrical Technology And Electrical Measurements</t>
  </si>
  <si>
    <t xml:space="preserve">Marine Industrial Engineering And Ergonomics</t>
  </si>
  <si>
    <t xml:space="preserve">Marine Engineering Laboratory III</t>
  </si>
  <si>
    <t xml:space="preserve">Marine Control Engineering And Automation</t>
  </si>
  <si>
    <t xml:space="preserve">Adjei Eunice Akyereko</t>
  </si>
  <si>
    <t xml:space="preserve">Ship Construction</t>
  </si>
  <si>
    <t xml:space="preserve">Naval Architecture II</t>
  </si>
  <si>
    <t xml:space="preserve">Ship Safety, Environmental Protection And Safe Watch Keeping</t>
  </si>
  <si>
    <t xml:space="preserve">Ship Operation, Regulation And Management</t>
  </si>
  <si>
    <t xml:space="preserve">Marine Maintenance Engineering</t>
  </si>
  <si>
    <t xml:space="preserve">Kinetics Of Chemical Reactions</t>
  </si>
  <si>
    <t xml:space="preserve">Optical and Thermal Behaviour of Materials</t>
  </si>
  <si>
    <t xml:space="preserve">Nartey Martinson Addo</t>
  </si>
  <si>
    <t xml:space="preserve">Introductory Geology</t>
  </si>
  <si>
    <t xml:space="preserve">Gawu Simon Kafui Yawo/Blestmond Afrifa Brako</t>
  </si>
  <si>
    <t xml:space="preserve">Heat And Mass Transport</t>
  </si>
  <si>
    <t xml:space="preserve">Materials Processing</t>
  </si>
  <si>
    <t xml:space="preserve">Asare Eric Kwame Anokye</t>
  </si>
  <si>
    <t xml:space="preserve">Phase Transformations</t>
  </si>
  <si>
    <t xml:space="preserve">Computer Programming And Application</t>
  </si>
  <si>
    <t xml:space="preserve">Glass And Cement Technologies</t>
  </si>
  <si>
    <t xml:space="preserve">Andrews Anthony</t>
  </si>
  <si>
    <t xml:space="preserve">Engineering Properties Of Polymers</t>
  </si>
  <si>
    <t xml:space="preserve">Numerical Methods For Engineers</t>
  </si>
  <si>
    <t xml:space="preserve">Mechanics Of Materials</t>
  </si>
  <si>
    <t xml:space="preserve">Materials Joining Processes</t>
  </si>
  <si>
    <t xml:space="preserve">Materials Characterization Laboratory</t>
  </si>
  <si>
    <t xml:space="preserve">Waste Management</t>
  </si>
  <si>
    <t xml:space="preserve">Metallurgical waste Management</t>
  </si>
  <si>
    <t xml:space="preserve">Surface Treatment Of Materials</t>
  </si>
  <si>
    <t xml:space="preserve">Materials Quality Control, Assurrance And Selection</t>
  </si>
  <si>
    <t xml:space="preserve">Process Dynamics And Control</t>
  </si>
  <si>
    <t xml:space="preserve">Adjaottor Albert Amatey</t>
  </si>
  <si>
    <t xml:space="preserve">Process Dynanics And Control</t>
  </si>
  <si>
    <t xml:space="preserve">Kinetics And Reactions Engineering</t>
  </si>
  <si>
    <t xml:space="preserve">Separation Processes II</t>
  </si>
  <si>
    <t xml:space="preserve">Petrochemical Engineering Laboratory II</t>
  </si>
  <si>
    <t xml:space="preserve">Petroleum Refining Engineering</t>
  </si>
  <si>
    <t xml:space="preserve">Kwao-Boateng Emmanuela</t>
  </si>
  <si>
    <t xml:space="preserve">Refining Processes Technology</t>
  </si>
  <si>
    <t xml:space="preserve">Introduction To Petroleum Engineering</t>
  </si>
  <si>
    <t xml:space="preserve">Erzuah Samuel</t>
  </si>
  <si>
    <t xml:space="preserve">Adjei Stephen</t>
  </si>
  <si>
    <t xml:space="preserve">Jones Twumasi</t>
  </si>
  <si>
    <t xml:space="preserve">Regional Geology</t>
  </si>
  <si>
    <t xml:space="preserve">Quaye Jonathan Atuquaye</t>
  </si>
  <si>
    <t xml:space="preserve">Petroleum Engineering Thermodynamics II</t>
  </si>
  <si>
    <t xml:space="preserve">Sokama-Neuyam Yen Adams</t>
  </si>
  <si>
    <t xml:space="preserve">Reservoir Fluid Properties</t>
  </si>
  <si>
    <t xml:space="preserve">Computer Programming In Oil And Gas</t>
  </si>
  <si>
    <t xml:space="preserve">Principles Of Land Surveying And Hydrographic Science</t>
  </si>
  <si>
    <t xml:space="preserve">Numerical Methods For Petroleum Engineers</t>
  </si>
  <si>
    <t xml:space="preserve">Borkloe Julius Kwame</t>
  </si>
  <si>
    <t xml:space="preserve">Drilling Engineering II</t>
  </si>
  <si>
    <t xml:space="preserve">Petroleum Engineering Lab II</t>
  </si>
  <si>
    <t xml:space="preserve">Petroleum Production Engineering II</t>
  </si>
  <si>
    <t xml:space="preserve">Sarkodie Kwame</t>
  </si>
  <si>
    <t xml:space="preserve">Well Testing</t>
  </si>
  <si>
    <t xml:space="preserve">Adenutsi Caspar Daniel</t>
  </si>
  <si>
    <t xml:space="preserve">D. O. B. Nuamah</t>
  </si>
  <si>
    <t xml:space="preserve">Oil &amp; Gas Geophysics</t>
  </si>
  <si>
    <t xml:space="preserve">Health Safety And Environment</t>
  </si>
  <si>
    <t xml:space="preserve">Reservoir Recovery Techniques</t>
  </si>
  <si>
    <t xml:space="preserve">Petroleum Project Evaluation</t>
  </si>
  <si>
    <t xml:space="preserve">Well Completion And Stimulation</t>
  </si>
  <si>
    <t xml:space="preserve">Oilfield Geochemistry</t>
  </si>
  <si>
    <t xml:space="preserve">Refining Process Technology</t>
  </si>
  <si>
    <t xml:space="preserve">Fundamentals Of Petroleum Law</t>
  </si>
  <si>
    <t xml:space="preserve">Amoah Enoch Kwabena</t>
  </si>
  <si>
    <t xml:space="preserve">Petroleum Business: Structures, Logistics</t>
  </si>
  <si>
    <t xml:space="preserve">Natural Gas Engineering II</t>
  </si>
  <si>
    <t xml:space="preserve">Pipeline Engineering</t>
  </si>
  <si>
    <t xml:space="preserve">Energy And Climate Change</t>
  </si>
  <si>
    <t xml:space="preserve">Petroleum Production Engineering</t>
  </si>
  <si>
    <t xml:space="preserve">Ankudey Emmanuel Godwin</t>
  </si>
  <si>
    <t xml:space="preserve">Natural Gas Engineering</t>
  </si>
  <si>
    <t xml:space="preserve">Properties Of Matter</t>
  </si>
  <si>
    <t xml:space="preserve">R. M. Noye</t>
  </si>
  <si>
    <t xml:space="preserve">General Physics</t>
  </si>
  <si>
    <t xml:space="preserve">Abavare Eric Kwabena Kyeh</t>
  </si>
  <si>
    <t xml:space="preserve">Boateng Cyril Dziedzorm</t>
  </si>
  <si>
    <t xml:space="preserve">Planning The Physical Environment</t>
  </si>
  <si>
    <t xml:space="preserve">Aboagye Prince Anokye</t>
  </si>
  <si>
    <t xml:space="preserve">Introduction To Psychology</t>
  </si>
  <si>
    <t xml:space="preserve">Sarfo Fordjour Elizabeth Anokyewaa</t>
  </si>
  <si>
    <t xml:space="preserve">Aquatic Strokes Development And Refinement</t>
  </si>
  <si>
    <t xml:space="preserve">Afrifa Daniel</t>
  </si>
  <si>
    <t xml:space="preserve">Introduction To Sociology II</t>
  </si>
  <si>
    <t xml:space="preserve">J. Opoku-Ware</t>
  </si>
  <si>
    <t xml:space="preserve">Engineering Research And Technical Report Writing</t>
  </si>
  <si>
    <t xml:space="preserve">Acheampong Francisca Adoma</t>
  </si>
  <si>
    <t xml:space="preserve">Introduction To Communication Networks</t>
  </si>
  <si>
    <t xml:space="preserve">Agyemang Justice Owusu</t>
  </si>
  <si>
    <t xml:space="preserve">Introduction To Programming - I</t>
  </si>
  <si>
    <t xml:space="preserve">Electromagnetic Field Theory</t>
  </si>
  <si>
    <t xml:space="preserve">Ellis Sani Mubarak</t>
  </si>
  <si>
    <t xml:space="preserve">Microprocessors</t>
  </si>
  <si>
    <t xml:space="preserve">Fundamentals of Data Science</t>
  </si>
  <si>
    <t xml:space="preserve">Kwame Oteng Gyasi</t>
  </si>
  <si>
    <t xml:space="preserve">Digital Electronics &amp; Microprocessor Lab </t>
  </si>
  <si>
    <t xml:space="preserve">Obour Agyekum Kwame Opuni-Boachie</t>
  </si>
  <si>
    <t xml:space="preserve">Electromagnetic Fields</t>
  </si>
  <si>
    <t xml:space="preserve">COMPUTER NETWORKING</t>
  </si>
  <si>
    <t xml:space="preserve">K. A.-B. Opare</t>
  </si>
  <si>
    <t xml:space="preserve">Communication Circuits</t>
  </si>
  <si>
    <t xml:space="preserve">Abdul-Rahman Ahmed</t>
  </si>
  <si>
    <t xml:space="preserve">Agyekum Kwame Agyeman-Prempeh</t>
  </si>
  <si>
    <t xml:space="preserve">ANTENNA THEORY AND DESIGN</t>
  </si>
  <si>
    <t xml:space="preserve">Antennas And Propagation</t>
  </si>
  <si>
    <t xml:space="preserve">Data Communication Principles</t>
  </si>
  <si>
    <t xml:space="preserve">Gadze James Dzisi</t>
  </si>
  <si>
    <t xml:space="preserve">Adrah Charles Mawutor</t>
  </si>
  <si>
    <t xml:space="preserve">Telecommunication Lab IV</t>
  </si>
  <si>
    <t xml:space="preserve">Telecommunication Policy</t>
  </si>
  <si>
    <t xml:space="preserve">K. S. O. Kwakye</t>
  </si>
  <si>
    <t xml:space="preserve">Mobile And Satellite Communication System</t>
  </si>
  <si>
    <t xml:space="preserve">Microwave Engineering</t>
  </si>
  <si>
    <t xml:space="preserve">Network Planning</t>
  </si>
  <si>
    <t xml:space="preserve">Opare Kwasi Adu-Boahen</t>
  </si>
  <si>
    <t xml:space="preserve">Class</t>
  </si>
  <si>
    <t xml:space="preserve">Michael Adusei-Bonsu</t>
  </si>
  <si>
    <t xml:space="preserve">Nicholas Kwesi Prah II</t>
  </si>
  <si>
    <t xml:space="preserve">Yaw Opoku Mensah Sekyere</t>
  </si>
  <si>
    <t xml:space="preserve">Akwasi Afrifa Acheampong</t>
  </si>
  <si>
    <t xml:space="preserve">Peter Oppong Tawiah </t>
  </si>
  <si>
    <t xml:space="preserve">David Kofi Oppong</t>
  </si>
  <si>
    <t xml:space="preserve">Lawton Adu-Ansah</t>
  </si>
  <si>
    <t xml:space="preserve">BASIC THERMODYNAMICS</t>
  </si>
  <si>
    <t xml:space="preserve">AUTOMOTIVE DESIGN PROJECT</t>
  </si>
  <si>
    <t xml:space="preserve">Reginald Mensah Noye</t>
  </si>
  <si>
    <t xml:space="preserve">Jones Opoku-Ware</t>
  </si>
  <si>
    <t xml:space="preserve">APPLIED THERMODYNAMICS </t>
  </si>
  <si>
    <t xml:space="preserve">Paul Owusu Takyi</t>
  </si>
  <si>
    <t xml:space="preserve">PRINCIPLES OF MATERIAL SCIENCE</t>
  </si>
  <si>
    <t xml:space="preserve">Patricia Gustafson-Asamoah</t>
  </si>
  <si>
    <t xml:space="preserve">Frederick Owusu-Nimo</t>
  </si>
  <si>
    <t xml:space="preserve">Reindorf Nartey Borkor</t>
  </si>
  <si>
    <t xml:space="preserve">Mark Adom-Asamoah</t>
  </si>
  <si>
    <t xml:space="preserve">Adjei Kwaku Amaning</t>
  </si>
  <si>
    <t xml:space="preserve">Samuel Innocent Kofi Ampadu</t>
  </si>
  <si>
    <t xml:space="preserve">Jones Owusu Twumasi</t>
  </si>
  <si>
    <t xml:space="preserve">Isaac Azure</t>
  </si>
  <si>
    <t xml:space="preserve">Benedict Barnes</t>
  </si>
  <si>
    <t xml:space="preserve">Patrick Boakye</t>
  </si>
  <si>
    <t xml:space="preserve">Bernard Ampong</t>
  </si>
  <si>
    <t xml:space="preserve">Daniel Opoku</t>
  </si>
  <si>
    <t xml:space="preserve">INTRO TO PYTHON &amp; COMPUTER NETWORKING</t>
  </si>
  <si>
    <t xml:space="preserve">Charles Mawutor Adrah</t>
  </si>
  <si>
    <t xml:space="preserve">POWER SUPPLY ELECTRONICS</t>
  </si>
  <si>
    <t xml:space="preserve">AC MACHINES</t>
  </si>
  <si>
    <t xml:space="preserve">Emmanuel Kpeglo</t>
  </si>
  <si>
    <t xml:space="preserve">Emmanuel Kwaku Antoh</t>
  </si>
  <si>
    <t xml:space="preserve">John Bosco Dramani</t>
  </si>
  <si>
    <t xml:space="preserve">Beatrice Sarpong-Danquah</t>
  </si>
  <si>
    <t xml:space="preserve">Albert Kwame Kwaw</t>
  </si>
  <si>
    <t xml:space="preserve">PRINCIPLES OF GEOPHYSICS</t>
  </si>
  <si>
    <t xml:space="preserve">Titus Tienaah</t>
  </si>
  <si>
    <t xml:space="preserve">Yaw Mensah Asare</t>
  </si>
  <si>
    <t xml:space="preserve">ROAD DESIGN AND MATERIAL EVALUATION LABORATORY</t>
  </si>
  <si>
    <t xml:space="preserve">Edward Yeboah</t>
  </si>
  <si>
    <t xml:space="preserve">Collins Fosu</t>
  </si>
  <si>
    <t xml:space="preserve">Jehoshaphat Eyram Deh</t>
  </si>
  <si>
    <t xml:space="preserve">Peter Oppong Tawiah</t>
  </si>
  <si>
    <t xml:space="preserve">Patrick Aggrey</t>
  </si>
  <si>
    <t xml:space="preserve">INTRODUCTION TO CERAMICS</t>
  </si>
  <si>
    <t xml:space="preserve">INTRODUCTION TO POLYMERIC MATERIALS</t>
  </si>
  <si>
    <t xml:space="preserve">STRESS AND STRAIN ANALYSIS OF RIGID BODIES</t>
  </si>
  <si>
    <t xml:space="preserve">A. K. Sunnu</t>
  </si>
  <si>
    <t xml:space="preserve">INTRODUCTORY GEOLOGY</t>
  </si>
  <si>
    <t xml:space="preserve">Eunice Sefakor Aku Dogbe</t>
  </si>
  <si>
    <t xml:space="preserve">Augustine Ntiamoah</t>
  </si>
  <si>
    <t xml:space="preserve">Casper Daniel Adenutsi</t>
  </si>
  <si>
    <t xml:space="preserve">Mustapha Hameed</t>
  </si>
  <si>
    <t xml:space="preserve">Kwasi Adu-Boahen Opare</t>
  </si>
  <si>
    <t xml:space="preserve">Intsiful Araba Kwegyirba</t>
  </si>
  <si>
    <t xml:space="preserve">TELECOMMUNICATION POLICY AND REGULATION</t>
  </si>
  <si>
    <t xml:space="preserve">Kingsford Sarkodie Obeng Kwakye</t>
  </si>
  <si>
    <t xml:space="preserve">SATELLITE COMMUNICATION AND NAVIGATION SYSTEMS</t>
  </si>
  <si>
    <t xml:space="preserve">NETWORK PLANNING AND OPTIMIZATION</t>
  </si>
  <si>
    <t xml:space="preserve">RADAR COMMUNICATIONS</t>
  </si>
  <si>
    <t xml:space="preserve">ELLis Sani Mubarak</t>
  </si>
  <si>
    <t xml:space="preserve">MILLIMETERWAVE TECHNOLOGY</t>
  </si>
  <si>
    <t xml:space="preserve">College of Engineering</t>
  </si>
  <si>
    <t xml:space="preserve">Available Rooms</t>
  </si>
  <si>
    <t xml:space="preserve">Rooms</t>
  </si>
  <si>
    <t xml:space="preserve">Exam Capacity</t>
  </si>
  <si>
    <t xml:space="preserve">COHORT A1</t>
  </si>
  <si>
    <r>
      <rPr>
        <sz val="12"/>
        <color theme="1"/>
        <rFont val="Times New Roman"/>
        <family val="1"/>
        <charset val="1"/>
      </rPr>
      <t xml:space="preserve">BAMFO 
KWAKYE 
</t>
    </r>
    <r>
      <rPr>
        <b val="true"/>
        <sz val="24"/>
        <color theme="1"/>
        <rFont val="Times New Roman"/>
        <family val="1"/>
        <charset val="1"/>
      </rPr>
      <t xml:space="preserve">A</t>
    </r>
  </si>
  <si>
    <t xml:space="preserve">COHORT A2</t>
  </si>
  <si>
    <t xml:space="preserve">N1</t>
  </si>
  <si>
    <t xml:space="preserve">COHORT A3</t>
  </si>
  <si>
    <t xml:space="preserve">N2</t>
  </si>
  <si>
    <t xml:space="preserve">COHORT B1</t>
  </si>
  <si>
    <r>
      <rPr>
        <sz val="12"/>
        <color theme="1"/>
        <rFont val="Times New Roman"/>
        <family val="1"/>
        <charset val="1"/>
      </rPr>
      <t xml:space="preserve">PETROLEUM
 BUILDING
</t>
    </r>
    <r>
      <rPr>
        <sz val="24"/>
        <color theme="1"/>
        <rFont val="Times New Roman"/>
        <family val="1"/>
        <charset val="1"/>
      </rPr>
      <t xml:space="preserve">B</t>
    </r>
  </si>
  <si>
    <t xml:space="preserve">COHORT B2</t>
  </si>
  <si>
    <t xml:space="preserve">PB212</t>
  </si>
  <si>
    <t xml:space="preserve">COHORT C1</t>
  </si>
  <si>
    <r>
      <rPr>
        <sz val="12"/>
        <rFont val="Times New Roman"/>
        <family val="1"/>
        <charset val="1"/>
      </rPr>
      <t xml:space="preserve">EXAMS
OFFICE
</t>
    </r>
    <r>
      <rPr>
        <sz val="26"/>
        <rFont val="Times New Roman"/>
        <family val="1"/>
        <charset val="1"/>
      </rPr>
      <t xml:space="preserve">C</t>
    </r>
  </si>
  <si>
    <t xml:space="preserve">ECR</t>
  </si>
  <si>
    <t xml:space="preserve">A110</t>
  </si>
  <si>
    <t xml:space="preserve">COHORT C2</t>
  </si>
  <si>
    <t xml:space="preserve">NEB-SF1</t>
  </si>
  <si>
    <t xml:space="preserve">COHORT D1</t>
  </si>
  <si>
    <r>
      <rPr>
        <sz val="12"/>
        <color theme="1"/>
        <rFont val="Times New Roman"/>
        <family val="1"/>
        <charset val="1"/>
      </rPr>
      <t xml:space="preserve">NEB
</t>
    </r>
    <r>
      <rPr>
        <sz val="24"/>
        <color theme="1"/>
        <rFont val="Times New Roman"/>
        <family val="1"/>
        <charset val="1"/>
      </rPr>
      <t xml:space="preserve">D</t>
    </r>
  </si>
  <si>
    <t xml:space="preserve">COHORT D2</t>
  </si>
  <si>
    <t xml:space="preserve">COHORT D3</t>
  </si>
  <si>
    <t xml:space="preserve">Total</t>
  </si>
  <si>
    <t xml:space="preserve">INVIGILATORS</t>
  </si>
  <si>
    <t xml:space="preserve">TOTAL BOTLES</t>
  </si>
  <si>
    <t xml:space="preserve">Bottles x 3S + 1</t>
  </si>
  <si>
    <t xml:space="preserve">Total Pack</t>
  </si>
  <si>
    <t xml:space="preserve">TOTAL BOTTLES</t>
  </si>
  <si>
    <t xml:space="preserve">TOTAL 
BOTTLES FOR PERIOD</t>
  </si>
  <si>
    <t xml:space="preserve">ROOM 
USAGE</t>
  </si>
  <si>
    <t xml:space="preserve">TAS </t>
  </si>
  <si>
    <t xml:space="preserve">ATTD</t>
  </si>
  <si>
    <t xml:space="preserve">PER SESSION</t>
  </si>
  <si>
    <t xml:space="preserve">TT BOTTLES</t>
  </si>
  <si>
    <t xml:space="preserve">PACKS PER DAY</t>
  </si>
  <si>
    <t xml:space="preserve">OVERALL</t>
  </si>
  <si>
    <t xml:space="preserve">Name </t>
  </si>
  <si>
    <t xml:space="preserve">Contact</t>
  </si>
  <si>
    <t xml:space="preserve">Signature </t>
  </si>
  <si>
    <t xml:space="preserve">Bottles/Packs Collected </t>
  </si>
  <si>
    <t xml:space="preserve">10btls</t>
  </si>
  <si>
    <t xml:space="preserve">RM A</t>
  </si>
  <si>
    <t xml:space="preserve">RM B</t>
  </si>
  <si>
    <t xml:space="preserve">13btls</t>
  </si>
  <si>
    <t xml:space="preserve">15btls</t>
  </si>
  <si>
    <t xml:space="preserve">PB012</t>
  </si>
  <si>
    <t xml:space="preserve">1pk 2btls</t>
  </si>
  <si>
    <t xml:space="preserve">1pks 5btls</t>
  </si>
  <si>
    <t xml:space="preserve">NEB OFFICE</t>
  </si>
  <si>
    <t xml:space="preserve">2pks</t>
  </si>
  <si>
    <t xml:space="preserve">FOSS OFFICE</t>
  </si>
  <si>
    <t xml:space="preserve">EXAMS OFFICE</t>
  </si>
  <si>
    <t xml:space="preserve">7pks</t>
  </si>
  <si>
    <t xml:space="preserve">BAMFO KWAKYE</t>
  </si>
  <si>
    <t xml:space="preserve">4pks</t>
  </si>
  <si>
    <t xml:space="preserve">PB SIMULATION LB</t>
  </si>
  <si>
    <t xml:space="preserve">SECURITY</t>
  </si>
  <si>
    <t xml:space="preserve">NURSES </t>
  </si>
  <si>
    <t xml:space="preserve">8btls</t>
  </si>
  <si>
    <t xml:space="preserve">Totals Per   Session </t>
  </si>
  <si>
    <t xml:space="preserve">Totals Per Day</t>
  </si>
  <si>
    <t xml:space="preserve">~ 37 packs a day 
(16 bottles per pack)</t>
  </si>
  <si>
    <t xml:space="preserve">~ 471 Overall packs  
(16 bottles per pack)</t>
  </si>
  <si>
    <t xml:space="preserve">Total Collected for the day</t>
  </si>
  <si>
    <t xml:space="preserve">Total to be collected  for the day</t>
  </si>
  <si>
    <t xml:space="preserve">Overall total left </t>
  </si>
  <si>
    <t xml:space="preserve">Total bottles for a Day</t>
  </si>
  <si>
    <t xml:space="preserve">A110/VCR/GIS Lab</t>
  </si>
  <si>
    <t xml:space="preserve">Thursday, 27 August 2026</t>
  </si>
  <si>
    <t xml:space="preserve">Monday, 31 August 2026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</si>
</sst>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@"/>
    <numFmt numFmtId="168" formatCode="0.0"/>
  </numFmts>
  <fonts count="56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C0006"/>
      <name val="Arial"/>
      <family val="2"/>
      <charset val="1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Times New Roman"/>
      <family val="1"/>
      <charset val="1"/>
    </font>
    <font>
      <b val="true"/>
      <sz val="11"/>
      <name val="Arial"/>
      <family val="2"/>
      <charset val="1"/>
    </font>
    <font>
      <sz val="8"/>
      <name val="Times New Roman"/>
      <family val="1"/>
      <charset val="1"/>
    </font>
    <font>
      <sz val="11"/>
      <name val="Times New Roman"/>
      <family val="1"/>
      <charset val="1"/>
    </font>
    <font>
      <sz val="11"/>
      <name val="Calibri"/>
      <family val="2"/>
      <charset val="1"/>
    </font>
    <font>
      <sz val="11"/>
      <color theme="1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Arial"/>
      <family val="2"/>
      <charset val="1"/>
    </font>
    <font>
      <b val="true"/>
      <sz val="10"/>
      <color rgb="FFFF000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color rgb="FFFF0000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sz val="11"/>
      <color rgb="FFFF0000"/>
      <name val="Calibri"/>
      <family val="2"/>
      <charset val="1"/>
    </font>
    <font>
      <sz val="8"/>
      <color theme="1"/>
      <name val="Arial"/>
      <family val="2"/>
      <charset val="1"/>
    </font>
    <font>
      <sz val="8"/>
      <name val="Arial"/>
      <family val="2"/>
      <charset val="1"/>
    </font>
    <font>
      <sz val="10"/>
      <name val="Noto Sans"/>
      <family val="2"/>
    </font>
    <font>
      <sz val="9"/>
      <color rgb="FF000000"/>
      <name val="Tahoma"/>
      <family val="2"/>
      <charset val="1"/>
    </font>
    <font>
      <b val="true"/>
      <sz val="11"/>
      <color theme="1"/>
      <name val="Times New Roman"/>
      <family val="1"/>
      <charset val="1"/>
    </font>
    <font>
      <b val="true"/>
      <sz val="24"/>
      <color theme="1"/>
      <name val="Times New Roman"/>
      <family val="1"/>
      <charset val="1"/>
    </font>
    <font>
      <sz val="24"/>
      <color theme="1"/>
      <name val="Times New Roman"/>
      <family val="1"/>
      <charset val="1"/>
    </font>
    <font>
      <sz val="26"/>
      <name val="Times New Roman"/>
      <family val="1"/>
      <charset val="1"/>
    </font>
    <font>
      <sz val="12"/>
      <color rgb="FFFF0000"/>
      <name val="Times New Roman"/>
      <family val="1"/>
      <charset val="1"/>
    </font>
    <font>
      <b val="true"/>
      <sz val="18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 val="true"/>
      <sz val="16"/>
      <color theme="1"/>
      <name val="Times New Roman"/>
      <family val="1"/>
      <charset val="1"/>
    </font>
    <font>
      <sz val="14"/>
      <color theme="1"/>
      <name val="Times New Roman"/>
      <family val="1"/>
      <charset val="1"/>
    </font>
    <font>
      <b val="true"/>
      <sz val="12"/>
      <color theme="1"/>
      <name val="Arial"/>
      <family val="2"/>
      <charset val="1"/>
    </font>
    <font>
      <b val="true"/>
      <sz val="20"/>
      <color theme="1"/>
      <name val="Times New Roman"/>
      <family val="1"/>
      <charset val="1"/>
    </font>
    <font>
      <b val="true"/>
      <sz val="9"/>
      <color theme="1"/>
      <name val="Times New Roman"/>
      <family val="1"/>
      <charset val="1"/>
    </font>
    <font>
      <sz val="18"/>
      <color theme="1"/>
      <name val="Times New Roman"/>
      <family val="1"/>
      <charset val="1"/>
    </font>
    <font>
      <sz val="18"/>
      <color theme="1"/>
      <name val="Arial"/>
      <family val="2"/>
      <charset val="1"/>
    </font>
    <font>
      <sz val="18"/>
      <name val="Times New Roman"/>
      <family val="1"/>
      <charset val="1"/>
    </font>
    <font>
      <b val="true"/>
      <sz val="18"/>
      <name val="Times New Roman"/>
      <family val="1"/>
      <charset val="1"/>
    </font>
    <font>
      <b val="true"/>
      <sz val="16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8"/>
      <color rgb="FFFF0000"/>
      <name val="Times New Roman"/>
      <family val="1"/>
      <charset val="1"/>
    </font>
    <font>
      <b val="true"/>
      <sz val="12"/>
      <color rgb="FFFF0000"/>
      <name val="Times New Roman"/>
      <family val="1"/>
      <charset val="1"/>
    </font>
    <font>
      <b val="true"/>
      <sz val="11"/>
      <color rgb="FFFF0000"/>
      <name val="Times New Roman"/>
      <family val="1"/>
      <charset val="1"/>
    </font>
    <font>
      <sz val="11"/>
      <color rgb="FF006100"/>
      <name val="Arial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FF0000"/>
        <bgColor rgb="FF9C0006"/>
      </patternFill>
    </fill>
    <fill>
      <patternFill patternType="solid">
        <fgColor rgb="FFC6EFCE"/>
        <bgColor rgb="FFD3F1DB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FBFBF"/>
      </patternFill>
    </fill>
    <fill>
      <patternFill patternType="solid">
        <fgColor theme="7"/>
        <bgColor rgb="FF00B050"/>
      </patternFill>
    </fill>
    <fill>
      <patternFill patternType="solid">
        <fgColor rgb="FF00B050"/>
        <bgColor rgb="FF34A853"/>
      </patternFill>
    </fill>
    <fill>
      <patternFill patternType="solid">
        <fgColor rgb="FFFFC000"/>
        <bgColor rgb="FFFFBF00"/>
      </patternFill>
    </fill>
    <fill>
      <patternFill patternType="solid">
        <fgColor rgb="FFFFBF00"/>
        <bgColor rgb="FFFFC000"/>
      </patternFill>
    </fill>
    <fill>
      <patternFill patternType="solid">
        <fgColor theme="8"/>
        <bgColor rgb="FFFFBF00"/>
      </patternFill>
    </fill>
    <fill>
      <patternFill patternType="solid">
        <fgColor rgb="FFFF66CC"/>
        <bgColor rgb="FFCC99FF"/>
      </patternFill>
    </fill>
    <fill>
      <patternFill patternType="solid">
        <fgColor rgb="FFFFCCFF"/>
        <bgColor rgb="FFFFC7CE"/>
      </patternFill>
    </fill>
    <fill>
      <patternFill patternType="solid">
        <fgColor theme="4" tint="0.3999"/>
        <bgColor rgb="FF9999FF"/>
      </patternFill>
    </fill>
    <fill>
      <patternFill patternType="solid">
        <fgColor theme="0"/>
        <bgColor rgb="FFD9E7FD"/>
      </patternFill>
    </fill>
    <fill>
      <patternFill patternType="solid">
        <fgColor theme="4" tint="0.7999"/>
        <bgColor rgb="FFD3F1DB"/>
      </patternFill>
    </fill>
    <fill>
      <patternFill patternType="solid">
        <fgColor theme="0" tint="-0.15"/>
        <bgColor rgb="FFD9E7FD"/>
      </patternFill>
    </fill>
    <fill>
      <patternFill patternType="solid">
        <fgColor rgb="FF00B0F0"/>
        <bgColor rgb="FF33CCCC"/>
      </patternFill>
    </fill>
    <fill>
      <patternFill patternType="solid">
        <fgColor theme="9" tint="0.5999"/>
        <bgColor rgb="FFC6EFCE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C6EFCE"/>
      </patternFill>
    </fill>
    <fill>
      <patternFill patternType="solid">
        <fgColor theme="0" tint="-0.25"/>
        <bgColor rgb="FFD9D9D9"/>
      </patternFill>
    </fill>
  </fills>
  <borders count="29">
    <border diagonalUp="false" diagonalDown="false">
      <left/>
      <right/>
      <top/>
      <bottom/>
      <diagonal/>
    </border>
    <border diagonalUp="true" diagonalDown="true">
      <left style="thin"/>
      <right style="thin"/>
      <top style="thin"/>
      <bottom style="thin"/>
      <diagonal style="thin"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3" borderId="0" applyFont="true" applyBorder="false" applyAlignment="true" applyProtection="false">
      <alignment horizontal="general" vertical="bottom" textRotation="0" wrapText="false" indent="0" shrinkToFit="false"/>
    </xf>
  </cellStyleXfs>
  <cellXfs count="3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2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5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2" xfId="2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4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2" xfId="21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" xfId="2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2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2" xfId="21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5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3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8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8" fillId="9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5" borderId="2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2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2" xfId="2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11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true">
      <alignment horizontal="general" vertical="top" textRotation="0" wrapText="true" indent="0" shrinkToFit="false" readingOrder="1"/>
      <protection locked="true" hidden="false"/>
    </xf>
    <xf numFmtId="164" fontId="32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32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32" fillId="5" borderId="2" xfId="0" applyFont="true" applyBorder="true" applyAlignment="true" applyProtection="true">
      <alignment horizontal="general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1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2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1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2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2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8" fillId="2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8" fillId="2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2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5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5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5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5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0" borderId="2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2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2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2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3" borderId="2" xfId="2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RROR 1" xfId="20"/>
    <cellStyle name="Normal 2" xfId="21"/>
    <cellStyle name="Normal 2 2" xfId="22"/>
    <cellStyle name="Excel Built-in Good" xfId="23"/>
  </cellStyles>
  <dxfs count="4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B050"/>
      <rgbColor rgb="FFBFBFBF"/>
      <rgbColor rgb="FF808080"/>
      <rgbColor rgb="FF9999FF"/>
      <rgbColor rgb="FF993366"/>
      <rgbColor rgb="FFFBD9D7"/>
      <rgbColor rgb="FFD9E7FD"/>
      <rgbColor rgb="FF660066"/>
      <rgbColor rgb="FFFF66C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6EFCE"/>
      <rgbColor rgb="FFD3F1DB"/>
      <rgbColor rgb="FFB5E5E8"/>
      <rgbColor rgb="FF8EB6F8"/>
      <rgbColor rgb="FFFFCCFF"/>
      <rgbColor rgb="FFCC99FF"/>
      <rgbColor rgb="FFFFC7CE"/>
      <rgbColor rgb="FF3366FF"/>
      <rgbColor rgb="FF33CCCC"/>
      <rgbColor rgb="FF92D050"/>
      <rgbColor rgb="FFFFC000"/>
      <rgbColor rgb="FFFFBF00"/>
      <rgbColor rgb="FFFF6D01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user/Desktop/WORKING%20FOLDER/FIRST%20SEMESTER/MID%20SEMESTER%20EXAMS/MID%20SEMESTER%20EXAMS%202023AA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user/Desktop/WORKING%20FOLDER/FIRST%20SEMESTER/FINAL%20EXAMS/Examtt2k23_24_F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user/Dropbox/Exams%20Office_kmd/Examinations/Time%20Table/Exams/SS/2022_23_Exams%20TT/exams/Examtt2k22_23_ss_FINAL.xlsm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user/Desktop/WORKING%20FOLDER/FIRST%20SEMESTER/FINAL%20EXAMS/Examtt2k22_24_SS_EXAMS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EXAMINATION%20OFFICE/Dropbox/Exams%20Office_kmd/Examinations/Time%20Table/Exams/SS/2022_23_Exams%20TT/exams/Examtt2k22_23_ss_FIN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TT (2)"/>
      <sheetName val="TT"/>
      <sheetName val="TT (Values)"/>
      <sheetName val="Sheet2"/>
      <sheetName val="FREQ"/>
      <sheetName val="TALLY"/>
      <sheetName val="WATER"/>
      <sheetName val="SESSIONS"/>
      <sheetName val="COURSES"/>
      <sheetName val="TEO_fred"/>
      <sheetName val="COMBINED_ATTD_INV (3)"/>
      <sheetName val="COMBINED"/>
      <sheetName val="Sheet8"/>
      <sheetName val="Sheet1"/>
      <sheetName val="Invigilators_Analysis"/>
      <sheetName val="ROOMS"/>
      <sheetName val="Sheet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TT (Values)"/>
      <sheetName val="FREQ"/>
      <sheetName val="COMBINED_ATTD_INV_1"/>
      <sheetName val="Collection_"/>
      <sheetName val="ROOMS"/>
      <sheetName val="WATER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ESSIONS"/>
      <sheetName val="Sheet3"/>
      <sheetName val="tt_rm"/>
      <sheetName val="COURSES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T (2)"/>
      <sheetName val="TT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eme1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true"/>
  </sheetPr>
  <dimension ref="A1:M716"/>
  <sheetViews>
    <sheetView showFormulas="false" showGridLines="true" showRowColHeaders="true" showZeros="true" rightToLeft="false" tabSelected="false" showOutlineSymbols="true" defaultGridColor="true" view="normal" topLeftCell="A70" colorId="64" zoomScale="100" zoomScaleNormal="100" zoomScalePageLayoutView="100" workbookViewId="0">
      <selection pane="topLeft" activeCell="A264" activeCellId="0" sqref="A264"/>
    </sheetView>
  </sheetViews>
  <sheetFormatPr defaultColWidth="7.7578125" defaultRowHeight="12.75" customHeight="false" zeroHeight="false" outlineLevelRow="0" outlineLevelCol="0"/>
  <cols>
    <col collapsed="false" customWidth="true" hidden="false" outlineLevel="0" max="1" min="1" style="1" width="9.37"/>
    <col collapsed="false" customWidth="true" hidden="false" outlineLevel="0" max="2" min="2" style="1" width="44.25"/>
    <col collapsed="false" customWidth="true" hidden="false" outlineLevel="0" max="3" min="3" style="2" width="32.13"/>
    <col collapsed="false" customWidth="true" hidden="false" outlineLevel="0" max="4" min="4" style="1" width="9.26"/>
    <col collapsed="false" customWidth="true" hidden="false" outlineLevel="0" max="5" min="5" style="1" width="7.37"/>
    <col collapsed="false" customWidth="true" hidden="false" outlineLevel="0" max="6" min="6" style="3" width="54.37"/>
    <col collapsed="false" customWidth="true" hidden="false" outlineLevel="0" max="7" min="7" style="4" width="10"/>
    <col collapsed="false" customWidth="true" hidden="false" outlineLevel="0" max="8" min="8" style="5" width="21.12"/>
    <col collapsed="false" customWidth="true" hidden="false" outlineLevel="0" max="9" min="9" style="6" width="32.76"/>
    <col collapsed="false" customWidth="true" hidden="false" outlineLevel="0" max="10" min="10" style="7" width="41"/>
    <col collapsed="false" customWidth="false" hidden="false" outlineLevel="0" max="16384" min="11" style="7" width="7.75"/>
  </cols>
  <sheetData>
    <row r="1" customFormat="false" ht="14.9" hidden="false" customHeight="false" outlineLevel="0" collapsed="false">
      <c r="A1" s="8" t="s">
        <v>0</v>
      </c>
      <c r="B1" s="8"/>
      <c r="C1" s="8"/>
      <c r="D1" s="8"/>
      <c r="E1" s="8"/>
      <c r="F1" s="8"/>
      <c r="G1" s="8"/>
      <c r="I1" s="9" t="s">
        <v>1</v>
      </c>
      <c r="J1" s="10"/>
    </row>
    <row r="2" customFormat="false" ht="14.9" hidden="false" customHeight="false" outlineLevel="0" collapsed="false">
      <c r="A2" s="8" t="s">
        <v>2</v>
      </c>
      <c r="B2" s="8"/>
      <c r="C2" s="8"/>
      <c r="D2" s="8"/>
      <c r="E2" s="8"/>
      <c r="F2" s="8"/>
      <c r="G2" s="8"/>
      <c r="I2" s="9" t="s">
        <v>3</v>
      </c>
      <c r="J2" s="10"/>
      <c r="L2" s="10"/>
    </row>
    <row r="3" customFormat="false" ht="14.9" hidden="false" customHeight="false" outlineLevel="0" collapsed="false">
      <c r="A3" s="11" t="s">
        <v>4</v>
      </c>
      <c r="B3" s="11" t="s">
        <v>5</v>
      </c>
      <c r="C3" s="2" t="s">
        <v>6</v>
      </c>
      <c r="D3" s="11" t="s">
        <v>7</v>
      </c>
      <c r="E3" s="11" t="s">
        <v>8</v>
      </c>
      <c r="F3" s="2" t="s">
        <v>9</v>
      </c>
      <c r="G3" s="11" t="s">
        <v>10</v>
      </c>
      <c r="I3" s="6" t="s">
        <v>11</v>
      </c>
      <c r="J3" s="12"/>
    </row>
    <row r="4" customFormat="false" ht="14.9" hidden="false" customHeight="false" outlineLevel="0" collapsed="false">
      <c r="A4" s="13" t="s">
        <v>12</v>
      </c>
      <c r="B4" s="14" t="str">
        <f aca="false" t="array" ref="B4:B10">IFERROR(VLOOKUP(I4:I10,Lectures_1!A2:F534,2,FALSE()),0)</f>
        <v>DRAWING FOR ENGINEERS</v>
      </c>
      <c r="C4" s="14" t="str">
        <f aca="false" t="array" ref="C4:C10">IFERROR(VLOOKUP(I4:I10,Lectures_1!A2:F534,3,FALSE()),0)</f>
        <v>Darkwah Lawrence</v>
      </c>
      <c r="D4" s="13" t="s">
        <v>13</v>
      </c>
      <c r="E4" s="15" t="n">
        <f aca="false" t="array" ref="E4:E10">IFERROR(VLOOKUP(I4:I10,Lectures_1!A2:F534,4,FALSE()),0)</f>
        <v>160</v>
      </c>
      <c r="F4" s="16"/>
      <c r="G4" s="17" t="n">
        <f aca="false">E4*1.1</f>
        <v>176</v>
      </c>
      <c r="I4" s="6" t="str">
        <f aca="false">CONCATENATE(A4,",",D4)</f>
        <v>CHE 258,ED2-CHE</v>
      </c>
      <c r="J4" s="12"/>
    </row>
    <row r="5" customFormat="false" ht="14.9" hidden="false" customHeight="false" outlineLevel="0" collapsed="false">
      <c r="A5" s="13" t="s">
        <v>12</v>
      </c>
      <c r="B5" s="14" t="str">
        <v>DRAWING FOR ENGINEERS</v>
      </c>
      <c r="C5" s="14" t="str">
        <v>Darkwah Lawrence</v>
      </c>
      <c r="D5" s="13" t="s">
        <v>14</v>
      </c>
      <c r="E5" s="15" t="n">
        <v>65</v>
      </c>
      <c r="F5" s="14"/>
      <c r="G5" s="17" t="n">
        <f aca="false">E5*1.1</f>
        <v>71.5</v>
      </c>
      <c r="I5" s="6" t="str">
        <f aca="false">CONCATENATE(A5,",",D5)</f>
        <v>CHE 258,ED2-PCE</v>
      </c>
      <c r="J5" s="12"/>
    </row>
    <row r="6" customFormat="false" ht="14.9" hidden="false" customHeight="false" outlineLevel="0" collapsed="false">
      <c r="A6" s="13" t="s">
        <v>15</v>
      </c>
      <c r="B6" s="18" t="str">
        <v>OPERATING SYSTEMS</v>
      </c>
      <c r="C6" s="18" t="str">
        <v>Kommey Benjamin</v>
      </c>
      <c r="D6" s="13" t="s">
        <v>16</v>
      </c>
      <c r="E6" s="15" t="n">
        <v>265</v>
      </c>
      <c r="F6" s="19"/>
      <c r="G6" s="17" t="n">
        <f aca="false">E6*1.1</f>
        <v>291.5</v>
      </c>
      <c r="I6" s="6" t="str">
        <f aca="false">CONCATENATE(A6,",",D6)</f>
        <v>COE 354,ED3-COE</v>
      </c>
      <c r="J6" s="12"/>
    </row>
    <row r="7" customFormat="false" ht="14.9" hidden="false" customHeight="false" outlineLevel="0" collapsed="false">
      <c r="A7" s="13" t="s">
        <v>17</v>
      </c>
      <c r="B7" s="18" t="str">
        <v>WELL TESTING</v>
      </c>
      <c r="C7" s="14" t="str">
        <v>Adenutsi Caspar Daniel</v>
      </c>
      <c r="D7" s="13" t="s">
        <v>18</v>
      </c>
      <c r="E7" s="15" t="n">
        <v>80</v>
      </c>
      <c r="F7" s="19"/>
      <c r="G7" s="17" t="n">
        <f aca="false">E7*1.1</f>
        <v>88</v>
      </c>
      <c r="I7" s="6" t="str">
        <f aca="false">CONCATENATE(A7,",",D7)</f>
        <v>PE 360,ED3-PE</v>
      </c>
      <c r="J7" s="12"/>
    </row>
    <row r="8" customFormat="false" ht="14.9" hidden="false" customHeight="false" outlineLevel="0" collapsed="false">
      <c r="A8" s="13" t="s">
        <v>19</v>
      </c>
      <c r="B8" s="14" t="str">
        <v>ELECTRICAL ENG. DRAWING</v>
      </c>
      <c r="C8" s="14" t="str">
        <v>Kwegyir Daniel</v>
      </c>
      <c r="D8" s="13" t="s">
        <v>20</v>
      </c>
      <c r="E8" s="15" t="n">
        <v>262</v>
      </c>
      <c r="F8" s="20" t="s">
        <v>21</v>
      </c>
      <c r="G8" s="17" t="n">
        <f aca="false">E8*1.1</f>
        <v>288.2</v>
      </c>
      <c r="I8" s="20" t="str">
        <f aca="false">CONCATENATE(A8,",",D8)</f>
        <v>EE 156,ED1-COE</v>
      </c>
      <c r="J8" s="12"/>
    </row>
    <row r="9" customFormat="false" ht="14.9" hidden="false" customHeight="false" outlineLevel="0" collapsed="false">
      <c r="A9" s="13" t="s">
        <v>22</v>
      </c>
      <c r="B9" s="14" t="str">
        <v>AUTOMOTIVE CHASSIS</v>
      </c>
      <c r="C9" s="14" t="str">
        <v>Ayetor Godwin Kafui Kwesi</v>
      </c>
      <c r="D9" s="13" t="s">
        <v>23</v>
      </c>
      <c r="E9" s="15" t="n">
        <v>40</v>
      </c>
      <c r="F9" s="20"/>
      <c r="G9" s="17" t="n">
        <f aca="false">E9*1.1</f>
        <v>44</v>
      </c>
      <c r="I9" s="6" t="str">
        <f aca="false">CONCATENATE(A9,",",D9)</f>
        <v>AME 376,ED3-AUTO</v>
      </c>
      <c r="J9" s="12"/>
    </row>
    <row r="10" customFormat="false" ht="14.9" hidden="false" customHeight="false" outlineLevel="0" collapsed="false">
      <c r="A10" s="13" t="s">
        <v>24</v>
      </c>
      <c r="B10" s="18" t="str">
        <v>DIGITAL SYSTEMS</v>
      </c>
      <c r="C10" s="14" t="str">
        <v>Opoku Daniel</v>
      </c>
      <c r="D10" s="13" t="s">
        <v>25</v>
      </c>
      <c r="E10" s="15" t="n">
        <v>340</v>
      </c>
      <c r="F10" s="21"/>
      <c r="G10" s="17" t="n">
        <f aca="false">E10*1.1</f>
        <v>374</v>
      </c>
      <c r="I10" s="6" t="str">
        <f aca="false">CONCATENATE(A10,",",D10)</f>
        <v>EE 272,ED2-EE</v>
      </c>
      <c r="J10" s="12"/>
    </row>
    <row r="11" customFormat="false" ht="14.9" hidden="false" customHeight="false" outlineLevel="0" collapsed="false">
      <c r="A11" s="22"/>
      <c r="B11" s="22"/>
      <c r="D11" s="14" t="s">
        <v>26</v>
      </c>
      <c r="E11" s="22" t="n">
        <f aca="false">SUM(E4:E10)</f>
        <v>1212</v>
      </c>
      <c r="F11" s="23"/>
      <c r="G11" s="22"/>
      <c r="I11" s="9" t="s">
        <v>27</v>
      </c>
      <c r="J11" s="12"/>
    </row>
    <row r="12" customFormat="false" ht="13.8" hidden="false" customHeight="false" outlineLevel="0" collapsed="false">
      <c r="A12" s="22"/>
      <c r="B12" s="22"/>
      <c r="D12" s="14"/>
      <c r="E12" s="22"/>
      <c r="F12" s="23"/>
      <c r="G12" s="22"/>
      <c r="I12" s="9"/>
      <c r="J12" s="12"/>
    </row>
    <row r="13" customFormat="false" ht="14.9" hidden="false" customHeight="false" outlineLevel="0" collapsed="false">
      <c r="A13" s="8" t="s">
        <v>0</v>
      </c>
      <c r="B13" s="8"/>
      <c r="C13" s="8"/>
      <c r="D13" s="8"/>
      <c r="E13" s="8"/>
      <c r="F13" s="8"/>
      <c r="G13" s="8"/>
      <c r="I13" s="9" t="s">
        <v>28</v>
      </c>
      <c r="J13" s="12"/>
    </row>
    <row r="14" s="10" customFormat="true" ht="14.9" hidden="false" customHeight="false" outlineLevel="0" collapsed="false">
      <c r="A14" s="8" t="s">
        <v>29</v>
      </c>
      <c r="B14" s="8"/>
      <c r="C14" s="8"/>
      <c r="D14" s="8"/>
      <c r="E14" s="8"/>
      <c r="F14" s="8"/>
      <c r="G14" s="8"/>
      <c r="H14" s="5"/>
      <c r="I14" s="9" t="s">
        <v>30</v>
      </c>
      <c r="J14" s="12"/>
    </row>
    <row r="15" s="10" customFormat="true" ht="14.9" hidden="false" customHeight="false" outlineLevel="0" collapsed="false">
      <c r="A15" s="11" t="s">
        <v>4</v>
      </c>
      <c r="B15" s="11" t="s">
        <v>5</v>
      </c>
      <c r="C15" s="2" t="s">
        <v>6</v>
      </c>
      <c r="D15" s="11" t="s">
        <v>7</v>
      </c>
      <c r="E15" s="11" t="s">
        <v>8</v>
      </c>
      <c r="F15" s="2" t="s">
        <v>9</v>
      </c>
      <c r="G15" s="11" t="s">
        <v>10</v>
      </c>
      <c r="H15" s="5"/>
      <c r="I15" s="9" t="s">
        <v>31</v>
      </c>
      <c r="J15" s="12"/>
    </row>
    <row r="16" customFormat="false" ht="14.9" hidden="false" customHeight="false" outlineLevel="0" collapsed="false">
      <c r="A16" s="13" t="s">
        <v>32</v>
      </c>
      <c r="B16" s="14" t="str">
        <f aca="false" t="array" ref="B16:B28">IFERROR(VLOOKUP(I16:I28,Lectures_1!A2:F534,2,FALSE()),0)</f>
        <v>MACHINE DESIGN PROJECT</v>
      </c>
      <c r="C16" s="14" t="str">
        <f aca="false" t="array" ref="C16:C28">IFERROR(VLOOKUP(I16:I28,Lectures_1!A2:F534,3,FALSE()),0)</f>
        <v>Andoh Prince Yaw</v>
      </c>
      <c r="D16" s="13" t="s">
        <v>33</v>
      </c>
      <c r="E16" s="24" t="n">
        <f aca="false" t="array" ref="E16:E28">IFERROR(VLOOKUP(I16:I28,Lectures_1!A2:F534,4,FALSE()),0)</f>
        <v>240</v>
      </c>
      <c r="F16" s="20" t="s">
        <v>34</v>
      </c>
      <c r="G16" s="17" t="n">
        <f aca="false">E16*1.1</f>
        <v>264</v>
      </c>
      <c r="I16" s="6" t="str">
        <f aca="false">CONCATENATE(A16,",",D16)</f>
        <v>ME 274,ED2-ME</v>
      </c>
      <c r="J16" s="12"/>
    </row>
    <row r="17" customFormat="false" ht="14.9" hidden="false" customHeight="false" outlineLevel="0" collapsed="false">
      <c r="A17" s="13" t="s">
        <v>35</v>
      </c>
      <c r="B17" s="18" t="str">
        <v>AEROSPACE DESIGN PROJECT II</v>
      </c>
      <c r="C17" s="18" t="str">
        <v>Andoh Prince Yaw</v>
      </c>
      <c r="D17" s="13" t="s">
        <v>36</v>
      </c>
      <c r="E17" s="15" t="n">
        <v>75</v>
      </c>
      <c r="F17" s="20"/>
      <c r="G17" s="17" t="n">
        <f aca="false">E17*1.1</f>
        <v>82.5</v>
      </c>
      <c r="I17" s="6" t="str">
        <f aca="false">CONCATENATE(A17,",",D17)</f>
        <v>AERO 274,ED2-AERO</v>
      </c>
      <c r="J17" s="12"/>
    </row>
    <row r="18" customFormat="false" ht="14.9" hidden="false" customHeight="false" outlineLevel="0" collapsed="false">
      <c r="A18" s="13" t="s">
        <v>37</v>
      </c>
      <c r="B18" s="14" t="str">
        <v>SECOND YEAR DESIGN PROJECT</v>
      </c>
      <c r="C18" s="18" t="str">
        <v>Andoh Prince Yaw</v>
      </c>
      <c r="D18" s="13" t="s">
        <v>38</v>
      </c>
      <c r="E18" s="15" t="n">
        <v>80</v>
      </c>
      <c r="F18" s="20"/>
      <c r="G18" s="17" t="n">
        <f aca="false">E18*1.1</f>
        <v>88</v>
      </c>
      <c r="H18" s="3"/>
      <c r="I18" s="6" t="str">
        <f aca="false">CONCATENATE(A18,",",D18)</f>
        <v>IE 274,ED2-IND</v>
      </c>
      <c r="J18" s="12"/>
    </row>
    <row r="19" customFormat="false" ht="14.9" hidden="false" customHeight="false" outlineLevel="0" collapsed="false">
      <c r="A19" s="13" t="s">
        <v>39</v>
      </c>
      <c r="B19" s="14" t="str">
        <v>AUTOMOTIVE DESIGN PROJECT</v>
      </c>
      <c r="C19" s="18" t="str">
        <v>Andoh Prince Yaw</v>
      </c>
      <c r="D19" s="13" t="s">
        <v>40</v>
      </c>
      <c r="E19" s="15" t="n">
        <v>82</v>
      </c>
      <c r="F19" s="20"/>
      <c r="G19" s="17" t="n">
        <f aca="false">E19*1.1</f>
        <v>90.2</v>
      </c>
      <c r="H19" s="3"/>
      <c r="I19" s="6" t="str">
        <f aca="false">CONCATENATE(A19,",",D19)</f>
        <v>AME 274,ED2-AUTO</v>
      </c>
      <c r="J19" s="12"/>
    </row>
    <row r="20" customFormat="false" ht="14.9" hidden="false" customHeight="false" outlineLevel="0" collapsed="false">
      <c r="A20" s="13" t="s">
        <v>41</v>
      </c>
      <c r="B20" s="14" t="str">
        <v>MARINE ENGINEERING DESIGN PROJECT II</v>
      </c>
      <c r="C20" s="18" t="str">
        <v>Andoh Prince Yaw</v>
      </c>
      <c r="D20" s="13" t="s">
        <v>42</v>
      </c>
      <c r="E20" s="15" t="n">
        <v>37</v>
      </c>
      <c r="F20" s="20"/>
      <c r="G20" s="17" t="n">
        <f aca="false">E20*1.1</f>
        <v>40.7</v>
      </c>
      <c r="H20" s="3"/>
      <c r="I20" s="6" t="str">
        <f aca="false">CONCATENATE(A20,",",D20)</f>
        <v>MME 274,ED2-MARI</v>
      </c>
      <c r="J20" s="12"/>
    </row>
    <row r="21" customFormat="false" ht="14.9" hidden="false" customHeight="false" outlineLevel="0" collapsed="false">
      <c r="A21" s="13" t="s">
        <v>43</v>
      </c>
      <c r="B21" s="18" t="str">
        <v>PETROLEUM REFINING ENGINEERING</v>
      </c>
      <c r="C21" s="18" t="str">
        <v>Kwao-Boateng Emmanuela</v>
      </c>
      <c r="D21" s="13" t="s">
        <v>44</v>
      </c>
      <c r="E21" s="15" t="n">
        <v>55</v>
      </c>
      <c r="F21" s="19"/>
      <c r="G21" s="17" t="n">
        <f aca="false">E21*1.1</f>
        <v>60.5</v>
      </c>
      <c r="I21" s="6" t="str">
        <f aca="false">CONCATENATE(A21,",",D21)</f>
        <v>PCE 450,ED4-PCE</v>
      </c>
      <c r="J21" s="12"/>
    </row>
    <row r="22" customFormat="false" ht="14.9" hidden="false" customHeight="false" outlineLevel="0" collapsed="false">
      <c r="A22" s="13" t="s">
        <v>45</v>
      </c>
      <c r="B22" s="18" t="str">
        <v>REFINING PROCESS TECHNOLOGY</v>
      </c>
      <c r="C22" s="18" t="str">
        <v>Kwao-Boateng Emmanuela</v>
      </c>
      <c r="D22" s="13" t="s">
        <v>46</v>
      </c>
      <c r="E22" s="15" t="n">
        <v>99</v>
      </c>
      <c r="F22" s="19"/>
      <c r="G22" s="17" t="n">
        <f aca="false">E22*1.1</f>
        <v>108.9</v>
      </c>
      <c r="I22" s="6" t="str">
        <f aca="false">CONCATENATE(A22,",",D22)</f>
        <v>PE 464,ED4-PE</v>
      </c>
      <c r="J22" s="12"/>
    </row>
    <row r="23" customFormat="false" ht="14.9" hidden="false" customHeight="false" outlineLevel="0" collapsed="false">
      <c r="A23" s="13" t="s">
        <v>47</v>
      </c>
      <c r="B23" s="18" t="str">
        <v>REFINING PROCESSES TECHNOLOGY</v>
      </c>
      <c r="C23" s="18" t="str">
        <v>Kwao-Boateng Emmanuela</v>
      </c>
      <c r="D23" s="13" t="s">
        <v>48</v>
      </c>
      <c r="E23" s="15" t="n">
        <v>50</v>
      </c>
      <c r="F23" s="19"/>
      <c r="G23" s="17" t="n">
        <f aca="false">E23*1.1</f>
        <v>55</v>
      </c>
      <c r="I23" s="6" t="str">
        <f aca="false">CONCATENATE(A23,",",D23)</f>
        <v>PCE 464,ED4-CHE</v>
      </c>
      <c r="J23" s="12"/>
    </row>
    <row r="24" customFormat="false" ht="14.9" hidden="false" customHeight="false" outlineLevel="0" collapsed="false">
      <c r="A24" s="13" t="s">
        <v>49</v>
      </c>
      <c r="B24" s="18" t="str">
        <v>CROP LOSSES AND THEIR CONTROL</v>
      </c>
      <c r="C24" s="18" t="str">
        <v>Darko Joseph Ofei </v>
      </c>
      <c r="D24" s="13" t="s">
        <v>50</v>
      </c>
      <c r="E24" s="15" t="n">
        <v>103</v>
      </c>
      <c r="F24" s="19"/>
      <c r="G24" s="17" t="n">
        <f aca="false">E24*1.1</f>
        <v>113.3</v>
      </c>
      <c r="I24" s="6" t="str">
        <f aca="false">CONCATENATE(A24,",",D24)</f>
        <v>AE 458,ED4-AE</v>
      </c>
      <c r="J24" s="12"/>
    </row>
    <row r="25" customFormat="false" ht="14.9" hidden="false" customHeight="false" outlineLevel="0" collapsed="false">
      <c r="A25" s="13" t="s">
        <v>19</v>
      </c>
      <c r="B25" s="14" t="str">
        <v>ELECTRICAL ENG. DRAWING</v>
      </c>
      <c r="C25" s="14" t="str">
        <v>Kwegyir Daniel</v>
      </c>
      <c r="D25" s="13" t="s">
        <v>51</v>
      </c>
      <c r="E25" s="15" t="n">
        <v>295</v>
      </c>
      <c r="F25" s="25" t="s">
        <v>21</v>
      </c>
      <c r="G25" s="17" t="n">
        <f aca="false">E25*1.1</f>
        <v>324.5</v>
      </c>
      <c r="I25" s="6" t="str">
        <f aca="false">CONCATENATE(A25,",",D25)</f>
        <v>EE 156,ED1-EE</v>
      </c>
      <c r="J25" s="12"/>
    </row>
    <row r="26" customFormat="false" ht="14.9" hidden="false" customHeight="false" outlineLevel="0" collapsed="false">
      <c r="A26" s="13" t="s">
        <v>52</v>
      </c>
      <c r="B26" s="14" t="str">
        <v>PRINCIPLES OF SURVEYING</v>
      </c>
      <c r="C26" s="14" t="str">
        <v>Akwasi Afrifa Acheampong</v>
      </c>
      <c r="D26" s="13" t="s">
        <v>53</v>
      </c>
      <c r="E26" s="15" t="n">
        <v>155</v>
      </c>
      <c r="F26" s="26"/>
      <c r="G26" s="17" t="n">
        <f aca="false">E26*1.1</f>
        <v>170.5</v>
      </c>
      <c r="H26" s="27"/>
      <c r="I26" s="6" t="str">
        <f aca="false">CONCATENATE(A26,",",D26)</f>
        <v>GE 286,ED2-AE</v>
      </c>
      <c r="J26" s="12"/>
    </row>
    <row r="27" customFormat="false" ht="14.9" hidden="false" customHeight="false" outlineLevel="0" collapsed="false">
      <c r="A27" s="13" t="s">
        <v>54</v>
      </c>
      <c r="B27" s="18" t="str">
        <v>FLUID MECHANICS</v>
      </c>
      <c r="C27" s="14" t="str">
        <v>Anornu Geophrey Kwame</v>
      </c>
      <c r="D27" s="13" t="s">
        <v>55</v>
      </c>
      <c r="E27" s="15" t="n">
        <v>150</v>
      </c>
      <c r="F27" s="19"/>
      <c r="G27" s="17" t="n">
        <f aca="false">E27*1.1</f>
        <v>165</v>
      </c>
      <c r="I27" s="6" t="str">
        <f aca="false">CONCATENATE(A27,",",D27)</f>
        <v>CE 256,ED2-GEOL</v>
      </c>
      <c r="J27" s="12"/>
    </row>
    <row r="28" customFormat="false" ht="14.9" hidden="false" customHeight="false" outlineLevel="0" collapsed="false">
      <c r="A28" s="13" t="s">
        <v>54</v>
      </c>
      <c r="B28" s="14" t="str">
        <v>FLUID MECHANICS</v>
      </c>
      <c r="C28" s="14" t="str">
        <v>Anornu Geophrey Kwame</v>
      </c>
      <c r="D28" s="13" t="s">
        <v>56</v>
      </c>
      <c r="E28" s="15" t="n">
        <v>250</v>
      </c>
      <c r="F28" s="19"/>
      <c r="G28" s="17" t="n">
        <f aca="false">E28*1.1</f>
        <v>275</v>
      </c>
      <c r="I28" s="6" t="str">
        <f aca="false">CONCATENATE(A28,",",D28)</f>
        <v>CE 256,ED2-CE</v>
      </c>
      <c r="J28" s="12"/>
    </row>
    <row r="29" customFormat="false" ht="14.9" hidden="false" customHeight="false" outlineLevel="0" collapsed="false">
      <c r="A29" s="13"/>
      <c r="B29" s="22"/>
      <c r="D29" s="14" t="s">
        <v>57</v>
      </c>
      <c r="E29" s="22" t="n">
        <f aca="false">SUM(E21:E28)</f>
        <v>1157</v>
      </c>
      <c r="F29" s="23"/>
      <c r="G29" s="22"/>
      <c r="I29" s="9" t="s">
        <v>58</v>
      </c>
      <c r="J29" s="12"/>
    </row>
    <row r="30" customFormat="false" ht="13.8" hidden="false" customHeight="false" outlineLevel="0" collapsed="false">
      <c r="A30" s="13"/>
      <c r="B30" s="22"/>
      <c r="D30" s="14"/>
      <c r="E30" s="22"/>
      <c r="F30" s="23"/>
      <c r="G30" s="22"/>
      <c r="I30" s="9"/>
      <c r="J30" s="12"/>
    </row>
    <row r="31" customFormat="false" ht="14.9" hidden="false" customHeight="false" outlineLevel="0" collapsed="false">
      <c r="A31" s="8" t="s">
        <v>0</v>
      </c>
      <c r="B31" s="8"/>
      <c r="C31" s="8"/>
      <c r="D31" s="8"/>
      <c r="E31" s="8"/>
      <c r="F31" s="8"/>
      <c r="G31" s="8"/>
      <c r="I31" s="9" t="s">
        <v>28</v>
      </c>
      <c r="J31" s="12"/>
    </row>
    <row r="32" s="10" customFormat="true" ht="14.9" hidden="false" customHeight="false" outlineLevel="0" collapsed="false">
      <c r="A32" s="8" t="s">
        <v>59</v>
      </c>
      <c r="B32" s="8"/>
      <c r="C32" s="8"/>
      <c r="D32" s="8"/>
      <c r="E32" s="8"/>
      <c r="F32" s="8"/>
      <c r="G32" s="8"/>
      <c r="H32" s="5"/>
      <c r="I32" s="9" t="s">
        <v>30</v>
      </c>
      <c r="J32" s="12"/>
    </row>
    <row r="33" s="10" customFormat="true" ht="14.9" hidden="false" customHeight="false" outlineLevel="0" collapsed="false">
      <c r="A33" s="11" t="s">
        <v>4</v>
      </c>
      <c r="B33" s="11" t="s">
        <v>5</v>
      </c>
      <c r="C33" s="2" t="s">
        <v>6</v>
      </c>
      <c r="D33" s="11" t="s">
        <v>7</v>
      </c>
      <c r="E33" s="11" t="s">
        <v>8</v>
      </c>
      <c r="F33" s="2" t="s">
        <v>9</v>
      </c>
      <c r="G33" s="11" t="s">
        <v>10</v>
      </c>
      <c r="H33" s="5"/>
      <c r="I33" s="9" t="s">
        <v>31</v>
      </c>
      <c r="J33" s="12"/>
    </row>
    <row r="34" customFormat="false" ht="14.9" hidden="false" customHeight="false" outlineLevel="0" collapsed="false">
      <c r="A34" s="13" t="s">
        <v>60</v>
      </c>
      <c r="B34" s="14" t="str">
        <f aca="false" t="array" ref="B34:B42">IFERROR(VLOOKUP(I34:I42,Lectures_1!A2:F534,2,FALSE()),0)</f>
        <v>MACHINE ELEMENTS DESIGN II</v>
      </c>
      <c r="C34" s="28" t="str">
        <f aca="false" t="array" ref="C34:C42">IFERROR(VLOOKUP(I34:I42,Lectures_1!A2:F534,3,FALSE()),0)</f>
        <v>Andoh Prince Yaw</v>
      </c>
      <c r="D34" s="19" t="s">
        <v>61</v>
      </c>
      <c r="E34" s="15" t="n">
        <f aca="false" t="array" ref="E34:E42">IFERROR(VLOOKUP(I34:I42,Lectures_1!A2:F534,4,FALSE()),0)</f>
        <v>222</v>
      </c>
      <c r="F34" s="20" t="s">
        <v>21</v>
      </c>
      <c r="G34" s="17" t="n">
        <f aca="false">E34*1.1</f>
        <v>244.2</v>
      </c>
      <c r="I34" s="6" t="str">
        <f aca="false">CONCATENATE(A34,",",D34)</f>
        <v>ME 374,ED3-ME</v>
      </c>
      <c r="J34" s="12"/>
    </row>
    <row r="35" customFormat="false" ht="14.9" hidden="false" customHeight="false" outlineLevel="0" collapsed="false">
      <c r="A35" s="13" t="s">
        <v>62</v>
      </c>
      <c r="B35" s="14" t="str">
        <v>PETROCHEMICAL ENGINEERING LABORATORY II</v>
      </c>
      <c r="C35" s="14" t="str">
        <v>Bonsu Jude Kwaku</v>
      </c>
      <c r="D35" s="13" t="s">
        <v>63</v>
      </c>
      <c r="E35" s="15" t="n">
        <v>53</v>
      </c>
      <c r="F35" s="20"/>
      <c r="G35" s="17" t="n">
        <f aca="false">E35*1.1</f>
        <v>58.3</v>
      </c>
      <c r="I35" s="29" t="str">
        <f aca="false">CONCATENATE(A35,",",D35)</f>
        <v>PCE 354,ED3-PCE</v>
      </c>
      <c r="J35" s="12"/>
    </row>
    <row r="36" customFormat="false" ht="14.9" hidden="false" customHeight="false" outlineLevel="0" collapsed="false">
      <c r="A36" s="13" t="s">
        <v>64</v>
      </c>
      <c r="B36" s="14" t="str">
        <v>BIOINSTRUMENTATION I</v>
      </c>
      <c r="C36" s="18" t="str">
        <v>Acquah Isaac</v>
      </c>
      <c r="D36" s="13" t="s">
        <v>65</v>
      </c>
      <c r="E36" s="15" t="n">
        <v>90</v>
      </c>
      <c r="F36" s="13"/>
      <c r="G36" s="17" t="n">
        <f aca="false">E36*1.1</f>
        <v>99</v>
      </c>
      <c r="I36" s="6" t="str">
        <f aca="false">CONCATENATE(A36,",",D36)</f>
        <v>BME 372,ED3-BME</v>
      </c>
      <c r="J36" s="12"/>
    </row>
    <row r="37" customFormat="false" ht="14.9" hidden="false" customHeight="false" outlineLevel="0" collapsed="false">
      <c r="A37" s="13" t="s">
        <v>66</v>
      </c>
      <c r="B37" s="14" t="str">
        <v>INSTRUMENTATION</v>
      </c>
      <c r="C37" s="14" t="str">
        <v>Adam Faisal Wahib</v>
      </c>
      <c r="D37" s="13" t="s">
        <v>67</v>
      </c>
      <c r="E37" s="15" t="n">
        <v>135</v>
      </c>
      <c r="F37" s="19"/>
      <c r="G37" s="17" t="n">
        <f aca="false">E37*1.1</f>
        <v>148.5</v>
      </c>
      <c r="I37" s="6" t="str">
        <f aca="false">CONCATENATE(A37,",",D37)</f>
        <v>ME 464,ED4-ME</v>
      </c>
      <c r="J37" s="12"/>
    </row>
    <row r="38" customFormat="false" ht="14.9" hidden="false" customHeight="false" outlineLevel="0" collapsed="false">
      <c r="A38" s="13" t="s">
        <v>68</v>
      </c>
      <c r="B38" s="14" t="str">
        <v>NAVAL ARCHITECTURE II</v>
      </c>
      <c r="C38" s="14" t="str">
        <v>Kudzedzi Emmanuel Yaw Mawuko</v>
      </c>
      <c r="D38" s="13" t="s">
        <v>69</v>
      </c>
      <c r="E38" s="15" t="n">
        <v>23</v>
      </c>
      <c r="F38" s="19"/>
      <c r="G38" s="17" t="n">
        <f aca="false">E38*1.1</f>
        <v>25.3</v>
      </c>
      <c r="I38" s="6" t="str">
        <f aca="false">CONCATENATE(A38,",",D38)</f>
        <v>MME 482,ED4-MARI</v>
      </c>
      <c r="J38" s="12"/>
    </row>
    <row r="39" customFormat="false" ht="14.9" hidden="false" customHeight="false" outlineLevel="0" collapsed="false">
      <c r="A39" s="13" t="s">
        <v>70</v>
      </c>
      <c r="B39" s="14" t="str">
        <v>SUBSTATIONS AND TRANSMISSION LINE DESIGN</v>
      </c>
      <c r="C39" s="14" t="str">
        <v>Antoh Emmanuel Kwaku</v>
      </c>
      <c r="D39" s="13" t="s">
        <v>71</v>
      </c>
      <c r="E39" s="15" t="n">
        <v>240</v>
      </c>
      <c r="F39" s="19"/>
      <c r="G39" s="17" t="n">
        <f aca="false">E39*1.1</f>
        <v>264</v>
      </c>
      <c r="I39" s="6" t="str">
        <f aca="false">CONCATENATE(A39,",",D39)</f>
        <v>EE 362,ED3-EE</v>
      </c>
      <c r="J39" s="12"/>
    </row>
    <row r="40" customFormat="false" ht="14.9" hidden="false" customHeight="false" outlineLevel="0" collapsed="false">
      <c r="A40" s="13" t="s">
        <v>72</v>
      </c>
      <c r="B40" s="14" t="str">
        <v>SILICATE TECHNOLOGY II</v>
      </c>
      <c r="C40" s="18" t="str">
        <v>Momade Zsuzsanna Gál</v>
      </c>
      <c r="D40" s="13" t="s">
        <v>73</v>
      </c>
      <c r="E40" s="15" t="n">
        <v>15</v>
      </c>
      <c r="F40" s="19"/>
      <c r="G40" s="17" t="n">
        <f aca="false">E40*1.1</f>
        <v>16.5</v>
      </c>
      <c r="I40" s="6" t="str">
        <f aca="false">CONCATENATE(A40,",",D40)</f>
        <v>CHE 362,ED3-CHE</v>
      </c>
      <c r="J40" s="12"/>
    </row>
    <row r="41" customFormat="false" ht="14.9" hidden="false" customHeight="false" outlineLevel="0" collapsed="false">
      <c r="A41" s="13" t="s">
        <v>74</v>
      </c>
      <c r="B41" s="18" t="str">
        <v>PROPERTIES OF CIVIL ENGINEERING MATERIAL</v>
      </c>
      <c r="C41" s="18" t="str">
        <v>Kankam Charles Kwame</v>
      </c>
      <c r="D41" s="13" t="s">
        <v>75</v>
      </c>
      <c r="E41" s="15" t="n">
        <v>245</v>
      </c>
      <c r="F41" s="19"/>
      <c r="G41" s="17" t="n">
        <f aca="false">E41*1.1</f>
        <v>269.5</v>
      </c>
      <c r="I41" s="6" t="str">
        <f aca="false">CONCATENATE(A41,",",D41)</f>
        <v>CE 154,ED1-CE</v>
      </c>
      <c r="J41" s="12"/>
    </row>
    <row r="42" customFormat="false" ht="14.9" hidden="false" customHeight="false" outlineLevel="0" collapsed="false">
      <c r="A42" s="13" t="s">
        <v>76</v>
      </c>
      <c r="B42" s="14" t="str">
        <v>ANALYSIS OF ERRORS</v>
      </c>
      <c r="C42" s="18" t="str">
        <v>Collins Fosu</v>
      </c>
      <c r="D42" s="13" t="s">
        <v>77</v>
      </c>
      <c r="E42" s="15" t="n">
        <v>122</v>
      </c>
      <c r="F42" s="19"/>
      <c r="G42" s="17" t="n">
        <f aca="false">E42*1.1</f>
        <v>134.2</v>
      </c>
      <c r="I42" s="6" t="str">
        <f aca="false">CONCATENATE(A42,",",D42)</f>
        <v>GE 372,ED3-GEOM</v>
      </c>
      <c r="J42" s="12"/>
    </row>
    <row r="43" customFormat="false" ht="14.9" hidden="false" customHeight="false" outlineLevel="0" collapsed="false">
      <c r="A43" s="13"/>
      <c r="B43" s="22"/>
      <c r="D43" s="14" t="s">
        <v>57</v>
      </c>
      <c r="E43" s="22" t="n">
        <f aca="false">SUM(E34:E42)</f>
        <v>1145</v>
      </c>
      <c r="F43" s="23"/>
      <c r="G43" s="22"/>
      <c r="I43" s="9" t="s">
        <v>58</v>
      </c>
      <c r="J43" s="12"/>
    </row>
    <row r="44" customFormat="false" ht="13.8" hidden="false" customHeight="false" outlineLevel="0" collapsed="false">
      <c r="A44" s="13"/>
      <c r="B44" s="22"/>
      <c r="D44" s="14"/>
      <c r="E44" s="22"/>
      <c r="F44" s="23"/>
      <c r="G44" s="22"/>
      <c r="I44" s="9"/>
      <c r="J44" s="12"/>
    </row>
    <row r="45" customFormat="false" ht="14.9" hidden="false" customHeight="false" outlineLevel="0" collapsed="false">
      <c r="A45" s="8" t="s">
        <v>78</v>
      </c>
      <c r="B45" s="8"/>
      <c r="C45" s="8"/>
      <c r="D45" s="8"/>
      <c r="E45" s="8"/>
      <c r="F45" s="8"/>
      <c r="G45" s="8"/>
      <c r="I45" s="9" t="s">
        <v>1</v>
      </c>
      <c r="J45" s="10"/>
    </row>
    <row r="46" customFormat="false" ht="14.9" hidden="false" customHeight="false" outlineLevel="0" collapsed="false">
      <c r="A46" s="8" t="s">
        <v>2</v>
      </c>
      <c r="B46" s="8"/>
      <c r="C46" s="8"/>
      <c r="D46" s="8"/>
      <c r="E46" s="8"/>
      <c r="F46" s="8"/>
      <c r="G46" s="8"/>
      <c r="I46" s="9" t="s">
        <v>3</v>
      </c>
      <c r="J46" s="10"/>
      <c r="L46" s="10"/>
    </row>
    <row r="47" customFormat="false" ht="14.9" hidden="false" customHeight="false" outlineLevel="0" collapsed="false">
      <c r="A47" s="11" t="s">
        <v>4</v>
      </c>
      <c r="B47" s="11" t="s">
        <v>5</v>
      </c>
      <c r="C47" s="2" t="s">
        <v>6</v>
      </c>
      <c r="D47" s="11" t="s">
        <v>7</v>
      </c>
      <c r="E47" s="11" t="s">
        <v>8</v>
      </c>
      <c r="F47" s="2" t="s">
        <v>9</v>
      </c>
      <c r="G47" s="11" t="s">
        <v>10</v>
      </c>
      <c r="I47" s="6" t="s">
        <v>11</v>
      </c>
      <c r="J47" s="12"/>
    </row>
    <row r="48" customFormat="false" ht="14.9" hidden="false" customHeight="false" outlineLevel="0" collapsed="false">
      <c r="A48" s="13" t="s">
        <v>79</v>
      </c>
      <c r="B48" s="14" t="str">
        <f aca="false" t="array" ref="B48:B64">IFERROR(VLOOKUP(I48:I64,Lectures_1!A2:F534,2,FALSE()),0)</f>
        <v>GENERAL PHYSICS</v>
      </c>
      <c r="C48" s="18" t="str">
        <f aca="false" t="array" ref="C48:C64">IFERROR(VLOOKUP(I48:I64,Lectures_1!A2:F534,3,FALSE()),0)</f>
        <v>Boateng Cyril Dziedzorm</v>
      </c>
      <c r="D48" s="13" t="s">
        <v>80</v>
      </c>
      <c r="E48" s="15" t="n">
        <f aca="false" t="array" ref="E48:E64">IFERROR(VLOOKUP(I48:I64,Lectures_1!A2:F534,4,FALSE()),0)</f>
        <v>120</v>
      </c>
      <c r="F48" s="20" t="s">
        <v>34</v>
      </c>
      <c r="G48" s="17" t="n">
        <f aca="false">E48*1.1</f>
        <v>132</v>
      </c>
      <c r="I48" s="6" t="str">
        <f aca="false">CONCATENATE(A48,",",D48)</f>
        <v>PHY 170,ED1-CHE</v>
      </c>
      <c r="J48" s="12"/>
    </row>
    <row r="49" customFormat="false" ht="14.9" hidden="false" customHeight="false" outlineLevel="0" collapsed="false">
      <c r="A49" s="13" t="s">
        <v>79</v>
      </c>
      <c r="B49" s="14" t="str">
        <v>GENERAL PHYSICS</v>
      </c>
      <c r="C49" s="18" t="str">
        <v>Abavare Eric Kwabena Kyeh</v>
      </c>
      <c r="D49" s="13" t="s">
        <v>81</v>
      </c>
      <c r="E49" s="15" t="n">
        <v>56</v>
      </c>
      <c r="F49" s="20"/>
      <c r="G49" s="17" t="n">
        <f aca="false">E49*1.1</f>
        <v>61.6</v>
      </c>
      <c r="I49" s="6" t="str">
        <f aca="false">CONCATENATE(A49,",",D49)</f>
        <v>PHY 170,ED1-PCE</v>
      </c>
      <c r="J49" s="12"/>
    </row>
    <row r="50" customFormat="false" ht="14.9" hidden="false" customHeight="false" outlineLevel="0" collapsed="false">
      <c r="A50" s="13" t="s">
        <v>79</v>
      </c>
      <c r="B50" s="14" t="str">
        <v>GENERAL PHYSICS</v>
      </c>
      <c r="C50" s="18" t="str">
        <v>Boateng Cyril Dziedzorm</v>
      </c>
      <c r="D50" s="13" t="s">
        <v>82</v>
      </c>
      <c r="E50" s="15" t="n">
        <v>130</v>
      </c>
      <c r="F50" s="20"/>
      <c r="G50" s="17" t="n">
        <f aca="false">E50*1.1</f>
        <v>143</v>
      </c>
      <c r="I50" s="6" t="str">
        <f aca="false">CONCATENATE(A50,",",D50)</f>
        <v>PHY 170,ED1-PE</v>
      </c>
      <c r="J50" s="12"/>
    </row>
    <row r="51" customFormat="false" ht="14.9" hidden="false" customHeight="false" outlineLevel="0" collapsed="false">
      <c r="A51" s="13" t="s">
        <v>83</v>
      </c>
      <c r="B51" s="14" t="str">
        <v>HEAT TRANSPORT PROCESSES</v>
      </c>
      <c r="C51" s="18" t="str">
        <v>Ohemeng-Boahen Godfred</v>
      </c>
      <c r="D51" s="19" t="s">
        <v>14</v>
      </c>
      <c r="E51" s="15" t="n">
        <v>65</v>
      </c>
      <c r="F51" s="19"/>
      <c r="G51" s="17" t="n">
        <f aca="false">E51*1.1</f>
        <v>71.5</v>
      </c>
      <c r="I51" s="6" t="str">
        <f aca="false">CONCATENATE(A51,",",D51)</f>
        <v>CHE 256,ED2-PCE</v>
      </c>
      <c r="J51" s="12"/>
    </row>
    <row r="52" customFormat="false" ht="14.9" hidden="false" customHeight="false" outlineLevel="0" collapsed="false">
      <c r="A52" s="13" t="s">
        <v>83</v>
      </c>
      <c r="B52" s="14" t="str">
        <v>HEAT TRANSPORT PROCESSES</v>
      </c>
      <c r="C52" s="18" t="str">
        <v>Momade Zsuzsanna Gál</v>
      </c>
      <c r="D52" s="13" t="s">
        <v>13</v>
      </c>
      <c r="E52" s="15" t="n">
        <v>160</v>
      </c>
      <c r="F52" s="19"/>
      <c r="G52" s="17" t="n">
        <f aca="false">E52*1.1</f>
        <v>176</v>
      </c>
      <c r="I52" s="6" t="str">
        <f aca="false">CONCATENATE(A52,",",D52)</f>
        <v>CHE 256,ED2-CHE</v>
      </c>
      <c r="J52" s="12"/>
    </row>
    <row r="53" customFormat="false" ht="14.9" hidden="false" customHeight="false" outlineLevel="0" collapsed="false">
      <c r="A53" s="13" t="s">
        <v>84</v>
      </c>
      <c r="B53" s="14" t="str">
        <v>SEAMANSHIP</v>
      </c>
      <c r="C53" s="18" t="str">
        <v>Larkai Francis Laako</v>
      </c>
      <c r="D53" s="13" t="s">
        <v>42</v>
      </c>
      <c r="E53" s="15" t="n">
        <v>37</v>
      </c>
      <c r="F53" s="19"/>
      <c r="G53" s="17" t="n">
        <f aca="false">E53*1.1</f>
        <v>40.7</v>
      </c>
      <c r="I53" s="6" t="str">
        <f aca="false">CONCATENATE(A53,",",D53)</f>
        <v>MME 292,ED2-MARI</v>
      </c>
      <c r="J53" s="12"/>
    </row>
    <row r="54" customFormat="false" ht="14.9" hidden="false" customHeight="false" outlineLevel="0" collapsed="false">
      <c r="A54" s="13" t="s">
        <v>85</v>
      </c>
      <c r="B54" s="14" t="str">
        <v>MARINE ENGINEERING LABORATORY III</v>
      </c>
      <c r="C54" s="14" t="str">
        <v>Tay Godwin Fabiola Kwaku</v>
      </c>
      <c r="D54" s="13" t="s">
        <v>86</v>
      </c>
      <c r="E54" s="15" t="n">
        <v>40</v>
      </c>
      <c r="F54" s="19"/>
      <c r="G54" s="17" t="n">
        <f aca="false">E54*1.1</f>
        <v>44</v>
      </c>
      <c r="I54" s="6" t="str">
        <f aca="false">CONCATENATE(A54,",",D54)</f>
        <v>MME 396,ED3-MARI</v>
      </c>
      <c r="J54" s="12"/>
    </row>
    <row r="55" customFormat="false" ht="14.9" hidden="false" customHeight="false" outlineLevel="0" collapsed="false">
      <c r="A55" s="13" t="s">
        <v>87</v>
      </c>
      <c r="B55" s="18" t="str">
        <v>RENEWABLE ENERGY SYSTEMS AND MANAGEMENT</v>
      </c>
      <c r="C55" s="18" t="str">
        <v>Kemausuor Francis</v>
      </c>
      <c r="D55" s="13" t="s">
        <v>88</v>
      </c>
      <c r="E55" s="15" t="n">
        <v>101</v>
      </c>
      <c r="F55" s="19"/>
      <c r="G55" s="17" t="n">
        <f aca="false">E55*1.1</f>
        <v>111.1</v>
      </c>
      <c r="I55" s="6" t="str">
        <f aca="false">CONCATENATE(A55,",",D55)</f>
        <v>AE 358,ED3-AE</v>
      </c>
      <c r="J55" s="12"/>
    </row>
    <row r="56" customFormat="false" ht="14.9" hidden="false" customHeight="false" outlineLevel="0" collapsed="false">
      <c r="A56" s="13" t="s">
        <v>89</v>
      </c>
      <c r="B56" s="18" t="str">
        <v>INTRODUCTION TO LIGHTING AND ACOUSTICS</v>
      </c>
      <c r="C56" s="18" t="str">
        <v>Amos-Abanyie Samuel</v>
      </c>
      <c r="D56" s="13" t="s">
        <v>75</v>
      </c>
      <c r="E56" s="15" t="n">
        <v>55</v>
      </c>
      <c r="F56" s="19"/>
      <c r="G56" s="17" t="n">
        <f aca="false">E56*1.1</f>
        <v>60.5</v>
      </c>
      <c r="I56" s="6" t="str">
        <f aca="false">CONCATENATE(A56,",",D56)</f>
        <v>ARC 156,ED1-CE</v>
      </c>
      <c r="J56" s="12"/>
    </row>
    <row r="57" customFormat="false" ht="14.9" hidden="false" customHeight="false" outlineLevel="0" collapsed="false">
      <c r="A57" s="13" t="s">
        <v>90</v>
      </c>
      <c r="B57" s="18" t="str">
        <v>INTRODUCTION TO COMMUNICATION NETWORKS</v>
      </c>
      <c r="C57" s="18" t="str">
        <v>Agyemang Justice Owusu</v>
      </c>
      <c r="D57" s="13" t="s">
        <v>91</v>
      </c>
      <c r="E57" s="15" t="n">
        <v>130</v>
      </c>
      <c r="F57" s="19" t="s">
        <v>21</v>
      </c>
      <c r="G57" s="17" t="n">
        <f aca="false">E57*1.1</f>
        <v>143</v>
      </c>
      <c r="I57" s="6" t="str">
        <f aca="false">CONCATENATE(A57,",",D57)</f>
        <v>TE 156,ED1-TEL</v>
      </c>
      <c r="J57" s="12"/>
    </row>
    <row r="58" customFormat="false" ht="14.9" hidden="false" customHeight="false" outlineLevel="0" collapsed="false">
      <c r="A58" s="13" t="s">
        <v>92</v>
      </c>
      <c r="B58" s="14" t="str">
        <v>DRAWING FOR ENGINEERS</v>
      </c>
      <c r="C58" s="14" t="str">
        <v>Jones Twumasi</v>
      </c>
      <c r="D58" s="13" t="s">
        <v>93</v>
      </c>
      <c r="E58" s="15" t="n">
        <v>95</v>
      </c>
      <c r="F58" s="13"/>
      <c r="G58" s="17" t="n">
        <f aca="false">E58*1.1</f>
        <v>104.5</v>
      </c>
      <c r="I58" s="29" t="str">
        <f aca="false">CONCATENATE(A58,",",D58)</f>
        <v>PE 254,ED2-PE</v>
      </c>
      <c r="J58" s="12"/>
    </row>
    <row r="59" customFormat="false" ht="14.9" hidden="false" customHeight="false" outlineLevel="0" collapsed="false">
      <c r="A59" s="13" t="s">
        <v>94</v>
      </c>
      <c r="B59" s="18" t="str">
        <v>LARGE SCALE SURVEYING</v>
      </c>
      <c r="C59" s="14" t="str">
        <v>Ayer John Wise Divine</v>
      </c>
      <c r="D59" s="13" t="s">
        <v>95</v>
      </c>
      <c r="E59" s="15" t="n">
        <v>103</v>
      </c>
      <c r="F59" s="19"/>
      <c r="G59" s="17" t="n">
        <f aca="false">E59*1.1</f>
        <v>113.3</v>
      </c>
      <c r="I59" s="6" t="str">
        <f aca="false">CONCATENATE(A59,",",D59)</f>
        <v>GE 162,ED1-GEOM</v>
      </c>
      <c r="J59" s="12"/>
    </row>
    <row r="60" customFormat="false" ht="14.9" hidden="false" customHeight="false" outlineLevel="0" collapsed="false">
      <c r="A60" s="30" t="s">
        <v>96</v>
      </c>
      <c r="B60" s="14" t="str">
        <v>SPECIAL VEHICLE DESIGN</v>
      </c>
      <c r="C60" s="14" t="str">
        <v>Ayetor Godwin Kafui Kwesi</v>
      </c>
      <c r="D60" s="30" t="s">
        <v>97</v>
      </c>
      <c r="E60" s="15" t="n">
        <v>32</v>
      </c>
      <c r="F60" s="19"/>
      <c r="G60" s="17" t="n">
        <f aca="false">E60*1.1</f>
        <v>35.2</v>
      </c>
      <c r="I60" s="6" t="str">
        <f aca="false">CONCATENATE(A60,",",D60)</f>
        <v>AME 482,ED4-AUTO</v>
      </c>
      <c r="J60" s="12"/>
    </row>
    <row r="61" s="1" customFormat="true" ht="14.9" hidden="false" customHeight="false" outlineLevel="0" collapsed="false">
      <c r="A61" s="13" t="s">
        <v>98</v>
      </c>
      <c r="B61" s="14" t="str">
        <v>APPLIED METEOROLOGY</v>
      </c>
      <c r="C61" s="18" t="str">
        <v>Prince Junior Asilevi</v>
      </c>
      <c r="D61" s="13" t="s">
        <v>99</v>
      </c>
      <c r="E61" s="15" t="n">
        <v>61</v>
      </c>
      <c r="F61" s="19"/>
      <c r="G61" s="17" t="n">
        <f aca="false">E61*1.1</f>
        <v>67.1</v>
      </c>
      <c r="H61" s="5"/>
      <c r="I61" s="29" t="str">
        <f aca="false">CONCATENATE(A61,",",D61)</f>
        <v>AERO 456,ED4-AERO</v>
      </c>
      <c r="J61" s="31"/>
      <c r="K61" s="32"/>
      <c r="L61" s="32"/>
      <c r="M61" s="32"/>
    </row>
    <row r="62" customFormat="false" ht="14.9" hidden="false" customHeight="false" outlineLevel="0" collapsed="false">
      <c r="A62" s="13" t="s">
        <v>100</v>
      </c>
      <c r="B62" s="18" t="str">
        <v>ASSAYING</v>
      </c>
      <c r="C62" s="18" t="str">
        <v>Koomson Bennetta</v>
      </c>
      <c r="D62" s="13" t="s">
        <v>101</v>
      </c>
      <c r="E62" s="15" t="n">
        <v>57</v>
      </c>
      <c r="F62" s="19"/>
      <c r="G62" s="17" t="n">
        <f aca="false">E62*1.1</f>
        <v>62.7</v>
      </c>
      <c r="I62" s="6" t="str">
        <f aca="false">CONCATENATE(A62,",",D62)</f>
        <v>METE 256,ED2-METE</v>
      </c>
      <c r="J62" s="12"/>
    </row>
    <row r="63" customFormat="false" ht="14.9" hidden="false" customHeight="false" outlineLevel="0" collapsed="false">
      <c r="A63" s="13" t="s">
        <v>102</v>
      </c>
      <c r="B63" s="14" t="str">
        <v>ENVIRONMENTAL QUALITY ENGINEERING II</v>
      </c>
      <c r="C63" s="18" t="str">
        <v>Appiah-Effah Eugene</v>
      </c>
      <c r="D63" s="13" t="s">
        <v>103</v>
      </c>
      <c r="E63" s="15" t="n">
        <v>115</v>
      </c>
      <c r="F63" s="19"/>
      <c r="G63" s="17" t="n">
        <f aca="false">E63*1.1</f>
        <v>126.5</v>
      </c>
      <c r="I63" s="6" t="str">
        <f aca="false">CONCATENATE(A63,",",D63)</f>
        <v>CE 464,ED4-CE</v>
      </c>
      <c r="J63" s="12"/>
    </row>
    <row r="64" customFormat="false" ht="14.9" hidden="false" customHeight="false" outlineLevel="0" collapsed="false">
      <c r="A64" s="13" t="s">
        <v>104</v>
      </c>
      <c r="B64" s="18" t="str">
        <v>FUNDAMENTALS OF PETROLEUM LAW</v>
      </c>
      <c r="C64" s="18" t="str">
        <v>Amoah Enoch Kwabena</v>
      </c>
      <c r="D64" s="13" t="s">
        <v>46</v>
      </c>
      <c r="E64" s="15" t="n">
        <v>99</v>
      </c>
      <c r="F64" s="19"/>
      <c r="G64" s="17" t="n">
        <f aca="false">E64*1.1</f>
        <v>108.9</v>
      </c>
      <c r="I64" s="6" t="str">
        <f aca="false">CONCATENATE(A64,",",D64)</f>
        <v>PE 466,ED4-PE</v>
      </c>
      <c r="J64" s="12"/>
    </row>
    <row r="65" customFormat="false" ht="14.9" hidden="false" customHeight="false" outlineLevel="0" collapsed="false">
      <c r="A65" s="22"/>
      <c r="B65" s="22"/>
      <c r="D65" s="14" t="s">
        <v>105</v>
      </c>
      <c r="E65" s="22" t="n">
        <f aca="false">SUM(E51:E64)</f>
        <v>1150</v>
      </c>
      <c r="F65" s="23"/>
      <c r="G65" s="22"/>
      <c r="I65" s="9" t="s">
        <v>27</v>
      </c>
      <c r="J65" s="12"/>
    </row>
    <row r="66" customFormat="false" ht="14.9" hidden="false" customHeight="false" outlineLevel="0" collapsed="false">
      <c r="A66" s="22"/>
      <c r="B66" s="22"/>
      <c r="D66" s="22"/>
      <c r="E66" s="33"/>
      <c r="F66" s="23"/>
      <c r="G66" s="22"/>
      <c r="I66" s="9" t="s">
        <v>106</v>
      </c>
      <c r="J66" s="12"/>
    </row>
    <row r="67" customFormat="false" ht="14.9" hidden="false" customHeight="false" outlineLevel="0" collapsed="false">
      <c r="A67" s="8" t="s">
        <v>78</v>
      </c>
      <c r="B67" s="8"/>
      <c r="C67" s="8"/>
      <c r="D67" s="8"/>
      <c r="E67" s="8"/>
      <c r="F67" s="8"/>
      <c r="G67" s="8"/>
      <c r="I67" s="9" t="s">
        <v>28</v>
      </c>
      <c r="J67" s="12"/>
    </row>
    <row r="68" s="10" customFormat="true" ht="14.9" hidden="false" customHeight="false" outlineLevel="0" collapsed="false">
      <c r="A68" s="8" t="s">
        <v>29</v>
      </c>
      <c r="B68" s="8"/>
      <c r="C68" s="8"/>
      <c r="D68" s="8"/>
      <c r="E68" s="8"/>
      <c r="F68" s="8"/>
      <c r="G68" s="8"/>
      <c r="H68" s="5"/>
      <c r="I68" s="9" t="s">
        <v>30</v>
      </c>
      <c r="J68" s="12"/>
    </row>
    <row r="69" s="10" customFormat="true" ht="14.9" hidden="false" customHeight="false" outlineLevel="0" collapsed="false">
      <c r="A69" s="11" t="s">
        <v>4</v>
      </c>
      <c r="B69" s="11" t="s">
        <v>5</v>
      </c>
      <c r="C69" s="2" t="s">
        <v>6</v>
      </c>
      <c r="D69" s="11" t="s">
        <v>7</v>
      </c>
      <c r="E69" s="11" t="s">
        <v>8</v>
      </c>
      <c r="F69" s="2" t="s">
        <v>9</v>
      </c>
      <c r="G69" s="11" t="s">
        <v>10</v>
      </c>
      <c r="H69" s="5"/>
      <c r="I69" s="9" t="s">
        <v>31</v>
      </c>
      <c r="J69" s="12"/>
    </row>
    <row r="70" customFormat="false" ht="14.9" hidden="false" customHeight="false" outlineLevel="0" collapsed="false">
      <c r="A70" s="13" t="s">
        <v>107</v>
      </c>
      <c r="B70" s="14" t="str">
        <f aca="false" t="array" ref="B70:B82">IFERROR(VLOOKUP(I70:I82,Lectures_1!A2:F534,2,FALSE()),0)</f>
        <v>OBJECT-ORIENTED PROGRAMMING</v>
      </c>
      <c r="C70" s="18" t="str">
        <f aca="false" t="array" ref="C70:C82">IFERROR(VLOOKUP(I70:I82,Lectures_1!A2:F534,3,FALSE()),0)</f>
        <v>Adjaidoo Theresa-Samuelle Maame Atwemaah</v>
      </c>
      <c r="D70" s="13" t="s">
        <v>108</v>
      </c>
      <c r="E70" s="15" t="n">
        <f aca="false" t="array" ref="E70:E82">IFERROR(VLOOKUP(I70:I82,Lectures_1!A2:F534,4,FALSE()),0)</f>
        <v>255</v>
      </c>
      <c r="F70" s="20" t="s">
        <v>21</v>
      </c>
      <c r="G70" s="17" t="n">
        <f aca="false">E70*1.1</f>
        <v>280.5</v>
      </c>
      <c r="I70" s="6" t="str">
        <f aca="false">CONCATENATE(A70,",",D70)</f>
        <v>COE 254,ED2-COE</v>
      </c>
      <c r="J70" s="12"/>
    </row>
    <row r="71" customFormat="false" ht="14.9" hidden="false" customHeight="false" outlineLevel="0" collapsed="false">
      <c r="A71" s="13" t="s">
        <v>107</v>
      </c>
      <c r="B71" s="14" t="str">
        <v>OBJECT-ORIENTED PROGRAMMING</v>
      </c>
      <c r="C71" s="18" t="str">
        <v>Adjaidoo Theresa-Samuelle Maame Atwemaah</v>
      </c>
      <c r="D71" s="13" t="s">
        <v>109</v>
      </c>
      <c r="E71" s="15" t="n">
        <v>80</v>
      </c>
      <c r="F71" s="20"/>
      <c r="G71" s="17" t="n">
        <f aca="false">E71*1.1</f>
        <v>88</v>
      </c>
      <c r="I71" s="6" t="str">
        <f aca="false">CONCATENATE(A71,",",D71)</f>
        <v>COE 254,ED2-BME</v>
      </c>
      <c r="J71" s="12"/>
    </row>
    <row r="72" customFormat="false" ht="14.9" hidden="false" customHeight="false" outlineLevel="0" collapsed="false">
      <c r="A72" s="13" t="s">
        <v>110</v>
      </c>
      <c r="B72" s="14" t="str">
        <v>COMPUTER PROGRAMMING FOR ENGINEERS</v>
      </c>
      <c r="C72" s="18" t="str">
        <v>Dzebre Denis Edem Kwame</v>
      </c>
      <c r="D72" s="13" t="s">
        <v>111</v>
      </c>
      <c r="E72" s="15" t="n">
        <v>83</v>
      </c>
      <c r="F72" s="19"/>
      <c r="G72" s="17" t="n">
        <f aca="false">E72*1.1</f>
        <v>91.3</v>
      </c>
      <c r="I72" s="6" t="str">
        <f aca="false">CONCATENATE(A72,",",D72)</f>
        <v>ME 168,ED1-IND</v>
      </c>
      <c r="J72" s="12"/>
    </row>
    <row r="73" customFormat="false" ht="14.9" hidden="false" customHeight="false" outlineLevel="0" collapsed="false">
      <c r="A73" s="13" t="s">
        <v>110</v>
      </c>
      <c r="B73" s="14" t="str">
        <v>COMPUTER PROGRAMMING FOR ENGINEERS</v>
      </c>
      <c r="C73" s="18" t="str">
        <v>Dzebre Denis Edem Kwame</v>
      </c>
      <c r="D73" s="13" t="s">
        <v>112</v>
      </c>
      <c r="E73" s="15" t="n">
        <v>46</v>
      </c>
      <c r="F73" s="19"/>
      <c r="G73" s="17" t="n">
        <f aca="false">E73*1.1</f>
        <v>50.6</v>
      </c>
      <c r="I73" s="6" t="str">
        <f aca="false">CONCATENATE(A73,",",D73)</f>
        <v>ME 168,ED1-MARI</v>
      </c>
      <c r="J73" s="12"/>
    </row>
    <row r="74" customFormat="false" ht="14.9" hidden="false" customHeight="false" outlineLevel="0" collapsed="false">
      <c r="A74" s="13" t="s">
        <v>113</v>
      </c>
      <c r="B74" s="14" t="str">
        <v>OPTICAL AND THERMAL BEHAVIOUR OF MATERIALS</v>
      </c>
      <c r="C74" s="18" t="str">
        <v>Nartey Martinson Addo</v>
      </c>
      <c r="D74" s="13" t="s">
        <v>114</v>
      </c>
      <c r="E74" s="15" t="n">
        <v>75</v>
      </c>
      <c r="F74" s="19"/>
      <c r="G74" s="17" t="n">
        <f aca="false">E74*1.1</f>
        <v>82.5</v>
      </c>
      <c r="I74" s="6" t="str">
        <f aca="false">CONCATENATE(A74,",",D74)</f>
        <v>MSE 154,ED1-METE</v>
      </c>
      <c r="J74" s="12"/>
    </row>
    <row r="75" customFormat="false" ht="14.9" hidden="false" customHeight="false" outlineLevel="0" collapsed="false">
      <c r="A75" s="13" t="s">
        <v>113</v>
      </c>
      <c r="B75" s="14" t="str">
        <v>OPTICAL AND THERMAL BEHAVIOUR OF MATERIALS</v>
      </c>
      <c r="C75" s="18" t="str">
        <v>Nartey Martinson Addo</v>
      </c>
      <c r="D75" s="13" t="s">
        <v>115</v>
      </c>
      <c r="E75" s="15" t="n">
        <v>100</v>
      </c>
      <c r="F75" s="19"/>
      <c r="G75" s="17" t="n">
        <f aca="false">E75*1.1</f>
        <v>110</v>
      </c>
      <c r="I75" s="6" t="str">
        <f aca="false">CONCATENATE(A75,",",D75)</f>
        <v>MSE 154,ED1-MSE</v>
      </c>
      <c r="J75" s="12"/>
    </row>
    <row r="76" customFormat="false" ht="14.9" hidden="false" customHeight="false" outlineLevel="0" collapsed="false">
      <c r="A76" s="13" t="s">
        <v>116</v>
      </c>
      <c r="B76" s="18" t="str">
        <v>MECHANICAL ENGINEERING MATERIALS III</v>
      </c>
      <c r="C76" s="18" t="str">
        <v>Sackey Samuel Mensah</v>
      </c>
      <c r="D76" s="13" t="s">
        <v>67</v>
      </c>
      <c r="E76" s="15" t="n">
        <v>55</v>
      </c>
      <c r="F76" s="19"/>
      <c r="G76" s="17" t="n">
        <f aca="false">E76*1.1</f>
        <v>60.5</v>
      </c>
      <c r="I76" s="6" t="str">
        <f aca="false">CONCATENATE(A76,",",D76)</f>
        <v>ME 482,ED4-ME</v>
      </c>
      <c r="J76" s="12"/>
    </row>
    <row r="77" customFormat="false" ht="14.9" hidden="false" customHeight="false" outlineLevel="0" collapsed="false">
      <c r="A77" s="13" t="s">
        <v>117</v>
      </c>
      <c r="B77" s="14" t="str">
        <v>SWITCHING ENGINEERING IN COMMUNICATION</v>
      </c>
      <c r="C77" s="14" t="str">
        <v>Obour Agyekum Kwame Opuni-Boachie</v>
      </c>
      <c r="D77" s="13" t="s">
        <v>71</v>
      </c>
      <c r="E77" s="15" t="n">
        <v>10</v>
      </c>
      <c r="F77" s="19"/>
      <c r="G77" s="17" t="n">
        <f aca="false">E77*1.1</f>
        <v>11</v>
      </c>
      <c r="I77" s="6" t="str">
        <f aca="false">CONCATENATE(A77,",",D77)</f>
        <v>TE 384,ED3-EE</v>
      </c>
      <c r="J77" s="12"/>
    </row>
    <row r="78" customFormat="false" ht="14.9" hidden="false" customHeight="false" outlineLevel="0" collapsed="false">
      <c r="A78" s="13" t="s">
        <v>118</v>
      </c>
      <c r="B78" s="14" t="str">
        <v>SWITCHING ENGINEERING IN COMMUNICATION</v>
      </c>
      <c r="C78" s="14" t="str">
        <v>Agyekum Kwame Agyeman-Prempeh</v>
      </c>
      <c r="D78" s="13" t="s">
        <v>119</v>
      </c>
      <c r="E78" s="15" t="n">
        <v>140</v>
      </c>
      <c r="F78" s="19"/>
      <c r="G78" s="17" t="n">
        <f aca="false">E78*1.1</f>
        <v>154</v>
      </c>
      <c r="I78" s="6" t="str">
        <f aca="false">CONCATENATE(A78,",",D78)</f>
        <v>TE 356,ED3-TEL</v>
      </c>
      <c r="J78" s="12"/>
    </row>
    <row r="79" customFormat="false" ht="14.9" hidden="false" customHeight="false" outlineLevel="0" collapsed="false">
      <c r="A79" s="13" t="s">
        <v>120</v>
      </c>
      <c r="B79" s="18" t="str">
        <v>OPERATIONS RESEARCH II</v>
      </c>
      <c r="C79" s="18" t="str">
        <v>Asiedu Charlotte</v>
      </c>
      <c r="D79" s="13" t="s">
        <v>121</v>
      </c>
      <c r="E79" s="15" t="n">
        <v>70</v>
      </c>
      <c r="F79" s="19"/>
      <c r="G79" s="17" t="n">
        <f aca="false">E79*1.1</f>
        <v>77</v>
      </c>
      <c r="I79" s="6" t="str">
        <f aca="false">CONCATENATE(A79,",",D79)</f>
        <v>IE 368,ED3-IND</v>
      </c>
      <c r="J79" s="12"/>
    </row>
    <row r="80" customFormat="false" ht="14.9" hidden="false" customHeight="false" outlineLevel="0" collapsed="false">
      <c r="A80" s="13" t="s">
        <v>122</v>
      </c>
      <c r="B80" s="18" t="str">
        <v>FOOD PROCESSING TECHNOLOGY</v>
      </c>
      <c r="C80" s="14" t="str">
        <v>Anang Daniel Adjah</v>
      </c>
      <c r="D80" s="13" t="s">
        <v>73</v>
      </c>
      <c r="E80" s="15" t="n">
        <v>50</v>
      </c>
      <c r="F80" s="19"/>
      <c r="G80" s="17" t="n">
        <f aca="false">E80*1.1</f>
        <v>55</v>
      </c>
      <c r="I80" s="6" t="str">
        <f aca="false">CONCATENATE(A80,",",D80)</f>
        <v>CHE 368,ED3-CHE</v>
      </c>
      <c r="J80" s="12"/>
    </row>
    <row r="81" customFormat="false" ht="14.9" hidden="false" customHeight="false" outlineLevel="0" collapsed="false">
      <c r="A81" s="13" t="s">
        <v>123</v>
      </c>
      <c r="B81" s="14" t="str">
        <v>AUTOMATION AND PRODUCTION SYSTEM</v>
      </c>
      <c r="C81" s="18" t="str">
        <v>Sackey Samuel Mensah</v>
      </c>
      <c r="D81" s="13" t="s">
        <v>124</v>
      </c>
      <c r="E81" s="15" t="n">
        <v>69</v>
      </c>
      <c r="F81" s="13"/>
      <c r="G81" s="17" t="n">
        <f aca="false">E81*1.1</f>
        <v>75.9</v>
      </c>
      <c r="I81" s="6" t="str">
        <f aca="false">CONCATENATE(A81,",",D81)</f>
        <v>IE 452,ED4-IND</v>
      </c>
      <c r="J81" s="12"/>
    </row>
    <row r="82" customFormat="false" ht="14.9" hidden="false" customHeight="false" outlineLevel="0" collapsed="false">
      <c r="A82" s="13" t="s">
        <v>125</v>
      </c>
      <c r="B82" s="18" t="str">
        <v>COMPUTER APPLICATIONS</v>
      </c>
      <c r="C82" s="18" t="str">
        <v>Albert Kwame Kwaw</v>
      </c>
      <c r="D82" s="13" t="s">
        <v>126</v>
      </c>
      <c r="E82" s="15" t="n">
        <v>125</v>
      </c>
      <c r="F82" s="19"/>
      <c r="G82" s="17" t="n">
        <f aca="false">E82*1.1</f>
        <v>137.5</v>
      </c>
      <c r="I82" s="6" t="str">
        <f aca="false">CONCATENATE(A82,",",D82)</f>
        <v>GED 164,ED1-GEOL</v>
      </c>
      <c r="J82" s="12"/>
    </row>
    <row r="83" customFormat="false" ht="14.9" hidden="false" customHeight="false" outlineLevel="0" collapsed="false">
      <c r="A83" s="13"/>
      <c r="B83" s="22"/>
      <c r="D83" s="14" t="s">
        <v>127</v>
      </c>
      <c r="E83" s="22" t="n">
        <f aca="false">SUM(E70:E82)</f>
        <v>1158</v>
      </c>
      <c r="F83" s="23"/>
      <c r="G83" s="22"/>
      <c r="I83" s="9" t="s">
        <v>58</v>
      </c>
      <c r="J83" s="12"/>
    </row>
    <row r="84" customFormat="false" ht="14.9" hidden="false" customHeight="false" outlineLevel="0" collapsed="false">
      <c r="A84" s="8" t="s">
        <v>78</v>
      </c>
      <c r="B84" s="8"/>
      <c r="C84" s="8"/>
      <c r="D84" s="8"/>
      <c r="E84" s="8"/>
      <c r="F84" s="8"/>
      <c r="G84" s="8"/>
      <c r="I84" s="9" t="s">
        <v>28</v>
      </c>
      <c r="J84" s="12"/>
    </row>
    <row r="85" customFormat="false" ht="14.9" hidden="false" customHeight="false" outlineLevel="0" collapsed="false">
      <c r="A85" s="8" t="s">
        <v>59</v>
      </c>
      <c r="B85" s="8"/>
      <c r="C85" s="8"/>
      <c r="D85" s="8"/>
      <c r="E85" s="8"/>
      <c r="F85" s="8"/>
      <c r="G85" s="8"/>
      <c r="I85" s="9" t="s">
        <v>128</v>
      </c>
      <c r="J85" s="12"/>
    </row>
    <row r="86" customFormat="false" ht="14.9" hidden="false" customHeight="false" outlineLevel="0" collapsed="false">
      <c r="A86" s="11" t="s">
        <v>4</v>
      </c>
      <c r="B86" s="11" t="s">
        <v>5</v>
      </c>
      <c r="C86" s="2" t="s">
        <v>6</v>
      </c>
      <c r="D86" s="11" t="s">
        <v>7</v>
      </c>
      <c r="E86" s="11" t="s">
        <v>8</v>
      </c>
      <c r="F86" s="2" t="s">
        <v>9</v>
      </c>
      <c r="G86" s="11" t="s">
        <v>10</v>
      </c>
      <c r="I86" s="9" t="s">
        <v>31</v>
      </c>
      <c r="J86" s="12"/>
    </row>
    <row r="87" customFormat="false" ht="14.9" hidden="false" customHeight="false" outlineLevel="0" collapsed="false">
      <c r="A87" s="13" t="s">
        <v>129</v>
      </c>
      <c r="B87" s="14" t="str">
        <f aca="false" t="array" ref="B87:B96">IFERROR(VLOOKUP(I87:I96,Lectures_1!A2:F534,2,FALSE()),0)</f>
        <v>CALCULUS WITH ANALYSIS</v>
      </c>
      <c r="C87" s="14" t="str">
        <f aca="false" t="array" ref="C87:C96">IFERROR(VLOOKUP(I87:I96,Lectures_1!A2:F534,3,FALSE()),0)</f>
        <v>Ezearn Jeffery</v>
      </c>
      <c r="D87" s="13" t="s">
        <v>130</v>
      </c>
      <c r="E87" s="15" t="n">
        <f aca="false" t="array" ref="E87:E96">IFERROR(VLOOKUP(I87:I96,Lectures_1!A2:F534,4,FALSE()),0)</f>
        <v>136</v>
      </c>
      <c r="F87" s="34" t="s">
        <v>34</v>
      </c>
      <c r="G87" s="17" t="n">
        <f aca="false">E87*1.1</f>
        <v>149.6</v>
      </c>
      <c r="I87" s="29" t="str">
        <f aca="false">CONCATENATE(A87,",",D87)</f>
        <v>MATH 152,ED1-BME</v>
      </c>
      <c r="J87" s="31"/>
      <c r="K87" s="32"/>
      <c r="L87" s="32"/>
      <c r="M87" s="32"/>
    </row>
    <row r="88" customFormat="false" ht="14.9" hidden="false" customHeight="false" outlineLevel="0" collapsed="false">
      <c r="A88" s="13" t="s">
        <v>129</v>
      </c>
      <c r="B88" s="14" t="str">
        <v>CALCULUS WITH ANALYSIS</v>
      </c>
      <c r="C88" s="14" t="str">
        <v>Ezearn Jeffery</v>
      </c>
      <c r="D88" s="13" t="s">
        <v>131</v>
      </c>
      <c r="E88" s="15" t="n">
        <v>128</v>
      </c>
      <c r="F88" s="34"/>
      <c r="G88" s="17" t="n">
        <f aca="false">E88*1.1</f>
        <v>140.8</v>
      </c>
      <c r="H88" s="27"/>
      <c r="I88" s="6" t="str">
        <f aca="false">CONCATENATE(A88,",",D88)</f>
        <v>MATH 152,ED1-AE</v>
      </c>
      <c r="J88" s="12"/>
    </row>
    <row r="89" customFormat="false" ht="14.9" hidden="false" customHeight="false" outlineLevel="0" collapsed="false">
      <c r="A89" s="13" t="s">
        <v>132</v>
      </c>
      <c r="B89" s="14" t="str">
        <v>AEROSPACE ENGINEERING LAB II</v>
      </c>
      <c r="C89" s="14" t="str">
        <v>Oppong David Kofi</v>
      </c>
      <c r="D89" s="13" t="s">
        <v>133</v>
      </c>
      <c r="E89" s="15" t="n">
        <v>76</v>
      </c>
      <c r="F89" s="35"/>
      <c r="G89" s="17" t="n">
        <f aca="false">E89*1.1</f>
        <v>83.6</v>
      </c>
      <c r="H89" s="27"/>
      <c r="I89" s="6" t="str">
        <f aca="false">CONCATENATE(A89,",",D89)</f>
        <v>AERO 396,ED3-AERO</v>
      </c>
      <c r="J89" s="12"/>
    </row>
    <row r="90" customFormat="false" ht="14.9" hidden="false" customHeight="false" outlineLevel="0" collapsed="false">
      <c r="A90" s="13" t="s">
        <v>134</v>
      </c>
      <c r="B90" s="14" t="str">
        <v>PROCESS DYNAMICS AND CONTROL</v>
      </c>
      <c r="C90" s="18" t="str">
        <v>Adjaottor Albert Amatey</v>
      </c>
      <c r="D90" s="13" t="s">
        <v>135</v>
      </c>
      <c r="E90" s="15" t="n">
        <v>60</v>
      </c>
      <c r="F90" s="19"/>
      <c r="G90" s="17" t="n">
        <f aca="false">E90*1.1</f>
        <v>66</v>
      </c>
      <c r="I90" s="6" t="str">
        <f aca="false">CONCATENATE(A90,",",D90)</f>
        <v>MSE 458,ED4-MSE</v>
      </c>
      <c r="J90" s="12"/>
    </row>
    <row r="91" customFormat="false" ht="14.9" hidden="false" customHeight="false" outlineLevel="0" collapsed="false">
      <c r="A91" s="13" t="s">
        <v>134</v>
      </c>
      <c r="B91" s="14" t="str">
        <v>PROCESS DYNANICS AND CONTROL</v>
      </c>
      <c r="C91" s="18" t="str">
        <v>Adjaottor Albert Amatey</v>
      </c>
      <c r="D91" s="13" t="s">
        <v>136</v>
      </c>
      <c r="E91" s="15" t="n">
        <v>55</v>
      </c>
      <c r="F91" s="19"/>
      <c r="G91" s="17" t="n">
        <f aca="false">E91*1.1</f>
        <v>60.5</v>
      </c>
      <c r="I91" s="6" t="str">
        <f aca="false">CONCATENATE(A91,",",D91)</f>
        <v>MSE 458,ED4-METE</v>
      </c>
      <c r="J91" s="12"/>
    </row>
    <row r="92" customFormat="false" ht="14.9" hidden="false" customHeight="false" outlineLevel="0" collapsed="false">
      <c r="A92" s="13" t="s">
        <v>137</v>
      </c>
      <c r="B92" s="14" t="str">
        <v>ELECTRICAL MEASUREMENTS &amp; INSTRUMENTATION</v>
      </c>
      <c r="C92" s="18" t="str">
        <v>Nicholas Kwesi Prah II</v>
      </c>
      <c r="D92" s="13" t="s">
        <v>51</v>
      </c>
      <c r="E92" s="15" t="n">
        <v>295</v>
      </c>
      <c r="F92" s="19"/>
      <c r="G92" s="17" t="n">
        <f aca="false">E92*1.1</f>
        <v>324.5</v>
      </c>
      <c r="I92" s="6" t="str">
        <f aca="false">CONCATENATE(A92,",",D92)</f>
        <v>EE 188,ED1-EE</v>
      </c>
      <c r="J92" s="12"/>
    </row>
    <row r="93" customFormat="false" ht="14.9" hidden="false" customHeight="false" outlineLevel="0" collapsed="false">
      <c r="A93" s="13" t="s">
        <v>138</v>
      </c>
      <c r="B93" s="18" t="str">
        <v>SOIL AND ROCKS MECHANICS LABORATORY</v>
      </c>
      <c r="C93" s="18" t="str">
        <v>Dzikunu-Bansah Nancy Anataba Kyorku</v>
      </c>
      <c r="D93" s="13" t="s">
        <v>56</v>
      </c>
      <c r="E93" s="15" t="n">
        <v>250</v>
      </c>
      <c r="F93" s="19"/>
      <c r="G93" s="17" t="n">
        <f aca="false">E93*1.1</f>
        <v>275</v>
      </c>
      <c r="I93" s="6" t="str">
        <f aca="false">CONCATENATE(A93,",",D93)</f>
        <v>CE 262,ED2-CE</v>
      </c>
      <c r="J93" s="12"/>
    </row>
    <row r="94" customFormat="false" ht="14.9" hidden="false" customHeight="false" outlineLevel="0" collapsed="false">
      <c r="A94" s="13" t="s">
        <v>139</v>
      </c>
      <c r="B94" s="18" t="str">
        <v>MATERIALS CHARACTERIZATION LABORATORY</v>
      </c>
      <c r="C94" s="18" t="str">
        <v>Arthur Emmanuel Kwesi</v>
      </c>
      <c r="D94" s="13" t="s">
        <v>140</v>
      </c>
      <c r="E94" s="15" t="n">
        <v>85</v>
      </c>
      <c r="F94" s="19"/>
      <c r="G94" s="17" t="n">
        <f aca="false">E94*1.1</f>
        <v>93.5</v>
      </c>
      <c r="I94" s="6" t="str">
        <f aca="false">CONCATENATE(A94,",",D94)</f>
        <v>MSE 364,ED3-MSE</v>
      </c>
      <c r="J94" s="12"/>
    </row>
    <row r="95" customFormat="false" ht="14.9" hidden="false" customHeight="false" outlineLevel="0" collapsed="false">
      <c r="A95" s="13" t="s">
        <v>141</v>
      </c>
      <c r="B95" s="18" t="str">
        <v>METALLURGICAL CHARACTERIZATION LABORATORY</v>
      </c>
      <c r="C95" s="18" t="str">
        <v>Arthur Emmanuel Kwesi</v>
      </c>
      <c r="D95" s="13" t="s">
        <v>142</v>
      </c>
      <c r="E95" s="15" t="n">
        <v>87</v>
      </c>
      <c r="F95" s="19"/>
      <c r="G95" s="17" t="n">
        <f aca="false">E95*1.1</f>
        <v>95.7</v>
      </c>
      <c r="I95" s="6" t="str">
        <f aca="false">CONCATENATE(A95,",",D95)</f>
        <v>METE 358,ED3-METE</v>
      </c>
      <c r="J95" s="12"/>
    </row>
    <row r="96" customFormat="false" ht="14.9" hidden="false" customHeight="false" outlineLevel="0" collapsed="false">
      <c r="A96" s="13" t="s">
        <v>143</v>
      </c>
      <c r="B96" s="14" t="str">
        <v>ELECTRIC DRIVES</v>
      </c>
      <c r="C96" s="14" t="str">
        <v>Effah Francis Boafo</v>
      </c>
      <c r="D96" s="13" t="s">
        <v>144</v>
      </c>
      <c r="E96" s="15" t="n">
        <v>189</v>
      </c>
      <c r="F96" s="19" t="s">
        <v>21</v>
      </c>
      <c r="G96" s="17" t="n">
        <f aca="false">E96*1.1</f>
        <v>207.9</v>
      </c>
      <c r="I96" s="6" t="str">
        <f aca="false">CONCATENATE(A96,",",D96)</f>
        <v>EE 462,ED4-EE</v>
      </c>
      <c r="J96" s="12"/>
    </row>
    <row r="97" customFormat="false" ht="14.9" hidden="false" customHeight="false" outlineLevel="0" collapsed="false">
      <c r="A97" s="22"/>
      <c r="B97" s="22"/>
      <c r="D97" s="14" t="s">
        <v>145</v>
      </c>
      <c r="E97" s="22" t="n">
        <f aca="false">SUM(E89:E96)</f>
        <v>1097</v>
      </c>
      <c r="F97" s="18"/>
      <c r="G97" s="22"/>
      <c r="I97" s="9" t="s">
        <v>146</v>
      </c>
      <c r="J97" s="12"/>
    </row>
    <row r="98" customFormat="false" ht="14.9" hidden="false" customHeight="false" outlineLevel="0" collapsed="false">
      <c r="A98" s="8" t="s">
        <v>147</v>
      </c>
      <c r="B98" s="8"/>
      <c r="C98" s="8"/>
      <c r="D98" s="8"/>
      <c r="E98" s="8"/>
      <c r="F98" s="8"/>
      <c r="G98" s="8"/>
      <c r="I98" s="9" t="s">
        <v>148</v>
      </c>
      <c r="J98" s="12"/>
    </row>
    <row r="99" customFormat="false" ht="14.9" hidden="false" customHeight="false" outlineLevel="0" collapsed="false">
      <c r="A99" s="8" t="s">
        <v>2</v>
      </c>
      <c r="B99" s="8"/>
      <c r="C99" s="8"/>
      <c r="D99" s="8"/>
      <c r="E99" s="8"/>
      <c r="F99" s="8"/>
      <c r="G99" s="8"/>
      <c r="I99" s="9" t="s">
        <v>149</v>
      </c>
      <c r="J99" s="12"/>
    </row>
    <row r="100" customFormat="false" ht="14.9" hidden="false" customHeight="false" outlineLevel="0" collapsed="false">
      <c r="A100" s="11" t="s">
        <v>4</v>
      </c>
      <c r="B100" s="11" t="s">
        <v>5</v>
      </c>
      <c r="C100" s="2" t="s">
        <v>6</v>
      </c>
      <c r="D100" s="11" t="s">
        <v>7</v>
      </c>
      <c r="E100" s="11" t="s">
        <v>8</v>
      </c>
      <c r="F100" s="2" t="s">
        <v>9</v>
      </c>
      <c r="G100" s="11" t="s">
        <v>10</v>
      </c>
      <c r="I100" s="9" t="s">
        <v>31</v>
      </c>
      <c r="J100" s="12"/>
    </row>
    <row r="101" customFormat="false" ht="14.9" hidden="false" customHeight="false" outlineLevel="0" collapsed="false">
      <c r="A101" s="13" t="s">
        <v>150</v>
      </c>
      <c r="B101" s="14" t="str">
        <f aca="false" t="array" ref="B101:B109">IFERROR(VLOOKUP(I101:I109,Lectures_1!A2:F534,2,FALSE()),0)</f>
        <v>PLANNING THE PHYSICAL ENVIRONMENT</v>
      </c>
      <c r="C101" s="18" t="str">
        <f aca="false" t="array" ref="C101:C109">IFERROR(VLOOKUP(I101:I109,Lectures_1!A2:F534,3,FALSE()),0)</f>
        <v>Aboagye Prince Anokye</v>
      </c>
      <c r="D101" s="13" t="s">
        <v>77</v>
      </c>
      <c r="E101" s="15" t="n">
        <f aca="false" t="array" ref="E101:E109">IFERROR(VLOOKUP(I101:I109,Lectures_1!A2:F534,4,FALSE()),0)</f>
        <v>122</v>
      </c>
      <c r="F101" s="19"/>
      <c r="G101" s="17" t="n">
        <f aca="false">E101*1.1</f>
        <v>134.2</v>
      </c>
      <c r="I101" s="6" t="str">
        <f aca="false">CONCATENATE(A101,",",D101)</f>
        <v>PL 252,ED3-GEOM</v>
      </c>
      <c r="J101" s="12"/>
    </row>
    <row r="102" customFormat="false" ht="14.9" hidden="false" customHeight="false" outlineLevel="0" collapsed="false">
      <c r="A102" s="13" t="s">
        <v>151</v>
      </c>
      <c r="B102" s="14" t="str">
        <v>MECHANISMS SYNTHESIS AND ANALYSIS I</v>
      </c>
      <c r="C102" s="14" t="str">
        <v>Ampofo Joshua</v>
      </c>
      <c r="D102" s="13" t="s">
        <v>33</v>
      </c>
      <c r="E102" s="15" t="n">
        <v>240</v>
      </c>
      <c r="F102" s="19"/>
      <c r="G102" s="17" t="n">
        <f aca="false">E102*1.1</f>
        <v>264</v>
      </c>
      <c r="I102" s="6" t="str">
        <f aca="false">CONCATENATE(A102,",",D102)</f>
        <v>ME 264,ED2-ME</v>
      </c>
      <c r="J102" s="12"/>
    </row>
    <row r="103" customFormat="false" ht="14.9" hidden="false" customHeight="false" outlineLevel="0" collapsed="false">
      <c r="A103" s="13" t="s">
        <v>151</v>
      </c>
      <c r="B103" s="14" t="str">
        <v>MECHANISMS SYNTHESIS AND ANALYSIS I</v>
      </c>
      <c r="C103" s="14" t="str">
        <v>Ampofo Joshua</v>
      </c>
      <c r="D103" s="13" t="s">
        <v>36</v>
      </c>
      <c r="E103" s="15" t="n">
        <v>75</v>
      </c>
      <c r="F103" s="19"/>
      <c r="G103" s="17" t="n">
        <f aca="false">E103*1.1</f>
        <v>82.5</v>
      </c>
      <c r="I103" s="6" t="str">
        <f aca="false">CONCATENATE(A103,",",D103)</f>
        <v>ME 264,ED2-AERO</v>
      </c>
      <c r="J103" s="12"/>
    </row>
    <row r="104" customFormat="false" ht="14.9" hidden="false" customHeight="false" outlineLevel="0" collapsed="false">
      <c r="A104" s="13" t="s">
        <v>151</v>
      </c>
      <c r="B104" s="14" t="str">
        <v>MECHANISMS SYNTHESIS AND ANALYSIS I</v>
      </c>
      <c r="C104" s="14" t="str">
        <v>Ampofo Joshua</v>
      </c>
      <c r="D104" s="13" t="s">
        <v>38</v>
      </c>
      <c r="E104" s="15" t="n">
        <v>80</v>
      </c>
      <c r="F104" s="19"/>
      <c r="G104" s="17" t="n">
        <f aca="false">E104*1.1</f>
        <v>88</v>
      </c>
      <c r="I104" s="6" t="str">
        <f aca="false">CONCATENATE(A104,",",D104)</f>
        <v>ME 264,ED2-IND</v>
      </c>
      <c r="J104" s="12"/>
    </row>
    <row r="105" customFormat="false" ht="14.9" hidden="false" customHeight="false" outlineLevel="0" collapsed="false">
      <c r="A105" s="13" t="s">
        <v>151</v>
      </c>
      <c r="B105" s="18" t="str">
        <v>MECHANISMS SYNTHESIS AND ANALYSIS I</v>
      </c>
      <c r="C105" s="14" t="str">
        <v>Ampofo Joshua</v>
      </c>
      <c r="D105" s="13" t="s">
        <v>40</v>
      </c>
      <c r="E105" s="15" t="n">
        <v>82</v>
      </c>
      <c r="F105" s="19"/>
      <c r="G105" s="17" t="n">
        <f aca="false">E105*1.1</f>
        <v>90.2</v>
      </c>
      <c r="I105" s="6" t="str">
        <f aca="false">CONCATENATE(A105,",",D105)</f>
        <v>ME 264,ED2-AUTO</v>
      </c>
      <c r="J105" s="12"/>
    </row>
    <row r="106" customFormat="false" ht="14.9" hidden="false" customHeight="false" outlineLevel="0" collapsed="false">
      <c r="A106" s="13" t="s">
        <v>152</v>
      </c>
      <c r="B106" s="14" t="str">
        <v>MARINE MECHANISMS, SYSTHESIS AND ANALYSIS</v>
      </c>
      <c r="C106" s="18" t="str">
        <v>Ampofo Joshua</v>
      </c>
      <c r="D106" s="13" t="s">
        <v>42</v>
      </c>
      <c r="E106" s="15" t="n">
        <v>37</v>
      </c>
      <c r="F106" s="19"/>
      <c r="G106" s="17" t="n">
        <f aca="false">E106*1.1</f>
        <v>40.7</v>
      </c>
      <c r="I106" s="6" t="str">
        <f aca="false">CONCATENATE(A106,",",D106)</f>
        <v>MME 264,ED2-MARI</v>
      </c>
      <c r="J106" s="12"/>
    </row>
    <row r="107" customFormat="false" ht="14.9" hidden="false" customHeight="false" outlineLevel="0" collapsed="false">
      <c r="A107" s="13" t="s">
        <v>153</v>
      </c>
      <c r="B107" s="18" t="str">
        <v>PRINCIPLES OF GEOLCHEMISTRY</v>
      </c>
      <c r="C107" s="18" t="str">
        <v>Gawu Simon Kafui Yawo</v>
      </c>
      <c r="D107" s="13" t="s">
        <v>154</v>
      </c>
      <c r="E107" s="15" t="n">
        <v>154</v>
      </c>
      <c r="F107" s="19"/>
      <c r="G107" s="17" t="n">
        <f aca="false">E107*1.1</f>
        <v>169.4</v>
      </c>
      <c r="I107" s="6" t="str">
        <f aca="false">CONCATENATE(A107,",",D107)</f>
        <v>GED 352,ED3-GEOL</v>
      </c>
      <c r="J107" s="12"/>
    </row>
    <row r="108" customFormat="false" ht="14.9" hidden="false" customHeight="false" outlineLevel="0" collapsed="false">
      <c r="A108" s="13" t="s">
        <v>155</v>
      </c>
      <c r="B108" s="18" t="str">
        <v>TRANSPORTATION ENGINEERING</v>
      </c>
      <c r="C108" s="18" t="str">
        <v>Tuffour Yaw Adubofour</v>
      </c>
      <c r="D108" s="13" t="s">
        <v>103</v>
      </c>
      <c r="E108" s="15" t="n">
        <v>150</v>
      </c>
      <c r="F108" s="19"/>
      <c r="G108" s="17" t="n">
        <f aca="false">E108*1.1</f>
        <v>165</v>
      </c>
      <c r="I108" s="6" t="str">
        <f aca="false">CONCATENATE(A108,",",D108)</f>
        <v>CE 468,ED4-CE</v>
      </c>
      <c r="J108" s="12"/>
    </row>
    <row r="109" customFormat="false" ht="14.25" hidden="false" customHeight="true" outlineLevel="0" collapsed="false">
      <c r="A109" s="13" t="s">
        <v>156</v>
      </c>
      <c r="B109" s="14" t="str">
        <v>ENVIRONMENTAL QUALITY ENGINEERING</v>
      </c>
      <c r="C109" s="14" t="str">
        <v>Appiah-Effah Eugene</v>
      </c>
      <c r="D109" s="13" t="s">
        <v>157</v>
      </c>
      <c r="E109" s="15" t="n">
        <v>230</v>
      </c>
      <c r="F109" s="19"/>
      <c r="G109" s="17" t="n">
        <f aca="false">E109*1.1</f>
        <v>253</v>
      </c>
      <c r="I109" s="6" t="str">
        <f aca="false">CONCATENATE(A109,",",D109)</f>
        <v>CE 364,ED3-CE</v>
      </c>
      <c r="J109" s="12"/>
    </row>
    <row r="110" customFormat="false" ht="14.9" hidden="false" customHeight="false" outlineLevel="0" collapsed="false">
      <c r="A110" s="22"/>
      <c r="B110" s="22"/>
      <c r="D110" s="14" t="s">
        <v>158</v>
      </c>
      <c r="E110" s="36" t="n">
        <f aca="false">SUM(E101:E109)</f>
        <v>1170</v>
      </c>
      <c r="F110" s="23"/>
      <c r="G110" s="22"/>
      <c r="I110" s="9" t="s">
        <v>159</v>
      </c>
      <c r="J110" s="12"/>
    </row>
    <row r="111" customFormat="false" ht="14.9" hidden="false" customHeight="false" outlineLevel="0" collapsed="false">
      <c r="A111" s="8" t="s">
        <v>147</v>
      </c>
      <c r="B111" s="8"/>
      <c r="C111" s="8"/>
      <c r="D111" s="8"/>
      <c r="E111" s="8"/>
      <c r="F111" s="8"/>
      <c r="G111" s="8"/>
      <c r="I111" s="9" t="s">
        <v>148</v>
      </c>
      <c r="J111" s="12"/>
    </row>
    <row r="112" customFormat="false" ht="14.9" hidden="false" customHeight="false" outlineLevel="0" collapsed="false">
      <c r="A112" s="8" t="s">
        <v>29</v>
      </c>
      <c r="B112" s="8"/>
      <c r="C112" s="8"/>
      <c r="D112" s="8"/>
      <c r="E112" s="8"/>
      <c r="F112" s="8"/>
      <c r="G112" s="8"/>
      <c r="I112" s="9" t="s">
        <v>30</v>
      </c>
      <c r="J112" s="12"/>
    </row>
    <row r="113" customFormat="false" ht="14.9" hidden="false" customHeight="false" outlineLevel="0" collapsed="false">
      <c r="A113" s="11" t="s">
        <v>4</v>
      </c>
      <c r="B113" s="11" t="s">
        <v>5</v>
      </c>
      <c r="C113" s="2" t="s">
        <v>6</v>
      </c>
      <c r="D113" s="11" t="s">
        <v>7</v>
      </c>
      <c r="E113" s="11" t="s">
        <v>8</v>
      </c>
      <c r="F113" s="2" t="s">
        <v>9</v>
      </c>
      <c r="G113" s="11" t="s">
        <v>10</v>
      </c>
      <c r="I113" s="9" t="s">
        <v>31</v>
      </c>
      <c r="J113" s="12"/>
    </row>
    <row r="114" customFormat="false" ht="14.9" hidden="false" customHeight="false" outlineLevel="0" collapsed="false">
      <c r="A114" s="13" t="s">
        <v>160</v>
      </c>
      <c r="B114" s="18" t="str">
        <f aca="false" t="array" ref="B114:B124">IFERROR(VLOOKUP(I114:I124,Lectures_1!A2:F534,2,FALSE()),0)</f>
        <v>ENGINEERING DRAWING</v>
      </c>
      <c r="C114" s="18" t="str">
        <f aca="false" t="array" ref="C114:C124">IFERROR(VLOOKUP(I114:I124,Lectures_1!A2:F534,3,FALSE()),0)</f>
        <v>Aveyire Joseph</v>
      </c>
      <c r="D114" s="13" t="s">
        <v>131</v>
      </c>
      <c r="E114" s="15" t="n">
        <f aca="false" t="array" ref="E114:E124">IFERROR(VLOOKUP(I114:I124,Lectures_1!A2:F534,4,FALSE()),0)</f>
        <v>128</v>
      </c>
      <c r="F114" s="19"/>
      <c r="G114" s="17" t="n">
        <f aca="false">E114*1.1</f>
        <v>140.8</v>
      </c>
      <c r="I114" s="6" t="str">
        <f aca="false">CONCATENATE(A114,",",D114)</f>
        <v>ME 160,ED1-AE</v>
      </c>
      <c r="J114" s="12"/>
    </row>
    <row r="115" customFormat="false" ht="14.9" hidden="false" customHeight="false" outlineLevel="0" collapsed="false">
      <c r="A115" s="13" t="s">
        <v>160</v>
      </c>
      <c r="B115" s="18" t="str">
        <v>ENGINEERING DRAWING</v>
      </c>
      <c r="C115" s="18" t="str">
        <v>Sekyere Charles Kofi Kafui</v>
      </c>
      <c r="D115" s="13" t="s">
        <v>112</v>
      </c>
      <c r="E115" s="15" t="n">
        <v>46</v>
      </c>
      <c r="F115" s="19"/>
      <c r="G115" s="17" t="n">
        <f aca="false">E115*1.1</f>
        <v>50.6</v>
      </c>
      <c r="I115" s="6" t="str">
        <f aca="false">CONCATENATE(A115,",",D115)</f>
        <v>ME 160,ED1-MARI</v>
      </c>
      <c r="J115" s="12"/>
    </row>
    <row r="116" customFormat="false" ht="14.9" hidden="false" customHeight="false" outlineLevel="0" collapsed="false">
      <c r="A116" s="13" t="s">
        <v>160</v>
      </c>
      <c r="B116" s="18" t="str">
        <v>ENGINEERING DRAWING</v>
      </c>
      <c r="C116" s="18" t="str">
        <v>Aveyire Joseph</v>
      </c>
      <c r="D116" s="13" t="s">
        <v>114</v>
      </c>
      <c r="E116" s="15" t="n">
        <v>75</v>
      </c>
      <c r="F116" s="19"/>
      <c r="G116" s="17" t="n">
        <f aca="false">E116*1.1</f>
        <v>82.5</v>
      </c>
      <c r="I116" s="6" t="str">
        <f aca="false">CONCATENATE(A116,",",D116)</f>
        <v>ME 160,ED1-METE</v>
      </c>
      <c r="J116" s="12"/>
    </row>
    <row r="117" customFormat="false" ht="14.9" hidden="false" customHeight="false" outlineLevel="0" collapsed="false">
      <c r="A117" s="13" t="s">
        <v>160</v>
      </c>
      <c r="B117" s="18" t="str">
        <v>ENGINEERING DRAWING</v>
      </c>
      <c r="C117" s="18" t="str">
        <v>Peter Oppong Tawiah</v>
      </c>
      <c r="D117" s="13" t="s">
        <v>115</v>
      </c>
      <c r="E117" s="15" t="n">
        <v>100</v>
      </c>
      <c r="F117" s="19"/>
      <c r="G117" s="17" t="n">
        <f aca="false">E117*1.1</f>
        <v>110</v>
      </c>
      <c r="I117" s="6" t="str">
        <f aca="false">CONCATENATE(A117,",",D117)</f>
        <v>ME 160,ED1-MSE</v>
      </c>
      <c r="J117" s="12"/>
    </row>
    <row r="118" customFormat="false" ht="14.9" hidden="false" customHeight="false" outlineLevel="0" collapsed="false">
      <c r="A118" s="13" t="s">
        <v>160</v>
      </c>
      <c r="B118" s="18" t="str">
        <v>ENGINEERING DRAWING</v>
      </c>
      <c r="C118" s="18" t="str">
        <v>A. K. Sunnu</v>
      </c>
      <c r="D118" s="13" t="s">
        <v>161</v>
      </c>
      <c r="E118" s="15" t="n">
        <v>225</v>
      </c>
      <c r="F118" s="19"/>
      <c r="G118" s="17" t="n">
        <f aca="false">E118*1.1</f>
        <v>247.5</v>
      </c>
      <c r="I118" s="6" t="str">
        <f aca="false">CONCATENATE(A118,",",D118)</f>
        <v>ME 160,ED1-ME</v>
      </c>
      <c r="J118" s="12"/>
    </row>
    <row r="119" customFormat="false" ht="14.9" hidden="false" customHeight="false" outlineLevel="0" collapsed="false">
      <c r="A119" s="13" t="s">
        <v>160</v>
      </c>
      <c r="B119" s="18" t="str">
        <v>ENGINEERING DRAWING</v>
      </c>
      <c r="C119" s="18" t="str">
        <v>Sekyere Charles Kofi Kafui</v>
      </c>
      <c r="D119" s="13" t="s">
        <v>162</v>
      </c>
      <c r="E119" s="15" t="n">
        <v>85</v>
      </c>
      <c r="F119" s="19"/>
      <c r="G119" s="17" t="n">
        <f aca="false">E119*1.1</f>
        <v>93.5</v>
      </c>
      <c r="I119" s="6" t="str">
        <f aca="false">CONCATENATE(A119,",",D119)</f>
        <v>ME 160,ED1-AUTO</v>
      </c>
      <c r="J119" s="12"/>
    </row>
    <row r="120" customFormat="false" ht="14.9" hidden="false" customHeight="false" outlineLevel="0" collapsed="false">
      <c r="A120" s="13" t="s">
        <v>160</v>
      </c>
      <c r="B120" s="18" t="str">
        <v>ENGINEERING DRAWING</v>
      </c>
      <c r="C120" s="18" t="str">
        <v>Sekyere Charles Kofi Kafui</v>
      </c>
      <c r="D120" s="13" t="s">
        <v>111</v>
      </c>
      <c r="E120" s="15" t="n">
        <v>83</v>
      </c>
      <c r="F120" s="19"/>
      <c r="G120" s="17" t="n">
        <f aca="false">E120*1.1</f>
        <v>91.3</v>
      </c>
      <c r="I120" s="6" t="str">
        <f aca="false">CONCATENATE(A120,",",D120)</f>
        <v>ME 160,ED1-IND</v>
      </c>
      <c r="J120" s="12"/>
    </row>
    <row r="121" customFormat="false" ht="14.9" hidden="false" customHeight="false" outlineLevel="0" collapsed="false">
      <c r="A121" s="13" t="s">
        <v>163</v>
      </c>
      <c r="B121" s="18" t="str">
        <v>PETROLEUM ENGINEERING LAB II</v>
      </c>
      <c r="C121" s="14" t="str">
        <v>Erzuah Samuel</v>
      </c>
      <c r="D121" s="13" t="s">
        <v>18</v>
      </c>
      <c r="E121" s="15" t="n">
        <v>80</v>
      </c>
      <c r="F121" s="19"/>
      <c r="G121" s="17" t="n">
        <f aca="false">E121*1.1</f>
        <v>88</v>
      </c>
      <c r="I121" s="6" t="str">
        <f aca="false">CONCATENATE(A121,",",D121)</f>
        <v>PE 356,ED3-PE</v>
      </c>
      <c r="J121" s="12"/>
    </row>
    <row r="122" customFormat="false" ht="14.9" hidden="false" customHeight="false" outlineLevel="0" collapsed="false">
      <c r="A122" s="13" t="s">
        <v>164</v>
      </c>
      <c r="B122" s="14" t="str">
        <v>MARINE CONTROL ENGINEERING AND AUTOMATION</v>
      </c>
      <c r="C122" s="14" t="str">
        <v>Adjei Eunice Akyereko</v>
      </c>
      <c r="D122" s="13" t="s">
        <v>69</v>
      </c>
      <c r="E122" s="15" t="n">
        <v>23</v>
      </c>
      <c r="F122" s="19"/>
      <c r="G122" s="17" t="n">
        <f aca="false">E122*1.1</f>
        <v>25.3</v>
      </c>
      <c r="I122" s="6" t="str">
        <f aca="false">CONCATENATE(A122,",",D122)</f>
        <v>MME 462,ED4-MARI</v>
      </c>
      <c r="J122" s="12"/>
    </row>
    <row r="123" customFormat="false" ht="14.9" hidden="false" customHeight="false" outlineLevel="0" collapsed="false">
      <c r="A123" s="13" t="s">
        <v>165</v>
      </c>
      <c r="B123" s="14" t="str">
        <v>AUTOMOTIVE SPARK-IGNITION ENGINES</v>
      </c>
      <c r="C123" s="14" t="str">
        <v>Abu Frimpong Solomon</v>
      </c>
      <c r="D123" s="13" t="s">
        <v>23</v>
      </c>
      <c r="E123" s="15" t="n">
        <v>40</v>
      </c>
      <c r="F123" s="19"/>
      <c r="G123" s="17" t="n">
        <f aca="false">E123*1.1</f>
        <v>44</v>
      </c>
      <c r="I123" s="6" t="str">
        <f aca="false">CONCATENATE(A123,",",D123)</f>
        <v>AME 368,ED3-AUTO</v>
      </c>
      <c r="J123" s="12"/>
    </row>
    <row r="124" customFormat="false" ht="14.9" hidden="false" customHeight="false" outlineLevel="0" collapsed="false">
      <c r="A124" s="13" t="s">
        <v>166</v>
      </c>
      <c r="B124" s="18" t="str">
        <v>ELECTROMAGNETIC FIELDS</v>
      </c>
      <c r="C124" s="14" t="str">
        <v>Yeboah-Akowuah Bright</v>
      </c>
      <c r="D124" s="13" t="s">
        <v>108</v>
      </c>
      <c r="E124" s="15" t="n">
        <v>255</v>
      </c>
      <c r="F124" s="19"/>
      <c r="G124" s="17" t="n">
        <f aca="false">E124*1.1</f>
        <v>280.5</v>
      </c>
      <c r="I124" s="6" t="str">
        <f aca="false">CONCATENATE(A124,",",D124)</f>
        <v>TE 262,ED2-COE</v>
      </c>
      <c r="J124" s="12"/>
    </row>
    <row r="125" customFormat="false" ht="14.9" hidden="false" customHeight="false" outlineLevel="0" collapsed="false">
      <c r="A125" s="22"/>
      <c r="B125" s="22"/>
      <c r="D125" s="14" t="s">
        <v>167</v>
      </c>
      <c r="E125" s="22" t="n">
        <f aca="false">SUM(E114:E124)</f>
        <v>1140</v>
      </c>
      <c r="F125" s="23"/>
      <c r="G125" s="22"/>
      <c r="I125" s="9" t="s">
        <v>168</v>
      </c>
      <c r="J125" s="12"/>
    </row>
    <row r="126" customFormat="false" ht="14.9" hidden="false" customHeight="false" outlineLevel="0" collapsed="false">
      <c r="A126" s="8" t="s">
        <v>147</v>
      </c>
      <c r="B126" s="8"/>
      <c r="C126" s="8"/>
      <c r="D126" s="8"/>
      <c r="E126" s="8"/>
      <c r="F126" s="8"/>
      <c r="G126" s="8"/>
      <c r="I126" s="9" t="s">
        <v>148</v>
      </c>
      <c r="J126" s="12"/>
    </row>
    <row r="127" customFormat="false" ht="14.9" hidden="false" customHeight="false" outlineLevel="0" collapsed="false">
      <c r="A127" s="8" t="s">
        <v>59</v>
      </c>
      <c r="B127" s="8"/>
      <c r="C127" s="8"/>
      <c r="D127" s="8"/>
      <c r="E127" s="8"/>
      <c r="F127" s="8"/>
      <c r="G127" s="8"/>
      <c r="I127" s="9" t="s">
        <v>128</v>
      </c>
      <c r="J127" s="12"/>
    </row>
    <row r="128" customFormat="false" ht="14.9" hidden="false" customHeight="false" outlineLevel="0" collapsed="false">
      <c r="A128" s="11" t="s">
        <v>4</v>
      </c>
      <c r="B128" s="11" t="s">
        <v>5</v>
      </c>
      <c r="C128" s="2" t="s">
        <v>6</v>
      </c>
      <c r="D128" s="11" t="s">
        <v>7</v>
      </c>
      <c r="E128" s="11" t="s">
        <v>8</v>
      </c>
      <c r="F128" s="2" t="s">
        <v>9</v>
      </c>
      <c r="G128" s="11" t="s">
        <v>10</v>
      </c>
      <c r="I128" s="9" t="s">
        <v>31</v>
      </c>
      <c r="J128" s="12"/>
    </row>
    <row r="129" customFormat="false" ht="14.9" hidden="false" customHeight="false" outlineLevel="0" collapsed="false">
      <c r="A129" s="13" t="s">
        <v>169</v>
      </c>
      <c r="B129" s="14" t="str">
        <f aca="false" t="array" ref="B129:B136">IFERROR(VLOOKUP(I129:I136,Lectures_1!A2:F534,2,FALSE()),0)</f>
        <v>PRINCIPLES OF REMOTE SENSING</v>
      </c>
      <c r="C129" s="14" t="str">
        <f aca="false" t="array" ref="C129:C136">IFERROR(VLOOKUP(I129:I136,Lectures_1!A2:F534,3,FALSE()),0)</f>
        <v>Yaw Mensah Asare</v>
      </c>
      <c r="D129" s="13" t="s">
        <v>170</v>
      </c>
      <c r="E129" s="15" t="n">
        <f aca="false" t="array" ref="E129:E136">IFERROR(VLOOKUP(I129:I136,Lectures_1!A2:F534,4,FALSE()),0)</f>
        <v>132</v>
      </c>
      <c r="F129" s="19"/>
      <c r="G129" s="17" t="n">
        <f aca="false">E129*1.1</f>
        <v>145.2</v>
      </c>
      <c r="I129" s="6" t="str">
        <f aca="false">CONCATENATE(A129,",",D129)</f>
        <v>GE 262,ED2-GEOM</v>
      </c>
      <c r="J129" s="12"/>
    </row>
    <row r="130" customFormat="false" ht="14.9" hidden="false" customHeight="false" outlineLevel="0" collapsed="false">
      <c r="A130" s="13" t="s">
        <v>171</v>
      </c>
      <c r="B130" s="18" t="str">
        <v>COMMUNICATION CIRCUITS</v>
      </c>
      <c r="C130" s="18" t="str">
        <v>Abdul-Rahman Ahmed</v>
      </c>
      <c r="D130" s="13" t="s">
        <v>172</v>
      </c>
      <c r="E130" s="15" t="n">
        <v>175</v>
      </c>
      <c r="F130" s="19"/>
      <c r="G130" s="17" t="n">
        <f aca="false">E130*1.1</f>
        <v>192.5</v>
      </c>
      <c r="H130" s="27"/>
      <c r="I130" s="6" t="str">
        <f aca="false">CONCATENATE(A130,",",D130)</f>
        <v>TE 256,ED2-TEL</v>
      </c>
      <c r="J130" s="12"/>
    </row>
    <row r="131" customFormat="false" ht="14.9" hidden="false" customHeight="false" outlineLevel="0" collapsed="false">
      <c r="A131" s="13" t="s">
        <v>173</v>
      </c>
      <c r="B131" s="14" t="str">
        <v>PRACTICAL CHEMISTRY II</v>
      </c>
      <c r="C131" s="18" t="str">
        <v>Opoku Francis</v>
      </c>
      <c r="D131" s="13" t="s">
        <v>14</v>
      </c>
      <c r="E131" s="15" t="n">
        <v>65</v>
      </c>
      <c r="F131" s="19"/>
      <c r="G131" s="17" t="n">
        <f aca="false">E131*1.1</f>
        <v>71.5</v>
      </c>
      <c r="I131" s="6" t="str">
        <f aca="false">CONCATENATE(A131,",",D131)</f>
        <v>CHEM 280,ED2-PCE</v>
      </c>
      <c r="J131" s="12"/>
    </row>
    <row r="132" customFormat="false" ht="14.9" hidden="false" customHeight="false" outlineLevel="0" collapsed="false">
      <c r="A132" s="13" t="s">
        <v>173</v>
      </c>
      <c r="B132" s="14" t="str">
        <v>PRACTICAL CHEMISTRY II</v>
      </c>
      <c r="C132" s="18" t="str">
        <v>Opoku Francis</v>
      </c>
      <c r="D132" s="13" t="s">
        <v>13</v>
      </c>
      <c r="E132" s="15" t="n">
        <v>160</v>
      </c>
      <c r="F132" s="19"/>
      <c r="G132" s="17" t="n">
        <f aca="false">E132*1.1</f>
        <v>176</v>
      </c>
      <c r="I132" s="6" t="str">
        <f aca="false">CONCATENATE(A132,",",D132)</f>
        <v>CHEM 280,ED2-CHE</v>
      </c>
      <c r="J132" s="12"/>
    </row>
    <row r="133" customFormat="false" ht="14.9" hidden="false" customHeight="false" outlineLevel="0" collapsed="false">
      <c r="A133" s="13" t="s">
        <v>174</v>
      </c>
      <c r="B133" s="14" t="str">
        <v>FLUID DYNAMICS  II</v>
      </c>
      <c r="C133" s="18" t="str">
        <v>A. K. Sunnu</v>
      </c>
      <c r="D133" s="19" t="s">
        <v>61</v>
      </c>
      <c r="E133" s="15" t="n">
        <v>222</v>
      </c>
      <c r="F133" s="19"/>
      <c r="G133" s="17" t="n">
        <f aca="false">E133*1.1</f>
        <v>244.2</v>
      </c>
      <c r="I133" s="6" t="str">
        <f aca="false">CONCATENATE(A133,",",D133)</f>
        <v>ME 352,ED3-ME</v>
      </c>
      <c r="J133" s="12"/>
    </row>
    <row r="134" customFormat="false" ht="14.9" hidden="false" customHeight="false" outlineLevel="0" collapsed="false">
      <c r="A134" s="13" t="s">
        <v>174</v>
      </c>
      <c r="B134" s="14" t="str">
        <v>FLUID DYNAMICS II</v>
      </c>
      <c r="C134" s="18" t="str">
        <v>Tay Godwin Fabiola Kwaku</v>
      </c>
      <c r="D134" s="19" t="s">
        <v>86</v>
      </c>
      <c r="E134" s="15" t="n">
        <v>40</v>
      </c>
      <c r="F134" s="19"/>
      <c r="G134" s="17" t="n">
        <f aca="false">E134*1.1</f>
        <v>44</v>
      </c>
      <c r="I134" s="6" t="str">
        <f aca="false">CONCATENATE(A134,",",D134)</f>
        <v>ME 352,ED3-MARI</v>
      </c>
      <c r="J134" s="12"/>
    </row>
    <row r="135" customFormat="false" ht="14.9" hidden="false" customHeight="false" outlineLevel="0" collapsed="false">
      <c r="A135" s="13" t="s">
        <v>175</v>
      </c>
      <c r="B135" s="14" t="str">
        <v>INTRODUCTION TO INFORMATION TECHNOLOGY</v>
      </c>
      <c r="C135" s="14" t="str">
        <v>Addo Daniel Akwei</v>
      </c>
      <c r="D135" s="13" t="s">
        <v>20</v>
      </c>
      <c r="E135" s="15" t="n">
        <v>262</v>
      </c>
      <c r="F135" s="19"/>
      <c r="G135" s="17" t="n">
        <f aca="false">E135*1.1</f>
        <v>288.2</v>
      </c>
      <c r="I135" s="6" t="str">
        <f aca="false">CONCATENATE(A135,",",D135)</f>
        <v>COE 158,ED1-COE</v>
      </c>
      <c r="J135" s="12"/>
    </row>
    <row r="136" customFormat="false" ht="14.9" hidden="false" customHeight="false" outlineLevel="0" collapsed="false">
      <c r="A136" s="13" t="s">
        <v>176</v>
      </c>
      <c r="B136" s="14" t="str">
        <v>ENGINEERING MANAGEMENT</v>
      </c>
      <c r="C136" s="18" t="str">
        <v>Takyi Gabriel</v>
      </c>
      <c r="D136" s="13" t="s">
        <v>177</v>
      </c>
      <c r="E136" s="15" t="n">
        <v>95</v>
      </c>
      <c r="F136" s="19"/>
      <c r="G136" s="17" t="n">
        <f aca="false">E136*1.1</f>
        <v>104.5</v>
      </c>
      <c r="I136" s="6" t="str">
        <f aca="false">CONCATENATE(A136,",",D136)</f>
        <v>GED 464,ED4-GEOL</v>
      </c>
      <c r="J136" s="12"/>
    </row>
    <row r="137" customFormat="false" ht="14.9" hidden="false" customHeight="false" outlineLevel="0" collapsed="false">
      <c r="A137" s="22"/>
      <c r="B137" s="22"/>
      <c r="D137" s="14" t="s">
        <v>178</v>
      </c>
      <c r="E137" s="22" t="n">
        <f aca="false">SUM(E129:E136)</f>
        <v>1151</v>
      </c>
      <c r="F137" s="23"/>
      <c r="G137" s="22"/>
      <c r="I137" s="9" t="s">
        <v>179</v>
      </c>
      <c r="J137" s="12"/>
    </row>
    <row r="138" customFormat="false" ht="14.9" hidden="false" customHeight="false" outlineLevel="0" collapsed="false">
      <c r="A138" s="8" t="s">
        <v>180</v>
      </c>
      <c r="B138" s="8"/>
      <c r="C138" s="8"/>
      <c r="D138" s="8"/>
      <c r="E138" s="8"/>
      <c r="F138" s="8"/>
      <c r="G138" s="8"/>
      <c r="I138" s="9" t="s">
        <v>181</v>
      </c>
      <c r="J138" s="12"/>
    </row>
    <row r="139" customFormat="false" ht="14.9" hidden="false" customHeight="false" outlineLevel="0" collapsed="false">
      <c r="A139" s="8" t="s">
        <v>2</v>
      </c>
      <c r="B139" s="8"/>
      <c r="C139" s="8"/>
      <c r="D139" s="8"/>
      <c r="E139" s="8"/>
      <c r="F139" s="8"/>
      <c r="G139" s="8"/>
      <c r="I139" s="9" t="s">
        <v>149</v>
      </c>
      <c r="J139" s="12"/>
    </row>
    <row r="140" customFormat="false" ht="14.9" hidden="false" customHeight="false" outlineLevel="0" collapsed="false">
      <c r="A140" s="11" t="s">
        <v>4</v>
      </c>
      <c r="B140" s="11" t="s">
        <v>5</v>
      </c>
      <c r="C140" s="2" t="s">
        <v>6</v>
      </c>
      <c r="D140" s="11" t="s">
        <v>7</v>
      </c>
      <c r="E140" s="11" t="s">
        <v>8</v>
      </c>
      <c r="F140" s="2" t="s">
        <v>9</v>
      </c>
      <c r="G140" s="11" t="s">
        <v>10</v>
      </c>
      <c r="I140" s="9" t="s">
        <v>31</v>
      </c>
      <c r="J140" s="12"/>
    </row>
    <row r="141" customFormat="false" ht="14.9" hidden="false" customHeight="true" outlineLevel="0" collapsed="false">
      <c r="A141" s="13" t="s">
        <v>182</v>
      </c>
      <c r="B141" s="11" t="str">
        <f aca="false" t="array" ref="B141:B152">IFERROR(VLOOKUP(I141:I152,Lectures_1!A2:F534,2,FALSE()),0)</f>
        <v>CIVIL ENGINEERING DRAWING</v>
      </c>
      <c r="C141" s="14" t="str">
        <f aca="false" t="array" ref="C141:C152">IFERROR(VLOOKUP(I141:I152,Lectures_1!A2:F534,3,FALSE()),0)</f>
        <v>Osei Jack Banahene</v>
      </c>
      <c r="D141" s="13" t="s">
        <v>126</v>
      </c>
      <c r="E141" s="15" t="n">
        <f aca="false" t="array" ref="E141:E152">IFERROR(VLOOKUP(I141:I152,Lectures_1!A2:F534,4,FALSE()),0)</f>
        <v>125</v>
      </c>
      <c r="F141" s="37" t="s">
        <v>34</v>
      </c>
      <c r="G141" s="17" t="n">
        <f aca="false">E141*1.1</f>
        <v>137.5</v>
      </c>
      <c r="I141" s="6" t="str">
        <f aca="false">CONCATENATE(A141,",",D141)</f>
        <v>CE 164,ED1-GEOL</v>
      </c>
      <c r="J141" s="12"/>
    </row>
    <row r="142" customFormat="false" ht="14.9" hidden="false" customHeight="false" outlineLevel="0" collapsed="false">
      <c r="A142" s="13" t="s">
        <v>183</v>
      </c>
      <c r="B142" s="14" t="str">
        <v>INTRODUCTION TO FINITE ELEMENT</v>
      </c>
      <c r="C142" s="18" t="str">
        <v>Andoh Prince Yaw</v>
      </c>
      <c r="D142" s="13" t="s">
        <v>97</v>
      </c>
      <c r="E142" s="15" t="n">
        <v>32</v>
      </c>
      <c r="F142" s="37"/>
      <c r="G142" s="17" t="n">
        <f aca="false">E142*1.1</f>
        <v>35.2</v>
      </c>
      <c r="I142" s="6" t="str">
        <f aca="false">CONCATENATE(A142,",",D142)</f>
        <v>ME 456,ED4-AUTO</v>
      </c>
      <c r="J142" s="12"/>
    </row>
    <row r="143" customFormat="false" ht="14.9" hidden="false" customHeight="false" outlineLevel="0" collapsed="false">
      <c r="A143" s="13" t="s">
        <v>60</v>
      </c>
      <c r="B143" s="18" t="str">
        <v>MACHINE DESIGN II</v>
      </c>
      <c r="C143" s="14" t="str">
        <v>Afriyie Nyarko Frank Kwabena</v>
      </c>
      <c r="D143" s="13" t="s">
        <v>88</v>
      </c>
      <c r="E143" s="15" t="n">
        <v>101</v>
      </c>
      <c r="F143" s="19"/>
      <c r="G143" s="17" t="n">
        <f aca="false">E143*1.1</f>
        <v>111.1</v>
      </c>
      <c r="I143" s="6" t="str">
        <f aca="false">CONCATENATE(A143,",",D143)</f>
        <v>ME 374,ED3-AE</v>
      </c>
      <c r="J143" s="12"/>
    </row>
    <row r="144" customFormat="false" ht="14.9" hidden="false" customHeight="false" outlineLevel="0" collapsed="false">
      <c r="A144" s="13" t="s">
        <v>184</v>
      </c>
      <c r="B144" s="18" t="str">
        <v>CIRCUIT THEORY</v>
      </c>
      <c r="C144" s="14" t="str">
        <v>Twumasi Elvis</v>
      </c>
      <c r="D144" s="13" t="s">
        <v>51</v>
      </c>
      <c r="E144" s="15" t="n">
        <v>295</v>
      </c>
      <c r="F144" s="19"/>
      <c r="G144" s="17" t="n">
        <f aca="false">E144*1.1</f>
        <v>324.5</v>
      </c>
      <c r="I144" s="6" t="str">
        <f aca="false">CONCATENATE(A144,",",D144)</f>
        <v>EE 166,ED1-EE</v>
      </c>
      <c r="J144" s="12"/>
    </row>
    <row r="145" customFormat="false" ht="14.9" hidden="false" customHeight="false" outlineLevel="0" collapsed="false">
      <c r="A145" s="13" t="s">
        <v>185</v>
      </c>
      <c r="B145" s="14" t="str">
        <v>INTRODUCTION TO INFORMATION TECHNOLOGY</v>
      </c>
      <c r="C145" s="14" t="str">
        <v>Baidoo Martina Francisca</v>
      </c>
      <c r="D145" s="13" t="s">
        <v>81</v>
      </c>
      <c r="E145" s="15" t="n">
        <v>56</v>
      </c>
      <c r="F145" s="20" t="s">
        <v>21</v>
      </c>
      <c r="G145" s="17" t="n">
        <f aca="false">E145*1.1</f>
        <v>61.6</v>
      </c>
      <c r="I145" s="6" t="str">
        <f aca="false">CONCATENATE(A145,",",D145)</f>
        <v>PCE 158,ED1-PCE</v>
      </c>
      <c r="J145" s="12"/>
    </row>
    <row r="146" customFormat="false" ht="14.9" hidden="false" customHeight="false" outlineLevel="0" collapsed="false">
      <c r="A146" s="13" t="s">
        <v>186</v>
      </c>
      <c r="B146" s="14" t="str">
        <v>INTRODUCTION TO INFORMATION TECHNOLOGY</v>
      </c>
      <c r="C146" s="14" t="str">
        <v>Baidoo Martina Francisca</v>
      </c>
      <c r="D146" s="13" t="s">
        <v>80</v>
      </c>
      <c r="E146" s="15" t="n">
        <v>120</v>
      </c>
      <c r="F146" s="20"/>
      <c r="G146" s="17" t="n">
        <f aca="false">E146*1.1</f>
        <v>132</v>
      </c>
      <c r="I146" s="6" t="str">
        <f aca="false">CONCATENATE(A146,",",D146)</f>
        <v>CHE 158,ED1-CHE</v>
      </c>
      <c r="J146" s="12"/>
    </row>
    <row r="147" s="32" customFormat="true" ht="14.9" hidden="false" customHeight="false" outlineLevel="0" collapsed="false">
      <c r="A147" s="13" t="s">
        <v>187</v>
      </c>
      <c r="B147" s="14" t="str">
        <v>DATA COMMUNICATION PRINCIPLES</v>
      </c>
      <c r="C147" s="18" t="str">
        <v>Gadze James Dzisi</v>
      </c>
      <c r="D147" s="38" t="s">
        <v>119</v>
      </c>
      <c r="E147" s="15" t="n">
        <v>140</v>
      </c>
      <c r="F147" s="19"/>
      <c r="G147" s="17" t="n">
        <f aca="false">E147*1.1</f>
        <v>154</v>
      </c>
      <c r="H147" s="5"/>
      <c r="I147" s="29" t="str">
        <f aca="false">CONCATENATE(A147,",",D147)</f>
        <v>TE 352,ED3-TEL</v>
      </c>
      <c r="J147" s="31"/>
    </row>
    <row r="148" customFormat="false" ht="14.9" hidden="false" customHeight="false" outlineLevel="0" collapsed="false">
      <c r="A148" s="13" t="s">
        <v>188</v>
      </c>
      <c r="B148" s="18" t="str">
        <v>INTRODUCTION TO PETROLEUM ENGINEERING</v>
      </c>
      <c r="C148" s="14" t="str">
        <v>Erzuah Samuel</v>
      </c>
      <c r="D148" s="19" t="s">
        <v>82</v>
      </c>
      <c r="E148" s="15" t="n">
        <v>130</v>
      </c>
      <c r="F148" s="19"/>
      <c r="G148" s="17" t="n">
        <f aca="false">E148*1.1</f>
        <v>143</v>
      </c>
      <c r="I148" s="6" t="str">
        <f aca="false">CONCATENATE(A148,",",D148)</f>
        <v>PE 154,ED1-PE</v>
      </c>
      <c r="J148" s="12"/>
    </row>
    <row r="149" customFormat="false" ht="14.9" hidden="false" customHeight="false" outlineLevel="0" collapsed="false">
      <c r="A149" s="13" t="s">
        <v>189</v>
      </c>
      <c r="B149" s="18" t="str">
        <v>PRODUCTION ENGINEERING II</v>
      </c>
      <c r="C149" s="18" t="str">
        <v>Obeng George Yaw</v>
      </c>
      <c r="D149" s="13" t="s">
        <v>67</v>
      </c>
      <c r="E149" s="15" t="n">
        <v>40</v>
      </c>
      <c r="F149" s="19"/>
      <c r="G149" s="17" t="n">
        <f aca="false">E149*1.1</f>
        <v>44</v>
      </c>
      <c r="I149" s="6" t="str">
        <f aca="false">CONCATENATE(A149,",",D149)</f>
        <v>ME 478,ED4-ME</v>
      </c>
      <c r="J149" s="12"/>
    </row>
    <row r="150" customFormat="false" ht="15" hidden="false" customHeight="true" outlineLevel="0" collapsed="false">
      <c r="A150" s="13" t="s">
        <v>190</v>
      </c>
      <c r="B150" s="14" t="str">
        <v>ENGINEERING GRAPHICS</v>
      </c>
      <c r="C150" s="14" t="str">
        <v>Sackey Michael Nii</v>
      </c>
      <c r="D150" s="13" t="s">
        <v>191</v>
      </c>
      <c r="E150" s="15" t="n">
        <v>70</v>
      </c>
      <c r="F150" s="19"/>
      <c r="G150" s="17" t="n">
        <f aca="false">E150*1.1</f>
        <v>77</v>
      </c>
      <c r="I150" s="6" t="str">
        <f aca="false">CONCATENATE(A150,",",D150)</f>
        <v>ME 158,ED1-AERO</v>
      </c>
      <c r="J150" s="12"/>
    </row>
    <row r="151" customFormat="false" ht="14.9" hidden="false" customHeight="false" outlineLevel="0" collapsed="false">
      <c r="A151" s="13" t="s">
        <v>192</v>
      </c>
      <c r="B151" s="14" t="str">
        <v>PROPULSION</v>
      </c>
      <c r="C151" s="18" t="str">
        <v>Bofah Kwasi Kete</v>
      </c>
      <c r="D151" s="13" t="s">
        <v>133</v>
      </c>
      <c r="E151" s="15" t="n">
        <v>76</v>
      </c>
      <c r="F151" s="19"/>
      <c r="G151" s="17" t="n">
        <f aca="false">E151*1.1</f>
        <v>83.6</v>
      </c>
      <c r="I151" s="6" t="str">
        <f aca="false">CONCATENATE(A151,",",D151)</f>
        <v>AERO 368,ED3-AERO</v>
      </c>
      <c r="J151" s="12"/>
    </row>
    <row r="152" customFormat="false" ht="15" hidden="false" customHeight="true" outlineLevel="0" collapsed="false">
      <c r="A152" s="13" t="s">
        <v>193</v>
      </c>
      <c r="B152" s="14" t="str">
        <v>DATABASE SYSTEMS</v>
      </c>
      <c r="C152" s="14" t="str">
        <v>Ayer John Wise Divine</v>
      </c>
      <c r="D152" s="13" t="s">
        <v>194</v>
      </c>
      <c r="E152" s="15" t="n">
        <v>93</v>
      </c>
      <c r="F152" s="19"/>
      <c r="G152" s="17" t="n">
        <f aca="false">E152*1.1</f>
        <v>102.3</v>
      </c>
      <c r="I152" s="6" t="str">
        <f aca="false">CONCATENATE(A152,",",D152)</f>
        <v>GE 464,ED4-GEOM</v>
      </c>
      <c r="J152" s="12"/>
    </row>
    <row r="153" customFormat="false" ht="14.9" hidden="false" customHeight="false" outlineLevel="0" collapsed="false">
      <c r="A153" s="22"/>
      <c r="B153" s="22"/>
      <c r="D153" s="14" t="s">
        <v>195</v>
      </c>
      <c r="E153" s="22" t="n">
        <f aca="false">SUM(E143:E152)</f>
        <v>1121</v>
      </c>
      <c r="F153" s="23"/>
      <c r="G153" s="22"/>
      <c r="I153" s="9" t="s">
        <v>196</v>
      </c>
      <c r="J153" s="12"/>
    </row>
    <row r="154" customFormat="false" ht="14.9" hidden="false" customHeight="false" outlineLevel="0" collapsed="false">
      <c r="A154" s="8" t="s">
        <v>180</v>
      </c>
      <c r="B154" s="8"/>
      <c r="C154" s="8"/>
      <c r="D154" s="8"/>
      <c r="E154" s="8"/>
      <c r="F154" s="8"/>
      <c r="G154" s="8"/>
      <c r="I154" s="9" t="s">
        <v>181</v>
      </c>
      <c r="J154" s="12"/>
    </row>
    <row r="155" customFormat="false" ht="14.9" hidden="false" customHeight="false" outlineLevel="0" collapsed="false">
      <c r="A155" s="8" t="s">
        <v>29</v>
      </c>
      <c r="B155" s="8"/>
      <c r="C155" s="8"/>
      <c r="D155" s="8"/>
      <c r="E155" s="8"/>
      <c r="F155" s="8"/>
      <c r="G155" s="8"/>
      <c r="I155" s="9" t="s">
        <v>30</v>
      </c>
      <c r="J155" s="12"/>
    </row>
    <row r="156" customFormat="false" ht="14.9" hidden="false" customHeight="false" outlineLevel="0" collapsed="false">
      <c r="A156" s="11" t="s">
        <v>4</v>
      </c>
      <c r="B156" s="11" t="s">
        <v>5</v>
      </c>
      <c r="C156" s="2" t="s">
        <v>6</v>
      </c>
      <c r="D156" s="11" t="s">
        <v>7</v>
      </c>
      <c r="E156" s="11" t="s">
        <v>8</v>
      </c>
      <c r="F156" s="2" t="s">
        <v>9</v>
      </c>
      <c r="G156" s="11" t="s">
        <v>10</v>
      </c>
      <c r="I156" s="9" t="s">
        <v>31</v>
      </c>
      <c r="J156" s="12"/>
    </row>
    <row r="157" customFormat="false" ht="14.9" hidden="false" customHeight="false" outlineLevel="0" collapsed="false">
      <c r="A157" s="13" t="s">
        <v>182</v>
      </c>
      <c r="B157" s="18" t="str">
        <f aca="false" t="array" ref="B157:B165">IFERROR(VLOOKUP(I157:I165,Lectures_1!A2:F534,2,FALSE()),0)</f>
        <v>CIVIL ENGINEERING DRAWING</v>
      </c>
      <c r="C157" s="18" t="str">
        <f aca="false" t="array" ref="C157:C165">IFERROR(VLOOKUP(I157:I165,Lectures_1!A2:F534,3,FALSE()),0)</f>
        <v>Osei Jack Banahene</v>
      </c>
      <c r="D157" s="13" t="s">
        <v>75</v>
      </c>
      <c r="E157" s="15" t="n">
        <f aca="false" t="array" ref="E157:E165">IFERROR(VLOOKUP(I157:I165,Lectures_1!A2:F534,4,FALSE()),0)</f>
        <v>245</v>
      </c>
      <c r="F157" s="16" t="s">
        <v>34</v>
      </c>
      <c r="G157" s="17" t="n">
        <f aca="false">E157*1.1</f>
        <v>269.5</v>
      </c>
      <c r="H157" s="27"/>
      <c r="I157" s="6" t="str">
        <f aca="false">CONCATENATE(A157,",",D157)</f>
        <v>CE 164,ED1-CE</v>
      </c>
      <c r="J157" s="12"/>
    </row>
    <row r="158" customFormat="false" ht="14.9" hidden="false" customHeight="false" outlineLevel="0" collapsed="false">
      <c r="A158" s="13" t="s">
        <v>197</v>
      </c>
      <c r="B158" s="14" t="str">
        <v>INTRODUCTION TO SOCIOLOGY II</v>
      </c>
      <c r="C158" s="18" t="str">
        <v>Jones Opoku-Ware</v>
      </c>
      <c r="D158" s="13" t="s">
        <v>130</v>
      </c>
      <c r="E158" s="15" t="n">
        <v>136</v>
      </c>
      <c r="F158" s="13"/>
      <c r="G158" s="17" t="n">
        <f aca="false">E158*1.1</f>
        <v>149.6</v>
      </c>
      <c r="I158" s="6" t="str">
        <f aca="false">CONCATENATE(A158,",",D158)</f>
        <v>SOC 152,ED1-BME</v>
      </c>
      <c r="J158" s="12"/>
    </row>
    <row r="159" customFormat="false" ht="14.9" hidden="false" customHeight="false" outlineLevel="0" collapsed="false">
      <c r="A159" s="13" t="s">
        <v>198</v>
      </c>
      <c r="B159" s="14" t="str">
        <v>DATABASE AND INFORMATION RETRIEVAL</v>
      </c>
      <c r="C159" s="14" t="str">
        <v>Keelson Eliel</v>
      </c>
      <c r="D159" s="13" t="s">
        <v>16</v>
      </c>
      <c r="E159" s="15" t="n">
        <v>265</v>
      </c>
      <c r="F159" s="35" t="s">
        <v>21</v>
      </c>
      <c r="G159" s="17" t="n">
        <f aca="false">E159*1.1</f>
        <v>291.5</v>
      </c>
      <c r="I159" s="6" t="str">
        <f aca="false">CONCATENATE(A159,",",D159)</f>
        <v>COE 368,ED3-COE</v>
      </c>
      <c r="J159" s="12"/>
    </row>
    <row r="160" customFormat="false" ht="14.9" hidden="false" customHeight="false" outlineLevel="0" collapsed="false">
      <c r="A160" s="13" t="s">
        <v>199</v>
      </c>
      <c r="B160" s="18" t="str">
        <v>MATERIALS SCIENCE</v>
      </c>
      <c r="C160" s="18" t="str">
        <v>Patrick Boakye</v>
      </c>
      <c r="D160" s="13" t="s">
        <v>73</v>
      </c>
      <c r="E160" s="15" t="n">
        <v>105</v>
      </c>
      <c r="F160" s="19"/>
      <c r="G160" s="17" t="n">
        <f aca="false">E160*1.1</f>
        <v>115.5</v>
      </c>
      <c r="I160" s="6" t="str">
        <f aca="false">CONCATENATE(A160,",",D160)</f>
        <v>CHE 350,ED3-CHE</v>
      </c>
      <c r="J160" s="12"/>
    </row>
    <row r="161" customFormat="false" ht="14.9" hidden="false" customHeight="false" outlineLevel="0" collapsed="false">
      <c r="A161" s="13" t="s">
        <v>199</v>
      </c>
      <c r="B161" s="18" t="str">
        <v>MATERIALS SCIENCE</v>
      </c>
      <c r="C161" s="18" t="str">
        <v>Anang Daniel Adjah</v>
      </c>
      <c r="D161" s="13" t="s">
        <v>63</v>
      </c>
      <c r="E161" s="15" t="n">
        <v>53</v>
      </c>
      <c r="F161" s="19"/>
      <c r="G161" s="17" t="n">
        <f aca="false">E161*1.1</f>
        <v>58.3</v>
      </c>
      <c r="I161" s="6" t="str">
        <f aca="false">CONCATENATE(A161,",",D161)</f>
        <v>CHE 350,ED3-PCE</v>
      </c>
      <c r="J161" s="12"/>
    </row>
    <row r="162" customFormat="false" ht="14.9" hidden="false" customHeight="false" outlineLevel="0" collapsed="false">
      <c r="A162" s="13" t="s">
        <v>200</v>
      </c>
      <c r="B162" s="14" t="str">
        <v>INTRODUCTION TO PSYCHOLOGY</v>
      </c>
      <c r="C162" s="18" t="str">
        <v>Sarfo Fordjour Elizabeth Anokyewaa</v>
      </c>
      <c r="D162" s="13" t="s">
        <v>91</v>
      </c>
      <c r="E162" s="15" t="n">
        <v>130</v>
      </c>
      <c r="F162" s="19"/>
      <c r="G162" s="17" t="n">
        <f aca="false">E162*1.1</f>
        <v>143</v>
      </c>
      <c r="I162" s="6" t="str">
        <f aca="false">CONCATENATE(A162,",",D162)</f>
        <v>PSYC 154,ED1-TEL</v>
      </c>
      <c r="J162" s="12"/>
    </row>
    <row r="163" customFormat="false" ht="14.9" hidden="false" customHeight="false" outlineLevel="0" collapsed="false">
      <c r="A163" s="13" t="s">
        <v>201</v>
      </c>
      <c r="B163" s="14" t="str">
        <v>REPRODUCTION CARTOGRAPHY</v>
      </c>
      <c r="C163" s="18" t="str">
        <v>Quaye-Ballard Jonathan Arthur</v>
      </c>
      <c r="D163" s="13" t="s">
        <v>95</v>
      </c>
      <c r="E163" s="15" t="n">
        <v>103</v>
      </c>
      <c r="F163" s="19"/>
      <c r="G163" s="17" t="n">
        <f aca="false">E163*1.1</f>
        <v>113.3</v>
      </c>
      <c r="I163" s="6" t="str">
        <f aca="false">CONCATENATE(A163,",",D163)</f>
        <v>GE 152,ED1-GEOM</v>
      </c>
      <c r="J163" s="12"/>
    </row>
    <row r="164" customFormat="false" ht="14.9" hidden="false" customHeight="false" outlineLevel="0" collapsed="false">
      <c r="A164" s="13" t="s">
        <v>202</v>
      </c>
      <c r="B164" s="14" t="str">
        <v>CIRCUIT THEORY</v>
      </c>
      <c r="C164" s="18" t="str">
        <v>Yeboah-Akowuah Bright</v>
      </c>
      <c r="D164" s="13" t="s">
        <v>109</v>
      </c>
      <c r="E164" s="15" t="n">
        <v>80</v>
      </c>
      <c r="F164" s="19"/>
      <c r="G164" s="17" t="n">
        <f aca="false">E164*1.1</f>
        <v>88</v>
      </c>
      <c r="I164" s="6" t="str">
        <f aca="false">CONCATENATE(A164,",",D164)</f>
        <v>COE 288,ED2-BME</v>
      </c>
      <c r="J164" s="12"/>
    </row>
    <row r="165" customFormat="false" ht="14.9" hidden="false" customHeight="false" outlineLevel="0" collapsed="false">
      <c r="A165" s="13" t="s">
        <v>202</v>
      </c>
      <c r="B165" s="14" t="str">
        <v>CIRCUIT THEORY</v>
      </c>
      <c r="C165" s="18" t="str">
        <v>Yeboah-Akowuah Bright</v>
      </c>
      <c r="D165" s="13" t="s">
        <v>108</v>
      </c>
      <c r="E165" s="15" t="n">
        <v>255</v>
      </c>
      <c r="F165" s="19"/>
      <c r="G165" s="17" t="n">
        <f aca="false">E165*1.1</f>
        <v>280.5</v>
      </c>
      <c r="I165" s="6" t="str">
        <f aca="false">CONCATENATE(A165,",",D165)</f>
        <v>COE 288,ED2-COE</v>
      </c>
      <c r="J165" s="12"/>
    </row>
    <row r="166" customFormat="false" ht="14.9" hidden="false" customHeight="false" outlineLevel="0" collapsed="false">
      <c r="A166" s="22"/>
      <c r="B166" s="22"/>
      <c r="D166" s="14" t="s">
        <v>203</v>
      </c>
      <c r="E166" s="22" t="n">
        <f aca="false">SUM(E158:E165)</f>
        <v>1127</v>
      </c>
      <c r="F166" s="23"/>
      <c r="G166" s="22"/>
      <c r="I166" s="9" t="s">
        <v>204</v>
      </c>
      <c r="J166" s="12"/>
    </row>
    <row r="167" customFormat="false" ht="14.9" hidden="false" customHeight="false" outlineLevel="0" collapsed="false">
      <c r="A167" s="8" t="s">
        <v>180</v>
      </c>
      <c r="B167" s="8"/>
      <c r="C167" s="8"/>
      <c r="D167" s="8"/>
      <c r="E167" s="8"/>
      <c r="F167" s="8"/>
      <c r="G167" s="8"/>
      <c r="I167" s="9" t="s">
        <v>181</v>
      </c>
      <c r="J167" s="12"/>
    </row>
    <row r="168" customFormat="false" ht="14.9" hidden="false" customHeight="false" outlineLevel="0" collapsed="false">
      <c r="A168" s="8" t="s">
        <v>59</v>
      </c>
      <c r="B168" s="8"/>
      <c r="C168" s="8"/>
      <c r="D168" s="8"/>
      <c r="E168" s="8"/>
      <c r="F168" s="8"/>
      <c r="G168" s="8"/>
      <c r="I168" s="9" t="s">
        <v>128</v>
      </c>
      <c r="J168" s="12"/>
    </row>
    <row r="169" customFormat="false" ht="14.9" hidden="false" customHeight="false" outlineLevel="0" collapsed="false">
      <c r="A169" s="11" t="s">
        <v>4</v>
      </c>
      <c r="B169" s="11" t="s">
        <v>5</v>
      </c>
      <c r="C169" s="2" t="s">
        <v>6</v>
      </c>
      <c r="D169" s="11" t="s">
        <v>7</v>
      </c>
      <c r="E169" s="11" t="s">
        <v>8</v>
      </c>
      <c r="F169" s="2" t="s">
        <v>9</v>
      </c>
      <c r="G169" s="11" t="s">
        <v>10</v>
      </c>
      <c r="I169" s="9" t="s">
        <v>31</v>
      </c>
      <c r="J169" s="12"/>
    </row>
    <row r="170" customFormat="false" ht="14.9" hidden="false" customHeight="false" outlineLevel="0" collapsed="false">
      <c r="A170" s="13" t="s">
        <v>205</v>
      </c>
      <c r="B170" s="18" t="str">
        <f aca="false" t="array" ref="B170:B181">IFERROR(VLOOKUP(I170:I181,Lectures_1!A2:F534,2,FALSE()),0)</f>
        <v>FINITE ELEMENT ANALYSIS</v>
      </c>
      <c r="C170" s="18" t="str">
        <f aca="false" t="array" ref="C170:C181">IFERROR(VLOOKUP(I170:I181,Lectures_1!A2:F534,3,FALSE()),0)</f>
        <v>Jones Owusu Twumasi</v>
      </c>
      <c r="D170" s="13" t="s">
        <v>103</v>
      </c>
      <c r="E170" s="15" t="n">
        <f aca="false" t="array" ref="E170:E181">IFERROR(VLOOKUP(I170:I181,Lectures_1!A2:F534,4,FALSE()),0)</f>
        <v>18</v>
      </c>
      <c r="F170" s="16"/>
      <c r="G170" s="17" t="n">
        <f aca="false">E170*1.1</f>
        <v>19.8</v>
      </c>
      <c r="H170" s="27"/>
      <c r="I170" s="6" t="str">
        <f aca="false">CONCATENATE(A170,",",D170)</f>
        <v>CE 480,ED4-CE</v>
      </c>
      <c r="J170" s="12"/>
    </row>
    <row r="171" customFormat="false" ht="14.9" hidden="false" customHeight="false" outlineLevel="0" collapsed="false">
      <c r="A171" s="13" t="s">
        <v>206</v>
      </c>
      <c r="B171" s="18" t="str">
        <v>OILFIELD GEOLCHEMISTRY</v>
      </c>
      <c r="C171" s="18" t="str">
        <v>Adenutsi Caspar Daniel</v>
      </c>
      <c r="D171" s="13" t="s">
        <v>46</v>
      </c>
      <c r="E171" s="15" t="n">
        <v>99</v>
      </c>
      <c r="F171" s="39"/>
      <c r="G171" s="17" t="n">
        <f aca="false">E171*1.1</f>
        <v>108.9</v>
      </c>
      <c r="I171" s="6" t="str">
        <f aca="false">CONCATENATE(A171,",",D171)</f>
        <v>PE 458,ED4-PE</v>
      </c>
      <c r="J171" s="12"/>
    </row>
    <row r="172" customFormat="false" ht="14.9" hidden="false" customHeight="false" outlineLevel="0" collapsed="false">
      <c r="A172" s="13" t="s">
        <v>207</v>
      </c>
      <c r="B172" s="18" t="str">
        <v>PHYSICAL METALLURGY OF FERROUS METALS</v>
      </c>
      <c r="C172" s="18" t="str">
        <v>Kwofie Samuel</v>
      </c>
      <c r="D172" s="13" t="s">
        <v>140</v>
      </c>
      <c r="E172" s="15" t="n">
        <v>85</v>
      </c>
      <c r="F172" s="19"/>
      <c r="G172" s="17" t="n">
        <f aca="false">E172*1.1</f>
        <v>93.5</v>
      </c>
      <c r="I172" s="6" t="str">
        <f aca="false">CONCATENATE(A172,",",D172)</f>
        <v>MSE 354,ED3-MSE</v>
      </c>
      <c r="J172" s="12"/>
    </row>
    <row r="173" customFormat="false" ht="14.9" hidden="false" customHeight="false" outlineLevel="0" collapsed="false">
      <c r="A173" s="13" t="s">
        <v>208</v>
      </c>
      <c r="B173" s="14" t="str">
        <v>PHYSICAL METALLURGY OF FERROUS METALS</v>
      </c>
      <c r="C173" s="14" t="str">
        <v>Kwofie Samuel</v>
      </c>
      <c r="D173" s="13" t="s">
        <v>142</v>
      </c>
      <c r="E173" s="15" t="n">
        <v>87</v>
      </c>
      <c r="F173" s="19"/>
      <c r="G173" s="17" t="n">
        <f aca="false">E173*1.1</f>
        <v>95.7</v>
      </c>
      <c r="I173" s="6" t="str">
        <f aca="false">CONCATENATE(A173,",",D173)</f>
        <v>METE 362,ED3-METE</v>
      </c>
      <c r="J173" s="12"/>
    </row>
    <row r="174" customFormat="false" ht="14.9" hidden="false" customHeight="false" outlineLevel="0" collapsed="false">
      <c r="A174" s="13" t="s">
        <v>209</v>
      </c>
      <c r="B174" s="14" t="str">
        <v>STRESS AND STRAIN ANALYSIS OF RIGID BODIES</v>
      </c>
      <c r="C174" s="18" t="str">
        <v>Mensah-Darkwa Kwadwo</v>
      </c>
      <c r="D174" s="13" t="s">
        <v>101</v>
      </c>
      <c r="E174" s="15" t="n">
        <v>57</v>
      </c>
      <c r="F174" s="19"/>
      <c r="G174" s="17" t="n">
        <f aca="false">E174*1.1</f>
        <v>62.7</v>
      </c>
      <c r="I174" s="6" t="str">
        <f aca="false">CONCATENATE(A174,",",D174)</f>
        <v>MSE 262,ED2-METE</v>
      </c>
      <c r="J174" s="12"/>
    </row>
    <row r="175" customFormat="false" ht="14.9" hidden="false" customHeight="false" outlineLevel="0" collapsed="false">
      <c r="A175" s="13" t="s">
        <v>209</v>
      </c>
      <c r="B175" s="14" t="str">
        <v>STRESS AND STRAIN ANALYSIS OF RIGID BODIES</v>
      </c>
      <c r="C175" s="18" t="str">
        <v>Mensah-Darkwa Kwadwo</v>
      </c>
      <c r="D175" s="13" t="s">
        <v>210</v>
      </c>
      <c r="E175" s="15" t="n">
        <v>83</v>
      </c>
      <c r="F175" s="40"/>
      <c r="G175" s="17" t="n">
        <f aca="false">E175*1.1</f>
        <v>91.3</v>
      </c>
      <c r="I175" s="6" t="str">
        <f aca="false">CONCATENATE(A175,",",D175)</f>
        <v>MSE 262,ED2-MSE</v>
      </c>
      <c r="J175" s="12"/>
    </row>
    <row r="176" customFormat="false" ht="14.9" hidden="false" customHeight="true" outlineLevel="0" collapsed="false">
      <c r="A176" s="13" t="s">
        <v>211</v>
      </c>
      <c r="B176" s="14" t="str">
        <v>HEALTH SAFETY AND ENVIRONMENT</v>
      </c>
      <c r="C176" s="18" t="str">
        <v>Adjei Stephen</v>
      </c>
      <c r="D176" s="13" t="s">
        <v>18</v>
      </c>
      <c r="E176" s="15" t="n">
        <v>80</v>
      </c>
      <c r="F176" s="37" t="s">
        <v>21</v>
      </c>
      <c r="G176" s="17" t="n">
        <f aca="false">E176*1.1</f>
        <v>88</v>
      </c>
      <c r="I176" s="6" t="str">
        <f aca="false">CONCATENATE(A176,",",D176)</f>
        <v>PE 366,ED3-PE</v>
      </c>
      <c r="J176" s="12"/>
    </row>
    <row r="177" customFormat="false" ht="14.9" hidden="false" customHeight="false" outlineLevel="0" collapsed="false">
      <c r="A177" s="13" t="s">
        <v>212</v>
      </c>
      <c r="B177" s="14" t="str">
        <v>HEAT TRANSPORT PROCESSES</v>
      </c>
      <c r="C177" s="18" t="str">
        <v>Adjei Stephen</v>
      </c>
      <c r="D177" s="13" t="s">
        <v>93</v>
      </c>
      <c r="E177" s="15" t="n">
        <v>95</v>
      </c>
      <c r="F177" s="37"/>
      <c r="G177" s="17" t="n">
        <f aca="false">E177*1.1</f>
        <v>104.5</v>
      </c>
      <c r="I177" s="6" t="str">
        <f aca="false">CONCATENATE(A177,",",D177)</f>
        <v>PE 252,ED2-PE</v>
      </c>
      <c r="J177" s="12"/>
    </row>
    <row r="178" customFormat="false" ht="14.9" hidden="false" customHeight="false" outlineLevel="0" collapsed="false">
      <c r="A178" s="13" t="s">
        <v>213</v>
      </c>
      <c r="B178" s="14" t="str">
        <v>SOIL AND WATER ENGINEERING II</v>
      </c>
      <c r="C178" s="18" t="str">
        <v>Agyare Wilson Agyei</v>
      </c>
      <c r="D178" s="13" t="s">
        <v>50</v>
      </c>
      <c r="E178" s="15" t="n">
        <v>103</v>
      </c>
      <c r="F178" s="19"/>
      <c r="G178" s="17" t="n">
        <f aca="false">E178*1.1</f>
        <v>113.3</v>
      </c>
      <c r="I178" s="29" t="str">
        <f aca="false">CONCATENATE(A178,",",D178)</f>
        <v>AE 452,ED4-AE</v>
      </c>
      <c r="J178" s="31"/>
      <c r="K178" s="32"/>
      <c r="L178" s="32"/>
      <c r="M178" s="32"/>
    </row>
    <row r="179" customFormat="false" ht="14.9" hidden="false" customHeight="false" outlineLevel="0" collapsed="false">
      <c r="A179" s="13" t="s">
        <v>214</v>
      </c>
      <c r="B179" s="14" t="str">
        <v>ADVANCED ENGINEERING GEOLLOGY</v>
      </c>
      <c r="C179" s="18" t="str">
        <v>Gidigasu Solomon Senyo Robert</v>
      </c>
      <c r="D179" s="13" t="s">
        <v>177</v>
      </c>
      <c r="E179" s="15" t="n">
        <v>95</v>
      </c>
      <c r="F179" s="19"/>
      <c r="G179" s="17" t="n">
        <f aca="false">E179*1.1</f>
        <v>104.5</v>
      </c>
      <c r="I179" s="6" t="str">
        <f aca="false">CONCATENATE(A179,",",D179)</f>
        <v>GED 452,ED4-GEOL</v>
      </c>
      <c r="J179" s="12"/>
    </row>
    <row r="180" customFormat="false" ht="14.9" hidden="false" customHeight="false" outlineLevel="0" collapsed="false">
      <c r="A180" s="13" t="s">
        <v>215</v>
      </c>
      <c r="B180" s="18" t="str">
        <v>STRUCTURAL ANALYSIS</v>
      </c>
      <c r="C180" s="18" t="str">
        <v>Kankam Charles Kwame</v>
      </c>
      <c r="D180" s="13" t="s">
        <v>56</v>
      </c>
      <c r="E180" s="15" t="n">
        <v>250</v>
      </c>
      <c r="F180" s="19"/>
      <c r="G180" s="17" t="n">
        <f aca="false">E180*1.1</f>
        <v>275</v>
      </c>
      <c r="I180" s="6" t="str">
        <f aca="false">CONCATENATE(A180,",",D180)</f>
        <v>CE 258,ED2-CE</v>
      </c>
      <c r="J180" s="12"/>
    </row>
    <row r="181" customFormat="false" ht="14.9" hidden="false" customHeight="false" outlineLevel="0" collapsed="false">
      <c r="A181" s="13" t="s">
        <v>216</v>
      </c>
      <c r="B181" s="14" t="str">
        <v>SYSTEMS INTEGRATION</v>
      </c>
      <c r="C181" s="18" t="str">
        <v>Tay Godwin Fabiola Kwaku</v>
      </c>
      <c r="D181" s="13" t="s">
        <v>124</v>
      </c>
      <c r="E181" s="15" t="n">
        <v>69</v>
      </c>
      <c r="F181" s="19"/>
      <c r="G181" s="17" t="n">
        <f aca="false">E181*1.1</f>
        <v>75.9</v>
      </c>
      <c r="I181" s="6" t="str">
        <f aca="false">CONCATENATE(A181,",",D181)</f>
        <v>IE 456,ED4-IND</v>
      </c>
      <c r="J181" s="12"/>
    </row>
    <row r="182" customFormat="false" ht="14.9" hidden="false" customHeight="false" outlineLevel="0" collapsed="false">
      <c r="A182" s="22"/>
      <c r="B182" s="22"/>
      <c r="D182" s="14" t="s">
        <v>203</v>
      </c>
      <c r="E182" s="22" t="n">
        <f aca="false">SUM(E170:E181)</f>
        <v>1121</v>
      </c>
      <c r="F182" s="23"/>
      <c r="G182" s="22"/>
      <c r="I182" s="9" t="s">
        <v>204</v>
      </c>
      <c r="J182" s="12"/>
    </row>
    <row r="183" customFormat="false" ht="14.9" hidden="false" customHeight="false" outlineLevel="0" collapsed="false">
      <c r="A183" s="8" t="s">
        <v>217</v>
      </c>
      <c r="B183" s="8"/>
      <c r="C183" s="8"/>
      <c r="D183" s="8"/>
      <c r="E183" s="8"/>
      <c r="F183" s="8"/>
      <c r="G183" s="8"/>
      <c r="I183" s="9" t="s">
        <v>218</v>
      </c>
      <c r="J183" s="12"/>
    </row>
    <row r="184" customFormat="false" ht="14.9" hidden="false" customHeight="false" outlineLevel="0" collapsed="false">
      <c r="A184" s="8" t="s">
        <v>2</v>
      </c>
      <c r="B184" s="8"/>
      <c r="C184" s="8"/>
      <c r="D184" s="8"/>
      <c r="E184" s="8"/>
      <c r="F184" s="8"/>
      <c r="G184" s="8"/>
      <c r="I184" s="9" t="s">
        <v>149</v>
      </c>
      <c r="J184" s="12"/>
    </row>
    <row r="185" customFormat="false" ht="14.9" hidden="false" customHeight="false" outlineLevel="0" collapsed="false">
      <c r="A185" s="11" t="s">
        <v>4</v>
      </c>
      <c r="B185" s="11" t="s">
        <v>5</v>
      </c>
      <c r="C185" s="2" t="s">
        <v>6</v>
      </c>
      <c r="D185" s="11" t="s">
        <v>7</v>
      </c>
      <c r="E185" s="11" t="s">
        <v>8</v>
      </c>
      <c r="F185" s="2" t="s">
        <v>9</v>
      </c>
      <c r="G185" s="11" t="s">
        <v>10</v>
      </c>
      <c r="H185" s="41"/>
      <c r="I185" s="9" t="s">
        <v>31</v>
      </c>
      <c r="J185" s="12"/>
    </row>
    <row r="186" customFormat="false" ht="14.9" hidden="false" customHeight="false" outlineLevel="0" collapsed="false">
      <c r="A186" s="13" t="s">
        <v>219</v>
      </c>
      <c r="B186" s="18" t="str">
        <f aca="false" t="array" ref="B186:B197">IFERROR(VLOOKUP(I186:I197,Lectures_1!A2:F534,2,FALSE()),0)</f>
        <v>ENGINEERING SURVEY II</v>
      </c>
      <c r="C186" s="14" t="str">
        <f aca="false" t="array" ref="C186:C197">IFERROR(VLOOKUP(I186:I197,Lectures_1!A2:F534,3,FALSE()),0)</f>
        <v>Arko-Adjei Anthony</v>
      </c>
      <c r="D186" s="13" t="s">
        <v>170</v>
      </c>
      <c r="E186" s="15" t="n">
        <f aca="false" t="array" ref="E186:E197">IFERROR(VLOOKUP(I186:I197,Lectures_1!A2:F534,4,FALSE()),0)</f>
        <v>132</v>
      </c>
      <c r="F186" s="19"/>
      <c r="G186" s="17" t="n">
        <f aca="false">E186*1.1</f>
        <v>145.2</v>
      </c>
      <c r="I186" s="6" t="str">
        <f aca="false">CONCATENATE(A186,",",D186)</f>
        <v>GE 272,ED2-GEOM</v>
      </c>
      <c r="J186" s="12"/>
    </row>
    <row r="187" customFormat="false" ht="14.9" hidden="false" customHeight="false" outlineLevel="0" collapsed="false">
      <c r="A187" s="13" t="s">
        <v>220</v>
      </c>
      <c r="B187" s="14" t="str">
        <v>RURAL ENGINEERING</v>
      </c>
      <c r="C187" s="18" t="str">
        <v>Mensah Ebenezer</v>
      </c>
      <c r="D187" s="13" t="s">
        <v>88</v>
      </c>
      <c r="E187" s="15" t="n">
        <v>101</v>
      </c>
      <c r="F187" s="19"/>
      <c r="G187" s="17" t="n">
        <f aca="false">E187*1.1</f>
        <v>111.1</v>
      </c>
      <c r="I187" s="6" t="str">
        <f aca="false">CONCATENATE(A187,",",D187)</f>
        <v>AE 360,ED3-AE</v>
      </c>
      <c r="J187" s="12"/>
    </row>
    <row r="188" customFormat="false" ht="14.9" hidden="false" customHeight="false" outlineLevel="0" collapsed="false">
      <c r="A188" s="13" t="s">
        <v>221</v>
      </c>
      <c r="B188" s="14" t="str">
        <v>SATELLITE SURVEYING</v>
      </c>
      <c r="C188" s="18" t="str">
        <v>Andam-Akorful Samuel Ato</v>
      </c>
      <c r="D188" s="13" t="s">
        <v>77</v>
      </c>
      <c r="E188" s="15" t="n">
        <v>122</v>
      </c>
      <c r="F188" s="19"/>
      <c r="G188" s="17" t="n">
        <f aca="false">E188*1.1</f>
        <v>134.2</v>
      </c>
      <c r="I188" s="6" t="str">
        <f aca="false">CONCATENATE(A188,",",D188)</f>
        <v>GE 354,ED3-GEOM</v>
      </c>
      <c r="J188" s="12"/>
    </row>
    <row r="189" customFormat="false" ht="14.9" hidden="false" customHeight="false" outlineLevel="0" collapsed="false">
      <c r="A189" s="13" t="s">
        <v>222</v>
      </c>
      <c r="B189" s="14" t="str">
        <v>GIS APPLICATIONS</v>
      </c>
      <c r="C189" s="14" t="str">
        <v>Appiah-Adjei Emmanuel Kwame</v>
      </c>
      <c r="D189" s="13" t="s">
        <v>154</v>
      </c>
      <c r="E189" s="15" t="n">
        <v>154</v>
      </c>
      <c r="F189" s="19"/>
      <c r="G189" s="17" t="n">
        <f aca="false">E189*1.1</f>
        <v>169.4</v>
      </c>
      <c r="I189" s="6" t="str">
        <f aca="false">CONCATENATE(A189,",",D189)</f>
        <v>GED 368,ED3-GEOL</v>
      </c>
      <c r="J189" s="12"/>
    </row>
    <row r="190" customFormat="false" ht="14.9" hidden="false" customHeight="false" outlineLevel="0" collapsed="false">
      <c r="A190" s="13" t="s">
        <v>223</v>
      </c>
      <c r="B190" s="14" t="str">
        <v>MATERIALS QUALITY CONTROL, ASSURRANCE AND SELECTION</v>
      </c>
      <c r="C190" s="14" t="str">
        <v>Arthur Emmanuel Kwesi</v>
      </c>
      <c r="D190" s="13" t="s">
        <v>136</v>
      </c>
      <c r="E190" s="15" t="n">
        <v>55</v>
      </c>
      <c r="F190" s="19"/>
      <c r="G190" s="17" t="n">
        <f aca="false">E190*1.1</f>
        <v>60.5</v>
      </c>
      <c r="I190" s="6" t="str">
        <f aca="false">CONCATENATE(A190,",",D190)</f>
        <v>MSE 456,ED4-METE</v>
      </c>
      <c r="J190" s="12"/>
    </row>
    <row r="191" customFormat="false" ht="14.9" hidden="false" customHeight="false" outlineLevel="0" collapsed="false">
      <c r="A191" s="13" t="s">
        <v>223</v>
      </c>
      <c r="B191" s="18" t="str">
        <v>MATERIALS QUALITY CONTROL, ASSURRANCE AND SELECTION</v>
      </c>
      <c r="C191" s="18" t="str">
        <v>Arthur Emmanuel Kwesi</v>
      </c>
      <c r="D191" s="13" t="s">
        <v>135</v>
      </c>
      <c r="E191" s="15" t="n">
        <v>60</v>
      </c>
      <c r="F191" s="19"/>
      <c r="G191" s="17" t="n">
        <f aca="false">E191*1.1</f>
        <v>66</v>
      </c>
      <c r="I191" s="6" t="str">
        <f aca="false">CONCATENATE(A191,",",D191)</f>
        <v>MSE 456,ED4-MSE</v>
      </c>
      <c r="J191" s="12"/>
    </row>
    <row r="192" customFormat="false" ht="14.9" hidden="false" customHeight="false" outlineLevel="0" collapsed="false">
      <c r="A192" s="13" t="s">
        <v>224</v>
      </c>
      <c r="B192" s="18" t="str">
        <v>STRATIGRAPHY</v>
      </c>
      <c r="C192" s="14" t="str">
        <v>Amedjoe Godfrey Chiri</v>
      </c>
      <c r="D192" s="13" t="s">
        <v>55</v>
      </c>
      <c r="E192" s="15" t="n">
        <v>150</v>
      </c>
      <c r="F192" s="19"/>
      <c r="G192" s="17" t="n">
        <f aca="false">E192*1.1</f>
        <v>165</v>
      </c>
      <c r="H192" s="41"/>
      <c r="I192" s="6" t="str">
        <f aca="false">CONCATENATE(A192,",",D192)</f>
        <v>GED 252,ED2-GEOL</v>
      </c>
      <c r="J192" s="12"/>
    </row>
    <row r="193" customFormat="false" ht="14.9" hidden="false" customHeight="false" outlineLevel="0" collapsed="false">
      <c r="A193" s="13" t="s">
        <v>225</v>
      </c>
      <c r="B193" s="14" t="str">
        <v>INDUSTRIAL ENGINEEGING LABORATORY II</v>
      </c>
      <c r="C193" s="14" t="str">
        <v>Fiagbe Yesuenyeagbe Atsu Kwabla</v>
      </c>
      <c r="D193" s="13" t="s">
        <v>38</v>
      </c>
      <c r="E193" s="15" t="n">
        <v>80</v>
      </c>
      <c r="F193" s="19"/>
      <c r="G193" s="17" t="n">
        <f aca="false">E193*1.1</f>
        <v>88</v>
      </c>
      <c r="I193" s="6" t="str">
        <f aca="false">CONCATENATE(A193,",",D193)</f>
        <v>IE 296,ED2-IND</v>
      </c>
      <c r="J193" s="12"/>
    </row>
    <row r="194" customFormat="false" ht="14.9" hidden="false" customHeight="false" outlineLevel="0" collapsed="false">
      <c r="A194" s="13" t="s">
        <v>226</v>
      </c>
      <c r="B194" s="14" t="str">
        <v>RADAR COMMUNICATIONS</v>
      </c>
      <c r="C194" s="18" t="str">
        <v>ELLis Sani Mubarak</v>
      </c>
      <c r="D194" s="13" t="s">
        <v>227</v>
      </c>
      <c r="E194" s="15" t="n">
        <v>105</v>
      </c>
      <c r="F194" s="19"/>
      <c r="G194" s="17" t="n">
        <f aca="false">E194*1.1</f>
        <v>115.5</v>
      </c>
      <c r="I194" s="6" t="str">
        <f aca="false">CONCATENATE(A194,",",D194)</f>
        <v>TE 464,ED4-TEL</v>
      </c>
      <c r="J194" s="12"/>
    </row>
    <row r="195" customFormat="false" ht="14.9" hidden="false" customHeight="false" outlineLevel="0" collapsed="false">
      <c r="A195" s="13" t="s">
        <v>228</v>
      </c>
      <c r="B195" s="18" t="str">
        <v>SHIP SAFETY, ENVIRONMENTAL PROTECTION AND SAFE WATCH KEEPING</v>
      </c>
      <c r="C195" s="18" t="str">
        <v>Larkai Francis Laako</v>
      </c>
      <c r="D195" s="13" t="s">
        <v>69</v>
      </c>
      <c r="E195" s="15" t="n">
        <v>23</v>
      </c>
      <c r="F195" s="19"/>
      <c r="G195" s="17" t="n">
        <f aca="false">E195*1.1</f>
        <v>25.3</v>
      </c>
      <c r="I195" s="6" t="str">
        <f aca="false">CONCATENATE(A195,",",D195)</f>
        <v>MME 486,ED4-MARI</v>
      </c>
      <c r="J195" s="12"/>
    </row>
    <row r="196" customFormat="false" ht="14.9" hidden="false" customHeight="false" outlineLevel="0" collapsed="false">
      <c r="A196" s="13" t="s">
        <v>229</v>
      </c>
      <c r="B196" s="14" t="str">
        <v>INDUSTRIAL ENGINEERING LAB III</v>
      </c>
      <c r="C196" s="18" t="str">
        <v>Oppong David Kofi</v>
      </c>
      <c r="D196" s="13" t="s">
        <v>121</v>
      </c>
      <c r="E196" s="15" t="n">
        <v>70</v>
      </c>
      <c r="F196" s="19"/>
      <c r="G196" s="17" t="n">
        <f aca="false">E196*1.1</f>
        <v>77</v>
      </c>
      <c r="I196" s="6" t="str">
        <f aca="false">CONCATENATE(A196,",",D196)</f>
        <v>IE 362,ED3-IND</v>
      </c>
      <c r="J196" s="12"/>
    </row>
    <row r="197" customFormat="false" ht="14.9" hidden="false" customHeight="false" outlineLevel="0" collapsed="false">
      <c r="A197" s="13" t="s">
        <v>230</v>
      </c>
      <c r="B197" s="14" t="str">
        <v>MARINE ENGINEERING LABORATORY I</v>
      </c>
      <c r="C197" s="14" t="str">
        <v>Fiagbe Yesuenyeagbe Atsu Kwabla</v>
      </c>
      <c r="D197" s="13" t="s">
        <v>42</v>
      </c>
      <c r="E197" s="15" t="n">
        <v>37</v>
      </c>
      <c r="F197" s="19"/>
      <c r="G197" s="17" t="n">
        <f aca="false">E197*1.1</f>
        <v>40.7</v>
      </c>
      <c r="I197" s="6" t="str">
        <f aca="false">CONCATENATE(A197,",",D197)</f>
        <v>MME 296,ED2-MARI</v>
      </c>
      <c r="J197" s="12"/>
    </row>
    <row r="198" customFormat="false" ht="14.9" hidden="false" customHeight="false" outlineLevel="0" collapsed="false">
      <c r="A198" s="22"/>
      <c r="B198" s="22"/>
      <c r="D198" s="14" t="s">
        <v>231</v>
      </c>
      <c r="E198" s="22" t="n">
        <f aca="false">SUM(E186:E197)</f>
        <v>1089</v>
      </c>
      <c r="F198" s="23"/>
      <c r="G198" s="22"/>
      <c r="I198" s="9" t="s">
        <v>232</v>
      </c>
      <c r="J198" s="12"/>
    </row>
    <row r="199" customFormat="false" ht="14.9" hidden="false" customHeight="false" outlineLevel="0" collapsed="false">
      <c r="A199" s="8" t="s">
        <v>217</v>
      </c>
      <c r="B199" s="8"/>
      <c r="C199" s="8"/>
      <c r="D199" s="8"/>
      <c r="E199" s="8"/>
      <c r="F199" s="8"/>
      <c r="G199" s="8"/>
      <c r="I199" s="9" t="s">
        <v>218</v>
      </c>
      <c r="J199" s="12"/>
    </row>
    <row r="200" customFormat="false" ht="14.9" hidden="false" customHeight="false" outlineLevel="0" collapsed="false">
      <c r="A200" s="8" t="s">
        <v>29</v>
      </c>
      <c r="B200" s="8"/>
      <c r="C200" s="8"/>
      <c r="D200" s="8"/>
      <c r="E200" s="8"/>
      <c r="F200" s="8"/>
      <c r="G200" s="8"/>
      <c r="I200" s="9" t="s">
        <v>149</v>
      </c>
      <c r="J200" s="12"/>
    </row>
    <row r="201" customFormat="false" ht="14.9" hidden="false" customHeight="false" outlineLevel="0" collapsed="false">
      <c r="A201" s="11" t="s">
        <v>4</v>
      </c>
      <c r="B201" s="11" t="s">
        <v>5</v>
      </c>
      <c r="C201" s="2" t="s">
        <v>6</v>
      </c>
      <c r="D201" s="11" t="s">
        <v>7</v>
      </c>
      <c r="E201" s="11" t="s">
        <v>8</v>
      </c>
      <c r="F201" s="2" t="s">
        <v>9</v>
      </c>
      <c r="G201" s="11" t="s">
        <v>10</v>
      </c>
      <c r="I201" s="9" t="s">
        <v>31</v>
      </c>
      <c r="J201" s="12"/>
    </row>
    <row r="202" customFormat="false" ht="14.9" hidden="false" customHeight="false" outlineLevel="0" collapsed="false">
      <c r="A202" s="13" t="s">
        <v>233</v>
      </c>
      <c r="B202" s="18" t="str">
        <f aca="false" t="array" ref="B202:B208">IFERROR(VLOOKUP(I202:I208,Lectures_1!A2:F534,2,FALSE()),0)</f>
        <v>DIGITAL CONTROL SYSTEMS</v>
      </c>
      <c r="C202" s="14" t="str">
        <f aca="false" t="array" ref="C202:C208">IFERROR(VLOOKUP(I202:I208,Lectures_1!A2:F534,3,FALSE()),0)</f>
        <v>Opoku Daniel</v>
      </c>
      <c r="D202" s="13" t="s">
        <v>71</v>
      </c>
      <c r="E202" s="15" t="n">
        <f aca="false" t="array" ref="E202:E208">IFERROR(VLOOKUP(I202:I208,Lectures_1!A2:F534,4,FALSE()),0)</f>
        <v>70</v>
      </c>
      <c r="F202" s="13"/>
      <c r="G202" s="17" t="n">
        <f aca="false">E202*1.1</f>
        <v>77</v>
      </c>
      <c r="I202" s="6" t="str">
        <f aca="false">CONCATENATE(A202,",",D202)</f>
        <v>EE 380,ED3-EE</v>
      </c>
      <c r="J202" s="12"/>
    </row>
    <row r="203" customFormat="false" ht="14.9" hidden="false" customHeight="false" outlineLevel="0" collapsed="false">
      <c r="A203" s="13" t="s">
        <v>234</v>
      </c>
      <c r="B203" s="14" t="str">
        <v>BASIC ELECTRONICS</v>
      </c>
      <c r="C203" s="14" t="str">
        <v>Nicholas Kwesi Prah II</v>
      </c>
      <c r="D203" s="13" t="s">
        <v>162</v>
      </c>
      <c r="E203" s="15" t="n">
        <v>85</v>
      </c>
      <c r="F203" s="40"/>
      <c r="G203" s="17" t="n">
        <f aca="false">E203*1.1</f>
        <v>93.5</v>
      </c>
      <c r="H203" s="3"/>
      <c r="I203" s="6" t="str">
        <f aca="false">CONCATENATE(A203,",",D203)</f>
        <v>EE 152,ED1-AUTO</v>
      </c>
      <c r="J203" s="12"/>
    </row>
    <row r="204" customFormat="false" ht="14.9" hidden="false" customHeight="false" outlineLevel="0" collapsed="false">
      <c r="A204" s="13" t="s">
        <v>234</v>
      </c>
      <c r="B204" s="14" t="str">
        <v>BASIC ELECTRONICS</v>
      </c>
      <c r="C204" s="14" t="str">
        <v>Kwegyir Daniel</v>
      </c>
      <c r="D204" s="13" t="s">
        <v>75</v>
      </c>
      <c r="E204" s="15" t="n">
        <v>245</v>
      </c>
      <c r="F204" s="19" t="s">
        <v>21</v>
      </c>
      <c r="G204" s="17" t="n">
        <f aca="false">E204*1.1</f>
        <v>269.5</v>
      </c>
      <c r="H204" s="3"/>
      <c r="I204" s="6" t="str">
        <f aca="false">CONCATENATE(A204,",",D204)</f>
        <v>EE 152,ED1-CE</v>
      </c>
      <c r="J204" s="12"/>
    </row>
    <row r="205" customFormat="false" ht="14.9" hidden="false" customHeight="false" outlineLevel="0" collapsed="false">
      <c r="A205" s="13" t="s">
        <v>235</v>
      </c>
      <c r="B205" s="18" t="str">
        <v>ELECTROMAGNETIC FIELDS</v>
      </c>
      <c r="C205" s="18" t="str">
        <v>Kwame Oteng Gyasi</v>
      </c>
      <c r="D205" s="13" t="s">
        <v>25</v>
      </c>
      <c r="E205" s="15" t="n">
        <v>340</v>
      </c>
      <c r="F205" s="19"/>
      <c r="G205" s="17" t="n">
        <f aca="false">E205*1.1</f>
        <v>374</v>
      </c>
      <c r="I205" s="6" t="str">
        <f aca="false">CONCATENATE(A205,",",D205)</f>
        <v>TE 254,ED2-EE</v>
      </c>
      <c r="J205" s="12"/>
    </row>
    <row r="206" customFormat="false" ht="14.9" hidden="false" customHeight="false" outlineLevel="0" collapsed="false">
      <c r="A206" s="13" t="s">
        <v>235</v>
      </c>
      <c r="B206" s="18" t="str">
        <v>ELECTROMAGNETIC FIELD THEORY</v>
      </c>
      <c r="C206" s="18" t="str">
        <v>Kwame Oteng Gyasi</v>
      </c>
      <c r="D206" s="13" t="s">
        <v>172</v>
      </c>
      <c r="E206" s="15" t="n">
        <v>175</v>
      </c>
      <c r="F206" s="19"/>
      <c r="G206" s="17" t="n">
        <f aca="false">E206*1.1</f>
        <v>192.5</v>
      </c>
      <c r="I206" s="6" t="str">
        <f aca="false">CONCATENATE(A206,",",D206)</f>
        <v>TE 254,ED2-TEL</v>
      </c>
      <c r="J206" s="12"/>
    </row>
    <row r="207" customFormat="false" ht="15" hidden="false" customHeight="true" outlineLevel="0" collapsed="false">
      <c r="A207" s="13" t="s">
        <v>113</v>
      </c>
      <c r="B207" s="14" t="str">
        <v>PRINCIPLES OF MATERIAL SCIENCE</v>
      </c>
      <c r="C207" s="14" t="str">
        <v>Agyemang Frank Ofori</v>
      </c>
      <c r="D207" s="13" t="s">
        <v>109</v>
      </c>
      <c r="E207" s="15" t="n">
        <v>80</v>
      </c>
      <c r="F207" s="19"/>
      <c r="G207" s="17" t="n">
        <f aca="false">E207*1.1</f>
        <v>88</v>
      </c>
      <c r="I207" s="6" t="str">
        <f aca="false">CONCATENATE(A207,",",D207)</f>
        <v>MSE 154,ED2-BME</v>
      </c>
      <c r="J207" s="12"/>
    </row>
    <row r="208" customFormat="false" ht="14.9" hidden="false" customHeight="false" outlineLevel="0" collapsed="false">
      <c r="A208" s="13" t="s">
        <v>236</v>
      </c>
      <c r="B208" s="18" t="str">
        <v>MECHANICAL ENGINEERING MATERIALS II</v>
      </c>
      <c r="C208" s="18" t="str">
        <v>Agyemang Frank Ofori</v>
      </c>
      <c r="D208" s="13" t="s">
        <v>53</v>
      </c>
      <c r="E208" s="15" t="n">
        <v>155</v>
      </c>
      <c r="F208" s="19"/>
      <c r="G208" s="17" t="n">
        <f aca="false">E208*1.1</f>
        <v>170.5</v>
      </c>
      <c r="I208" s="6" t="str">
        <f aca="false">CONCATENATE(A208,",",D208)</f>
        <v>ME 282,ED2-AE</v>
      </c>
      <c r="J208" s="12"/>
    </row>
    <row r="209" customFormat="false" ht="14.9" hidden="false" customHeight="false" outlineLevel="0" collapsed="false">
      <c r="A209" s="13"/>
      <c r="B209" s="14"/>
      <c r="C209" s="14"/>
      <c r="D209" s="14" t="s">
        <v>237</v>
      </c>
      <c r="E209" s="22" t="n">
        <f aca="false">SUM(E202:E208)</f>
        <v>1150</v>
      </c>
      <c r="F209" s="19"/>
      <c r="G209" s="17"/>
      <c r="I209" s="6" t="str">
        <f aca="false">CONCATENATE(A209,",",D209)</f>
        <v>,Total F1-2</v>
      </c>
      <c r="J209" s="12"/>
    </row>
    <row r="210" customFormat="false" ht="14.9" hidden="false" customHeight="false" outlineLevel="0" collapsed="false">
      <c r="A210" s="8" t="s">
        <v>217</v>
      </c>
      <c r="B210" s="8"/>
      <c r="C210" s="8"/>
      <c r="D210" s="8"/>
      <c r="E210" s="8"/>
      <c r="F210" s="8"/>
      <c r="G210" s="8"/>
      <c r="I210" s="9" t="s">
        <v>218</v>
      </c>
      <c r="J210" s="12"/>
    </row>
    <row r="211" customFormat="false" ht="14.9" hidden="false" customHeight="false" outlineLevel="0" collapsed="false">
      <c r="A211" s="8" t="s">
        <v>59</v>
      </c>
      <c r="B211" s="8"/>
      <c r="C211" s="8"/>
      <c r="D211" s="8"/>
      <c r="E211" s="8"/>
      <c r="F211" s="8"/>
      <c r="G211" s="8"/>
      <c r="I211" s="9" t="s">
        <v>149</v>
      </c>
      <c r="J211" s="12"/>
    </row>
    <row r="212" customFormat="false" ht="14.9" hidden="false" customHeight="false" outlineLevel="0" collapsed="false">
      <c r="A212" s="11" t="s">
        <v>4</v>
      </c>
      <c r="B212" s="11" t="s">
        <v>5</v>
      </c>
      <c r="C212" s="2" t="s">
        <v>6</v>
      </c>
      <c r="D212" s="11" t="s">
        <v>7</v>
      </c>
      <c r="E212" s="11" t="s">
        <v>8</v>
      </c>
      <c r="F212" s="2" t="s">
        <v>9</v>
      </c>
      <c r="G212" s="11" t="s">
        <v>10</v>
      </c>
      <c r="I212" s="9" t="s">
        <v>31</v>
      </c>
      <c r="J212" s="12"/>
    </row>
    <row r="213" customFormat="false" ht="14.9" hidden="false" customHeight="false" outlineLevel="0" collapsed="false">
      <c r="A213" s="13" t="s">
        <v>238</v>
      </c>
      <c r="B213" s="18" t="str">
        <f aca="false" t="array" ref="B213:B220">IFERROR(VLOOKUP(I213:I220,Lectures_1!A2:F534,2,FALSE()),0)</f>
        <v>MARINE INDUSTRIAL ENGINEERING AND ERGONOMICS</v>
      </c>
      <c r="C213" s="14" t="str">
        <f aca="false" t="array" ref="C213:C220">IFERROR(VLOOKUP(I213:I220,Lectures_1!A2:F534,3,FALSE()),0)</f>
        <v>Mensah Lena Dzifa</v>
      </c>
      <c r="D213" s="13" t="s">
        <v>86</v>
      </c>
      <c r="E213" s="15" t="n">
        <f aca="false" t="array" ref="E213:E220">IFERROR(VLOOKUP(I213:I220,Lectures_1!A2:F534,4,FALSE()),0)</f>
        <v>40</v>
      </c>
      <c r="F213" s="13"/>
      <c r="G213" s="17" t="n">
        <f aca="false">E213*1.1</f>
        <v>44</v>
      </c>
      <c r="I213" s="6" t="str">
        <f aca="false">CONCATENATE(A213,",",D213)</f>
        <v>MME 392,ED3-MARI</v>
      </c>
      <c r="J213" s="12"/>
    </row>
    <row r="214" customFormat="false" ht="15" hidden="false" customHeight="true" outlineLevel="0" collapsed="false">
      <c r="A214" s="13" t="s">
        <v>239</v>
      </c>
      <c r="B214" s="18" t="str">
        <v>INDUSTRIAL ENGINEERING AND ERGONOMICS</v>
      </c>
      <c r="C214" s="18" t="str">
        <v>Mensah Lena Dzifa</v>
      </c>
      <c r="D214" s="13" t="s">
        <v>133</v>
      </c>
      <c r="E214" s="15" t="n">
        <v>76</v>
      </c>
      <c r="F214" s="19"/>
      <c r="G214" s="17" t="n">
        <f aca="false">E214*1.1</f>
        <v>83.6</v>
      </c>
      <c r="I214" s="6" t="str">
        <f aca="false">CONCATENATE(A214,",",D214)</f>
        <v>ME 392,ED3-AERO</v>
      </c>
      <c r="J214" s="12"/>
    </row>
    <row r="215" customFormat="false" ht="14.9" hidden="false" customHeight="false" outlineLevel="0" collapsed="false">
      <c r="A215" s="13" t="s">
        <v>240</v>
      </c>
      <c r="B215" s="18" t="str">
        <v>INDUSTRIAL ENGINEERING AND ERGONOMICS</v>
      </c>
      <c r="C215" s="18" t="str">
        <v>Mensah Lena Dzifa</v>
      </c>
      <c r="D215" s="13" t="s">
        <v>33</v>
      </c>
      <c r="E215" s="15" t="n">
        <v>240</v>
      </c>
      <c r="F215" s="19"/>
      <c r="G215" s="17" t="n">
        <f aca="false">E215*1.1</f>
        <v>264</v>
      </c>
      <c r="I215" s="6" t="str">
        <f aca="false">CONCATENATE(A215,",",D215)</f>
        <v>ME 292,ED2-ME</v>
      </c>
      <c r="J215" s="12"/>
    </row>
    <row r="216" customFormat="false" ht="14.9" hidden="false" customHeight="false" outlineLevel="0" collapsed="false">
      <c r="A216" s="13" t="s">
        <v>241</v>
      </c>
      <c r="B216" s="18" t="str">
        <v>INDUSTRIAL ENGINEERING AND ERGONOMICS</v>
      </c>
      <c r="C216" s="18" t="str">
        <v>Mensah Lena Dzifa</v>
      </c>
      <c r="D216" s="13" t="s">
        <v>23</v>
      </c>
      <c r="E216" s="15" t="n">
        <v>40</v>
      </c>
      <c r="F216" s="19"/>
      <c r="G216" s="17" t="n">
        <f aca="false">E216*1.1</f>
        <v>44</v>
      </c>
      <c r="I216" s="6" t="str">
        <f aca="false">CONCATENATE(A216,",",D216)</f>
        <v>AME 392,ED3-AUTO</v>
      </c>
      <c r="J216" s="12"/>
    </row>
    <row r="217" customFormat="false" ht="14.9" hidden="false" customHeight="false" outlineLevel="0" collapsed="false">
      <c r="A217" s="13" t="s">
        <v>242</v>
      </c>
      <c r="B217" s="18" t="str">
        <v>BASIC AGRICULTURE</v>
      </c>
      <c r="C217" s="18" t="str">
        <v>Bessah Enoch</v>
      </c>
      <c r="D217" s="13" t="s">
        <v>131</v>
      </c>
      <c r="E217" s="15" t="n">
        <v>128</v>
      </c>
      <c r="F217" s="19"/>
      <c r="G217" s="17" t="n">
        <f aca="false">E217*1.1</f>
        <v>140.8</v>
      </c>
      <c r="I217" s="6" t="str">
        <f aca="false">CONCATENATE(A217,",",D217)</f>
        <v>AE 162,ED1-AE</v>
      </c>
      <c r="J217" s="12"/>
    </row>
    <row r="218" customFormat="false" ht="14.9" hidden="false" customHeight="false" outlineLevel="0" collapsed="false">
      <c r="A218" s="13" t="s">
        <v>234</v>
      </c>
      <c r="B218" s="14" t="str">
        <v>BASIC ELECTRONICS</v>
      </c>
      <c r="C218" s="14" t="str">
        <v>Yaw Opoku Mensah Sekyere</v>
      </c>
      <c r="D218" s="13" t="s">
        <v>80</v>
      </c>
      <c r="E218" s="15" t="n">
        <v>120</v>
      </c>
      <c r="F218" s="19"/>
      <c r="G218" s="17" t="n">
        <f aca="false">E218*1.1</f>
        <v>132</v>
      </c>
      <c r="H218" s="3"/>
      <c r="I218" s="6" t="str">
        <f aca="false">CONCATENATE(A218,",",D218)</f>
        <v>EE 152,ED1-CHE</v>
      </c>
      <c r="J218" s="12"/>
    </row>
    <row r="219" customFormat="false" ht="14.9" hidden="false" customHeight="false" outlineLevel="0" collapsed="false">
      <c r="A219" s="13" t="s">
        <v>234</v>
      </c>
      <c r="B219" s="14" t="str">
        <v>BASIC ELECTRONICS</v>
      </c>
      <c r="C219" s="14" t="str">
        <v>Yaw Opoku Mensah Sekyere</v>
      </c>
      <c r="D219" s="13" t="s">
        <v>51</v>
      </c>
      <c r="E219" s="15" t="n">
        <v>295</v>
      </c>
      <c r="F219" s="39"/>
      <c r="G219" s="17" t="n">
        <f aca="false">E219*1.1</f>
        <v>324.5</v>
      </c>
      <c r="I219" s="6" t="str">
        <f aca="false">CONCATENATE(A219,",",D219)</f>
        <v>EE 152,ED1-EE</v>
      </c>
      <c r="J219" s="12"/>
    </row>
    <row r="220" customFormat="false" ht="14.9" hidden="false" customHeight="false" outlineLevel="0" collapsed="false">
      <c r="A220" s="13" t="s">
        <v>234</v>
      </c>
      <c r="B220" s="18" t="str">
        <v>BASIC ELECTRONICS</v>
      </c>
      <c r="C220" s="18" t="str">
        <v>Yaw Opoku Mensah Sekyere</v>
      </c>
      <c r="D220" s="13" t="s">
        <v>161</v>
      </c>
      <c r="E220" s="15" t="n">
        <v>225</v>
      </c>
      <c r="F220" s="19"/>
      <c r="G220" s="17" t="n">
        <f aca="false">E220*1.1</f>
        <v>247.5</v>
      </c>
      <c r="I220" s="6" t="str">
        <f aca="false">CONCATENATE(A220,",",D220)</f>
        <v>EE 152,ED1-ME</v>
      </c>
      <c r="J220" s="12"/>
    </row>
    <row r="221" customFormat="false" ht="14.9" hidden="false" customHeight="false" outlineLevel="0" collapsed="false">
      <c r="A221" s="13"/>
      <c r="B221" s="14"/>
      <c r="C221" s="14"/>
      <c r="D221" s="14" t="s">
        <v>237</v>
      </c>
      <c r="E221" s="22" t="n">
        <f aca="false">SUM(E213:E220)</f>
        <v>1164</v>
      </c>
      <c r="F221" s="19"/>
      <c r="G221" s="17"/>
      <c r="I221" s="6" t="str">
        <f aca="false">CONCATENATE(A221,",",D221)</f>
        <v>,Total F1-2</v>
      </c>
      <c r="J221" s="12"/>
    </row>
    <row r="222" customFormat="false" ht="14.9" hidden="false" customHeight="false" outlineLevel="0" collapsed="false">
      <c r="A222" s="8" t="s">
        <v>243</v>
      </c>
      <c r="B222" s="8"/>
      <c r="C222" s="8"/>
      <c r="D222" s="8"/>
      <c r="E222" s="8"/>
      <c r="F222" s="8"/>
      <c r="G222" s="8"/>
      <c r="I222" s="9" t="s">
        <v>244</v>
      </c>
      <c r="J222" s="12"/>
    </row>
    <row r="223" customFormat="false" ht="14.9" hidden="false" customHeight="false" outlineLevel="0" collapsed="false">
      <c r="A223" s="8" t="s">
        <v>2</v>
      </c>
      <c r="B223" s="8"/>
      <c r="C223" s="8"/>
      <c r="D223" s="8"/>
      <c r="E223" s="8"/>
      <c r="F223" s="8"/>
      <c r="G223" s="8"/>
      <c r="I223" s="9" t="s">
        <v>149</v>
      </c>
      <c r="J223" s="12"/>
    </row>
    <row r="224" customFormat="false" ht="14.9" hidden="false" customHeight="false" outlineLevel="0" collapsed="false">
      <c r="A224" s="11" t="s">
        <v>4</v>
      </c>
      <c r="B224" s="11" t="s">
        <v>5</v>
      </c>
      <c r="C224" s="2" t="s">
        <v>6</v>
      </c>
      <c r="D224" s="11" t="s">
        <v>7</v>
      </c>
      <c r="E224" s="11" t="s">
        <v>8</v>
      </c>
      <c r="F224" s="18" t="s">
        <v>9</v>
      </c>
      <c r="G224" s="11" t="s">
        <v>10</v>
      </c>
      <c r="I224" s="9" t="s">
        <v>31</v>
      </c>
      <c r="J224" s="12"/>
    </row>
    <row r="225" customFormat="false" ht="14.9" hidden="false" customHeight="false" outlineLevel="0" collapsed="false">
      <c r="A225" s="13" t="s">
        <v>245</v>
      </c>
      <c r="B225" s="14" t="str">
        <f aca="false" t="array" ref="B225:B235">IFERROR(VLOOKUP(I225:I235,Lectures_1!A2:F534,2,FALSE()),0)</f>
        <v>FRENCH FOR COMMUNICATION II</v>
      </c>
      <c r="C225" s="18" t="str">
        <f aca="false" t="array" ref="C225:C235">IFERROR(VLOOKUP(I225:I235,Lectures_1!A2:F534,3,FALSE()),0)</f>
        <v>Boakye-Agyeman Candy</v>
      </c>
      <c r="D225" s="13" t="s">
        <v>172</v>
      </c>
      <c r="E225" s="15" t="n">
        <f aca="false" t="array" ref="E225:E235">IFERROR(VLOOKUP(I225:I235,Lectures_1!A2:F534,4,FALSE()),0)</f>
        <v>103</v>
      </c>
      <c r="F225" s="20"/>
      <c r="G225" s="17" t="n">
        <f aca="false">E225*1.1</f>
        <v>113.3</v>
      </c>
      <c r="I225" s="6" t="str">
        <f aca="false">CONCATENATE(A225,",",D225)</f>
        <v>FC 182,ED2-TEL</v>
      </c>
      <c r="J225" s="12"/>
    </row>
    <row r="226" customFormat="false" ht="14.9" hidden="false" customHeight="false" outlineLevel="0" collapsed="false">
      <c r="A226" s="13" t="s">
        <v>245</v>
      </c>
      <c r="B226" s="14" t="str">
        <v>FRENCH FOR COMMUNICATION II</v>
      </c>
      <c r="C226" s="18" t="str">
        <v>Alexander Ocloo</v>
      </c>
      <c r="D226" s="13" t="s">
        <v>73</v>
      </c>
      <c r="E226" s="15" t="n">
        <v>55</v>
      </c>
      <c r="F226" s="13"/>
      <c r="G226" s="17" t="n">
        <f aca="false">E226*1.1</f>
        <v>60.5</v>
      </c>
      <c r="I226" s="6" t="str">
        <f aca="false">CONCATENATE(A226,",",D226)</f>
        <v>FC 182,ED3-CHE</v>
      </c>
      <c r="J226" s="12"/>
    </row>
    <row r="227" customFormat="false" ht="14.9" hidden="false" customHeight="false" outlineLevel="0" collapsed="false">
      <c r="A227" s="13" t="s">
        <v>245</v>
      </c>
      <c r="B227" s="18" t="str">
        <v>FRENCH FOR COMMUNICATION  II</v>
      </c>
      <c r="C227" s="18" t="str">
        <v>Pharis Jeel Darko</v>
      </c>
      <c r="D227" s="13" t="s">
        <v>77</v>
      </c>
      <c r="E227" s="15" t="n">
        <v>65</v>
      </c>
      <c r="F227" s="19"/>
      <c r="G227" s="17" t="n">
        <f aca="false">E227*1.1</f>
        <v>71.5</v>
      </c>
      <c r="I227" s="6" t="str">
        <f aca="false">CONCATENATE(A227,",",D227)</f>
        <v>FC 182,ED3-GEOM</v>
      </c>
      <c r="J227" s="12"/>
    </row>
    <row r="228" customFormat="false" ht="14.9" hidden="false" customHeight="false" outlineLevel="0" collapsed="false">
      <c r="A228" s="13" t="s">
        <v>245</v>
      </c>
      <c r="B228" s="18" t="str">
        <v>FRENCH FOR COMMUNICATION II</v>
      </c>
      <c r="C228" s="18" t="str">
        <v>Alexander Ocloo</v>
      </c>
      <c r="D228" s="13" t="s">
        <v>25</v>
      </c>
      <c r="E228" s="15" t="n">
        <v>170</v>
      </c>
      <c r="F228" s="19"/>
      <c r="G228" s="17" t="n">
        <f aca="false">E228*1.1</f>
        <v>187</v>
      </c>
      <c r="I228" s="6" t="str">
        <f aca="false">CONCATENATE(A228,",",D228)</f>
        <v>FC 182,ED2-EE</v>
      </c>
      <c r="J228" s="12"/>
    </row>
    <row r="229" customFormat="false" ht="14.9" hidden="false" customHeight="false" outlineLevel="0" collapsed="false">
      <c r="A229" s="13" t="s">
        <v>245</v>
      </c>
      <c r="B229" s="18" t="str">
        <v>FRENCH FOR COMMUNICATION II</v>
      </c>
      <c r="C229" s="18" t="str">
        <v>Boakye-Agyeman Candy</v>
      </c>
      <c r="D229" s="13" t="s">
        <v>126</v>
      </c>
      <c r="E229" s="15" t="n">
        <v>90</v>
      </c>
      <c r="F229" s="13"/>
      <c r="G229" s="17" t="n">
        <f aca="false">E229*1.1</f>
        <v>99</v>
      </c>
      <c r="I229" s="6" t="str">
        <f aca="false">CONCATENATE(A229,",",D229)</f>
        <v>FC 182,ED1-GEOL</v>
      </c>
      <c r="J229" s="12"/>
    </row>
    <row r="230" customFormat="false" ht="14.9" hidden="false" customHeight="false" outlineLevel="0" collapsed="false">
      <c r="A230" s="13" t="s">
        <v>245</v>
      </c>
      <c r="B230" s="18" t="str">
        <v>FRENCH FOR COMMUNICATION II</v>
      </c>
      <c r="C230" s="18" t="str">
        <v>Boakye-Agyeman Candy</v>
      </c>
      <c r="D230" s="13" t="s">
        <v>75</v>
      </c>
      <c r="E230" s="15" t="n">
        <v>160</v>
      </c>
      <c r="F230" s="13"/>
      <c r="G230" s="17" t="n">
        <f aca="false">E230*1.1</f>
        <v>176</v>
      </c>
      <c r="I230" s="6" t="str">
        <f aca="false">CONCATENATE(A230,",",D230)</f>
        <v>FC 182,ED1-CE</v>
      </c>
      <c r="J230" s="12"/>
    </row>
    <row r="231" customFormat="false" ht="14.9" hidden="false" customHeight="false" outlineLevel="0" collapsed="false">
      <c r="A231" s="13" t="s">
        <v>245</v>
      </c>
      <c r="B231" s="18" t="str">
        <v>FRENCH FOR COMMUNICATION II</v>
      </c>
      <c r="C231" s="18" t="str">
        <v>Boakye-Agyeman Candy</v>
      </c>
      <c r="D231" s="13" t="s">
        <v>112</v>
      </c>
      <c r="E231" s="15" t="n">
        <v>46</v>
      </c>
      <c r="F231" s="13"/>
      <c r="G231" s="17" t="n">
        <f aca="false">E231*1.1</f>
        <v>50.6</v>
      </c>
      <c r="I231" s="6" t="str">
        <f aca="false">CONCATENATE(A231,",",D231)</f>
        <v>FC 182,ED1-MARI</v>
      </c>
      <c r="J231" s="12"/>
    </row>
    <row r="232" customFormat="false" ht="14.9" hidden="false" customHeight="false" outlineLevel="0" collapsed="false">
      <c r="A232" s="13" t="s">
        <v>245</v>
      </c>
      <c r="B232" s="18" t="str">
        <v>FRENCH FOR COMMUNICATION II</v>
      </c>
      <c r="C232" s="18" t="str">
        <v>Pharis Jeel Darko</v>
      </c>
      <c r="D232" s="13" t="s">
        <v>109</v>
      </c>
      <c r="E232" s="15" t="n">
        <v>43</v>
      </c>
      <c r="F232" s="13"/>
      <c r="G232" s="17" t="n">
        <f aca="false">E232*1.1</f>
        <v>47.3</v>
      </c>
      <c r="I232" s="6" t="str">
        <f aca="false">CONCATENATE(A232,",",D232)</f>
        <v>FC 182,ED2-BME</v>
      </c>
      <c r="J232" s="12"/>
    </row>
    <row r="233" customFormat="false" ht="14.9" hidden="false" customHeight="false" outlineLevel="0" collapsed="false">
      <c r="A233" s="13" t="s">
        <v>245</v>
      </c>
      <c r="B233" s="18" t="str">
        <v>FRENCH FOR COMMUNICATION</v>
      </c>
      <c r="C233" s="18" t="str">
        <v>Pharis Jeel Darko</v>
      </c>
      <c r="D233" s="13" t="s">
        <v>108</v>
      </c>
      <c r="E233" s="15" t="n">
        <v>150</v>
      </c>
      <c r="F233" s="13"/>
      <c r="G233" s="17" t="n">
        <f aca="false">E233*1.1</f>
        <v>165</v>
      </c>
      <c r="I233" s="6" t="str">
        <f aca="false">CONCATENATE(A233,",",D233)</f>
        <v>FC 182,ED2-COE</v>
      </c>
      <c r="J233" s="12"/>
    </row>
    <row r="234" customFormat="false" ht="14.9" hidden="false" customHeight="false" outlineLevel="0" collapsed="false">
      <c r="A234" s="13" t="s">
        <v>246</v>
      </c>
      <c r="B234" s="14" t="str">
        <v>PRINCIPLES OF GEOPHYSICS</v>
      </c>
      <c r="C234" s="14" t="str">
        <v>Ali Bukari</v>
      </c>
      <c r="D234" s="13" t="s">
        <v>154</v>
      </c>
      <c r="E234" s="15" t="n">
        <v>154</v>
      </c>
      <c r="F234" s="19"/>
      <c r="G234" s="17" t="n">
        <f aca="false">E234*1.1</f>
        <v>169.4</v>
      </c>
      <c r="I234" s="6" t="str">
        <f aca="false">CONCATENATE(A234,",",D234)</f>
        <v>GED 354,ED3-GEOL</v>
      </c>
      <c r="J234" s="12"/>
    </row>
    <row r="235" customFormat="false" ht="14.9" hidden="false" customHeight="false" outlineLevel="0" collapsed="false">
      <c r="A235" s="13" t="s">
        <v>247</v>
      </c>
      <c r="B235" s="14" t="str">
        <v>INTRODUCTION TO SOIL MECHANICS</v>
      </c>
      <c r="C235" s="18" t="str">
        <v>Amenuvor Andrew Cudzo</v>
      </c>
      <c r="D235" s="13" t="s">
        <v>55</v>
      </c>
      <c r="E235" s="15" t="n">
        <v>150</v>
      </c>
      <c r="F235" s="19"/>
      <c r="G235" s="17" t="n">
        <f aca="false">E235*1.1</f>
        <v>165</v>
      </c>
      <c r="I235" s="6" t="str">
        <f aca="false">CONCATENATE(A235,",",D235)</f>
        <v>GED 262,ED2-GEOL</v>
      </c>
      <c r="J235" s="12"/>
    </row>
    <row r="236" customFormat="false" ht="14.9" hidden="false" customHeight="false" outlineLevel="0" collapsed="false">
      <c r="A236" s="22"/>
      <c r="B236" s="22"/>
      <c r="D236" s="14" t="s">
        <v>248</v>
      </c>
      <c r="E236" s="22" t="n">
        <f aca="false">SUM(E225:E235)</f>
        <v>1186</v>
      </c>
      <c r="F236" s="23"/>
      <c r="G236" s="22"/>
      <c r="I236" s="9" t="s">
        <v>249</v>
      </c>
      <c r="J236" s="12"/>
    </row>
    <row r="237" customFormat="false" ht="14.9" hidden="false" customHeight="false" outlineLevel="0" collapsed="false">
      <c r="A237" s="8" t="s">
        <v>243</v>
      </c>
      <c r="B237" s="8"/>
      <c r="C237" s="8"/>
      <c r="D237" s="8"/>
      <c r="E237" s="8"/>
      <c r="F237" s="8"/>
      <c r="G237" s="8"/>
      <c r="I237" s="9" t="s">
        <v>244</v>
      </c>
      <c r="J237" s="12"/>
    </row>
    <row r="238" customFormat="false" ht="14.9" hidden="false" customHeight="false" outlineLevel="0" collapsed="false">
      <c r="A238" s="8" t="s">
        <v>29</v>
      </c>
      <c r="B238" s="8"/>
      <c r="C238" s="8"/>
      <c r="D238" s="8"/>
      <c r="E238" s="8"/>
      <c r="F238" s="8"/>
      <c r="G238" s="8"/>
      <c r="I238" s="9" t="s">
        <v>30</v>
      </c>
      <c r="J238" s="12"/>
    </row>
    <row r="239" customFormat="false" ht="14.9" hidden="false" customHeight="false" outlineLevel="0" collapsed="false">
      <c r="A239" s="11" t="s">
        <v>4</v>
      </c>
      <c r="B239" s="11" t="s">
        <v>5</v>
      </c>
      <c r="C239" s="2" t="s">
        <v>6</v>
      </c>
      <c r="D239" s="11" t="s">
        <v>7</v>
      </c>
      <c r="E239" s="11" t="s">
        <v>8</v>
      </c>
      <c r="F239" s="2" t="s">
        <v>9</v>
      </c>
      <c r="G239" s="11" t="s">
        <v>10</v>
      </c>
      <c r="I239" s="9" t="s">
        <v>31</v>
      </c>
      <c r="J239" s="12"/>
    </row>
    <row r="240" customFormat="false" ht="14.9" hidden="false" customHeight="false" outlineLevel="0" collapsed="false">
      <c r="A240" s="13" t="s">
        <v>250</v>
      </c>
      <c r="B240" s="14" t="str">
        <f aca="false" t="array" ref="B240:B252">IFERROR(VLOOKUP(I240:I252,Lectures_1!A2:F534,2,FALSE()),0)</f>
        <v>DIGITAL SIGNAL PROCESSING</v>
      </c>
      <c r="C240" s="14" t="str">
        <f aca="false" t="array" ref="C240:C252">IFERROR(VLOOKUP(I240:I252,Lectures_1!A2:F534,3,FALSE()),0)</f>
        <v>Akowuah Emmanuel Kofi</v>
      </c>
      <c r="D240" s="13" t="s">
        <v>251</v>
      </c>
      <c r="E240" s="15" t="n">
        <f aca="false" t="array" ref="E240:E252">IFERROR(VLOOKUP(I240:I252,Lectures_1!A2:F534,4,FALSE()),0)</f>
        <v>160</v>
      </c>
      <c r="F240" s="16" t="s">
        <v>34</v>
      </c>
      <c r="G240" s="17" t="n">
        <f aca="false">E240*1.1</f>
        <v>176</v>
      </c>
      <c r="I240" s="6" t="str">
        <f aca="false">CONCATENATE(A240,",",D240)</f>
        <v>COE 472,ED4-COE</v>
      </c>
      <c r="J240" s="12"/>
    </row>
    <row r="241" customFormat="false" ht="14.9" hidden="false" customHeight="false" outlineLevel="0" collapsed="false">
      <c r="A241" s="13" t="s">
        <v>250</v>
      </c>
      <c r="B241" s="14" t="str">
        <v>DIGITAL SIGNAL PROCESSING</v>
      </c>
      <c r="C241" s="14" t="str">
        <v>Adjei Prince Ebenezer</v>
      </c>
      <c r="D241" s="13" t="s">
        <v>252</v>
      </c>
      <c r="E241" s="15" t="n">
        <v>87</v>
      </c>
      <c r="F241" s="35"/>
      <c r="G241" s="17" t="n">
        <f aca="false">E241*1.1</f>
        <v>95.7</v>
      </c>
      <c r="I241" s="6" t="str">
        <f aca="false">CONCATENATE(A241,",",D241)</f>
        <v>COE 472,ED4-BME</v>
      </c>
      <c r="J241" s="12"/>
    </row>
    <row r="242" customFormat="false" ht="14.9" hidden="false" customHeight="false" outlineLevel="0" collapsed="false">
      <c r="A242" s="13" t="s">
        <v>253</v>
      </c>
      <c r="B242" s="18" t="str">
        <v>PHASE TRANSFORMATIONS</v>
      </c>
      <c r="C242" s="14" t="str">
        <v>Gikunoo Emmanuel</v>
      </c>
      <c r="D242" s="13" t="s">
        <v>210</v>
      </c>
      <c r="E242" s="15" t="n">
        <v>83</v>
      </c>
      <c r="F242" s="19"/>
      <c r="G242" s="17" t="n">
        <f aca="false">E242*1.1</f>
        <v>91.3</v>
      </c>
      <c r="H242" s="41"/>
      <c r="I242" s="6" t="str">
        <f aca="false">CONCATENATE(A242,",",D242)</f>
        <v>MSE 260,ED2-MSE</v>
      </c>
      <c r="J242" s="12"/>
    </row>
    <row r="243" customFormat="false" ht="14.9" hidden="false" customHeight="false" outlineLevel="0" collapsed="false">
      <c r="A243" s="13" t="s">
        <v>253</v>
      </c>
      <c r="B243" s="18" t="str">
        <v>PHASE TRANSFORMATIONS</v>
      </c>
      <c r="C243" s="14" t="str">
        <v>Gikunoo Emmanuel</v>
      </c>
      <c r="D243" s="13" t="s">
        <v>101</v>
      </c>
      <c r="E243" s="15" t="n">
        <v>57</v>
      </c>
      <c r="F243" s="19"/>
      <c r="G243" s="17" t="n">
        <f aca="false">E243*1.1</f>
        <v>62.7</v>
      </c>
      <c r="I243" s="6" t="str">
        <f aca="false">CONCATENATE(A243,",",D243)</f>
        <v>MSE 260,ED2-METE</v>
      </c>
      <c r="J243" s="12"/>
    </row>
    <row r="244" customFormat="false" ht="14.9" hidden="false" customHeight="false" outlineLevel="0" collapsed="false">
      <c r="A244" s="13" t="s">
        <v>254</v>
      </c>
      <c r="B244" s="14" t="str">
        <v>MECHANISMS SYNTHESIS AND ANALYSIS II</v>
      </c>
      <c r="C244" s="14" t="str">
        <v>David Kofi Oppong</v>
      </c>
      <c r="D244" s="13" t="s">
        <v>99</v>
      </c>
      <c r="E244" s="15" t="n">
        <v>17</v>
      </c>
      <c r="F244" s="19"/>
      <c r="G244" s="17" t="n">
        <f aca="false">E244*1.1</f>
        <v>18.7</v>
      </c>
      <c r="I244" s="6" t="str">
        <f aca="false">CONCATENATE(A244,",",D244)</f>
        <v>ME 462,ED4-AERO</v>
      </c>
      <c r="J244" s="12"/>
    </row>
    <row r="245" customFormat="false" ht="14.9" hidden="false" customHeight="false" outlineLevel="0" collapsed="false">
      <c r="A245" s="13" t="s">
        <v>255</v>
      </c>
      <c r="B245" s="14" t="str">
        <v>PETROLEUM PRODUCTION ENGINEERING II</v>
      </c>
      <c r="C245" s="14" t="str">
        <v>Sarkodie Kwame</v>
      </c>
      <c r="D245" s="13" t="s">
        <v>18</v>
      </c>
      <c r="E245" s="15" t="n">
        <v>80</v>
      </c>
      <c r="F245" s="19"/>
      <c r="G245" s="17" t="n">
        <f aca="false">E245*1.1</f>
        <v>88</v>
      </c>
      <c r="I245" s="6" t="str">
        <f aca="false">CONCATENATE(A245,",",D245)</f>
        <v>PE 358,ED3-PE</v>
      </c>
      <c r="J245" s="12"/>
    </row>
    <row r="246" customFormat="false" ht="14.9" hidden="false" customHeight="false" outlineLevel="0" collapsed="false">
      <c r="A246" s="13" t="s">
        <v>256</v>
      </c>
      <c r="B246" s="14" t="str">
        <v>HYDROMETALLURGICAL APPLICATIONS</v>
      </c>
      <c r="C246" s="18" t="str">
        <v>Agbe Henry</v>
      </c>
      <c r="D246" s="13" t="s">
        <v>142</v>
      </c>
      <c r="E246" s="15" t="n">
        <v>87</v>
      </c>
      <c r="F246" s="19"/>
      <c r="G246" s="17" t="n">
        <f aca="false">E246*1.1</f>
        <v>95.7</v>
      </c>
      <c r="I246" s="6" t="str">
        <f aca="false">CONCATENATE(A246,",",D246)</f>
        <v>METE 352,ED3-METE</v>
      </c>
      <c r="J246" s="12"/>
    </row>
    <row r="247" customFormat="false" ht="14.9" hidden="false" customHeight="false" outlineLevel="0" collapsed="false">
      <c r="A247" s="13" t="s">
        <v>257</v>
      </c>
      <c r="B247" s="18" t="str">
        <v>MODERN AUTOMOBILE TECHNOLOGY</v>
      </c>
      <c r="C247" s="14" t="str">
        <v>Ayetor Godwin Kafui Kwesi</v>
      </c>
      <c r="D247" s="13" t="s">
        <v>97</v>
      </c>
      <c r="E247" s="15" t="n">
        <v>32</v>
      </c>
      <c r="F247" s="19" t="s">
        <v>21</v>
      </c>
      <c r="G247" s="17" t="n">
        <f aca="false">E247*1.1</f>
        <v>35.2</v>
      </c>
      <c r="I247" s="6" t="str">
        <f aca="false">CONCATENATE(A247,",",D247)</f>
        <v>AME 476,ED4-AUTO</v>
      </c>
      <c r="J247" s="12"/>
    </row>
    <row r="248" customFormat="false" ht="14.9" hidden="false" customHeight="false" outlineLevel="0" collapsed="false">
      <c r="A248" s="13" t="s">
        <v>258</v>
      </c>
      <c r="B248" s="18" t="str">
        <v>SEPARATION PROCESSES II</v>
      </c>
      <c r="C248" s="14" t="str">
        <v>Augustine Ntiamoah</v>
      </c>
      <c r="D248" s="13" t="s">
        <v>63</v>
      </c>
      <c r="E248" s="15" t="n">
        <v>53</v>
      </c>
      <c r="F248" s="19"/>
      <c r="G248" s="17" t="n">
        <f aca="false">E248*1.1</f>
        <v>58.3</v>
      </c>
      <c r="I248" s="6" t="str">
        <f aca="false">CONCATENATE(A248,",",D248)</f>
        <v>PCE 352,ED3-PCE</v>
      </c>
      <c r="J248" s="12"/>
    </row>
    <row r="249" customFormat="false" ht="14.9" hidden="false" customHeight="false" outlineLevel="0" collapsed="false">
      <c r="A249" s="13" t="s">
        <v>259</v>
      </c>
      <c r="B249" s="14" t="str">
        <v>EMBEDDED SYSTEMS</v>
      </c>
      <c r="C249" s="18" t="str">
        <v>Kommey Benjamin</v>
      </c>
      <c r="D249" s="13" t="s">
        <v>16</v>
      </c>
      <c r="E249" s="15" t="n">
        <v>265</v>
      </c>
      <c r="F249" s="19"/>
      <c r="G249" s="17" t="n">
        <f aca="false">E249*1.1</f>
        <v>291.5</v>
      </c>
      <c r="I249" s="6" t="str">
        <f aca="false">CONCATENATE(A249,",",D249)</f>
        <v>COE 358,ED3-COE</v>
      </c>
      <c r="J249" s="12"/>
    </row>
    <row r="250" customFormat="false" ht="14.9" hidden="false" customHeight="false" outlineLevel="0" collapsed="false">
      <c r="A250" s="13" t="s">
        <v>259</v>
      </c>
      <c r="B250" s="14" t="str">
        <v>EMBEDDED SYSTEMS</v>
      </c>
      <c r="C250" s="18" t="str">
        <v>Kommey Benjamin</v>
      </c>
      <c r="D250" s="13" t="s">
        <v>65</v>
      </c>
      <c r="E250" s="15" t="n">
        <v>90</v>
      </c>
      <c r="F250" s="19"/>
      <c r="G250" s="17" t="n">
        <f aca="false">E250*1.1</f>
        <v>99</v>
      </c>
      <c r="I250" s="6" t="str">
        <f aca="false">CONCATENATE(A250,",",D250)</f>
        <v>COE 358,ED3-BME</v>
      </c>
      <c r="J250" s="12"/>
    </row>
    <row r="251" customFormat="false" ht="14.9" hidden="false" customHeight="false" outlineLevel="0" collapsed="false">
      <c r="A251" s="13" t="s">
        <v>260</v>
      </c>
      <c r="B251" s="18" t="str">
        <v>BASIC ELECTRONICS</v>
      </c>
      <c r="C251" s="18" t="str">
        <v>Addo Daniel Akwei</v>
      </c>
      <c r="D251" s="13" t="s">
        <v>130</v>
      </c>
      <c r="E251" s="15" t="n">
        <v>136</v>
      </c>
      <c r="F251" s="19"/>
      <c r="G251" s="17" t="n">
        <f aca="false">E251*1.1</f>
        <v>149.6</v>
      </c>
      <c r="I251" s="6" t="str">
        <f aca="false">CONCATENATE(A251,",",D251)</f>
        <v>COE 152,ED1-BME</v>
      </c>
      <c r="J251" s="12"/>
    </row>
    <row r="252" customFormat="false" ht="14.9" hidden="false" customHeight="false" outlineLevel="0" collapsed="false">
      <c r="A252" s="13" t="s">
        <v>260</v>
      </c>
      <c r="B252" s="14" t="str">
        <v>BASIC ELECTRONICS</v>
      </c>
      <c r="C252" s="18" t="str">
        <v>Klogo Griffith Selorm</v>
      </c>
      <c r="D252" s="13" t="s">
        <v>20</v>
      </c>
      <c r="E252" s="15" t="n">
        <v>262</v>
      </c>
      <c r="F252" s="19"/>
      <c r="G252" s="17" t="n">
        <f aca="false">E252*1.1</f>
        <v>288.2</v>
      </c>
      <c r="I252" s="6" t="str">
        <f aca="false">CONCATENATE(A252,",",D252)</f>
        <v>COE 152,ED1-COE</v>
      </c>
      <c r="J252" s="12"/>
    </row>
    <row r="253" customFormat="false" ht="14.9" hidden="false" customHeight="false" outlineLevel="0" collapsed="false">
      <c r="A253" s="22"/>
      <c r="B253" s="22"/>
      <c r="C253" s="14"/>
      <c r="D253" s="14" t="s">
        <v>261</v>
      </c>
      <c r="E253" s="22" t="n">
        <f aca="false">SUM(E242:E252)</f>
        <v>1162</v>
      </c>
      <c r="F253" s="23"/>
      <c r="G253" s="22"/>
      <c r="I253" s="9" t="s">
        <v>262</v>
      </c>
      <c r="J253" s="12"/>
    </row>
    <row r="254" customFormat="false" ht="14.9" hidden="false" customHeight="false" outlineLevel="0" collapsed="false">
      <c r="A254" s="8" t="s">
        <v>243</v>
      </c>
      <c r="B254" s="8"/>
      <c r="C254" s="8"/>
      <c r="D254" s="8"/>
      <c r="E254" s="8"/>
      <c r="F254" s="8"/>
      <c r="G254" s="8"/>
      <c r="I254" s="9" t="s">
        <v>244</v>
      </c>
      <c r="J254" s="12"/>
    </row>
    <row r="255" customFormat="false" ht="14.9" hidden="false" customHeight="false" outlineLevel="0" collapsed="false">
      <c r="A255" s="8" t="s">
        <v>59</v>
      </c>
      <c r="B255" s="8"/>
      <c r="C255" s="8"/>
      <c r="D255" s="8"/>
      <c r="E255" s="8"/>
      <c r="F255" s="8"/>
      <c r="G255" s="8"/>
      <c r="I255" s="9" t="s">
        <v>128</v>
      </c>
      <c r="J255" s="12"/>
    </row>
    <row r="256" customFormat="false" ht="14.9" hidden="false" customHeight="false" outlineLevel="0" collapsed="false">
      <c r="A256" s="11" t="s">
        <v>4</v>
      </c>
      <c r="B256" s="11" t="s">
        <v>5</v>
      </c>
      <c r="C256" s="2" t="s">
        <v>6</v>
      </c>
      <c r="D256" s="11" t="s">
        <v>7</v>
      </c>
      <c r="E256" s="11" t="s">
        <v>8</v>
      </c>
      <c r="F256" s="2" t="s">
        <v>9</v>
      </c>
      <c r="G256" s="11" t="s">
        <v>10</v>
      </c>
      <c r="I256" s="9" t="s">
        <v>31</v>
      </c>
      <c r="J256" s="12"/>
    </row>
    <row r="257" customFormat="false" ht="14.9" hidden="false" customHeight="false" outlineLevel="0" collapsed="false">
      <c r="A257" s="30" t="s">
        <v>263</v>
      </c>
      <c r="B257" s="14" t="str">
        <f aca="false" t="array" ref="B257:B267">IFERROR(VLOOKUP(I257:I267,Lectures_1!A2:F534,2,FALSE()),0)</f>
        <v>COMPUTER PROGRAMMING IN OIL AND GAS</v>
      </c>
      <c r="C257" s="14" t="str">
        <f aca="false" t="array" ref="C257:C267">IFERROR(VLOOKUP(I257:I267,Lectures_1!A2:F534,3,FALSE()),0)</f>
        <v>Sokama-Neuyam Yen Adams</v>
      </c>
      <c r="D257" s="30" t="s">
        <v>93</v>
      </c>
      <c r="E257" s="15" t="n">
        <f aca="false" t="array" ref="E257:E267">IFERROR(VLOOKUP(I257:I267,Lectures_1!A2:F534,4,FALSE()),0)</f>
        <v>95</v>
      </c>
      <c r="F257" s="20"/>
      <c r="G257" s="17" t="n">
        <f aca="false">E257*1.1</f>
        <v>104.5</v>
      </c>
      <c r="I257" s="6" t="str">
        <f aca="false">CONCATENATE(A257,",",D257)</f>
        <v>PE 262,ED2-PE</v>
      </c>
      <c r="J257" s="42"/>
    </row>
    <row r="258" customFormat="false" ht="14.9" hidden="false" customHeight="false" outlineLevel="0" collapsed="false">
      <c r="A258" s="13" t="s">
        <v>264</v>
      </c>
      <c r="B258" s="18" t="str">
        <v>PETROLEUM PROJECT EVALUATION</v>
      </c>
      <c r="C258" s="18" t="str">
        <v>Sarkodie Kwame</v>
      </c>
      <c r="D258" s="13" t="s">
        <v>46</v>
      </c>
      <c r="E258" s="15" t="n">
        <v>99</v>
      </c>
      <c r="F258" s="19"/>
      <c r="G258" s="17" t="n">
        <f aca="false">E258*1.1</f>
        <v>108.9</v>
      </c>
      <c r="I258" s="6" t="str">
        <f aca="false">CONCATENATE(A258,",",D258)</f>
        <v>PE 452,ED4-PE</v>
      </c>
      <c r="J258" s="12"/>
    </row>
    <row r="259" customFormat="false" ht="14.9" hidden="false" customHeight="false" outlineLevel="0" collapsed="false">
      <c r="A259" s="13" t="s">
        <v>265</v>
      </c>
      <c r="B259" s="18" t="str">
        <v>COMPUTER-AIDED DESIGN AND MANUFACTURING</v>
      </c>
      <c r="C259" s="14" t="str">
        <v>Afriyie Nyarko Frank Kwabena</v>
      </c>
      <c r="D259" s="13" t="s">
        <v>121</v>
      </c>
      <c r="E259" s="30" t="n">
        <v>70</v>
      </c>
      <c r="F259" s="19"/>
      <c r="G259" s="17" t="n">
        <f aca="false">E259*1.1</f>
        <v>77</v>
      </c>
      <c r="I259" s="6" t="str">
        <f aca="false">CONCATENATE(A259,",",D259)</f>
        <v>IE 358,ED3-IND</v>
      </c>
      <c r="J259" s="12"/>
    </row>
    <row r="260" customFormat="false" ht="14.9" hidden="false" customHeight="false" outlineLevel="0" collapsed="false">
      <c r="A260" s="13" t="s">
        <v>266</v>
      </c>
      <c r="B260" s="14" t="str">
        <v>INTRODUCTION TO CAD/CAM</v>
      </c>
      <c r="C260" s="18" t="str">
        <v>Afriyie Nyarko Frank Kwabena</v>
      </c>
      <c r="D260" s="13" t="s">
        <v>88</v>
      </c>
      <c r="E260" s="15" t="n">
        <v>101</v>
      </c>
      <c r="F260" s="19"/>
      <c r="G260" s="17" t="n">
        <f aca="false">E260*1.1</f>
        <v>111.1</v>
      </c>
      <c r="I260" s="6" t="str">
        <f aca="false">CONCATENATE(A260,",",D260)</f>
        <v>ME 376,ED3-AE</v>
      </c>
      <c r="J260" s="12"/>
    </row>
    <row r="261" customFormat="false" ht="14.9" hidden="false" customHeight="false" outlineLevel="0" collapsed="false">
      <c r="A261" s="13" t="s">
        <v>267</v>
      </c>
      <c r="B261" s="14" t="str">
        <v>POWER SYSTEMS PROTECTION</v>
      </c>
      <c r="C261" s="18" t="str">
        <v>Frimpong Emmanuel Asuming</v>
      </c>
      <c r="D261" s="13" t="s">
        <v>144</v>
      </c>
      <c r="E261" s="15" t="n">
        <v>205</v>
      </c>
      <c r="F261" s="39"/>
      <c r="G261" s="17" t="n">
        <f aca="false">E261*1.1</f>
        <v>225.5</v>
      </c>
      <c r="I261" s="6" t="str">
        <f aca="false">CONCATENATE(A261,",",D261)</f>
        <v>EE 468,ED4-EE</v>
      </c>
      <c r="J261" s="12"/>
    </row>
    <row r="262" customFormat="false" ht="14.9" hidden="false" customHeight="false" outlineLevel="0" collapsed="false">
      <c r="A262" s="13" t="s">
        <v>268</v>
      </c>
      <c r="B262" s="14" t="str">
        <v>STATICS OF SOLID MECHANICS</v>
      </c>
      <c r="C262" s="18" t="str">
        <v>Dzebre Denis Edem Kwame</v>
      </c>
      <c r="D262" s="13" t="s">
        <v>191</v>
      </c>
      <c r="E262" s="15" t="n">
        <v>70</v>
      </c>
      <c r="F262" s="13"/>
      <c r="G262" s="17" t="n">
        <f aca="false">E262*1.1</f>
        <v>77</v>
      </c>
      <c r="I262" s="6" t="str">
        <f aca="false">CONCATENATE(A262,",",D262)</f>
        <v>ME 164,ED1-AERO</v>
      </c>
      <c r="J262" s="12"/>
    </row>
    <row r="263" customFormat="false" ht="14.9" hidden="false" customHeight="false" outlineLevel="0" collapsed="false">
      <c r="A263" s="13" t="s">
        <v>268</v>
      </c>
      <c r="B263" s="14" t="str">
        <v>ENGINEERING MECHANICS I: STATICS</v>
      </c>
      <c r="C263" s="18" t="str">
        <v>Dzebre Denis Edem Kwame</v>
      </c>
      <c r="D263" s="13" t="s">
        <v>161</v>
      </c>
      <c r="E263" s="15" t="n">
        <v>225</v>
      </c>
      <c r="F263" s="19"/>
      <c r="G263" s="17" t="n">
        <f aca="false">E263*1.1</f>
        <v>247.5</v>
      </c>
      <c r="I263" s="6" t="str">
        <f aca="false">CONCATENATE(A263,",",D263)</f>
        <v>ME 164,ED1-ME</v>
      </c>
      <c r="J263" s="12"/>
    </row>
    <row r="264" customFormat="false" ht="14.9" hidden="false" customHeight="false" outlineLevel="0" collapsed="false">
      <c r="A264" s="13" t="s">
        <v>269</v>
      </c>
      <c r="B264" s="14" t="str">
        <v>NETWORK PLANNING AND OPTIMIZATION</v>
      </c>
      <c r="C264" s="18" t="str">
        <v>Kwasi Adu-Boahen Opare</v>
      </c>
      <c r="D264" s="13" t="s">
        <v>227</v>
      </c>
      <c r="E264" s="15" t="n">
        <v>138</v>
      </c>
      <c r="F264" s="19"/>
      <c r="G264" s="17" t="n">
        <f aca="false">E264*1.1</f>
        <v>151.8</v>
      </c>
      <c r="I264" s="6" t="str">
        <f aca="false">CONCATENATE(A264,",",D264)</f>
        <v>TE 458,ED4-TEL</v>
      </c>
      <c r="J264" s="12"/>
    </row>
    <row r="265" customFormat="false" ht="14.25" hidden="false" customHeight="true" outlineLevel="0" collapsed="false">
      <c r="A265" s="13" t="s">
        <v>270</v>
      </c>
      <c r="B265" s="18" t="str">
        <v>GROUND ENGINEERING</v>
      </c>
      <c r="C265" s="18" t="str">
        <v>Samuel Innocent Kofi Ampadu</v>
      </c>
      <c r="D265" s="13" t="s">
        <v>177</v>
      </c>
      <c r="E265" s="15" t="n">
        <v>2</v>
      </c>
      <c r="F265" s="19"/>
      <c r="G265" s="17" t="n">
        <f aca="false">E265*1.1</f>
        <v>2.2</v>
      </c>
      <c r="I265" s="6" t="str">
        <f aca="false">CONCATENATE(A265,",",D265)</f>
        <v>CE 478,ED4-GEOL</v>
      </c>
      <c r="J265" s="12"/>
    </row>
    <row r="266" customFormat="false" ht="14.9" hidden="false" customHeight="false" outlineLevel="0" collapsed="false">
      <c r="A266" s="13" t="s">
        <v>270</v>
      </c>
      <c r="B266" s="18" t="str">
        <v>GROUND ENGINEERING</v>
      </c>
      <c r="C266" s="18" t="str">
        <v>Samuel Innocent Kofi Ampadu</v>
      </c>
      <c r="D266" s="13" t="s">
        <v>103</v>
      </c>
      <c r="E266" s="15" t="n">
        <v>60</v>
      </c>
      <c r="F266" s="19"/>
      <c r="G266" s="17" t="n">
        <f aca="false">E266*1.1</f>
        <v>66</v>
      </c>
      <c r="I266" s="6" t="str">
        <f aca="false">CONCATENATE(A266,",",D266)</f>
        <v>CE 478,ED4-CE</v>
      </c>
      <c r="J266" s="12"/>
    </row>
    <row r="267" customFormat="false" ht="14.9" hidden="false" customHeight="false" outlineLevel="0" collapsed="false">
      <c r="A267" s="13" t="s">
        <v>271</v>
      </c>
      <c r="B267" s="14" t="str">
        <v>ENGINEERING PROPERTIES OF POLYMERS</v>
      </c>
      <c r="C267" s="18" t="str">
        <v>Asare Eric Kwame Anokye</v>
      </c>
      <c r="D267" s="13" t="s">
        <v>140</v>
      </c>
      <c r="E267" s="15" t="n">
        <v>85</v>
      </c>
      <c r="F267" s="19"/>
      <c r="G267" s="17" t="n">
        <f aca="false">E267*1.1</f>
        <v>93.5</v>
      </c>
      <c r="I267" s="6" t="str">
        <f aca="false">CONCATENATE(A267,",",D267)</f>
        <v>MSE 356,ED3-MSE</v>
      </c>
      <c r="J267" s="12"/>
    </row>
    <row r="268" customFormat="false" ht="14.9" hidden="false" customHeight="false" outlineLevel="0" collapsed="false">
      <c r="A268" s="13"/>
      <c r="B268" s="22"/>
      <c r="D268" s="14" t="s">
        <v>272</v>
      </c>
      <c r="E268" s="22" t="n">
        <f aca="false">SUM(E257:E267)</f>
        <v>1150</v>
      </c>
      <c r="F268" s="23"/>
      <c r="G268" s="22"/>
      <c r="I268" s="9" t="s">
        <v>273</v>
      </c>
      <c r="J268" s="12"/>
    </row>
    <row r="269" customFormat="false" ht="14.9" hidden="false" customHeight="false" outlineLevel="0" collapsed="false">
      <c r="A269" s="8" t="s">
        <v>274</v>
      </c>
      <c r="B269" s="8"/>
      <c r="C269" s="8"/>
      <c r="D269" s="8"/>
      <c r="E269" s="8"/>
      <c r="F269" s="8"/>
      <c r="G269" s="8"/>
      <c r="I269" s="9" t="s">
        <v>275</v>
      </c>
      <c r="J269" s="12"/>
    </row>
    <row r="270" customFormat="false" ht="14.9" hidden="false" customHeight="false" outlineLevel="0" collapsed="false">
      <c r="A270" s="8" t="s">
        <v>2</v>
      </c>
      <c r="B270" s="8"/>
      <c r="C270" s="8"/>
      <c r="D270" s="8"/>
      <c r="E270" s="8"/>
      <c r="F270" s="8"/>
      <c r="G270" s="8"/>
      <c r="I270" s="9" t="s">
        <v>149</v>
      </c>
      <c r="J270" s="12"/>
    </row>
    <row r="271" customFormat="false" ht="14.9" hidden="false" customHeight="false" outlineLevel="0" collapsed="false">
      <c r="A271" s="11" t="s">
        <v>4</v>
      </c>
      <c r="B271" s="11" t="s">
        <v>5</v>
      </c>
      <c r="C271" s="2" t="s">
        <v>6</v>
      </c>
      <c r="D271" s="11" t="s">
        <v>7</v>
      </c>
      <c r="E271" s="11" t="s">
        <v>8</v>
      </c>
      <c r="F271" s="2" t="s">
        <v>9</v>
      </c>
      <c r="G271" s="11" t="s">
        <v>10</v>
      </c>
      <c r="I271" s="9" t="s">
        <v>31</v>
      </c>
      <c r="J271" s="12"/>
    </row>
    <row r="272" customFormat="false" ht="14.9" hidden="false" customHeight="false" outlineLevel="0" collapsed="false">
      <c r="A272" s="13" t="s">
        <v>276</v>
      </c>
      <c r="B272" s="14" t="str">
        <f aca="false" t="array" ref="B272:B281">IFERROR(VLOOKUP(I272:I281,Lectures_1!A2:F534,2,FALSE()),0)</f>
        <v>LITERATURE IN ENGLISH II</v>
      </c>
      <c r="C272" s="14" t="str">
        <f aca="false" t="array" ref="C272:C281">IFERROR(VLOOKUP(I272:I281,Lectures_1!A2:F534,3,FALSE()),0)</f>
        <v>Yeboah Philomena Ama Okyeso</v>
      </c>
      <c r="D272" s="13" t="s">
        <v>53</v>
      </c>
      <c r="E272" s="15" t="n">
        <f aca="false" t="array" ref="E272:E281">IFERROR(VLOOKUP(I272:I281,Lectures_1!A2:F534,4,FALSE()),0)</f>
        <v>155</v>
      </c>
      <c r="F272" s="19"/>
      <c r="G272" s="17" t="n">
        <f aca="false">E272*1.1</f>
        <v>170.5</v>
      </c>
      <c r="I272" s="6" t="str">
        <f aca="false">CONCATENATE(A272,",",D272)</f>
        <v>ENGL 264,ED2-AE</v>
      </c>
      <c r="J272" s="12"/>
    </row>
    <row r="273" customFormat="false" ht="14.9" hidden="false" customHeight="false" outlineLevel="0" collapsed="false">
      <c r="A273" s="13" t="s">
        <v>276</v>
      </c>
      <c r="B273" s="18" t="str">
        <v>LITERATURE IN ENGLISH II</v>
      </c>
      <c r="C273" s="14" t="str">
        <v>Yeboah Philomena Ama Okyeso</v>
      </c>
      <c r="D273" s="13" t="s">
        <v>36</v>
      </c>
      <c r="E273" s="15" t="n">
        <v>75</v>
      </c>
      <c r="F273" s="13"/>
      <c r="G273" s="17" t="n">
        <f aca="false">E273*1.1</f>
        <v>82.5</v>
      </c>
      <c r="I273" s="6" t="str">
        <f aca="false">CONCATENATE(A273,",",D273)</f>
        <v>ENGL 264,ED2-AERO</v>
      </c>
      <c r="J273" s="12"/>
    </row>
    <row r="274" customFormat="false" ht="14.9" hidden="false" customHeight="false" outlineLevel="0" collapsed="false">
      <c r="A274" s="13" t="s">
        <v>276</v>
      </c>
      <c r="B274" s="18" t="str">
        <v>LITERATURE IN ENGLISH II</v>
      </c>
      <c r="C274" s="14" t="str">
        <v>Yeboah Philomena Ama Okyeso</v>
      </c>
      <c r="D274" s="13" t="s">
        <v>170</v>
      </c>
      <c r="E274" s="15" t="n">
        <v>132</v>
      </c>
      <c r="F274" s="30"/>
      <c r="G274" s="17" t="n">
        <f aca="false">E274*1.1</f>
        <v>145.2</v>
      </c>
      <c r="I274" s="6" t="str">
        <f aca="false">CONCATENATE(A274,",",D274)</f>
        <v>ENGL 264,ED2-GEOM</v>
      </c>
      <c r="J274" s="12"/>
    </row>
    <row r="275" customFormat="false" ht="14.9" hidden="false" customHeight="false" outlineLevel="0" collapsed="false">
      <c r="A275" s="13" t="s">
        <v>276</v>
      </c>
      <c r="B275" s="18" t="str">
        <v>LITERATURE IN ENGLISH II</v>
      </c>
      <c r="C275" s="14" t="str">
        <v>Yeboah Philomena Ama Okyeso</v>
      </c>
      <c r="D275" s="13" t="s">
        <v>38</v>
      </c>
      <c r="E275" s="15" t="n">
        <v>80</v>
      </c>
      <c r="F275" s="13"/>
      <c r="G275" s="17" t="n">
        <f aca="false">E275*1.1</f>
        <v>88</v>
      </c>
      <c r="I275" s="6" t="str">
        <f aca="false">CONCATENATE(A275,",",D275)</f>
        <v>ENGL 264,ED2-IND</v>
      </c>
      <c r="J275" s="12"/>
    </row>
    <row r="276" customFormat="false" ht="14.9" hidden="false" customHeight="false" outlineLevel="0" collapsed="false">
      <c r="A276" s="13" t="s">
        <v>277</v>
      </c>
      <c r="B276" s="14" t="str">
        <v>AIR VEHICLE STABILITY AND CONTROL</v>
      </c>
      <c r="C276" s="18" t="str">
        <v>Oppong David Kofi</v>
      </c>
      <c r="D276" s="13" t="s">
        <v>133</v>
      </c>
      <c r="E276" s="15" t="n">
        <v>76</v>
      </c>
      <c r="F276" s="19" t="s">
        <v>21</v>
      </c>
      <c r="G276" s="17" t="n">
        <f aca="false">E276*1.1</f>
        <v>83.6</v>
      </c>
      <c r="I276" s="6" t="str">
        <f aca="false">CONCATENATE(A276,",",D276)</f>
        <v>AERO 362,ED3-AERO</v>
      </c>
      <c r="J276" s="12"/>
    </row>
    <row r="277" customFormat="false" ht="14.9" hidden="false" customHeight="false" outlineLevel="0" collapsed="false">
      <c r="A277" s="13" t="s">
        <v>278</v>
      </c>
      <c r="B277" s="14" t="str">
        <v>INTRO TO ENVIRONMENTAL ENG.</v>
      </c>
      <c r="C277" s="18" t="str">
        <v>Essandoh Helen Michelle Korkor</v>
      </c>
      <c r="D277" s="13" t="s">
        <v>56</v>
      </c>
      <c r="E277" s="15" t="n">
        <v>250</v>
      </c>
      <c r="F277" s="30"/>
      <c r="G277" s="17" t="n">
        <f aca="false">E277*1.1</f>
        <v>275</v>
      </c>
      <c r="I277" s="6" t="str">
        <f aca="false">CONCATENATE(A277,",",D277)</f>
        <v>CE 264,ED2-CE</v>
      </c>
      <c r="J277" s="12"/>
    </row>
    <row r="278" customFormat="false" ht="14.9" hidden="false" customHeight="false" outlineLevel="0" collapsed="false">
      <c r="A278" s="13" t="s">
        <v>279</v>
      </c>
      <c r="B278" s="18" t="str">
        <v>MICROPROCESSORS AND MECHATRONICS APPLICATIONS</v>
      </c>
      <c r="C278" s="18" t="str">
        <v>Sackey Michael Nii</v>
      </c>
      <c r="D278" s="13" t="s">
        <v>23</v>
      </c>
      <c r="E278" s="15" t="n">
        <v>40</v>
      </c>
      <c r="F278" s="19"/>
      <c r="G278" s="17" t="n">
        <f aca="false">E278*1.1</f>
        <v>44</v>
      </c>
      <c r="I278" s="6" t="str">
        <f aca="false">CONCATENATE(A278,",",D278)</f>
        <v>AME 384,ED3-AUTO</v>
      </c>
      <c r="J278" s="12"/>
    </row>
    <row r="279" customFormat="false" ht="14.9" hidden="false" customHeight="false" outlineLevel="0" collapsed="false">
      <c r="A279" s="13" t="s">
        <v>280</v>
      </c>
      <c r="B279" s="18" t="str">
        <v>PULP AND PAPER TECHNOLOGY</v>
      </c>
      <c r="C279" s="18" t="str">
        <v>Rockson Mizpah Ama Dziedzorm</v>
      </c>
      <c r="D279" s="13" t="s">
        <v>48</v>
      </c>
      <c r="E279" s="15" t="n">
        <v>70</v>
      </c>
      <c r="F279" s="19"/>
      <c r="G279" s="17" t="n">
        <f aca="false">E279*1.1</f>
        <v>77</v>
      </c>
      <c r="I279" s="6" t="str">
        <f aca="false">CONCATENATE(A279,",",D279)</f>
        <v>CHE 466,ED4-CHE</v>
      </c>
      <c r="J279" s="12"/>
    </row>
    <row r="280" s="45" customFormat="true" ht="14.9" hidden="false" customHeight="false" outlineLevel="0" collapsed="false">
      <c r="A280" s="13" t="s">
        <v>281</v>
      </c>
      <c r="B280" s="18" t="str">
        <v>CALCULUS WITH SEVERAL VARIABLES</v>
      </c>
      <c r="C280" s="14" t="str">
        <v>Boateng Maxwell Akwasi</v>
      </c>
      <c r="D280" s="13" t="s">
        <v>42</v>
      </c>
      <c r="E280" s="15" t="n">
        <v>37</v>
      </c>
      <c r="F280" s="19"/>
      <c r="G280" s="17" t="n">
        <f aca="false">E280*1.1</f>
        <v>40.7</v>
      </c>
      <c r="H280" s="5"/>
      <c r="I280" s="43" t="str">
        <f aca="false">CONCATENATE(A280,",",D280)</f>
        <v>MATH 252,ED2-MARI</v>
      </c>
      <c r="J280" s="44"/>
    </row>
    <row r="281" s="45" customFormat="true" ht="14.9" hidden="false" customHeight="false" outlineLevel="0" collapsed="false">
      <c r="A281" s="13" t="s">
        <v>281</v>
      </c>
      <c r="B281" s="18" t="str">
        <v>CALCULUS WITH SEVERAL VARIABLES</v>
      </c>
      <c r="C281" s="14" t="str">
        <v>Boateng Maxwell Akwasi</v>
      </c>
      <c r="D281" s="13" t="s">
        <v>33</v>
      </c>
      <c r="E281" s="15" t="n">
        <v>240</v>
      </c>
      <c r="F281" s="19"/>
      <c r="G281" s="17" t="n">
        <f aca="false">E281*1.1</f>
        <v>264</v>
      </c>
      <c r="H281" s="5"/>
      <c r="I281" s="43" t="str">
        <f aca="false">CONCATENATE(A281,",",D281)</f>
        <v>MATH 252,ED2-ME</v>
      </c>
      <c r="J281" s="44"/>
    </row>
    <row r="282" customFormat="false" ht="14.9" hidden="false" customHeight="false" outlineLevel="0" collapsed="false">
      <c r="A282" s="22"/>
      <c r="B282" s="22"/>
      <c r="D282" s="14" t="s">
        <v>282</v>
      </c>
      <c r="E282" s="22" t="n">
        <f aca="false">SUM(E272:E281)</f>
        <v>1155</v>
      </c>
      <c r="F282" s="23"/>
      <c r="G282" s="22"/>
      <c r="I282" s="9" t="s">
        <v>283</v>
      </c>
      <c r="J282" s="12"/>
    </row>
    <row r="283" customFormat="false" ht="14.9" hidden="false" customHeight="false" outlineLevel="0" collapsed="false">
      <c r="A283" s="8" t="s">
        <v>274</v>
      </c>
      <c r="B283" s="8"/>
      <c r="C283" s="8"/>
      <c r="D283" s="8"/>
      <c r="E283" s="8"/>
      <c r="F283" s="8"/>
      <c r="G283" s="8"/>
      <c r="I283" s="9" t="s">
        <v>275</v>
      </c>
      <c r="J283" s="12"/>
    </row>
    <row r="284" customFormat="false" ht="14.9" hidden="false" customHeight="false" outlineLevel="0" collapsed="false">
      <c r="A284" s="8" t="s">
        <v>29</v>
      </c>
      <c r="B284" s="8"/>
      <c r="C284" s="8"/>
      <c r="D284" s="8"/>
      <c r="E284" s="8"/>
      <c r="F284" s="8"/>
      <c r="G284" s="8"/>
      <c r="I284" s="9" t="s">
        <v>30</v>
      </c>
      <c r="J284" s="12"/>
    </row>
    <row r="285" customFormat="false" ht="14.9" hidden="false" customHeight="false" outlineLevel="0" collapsed="false">
      <c r="A285" s="11" t="s">
        <v>4</v>
      </c>
      <c r="B285" s="11" t="s">
        <v>5</v>
      </c>
      <c r="C285" s="2" t="s">
        <v>6</v>
      </c>
      <c r="D285" s="11" t="s">
        <v>7</v>
      </c>
      <c r="E285" s="11" t="s">
        <v>8</v>
      </c>
      <c r="F285" s="2" t="s">
        <v>9</v>
      </c>
      <c r="G285" s="11" t="s">
        <v>10</v>
      </c>
      <c r="I285" s="9" t="s">
        <v>31</v>
      </c>
      <c r="J285" s="12"/>
    </row>
    <row r="286" customFormat="false" ht="14.9" hidden="false" customHeight="false" outlineLevel="0" collapsed="false">
      <c r="A286" s="13" t="s">
        <v>234</v>
      </c>
      <c r="B286" s="14" t="str">
        <f aca="false" t="array" ref="B286:B296">IFERROR(VLOOKUP(I286:I296,Lectures_1!A2:F534,2,FALSE()),0)</f>
        <v>BASIC ELECTRONICS</v>
      </c>
      <c r="C286" s="14" t="str">
        <f aca="false" t="array" ref="C286:C296">IFERROR(VLOOKUP(I286:I296,Lectures_1!A2:F5343,3,FALSE()),0)</f>
        <v>Nicholas Kwesi Prah II</v>
      </c>
      <c r="D286" s="13" t="s">
        <v>191</v>
      </c>
      <c r="E286" s="15" t="n">
        <f aca="false" t="array" ref="E286:E296">IFERROR(VLOOKUP(I286:I296,Lectures_1!A2:F5343,4,FALSE()),0)</f>
        <v>70</v>
      </c>
      <c r="F286" s="19"/>
      <c r="G286" s="17" t="n">
        <f aca="false">E286*1.1</f>
        <v>77</v>
      </c>
      <c r="I286" s="6" t="str">
        <f aca="false">CONCATENATE(A286,",",D286)</f>
        <v>EE 152,ED1-AERO</v>
      </c>
      <c r="J286" s="12"/>
    </row>
    <row r="287" customFormat="false" ht="14.9" hidden="false" customHeight="false" outlineLevel="0" collapsed="false">
      <c r="A287" s="13" t="s">
        <v>234</v>
      </c>
      <c r="B287" s="14" t="str">
        <v>BASIC ELECTRONICS</v>
      </c>
      <c r="C287" s="14" t="str">
        <v>Nicholas Kwesi Prah II</v>
      </c>
      <c r="D287" s="13" t="s">
        <v>112</v>
      </c>
      <c r="E287" s="15" t="n">
        <v>46</v>
      </c>
      <c r="F287" s="30"/>
      <c r="G287" s="17" t="n">
        <f aca="false">E287*1.1</f>
        <v>50.6</v>
      </c>
      <c r="H287" s="3"/>
      <c r="I287" s="6" t="str">
        <f aca="false">CONCATENATE(A287,",",D287)</f>
        <v>EE 152,ED1-MARI</v>
      </c>
      <c r="J287" s="12"/>
    </row>
    <row r="288" customFormat="false" ht="14.9" hidden="false" customHeight="false" outlineLevel="0" collapsed="false">
      <c r="A288" s="13" t="s">
        <v>234</v>
      </c>
      <c r="B288" s="14" t="str">
        <v>BASIC ELECTRONICS</v>
      </c>
      <c r="C288" s="14" t="str">
        <v>Nicholas Kwesi Prah II</v>
      </c>
      <c r="D288" s="13" t="s">
        <v>111</v>
      </c>
      <c r="E288" s="15" t="n">
        <v>83</v>
      </c>
      <c r="F288" s="30"/>
      <c r="G288" s="17" t="n">
        <f aca="false">E288*1.1</f>
        <v>91.3</v>
      </c>
      <c r="I288" s="6" t="str">
        <f aca="false">CONCATENATE(A288,",",D288)</f>
        <v>EE 152,ED1-IND</v>
      </c>
      <c r="J288" s="12"/>
    </row>
    <row r="289" customFormat="false" ht="14.9" hidden="false" customHeight="false" outlineLevel="0" collapsed="false">
      <c r="A289" s="13" t="s">
        <v>234</v>
      </c>
      <c r="B289" s="14" t="str">
        <v>BASIC ELECTRONICS</v>
      </c>
      <c r="C289" s="14" t="str">
        <v>Twumasi Elvis</v>
      </c>
      <c r="D289" s="13" t="s">
        <v>81</v>
      </c>
      <c r="E289" s="15" t="n">
        <v>56</v>
      </c>
      <c r="F289" s="19"/>
      <c r="G289" s="17" t="n">
        <f aca="false">E289*1.1</f>
        <v>61.6</v>
      </c>
      <c r="I289" s="6" t="str">
        <f aca="false">CONCATENATE(A289,",",D289)</f>
        <v>EE 152,ED1-PCE</v>
      </c>
      <c r="J289" s="12"/>
    </row>
    <row r="290" customFormat="false" ht="14.9" hidden="false" customHeight="false" outlineLevel="0" collapsed="false">
      <c r="A290" s="13" t="s">
        <v>234</v>
      </c>
      <c r="B290" s="14" t="str">
        <v>BASIC ELECTRONICS</v>
      </c>
      <c r="C290" s="14" t="str">
        <v>Twumasi Elvis</v>
      </c>
      <c r="D290" s="13" t="s">
        <v>82</v>
      </c>
      <c r="E290" s="15" t="n">
        <v>130</v>
      </c>
      <c r="F290" s="19"/>
      <c r="G290" s="17" t="n">
        <f aca="false">E290*1.1</f>
        <v>143</v>
      </c>
      <c r="I290" s="6" t="str">
        <f aca="false">CONCATENATE(A290,",",D290)</f>
        <v>EE 152,ED1-PE</v>
      </c>
      <c r="J290" s="12"/>
    </row>
    <row r="291" customFormat="false" ht="14.9" hidden="false" customHeight="false" outlineLevel="0" collapsed="false">
      <c r="A291" s="13" t="s">
        <v>234</v>
      </c>
      <c r="B291" s="14" t="str">
        <v>BASIC ELECTRONICS</v>
      </c>
      <c r="C291" s="14" t="str">
        <v>Kwegyir Daniel</v>
      </c>
      <c r="D291" s="13" t="s">
        <v>126</v>
      </c>
      <c r="E291" s="15" t="n">
        <v>125</v>
      </c>
      <c r="F291" s="19"/>
      <c r="G291" s="17" t="n">
        <f aca="false">E291*1.1</f>
        <v>137.5</v>
      </c>
      <c r="I291" s="6" t="str">
        <f aca="false">CONCATENATE(A291,",",D291)</f>
        <v>EE 152,ED1-GEOL</v>
      </c>
      <c r="J291" s="12"/>
    </row>
    <row r="292" customFormat="false" ht="14.9" hidden="false" customHeight="false" outlineLevel="0" collapsed="false">
      <c r="A292" s="13" t="s">
        <v>234</v>
      </c>
      <c r="B292" s="14" t="str">
        <v>BASIC ELECTRONICS</v>
      </c>
      <c r="C292" s="14" t="str">
        <v>Kwegyir Daniel</v>
      </c>
      <c r="D292" s="13" t="s">
        <v>95</v>
      </c>
      <c r="E292" s="15" t="n">
        <v>103</v>
      </c>
      <c r="F292" s="30"/>
      <c r="G292" s="17" t="n">
        <f aca="false">E292*1.1</f>
        <v>113.3</v>
      </c>
      <c r="I292" s="6" t="str">
        <f aca="false">CONCATENATE(A292,",",D292)</f>
        <v>EE 152,ED1-GEOM</v>
      </c>
      <c r="J292" s="12"/>
    </row>
    <row r="293" customFormat="false" ht="14.9" hidden="false" customHeight="false" outlineLevel="0" collapsed="false">
      <c r="A293" s="13" t="s">
        <v>234</v>
      </c>
      <c r="B293" s="18" t="str">
        <v>BASIC ELECTRONICS</v>
      </c>
      <c r="C293" s="14" t="str">
        <v>Nicholas Kwesi Prah II</v>
      </c>
      <c r="D293" s="13" t="s">
        <v>131</v>
      </c>
      <c r="E293" s="15" t="n">
        <v>128</v>
      </c>
      <c r="F293" s="13"/>
      <c r="G293" s="17" t="n">
        <f aca="false">E293*1.1</f>
        <v>140.8</v>
      </c>
      <c r="I293" s="6" t="str">
        <f aca="false">CONCATENATE(A293,",",D293)</f>
        <v>EE 152,ED1-AE</v>
      </c>
      <c r="J293" s="12"/>
    </row>
    <row r="294" customFormat="false" ht="14.9" hidden="false" customHeight="false" outlineLevel="0" collapsed="false">
      <c r="A294" s="13" t="s">
        <v>284</v>
      </c>
      <c r="B294" s="14" t="str">
        <v>LAND LAW AND REGISTRATION</v>
      </c>
      <c r="C294" s="18" t="str">
        <v>Arko-Adjei Anthony</v>
      </c>
      <c r="D294" s="13" t="s">
        <v>194</v>
      </c>
      <c r="E294" s="15" t="n">
        <v>93</v>
      </c>
      <c r="F294" s="19"/>
      <c r="G294" s="17" t="n">
        <f aca="false">E294*1.1</f>
        <v>102.3</v>
      </c>
      <c r="I294" s="6" t="str">
        <f aca="false">CONCATENATE(A294,",",D294)</f>
        <v>GE 472,ED4-GEOM</v>
      </c>
      <c r="J294" s="12"/>
    </row>
    <row r="295" customFormat="false" ht="14.9" hidden="false" customHeight="false" outlineLevel="0" collapsed="false">
      <c r="A295" s="13" t="s">
        <v>285</v>
      </c>
      <c r="B295" s="14" t="str">
        <v>PETROLEUM GEOLOGY</v>
      </c>
      <c r="C295" s="18" t="str">
        <v>Borkloe Julius Kwame</v>
      </c>
      <c r="D295" s="13" t="s">
        <v>18</v>
      </c>
      <c r="E295" s="15" t="n">
        <v>80</v>
      </c>
      <c r="F295" s="30"/>
      <c r="G295" s="17" t="n">
        <f aca="false">E295*1.1</f>
        <v>88</v>
      </c>
      <c r="I295" s="6" t="str">
        <f aca="false">CONCATENATE(A295,",",D295)</f>
        <v>PE 352,ED3-PE</v>
      </c>
      <c r="J295" s="12"/>
    </row>
    <row r="296" customFormat="false" ht="14.9" hidden="false" customHeight="false" outlineLevel="0" collapsed="false">
      <c r="A296" s="13" t="s">
        <v>286</v>
      </c>
      <c r="B296" s="14" t="str">
        <v>POWER ELECTRONICS</v>
      </c>
      <c r="C296" s="14" t="str">
        <v>Effah Francis Boafo</v>
      </c>
      <c r="D296" s="13" t="s">
        <v>71</v>
      </c>
      <c r="E296" s="15" t="n">
        <v>240</v>
      </c>
      <c r="F296" s="30" t="s">
        <v>21</v>
      </c>
      <c r="G296" s="17" t="n">
        <f aca="false">E296*1.1</f>
        <v>264</v>
      </c>
      <c r="I296" s="6" t="str">
        <f aca="false">CONCATENATE(A296,",",D296)</f>
        <v>EE 366,ED3-EE</v>
      </c>
      <c r="J296" s="12"/>
    </row>
    <row r="297" customFormat="false" ht="14.9" hidden="false" customHeight="false" outlineLevel="0" collapsed="false">
      <c r="A297" s="22"/>
      <c r="B297" s="22"/>
      <c r="D297" s="14" t="s">
        <v>287</v>
      </c>
      <c r="E297" s="22" t="n">
        <f aca="false">SUM(E286:E296)</f>
        <v>1154</v>
      </c>
      <c r="F297" s="23"/>
      <c r="G297" s="22"/>
      <c r="I297" s="9" t="s">
        <v>288</v>
      </c>
      <c r="J297" s="12"/>
    </row>
    <row r="298" customFormat="false" ht="14.9" hidden="false" customHeight="false" outlineLevel="0" collapsed="false">
      <c r="A298" s="8" t="s">
        <v>274</v>
      </c>
      <c r="B298" s="8"/>
      <c r="C298" s="8"/>
      <c r="D298" s="8"/>
      <c r="E298" s="8"/>
      <c r="F298" s="8"/>
      <c r="G298" s="8"/>
      <c r="I298" s="9" t="s">
        <v>275</v>
      </c>
      <c r="J298" s="12"/>
    </row>
    <row r="299" customFormat="false" ht="14.9" hidden="false" customHeight="false" outlineLevel="0" collapsed="false">
      <c r="A299" s="8" t="s">
        <v>59</v>
      </c>
      <c r="B299" s="8"/>
      <c r="C299" s="8"/>
      <c r="D299" s="8"/>
      <c r="E299" s="8"/>
      <c r="F299" s="8"/>
      <c r="G299" s="8"/>
      <c r="I299" s="9" t="s">
        <v>128</v>
      </c>
      <c r="J299" s="12"/>
    </row>
    <row r="300" customFormat="false" ht="14.9" hidden="false" customHeight="false" outlineLevel="0" collapsed="false">
      <c r="A300" s="11" t="s">
        <v>4</v>
      </c>
      <c r="B300" s="11" t="s">
        <v>5</v>
      </c>
      <c r="C300" s="2" t="s">
        <v>6</v>
      </c>
      <c r="D300" s="11" t="s">
        <v>7</v>
      </c>
      <c r="E300" s="11" t="s">
        <v>8</v>
      </c>
      <c r="F300" s="18" t="s">
        <v>9</v>
      </c>
      <c r="G300" s="11" t="s">
        <v>10</v>
      </c>
      <c r="I300" s="9" t="s">
        <v>31</v>
      </c>
      <c r="J300" s="12"/>
    </row>
    <row r="301" customFormat="false" ht="14.9" hidden="false" customHeight="false" outlineLevel="0" collapsed="false">
      <c r="A301" s="13" t="s">
        <v>234</v>
      </c>
      <c r="B301" s="14" t="str">
        <f aca="false" t="array" ref="B301:B312">IFERROR(VLOOKUP(I301:I312,Lectures_1!A2:F534,2,FALSE()),0)</f>
        <v>BASIC ELECTRONICS</v>
      </c>
      <c r="C301" s="14" t="str">
        <f aca="false" t="array" ref="C301:C312">IFERROR(VLOOKUP(I301:I312,Lectures_1!A2:F534,3,FALSE()),0)</f>
        <v>Affum Emmanuel Ampoma</v>
      </c>
      <c r="D301" s="13" t="s">
        <v>91</v>
      </c>
      <c r="E301" s="15" t="n">
        <f aca="false" t="array" ref="E301:E312">IFERROR(VLOOKUP(I301:I312,Lectures_1!A2:F534,4,FALSE()),0)</f>
        <v>130</v>
      </c>
      <c r="F301" s="19"/>
      <c r="G301" s="17" t="n">
        <f aca="false">E301*1.1</f>
        <v>143</v>
      </c>
      <c r="I301" s="6" t="str">
        <f aca="false">CONCATENATE(A301,",",D301)</f>
        <v>EE 152,ED1-TEL</v>
      </c>
      <c r="J301" s="12"/>
    </row>
    <row r="302" customFormat="false" ht="14.9" hidden="false" customHeight="false" outlineLevel="0" collapsed="false">
      <c r="A302" s="13" t="s">
        <v>289</v>
      </c>
      <c r="B302" s="18" t="str">
        <v>WASTE MANAGEMENT</v>
      </c>
      <c r="C302" s="18" t="str">
        <v>Koomson Bennetta</v>
      </c>
      <c r="D302" s="13" t="s">
        <v>135</v>
      </c>
      <c r="E302" s="15" t="n">
        <v>60</v>
      </c>
      <c r="F302" s="19"/>
      <c r="G302" s="17" t="n">
        <f aca="false">E302*1.1</f>
        <v>66</v>
      </c>
      <c r="I302" s="6" t="str">
        <f aca="false">CONCATENATE(A302,",",D302)</f>
        <v>MSE 452,ED4-MSE</v>
      </c>
      <c r="J302" s="12"/>
    </row>
    <row r="303" customFormat="false" ht="14.9" hidden="false" customHeight="false" outlineLevel="0" collapsed="false">
      <c r="A303" s="13" t="s">
        <v>290</v>
      </c>
      <c r="B303" s="14" t="str">
        <v>METALLURGICAL WASTE MANAGEMENT</v>
      </c>
      <c r="C303" s="18" t="str">
        <v>Koomson Bennetta</v>
      </c>
      <c r="D303" s="19" t="s">
        <v>136</v>
      </c>
      <c r="E303" s="15" t="n">
        <v>55</v>
      </c>
      <c r="F303" s="19"/>
      <c r="G303" s="17" t="n">
        <f aca="false">E303*1.1</f>
        <v>60.5</v>
      </c>
      <c r="H303" s="27"/>
      <c r="I303" s="6" t="str">
        <f aca="false">CONCATENATE(A303,",",D303)</f>
        <v>METE 454,ED4-METE</v>
      </c>
      <c r="J303" s="12"/>
    </row>
    <row r="304" s="45" customFormat="true" ht="14.9" hidden="false" customHeight="false" outlineLevel="0" collapsed="false">
      <c r="A304" s="13" t="s">
        <v>291</v>
      </c>
      <c r="B304" s="18" t="str">
        <v>HYDRAULIC ENGINEERING</v>
      </c>
      <c r="C304" s="18" t="str">
        <v>Adjei Kwaku Amaning</v>
      </c>
      <c r="D304" s="13" t="s">
        <v>157</v>
      </c>
      <c r="E304" s="15" t="n">
        <v>230</v>
      </c>
      <c r="F304" s="19"/>
      <c r="G304" s="17" t="n">
        <f aca="false">E304*1.1</f>
        <v>253</v>
      </c>
      <c r="H304" s="5"/>
      <c r="I304" s="43" t="str">
        <f aca="false">CONCATENATE(A304,",",D304)</f>
        <v>CE 356,ED3-CE</v>
      </c>
      <c r="J304" s="44"/>
    </row>
    <row r="305" customFormat="false" ht="14.9" hidden="false" customHeight="false" outlineLevel="0" collapsed="false">
      <c r="A305" s="13" t="s">
        <v>292</v>
      </c>
      <c r="B305" s="14" t="str">
        <v>MARINE MAINTENANCE ENGINEERING</v>
      </c>
      <c r="C305" s="14" t="str">
        <v>Peter Oppong Tawiah </v>
      </c>
      <c r="D305" s="13" t="s">
        <v>69</v>
      </c>
      <c r="E305" s="15" t="n">
        <v>23</v>
      </c>
      <c r="F305" s="19"/>
      <c r="G305" s="17" t="n">
        <f aca="false">E305*1.1</f>
        <v>25.3</v>
      </c>
      <c r="I305" s="6" t="str">
        <f aca="false">CONCATENATE(A305,",",D305)</f>
        <v>MME 494,ED4-MARI</v>
      </c>
      <c r="J305" s="12"/>
    </row>
    <row r="306" customFormat="false" ht="14.9" hidden="false" customHeight="false" outlineLevel="0" collapsed="false">
      <c r="A306" s="13" t="s">
        <v>293</v>
      </c>
      <c r="B306" s="18" t="str">
        <v>MAINTENANCE ENGINEERING</v>
      </c>
      <c r="C306" s="18" t="str">
        <v>Peter Oppong Tawiah </v>
      </c>
      <c r="D306" s="13" t="s">
        <v>67</v>
      </c>
      <c r="E306" s="15" t="n">
        <v>135</v>
      </c>
      <c r="F306" s="19"/>
      <c r="G306" s="17" t="n">
        <f aca="false">E306*1.1</f>
        <v>148.5</v>
      </c>
      <c r="I306" s="6" t="str">
        <f aca="false">CONCATENATE(A306,",",D306)</f>
        <v>ME 494,ED4-ME</v>
      </c>
      <c r="J306" s="12"/>
    </row>
    <row r="307" customFormat="false" ht="14.9" hidden="false" customHeight="false" outlineLevel="0" collapsed="false">
      <c r="A307" s="13" t="s">
        <v>293</v>
      </c>
      <c r="B307" s="18" t="str">
        <v>MAINTENANCE ENGINEERING</v>
      </c>
      <c r="C307" s="18" t="str">
        <v>Peter Oppong Tawiah </v>
      </c>
      <c r="D307" s="13" t="s">
        <v>124</v>
      </c>
      <c r="E307" s="15" t="n">
        <v>69</v>
      </c>
      <c r="F307" s="19"/>
      <c r="G307" s="17" t="n">
        <f aca="false">E307*1.1</f>
        <v>75.9</v>
      </c>
      <c r="I307" s="6" t="str">
        <f aca="false">CONCATENATE(A307,",",D307)</f>
        <v>ME 494,ED4-IND</v>
      </c>
      <c r="J307" s="12"/>
    </row>
    <row r="308" customFormat="false" ht="14.9" hidden="false" customHeight="false" outlineLevel="0" collapsed="false">
      <c r="A308" s="13" t="s">
        <v>294</v>
      </c>
      <c r="B308" s="18" t="str">
        <v>KINETICS OF CHEMICAL REACTIONS</v>
      </c>
      <c r="C308" s="14" t="str">
        <v>Patrick Aggrey</v>
      </c>
      <c r="D308" s="13" t="s">
        <v>115</v>
      </c>
      <c r="E308" s="15" t="n">
        <v>100</v>
      </c>
      <c r="F308" s="13"/>
      <c r="G308" s="17" t="n">
        <f aca="false">E308*1.1</f>
        <v>110</v>
      </c>
      <c r="I308" s="6" t="str">
        <f aca="false">CONCATENATE(A308,",",D308)</f>
        <v>MSE 152,ED1-MSE</v>
      </c>
      <c r="J308" s="12"/>
    </row>
    <row r="309" customFormat="false" ht="14.9" hidden="false" customHeight="false" outlineLevel="0" collapsed="false">
      <c r="A309" s="13" t="s">
        <v>295</v>
      </c>
      <c r="B309" s="18" t="str">
        <v>CHEMISTRY FOR METALLURGICAL ENGINEERS</v>
      </c>
      <c r="C309" s="14" t="str">
        <v>Patrick Aggrey</v>
      </c>
      <c r="D309" s="13" t="s">
        <v>114</v>
      </c>
      <c r="E309" s="15" t="n">
        <v>75</v>
      </c>
      <c r="F309" s="19"/>
      <c r="G309" s="17" t="n">
        <f aca="false">E309*1.1</f>
        <v>82.5</v>
      </c>
      <c r="I309" s="6" t="str">
        <f aca="false">CONCATENATE(A309,",",D309)</f>
        <v>METE 152,ED1-METE</v>
      </c>
      <c r="J309" s="12"/>
    </row>
    <row r="310" customFormat="false" ht="14.9" hidden="false" customHeight="false" outlineLevel="0" collapsed="false">
      <c r="A310" s="13" t="s">
        <v>296</v>
      </c>
      <c r="B310" s="18" t="str">
        <v>ENVIRONMENTAL IMPACT ASSESSMENT</v>
      </c>
      <c r="C310" s="18" t="str">
        <v>Afotey Benjamin</v>
      </c>
      <c r="D310" s="13" t="s">
        <v>63</v>
      </c>
      <c r="E310" s="15" t="n">
        <v>30</v>
      </c>
      <c r="F310" s="19"/>
      <c r="G310" s="17" t="n">
        <f aca="false">E310*1.1</f>
        <v>33</v>
      </c>
      <c r="I310" s="6" t="str">
        <f aca="false">CONCATENATE(A310,",",D310)</f>
        <v>CHE 370,ED3-PCE</v>
      </c>
      <c r="J310" s="12"/>
    </row>
    <row r="311" customFormat="false" ht="14.9" hidden="false" customHeight="false" outlineLevel="0" collapsed="false">
      <c r="A311" s="13" t="s">
        <v>297</v>
      </c>
      <c r="B311" s="14" t="str">
        <v>CHEMICAL PROCESS CALCULATIONS II</v>
      </c>
      <c r="C311" s="18" t="str">
        <v>Rockson Mizpah Ama Dziedzorm</v>
      </c>
      <c r="D311" s="13" t="s">
        <v>13</v>
      </c>
      <c r="E311" s="15" t="n">
        <v>160</v>
      </c>
      <c r="F311" s="19"/>
      <c r="G311" s="17" t="n">
        <f aca="false">E311*1.1</f>
        <v>176</v>
      </c>
      <c r="I311" s="6" t="str">
        <f aca="false">CONCATENATE(A311,",",D311)</f>
        <v>CHE 252,ED2-CHE</v>
      </c>
      <c r="J311" s="12"/>
    </row>
    <row r="312" customFormat="false" ht="14.9" hidden="false" customHeight="false" outlineLevel="0" collapsed="false">
      <c r="A312" s="13" t="s">
        <v>297</v>
      </c>
      <c r="B312" s="18" t="str">
        <v>CHEMICAL PROCESS CALCULATIONS II</v>
      </c>
      <c r="C312" s="18" t="str">
        <v>Ohemeng-Boahen Godfred</v>
      </c>
      <c r="D312" s="13" t="s">
        <v>14</v>
      </c>
      <c r="E312" s="15" t="n">
        <v>65</v>
      </c>
      <c r="F312" s="19"/>
      <c r="G312" s="17" t="n">
        <f aca="false">E312*1.1</f>
        <v>71.5</v>
      </c>
      <c r="I312" s="6" t="str">
        <f aca="false">CONCATENATE(A312,",",D312)</f>
        <v>CHE 252,ED2-PCE</v>
      </c>
      <c r="J312" s="12"/>
    </row>
    <row r="313" customFormat="false" ht="14.9" hidden="false" customHeight="false" outlineLevel="0" collapsed="false">
      <c r="A313" s="22"/>
      <c r="B313" s="22"/>
      <c r="D313" s="14" t="s">
        <v>298</v>
      </c>
      <c r="E313" s="22" t="n">
        <f aca="false">SUM(E301:E312)</f>
        <v>1132</v>
      </c>
      <c r="F313" s="23"/>
      <c r="G313" s="22"/>
      <c r="I313" s="9" t="s">
        <v>299</v>
      </c>
      <c r="J313" s="12"/>
    </row>
    <row r="314" customFormat="false" ht="14.9" hidden="false" customHeight="false" outlineLevel="0" collapsed="false">
      <c r="A314" s="8" t="s">
        <v>300</v>
      </c>
      <c r="B314" s="8"/>
      <c r="C314" s="8"/>
      <c r="D314" s="8"/>
      <c r="E314" s="8"/>
      <c r="F314" s="8"/>
      <c r="G314" s="8"/>
      <c r="I314" s="9" t="s">
        <v>301</v>
      </c>
      <c r="J314" s="12"/>
    </row>
    <row r="315" customFormat="false" ht="14.9" hidden="false" customHeight="false" outlineLevel="0" collapsed="false">
      <c r="A315" s="8" t="s">
        <v>2</v>
      </c>
      <c r="B315" s="8"/>
      <c r="C315" s="8"/>
      <c r="D315" s="8"/>
      <c r="E315" s="8"/>
      <c r="F315" s="8"/>
      <c r="G315" s="8"/>
      <c r="I315" s="9" t="s">
        <v>149</v>
      </c>
      <c r="J315" s="12"/>
    </row>
    <row r="316" customFormat="false" ht="14.9" hidden="false" customHeight="false" outlineLevel="0" collapsed="false">
      <c r="A316" s="11" t="s">
        <v>4</v>
      </c>
      <c r="B316" s="11" t="s">
        <v>5</v>
      </c>
      <c r="C316" s="2" t="s">
        <v>6</v>
      </c>
      <c r="D316" s="11" t="s">
        <v>7</v>
      </c>
      <c r="E316" s="11" t="s">
        <v>8</v>
      </c>
      <c r="F316" s="18" t="s">
        <v>9</v>
      </c>
      <c r="G316" s="11" t="s">
        <v>10</v>
      </c>
      <c r="I316" s="9" t="s">
        <v>31</v>
      </c>
      <c r="J316" s="12"/>
    </row>
    <row r="317" customFormat="false" ht="14.9" hidden="false" customHeight="false" outlineLevel="0" collapsed="false">
      <c r="A317" s="13" t="s">
        <v>281</v>
      </c>
      <c r="B317" s="14" t="str">
        <f aca="false" t="array" ref="B317:B339">IFERROR(VLOOKUP(I317:I339,Lectures_1!A2:F534,2,FALSE()),0)</f>
        <v>CALCULUS WITH SEVERAL VARIABLES</v>
      </c>
      <c r="C317" s="18" t="str">
        <f aca="false" t="array" ref="C317:C339">IFERROR(VLOOKUP(I317:I339,Lectures_1!A2:F534,3,FALSE()),0)</f>
        <v>Eghan Rhydal Esi</v>
      </c>
      <c r="D317" s="13" t="s">
        <v>109</v>
      </c>
      <c r="E317" s="15" t="n">
        <f aca="false" t="array" ref="E317:E339">IFERROR(VLOOKUP(I317:I339,Lectures_1!A2:F534,4,FALSE()),0)</f>
        <v>80</v>
      </c>
      <c r="F317" s="20" t="s">
        <v>34</v>
      </c>
      <c r="G317" s="17" t="n">
        <f aca="false">E317*1.1</f>
        <v>88</v>
      </c>
      <c r="I317" s="6" t="str">
        <f aca="false">CONCATENATE(A317,",",D317)</f>
        <v>MATH 252,ED2-BME</v>
      </c>
      <c r="J317" s="12"/>
    </row>
    <row r="318" customFormat="false" ht="14.9" hidden="false" customHeight="false" outlineLevel="0" collapsed="false">
      <c r="A318" s="13" t="s">
        <v>281</v>
      </c>
      <c r="B318" s="14" t="str">
        <v>CALCULUS WITH SEVERAL VARIABLES</v>
      </c>
      <c r="C318" s="18" t="str">
        <v>Eghan Rhydal Esi</v>
      </c>
      <c r="D318" s="13" t="s">
        <v>40</v>
      </c>
      <c r="E318" s="15" t="n">
        <v>82</v>
      </c>
      <c r="F318" s="20"/>
      <c r="G318" s="17" t="n">
        <f aca="false">E318*1.1</f>
        <v>90.2</v>
      </c>
      <c r="I318" s="6" t="str">
        <f aca="false">CONCATENATE(A318,",",D318)</f>
        <v>MATH 252,ED2-AUTO</v>
      </c>
      <c r="J318" s="12"/>
    </row>
    <row r="319" s="45" customFormat="true" ht="14.9" hidden="false" customHeight="false" outlineLevel="0" collapsed="false">
      <c r="A319" s="13" t="s">
        <v>281</v>
      </c>
      <c r="B319" s="18" t="str">
        <v>CALCULUS WITH SEVERAL VARIABLES</v>
      </c>
      <c r="C319" s="14" t="str">
        <v>Reindorf Nartey Borkor</v>
      </c>
      <c r="D319" s="13" t="s">
        <v>56</v>
      </c>
      <c r="E319" s="15" t="n">
        <v>250</v>
      </c>
      <c r="F319" s="20"/>
      <c r="G319" s="17" t="n">
        <f aca="false">E319*1.1</f>
        <v>275</v>
      </c>
      <c r="H319" s="5"/>
      <c r="I319" s="43" t="str">
        <f aca="false">CONCATENATE(A319,",",D319)</f>
        <v>MATH 252,ED2-CE</v>
      </c>
      <c r="J319" s="44"/>
    </row>
    <row r="320" customFormat="false" ht="14.9" hidden="false" customHeight="false" outlineLevel="0" collapsed="false">
      <c r="A320" s="13" t="s">
        <v>281</v>
      </c>
      <c r="B320" s="14" t="str">
        <v>CALCULUS OF SEVERAL VARIABLES</v>
      </c>
      <c r="C320" s="18" t="str">
        <v>Eghan Rhydal Esi</v>
      </c>
      <c r="D320" s="13" t="s">
        <v>14</v>
      </c>
      <c r="E320" s="15" t="n">
        <v>65</v>
      </c>
      <c r="F320" s="20"/>
      <c r="G320" s="17" t="n">
        <f aca="false">E320*1.1</f>
        <v>71.5</v>
      </c>
      <c r="I320" s="6" t="str">
        <f aca="false">CONCATENATE(A320,",",D320)</f>
        <v>MATH 252,ED2-PCE</v>
      </c>
      <c r="J320" s="12"/>
    </row>
    <row r="321" customFormat="false" ht="14.9" hidden="false" customHeight="false" outlineLevel="0" collapsed="false">
      <c r="A321" s="13" t="s">
        <v>281</v>
      </c>
      <c r="B321" s="14" t="str">
        <v>CALCULUS OF SEVERAL VARIABLES</v>
      </c>
      <c r="C321" s="18" t="str">
        <v>Eghan Rhydal Esi</v>
      </c>
      <c r="D321" s="13" t="s">
        <v>93</v>
      </c>
      <c r="E321" s="15" t="n">
        <v>95</v>
      </c>
      <c r="F321" s="20"/>
      <c r="G321" s="17" t="n">
        <f aca="false">E321*1.1</f>
        <v>104.5</v>
      </c>
      <c r="H321" s="41"/>
      <c r="I321" s="6" t="str">
        <f aca="false">CONCATENATE(A321,",",D321)</f>
        <v>MATH 252,ED2-PE</v>
      </c>
      <c r="J321" s="12"/>
    </row>
    <row r="322" customFormat="false" ht="14.9" hidden="false" customHeight="false" outlineLevel="0" collapsed="false">
      <c r="A322" s="13" t="s">
        <v>281</v>
      </c>
      <c r="B322" s="14" t="str">
        <v>CALCULUS WITH SEVERAL VARIABLES</v>
      </c>
      <c r="C322" s="14" t="str">
        <v>Asamoah Joshua Kiddy Kwasi</v>
      </c>
      <c r="D322" s="13" t="s">
        <v>170</v>
      </c>
      <c r="E322" s="15" t="n">
        <v>132</v>
      </c>
      <c r="F322" s="20"/>
      <c r="G322" s="17" t="n">
        <f aca="false">E322*1.1</f>
        <v>145.2</v>
      </c>
      <c r="I322" s="6" t="str">
        <f aca="false">CONCATENATE(A322,",",D322)</f>
        <v>MATH 252,ED2-GEOM</v>
      </c>
      <c r="J322" s="12"/>
    </row>
    <row r="323" customFormat="false" ht="14.9" hidden="false" customHeight="false" outlineLevel="0" collapsed="false">
      <c r="A323" s="13" t="s">
        <v>281</v>
      </c>
      <c r="B323" s="14" t="str">
        <v>CALCULUS WITH SEVERAL VARIABLES</v>
      </c>
      <c r="C323" s="18" t="str">
        <v>Asamoah Joshua Kiddy Kwasi</v>
      </c>
      <c r="D323" s="13" t="s">
        <v>210</v>
      </c>
      <c r="E323" s="15" t="n">
        <v>83</v>
      </c>
      <c r="F323" s="20"/>
      <c r="G323" s="17" t="n">
        <f aca="false">E323*1.1</f>
        <v>91.3</v>
      </c>
      <c r="I323" s="6" t="str">
        <f aca="false">CONCATENATE(A323,",",D323)</f>
        <v>MATH 252,ED2-MSE</v>
      </c>
      <c r="J323" s="12"/>
    </row>
    <row r="324" customFormat="false" ht="14.9" hidden="false" customHeight="false" outlineLevel="0" collapsed="false">
      <c r="A324" s="13" t="s">
        <v>281</v>
      </c>
      <c r="B324" s="14" t="str">
        <v>CALCULUS WITH SEVERAL VARIABLES</v>
      </c>
      <c r="C324" s="18" t="str">
        <v>Asamoah Joshua Kiddy Kwasi</v>
      </c>
      <c r="D324" s="13" t="s">
        <v>101</v>
      </c>
      <c r="E324" s="15" t="n">
        <v>57</v>
      </c>
      <c r="F324" s="20"/>
      <c r="G324" s="17" t="n">
        <f aca="false">E324*1.1</f>
        <v>62.7</v>
      </c>
      <c r="I324" s="6" t="str">
        <f aca="false">CONCATENATE(A324,",",D324)</f>
        <v>MATH 252,ED2-METE</v>
      </c>
      <c r="J324" s="12"/>
    </row>
    <row r="325" customFormat="false" ht="14.9" hidden="false" customHeight="false" outlineLevel="0" collapsed="false">
      <c r="A325" s="13" t="s">
        <v>281</v>
      </c>
      <c r="B325" s="14" t="str">
        <v>CALCULUS WITH SEVERAL VARIABLES</v>
      </c>
      <c r="C325" s="14" t="str">
        <v>Wireko Fredrick Asenso</v>
      </c>
      <c r="D325" s="13" t="s">
        <v>108</v>
      </c>
      <c r="E325" s="15" t="n">
        <v>255</v>
      </c>
      <c r="F325" s="20"/>
      <c r="G325" s="17" t="n">
        <f aca="false">E325*1.1</f>
        <v>280.5</v>
      </c>
      <c r="I325" s="6" t="str">
        <f aca="false">CONCATENATE(A325,",",D325)</f>
        <v>MATH 252,ED2-COE</v>
      </c>
      <c r="J325" s="12"/>
    </row>
    <row r="326" customFormat="false" ht="14.9" hidden="false" customHeight="false" outlineLevel="0" collapsed="false">
      <c r="A326" s="13" t="s">
        <v>281</v>
      </c>
      <c r="B326" s="14" t="str">
        <v>CALCULUS WITH SEVERAL VARIABLES</v>
      </c>
      <c r="C326" s="14" t="str">
        <v>Wireko Fredrick Asenso</v>
      </c>
      <c r="D326" s="13" t="s">
        <v>55</v>
      </c>
      <c r="E326" s="15" t="n">
        <v>150</v>
      </c>
      <c r="F326" s="20"/>
      <c r="G326" s="17" t="n">
        <f aca="false">E326*1.1</f>
        <v>165</v>
      </c>
      <c r="I326" s="6" t="str">
        <f aca="false">CONCATENATE(A326,",",D326)</f>
        <v>MATH 252,ED2-GEOL</v>
      </c>
      <c r="J326" s="12"/>
    </row>
    <row r="327" customFormat="false" ht="14.9" hidden="false" customHeight="false" outlineLevel="0" collapsed="false">
      <c r="A327" s="13" t="s">
        <v>281</v>
      </c>
      <c r="B327" s="18" t="str">
        <v>CALCULUS WITH SEVERAL VARIABLES</v>
      </c>
      <c r="C327" s="14" t="str">
        <v>Wireko Fredrick Asenso</v>
      </c>
      <c r="D327" s="13" t="s">
        <v>172</v>
      </c>
      <c r="E327" s="15" t="n">
        <v>175</v>
      </c>
      <c r="F327" s="20"/>
      <c r="G327" s="17" t="n">
        <f aca="false">E327*1.1</f>
        <v>192.5</v>
      </c>
      <c r="I327" s="6" t="str">
        <f aca="false">CONCATENATE(A327,",",D327)</f>
        <v>MATH 252,ED2-TEL</v>
      </c>
      <c r="J327" s="12"/>
    </row>
    <row r="328" s="45" customFormat="true" ht="14.9" hidden="false" customHeight="false" outlineLevel="0" collapsed="false">
      <c r="A328" s="13" t="s">
        <v>281</v>
      </c>
      <c r="B328" s="18" t="str">
        <v>CALCULUS WITH SEVERAL VARIABLES</v>
      </c>
      <c r="C328" s="14" t="str">
        <v>Wireko Fredrick Asenso</v>
      </c>
      <c r="D328" s="13" t="s">
        <v>53</v>
      </c>
      <c r="E328" s="15" t="n">
        <v>155</v>
      </c>
      <c r="F328" s="20"/>
      <c r="G328" s="17" t="n">
        <f aca="false">E328*1.1</f>
        <v>170.5</v>
      </c>
      <c r="H328" s="5"/>
      <c r="I328" s="43" t="str">
        <f aca="false">CONCATENATE(A328,",",D328)</f>
        <v>MATH 252,ED2-AE</v>
      </c>
      <c r="J328" s="44"/>
    </row>
    <row r="329" s="45" customFormat="true" ht="14.9" hidden="false" customHeight="false" outlineLevel="0" collapsed="false">
      <c r="A329" s="13" t="s">
        <v>281</v>
      </c>
      <c r="B329" s="18" t="str">
        <v>CALCULUS WITH SEVERAL VARIABLES</v>
      </c>
      <c r="C329" s="14" t="str">
        <v>Wireko Fredrick Asenso</v>
      </c>
      <c r="D329" s="13" t="s">
        <v>36</v>
      </c>
      <c r="E329" s="15" t="n">
        <v>75</v>
      </c>
      <c r="F329" s="20"/>
      <c r="G329" s="17" t="n">
        <f aca="false">E329*1.1</f>
        <v>82.5</v>
      </c>
      <c r="H329" s="5"/>
      <c r="I329" s="43" t="str">
        <f aca="false">CONCATENATE(A329,",",D329)</f>
        <v>MATH 252,ED2-AERO</v>
      </c>
      <c r="J329" s="44"/>
    </row>
    <row r="330" customFormat="false" ht="14.9" hidden="false" customHeight="false" outlineLevel="0" collapsed="false">
      <c r="A330" s="13" t="s">
        <v>281</v>
      </c>
      <c r="B330" s="14" t="str">
        <v>CALCULUS WITH SEVERAL VARIABLES</v>
      </c>
      <c r="C330" s="14" t="str">
        <v>Wireko Fredrick Asenso</v>
      </c>
      <c r="D330" s="13" t="s">
        <v>38</v>
      </c>
      <c r="E330" s="15" t="n">
        <v>80</v>
      </c>
      <c r="F330" s="20"/>
      <c r="G330" s="17" t="n">
        <f aca="false">E330*1.1</f>
        <v>88</v>
      </c>
      <c r="I330" s="6" t="str">
        <f aca="false">CONCATENATE(A330,",",D330)</f>
        <v>MATH 252,ED2-IND</v>
      </c>
      <c r="J330" s="12"/>
    </row>
    <row r="331" customFormat="false" ht="14.9" hidden="false" customHeight="false" outlineLevel="0" collapsed="false">
      <c r="A331" s="13" t="s">
        <v>302</v>
      </c>
      <c r="B331" s="11" t="str">
        <v>PHYSICAL CHEMISTRY FOR ENGINEERS</v>
      </c>
      <c r="C331" s="18" t="str">
        <v>Anang Daniel Adjah</v>
      </c>
      <c r="D331" s="13" t="s">
        <v>80</v>
      </c>
      <c r="E331" s="30" t="n">
        <v>120</v>
      </c>
      <c r="F331" s="19"/>
      <c r="G331" s="17" t="n">
        <f aca="false">E331*1.1</f>
        <v>132</v>
      </c>
      <c r="I331" s="6" t="str">
        <f aca="false">CONCATENATE(A331,",",D331)</f>
        <v>CHE 156,ED1-CHE</v>
      </c>
      <c r="J331" s="12"/>
    </row>
    <row r="332" customFormat="false" ht="14.9" hidden="false" customHeight="false" outlineLevel="0" collapsed="false">
      <c r="A332" s="13" t="s">
        <v>303</v>
      </c>
      <c r="B332" s="14" t="str">
        <v>FARM POWER AND MACHINERY</v>
      </c>
      <c r="C332" s="18" t="str">
        <v>Aikins Stephen Hill Mends</v>
      </c>
      <c r="D332" s="13" t="s">
        <v>88</v>
      </c>
      <c r="E332" s="15" t="n">
        <v>101</v>
      </c>
      <c r="F332" s="39"/>
      <c r="G332" s="17" t="n">
        <f aca="false">E332*1.1</f>
        <v>111.1</v>
      </c>
      <c r="H332" s="3"/>
      <c r="I332" s="6" t="str">
        <f aca="false">CONCATENATE(A332,",",D332)</f>
        <v>AE 356,ED3-AE</v>
      </c>
      <c r="J332" s="12"/>
    </row>
    <row r="333" customFormat="false" ht="14.9" hidden="false" customHeight="false" outlineLevel="0" collapsed="false">
      <c r="A333" s="13" t="s">
        <v>304</v>
      </c>
      <c r="B333" s="18" t="str">
        <v>NAVAL ARCHITECTURE I</v>
      </c>
      <c r="C333" s="18" t="str">
        <v>Kudzedzi Emmanuel Yaw Mawuko</v>
      </c>
      <c r="D333" s="13" t="s">
        <v>86</v>
      </c>
      <c r="E333" s="15" t="n">
        <v>40</v>
      </c>
      <c r="F333" s="19"/>
      <c r="G333" s="17" t="n">
        <f aca="false">E333*1.1</f>
        <v>44</v>
      </c>
      <c r="I333" s="6" t="str">
        <f aca="false">CONCATENATE(A333,",",D333)</f>
        <v>MME 382,ED3-MARI</v>
      </c>
      <c r="J333" s="12"/>
    </row>
    <row r="334" customFormat="false" ht="14.9" hidden="false" customHeight="false" outlineLevel="0" collapsed="false">
      <c r="A334" s="13" t="s">
        <v>305</v>
      </c>
      <c r="B334" s="14" t="str">
        <v>POWER SUPPLY ELECTRONICS</v>
      </c>
      <c r="C334" s="14" t="str">
        <v>Effah Francis Boafo</v>
      </c>
      <c r="D334" s="13" t="s">
        <v>25</v>
      </c>
      <c r="E334" s="15" t="n">
        <v>340</v>
      </c>
      <c r="F334" s="19" t="s">
        <v>21</v>
      </c>
      <c r="G334" s="17" t="n">
        <f aca="false">E334*1.1</f>
        <v>374</v>
      </c>
      <c r="I334" s="6" t="str">
        <f aca="false">CONCATENATE(A334,",",D334)</f>
        <v>EE 258,ED2-EE</v>
      </c>
      <c r="J334" s="12"/>
    </row>
    <row r="335" customFormat="false" ht="14.9" hidden="false" customHeight="false" outlineLevel="0" collapsed="false">
      <c r="A335" s="13" t="s">
        <v>306</v>
      </c>
      <c r="B335" s="14" t="str">
        <v>MOBILE AND SATELLITE COMMUNICATION SYSTEM</v>
      </c>
      <c r="C335" s="18" t="str">
        <v>Gadze James Dzisi</v>
      </c>
      <c r="D335" s="13" t="s">
        <v>144</v>
      </c>
      <c r="E335" s="15" t="n">
        <v>4</v>
      </c>
      <c r="F335" s="13"/>
      <c r="G335" s="17" t="n">
        <f aca="false">E335*1.1</f>
        <v>4.4</v>
      </c>
      <c r="I335" s="6" t="str">
        <f aca="false">CONCATENATE(A335,",",D335)</f>
        <v>TE 472,ED4-EE</v>
      </c>
      <c r="J335" s="12"/>
    </row>
    <row r="336" customFormat="false" ht="14.9" hidden="false" customHeight="false" outlineLevel="0" collapsed="false">
      <c r="A336" s="13" t="s">
        <v>307</v>
      </c>
      <c r="B336" s="14" t="str">
        <v>DIGITAL SIGNAL PROCESSING</v>
      </c>
      <c r="C336" s="18" t="str">
        <v>Kponyo Jerry John</v>
      </c>
      <c r="D336" s="13" t="s">
        <v>144</v>
      </c>
      <c r="E336" s="15" t="n">
        <v>12</v>
      </c>
      <c r="F336" s="13"/>
      <c r="G336" s="17" t="n">
        <f aca="false">E336*1.1</f>
        <v>13.2</v>
      </c>
      <c r="I336" s="6" t="str">
        <f aca="false">CONCATENATE(A336,",",D336)</f>
        <v>EE 472,ED4-EE</v>
      </c>
      <c r="J336" s="12"/>
    </row>
    <row r="337" customFormat="false" ht="14.9" hidden="false" customHeight="false" outlineLevel="0" collapsed="false">
      <c r="A337" s="13" t="s">
        <v>308</v>
      </c>
      <c r="B337" s="14" t="str">
        <v>ENGINEERING PROJECT DESIGN AND MANAGEMENT</v>
      </c>
      <c r="C337" s="14" t="str">
        <v>Agyekum Kwame Agyeman-Prempeh</v>
      </c>
      <c r="D337" s="13" t="s">
        <v>119</v>
      </c>
      <c r="E337" s="15" t="n">
        <v>140</v>
      </c>
      <c r="F337" s="19"/>
      <c r="G337" s="17" t="n">
        <f aca="false">E337*1.1</f>
        <v>154</v>
      </c>
      <c r="I337" s="6" t="str">
        <f aca="false">CONCATENATE(A337,",",D337)</f>
        <v>TE 372,ED3-TEL</v>
      </c>
      <c r="J337" s="12"/>
    </row>
    <row r="338" customFormat="false" ht="14.9" hidden="false" customHeight="false" outlineLevel="0" collapsed="false">
      <c r="A338" s="13" t="s">
        <v>309</v>
      </c>
      <c r="B338" s="14" t="str">
        <v>PRINCIPLES OF GIS</v>
      </c>
      <c r="C338" s="18" t="str">
        <v>Forkuo Eric Kwabena</v>
      </c>
      <c r="D338" s="13" t="s">
        <v>77</v>
      </c>
      <c r="E338" s="15" t="n">
        <v>122</v>
      </c>
      <c r="F338" s="30"/>
      <c r="G338" s="17" t="n">
        <f aca="false">E338*1.1</f>
        <v>134.2</v>
      </c>
      <c r="I338" s="29" t="str">
        <f aca="false">CONCATENATE(A338,",",D338)</f>
        <v>GE 362,ED3-GEOM</v>
      </c>
      <c r="J338" s="12"/>
    </row>
    <row r="339" customFormat="false" ht="14.9" hidden="false" customHeight="false" outlineLevel="0" collapsed="false">
      <c r="A339" s="13" t="s">
        <v>310</v>
      </c>
      <c r="B339" s="18" t="str">
        <v>MANUFACTURING TECHNOLOGY</v>
      </c>
      <c r="C339" s="18" t="str">
        <v>Francis Davis</v>
      </c>
      <c r="D339" s="13" t="s">
        <v>61</v>
      </c>
      <c r="E339" s="15" t="n">
        <v>222</v>
      </c>
      <c r="F339" s="19"/>
      <c r="G339" s="17" t="n">
        <f aca="false">E339*1.1</f>
        <v>244.2</v>
      </c>
      <c r="I339" s="6" t="str">
        <f aca="false">CONCATENATE(A339,",",D339)</f>
        <v>ME 370,ED3-ME</v>
      </c>
      <c r="J339" s="12"/>
    </row>
    <row r="340" customFormat="false" ht="14.9" hidden="false" customHeight="false" outlineLevel="0" collapsed="false">
      <c r="A340" s="22"/>
      <c r="B340" s="22"/>
      <c r="D340" s="14" t="s">
        <v>311</v>
      </c>
      <c r="E340" s="22" t="n">
        <f aca="false">SUM(E331:E339)</f>
        <v>1101</v>
      </c>
      <c r="F340" s="23"/>
      <c r="G340" s="22"/>
      <c r="I340" s="9" t="s">
        <v>312</v>
      </c>
      <c r="J340" s="12"/>
    </row>
    <row r="341" customFormat="false" ht="14.9" hidden="false" customHeight="false" outlineLevel="0" collapsed="false">
      <c r="A341" s="8" t="s">
        <v>300</v>
      </c>
      <c r="B341" s="8"/>
      <c r="C341" s="8"/>
      <c r="D341" s="8"/>
      <c r="E341" s="8"/>
      <c r="F341" s="8"/>
      <c r="G341" s="8"/>
      <c r="I341" s="9" t="s">
        <v>301</v>
      </c>
      <c r="J341" s="12"/>
    </row>
    <row r="342" customFormat="false" ht="14.9" hidden="false" customHeight="false" outlineLevel="0" collapsed="false">
      <c r="A342" s="8" t="s">
        <v>29</v>
      </c>
      <c r="B342" s="8"/>
      <c r="C342" s="8"/>
      <c r="D342" s="8"/>
      <c r="E342" s="8"/>
      <c r="F342" s="8"/>
      <c r="G342" s="8"/>
      <c r="I342" s="9" t="s">
        <v>30</v>
      </c>
      <c r="J342" s="12"/>
    </row>
    <row r="343" customFormat="false" ht="14.9" hidden="false" customHeight="false" outlineLevel="0" collapsed="false">
      <c r="A343" s="11" t="s">
        <v>4</v>
      </c>
      <c r="B343" s="11" t="s">
        <v>5</v>
      </c>
      <c r="C343" s="2" t="s">
        <v>6</v>
      </c>
      <c r="D343" s="11" t="s">
        <v>7</v>
      </c>
      <c r="E343" s="11" t="s">
        <v>8</v>
      </c>
      <c r="F343" s="2" t="s">
        <v>9</v>
      </c>
      <c r="G343" s="11" t="s">
        <v>10</v>
      </c>
      <c r="I343" s="9" t="s">
        <v>31</v>
      </c>
      <c r="J343" s="12"/>
    </row>
    <row r="344" customFormat="false" ht="14.9" hidden="false" customHeight="false" outlineLevel="0" collapsed="false">
      <c r="A344" s="13" t="s">
        <v>313</v>
      </c>
      <c r="B344" s="14" t="str">
        <f aca="false" t="array" ref="B344:B354">IFERROR(VLOOKUP(I344:I354,Lectures_1!A2:F534,2,FALSE()),0)</f>
        <v>PROPERTIES OF MATTER</v>
      </c>
      <c r="C344" s="18" t="str">
        <f aca="false" t="array" ref="C344:C354">IFERROR(VLOOKUP(I344:I354,Lectures_1!A2:F534,3,FALSE()),0)</f>
        <v>Reginald Mensah Noye</v>
      </c>
      <c r="D344" s="13" t="s">
        <v>130</v>
      </c>
      <c r="E344" s="15" t="n">
        <f aca="false" t="array" ref="E344:E354">IFERROR(VLOOKUP(I344:I354,Lectures_1!A2:F534,4,FALSE()),0)</f>
        <v>136</v>
      </c>
      <c r="F344" s="19"/>
      <c r="G344" s="17" t="n">
        <f aca="false">E344*1.1</f>
        <v>149.6</v>
      </c>
      <c r="I344" s="6" t="str">
        <f aca="false">CONCATENATE(A344,",",D344)</f>
        <v>PHY 154,ED1-BME</v>
      </c>
      <c r="J344" s="12"/>
    </row>
    <row r="345" customFormat="false" ht="14.9" hidden="false" customHeight="false" outlineLevel="0" collapsed="false">
      <c r="A345" s="13" t="s">
        <v>314</v>
      </c>
      <c r="B345" s="14" t="str">
        <v>INTRODUCTION TO INFORMATION TECHNOLOGY</v>
      </c>
      <c r="C345" s="18" t="str">
        <v>Bessah Enoch</v>
      </c>
      <c r="D345" s="13" t="s">
        <v>131</v>
      </c>
      <c r="E345" s="15" t="n">
        <v>128</v>
      </c>
      <c r="F345" s="19"/>
      <c r="G345" s="17" t="n">
        <f aca="false">E345*1.1</f>
        <v>140.8</v>
      </c>
      <c r="I345" s="6" t="str">
        <f aca="false">CONCATENATE(A345,",",D345)</f>
        <v>AE 158,ED1-AE</v>
      </c>
      <c r="J345" s="12"/>
    </row>
    <row r="346" customFormat="false" ht="14.9" hidden="false" customHeight="false" outlineLevel="0" collapsed="false">
      <c r="A346" s="13" t="s">
        <v>315</v>
      </c>
      <c r="B346" s="14" t="str">
        <v>NUMERICAL METHODS FOR CHEMICAL ENGINEERS</v>
      </c>
      <c r="C346" s="18" t="str">
        <v>Mensah Mary</v>
      </c>
      <c r="D346" s="13" t="s">
        <v>63</v>
      </c>
      <c r="E346" s="15" t="n">
        <v>53</v>
      </c>
      <c r="F346" s="19"/>
      <c r="G346" s="17" t="n">
        <f aca="false">E346*1.1</f>
        <v>58.3</v>
      </c>
      <c r="I346" s="6" t="str">
        <f aca="false">CONCATENATE(A346,",",D346)</f>
        <v>CHE 358,ED3-PCE</v>
      </c>
      <c r="J346" s="12"/>
    </row>
    <row r="347" customFormat="false" ht="14.9" hidden="false" customHeight="false" outlineLevel="0" collapsed="false">
      <c r="A347" s="13" t="s">
        <v>315</v>
      </c>
      <c r="B347" s="14" t="str">
        <v>NUMERICAL METHODS FOR CHEMICAL ENGINEERS</v>
      </c>
      <c r="C347" s="18" t="str">
        <v>Mensah Mary</v>
      </c>
      <c r="D347" s="13" t="s">
        <v>73</v>
      </c>
      <c r="E347" s="15" t="n">
        <v>105</v>
      </c>
      <c r="F347" s="19"/>
      <c r="G347" s="17" t="n">
        <f aca="false">E347*1.1</f>
        <v>115.5</v>
      </c>
      <c r="I347" s="6" t="str">
        <f aca="false">CONCATENATE(A347,",",D347)</f>
        <v>CHE 358,ED3-CHE</v>
      </c>
      <c r="J347" s="12"/>
    </row>
    <row r="348" customFormat="false" ht="14.9" hidden="false" customHeight="false" outlineLevel="0" collapsed="false">
      <c r="A348" s="13" t="s">
        <v>316</v>
      </c>
      <c r="B348" s="14" t="str">
        <v>LAND VEHICLE STRUCTURES</v>
      </c>
      <c r="C348" s="14" t="str">
        <v>Ayetor Godwin Kafui Kwesi</v>
      </c>
      <c r="D348" s="13" t="s">
        <v>23</v>
      </c>
      <c r="E348" s="15" t="n">
        <v>40</v>
      </c>
      <c r="F348" s="19"/>
      <c r="G348" s="17" t="n">
        <f aca="false">E348*1.1</f>
        <v>44</v>
      </c>
      <c r="I348" s="6" t="str">
        <f aca="false">CONCATENATE(A348,",",D348)</f>
        <v>AME 356,ED3-AUTO</v>
      </c>
      <c r="J348" s="12"/>
    </row>
    <row r="349" customFormat="false" ht="14.9" hidden="false" customHeight="false" outlineLevel="0" collapsed="false">
      <c r="A349" s="13" t="s">
        <v>317</v>
      </c>
      <c r="B349" s="14" t="str">
        <v>ENVIRONMENTAL GEOLLOGY</v>
      </c>
      <c r="C349" s="14" t="str">
        <v>Foli Gordon</v>
      </c>
      <c r="D349" s="13" t="s">
        <v>177</v>
      </c>
      <c r="E349" s="15" t="n">
        <v>95</v>
      </c>
      <c r="F349" s="19"/>
      <c r="G349" s="17" t="n">
        <f aca="false">E349*1.1</f>
        <v>104.5</v>
      </c>
      <c r="I349" s="6" t="str">
        <f aca="false">CONCATENATE(A349,",",D349)</f>
        <v>GED 454,ED4-GEOL</v>
      </c>
      <c r="J349" s="12"/>
    </row>
    <row r="350" customFormat="false" ht="14.9" hidden="false" customHeight="false" outlineLevel="0" collapsed="false">
      <c r="A350" s="13" t="s">
        <v>318</v>
      </c>
      <c r="B350" s="14" t="str">
        <v>INTRODUCTION TO SOFTWARE ENG.</v>
      </c>
      <c r="C350" s="14" t="str">
        <v>Adjaidoo Theresa-Samuelle Maame Atwemaah</v>
      </c>
      <c r="D350" s="13" t="s">
        <v>16</v>
      </c>
      <c r="E350" s="15" t="n">
        <v>265</v>
      </c>
      <c r="F350" s="19" t="s">
        <v>21</v>
      </c>
      <c r="G350" s="17" t="n">
        <f aca="false">E350*1.1</f>
        <v>291.5</v>
      </c>
      <c r="H350" s="3"/>
      <c r="I350" s="6" t="str">
        <f aca="false">CONCATENATE(A350,",",D350)</f>
        <v>COE 356,ED3-COE</v>
      </c>
      <c r="J350" s="12"/>
    </row>
    <row r="351" customFormat="false" ht="14.9" hidden="false" customHeight="false" outlineLevel="0" collapsed="false">
      <c r="A351" s="13" t="s">
        <v>319</v>
      </c>
      <c r="B351" s="14" t="str">
        <v>ADSORPTION SEPARATION PROCESS TECHNOLOGY</v>
      </c>
      <c r="C351" s="14" t="str">
        <v>Ohemeng-Boahen Godfred</v>
      </c>
      <c r="D351" s="13" t="s">
        <v>44</v>
      </c>
      <c r="E351" s="15" t="n">
        <v>40</v>
      </c>
      <c r="F351" s="19"/>
      <c r="G351" s="17" t="n">
        <f aca="false">E351*1.1</f>
        <v>44</v>
      </c>
      <c r="H351" s="46"/>
      <c r="I351" s="6" t="str">
        <f aca="false">CONCATENATE(A351,",",D351)</f>
        <v>CHE 464,ED4-PCE</v>
      </c>
      <c r="J351" s="12"/>
    </row>
    <row r="352" s="10" customFormat="true" ht="15" hidden="false" customHeight="true" outlineLevel="0" collapsed="false">
      <c r="A352" s="13" t="s">
        <v>320</v>
      </c>
      <c r="B352" s="14" t="str">
        <v>MEDICAL DEVICE REGULATION</v>
      </c>
      <c r="C352" s="14" t="str">
        <v>Acquah Isaac</v>
      </c>
      <c r="D352" s="13" t="s">
        <v>252</v>
      </c>
      <c r="E352" s="15" t="n">
        <v>87</v>
      </c>
      <c r="F352" s="13"/>
      <c r="G352" s="17" t="n">
        <f aca="false">E352*1.1</f>
        <v>95.7</v>
      </c>
      <c r="H352" s="5"/>
      <c r="I352" s="6" t="str">
        <f aca="false">CONCATENATE(A352,",",D352)</f>
        <v>BME 454,ED4-BME</v>
      </c>
      <c r="J352" s="12"/>
    </row>
    <row r="353" customFormat="false" ht="14.9" hidden="false" customHeight="false" outlineLevel="0" collapsed="false">
      <c r="A353" s="13" t="s">
        <v>321</v>
      </c>
      <c r="B353" s="18" t="str">
        <v>MATERIALS JOINING PROCESSES</v>
      </c>
      <c r="C353" s="18" t="str">
        <v>Kwofie Samuel</v>
      </c>
      <c r="D353" s="13" t="s">
        <v>142</v>
      </c>
      <c r="E353" s="15" t="n">
        <v>87</v>
      </c>
      <c r="F353" s="19"/>
      <c r="G353" s="17" t="n">
        <f aca="false">E353*1.1</f>
        <v>95.7</v>
      </c>
      <c r="H353" s="41"/>
      <c r="I353" s="6" t="str">
        <f aca="false">CONCATENATE(A353,",",D353)</f>
        <v>MSE 362,ED3-METE</v>
      </c>
      <c r="J353" s="12"/>
    </row>
    <row r="354" customFormat="false" ht="14.9" hidden="false" customHeight="false" outlineLevel="0" collapsed="false">
      <c r="A354" s="13" t="s">
        <v>321</v>
      </c>
      <c r="B354" s="18" t="str">
        <v>MATERIALS JOINING PROCESSES</v>
      </c>
      <c r="C354" s="14" t="str">
        <v>Kwofie Samuel</v>
      </c>
      <c r="D354" s="13" t="s">
        <v>140</v>
      </c>
      <c r="E354" s="15" t="n">
        <v>85</v>
      </c>
      <c r="F354" s="19"/>
      <c r="G354" s="17" t="n">
        <f aca="false">E354*1.1</f>
        <v>93.5</v>
      </c>
      <c r="I354" s="6" t="str">
        <f aca="false">CONCATENATE(A354,",",D354)</f>
        <v>MSE 362,ED3-MSE</v>
      </c>
      <c r="J354" s="12"/>
    </row>
    <row r="355" customFormat="false" ht="14.9" hidden="false" customHeight="false" outlineLevel="0" collapsed="false">
      <c r="A355" s="22"/>
      <c r="B355" s="22"/>
      <c r="D355" s="14" t="s">
        <v>322</v>
      </c>
      <c r="E355" s="22" t="n">
        <f aca="false">SUM(E344:E354)</f>
        <v>1121</v>
      </c>
      <c r="F355" s="23"/>
      <c r="G355" s="22"/>
      <c r="I355" s="9" t="s">
        <v>323</v>
      </c>
      <c r="J355" s="12"/>
    </row>
    <row r="356" customFormat="false" ht="14.9" hidden="false" customHeight="false" outlineLevel="0" collapsed="false">
      <c r="A356" s="22"/>
      <c r="B356" s="22"/>
      <c r="D356" s="22"/>
      <c r="E356" s="22"/>
      <c r="F356" s="23"/>
      <c r="G356" s="22"/>
      <c r="I356" s="9" t="s">
        <v>106</v>
      </c>
      <c r="J356" s="12"/>
    </row>
    <row r="357" customFormat="false" ht="14.9" hidden="false" customHeight="false" outlineLevel="0" collapsed="false">
      <c r="A357" s="22"/>
      <c r="B357" s="22"/>
      <c r="D357" s="22"/>
      <c r="E357" s="22"/>
      <c r="F357" s="23"/>
      <c r="G357" s="22"/>
      <c r="I357" s="9" t="s">
        <v>106</v>
      </c>
      <c r="J357" s="12"/>
    </row>
    <row r="358" customFormat="false" ht="14.9" hidden="false" customHeight="false" outlineLevel="0" collapsed="false">
      <c r="A358" s="8" t="s">
        <v>300</v>
      </c>
      <c r="B358" s="8"/>
      <c r="C358" s="8"/>
      <c r="D358" s="8"/>
      <c r="E358" s="8"/>
      <c r="F358" s="8"/>
      <c r="G358" s="8"/>
      <c r="I358" s="9" t="s">
        <v>301</v>
      </c>
      <c r="J358" s="12"/>
    </row>
    <row r="359" customFormat="false" ht="14.9" hidden="false" customHeight="false" outlineLevel="0" collapsed="false">
      <c r="A359" s="8" t="s">
        <v>59</v>
      </c>
      <c r="B359" s="8"/>
      <c r="C359" s="8"/>
      <c r="D359" s="8"/>
      <c r="E359" s="8"/>
      <c r="F359" s="8"/>
      <c r="G359" s="8"/>
      <c r="I359" s="9" t="s">
        <v>128</v>
      </c>
      <c r="J359" s="12"/>
    </row>
    <row r="360" customFormat="false" ht="14.9" hidden="false" customHeight="false" outlineLevel="0" collapsed="false">
      <c r="A360" s="11" t="s">
        <v>4</v>
      </c>
      <c r="B360" s="11" t="s">
        <v>5</v>
      </c>
      <c r="C360" s="2" t="s">
        <v>6</v>
      </c>
      <c r="D360" s="11" t="s">
        <v>7</v>
      </c>
      <c r="E360" s="11" t="s">
        <v>8</v>
      </c>
      <c r="F360" s="2" t="s">
        <v>9</v>
      </c>
      <c r="G360" s="11" t="s">
        <v>10</v>
      </c>
      <c r="I360" s="9" t="s">
        <v>31</v>
      </c>
      <c r="J360" s="12"/>
    </row>
    <row r="361" s="45" customFormat="true" ht="14.9" hidden="false" customHeight="false" outlineLevel="0" collapsed="false">
      <c r="A361" s="13" t="s">
        <v>324</v>
      </c>
      <c r="B361" s="18" t="str">
        <f aca="false" t="array" ref="B361:B368">IFERROR(VLOOKUP(I361:I368,Lectures_1!A2:F534,2,FALSE()),0)</f>
        <v>RESERVOIR RECOVERY TECHNIQUES</v>
      </c>
      <c r="C361" s="18" t="str">
        <f aca="false" t="array" ref="C361:C368">IFERROR(VLOOKUP(I361:I368,Lectures_1!A2:F534,3,FALSE()),0)</f>
        <v>Adenutsi Caspar Daniel</v>
      </c>
      <c r="D361" s="13" t="s">
        <v>46</v>
      </c>
      <c r="E361" s="15" t="n">
        <f aca="false" t="array" ref="E361:E368">IFERROR(VLOOKUP(I361:I368,Lectures_1!A2:F534,4,FALSE()),0)</f>
        <v>99</v>
      </c>
      <c r="F361" s="19"/>
      <c r="G361" s="17" t="n">
        <f aca="false">E361*1.1</f>
        <v>108.9</v>
      </c>
      <c r="H361" s="5"/>
      <c r="I361" s="43" t="str">
        <f aca="false">CONCATENATE(A361,",",D361)</f>
        <v>PE 450,ED4-PE</v>
      </c>
      <c r="J361" s="44"/>
    </row>
    <row r="362" customFormat="false" ht="14.9" hidden="false" customHeight="false" outlineLevel="0" collapsed="false">
      <c r="A362" s="13" t="s">
        <v>325</v>
      </c>
      <c r="B362" s="18" t="str">
        <v>MAINTENANCE AND REPAIRS OF AGRIC. MACHINERY</v>
      </c>
      <c r="C362" s="14" t="str">
        <v>Bobobee Emmanuel Yaovi Hunnuor</v>
      </c>
      <c r="D362" s="13" t="s">
        <v>50</v>
      </c>
      <c r="E362" s="15" t="n">
        <v>103</v>
      </c>
      <c r="F362" s="19"/>
      <c r="G362" s="17" t="n">
        <f aca="false">E362*1.1</f>
        <v>113.3</v>
      </c>
      <c r="I362" s="6" t="str">
        <f aca="false">CONCATENATE(A362,",",D362)</f>
        <v>AE 460,ED4-AE</v>
      </c>
      <c r="J362" s="12"/>
    </row>
    <row r="363" customFormat="false" ht="14.9" hidden="false" customHeight="false" outlineLevel="0" collapsed="false">
      <c r="A363" s="13" t="s">
        <v>326</v>
      </c>
      <c r="B363" s="14" t="str">
        <v>TELECOMMUNICATION POLICY AND REGULATION</v>
      </c>
      <c r="C363" s="18" t="str">
        <v>Kingsford Sarkodie Obeng Kwakye</v>
      </c>
      <c r="D363" s="38" t="s">
        <v>227</v>
      </c>
      <c r="E363" s="15" t="n">
        <v>138</v>
      </c>
      <c r="F363" s="19"/>
      <c r="G363" s="17" t="n">
        <f aca="false">E363*1.1</f>
        <v>151.8</v>
      </c>
      <c r="I363" s="29" t="str">
        <f aca="false">CONCATENATE(A363,",",D363)</f>
        <v>TE 452,ED4-TEL</v>
      </c>
      <c r="J363" s="31"/>
      <c r="K363" s="32"/>
      <c r="L363" s="32"/>
      <c r="M363" s="32"/>
    </row>
    <row r="364" customFormat="false" ht="14.9" hidden="false" customHeight="false" outlineLevel="0" collapsed="false">
      <c r="A364" s="13" t="s">
        <v>327</v>
      </c>
      <c r="B364" s="18" t="str">
        <v>MACHINE SHOP AND FACTORY DESIGN</v>
      </c>
      <c r="C364" s="18" t="str">
        <v>Obeng George Yaw</v>
      </c>
      <c r="D364" s="13" t="s">
        <v>67</v>
      </c>
      <c r="E364" s="15" t="n">
        <v>54</v>
      </c>
      <c r="F364" s="19"/>
      <c r="G364" s="17" t="n">
        <f aca="false">E364*1.1</f>
        <v>59.4</v>
      </c>
      <c r="I364" s="6" t="str">
        <f aca="false">CONCATENATE(A364,",",D364)</f>
        <v>ME 472,ED4-ME</v>
      </c>
      <c r="J364" s="12"/>
    </row>
    <row r="365" customFormat="false" ht="14.9" hidden="false" customHeight="false" outlineLevel="0" collapsed="false">
      <c r="A365" s="13" t="s">
        <v>327</v>
      </c>
      <c r="B365" s="18" t="str">
        <v>MACHINE SHOP AND FACTORY DESIGN</v>
      </c>
      <c r="C365" s="18" t="str">
        <v>Obeng George Yaw</v>
      </c>
      <c r="D365" s="13" t="s">
        <v>99</v>
      </c>
      <c r="E365" s="15" t="n">
        <v>52</v>
      </c>
      <c r="F365" s="19"/>
      <c r="G365" s="17" t="n">
        <f aca="false">E365*1.1</f>
        <v>57.2</v>
      </c>
      <c r="I365" s="6" t="str">
        <f aca="false">CONCATENATE(A365,",",D365)</f>
        <v>ME 472,ED4-AERO</v>
      </c>
      <c r="J365" s="12"/>
    </row>
    <row r="366" customFormat="false" ht="14.9" hidden="false" customHeight="false" outlineLevel="0" collapsed="false">
      <c r="A366" s="13" t="s">
        <v>328</v>
      </c>
      <c r="B366" s="18" t="str">
        <v>COMPUTER APPLICATIONS IN CIVIL ENGINEERING</v>
      </c>
      <c r="C366" s="14" t="str">
        <v>Ayeh Felix Jojo Fianko</v>
      </c>
      <c r="D366" s="13" t="s">
        <v>103</v>
      </c>
      <c r="E366" s="15" t="n">
        <v>240</v>
      </c>
      <c r="F366" s="19"/>
      <c r="G366" s="17" t="n">
        <f aca="false">E366*1.1</f>
        <v>264</v>
      </c>
      <c r="I366" s="6" t="str">
        <f aca="false">CONCATENATE(A366,",",D366)</f>
        <v>CE 452,ED4-CE</v>
      </c>
      <c r="J366" s="12"/>
    </row>
    <row r="367" customFormat="false" ht="14.9" hidden="false" customHeight="false" outlineLevel="0" collapsed="false">
      <c r="A367" s="13" t="s">
        <v>329</v>
      </c>
      <c r="B367" s="18" t="str">
        <v>INTRO TO PYTHON &amp; COMPUTER NETWORKING</v>
      </c>
      <c r="C367" s="14" t="str">
        <v>Charles Mawutor Adrah</v>
      </c>
      <c r="D367" s="13" t="s">
        <v>51</v>
      </c>
      <c r="E367" s="15" t="n">
        <v>340</v>
      </c>
      <c r="F367" s="19" t="s">
        <v>21</v>
      </c>
      <c r="G367" s="17" t="n">
        <f aca="false">E367*1.1</f>
        <v>374</v>
      </c>
      <c r="I367" s="6" t="str">
        <f aca="false">CONCATENATE(A367,",",D367)</f>
        <v>EE 158,ED1-EE</v>
      </c>
      <c r="J367" s="12"/>
    </row>
    <row r="368" s="45" customFormat="true" ht="14.9" hidden="false" customHeight="false" outlineLevel="0" collapsed="false">
      <c r="A368" s="13" t="s">
        <v>330</v>
      </c>
      <c r="B368" s="18" t="str">
        <v>MEDICAL IMAGING I</v>
      </c>
      <c r="C368" s="18" t="str">
        <v>Kotei Addison Eric Clement</v>
      </c>
      <c r="D368" s="13" t="s">
        <v>65</v>
      </c>
      <c r="E368" s="15" t="n">
        <v>90</v>
      </c>
      <c r="F368" s="19"/>
      <c r="G368" s="17" t="n">
        <f aca="false">E368*1.1</f>
        <v>99</v>
      </c>
      <c r="H368" s="5"/>
      <c r="I368" s="43" t="str">
        <f aca="false">CONCATENATE(A368,",",D368)</f>
        <v>BME 364,ED3-BME</v>
      </c>
      <c r="J368" s="44"/>
    </row>
    <row r="369" customFormat="false" ht="14.9" hidden="false" customHeight="false" outlineLevel="0" collapsed="false">
      <c r="A369" s="22"/>
      <c r="B369" s="22"/>
      <c r="D369" s="14" t="s">
        <v>331</v>
      </c>
      <c r="E369" s="22" t="n">
        <f aca="false">SUM(E361:E368)</f>
        <v>1116</v>
      </c>
      <c r="F369" s="23"/>
      <c r="G369" s="22"/>
      <c r="I369" s="9" t="s">
        <v>332</v>
      </c>
      <c r="J369" s="12"/>
    </row>
    <row r="370" customFormat="false" ht="14.9" hidden="false" customHeight="false" outlineLevel="0" collapsed="false">
      <c r="A370" s="8" t="s">
        <v>333</v>
      </c>
      <c r="B370" s="8"/>
      <c r="C370" s="8"/>
      <c r="D370" s="8"/>
      <c r="E370" s="8"/>
      <c r="F370" s="8"/>
      <c r="G370" s="8"/>
      <c r="I370" s="9" t="s">
        <v>334</v>
      </c>
      <c r="J370" s="12"/>
    </row>
    <row r="371" customFormat="false" ht="14.9" hidden="false" customHeight="false" outlineLevel="0" collapsed="false">
      <c r="A371" s="8" t="s">
        <v>2</v>
      </c>
      <c r="B371" s="8"/>
      <c r="C371" s="8"/>
      <c r="D371" s="8"/>
      <c r="E371" s="8"/>
      <c r="F371" s="8"/>
      <c r="G371" s="8"/>
      <c r="I371" s="9" t="s">
        <v>149</v>
      </c>
      <c r="J371" s="12"/>
    </row>
    <row r="372" customFormat="false" ht="14.9" hidden="false" customHeight="false" outlineLevel="0" collapsed="false">
      <c r="A372" s="11" t="s">
        <v>4</v>
      </c>
      <c r="B372" s="11" t="s">
        <v>5</v>
      </c>
      <c r="C372" s="2" t="s">
        <v>6</v>
      </c>
      <c r="D372" s="11" t="s">
        <v>7</v>
      </c>
      <c r="E372" s="11" t="s">
        <v>8</v>
      </c>
      <c r="F372" s="2" t="s">
        <v>9</v>
      </c>
      <c r="G372" s="11" t="s">
        <v>10</v>
      </c>
      <c r="I372" s="9" t="s">
        <v>31</v>
      </c>
      <c r="J372" s="12"/>
    </row>
    <row r="373" customFormat="false" ht="14.9" hidden="false" customHeight="false" outlineLevel="0" collapsed="false">
      <c r="A373" s="13" t="s">
        <v>335</v>
      </c>
      <c r="B373" s="14" t="str">
        <f aca="false" t="array" ref="B373:B382">IFERROR(VLOOKUP(I373:I382,Lectures_1!A2:F534,2,FALSE()),0)</f>
        <v>FOUNDATION ENGINEERING</v>
      </c>
      <c r="C373" s="14" t="str">
        <f aca="false" t="array" ref="C373:C382">IFERROR(VLOOKUP(I373:I382,Lectures_1!A2:F534,3,FALSE()),0)</f>
        <v>Amenuvor Andrew Cudzo</v>
      </c>
      <c r="D373" s="13" t="s">
        <v>154</v>
      </c>
      <c r="E373" s="15" t="n">
        <f aca="false" t="array" ref="E373:E382">IFERROR(VLOOKUP(I373:I382,Lectures_1!A2:F534,4,FALSE()),0)</f>
        <v>154</v>
      </c>
      <c r="F373" s="19"/>
      <c r="G373" s="17" t="n">
        <f aca="false">E373*1.1</f>
        <v>169.4</v>
      </c>
      <c r="I373" s="6" t="str">
        <f aca="false">CONCATENATE(A373,",",D373)</f>
        <v>GED 370,ED3-GEOL</v>
      </c>
      <c r="J373" s="12"/>
    </row>
    <row r="374" customFormat="false" ht="14.9" hidden="false" customHeight="false" outlineLevel="0" collapsed="false">
      <c r="A374" s="13" t="s">
        <v>336</v>
      </c>
      <c r="B374" s="14" t="str">
        <v>FOUNDATION ENGINEERING</v>
      </c>
      <c r="C374" s="18" t="str">
        <v>Acquaah Vincent Kofi Abaka</v>
      </c>
      <c r="D374" s="13" t="s">
        <v>157</v>
      </c>
      <c r="E374" s="15" t="n">
        <v>230</v>
      </c>
      <c r="F374" s="19"/>
      <c r="G374" s="17" t="n">
        <f aca="false">E374*1.1</f>
        <v>253</v>
      </c>
      <c r="I374" s="6" t="str">
        <f aca="false">CONCATENATE(A374,",",D374)</f>
        <v>CE 360,ED3-CE</v>
      </c>
      <c r="J374" s="12"/>
    </row>
    <row r="375" customFormat="false" ht="14.9" hidden="false" customHeight="false" outlineLevel="0" collapsed="false">
      <c r="A375" s="13" t="s">
        <v>337</v>
      </c>
      <c r="B375" s="14" t="str">
        <v>MANUFACTURING TECHNOLOGY</v>
      </c>
      <c r="C375" s="18" t="str">
        <v>Boahen Samuel</v>
      </c>
      <c r="D375" s="13" t="s">
        <v>38</v>
      </c>
      <c r="E375" s="15" t="n">
        <v>80</v>
      </c>
      <c r="F375" s="19"/>
      <c r="G375" s="17" t="n">
        <f aca="false">E375*1.1</f>
        <v>88</v>
      </c>
      <c r="I375" s="6" t="str">
        <f aca="false">CONCATENATE(A375,",",D375)</f>
        <v>ME 270,ED2-IND</v>
      </c>
      <c r="J375" s="12"/>
    </row>
    <row r="376" customFormat="false" ht="14.9" hidden="false" customHeight="false" outlineLevel="0" collapsed="false">
      <c r="A376" s="13" t="s">
        <v>337</v>
      </c>
      <c r="B376" s="18" t="str">
        <v>MANUFACTURING TECHNOLOGY</v>
      </c>
      <c r="C376" s="18" t="str">
        <v>Boahen Samuel</v>
      </c>
      <c r="D376" s="13" t="s">
        <v>42</v>
      </c>
      <c r="E376" s="15" t="n">
        <v>37</v>
      </c>
      <c r="F376" s="19"/>
      <c r="G376" s="17" t="n">
        <f aca="false">E376*1.1</f>
        <v>40.7</v>
      </c>
      <c r="I376" s="6" t="str">
        <f aca="false">CONCATENATE(A376,",",D376)</f>
        <v>ME 270,ED2-MARI</v>
      </c>
      <c r="J376" s="12"/>
    </row>
    <row r="377" customFormat="false" ht="14.9" hidden="false" customHeight="false" outlineLevel="0" collapsed="false">
      <c r="A377" s="13" t="s">
        <v>337</v>
      </c>
      <c r="B377" s="18" t="str">
        <v>MANUFACTURING TECHNOLOGY</v>
      </c>
      <c r="C377" s="18" t="str">
        <v>Boahen Samuel</v>
      </c>
      <c r="D377" s="13" t="s">
        <v>40</v>
      </c>
      <c r="E377" s="15" t="n">
        <v>82</v>
      </c>
      <c r="F377" s="19"/>
      <c r="G377" s="17" t="n">
        <f aca="false">E377*1.1</f>
        <v>90.2</v>
      </c>
      <c r="I377" s="6" t="str">
        <f aca="false">CONCATENATE(A377,",",D377)</f>
        <v>ME 270,ED2-AUTO</v>
      </c>
      <c r="J377" s="12"/>
    </row>
    <row r="378" customFormat="false" ht="14.9" hidden="false" customHeight="false" outlineLevel="0" collapsed="false">
      <c r="A378" s="13" t="s">
        <v>338</v>
      </c>
      <c r="B378" s="14" t="str">
        <v>STRENGTH OF MATERIALS FOR CHEMICAL ENGINEERS</v>
      </c>
      <c r="C378" s="18" t="str">
        <v>Anang Daniel Adjah</v>
      </c>
      <c r="D378" s="13" t="s">
        <v>13</v>
      </c>
      <c r="E378" s="15" t="n">
        <v>160</v>
      </c>
      <c r="F378" s="19"/>
      <c r="G378" s="17" t="n">
        <f aca="false">E378*1.1</f>
        <v>176</v>
      </c>
      <c r="I378" s="6" t="str">
        <f aca="false">CONCATENATE(A378,",",D378)</f>
        <v>CHE 250,ED2-CHE</v>
      </c>
      <c r="J378" s="12"/>
    </row>
    <row r="379" customFormat="false" ht="14.9" hidden="false" customHeight="false" outlineLevel="0" collapsed="false">
      <c r="A379" s="13" t="s">
        <v>339</v>
      </c>
      <c r="B379" s="14" t="str">
        <v>ANTENNA THEORY AND DESIGN</v>
      </c>
      <c r="C379" s="18" t="str">
        <v>Ellis Sani Mubarak</v>
      </c>
      <c r="D379" s="13" t="s">
        <v>119</v>
      </c>
      <c r="E379" s="15" t="n">
        <v>140</v>
      </c>
      <c r="F379" s="19"/>
      <c r="G379" s="17" t="n">
        <f aca="false">E379*1.1</f>
        <v>154</v>
      </c>
      <c r="I379" s="6" t="str">
        <f aca="false">CONCATENATE(A379,",",D379)</f>
        <v>TE 354,ED3-TEL</v>
      </c>
      <c r="J379" s="12"/>
    </row>
    <row r="380" customFormat="false" ht="14.9" hidden="false" customHeight="false" outlineLevel="0" collapsed="false">
      <c r="A380" s="13" t="s">
        <v>338</v>
      </c>
      <c r="B380" s="14" t="str">
        <v>STRENGTH OF MATERIALS FOR CHEMICAL ENGINEERS</v>
      </c>
      <c r="C380" s="18" t="str">
        <v>Baidoo Martina Francisca</v>
      </c>
      <c r="D380" s="13" t="s">
        <v>14</v>
      </c>
      <c r="E380" s="15" t="n">
        <v>65</v>
      </c>
      <c r="F380" s="19" t="s">
        <v>21</v>
      </c>
      <c r="G380" s="17" t="n">
        <f aca="false">E380*1.1</f>
        <v>71.5</v>
      </c>
      <c r="I380" s="6" t="str">
        <f aca="false">CONCATENATE(A380,",",D380)</f>
        <v>CHE 250,ED2-PCE</v>
      </c>
      <c r="J380" s="12"/>
    </row>
    <row r="381" customFormat="false" ht="14.9" hidden="false" customHeight="false" outlineLevel="0" collapsed="false">
      <c r="A381" s="13" t="s">
        <v>340</v>
      </c>
      <c r="B381" s="14" t="str">
        <v>ADVANCED MANUFACTURING TECHNOLOGY I</v>
      </c>
      <c r="C381" s="18" t="str">
        <v>Takyi Gabriel</v>
      </c>
      <c r="D381" s="13" t="s">
        <v>121</v>
      </c>
      <c r="E381" s="15" t="n">
        <v>70</v>
      </c>
      <c r="F381" s="19"/>
      <c r="G381" s="17" t="n">
        <f aca="false">E381*1.1</f>
        <v>77</v>
      </c>
      <c r="I381" s="6" t="str">
        <f aca="false">CONCATENATE(A381,",",D381)</f>
        <v>IE 366,ED3-IND</v>
      </c>
      <c r="J381" s="12"/>
    </row>
    <row r="382" customFormat="false" ht="14.9" hidden="false" customHeight="false" outlineLevel="0" collapsed="false">
      <c r="A382" s="13" t="s">
        <v>341</v>
      </c>
      <c r="B382" s="14" t="str">
        <v>PROFESSIONAL STUDIES AND DEVELOPMENT</v>
      </c>
      <c r="C382" s="18" t="str">
        <v>Akrofi Emmanuel Offei</v>
      </c>
      <c r="D382" s="13" t="s">
        <v>194</v>
      </c>
      <c r="E382" s="15" t="n">
        <v>93</v>
      </c>
      <c r="F382" s="19"/>
      <c r="G382" s="17" t="n">
        <f aca="false">E382*1.1</f>
        <v>102.3</v>
      </c>
      <c r="I382" s="6" t="str">
        <f aca="false">CONCATENATE(A382,",",D382)</f>
        <v>GE 476,ED4-GEOM</v>
      </c>
      <c r="J382" s="12"/>
    </row>
    <row r="383" customFormat="false" ht="14.9" hidden="false" customHeight="false" outlineLevel="0" collapsed="false">
      <c r="A383" s="22"/>
      <c r="B383" s="22"/>
      <c r="D383" s="14" t="s">
        <v>342</v>
      </c>
      <c r="E383" s="22" t="n">
        <f aca="false">SUM(E373:E382)</f>
        <v>1111</v>
      </c>
      <c r="F383" s="23"/>
      <c r="G383" s="22"/>
      <c r="I383" s="9" t="s">
        <v>343</v>
      </c>
      <c r="J383" s="12"/>
    </row>
    <row r="384" customFormat="false" ht="14.9" hidden="false" customHeight="false" outlineLevel="0" collapsed="false">
      <c r="A384" s="8" t="s">
        <v>333</v>
      </c>
      <c r="B384" s="8"/>
      <c r="C384" s="8"/>
      <c r="D384" s="8"/>
      <c r="E384" s="8"/>
      <c r="F384" s="8"/>
      <c r="G384" s="8"/>
      <c r="I384" s="9" t="s">
        <v>334</v>
      </c>
      <c r="J384" s="12"/>
    </row>
    <row r="385" customFormat="false" ht="14.9" hidden="false" customHeight="false" outlineLevel="0" collapsed="false">
      <c r="A385" s="8" t="s">
        <v>29</v>
      </c>
      <c r="B385" s="8"/>
      <c r="C385" s="8"/>
      <c r="D385" s="8"/>
      <c r="E385" s="8"/>
      <c r="F385" s="8"/>
      <c r="G385" s="8"/>
      <c r="I385" s="9" t="s">
        <v>30</v>
      </c>
      <c r="J385" s="12"/>
    </row>
    <row r="386" customFormat="false" ht="14.9" hidden="false" customHeight="false" outlineLevel="0" collapsed="false">
      <c r="A386" s="11" t="s">
        <v>4</v>
      </c>
      <c r="B386" s="11" t="s">
        <v>5</v>
      </c>
      <c r="C386" s="2" t="s">
        <v>6</v>
      </c>
      <c r="D386" s="11" t="s">
        <v>7</v>
      </c>
      <c r="E386" s="11" t="s">
        <v>8</v>
      </c>
      <c r="F386" s="2" t="s">
        <v>9</v>
      </c>
      <c r="G386" s="11" t="s">
        <v>10</v>
      </c>
      <c r="I386" s="9" t="s">
        <v>31</v>
      </c>
      <c r="J386" s="12"/>
    </row>
    <row r="387" customFormat="false" ht="14.9" hidden="false" customHeight="false" outlineLevel="0" collapsed="false">
      <c r="A387" s="13" t="s">
        <v>344</v>
      </c>
      <c r="B387" s="14" t="str">
        <f aca="false" t="array" ref="B387:B397">IFERROR(VLOOKUP(I387:I397,Lectures_1!A2:F534,2,FALSE()),0)</f>
        <v>THEORY OF MACHINES</v>
      </c>
      <c r="C387" s="18" t="str">
        <f aca="false" t="array" ref="C387:C397">IFERROR(VLOOKUP(I387:I397,Lectures_1!A2:F534,3,FALSE()),0)</f>
        <v>Adam Faisal Wahib</v>
      </c>
      <c r="D387" s="13" t="s">
        <v>53</v>
      </c>
      <c r="E387" s="15" t="n">
        <f aca="false" t="array" ref="E387:E397">IFERROR(VLOOKUP(I387:I397,Lectures_1!A2:F534,4,FALSE()),0)</f>
        <v>155</v>
      </c>
      <c r="F387" s="19"/>
      <c r="G387" s="17" t="n">
        <f aca="false">E387*1.1</f>
        <v>170.5</v>
      </c>
      <c r="I387" s="29" t="str">
        <f aca="false">CONCATENATE(A387,",",D387)</f>
        <v>ME 262,ED2-AE</v>
      </c>
      <c r="J387" s="31"/>
      <c r="K387" s="32"/>
      <c r="L387" s="32"/>
      <c r="M387" s="32"/>
    </row>
    <row r="388" customFormat="false" ht="14.9" hidden="false" customHeight="false" outlineLevel="0" collapsed="false">
      <c r="A388" s="13" t="s">
        <v>137</v>
      </c>
      <c r="B388" s="14" t="str">
        <v>ELECTRICAL MEASUREMENT AND INSTRUMENTATION</v>
      </c>
      <c r="C388" s="18" t="str">
        <v>Obeng Kwakye Kingsford Sarkodie</v>
      </c>
      <c r="D388" s="13" t="s">
        <v>91</v>
      </c>
      <c r="E388" s="15" t="n">
        <v>130</v>
      </c>
      <c r="F388" s="19"/>
      <c r="G388" s="17" t="n">
        <f aca="false">E388*1.1</f>
        <v>143</v>
      </c>
      <c r="I388" s="29" t="str">
        <f aca="false">CONCATENATE(A388,",",D388)</f>
        <v>EE 188,ED1-TEL</v>
      </c>
      <c r="J388" s="31"/>
      <c r="K388" s="32"/>
      <c r="L388" s="32"/>
      <c r="M388" s="32"/>
    </row>
    <row r="389" customFormat="false" ht="14.9" hidden="false" customHeight="false" outlineLevel="0" collapsed="false">
      <c r="A389" s="13" t="s">
        <v>345</v>
      </c>
      <c r="B389" s="14" t="str">
        <v>ENTREPRENEURSHIP AND BUSINESS DEVELOPMENT</v>
      </c>
      <c r="C389" s="18" t="str">
        <v>Asamoah Boateng Kenneth</v>
      </c>
      <c r="D389" s="13" t="s">
        <v>48</v>
      </c>
      <c r="E389" s="15" t="n">
        <v>114</v>
      </c>
      <c r="F389" s="30"/>
      <c r="G389" s="17" t="n">
        <f aca="false">E389*1.1</f>
        <v>125.4</v>
      </c>
      <c r="I389" s="29" t="str">
        <f aca="false">CONCATENATE(A389,",",D389)</f>
        <v>CHE 458,ED4-CHE</v>
      </c>
      <c r="J389" s="31"/>
      <c r="K389" s="32"/>
      <c r="L389" s="32"/>
      <c r="M389" s="32"/>
    </row>
    <row r="390" customFormat="false" ht="14.9" hidden="false" customHeight="false" outlineLevel="0" collapsed="false">
      <c r="A390" s="13" t="s">
        <v>345</v>
      </c>
      <c r="B390" s="14" t="str">
        <v>ENTREPRENEURSHIP AND BUSINESS DEVELOPMENT</v>
      </c>
      <c r="C390" s="18" t="str">
        <v>Asamoah Boateng Kenneth</v>
      </c>
      <c r="D390" s="13" t="s">
        <v>44</v>
      </c>
      <c r="E390" s="15" t="n">
        <v>55</v>
      </c>
      <c r="F390" s="19"/>
      <c r="G390" s="17" t="n">
        <f aca="false">E390*1.1</f>
        <v>60.5</v>
      </c>
      <c r="I390" s="29" t="str">
        <f aca="false">CONCATENATE(A390,",",D390)</f>
        <v>CHE 458,ED4-PCE</v>
      </c>
      <c r="J390" s="31"/>
      <c r="K390" s="32"/>
      <c r="L390" s="32"/>
      <c r="M390" s="32"/>
    </row>
    <row r="391" customFormat="false" ht="14.9" hidden="false" customHeight="false" outlineLevel="0" collapsed="false">
      <c r="A391" s="13" t="s">
        <v>346</v>
      </c>
      <c r="B391" s="18" t="str">
        <v>SYSTEM ENGINEERING II</v>
      </c>
      <c r="C391" s="14" t="str">
        <v>Osei Jack Banahene</v>
      </c>
      <c r="D391" s="13" t="s">
        <v>103</v>
      </c>
      <c r="E391" s="15" t="n">
        <v>115</v>
      </c>
      <c r="F391" s="19"/>
      <c r="G391" s="17" t="n">
        <f aca="false">E391*1.1</f>
        <v>126.5</v>
      </c>
      <c r="I391" s="6" t="str">
        <f aca="false">CONCATENATE(A391,",",D391)</f>
        <v>CE 476,ED4-CE</v>
      </c>
      <c r="J391" s="12"/>
    </row>
    <row r="392" customFormat="false" ht="14.9" hidden="false" customHeight="false" outlineLevel="0" collapsed="false">
      <c r="A392" s="13" t="s">
        <v>347</v>
      </c>
      <c r="B392" s="14" t="str">
        <v>HEAT TRANSFER</v>
      </c>
      <c r="C392" s="18" t="str">
        <v>Forson Francis Kofi</v>
      </c>
      <c r="D392" s="13" t="s">
        <v>61</v>
      </c>
      <c r="E392" s="15" t="n">
        <v>222</v>
      </c>
      <c r="F392" s="30"/>
      <c r="G392" s="17" t="n">
        <f aca="false">E392*1.1</f>
        <v>244.2</v>
      </c>
      <c r="I392" s="6" t="str">
        <f aca="false">CONCATENATE(A392,",",D392)</f>
        <v>ME 366,ED3-ME</v>
      </c>
      <c r="J392" s="12"/>
    </row>
    <row r="393" customFormat="false" ht="14.9" hidden="false" customHeight="false" outlineLevel="0" collapsed="false">
      <c r="A393" s="13" t="s">
        <v>347</v>
      </c>
      <c r="B393" s="14" t="str">
        <v>HEAT TRANSFER</v>
      </c>
      <c r="C393" s="18" t="str">
        <v>Forson Francis Kofi</v>
      </c>
      <c r="D393" s="13" t="s">
        <v>133</v>
      </c>
      <c r="E393" s="15" t="n">
        <v>76</v>
      </c>
      <c r="F393" s="19"/>
      <c r="G393" s="17" t="n">
        <f aca="false">E393*1.1</f>
        <v>83.6</v>
      </c>
      <c r="I393" s="6" t="str">
        <f aca="false">CONCATENATE(A393,",",D393)</f>
        <v>ME 366,ED3-AERO</v>
      </c>
      <c r="J393" s="12"/>
    </row>
    <row r="394" customFormat="false" ht="14.9" hidden="false" customHeight="false" outlineLevel="0" collapsed="false">
      <c r="A394" s="13" t="s">
        <v>347</v>
      </c>
      <c r="B394" s="14" t="str">
        <v>HEAT TRANSFER</v>
      </c>
      <c r="C394" s="18" t="str">
        <v>Forson Francis Kofi</v>
      </c>
      <c r="D394" s="13" t="s">
        <v>88</v>
      </c>
      <c r="E394" s="15" t="n">
        <v>101</v>
      </c>
      <c r="F394" s="30"/>
      <c r="G394" s="17" t="n">
        <f aca="false">E394*1.1</f>
        <v>111.1</v>
      </c>
      <c r="I394" s="6" t="str">
        <f aca="false">CONCATENATE(A394,",",D394)</f>
        <v>ME 366,ED3-AE</v>
      </c>
      <c r="J394" s="12"/>
    </row>
    <row r="395" customFormat="false" ht="14.9" hidden="false" customHeight="false" outlineLevel="0" collapsed="false">
      <c r="A395" s="13" t="s">
        <v>347</v>
      </c>
      <c r="B395" s="14" t="str">
        <v>HEAT TRANSFER</v>
      </c>
      <c r="C395" s="18" t="str">
        <v>Forson Francis Kofi</v>
      </c>
      <c r="D395" s="13" t="s">
        <v>86</v>
      </c>
      <c r="E395" s="15" t="n">
        <v>40</v>
      </c>
      <c r="F395" s="19"/>
      <c r="G395" s="17" t="n">
        <f aca="false">E395*1.1</f>
        <v>44</v>
      </c>
      <c r="I395" s="6" t="str">
        <f aca="false">CONCATENATE(A395,",",D395)</f>
        <v>ME 366,ED3-MARI</v>
      </c>
      <c r="J395" s="12"/>
    </row>
    <row r="396" customFormat="false" ht="14.9" hidden="false" customHeight="false" outlineLevel="0" collapsed="false">
      <c r="A396" s="13" t="s">
        <v>348</v>
      </c>
      <c r="B396" s="14" t="str">
        <v>ROBOTICS AND COMPUTER VISION</v>
      </c>
      <c r="C396" s="14" t="str">
        <v>Klogo Griffith Selorm</v>
      </c>
      <c r="D396" s="13" t="s">
        <v>251</v>
      </c>
      <c r="E396" s="15" t="n">
        <v>45</v>
      </c>
      <c r="F396" s="19"/>
      <c r="G396" s="17" t="n">
        <f aca="false">E396*1.1</f>
        <v>49.5</v>
      </c>
      <c r="I396" s="6" t="str">
        <f aca="false">CONCATENATE(A396,",",D396)</f>
        <v>COE 458,ED4-COE</v>
      </c>
      <c r="J396" s="12"/>
    </row>
    <row r="397" customFormat="false" ht="14.9" hidden="false" customHeight="false" outlineLevel="0" collapsed="false">
      <c r="A397" s="13" t="s">
        <v>349</v>
      </c>
      <c r="B397" s="14" t="str">
        <v>OIL &amp; GAS GEOLPHYSICS</v>
      </c>
      <c r="C397" s="18" t="str">
        <v>Quaye Jonathan Atuquaye</v>
      </c>
      <c r="D397" s="13" t="s">
        <v>18</v>
      </c>
      <c r="E397" s="15" t="n">
        <v>80</v>
      </c>
      <c r="F397" s="19" t="s">
        <v>21</v>
      </c>
      <c r="G397" s="17" t="n">
        <f aca="false">E397*1.1</f>
        <v>88</v>
      </c>
      <c r="I397" s="6" t="str">
        <f aca="false">CONCATENATE(A397,",",D397)</f>
        <v>PE 364,ED3-PE</v>
      </c>
      <c r="J397" s="12"/>
    </row>
    <row r="398" customFormat="false" ht="14.9" hidden="false" customHeight="false" outlineLevel="0" collapsed="false">
      <c r="A398" s="22"/>
      <c r="B398" s="22"/>
      <c r="D398" s="14" t="s">
        <v>350</v>
      </c>
      <c r="E398" s="22" t="n">
        <f aca="false">SUM(E387:E397)</f>
        <v>1133</v>
      </c>
      <c r="F398" s="23"/>
      <c r="G398" s="22"/>
      <c r="I398" s="9" t="s">
        <v>351</v>
      </c>
      <c r="J398" s="12"/>
    </row>
    <row r="399" customFormat="false" ht="14.9" hidden="false" customHeight="false" outlineLevel="0" collapsed="false">
      <c r="A399" s="8" t="s">
        <v>333</v>
      </c>
      <c r="B399" s="8"/>
      <c r="C399" s="8"/>
      <c r="D399" s="8"/>
      <c r="E399" s="8"/>
      <c r="F399" s="8"/>
      <c r="G399" s="8"/>
      <c r="I399" s="9" t="s">
        <v>334</v>
      </c>
      <c r="J399" s="12"/>
    </row>
    <row r="400" customFormat="false" ht="14.9" hidden="false" customHeight="false" outlineLevel="0" collapsed="false">
      <c r="A400" s="8" t="s">
        <v>59</v>
      </c>
      <c r="B400" s="8"/>
      <c r="C400" s="8"/>
      <c r="D400" s="8"/>
      <c r="E400" s="8"/>
      <c r="F400" s="8"/>
      <c r="G400" s="8"/>
      <c r="I400" s="9" t="s">
        <v>128</v>
      </c>
      <c r="J400" s="12"/>
    </row>
    <row r="401" customFormat="false" ht="14.9" hidden="false" customHeight="false" outlineLevel="0" collapsed="false">
      <c r="A401" s="11" t="s">
        <v>4</v>
      </c>
      <c r="B401" s="11" t="s">
        <v>5</v>
      </c>
      <c r="C401" s="2" t="s">
        <v>6</v>
      </c>
      <c r="D401" s="11" t="s">
        <v>7</v>
      </c>
      <c r="E401" s="11" t="s">
        <v>8</v>
      </c>
      <c r="F401" s="2" t="s">
        <v>9</v>
      </c>
      <c r="G401" s="11" t="s">
        <v>10</v>
      </c>
      <c r="I401" s="9" t="s">
        <v>31</v>
      </c>
      <c r="J401" s="12"/>
    </row>
    <row r="402" customFormat="false" ht="14.9" hidden="false" customHeight="false" outlineLevel="0" collapsed="false">
      <c r="A402" s="13" t="s">
        <v>352</v>
      </c>
      <c r="B402" s="14" t="str">
        <f aca="false" t="array" ref="B402:B410">IFERROR(VLOOKUP(I402:I410,Lectures_1!A2:F534,2,FALSE()),0)</f>
        <v>MICROPROCESSORS</v>
      </c>
      <c r="C402" s="18" t="str">
        <f aca="false" t="array" ref="C402:C410">IFERROR(VLOOKUP(I402:I410,Lectures_1!A2:F534,3,FALSE()),0)</f>
        <v>Agyemang Justice Owusu</v>
      </c>
      <c r="D402" s="13" t="s">
        <v>172</v>
      </c>
      <c r="E402" s="15" t="n">
        <f aca="false" t="array" ref="E402:E410">IFERROR(VLOOKUP(I402:I410,Lectures_1!A2:F534,4,FALSE()),0)</f>
        <v>175</v>
      </c>
      <c r="F402" s="19" t="s">
        <v>21</v>
      </c>
      <c r="G402" s="17" t="n">
        <f aca="false">E402*1.1</f>
        <v>192.5</v>
      </c>
      <c r="I402" s="6" t="str">
        <f aca="false">CONCATENATE(A402,",",D402)</f>
        <v>TE 258,ED2-TEL</v>
      </c>
      <c r="J402" s="12"/>
    </row>
    <row r="403" s="1" customFormat="true" ht="14.9" hidden="false" customHeight="false" outlineLevel="0" collapsed="false">
      <c r="A403" s="13" t="s">
        <v>353</v>
      </c>
      <c r="B403" s="18" t="str">
        <v>POWER SYSTEMS PLANNING AND OPTIMIZATION</v>
      </c>
      <c r="C403" s="18" t="str">
        <v>Antoh Emmanuel Kwaku</v>
      </c>
      <c r="D403" s="13" t="s">
        <v>144</v>
      </c>
      <c r="E403" s="15" t="n">
        <v>165</v>
      </c>
      <c r="F403" s="19"/>
      <c r="G403" s="17" t="n">
        <f aca="false">E403*1.1</f>
        <v>181.5</v>
      </c>
      <c r="H403" s="5"/>
      <c r="I403" s="47" t="str">
        <f aca="false">CONCATENATE(A403,",",D403)</f>
        <v>EE 466,ED4-EE</v>
      </c>
      <c r="J403" s="48"/>
    </row>
    <row r="404" customFormat="false" ht="14.9" hidden="false" customHeight="false" outlineLevel="0" collapsed="false">
      <c r="A404" s="13" t="s">
        <v>308</v>
      </c>
      <c r="B404" s="14" t="str">
        <v>ANTENNAS AND PROPAGATION</v>
      </c>
      <c r="C404" s="18" t="str">
        <v>Ellis Sani Mubarak</v>
      </c>
      <c r="D404" s="13" t="s">
        <v>71</v>
      </c>
      <c r="E404" s="15" t="n">
        <v>170</v>
      </c>
      <c r="F404" s="19"/>
      <c r="G404" s="17" t="n">
        <f aca="false">E404*1.1</f>
        <v>187</v>
      </c>
      <c r="I404" s="6" t="str">
        <f aca="false">CONCATENATE(A404,",",D404)</f>
        <v>TE 372,ED3-EE</v>
      </c>
      <c r="J404" s="12"/>
    </row>
    <row r="405" customFormat="false" ht="14.9" hidden="false" customHeight="false" outlineLevel="0" collapsed="false">
      <c r="A405" s="13" t="s">
        <v>354</v>
      </c>
      <c r="B405" s="18" t="str">
        <v>BASIC MINERAL SCIENCE</v>
      </c>
      <c r="C405" s="18" t="str">
        <v>Appiah-Adjei Emmanuel Kwame</v>
      </c>
      <c r="D405" s="13" t="s">
        <v>126</v>
      </c>
      <c r="E405" s="15" t="n">
        <v>125</v>
      </c>
      <c r="F405" s="19"/>
      <c r="G405" s="17" t="n">
        <f aca="false">E405*1.1</f>
        <v>137.5</v>
      </c>
      <c r="I405" s="6" t="str">
        <f aca="false">CONCATENATE(A405,",",D405)</f>
        <v>GED 152,ED1-GEOL</v>
      </c>
      <c r="J405" s="12"/>
    </row>
    <row r="406" customFormat="false" ht="14.9" hidden="false" customHeight="false" outlineLevel="0" collapsed="false">
      <c r="A406" s="13" t="s">
        <v>355</v>
      </c>
      <c r="B406" s="18" t="str">
        <v>INTRODUCTORY GEOLOGY</v>
      </c>
      <c r="C406" s="18" t="str">
        <v>Gawu Simon Kafui Yawo</v>
      </c>
      <c r="D406" s="13" t="s">
        <v>114</v>
      </c>
      <c r="E406" s="15" t="n">
        <v>75</v>
      </c>
      <c r="F406" s="19"/>
      <c r="G406" s="17" t="n">
        <f aca="false">E406*1.1</f>
        <v>82.5</v>
      </c>
      <c r="I406" s="6" t="str">
        <f aca="false">CONCATENATE(A406,",",D406)</f>
        <v>GED 162,ED1-METE</v>
      </c>
      <c r="J406" s="12"/>
    </row>
    <row r="407" s="1" customFormat="true" ht="14.9" hidden="false" customHeight="false" outlineLevel="0" collapsed="false">
      <c r="A407" s="13" t="s">
        <v>356</v>
      </c>
      <c r="B407" s="14" t="str">
        <v>AEROSPACE STRUCTURES</v>
      </c>
      <c r="C407" s="18" t="str">
        <v>Agyei Agyemang Anthony</v>
      </c>
      <c r="D407" s="38" t="s">
        <v>36</v>
      </c>
      <c r="E407" s="15" t="n">
        <v>75</v>
      </c>
      <c r="F407" s="19"/>
      <c r="G407" s="17" t="n">
        <f aca="false">E407*1.1</f>
        <v>82.5</v>
      </c>
      <c r="H407" s="5"/>
      <c r="I407" s="29" t="str">
        <f aca="false">CONCATENATE(A407,",",D407)</f>
        <v>AERO 256,ED2-AERO</v>
      </c>
      <c r="J407" s="31"/>
      <c r="K407" s="32"/>
      <c r="L407" s="32"/>
      <c r="M407" s="32"/>
    </row>
    <row r="408" customFormat="false" ht="14.9" hidden="false" customHeight="false" outlineLevel="0" collapsed="false">
      <c r="A408" s="13" t="s">
        <v>357</v>
      </c>
      <c r="B408" s="14" t="str">
        <v>NATURAL GAS ENGINEERING II</v>
      </c>
      <c r="C408" s="18" t="str">
        <v>Sarkodie Kwame</v>
      </c>
      <c r="D408" s="38" t="s">
        <v>46</v>
      </c>
      <c r="E408" s="15" t="n">
        <v>99</v>
      </c>
      <c r="F408" s="19"/>
      <c r="G408" s="17" t="n">
        <f aca="false">E408*1.1</f>
        <v>108.9</v>
      </c>
      <c r="I408" s="29" t="str">
        <f aca="false">CONCATENATE(A408,",",D408)</f>
        <v>PE 472,ED4-PE</v>
      </c>
      <c r="J408" s="31"/>
      <c r="K408" s="32"/>
      <c r="L408" s="32"/>
      <c r="M408" s="32"/>
    </row>
    <row r="409" customFormat="false" ht="14.9" hidden="false" customHeight="false" outlineLevel="0" collapsed="false">
      <c r="A409" s="13" t="s">
        <v>358</v>
      </c>
      <c r="B409" s="14" t="str">
        <v>ECONOMIC GEOLLOGY</v>
      </c>
      <c r="C409" s="18" t="str">
        <v>Mensah Emmanuel</v>
      </c>
      <c r="D409" s="38" t="s">
        <v>177</v>
      </c>
      <c r="E409" s="15" t="n">
        <v>95</v>
      </c>
      <c r="F409" s="19"/>
      <c r="G409" s="17" t="n">
        <f aca="false">E409*1.1</f>
        <v>104.5</v>
      </c>
      <c r="I409" s="29" t="str">
        <f aca="false">CONCATENATE(A409,",",D409)</f>
        <v>GED 462,ED4-GEOL</v>
      </c>
      <c r="J409" s="31"/>
      <c r="K409" s="32"/>
      <c r="L409" s="32"/>
      <c r="M409" s="32"/>
    </row>
    <row r="410" customFormat="false" ht="14.9" hidden="false" customHeight="false" outlineLevel="0" collapsed="false">
      <c r="A410" s="13" t="s">
        <v>359</v>
      </c>
      <c r="B410" s="18" t="str">
        <v>PRINCIPLES OF LAND SURVEYING AND HYDROGRAPHIC SCIENCE</v>
      </c>
      <c r="C410" s="18" t="str">
        <v>Asante Cosmas Yaw</v>
      </c>
      <c r="D410" s="19" t="s">
        <v>93</v>
      </c>
      <c r="E410" s="15" t="n">
        <v>95</v>
      </c>
      <c r="F410" s="19"/>
      <c r="G410" s="17" t="n">
        <f aca="false">E410*1.1</f>
        <v>104.5</v>
      </c>
      <c r="I410" s="6" t="str">
        <f aca="false">CONCATENATE(A410,",",D410)</f>
        <v>PE 264,ED2-PE</v>
      </c>
      <c r="J410" s="12"/>
    </row>
    <row r="411" customFormat="false" ht="14.9" hidden="false" customHeight="false" outlineLevel="0" collapsed="false">
      <c r="A411" s="22"/>
      <c r="B411" s="23"/>
      <c r="D411" s="14" t="s">
        <v>360</v>
      </c>
      <c r="E411" s="22" t="n">
        <f aca="false">SUM(E402:E410)</f>
        <v>1074</v>
      </c>
      <c r="F411" s="23"/>
      <c r="G411" s="22"/>
      <c r="I411" s="9" t="s">
        <v>361</v>
      </c>
      <c r="J411" s="12"/>
    </row>
    <row r="412" customFormat="false" ht="14.9" hidden="false" customHeight="false" outlineLevel="0" collapsed="false">
      <c r="A412" s="8" t="s">
        <v>362</v>
      </c>
      <c r="B412" s="8"/>
      <c r="C412" s="8"/>
      <c r="D412" s="8"/>
      <c r="E412" s="8"/>
      <c r="F412" s="8"/>
      <c r="G412" s="8"/>
      <c r="I412" s="9" t="s">
        <v>363</v>
      </c>
      <c r="J412" s="12"/>
    </row>
    <row r="413" customFormat="false" ht="14.9" hidden="false" customHeight="false" outlineLevel="0" collapsed="false">
      <c r="A413" s="8" t="s">
        <v>2</v>
      </c>
      <c r="B413" s="8"/>
      <c r="C413" s="8"/>
      <c r="D413" s="8"/>
      <c r="E413" s="8"/>
      <c r="F413" s="8"/>
      <c r="G413" s="8"/>
      <c r="I413" s="9" t="s">
        <v>149</v>
      </c>
      <c r="J413" s="12"/>
    </row>
    <row r="414" customFormat="false" ht="14.9" hidden="false" customHeight="false" outlineLevel="0" collapsed="false">
      <c r="A414" s="11" t="s">
        <v>4</v>
      </c>
      <c r="B414" s="11" t="s">
        <v>5</v>
      </c>
      <c r="C414" s="2" t="s">
        <v>6</v>
      </c>
      <c r="D414" s="11" t="s">
        <v>7</v>
      </c>
      <c r="E414" s="11" t="s">
        <v>8</v>
      </c>
      <c r="F414" s="2" t="s">
        <v>9</v>
      </c>
      <c r="G414" s="11" t="s">
        <v>10</v>
      </c>
      <c r="I414" s="9" t="s">
        <v>31</v>
      </c>
      <c r="J414" s="12"/>
    </row>
    <row r="415" customFormat="false" ht="14.9" hidden="false" customHeight="false" outlineLevel="0" collapsed="false">
      <c r="A415" s="13" t="s">
        <v>364</v>
      </c>
      <c r="B415" s="14" t="str">
        <f aca="false" t="array" ref="B415:B428">IFERROR(VLOOKUP(I415:I428,Lectures_1!A2:F534,2,FALSE()),0)</f>
        <v>COMMUNICATION SKILLS II</v>
      </c>
      <c r="C415" s="14" t="str">
        <f aca="false" t="array" ref="C415:C428">IFERROR(VLOOKUP(I415:I428,Lectures_1!A2:F534,3,FALSE()),0)</f>
        <v>Yeboah Philomena Ama Okyeso</v>
      </c>
      <c r="D415" s="13" t="s">
        <v>191</v>
      </c>
      <c r="E415" s="15" t="n">
        <f aca="false" t="array" ref="E415:E428">IFERROR(VLOOKUP(I415:I428,Lectures_1!A2:F534,4,FALSE()),0)</f>
        <v>70</v>
      </c>
      <c r="F415" s="20" t="s">
        <v>34</v>
      </c>
      <c r="G415" s="17" t="n">
        <f aca="false">E415*1.1</f>
        <v>77</v>
      </c>
      <c r="I415" s="6" t="str">
        <f aca="false">CONCATENATE(A415,",",D415)</f>
        <v>ENGL 158,ED1-AERO</v>
      </c>
      <c r="J415" s="12"/>
    </row>
    <row r="416" customFormat="false" ht="14.9" hidden="false" customHeight="false" outlineLevel="0" collapsed="false">
      <c r="A416" s="13" t="s">
        <v>364</v>
      </c>
      <c r="B416" s="14" t="str">
        <v>COMMUNICATION SKILLS II</v>
      </c>
      <c r="C416" s="14" t="str">
        <v>Yeboah Philomena Ama Okyeso</v>
      </c>
      <c r="D416" s="13" t="s">
        <v>131</v>
      </c>
      <c r="E416" s="15" t="n">
        <v>128</v>
      </c>
      <c r="F416" s="20"/>
      <c r="G416" s="17" t="n">
        <f aca="false">E416*1.1</f>
        <v>140.8</v>
      </c>
      <c r="I416" s="6" t="str">
        <f aca="false">CONCATENATE(A416,",",D416)</f>
        <v>ENGL 158,ED1-AE</v>
      </c>
      <c r="J416" s="12"/>
    </row>
    <row r="417" customFormat="false" ht="14.9" hidden="false" customHeight="false" outlineLevel="0" collapsed="false">
      <c r="A417" s="13" t="s">
        <v>364</v>
      </c>
      <c r="B417" s="14" t="str">
        <v>COMMUNICATION SKILLS II</v>
      </c>
      <c r="C417" s="14" t="str">
        <v>Yeboah Philomena Ama Okyeso</v>
      </c>
      <c r="D417" s="13" t="s">
        <v>130</v>
      </c>
      <c r="E417" s="15" t="n">
        <v>136</v>
      </c>
      <c r="F417" s="20"/>
      <c r="G417" s="17" t="n">
        <f aca="false">E417*1.1</f>
        <v>149.6</v>
      </c>
      <c r="I417" s="6" t="str">
        <f aca="false">CONCATENATE(A417,",",D417)</f>
        <v>ENGL 158,ED1-BME</v>
      </c>
      <c r="J417" s="12"/>
    </row>
    <row r="418" customFormat="false" ht="14.9" hidden="false" customHeight="false" outlineLevel="0" collapsed="false">
      <c r="A418" s="13" t="s">
        <v>364</v>
      </c>
      <c r="B418" s="14" t="str">
        <v>COMMUNICATION SKILLS II</v>
      </c>
      <c r="C418" s="18" t="str">
        <v>Patricia Gustafson-Asamoah</v>
      </c>
      <c r="D418" s="13" t="s">
        <v>75</v>
      </c>
      <c r="E418" s="15" t="n">
        <v>245</v>
      </c>
      <c r="F418" s="20"/>
      <c r="G418" s="17" t="n">
        <f aca="false">E418*1.1</f>
        <v>269.5</v>
      </c>
      <c r="I418" s="6" t="str">
        <f aca="false">CONCATENATE(A418,",",D418)</f>
        <v>ENGL 158,ED1-CE</v>
      </c>
      <c r="J418" s="12"/>
    </row>
    <row r="419" customFormat="false" ht="14.9" hidden="false" customHeight="false" outlineLevel="0" collapsed="false">
      <c r="A419" s="13" t="s">
        <v>364</v>
      </c>
      <c r="B419" s="14" t="str">
        <v>COMMUNICATION  SKILLS II</v>
      </c>
      <c r="C419" s="14" t="str">
        <v>Yeboah Philomena Ama Okyeso</v>
      </c>
      <c r="D419" s="13" t="s">
        <v>80</v>
      </c>
      <c r="E419" s="15" t="n">
        <v>120</v>
      </c>
      <c r="F419" s="20"/>
      <c r="G419" s="17" t="n">
        <f aca="false">E419*1.1</f>
        <v>132</v>
      </c>
      <c r="I419" s="6" t="str">
        <f aca="false">CONCATENATE(A419,",",D419)</f>
        <v>ENGL 158,ED1-CHE</v>
      </c>
      <c r="J419" s="12"/>
    </row>
    <row r="420" customFormat="false" ht="14.9" hidden="false" customHeight="false" outlineLevel="0" collapsed="false">
      <c r="A420" s="13" t="s">
        <v>364</v>
      </c>
      <c r="B420" s="14" t="str">
        <v>COMMUNICATION SKILLS II</v>
      </c>
      <c r="C420" s="14" t="str">
        <v>Bernard Ampong</v>
      </c>
      <c r="D420" s="13" t="s">
        <v>20</v>
      </c>
      <c r="E420" s="15" t="n">
        <v>262</v>
      </c>
      <c r="F420" s="20"/>
      <c r="G420" s="17" t="n">
        <f aca="false">E420*1.1</f>
        <v>288.2</v>
      </c>
      <c r="I420" s="6" t="str">
        <f aca="false">CONCATENATE(A420,",",D420)</f>
        <v>ENGL 158,ED1-COE</v>
      </c>
      <c r="J420" s="12"/>
    </row>
    <row r="421" customFormat="false" ht="14.9" hidden="false" customHeight="false" outlineLevel="0" collapsed="false">
      <c r="A421" s="13" t="s">
        <v>365</v>
      </c>
      <c r="B421" s="14" t="str">
        <v>AC MACHINES</v>
      </c>
      <c r="C421" s="18" t="str">
        <v>Asigri Peter</v>
      </c>
      <c r="D421" s="13" t="s">
        <v>25</v>
      </c>
      <c r="E421" s="15" t="n">
        <v>340</v>
      </c>
      <c r="F421" s="26" t="s">
        <v>21</v>
      </c>
      <c r="G421" s="17" t="n">
        <f aca="false">E421*1.1</f>
        <v>374</v>
      </c>
      <c r="I421" s="6" t="str">
        <f aca="false">CONCATENATE(A421,",",D421)</f>
        <v>EE 262,ED2-EE</v>
      </c>
      <c r="J421" s="12"/>
    </row>
    <row r="422" customFormat="false" ht="14.9" hidden="false" customHeight="false" outlineLevel="0" collapsed="false">
      <c r="A422" s="13" t="s">
        <v>366</v>
      </c>
      <c r="B422" s="14" t="str">
        <v>HEAT AND MASS TRANSPORT</v>
      </c>
      <c r="C422" s="18" t="str">
        <v>Agyemang Frank Ofori</v>
      </c>
      <c r="D422" s="13" t="s">
        <v>210</v>
      </c>
      <c r="E422" s="15" t="n">
        <v>83</v>
      </c>
      <c r="F422" s="19"/>
      <c r="G422" s="17" t="n">
        <f aca="false">E422*1.1</f>
        <v>91.3</v>
      </c>
      <c r="I422" s="29" t="str">
        <f aca="false">CONCATENATE(A422,",",D422)</f>
        <v>MSE 252,ED2-MSE</v>
      </c>
      <c r="J422" s="12"/>
    </row>
    <row r="423" customFormat="false" ht="14.9" hidden="false" customHeight="false" outlineLevel="0" collapsed="false">
      <c r="A423" s="13" t="s">
        <v>366</v>
      </c>
      <c r="B423" s="14" t="str">
        <v>HEAT AND MASS TRANSPORT</v>
      </c>
      <c r="C423" s="18" t="str">
        <v>Agyemang Frank Ofori</v>
      </c>
      <c r="D423" s="13" t="s">
        <v>101</v>
      </c>
      <c r="E423" s="15" t="n">
        <v>57</v>
      </c>
      <c r="F423" s="19"/>
      <c r="G423" s="17" t="n">
        <f aca="false">E423*1.1</f>
        <v>62.7</v>
      </c>
      <c r="I423" s="29" t="str">
        <f aca="false">CONCATENATE(A423,",",D423)</f>
        <v>MSE 252,ED2-METE</v>
      </c>
      <c r="J423" s="12"/>
    </row>
    <row r="424" customFormat="false" ht="14.9" hidden="false" customHeight="false" outlineLevel="0" collapsed="false">
      <c r="A424" s="13" t="s">
        <v>367</v>
      </c>
      <c r="B424" s="11" t="str">
        <v>SOIL AND ROCK MECHANICS</v>
      </c>
      <c r="C424" s="18" t="str">
        <v>Frederick Owusu-Nimo</v>
      </c>
      <c r="D424" s="13" t="s">
        <v>56</v>
      </c>
      <c r="E424" s="30" t="n">
        <v>250</v>
      </c>
      <c r="F424" s="19"/>
      <c r="G424" s="17" t="n">
        <f aca="false">E424*1.1</f>
        <v>275</v>
      </c>
      <c r="I424" s="6" t="str">
        <f aca="false">CONCATENATE(A424,",",D424)</f>
        <v>CE 260,ED2-CE</v>
      </c>
      <c r="J424" s="12"/>
    </row>
    <row r="425" customFormat="false" ht="14.9" hidden="false" customHeight="false" outlineLevel="0" collapsed="false">
      <c r="A425" s="13" t="s">
        <v>367</v>
      </c>
      <c r="B425" s="11" t="str">
        <v>SOIL AND ROCK MECHANICS</v>
      </c>
      <c r="C425" s="18" t="str">
        <v>Owusu-Nimo Frederick</v>
      </c>
      <c r="D425" s="13" t="s">
        <v>170</v>
      </c>
      <c r="E425" s="30" t="n">
        <v>132</v>
      </c>
      <c r="F425" s="30"/>
      <c r="G425" s="17" t="n">
        <f aca="false">E425*1.1</f>
        <v>145.2</v>
      </c>
      <c r="I425" s="6" t="str">
        <f aca="false">CONCATENATE(A425,",",D425)</f>
        <v>CE 260,ED2-GEOM</v>
      </c>
      <c r="J425" s="12"/>
    </row>
    <row r="426" customFormat="false" ht="14.9" hidden="false" customHeight="false" outlineLevel="0" collapsed="false">
      <c r="A426" s="13" t="s">
        <v>368</v>
      </c>
      <c r="B426" s="18" t="str">
        <v>BIOSIGNAL PROCESSES AND ANALYSIS</v>
      </c>
      <c r="C426" s="18" t="str">
        <v>Adjei Prince Ebenezer</v>
      </c>
      <c r="D426" s="13" t="s">
        <v>65</v>
      </c>
      <c r="E426" s="15" t="n">
        <v>90</v>
      </c>
      <c r="F426" s="19"/>
      <c r="G426" s="17" t="n">
        <f aca="false">E426*1.1</f>
        <v>99</v>
      </c>
      <c r="I426" s="6" t="str">
        <f aca="false">CONCATENATE(A426,",",D426)</f>
        <v>BME 366,ED3-BME</v>
      </c>
      <c r="J426" s="12"/>
    </row>
    <row r="427" customFormat="false" ht="14.9" hidden="false" customHeight="false" outlineLevel="0" collapsed="false">
      <c r="A427" s="13" t="s">
        <v>369</v>
      </c>
      <c r="B427" s="14" t="str">
        <v>OPTICAL MINERALOGY</v>
      </c>
      <c r="C427" s="18" t="str">
        <v>Wilson Matthew Coffie</v>
      </c>
      <c r="D427" s="13" t="s">
        <v>55</v>
      </c>
      <c r="E427" s="15" t="n">
        <v>150</v>
      </c>
      <c r="F427" s="30"/>
      <c r="G427" s="17" t="n">
        <f aca="false">E427*1.1</f>
        <v>165</v>
      </c>
      <c r="I427" s="6" t="str">
        <f aca="false">CONCATENATE(A427,",",D427)</f>
        <v>GED 258,ED2-GEOL</v>
      </c>
      <c r="J427" s="12"/>
    </row>
    <row r="428" customFormat="false" ht="14.9" hidden="false" customHeight="false" outlineLevel="0" collapsed="false">
      <c r="A428" s="13" t="s">
        <v>370</v>
      </c>
      <c r="B428" s="14" t="str">
        <v>PACKAGING TECHNOLOGY</v>
      </c>
      <c r="C428" s="18" t="str">
        <v>Baah-Ennumh Emmanuel Kwaku</v>
      </c>
      <c r="D428" s="13" t="s">
        <v>73</v>
      </c>
      <c r="E428" s="15" t="n">
        <v>45</v>
      </c>
      <c r="F428" s="19"/>
      <c r="G428" s="17" t="n">
        <f aca="false">E428*1.1</f>
        <v>49.5</v>
      </c>
      <c r="I428" s="6" t="str">
        <f aca="false">CONCATENATE(A428,",",D428)</f>
        <v>CHE 364,ED3-CHE</v>
      </c>
      <c r="J428" s="12"/>
    </row>
    <row r="429" customFormat="false" ht="13.8" hidden="false" customHeight="false" outlineLevel="0" collapsed="false">
      <c r="A429" s="22"/>
      <c r="B429" s="22"/>
      <c r="D429" s="14" t="s">
        <v>371</v>
      </c>
      <c r="E429" s="22" t="n">
        <f aca="false">SUM(E421:E428)</f>
        <v>1147</v>
      </c>
      <c r="F429" s="23"/>
      <c r="G429" s="22"/>
      <c r="I429" s="9"/>
      <c r="J429" s="12"/>
    </row>
    <row r="430" customFormat="false" ht="14.9" hidden="false" customHeight="false" outlineLevel="0" collapsed="false">
      <c r="A430" s="8" t="s">
        <v>362</v>
      </c>
      <c r="B430" s="8"/>
      <c r="C430" s="8"/>
      <c r="D430" s="8"/>
      <c r="E430" s="8"/>
      <c r="F430" s="8"/>
      <c r="G430" s="8"/>
      <c r="I430" s="9" t="s">
        <v>363</v>
      </c>
      <c r="J430" s="12"/>
    </row>
    <row r="431" customFormat="false" ht="14.9" hidden="false" customHeight="false" outlineLevel="0" collapsed="false">
      <c r="A431" s="8" t="s">
        <v>29</v>
      </c>
      <c r="B431" s="8"/>
      <c r="C431" s="8"/>
      <c r="D431" s="8"/>
      <c r="E431" s="8"/>
      <c r="F431" s="8"/>
      <c r="G431" s="8"/>
      <c r="I431" s="9" t="s">
        <v>30</v>
      </c>
      <c r="J431" s="12"/>
    </row>
    <row r="432" customFormat="false" ht="14.9" hidden="false" customHeight="false" outlineLevel="0" collapsed="false">
      <c r="A432" s="11" t="s">
        <v>4</v>
      </c>
      <c r="B432" s="11" t="s">
        <v>5</v>
      </c>
      <c r="C432" s="2" t="s">
        <v>6</v>
      </c>
      <c r="D432" s="11" t="s">
        <v>7</v>
      </c>
      <c r="E432" s="11" t="s">
        <v>8</v>
      </c>
      <c r="F432" s="2" t="s">
        <v>9</v>
      </c>
      <c r="G432" s="11" t="s">
        <v>10</v>
      </c>
      <c r="I432" s="9" t="s">
        <v>31</v>
      </c>
      <c r="J432" s="12"/>
    </row>
    <row r="433" customFormat="false" ht="14.9" hidden="false" customHeight="false" outlineLevel="0" collapsed="false">
      <c r="A433" s="13" t="s">
        <v>364</v>
      </c>
      <c r="B433" s="14" t="str">
        <f aca="false" t="array" ref="B433:B451">IFERROR(VLOOKUP(I433:I451,Lectures_1!A2:F534,2,FALSE()),0)</f>
        <v>COMMUNICATION SKILLS II</v>
      </c>
      <c r="C433" s="14" t="str">
        <f aca="false" t="array" ref="C433:C451">IFERROR(VLOOKUP(I433:I451,Lectures_1!A2:F534,3,FALSE()),0)</f>
        <v>Yeboah Philomena Ama Okyeso</v>
      </c>
      <c r="D433" s="13" t="s">
        <v>81</v>
      </c>
      <c r="E433" s="15" t="n">
        <f aca="false" t="array" ref="E433:E451">IFERROR(VLOOKUP(I433:I451,Lectures_1!A2:F534,4,FALSE()),0)</f>
        <v>56</v>
      </c>
      <c r="F433" s="20" t="s">
        <v>372</v>
      </c>
      <c r="G433" s="17" t="n">
        <f aca="false">E433*1.1</f>
        <v>61.6</v>
      </c>
      <c r="I433" s="6" t="str">
        <f aca="false">CONCATENATE(A433,",",D433)</f>
        <v>ENGL 158,ED1-PCE</v>
      </c>
      <c r="J433" s="12"/>
    </row>
    <row r="434" customFormat="false" ht="14.9" hidden="false" customHeight="false" outlineLevel="0" collapsed="false">
      <c r="A434" s="13" t="s">
        <v>364</v>
      </c>
      <c r="B434" s="14" t="str">
        <v>COMMUNICATION SKILLS II</v>
      </c>
      <c r="C434" s="14" t="str">
        <v>Sarfo-Adu Kwasi</v>
      </c>
      <c r="D434" s="13" t="s">
        <v>162</v>
      </c>
      <c r="E434" s="15" t="n">
        <v>85</v>
      </c>
      <c r="F434" s="20"/>
      <c r="G434" s="17" t="n">
        <f aca="false">E434*1.1</f>
        <v>93.5</v>
      </c>
      <c r="I434" s="6" t="str">
        <f aca="false">CONCATENATE(A434,",",D434)</f>
        <v>ENGL 158,ED1-AUTO</v>
      </c>
      <c r="J434" s="12"/>
    </row>
    <row r="435" customFormat="false" ht="14.9" hidden="false" customHeight="false" outlineLevel="0" collapsed="false">
      <c r="A435" s="13" t="s">
        <v>364</v>
      </c>
      <c r="B435" s="14" t="str">
        <v>COMMUNICATION SKILLS II</v>
      </c>
      <c r="C435" s="18" t="str">
        <v>Yeboah Philomena Ama Okyeso</v>
      </c>
      <c r="D435" s="13" t="s">
        <v>51</v>
      </c>
      <c r="E435" s="15" t="n">
        <v>295</v>
      </c>
      <c r="F435" s="20"/>
      <c r="G435" s="17" t="n">
        <f aca="false">E435*1.1</f>
        <v>324.5</v>
      </c>
      <c r="I435" s="6" t="str">
        <f aca="false">CONCATENATE(A435,",",D435)</f>
        <v>ENGL 158,ED1-EE</v>
      </c>
      <c r="J435" s="12"/>
    </row>
    <row r="436" customFormat="false" ht="14.9" hidden="false" customHeight="false" outlineLevel="0" collapsed="false">
      <c r="A436" s="13" t="s">
        <v>364</v>
      </c>
      <c r="B436" s="14" t="str">
        <v>COMMUNICATION SKILLS II</v>
      </c>
      <c r="C436" s="2" t="str">
        <v>Yeboah Philomena Ama Okyeso</v>
      </c>
      <c r="D436" s="13" t="s">
        <v>111</v>
      </c>
      <c r="E436" s="15" t="n">
        <v>83</v>
      </c>
      <c r="F436" s="20"/>
      <c r="G436" s="17" t="n">
        <f aca="false">E436*1.1</f>
        <v>91.3</v>
      </c>
      <c r="I436" s="6" t="str">
        <f aca="false">CONCATENATE(A436,",",D436)</f>
        <v>ENGL 158,ED1-IND</v>
      </c>
      <c r="J436" s="12"/>
    </row>
    <row r="437" customFormat="false" ht="14.9" hidden="false" customHeight="false" outlineLevel="0" collapsed="false">
      <c r="A437" s="13" t="s">
        <v>364</v>
      </c>
      <c r="B437" s="14" t="str">
        <v>COMMUNICATION SKILLS II</v>
      </c>
      <c r="C437" s="18" t="str">
        <v>Yeboah Philomena Ama Okyeso</v>
      </c>
      <c r="D437" s="13" t="s">
        <v>126</v>
      </c>
      <c r="E437" s="15" t="n">
        <v>125</v>
      </c>
      <c r="F437" s="20"/>
      <c r="G437" s="17" t="n">
        <f aca="false">E437*1.1</f>
        <v>137.5</v>
      </c>
      <c r="I437" s="6" t="str">
        <f aca="false">CONCATENATE(A437,",",D437)</f>
        <v>ENGL 158,ED1-GEOL</v>
      </c>
      <c r="J437" s="12"/>
    </row>
    <row r="438" customFormat="false" ht="14.9" hidden="false" customHeight="false" outlineLevel="0" collapsed="false">
      <c r="A438" s="13" t="s">
        <v>364</v>
      </c>
      <c r="B438" s="2" t="str">
        <v>COMMUNICATION SKILLS II</v>
      </c>
      <c r="C438" s="2" t="str">
        <v>Alhassan Yakubu</v>
      </c>
      <c r="D438" s="13" t="s">
        <v>115</v>
      </c>
      <c r="E438" s="11" t="n">
        <v>100</v>
      </c>
      <c r="F438" s="20"/>
      <c r="G438" s="17" t="n">
        <f aca="false">E438*1.1</f>
        <v>110</v>
      </c>
      <c r="I438" s="6" t="str">
        <f aca="false">CONCATENATE(A438,",",D438)</f>
        <v>ENGL 158,ED1-MSE</v>
      </c>
      <c r="J438" s="12"/>
    </row>
    <row r="439" customFormat="false" ht="14.9" hidden="false" customHeight="false" outlineLevel="0" collapsed="false">
      <c r="A439" s="13" t="s">
        <v>364</v>
      </c>
      <c r="B439" s="2" t="str">
        <v>COMMUNICATION SKILLS II</v>
      </c>
      <c r="C439" s="2" t="str">
        <v>Yeboah Philomena Ama Okyeso</v>
      </c>
      <c r="D439" s="13" t="s">
        <v>95</v>
      </c>
      <c r="E439" s="11" t="n">
        <v>103</v>
      </c>
      <c r="F439" s="20"/>
      <c r="G439" s="17" t="n">
        <f aca="false">E439*1.1</f>
        <v>113.3</v>
      </c>
      <c r="I439" s="6" t="str">
        <f aca="false">CONCATENATE(A439,",",D439)</f>
        <v>ENGL 158,ED1-GEOM</v>
      </c>
      <c r="J439" s="12"/>
    </row>
    <row r="440" customFormat="false" ht="14.9" hidden="false" customHeight="false" outlineLevel="0" collapsed="false">
      <c r="A440" s="13" t="s">
        <v>373</v>
      </c>
      <c r="B440" s="18" t="str">
        <v>MANAGEMENT AND ENTREPRENEURSHIP DEVELOPMENT</v>
      </c>
      <c r="C440" s="18" t="str">
        <v>Aikins Stephen Hill Mends</v>
      </c>
      <c r="D440" s="13" t="s">
        <v>251</v>
      </c>
      <c r="E440" s="15" t="n">
        <v>160</v>
      </c>
      <c r="F440" s="19"/>
      <c r="G440" s="17" t="n">
        <f aca="false">E440*1.1</f>
        <v>176</v>
      </c>
      <c r="I440" s="6" t="str">
        <f aca="false">CONCATENATE(A440,",",D440)</f>
        <v>ME 492,ED4-COE</v>
      </c>
      <c r="J440" s="12"/>
    </row>
    <row r="441" customFormat="false" ht="14.9" hidden="false" customHeight="false" outlineLevel="0" collapsed="false">
      <c r="A441" s="13" t="s">
        <v>373</v>
      </c>
      <c r="B441" s="18" t="str">
        <v>ENTREPRENEURSHIP DEVELOPMENT AND MANAGEMENT</v>
      </c>
      <c r="C441" s="18" t="str">
        <v>Mensah Lena Dzifa</v>
      </c>
      <c r="D441" s="13" t="s">
        <v>144</v>
      </c>
      <c r="E441" s="15" t="n">
        <v>205</v>
      </c>
      <c r="F441" s="39"/>
      <c r="G441" s="17" t="n">
        <f aca="false">E441*1.1</f>
        <v>225.5</v>
      </c>
      <c r="I441" s="6" t="str">
        <f aca="false">CONCATENATE(A441,",",D441)</f>
        <v>ME 492,ED4-EE</v>
      </c>
      <c r="J441" s="12"/>
    </row>
    <row r="442" customFormat="false" ht="14.9" hidden="false" customHeight="false" outlineLevel="0" collapsed="false">
      <c r="A442" s="13" t="s">
        <v>373</v>
      </c>
      <c r="B442" s="18" t="str">
        <v>ENTREPRENEURSHIP MANAGEMENT </v>
      </c>
      <c r="C442" s="18" t="str">
        <v>Asiedu Charlotte</v>
      </c>
      <c r="D442" s="13" t="s">
        <v>124</v>
      </c>
      <c r="E442" s="15" t="n">
        <v>69</v>
      </c>
      <c r="F442" s="19"/>
      <c r="G442" s="17" t="n">
        <f aca="false">E442*1.1</f>
        <v>75.9</v>
      </c>
      <c r="I442" s="6" t="str">
        <f aca="false">CONCATENATE(A442,",",D442)</f>
        <v>ME 492,ED4-IND</v>
      </c>
      <c r="J442" s="12"/>
    </row>
    <row r="443" customFormat="false" ht="14.9" hidden="false" customHeight="false" outlineLevel="0" collapsed="false">
      <c r="A443" s="13" t="s">
        <v>373</v>
      </c>
      <c r="B443" s="18" t="str">
        <v>MANAGEMENT AND ENTREPRENEURSHIP DEVELOPMENT</v>
      </c>
      <c r="C443" s="18" t="str">
        <v>Mensah Lena Dzifa</v>
      </c>
      <c r="D443" s="13" t="s">
        <v>67</v>
      </c>
      <c r="E443" s="15" t="n">
        <v>135</v>
      </c>
      <c r="F443" s="39"/>
      <c r="G443" s="17" t="n">
        <f aca="false">E443*1.1</f>
        <v>148.5</v>
      </c>
      <c r="I443" s="6" t="str">
        <f aca="false">CONCATENATE(A443,",",D443)</f>
        <v>ME 492,ED4-ME</v>
      </c>
      <c r="J443" s="12"/>
    </row>
    <row r="444" customFormat="false" ht="14.9" hidden="false" customHeight="false" outlineLevel="0" collapsed="false">
      <c r="A444" s="13" t="s">
        <v>373</v>
      </c>
      <c r="B444" s="18" t="str">
        <v>MANAGEMENT AND ENTREPRENEURSHIP DEVELOPMENT</v>
      </c>
      <c r="C444" s="18" t="str">
        <v>Mensah Lena Dzifa</v>
      </c>
      <c r="D444" s="13" t="s">
        <v>136</v>
      </c>
      <c r="E444" s="15" t="n">
        <v>55</v>
      </c>
      <c r="F444" s="19"/>
      <c r="G444" s="17" t="n">
        <f aca="false">E444*1.1</f>
        <v>60.5</v>
      </c>
      <c r="I444" s="6" t="str">
        <f aca="false">CONCATENATE(A444,",",D444)</f>
        <v>ME 492,ED4-METE</v>
      </c>
      <c r="J444" s="12"/>
    </row>
    <row r="445" customFormat="false" ht="14.9" hidden="false" customHeight="false" outlineLevel="0" collapsed="false">
      <c r="A445" s="13" t="s">
        <v>373</v>
      </c>
      <c r="B445" s="18" t="str">
        <v>MANAGEMENT AND ENTREPRENEURSHIP DEVELOPMENT</v>
      </c>
      <c r="C445" s="18" t="str">
        <v>Mensah Lena Dzifa</v>
      </c>
      <c r="D445" s="13" t="s">
        <v>99</v>
      </c>
      <c r="E445" s="15" t="n">
        <v>61</v>
      </c>
      <c r="F445" s="19"/>
      <c r="G445" s="17" t="n">
        <f aca="false">E445*1.1</f>
        <v>67.1</v>
      </c>
      <c r="I445" s="6" t="str">
        <f aca="false">CONCATENATE(A445,",",D445)</f>
        <v>ME 492,ED4-AERO</v>
      </c>
      <c r="J445" s="12"/>
    </row>
    <row r="446" customFormat="false" ht="14.9" hidden="false" customHeight="false" outlineLevel="0" collapsed="false">
      <c r="A446" s="13" t="s">
        <v>373</v>
      </c>
      <c r="B446" s="18" t="str">
        <v>MANAGEMENT AND ENTREPRENEURSHIP DEVELOPMENT</v>
      </c>
      <c r="C446" s="18" t="str">
        <v>Mensah Lena Dzifa</v>
      </c>
      <c r="D446" s="13" t="s">
        <v>97</v>
      </c>
      <c r="E446" s="15" t="n">
        <v>32</v>
      </c>
      <c r="F446" s="19"/>
      <c r="G446" s="17" t="n">
        <f aca="false">E446*1.1</f>
        <v>35.2</v>
      </c>
      <c r="I446" s="6" t="str">
        <f aca="false">CONCATENATE(A446,",",D446)</f>
        <v>ME 492,ED4-AUTO</v>
      </c>
      <c r="J446" s="12"/>
    </row>
    <row r="447" customFormat="false" ht="14.9" hidden="false" customHeight="false" outlineLevel="0" collapsed="false">
      <c r="A447" s="13" t="s">
        <v>373</v>
      </c>
      <c r="B447" s="18" t="str">
        <v>ENTREPRENEURSHIP DEVELOPMENT</v>
      </c>
      <c r="C447" s="18" t="str">
        <v>Aikins Stephen Hill Mends</v>
      </c>
      <c r="D447" s="13" t="s">
        <v>252</v>
      </c>
      <c r="E447" s="15" t="n">
        <v>87</v>
      </c>
      <c r="F447" s="19"/>
      <c r="G447" s="17" t="n">
        <f aca="false">E447*1.1</f>
        <v>95.7</v>
      </c>
      <c r="I447" s="6" t="str">
        <f aca="false">CONCATENATE(A447,",",D447)</f>
        <v>ME 492,ED4-BME</v>
      </c>
      <c r="J447" s="12"/>
    </row>
    <row r="448" customFormat="false" ht="14.9" hidden="false" customHeight="false" outlineLevel="0" collapsed="false">
      <c r="A448" s="13" t="s">
        <v>373</v>
      </c>
      <c r="B448" s="18" t="str">
        <v>MANAGEMENT AND ENTREPRENEURSHIP DEVELOPMENT</v>
      </c>
      <c r="C448" s="18" t="str">
        <v>Aikins Stephen Hill Mends</v>
      </c>
      <c r="D448" s="13" t="s">
        <v>50</v>
      </c>
      <c r="E448" s="15" t="n">
        <v>103</v>
      </c>
      <c r="F448" s="19"/>
      <c r="G448" s="17" t="n">
        <f aca="false">E448*1.1</f>
        <v>113.3</v>
      </c>
      <c r="I448" s="6" t="str">
        <f aca="false">CONCATENATE(A448,",",D448)</f>
        <v>ME 492,ED4-AE</v>
      </c>
      <c r="J448" s="12"/>
    </row>
    <row r="449" customFormat="false" ht="14.9" hidden="false" customHeight="false" outlineLevel="0" collapsed="false">
      <c r="A449" s="13" t="s">
        <v>373</v>
      </c>
      <c r="B449" s="18" t="str">
        <v>MANAGEMENT AND ENTREPRENEURSHIP DEVELOPMENT</v>
      </c>
      <c r="C449" s="18" t="str">
        <v>Mensah Lena Dzifa</v>
      </c>
      <c r="D449" s="13" t="s">
        <v>135</v>
      </c>
      <c r="E449" s="15" t="n">
        <v>60</v>
      </c>
      <c r="F449" s="19"/>
      <c r="G449" s="17" t="n">
        <f aca="false">E449*1.1</f>
        <v>66</v>
      </c>
      <c r="I449" s="6" t="str">
        <f aca="false">CONCATENATE(A449,",",D449)</f>
        <v>ME 492,ED4-MSE</v>
      </c>
      <c r="J449" s="12"/>
    </row>
    <row r="450" customFormat="false" ht="14.9" hidden="false" customHeight="false" outlineLevel="0" collapsed="false">
      <c r="A450" s="13" t="s">
        <v>373</v>
      </c>
      <c r="B450" s="18" t="str">
        <v>MANAGEMENT AND ENTREPRENEURSHIP DEVELOPMENT</v>
      </c>
      <c r="C450" s="18" t="str">
        <v>Intsiful Araba Kwegyirba</v>
      </c>
      <c r="D450" s="13" t="s">
        <v>227</v>
      </c>
      <c r="E450" s="15" t="n">
        <v>138</v>
      </c>
      <c r="F450" s="19"/>
      <c r="G450" s="17" t="n">
        <f aca="false">E450*1.1</f>
        <v>151.8</v>
      </c>
      <c r="I450" s="6" t="str">
        <f aca="false">CONCATENATE(A450,",",D450)</f>
        <v>ME 492,ED4-TEL</v>
      </c>
      <c r="J450" s="12"/>
    </row>
    <row r="451" customFormat="false" ht="14.9" hidden="false" customHeight="false" outlineLevel="0" collapsed="false">
      <c r="A451" s="13" t="s">
        <v>374</v>
      </c>
      <c r="B451" s="18" t="str">
        <v>PETROLEUM BUSINESS: STRUCTURES, LOGISTICS</v>
      </c>
      <c r="C451" s="18" t="str">
        <v>Quaye Jonathan Atuquaye</v>
      </c>
      <c r="D451" s="13" t="s">
        <v>46</v>
      </c>
      <c r="E451" s="15" t="n">
        <v>77</v>
      </c>
      <c r="F451" s="19" t="s">
        <v>21</v>
      </c>
      <c r="G451" s="17" t="n">
        <f aca="false">E451*1.1</f>
        <v>84.7</v>
      </c>
      <c r="I451" s="6" t="str">
        <f aca="false">CONCATENATE(A451,",",D451)</f>
        <v>PE 468,ED4-PE</v>
      </c>
      <c r="J451" s="12"/>
    </row>
    <row r="452" customFormat="false" ht="14.9" hidden="false" customHeight="false" outlineLevel="0" collapsed="false">
      <c r="A452" s="22"/>
      <c r="B452" s="22"/>
      <c r="D452" s="14" t="s">
        <v>375</v>
      </c>
      <c r="E452" s="22" t="n">
        <f aca="false">SUM(E440:E451)</f>
        <v>1182</v>
      </c>
      <c r="F452" s="23"/>
      <c r="G452" s="22"/>
      <c r="I452" s="9" t="s">
        <v>376</v>
      </c>
      <c r="J452" s="12"/>
    </row>
    <row r="453" customFormat="false" ht="13.8" hidden="false" customHeight="false" outlineLevel="0" collapsed="false">
      <c r="G453" s="1"/>
      <c r="J453" s="42"/>
    </row>
    <row r="454" customFormat="false" ht="13.8" hidden="false" customHeight="false" outlineLevel="0" collapsed="false">
      <c r="G454" s="1"/>
      <c r="J454" s="42"/>
    </row>
    <row r="455" customFormat="false" ht="14.9" hidden="false" customHeight="false" outlineLevel="0" collapsed="false">
      <c r="A455" s="8" t="s">
        <v>362</v>
      </c>
      <c r="B455" s="8"/>
      <c r="C455" s="8"/>
      <c r="D455" s="8"/>
      <c r="E455" s="8"/>
      <c r="F455" s="8"/>
      <c r="G455" s="8"/>
      <c r="I455" s="9" t="s">
        <v>363</v>
      </c>
      <c r="J455" s="12"/>
    </row>
    <row r="456" customFormat="false" ht="14.9" hidden="false" customHeight="false" outlineLevel="0" collapsed="false">
      <c r="A456" s="8" t="s">
        <v>59</v>
      </c>
      <c r="B456" s="8"/>
      <c r="C456" s="8"/>
      <c r="D456" s="8"/>
      <c r="E456" s="8"/>
      <c r="F456" s="8"/>
      <c r="G456" s="8"/>
      <c r="I456" s="9" t="s">
        <v>128</v>
      </c>
      <c r="J456" s="12"/>
    </row>
    <row r="457" customFormat="false" ht="14.9" hidden="false" customHeight="false" outlineLevel="0" collapsed="false">
      <c r="A457" s="11" t="s">
        <v>4</v>
      </c>
      <c r="B457" s="11" t="s">
        <v>5</v>
      </c>
      <c r="C457" s="2" t="s">
        <v>6</v>
      </c>
      <c r="D457" s="11" t="s">
        <v>7</v>
      </c>
      <c r="E457" s="11" t="s">
        <v>8</v>
      </c>
      <c r="F457" s="2" t="s">
        <v>9</v>
      </c>
      <c r="G457" s="11" t="s">
        <v>10</v>
      </c>
      <c r="I457" s="9" t="s">
        <v>31</v>
      </c>
      <c r="J457" s="12"/>
    </row>
    <row r="458" customFormat="false" ht="14.9" hidden="false" customHeight="false" outlineLevel="0" collapsed="false">
      <c r="A458" s="13" t="s">
        <v>364</v>
      </c>
      <c r="B458" s="2" t="str">
        <f aca="false" t="array" ref="B458:B471">IFERROR(VLOOKUP(I458:I471,Lectures_1!A2:F534,2,FALSE()),0)</f>
        <v>COMMUNICATION SKILLS II</v>
      </c>
      <c r="C458" s="2" t="str">
        <f aca="false" t="array" ref="C458:C471">IFERROR(VLOOKUP(I458:I471,Lectures_1!A2:F534,3,FALSE()),0)</f>
        <v>Yeboah Philomena Ama Okyeso</v>
      </c>
      <c r="D458" s="13" t="s">
        <v>112</v>
      </c>
      <c r="E458" s="11" t="n">
        <f aca="false" t="array" ref="E458:E471">IFERROR(VLOOKUP(I458:I471,Lectures_1!A2:F534,4,FALSE()),0)</f>
        <v>46</v>
      </c>
      <c r="F458" s="20" t="s">
        <v>34</v>
      </c>
      <c r="G458" s="17" t="n">
        <f aca="false">E458*1.1</f>
        <v>50.6</v>
      </c>
      <c r="I458" s="6" t="str">
        <f aca="false">CONCATENATE(A458,",",D458)</f>
        <v>ENGL 158,ED1-MARI</v>
      </c>
      <c r="J458" s="12"/>
    </row>
    <row r="459" customFormat="false" ht="14.9" hidden="false" customHeight="false" outlineLevel="0" collapsed="false">
      <c r="A459" s="13" t="s">
        <v>364</v>
      </c>
      <c r="B459" s="2" t="str">
        <v>COMMUNICATION SKILLS II</v>
      </c>
      <c r="C459" s="2" t="str">
        <v>Yeboah Philomena Ama Okyeso</v>
      </c>
      <c r="D459" s="13" t="s">
        <v>161</v>
      </c>
      <c r="E459" s="11" t="n">
        <v>225</v>
      </c>
      <c r="F459" s="20"/>
      <c r="G459" s="17" t="n">
        <f aca="false">E459*1.1</f>
        <v>247.5</v>
      </c>
      <c r="I459" s="6" t="str">
        <f aca="false">CONCATENATE(A459,",",D459)</f>
        <v>ENGL 158,ED1-ME</v>
      </c>
      <c r="J459" s="12"/>
    </row>
    <row r="460" customFormat="false" ht="14.9" hidden="false" customHeight="false" outlineLevel="0" collapsed="false">
      <c r="A460" s="13" t="s">
        <v>364</v>
      </c>
      <c r="B460" s="14" t="str">
        <v>COMMUNICATION SKILLS II</v>
      </c>
      <c r="C460" s="2" t="str">
        <v>Alhassan Yakubu</v>
      </c>
      <c r="D460" s="13" t="s">
        <v>82</v>
      </c>
      <c r="E460" s="15" t="n">
        <v>130</v>
      </c>
      <c r="F460" s="20"/>
      <c r="G460" s="17" t="n">
        <f aca="false">E460*1.1</f>
        <v>143</v>
      </c>
      <c r="I460" s="6" t="str">
        <f aca="false">CONCATENATE(A460,",",D460)</f>
        <v>ENGL 158,ED1-PE</v>
      </c>
      <c r="J460" s="12"/>
    </row>
    <row r="461" customFormat="false" ht="14.9" hidden="false" customHeight="false" outlineLevel="0" collapsed="false">
      <c r="A461" s="13" t="s">
        <v>364</v>
      </c>
      <c r="B461" s="14" t="str">
        <v>COMMUNICATION SKILLS II</v>
      </c>
      <c r="C461" s="2" t="str">
        <v>Alhassan Yakubu</v>
      </c>
      <c r="D461" s="13" t="s">
        <v>91</v>
      </c>
      <c r="E461" s="15" t="n">
        <v>130</v>
      </c>
      <c r="F461" s="20"/>
      <c r="G461" s="17" t="n">
        <f aca="false">E461*1.1</f>
        <v>143</v>
      </c>
      <c r="I461" s="6" t="str">
        <f aca="false">CONCATENATE(A461,",",D461)</f>
        <v>ENGL 158,ED1-TEL</v>
      </c>
      <c r="J461" s="12"/>
    </row>
    <row r="462" customFormat="false" ht="14.9" hidden="false" customHeight="false" outlineLevel="0" collapsed="false">
      <c r="A462" s="13" t="s">
        <v>364</v>
      </c>
      <c r="B462" s="14" t="str">
        <v>COMMUNICATION SKILLS II</v>
      </c>
      <c r="C462" s="18" t="str">
        <v>Alhassan Yakubu</v>
      </c>
      <c r="D462" s="13" t="s">
        <v>114</v>
      </c>
      <c r="E462" s="15" t="n">
        <v>75</v>
      </c>
      <c r="F462" s="20"/>
      <c r="G462" s="17" t="n">
        <f aca="false">E462*1.1</f>
        <v>82.5</v>
      </c>
      <c r="I462" s="6" t="str">
        <f aca="false">CONCATENATE(A462,",",D462)</f>
        <v>ENGL 158,ED1-METE</v>
      </c>
      <c r="J462" s="12"/>
    </row>
    <row r="463" customFormat="false" ht="14.9" hidden="false" customHeight="false" outlineLevel="0" collapsed="false">
      <c r="A463" s="13" t="s">
        <v>377</v>
      </c>
      <c r="B463" s="14" t="str">
        <v>DIGITAL SYSTEMS DESIGN I</v>
      </c>
      <c r="C463" s="18" t="str">
        <v>Nunoo-Mensah Henry</v>
      </c>
      <c r="D463" s="13" t="s">
        <v>109</v>
      </c>
      <c r="E463" s="15" t="n">
        <v>80</v>
      </c>
      <c r="F463" s="19"/>
      <c r="G463" s="17" t="n">
        <f aca="false">E463*1.1</f>
        <v>88</v>
      </c>
      <c r="I463" s="6" t="str">
        <f aca="false">CONCATENATE(A463,",",D463)</f>
        <v>COE 272,ED2-BME</v>
      </c>
      <c r="J463" s="12"/>
    </row>
    <row r="464" customFormat="false" ht="14.9" hidden="false" customHeight="false" outlineLevel="0" collapsed="false">
      <c r="A464" s="13" t="s">
        <v>377</v>
      </c>
      <c r="B464" s="14" t="str">
        <v>DIGITAL SYSTEMS DESIGN I</v>
      </c>
      <c r="C464" s="18" t="str">
        <v>Nunoo-Mensah Henry</v>
      </c>
      <c r="D464" s="13" t="s">
        <v>108</v>
      </c>
      <c r="E464" s="15" t="n">
        <v>255</v>
      </c>
      <c r="F464" s="19"/>
      <c r="G464" s="17" t="n">
        <f aca="false">E464*1.1</f>
        <v>280.5</v>
      </c>
      <c r="H464" s="27"/>
      <c r="I464" s="6" t="str">
        <f aca="false">CONCATENATE(A464,",",D464)</f>
        <v>COE 272,ED2-COE</v>
      </c>
      <c r="J464" s="12"/>
    </row>
    <row r="465" customFormat="false" ht="14.9" hidden="false" customHeight="false" outlineLevel="0" collapsed="false">
      <c r="A465" s="13" t="s">
        <v>378</v>
      </c>
      <c r="B465" s="14" t="str">
        <v>HIGHWAY ENGINEERING</v>
      </c>
      <c r="C465" s="14" t="str">
        <v>Tutu Kenneth Adomako</v>
      </c>
      <c r="D465" s="13" t="s">
        <v>157</v>
      </c>
      <c r="E465" s="15" t="n">
        <v>230</v>
      </c>
      <c r="F465" s="26"/>
      <c r="G465" s="17" t="n">
        <f aca="false">E465*1.1</f>
        <v>253</v>
      </c>
      <c r="I465" s="6" t="str">
        <f aca="false">CONCATENATE(A465,",",D465)</f>
        <v>CE 368,ED3-CE</v>
      </c>
      <c r="J465" s="12"/>
    </row>
    <row r="466" customFormat="false" ht="14.9" hidden="false" customHeight="false" outlineLevel="0" collapsed="false">
      <c r="A466" s="13" t="s">
        <v>379</v>
      </c>
      <c r="B466" s="18" t="str">
        <v>MINERAL ECONOMICS AND EVALUATION</v>
      </c>
      <c r="C466" s="18" t="str">
        <v>Foli Gordon</v>
      </c>
      <c r="D466" s="13" t="s">
        <v>154</v>
      </c>
      <c r="E466" s="15" t="n">
        <v>154</v>
      </c>
      <c r="F466" s="19"/>
      <c r="G466" s="17" t="n">
        <f aca="false">E466*1.1</f>
        <v>169.4</v>
      </c>
      <c r="I466" s="6" t="str">
        <f aca="false">CONCATENATE(A466,",",D466)</f>
        <v>GED 366,ED3-GEOL</v>
      </c>
      <c r="J466" s="12"/>
    </row>
    <row r="467" customFormat="false" ht="14.9" hidden="false" customHeight="false" outlineLevel="0" collapsed="false">
      <c r="A467" s="13" t="s">
        <v>380</v>
      </c>
      <c r="B467" s="11" t="str">
        <v>STRENGTH OF MARINE MATERIALS II</v>
      </c>
      <c r="C467" s="18" t="str">
        <v>Adam Faisal Wahib</v>
      </c>
      <c r="D467" s="19" t="s">
        <v>86</v>
      </c>
      <c r="E467" s="30" t="n">
        <v>40</v>
      </c>
      <c r="F467" s="30"/>
      <c r="G467" s="17" t="n">
        <f aca="false">E467*1.1</f>
        <v>44</v>
      </c>
      <c r="I467" s="6" t="str">
        <f aca="false">CONCATENATE(A467,",",D467)</f>
        <v>MME 356,ED3-MARI</v>
      </c>
      <c r="J467" s="12"/>
    </row>
    <row r="468" customFormat="false" ht="14.9" hidden="false" customHeight="false" outlineLevel="0" collapsed="false">
      <c r="A468" s="13" t="s">
        <v>381</v>
      </c>
      <c r="B468" s="14" t="str">
        <v>HIGH VOLTAGE ENGINEERING</v>
      </c>
      <c r="C468" s="18" t="str">
        <v>Asigri Peter</v>
      </c>
      <c r="D468" s="13" t="s">
        <v>71</v>
      </c>
      <c r="E468" s="15" t="n">
        <v>185</v>
      </c>
      <c r="F468" s="19" t="s">
        <v>21</v>
      </c>
      <c r="G468" s="17" t="n">
        <f aca="false">E468*1.1</f>
        <v>203.5</v>
      </c>
      <c r="I468" s="6" t="str">
        <f aca="false">CONCATENATE(A468,",",D468)</f>
        <v>EE 360,ED3-EE</v>
      </c>
      <c r="J468" s="12"/>
    </row>
    <row r="469" customFormat="false" ht="14.9" hidden="false" customHeight="false" outlineLevel="0" collapsed="false">
      <c r="A469" s="13" t="s">
        <v>382</v>
      </c>
      <c r="B469" s="14" t="str">
        <v>RENEWABLE ENERGY RESOURCES</v>
      </c>
      <c r="C469" s="18" t="str">
        <v>Baah-Ennumh Emmanuel Kwaku</v>
      </c>
      <c r="D469" s="13" t="s">
        <v>63</v>
      </c>
      <c r="E469" s="15" t="n">
        <v>20</v>
      </c>
      <c r="F469" s="5"/>
      <c r="G469" s="17" t="n">
        <f aca="false">E469*1.1</f>
        <v>22</v>
      </c>
      <c r="I469" s="6" t="str">
        <f aca="false">CONCATENATE(A469,",",D469)</f>
        <v>CHE 366,ED3-PCE</v>
      </c>
      <c r="J469" s="12"/>
    </row>
    <row r="470" s="45" customFormat="true" ht="14.9" hidden="false" customHeight="false" outlineLevel="0" collapsed="false">
      <c r="A470" s="13" t="s">
        <v>383</v>
      </c>
      <c r="B470" s="18" t="str">
        <v>MECHANICS OF MATERIALS</v>
      </c>
      <c r="C470" s="18" t="str">
        <v>Mensah-Darkwa Kwadwo</v>
      </c>
      <c r="D470" s="13" t="s">
        <v>140</v>
      </c>
      <c r="E470" s="15" t="n">
        <v>85</v>
      </c>
      <c r="F470" s="39"/>
      <c r="G470" s="17" t="n">
        <f aca="false">E470*1.1</f>
        <v>93.5</v>
      </c>
      <c r="H470" s="27"/>
      <c r="I470" s="43" t="str">
        <f aca="false">CONCATENATE(A470,",",D470)</f>
        <v>MSE 360,ED3-MSE</v>
      </c>
      <c r="J470" s="44"/>
    </row>
    <row r="471" customFormat="false" ht="14.9" hidden="false" customHeight="false" outlineLevel="0" collapsed="false">
      <c r="A471" s="13" t="s">
        <v>384</v>
      </c>
      <c r="B471" s="14" t="str">
        <v>WATER RESOURCES ENGINEERING II</v>
      </c>
      <c r="C471" s="18" t="str">
        <v>Anornu Geophrey Kwame</v>
      </c>
      <c r="D471" s="13" t="s">
        <v>103</v>
      </c>
      <c r="E471" s="15" t="n">
        <v>105</v>
      </c>
      <c r="F471" s="19"/>
      <c r="G471" s="17" t="n">
        <f aca="false">E471*1.1</f>
        <v>115.5</v>
      </c>
      <c r="I471" s="6" t="str">
        <f aca="false">CONCATENATE(A471,",",D471)</f>
        <v>CE 458,ED4-CE</v>
      </c>
      <c r="J471" s="12"/>
    </row>
    <row r="472" customFormat="false" ht="14.9" hidden="false" customHeight="false" outlineLevel="0" collapsed="false">
      <c r="A472" s="22"/>
      <c r="B472" s="22"/>
      <c r="D472" s="14" t="s">
        <v>385</v>
      </c>
      <c r="E472" s="22" t="n">
        <f aca="false">SUM(E463:E471)</f>
        <v>1154</v>
      </c>
      <c r="F472" s="23"/>
      <c r="G472" s="22"/>
      <c r="I472" s="9" t="s">
        <v>386</v>
      </c>
      <c r="J472" s="12"/>
    </row>
    <row r="473" customFormat="false" ht="14.9" hidden="false" customHeight="false" outlineLevel="0" collapsed="false">
      <c r="A473" s="8" t="s">
        <v>387</v>
      </c>
      <c r="B473" s="8"/>
      <c r="C473" s="8"/>
      <c r="D473" s="8"/>
      <c r="E473" s="8"/>
      <c r="F473" s="8"/>
      <c r="G473" s="8"/>
      <c r="I473" s="9" t="s">
        <v>388</v>
      </c>
      <c r="J473" s="12"/>
    </row>
    <row r="474" customFormat="false" ht="14.9" hidden="false" customHeight="false" outlineLevel="0" collapsed="false">
      <c r="A474" s="8" t="s">
        <v>2</v>
      </c>
      <c r="B474" s="8"/>
      <c r="C474" s="8"/>
      <c r="D474" s="8"/>
      <c r="E474" s="8"/>
      <c r="F474" s="8"/>
      <c r="G474" s="8"/>
      <c r="I474" s="9" t="s">
        <v>149</v>
      </c>
      <c r="J474" s="12"/>
    </row>
    <row r="475" customFormat="false" ht="14.9" hidden="false" customHeight="false" outlineLevel="0" collapsed="false">
      <c r="A475" s="11" t="s">
        <v>4</v>
      </c>
      <c r="B475" s="11" t="s">
        <v>5</v>
      </c>
      <c r="C475" s="2" t="s">
        <v>6</v>
      </c>
      <c r="D475" s="11" t="s">
        <v>7</v>
      </c>
      <c r="E475" s="11" t="s">
        <v>8</v>
      </c>
      <c r="F475" s="2" t="s">
        <v>9</v>
      </c>
      <c r="G475" s="11" t="s">
        <v>10</v>
      </c>
      <c r="I475" s="9" t="s">
        <v>31</v>
      </c>
      <c r="J475" s="12"/>
    </row>
    <row r="476" customFormat="false" ht="14.9" hidden="false" customHeight="false" outlineLevel="0" collapsed="false">
      <c r="A476" s="13" t="s">
        <v>389</v>
      </c>
      <c r="B476" s="18" t="str">
        <f aca="false" t="array" ref="B476:B485">IFERROR(VLOOKUP(I476:I485,Lectures_1!A2:F534,2,FALSE()),0)</f>
        <v>STRENGTH OF MATERIALS II</v>
      </c>
      <c r="C476" s="14" t="str">
        <f aca="false" t="array" ref="C476:C485">IFERROR(VLOOKUP(I476:I485,Lectures_1!A2:F534,3,FALSE()),0)</f>
        <v>Tay Godwin Fabiola Kwaku</v>
      </c>
      <c r="D476" s="13" t="s">
        <v>61</v>
      </c>
      <c r="E476" s="15" t="n">
        <f aca="false" t="array" ref="E476:E485">IFERROR(VLOOKUP(I476:I485,Lectures_1!A2:F534,4,FALSE()),0)</f>
        <v>222</v>
      </c>
      <c r="F476" s="19"/>
      <c r="G476" s="17" t="n">
        <f aca="false">E476*1.1</f>
        <v>244.2</v>
      </c>
      <c r="I476" s="6" t="str">
        <f aca="false">CONCATENATE(A476,",",D476)</f>
        <v>ME 356,ED3-ME</v>
      </c>
      <c r="J476" s="12"/>
    </row>
    <row r="477" customFormat="false" ht="14.9" hidden="false" customHeight="false" outlineLevel="0" collapsed="false">
      <c r="A477" s="13" t="s">
        <v>390</v>
      </c>
      <c r="B477" s="14" t="str">
        <v>PHYSICAL METALLURGY OF NON-FERROUS METALS</v>
      </c>
      <c r="C477" s="18" t="str">
        <v>Agyemang Frank Ofori</v>
      </c>
      <c r="D477" s="13" t="s">
        <v>142</v>
      </c>
      <c r="E477" s="15" t="n">
        <v>87</v>
      </c>
      <c r="F477" s="19"/>
      <c r="G477" s="17" t="n">
        <f aca="false">E477*1.1</f>
        <v>95.7</v>
      </c>
      <c r="I477" s="6" t="str">
        <f aca="false">CONCATENATE(A477,",",D477)</f>
        <v>METE 354,ED3-METE</v>
      </c>
      <c r="J477" s="12"/>
    </row>
    <row r="478" customFormat="false" ht="14.9" hidden="false" customHeight="false" outlineLevel="0" collapsed="false">
      <c r="A478" s="13" t="s">
        <v>391</v>
      </c>
      <c r="B478" s="14" t="str">
        <v>COMPUTER NETWORKING</v>
      </c>
      <c r="C478" s="18" t="str">
        <v>Kwasi Adu-Boahen Opare</v>
      </c>
      <c r="D478" s="13" t="s">
        <v>119</v>
      </c>
      <c r="E478" s="15" t="n">
        <v>140</v>
      </c>
      <c r="F478" s="19"/>
      <c r="G478" s="17" t="n">
        <f aca="false">E478*1.1</f>
        <v>154</v>
      </c>
      <c r="I478" s="6" t="str">
        <f aca="false">CONCATENATE(A478,",",D478)</f>
        <v>TE 374,ED3-TEL</v>
      </c>
      <c r="J478" s="12"/>
    </row>
    <row r="479" customFormat="false" ht="18" hidden="false" customHeight="true" outlineLevel="0" collapsed="false">
      <c r="A479" s="13" t="s">
        <v>392</v>
      </c>
      <c r="B479" s="14" t="str">
        <v>BASIC MECHANICS</v>
      </c>
      <c r="C479" s="18" t="str">
        <v>Oppong David Kofi</v>
      </c>
      <c r="D479" s="13" t="s">
        <v>131</v>
      </c>
      <c r="E479" s="15" t="n">
        <v>128</v>
      </c>
      <c r="F479" s="19"/>
      <c r="G479" s="17" t="n">
        <f aca="false">E479*1.1</f>
        <v>140.8</v>
      </c>
      <c r="I479" s="6" t="str">
        <f aca="false">CONCATENATE(A479,",",D479)</f>
        <v>ME 162,ED1-AE</v>
      </c>
      <c r="J479" s="12"/>
    </row>
    <row r="480" customFormat="false" ht="14.9" hidden="false" customHeight="false" outlineLevel="0" collapsed="false">
      <c r="A480" s="13" t="s">
        <v>392</v>
      </c>
      <c r="B480" s="18" t="str">
        <v>BASIC MECHANICS</v>
      </c>
      <c r="C480" s="14" t="str">
        <v>Oppong David Kofi</v>
      </c>
      <c r="D480" s="13" t="s">
        <v>80</v>
      </c>
      <c r="E480" s="15" t="n">
        <v>120</v>
      </c>
      <c r="F480" s="19"/>
      <c r="G480" s="17" t="n">
        <f aca="false">E480*1.1</f>
        <v>132</v>
      </c>
      <c r="H480" s="41"/>
      <c r="I480" s="6" t="str">
        <f aca="false">CONCATENATE(A480,",",D480)</f>
        <v>ME 162,ED1-CHE</v>
      </c>
      <c r="J480" s="12"/>
    </row>
    <row r="481" customFormat="false" ht="14.9" hidden="false" customHeight="false" outlineLevel="0" collapsed="false">
      <c r="A481" s="13" t="s">
        <v>268</v>
      </c>
      <c r="B481" s="18" t="str">
        <v>STATICS OF SOLID MECHANICS</v>
      </c>
      <c r="C481" s="14" t="str">
        <v>Oppong David Kofi</v>
      </c>
      <c r="D481" s="13" t="s">
        <v>162</v>
      </c>
      <c r="E481" s="15" t="n">
        <v>85</v>
      </c>
      <c r="F481" s="19"/>
      <c r="G481" s="17" t="n">
        <f aca="false">E481*1.1</f>
        <v>93.5</v>
      </c>
      <c r="H481" s="41"/>
      <c r="I481" s="6" t="str">
        <f aca="false">CONCATENATE(A481,",",D481)</f>
        <v>ME 164,ED1-AUTO</v>
      </c>
      <c r="J481" s="12"/>
    </row>
    <row r="482" customFormat="false" ht="14.9" hidden="false" customHeight="false" outlineLevel="0" collapsed="false">
      <c r="A482" s="13" t="s">
        <v>393</v>
      </c>
      <c r="B482" s="14" t="str">
        <v>NATURAL GAS ENGINEERING</v>
      </c>
      <c r="C482" s="14" t="str">
        <v>Ankudey Emmanuel Godwin</v>
      </c>
      <c r="D482" s="13" t="s">
        <v>63</v>
      </c>
      <c r="E482" s="15" t="n">
        <v>53</v>
      </c>
      <c r="F482" s="19"/>
      <c r="G482" s="17" t="n">
        <f aca="false">E482*1.1</f>
        <v>58.3</v>
      </c>
      <c r="H482" s="46"/>
      <c r="I482" s="6" t="str">
        <f aca="false">CONCATENATE(A482,",",D482)</f>
        <v>PETE 450,ED3-PCE</v>
      </c>
      <c r="J482" s="12"/>
    </row>
    <row r="483" customFormat="false" ht="14.9" hidden="false" customHeight="false" outlineLevel="0" collapsed="false">
      <c r="A483" s="13" t="s">
        <v>394</v>
      </c>
      <c r="B483" s="18" t="str">
        <v>FLUID DYNAMICS I</v>
      </c>
      <c r="C483" s="18" t="str">
        <v>Fiagbe Yesuenyeagbe Atsu Kwabla</v>
      </c>
      <c r="D483" s="13" t="s">
        <v>38</v>
      </c>
      <c r="E483" s="15" t="n">
        <v>80</v>
      </c>
      <c r="F483" s="19"/>
      <c r="G483" s="17" t="n">
        <f aca="false">E483*1.1</f>
        <v>88</v>
      </c>
      <c r="I483" s="6" t="str">
        <f aca="false">CONCATENATE(A483,",",D483)</f>
        <v>ME 252,ED2-IND</v>
      </c>
      <c r="J483" s="12"/>
    </row>
    <row r="484" customFormat="false" ht="14.9" hidden="false" customHeight="false" outlineLevel="0" collapsed="false">
      <c r="A484" s="13" t="s">
        <v>394</v>
      </c>
      <c r="B484" s="18" t="str">
        <v>FLUID DYNAMICS I</v>
      </c>
      <c r="C484" s="18" t="str">
        <v>Fiagbe Yesuenyeagbe Atsu Kwabla</v>
      </c>
      <c r="D484" s="13" t="s">
        <v>42</v>
      </c>
      <c r="E484" s="15" t="n">
        <v>37</v>
      </c>
      <c r="F484" s="19"/>
      <c r="G484" s="17" t="n">
        <f aca="false">E484*1.1</f>
        <v>40.7</v>
      </c>
      <c r="I484" s="6" t="str">
        <f aca="false">CONCATENATE(A484,",",D484)</f>
        <v>ME 252,ED2-MARI</v>
      </c>
      <c r="J484" s="12"/>
    </row>
    <row r="485" customFormat="false" ht="14.9" hidden="false" customHeight="false" outlineLevel="0" collapsed="false">
      <c r="A485" s="13" t="s">
        <v>394</v>
      </c>
      <c r="B485" s="18" t="str">
        <v>FLUID DYNAMICS I</v>
      </c>
      <c r="C485" s="18" t="str">
        <v>Fiagbe Yesuenyeagbe Atsu Kwabla</v>
      </c>
      <c r="D485" s="13" t="s">
        <v>33</v>
      </c>
      <c r="E485" s="15" t="n">
        <v>240</v>
      </c>
      <c r="F485" s="19"/>
      <c r="G485" s="17" t="n">
        <f aca="false">E485*1.1</f>
        <v>264</v>
      </c>
      <c r="I485" s="6" t="str">
        <f aca="false">CONCATENATE(A485,",",D485)</f>
        <v>ME 252,ED2-ME</v>
      </c>
      <c r="J485" s="12"/>
    </row>
    <row r="486" customFormat="false" ht="14.9" hidden="false" customHeight="false" outlineLevel="0" collapsed="false">
      <c r="A486" s="22"/>
      <c r="B486" s="22"/>
      <c r="D486" s="14" t="s">
        <v>395</v>
      </c>
      <c r="E486" s="22" t="n">
        <f aca="false">SUM(E476:E485)</f>
        <v>1192</v>
      </c>
      <c r="F486" s="23"/>
      <c r="G486" s="22"/>
      <c r="I486" s="9" t="s">
        <v>396</v>
      </c>
      <c r="J486" s="12"/>
    </row>
    <row r="487" customFormat="false" ht="13.8" hidden="false" customHeight="false" outlineLevel="0" collapsed="false">
      <c r="G487" s="1"/>
      <c r="J487" s="42"/>
    </row>
    <row r="488" customFormat="false" ht="15" hidden="false" customHeight="true" outlineLevel="0" collapsed="false">
      <c r="G488" s="1"/>
    </row>
    <row r="489" customFormat="false" ht="14.9" hidden="false" customHeight="false" outlineLevel="0" collapsed="false">
      <c r="A489" s="8" t="s">
        <v>387</v>
      </c>
      <c r="B489" s="8"/>
      <c r="C489" s="8"/>
      <c r="D489" s="8"/>
      <c r="E489" s="8"/>
      <c r="F489" s="8"/>
      <c r="G489" s="8"/>
      <c r="I489" s="9" t="s">
        <v>388</v>
      </c>
      <c r="J489" s="12"/>
    </row>
    <row r="490" customFormat="false" ht="14.9" hidden="false" customHeight="false" outlineLevel="0" collapsed="false">
      <c r="A490" s="8" t="s">
        <v>29</v>
      </c>
      <c r="B490" s="8"/>
      <c r="C490" s="8"/>
      <c r="D490" s="8"/>
      <c r="E490" s="8"/>
      <c r="F490" s="8"/>
      <c r="G490" s="8"/>
      <c r="I490" s="9" t="s">
        <v>30</v>
      </c>
      <c r="J490" s="12"/>
    </row>
    <row r="491" customFormat="false" ht="14.9" hidden="false" customHeight="false" outlineLevel="0" collapsed="false">
      <c r="A491" s="11" t="s">
        <v>4</v>
      </c>
      <c r="B491" s="11" t="s">
        <v>5</v>
      </c>
      <c r="C491" s="2" t="s">
        <v>6</v>
      </c>
      <c r="D491" s="11" t="s">
        <v>7</v>
      </c>
      <c r="E491" s="11" t="s">
        <v>8</v>
      </c>
      <c r="F491" s="2" t="s">
        <v>9</v>
      </c>
      <c r="G491" s="11" t="s">
        <v>10</v>
      </c>
      <c r="I491" s="9" t="s">
        <v>31</v>
      </c>
      <c r="J491" s="12"/>
    </row>
    <row r="492" customFormat="false" ht="14.9" hidden="false" customHeight="false" outlineLevel="0" collapsed="false">
      <c r="A492" s="13" t="s">
        <v>397</v>
      </c>
      <c r="B492" s="14" t="str">
        <f aca="false" t="array" ref="B492:B501">IFERROR(VLOOKUP(I492:I501,Lectures_1!A2:F534,2,FALSE()),0)</f>
        <v>CHEMICAL ENGINEERING THERMODYNAMICS II</v>
      </c>
      <c r="C492" s="14" t="str">
        <f aca="false" t="array" ref="C492:C501">IFERROR(VLOOKUP(I492:I501,Lectures_1!A2:F534,3,FALSE()),0)</f>
        <v>Eunice Sefakor Aku Dogbe</v>
      </c>
      <c r="D492" s="13" t="s">
        <v>14</v>
      </c>
      <c r="E492" s="15" t="n">
        <f aca="false" t="array" ref="E492:E501">IFERROR(VLOOKUP(I492:I501,Lectures_1!A2:F534,4,FALSE()),0)</f>
        <v>65</v>
      </c>
      <c r="F492" s="19"/>
      <c r="G492" s="17" t="n">
        <f aca="false">E492*1.1</f>
        <v>71.5</v>
      </c>
      <c r="H492" s="46"/>
      <c r="I492" s="6" t="str">
        <f aca="false">CONCATENATE(A492,",",D492)</f>
        <v>CHE 254,ED2-PCE</v>
      </c>
      <c r="J492" s="12"/>
    </row>
    <row r="493" customFormat="false" ht="14.9" hidden="false" customHeight="false" outlineLevel="0" collapsed="false">
      <c r="A493" s="13" t="s">
        <v>398</v>
      </c>
      <c r="B493" s="18" t="str">
        <v>PETROLEUM ENGINEERING THERMODYNAMICS II</v>
      </c>
      <c r="C493" s="18" t="str">
        <v>Sokama-Neuyam Yen Adams</v>
      </c>
      <c r="D493" s="13" t="s">
        <v>93</v>
      </c>
      <c r="E493" s="15" t="n">
        <v>95</v>
      </c>
      <c r="F493" s="13"/>
      <c r="G493" s="17" t="n">
        <f aca="false">E493*1.1</f>
        <v>104.5</v>
      </c>
      <c r="I493" s="6" t="str">
        <f aca="false">CONCATENATE(A493,",",D493)</f>
        <v>PE 258,ED2-PE</v>
      </c>
      <c r="J493" s="12"/>
    </row>
    <row r="494" customFormat="false" ht="14.9" hidden="false" customHeight="false" outlineLevel="0" collapsed="false">
      <c r="A494" s="13" t="s">
        <v>399</v>
      </c>
      <c r="B494" s="14" t="str">
        <v>ROCK ENGINEERING</v>
      </c>
      <c r="C494" s="18" t="str">
        <v>Gidigasu Solomon Senyo Robert</v>
      </c>
      <c r="D494" s="13" t="s">
        <v>55</v>
      </c>
      <c r="E494" s="15" t="n">
        <v>150</v>
      </c>
      <c r="F494" s="49"/>
      <c r="G494" s="17" t="n">
        <f aca="false">E494*1.1</f>
        <v>165</v>
      </c>
      <c r="H494" s="50"/>
      <c r="I494" s="6" t="str">
        <f aca="false">CONCATENATE(A494,",",D494)</f>
        <v>GED 254,ED2-GEOL</v>
      </c>
      <c r="J494" s="12"/>
    </row>
    <row r="495" customFormat="false" ht="14.9" hidden="false" customHeight="false" outlineLevel="0" collapsed="false">
      <c r="A495" s="13" t="s">
        <v>392</v>
      </c>
      <c r="B495" s="14" t="str">
        <v>BASIC MECHANICS</v>
      </c>
      <c r="C495" s="14" t="str">
        <v>Quansah David Ato</v>
      </c>
      <c r="D495" s="13" t="s">
        <v>82</v>
      </c>
      <c r="E495" s="15" t="n">
        <v>130</v>
      </c>
      <c r="F495" s="19"/>
      <c r="G495" s="17" t="n">
        <f aca="false">E495*1.1</f>
        <v>143</v>
      </c>
      <c r="I495" s="6" t="str">
        <f aca="false">CONCATENATE(A495,",",D495)</f>
        <v>ME 162,ED1-PE</v>
      </c>
      <c r="J495" s="12"/>
    </row>
    <row r="496" customFormat="false" ht="14.9" hidden="false" customHeight="false" outlineLevel="0" collapsed="false">
      <c r="A496" s="13" t="s">
        <v>392</v>
      </c>
      <c r="B496" s="14" t="str">
        <v>BASIC MECHANICS</v>
      </c>
      <c r="C496" s="14" t="str">
        <v>Quansah David Ato</v>
      </c>
      <c r="D496" s="13" t="s">
        <v>115</v>
      </c>
      <c r="E496" s="15" t="n">
        <v>100</v>
      </c>
      <c r="F496" s="19"/>
      <c r="G496" s="17" t="n">
        <f aca="false">E496*1.1</f>
        <v>110</v>
      </c>
      <c r="I496" s="6" t="str">
        <f aca="false">CONCATENATE(A496,",",D496)</f>
        <v>ME 162,ED1-MSE</v>
      </c>
      <c r="J496" s="12"/>
    </row>
    <row r="497" customFormat="false" ht="14.9" hidden="false" customHeight="false" outlineLevel="0" collapsed="false">
      <c r="A497" s="13" t="s">
        <v>400</v>
      </c>
      <c r="B497" s="18" t="str">
        <v>STEEL AND TIMBER DESIGN</v>
      </c>
      <c r="C497" s="18" t="str">
        <v>Mark Adom-Asamoah</v>
      </c>
      <c r="D497" s="13" t="s">
        <v>157</v>
      </c>
      <c r="E497" s="15" t="n">
        <v>230</v>
      </c>
      <c r="F497" s="39"/>
      <c r="G497" s="17" t="n">
        <f aca="false">E497*1.1</f>
        <v>253</v>
      </c>
      <c r="H497" s="3"/>
      <c r="I497" s="6" t="str">
        <f aca="false">CONCATENATE(A497,",",D497)</f>
        <v>CE 352,ED3-CE</v>
      </c>
      <c r="J497" s="12"/>
    </row>
    <row r="498" customFormat="false" ht="14.9" hidden="false" customHeight="false" outlineLevel="0" collapsed="false">
      <c r="A498" s="13" t="s">
        <v>401</v>
      </c>
      <c r="B498" s="14" t="str">
        <v>MILLIMETERWAVE TECHNOLOGY</v>
      </c>
      <c r="C498" s="14" t="str">
        <v>Abdul-Rahman Ahmed</v>
      </c>
      <c r="D498" s="13" t="s">
        <v>227</v>
      </c>
      <c r="E498" s="15" t="n">
        <v>33</v>
      </c>
      <c r="F498" s="19"/>
      <c r="G498" s="17" t="n">
        <f aca="false">E498*1.1</f>
        <v>36.3</v>
      </c>
      <c r="I498" s="6" t="str">
        <f aca="false">CONCATENATE(A498,",",D498)</f>
        <v>TE 468,ED4-TEL</v>
      </c>
      <c r="J498" s="12"/>
    </row>
    <row r="499" customFormat="false" ht="14.9" hidden="false" customHeight="false" outlineLevel="0" collapsed="false">
      <c r="A499" s="13" t="s">
        <v>402</v>
      </c>
      <c r="B499" s="14" t="str">
        <v>QUALITY ASSURANCE</v>
      </c>
      <c r="C499" s="14" t="str">
        <v>Sackey Samuel Mensah</v>
      </c>
      <c r="D499" s="13" t="s">
        <v>121</v>
      </c>
      <c r="E499" s="15" t="n">
        <v>70</v>
      </c>
      <c r="F499" s="19"/>
      <c r="G499" s="17" t="n">
        <f aca="false">E499*1.1</f>
        <v>77</v>
      </c>
      <c r="I499" s="6" t="str">
        <f aca="false">CONCATENATE(A499,",",D499)</f>
        <v>IE 360,ED3-IND</v>
      </c>
      <c r="J499" s="12"/>
    </row>
    <row r="500" customFormat="false" ht="14.9" hidden="false" customHeight="false" outlineLevel="0" collapsed="false">
      <c r="A500" s="13" t="s">
        <v>403</v>
      </c>
      <c r="B500" s="14" t="str">
        <v>METALLURGICAL RATE PROCESSES/SURFACE PHENOMENA</v>
      </c>
      <c r="C500" s="14" t="str">
        <v>Patrick Aggrey</v>
      </c>
      <c r="D500" s="13" t="s">
        <v>101</v>
      </c>
      <c r="E500" s="15" t="n">
        <v>57</v>
      </c>
      <c r="F500" s="19"/>
      <c r="G500" s="17" t="n">
        <f aca="false">E500*1.1</f>
        <v>62.7</v>
      </c>
      <c r="I500" s="6" t="str">
        <f aca="false">CONCATENATE(A500,",",D500)</f>
        <v>METE 252,ED2-METE</v>
      </c>
      <c r="J500" s="12"/>
    </row>
    <row r="501" customFormat="false" ht="14.9" hidden="false" customHeight="false" outlineLevel="0" collapsed="false">
      <c r="A501" s="13" t="s">
        <v>404</v>
      </c>
      <c r="B501" s="14" t="str">
        <v>CONSTRUCTION MANAGEMENT</v>
      </c>
      <c r="C501" s="14" t="str">
        <v>Obeng Daniel Atuah</v>
      </c>
      <c r="D501" s="13" t="s">
        <v>103</v>
      </c>
      <c r="E501" s="15" t="n">
        <v>240</v>
      </c>
      <c r="F501" s="39"/>
      <c r="G501" s="17" t="n">
        <f aca="false">E501*1.1</f>
        <v>264</v>
      </c>
      <c r="I501" s="6" t="str">
        <f aca="false">CONCATENATE(A501,",",D501)</f>
        <v>CE 462,ED4-CE</v>
      </c>
      <c r="J501" s="12"/>
    </row>
    <row r="502" customFormat="false" ht="13.8" hidden="false" customHeight="false" outlineLevel="0" collapsed="false">
      <c r="A502" s="22"/>
      <c r="B502" s="22"/>
      <c r="D502" s="14" t="s">
        <v>405</v>
      </c>
      <c r="E502" s="22" t="n">
        <f aca="false">SUM(E492:E501)</f>
        <v>1170</v>
      </c>
      <c r="F502" s="23"/>
      <c r="G502" s="22"/>
      <c r="I502" s="9"/>
      <c r="J502" s="12"/>
    </row>
    <row r="503" customFormat="false" ht="14.9" hidden="false" customHeight="false" outlineLevel="0" collapsed="false">
      <c r="A503" s="8" t="s">
        <v>387</v>
      </c>
      <c r="B503" s="8"/>
      <c r="C503" s="8"/>
      <c r="D503" s="8"/>
      <c r="E503" s="8"/>
      <c r="F503" s="8"/>
      <c r="G503" s="8"/>
      <c r="I503" s="9" t="s">
        <v>388</v>
      </c>
      <c r="J503" s="12"/>
    </row>
    <row r="504" customFormat="false" ht="14.9" hidden="false" customHeight="false" outlineLevel="0" collapsed="false">
      <c r="A504" s="8" t="s">
        <v>59</v>
      </c>
      <c r="B504" s="8"/>
      <c r="C504" s="8"/>
      <c r="D504" s="8"/>
      <c r="E504" s="8"/>
      <c r="F504" s="8"/>
      <c r="G504" s="8"/>
      <c r="I504" s="9" t="s">
        <v>128</v>
      </c>
      <c r="J504" s="12"/>
    </row>
    <row r="505" customFormat="false" ht="16.5" hidden="false" customHeight="true" outlineLevel="0" collapsed="false">
      <c r="A505" s="11" t="s">
        <v>4</v>
      </c>
      <c r="B505" s="11" t="s">
        <v>5</v>
      </c>
      <c r="C505" s="2" t="s">
        <v>6</v>
      </c>
      <c r="D505" s="11" t="s">
        <v>7</v>
      </c>
      <c r="E505" s="11" t="s">
        <v>8</v>
      </c>
      <c r="F505" s="2" t="s">
        <v>9</v>
      </c>
      <c r="G505" s="11" t="s">
        <v>10</v>
      </c>
      <c r="I505" s="9" t="s">
        <v>31</v>
      </c>
      <c r="J505" s="12"/>
    </row>
    <row r="506" customFormat="false" ht="14.9" hidden="false" customHeight="false" outlineLevel="0" collapsed="false">
      <c r="A506" s="13" t="s">
        <v>397</v>
      </c>
      <c r="B506" s="14" t="str">
        <f aca="false" t="array" ref="B506:B524">IFERROR(VLOOKUP(I506:I524,Lectures_1!A2:F534,2,FALSE()),0)</f>
        <v>CHEMICAL ENGINEERING THERMODYNAMICS II</v>
      </c>
      <c r="C506" s="14" t="str">
        <f aca="false" t="array" ref="C506:C524">IFERROR(VLOOKUP(I506:I524,Lectures_1!A2:F534,3,FALSE()),0)</f>
        <v>Bonsu Jude Kwaku</v>
      </c>
      <c r="D506" s="13" t="s">
        <v>13</v>
      </c>
      <c r="E506" s="15" t="n">
        <f aca="false" t="array" ref="E506:E524">IFERROR(VLOOKUP(I506:I524,Lectures_1!A2:F534,4,FALSE()),0)</f>
        <v>160</v>
      </c>
      <c r="F506" s="20" t="s">
        <v>34</v>
      </c>
      <c r="G506" s="17" t="n">
        <f aca="false">E506*1.1</f>
        <v>176</v>
      </c>
      <c r="I506" s="6" t="str">
        <f aca="false">CONCATENATE(A506,",",D506)</f>
        <v>CHE 254,ED2-CHE</v>
      </c>
      <c r="J506" s="12"/>
    </row>
    <row r="507" customFormat="false" ht="14.9" hidden="false" customHeight="false" outlineLevel="0" collapsed="false">
      <c r="A507" s="13" t="s">
        <v>406</v>
      </c>
      <c r="B507" s="18" t="str">
        <v>INTRODUCTORY ECONOMICS II</v>
      </c>
      <c r="C507" s="18" t="str">
        <v>Takyi Paul Owusu</v>
      </c>
      <c r="D507" s="13" t="s">
        <v>25</v>
      </c>
      <c r="E507" s="15" t="n">
        <v>150</v>
      </c>
      <c r="F507" s="19"/>
      <c r="G507" s="17" t="n">
        <f aca="false">E507*1.1</f>
        <v>165</v>
      </c>
      <c r="H507" s="3"/>
      <c r="I507" s="6" t="str">
        <f aca="false">CONCATENATE(A507,",",D507)</f>
        <v>ECON 152,ED2-EE</v>
      </c>
      <c r="J507" s="12"/>
    </row>
    <row r="508" customFormat="false" ht="14.9" hidden="false" customHeight="false" outlineLevel="0" collapsed="false">
      <c r="A508" s="13" t="s">
        <v>406</v>
      </c>
      <c r="B508" s="18" t="str">
        <v>ELEMENTS OF ECONOMICS II</v>
      </c>
      <c r="C508" s="18" t="str">
        <v>Edward Yeboah</v>
      </c>
      <c r="D508" s="13" t="s">
        <v>77</v>
      </c>
      <c r="E508" s="15" t="n">
        <v>15</v>
      </c>
      <c r="F508" s="19"/>
      <c r="G508" s="17" t="n">
        <f aca="false">E508*1.1</f>
        <v>16.5</v>
      </c>
      <c r="H508" s="3"/>
      <c r="I508" s="6" t="str">
        <f aca="false">CONCATENATE(A508,",",D508)</f>
        <v>ECON 152,ED3-GEOM</v>
      </c>
      <c r="J508" s="12"/>
    </row>
    <row r="509" customFormat="false" ht="14.9" hidden="false" customHeight="false" outlineLevel="0" collapsed="false">
      <c r="A509" s="13" t="s">
        <v>406</v>
      </c>
      <c r="B509" s="18" t="str">
        <v>INTRODUCTION TO ECONOMICS II</v>
      </c>
      <c r="C509" s="18" t="str">
        <v>Takyi Paul Owusu</v>
      </c>
      <c r="D509" s="13" t="s">
        <v>75</v>
      </c>
      <c r="E509" s="15" t="n">
        <v>32</v>
      </c>
      <c r="F509" s="19"/>
      <c r="G509" s="17" t="n">
        <f aca="false">E509*1.1</f>
        <v>35.2</v>
      </c>
      <c r="H509" s="3"/>
      <c r="I509" s="6" t="str">
        <f aca="false">CONCATENATE(A509,",",D509)</f>
        <v>ECON 152,ED1-CE</v>
      </c>
      <c r="J509" s="12"/>
    </row>
    <row r="510" customFormat="false" ht="14.9" hidden="false" customHeight="false" outlineLevel="0" collapsed="false">
      <c r="A510" s="13" t="s">
        <v>406</v>
      </c>
      <c r="B510" s="18" t="str">
        <v>INTRODUCTORY ECONOMICS II</v>
      </c>
      <c r="C510" s="18" t="str">
        <v>Beatrice Sarpong-Danquah</v>
      </c>
      <c r="D510" s="13" t="s">
        <v>126</v>
      </c>
      <c r="E510" s="15" t="n">
        <v>30</v>
      </c>
      <c r="F510" s="5"/>
      <c r="G510" s="17" t="n">
        <f aca="false">E510*1.1</f>
        <v>33</v>
      </c>
      <c r="H510" s="3"/>
      <c r="I510" s="6" t="str">
        <f aca="false">CONCATENATE(A510,",",D510)</f>
        <v>ECON 152,ED1-GEOL</v>
      </c>
      <c r="J510" s="12"/>
    </row>
    <row r="511" customFormat="false" ht="14.9" hidden="false" customHeight="false" outlineLevel="0" collapsed="false">
      <c r="A511" s="13" t="s">
        <v>406</v>
      </c>
      <c r="B511" s="18" t="str">
        <v>ELEMENTS OF ECONOMICS II</v>
      </c>
      <c r="C511" s="18" t="str">
        <v>Paul Owusu Takyi</v>
      </c>
      <c r="D511" s="13" t="s">
        <v>109</v>
      </c>
      <c r="E511" s="15" t="n">
        <v>20</v>
      </c>
      <c r="F511" s="5"/>
      <c r="G511" s="17" t="n">
        <f aca="false">E511*1.1</f>
        <v>22</v>
      </c>
      <c r="H511" s="3"/>
      <c r="I511" s="6" t="str">
        <f aca="false">CONCATENATE(A511,",",D511)</f>
        <v>ECON 152,ED2-BME</v>
      </c>
      <c r="J511" s="12"/>
    </row>
    <row r="512" customFormat="false" ht="14.9" hidden="false" customHeight="false" outlineLevel="0" collapsed="false">
      <c r="A512" s="13" t="s">
        <v>406</v>
      </c>
      <c r="B512" s="18" t="str">
        <v>INTRODUCTION TO ECONOMICS II</v>
      </c>
      <c r="C512" s="18" t="str">
        <v>Takyi Paul Owusu</v>
      </c>
      <c r="D512" s="13" t="s">
        <v>108</v>
      </c>
      <c r="E512" s="15" t="n">
        <v>40</v>
      </c>
      <c r="F512" s="5"/>
      <c r="G512" s="17" t="n">
        <f aca="false">E512*1.1</f>
        <v>44</v>
      </c>
      <c r="H512" s="3"/>
      <c r="I512" s="6" t="str">
        <f aca="false">CONCATENATE(A512,",",D512)</f>
        <v>ECON 152,ED2-COE</v>
      </c>
      <c r="J512" s="12"/>
    </row>
    <row r="513" customFormat="false" ht="14.9" hidden="false" customHeight="false" outlineLevel="0" collapsed="false">
      <c r="A513" s="13" t="s">
        <v>406</v>
      </c>
      <c r="B513" s="18" t="str">
        <v>INTRODUCTORY ECONOMICS II</v>
      </c>
      <c r="C513" s="18" t="str">
        <v>Takyi Paul Owusu</v>
      </c>
      <c r="D513" s="13" t="s">
        <v>172</v>
      </c>
      <c r="E513" s="15" t="n">
        <v>30</v>
      </c>
      <c r="F513" s="19"/>
      <c r="G513" s="17" t="n">
        <f aca="false">E513*1.1</f>
        <v>33</v>
      </c>
      <c r="H513" s="3"/>
      <c r="I513" s="6" t="str">
        <f aca="false">CONCATENATE(A513,",",D513)</f>
        <v>ECON 152,ED2-TEL</v>
      </c>
      <c r="J513" s="12"/>
    </row>
    <row r="514" customFormat="false" ht="14.9" hidden="false" customHeight="false" outlineLevel="0" collapsed="false">
      <c r="A514" s="13" t="s">
        <v>406</v>
      </c>
      <c r="B514" s="18" t="str">
        <v>INTRODUCTORY ECONOMICS II</v>
      </c>
      <c r="C514" s="18" t="str">
        <v>Takyi Paul Owusu</v>
      </c>
      <c r="D514" s="13" t="s">
        <v>73</v>
      </c>
      <c r="E514" s="15" t="n">
        <v>80</v>
      </c>
      <c r="F514" s="39"/>
      <c r="G514" s="17" t="n">
        <f aca="false">E514*1.1</f>
        <v>88</v>
      </c>
      <c r="H514" s="3"/>
      <c r="I514" s="6" t="str">
        <f aca="false">CONCATENATE(A514,",",D514)</f>
        <v>ECON 152,ED3-CHE</v>
      </c>
      <c r="J514" s="12"/>
    </row>
    <row r="515" customFormat="false" ht="14.9" hidden="false" customHeight="false" outlineLevel="0" collapsed="false">
      <c r="A515" s="13" t="s">
        <v>407</v>
      </c>
      <c r="B515" s="18" t="str">
        <v>INTERNAL COMBUSTION ENGINES</v>
      </c>
      <c r="C515" s="18" t="str">
        <v>Forson Francis Kofi</v>
      </c>
      <c r="D515" s="13" t="s">
        <v>99</v>
      </c>
      <c r="E515" s="15" t="n">
        <v>5</v>
      </c>
      <c r="F515" s="19"/>
      <c r="G515" s="17" t="n">
        <f aca="false">E515*1.1</f>
        <v>5.5</v>
      </c>
      <c r="H515" s="3"/>
      <c r="I515" s="6" t="str">
        <f aca="false">CONCATENATE(A515,",",D515)</f>
        <v>ME 468,ED4-AERO</v>
      </c>
      <c r="J515" s="12"/>
    </row>
    <row r="516" customFormat="false" ht="14.9" hidden="false" customHeight="false" outlineLevel="0" collapsed="false">
      <c r="A516" s="13" t="s">
        <v>407</v>
      </c>
      <c r="B516" s="18" t="str">
        <v>INTERNAL COMBUSTION ENGINES</v>
      </c>
      <c r="C516" s="18" t="str">
        <v>Forson Francis Kofi</v>
      </c>
      <c r="D516" s="13" t="s">
        <v>67</v>
      </c>
      <c r="E516" s="15" t="n">
        <v>40</v>
      </c>
      <c r="F516" s="19"/>
      <c r="G516" s="17" t="n">
        <f aca="false">E516*1.1</f>
        <v>44</v>
      </c>
      <c r="H516" s="3"/>
      <c r="I516" s="6" t="str">
        <f aca="false">CONCATENATE(A516,",",D516)</f>
        <v>ME 468,ED4-ME</v>
      </c>
      <c r="J516" s="12"/>
    </row>
    <row r="517" customFormat="false" ht="14.9" hidden="false" customHeight="false" outlineLevel="0" collapsed="false">
      <c r="A517" s="13" t="s">
        <v>408</v>
      </c>
      <c r="B517" s="14" t="str">
        <v>DRILLING ENGINEERING II</v>
      </c>
      <c r="C517" s="18" t="str">
        <v>Erzuah Samuel</v>
      </c>
      <c r="D517" s="13" t="s">
        <v>18</v>
      </c>
      <c r="E517" s="15" t="n">
        <v>80</v>
      </c>
      <c r="F517" s="13"/>
      <c r="G517" s="17" t="n">
        <f aca="false">E517*1.1</f>
        <v>88</v>
      </c>
      <c r="H517" s="3"/>
      <c r="I517" s="6" t="str">
        <f aca="false">CONCATENATE(A517,",",D517)</f>
        <v>PE 354,ED3-PE</v>
      </c>
      <c r="J517" s="12"/>
    </row>
    <row r="518" customFormat="false" ht="14.9" hidden="false" customHeight="false" outlineLevel="0" collapsed="false">
      <c r="A518" s="13" t="s">
        <v>409</v>
      </c>
      <c r="B518" s="18" t="str">
        <v>PIPELINE ENGINEERING</v>
      </c>
      <c r="C518" s="18" t="str">
        <v>Adjei Stephen</v>
      </c>
      <c r="D518" s="13" t="s">
        <v>46</v>
      </c>
      <c r="E518" s="15" t="n">
        <v>99</v>
      </c>
      <c r="F518" s="19" t="s">
        <v>21</v>
      </c>
      <c r="G518" s="17" t="n">
        <f aca="false">E518*1.1</f>
        <v>108.9</v>
      </c>
      <c r="H518" s="3"/>
      <c r="I518" s="6" t="str">
        <f aca="false">CONCATENATE(A518,",",D518)</f>
        <v>PE 474,ED4-PE</v>
      </c>
      <c r="J518" s="12"/>
    </row>
    <row r="519" customFormat="false" ht="14.9" hidden="false" customHeight="false" outlineLevel="0" collapsed="false">
      <c r="A519" s="13" t="s">
        <v>410</v>
      </c>
      <c r="B519" s="14" t="str">
        <v>PETROLEUM GEOLOGY</v>
      </c>
      <c r="C519" s="14" t="str">
        <v>Foli Gordon</v>
      </c>
      <c r="D519" s="38" t="s">
        <v>177</v>
      </c>
      <c r="E519" s="15" t="n">
        <v>35</v>
      </c>
      <c r="F519" s="19"/>
      <c r="G519" s="17" t="n">
        <f aca="false">E519*1.1</f>
        <v>38.5</v>
      </c>
      <c r="I519" s="6" t="str">
        <f aca="false">CONCATENATE(A519,",",D519)</f>
        <v>GED 466,ED4-GEOL</v>
      </c>
      <c r="J519" s="12"/>
    </row>
    <row r="520" customFormat="false" ht="14.9" hidden="false" customHeight="false" outlineLevel="0" collapsed="false">
      <c r="A520" s="13" t="s">
        <v>411</v>
      </c>
      <c r="B520" s="18" t="str">
        <v>BIOMECHANICS II</v>
      </c>
      <c r="C520" s="14" t="str">
        <v>Odame Prince</v>
      </c>
      <c r="D520" s="13" t="s">
        <v>252</v>
      </c>
      <c r="E520" s="15" t="n">
        <v>87</v>
      </c>
      <c r="F520" s="19"/>
      <c r="G520" s="17" t="n">
        <f aca="false">E520*1.1</f>
        <v>95.7</v>
      </c>
      <c r="H520" s="3"/>
      <c r="I520" s="6" t="str">
        <f aca="false">CONCATENATE(A520,",",D520)</f>
        <v>BME 462,ED4-BME</v>
      </c>
      <c r="J520" s="12"/>
    </row>
    <row r="521" customFormat="false" ht="14.9" hidden="false" customHeight="false" outlineLevel="0" collapsed="false">
      <c r="A521" s="13" t="s">
        <v>412</v>
      </c>
      <c r="B521" s="14" t="str">
        <v>DIGITAL COMPUTER DESIGN</v>
      </c>
      <c r="C521" s="14" t="str">
        <v>Boateng Kwame Osei</v>
      </c>
      <c r="D521" s="13" t="s">
        <v>71</v>
      </c>
      <c r="E521" s="15" t="n">
        <v>29</v>
      </c>
      <c r="F521" s="19"/>
      <c r="G521" s="17" t="n">
        <f aca="false">E521*1.1</f>
        <v>31.9</v>
      </c>
      <c r="H521" s="3"/>
      <c r="I521" s="6" t="str">
        <f aca="false">CONCATENATE(A521,",",D521)</f>
        <v>COE 382,ED3-EE</v>
      </c>
      <c r="J521" s="12"/>
    </row>
    <row r="522" customFormat="false" ht="14.9" hidden="false" customHeight="false" outlineLevel="0" collapsed="false">
      <c r="A522" s="13" t="s">
        <v>413</v>
      </c>
      <c r="B522" s="14" t="str">
        <v>DIGITAL SYSTEMS DESIGN II</v>
      </c>
      <c r="C522" s="14" t="str">
        <v>Boateng Kwame Osei</v>
      </c>
      <c r="D522" s="13" t="s">
        <v>16</v>
      </c>
      <c r="E522" s="15" t="n">
        <v>265</v>
      </c>
      <c r="F522" s="19"/>
      <c r="G522" s="17" t="n">
        <f aca="false">E522*1.1</f>
        <v>291.5</v>
      </c>
      <c r="H522" s="3"/>
      <c r="I522" s="6" t="str">
        <f aca="false">CONCATENATE(A522,",",D522)</f>
        <v>COE 372,ED3-COE</v>
      </c>
      <c r="J522" s="12"/>
    </row>
    <row r="523" customFormat="false" ht="14.9" hidden="false" customHeight="false" outlineLevel="0" collapsed="false">
      <c r="A523" s="13" t="s">
        <v>414</v>
      </c>
      <c r="B523" s="14" t="str">
        <v>GLASS AND CEMENT TECHNOLOGIES</v>
      </c>
      <c r="C523" s="18" t="str">
        <v>Andrews Anthony</v>
      </c>
      <c r="D523" s="13" t="s">
        <v>140</v>
      </c>
      <c r="E523" s="15" t="n">
        <v>85</v>
      </c>
      <c r="F523" s="5"/>
      <c r="G523" s="17" t="n">
        <f aca="false">E523*1.1</f>
        <v>93.5</v>
      </c>
      <c r="H523" s="3"/>
      <c r="I523" s="6" t="str">
        <f aca="false">CONCATENATE(A523,",",D523)</f>
        <v>MSE 352,ED3-MSE</v>
      </c>
      <c r="J523" s="12"/>
    </row>
    <row r="524" customFormat="false" ht="14.9" hidden="false" customHeight="false" outlineLevel="0" collapsed="false">
      <c r="A524" s="13" t="s">
        <v>415</v>
      </c>
      <c r="B524" s="18" t="str">
        <v>PHARMACEUTICAL TECHNOLOGY</v>
      </c>
      <c r="C524" s="18" t="str">
        <v>Johnson Raphael</v>
      </c>
      <c r="D524" s="13" t="s">
        <v>48</v>
      </c>
      <c r="E524" s="15" t="n">
        <v>71</v>
      </c>
      <c r="F524" s="19"/>
      <c r="G524" s="17" t="n">
        <f aca="false">E524*1.1</f>
        <v>78.1</v>
      </c>
      <c r="H524" s="3"/>
      <c r="I524" s="6" t="str">
        <f aca="false">CONCATENATE(A524,",",D524)</f>
        <v>CHE 470,ED4-CHE</v>
      </c>
      <c r="J524" s="12"/>
    </row>
    <row r="525" customFormat="false" ht="14.9" hidden="false" customHeight="false" outlineLevel="0" collapsed="false">
      <c r="A525" s="22"/>
      <c r="B525" s="22"/>
      <c r="D525" s="14" t="s">
        <v>416</v>
      </c>
      <c r="E525" s="22" t="n">
        <f aca="false">SUM(E507:E524)</f>
        <v>1193</v>
      </c>
      <c r="F525" s="23"/>
      <c r="G525" s="22"/>
      <c r="I525" s="9" t="s">
        <v>417</v>
      </c>
      <c r="J525" s="12"/>
    </row>
    <row r="526" customFormat="false" ht="14.9" hidden="false" customHeight="false" outlineLevel="0" collapsed="false">
      <c r="A526" s="8" t="s">
        <v>418</v>
      </c>
      <c r="B526" s="8"/>
      <c r="C526" s="8"/>
      <c r="D526" s="8"/>
      <c r="E526" s="8"/>
      <c r="F526" s="8"/>
      <c r="G526" s="8"/>
      <c r="I526" s="9" t="s">
        <v>419</v>
      </c>
      <c r="J526" s="12"/>
    </row>
    <row r="527" customFormat="false" ht="14.9" hidden="false" customHeight="false" outlineLevel="0" collapsed="false">
      <c r="A527" s="8" t="s">
        <v>2</v>
      </c>
      <c r="B527" s="8"/>
      <c r="C527" s="8"/>
      <c r="D527" s="8"/>
      <c r="E527" s="8"/>
      <c r="F527" s="8"/>
      <c r="G527" s="8"/>
      <c r="I527" s="9" t="s">
        <v>149</v>
      </c>
      <c r="J527" s="12"/>
    </row>
    <row r="528" customFormat="false" ht="14.9" hidden="false" customHeight="false" outlineLevel="0" collapsed="false">
      <c r="A528" s="11" t="s">
        <v>4</v>
      </c>
      <c r="B528" s="11" t="s">
        <v>5</v>
      </c>
      <c r="C528" s="2" t="s">
        <v>6</v>
      </c>
      <c r="D528" s="11" t="s">
        <v>7</v>
      </c>
      <c r="E528" s="11" t="s">
        <v>8</v>
      </c>
      <c r="F528" s="2" t="s">
        <v>9</v>
      </c>
      <c r="G528" s="11" t="s">
        <v>10</v>
      </c>
      <c r="I528" s="9" t="s">
        <v>31</v>
      </c>
      <c r="J528" s="12"/>
    </row>
    <row r="529" customFormat="false" ht="14.9" hidden="false" customHeight="false" outlineLevel="0" collapsed="false">
      <c r="A529" s="13" t="s">
        <v>420</v>
      </c>
      <c r="B529" s="18" t="str">
        <f aca="false" t="array" ref="B529:B540">IFERROR(VLOOKUP(I529:I540,Lectures_1!A2:F534,2,FALSE()),0)</f>
        <v>THERMODYNAMICS I</v>
      </c>
      <c r="C529" s="14" t="str">
        <f aca="false" t="array" ref="C529:C540">IFERROR(VLOOKUP(I529:I540,Lectures_1!A2:F534,3,FALSE()),0)</f>
        <v>Amoabeng Kofi Owura</v>
      </c>
      <c r="D529" s="13" t="s">
        <v>38</v>
      </c>
      <c r="E529" s="15" t="n">
        <f aca="false" t="array" ref="E529:E540">IFERROR(VLOOKUP(I529:I540,Lectures_1!A2:F534,4,FALSE()),0)</f>
        <v>80</v>
      </c>
      <c r="F529" s="19"/>
      <c r="G529" s="17" t="n">
        <f aca="false">E529*1.1</f>
        <v>88</v>
      </c>
      <c r="H529" s="3"/>
      <c r="I529" s="6" t="str">
        <f aca="false">CONCATENATE(A529,",",D529)</f>
        <v>ME 266,ED2-IND</v>
      </c>
      <c r="J529" s="12"/>
    </row>
    <row r="530" customFormat="false" ht="14.9" hidden="false" customHeight="false" outlineLevel="0" collapsed="false">
      <c r="A530" s="13" t="s">
        <v>420</v>
      </c>
      <c r="B530" s="18" t="str">
        <v>THERMODYNAMICS I</v>
      </c>
      <c r="C530" s="14" t="str">
        <v>Amoabeng Kofi Owura</v>
      </c>
      <c r="D530" s="13" t="s">
        <v>33</v>
      </c>
      <c r="E530" s="15" t="n">
        <v>240</v>
      </c>
      <c r="F530" s="19"/>
      <c r="G530" s="17" t="n">
        <f aca="false">E530*1.1</f>
        <v>264</v>
      </c>
      <c r="H530" s="3"/>
      <c r="I530" s="6" t="str">
        <f aca="false">CONCATENATE(A530,",",D530)</f>
        <v>ME 266,ED2-ME</v>
      </c>
      <c r="J530" s="12"/>
    </row>
    <row r="531" customFormat="false" ht="14.9" hidden="false" customHeight="false" outlineLevel="0" collapsed="false">
      <c r="A531" s="13" t="s">
        <v>421</v>
      </c>
      <c r="B531" s="14" t="str">
        <v>APPLIED THERMODYNAMICS </v>
      </c>
      <c r="C531" s="18" t="str">
        <v>Amoabeng Kofi Owura</v>
      </c>
      <c r="D531" s="19" t="s">
        <v>130</v>
      </c>
      <c r="E531" s="15" t="n">
        <v>136</v>
      </c>
      <c r="F531" s="30"/>
      <c r="G531" s="17" t="n">
        <f aca="false">E531*1.1</f>
        <v>149.6</v>
      </c>
      <c r="H531" s="30"/>
      <c r="I531" s="6" t="str">
        <f aca="false">CONCATENATE(A531,",",D531)</f>
        <v>ME 166,ED1-BME</v>
      </c>
      <c r="J531" s="12"/>
    </row>
    <row r="532" customFormat="false" ht="14.9" hidden="false" customHeight="false" outlineLevel="0" collapsed="false">
      <c r="A532" s="13" t="s">
        <v>422</v>
      </c>
      <c r="B532" s="14" t="str">
        <v>BASIC THERMODYNAMICS</v>
      </c>
      <c r="C532" s="18" t="str">
        <v>Samuel Boahen</v>
      </c>
      <c r="D532" s="13" t="s">
        <v>162</v>
      </c>
      <c r="E532" s="15" t="n">
        <v>85</v>
      </c>
      <c r="F532" s="30"/>
      <c r="G532" s="17" t="n">
        <f aca="false">E532*1.1</f>
        <v>93.5</v>
      </c>
      <c r="H532" s="3"/>
      <c r="I532" s="29" t="str">
        <f aca="false">CONCATENATE(A532,",",D532)</f>
        <v>AME 156,ED1-AUTO</v>
      </c>
      <c r="J532" s="12"/>
    </row>
    <row r="533" customFormat="false" ht="14.9" hidden="false" customHeight="false" outlineLevel="0" collapsed="false">
      <c r="A533" s="13" t="s">
        <v>420</v>
      </c>
      <c r="B533" s="18" t="str">
        <v>THERMODYNAMICS I</v>
      </c>
      <c r="C533" s="14" t="str">
        <v>Boahen Samuel</v>
      </c>
      <c r="D533" s="13" t="s">
        <v>36</v>
      </c>
      <c r="E533" s="15" t="n">
        <v>75</v>
      </c>
      <c r="F533" s="19"/>
      <c r="G533" s="17" t="n">
        <f aca="false">E533*1.1</f>
        <v>82.5</v>
      </c>
      <c r="H533" s="3"/>
      <c r="I533" s="6" t="str">
        <f aca="false">CONCATENATE(A533,",",D533)</f>
        <v>ME 266,ED2-AERO</v>
      </c>
      <c r="J533" s="12"/>
    </row>
    <row r="534" customFormat="false" ht="14.9" hidden="false" customHeight="false" outlineLevel="0" collapsed="false">
      <c r="A534" s="13" t="s">
        <v>421</v>
      </c>
      <c r="B534" s="18" t="str">
        <v>APPLIED THERMODYNAMICS I</v>
      </c>
      <c r="C534" s="14" t="str">
        <v>Quansah David Ato</v>
      </c>
      <c r="D534" s="13" t="s">
        <v>51</v>
      </c>
      <c r="E534" s="15" t="n">
        <v>295</v>
      </c>
      <c r="F534" s="49"/>
      <c r="G534" s="17" t="n">
        <f aca="false">E534*1.1</f>
        <v>324.5</v>
      </c>
      <c r="H534" s="50"/>
      <c r="I534" s="6" t="str">
        <f aca="false">CONCATENATE(A534,",",D534)</f>
        <v>ME 166,ED1-EE</v>
      </c>
      <c r="J534" s="12"/>
    </row>
    <row r="535" customFormat="false" ht="14.9" hidden="false" customHeight="false" outlineLevel="0" collapsed="false">
      <c r="A535" s="13" t="s">
        <v>423</v>
      </c>
      <c r="B535" s="18" t="str">
        <v>ENGINEERING RESEARCH AND TECHNICAL REPORT WRITING</v>
      </c>
      <c r="C535" s="14" t="str">
        <v>Obeng Kwakye Kingsford Sarkodie</v>
      </c>
      <c r="D535" s="13" t="s">
        <v>91</v>
      </c>
      <c r="E535" s="15" t="n">
        <v>130</v>
      </c>
      <c r="F535" s="19"/>
      <c r="G535" s="17" t="n">
        <f aca="false">E535*1.1</f>
        <v>143</v>
      </c>
      <c r="H535" s="3"/>
      <c r="I535" s="6" t="str">
        <f aca="false">CONCATENATE(A535,",",D535)</f>
        <v>TE 152,ED1-TEL</v>
      </c>
      <c r="J535" s="12"/>
    </row>
    <row r="536" customFormat="false" ht="14.9" hidden="false" customHeight="false" outlineLevel="0" collapsed="false">
      <c r="A536" s="13" t="s">
        <v>424</v>
      </c>
      <c r="B536" s="14" t="str">
        <v>FINANCIAL ACCOUNTING II</v>
      </c>
      <c r="C536" s="14" t="str">
        <v>Yeboah Edward</v>
      </c>
      <c r="D536" s="13" t="s">
        <v>108</v>
      </c>
      <c r="E536" s="15" t="n">
        <v>65</v>
      </c>
      <c r="F536" s="19"/>
      <c r="G536" s="17" t="n">
        <f aca="false">E536*1.1</f>
        <v>71.5</v>
      </c>
      <c r="H536" s="3"/>
      <c r="I536" s="6" t="str">
        <f aca="false">CONCATENATE(A536,",",D536)</f>
        <v>ACF 256,ED2-COE</v>
      </c>
      <c r="J536" s="12"/>
    </row>
    <row r="537" customFormat="false" ht="14.9" hidden="false" customHeight="false" outlineLevel="0" collapsed="false">
      <c r="A537" s="13" t="s">
        <v>424</v>
      </c>
      <c r="B537" s="14" t="str">
        <v>FINANCIAL ACCOUNTING II</v>
      </c>
      <c r="C537" s="14" t="str">
        <v>Yeboah Edward</v>
      </c>
      <c r="D537" s="13" t="s">
        <v>109</v>
      </c>
      <c r="E537" s="15" t="n">
        <v>18</v>
      </c>
      <c r="F537" s="19"/>
      <c r="G537" s="17" t="n">
        <f aca="false">E537*1.1</f>
        <v>19.8</v>
      </c>
      <c r="H537" s="3"/>
      <c r="I537" s="6" t="str">
        <f aca="false">CONCATENATE(A537,",",D537)</f>
        <v>ACF 256,ED2-BME</v>
      </c>
      <c r="J537" s="12"/>
    </row>
    <row r="538" customFormat="false" ht="14.9" hidden="false" customHeight="false" outlineLevel="0" collapsed="false">
      <c r="A538" s="13" t="s">
        <v>424</v>
      </c>
      <c r="B538" s="14" t="str">
        <v>FINANCIAL ACCOUNTING II</v>
      </c>
      <c r="C538" s="14" t="str">
        <v>Yeboah Edward</v>
      </c>
      <c r="D538" s="13" t="s">
        <v>172</v>
      </c>
      <c r="E538" s="15" t="n">
        <v>40</v>
      </c>
      <c r="F538" s="19"/>
      <c r="G538" s="17" t="n">
        <f aca="false">E538*1.1</f>
        <v>44</v>
      </c>
      <c r="H538" s="3"/>
      <c r="I538" s="6" t="str">
        <f aca="false">CONCATENATE(A538,",",D538)</f>
        <v>ACF 256,ED2-TEL</v>
      </c>
      <c r="J538" s="12"/>
    </row>
    <row r="539" customFormat="false" ht="14.9" hidden="false" customHeight="false" outlineLevel="0" collapsed="false">
      <c r="A539" s="13" t="s">
        <v>424</v>
      </c>
      <c r="B539" s="18" t="str">
        <v>PRINCIPLES OF ACCOUNTING II</v>
      </c>
      <c r="C539" s="14" t="str">
        <v>John Bosco Dramani</v>
      </c>
      <c r="D539" s="13" t="s">
        <v>126</v>
      </c>
      <c r="E539" s="15" t="n">
        <v>5</v>
      </c>
      <c r="F539" s="19"/>
      <c r="G539" s="17" t="n">
        <f aca="false">E539*1.1</f>
        <v>5.5</v>
      </c>
      <c r="H539" s="3"/>
      <c r="I539" s="6" t="str">
        <f aca="false">CONCATENATE(A539,",",D539)</f>
        <v>ACF 256,ED1-GEOL</v>
      </c>
      <c r="J539" s="12"/>
    </row>
    <row r="540" customFormat="false" ht="14.9" hidden="false" customHeight="false" outlineLevel="0" collapsed="false">
      <c r="A540" s="13" t="s">
        <v>424</v>
      </c>
      <c r="B540" s="14" t="str">
        <v>PRINCIPLES OF ACCOUNTING II</v>
      </c>
      <c r="C540" s="14" t="str">
        <v>Beatrice Sarpong-Danquah</v>
      </c>
      <c r="D540" s="13" t="s">
        <v>77</v>
      </c>
      <c r="E540" s="15" t="n">
        <v>35</v>
      </c>
      <c r="F540" s="19"/>
      <c r="G540" s="17" t="n">
        <f aca="false">E540*1.1</f>
        <v>38.5</v>
      </c>
      <c r="H540" s="3"/>
      <c r="I540" s="6" t="str">
        <f aca="false">CONCATENATE(A540,",",D540)</f>
        <v>ACF 256,ED3-GEOM</v>
      </c>
      <c r="J540" s="12"/>
    </row>
    <row r="541" customFormat="false" ht="14.9" hidden="false" customHeight="false" outlineLevel="0" collapsed="false">
      <c r="A541" s="22"/>
      <c r="B541" s="22"/>
      <c r="D541" s="14" t="s">
        <v>425</v>
      </c>
      <c r="E541" s="22" t="n">
        <f aca="false">SUM(E529:E540)</f>
        <v>1204</v>
      </c>
      <c r="F541" s="23"/>
      <c r="G541" s="22"/>
      <c r="I541" s="9" t="s">
        <v>426</v>
      </c>
      <c r="J541" s="12"/>
    </row>
    <row r="542" customFormat="false" ht="14.9" hidden="false" customHeight="false" outlineLevel="0" collapsed="false">
      <c r="A542" s="8" t="s">
        <v>418</v>
      </c>
      <c r="B542" s="8"/>
      <c r="C542" s="8"/>
      <c r="D542" s="8"/>
      <c r="E542" s="8"/>
      <c r="F542" s="8"/>
      <c r="G542" s="8"/>
      <c r="I542" s="9" t="s">
        <v>419</v>
      </c>
      <c r="J542" s="12"/>
    </row>
    <row r="543" customFormat="false" ht="14.9" hidden="false" customHeight="false" outlineLevel="0" collapsed="false">
      <c r="A543" s="8" t="s">
        <v>29</v>
      </c>
      <c r="B543" s="8"/>
      <c r="C543" s="8"/>
      <c r="D543" s="8"/>
      <c r="E543" s="8"/>
      <c r="F543" s="8"/>
      <c r="G543" s="8"/>
      <c r="I543" s="9" t="s">
        <v>30</v>
      </c>
      <c r="J543" s="12"/>
    </row>
    <row r="544" customFormat="false" ht="14.9" hidden="false" customHeight="false" outlineLevel="0" collapsed="false">
      <c r="A544" s="11" t="s">
        <v>4</v>
      </c>
      <c r="B544" s="11" t="s">
        <v>5</v>
      </c>
      <c r="C544" s="2" t="s">
        <v>6</v>
      </c>
      <c r="D544" s="11" t="s">
        <v>7</v>
      </c>
      <c r="E544" s="11" t="s">
        <v>8</v>
      </c>
      <c r="F544" s="2" t="s">
        <v>9</v>
      </c>
      <c r="G544" s="11" t="s">
        <v>10</v>
      </c>
      <c r="I544" s="9" t="s">
        <v>31</v>
      </c>
      <c r="J544" s="12"/>
    </row>
    <row r="545" customFormat="false" ht="14.9" hidden="false" customHeight="false" outlineLevel="0" collapsed="false">
      <c r="A545" s="13" t="s">
        <v>427</v>
      </c>
      <c r="B545" s="14" t="str">
        <f aca="false" t="array" ref="B545:B557">IFERROR(VLOOKUP(I545:I557,Lectures_1!A2:F534,2,FALSE()),0)</f>
        <v>HUMAN FACTORS AND ERGONOMICS</v>
      </c>
      <c r="C545" s="18" t="str">
        <f aca="false" t="array" ref="C545:C557">IFERROR(VLOOKUP(I545:I557,Lectures_1!A2:F534,3,FALSE()),0)</f>
        <v>Sackey Samuel Mensah</v>
      </c>
      <c r="D545" s="13" t="s">
        <v>124</v>
      </c>
      <c r="E545" s="15" t="n">
        <f aca="false" t="array" ref="E545:E557">IFERROR(VLOOKUP(I545:I557,Lectures_1!A2:F534,4,FALSE()),0)</f>
        <v>69</v>
      </c>
      <c r="F545" s="19"/>
      <c r="G545" s="17" t="n">
        <f aca="false">E545*1.1</f>
        <v>75.9</v>
      </c>
      <c r="H545" s="3"/>
      <c r="I545" s="6" t="str">
        <f aca="false">CONCATENATE(A545,",",D545)</f>
        <v>IE 458,ED4-IND</v>
      </c>
      <c r="J545" s="12"/>
    </row>
    <row r="546" customFormat="false" ht="14.9" hidden="false" customHeight="false" outlineLevel="0" collapsed="false">
      <c r="A546" s="13" t="s">
        <v>427</v>
      </c>
      <c r="B546" s="14" t="str">
        <v>HUMAN FACTORS AND ERGONOMICS</v>
      </c>
      <c r="C546" s="18" t="str">
        <v>Sackey Samuel Mensah</v>
      </c>
      <c r="D546" s="13" t="s">
        <v>99</v>
      </c>
      <c r="E546" s="15" t="n">
        <v>5</v>
      </c>
      <c r="F546" s="19"/>
      <c r="G546" s="17" t="n">
        <f aca="false">E546*1.1</f>
        <v>5.5</v>
      </c>
      <c r="H546" s="3"/>
      <c r="I546" s="6" t="str">
        <f aca="false">CONCATENATE(A546,",",D546)</f>
        <v>IE 458,ED4-AERO</v>
      </c>
      <c r="J546" s="12"/>
    </row>
    <row r="547" customFormat="false" ht="14.9" hidden="false" customHeight="false" outlineLevel="0" collapsed="false">
      <c r="A547" s="13" t="s">
        <v>110</v>
      </c>
      <c r="B547" s="14" t="str">
        <v>COMPUTER PROGRAMMING FOR ENGINEERS</v>
      </c>
      <c r="C547" s="18" t="str">
        <v>Tay Godwin Fabiola Kwaku</v>
      </c>
      <c r="D547" s="13" t="s">
        <v>191</v>
      </c>
      <c r="E547" s="15" t="n">
        <v>70</v>
      </c>
      <c r="F547" s="19"/>
      <c r="G547" s="17" t="n">
        <f aca="false">E547*1.1</f>
        <v>77</v>
      </c>
      <c r="H547" s="3"/>
      <c r="I547" s="6" t="str">
        <f aca="false">CONCATENATE(A547,",",D547)</f>
        <v>ME 168,ED1-AERO</v>
      </c>
      <c r="J547" s="12"/>
    </row>
    <row r="548" customFormat="false" ht="14.9" hidden="false" customHeight="false" outlineLevel="0" collapsed="false">
      <c r="A548" s="13" t="s">
        <v>110</v>
      </c>
      <c r="B548" s="14" t="str">
        <v>COMPUTER PROGRAMMING FOR ENGINEERS</v>
      </c>
      <c r="C548" s="18" t="str">
        <v>Tay Godwin Fabiola Kwaku</v>
      </c>
      <c r="D548" s="13" t="s">
        <v>161</v>
      </c>
      <c r="E548" s="15" t="n">
        <v>225</v>
      </c>
      <c r="F548" s="19"/>
      <c r="G548" s="17" t="n">
        <f aca="false">E548*1.1</f>
        <v>247.5</v>
      </c>
      <c r="H548" s="3"/>
      <c r="I548" s="6" t="str">
        <f aca="false">CONCATENATE(A548,",",D548)</f>
        <v>ME 168,ED1-ME</v>
      </c>
      <c r="J548" s="12"/>
    </row>
    <row r="549" customFormat="false" ht="14.9" hidden="false" customHeight="false" outlineLevel="0" collapsed="false">
      <c r="A549" s="13" t="s">
        <v>428</v>
      </c>
      <c r="B549" s="14" t="str">
        <v>BIOMATERIALS I</v>
      </c>
      <c r="C549" s="18" t="str">
        <v>Odame Prince</v>
      </c>
      <c r="D549" s="13" t="s">
        <v>65</v>
      </c>
      <c r="E549" s="15" t="n">
        <v>90</v>
      </c>
      <c r="F549" s="19"/>
      <c r="G549" s="17" t="n">
        <f aca="false">E549*1.1</f>
        <v>99</v>
      </c>
      <c r="H549" s="3"/>
      <c r="I549" s="6" t="str">
        <f aca="false">CONCATENATE(A549,",",D549)</f>
        <v>BME 362,ED3-BME</v>
      </c>
      <c r="J549" s="12"/>
    </row>
    <row r="550" customFormat="false" ht="14.9" hidden="false" customHeight="false" outlineLevel="0" collapsed="false">
      <c r="A550" s="13" t="s">
        <v>268</v>
      </c>
      <c r="B550" s="18" t="str">
        <v>ENGINEERING MECHANICS I:STATICS</v>
      </c>
      <c r="C550" s="18" t="str">
        <v>Amoabeng Kofi Owura</v>
      </c>
      <c r="D550" s="13" t="s">
        <v>111</v>
      </c>
      <c r="E550" s="15" t="n">
        <v>83</v>
      </c>
      <c r="F550" s="5"/>
      <c r="G550" s="17" t="n">
        <f aca="false">E550*1.1</f>
        <v>91.3</v>
      </c>
      <c r="H550" s="3"/>
      <c r="I550" s="6" t="str">
        <f aca="false">CONCATENATE(A550,",",D550)</f>
        <v>ME 164,ED1-IND</v>
      </c>
      <c r="J550" s="12"/>
    </row>
    <row r="551" customFormat="false" ht="14.9" hidden="false" customHeight="false" outlineLevel="0" collapsed="false">
      <c r="A551" s="13" t="s">
        <v>268</v>
      </c>
      <c r="B551" s="14" t="str">
        <v>ENGINEERING MECHANICS I:STATICS</v>
      </c>
      <c r="C551" s="18" t="str">
        <v>Amoabeng Kofi Owura</v>
      </c>
      <c r="D551" s="13" t="s">
        <v>112</v>
      </c>
      <c r="E551" s="15" t="n">
        <v>46</v>
      </c>
      <c r="F551" s="13"/>
      <c r="G551" s="17" t="n">
        <f aca="false">E551*1.1</f>
        <v>50.6</v>
      </c>
      <c r="H551" s="3"/>
      <c r="I551" s="6" t="str">
        <f aca="false">CONCATENATE(A551,",",D551)</f>
        <v>ME 164,ED1-MARI</v>
      </c>
      <c r="J551" s="12"/>
    </row>
    <row r="552" customFormat="false" ht="14.9" hidden="false" customHeight="false" outlineLevel="0" collapsed="false">
      <c r="A552" s="30" t="s">
        <v>429</v>
      </c>
      <c r="B552" s="11" t="str">
        <v>FARM MACHINERY DESIGN</v>
      </c>
      <c r="C552" s="14" t="str">
        <v>Aveyire Joseph</v>
      </c>
      <c r="D552" s="30" t="s">
        <v>50</v>
      </c>
      <c r="E552" s="30" t="n">
        <v>103</v>
      </c>
      <c r="F552" s="30"/>
      <c r="G552" s="17" t="n">
        <f aca="false">E552*1.1</f>
        <v>113.3</v>
      </c>
      <c r="H552" s="3"/>
      <c r="I552" s="6" t="str">
        <f aca="false">CONCATENATE(A552,",",D552)</f>
        <v>AE 482,ED4-AE</v>
      </c>
      <c r="J552" s="12"/>
    </row>
    <row r="553" customFormat="false" ht="14.9" hidden="false" customHeight="false" outlineLevel="0" collapsed="false">
      <c r="A553" s="13" t="s">
        <v>430</v>
      </c>
      <c r="B553" s="18" t="str">
        <v>INTRODUCTION TO INFORMATION TECHNOLOGY</v>
      </c>
      <c r="C553" s="14" t="str">
        <v>Titus Tienaah</v>
      </c>
      <c r="D553" s="13" t="s">
        <v>95</v>
      </c>
      <c r="E553" s="15" t="n">
        <v>103</v>
      </c>
      <c r="F553" s="19"/>
      <c r="G553" s="17" t="n">
        <f aca="false">E553*1.1</f>
        <v>113.3</v>
      </c>
      <c r="H553" s="3"/>
      <c r="I553" s="6" t="str">
        <f aca="false">CONCATENATE(A553,",",D553)</f>
        <v>GE 158,ED1-GEOM</v>
      </c>
      <c r="J553" s="12"/>
    </row>
    <row r="554" customFormat="false" ht="14.9" hidden="false" customHeight="false" outlineLevel="0" collapsed="false">
      <c r="A554" s="13" t="s">
        <v>431</v>
      </c>
      <c r="B554" s="18" t="str">
        <v>ENVIRONMENTAL ENG. TECHNOLOGY</v>
      </c>
      <c r="C554" s="14" t="str">
        <v>Afotey Benjamin</v>
      </c>
      <c r="D554" s="13" t="s">
        <v>48</v>
      </c>
      <c r="E554" s="30" t="n">
        <v>54</v>
      </c>
      <c r="F554" s="19"/>
      <c r="G554" s="17" t="n">
        <f aca="false">E554*1.1</f>
        <v>59.4</v>
      </c>
      <c r="H554" s="3"/>
      <c r="I554" s="6" t="str">
        <f aca="false">CONCATENATE(A554,",",D554)</f>
        <v>CHE 468,ED4-CHE</v>
      </c>
      <c r="J554" s="12"/>
    </row>
    <row r="555" customFormat="false" ht="14.9" hidden="false" customHeight="false" outlineLevel="0" collapsed="false">
      <c r="A555" s="13" t="s">
        <v>432</v>
      </c>
      <c r="B555" s="18" t="str">
        <v>SECURE NETWORK SYSTEMS</v>
      </c>
      <c r="C555" s="14" t="str">
        <v>Tchao Eric Tutu</v>
      </c>
      <c r="D555" s="13" t="s">
        <v>251</v>
      </c>
      <c r="E555" s="30" t="n">
        <v>90</v>
      </c>
      <c r="F555" s="19"/>
      <c r="G555" s="17" t="n">
        <f aca="false">E555*1.1</f>
        <v>99</v>
      </c>
      <c r="H555" s="3"/>
      <c r="I555" s="6" t="str">
        <f aca="false">CONCATENATE(A555,",",D555)</f>
        <v>COE 456,ED4-COE</v>
      </c>
      <c r="J555" s="12"/>
    </row>
    <row r="556" customFormat="false" ht="14.9" hidden="false" customHeight="false" outlineLevel="0" collapsed="false">
      <c r="A556" s="13" t="s">
        <v>433</v>
      </c>
      <c r="B556" s="14" t="str">
        <v>AUTOMOTIVE CHASSIS</v>
      </c>
      <c r="C556" s="18" t="str">
        <v>Ayetor Godwin Kafui Kwesi</v>
      </c>
      <c r="D556" s="13" t="s">
        <v>40</v>
      </c>
      <c r="E556" s="15" t="n">
        <v>82</v>
      </c>
      <c r="F556" s="51" t="s">
        <v>21</v>
      </c>
      <c r="G556" s="17" t="n">
        <f aca="false">E556*1.1</f>
        <v>90.2</v>
      </c>
      <c r="H556" s="3"/>
      <c r="I556" s="6" t="str">
        <f aca="false">CONCATENATE(A556,",",D556)</f>
        <v>AME 256,ED2-AUTO</v>
      </c>
      <c r="J556" s="12"/>
    </row>
    <row r="557" customFormat="false" ht="14.9" hidden="false" customHeight="false" outlineLevel="0" collapsed="false">
      <c r="A557" s="13" t="s">
        <v>434</v>
      </c>
      <c r="B557" s="14" t="str">
        <v>SATELLITE COMMUNICATION AND NAVIGATION SYSTEMS</v>
      </c>
      <c r="C557" s="14" t="str">
        <v>Gadze James Dzisi</v>
      </c>
      <c r="D557" s="19" t="s">
        <v>227</v>
      </c>
      <c r="E557" s="15" t="n">
        <v>138</v>
      </c>
      <c r="F557" s="51"/>
      <c r="G557" s="17" t="n">
        <f aca="false">E557*1.1</f>
        <v>151.8</v>
      </c>
      <c r="H557" s="3"/>
      <c r="I557" s="6" t="str">
        <f aca="false">CONCATENATE(A557,",",D557)</f>
        <v>TE 456,ED4-TEL</v>
      </c>
      <c r="J557" s="12"/>
    </row>
    <row r="558" customFormat="false" ht="13.8" hidden="false" customHeight="false" outlineLevel="0" collapsed="false">
      <c r="A558" s="22"/>
      <c r="B558" s="22"/>
      <c r="D558" s="14" t="s">
        <v>435</v>
      </c>
      <c r="E558" s="22" t="e">
        <f aca="false">SUM(_xlfn.anchorarray(E545))</f>
        <v>#NAME?</v>
      </c>
      <c r="F558" s="23"/>
      <c r="G558" s="22"/>
      <c r="I558" s="9"/>
      <c r="J558" s="12"/>
    </row>
    <row r="559" customFormat="false" ht="14.9" hidden="false" customHeight="false" outlineLevel="0" collapsed="false">
      <c r="A559" s="8" t="s">
        <v>418</v>
      </c>
      <c r="B559" s="8"/>
      <c r="C559" s="8"/>
      <c r="D559" s="8"/>
      <c r="E559" s="8"/>
      <c r="F559" s="8"/>
      <c r="G559" s="8"/>
      <c r="I559" s="9" t="s">
        <v>419</v>
      </c>
      <c r="J559" s="12"/>
    </row>
    <row r="560" customFormat="false" ht="14.9" hidden="false" customHeight="false" outlineLevel="0" collapsed="false">
      <c r="A560" s="8" t="s">
        <v>59</v>
      </c>
      <c r="B560" s="8"/>
      <c r="C560" s="8"/>
      <c r="D560" s="8"/>
      <c r="E560" s="8"/>
      <c r="F560" s="8"/>
      <c r="G560" s="8"/>
      <c r="I560" s="9" t="s">
        <v>128</v>
      </c>
      <c r="J560" s="12"/>
    </row>
    <row r="561" customFormat="false" ht="14.9" hidden="false" customHeight="false" outlineLevel="0" collapsed="false">
      <c r="A561" s="11" t="s">
        <v>4</v>
      </c>
      <c r="B561" s="11" t="s">
        <v>5</v>
      </c>
      <c r="C561" s="2" t="s">
        <v>6</v>
      </c>
      <c r="D561" s="11" t="s">
        <v>7</v>
      </c>
      <c r="E561" s="11" t="s">
        <v>8</v>
      </c>
      <c r="F561" s="2" t="s">
        <v>9</v>
      </c>
      <c r="G561" s="11" t="s">
        <v>10</v>
      </c>
      <c r="I561" s="9" t="s">
        <v>31</v>
      </c>
      <c r="J561" s="12"/>
    </row>
    <row r="562" customFormat="false" ht="14.9" hidden="false" customHeight="false" outlineLevel="0" collapsed="false">
      <c r="A562" s="13" t="s">
        <v>436</v>
      </c>
      <c r="B562" s="18" t="str">
        <f aca="false" t="array" ref="B562:B577">IFERROR(VLOOKUP(I562:I577,Lectures_1!A2:F534,2,FALSE()),0)</f>
        <v>AIRCRAFT PERFORMANCE AND DESIGN</v>
      </c>
      <c r="C562" s="18" t="str">
        <f aca="false" t="array" ref="C562:C577">IFERROR(VLOOKUP(I562:I577,Lectures_1!A2:F534,3,FALSE()),0)</f>
        <v>Agyei Agyemang Anthony</v>
      </c>
      <c r="D562" s="13" t="s">
        <v>133</v>
      </c>
      <c r="E562" s="15" t="n">
        <f aca="false" t="array" ref="E562:E577">IFERROR(VLOOKUP(I562:I577,Lectures_1!A2:F534,4,FALSE()),0)</f>
        <v>76</v>
      </c>
      <c r="F562" s="19"/>
      <c r="G562" s="17" t="n">
        <f aca="false">E562*1.1</f>
        <v>83.6</v>
      </c>
      <c r="H562" s="3"/>
      <c r="I562" s="6" t="str">
        <f aca="false">CONCATENATE(A562,",",D562)</f>
        <v>AERO 374,ED3-AERO</v>
      </c>
      <c r="J562" s="12"/>
    </row>
    <row r="563" customFormat="false" ht="14.9" hidden="false" customHeight="false" outlineLevel="0" collapsed="false">
      <c r="A563" s="13" t="s">
        <v>437</v>
      </c>
      <c r="B563" s="18" t="str">
        <v>STRUCTURAL GEOLOGY</v>
      </c>
      <c r="C563" s="18" t="str">
        <v>Wilson Matthew Coffie</v>
      </c>
      <c r="D563" s="13" t="s">
        <v>154</v>
      </c>
      <c r="E563" s="15" t="n">
        <v>154</v>
      </c>
      <c r="F563" s="19"/>
      <c r="G563" s="17" t="n">
        <f aca="false">E563*1.1</f>
        <v>169.4</v>
      </c>
      <c r="H563" s="3"/>
      <c r="I563" s="6" t="str">
        <f aca="false">CONCATENATE(A563,",",D563)</f>
        <v>GED 364,ED3-GEOL</v>
      </c>
      <c r="J563" s="12"/>
    </row>
    <row r="564" customFormat="false" ht="14.9" hidden="false" customHeight="false" outlineLevel="0" collapsed="false">
      <c r="A564" s="13" t="s">
        <v>438</v>
      </c>
      <c r="B564" s="18" t="str">
        <v>ENERGY AND CLIMATE CHANGE</v>
      </c>
      <c r="C564" s="18" t="str">
        <v>Sokama-Neuyam Yen Adams</v>
      </c>
      <c r="D564" s="13" t="s">
        <v>46</v>
      </c>
      <c r="E564" s="15" t="n">
        <v>22</v>
      </c>
      <c r="F564" s="19"/>
      <c r="G564" s="17" t="n">
        <f aca="false">E564*1.1</f>
        <v>24.2</v>
      </c>
      <c r="H564" s="3"/>
      <c r="I564" s="6" t="str">
        <f aca="false">CONCATENATE(A564,",",D564)</f>
        <v>PE 476,ED4-PE</v>
      </c>
      <c r="J564" s="12"/>
    </row>
    <row r="565" customFormat="false" ht="14.9" hidden="false" customHeight="false" outlineLevel="0" collapsed="false">
      <c r="A565" s="13" t="s">
        <v>439</v>
      </c>
      <c r="B565" s="18" t="str">
        <v>REGIONAL GEOLOGY</v>
      </c>
      <c r="C565" s="18" t="str">
        <v>Quaye Jonathan Atuquaye</v>
      </c>
      <c r="D565" s="13" t="s">
        <v>93</v>
      </c>
      <c r="E565" s="15" t="n">
        <v>95</v>
      </c>
      <c r="F565" s="19" t="s">
        <v>21</v>
      </c>
      <c r="G565" s="17" t="n">
        <f aca="false">E565*1.1</f>
        <v>104.5</v>
      </c>
      <c r="H565" s="3"/>
      <c r="I565" s="6" t="str">
        <f aca="false">CONCATENATE(A565,",",D565)</f>
        <v>PE 256,ED2-PE</v>
      </c>
      <c r="J565" s="12"/>
    </row>
    <row r="566" customFormat="false" ht="14.9" hidden="false" customHeight="false" outlineLevel="0" collapsed="false">
      <c r="A566" s="13" t="s">
        <v>440</v>
      </c>
      <c r="B566" s="18" t="str">
        <v>MARINE ELECTRICAL TECHNOLOGY AND ELECTRICAL MEASUREMENTS</v>
      </c>
      <c r="C566" s="18" t="str">
        <v>Frimpong Emmanuel Asuming</v>
      </c>
      <c r="D566" s="13" t="s">
        <v>86</v>
      </c>
      <c r="E566" s="15" t="n">
        <v>40</v>
      </c>
      <c r="F566" s="19"/>
      <c r="G566" s="17" t="n">
        <f aca="false">E566*1.1</f>
        <v>44</v>
      </c>
      <c r="H566" s="3"/>
      <c r="I566" s="6" t="str">
        <f aca="false">CONCATENATE(A566,",",D566)</f>
        <v>MME 386,ED3-MARI</v>
      </c>
      <c r="J566" s="12"/>
    </row>
    <row r="567" customFormat="false" ht="14.9" hidden="false" customHeight="false" outlineLevel="0" collapsed="false">
      <c r="A567" s="13" t="s">
        <v>441</v>
      </c>
      <c r="B567" s="18" t="str">
        <v>SURFACE TREATMENT OF MATERIALS</v>
      </c>
      <c r="C567" s="18" t="str">
        <v>Andrews Anthony</v>
      </c>
      <c r="D567" s="13" t="s">
        <v>135</v>
      </c>
      <c r="E567" s="15" t="n">
        <v>60</v>
      </c>
      <c r="F567" s="13"/>
      <c r="G567" s="17" t="n">
        <f aca="false">E567*1.1</f>
        <v>66</v>
      </c>
      <c r="H567" s="3"/>
      <c r="I567" s="6" t="str">
        <f aca="false">CONCATENATE(A567,",",D567)</f>
        <v>MSE 454,ED4-MSE</v>
      </c>
      <c r="J567" s="12"/>
    </row>
    <row r="568" customFormat="false" ht="14.9" hidden="false" customHeight="false" outlineLevel="0" collapsed="false">
      <c r="A568" s="13" t="s">
        <v>442</v>
      </c>
      <c r="B568" s="14" t="str">
        <v>ELECTROMETALLURGY</v>
      </c>
      <c r="C568" s="14" t="str">
        <v>Agbe Henry</v>
      </c>
      <c r="D568" s="13" t="s">
        <v>136</v>
      </c>
      <c r="E568" s="15" t="n">
        <v>55</v>
      </c>
      <c r="F568" s="19"/>
      <c r="G568" s="17" t="n">
        <f aca="false">E568*1.1</f>
        <v>60.5</v>
      </c>
      <c r="H568" s="3"/>
      <c r="I568" s="6" t="str">
        <f aca="false">CONCATENATE(A568,",",D568)</f>
        <v>METE 452,ED4-METE</v>
      </c>
      <c r="J568" s="12"/>
    </row>
    <row r="569" customFormat="false" ht="14.9" hidden="false" customHeight="false" outlineLevel="0" collapsed="false">
      <c r="A569" s="13" t="s">
        <v>392</v>
      </c>
      <c r="B569" s="14" t="str">
        <v>BASIC MECHANICS</v>
      </c>
      <c r="C569" s="18" t="str">
        <v>Opoku Richard</v>
      </c>
      <c r="D569" s="13" t="s">
        <v>114</v>
      </c>
      <c r="E569" s="15" t="n">
        <v>75</v>
      </c>
      <c r="F569" s="19"/>
      <c r="G569" s="17" t="n">
        <f aca="false">E569*1.1</f>
        <v>82.5</v>
      </c>
      <c r="H569" s="3"/>
      <c r="I569" s="6" t="str">
        <f aca="false">CONCATENATE(A569,",",D569)</f>
        <v>ME 162,ED1-METE</v>
      </c>
      <c r="J569" s="12"/>
    </row>
    <row r="570" customFormat="false" ht="14.9" hidden="false" customHeight="false" outlineLevel="0" collapsed="false">
      <c r="A570" s="13" t="s">
        <v>392</v>
      </c>
      <c r="B570" s="14" t="str">
        <v>BASIC MECHANICS</v>
      </c>
      <c r="C570" s="18" t="str">
        <v>Boahen Samuel</v>
      </c>
      <c r="D570" s="13" t="s">
        <v>81</v>
      </c>
      <c r="E570" s="15" t="n">
        <v>56</v>
      </c>
      <c r="F570" s="30"/>
      <c r="G570" s="17" t="n">
        <f aca="false">E570*1.1</f>
        <v>61.6</v>
      </c>
      <c r="H570" s="3"/>
      <c r="I570" s="6" t="str">
        <f aca="false">CONCATENATE(A570,",",D570)</f>
        <v>ME 162,ED1-PCE</v>
      </c>
      <c r="J570" s="12"/>
    </row>
    <row r="571" customFormat="false" ht="14.9" hidden="false" customHeight="false" outlineLevel="0" collapsed="false">
      <c r="A571" s="13" t="s">
        <v>443</v>
      </c>
      <c r="B571" s="14" t="str">
        <v>MANUAL POWER TRAIN</v>
      </c>
      <c r="C571" s="18" t="str">
        <v>Abu Frimpong Solomon</v>
      </c>
      <c r="D571" s="13" t="s">
        <v>23</v>
      </c>
      <c r="E571" s="15" t="n">
        <v>40</v>
      </c>
      <c r="F571" s="19"/>
      <c r="G571" s="17" t="n">
        <f aca="false">E571*1.1</f>
        <v>44</v>
      </c>
      <c r="H571" s="3"/>
      <c r="I571" s="6" t="str">
        <f aca="false">CONCATENATE(A571,",",D571)</f>
        <v>AME 386,ED3-AUTO</v>
      </c>
      <c r="J571" s="12"/>
    </row>
    <row r="572" customFormat="false" ht="14.9" hidden="false" customHeight="false" outlineLevel="0" collapsed="false">
      <c r="A572" s="13" t="s">
        <v>444</v>
      </c>
      <c r="B572" s="14" t="str">
        <v>RELIABILITY ENGINEERING</v>
      </c>
      <c r="C572" s="14" t="str">
        <v>Takyi Gabriel</v>
      </c>
      <c r="D572" s="13" t="s">
        <v>121</v>
      </c>
      <c r="E572" s="15" t="n">
        <v>70</v>
      </c>
      <c r="F572" s="19"/>
      <c r="G572" s="17" t="n">
        <f aca="false">E572*1.1</f>
        <v>77</v>
      </c>
      <c r="H572" s="3"/>
      <c r="I572" s="6" t="str">
        <f aca="false">CONCATENATE(A572,",",D572)</f>
        <v>IE 356,ED3-IND</v>
      </c>
      <c r="J572" s="12"/>
    </row>
    <row r="573" customFormat="false" ht="14.9" hidden="false" customHeight="false" outlineLevel="0" collapsed="false">
      <c r="A573" s="13" t="s">
        <v>445</v>
      </c>
      <c r="B573" s="14" t="str">
        <v>GROUNDWATER DEVELOPMENT</v>
      </c>
      <c r="C573" s="18" t="str">
        <v>Ali Bukari</v>
      </c>
      <c r="D573" s="13" t="s">
        <v>177</v>
      </c>
      <c r="E573" s="15" t="n">
        <v>95</v>
      </c>
      <c r="F573" s="19"/>
      <c r="G573" s="17" t="n">
        <f aca="false">E573*1.1</f>
        <v>104.5</v>
      </c>
      <c r="H573" s="3"/>
      <c r="I573" s="6" t="str">
        <f aca="false">CONCATENATE(A573,",",D573)</f>
        <v>GED 476,ED4-GEOL</v>
      </c>
      <c r="J573" s="12"/>
    </row>
    <row r="574" customFormat="false" ht="14.9" hidden="false" customHeight="false" outlineLevel="0" collapsed="false">
      <c r="A574" s="13" t="s">
        <v>446</v>
      </c>
      <c r="B574" s="11" t="str">
        <v>VEHICLE MAINTENANCE AND REGULATION</v>
      </c>
      <c r="C574" s="18" t="str">
        <v>Abu Frimpong Solomon</v>
      </c>
      <c r="D574" s="13" t="s">
        <v>97</v>
      </c>
      <c r="E574" s="30" t="n">
        <v>32</v>
      </c>
      <c r="F574" s="19"/>
      <c r="G574" s="17" t="n">
        <f aca="false">E574*1.1</f>
        <v>35.2</v>
      </c>
      <c r="H574" s="3"/>
      <c r="I574" s="6" t="str">
        <f aca="false">CONCATENATE(A574,",",D574)</f>
        <v>AME 496,ED4-AUTO</v>
      </c>
      <c r="J574" s="12"/>
    </row>
    <row r="575" customFormat="false" ht="14.9" hidden="false" customHeight="false" outlineLevel="0" collapsed="false">
      <c r="A575" s="13" t="s">
        <v>447</v>
      </c>
      <c r="B575" s="18" t="str">
        <v>INDUSTRIAL AUTOMATIC CONTROL</v>
      </c>
      <c r="C575" s="14" t="str">
        <v>Opoku Daniel</v>
      </c>
      <c r="D575" s="13" t="s">
        <v>144</v>
      </c>
      <c r="E575" s="15" t="n">
        <v>205</v>
      </c>
      <c r="F575" s="19"/>
      <c r="G575" s="17" t="n">
        <f aca="false">E575*1.1</f>
        <v>225.5</v>
      </c>
      <c r="H575" s="3"/>
      <c r="I575" s="6" t="str">
        <f aca="false">CONCATENATE(A575,",",D575)</f>
        <v>EE 484,ED4-EE</v>
      </c>
      <c r="J575" s="12"/>
    </row>
    <row r="576" customFormat="false" ht="14.9" hidden="false" customHeight="false" outlineLevel="0" collapsed="false">
      <c r="A576" s="13" t="s">
        <v>448</v>
      </c>
      <c r="B576" s="14" t="str">
        <v>PETROLEUM PRODUCTION ENGINEERING</v>
      </c>
      <c r="C576" s="18" t="str">
        <v>Ankudey Emmanuel Godwin</v>
      </c>
      <c r="D576" s="13" t="s">
        <v>63</v>
      </c>
      <c r="E576" s="15" t="n">
        <v>53</v>
      </c>
      <c r="F576" s="19"/>
      <c r="G576" s="17" t="n">
        <f aca="false">E576*1.1</f>
        <v>58.3</v>
      </c>
      <c r="H576" s="3"/>
      <c r="I576" s="6" t="str">
        <f aca="false">CONCATENATE(A576,",",D576)</f>
        <v>PETE 354,ED3-PCE</v>
      </c>
      <c r="J576" s="12"/>
    </row>
    <row r="577" customFormat="false" ht="14.9" hidden="false" customHeight="false" outlineLevel="0" collapsed="false">
      <c r="A577" s="13" t="s">
        <v>449</v>
      </c>
      <c r="B577" s="18" t="str">
        <v>SHIP CONSTRUCTION</v>
      </c>
      <c r="C577" s="14" t="str">
        <v>Jehoshaphat Eyram Deh</v>
      </c>
      <c r="D577" s="13" t="s">
        <v>69</v>
      </c>
      <c r="E577" s="15" t="n">
        <v>23</v>
      </c>
      <c r="F577" s="19"/>
      <c r="G577" s="17" t="n">
        <f aca="false">E577*1.1</f>
        <v>25.3</v>
      </c>
      <c r="H577" s="3"/>
      <c r="I577" s="6" t="str">
        <f aca="false">CONCATENATE(A577,",",D577)</f>
        <v>MME 476,ED4-MARI</v>
      </c>
      <c r="J577" s="12"/>
    </row>
    <row r="578" customFormat="false" ht="14.9" hidden="false" customHeight="false" outlineLevel="0" collapsed="false">
      <c r="A578" s="22"/>
      <c r="B578" s="22"/>
      <c r="D578" s="14" t="s">
        <v>450</v>
      </c>
      <c r="E578" s="22" t="n">
        <f aca="false">SUM(E562:E577)</f>
        <v>1151</v>
      </c>
      <c r="F578" s="23"/>
      <c r="G578" s="22"/>
      <c r="I578" s="9" t="s">
        <v>451</v>
      </c>
      <c r="J578" s="12"/>
    </row>
    <row r="579" customFormat="false" ht="14.9" hidden="false" customHeight="false" outlineLevel="0" collapsed="false">
      <c r="A579" s="8" t="s">
        <v>452</v>
      </c>
      <c r="B579" s="8"/>
      <c r="C579" s="8"/>
      <c r="D579" s="8"/>
      <c r="E579" s="8"/>
      <c r="F579" s="8"/>
      <c r="G579" s="8"/>
      <c r="I579" s="9" t="s">
        <v>453</v>
      </c>
      <c r="J579" s="12"/>
    </row>
    <row r="580" customFormat="false" ht="14.9" hidden="false" customHeight="false" outlineLevel="0" collapsed="false">
      <c r="A580" s="8" t="s">
        <v>2</v>
      </c>
      <c r="B580" s="8"/>
      <c r="C580" s="8"/>
      <c r="D580" s="8"/>
      <c r="E580" s="8"/>
      <c r="F580" s="8"/>
      <c r="G580" s="8"/>
      <c r="I580" s="9" t="s">
        <v>149</v>
      </c>
      <c r="J580" s="12"/>
    </row>
    <row r="581" customFormat="false" ht="14.9" hidden="false" customHeight="false" outlineLevel="0" collapsed="false">
      <c r="A581" s="11" t="s">
        <v>4</v>
      </c>
      <c r="B581" s="11" t="s">
        <v>5</v>
      </c>
      <c r="C581" s="2" t="s">
        <v>6</v>
      </c>
      <c r="D581" s="11" t="s">
        <v>7</v>
      </c>
      <c r="E581" s="11" t="s">
        <v>8</v>
      </c>
      <c r="F581" s="2" t="s">
        <v>9</v>
      </c>
      <c r="G581" s="11" t="s">
        <v>10</v>
      </c>
      <c r="I581" s="9" t="s">
        <v>31</v>
      </c>
      <c r="J581" s="12"/>
    </row>
    <row r="582" customFormat="false" ht="14.9" hidden="false" customHeight="false" outlineLevel="0" collapsed="false">
      <c r="A582" s="13" t="s">
        <v>454</v>
      </c>
      <c r="B582" s="18" t="str">
        <f aca="false" t="array" ref="B582:B590">IFERROR(VLOOKUP(I582:I590,Lectures_1!A2:F534,2,FALSE()),0)</f>
        <v>ENGINEERING WORKSHOP PRACTICE</v>
      </c>
      <c r="C582" s="18" t="str">
        <f aca="false" t="array" ref="C582:C590">IFERROR(VLOOKUP(I582:I590,Lectures_1!A2:F534,3,FALSE()),0)</f>
        <v>Michael Adusei-Bonsu</v>
      </c>
      <c r="D582" s="13" t="s">
        <v>131</v>
      </c>
      <c r="E582" s="15" t="n">
        <f aca="false" t="array" ref="E582:E590">IFERROR(VLOOKUP(I582:I590,Lectures_1!A2:F534,4,FALSE()),0)</f>
        <v>128</v>
      </c>
      <c r="F582" s="19"/>
      <c r="G582" s="17" t="n">
        <f aca="false">E582*1.1</f>
        <v>140.8</v>
      </c>
      <c r="H582" s="3"/>
      <c r="I582" s="6" t="str">
        <f aca="false">CONCATENATE(A582,",",D582)</f>
        <v>AE 196,ED1-AE</v>
      </c>
      <c r="J582" s="12"/>
    </row>
    <row r="583" customFormat="false" ht="14.9" hidden="false" customHeight="false" outlineLevel="0" collapsed="false">
      <c r="A583" s="13" t="s">
        <v>455</v>
      </c>
      <c r="B583" s="18" t="str">
        <v>SOIL MECHANICS APPLICATION TO MECHANISATION</v>
      </c>
      <c r="C583" s="18" t="str">
        <v>Agodzo Sampson Kwaku</v>
      </c>
      <c r="D583" s="13" t="s">
        <v>88</v>
      </c>
      <c r="E583" s="15" t="n">
        <v>101</v>
      </c>
      <c r="F583" s="19"/>
      <c r="G583" s="17" t="n">
        <f aca="false">E583*1.1</f>
        <v>111.1</v>
      </c>
      <c r="H583" s="3"/>
      <c r="I583" s="6" t="str">
        <f aca="false">CONCATENATE(A583,",",D583)</f>
        <v>AE 352,ED3-AE</v>
      </c>
      <c r="J583" s="12"/>
    </row>
    <row r="584" customFormat="false" ht="14.9" hidden="false" customHeight="false" outlineLevel="0" collapsed="false">
      <c r="A584" s="13" t="s">
        <v>456</v>
      </c>
      <c r="B584" s="14" t="str">
        <v>AQUATIC STROKES DEVELOPMENT AND REFINEMENT</v>
      </c>
      <c r="C584" s="14" t="str">
        <v>Afrifa Daniel</v>
      </c>
      <c r="D584" s="13" t="s">
        <v>42</v>
      </c>
      <c r="E584" s="15" t="n">
        <v>37</v>
      </c>
      <c r="F584" s="19"/>
      <c r="G584" s="17" t="n">
        <f aca="false">E584*1.1</f>
        <v>40.7</v>
      </c>
      <c r="I584" s="6" t="str">
        <f aca="false">CONCATENATE(A584,",",D584)</f>
        <v>SES 172,ED2-MARI</v>
      </c>
      <c r="J584" s="12"/>
    </row>
    <row r="585" customFormat="false" ht="14.9" hidden="false" customHeight="false" outlineLevel="0" collapsed="false">
      <c r="A585" s="13" t="s">
        <v>457</v>
      </c>
      <c r="B585" s="18" t="str">
        <v>FAULT DIAGNOSIS AND FAILURE TOLERANCE</v>
      </c>
      <c r="C585" s="18" t="str">
        <v>Agbemenu Andrew Selasi</v>
      </c>
      <c r="D585" s="13" t="s">
        <v>251</v>
      </c>
      <c r="E585" s="15" t="n">
        <v>70</v>
      </c>
      <c r="F585" s="19"/>
      <c r="G585" s="17" t="n">
        <f aca="false">E585*1.1</f>
        <v>77</v>
      </c>
      <c r="H585" s="3"/>
      <c r="I585" s="6" t="str">
        <f aca="false">CONCATENATE(A585,",",D585)</f>
        <v>COE 480,ED4-COE</v>
      </c>
      <c r="J585" s="12"/>
    </row>
    <row r="586" customFormat="false" ht="14.9" hidden="false" customHeight="false" outlineLevel="0" collapsed="false">
      <c r="A586" s="13" t="s">
        <v>458</v>
      </c>
      <c r="B586" s="14" t="str">
        <v>FLUID MACHINERY</v>
      </c>
      <c r="C586" s="18" t="str">
        <v>Opoku Richard</v>
      </c>
      <c r="D586" s="13" t="s">
        <v>67</v>
      </c>
      <c r="E586" s="15" t="n">
        <v>80</v>
      </c>
      <c r="F586" s="19"/>
      <c r="G586" s="17" t="n">
        <f aca="false">E586*1.1</f>
        <v>88</v>
      </c>
      <c r="H586" s="3"/>
      <c r="I586" s="6" t="str">
        <f aca="false">CONCATENATE(A586,",",D586)</f>
        <v>ME 452,ED4-ME</v>
      </c>
      <c r="J586" s="12"/>
    </row>
    <row r="587" customFormat="false" ht="14.9" hidden="false" customHeight="false" outlineLevel="0" collapsed="false">
      <c r="A587" s="13" t="s">
        <v>459</v>
      </c>
      <c r="B587" s="18" t="str">
        <v>PRINCIPLE OF DESIGN</v>
      </c>
      <c r="C587" s="14" t="str">
        <v>Ayeh Felix Jojo Fianko</v>
      </c>
      <c r="D587" s="13" t="s">
        <v>56</v>
      </c>
      <c r="E587" s="15" t="n">
        <v>250</v>
      </c>
      <c r="F587" s="49"/>
      <c r="G587" s="17" t="n">
        <f aca="false">E587*1.1</f>
        <v>275</v>
      </c>
      <c r="H587" s="50"/>
      <c r="I587" s="6" t="str">
        <f aca="false">CONCATENATE(A587,",",D587)</f>
        <v>CE 272,ED2-CE</v>
      </c>
      <c r="J587" s="12"/>
    </row>
    <row r="588" customFormat="false" ht="14.9" hidden="false" customHeight="false" outlineLevel="0" collapsed="false">
      <c r="A588" s="13" t="s">
        <v>460</v>
      </c>
      <c r="B588" s="14" t="str">
        <v>FUNDAMENTALS OF DATA SCIENCE</v>
      </c>
      <c r="C588" s="14" t="str">
        <v>Obour Agyekum Kwame Opuni-Boachie</v>
      </c>
      <c r="D588" s="13" t="s">
        <v>172</v>
      </c>
      <c r="E588" s="15" t="n">
        <v>175</v>
      </c>
      <c r="F588" s="52" t="s">
        <v>21</v>
      </c>
      <c r="G588" s="17" t="n">
        <f aca="false">E588*1.1</f>
        <v>192.5</v>
      </c>
      <c r="I588" s="6" t="str">
        <f aca="false">CONCATENATE(A588,",",D588)</f>
        <v>TE 252,ED2-TEL</v>
      </c>
      <c r="J588" s="12"/>
    </row>
    <row r="589" s="45" customFormat="true" ht="14.9" hidden="false" customHeight="false" outlineLevel="0" collapsed="false">
      <c r="A589" s="13" t="s">
        <v>461</v>
      </c>
      <c r="B589" s="18" t="str">
        <v>ELEMENTARY FLUIDS MECHANICS</v>
      </c>
      <c r="C589" s="18" t="str">
        <v>Gyamfi Charles</v>
      </c>
      <c r="D589" s="13" t="s">
        <v>75</v>
      </c>
      <c r="E589" s="15" t="n">
        <v>245</v>
      </c>
      <c r="F589" s="53"/>
      <c r="G589" s="17" t="n">
        <f aca="false">E589*1.1</f>
        <v>269.5</v>
      </c>
      <c r="H589" s="3"/>
      <c r="I589" s="43" t="str">
        <f aca="false">CONCATENATE(A589,",",D589)</f>
        <v>CE 156,ED1-CE</v>
      </c>
      <c r="J589" s="44"/>
    </row>
    <row r="590" customFormat="false" ht="14.9" hidden="false" customHeight="false" outlineLevel="0" collapsed="false">
      <c r="A590" s="13" t="s">
        <v>461</v>
      </c>
      <c r="B590" s="14" t="str">
        <v>ELEMENTARY FLUIDS MECHANICS</v>
      </c>
      <c r="C590" s="14" t="str">
        <v>Gyamfi Charles</v>
      </c>
      <c r="D590" s="13" t="s">
        <v>126</v>
      </c>
      <c r="E590" s="15" t="n">
        <v>125</v>
      </c>
      <c r="F590" s="19"/>
      <c r="G590" s="17" t="n">
        <f aca="false">E590*1.1</f>
        <v>137.5</v>
      </c>
      <c r="H590" s="3"/>
      <c r="I590" s="6" t="str">
        <f aca="false">CONCATENATE(A590,",",D590)</f>
        <v>CE 156,ED1-GEOL</v>
      </c>
      <c r="J590" s="12"/>
    </row>
    <row r="591" customFormat="false" ht="14.9" hidden="false" customHeight="false" outlineLevel="0" collapsed="false">
      <c r="A591" s="22"/>
      <c r="B591" s="22"/>
      <c r="D591" s="14" t="s">
        <v>462</v>
      </c>
      <c r="E591" s="22" t="n">
        <f aca="false">SUM(E582:E590)</f>
        <v>1211</v>
      </c>
      <c r="F591" s="23"/>
      <c r="G591" s="22"/>
      <c r="I591" s="9" t="s">
        <v>463</v>
      </c>
      <c r="J591" s="12"/>
    </row>
    <row r="592" customFormat="false" ht="14.9" hidden="false" customHeight="false" outlineLevel="0" collapsed="false">
      <c r="A592" s="8" t="s">
        <v>452</v>
      </c>
      <c r="B592" s="8"/>
      <c r="C592" s="8"/>
      <c r="D592" s="8"/>
      <c r="E592" s="8"/>
      <c r="F592" s="8"/>
      <c r="G592" s="8"/>
      <c r="I592" s="9" t="s">
        <v>453</v>
      </c>
      <c r="J592" s="12"/>
    </row>
    <row r="593" customFormat="false" ht="14.9" hidden="false" customHeight="false" outlineLevel="0" collapsed="false">
      <c r="A593" s="8" t="s">
        <v>29</v>
      </c>
      <c r="B593" s="8"/>
      <c r="C593" s="8"/>
      <c r="D593" s="8"/>
      <c r="E593" s="8"/>
      <c r="F593" s="8"/>
      <c r="G593" s="8"/>
      <c r="I593" s="9" t="s">
        <v>30</v>
      </c>
      <c r="J593" s="12"/>
    </row>
    <row r="594" customFormat="false" ht="14.9" hidden="false" customHeight="false" outlineLevel="0" collapsed="false">
      <c r="A594" s="11" t="s">
        <v>4</v>
      </c>
      <c r="B594" s="11" t="s">
        <v>5</v>
      </c>
      <c r="C594" s="2" t="s">
        <v>6</v>
      </c>
      <c r="D594" s="11" t="s">
        <v>7</v>
      </c>
      <c r="E594" s="11" t="s">
        <v>8</v>
      </c>
      <c r="F594" s="2" t="s">
        <v>9</v>
      </c>
      <c r="G594" s="11" t="s">
        <v>10</v>
      </c>
      <c r="I594" s="9" t="s">
        <v>31</v>
      </c>
      <c r="J594" s="12"/>
    </row>
    <row r="595" customFormat="false" ht="14.9" hidden="false" customHeight="false" outlineLevel="0" collapsed="false">
      <c r="A595" s="13" t="s">
        <v>464</v>
      </c>
      <c r="B595" s="18" t="str">
        <f aca="false" t="array" ref="B595:B602">IFERROR(VLOOKUP(I595:I602,Lectures_1!A2:F534,2,FALSE()),0)</f>
        <v>DIGITAL COMMUNICATION SYSTEMS</v>
      </c>
      <c r="C595" s="18" t="str">
        <f aca="false" t="array" ref="C595:C602">IFERROR(VLOOKUP(I595:I602,Lectures_1!A2:F534,3,FALSE()),0)</f>
        <v>Affum Emmanuel Ampoma</v>
      </c>
      <c r="D595" s="13" t="s">
        <v>119</v>
      </c>
      <c r="E595" s="15" t="n">
        <f aca="false" t="array" ref="E595:E602">IFERROR(VLOOKUP(I595:I602,Lectures_1!A2:F534,4,FALSE()),0)</f>
        <v>140</v>
      </c>
      <c r="F595" s="19"/>
      <c r="G595" s="17" t="n">
        <f aca="false">E595*1.1</f>
        <v>154</v>
      </c>
      <c r="H595" s="3"/>
      <c r="I595" s="6" t="str">
        <f aca="false">CONCATENATE(A595,",",D595)</f>
        <v>TE 358,ED3-TEL</v>
      </c>
      <c r="J595" s="12"/>
    </row>
    <row r="596" customFormat="false" ht="14.9" hidden="false" customHeight="false" outlineLevel="0" collapsed="false">
      <c r="A596" s="13" t="s">
        <v>465</v>
      </c>
      <c r="B596" s="18" t="str">
        <v>DIGITAL COMMUNICATION SYSTEMS</v>
      </c>
      <c r="C596" s="18" t="str">
        <v>Charles Mawutor Adrah</v>
      </c>
      <c r="D596" s="13" t="s">
        <v>71</v>
      </c>
      <c r="E596" s="15" t="n">
        <v>240</v>
      </c>
      <c r="F596" s="19" t="s">
        <v>21</v>
      </c>
      <c r="G596" s="17" t="n">
        <f aca="false">E596*1.1</f>
        <v>264</v>
      </c>
      <c r="H596" s="3"/>
      <c r="I596" s="6" t="str">
        <f aca="false">CONCATENATE(A596,",",D596)</f>
        <v>TE 386,ED3-EE</v>
      </c>
      <c r="J596" s="12"/>
    </row>
    <row r="597" customFormat="false" ht="14.9" hidden="false" customHeight="false" outlineLevel="0" collapsed="false">
      <c r="A597" s="13" t="s">
        <v>466</v>
      </c>
      <c r="B597" s="14" t="str">
        <v>COMPUTER-AIDED DESIGN AND MODELLING</v>
      </c>
      <c r="C597" s="18" t="str">
        <v>Sackey Michael Nii</v>
      </c>
      <c r="D597" s="13" t="s">
        <v>36</v>
      </c>
      <c r="E597" s="15" t="n">
        <v>75</v>
      </c>
      <c r="F597" s="19"/>
      <c r="G597" s="17" t="n">
        <f aca="false">E597*1.1</f>
        <v>82.5</v>
      </c>
      <c r="H597" s="3"/>
      <c r="I597" s="6" t="str">
        <f aca="false">CONCATENATE(A597,",",D597)</f>
        <v>ME 258,ED2-AERO</v>
      </c>
      <c r="J597" s="12"/>
    </row>
    <row r="598" customFormat="false" ht="14.9" hidden="false" customHeight="false" outlineLevel="0" collapsed="false">
      <c r="A598" s="13" t="s">
        <v>467</v>
      </c>
      <c r="B598" s="14" t="str">
        <v>NUMERICAL METHODS FOR PETROLEUM ENGINEERS</v>
      </c>
      <c r="C598" s="14" t="str">
        <v>Sokama-Neuyam Yen Adams</v>
      </c>
      <c r="D598" s="13" t="s">
        <v>18</v>
      </c>
      <c r="E598" s="15" t="n">
        <v>80</v>
      </c>
      <c r="F598" s="19"/>
      <c r="G598" s="17" t="n">
        <f aca="false">E598*1.1</f>
        <v>88</v>
      </c>
      <c r="H598" s="3"/>
      <c r="I598" s="6" t="str">
        <f aca="false">CONCATENATE(A598,",",D598)</f>
        <v>PE 350,ED3-PE</v>
      </c>
      <c r="J598" s="12"/>
    </row>
    <row r="599" customFormat="false" ht="14.9" hidden="false" customHeight="false" outlineLevel="0" collapsed="false">
      <c r="A599" s="13" t="s">
        <v>468</v>
      </c>
      <c r="B599" s="14" t="str">
        <v>INTRODUCTION TO CERAMICS</v>
      </c>
      <c r="C599" s="14" t="str">
        <v>Andrews Anthony</v>
      </c>
      <c r="D599" s="13" t="s">
        <v>210</v>
      </c>
      <c r="E599" s="15" t="n">
        <v>83</v>
      </c>
      <c r="F599" s="19"/>
      <c r="G599" s="17" t="n">
        <f aca="false">E599*1.1</f>
        <v>91.3</v>
      </c>
      <c r="H599" s="3"/>
      <c r="I599" s="6" t="str">
        <f aca="false">CONCATENATE(A599,",",D599)</f>
        <v>MSE 254,ED2-MSE</v>
      </c>
      <c r="J599" s="12"/>
    </row>
    <row r="600" customFormat="false" ht="14.9" hidden="false" customHeight="false" outlineLevel="0" collapsed="false">
      <c r="A600" s="13" t="s">
        <v>469</v>
      </c>
      <c r="B600" s="14" t="str">
        <v>STRUCTURAL DYNAMICS</v>
      </c>
      <c r="C600" s="18" t="str">
        <v>Mark Adom-Asamoah</v>
      </c>
      <c r="D600" s="13" t="s">
        <v>103</v>
      </c>
      <c r="E600" s="15" t="n">
        <v>95</v>
      </c>
      <c r="F600" s="19"/>
      <c r="G600" s="17" t="n">
        <f aca="false">E600*1.1</f>
        <v>104.5</v>
      </c>
      <c r="H600" s="3"/>
      <c r="I600" s="29" t="str">
        <f aca="false">CONCATENATE(A600,",",D600)</f>
        <v>CE 456,ED4-CE</v>
      </c>
      <c r="J600" s="12"/>
    </row>
    <row r="601" s="45" customFormat="true" ht="14.9" hidden="false" customHeight="false" outlineLevel="0" collapsed="false">
      <c r="A601" s="13" t="s">
        <v>281</v>
      </c>
      <c r="B601" s="18" t="str">
        <v>CALCULUS WITH SEVERAL VARIABLES</v>
      </c>
      <c r="C601" s="14" t="str">
        <v>Emmanuel Kpeglo</v>
      </c>
      <c r="D601" s="13" t="s">
        <v>25</v>
      </c>
      <c r="E601" s="15" t="n">
        <v>340</v>
      </c>
      <c r="F601" s="53"/>
      <c r="G601" s="17" t="n">
        <f aca="false">E601*1.1</f>
        <v>374</v>
      </c>
      <c r="H601" s="50"/>
      <c r="I601" s="43" t="str">
        <f aca="false">CONCATENATE(A601,",",D601)</f>
        <v>MATH 252,ED2-EE</v>
      </c>
      <c r="J601" s="44"/>
    </row>
    <row r="602" s="45" customFormat="true" ht="14.9" hidden="false" customHeight="false" outlineLevel="0" collapsed="false">
      <c r="A602" s="13" t="s">
        <v>281</v>
      </c>
      <c r="B602" s="18" t="str">
        <v>CALCULUS OF SEVERAL VARIABLES</v>
      </c>
      <c r="C602" s="14" t="str">
        <v>Benedict Barnes</v>
      </c>
      <c r="D602" s="13" t="s">
        <v>13</v>
      </c>
      <c r="E602" s="15" t="n">
        <v>160</v>
      </c>
      <c r="F602" s="19"/>
      <c r="G602" s="17" t="n">
        <f aca="false">E602*1.1</f>
        <v>176</v>
      </c>
      <c r="H602" s="3"/>
      <c r="I602" s="43" t="str">
        <f aca="false">CONCATENATE(A602,",",D602)</f>
        <v>MATH 252,ED2-CHE</v>
      </c>
      <c r="J602" s="44"/>
    </row>
    <row r="603" customFormat="false" ht="13.8" hidden="false" customHeight="false" outlineLevel="0" collapsed="false">
      <c r="A603" s="22"/>
      <c r="B603" s="22"/>
      <c r="D603" s="14" t="s">
        <v>470</v>
      </c>
      <c r="E603" s="22" t="n">
        <f aca="false">SUM(E595:E602)</f>
        <v>1213</v>
      </c>
      <c r="F603" s="23"/>
      <c r="G603" s="22"/>
      <c r="I603" s="9"/>
      <c r="J603" s="12"/>
    </row>
    <row r="604" customFormat="false" ht="14.9" hidden="false" customHeight="false" outlineLevel="0" collapsed="false">
      <c r="A604" s="8" t="s">
        <v>452</v>
      </c>
      <c r="B604" s="8"/>
      <c r="C604" s="8"/>
      <c r="D604" s="8"/>
      <c r="E604" s="8"/>
      <c r="F604" s="8"/>
      <c r="G604" s="8"/>
      <c r="I604" s="9" t="s">
        <v>453</v>
      </c>
      <c r="J604" s="12"/>
    </row>
    <row r="605" customFormat="false" ht="14.9" hidden="false" customHeight="false" outlineLevel="0" collapsed="false">
      <c r="A605" s="8" t="s">
        <v>59</v>
      </c>
      <c r="B605" s="8"/>
      <c r="C605" s="8"/>
      <c r="D605" s="8"/>
      <c r="E605" s="8"/>
      <c r="F605" s="8"/>
      <c r="G605" s="8"/>
      <c r="I605" s="9" t="s">
        <v>128</v>
      </c>
      <c r="J605" s="12"/>
    </row>
    <row r="606" customFormat="false" ht="14.9" hidden="false" customHeight="false" outlineLevel="0" collapsed="false">
      <c r="A606" s="11" t="s">
        <v>4</v>
      </c>
      <c r="B606" s="11" t="s">
        <v>5</v>
      </c>
      <c r="C606" s="2" t="s">
        <v>6</v>
      </c>
      <c r="D606" s="11" t="s">
        <v>7</v>
      </c>
      <c r="E606" s="11" t="s">
        <v>8</v>
      </c>
      <c r="F606" s="2" t="s">
        <v>9</v>
      </c>
      <c r="G606" s="11" t="s">
        <v>10</v>
      </c>
      <c r="I606" s="9" t="s">
        <v>31</v>
      </c>
      <c r="J606" s="12"/>
    </row>
    <row r="607" customFormat="false" ht="14.9" hidden="false" customHeight="false" outlineLevel="0" collapsed="false">
      <c r="A607" s="13" t="s">
        <v>471</v>
      </c>
      <c r="B607" s="18" t="str">
        <f aca="false" t="array" ref="B607:B614">IFERROR(VLOOKUP(I607:I614,Lectures_1!A2:F534,2,FALSE()),0)</f>
        <v>PRINCIPLES OF VALUATION OF LAND AND BUILDING</v>
      </c>
      <c r="C607" s="18" t="str">
        <f aca="false" t="array" ref="C607:C614">IFERROR(VLOOKUP(I607:I614,Lectures_1!A2:F534,3,FALSE()),0)</f>
        <v>Ayitey Jonathan</v>
      </c>
      <c r="D607" s="13" t="s">
        <v>194</v>
      </c>
      <c r="E607" s="15" t="n">
        <f aca="false" t="array" ref="E607:E614">IFERROR(VLOOKUP(I607:I614,Lectures_1!A2:F534,4,FALSE()),0)</f>
        <v>93</v>
      </c>
      <c r="F607" s="19"/>
      <c r="G607" s="17" t="n">
        <f aca="false">E607*1.1</f>
        <v>102.3</v>
      </c>
      <c r="H607" s="3"/>
      <c r="I607" s="6" t="str">
        <f aca="false">CONCATENATE(A607,",",D607)</f>
        <v>GE 474,ED4-GEOM</v>
      </c>
      <c r="J607" s="12"/>
    </row>
    <row r="608" customFormat="false" ht="14.9" hidden="false" customHeight="false" outlineLevel="0" collapsed="false">
      <c r="A608" s="13" t="s">
        <v>472</v>
      </c>
      <c r="B608" s="14" t="str">
        <v>AEROSPACE SAFETY AND AIR SECURITY</v>
      </c>
      <c r="C608" s="18" t="str">
        <v>Peter Oppong Tawiah </v>
      </c>
      <c r="D608" s="13" t="s">
        <v>99</v>
      </c>
      <c r="E608" s="15" t="n">
        <v>61</v>
      </c>
      <c r="F608" s="13"/>
      <c r="G608" s="17" t="n">
        <f aca="false">E608*1.1</f>
        <v>67.1</v>
      </c>
      <c r="H608" s="3"/>
      <c r="I608" s="6" t="str">
        <f aca="false">CONCATENATE(A608,",",D608)</f>
        <v>AERO 492,ED4-AERO</v>
      </c>
      <c r="J608" s="12"/>
    </row>
    <row r="609" customFormat="false" ht="14.9" hidden="false" customHeight="false" outlineLevel="0" collapsed="false">
      <c r="A609" s="13" t="s">
        <v>473</v>
      </c>
      <c r="B609" s="11" t="str">
        <v>ELECTRICAL ENGINEERING MACHINES</v>
      </c>
      <c r="C609" s="14" t="str">
        <v>Yaw Opoku Mensah Sekyere</v>
      </c>
      <c r="D609" s="13" t="s">
        <v>61</v>
      </c>
      <c r="E609" s="15" t="n">
        <v>222</v>
      </c>
      <c r="F609" s="19"/>
      <c r="G609" s="17" t="n">
        <f aca="false">E609*1.1</f>
        <v>244.2</v>
      </c>
      <c r="H609" s="3"/>
      <c r="I609" s="6" t="str">
        <f aca="false">CONCATENATE(A609,",",D609)</f>
        <v>EE 252,ED3-ME</v>
      </c>
      <c r="J609" s="12"/>
    </row>
    <row r="610" customFormat="false" ht="14.9" hidden="false" customHeight="false" outlineLevel="0" collapsed="false">
      <c r="A610" s="13" t="s">
        <v>473</v>
      </c>
      <c r="B610" s="11" t="str">
        <v>ELECTRICAL ENGINEERING MACHINES</v>
      </c>
      <c r="C610" s="14" t="str">
        <v>Yaw Opoku Mensah Sekyere</v>
      </c>
      <c r="D610" s="13" t="s">
        <v>53</v>
      </c>
      <c r="E610" s="15" t="n">
        <v>155</v>
      </c>
      <c r="F610" s="19"/>
      <c r="G610" s="17" t="n">
        <f aca="false">E610*1.1</f>
        <v>170.5</v>
      </c>
      <c r="H610" s="3"/>
      <c r="I610" s="6" t="str">
        <f aca="false">CONCATENATE(A610,",",D610)</f>
        <v>EE 252,ED2-AE</v>
      </c>
      <c r="J610" s="12"/>
    </row>
    <row r="611" customFormat="false" ht="14.9" hidden="false" customHeight="false" outlineLevel="0" collapsed="false">
      <c r="A611" s="13" t="s">
        <v>474</v>
      </c>
      <c r="B611" s="14" t="str">
        <v>ELECTRICAL MACHINES</v>
      </c>
      <c r="C611" s="14" t="str">
        <v>Asigri Peter</v>
      </c>
      <c r="D611" s="13" t="s">
        <v>20</v>
      </c>
      <c r="E611" s="15" t="n">
        <v>262</v>
      </c>
      <c r="F611" s="54" t="s">
        <v>21</v>
      </c>
      <c r="G611" s="17" t="n">
        <f aca="false">E611*1.1</f>
        <v>288.2</v>
      </c>
      <c r="H611" s="50"/>
      <c r="I611" s="6" t="str">
        <f aca="false">CONCATENATE(A611,",",D611)</f>
        <v>EE 172,ED1-COE</v>
      </c>
      <c r="J611" s="12"/>
    </row>
    <row r="612" customFormat="false" ht="14.9" hidden="false" customHeight="false" outlineLevel="0" collapsed="false">
      <c r="A612" s="13" t="s">
        <v>475</v>
      </c>
      <c r="B612" s="18" t="str">
        <v>HYDROGRAPHIC SURVEYING AND MARINE SCIENCE</v>
      </c>
      <c r="C612" s="14" t="str">
        <v>Asante Cosmas Yaw</v>
      </c>
      <c r="D612" s="13" t="s">
        <v>170</v>
      </c>
      <c r="E612" s="15" t="n">
        <v>132</v>
      </c>
      <c r="F612" s="19"/>
      <c r="G612" s="17" t="n">
        <f aca="false">E612*1.1</f>
        <v>145.2</v>
      </c>
      <c r="H612" s="3"/>
      <c r="I612" s="6" t="str">
        <f aca="false">CONCATENATE(A612,",",D612)</f>
        <v>GE 284,ED2-GEOM</v>
      </c>
      <c r="J612" s="12"/>
    </row>
    <row r="613" customFormat="false" ht="14.9" hidden="false" customHeight="false" outlineLevel="0" collapsed="false">
      <c r="A613" s="13" t="s">
        <v>476</v>
      </c>
      <c r="B613" s="18" t="str">
        <v>SIMULTANEOUS HEAT/MASS TRANSFER</v>
      </c>
      <c r="C613" s="14" t="str">
        <v>Dogbe Eunice Sefakor Aku</v>
      </c>
      <c r="D613" s="13" t="s">
        <v>73</v>
      </c>
      <c r="E613" s="15" t="n">
        <v>105</v>
      </c>
      <c r="F613" s="19"/>
      <c r="G613" s="17" t="n">
        <f aca="false">E613*1.1</f>
        <v>115.5</v>
      </c>
      <c r="H613" s="3"/>
      <c r="I613" s="6" t="str">
        <f aca="false">CONCATENATE(A613,",",D613)</f>
        <v>CHE 354,ED3-CHE</v>
      </c>
      <c r="J613" s="12"/>
    </row>
    <row r="614" customFormat="false" ht="14.9" hidden="false" customHeight="false" outlineLevel="0" collapsed="false">
      <c r="A614" s="13" t="s">
        <v>477</v>
      </c>
      <c r="B614" s="14" t="str">
        <v>CROP STORAGE AND STORAGE STRUCTURES</v>
      </c>
      <c r="C614" s="14" t="str">
        <v>Bart Plange Ato</v>
      </c>
      <c r="D614" s="13" t="s">
        <v>50</v>
      </c>
      <c r="E614" s="15" t="n">
        <v>103</v>
      </c>
      <c r="F614" s="19"/>
      <c r="G614" s="17" t="n">
        <f aca="false">E614*1.1</f>
        <v>113.3</v>
      </c>
      <c r="H614" s="3"/>
      <c r="I614" s="6" t="str">
        <f aca="false">CONCATENATE(A614,",",D614)</f>
        <v>AE 464,ED4-AE</v>
      </c>
      <c r="J614" s="12"/>
    </row>
    <row r="615" customFormat="false" ht="14.9" hidden="false" customHeight="false" outlineLevel="0" collapsed="false">
      <c r="A615" s="22"/>
      <c r="B615" s="22"/>
      <c r="D615" s="14" t="s">
        <v>478</v>
      </c>
      <c r="E615" s="22" t="n">
        <f aca="false">SUM(E607:E614)</f>
        <v>1133</v>
      </c>
      <c r="F615" s="23"/>
      <c r="G615" s="22"/>
      <c r="I615" s="9" t="s">
        <v>479</v>
      </c>
      <c r="J615" s="12"/>
    </row>
    <row r="616" customFormat="false" ht="14.9" hidden="false" customHeight="false" outlineLevel="0" collapsed="false">
      <c r="A616" s="8" t="s">
        <v>480</v>
      </c>
      <c r="B616" s="8"/>
      <c r="C616" s="8"/>
      <c r="D616" s="8"/>
      <c r="E616" s="8"/>
      <c r="F616" s="8"/>
      <c r="G616" s="8"/>
      <c r="I616" s="9" t="s">
        <v>481</v>
      </c>
      <c r="J616" s="12"/>
    </row>
    <row r="617" customFormat="false" ht="14.9" hidden="false" customHeight="false" outlineLevel="0" collapsed="false">
      <c r="A617" s="8" t="s">
        <v>2</v>
      </c>
      <c r="B617" s="8"/>
      <c r="C617" s="8"/>
      <c r="D617" s="8"/>
      <c r="E617" s="8"/>
      <c r="F617" s="8"/>
      <c r="G617" s="8"/>
      <c r="I617" s="9" t="s">
        <v>149</v>
      </c>
      <c r="J617" s="12"/>
    </row>
    <row r="618" customFormat="false" ht="14.9" hidden="false" customHeight="false" outlineLevel="0" collapsed="false">
      <c r="A618" s="11" t="s">
        <v>4</v>
      </c>
      <c r="B618" s="11" t="s">
        <v>5</v>
      </c>
      <c r="C618" s="2" t="s">
        <v>6</v>
      </c>
      <c r="D618" s="11" t="s">
        <v>7</v>
      </c>
      <c r="E618" s="11" t="s">
        <v>8</v>
      </c>
      <c r="F618" s="2" t="s">
        <v>9</v>
      </c>
      <c r="G618" s="11" t="s">
        <v>10</v>
      </c>
      <c r="I618" s="9" t="s">
        <v>31</v>
      </c>
      <c r="J618" s="12"/>
    </row>
    <row r="619" customFormat="false" ht="14.9" hidden="false" customHeight="false" outlineLevel="0" collapsed="false">
      <c r="A619" s="13" t="s">
        <v>482</v>
      </c>
      <c r="B619" s="18" t="str">
        <f aca="false" t="array" ref="B619:B629">IFERROR(VLOOKUP(I619:I629,Lectures_1!A2:F534,2,FALSE()),0)</f>
        <v>LOGISTICS AND SUPPLY CHAIN ENGINEERING</v>
      </c>
      <c r="C619" s="14" t="str">
        <f aca="false" t="array" ref="C619:C629">IFERROR(VLOOKUP(I619:I629,Lectures_1!A2:F534,3,FALSE()),0)</f>
        <v>Asiedu Charlotte</v>
      </c>
      <c r="D619" s="13" t="s">
        <v>121</v>
      </c>
      <c r="E619" s="15" t="n">
        <f aca="false" t="array" ref="E619:E629">IFERROR(VLOOKUP(I619:I629,Lectures_1!A2:F534,4,FALSE()),0)</f>
        <v>70</v>
      </c>
      <c r="F619" s="13"/>
      <c r="G619" s="17" t="n">
        <f aca="false">E619*1.1</f>
        <v>77</v>
      </c>
      <c r="H619" s="3"/>
      <c r="I619" s="6" t="str">
        <f aca="false">CONCATENATE(A619,",",D619)</f>
        <v>IE 354,ED3-IND</v>
      </c>
      <c r="J619" s="12"/>
    </row>
    <row r="620" customFormat="false" ht="14.9" hidden="false" customHeight="false" outlineLevel="0" collapsed="false">
      <c r="A620" s="13" t="s">
        <v>483</v>
      </c>
      <c r="B620" s="14" t="str">
        <v>AEROSPACE DESIGN PROJECT I</v>
      </c>
      <c r="C620" s="18" t="str">
        <v>Afriyie Nyarko Frank Kwabena</v>
      </c>
      <c r="D620" s="13" t="s">
        <v>191</v>
      </c>
      <c r="E620" s="15" t="n">
        <v>70</v>
      </c>
      <c r="F620" s="19"/>
      <c r="G620" s="17" t="n">
        <f aca="false">E620*1.1</f>
        <v>77</v>
      </c>
      <c r="H620" s="3"/>
      <c r="I620" s="6" t="str">
        <f aca="false">CONCATENATE(A620,",",D620)</f>
        <v>AERO 174,ED1-AERO</v>
      </c>
      <c r="J620" s="12"/>
    </row>
    <row r="621" customFormat="false" ht="14.9" hidden="false" customHeight="false" outlineLevel="0" collapsed="false">
      <c r="A621" s="13" t="s">
        <v>484</v>
      </c>
      <c r="B621" s="18" t="str">
        <v>FIRST YEAR DESIGN PROJECT</v>
      </c>
      <c r="C621" s="14" t="str">
        <v>Afriyie Nyarko Frank Kwabena</v>
      </c>
      <c r="D621" s="13" t="s">
        <v>111</v>
      </c>
      <c r="E621" s="15" t="n">
        <v>83</v>
      </c>
      <c r="F621" s="19"/>
      <c r="G621" s="17" t="n">
        <f aca="false">E621*1.1</f>
        <v>91.3</v>
      </c>
      <c r="H621" s="3"/>
      <c r="I621" s="6" t="str">
        <f aca="false">CONCATENATE(A621,",",D621)</f>
        <v>IE 174,ED1-IND</v>
      </c>
      <c r="J621" s="12"/>
    </row>
    <row r="622" customFormat="false" ht="14.9" hidden="false" customHeight="false" outlineLevel="0" collapsed="false">
      <c r="A622" s="13" t="s">
        <v>485</v>
      </c>
      <c r="B622" s="18" t="str">
        <v>MARINE ENGINEERING DESIGN PROJECT I</v>
      </c>
      <c r="C622" s="14" t="str">
        <v>Afriyie Nyarko Frank Kwabena</v>
      </c>
      <c r="D622" s="13" t="s">
        <v>112</v>
      </c>
      <c r="E622" s="30" t="n">
        <v>46</v>
      </c>
      <c r="F622" s="19"/>
      <c r="G622" s="17" t="n">
        <f aca="false">E622*1.1</f>
        <v>50.6</v>
      </c>
      <c r="H622" s="3"/>
      <c r="I622" s="6" t="str">
        <f aca="false">CONCATENATE(A622,",",D622)</f>
        <v>MME 174,ED1-MARI</v>
      </c>
      <c r="J622" s="12"/>
    </row>
    <row r="623" customFormat="false" ht="14.9" hidden="false" customHeight="false" outlineLevel="0" collapsed="false">
      <c r="A623" s="13" t="s">
        <v>486</v>
      </c>
      <c r="B623" s="18" t="str">
        <v>PRODUCT DESIGN AND MANUFACTURING</v>
      </c>
      <c r="C623" s="18" t="str">
        <v>Afriyie Nyarko Frank Kwabena</v>
      </c>
      <c r="D623" s="13" t="s">
        <v>161</v>
      </c>
      <c r="E623" s="15" t="n">
        <v>225</v>
      </c>
      <c r="F623" s="55"/>
      <c r="G623" s="17" t="n">
        <f aca="false">E623*1.1</f>
        <v>247.5</v>
      </c>
      <c r="H623" s="3"/>
      <c r="I623" s="6" t="str">
        <f aca="false">CONCATENATE(A623,",",D623)</f>
        <v>ME 174,ED1-ME</v>
      </c>
      <c r="J623" s="12"/>
    </row>
    <row r="624" customFormat="false" ht="14.9" hidden="false" customHeight="false" outlineLevel="0" collapsed="false">
      <c r="A624" s="13" t="s">
        <v>486</v>
      </c>
      <c r="B624" s="18" t="str">
        <v>PRODUCT DESIGN AND MANUFACTURING</v>
      </c>
      <c r="C624" s="18" t="str">
        <v>Afriyie Nyarko Frank Kwabena</v>
      </c>
      <c r="D624" s="13" t="s">
        <v>162</v>
      </c>
      <c r="E624" s="15" t="n">
        <v>85</v>
      </c>
      <c r="F624" s="19"/>
      <c r="G624" s="17" t="n">
        <f aca="false">E624*1.1</f>
        <v>93.5</v>
      </c>
      <c r="H624" s="3"/>
      <c r="I624" s="6" t="str">
        <f aca="false">CONCATENATE(A624,",",D624)</f>
        <v>ME 174,ED1-AUTO</v>
      </c>
      <c r="J624" s="12"/>
    </row>
    <row r="625" customFormat="false" ht="14.9" hidden="false" customHeight="false" outlineLevel="0" collapsed="false">
      <c r="A625" s="13" t="s">
        <v>487</v>
      </c>
      <c r="B625" s="18" t="str">
        <v>ORE BENEFICIATION</v>
      </c>
      <c r="C625" s="18" t="str">
        <v>Koomson Bennetta</v>
      </c>
      <c r="D625" s="13" t="s">
        <v>101</v>
      </c>
      <c r="E625" s="15" t="n">
        <v>57</v>
      </c>
      <c r="F625" s="26"/>
      <c r="G625" s="17" t="n">
        <f aca="false">E625*1.1</f>
        <v>62.7</v>
      </c>
      <c r="H625" s="26"/>
      <c r="I625" s="6" t="str">
        <f aca="false">CONCATENATE(A625,",",D625)</f>
        <v>METE 254,ED2-METE</v>
      </c>
      <c r="J625" s="12"/>
    </row>
    <row r="626" customFormat="false" ht="14.9" hidden="false" customHeight="false" outlineLevel="0" collapsed="false">
      <c r="A626" s="13" t="s">
        <v>488</v>
      </c>
      <c r="B626" s="14" t="str">
        <v>PHYSICAL CHEMISTRY FOR ENGINEERS</v>
      </c>
      <c r="C626" s="18" t="str">
        <v>Boakye Patrick</v>
      </c>
      <c r="D626" s="13" t="s">
        <v>82</v>
      </c>
      <c r="E626" s="15" t="n">
        <v>130</v>
      </c>
      <c r="F626" s="19"/>
      <c r="G626" s="17" t="n">
        <f aca="false">E626*1.1</f>
        <v>143</v>
      </c>
      <c r="H626" s="3"/>
      <c r="I626" s="6" t="str">
        <f aca="false">CONCATENATE(A626,",",D626)</f>
        <v>PE 156,ED1-PE</v>
      </c>
      <c r="J626" s="12"/>
    </row>
    <row r="627" customFormat="false" ht="14.9" hidden="false" customHeight="false" outlineLevel="0" collapsed="false">
      <c r="A627" s="13" t="s">
        <v>302</v>
      </c>
      <c r="B627" s="14" t="str">
        <v>PHYSICAL CHEMISTRY FOR ENGINEERS</v>
      </c>
      <c r="C627" s="14" t="str">
        <v>Boakye Patrick</v>
      </c>
      <c r="D627" s="13" t="s">
        <v>81</v>
      </c>
      <c r="E627" s="15" t="n">
        <v>56</v>
      </c>
      <c r="F627" s="19"/>
      <c r="G627" s="17" t="n">
        <f aca="false">E627*1.1</f>
        <v>61.6</v>
      </c>
      <c r="H627" s="3"/>
      <c r="I627" s="6" t="str">
        <f aca="false">CONCATENATE(A627,",",D627)</f>
        <v>CHE 156,ED1-PCE</v>
      </c>
      <c r="J627" s="12"/>
    </row>
    <row r="628" customFormat="false" ht="14.9" hidden="false" customHeight="false" outlineLevel="0" collapsed="false">
      <c r="A628" s="13" t="s">
        <v>489</v>
      </c>
      <c r="B628" s="14" t="str">
        <v>LARGE SCALE SURVEYING</v>
      </c>
      <c r="C628" s="14" t="str">
        <v>Dadzie Isaac</v>
      </c>
      <c r="D628" s="13" t="s">
        <v>56</v>
      </c>
      <c r="E628" s="15" t="n">
        <v>250</v>
      </c>
      <c r="F628" s="19"/>
      <c r="G628" s="17" t="n">
        <f aca="false">E628*1.1</f>
        <v>275</v>
      </c>
      <c r="H628" s="3"/>
      <c r="I628" s="6" t="str">
        <f aca="false">CONCATENATE(A628,",",D628)</f>
        <v>GE 282,ED2-CE</v>
      </c>
      <c r="J628" s="12"/>
    </row>
    <row r="629" customFormat="false" ht="14.9" hidden="false" customHeight="false" outlineLevel="0" collapsed="false">
      <c r="A629" s="13" t="s">
        <v>489</v>
      </c>
      <c r="B629" s="14" t="str">
        <v>LARGE SCALE SURVEYING</v>
      </c>
      <c r="C629" s="14" t="str">
        <v>Dadzie Isaac</v>
      </c>
      <c r="D629" s="13" t="s">
        <v>55</v>
      </c>
      <c r="E629" s="15" t="n">
        <v>150</v>
      </c>
      <c r="F629" s="19"/>
      <c r="G629" s="17" t="n">
        <f aca="false">E629*1.1</f>
        <v>165</v>
      </c>
      <c r="H629" s="3"/>
      <c r="I629" s="6" t="str">
        <f aca="false">CONCATENATE(A629,",",D629)</f>
        <v>GE 282,ED2-GEOL</v>
      </c>
      <c r="J629" s="12"/>
    </row>
    <row r="630" customFormat="false" ht="14.9" hidden="false" customHeight="false" outlineLevel="0" collapsed="false">
      <c r="A630" s="22"/>
      <c r="B630" s="22"/>
      <c r="D630" s="14" t="s">
        <v>490</v>
      </c>
      <c r="E630" s="22" t="n">
        <f aca="false">SUM(E619:E629)</f>
        <v>1222</v>
      </c>
      <c r="F630" s="23"/>
      <c r="G630" s="22"/>
      <c r="I630" s="9" t="s">
        <v>491</v>
      </c>
      <c r="J630" s="12"/>
    </row>
    <row r="631" customFormat="false" ht="13.8" hidden="false" customHeight="false" outlineLevel="0" collapsed="false">
      <c r="G631" s="1"/>
      <c r="J631" s="42"/>
    </row>
    <row r="632" customFormat="false" ht="12.75" hidden="false" customHeight="false" outlineLevel="0" collapsed="false">
      <c r="G632" s="1"/>
    </row>
    <row r="633" customFormat="false" ht="14.9" hidden="false" customHeight="false" outlineLevel="0" collapsed="false">
      <c r="A633" s="8" t="s">
        <v>480</v>
      </c>
      <c r="B633" s="8"/>
      <c r="C633" s="8"/>
      <c r="D633" s="8"/>
      <c r="E633" s="8"/>
      <c r="F633" s="8"/>
      <c r="G633" s="8"/>
      <c r="I633" s="9" t="s">
        <v>481</v>
      </c>
      <c r="J633" s="12"/>
    </row>
    <row r="634" customFormat="false" ht="14.9" hidden="false" customHeight="false" outlineLevel="0" collapsed="false">
      <c r="A634" s="8" t="s">
        <v>29</v>
      </c>
      <c r="B634" s="8"/>
      <c r="C634" s="8"/>
      <c r="D634" s="8"/>
      <c r="E634" s="8"/>
      <c r="F634" s="8"/>
      <c r="G634" s="8"/>
      <c r="I634" s="9" t="s">
        <v>30</v>
      </c>
      <c r="J634" s="12"/>
    </row>
    <row r="635" customFormat="false" ht="14.9" hidden="false" customHeight="false" outlineLevel="0" collapsed="false">
      <c r="A635" s="11" t="s">
        <v>4</v>
      </c>
      <c r="B635" s="11" t="s">
        <v>5</v>
      </c>
      <c r="C635" s="2" t="s">
        <v>6</v>
      </c>
      <c r="D635" s="11" t="s">
        <v>7</v>
      </c>
      <c r="E635" s="11" t="s">
        <v>8</v>
      </c>
      <c r="F635" s="2" t="s">
        <v>9</v>
      </c>
      <c r="G635" s="11" t="s">
        <v>10</v>
      </c>
      <c r="I635" s="9" t="s">
        <v>31</v>
      </c>
      <c r="J635" s="12"/>
    </row>
    <row r="636" customFormat="false" ht="14.9" hidden="false" customHeight="false" outlineLevel="0" collapsed="false">
      <c r="A636" s="13" t="s">
        <v>492</v>
      </c>
      <c r="B636" s="14" t="str">
        <f aca="false" t="array" ref="B636:B646">IFERROR(VLOOKUP(I636:I646,Lectures_1!A2:F534,2,FALSE()),0)</f>
        <v>INTRODUCTION TO PROGRAMMING - I</v>
      </c>
      <c r="C636" s="14" t="str">
        <f aca="false" t="array" ref="C636:C646">IFERROR(VLOOKUP(I636:I646,Lectures_1!A2:F534,3,FALSE()),0)</f>
        <v>Agyemang Justice Owusu</v>
      </c>
      <c r="D636" s="13" t="s">
        <v>91</v>
      </c>
      <c r="E636" s="15" t="n">
        <f aca="false" t="array" ref="E636:E646">IFERROR(VLOOKUP(I636:I646,Lectures_1!A2:F534,4,FALSE()),0)</f>
        <v>130</v>
      </c>
      <c r="F636" s="53" t="s">
        <v>21</v>
      </c>
      <c r="G636" s="17" t="n">
        <f aca="false">E636*1.1</f>
        <v>143</v>
      </c>
      <c r="H636" s="50"/>
      <c r="I636" s="6" t="str">
        <f aca="false">CONCATENATE(A636,",",D636)</f>
        <v>TE 158,ED1-TEL</v>
      </c>
      <c r="J636" s="12"/>
    </row>
    <row r="637" customFormat="false" ht="14.9" hidden="false" customHeight="false" outlineLevel="0" collapsed="false">
      <c r="A637" s="13" t="s">
        <v>493</v>
      </c>
      <c r="B637" s="18" t="str">
        <v>AUTOMOTIVE ELECTRICAL SYSTEMS AND ELECTRONICS</v>
      </c>
      <c r="C637" s="18" t="str">
        <v>Ayetor Godwin Kafui Kwesi</v>
      </c>
      <c r="D637" s="13" t="s">
        <v>40</v>
      </c>
      <c r="E637" s="15" t="n">
        <v>82</v>
      </c>
      <c r="F637" s="13" t="s">
        <v>21</v>
      </c>
      <c r="G637" s="17" t="n">
        <f aca="false">E637*1.1</f>
        <v>90.2</v>
      </c>
      <c r="H637" s="3"/>
      <c r="I637" s="6" t="str">
        <f aca="false">CONCATENATE(A637,",",D637)</f>
        <v>AME 252,ED2-AUTO</v>
      </c>
      <c r="J637" s="12"/>
    </row>
    <row r="638" customFormat="false" ht="14.9" hidden="false" customHeight="false" outlineLevel="0" collapsed="false">
      <c r="A638" s="13" t="s">
        <v>494</v>
      </c>
      <c r="B638" s="14" t="str">
        <v>RESERVOIR FLUID PROPERTIES</v>
      </c>
      <c r="C638" s="14" t="str">
        <v>Casper Daniel Adenutsi</v>
      </c>
      <c r="D638" s="13" t="s">
        <v>93</v>
      </c>
      <c r="E638" s="15" t="n">
        <v>95</v>
      </c>
      <c r="F638" s="19"/>
      <c r="G638" s="17" t="n">
        <f aca="false">E638*1.1</f>
        <v>104.5</v>
      </c>
      <c r="H638" s="3"/>
      <c r="I638" s="6" t="str">
        <f aca="false">CONCATENATE(A638,",",D638)</f>
        <v>PE 260,ED2-PE</v>
      </c>
      <c r="J638" s="12"/>
    </row>
    <row r="639" customFormat="false" ht="14.9" hidden="false" customHeight="false" outlineLevel="0" collapsed="false">
      <c r="A639" s="13" t="s">
        <v>495</v>
      </c>
      <c r="B639" s="14" t="str">
        <v>QUANTITIES AND COST ESTIMATION IN CIVIL ENGINEERING</v>
      </c>
      <c r="C639" s="14" t="str">
        <v>Osei Jack Banahene</v>
      </c>
      <c r="D639" s="13" t="s">
        <v>157</v>
      </c>
      <c r="E639" s="15" t="n">
        <v>230</v>
      </c>
      <c r="F639" s="53"/>
      <c r="G639" s="17" t="n">
        <f aca="false">E639*1.1</f>
        <v>253</v>
      </c>
      <c r="H639" s="50"/>
      <c r="I639" s="6" t="str">
        <f aca="false">CONCATENATE(A639,",",D639)</f>
        <v>CE 376,ED3-CE</v>
      </c>
      <c r="J639" s="12"/>
    </row>
    <row r="640" customFormat="false" ht="14.9" hidden="false" customHeight="false" outlineLevel="0" collapsed="false">
      <c r="A640" s="13" t="s">
        <v>496</v>
      </c>
      <c r="B640" s="11" t="str">
        <v>KINETICS AND REACTIONS ENGINEERING</v>
      </c>
      <c r="C640" s="14" t="str">
        <v>Augustine Ntiamoah</v>
      </c>
      <c r="D640" s="13" t="s">
        <v>63</v>
      </c>
      <c r="E640" s="15" t="n">
        <v>53</v>
      </c>
      <c r="F640" s="26"/>
      <c r="G640" s="17" t="n">
        <f aca="false">E640*1.1</f>
        <v>58.3</v>
      </c>
      <c r="H640" s="27"/>
      <c r="I640" s="6" t="str">
        <f aca="false">CONCATENATE(A640,",",D640)</f>
        <v>PCE 350,ED3-PCE</v>
      </c>
      <c r="J640" s="12"/>
    </row>
    <row r="641" customFormat="false" ht="14.9" hidden="false" customHeight="false" outlineLevel="0" collapsed="false">
      <c r="A641" s="13" t="s">
        <v>497</v>
      </c>
      <c r="B641" s="14" t="str">
        <v>MINING PRINCIPLES AND SYSTEMS</v>
      </c>
      <c r="C641" s="14" t="str">
        <v>Owusu-Sarpong Seth</v>
      </c>
      <c r="D641" s="13" t="s">
        <v>154</v>
      </c>
      <c r="E641" s="15" t="n">
        <v>154</v>
      </c>
      <c r="F641" s="19"/>
      <c r="G641" s="17" t="n">
        <f aca="false">E641*1.1</f>
        <v>169.4</v>
      </c>
      <c r="H641" s="3"/>
      <c r="I641" s="6" t="str">
        <f aca="false">CONCATENATE(A641,",",D641)</f>
        <v>GED 342,ED3-GEOL</v>
      </c>
      <c r="J641" s="12"/>
    </row>
    <row r="642" customFormat="false" ht="14.9" hidden="false" customHeight="false" outlineLevel="0" collapsed="false">
      <c r="A642" s="13" t="s">
        <v>498</v>
      </c>
      <c r="B642" s="18" t="str">
        <v>RESEARCH METHODS FOR ENGINEERS</v>
      </c>
      <c r="C642" s="14" t="str">
        <v>Amponsah William</v>
      </c>
      <c r="D642" s="13" t="s">
        <v>88</v>
      </c>
      <c r="E642" s="15" t="n">
        <v>101</v>
      </c>
      <c r="F642" s="19"/>
      <c r="G642" s="17" t="n">
        <f aca="false">E642*1.1</f>
        <v>111.1</v>
      </c>
      <c r="H642" s="3"/>
      <c r="I642" s="6" t="str">
        <f aca="false">CONCATENATE(A642,",",D642)</f>
        <v>AE 362,ED3-AE</v>
      </c>
      <c r="J642" s="12"/>
    </row>
    <row r="643" customFormat="false" ht="14.9" hidden="false" customHeight="false" outlineLevel="0" collapsed="false">
      <c r="A643" s="13" t="s">
        <v>499</v>
      </c>
      <c r="B643" s="18" t="str">
        <v>NUMERICAL METHODS FOR ENGINEERS</v>
      </c>
      <c r="C643" s="18" t="str">
        <v>Nartey Martinson Addo</v>
      </c>
      <c r="D643" s="13" t="s">
        <v>142</v>
      </c>
      <c r="E643" s="15" t="n">
        <v>87</v>
      </c>
      <c r="F643" s="13"/>
      <c r="G643" s="17" t="n">
        <f aca="false">E643*1.1</f>
        <v>95.7</v>
      </c>
      <c r="H643" s="3"/>
      <c r="I643" s="6" t="str">
        <f aca="false">CONCATENATE(A643,",",D643)</f>
        <v>MSE 358,ED3-METE</v>
      </c>
      <c r="J643" s="12"/>
    </row>
    <row r="644" customFormat="false" ht="14.9" hidden="false" customHeight="false" outlineLevel="0" collapsed="false">
      <c r="A644" s="13" t="s">
        <v>499</v>
      </c>
      <c r="B644" s="18" t="str">
        <v>NUMERICAL METHODS FOR ENGINEERS</v>
      </c>
      <c r="C644" s="18" t="str">
        <v>Nartey Martinson Addo</v>
      </c>
      <c r="D644" s="13" t="s">
        <v>140</v>
      </c>
      <c r="E644" s="15" t="n">
        <v>85</v>
      </c>
      <c r="F644" s="13"/>
      <c r="G644" s="17" t="n">
        <f aca="false">E644*1.1</f>
        <v>93.5</v>
      </c>
      <c r="H644" s="3"/>
      <c r="I644" s="6" t="str">
        <f aca="false">CONCATENATE(A644,",",D644)</f>
        <v>MSE 358,ED3-MSE</v>
      </c>
      <c r="J644" s="12"/>
    </row>
    <row r="645" customFormat="false" ht="14.25" hidden="false" customHeight="true" outlineLevel="0" collapsed="false">
      <c r="A645" s="13" t="s">
        <v>500</v>
      </c>
      <c r="B645" s="18" t="str">
        <v>ENVIRONMENTAL SCIENCE</v>
      </c>
      <c r="C645" s="14" t="str">
        <v>Koomson Bennetta</v>
      </c>
      <c r="D645" s="13" t="s">
        <v>114</v>
      </c>
      <c r="E645" s="15" t="n">
        <v>75</v>
      </c>
      <c r="F645" s="19"/>
      <c r="G645" s="17" t="n">
        <f aca="false">E645*1.1</f>
        <v>82.5</v>
      </c>
      <c r="H645" s="3"/>
      <c r="I645" s="6" t="str">
        <f aca="false">CONCATENATE(A645,",",D645)</f>
        <v>METE 154,ED1-METE</v>
      </c>
      <c r="J645" s="12"/>
    </row>
    <row r="646" customFormat="false" ht="14.9" hidden="false" customHeight="false" outlineLevel="0" collapsed="false">
      <c r="A646" s="13" t="s">
        <v>500</v>
      </c>
      <c r="B646" s="18" t="str">
        <v>ENVIRONMENTAL SCIENCE</v>
      </c>
      <c r="C646" s="14" t="str">
        <v>Koomson Bennetta</v>
      </c>
      <c r="D646" s="13" t="s">
        <v>115</v>
      </c>
      <c r="E646" s="15" t="n">
        <v>100</v>
      </c>
      <c r="F646" s="19"/>
      <c r="G646" s="17" t="n">
        <f aca="false">E646*1.1</f>
        <v>110</v>
      </c>
      <c r="H646" s="3"/>
      <c r="I646" s="6" t="str">
        <f aca="false">CONCATENATE(A646,",",D646)</f>
        <v>METE 154,ED1-MSE</v>
      </c>
      <c r="J646" s="12"/>
    </row>
    <row r="647" customFormat="false" ht="13.8" hidden="false" customHeight="false" outlineLevel="0" collapsed="false">
      <c r="A647" s="22"/>
      <c r="B647" s="22"/>
      <c r="D647" s="14" t="s">
        <v>501</v>
      </c>
      <c r="E647" s="22" t="n">
        <f aca="false">SUM(E636:E646)</f>
        <v>1192</v>
      </c>
      <c r="F647" s="23"/>
      <c r="G647" s="22"/>
      <c r="I647" s="9"/>
      <c r="J647" s="12"/>
    </row>
    <row r="648" customFormat="false" ht="12.75" hidden="false" customHeight="false" outlineLevel="0" collapsed="false">
      <c r="G648" s="1"/>
    </row>
    <row r="649" customFormat="false" ht="14.9" hidden="false" customHeight="false" outlineLevel="0" collapsed="false">
      <c r="A649" s="8" t="s">
        <v>480</v>
      </c>
      <c r="B649" s="8"/>
      <c r="C649" s="8"/>
      <c r="D649" s="8"/>
      <c r="E649" s="8"/>
      <c r="F649" s="8"/>
      <c r="G649" s="8"/>
      <c r="I649" s="9" t="s">
        <v>481</v>
      </c>
      <c r="J649" s="12"/>
    </row>
    <row r="650" customFormat="false" ht="14.9" hidden="false" customHeight="false" outlineLevel="0" collapsed="false">
      <c r="A650" s="8" t="s">
        <v>59</v>
      </c>
      <c r="B650" s="8"/>
      <c r="C650" s="8"/>
      <c r="D650" s="8"/>
      <c r="E650" s="8"/>
      <c r="F650" s="8"/>
      <c r="G650" s="8"/>
      <c r="I650" s="9" t="s">
        <v>128</v>
      </c>
      <c r="J650" s="12"/>
    </row>
    <row r="651" customFormat="false" ht="14.9" hidden="false" customHeight="false" outlineLevel="0" collapsed="false">
      <c r="A651" s="11" t="s">
        <v>4</v>
      </c>
      <c r="B651" s="11" t="s">
        <v>5</v>
      </c>
      <c r="C651" s="2" t="s">
        <v>6</v>
      </c>
      <c r="D651" s="11" t="s">
        <v>7</v>
      </c>
      <c r="E651" s="11" t="s">
        <v>8</v>
      </c>
      <c r="F651" s="2" t="s">
        <v>9</v>
      </c>
      <c r="G651" s="11" t="s">
        <v>10</v>
      </c>
      <c r="H651" s="27"/>
      <c r="I651" s="9" t="s">
        <v>31</v>
      </c>
      <c r="J651" s="12"/>
    </row>
    <row r="652" customFormat="false" ht="14.9" hidden="false" customHeight="false" outlineLevel="0" collapsed="false">
      <c r="A652" s="13" t="s">
        <v>502</v>
      </c>
      <c r="B652" s="14" t="str">
        <f aca="false" t="array" ref="B652:B665">IFERROR(VLOOKUP(I652:I665,Lectures_1!A2:F534,2,FALSE()),0)</f>
        <v>WELL COMPLETION AND STIMULATION</v>
      </c>
      <c r="C652" s="14" t="str">
        <f aca="false" t="array" ref="C652:C665">IFERROR(VLOOKUP(I652:I665,Lectures_1!A2:F534,3,FALSE()),0)</f>
        <v>Erzuah Samuel</v>
      </c>
      <c r="D652" s="13" t="s">
        <v>46</v>
      </c>
      <c r="E652" s="15" t="n">
        <f aca="false" t="array" ref="E652:E665">IFERROR(VLOOKUP(I652:I665,Lectures_1!A2:F534,4,FALSE()),0)</f>
        <v>99</v>
      </c>
      <c r="F652" s="26"/>
      <c r="G652" s="17" t="n">
        <f aca="false">E652*1.1</f>
        <v>108.9</v>
      </c>
      <c r="H652" s="26"/>
      <c r="I652" s="6" t="str">
        <f aca="false">CONCATENATE(A652,",",D652)</f>
        <v>PE 456,ED4-PE</v>
      </c>
      <c r="J652" s="12"/>
    </row>
    <row r="653" customFormat="false" ht="14.9" hidden="false" customHeight="false" outlineLevel="0" collapsed="false">
      <c r="A653" s="13" t="s">
        <v>503</v>
      </c>
      <c r="B653" s="14" t="str">
        <v>BIOMEDICAL OPTICS</v>
      </c>
      <c r="C653" s="14" t="str">
        <v>Kotei Addison Eric Clement</v>
      </c>
      <c r="D653" s="13" t="s">
        <v>65</v>
      </c>
      <c r="E653" s="15" t="n">
        <v>90</v>
      </c>
      <c r="F653" s="26"/>
      <c r="G653" s="17" t="n">
        <f aca="false">E653*1.1</f>
        <v>99</v>
      </c>
      <c r="H653" s="26"/>
      <c r="I653" s="6" t="str">
        <f aca="false">CONCATENATE(A653,",",D653)</f>
        <v>BME 374,ED3-BME</v>
      </c>
      <c r="J653" s="12"/>
    </row>
    <row r="654" customFormat="false" ht="14.9" hidden="false" customHeight="false" outlineLevel="0" collapsed="false">
      <c r="A654" s="13" t="s">
        <v>504</v>
      </c>
      <c r="B654" s="14" t="str">
        <v>INTRODUCTION TO VLSI</v>
      </c>
      <c r="C654" s="18" t="str">
        <v>Agbemenu Andrew Selasi</v>
      </c>
      <c r="D654" s="13" t="s">
        <v>144</v>
      </c>
      <c r="E654" s="15" t="n">
        <v>15</v>
      </c>
      <c r="F654" s="19"/>
      <c r="G654" s="17" t="n">
        <f aca="false">E654*1.1</f>
        <v>16.5</v>
      </c>
      <c r="H654" s="3"/>
      <c r="I654" s="6" t="str">
        <f aca="false">CONCATENATE(A654,",",D654)</f>
        <v>COE 486,ED4-EE</v>
      </c>
      <c r="J654" s="12"/>
    </row>
    <row r="655" customFormat="false" ht="14.9" hidden="false" customHeight="false" outlineLevel="0" collapsed="false">
      <c r="A655" s="13" t="s">
        <v>504</v>
      </c>
      <c r="B655" s="14" t="str">
        <v>VLSI CIRCUIT DESIGN</v>
      </c>
      <c r="C655" s="18" t="str">
        <v>Agbemenu Andrew Selasi</v>
      </c>
      <c r="D655" s="13" t="s">
        <v>251</v>
      </c>
      <c r="E655" s="15" t="n">
        <v>20</v>
      </c>
      <c r="F655" s="19"/>
      <c r="G655" s="17" t="n">
        <f aca="false">E655*1.1</f>
        <v>22</v>
      </c>
      <c r="H655" s="3"/>
      <c r="I655" s="6" t="str">
        <f aca="false">CONCATENATE(A655,",",D655)</f>
        <v>COE 486,ED4-COE</v>
      </c>
      <c r="J655" s="12"/>
    </row>
    <row r="656" customFormat="false" ht="14.9" hidden="false" customHeight="false" outlineLevel="0" collapsed="false">
      <c r="A656" s="13" t="s">
        <v>505</v>
      </c>
      <c r="B656" s="14" t="str">
        <v>SOFTWARE ENGINEERING</v>
      </c>
      <c r="C656" s="18" t="str">
        <v>Keelson Eliel</v>
      </c>
      <c r="D656" s="19" t="s">
        <v>251</v>
      </c>
      <c r="E656" s="15" t="n">
        <v>115</v>
      </c>
      <c r="F656" s="26"/>
      <c r="G656" s="17" t="n">
        <f aca="false">E656*1.1</f>
        <v>126.5</v>
      </c>
      <c r="I656" s="6" t="str">
        <f aca="false">CONCATENATE(A656,",",D656)</f>
        <v>COE 454,ED4-COE</v>
      </c>
      <c r="J656" s="12"/>
    </row>
    <row r="657" customFormat="false" ht="14.9" hidden="false" customHeight="false" outlineLevel="0" collapsed="false">
      <c r="A657" s="13" t="s">
        <v>506</v>
      </c>
      <c r="B657" s="14" t="str">
        <v>SHIP OPERATION, REGULATION AND MANAGEMENT</v>
      </c>
      <c r="C657" s="18" t="str">
        <v>Sackey Michael Nii</v>
      </c>
      <c r="D657" s="13" t="s">
        <v>69</v>
      </c>
      <c r="E657" s="15" t="n">
        <v>23</v>
      </c>
      <c r="F657" s="26"/>
      <c r="G657" s="17" t="n">
        <f aca="false">E657*1.1</f>
        <v>25.3</v>
      </c>
      <c r="H657" s="27"/>
      <c r="I657" s="6" t="str">
        <f aca="false">CONCATENATE(A657,",",D657)</f>
        <v>MME 492,ED4-MARI</v>
      </c>
      <c r="J657" s="12"/>
    </row>
    <row r="658" customFormat="false" ht="14.9" hidden="false" customHeight="false" outlineLevel="0" collapsed="false">
      <c r="A658" s="13" t="s">
        <v>507</v>
      </c>
      <c r="B658" s="14" t="str">
        <v>DIGITAL SIGNAL PROCESSING</v>
      </c>
      <c r="C658" s="18" t="str">
        <v>Kponyo Jerry John</v>
      </c>
      <c r="D658" s="13" t="s">
        <v>227</v>
      </c>
      <c r="E658" s="15" t="n">
        <v>138</v>
      </c>
      <c r="F658" s="26"/>
      <c r="G658" s="17" t="n">
        <f aca="false">E658*1.1</f>
        <v>151.8</v>
      </c>
      <c r="H658" s="27"/>
      <c r="I658" s="6" t="str">
        <f aca="false">CONCATENATE(A658,",",D658)</f>
        <v>TE 454,ED4-TEL</v>
      </c>
      <c r="J658" s="12"/>
    </row>
    <row r="659" customFormat="false" ht="14.9" hidden="false" customHeight="false" outlineLevel="0" collapsed="false">
      <c r="A659" s="13" t="s">
        <v>508</v>
      </c>
      <c r="B659" s="14" t="str">
        <v>PRODUCTION PLANNING AND CONTROL</v>
      </c>
      <c r="C659" s="18" t="str">
        <v>Dzebre Denis Edem Kwame</v>
      </c>
      <c r="D659" s="13" t="s">
        <v>124</v>
      </c>
      <c r="E659" s="15" t="n">
        <v>69</v>
      </c>
      <c r="F659" s="19"/>
      <c r="G659" s="17" t="n">
        <f aca="false">E659*1.1</f>
        <v>75.9</v>
      </c>
      <c r="H659" s="3"/>
      <c r="I659" s="6" t="str">
        <f aca="false">CONCATENATE(A659,",",D659)</f>
        <v>IE 454,ED4-IND</v>
      </c>
      <c r="J659" s="12"/>
    </row>
    <row r="660" customFormat="false" ht="14.9" hidden="false" customHeight="false" outlineLevel="0" collapsed="false">
      <c r="A660" s="13" t="s">
        <v>509</v>
      </c>
      <c r="B660" s="14" t="str">
        <v>GEOSTATISTICS</v>
      </c>
      <c r="C660" s="14" t="str">
        <v>Mustapha Hameed</v>
      </c>
      <c r="D660" s="13" t="s">
        <v>18</v>
      </c>
      <c r="E660" s="15" t="n">
        <v>80</v>
      </c>
      <c r="F660" s="19"/>
      <c r="G660" s="17" t="n">
        <f aca="false">E660*1.1</f>
        <v>88</v>
      </c>
      <c r="H660" s="3"/>
      <c r="I660" s="6" t="str">
        <f aca="false">CONCATENATE(A660,",",D660)</f>
        <v>PE 362,ED3-PE</v>
      </c>
      <c r="J660" s="12"/>
    </row>
    <row r="661" customFormat="false" ht="14.9" hidden="false" customHeight="false" outlineLevel="0" collapsed="false">
      <c r="A661" s="13" t="s">
        <v>510</v>
      </c>
      <c r="B661" s="18" t="str">
        <v>GEOSTATISTICS</v>
      </c>
      <c r="C661" s="18" t="str">
        <v>Nuamah Daniel Oduro Boatey</v>
      </c>
      <c r="D661" s="13" t="s">
        <v>177</v>
      </c>
      <c r="E661" s="15" t="n">
        <v>72</v>
      </c>
      <c r="F661" s="19"/>
      <c r="G661" s="17" t="n">
        <f aca="false">E661*1.1</f>
        <v>79.2</v>
      </c>
      <c r="H661" s="3"/>
      <c r="I661" s="6" t="str">
        <f aca="false">CONCATENATE(A661,",",D661)</f>
        <v>GED 468,ED4-GEOL</v>
      </c>
      <c r="J661" s="12"/>
    </row>
    <row r="662" customFormat="false" ht="14.9" hidden="false" customHeight="false" outlineLevel="0" collapsed="false">
      <c r="A662" s="13" t="s">
        <v>511</v>
      </c>
      <c r="B662" s="18" t="str">
        <v>INTRODUCTION TO POLYMERIC MATERIALS</v>
      </c>
      <c r="C662" s="14" t="str">
        <v>Asare Eric Kwame Anokye</v>
      </c>
      <c r="D662" s="13" t="s">
        <v>210</v>
      </c>
      <c r="E662" s="15" t="n">
        <v>83</v>
      </c>
      <c r="F662" s="19"/>
      <c r="G662" s="17" t="n">
        <f aca="false">E662*1.1</f>
        <v>91.3</v>
      </c>
      <c r="H662" s="3"/>
      <c r="I662" s="6" t="str">
        <f aca="false">CONCATENATE(A662,",",D662)</f>
        <v>MSE 256,ED2-MSE</v>
      </c>
      <c r="J662" s="12"/>
    </row>
    <row r="663" customFormat="false" ht="14.9" hidden="false" customHeight="false" outlineLevel="0" collapsed="false">
      <c r="A663" s="13" t="s">
        <v>378</v>
      </c>
      <c r="B663" s="18" t="str">
        <v> HIGHWAY ENGINEERING</v>
      </c>
      <c r="C663" s="14" t="str">
        <v>Ababio-Donkor Augustus</v>
      </c>
      <c r="D663" s="13" t="s">
        <v>77</v>
      </c>
      <c r="E663" s="15" t="n">
        <v>122</v>
      </c>
      <c r="F663" s="19"/>
      <c r="G663" s="17" t="n">
        <f aca="false">E663*1.1</f>
        <v>134.2</v>
      </c>
      <c r="H663" s="3"/>
      <c r="I663" s="6" t="str">
        <f aca="false">CONCATENATE(A663,",",D663)</f>
        <v>CE 368,ED3-GEOM</v>
      </c>
      <c r="J663" s="12"/>
    </row>
    <row r="664" customFormat="false" ht="14.9" hidden="false" customHeight="false" outlineLevel="0" collapsed="false">
      <c r="A664" s="13" t="s">
        <v>234</v>
      </c>
      <c r="B664" s="18" t="str">
        <v>BASIC ELECTRONICS</v>
      </c>
      <c r="C664" s="18" t="str">
        <v>Kwegyir Daniel</v>
      </c>
      <c r="D664" s="13" t="s">
        <v>126</v>
      </c>
      <c r="E664" s="15" t="n">
        <v>125</v>
      </c>
      <c r="F664" s="56" t="s">
        <v>21</v>
      </c>
      <c r="G664" s="17" t="n">
        <f aca="false">E664*1.1</f>
        <v>137.5</v>
      </c>
      <c r="H664" s="26"/>
      <c r="I664" s="6" t="str">
        <f aca="false">CONCATENATE(A664,",",D664)</f>
        <v>EE 152,ED1-GEOL</v>
      </c>
      <c r="J664" s="12"/>
    </row>
    <row r="665" customFormat="false" ht="14.9" hidden="false" customHeight="false" outlineLevel="0" collapsed="false">
      <c r="A665" s="13" t="s">
        <v>234</v>
      </c>
      <c r="B665" s="18" t="str">
        <v>BASIC ELECTRONICS</v>
      </c>
      <c r="C665" s="18" t="str">
        <v>Kwegyir Daniel</v>
      </c>
      <c r="D665" s="13" t="s">
        <v>95</v>
      </c>
      <c r="E665" s="15" t="n">
        <v>103</v>
      </c>
      <c r="F665" s="56"/>
      <c r="G665" s="17" t="n">
        <f aca="false">E665*1.1</f>
        <v>113.3</v>
      </c>
      <c r="H665" s="26"/>
      <c r="I665" s="6" t="str">
        <f aca="false">CONCATENATE(A665,",",D665)</f>
        <v>EE 152,ED1-GEOM</v>
      </c>
      <c r="J665" s="12"/>
    </row>
    <row r="666" customFormat="false" ht="14.9" hidden="false" customHeight="false" outlineLevel="0" collapsed="false">
      <c r="A666" s="22"/>
      <c r="B666" s="22"/>
      <c r="D666" s="14" t="s">
        <v>512</v>
      </c>
      <c r="E666" s="22" t="n">
        <f aca="false">SUM(E652:E665)</f>
        <v>1154</v>
      </c>
      <c r="F666" s="23"/>
      <c r="G666" s="22"/>
      <c r="I666" s="9" t="s">
        <v>513</v>
      </c>
      <c r="J666" s="12"/>
    </row>
    <row r="667" customFormat="false" ht="13.8" hidden="false" customHeight="false" outlineLevel="0" collapsed="false">
      <c r="A667" s="22"/>
      <c r="B667" s="22"/>
      <c r="D667" s="14"/>
      <c r="E667" s="22"/>
      <c r="F667" s="23"/>
      <c r="G667" s="22"/>
      <c r="I667" s="9"/>
      <c r="J667" s="12"/>
    </row>
    <row r="668" customFormat="false" ht="13.8" hidden="false" customHeight="false" outlineLevel="0" collapsed="false">
      <c r="A668" s="22"/>
      <c r="B668" s="22"/>
      <c r="D668" s="14"/>
      <c r="E668" s="22"/>
      <c r="F668" s="23"/>
      <c r="G668" s="22"/>
      <c r="I668" s="9"/>
      <c r="J668" s="12"/>
    </row>
    <row r="669" customFormat="false" ht="13.8" hidden="false" customHeight="false" outlineLevel="0" collapsed="false">
      <c r="A669" s="22"/>
      <c r="B669" s="22"/>
      <c r="D669" s="14"/>
      <c r="E669" s="22"/>
      <c r="F669" s="23"/>
      <c r="G669" s="22"/>
      <c r="I669" s="9"/>
      <c r="J669" s="12"/>
    </row>
    <row r="670" customFormat="false" ht="13.8" hidden="false" customHeight="false" outlineLevel="0" collapsed="false">
      <c r="A670" s="22"/>
      <c r="B670" s="22"/>
      <c r="D670" s="14"/>
      <c r="E670" s="22"/>
      <c r="F670" s="23"/>
      <c r="G670" s="22"/>
      <c r="I670" s="9"/>
      <c r="J670" s="12"/>
    </row>
    <row r="671" customFormat="false" ht="14.9" hidden="false" customHeight="false" outlineLevel="0" collapsed="false">
      <c r="A671" s="8" t="s">
        <v>514</v>
      </c>
      <c r="B671" s="8"/>
      <c r="C671" s="8"/>
      <c r="D671" s="8"/>
      <c r="E671" s="8"/>
      <c r="F671" s="8"/>
      <c r="G671" s="8"/>
      <c r="I671" s="9" t="s">
        <v>515</v>
      </c>
      <c r="J671" s="12"/>
    </row>
    <row r="672" customFormat="false" ht="14.9" hidden="false" customHeight="false" outlineLevel="0" collapsed="false">
      <c r="A672" s="8" t="s">
        <v>2</v>
      </c>
      <c r="B672" s="8"/>
      <c r="C672" s="8"/>
      <c r="D672" s="8"/>
      <c r="E672" s="8"/>
      <c r="F672" s="8"/>
      <c r="G672" s="8"/>
      <c r="I672" s="9" t="s">
        <v>149</v>
      </c>
      <c r="J672" s="12"/>
    </row>
    <row r="673" customFormat="false" ht="14.9" hidden="false" customHeight="false" outlineLevel="0" collapsed="false">
      <c r="A673" s="11" t="s">
        <v>4</v>
      </c>
      <c r="B673" s="11" t="s">
        <v>5</v>
      </c>
      <c r="C673" s="2" t="s">
        <v>6</v>
      </c>
      <c r="D673" s="11" t="s">
        <v>7</v>
      </c>
      <c r="E673" s="11" t="s">
        <v>8</v>
      </c>
      <c r="F673" s="2" t="s">
        <v>9</v>
      </c>
      <c r="G673" s="11" t="s">
        <v>10</v>
      </c>
      <c r="H673" s="27"/>
      <c r="I673" s="9" t="s">
        <v>31</v>
      </c>
      <c r="J673" s="12"/>
    </row>
    <row r="674" customFormat="false" ht="14.9" hidden="false" customHeight="false" outlineLevel="0" collapsed="false">
      <c r="A674" s="13" t="s">
        <v>516</v>
      </c>
      <c r="B674" s="14" t="str">
        <f aca="false" t="array" ref="B674:B682">IFERROR(VLOOKUP(I674:I682,Lectures_1!A2:F534,2,FALSE()),0)</f>
        <v>CHEMICAL REACTION ENGINEERING</v>
      </c>
      <c r="C674" s="18" t="str">
        <f aca="false" t="array" ref="C674:C682">IFERROR(VLOOKUP(I674:I682,Lectures_1!A2:F534,3,FALSE()),0)</f>
        <v>Bonsu Jude Kwaku</v>
      </c>
      <c r="D674" s="19" t="s">
        <v>73</v>
      </c>
      <c r="E674" s="15" t="n">
        <f aca="false" t="array" ref="E674:E682">IFERROR(VLOOKUP(I674:I682,Lectures_1!A2:F534,4,FALSE()),0)</f>
        <v>105</v>
      </c>
      <c r="F674" s="26"/>
      <c r="G674" s="17" t="n">
        <f aca="false">E674*1.1</f>
        <v>115.5</v>
      </c>
      <c r="H674" s="26"/>
      <c r="I674" s="6" t="str">
        <f aca="false">CONCATENATE(A674,",",D674)</f>
        <v>CHE 352,ED3-CHE</v>
      </c>
      <c r="J674" s="12"/>
    </row>
    <row r="675" customFormat="false" ht="14.9" hidden="false" customHeight="false" outlineLevel="0" collapsed="false">
      <c r="A675" s="13" t="s">
        <v>517</v>
      </c>
      <c r="B675" s="14" t="str">
        <v>POWER SYSTEMS ANALYSIS</v>
      </c>
      <c r="C675" s="14" t="str">
        <v>Twumasi Elvis</v>
      </c>
      <c r="D675" s="13" t="s">
        <v>71</v>
      </c>
      <c r="E675" s="15" t="n">
        <v>240</v>
      </c>
      <c r="F675" s="19"/>
      <c r="G675" s="17" t="n">
        <f aca="false">E675*1.1</f>
        <v>264</v>
      </c>
      <c r="H675" s="3"/>
      <c r="I675" s="6" t="str">
        <f aca="false">CONCATENATE(A675,",",D675)</f>
        <v>EE 368,ED3-EE</v>
      </c>
      <c r="J675" s="12"/>
    </row>
    <row r="676" customFormat="false" ht="14.9" hidden="false" customHeight="false" outlineLevel="0" collapsed="false">
      <c r="A676" s="13" t="s">
        <v>518</v>
      </c>
      <c r="B676" s="14" t="str">
        <v>ELECTRICAL MEASUREMENT AND INSTRUMENTATION</v>
      </c>
      <c r="C676" s="18" t="str">
        <v>Klogo Griffith Selorm</v>
      </c>
      <c r="D676" s="13" t="s">
        <v>108</v>
      </c>
      <c r="E676" s="15" t="n">
        <v>255</v>
      </c>
      <c r="F676" s="53"/>
      <c r="G676" s="17" t="n">
        <f aca="false">E676*1.1</f>
        <v>280.5</v>
      </c>
      <c r="H676" s="50"/>
      <c r="I676" s="6" t="str">
        <f aca="false">CONCATENATE(A676,",",D676)</f>
        <v>EE 288,ED2-COE</v>
      </c>
      <c r="J676" s="12"/>
    </row>
    <row r="677" customFormat="false" ht="14.9" hidden="false" customHeight="false" outlineLevel="0" collapsed="false">
      <c r="A677" s="13" t="s">
        <v>519</v>
      </c>
      <c r="B677" s="14" t="str">
        <v>VIBRATIONS I</v>
      </c>
      <c r="C677" s="14" t="str">
        <v>Adam Faisal Wahib</v>
      </c>
      <c r="D677" s="13" t="s">
        <v>133</v>
      </c>
      <c r="E677" s="15" t="n">
        <v>76</v>
      </c>
      <c r="F677" s="19"/>
      <c r="G677" s="17" t="n">
        <f aca="false">E677*1.1</f>
        <v>83.6</v>
      </c>
      <c r="H677" s="3"/>
      <c r="I677" s="6" t="str">
        <f aca="false">CONCATENATE(A677,",",D677)</f>
        <v>ME 362,ED3-AERO</v>
      </c>
      <c r="J677" s="12"/>
    </row>
    <row r="678" customFormat="false" ht="14.9" hidden="false" customHeight="false" outlineLevel="0" collapsed="false">
      <c r="A678" s="13" t="s">
        <v>519</v>
      </c>
      <c r="B678" s="14" t="str">
        <v>VIBRATIONS I</v>
      </c>
      <c r="C678" s="14" t="str">
        <v>Adam Faisal Wahib</v>
      </c>
      <c r="D678" s="13" t="s">
        <v>61</v>
      </c>
      <c r="E678" s="15" t="n">
        <v>222</v>
      </c>
      <c r="F678" s="19"/>
      <c r="G678" s="17" t="n">
        <f aca="false">E678*1.1</f>
        <v>244.2</v>
      </c>
      <c r="H678" s="3"/>
      <c r="I678" s="6" t="str">
        <f aca="false">CONCATENATE(A678,",",D678)</f>
        <v>ME 362,ED3-ME</v>
      </c>
      <c r="J678" s="12"/>
    </row>
    <row r="679" customFormat="false" ht="14.9" hidden="false" customHeight="false" outlineLevel="0" collapsed="false">
      <c r="A679" s="13" t="s">
        <v>519</v>
      </c>
      <c r="B679" s="14" t="str">
        <v>VIBRATIONS I</v>
      </c>
      <c r="C679" s="14" t="str">
        <v>Adam Faisal Wahib</v>
      </c>
      <c r="D679" s="13" t="s">
        <v>86</v>
      </c>
      <c r="E679" s="15" t="n">
        <v>40</v>
      </c>
      <c r="F679" s="19"/>
      <c r="G679" s="17" t="n">
        <f aca="false">E679*1.1</f>
        <v>44</v>
      </c>
      <c r="H679" s="3"/>
      <c r="I679" s="6" t="str">
        <f aca="false">CONCATENATE(A679,",",D679)</f>
        <v>ME 362,ED3-MARI</v>
      </c>
      <c r="J679" s="12"/>
    </row>
    <row r="680" s="45" customFormat="true" ht="14.9" hidden="false" customHeight="false" outlineLevel="0" collapsed="false">
      <c r="A680" s="13" t="s">
        <v>520</v>
      </c>
      <c r="B680" s="18" t="str">
        <v>BIOCHEMISTRY</v>
      </c>
      <c r="C680" s="18" t="str">
        <v>Charles Apprey</v>
      </c>
      <c r="D680" s="13" t="s">
        <v>130</v>
      </c>
      <c r="E680" s="15" t="n">
        <v>136</v>
      </c>
      <c r="F680" s="53"/>
      <c r="G680" s="17" t="n">
        <f aca="false">E680*1.1</f>
        <v>149.6</v>
      </c>
      <c r="H680" s="3"/>
      <c r="I680" s="43" t="str">
        <f aca="false">CONCATENATE(A680,",",D680)</f>
        <v>BME 166,ED1-BME</v>
      </c>
      <c r="J680" s="44"/>
    </row>
    <row r="681" customFormat="false" ht="14.9" hidden="false" customHeight="false" outlineLevel="0" collapsed="false">
      <c r="A681" s="13" t="s">
        <v>521</v>
      </c>
      <c r="B681" s="14" t="str">
        <v>VIBRATIONS FOR AUTOMOBILE ENGINEERS</v>
      </c>
      <c r="C681" s="14" t="str">
        <v>Adam Faisal Wahib</v>
      </c>
      <c r="D681" s="13" t="s">
        <v>23</v>
      </c>
      <c r="E681" s="15" t="n">
        <v>40</v>
      </c>
      <c r="F681" s="19"/>
      <c r="G681" s="17" t="n">
        <f aca="false">E681*1.1</f>
        <v>44</v>
      </c>
      <c r="H681" s="3"/>
      <c r="I681" s="6" t="str">
        <f aca="false">CONCATENATE(A681,",",D681)</f>
        <v>AME 362,ED3-AUTO</v>
      </c>
      <c r="J681" s="12"/>
    </row>
    <row r="682" customFormat="false" ht="14.9" hidden="false" customHeight="false" outlineLevel="0" collapsed="false">
      <c r="A682" s="13" t="s">
        <v>522</v>
      </c>
      <c r="B682" s="14" t="str">
        <v>ANATOMY AND PHYSIOLOGY FOR ENGINEERS II</v>
      </c>
      <c r="C682" s="18" t="str">
        <v>Agyapong Dorothy Araba Yakoba</v>
      </c>
      <c r="D682" s="13" t="s">
        <v>109</v>
      </c>
      <c r="E682" s="15" t="n">
        <v>80</v>
      </c>
      <c r="F682" s="13"/>
      <c r="G682" s="17" t="n">
        <f aca="false">E682*1.1</f>
        <v>88</v>
      </c>
      <c r="H682" s="3"/>
      <c r="I682" s="6" t="str">
        <f aca="false">CONCATENATE(A682,",",D682)</f>
        <v>BME 286,ED2-BME</v>
      </c>
      <c r="J682" s="12"/>
    </row>
    <row r="683" customFormat="false" ht="14.9" hidden="false" customHeight="false" outlineLevel="0" collapsed="false">
      <c r="A683" s="22"/>
      <c r="B683" s="22"/>
      <c r="D683" s="14" t="s">
        <v>523</v>
      </c>
      <c r="E683" s="22" t="n">
        <f aca="false">SUM(E674:E682)</f>
        <v>1194</v>
      </c>
      <c r="F683" s="23"/>
      <c r="G683" s="22"/>
      <c r="I683" s="9" t="s">
        <v>524</v>
      </c>
      <c r="J683" s="12"/>
    </row>
    <row r="684" customFormat="false" ht="13.8" hidden="false" customHeight="false" outlineLevel="0" collapsed="false">
      <c r="A684" s="22"/>
      <c r="B684" s="22"/>
      <c r="D684" s="14"/>
      <c r="E684" s="22"/>
      <c r="F684" s="23"/>
      <c r="G684" s="22"/>
      <c r="I684" s="9"/>
      <c r="J684" s="12"/>
    </row>
    <row r="685" customFormat="false" ht="14.9" hidden="false" customHeight="false" outlineLevel="0" collapsed="false">
      <c r="A685" s="8" t="s">
        <v>514</v>
      </c>
      <c r="B685" s="8"/>
      <c r="C685" s="8"/>
      <c r="D685" s="8"/>
      <c r="E685" s="8"/>
      <c r="F685" s="8"/>
      <c r="G685" s="8"/>
      <c r="I685" s="9" t="s">
        <v>515</v>
      </c>
      <c r="J685" s="12"/>
    </row>
    <row r="686" customFormat="false" ht="14.9" hidden="false" customHeight="false" outlineLevel="0" collapsed="false">
      <c r="A686" s="8" t="s">
        <v>29</v>
      </c>
      <c r="B686" s="8"/>
      <c r="C686" s="8"/>
      <c r="D686" s="8"/>
      <c r="E686" s="8"/>
      <c r="F686" s="8"/>
      <c r="G686" s="8"/>
      <c r="I686" s="9" t="s">
        <v>30</v>
      </c>
      <c r="J686" s="12"/>
    </row>
    <row r="687" customFormat="false" ht="14.9" hidden="false" customHeight="false" outlineLevel="0" collapsed="false">
      <c r="A687" s="11" t="s">
        <v>4</v>
      </c>
      <c r="B687" s="11" t="s">
        <v>5</v>
      </c>
      <c r="C687" s="2" t="s">
        <v>6</v>
      </c>
      <c r="D687" s="11" t="s">
        <v>7</v>
      </c>
      <c r="E687" s="11" t="s">
        <v>8</v>
      </c>
      <c r="F687" s="2" t="s">
        <v>9</v>
      </c>
      <c r="G687" s="11" t="s">
        <v>10</v>
      </c>
      <c r="H687" s="27"/>
      <c r="I687" s="9" t="s">
        <v>31</v>
      </c>
      <c r="J687" s="12"/>
    </row>
    <row r="688" customFormat="false" ht="14.9" hidden="false" customHeight="false" outlineLevel="0" collapsed="false">
      <c r="A688" s="13" t="s">
        <v>129</v>
      </c>
      <c r="B688" s="14" t="str">
        <f aca="false" t="array" ref="B688:B696">IFERROR(VLOOKUP(I688:I696,Lectures_1!A2:F534,2,FALSE()),0)</f>
        <v>CALCULUS WITH ANALYSIS</v>
      </c>
      <c r="C688" s="14" t="str">
        <f aca="false" t="array" ref="C688:C696">IFERROR(VLOOKUP(I688:I696,Lectures_1!A2:F534,3,FALSE()),0)</f>
        <v>Ayekple Yao Elikem</v>
      </c>
      <c r="D688" s="13" t="s">
        <v>51</v>
      </c>
      <c r="E688" s="15" t="n">
        <f aca="false" t="array" ref="E688:E696">IFERROR(VLOOKUP(I688:I696,Lectures_1!A2:F534,4,FALSE()),0)</f>
        <v>295</v>
      </c>
      <c r="F688" s="26"/>
      <c r="G688" s="17" t="n">
        <f aca="false">E688*1.1</f>
        <v>324.5</v>
      </c>
      <c r="H688" s="26"/>
      <c r="I688" s="6" t="str">
        <f aca="false">CONCATENATE(A688,",",D688)</f>
        <v>MATH 152,ED1-EE</v>
      </c>
      <c r="J688" s="12"/>
    </row>
    <row r="689" customFormat="false" ht="14.9" hidden="false" customHeight="false" outlineLevel="0" collapsed="false">
      <c r="A689" s="13" t="s">
        <v>129</v>
      </c>
      <c r="B689" s="18" t="str">
        <v>CALCULUS WITH ANALYSIS</v>
      </c>
      <c r="C689" s="14" t="str">
        <v>Lawton Adu-Ansah</v>
      </c>
      <c r="D689" s="13" t="s">
        <v>162</v>
      </c>
      <c r="E689" s="15" t="n">
        <v>85</v>
      </c>
      <c r="F689" s="13"/>
      <c r="G689" s="17" t="n">
        <f aca="false">E689*1.1</f>
        <v>93.5</v>
      </c>
      <c r="H689" s="57"/>
      <c r="I689" s="6" t="str">
        <f aca="false">CONCATENATE(A689,",",D689)</f>
        <v>MATH 152,ED1-AUTO</v>
      </c>
      <c r="J689" s="12"/>
    </row>
    <row r="690" customFormat="false" ht="14.9" hidden="false" customHeight="false" outlineLevel="0" collapsed="false">
      <c r="A690" s="13" t="s">
        <v>129</v>
      </c>
      <c r="B690" s="14" t="str">
        <v>CALCULUS WITH ANALYSIS</v>
      </c>
      <c r="C690" s="14" t="str">
        <v>Lawton Adu-Ansah</v>
      </c>
      <c r="D690" s="13" t="s">
        <v>161</v>
      </c>
      <c r="E690" s="15" t="n">
        <v>225</v>
      </c>
      <c r="F690" s="13"/>
      <c r="G690" s="17" t="n">
        <f aca="false">E690*1.1</f>
        <v>247.5</v>
      </c>
      <c r="I690" s="6" t="str">
        <f aca="false">CONCATENATE(A690,",",D690)</f>
        <v>MATH 152,ED1-ME</v>
      </c>
      <c r="J690" s="12"/>
    </row>
    <row r="691" customFormat="false" ht="14.9" hidden="false" customHeight="false" outlineLevel="0" collapsed="false">
      <c r="A691" s="13" t="s">
        <v>129</v>
      </c>
      <c r="B691" s="18" t="str">
        <v>CALCULUS WITH ANALYSIS</v>
      </c>
      <c r="C691" s="14" t="str">
        <v>Lawton Adu-Ansah</v>
      </c>
      <c r="D691" s="13" t="s">
        <v>91</v>
      </c>
      <c r="E691" s="15" t="n">
        <v>130</v>
      </c>
      <c r="F691" s="19"/>
      <c r="G691" s="17" t="n">
        <f aca="false">E691*1.1</f>
        <v>143</v>
      </c>
      <c r="I691" s="6" t="str">
        <f aca="false">CONCATENATE(A691,",",D691)</f>
        <v>MATH 152,ED1-TEL</v>
      </c>
      <c r="J691" s="12"/>
    </row>
    <row r="692" customFormat="false" ht="14.9" hidden="false" customHeight="false" outlineLevel="0" collapsed="false">
      <c r="A692" s="13" t="s">
        <v>129</v>
      </c>
      <c r="B692" s="18" t="str">
        <v>CALCULUS WITH ANALYSIS</v>
      </c>
      <c r="C692" s="14" t="str">
        <v>Lawton Adu-Ansah</v>
      </c>
      <c r="D692" s="13" t="s">
        <v>95</v>
      </c>
      <c r="E692" s="15" t="n">
        <v>103</v>
      </c>
      <c r="F692" s="13"/>
      <c r="G692" s="17" t="n">
        <f aca="false">E692*1.1</f>
        <v>113.3</v>
      </c>
      <c r="I692" s="6" t="str">
        <f aca="false">CONCATENATE(A692,",",D692)</f>
        <v>MATH 152,ED1-GEOM</v>
      </c>
      <c r="J692" s="12"/>
    </row>
    <row r="693" customFormat="false" ht="14.9" hidden="false" customHeight="false" outlineLevel="0" collapsed="false">
      <c r="A693" s="13" t="s">
        <v>129</v>
      </c>
      <c r="B693" s="18" t="str">
        <v>CALCULUS WITH ANALYSIS</v>
      </c>
      <c r="C693" s="14" t="str">
        <v>Emmanuel Kpeglo</v>
      </c>
      <c r="D693" s="13" t="s">
        <v>115</v>
      </c>
      <c r="E693" s="15" t="n">
        <v>100</v>
      </c>
      <c r="F693" s="13"/>
      <c r="G693" s="17" t="n">
        <f aca="false">E693*1.1</f>
        <v>110</v>
      </c>
      <c r="I693" s="6" t="str">
        <f aca="false">CONCATENATE(A693,",",D693)</f>
        <v>MATH 152,ED1-MSE</v>
      </c>
      <c r="J693" s="12"/>
    </row>
    <row r="694" customFormat="false" ht="14.9" hidden="false" customHeight="false" outlineLevel="0" collapsed="false">
      <c r="A694" s="13" t="s">
        <v>129</v>
      </c>
      <c r="B694" s="18" t="str">
        <v>CALCULUS WITH ANALYSIS</v>
      </c>
      <c r="C694" s="14" t="str">
        <v>Emmanuel Kpeglo</v>
      </c>
      <c r="D694" s="13" t="s">
        <v>114</v>
      </c>
      <c r="E694" s="15" t="n">
        <v>75</v>
      </c>
      <c r="F694" s="13"/>
      <c r="G694" s="17" t="n">
        <f aca="false">E694*1.1</f>
        <v>82.5</v>
      </c>
      <c r="I694" s="6" t="str">
        <f aca="false">CONCATENATE(A694,",",D694)</f>
        <v>MATH 152,ED1-METE</v>
      </c>
      <c r="J694" s="12"/>
    </row>
    <row r="695" customFormat="false" ht="14.9" hidden="false" customHeight="false" outlineLevel="0" collapsed="false">
      <c r="A695" s="13" t="s">
        <v>129</v>
      </c>
      <c r="B695" s="18" t="str">
        <v>CALCULUS WITH ANALYSIS</v>
      </c>
      <c r="C695" s="14" t="str">
        <v>Isaac Azure</v>
      </c>
      <c r="D695" s="13" t="s">
        <v>80</v>
      </c>
      <c r="E695" s="15" t="n">
        <v>120</v>
      </c>
      <c r="F695" s="13"/>
      <c r="G695" s="17" t="n">
        <f aca="false">E695*1.1</f>
        <v>132</v>
      </c>
      <c r="I695" s="6" t="str">
        <f aca="false">CONCATENATE(A695,",",D695)</f>
        <v>MATH 152,ED1-CHE</v>
      </c>
      <c r="J695" s="12"/>
    </row>
    <row r="696" customFormat="false" ht="14.9" hidden="false" customHeight="false" outlineLevel="0" collapsed="false">
      <c r="A696" s="13" t="s">
        <v>129</v>
      </c>
      <c r="B696" s="14" t="str">
        <v>CALCULUS WITH ANALYSIS</v>
      </c>
      <c r="C696" s="14" t="str">
        <v>Isaac Azure</v>
      </c>
      <c r="D696" s="13" t="s">
        <v>81</v>
      </c>
      <c r="E696" s="15" t="n">
        <v>56</v>
      </c>
      <c r="F696" s="19"/>
      <c r="G696" s="17" t="n">
        <f aca="false">E696*1.1</f>
        <v>61.6</v>
      </c>
      <c r="H696" s="3"/>
      <c r="I696" s="6" t="str">
        <f aca="false">CONCATENATE(A696,",",D696)</f>
        <v>MATH 152,ED1-PCE</v>
      </c>
      <c r="J696" s="12"/>
    </row>
    <row r="697" customFormat="false" ht="14.9" hidden="false" customHeight="false" outlineLevel="0" collapsed="false">
      <c r="A697" s="22"/>
      <c r="B697" s="22"/>
      <c r="D697" s="14" t="s">
        <v>523</v>
      </c>
      <c r="E697" s="22" t="e">
        <f aca="false">SUM(_xlfn.anchorarray(E688))</f>
        <v>#NAME?</v>
      </c>
      <c r="F697" s="23"/>
      <c r="G697" s="22"/>
      <c r="H697" s="58"/>
      <c r="I697" s="9" t="s">
        <v>524</v>
      </c>
      <c r="J697" s="12"/>
    </row>
    <row r="698" customFormat="false" ht="14.9" hidden="false" customHeight="false" outlineLevel="0" collapsed="false">
      <c r="A698" s="8" t="s">
        <v>514</v>
      </c>
      <c r="B698" s="8"/>
      <c r="C698" s="8"/>
      <c r="D698" s="8"/>
      <c r="E698" s="8"/>
      <c r="F698" s="8"/>
      <c r="G698" s="8"/>
      <c r="I698" s="9" t="s">
        <v>515</v>
      </c>
      <c r="J698" s="12"/>
    </row>
    <row r="699" customFormat="false" ht="14.9" hidden="false" customHeight="false" outlineLevel="0" collapsed="false">
      <c r="A699" s="8" t="s">
        <v>59</v>
      </c>
      <c r="B699" s="8"/>
      <c r="C699" s="8"/>
      <c r="D699" s="8"/>
      <c r="E699" s="8"/>
      <c r="F699" s="8"/>
      <c r="G699" s="8"/>
      <c r="I699" s="9" t="s">
        <v>30</v>
      </c>
      <c r="J699" s="12"/>
    </row>
    <row r="700" customFormat="false" ht="14.9" hidden="false" customHeight="false" outlineLevel="0" collapsed="false">
      <c r="A700" s="11" t="s">
        <v>4</v>
      </c>
      <c r="B700" s="11" t="s">
        <v>5</v>
      </c>
      <c r="C700" s="2" t="s">
        <v>6</v>
      </c>
      <c r="D700" s="11" t="s">
        <v>7</v>
      </c>
      <c r="E700" s="11" t="s">
        <v>8</v>
      </c>
      <c r="F700" s="2" t="s">
        <v>9</v>
      </c>
      <c r="G700" s="11" t="s">
        <v>10</v>
      </c>
      <c r="H700" s="27"/>
      <c r="I700" s="9" t="s">
        <v>31</v>
      </c>
      <c r="J700" s="12"/>
    </row>
    <row r="701" customFormat="false" ht="14.9" hidden="false" customHeight="false" outlineLevel="0" collapsed="false">
      <c r="A701" s="13" t="s">
        <v>525</v>
      </c>
      <c r="B701" s="14" t="str">
        <f aca="false" t="array" ref="B701:B710">IFERROR(VLOOKUP(I701:I710,Lectures_1!A2:F534,2,FALSE()),0)</f>
        <v>PROCESS CONTROL AND SIMULATION</v>
      </c>
      <c r="C701" s="14" t="str">
        <f aca="false" t="array" ref="C701:C710">IFERROR(VLOOKUP(I701:I710,Lectures_1!A2:F534,3,FALSE()),0)</f>
        <v>Baah-Ennumh Emmanuel Kwaku</v>
      </c>
      <c r="D701" s="13" t="s">
        <v>48</v>
      </c>
      <c r="E701" s="15" t="n">
        <f aca="false" t="array" ref="E701:E710">IFERROR(VLOOKUP(I701:I710,Lectures_1!A2:F534,4,FALSE()),0)</f>
        <v>114</v>
      </c>
      <c r="F701" s="26"/>
      <c r="G701" s="17" t="n">
        <f aca="false">E701*1.1</f>
        <v>125.4</v>
      </c>
      <c r="H701" s="26"/>
      <c r="I701" s="6" t="str">
        <f aca="false">CONCATENATE(A701,",",D701)</f>
        <v>CHE 456,ED4-CHE</v>
      </c>
      <c r="J701" s="12"/>
    </row>
    <row r="702" customFormat="false" ht="14.9" hidden="false" customHeight="false" outlineLevel="0" collapsed="false">
      <c r="A702" s="13" t="s">
        <v>525</v>
      </c>
      <c r="B702" s="14" t="str">
        <v>PROCESS CONTROL AND SIMULATION</v>
      </c>
      <c r="C702" s="14" t="str">
        <v>Baidoo Martina Francisca</v>
      </c>
      <c r="D702" s="13" t="s">
        <v>44</v>
      </c>
      <c r="E702" s="15" t="n">
        <v>55</v>
      </c>
      <c r="F702" s="26"/>
      <c r="G702" s="17" t="n">
        <f aca="false">E702*1.1</f>
        <v>60.5</v>
      </c>
      <c r="H702" s="26"/>
      <c r="I702" s="6" t="str">
        <f aca="false">CONCATENATE(A702,",",D702)</f>
        <v>CHE 456,ED4-PCE</v>
      </c>
      <c r="J702" s="12"/>
    </row>
    <row r="703" customFormat="false" ht="14.9" hidden="false" customHeight="false" outlineLevel="0" collapsed="false">
      <c r="A703" s="13" t="s">
        <v>526</v>
      </c>
      <c r="B703" s="14" t="str">
        <v>AERODYNAMICS II</v>
      </c>
      <c r="C703" s="2" t="str">
        <v>Bofah Kwasi Kete</v>
      </c>
      <c r="D703" s="13" t="s">
        <v>99</v>
      </c>
      <c r="E703" s="15" t="n">
        <v>61</v>
      </c>
      <c r="F703" s="19"/>
      <c r="G703" s="17" t="n">
        <f aca="false">E703*1.1</f>
        <v>67.1</v>
      </c>
      <c r="H703" s="3"/>
      <c r="I703" s="6" t="str">
        <f aca="false">CONCATENATE(A703,",",D703)</f>
        <v>AERO 452,ED4-AERO</v>
      </c>
      <c r="J703" s="12"/>
    </row>
    <row r="704" customFormat="false" ht="14.9" hidden="false" customHeight="false" outlineLevel="0" collapsed="false">
      <c r="A704" s="13" t="s">
        <v>129</v>
      </c>
      <c r="B704" s="14" t="str">
        <v>CALCULUS WITH ANALYSIS</v>
      </c>
      <c r="C704" s="14" t="str">
        <v>Kwabi Prince Amponsah</v>
      </c>
      <c r="D704" s="13" t="s">
        <v>82</v>
      </c>
      <c r="E704" s="15" t="n">
        <v>130</v>
      </c>
      <c r="F704" s="26"/>
      <c r="G704" s="17" t="n">
        <f aca="false">E704*1.1</f>
        <v>143</v>
      </c>
      <c r="H704" s="26"/>
      <c r="I704" s="6" t="str">
        <f aca="false">CONCATENATE(A704,",",D704)</f>
        <v>MATH 152,ED1-PE</v>
      </c>
      <c r="J704" s="12"/>
    </row>
    <row r="705" customFormat="false" ht="14.9" hidden="false" customHeight="false" outlineLevel="0" collapsed="false">
      <c r="A705" s="13" t="s">
        <v>129</v>
      </c>
      <c r="B705" s="14" t="str">
        <v>CALCULUS WITH ANALYSIS</v>
      </c>
      <c r="C705" s="14" t="str">
        <v>Kwabi Prince Amponsah</v>
      </c>
      <c r="D705" s="13" t="s">
        <v>126</v>
      </c>
      <c r="E705" s="15" t="n">
        <v>125</v>
      </c>
      <c r="F705" s="26"/>
      <c r="G705" s="17" t="n">
        <f aca="false">E705*1.1</f>
        <v>137.5</v>
      </c>
      <c r="H705" s="26"/>
      <c r="I705" s="6" t="str">
        <f aca="false">CONCATENATE(A705,",",D705)</f>
        <v>MATH 152,ED1-GEOL</v>
      </c>
      <c r="J705" s="12"/>
    </row>
    <row r="706" customFormat="false" ht="14.9" hidden="false" customHeight="false" outlineLevel="0" collapsed="false">
      <c r="A706" s="13" t="s">
        <v>129</v>
      </c>
      <c r="B706" s="18" t="str">
        <v>CALCULUS WITH ANALYSIS</v>
      </c>
      <c r="C706" s="14" t="str">
        <v>Ezearn Jeffery</v>
      </c>
      <c r="D706" s="13" t="s">
        <v>191</v>
      </c>
      <c r="E706" s="15" t="n">
        <v>70</v>
      </c>
      <c r="F706" s="26"/>
      <c r="G706" s="17" t="n">
        <f aca="false">E706*1.1</f>
        <v>77</v>
      </c>
      <c r="H706" s="27"/>
      <c r="I706" s="6" t="str">
        <f aca="false">CONCATENATE(A706,",",D706)</f>
        <v>MATH 152,ED1-AERO</v>
      </c>
      <c r="J706" s="12"/>
    </row>
    <row r="707" customFormat="false" ht="14.9" hidden="false" customHeight="false" outlineLevel="0" collapsed="false">
      <c r="A707" s="13" t="s">
        <v>129</v>
      </c>
      <c r="B707" s="18" t="str">
        <v>CALCULUS WITH ANALYSIS</v>
      </c>
      <c r="C707" s="14" t="str">
        <v>Ezearn Jeffery</v>
      </c>
      <c r="D707" s="13" t="s">
        <v>111</v>
      </c>
      <c r="E707" s="15" t="n">
        <v>83</v>
      </c>
      <c r="F707" s="26"/>
      <c r="G707" s="17" t="n">
        <f aca="false">E707*1.1</f>
        <v>91.3</v>
      </c>
      <c r="H707" s="27"/>
      <c r="I707" s="6" t="str">
        <f aca="false">CONCATENATE(A707,",",D707)</f>
        <v>MATH 152,ED1-IND</v>
      </c>
      <c r="J707" s="12"/>
    </row>
    <row r="708" customFormat="false" ht="14.9" hidden="false" customHeight="false" outlineLevel="0" collapsed="false">
      <c r="A708" s="13" t="s">
        <v>129</v>
      </c>
      <c r="B708" s="18" t="str">
        <v>CALCULUS WITH ANALYSIS</v>
      </c>
      <c r="C708" s="14" t="str">
        <v>Ezearn Jeffery</v>
      </c>
      <c r="D708" s="13" t="s">
        <v>75</v>
      </c>
      <c r="E708" s="15" t="n">
        <v>245</v>
      </c>
      <c r="F708" s="13"/>
      <c r="G708" s="17" t="n">
        <f aca="false">E708*1.1</f>
        <v>269.5</v>
      </c>
      <c r="H708" s="27"/>
      <c r="I708" s="6" t="str">
        <f aca="false">CONCATENATE(A708,",",D708)</f>
        <v>MATH 152,ED1-CE</v>
      </c>
      <c r="J708" s="12"/>
    </row>
    <row r="709" customFormat="false" ht="14.9" hidden="false" customHeight="false" outlineLevel="0" collapsed="false">
      <c r="A709" s="13" t="s">
        <v>129</v>
      </c>
      <c r="B709" s="18" t="str">
        <v>CALCULUS WITH ANALYSIS</v>
      </c>
      <c r="C709" s="14" t="str">
        <v>Ezearn Jeffery</v>
      </c>
      <c r="D709" s="13" t="s">
        <v>112</v>
      </c>
      <c r="E709" s="15" t="n">
        <v>46</v>
      </c>
      <c r="F709" s="26"/>
      <c r="G709" s="17" t="n">
        <f aca="false">E709*1.1</f>
        <v>50.6</v>
      </c>
      <c r="I709" s="6" t="str">
        <f aca="false">CONCATENATE(A709,",",D709)</f>
        <v>MATH 152,ED1-MARI</v>
      </c>
      <c r="J709" s="12"/>
    </row>
    <row r="710" customFormat="false" ht="14.9" hidden="false" customHeight="false" outlineLevel="0" collapsed="false">
      <c r="A710" s="13" t="s">
        <v>129</v>
      </c>
      <c r="B710" s="14" t="str">
        <v>CALCULUS WITH ANALYSIS</v>
      </c>
      <c r="C710" s="14" t="str">
        <v>Ezearn Jeffery</v>
      </c>
      <c r="D710" s="13" t="s">
        <v>20</v>
      </c>
      <c r="E710" s="15" t="n">
        <v>262</v>
      </c>
      <c r="F710" s="19"/>
      <c r="G710" s="17" t="n">
        <f aca="false">E710*1.1</f>
        <v>288.2</v>
      </c>
      <c r="H710" s="3"/>
      <c r="I710" s="6" t="str">
        <f aca="false">CONCATENATE(A710,",",D710)</f>
        <v>MATH 152,ED1-COE</v>
      </c>
      <c r="J710" s="12"/>
    </row>
    <row r="711" customFormat="false" ht="14.9" hidden="false" customHeight="false" outlineLevel="0" collapsed="false">
      <c r="A711" s="22"/>
      <c r="B711" s="22"/>
      <c r="D711" s="14" t="s">
        <v>523</v>
      </c>
      <c r="E711" s="22" t="e">
        <f aca="false">SUM(_xlfn.anchorarray(E701))</f>
        <v>#NAME?</v>
      </c>
      <c r="F711" s="23"/>
      <c r="G711" s="22"/>
      <c r="H711" s="58"/>
      <c r="I711" s="9" t="s">
        <v>524</v>
      </c>
      <c r="J711" s="12"/>
    </row>
    <row r="712" s="61" customFormat="true" ht="13.8" hidden="false" customHeight="false" outlineLevel="0" collapsed="false">
      <c r="A712" s="59"/>
      <c r="B712" s="59"/>
      <c r="C712" s="59"/>
      <c r="D712" s="59"/>
      <c r="E712" s="59"/>
      <c r="F712" s="59"/>
      <c r="G712" s="60"/>
      <c r="H712" s="58"/>
    </row>
    <row r="713" s="61" customFormat="true" ht="15" hidden="false" customHeight="false" outlineLevel="0" collapsed="false">
      <c r="A713" s="62"/>
      <c r="B713" s="62"/>
      <c r="C713" s="62"/>
      <c r="D713" s="62"/>
      <c r="E713" s="62"/>
      <c r="F713" s="62"/>
      <c r="G713" s="63"/>
      <c r="H713" s="58"/>
    </row>
    <row r="714" s="61" customFormat="true" ht="15" hidden="false" customHeight="false" outlineLevel="0" collapsed="false">
      <c r="A714" s="62"/>
      <c r="B714" s="62"/>
      <c r="C714" s="62"/>
      <c r="D714" s="62"/>
      <c r="E714" s="62"/>
      <c r="F714" s="62"/>
      <c r="G714" s="63"/>
      <c r="H714" s="58"/>
    </row>
    <row r="715" s="61" customFormat="true" ht="15" hidden="false" customHeight="false" outlineLevel="0" collapsed="false">
      <c r="A715" s="62"/>
      <c r="B715" s="62"/>
      <c r="C715" s="62"/>
      <c r="D715" s="62"/>
      <c r="E715" s="62"/>
      <c r="F715" s="62"/>
      <c r="G715" s="63"/>
      <c r="H715" s="58"/>
    </row>
    <row r="716" s="61" customFormat="true" ht="14.25" hidden="false" customHeight="false" outlineLevel="0" collapsed="false">
      <c r="A716" s="62"/>
      <c r="B716" s="62"/>
      <c r="C716" s="62"/>
      <c r="D716" s="62"/>
      <c r="E716" s="62"/>
      <c r="F716" s="62"/>
      <c r="G716" s="63"/>
      <c r="H716" s="5"/>
    </row>
  </sheetData>
  <mergeCells count="105">
    <mergeCell ref="A1:G1"/>
    <mergeCell ref="A2:G2"/>
    <mergeCell ref="F8:F9"/>
    <mergeCell ref="A13:G13"/>
    <mergeCell ref="A14:G14"/>
    <mergeCell ref="F16:F20"/>
    <mergeCell ref="A31:G31"/>
    <mergeCell ref="A32:G32"/>
    <mergeCell ref="F34:F35"/>
    <mergeCell ref="A45:G45"/>
    <mergeCell ref="A46:G46"/>
    <mergeCell ref="F48:F50"/>
    <mergeCell ref="A67:G67"/>
    <mergeCell ref="A68:G68"/>
    <mergeCell ref="F70:F71"/>
    <mergeCell ref="A84:G84"/>
    <mergeCell ref="A85:G85"/>
    <mergeCell ref="F87:F88"/>
    <mergeCell ref="A98:G98"/>
    <mergeCell ref="A99:G99"/>
    <mergeCell ref="A111:G111"/>
    <mergeCell ref="A112:G112"/>
    <mergeCell ref="A126:G126"/>
    <mergeCell ref="A127:G127"/>
    <mergeCell ref="A138:G138"/>
    <mergeCell ref="A139:G139"/>
    <mergeCell ref="F141:F142"/>
    <mergeCell ref="F145:F146"/>
    <mergeCell ref="A154:G154"/>
    <mergeCell ref="A155:G155"/>
    <mergeCell ref="A167:G167"/>
    <mergeCell ref="A168:G168"/>
    <mergeCell ref="F176:F177"/>
    <mergeCell ref="A183:G183"/>
    <mergeCell ref="A184:G184"/>
    <mergeCell ref="A199:G199"/>
    <mergeCell ref="A200:G200"/>
    <mergeCell ref="A210:G210"/>
    <mergeCell ref="A211:G211"/>
    <mergeCell ref="A222:G222"/>
    <mergeCell ref="A223:G223"/>
    <mergeCell ref="A237:G237"/>
    <mergeCell ref="A238:G238"/>
    <mergeCell ref="A254:G254"/>
    <mergeCell ref="A255:G255"/>
    <mergeCell ref="A269:G269"/>
    <mergeCell ref="A270:G270"/>
    <mergeCell ref="A283:G283"/>
    <mergeCell ref="A284:G284"/>
    <mergeCell ref="A298:G298"/>
    <mergeCell ref="A299:G299"/>
    <mergeCell ref="A314:G314"/>
    <mergeCell ref="A315:G315"/>
    <mergeCell ref="F317:F330"/>
    <mergeCell ref="A341:G341"/>
    <mergeCell ref="A342:G342"/>
    <mergeCell ref="A358:G358"/>
    <mergeCell ref="A359:G359"/>
    <mergeCell ref="A370:G370"/>
    <mergeCell ref="A371:G371"/>
    <mergeCell ref="A384:G384"/>
    <mergeCell ref="A385:G385"/>
    <mergeCell ref="A399:G399"/>
    <mergeCell ref="A400:G400"/>
    <mergeCell ref="A412:G412"/>
    <mergeCell ref="A413:G413"/>
    <mergeCell ref="F415:F420"/>
    <mergeCell ref="A430:G430"/>
    <mergeCell ref="A431:G431"/>
    <mergeCell ref="F433:F439"/>
    <mergeCell ref="A455:G455"/>
    <mergeCell ref="A456:G456"/>
    <mergeCell ref="F458:F462"/>
    <mergeCell ref="A473:G473"/>
    <mergeCell ref="A474:G474"/>
    <mergeCell ref="A489:G489"/>
    <mergeCell ref="A490:G490"/>
    <mergeCell ref="A503:G503"/>
    <mergeCell ref="A504:G504"/>
    <mergeCell ref="A526:G526"/>
    <mergeCell ref="A527:G527"/>
    <mergeCell ref="A542:G542"/>
    <mergeCell ref="A543:G543"/>
    <mergeCell ref="F556:F557"/>
    <mergeCell ref="A559:G559"/>
    <mergeCell ref="A560:G560"/>
    <mergeCell ref="A579:G579"/>
    <mergeCell ref="A580:G580"/>
    <mergeCell ref="A592:G592"/>
    <mergeCell ref="A593:G593"/>
    <mergeCell ref="A604:G604"/>
    <mergeCell ref="A605:G605"/>
    <mergeCell ref="A616:G616"/>
    <mergeCell ref="A617:G617"/>
    <mergeCell ref="A633:G633"/>
    <mergeCell ref="A634:G634"/>
    <mergeCell ref="A649:G649"/>
    <mergeCell ref="A650:G650"/>
    <mergeCell ref="F664:F665"/>
    <mergeCell ref="A671:G671"/>
    <mergeCell ref="A672:G672"/>
    <mergeCell ref="A685:G685"/>
    <mergeCell ref="A686:G686"/>
    <mergeCell ref="A698:G698"/>
    <mergeCell ref="A699:G699"/>
  </mergeCells>
  <conditionalFormatting sqref="I195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I135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I498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I196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I131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I39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I247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I150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I145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I146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I637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I556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I408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I333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I335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I575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I217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I205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I334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I599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I366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I534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I277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I207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I164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I680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I348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I546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I149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I293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I547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conditionalFormatting sqref="I662">
    <cfRule type="duplicateValues" priority="64" aboveAverage="0" equalAverage="0" bottom="0" percent="0" rank="0" text="" dxfId="62"/>
    <cfRule type="duplicateValues" priority="65" aboveAverage="0" equalAverage="0" bottom="0" percent="0" rank="0" text="" dxfId="63"/>
  </conditionalFormatting>
  <conditionalFormatting sqref="I449">
    <cfRule type="duplicateValues" priority="66" aboveAverage="0" equalAverage="0" bottom="0" percent="0" rank="0" text="" dxfId="64"/>
    <cfRule type="duplicateValues" priority="67" aboveAverage="0" equalAverage="0" bottom="0" percent="0" rank="0" text="" dxfId="65"/>
  </conditionalFormatting>
  <conditionalFormatting sqref="I310">
    <cfRule type="duplicateValues" priority="68" aboveAverage="0" equalAverage="0" bottom="0" percent="0" rank="0" text="" dxfId="66"/>
    <cfRule type="duplicateValues" priority="69" aboveAverage="0" equalAverage="0" bottom="0" percent="0" rank="0" text="" dxfId="67"/>
  </conditionalFormatting>
  <conditionalFormatting sqref="I311">
    <cfRule type="duplicateValues" priority="70" aboveAverage="0" equalAverage="0" bottom="0" percent="0" rank="0" text="" dxfId="68"/>
    <cfRule type="duplicateValues" priority="71" aboveAverage="0" equalAverage="0" bottom="0" percent="0" rank="0" text="" dxfId="69"/>
  </conditionalFormatting>
  <conditionalFormatting sqref="I62">
    <cfRule type="duplicateValues" priority="72" aboveAverage="0" equalAverage="0" bottom="0" percent="0" rank="0" text="" dxfId="70"/>
    <cfRule type="duplicateValues" priority="73" aboveAverage="0" equalAverage="0" bottom="0" percent="0" rank="0" text="" dxfId="71"/>
  </conditionalFormatting>
  <conditionalFormatting sqref="I163">
    <cfRule type="duplicateValues" priority="74" aboveAverage="0" equalAverage="0" bottom="0" percent="0" rank="0" text="" dxfId="72"/>
    <cfRule type="duplicateValues" priority="75" aboveAverage="0" equalAverage="0" bottom="0" percent="0" rank="0" text="" dxfId="73"/>
  </conditionalFormatting>
  <conditionalFormatting sqref="I251">
    <cfRule type="duplicateValues" priority="76" aboveAverage="0" equalAverage="0" bottom="0" percent="0" rank="0" text="" dxfId="74"/>
    <cfRule type="duplicateValues" priority="77" aboveAverage="0" equalAverage="0" bottom="0" percent="0" rank="0" text="" dxfId="75"/>
  </conditionalFormatting>
  <conditionalFormatting sqref="I704">
    <cfRule type="duplicateValues" priority="78" aboveAverage="0" equalAverage="0" bottom="0" percent="0" rank="0" text="" dxfId="76"/>
    <cfRule type="duplicateValues" priority="79" aboveAverage="0" equalAverage="0" bottom="0" percent="0" rank="0" text="" dxfId="77"/>
  </conditionalFormatting>
  <conditionalFormatting sqref="I681">
    <cfRule type="duplicateValues" priority="80" aboveAverage="0" equalAverage="0" bottom="0" percent="0" rank="0" text="" dxfId="78"/>
    <cfRule type="duplicateValues" priority="81" aboveAverage="0" equalAverage="0" bottom="0" percent="0" rank="0" text="" dxfId="79"/>
  </conditionalFormatting>
  <conditionalFormatting sqref="I439">
    <cfRule type="duplicateValues" priority="82" aboveAverage="0" equalAverage="0" bottom="0" percent="0" rank="0" text="" dxfId="80"/>
    <cfRule type="duplicateValues" priority="83" aboveAverage="0" equalAverage="0" bottom="0" percent="0" rank="0" text="" dxfId="81"/>
  </conditionalFormatting>
  <conditionalFormatting sqref="I190"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I709">
    <cfRule type="duplicateValues" priority="86" aboveAverage="0" equalAverage="0" bottom="0" percent="0" rank="0" text="" dxfId="84"/>
    <cfRule type="duplicateValues" priority="87" aboveAverage="0" equalAverage="0" bottom="0" percent="0" rank="0" text="" dxfId="85"/>
  </conditionalFormatting>
  <conditionalFormatting sqref="I693">
    <cfRule type="duplicateValues" priority="88" aboveAverage="0" equalAverage="0" bottom="0" percent="0" rank="0" text="" dxfId="86"/>
    <cfRule type="duplicateValues" priority="89" aboveAverage="0" equalAverage="0" bottom="0" percent="0" rank="0" text="" dxfId="87"/>
  </conditionalFormatting>
  <conditionalFormatting sqref="I88">
    <cfRule type="duplicateValues" priority="90" aboveAverage="0" equalAverage="0" bottom="0" percent="0" rank="0" text="" dxfId="88"/>
    <cfRule type="duplicateValues" priority="91" aboveAverage="0" equalAverage="0" bottom="0" percent="0" rank="0" text="" dxfId="89"/>
  </conditionalFormatting>
  <conditionalFormatting sqref="I537">
    <cfRule type="duplicateValues" priority="92" aboveAverage="0" equalAverage="0" bottom="0" percent="0" rank="0" text="" dxfId="90"/>
    <cfRule type="duplicateValues" priority="93" aboveAverage="0" equalAverage="0" bottom="0" percent="0" rank="0" text="" dxfId="91"/>
  </conditionalFormatting>
  <conditionalFormatting sqref="I657">
    <cfRule type="duplicateValues" priority="94" aboveAverage="0" equalAverage="0" bottom="0" percent="0" rank="0" text="" dxfId="92"/>
    <cfRule type="duplicateValues" priority="95" aboveAverage="0" equalAverage="0" bottom="0" percent="0" rank="0" text="" dxfId="93"/>
  </conditionalFormatting>
  <conditionalFormatting sqref="I409">
    <cfRule type="duplicateValues" priority="96" aboveAverage="0" equalAverage="0" bottom="0" percent="0" rank="0" text="" dxfId="94"/>
    <cfRule type="duplicateValues" priority="97" aboveAverage="0" equalAverage="0" bottom="0" percent="0" rank="0" text="" dxfId="95"/>
  </conditionalFormatting>
  <conditionalFormatting sqref="I687">
    <cfRule type="duplicateValues" priority="98" aboveAverage="0" equalAverage="0" bottom="0" percent="0" rank="0" text="" dxfId="96"/>
    <cfRule type="duplicateValues" priority="99" aboveAverage="0" equalAverage="0" bottom="0" percent="0" rank="0" text="" dxfId="97"/>
  </conditionalFormatting>
  <conditionalFormatting sqref="I686">
    <cfRule type="duplicateValues" priority="100" aboveAverage="0" equalAverage="0" bottom="0" percent="0" rank="0" text="" dxfId="98"/>
    <cfRule type="duplicateValues" priority="101" aboveAverage="0" equalAverage="0" bottom="0" percent="0" rank="0" text="" dxfId="99"/>
  </conditionalFormatting>
  <conditionalFormatting sqref="I697">
    <cfRule type="duplicateValues" priority="102" aboveAverage="0" equalAverage="0" bottom="0" percent="0" rank="0" text="" dxfId="100"/>
    <cfRule type="duplicateValues" priority="103" aboveAverage="0" equalAverage="0" bottom="0" percent="0" rank="0" text="" dxfId="101"/>
  </conditionalFormatting>
  <conditionalFormatting sqref="I685">
    <cfRule type="duplicateValues" priority="104" aboveAverage="0" equalAverage="0" bottom="0" percent="0" rank="0" text="" dxfId="102"/>
    <cfRule type="duplicateValues" priority="105" aboveAverage="0" equalAverage="0" bottom="0" percent="0" rank="0" text="" dxfId="103"/>
  </conditionalFormatting>
  <conditionalFormatting sqref="I700">
    <cfRule type="duplicateValues" priority="106" aboveAverage="0" equalAverage="0" bottom="0" percent="0" rank="0" text="" dxfId="104"/>
    <cfRule type="duplicateValues" priority="107" aboveAverage="0" equalAverage="0" bottom="0" percent="0" rank="0" text="" dxfId="105"/>
  </conditionalFormatting>
  <conditionalFormatting sqref="I699">
    <cfRule type="duplicateValues" priority="108" aboveAverage="0" equalAverage="0" bottom="0" percent="0" rank="0" text="" dxfId="106"/>
    <cfRule type="duplicateValues" priority="109" aboveAverage="0" equalAverage="0" bottom="0" percent="0" rank="0" text="" dxfId="107"/>
  </conditionalFormatting>
  <conditionalFormatting sqref="I711">
    <cfRule type="duplicateValues" priority="110" aboveAverage="0" equalAverage="0" bottom="0" percent="0" rank="0" text="" dxfId="108"/>
    <cfRule type="duplicateValues" priority="111" aboveAverage="0" equalAverage="0" bottom="0" percent="0" rank="0" text="" dxfId="109"/>
  </conditionalFormatting>
  <conditionalFormatting sqref="I436">
    <cfRule type="duplicateValues" priority="112" aboveAverage="0" equalAverage="0" bottom="0" percent="0" rank="0" text="" dxfId="110"/>
    <cfRule type="duplicateValues" priority="113" aboveAverage="0" equalAverage="0" bottom="0" percent="0" rank="0" text="" dxfId="111"/>
  </conditionalFormatting>
  <conditionalFormatting sqref="D34">
    <cfRule type="duplicateValues" priority="114" aboveAverage="0" equalAverage="0" bottom="0" percent="0" rank="0" text="" dxfId="112"/>
  </conditionalFormatting>
  <conditionalFormatting sqref="D674 D656 D531">
    <cfRule type="duplicateValues" priority="115" aboveAverage="0" equalAverage="0" bottom="0" percent="0" rank="0" text="" dxfId="113"/>
  </conditionalFormatting>
  <conditionalFormatting sqref="I698">
    <cfRule type="duplicateValues" priority="116" aboveAverage="0" equalAverage="0" bottom="0" percent="0" rank="0" text="" dxfId="114"/>
    <cfRule type="duplicateValues" priority="117" aboveAverage="0" equalAverage="0" bottom="0" percent="0" rank="0" text="" dxfId="115"/>
  </conditionalFormatting>
  <conditionalFormatting sqref="I43:I44 I31:I33">
    <cfRule type="duplicateValues" priority="118" aboveAverage="0" equalAverage="0" bottom="0" percent="0" rank="0" text="" dxfId="116"/>
    <cfRule type="duplicateValues" priority="119" aboveAverage="0" equalAverage="0" bottom="0" percent="0" rank="0" text="" dxfId="117"/>
  </conditionalFormatting>
  <conditionalFormatting sqref="D557">
    <cfRule type="duplicateValues" priority="120" aboveAverage="0" equalAverage="0" bottom="0" percent="0" rank="0" text="" dxfId="118"/>
  </conditionalFormatting>
  <conditionalFormatting sqref="I689:I690 I692 I694:I695 I199:I202 I193 I208:I209">
    <cfRule type="duplicateValues" priority="121" aboveAverage="0" equalAverage="0" bottom="0" percent="0" rank="0" text="" dxfId="119"/>
    <cfRule type="duplicateValues" priority="122" aboveAverage="0" equalAverage="0" bottom="0" percent="0" rank="0" text="" dxfId="120"/>
  </conditionalFormatting>
  <conditionalFormatting sqref="I180 I172:I173 I154:I161 I165:I166">
    <cfRule type="duplicateValues" priority="123" aboveAverage="0" equalAverage="0" bottom="0" percent="0" rank="0" text="" dxfId="121"/>
    <cfRule type="duplicateValues" priority="124" aboveAverage="0" equalAverage="0" bottom="0" percent="0" rank="0" text="" dxfId="122"/>
  </conditionalFormatting>
  <conditionalFormatting sqref="I696 I688 I705">
    <cfRule type="duplicateValues" priority="125" aboveAverage="0" equalAverage="0" bottom="0" percent="0" rank="0" text="" dxfId="123"/>
    <cfRule type="duplicateValues" priority="126" aboveAverage="0" equalAverage="0" bottom="0" percent="0" rank="0" text="" dxfId="124"/>
  </conditionalFormatting>
  <conditionalFormatting sqref="I712:I1048576 I691 I437:I438 I410:I435 I710 I701:I703 I706:I708 I658:I661 I167:I171 I440:I448 I203:I204 I682:I684 I162 I45:I61 I63:I87 I147:I148 I151:I153 I210:I216 I181:I189 I191:I192 I450:I497 I499:I533 I312:I332 I538:I545 I278:I292 I252:I276 I294:I309 I206 I367:I407 I218:I246 I576:I598 I535:I536 I349:I365 I336:I347 I548:I555 I557:I574 I663:I679 I600:I636 I638:I656 I174:I179 I248:I250 I1:I30 I34:I38 I40:I42 I132:I134 I136:I144 I197:I198 I194 I89:I130">
    <cfRule type="duplicateValues" priority="127" aboveAverage="0" equalAverage="0" bottom="0" percent="0" rank="0" text="" dxfId="125"/>
    <cfRule type="duplicateValues" priority="128" aboveAverage="0" equalAverage="0" bottom="0" percent="0" rank="0" text="" dxfId="126"/>
  </conditionalFormatting>
  <printOptions headings="false" gridLines="fals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Roman,Bold"&amp;12COLLEGE OF ENGINEERING             
DRAFT EXAMINATION TIMETABLE FOR THE SECOND SEMESTER, 2025/2026 ACADEMIC YEAR</oddHeader>
    <oddFooter>&amp;C&amp;"Times New Roman,Regular"&amp;18&amp;Kff0000For computer based exams, venues will be communicated.</oddFooter>
  </headerFooter>
  <rowBreaks count="45" manualBreakCount="45">
    <brk id="12" man="true" max="16383" min="0"/>
    <brk id="30" man="true" max="16383" min="0"/>
    <brk id="44" man="true" max="16383" min="0"/>
    <brk id="66" man="true" max="16383" min="0"/>
    <brk id="83" man="true" max="16383" min="0"/>
    <brk id="97" man="true" max="16383" min="0"/>
    <brk id="110" man="true" max="16383" min="0"/>
    <brk id="125" man="true" max="16383" min="0"/>
    <brk id="137" man="true" max="16383" min="0"/>
    <brk id="153" man="true" max="16383" min="0"/>
    <brk id="166" man="true" max="16383" min="0"/>
    <brk id="182" man="true" max="16383" min="0"/>
    <brk id="198" man="true" max="16383" min="0"/>
    <brk id="209" man="true" max="16383" min="0"/>
    <brk id="221" man="true" max="16383" min="0"/>
    <brk id="236" man="true" max="16383" min="0"/>
    <brk id="253" man="true" max="16383" min="0"/>
    <brk id="268" man="true" max="16383" min="0"/>
    <brk id="282" man="true" max="16383" min="0"/>
    <brk id="297" man="true" max="16383" min="0"/>
    <brk id="313" man="true" max="16383" min="0"/>
    <brk id="340" man="true" max="16383" min="0"/>
    <brk id="357" man="true" max="16383" min="0"/>
    <brk id="369" man="true" max="16383" min="0"/>
    <brk id="383" man="true" max="16383" min="0"/>
    <brk id="398" man="true" max="16383" min="0"/>
    <brk id="411" man="true" max="16383" min="0"/>
    <brk id="429" man="true" max="16383" min="0"/>
    <brk id="454" man="true" max="16383" min="0"/>
    <brk id="472" man="true" max="16383" min="0"/>
    <brk id="488" man="true" max="16383" min="0"/>
    <brk id="502" man="true" max="16383" min="0"/>
    <brk id="525" man="true" max="16383" min="0"/>
    <brk id="541" man="true" max="16383" min="0"/>
    <brk id="558" man="true" max="16383" min="0"/>
    <brk id="578" man="true" max="16383" min="0"/>
    <brk id="591" man="true" max="16383" min="0"/>
    <brk id="603" man="true" max="16383" min="0"/>
    <brk id="615" man="true" max="16383" min="0"/>
    <brk id="632" man="true" max="16383" min="0"/>
    <brk id="648" man="true" max="16383" min="0"/>
    <brk id="667" man="true" max="16383" min="0"/>
    <brk id="670" man="true" max="16383" min="0"/>
    <brk id="683" man="true" max="16383" min="0"/>
    <brk id="697" man="true" max="16383" min="0"/>
  </rowBreaks>
  <colBreaks count="1" manualBreakCount="1">
    <brk id="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true"/>
  </sheetPr>
  <dimension ref="A1:M704"/>
  <sheetViews>
    <sheetView showFormulas="false" showGridLines="true" showRowColHeaders="true" showZeros="true" rightToLeft="false" tabSelected="false" showOutlineSymbols="true" defaultGridColor="true" view="normal" topLeftCell="H139" colorId="64" zoomScale="100" zoomScaleNormal="100" zoomScalePageLayoutView="100" workbookViewId="0">
      <selection pane="topLeft" activeCell="B171" activeCellId="0" sqref="B171"/>
    </sheetView>
  </sheetViews>
  <sheetFormatPr defaultColWidth="7.7578125" defaultRowHeight="12.75" customHeight="false" zeroHeight="false" outlineLevelRow="0" outlineLevelCol="0"/>
  <cols>
    <col collapsed="false" customWidth="true" hidden="false" outlineLevel="0" max="1" min="1" style="1" width="9.37"/>
    <col collapsed="false" customWidth="true" hidden="false" outlineLevel="0" max="2" min="2" style="1" width="59.13"/>
    <col collapsed="false" customWidth="true" hidden="false" outlineLevel="0" max="3" min="3" style="2" width="34.13"/>
    <col collapsed="false" customWidth="true" hidden="false" outlineLevel="0" max="4" min="4" style="1" width="9.26"/>
    <col collapsed="false" customWidth="true" hidden="false" outlineLevel="0" max="5" min="5" style="4" width="7.37"/>
    <col collapsed="false" customWidth="true" hidden="false" outlineLevel="0" max="6" min="6" style="3" width="54.37"/>
    <col collapsed="false" customWidth="true" hidden="false" outlineLevel="0" max="7" min="7" style="64" width="10"/>
    <col collapsed="false" customWidth="true" hidden="false" outlineLevel="0" max="8" min="8" style="5" width="0.13"/>
    <col collapsed="false" customWidth="true" hidden="false" outlineLevel="0" max="9" min="9" style="6" width="32.76"/>
    <col collapsed="false" customWidth="true" hidden="false" outlineLevel="0" max="10" min="10" style="7" width="41"/>
    <col collapsed="false" customWidth="false" hidden="false" outlineLevel="0" max="16384" min="11" style="7" width="7.75"/>
  </cols>
  <sheetData>
    <row r="1" customFormat="false" ht="15" hidden="false" customHeight="false" outlineLevel="0" collapsed="false">
      <c r="A1" s="65" t="s">
        <v>0</v>
      </c>
      <c r="B1" s="65"/>
      <c r="C1" s="65"/>
      <c r="D1" s="65"/>
      <c r="E1" s="65"/>
      <c r="F1" s="65"/>
      <c r="G1" s="65"/>
      <c r="I1" s="9" t="str">
        <f aca="false">A1</f>
        <v>Monday, 17 August 2026</v>
      </c>
      <c r="J1" s="10"/>
    </row>
    <row r="2" customFormat="false" ht="15" hidden="false" customHeight="false" outlineLevel="0" collapsed="false">
      <c r="A2" s="65" t="s">
        <v>2</v>
      </c>
      <c r="B2" s="65"/>
      <c r="C2" s="65"/>
      <c r="D2" s="65"/>
      <c r="E2" s="65"/>
      <c r="F2" s="65"/>
      <c r="G2" s="65"/>
      <c r="I2" s="9" t="str">
        <f aca="false">A2</f>
        <v>Session, 1 (8:30 AM - 10:30 AM)</v>
      </c>
      <c r="J2" s="10"/>
      <c r="L2" s="10"/>
    </row>
    <row r="3" customFormat="false" ht="15" hidden="false" customHeight="false" outlineLevel="0" collapsed="false">
      <c r="A3" s="66" t="s">
        <v>4</v>
      </c>
      <c r="B3" s="66" t="s">
        <v>5</v>
      </c>
      <c r="C3" s="67" t="s">
        <v>6</v>
      </c>
      <c r="D3" s="66" t="s">
        <v>7</v>
      </c>
      <c r="E3" s="68" t="s">
        <v>8</v>
      </c>
      <c r="F3" s="67" t="s">
        <v>9</v>
      </c>
      <c r="G3" s="69" t="s">
        <v>10</v>
      </c>
      <c r="I3" s="6" t="s">
        <v>11</v>
      </c>
      <c r="J3" s="12"/>
    </row>
    <row r="4" customFormat="false" ht="15" hidden="false" customHeight="false" outlineLevel="0" collapsed="false">
      <c r="A4" s="70" t="s">
        <v>12</v>
      </c>
      <c r="B4" s="71" t="str">
        <f aca="false" t="array" ref="B4:B9">IFERROR(VLOOKUP(I4:I9,Lectures_1!A2:F534,2,FALSE()),0)</f>
        <v>DRAWING FOR ENGINEERS</v>
      </c>
      <c r="C4" s="71" t="str">
        <f aca="false" t="array" ref="C4:C9">IFERROR(VLOOKUP(I4:I9,Lectures_1!A2:F534,3,FALSE()),0)</f>
        <v>Darkwah Lawrence</v>
      </c>
      <c r="D4" s="70" t="s">
        <v>13</v>
      </c>
      <c r="E4" s="72" t="n">
        <f aca="false" t="array" ref="E4:E9">IFERROR(VLOOKUP(I4:I9,Lectures_1!A2:F534,4,FALSE()),0)</f>
        <v>160</v>
      </c>
      <c r="F4" s="70" t="s">
        <v>527</v>
      </c>
      <c r="G4" s="73" t="n">
        <f aca="false">E4*1.1</f>
        <v>176</v>
      </c>
      <c r="H4" s="5" t="s">
        <v>528</v>
      </c>
      <c r="I4" s="6" t="str">
        <f aca="false">CONCATENATE(A4,",",D4)</f>
        <v>CHE 258,ED2-CHE</v>
      </c>
      <c r="J4" s="12"/>
    </row>
    <row r="5" customFormat="false" ht="15" hidden="false" customHeight="false" outlineLevel="0" collapsed="false">
      <c r="A5" s="70" t="s">
        <v>12</v>
      </c>
      <c r="B5" s="71" t="str">
        <v>DRAWING FOR ENGINEERS</v>
      </c>
      <c r="C5" s="71" t="str">
        <v>Darkwah Lawrence</v>
      </c>
      <c r="D5" s="70" t="s">
        <v>14</v>
      </c>
      <c r="E5" s="72" t="n">
        <v>65</v>
      </c>
      <c r="F5" s="70" t="s">
        <v>529</v>
      </c>
      <c r="G5" s="73" t="n">
        <f aca="false">E5*1.1</f>
        <v>71.5</v>
      </c>
      <c r="H5" s="5" t="s">
        <v>530</v>
      </c>
      <c r="I5" s="6" t="str">
        <f aca="false">CONCATENATE(A5,",",D5)</f>
        <v>CHE 258,ED2-PCE</v>
      </c>
      <c r="J5" s="12"/>
    </row>
    <row r="6" customFormat="false" ht="15" hidden="false" customHeight="false" outlineLevel="0" collapsed="false">
      <c r="A6" s="70" t="s">
        <v>15</v>
      </c>
      <c r="B6" s="74" t="str">
        <v>OPERATING SYSTEMS</v>
      </c>
      <c r="C6" s="74" t="str">
        <v>Kommey Benjamin</v>
      </c>
      <c r="D6" s="70" t="s">
        <v>16</v>
      </c>
      <c r="E6" s="72" t="n">
        <v>265</v>
      </c>
      <c r="F6" s="75" t="s">
        <v>531</v>
      </c>
      <c r="G6" s="73" t="n">
        <f aca="false">E6*1.1</f>
        <v>291.5</v>
      </c>
      <c r="H6" s="5" t="s">
        <v>532</v>
      </c>
      <c r="I6" s="6" t="str">
        <f aca="false">CONCATENATE(A6,",",D6)</f>
        <v>COE 354,ED3-COE</v>
      </c>
      <c r="J6" s="12"/>
    </row>
    <row r="7" customFormat="false" ht="15" hidden="false" customHeight="false" outlineLevel="0" collapsed="false">
      <c r="A7" s="70" t="s">
        <v>19</v>
      </c>
      <c r="B7" s="71" t="str">
        <v>ELECTRICAL ENG. DRAWING</v>
      </c>
      <c r="C7" s="71" t="str">
        <v>Kwegyir Daniel</v>
      </c>
      <c r="D7" s="70" t="s">
        <v>20</v>
      </c>
      <c r="E7" s="72" t="n">
        <v>262</v>
      </c>
      <c r="F7" s="70" t="s">
        <v>533</v>
      </c>
      <c r="G7" s="73" t="n">
        <f aca="false">E7*1.1</f>
        <v>288.2</v>
      </c>
      <c r="H7" s="5" t="s">
        <v>534</v>
      </c>
      <c r="I7" s="18" t="str">
        <f aca="false">CONCATENATE(A7,",",D7)</f>
        <v>EE 156,ED1-COE</v>
      </c>
      <c r="J7" s="12"/>
    </row>
    <row r="8" customFormat="false" ht="15" hidden="false" customHeight="false" outlineLevel="0" collapsed="false">
      <c r="A8" s="70" t="s">
        <v>192</v>
      </c>
      <c r="B8" s="71" t="str">
        <v>PROPULSION</v>
      </c>
      <c r="C8" s="74" t="str">
        <v>Bofah Kwasi Kete</v>
      </c>
      <c r="D8" s="70" t="s">
        <v>133</v>
      </c>
      <c r="E8" s="72" t="n">
        <v>76</v>
      </c>
      <c r="F8" s="75" t="s">
        <v>535</v>
      </c>
      <c r="G8" s="73" t="n">
        <f aca="false">E8*1.1</f>
        <v>83.6</v>
      </c>
      <c r="H8" s="5" t="s">
        <v>536</v>
      </c>
      <c r="I8" s="6" t="str">
        <f aca="false">CONCATENATE(A8,",",D8)</f>
        <v>AERO 368,ED3-AERO</v>
      </c>
      <c r="J8" s="12"/>
    </row>
    <row r="9" customFormat="false" ht="15" hidden="false" customHeight="false" outlineLevel="0" collapsed="false">
      <c r="A9" s="70" t="s">
        <v>24</v>
      </c>
      <c r="B9" s="74" t="str">
        <v>DIGITAL SYSTEMS</v>
      </c>
      <c r="C9" s="71" t="str">
        <v>Opoku Daniel</v>
      </c>
      <c r="D9" s="70" t="s">
        <v>25</v>
      </c>
      <c r="E9" s="72" t="n">
        <v>340</v>
      </c>
      <c r="F9" s="70" t="s">
        <v>537</v>
      </c>
      <c r="G9" s="73" t="n">
        <f aca="false">E9*1.1</f>
        <v>374</v>
      </c>
      <c r="H9" s="5" t="s">
        <v>538</v>
      </c>
      <c r="I9" s="6" t="str">
        <f aca="false">CONCATENATE(A9,",",D9)</f>
        <v>EE 272,ED2-EE</v>
      </c>
      <c r="J9" s="12"/>
    </row>
    <row r="10" customFormat="false" ht="15" hidden="false" customHeight="false" outlineLevel="0" collapsed="false">
      <c r="A10" s="76"/>
      <c r="B10" s="76"/>
      <c r="C10" s="67"/>
      <c r="D10" s="71" t="s">
        <v>26</v>
      </c>
      <c r="E10" s="77" t="n">
        <f aca="false">SUM(E4:E9)</f>
        <v>1168</v>
      </c>
      <c r="F10" s="78"/>
      <c r="G10" s="79"/>
      <c r="I10" s="9" t="s">
        <v>27</v>
      </c>
      <c r="J10" s="12"/>
    </row>
    <row r="11" customFormat="false" ht="15" hidden="false" customHeight="false" outlineLevel="0" collapsed="false">
      <c r="A11" s="76"/>
      <c r="B11" s="76"/>
      <c r="C11" s="67"/>
      <c r="D11" s="71"/>
      <c r="E11" s="77"/>
      <c r="F11" s="78"/>
      <c r="G11" s="79"/>
      <c r="I11" s="9"/>
      <c r="J11" s="12"/>
    </row>
    <row r="12" customFormat="false" ht="15" hidden="false" customHeight="false" outlineLevel="0" collapsed="false">
      <c r="A12" s="65" t="s">
        <v>0</v>
      </c>
      <c r="B12" s="65"/>
      <c r="C12" s="65"/>
      <c r="D12" s="65"/>
      <c r="E12" s="65"/>
      <c r="F12" s="65"/>
      <c r="G12" s="65"/>
      <c r="I12" s="9" t="str">
        <f aca="false">A12</f>
        <v>Monday, 17 August 2026</v>
      </c>
      <c r="J12" s="12"/>
    </row>
    <row r="13" s="10" customFormat="true" ht="15" hidden="false" customHeight="false" outlineLevel="0" collapsed="false">
      <c r="A13" s="65" t="s">
        <v>29</v>
      </c>
      <c r="B13" s="65"/>
      <c r="C13" s="65"/>
      <c r="D13" s="65"/>
      <c r="E13" s="65"/>
      <c r="F13" s="65"/>
      <c r="G13" s="65"/>
      <c r="H13" s="5"/>
      <c r="I13" s="9" t="str">
        <f aca="false">A13</f>
        <v>Session, 2 (12:00 PM - 2:00 PM)</v>
      </c>
      <c r="J13" s="12"/>
    </row>
    <row r="14" s="10" customFormat="true" ht="15" hidden="false" customHeight="false" outlineLevel="0" collapsed="false">
      <c r="A14" s="66" t="s">
        <v>4</v>
      </c>
      <c r="B14" s="66" t="s">
        <v>5</v>
      </c>
      <c r="C14" s="67" t="s">
        <v>6</v>
      </c>
      <c r="D14" s="66" t="s">
        <v>7</v>
      </c>
      <c r="E14" s="68" t="s">
        <v>8</v>
      </c>
      <c r="F14" s="67" t="s">
        <v>9</v>
      </c>
      <c r="G14" s="69" t="s">
        <v>10</v>
      </c>
      <c r="H14" s="5"/>
      <c r="I14" s="9" t="s">
        <v>31</v>
      </c>
      <c r="J14" s="12"/>
    </row>
    <row r="15" customFormat="false" ht="15" hidden="false" customHeight="false" outlineLevel="0" collapsed="false">
      <c r="A15" s="70" t="s">
        <v>32</v>
      </c>
      <c r="B15" s="71" t="str">
        <f aca="false" t="array" ref="B15:B28">IFERROR(VLOOKUP(I15:I28,Lectures_1!A2:F534,2,FALSE()),0)</f>
        <v>MACHINE DESIGN PROJECT</v>
      </c>
      <c r="C15" s="71" t="str">
        <f aca="false" t="array" ref="C15:C28">IFERROR(VLOOKUP(I15:I28,Lectures_1!A2:F534,3,FALSE()),0)</f>
        <v>Andoh Prince Yaw</v>
      </c>
      <c r="D15" s="70" t="s">
        <v>33</v>
      </c>
      <c r="E15" s="80" t="n">
        <f aca="false" t="array" ref="E15:E28">IFERROR(VLOOKUP(I15:I28,Lectures_1!A2:F534,4,FALSE()),0)</f>
        <v>240</v>
      </c>
      <c r="F15" s="81" t="s">
        <v>34</v>
      </c>
      <c r="G15" s="73" t="n">
        <f aca="false">E15*1.1</f>
        <v>264</v>
      </c>
      <c r="I15" s="6" t="str">
        <f aca="false">CONCATENATE(A15,",",D15)</f>
        <v>ME 274,ED2-ME</v>
      </c>
      <c r="J15" s="12"/>
    </row>
    <row r="16" customFormat="false" ht="15" hidden="false" customHeight="false" outlineLevel="0" collapsed="false">
      <c r="A16" s="70" t="s">
        <v>35</v>
      </c>
      <c r="B16" s="74" t="str">
        <v>AEROSPACE DESIGN PROJECT II</v>
      </c>
      <c r="C16" s="74" t="str">
        <v>Andoh Prince Yaw</v>
      </c>
      <c r="D16" s="70" t="s">
        <v>36</v>
      </c>
      <c r="E16" s="72" t="n">
        <v>75</v>
      </c>
      <c r="F16" s="81"/>
      <c r="G16" s="73" t="n">
        <f aca="false">E16*1.1</f>
        <v>82.5</v>
      </c>
      <c r="I16" s="6" t="str">
        <f aca="false">CONCATENATE(A16,",",D16)</f>
        <v>AERO 274,ED2-AERO</v>
      </c>
      <c r="J16" s="12"/>
    </row>
    <row r="17" customFormat="false" ht="15" hidden="false" customHeight="false" outlineLevel="0" collapsed="false">
      <c r="A17" s="70" t="s">
        <v>37</v>
      </c>
      <c r="B17" s="71" t="str">
        <v>SECOND YEAR DESIGN PROJECT</v>
      </c>
      <c r="C17" s="74" t="str">
        <v>Andoh Prince Yaw</v>
      </c>
      <c r="D17" s="70" t="s">
        <v>38</v>
      </c>
      <c r="E17" s="72" t="n">
        <v>80</v>
      </c>
      <c r="F17" s="81"/>
      <c r="G17" s="73" t="n">
        <f aca="false">E17*1.1</f>
        <v>88</v>
      </c>
      <c r="H17" s="3"/>
      <c r="I17" s="6" t="str">
        <f aca="false">CONCATENATE(A17,",",D17)</f>
        <v>IE 274,ED2-IND</v>
      </c>
      <c r="J17" s="12"/>
    </row>
    <row r="18" customFormat="false" ht="15" hidden="false" customHeight="false" outlineLevel="0" collapsed="false">
      <c r="A18" s="70" t="s">
        <v>39</v>
      </c>
      <c r="B18" s="71" t="str">
        <v>AUTOMOTIVE DESIGN PROJECT</v>
      </c>
      <c r="C18" s="74" t="str">
        <v>Andoh Prince Yaw</v>
      </c>
      <c r="D18" s="70" t="s">
        <v>40</v>
      </c>
      <c r="E18" s="72" t="n">
        <v>82</v>
      </c>
      <c r="F18" s="81"/>
      <c r="G18" s="73" t="n">
        <f aca="false">E18*1.1</f>
        <v>90.2</v>
      </c>
      <c r="H18" s="3"/>
      <c r="I18" s="6" t="str">
        <f aca="false">CONCATENATE(A18,",",D18)</f>
        <v>AME 274,ED2-AUTO</v>
      </c>
      <c r="J18" s="12"/>
    </row>
    <row r="19" customFormat="false" ht="15" hidden="false" customHeight="false" outlineLevel="0" collapsed="false">
      <c r="A19" s="70" t="s">
        <v>41</v>
      </c>
      <c r="B19" s="71" t="str">
        <v>MARINE ENGINEERING DESIGN PROJECT II</v>
      </c>
      <c r="C19" s="74" t="str">
        <v>Andoh Prince Yaw</v>
      </c>
      <c r="D19" s="70" t="s">
        <v>42</v>
      </c>
      <c r="E19" s="72" t="n">
        <v>37</v>
      </c>
      <c r="F19" s="81"/>
      <c r="G19" s="73" t="n">
        <f aca="false">E19*1.1</f>
        <v>40.7</v>
      </c>
      <c r="H19" s="3"/>
      <c r="I19" s="6" t="str">
        <f aca="false">CONCATENATE(A19,",",D19)</f>
        <v>MME 274,ED2-MARI</v>
      </c>
      <c r="J19" s="12"/>
    </row>
    <row r="20" customFormat="false" ht="15" hidden="false" customHeight="false" outlineLevel="0" collapsed="false">
      <c r="A20" s="70" t="s">
        <v>43</v>
      </c>
      <c r="B20" s="74" t="str">
        <v>PETROLEUM REFINING ENGINEERING</v>
      </c>
      <c r="C20" s="74" t="str">
        <v>Kwao-Boateng Emmanuela</v>
      </c>
      <c r="D20" s="70" t="s">
        <v>44</v>
      </c>
      <c r="E20" s="72" t="n">
        <v>55</v>
      </c>
      <c r="F20" s="75" t="s">
        <v>539</v>
      </c>
      <c r="G20" s="73" t="n">
        <f aca="false">E20*1.1</f>
        <v>60.5</v>
      </c>
      <c r="H20" s="5" t="s">
        <v>540</v>
      </c>
      <c r="I20" s="6" t="str">
        <f aca="false">CONCATENATE(A20,",",D20)</f>
        <v>PCE 450,ED4-PCE</v>
      </c>
      <c r="J20" s="12"/>
    </row>
    <row r="21" customFormat="false" ht="15" hidden="false" customHeight="false" outlineLevel="0" collapsed="false">
      <c r="A21" s="70" t="s">
        <v>47</v>
      </c>
      <c r="B21" s="74" t="str">
        <v>REFINING PROCESSES TECHNOLOGY</v>
      </c>
      <c r="C21" s="74" t="str">
        <v>Kwao-Boateng Emmanuela</v>
      </c>
      <c r="D21" s="70" t="s">
        <v>48</v>
      </c>
      <c r="E21" s="72" t="n">
        <v>50</v>
      </c>
      <c r="F21" s="75" t="s">
        <v>541</v>
      </c>
      <c r="G21" s="73" t="n">
        <f aca="false">E21*1.1</f>
        <v>55</v>
      </c>
      <c r="H21" s="5" t="n">
        <v>50</v>
      </c>
      <c r="I21" s="6" t="str">
        <f aca="false">CONCATENATE(A21,",",D21)</f>
        <v>PCE 464,ED4-CHE</v>
      </c>
      <c r="J21" s="12"/>
    </row>
    <row r="22" customFormat="false" ht="15" hidden="false" customHeight="false" outlineLevel="0" collapsed="false">
      <c r="A22" s="70" t="s">
        <v>542</v>
      </c>
      <c r="B22" s="71" t="str">
        <v>MECHANICAL ENGINEERING LAB. II</v>
      </c>
      <c r="C22" s="74" t="str">
        <v>Boahen Samuel</v>
      </c>
      <c r="D22" s="70" t="s">
        <v>53</v>
      </c>
      <c r="E22" s="72" t="n">
        <v>155</v>
      </c>
      <c r="F22" s="75" t="s">
        <v>527</v>
      </c>
      <c r="G22" s="73" t="n">
        <f aca="false">E22*1.1</f>
        <v>170.5</v>
      </c>
      <c r="H22" s="5" t="s">
        <v>543</v>
      </c>
      <c r="I22" s="6" t="str">
        <f aca="false">CONCATENATE(A22,",",D22)</f>
        <v>ME 296,ED2-AE</v>
      </c>
      <c r="J22" s="12"/>
    </row>
    <row r="23" customFormat="false" ht="15" hidden="false" customHeight="false" outlineLevel="0" collapsed="false">
      <c r="A23" s="70" t="s">
        <v>72</v>
      </c>
      <c r="B23" s="71" t="str">
        <v>SILICATE TECHNOLOGY II</v>
      </c>
      <c r="C23" s="74" t="str">
        <v>Momade Zsuzsanna Gál</v>
      </c>
      <c r="D23" s="70" t="s">
        <v>73</v>
      </c>
      <c r="E23" s="72" t="n">
        <v>15</v>
      </c>
      <c r="F23" s="75" t="s">
        <v>544</v>
      </c>
      <c r="G23" s="73" t="n">
        <f aca="false">E23*1.1</f>
        <v>16.5</v>
      </c>
      <c r="H23" s="5" t="n">
        <v>15</v>
      </c>
      <c r="I23" s="6" t="str">
        <f aca="false">CONCATENATE(A23,",",D23)</f>
        <v>CHE 362,ED3-CHE</v>
      </c>
      <c r="J23" s="12"/>
    </row>
    <row r="24" customFormat="false" ht="15" hidden="false" customHeight="false" outlineLevel="0" collapsed="false">
      <c r="A24" s="70" t="s">
        <v>234</v>
      </c>
      <c r="B24" s="74" t="str">
        <v>BASIC ELECTRONICS</v>
      </c>
      <c r="C24" s="74" t="str">
        <v>Kwegyir Daniel</v>
      </c>
      <c r="D24" s="70" t="s">
        <v>95</v>
      </c>
      <c r="E24" s="72" t="n">
        <v>103</v>
      </c>
      <c r="F24" s="70" t="s">
        <v>545</v>
      </c>
      <c r="G24" s="73" t="n">
        <f aca="false">E24*1.1</f>
        <v>113.3</v>
      </c>
      <c r="H24" s="5" t="n">
        <v>103</v>
      </c>
      <c r="I24" s="6" t="str">
        <f aca="false">CONCATENATE(A24,",",D24)</f>
        <v>EE 152,ED1-GEOM</v>
      </c>
      <c r="J24" s="12"/>
    </row>
    <row r="25" customFormat="false" ht="15" hidden="false" customHeight="false" outlineLevel="0" collapsed="false">
      <c r="A25" s="70" t="s">
        <v>234</v>
      </c>
      <c r="B25" s="74" t="str">
        <v>BASIC ELECTRONICS</v>
      </c>
      <c r="C25" s="74" t="str">
        <v>Kwegyir Daniel</v>
      </c>
      <c r="D25" s="70" t="s">
        <v>126</v>
      </c>
      <c r="E25" s="72" t="n">
        <v>125</v>
      </c>
      <c r="F25" s="70" t="s">
        <v>546</v>
      </c>
      <c r="G25" s="73" t="n">
        <f aca="false">E25*1.1</f>
        <v>137.5</v>
      </c>
      <c r="H25" s="5" t="n">
        <v>125</v>
      </c>
      <c r="I25" s="6" t="str">
        <f aca="false">CONCATENATE(A25,",",D25)</f>
        <v>EE 152,ED1-GEOL</v>
      </c>
      <c r="J25" s="12"/>
    </row>
    <row r="26" customFormat="false" ht="15" hidden="false" customHeight="false" outlineLevel="0" collapsed="false">
      <c r="A26" s="70" t="s">
        <v>74</v>
      </c>
      <c r="B26" s="74" t="str">
        <v>PROPERTIES OF CIVIL ENGINEERING MATERIAL</v>
      </c>
      <c r="C26" s="74" t="str">
        <v>Kankam Charles Kwame</v>
      </c>
      <c r="D26" s="70" t="s">
        <v>75</v>
      </c>
      <c r="E26" s="72" t="n">
        <v>245</v>
      </c>
      <c r="F26" s="75" t="s">
        <v>531</v>
      </c>
      <c r="G26" s="73" t="n">
        <f aca="false">E26*1.1</f>
        <v>269.5</v>
      </c>
      <c r="H26" s="5" t="s">
        <v>547</v>
      </c>
      <c r="I26" s="6" t="str">
        <f aca="false">CONCATENATE(A26,",",D26)</f>
        <v>CE 154,ED1-CE</v>
      </c>
      <c r="J26" s="12"/>
    </row>
    <row r="27" customFormat="false" ht="15" hidden="false" customHeight="false" outlineLevel="0" collapsed="false">
      <c r="A27" s="70" t="s">
        <v>54</v>
      </c>
      <c r="B27" s="74" t="str">
        <v>FLUID MECHANICS</v>
      </c>
      <c r="C27" s="71" t="str">
        <v>Anornu Geophrey Kwame</v>
      </c>
      <c r="D27" s="70" t="s">
        <v>55</v>
      </c>
      <c r="E27" s="72" t="n">
        <v>150</v>
      </c>
      <c r="F27" s="75" t="s">
        <v>548</v>
      </c>
      <c r="G27" s="73" t="n">
        <f aca="false">E27*1.1</f>
        <v>165</v>
      </c>
      <c r="H27" s="5" t="s">
        <v>549</v>
      </c>
      <c r="I27" s="6" t="str">
        <f aca="false">CONCATENATE(A27,",",D27)</f>
        <v>CE 256,ED2-GEOL</v>
      </c>
      <c r="J27" s="12"/>
    </row>
    <row r="28" customFormat="false" ht="15" hidden="false" customHeight="false" outlineLevel="0" collapsed="false">
      <c r="A28" s="70" t="s">
        <v>54</v>
      </c>
      <c r="B28" s="71" t="str">
        <v>FLUID MECHANICS</v>
      </c>
      <c r="C28" s="71" t="str">
        <v>Anornu Geophrey Kwame</v>
      </c>
      <c r="D28" s="70" t="s">
        <v>56</v>
      </c>
      <c r="E28" s="72" t="n">
        <v>250</v>
      </c>
      <c r="F28" s="75" t="s">
        <v>531</v>
      </c>
      <c r="G28" s="73" t="n">
        <f aca="false">E28*1.1</f>
        <v>275</v>
      </c>
      <c r="H28" s="5" t="s">
        <v>550</v>
      </c>
      <c r="I28" s="6" t="str">
        <f aca="false">CONCATENATE(A28,",",D28)</f>
        <v>CE 256,ED2-CE</v>
      </c>
      <c r="J28" s="12"/>
    </row>
    <row r="29" customFormat="false" ht="15" hidden="false" customHeight="false" outlineLevel="0" collapsed="false">
      <c r="A29" s="70"/>
      <c r="B29" s="76"/>
      <c r="C29" s="67"/>
      <c r="D29" s="71" t="s">
        <v>57</v>
      </c>
      <c r="E29" s="77" t="n">
        <f aca="false">SUM(E20:E28)</f>
        <v>1148</v>
      </c>
      <c r="F29" s="78"/>
      <c r="G29" s="79"/>
      <c r="I29" s="9" t="s">
        <v>58</v>
      </c>
      <c r="J29" s="12"/>
    </row>
    <row r="30" customFormat="false" ht="15" hidden="false" customHeight="false" outlineLevel="0" collapsed="false">
      <c r="A30" s="70"/>
      <c r="B30" s="76"/>
      <c r="C30" s="67"/>
      <c r="D30" s="71"/>
      <c r="E30" s="77"/>
      <c r="F30" s="78"/>
      <c r="G30" s="79"/>
      <c r="I30" s="9"/>
      <c r="J30" s="12"/>
    </row>
    <row r="31" customFormat="false" ht="15" hidden="false" customHeight="false" outlineLevel="0" collapsed="false">
      <c r="A31" s="65" t="s">
        <v>0</v>
      </c>
      <c r="B31" s="65"/>
      <c r="C31" s="65"/>
      <c r="D31" s="65"/>
      <c r="E31" s="65"/>
      <c r="F31" s="65"/>
      <c r="G31" s="65"/>
      <c r="I31" s="9" t="str">
        <f aca="false">A31</f>
        <v>Monday, 17 August 2026</v>
      </c>
      <c r="J31" s="12"/>
    </row>
    <row r="32" s="10" customFormat="true" ht="15" hidden="false" customHeight="false" outlineLevel="0" collapsed="false">
      <c r="A32" s="65" t="s">
        <v>59</v>
      </c>
      <c r="B32" s="65"/>
      <c r="C32" s="65"/>
      <c r="D32" s="65"/>
      <c r="E32" s="65"/>
      <c r="F32" s="65"/>
      <c r="G32" s="65"/>
      <c r="H32" s="5"/>
      <c r="I32" s="9" t="str">
        <f aca="false">A32</f>
        <v>Session, 3 (3:00 PM - 5:00 PM)</v>
      </c>
      <c r="J32" s="12"/>
    </row>
    <row r="33" s="10" customFormat="true" ht="15" hidden="false" customHeight="false" outlineLevel="0" collapsed="false">
      <c r="A33" s="66" t="s">
        <v>4</v>
      </c>
      <c r="B33" s="66" t="s">
        <v>5</v>
      </c>
      <c r="C33" s="67" t="s">
        <v>6</v>
      </c>
      <c r="D33" s="66" t="s">
        <v>7</v>
      </c>
      <c r="E33" s="68" t="s">
        <v>8</v>
      </c>
      <c r="F33" s="67" t="s">
        <v>9</v>
      </c>
      <c r="G33" s="69" t="s">
        <v>10</v>
      </c>
      <c r="H33" s="5"/>
      <c r="I33" s="9" t="s">
        <v>31</v>
      </c>
      <c r="J33" s="12"/>
    </row>
    <row r="34" customFormat="false" ht="17.9" hidden="false" customHeight="false" outlineLevel="0" collapsed="false">
      <c r="A34" s="70" t="s">
        <v>60</v>
      </c>
      <c r="B34" s="71" t="str">
        <f aca="false" t="array" ref="B34:B41">IFERROR(VLOOKUP(I34:I41,Lectures_1!A2:F534,2,FALSE()),0)</f>
        <v>MACHINE ELEMENTS DESIGN II</v>
      </c>
      <c r="C34" s="82" t="str">
        <f aca="false" t="array" ref="C34:C41">IFERROR(VLOOKUP(I34:I41,Lectures_1!A2:F534,3,FALSE()),0)</f>
        <v>Andoh Prince Yaw</v>
      </c>
      <c r="D34" s="75" t="s">
        <v>61</v>
      </c>
      <c r="E34" s="72" t="n">
        <f aca="false" t="array" ref="E34:E41">IFERROR(VLOOKUP(I34:I41,Lectures_1!A2:F534,4,FALSE()),0)</f>
        <v>222</v>
      </c>
      <c r="F34" s="81" t="s">
        <v>551</v>
      </c>
      <c r="G34" s="73" t="n">
        <f aca="false">E34*1.1</f>
        <v>244.2</v>
      </c>
      <c r="I34" s="6" t="str">
        <f aca="false">CONCATENATE(A34,",",D34)</f>
        <v>ME 374,ED3-ME</v>
      </c>
      <c r="J34" s="12"/>
    </row>
    <row r="35" customFormat="false" ht="15" hidden="false" customHeight="false" outlineLevel="0" collapsed="false">
      <c r="A35" s="70" t="s">
        <v>66</v>
      </c>
      <c r="B35" s="71" t="str">
        <v>INSTRUMENTATION</v>
      </c>
      <c r="C35" s="71" t="str">
        <v>Adam Faisal Wahib</v>
      </c>
      <c r="D35" s="70" t="s">
        <v>67</v>
      </c>
      <c r="E35" s="72" t="n">
        <v>135</v>
      </c>
      <c r="F35" s="75" t="s">
        <v>552</v>
      </c>
      <c r="G35" s="73" t="n">
        <f aca="false">E35*1.1</f>
        <v>148.5</v>
      </c>
      <c r="H35" s="5" t="s">
        <v>553</v>
      </c>
      <c r="I35" s="6" t="str">
        <f aca="false">CONCATENATE(A35,",",D35)</f>
        <v>ME 464,ED4-ME</v>
      </c>
      <c r="J35" s="12"/>
    </row>
    <row r="36" customFormat="false" ht="15" hidden="false" customHeight="false" outlineLevel="0" collapsed="false">
      <c r="A36" s="70" t="s">
        <v>495</v>
      </c>
      <c r="B36" s="71" t="str">
        <v>QUANTITIES AND COST ESTIMATION IN CIVIL ENGINEERING</v>
      </c>
      <c r="C36" s="71" t="str">
        <v>Osei Jack Banahene</v>
      </c>
      <c r="D36" s="70" t="s">
        <v>157</v>
      </c>
      <c r="E36" s="72" t="n">
        <v>230</v>
      </c>
      <c r="F36" s="83" t="s">
        <v>554</v>
      </c>
      <c r="G36" s="73" t="n">
        <f aca="false">E36*1.1</f>
        <v>253</v>
      </c>
      <c r="H36" s="50" t="s">
        <v>555</v>
      </c>
      <c r="I36" s="6" t="str">
        <f aca="false">CONCATENATE(A36,",",D36)</f>
        <v>CE 376,ED3-CE</v>
      </c>
      <c r="J36" s="12"/>
    </row>
    <row r="37" customFormat="false" ht="15" hidden="false" customHeight="false" outlineLevel="0" collapsed="false">
      <c r="A37" s="70" t="s">
        <v>70</v>
      </c>
      <c r="B37" s="71" t="str">
        <v>SUBSTATIONS AND TRANSMISSION LINE DESIGN</v>
      </c>
      <c r="C37" s="71" t="str">
        <v>Antoh Emmanuel Kwaku</v>
      </c>
      <c r="D37" s="70" t="s">
        <v>71</v>
      </c>
      <c r="E37" s="72" t="n">
        <v>240</v>
      </c>
      <c r="F37" s="75" t="s">
        <v>556</v>
      </c>
      <c r="G37" s="73" t="n">
        <f aca="false">E37*1.1</f>
        <v>264</v>
      </c>
      <c r="H37" s="5" t="s">
        <v>557</v>
      </c>
      <c r="I37" s="6" t="str">
        <f aca="false">CONCATENATE(A37,",",D37)</f>
        <v>EE 362,ED3-EE</v>
      </c>
      <c r="J37" s="12"/>
    </row>
    <row r="38" customFormat="false" ht="15" hidden="false" customHeight="false" outlineLevel="0" collapsed="false">
      <c r="A38" s="70" t="s">
        <v>443</v>
      </c>
      <c r="B38" s="71" t="str">
        <v>MANUAL POWER TRAIN</v>
      </c>
      <c r="C38" s="74" t="str">
        <v>Abu Frimpong Solomon</v>
      </c>
      <c r="D38" s="70" t="s">
        <v>23</v>
      </c>
      <c r="E38" s="72" t="n">
        <v>40</v>
      </c>
      <c r="F38" s="75" t="s">
        <v>558</v>
      </c>
      <c r="G38" s="73" t="n">
        <f aca="false">E38*1.1</f>
        <v>44</v>
      </c>
      <c r="H38" s="3" t="s">
        <v>559</v>
      </c>
      <c r="I38" s="6" t="str">
        <f aca="false">CONCATENATE(A38,",",D38)</f>
        <v>AME 386,ED3-AUTO</v>
      </c>
      <c r="J38" s="12"/>
    </row>
    <row r="39" customFormat="false" ht="15" hidden="false" customHeight="false" outlineLevel="0" collapsed="false">
      <c r="A39" s="70" t="s">
        <v>68</v>
      </c>
      <c r="B39" s="71" t="str">
        <v>NAVAL ARCHITECTURE II</v>
      </c>
      <c r="C39" s="71" t="str">
        <v>Kudzedzi Emmanuel Yaw Mawuko</v>
      </c>
      <c r="D39" s="70" t="s">
        <v>69</v>
      </c>
      <c r="E39" s="72" t="n">
        <v>23</v>
      </c>
      <c r="F39" s="75" t="s">
        <v>560</v>
      </c>
      <c r="G39" s="73" t="n">
        <f aca="false">E39*1.1</f>
        <v>25.3</v>
      </c>
      <c r="H39" s="5" t="n">
        <v>23</v>
      </c>
      <c r="I39" s="6" t="str">
        <f aca="false">CONCATENATE(A39,",",D39)</f>
        <v>MME 482,ED4-MARI</v>
      </c>
      <c r="J39" s="12"/>
    </row>
    <row r="40" customFormat="false" ht="15" hidden="false" customHeight="false" outlineLevel="0" collapsed="false">
      <c r="A40" s="70" t="s">
        <v>17</v>
      </c>
      <c r="B40" s="74" t="str">
        <v>WELL TESTING</v>
      </c>
      <c r="C40" s="71" t="str">
        <v>Adenutsi Caspar Daniel</v>
      </c>
      <c r="D40" s="70" t="s">
        <v>18</v>
      </c>
      <c r="E40" s="72" t="n">
        <v>80</v>
      </c>
      <c r="F40" s="75" t="s">
        <v>533</v>
      </c>
      <c r="G40" s="73" t="n">
        <f aca="false">E40*1.1</f>
        <v>88</v>
      </c>
      <c r="H40" s="5" t="s">
        <v>561</v>
      </c>
      <c r="I40" s="6" t="str">
        <f aca="false">CONCATENATE(A40,",",D40)</f>
        <v>PE 360,ED3-PE</v>
      </c>
      <c r="J40" s="12"/>
    </row>
    <row r="41" customFormat="false" ht="15" hidden="false" customHeight="false" outlineLevel="0" collapsed="false">
      <c r="A41" s="70" t="s">
        <v>76</v>
      </c>
      <c r="B41" s="71" t="str">
        <v>ANALYSIS OF ERRORS</v>
      </c>
      <c r="C41" s="74" t="str">
        <v>Collins Fosu</v>
      </c>
      <c r="D41" s="70" t="s">
        <v>77</v>
      </c>
      <c r="E41" s="72" t="n">
        <v>122</v>
      </c>
      <c r="F41" s="75" t="s">
        <v>562</v>
      </c>
      <c r="G41" s="73" t="n">
        <f aca="false">E41*1.1</f>
        <v>134.2</v>
      </c>
      <c r="H41" s="5" t="s">
        <v>563</v>
      </c>
      <c r="I41" s="6" t="str">
        <f aca="false">CONCATENATE(A41,",",D41)</f>
        <v>GE 372,ED3-GEOM</v>
      </c>
      <c r="J41" s="12"/>
    </row>
    <row r="42" customFormat="false" ht="15" hidden="false" customHeight="false" outlineLevel="0" collapsed="false">
      <c r="A42" s="70"/>
      <c r="B42" s="76"/>
      <c r="C42" s="67"/>
      <c r="D42" s="71" t="s">
        <v>57</v>
      </c>
      <c r="E42" s="77" t="n">
        <f aca="false">SUM(E34:E41)</f>
        <v>1092</v>
      </c>
      <c r="F42" s="78"/>
      <c r="G42" s="79"/>
      <c r="I42" s="9" t="s">
        <v>58</v>
      </c>
      <c r="J42" s="12"/>
    </row>
    <row r="43" customFormat="false" ht="15" hidden="false" customHeight="false" outlineLevel="0" collapsed="false">
      <c r="A43" s="70"/>
      <c r="B43" s="76"/>
      <c r="C43" s="67"/>
      <c r="D43" s="71"/>
      <c r="E43" s="77"/>
      <c r="F43" s="78"/>
      <c r="G43" s="79"/>
      <c r="I43" s="9"/>
      <c r="J43" s="12"/>
    </row>
    <row r="44" customFormat="false" ht="15" hidden="false" customHeight="false" outlineLevel="0" collapsed="false">
      <c r="A44" s="65" t="s">
        <v>78</v>
      </c>
      <c r="B44" s="65"/>
      <c r="C44" s="65"/>
      <c r="D44" s="65"/>
      <c r="E44" s="65"/>
      <c r="F44" s="65"/>
      <c r="G44" s="65"/>
      <c r="I44" s="9" t="str">
        <f aca="false">A44</f>
        <v>Tuesday, 18 August 2026</v>
      </c>
      <c r="J44" s="10"/>
    </row>
    <row r="45" customFormat="false" ht="15" hidden="false" customHeight="false" outlineLevel="0" collapsed="false">
      <c r="A45" s="65" t="s">
        <v>2</v>
      </c>
      <c r="B45" s="65"/>
      <c r="C45" s="65"/>
      <c r="D45" s="65"/>
      <c r="E45" s="65"/>
      <c r="F45" s="65"/>
      <c r="G45" s="65"/>
      <c r="I45" s="9" t="str">
        <f aca="false">A45</f>
        <v>Session, 1 (8:30 AM - 10:30 AM)</v>
      </c>
      <c r="J45" s="10"/>
      <c r="L45" s="10"/>
    </row>
    <row r="46" customFormat="false" ht="15" hidden="false" customHeight="false" outlineLevel="0" collapsed="false">
      <c r="A46" s="66" t="s">
        <v>4</v>
      </c>
      <c r="B46" s="66" t="s">
        <v>5</v>
      </c>
      <c r="C46" s="67" t="s">
        <v>6</v>
      </c>
      <c r="D46" s="66" t="s">
        <v>7</v>
      </c>
      <c r="E46" s="68" t="s">
        <v>8</v>
      </c>
      <c r="F46" s="67" t="s">
        <v>9</v>
      </c>
      <c r="G46" s="69" t="s">
        <v>10</v>
      </c>
      <c r="I46" s="6" t="s">
        <v>11</v>
      </c>
      <c r="J46" s="12"/>
    </row>
    <row r="47" customFormat="false" ht="15" hidden="false" customHeight="false" outlineLevel="0" collapsed="false">
      <c r="A47" s="70" t="s">
        <v>79</v>
      </c>
      <c r="B47" s="71" t="str">
        <f aca="false" t="array" ref="B47:B61">IFERROR(VLOOKUP(I47:I61,Lectures_1!A2:F534,2,FALSE()),0)</f>
        <v>GENERAL PHYSICS</v>
      </c>
      <c r="C47" s="74" t="str">
        <f aca="false" t="array" ref="C47:C61">IFERROR(VLOOKUP(I47:I61,Lectures_1!A2:F534,3,FALSE()),0)</f>
        <v>Boateng Cyril Dziedzorm</v>
      </c>
      <c r="D47" s="70" t="s">
        <v>80</v>
      </c>
      <c r="E47" s="72" t="n">
        <f aca="false" t="array" ref="E47:E61">IFERROR(VLOOKUP(I47:I61,Lectures_1!A2:F534,4,FALSE()),0)</f>
        <v>120</v>
      </c>
      <c r="F47" s="81" t="s">
        <v>34</v>
      </c>
      <c r="G47" s="73" t="n">
        <f aca="false">E47*1.1</f>
        <v>132</v>
      </c>
      <c r="I47" s="6" t="str">
        <f aca="false">CONCATENATE(A47,",",D47)</f>
        <v>PHY 170,ED1-CHE</v>
      </c>
      <c r="J47" s="12"/>
    </row>
    <row r="48" customFormat="false" ht="15" hidden="false" customHeight="false" outlineLevel="0" collapsed="false">
      <c r="A48" s="70" t="s">
        <v>79</v>
      </c>
      <c r="B48" s="71" t="str">
        <v>GENERAL PHYSICS</v>
      </c>
      <c r="C48" s="74" t="str">
        <v>Abavare Eric Kwabena Kyeh</v>
      </c>
      <c r="D48" s="70" t="s">
        <v>81</v>
      </c>
      <c r="E48" s="72" t="n">
        <v>56</v>
      </c>
      <c r="F48" s="81"/>
      <c r="G48" s="73" t="n">
        <f aca="false">E48*1.1</f>
        <v>61.6</v>
      </c>
      <c r="I48" s="6" t="str">
        <f aca="false">CONCATENATE(A48,",",D48)</f>
        <v>PHY 170,ED1-PCE</v>
      </c>
      <c r="J48" s="12"/>
    </row>
    <row r="49" customFormat="false" ht="15" hidden="false" customHeight="false" outlineLevel="0" collapsed="false">
      <c r="A49" s="70" t="s">
        <v>79</v>
      </c>
      <c r="B49" s="71" t="str">
        <v>GENERAL PHYSICS</v>
      </c>
      <c r="C49" s="74" t="str">
        <v>Boateng Cyril Dziedzorm</v>
      </c>
      <c r="D49" s="70" t="s">
        <v>82</v>
      </c>
      <c r="E49" s="72" t="n">
        <v>130</v>
      </c>
      <c r="F49" s="81"/>
      <c r="G49" s="73" t="n">
        <f aca="false">E49*1.1</f>
        <v>143</v>
      </c>
      <c r="I49" s="6" t="str">
        <f aca="false">CONCATENATE(A49,",",D49)</f>
        <v>PHY 170,ED1-PE</v>
      </c>
      <c r="J49" s="12"/>
    </row>
    <row r="50" customFormat="false" ht="15" hidden="false" customHeight="false" outlineLevel="0" collapsed="false">
      <c r="A50" s="70" t="s">
        <v>84</v>
      </c>
      <c r="B50" s="71" t="str">
        <v>SEAMANSHIP</v>
      </c>
      <c r="C50" s="74" t="str">
        <v>Larkai Francis Laako</v>
      </c>
      <c r="D50" s="70" t="s">
        <v>42</v>
      </c>
      <c r="E50" s="72" t="n">
        <v>37</v>
      </c>
      <c r="F50" s="75" t="s">
        <v>560</v>
      </c>
      <c r="G50" s="73" t="n">
        <f aca="false">E50*1.1</f>
        <v>40.7</v>
      </c>
      <c r="H50" s="5" t="n">
        <v>37</v>
      </c>
      <c r="I50" s="6" t="str">
        <f aca="false">CONCATENATE(A50,",",D50)</f>
        <v>MME 292,ED2-MARI</v>
      </c>
      <c r="J50" s="12"/>
    </row>
    <row r="51" customFormat="false" ht="15" hidden="false" customHeight="false" outlineLevel="0" collapsed="false">
      <c r="A51" s="70" t="s">
        <v>85</v>
      </c>
      <c r="B51" s="71" t="str">
        <v>MARINE ENGINEERING LABORATORY III</v>
      </c>
      <c r="C51" s="71" t="str">
        <v>Tay Godwin Fabiola Kwaku</v>
      </c>
      <c r="D51" s="70" t="s">
        <v>86</v>
      </c>
      <c r="E51" s="72" t="n">
        <v>40</v>
      </c>
      <c r="F51" s="75" t="s">
        <v>541</v>
      </c>
      <c r="G51" s="73" t="n">
        <f aca="false">E51*1.1</f>
        <v>44</v>
      </c>
      <c r="H51" s="5" t="n">
        <v>40</v>
      </c>
      <c r="I51" s="6" t="str">
        <f aca="false">CONCATENATE(A51,",",D51)</f>
        <v>MME 396,ED3-MARI</v>
      </c>
      <c r="J51" s="12"/>
    </row>
    <row r="52" customFormat="false" ht="15" hidden="false" customHeight="false" outlineLevel="0" collapsed="false">
      <c r="A52" s="70" t="s">
        <v>87</v>
      </c>
      <c r="B52" s="74" t="str">
        <v>RENEWABLE ENERGY SYSTEMS AND MANAGEMENT</v>
      </c>
      <c r="C52" s="74" t="str">
        <v>Kemausuor Francis</v>
      </c>
      <c r="D52" s="70" t="s">
        <v>88</v>
      </c>
      <c r="E52" s="72" t="n">
        <v>101</v>
      </c>
      <c r="F52" s="75" t="s">
        <v>564</v>
      </c>
      <c r="G52" s="73" t="n">
        <f aca="false">E52*1.1</f>
        <v>111.1</v>
      </c>
      <c r="H52" s="5" t="s">
        <v>565</v>
      </c>
      <c r="I52" s="6" t="str">
        <f aca="false">CONCATENATE(A52,",",D52)</f>
        <v>AE 358,ED3-AE</v>
      </c>
      <c r="J52" s="12"/>
    </row>
    <row r="53" customFormat="false" ht="15" hidden="false" customHeight="false" outlineLevel="0" collapsed="false">
      <c r="A53" s="70" t="s">
        <v>89</v>
      </c>
      <c r="B53" s="74" t="str">
        <v>INTRODUCTION TO LIGHTING AND ACOUSTICS</v>
      </c>
      <c r="C53" s="74" t="str">
        <v>Amos-Abanyie Samuel</v>
      </c>
      <c r="D53" s="70" t="s">
        <v>75</v>
      </c>
      <c r="E53" s="72" t="n">
        <v>55</v>
      </c>
      <c r="F53" s="75" t="s">
        <v>566</v>
      </c>
      <c r="G53" s="73" t="n">
        <f aca="false">E53*1.1</f>
        <v>60.5</v>
      </c>
      <c r="H53" s="5" t="s">
        <v>540</v>
      </c>
      <c r="I53" s="6" t="str">
        <f aca="false">CONCATENATE(A53,",",D53)</f>
        <v>ARC 156,ED1-CE</v>
      </c>
      <c r="J53" s="12"/>
    </row>
    <row r="54" customFormat="false" ht="15" hidden="false" customHeight="false" outlineLevel="0" collapsed="false">
      <c r="A54" s="70" t="s">
        <v>90</v>
      </c>
      <c r="B54" s="74" t="str">
        <v>INTRODUCTION TO COMMUNICATION NETWORKS</v>
      </c>
      <c r="C54" s="74" t="str">
        <v>Agyemang Justice Owusu</v>
      </c>
      <c r="D54" s="70" t="s">
        <v>91</v>
      </c>
      <c r="E54" s="72" t="n">
        <v>130</v>
      </c>
      <c r="F54" s="70" t="s">
        <v>546</v>
      </c>
      <c r="G54" s="73" t="n">
        <f aca="false">E54*1.1</f>
        <v>143</v>
      </c>
      <c r="H54" s="5" t="n">
        <v>130</v>
      </c>
      <c r="I54" s="6" t="str">
        <f aca="false">CONCATENATE(A54,",",D54)</f>
        <v>TE 156,ED1-TEL</v>
      </c>
      <c r="J54" s="12"/>
    </row>
    <row r="55" customFormat="false" ht="15" hidden="false" customHeight="false" outlineLevel="0" collapsed="false">
      <c r="A55" s="70" t="s">
        <v>62</v>
      </c>
      <c r="B55" s="71" t="str">
        <v>PETROCHEMICAL ENGINEERING LABORATORY II</v>
      </c>
      <c r="C55" s="71" t="str">
        <v>Bonsu Jude Kwaku</v>
      </c>
      <c r="D55" s="70" t="s">
        <v>63</v>
      </c>
      <c r="E55" s="72" t="n">
        <v>53</v>
      </c>
      <c r="F55" s="70" t="s">
        <v>545</v>
      </c>
      <c r="G55" s="73" t="n">
        <f aca="false">E55*1.1</f>
        <v>58.3</v>
      </c>
      <c r="H55" s="5" t="n">
        <v>53</v>
      </c>
      <c r="I55" s="29" t="str">
        <f aca="false">CONCATENATE(A55,",",D55)</f>
        <v>PCE 354,ED3-PCE</v>
      </c>
      <c r="J55" s="12"/>
    </row>
    <row r="56" customFormat="false" ht="15" hidden="false" customHeight="false" outlineLevel="0" collapsed="false">
      <c r="A56" s="70" t="s">
        <v>92</v>
      </c>
      <c r="B56" s="71" t="str">
        <v>DRAWING FOR ENGINEERS</v>
      </c>
      <c r="C56" s="71" t="str">
        <v>Jones Twumasi</v>
      </c>
      <c r="D56" s="70" t="s">
        <v>93</v>
      </c>
      <c r="E56" s="72" t="n">
        <v>95</v>
      </c>
      <c r="F56" s="70" t="s">
        <v>567</v>
      </c>
      <c r="G56" s="73" t="n">
        <f aca="false">E56*1.1</f>
        <v>104.5</v>
      </c>
      <c r="H56" s="5" t="s">
        <v>568</v>
      </c>
      <c r="I56" s="29" t="str">
        <f aca="false">CONCATENATE(A56,",",D56)</f>
        <v>PE 254,ED2-PE</v>
      </c>
      <c r="J56" s="12"/>
    </row>
    <row r="57" customFormat="false" ht="15" hidden="false" customHeight="false" outlineLevel="0" collapsed="false">
      <c r="A57" s="70" t="s">
        <v>64</v>
      </c>
      <c r="B57" s="71" t="str">
        <v>BIOINSTRUMENTATION I</v>
      </c>
      <c r="C57" s="74" t="str">
        <v>Acquah Isaac</v>
      </c>
      <c r="D57" s="70" t="s">
        <v>65</v>
      </c>
      <c r="E57" s="72" t="n">
        <v>90</v>
      </c>
      <c r="F57" s="70" t="s">
        <v>569</v>
      </c>
      <c r="G57" s="73" t="n">
        <f aca="false">E57*1.1</f>
        <v>99</v>
      </c>
      <c r="H57" s="5" t="s">
        <v>570</v>
      </c>
      <c r="I57" s="6" t="str">
        <f aca="false">CONCATENATE(A57,",",D57)</f>
        <v>BME 372,ED3-BME</v>
      </c>
      <c r="J57" s="12"/>
    </row>
    <row r="58" customFormat="false" ht="15" hidden="false" customHeight="false" outlineLevel="0" collapsed="false">
      <c r="A58" s="70" t="s">
        <v>510</v>
      </c>
      <c r="B58" s="71" t="str">
        <v>GEOSTATISTICS</v>
      </c>
      <c r="C58" s="74" t="str">
        <v>Nuamah Daniel Oduro Boatey</v>
      </c>
      <c r="D58" s="70" t="s">
        <v>177</v>
      </c>
      <c r="E58" s="72" t="n">
        <v>72</v>
      </c>
      <c r="F58" s="75" t="s">
        <v>545</v>
      </c>
      <c r="G58" s="73" t="n">
        <f aca="false">E58*1.1</f>
        <v>79.2</v>
      </c>
      <c r="H58" s="5" t="n">
        <v>72</v>
      </c>
      <c r="I58" s="6" t="str">
        <f aca="false">CONCATENATE(A58,",",D58)</f>
        <v>GED 468,ED4-GEOL</v>
      </c>
      <c r="J58" s="12"/>
    </row>
    <row r="59" customFormat="false" ht="15" hidden="false" customHeight="false" outlineLevel="0" collapsed="false">
      <c r="A59" s="70" t="s">
        <v>49</v>
      </c>
      <c r="B59" s="74" t="str">
        <v>CROP LOSSES AND THEIR CONTROL</v>
      </c>
      <c r="C59" s="74" t="str">
        <v>Darko Joseph Ofei </v>
      </c>
      <c r="D59" s="70" t="s">
        <v>50</v>
      </c>
      <c r="E59" s="72" t="n">
        <v>103</v>
      </c>
      <c r="F59" s="75" t="s">
        <v>571</v>
      </c>
      <c r="G59" s="73" t="n">
        <f aca="false">E59*1.1</f>
        <v>113.3</v>
      </c>
      <c r="H59" s="5" t="s">
        <v>572</v>
      </c>
      <c r="I59" s="6" t="str">
        <f aca="false">CONCATENATE(A59,",",D59)</f>
        <v>AE 458,ED4-AE</v>
      </c>
      <c r="J59" s="12"/>
    </row>
    <row r="60" customFormat="false" ht="15" hidden="false" customHeight="false" outlineLevel="0" collapsed="false">
      <c r="A60" s="70" t="s">
        <v>102</v>
      </c>
      <c r="B60" s="71" t="str">
        <v>ENVIRONMENTAL QUALITY ENGINEERING II</v>
      </c>
      <c r="C60" s="74" t="str">
        <v>Appiah-Effah Eugene</v>
      </c>
      <c r="D60" s="70" t="s">
        <v>103</v>
      </c>
      <c r="E60" s="72" t="n">
        <v>115</v>
      </c>
      <c r="F60" s="75" t="s">
        <v>569</v>
      </c>
      <c r="G60" s="73" t="n">
        <f aca="false">E60*1.1</f>
        <v>126.5</v>
      </c>
      <c r="H60" s="5" t="s">
        <v>573</v>
      </c>
      <c r="I60" s="6" t="str">
        <f aca="false">CONCATENATE(A60,",",D60)</f>
        <v>CE 464,ED4-CE</v>
      </c>
      <c r="J60" s="12"/>
    </row>
    <row r="61" customFormat="false" ht="15" hidden="false" customHeight="false" outlineLevel="0" collapsed="false">
      <c r="A61" s="70" t="s">
        <v>132</v>
      </c>
      <c r="B61" s="74" t="str">
        <v>AEROSPACE ENGINEERING LAB II</v>
      </c>
      <c r="C61" s="74" t="str">
        <v>Oppong David Kofi</v>
      </c>
      <c r="D61" s="70" t="s">
        <v>133</v>
      </c>
      <c r="E61" s="72" t="n">
        <v>76</v>
      </c>
      <c r="F61" s="75" t="s">
        <v>574</v>
      </c>
      <c r="G61" s="73" t="n">
        <f aca="false">E61*1.1</f>
        <v>83.6</v>
      </c>
      <c r="H61" s="5" t="s">
        <v>575</v>
      </c>
      <c r="I61" s="6" t="str">
        <f aca="false">CONCATENATE(A61,",",D61)</f>
        <v>AERO 396,ED3-AERO</v>
      </c>
      <c r="J61" s="12"/>
    </row>
    <row r="62" customFormat="false" ht="15" hidden="false" customHeight="false" outlineLevel="0" collapsed="false">
      <c r="A62" s="76"/>
      <c r="B62" s="76"/>
      <c r="C62" s="67"/>
      <c r="D62" s="71" t="s">
        <v>105</v>
      </c>
      <c r="E62" s="77" t="n">
        <f aca="false">SUM(E50:E61)</f>
        <v>967</v>
      </c>
      <c r="F62" s="78"/>
      <c r="G62" s="79"/>
      <c r="I62" s="9" t="s">
        <v>27</v>
      </c>
      <c r="J62" s="12"/>
    </row>
    <row r="63" customFormat="false" ht="15" hidden="false" customHeight="false" outlineLevel="0" collapsed="false">
      <c r="A63" s="76"/>
      <c r="B63" s="76"/>
      <c r="C63" s="67"/>
      <c r="D63" s="76"/>
      <c r="E63" s="77"/>
      <c r="F63" s="78"/>
      <c r="G63" s="79"/>
      <c r="I63" s="9" t="s">
        <v>106</v>
      </c>
      <c r="J63" s="12"/>
    </row>
    <row r="64" customFormat="false" ht="15" hidden="false" customHeight="false" outlineLevel="0" collapsed="false">
      <c r="A64" s="65" t="s">
        <v>78</v>
      </c>
      <c r="B64" s="65"/>
      <c r="C64" s="65"/>
      <c r="D64" s="65"/>
      <c r="E64" s="65"/>
      <c r="F64" s="65"/>
      <c r="G64" s="65"/>
      <c r="I64" s="9" t="str">
        <f aca="false">A64</f>
        <v>Tuesday, 18 August 2026</v>
      </c>
      <c r="J64" s="12"/>
    </row>
    <row r="65" s="10" customFormat="true" ht="15" hidden="false" customHeight="false" outlineLevel="0" collapsed="false">
      <c r="A65" s="65" t="s">
        <v>29</v>
      </c>
      <c r="B65" s="65"/>
      <c r="C65" s="65"/>
      <c r="D65" s="65"/>
      <c r="E65" s="65"/>
      <c r="F65" s="65"/>
      <c r="G65" s="65"/>
      <c r="H65" s="5"/>
      <c r="I65" s="9" t="str">
        <f aca="false">A65</f>
        <v>Session, 2 (12:00 PM - 2:00 PM)</v>
      </c>
      <c r="J65" s="12"/>
    </row>
    <row r="66" s="10" customFormat="true" ht="15" hidden="false" customHeight="false" outlineLevel="0" collapsed="false">
      <c r="A66" s="66" t="s">
        <v>4</v>
      </c>
      <c r="B66" s="66" t="s">
        <v>5</v>
      </c>
      <c r="C66" s="67" t="s">
        <v>6</v>
      </c>
      <c r="D66" s="66" t="s">
        <v>7</v>
      </c>
      <c r="E66" s="68" t="s">
        <v>8</v>
      </c>
      <c r="F66" s="67" t="s">
        <v>9</v>
      </c>
      <c r="G66" s="69" t="s">
        <v>10</v>
      </c>
      <c r="H66" s="5"/>
      <c r="I66" s="9" t="s">
        <v>31</v>
      </c>
      <c r="J66" s="12"/>
    </row>
    <row r="67" customFormat="false" ht="15" hidden="false" customHeight="false" outlineLevel="0" collapsed="false">
      <c r="A67" s="70" t="s">
        <v>107</v>
      </c>
      <c r="B67" s="71" t="str">
        <f aca="false" t="array" ref="B67:B80">IFERROR(VLOOKUP(I67:I80,Lectures_1!A2:F534,2,FALSE()),0)</f>
        <v>OBJECT-ORIENTED PROGRAMMING</v>
      </c>
      <c r="C67" s="74" t="str">
        <f aca="false" t="array" ref="C67:C80">IFERROR(VLOOKUP(I67:I80,Lectures_1!A2:F534,3,FALSE()),0)</f>
        <v>Adjaidoo Theresa-Samuelle Maame Atwemaah</v>
      </c>
      <c r="D67" s="70" t="s">
        <v>108</v>
      </c>
      <c r="E67" s="72" t="n">
        <f aca="false" t="array" ref="E67:E80">IFERROR(VLOOKUP(I67:I80,Lectures_1!A2:F534,4,FALSE()),0)</f>
        <v>255</v>
      </c>
      <c r="F67" s="71" t="s">
        <v>533</v>
      </c>
      <c r="G67" s="73" t="n">
        <f aca="false">E67*1.1</f>
        <v>280.5</v>
      </c>
      <c r="H67" s="5" t="s">
        <v>576</v>
      </c>
      <c r="I67" s="6" t="str">
        <f aca="false">CONCATENATE(A67,",",D67)</f>
        <v>COE 254,ED2-COE</v>
      </c>
      <c r="J67" s="12"/>
    </row>
    <row r="68" customFormat="false" ht="15" hidden="false" customHeight="false" outlineLevel="0" collapsed="false">
      <c r="A68" s="70" t="s">
        <v>107</v>
      </c>
      <c r="B68" s="71" t="str">
        <v>OBJECT-ORIENTED PROGRAMMING</v>
      </c>
      <c r="C68" s="74" t="str">
        <v>Adjaidoo Theresa-Samuelle Maame Atwemaah</v>
      </c>
      <c r="D68" s="70" t="s">
        <v>109</v>
      </c>
      <c r="E68" s="72" t="n">
        <v>80</v>
      </c>
      <c r="F68" s="71" t="s">
        <v>545</v>
      </c>
      <c r="G68" s="73" t="n">
        <f aca="false">E68*1.1</f>
        <v>88</v>
      </c>
      <c r="H68" s="5" t="n">
        <v>80</v>
      </c>
      <c r="I68" s="6" t="str">
        <f aca="false">CONCATENATE(A68,",",D68)</f>
        <v>COE 254,ED2-BME</v>
      </c>
      <c r="J68" s="12"/>
    </row>
    <row r="69" customFormat="false" ht="15" hidden="false" customHeight="false" outlineLevel="0" collapsed="false">
      <c r="A69" s="70" t="s">
        <v>110</v>
      </c>
      <c r="B69" s="71" t="str">
        <v>COMPUTER PROGRAMMING FOR ENGINEERS</v>
      </c>
      <c r="C69" s="74" t="str">
        <v>Dzebre Denis Edem Kwame</v>
      </c>
      <c r="D69" s="70" t="s">
        <v>111</v>
      </c>
      <c r="E69" s="72" t="n">
        <v>83</v>
      </c>
      <c r="F69" s="75" t="s">
        <v>577</v>
      </c>
      <c r="G69" s="73" t="n">
        <f aca="false">E69*1.1</f>
        <v>91.3</v>
      </c>
      <c r="H69" s="5" t="s">
        <v>578</v>
      </c>
      <c r="I69" s="6" t="str">
        <f aca="false">CONCATENATE(A69,",",D69)</f>
        <v>ME 168,ED1-IND</v>
      </c>
      <c r="J69" s="12"/>
    </row>
    <row r="70" customFormat="false" ht="15" hidden="false" customHeight="false" outlineLevel="0" collapsed="false">
      <c r="A70" s="70" t="s">
        <v>110</v>
      </c>
      <c r="B70" s="71" t="str">
        <v>COMPUTER PROGRAMMING FOR ENGINEERS</v>
      </c>
      <c r="C70" s="74" t="str">
        <v>Dzebre Denis Edem Kwame</v>
      </c>
      <c r="D70" s="70" t="s">
        <v>112</v>
      </c>
      <c r="E70" s="72" t="n">
        <v>46</v>
      </c>
      <c r="F70" s="75" t="s">
        <v>579</v>
      </c>
      <c r="G70" s="73" t="n">
        <f aca="false">E70*1.1</f>
        <v>50.6</v>
      </c>
      <c r="H70" s="5" t="s">
        <v>580</v>
      </c>
      <c r="I70" s="6" t="str">
        <f aca="false">CONCATENATE(A70,",",D70)</f>
        <v>ME 168,ED1-MARI</v>
      </c>
      <c r="J70" s="12"/>
    </row>
    <row r="71" customFormat="false" ht="15" hidden="false" customHeight="false" outlineLevel="0" collapsed="false">
      <c r="A71" s="70" t="s">
        <v>113</v>
      </c>
      <c r="B71" s="71" t="str">
        <v>OPTICAL AND THERMAL BEHAVIOUR OF MATERIALS</v>
      </c>
      <c r="C71" s="74" t="str">
        <v>Nartey Martinson Addo</v>
      </c>
      <c r="D71" s="70" t="s">
        <v>114</v>
      </c>
      <c r="E71" s="72" t="n">
        <v>75</v>
      </c>
      <c r="F71" s="75" t="s">
        <v>529</v>
      </c>
      <c r="G71" s="73" t="n">
        <f aca="false">E71*1.1</f>
        <v>82.5</v>
      </c>
      <c r="H71" s="5" t="s">
        <v>581</v>
      </c>
      <c r="I71" s="6" t="str">
        <f aca="false">CONCATENATE(A71,",",D71)</f>
        <v>MSE 154,ED1-METE</v>
      </c>
      <c r="J71" s="12"/>
    </row>
    <row r="72" customFormat="false" ht="15" hidden="false" customHeight="false" outlineLevel="0" collapsed="false">
      <c r="A72" s="70" t="s">
        <v>113</v>
      </c>
      <c r="B72" s="71" t="str">
        <v>OPTICAL AND THERMAL BEHAVIOUR OF MATERIALS</v>
      </c>
      <c r="C72" s="74" t="str">
        <v>Nartey Martinson Addo</v>
      </c>
      <c r="D72" s="70" t="s">
        <v>115</v>
      </c>
      <c r="E72" s="72" t="n">
        <v>100</v>
      </c>
      <c r="F72" s="75" t="s">
        <v>582</v>
      </c>
      <c r="G72" s="73" t="n">
        <f aca="false">E72*1.1</f>
        <v>110</v>
      </c>
      <c r="H72" s="5" t="s">
        <v>583</v>
      </c>
      <c r="I72" s="6" t="str">
        <f aca="false">CONCATENATE(A72,",",D72)</f>
        <v>MSE 154,ED1-MSE</v>
      </c>
      <c r="J72" s="12"/>
    </row>
    <row r="73" customFormat="false" ht="15" hidden="false" customHeight="false" outlineLevel="0" collapsed="false">
      <c r="A73" s="70" t="s">
        <v>116</v>
      </c>
      <c r="B73" s="74" t="str">
        <v>MECHANICAL ENGINEERING MATERIALS III</v>
      </c>
      <c r="C73" s="74" t="str">
        <v>Sackey Samuel Mensah</v>
      </c>
      <c r="D73" s="70" t="s">
        <v>67</v>
      </c>
      <c r="E73" s="72" t="n">
        <v>55</v>
      </c>
      <c r="F73" s="75" t="s">
        <v>539</v>
      </c>
      <c r="G73" s="73" t="n">
        <f aca="false">E73*1.1</f>
        <v>60.5</v>
      </c>
      <c r="H73" s="5" t="s">
        <v>540</v>
      </c>
      <c r="I73" s="6" t="str">
        <f aca="false">CONCATENATE(A73,",",D73)</f>
        <v>ME 482,ED4-ME</v>
      </c>
      <c r="J73" s="12"/>
    </row>
    <row r="74" customFormat="false" ht="15" hidden="false" customHeight="false" outlineLevel="0" collapsed="false">
      <c r="A74" s="70" t="s">
        <v>117</v>
      </c>
      <c r="B74" s="71" t="str">
        <v>SWITCHING ENGINEERING IN COMMUNICATION</v>
      </c>
      <c r="C74" s="71" t="str">
        <v>Obour Agyekum Kwame Opuni-Boachie</v>
      </c>
      <c r="D74" s="70" t="s">
        <v>71</v>
      </c>
      <c r="E74" s="72" t="n">
        <v>10</v>
      </c>
      <c r="F74" s="75" t="s">
        <v>584</v>
      </c>
      <c r="G74" s="73" t="n">
        <f aca="false">E74*1.1</f>
        <v>11</v>
      </c>
      <c r="H74" s="5" t="n">
        <v>10</v>
      </c>
      <c r="I74" s="6" t="str">
        <f aca="false">CONCATENATE(A74,",",D74)</f>
        <v>TE 384,ED3-EE</v>
      </c>
      <c r="J74" s="12"/>
    </row>
    <row r="75" customFormat="false" ht="15" hidden="false" customHeight="false" outlineLevel="0" collapsed="false">
      <c r="A75" s="70" t="s">
        <v>118</v>
      </c>
      <c r="B75" s="71" t="str">
        <v>SWITCHING ENGINEERING IN COMMUNICATION</v>
      </c>
      <c r="C75" s="71" t="str">
        <v>Agyekum Kwame Agyeman-Prempeh</v>
      </c>
      <c r="D75" s="70" t="s">
        <v>119</v>
      </c>
      <c r="E75" s="72" t="n">
        <v>140</v>
      </c>
      <c r="F75" s="75" t="s">
        <v>585</v>
      </c>
      <c r="G75" s="73" t="n">
        <f aca="false">E75*1.1</f>
        <v>154</v>
      </c>
      <c r="H75" s="5" t="s">
        <v>586</v>
      </c>
      <c r="I75" s="6" t="str">
        <f aca="false">CONCATENATE(A75,",",D75)</f>
        <v>TE 356,ED3-TEL</v>
      </c>
      <c r="J75" s="12"/>
    </row>
    <row r="76" customFormat="false" ht="15" hidden="false" customHeight="false" outlineLevel="0" collapsed="false">
      <c r="A76" s="70" t="s">
        <v>526</v>
      </c>
      <c r="B76" s="71" t="str">
        <v>AERODYNAMICS II</v>
      </c>
      <c r="C76" s="67" t="str">
        <v>Bofah Kwasi Kete</v>
      </c>
      <c r="D76" s="70" t="s">
        <v>99</v>
      </c>
      <c r="E76" s="72" t="n">
        <v>61</v>
      </c>
      <c r="F76" s="75" t="s">
        <v>587</v>
      </c>
      <c r="G76" s="73" t="n">
        <f aca="false">E76*1.1</f>
        <v>67.1</v>
      </c>
      <c r="H76" s="3" t="s">
        <v>588</v>
      </c>
      <c r="I76" s="6" t="str">
        <f aca="false">CONCATENATE(A76,",",D76)</f>
        <v>AERO 452,ED4-AERO</v>
      </c>
      <c r="J76" s="12"/>
    </row>
    <row r="77" customFormat="false" ht="15" hidden="false" customHeight="false" outlineLevel="0" collapsed="false">
      <c r="A77" s="70" t="s">
        <v>100</v>
      </c>
      <c r="B77" s="74" t="str">
        <v>ASSAYING</v>
      </c>
      <c r="C77" s="74" t="str">
        <v>Koomson Bennetta</v>
      </c>
      <c r="D77" s="70" t="s">
        <v>101</v>
      </c>
      <c r="E77" s="72" t="n">
        <v>57</v>
      </c>
      <c r="F77" s="75" t="s">
        <v>535</v>
      </c>
      <c r="G77" s="73" t="n">
        <f aca="false">E77*1.1</f>
        <v>62.7</v>
      </c>
      <c r="H77" s="5" t="s">
        <v>589</v>
      </c>
      <c r="I77" s="6" t="str">
        <f aca="false">CONCATENATE(A77,",",D77)</f>
        <v>METE 256,ED2-METE</v>
      </c>
      <c r="J77" s="12"/>
    </row>
    <row r="78" customFormat="false" ht="15" hidden="false" customHeight="false" outlineLevel="0" collapsed="false">
      <c r="A78" s="70" t="s">
        <v>120</v>
      </c>
      <c r="B78" s="74" t="str">
        <v>OPERATIONS RESEARCH II</v>
      </c>
      <c r="C78" s="74" t="str">
        <v>Asiedu Charlotte</v>
      </c>
      <c r="D78" s="70" t="s">
        <v>121</v>
      </c>
      <c r="E78" s="72" t="n">
        <v>70</v>
      </c>
      <c r="F78" s="75" t="s">
        <v>558</v>
      </c>
      <c r="G78" s="73" t="n">
        <f aca="false">E78*1.1</f>
        <v>77</v>
      </c>
      <c r="H78" s="5" t="s">
        <v>590</v>
      </c>
      <c r="I78" s="6" t="str">
        <f aca="false">CONCATENATE(A78,",",D78)</f>
        <v>IE 368,ED3-IND</v>
      </c>
      <c r="J78" s="12"/>
    </row>
    <row r="79" customFormat="false" ht="15" hidden="false" customHeight="false" outlineLevel="0" collapsed="false">
      <c r="A79" s="70" t="s">
        <v>122</v>
      </c>
      <c r="B79" s="74" t="str">
        <v>FOOD PROCESSING TECHNOLOGY</v>
      </c>
      <c r="C79" s="71" t="str">
        <v>Anang Daniel Adjah</v>
      </c>
      <c r="D79" s="70" t="s">
        <v>73</v>
      </c>
      <c r="E79" s="72" t="n">
        <v>50</v>
      </c>
      <c r="F79" s="75" t="s">
        <v>591</v>
      </c>
      <c r="G79" s="73" t="n">
        <f aca="false">E79*1.1</f>
        <v>55</v>
      </c>
      <c r="H79" s="5" t="s">
        <v>592</v>
      </c>
      <c r="I79" s="6" t="str">
        <f aca="false">CONCATENATE(A79,",",D79)</f>
        <v>CHE 368,ED3-CHE</v>
      </c>
      <c r="J79" s="12"/>
    </row>
    <row r="80" customFormat="false" ht="15" hidden="false" customHeight="false" outlineLevel="0" collapsed="false">
      <c r="A80" s="70" t="s">
        <v>123</v>
      </c>
      <c r="B80" s="74" t="str">
        <v>AUTOMATION AND PRODUCTION SYSTEM</v>
      </c>
      <c r="C80" s="74" t="str">
        <v>Sackey Samuel Mensah</v>
      </c>
      <c r="D80" s="70" t="s">
        <v>124</v>
      </c>
      <c r="E80" s="72" t="n">
        <v>69</v>
      </c>
      <c r="F80" s="75" t="s">
        <v>593</v>
      </c>
      <c r="G80" s="73" t="n">
        <f aca="false">E80*1.1</f>
        <v>75.9</v>
      </c>
      <c r="H80" s="5" t="s">
        <v>594</v>
      </c>
      <c r="I80" s="6" t="str">
        <f aca="false">CONCATENATE(A80,",",D80)</f>
        <v>IE 452,ED4-IND</v>
      </c>
      <c r="J80" s="12"/>
    </row>
    <row r="81" customFormat="false" ht="15" hidden="false" customHeight="false" outlineLevel="0" collapsed="false">
      <c r="A81" s="70"/>
      <c r="B81" s="76"/>
      <c r="C81" s="67"/>
      <c r="D81" s="71" t="s">
        <v>127</v>
      </c>
      <c r="E81" s="77" t="n">
        <f aca="false">SUM(E67:E80)</f>
        <v>1151</v>
      </c>
      <c r="F81" s="78"/>
      <c r="G81" s="79"/>
      <c r="I81" s="9" t="s">
        <v>58</v>
      </c>
      <c r="J81" s="12"/>
    </row>
    <row r="82" customFormat="false" ht="15" hidden="false" customHeight="false" outlineLevel="0" collapsed="false">
      <c r="A82" s="65" t="s">
        <v>78</v>
      </c>
      <c r="B82" s="65"/>
      <c r="C82" s="65"/>
      <c r="D82" s="65"/>
      <c r="E82" s="65"/>
      <c r="F82" s="65"/>
      <c r="G82" s="65"/>
      <c r="I82" s="9" t="str">
        <f aca="false">A82</f>
        <v>Tuesday, 18 August 2026</v>
      </c>
      <c r="J82" s="12"/>
    </row>
    <row r="83" customFormat="false" ht="15" hidden="false" customHeight="false" outlineLevel="0" collapsed="false">
      <c r="A83" s="65" t="s">
        <v>59</v>
      </c>
      <c r="B83" s="65"/>
      <c r="C83" s="65"/>
      <c r="D83" s="65"/>
      <c r="E83" s="65"/>
      <c r="F83" s="65"/>
      <c r="G83" s="65"/>
      <c r="I83" s="9" t="str">
        <f aca="false">A83</f>
        <v>Session, 3 (3:00 PM - 5:00 PM)</v>
      </c>
      <c r="J83" s="12"/>
    </row>
    <row r="84" customFormat="false" ht="15" hidden="false" customHeight="false" outlineLevel="0" collapsed="false">
      <c r="A84" s="66" t="s">
        <v>4</v>
      </c>
      <c r="B84" s="66" t="s">
        <v>5</v>
      </c>
      <c r="C84" s="67" t="s">
        <v>6</v>
      </c>
      <c r="D84" s="66" t="s">
        <v>7</v>
      </c>
      <c r="E84" s="68" t="s">
        <v>8</v>
      </c>
      <c r="F84" s="67" t="s">
        <v>9</v>
      </c>
      <c r="G84" s="69" t="s">
        <v>10</v>
      </c>
      <c r="I84" s="9" t="s">
        <v>31</v>
      </c>
      <c r="J84" s="12"/>
    </row>
    <row r="85" customFormat="false" ht="15" hidden="false" customHeight="false" outlineLevel="0" collapsed="false">
      <c r="A85" s="70" t="s">
        <v>520</v>
      </c>
      <c r="B85" s="71" t="str">
        <f aca="false" t="array" ref="B85:B94">IFERROR(VLOOKUP(I85:I94,Lectures_1!A2:F534,2,FALSE()),0)</f>
        <v>BIOCHEMISTRY</v>
      </c>
      <c r="C85" s="71" t="str">
        <f aca="false" t="array" ref="C85:C94">IFERROR(VLOOKUP(I85:I94,Lectures_1!A2:F534,3,FALSE()),0)</f>
        <v>Charles Apprey</v>
      </c>
      <c r="D85" s="70" t="s">
        <v>130</v>
      </c>
      <c r="E85" s="72" t="n">
        <f aca="false" t="array" ref="E85:E94">IFERROR(VLOOKUP(I85:I94,Lectures_1!A2:F534,4,FALSE()),0)</f>
        <v>136</v>
      </c>
      <c r="F85" s="70" t="s">
        <v>595</v>
      </c>
      <c r="G85" s="73" t="n">
        <f aca="false">E85*1.1</f>
        <v>149.6</v>
      </c>
      <c r="H85" s="5" t="s">
        <v>596</v>
      </c>
      <c r="I85" s="29" t="str">
        <f aca="false">CONCATENATE(A85,",",D85)</f>
        <v>BME 166,ED1-BME</v>
      </c>
      <c r="J85" s="31"/>
      <c r="K85" s="32"/>
      <c r="L85" s="32"/>
      <c r="M85" s="32"/>
    </row>
    <row r="86" customFormat="false" ht="15" hidden="false" customHeight="false" outlineLevel="0" collapsed="false">
      <c r="A86" s="70" t="s">
        <v>134</v>
      </c>
      <c r="B86" s="71" t="str">
        <v>PROCESS DYNAMICS AND CONTROL</v>
      </c>
      <c r="C86" s="74" t="str">
        <v>Adjaottor Albert Amatey</v>
      </c>
      <c r="D86" s="70" t="s">
        <v>135</v>
      </c>
      <c r="E86" s="72" t="n">
        <v>60</v>
      </c>
      <c r="F86" s="75" t="s">
        <v>545</v>
      </c>
      <c r="G86" s="73" t="n">
        <f aca="false">E86*1.1</f>
        <v>66</v>
      </c>
      <c r="H86" s="5" t="n">
        <v>60</v>
      </c>
      <c r="I86" s="6" t="str">
        <f aca="false">CONCATENATE(A86,",",D86)</f>
        <v>MSE 458,ED4-MSE</v>
      </c>
      <c r="J86" s="12"/>
    </row>
    <row r="87" customFormat="false" ht="15" hidden="false" customHeight="false" outlineLevel="0" collapsed="false">
      <c r="A87" s="70" t="s">
        <v>134</v>
      </c>
      <c r="B87" s="71" t="str">
        <v>PROCESS DYNANICS AND CONTROL</v>
      </c>
      <c r="C87" s="74" t="str">
        <v>Adjaottor Albert Amatey</v>
      </c>
      <c r="D87" s="70" t="s">
        <v>136</v>
      </c>
      <c r="E87" s="72" t="n">
        <v>55</v>
      </c>
      <c r="F87" s="75" t="s">
        <v>597</v>
      </c>
      <c r="G87" s="73" t="n">
        <f aca="false">E87*1.1</f>
        <v>60.5</v>
      </c>
      <c r="H87" s="5" t="s">
        <v>598</v>
      </c>
      <c r="I87" s="6" t="str">
        <f aca="false">CONCATENATE(A87,",",D87)</f>
        <v>MSE 458,ED4-METE</v>
      </c>
      <c r="J87" s="12"/>
    </row>
    <row r="88" customFormat="false" ht="15" hidden="false" customHeight="false" outlineLevel="0" collapsed="false">
      <c r="A88" s="70" t="s">
        <v>137</v>
      </c>
      <c r="B88" s="71" t="str">
        <v>ELECTRICAL MEASUREMENTS &amp; INSTRUMENTATION</v>
      </c>
      <c r="C88" s="74" t="str">
        <v>Nicholas Kwesi Prah II</v>
      </c>
      <c r="D88" s="70" t="s">
        <v>51</v>
      </c>
      <c r="E88" s="72" t="n">
        <v>295</v>
      </c>
      <c r="F88" s="75" t="s">
        <v>599</v>
      </c>
      <c r="G88" s="73" t="n">
        <f aca="false">E88*1.1</f>
        <v>324.5</v>
      </c>
      <c r="H88" s="5" t="s">
        <v>600</v>
      </c>
      <c r="I88" s="6" t="str">
        <f aca="false">CONCATENATE(A88,",",D88)</f>
        <v>EE 188,ED1-EE</v>
      </c>
      <c r="J88" s="12"/>
    </row>
    <row r="89" customFormat="false" ht="15" hidden="false" customHeight="false" outlineLevel="0" collapsed="false">
      <c r="A89" s="70" t="s">
        <v>52</v>
      </c>
      <c r="B89" s="71" t="str">
        <v>PRINCIPLES OF SURVEYING</v>
      </c>
      <c r="C89" s="71" t="str">
        <v>Akwasi Afrifa Acheampong</v>
      </c>
      <c r="D89" s="70" t="s">
        <v>53</v>
      </c>
      <c r="E89" s="72" t="n">
        <v>155</v>
      </c>
      <c r="F89" s="84" t="s">
        <v>601</v>
      </c>
      <c r="G89" s="73" t="n">
        <f aca="false">E89*1.1</f>
        <v>170.5</v>
      </c>
      <c r="H89" s="27" t="s">
        <v>543</v>
      </c>
      <c r="I89" s="6" t="str">
        <f aca="false">CONCATENATE(A89,",",D89)</f>
        <v>GE 286,ED2-AE</v>
      </c>
      <c r="J89" s="12"/>
    </row>
    <row r="90" customFormat="false" ht="15" hidden="false" customHeight="false" outlineLevel="0" collapsed="false">
      <c r="A90" s="70" t="s">
        <v>104</v>
      </c>
      <c r="B90" s="74" t="str">
        <v>FUNDAMENTALS OF PETROLEUM LAW</v>
      </c>
      <c r="C90" s="74" t="str">
        <v>Amoah Enoch Kwabena</v>
      </c>
      <c r="D90" s="70" t="s">
        <v>46</v>
      </c>
      <c r="E90" s="72" t="n">
        <v>99</v>
      </c>
      <c r="F90" s="75" t="s">
        <v>571</v>
      </c>
      <c r="G90" s="73" t="n">
        <f aca="false">E90*1.1</f>
        <v>108.9</v>
      </c>
      <c r="H90" s="5" t="s">
        <v>602</v>
      </c>
      <c r="I90" s="6" t="str">
        <f aca="false">CONCATENATE(A90,",",D90)</f>
        <v>PE 466,ED4-PE</v>
      </c>
      <c r="J90" s="12"/>
    </row>
    <row r="91" customFormat="false" ht="15" hidden="false" customHeight="false" outlineLevel="0" collapsed="false">
      <c r="A91" s="70" t="s">
        <v>468</v>
      </c>
      <c r="B91" s="71" t="str">
        <v>INTRODUCTION TO CERAMICS</v>
      </c>
      <c r="C91" s="71" t="str">
        <v>Andrews Anthony</v>
      </c>
      <c r="D91" s="70" t="s">
        <v>210</v>
      </c>
      <c r="E91" s="72" t="n">
        <v>83</v>
      </c>
      <c r="F91" s="75" t="s">
        <v>603</v>
      </c>
      <c r="G91" s="73" t="n">
        <f aca="false">E91*1.1</f>
        <v>91.3</v>
      </c>
      <c r="H91" s="3" t="s">
        <v>604</v>
      </c>
      <c r="I91" s="6" t="str">
        <f aca="false">CONCATENATE(A91,",",D91)</f>
        <v>MSE 254,ED2-MSE</v>
      </c>
      <c r="J91" s="12"/>
    </row>
    <row r="92" customFormat="false" ht="15" hidden="false" customHeight="false" outlineLevel="0" collapsed="false">
      <c r="A92" s="70" t="s">
        <v>139</v>
      </c>
      <c r="B92" s="74" t="str">
        <v>MATERIALS CHARACTERIZATION LABORATORY</v>
      </c>
      <c r="C92" s="74" t="str">
        <v>Arthur Emmanuel Kwesi</v>
      </c>
      <c r="D92" s="70" t="s">
        <v>140</v>
      </c>
      <c r="E92" s="72" t="n">
        <v>85</v>
      </c>
      <c r="F92" s="75" t="s">
        <v>605</v>
      </c>
      <c r="G92" s="73" t="n">
        <f aca="false">E92*1.1</f>
        <v>93.5</v>
      </c>
      <c r="H92" s="5" t="s">
        <v>606</v>
      </c>
      <c r="I92" s="6" t="str">
        <f aca="false">CONCATENATE(A92,",",D92)</f>
        <v>MSE 364,ED3-MSE</v>
      </c>
      <c r="J92" s="12"/>
    </row>
    <row r="93" customFormat="false" ht="15" hidden="false" customHeight="false" outlineLevel="0" collapsed="false">
      <c r="A93" s="70" t="s">
        <v>141</v>
      </c>
      <c r="B93" s="74" t="str">
        <v>METALLURGICAL CHARACTERIZATION LABORATORY</v>
      </c>
      <c r="C93" s="74" t="str">
        <v>Arthur Emmanuel Kwesi</v>
      </c>
      <c r="D93" s="70" t="s">
        <v>142</v>
      </c>
      <c r="E93" s="72" t="n">
        <v>87</v>
      </c>
      <c r="F93" s="75" t="s">
        <v>607</v>
      </c>
      <c r="G93" s="73" t="n">
        <f aca="false">E93*1.1</f>
        <v>95.7</v>
      </c>
      <c r="H93" s="5" t="s">
        <v>608</v>
      </c>
      <c r="I93" s="6" t="str">
        <f aca="false">CONCATENATE(A93,",",D93)</f>
        <v>METE 358,ED3-METE</v>
      </c>
      <c r="J93" s="12"/>
    </row>
    <row r="94" customFormat="false" ht="15" hidden="false" customHeight="false" outlineLevel="0" collapsed="false">
      <c r="A94" s="70" t="s">
        <v>267</v>
      </c>
      <c r="B94" s="71" t="str">
        <v>POWER SYSTEMS PROTECTION</v>
      </c>
      <c r="C94" s="71" t="str">
        <v>Frimpong Emmanuel Asuming</v>
      </c>
      <c r="D94" s="70" t="s">
        <v>144</v>
      </c>
      <c r="E94" s="72" t="n">
        <v>205</v>
      </c>
      <c r="F94" s="75" t="s">
        <v>609</v>
      </c>
      <c r="G94" s="73" t="n">
        <f aca="false">E94*1.1</f>
        <v>225.5</v>
      </c>
      <c r="H94" s="5" t="s">
        <v>610</v>
      </c>
      <c r="I94" s="6" t="str">
        <f aca="false">CONCATENATE(A94,",",D94)</f>
        <v>EE 468,ED4-EE</v>
      </c>
      <c r="J94" s="12"/>
    </row>
    <row r="95" customFormat="false" ht="15" hidden="false" customHeight="false" outlineLevel="0" collapsed="false">
      <c r="A95" s="76"/>
      <c r="B95" s="76"/>
      <c r="C95" s="67"/>
      <c r="D95" s="71" t="s">
        <v>145</v>
      </c>
      <c r="E95" s="77" t="n">
        <f aca="false">SUM(E86:E94)</f>
        <v>1124</v>
      </c>
      <c r="F95" s="74"/>
      <c r="G95" s="79"/>
      <c r="I95" s="9" t="s">
        <v>146</v>
      </c>
      <c r="J95" s="12"/>
    </row>
    <row r="96" customFormat="false" ht="15" hidden="false" customHeight="false" outlineLevel="0" collapsed="false">
      <c r="A96" s="65" t="s">
        <v>147</v>
      </c>
      <c r="B96" s="65"/>
      <c r="C96" s="65"/>
      <c r="D96" s="65"/>
      <c r="E96" s="65"/>
      <c r="F96" s="65"/>
      <c r="G96" s="65"/>
      <c r="I96" s="9" t="str">
        <f aca="false">A96</f>
        <v>Wednesday, 19 August 2026</v>
      </c>
      <c r="J96" s="12"/>
    </row>
    <row r="97" customFormat="false" ht="15" hidden="false" customHeight="false" outlineLevel="0" collapsed="false">
      <c r="A97" s="65" t="s">
        <v>2</v>
      </c>
      <c r="B97" s="65"/>
      <c r="C97" s="65"/>
      <c r="D97" s="65"/>
      <c r="E97" s="65"/>
      <c r="F97" s="65"/>
      <c r="G97" s="65"/>
      <c r="I97" s="9" t="str">
        <f aca="false">A97</f>
        <v>Session, 1 (8:30 AM - 10:30 AM)</v>
      </c>
      <c r="J97" s="12"/>
    </row>
    <row r="98" customFormat="false" ht="15" hidden="false" customHeight="false" outlineLevel="0" collapsed="false">
      <c r="A98" s="66" t="s">
        <v>4</v>
      </c>
      <c r="B98" s="66" t="s">
        <v>5</v>
      </c>
      <c r="C98" s="67" t="s">
        <v>6</v>
      </c>
      <c r="D98" s="66" t="s">
        <v>7</v>
      </c>
      <c r="E98" s="68" t="s">
        <v>8</v>
      </c>
      <c r="F98" s="67" t="s">
        <v>9</v>
      </c>
      <c r="G98" s="69" t="s">
        <v>10</v>
      </c>
      <c r="I98" s="9" t="s">
        <v>31</v>
      </c>
      <c r="J98" s="12"/>
    </row>
    <row r="99" customFormat="false" ht="15" hidden="false" customHeight="false" outlineLevel="0" collapsed="false">
      <c r="A99" s="70" t="s">
        <v>150</v>
      </c>
      <c r="B99" s="71" t="str">
        <f aca="false" t="array" ref="B99:B107">IFERROR(VLOOKUP(I99:I107,Lectures_1!A2:F534,2,FALSE()),0)</f>
        <v>PLANNING THE PHYSICAL ENVIRONMENT</v>
      </c>
      <c r="C99" s="74" t="str">
        <f aca="false" t="array" ref="C99:C107">IFERROR(VLOOKUP(I99:I107,Lectures_1!A2:F534,3,FALSE()),0)</f>
        <v>Aboagye Prince Anokye</v>
      </c>
      <c r="D99" s="70" t="s">
        <v>77</v>
      </c>
      <c r="E99" s="72" t="n">
        <f aca="false" t="array" ref="E99:E107">IFERROR(VLOOKUP(I99:I107,Lectures_1!A2:F534,4,FALSE()),0)</f>
        <v>122</v>
      </c>
      <c r="F99" s="75" t="s">
        <v>611</v>
      </c>
      <c r="G99" s="73" t="n">
        <f aca="false">E99*1.1</f>
        <v>134.2</v>
      </c>
      <c r="H99" s="5" t="s">
        <v>563</v>
      </c>
      <c r="I99" s="6" t="str">
        <f aca="false">CONCATENATE(A99,",",D99)</f>
        <v>PL 252,ED3-GEOM</v>
      </c>
      <c r="J99" s="12"/>
    </row>
    <row r="100" customFormat="false" ht="15" hidden="false" customHeight="false" outlineLevel="0" collapsed="false">
      <c r="A100" s="70" t="s">
        <v>151</v>
      </c>
      <c r="B100" s="71" t="str">
        <v>MECHANISMS SYNTHESIS AND ANALYSIS I</v>
      </c>
      <c r="C100" s="71" t="str">
        <v>Ampofo Joshua</v>
      </c>
      <c r="D100" s="70" t="s">
        <v>33</v>
      </c>
      <c r="E100" s="72" t="n">
        <v>240</v>
      </c>
      <c r="F100" s="75" t="s">
        <v>531</v>
      </c>
      <c r="G100" s="73" t="n">
        <f aca="false">E100*1.1</f>
        <v>264</v>
      </c>
      <c r="H100" s="5" t="s">
        <v>612</v>
      </c>
      <c r="I100" s="6" t="str">
        <f aca="false">CONCATENATE(A100,",",D100)</f>
        <v>ME 264,ED2-ME</v>
      </c>
      <c r="J100" s="12"/>
    </row>
    <row r="101" customFormat="false" ht="15" hidden="false" customHeight="false" outlineLevel="0" collapsed="false">
      <c r="A101" s="70" t="s">
        <v>151</v>
      </c>
      <c r="B101" s="71" t="str">
        <v>MECHANISMS SYNTHESIS AND ANALYSIS I</v>
      </c>
      <c r="C101" s="71" t="str">
        <v>Ampofo Joshua</v>
      </c>
      <c r="D101" s="70" t="s">
        <v>36</v>
      </c>
      <c r="E101" s="72" t="n">
        <v>75</v>
      </c>
      <c r="F101" s="75" t="s">
        <v>546</v>
      </c>
      <c r="G101" s="73" t="n">
        <f aca="false">E101*1.1</f>
        <v>82.5</v>
      </c>
      <c r="H101" s="5" t="n">
        <v>75</v>
      </c>
      <c r="I101" s="6" t="str">
        <f aca="false">CONCATENATE(A101,",",D101)</f>
        <v>ME 264,ED2-AERO</v>
      </c>
      <c r="J101" s="12"/>
    </row>
    <row r="102" customFormat="false" ht="15" hidden="false" customHeight="false" outlineLevel="0" collapsed="false">
      <c r="A102" s="70" t="s">
        <v>151</v>
      </c>
      <c r="B102" s="71" t="str">
        <v>MECHANISMS SYNTHESIS AND ANALYSIS I</v>
      </c>
      <c r="C102" s="71" t="str">
        <v>Ampofo Joshua</v>
      </c>
      <c r="D102" s="70" t="s">
        <v>38</v>
      </c>
      <c r="E102" s="72" t="n">
        <v>80</v>
      </c>
      <c r="F102" s="75" t="s">
        <v>577</v>
      </c>
      <c r="G102" s="73" t="n">
        <f aca="false">E102*1.1</f>
        <v>88</v>
      </c>
      <c r="H102" s="5" t="s">
        <v>613</v>
      </c>
      <c r="I102" s="6" t="str">
        <f aca="false">CONCATENATE(A102,",",D102)</f>
        <v>ME 264,ED2-IND</v>
      </c>
      <c r="J102" s="12"/>
    </row>
    <row r="103" customFormat="false" ht="15" hidden="false" customHeight="false" outlineLevel="0" collapsed="false">
      <c r="A103" s="70" t="s">
        <v>151</v>
      </c>
      <c r="B103" s="74" t="str">
        <v>MECHANISMS SYNTHESIS AND ANALYSIS I</v>
      </c>
      <c r="C103" s="71" t="str">
        <v>Ampofo Joshua</v>
      </c>
      <c r="D103" s="70" t="s">
        <v>40</v>
      </c>
      <c r="E103" s="72" t="n">
        <v>82</v>
      </c>
      <c r="F103" s="75" t="s">
        <v>614</v>
      </c>
      <c r="G103" s="73" t="n">
        <f aca="false">E103*1.1</f>
        <v>90.2</v>
      </c>
      <c r="H103" s="5" t="s">
        <v>615</v>
      </c>
      <c r="I103" s="6" t="str">
        <f aca="false">CONCATENATE(A103,",",D103)</f>
        <v>ME 264,ED2-AUTO</v>
      </c>
      <c r="J103" s="12"/>
    </row>
    <row r="104" customFormat="false" ht="15" hidden="false" customHeight="false" outlineLevel="0" collapsed="false">
      <c r="A104" s="70" t="s">
        <v>152</v>
      </c>
      <c r="B104" s="71" t="str">
        <v>MARINE MECHANISMS, SYSTHESIS AND ANALYSIS</v>
      </c>
      <c r="C104" s="74" t="str">
        <v>Ampofo Joshua</v>
      </c>
      <c r="D104" s="70" t="s">
        <v>42</v>
      </c>
      <c r="E104" s="72" t="n">
        <v>37</v>
      </c>
      <c r="F104" s="75" t="s">
        <v>616</v>
      </c>
      <c r="G104" s="73" t="n">
        <f aca="false">E104*1.1</f>
        <v>40.7</v>
      </c>
      <c r="H104" s="5" t="n">
        <v>37</v>
      </c>
      <c r="I104" s="6" t="str">
        <f aca="false">CONCATENATE(A104,",",D104)</f>
        <v>MME 264,ED2-MARI</v>
      </c>
      <c r="J104" s="12"/>
    </row>
    <row r="105" customFormat="false" ht="15" hidden="false" customHeight="false" outlineLevel="0" collapsed="false">
      <c r="A105" s="70" t="s">
        <v>153</v>
      </c>
      <c r="B105" s="74" t="str">
        <v>PRINCIPLES OF GEOLCHEMISTRY</v>
      </c>
      <c r="C105" s="74" t="str">
        <v>Gawu Simon Kafui Yawo</v>
      </c>
      <c r="D105" s="70" t="s">
        <v>154</v>
      </c>
      <c r="E105" s="72" t="n">
        <v>154</v>
      </c>
      <c r="F105" s="75" t="s">
        <v>601</v>
      </c>
      <c r="G105" s="73" t="n">
        <f aca="false">E105*1.1</f>
        <v>169.4</v>
      </c>
      <c r="H105" s="5" t="s">
        <v>543</v>
      </c>
      <c r="I105" s="6" t="str">
        <f aca="false">CONCATENATE(A105,",",D105)</f>
        <v>GED 352,ED3-GEOL</v>
      </c>
      <c r="J105" s="12"/>
    </row>
    <row r="106" customFormat="false" ht="15" hidden="false" customHeight="false" outlineLevel="0" collapsed="false">
      <c r="A106" s="70" t="s">
        <v>155</v>
      </c>
      <c r="B106" s="74" t="str">
        <v>TRANSPORTATION ENGINEERING</v>
      </c>
      <c r="C106" s="74" t="str">
        <v>Tuffour Yaw Adubofour</v>
      </c>
      <c r="D106" s="70" t="s">
        <v>103</v>
      </c>
      <c r="E106" s="72" t="n">
        <v>150</v>
      </c>
      <c r="F106" s="75" t="s">
        <v>617</v>
      </c>
      <c r="G106" s="73" t="n">
        <f aca="false">E106*1.1</f>
        <v>165</v>
      </c>
      <c r="H106" s="5" t="s">
        <v>618</v>
      </c>
      <c r="I106" s="6" t="str">
        <f aca="false">CONCATENATE(A106,",",D106)</f>
        <v>CE 468,ED4-CE</v>
      </c>
      <c r="J106" s="12"/>
    </row>
    <row r="107" customFormat="false" ht="14.25" hidden="false" customHeight="true" outlineLevel="0" collapsed="false">
      <c r="A107" s="70" t="s">
        <v>156</v>
      </c>
      <c r="B107" s="71" t="str">
        <v>ENVIRONMENTAL QUALITY ENGINEERING</v>
      </c>
      <c r="C107" s="71" t="str">
        <v>Appiah-Effah Eugene</v>
      </c>
      <c r="D107" s="70" t="s">
        <v>157</v>
      </c>
      <c r="E107" s="72" t="n">
        <v>230</v>
      </c>
      <c r="F107" s="75" t="s">
        <v>619</v>
      </c>
      <c r="G107" s="73" t="n">
        <f aca="false">E107*1.1</f>
        <v>253</v>
      </c>
      <c r="H107" s="5" t="s">
        <v>620</v>
      </c>
      <c r="I107" s="6" t="str">
        <f aca="false">CONCATENATE(A107,",",D107)</f>
        <v>CE 364,ED3-CE</v>
      </c>
      <c r="J107" s="12"/>
    </row>
    <row r="108" customFormat="false" ht="15" hidden="false" customHeight="false" outlineLevel="0" collapsed="false">
      <c r="A108" s="76"/>
      <c r="B108" s="76"/>
      <c r="C108" s="67"/>
      <c r="D108" s="71" t="s">
        <v>158</v>
      </c>
      <c r="E108" s="85" t="n">
        <f aca="false">SUM(E99:E107)</f>
        <v>1170</v>
      </c>
      <c r="F108" s="78"/>
      <c r="G108" s="79"/>
      <c r="I108" s="9" t="s">
        <v>159</v>
      </c>
      <c r="J108" s="12"/>
    </row>
    <row r="109" customFormat="false" ht="15" hidden="false" customHeight="false" outlineLevel="0" collapsed="false">
      <c r="A109" s="65" t="s">
        <v>147</v>
      </c>
      <c r="B109" s="65"/>
      <c r="C109" s="65"/>
      <c r="D109" s="65"/>
      <c r="E109" s="65"/>
      <c r="F109" s="65"/>
      <c r="G109" s="65"/>
      <c r="I109" s="9" t="str">
        <f aca="false">A109</f>
        <v>Wednesday, 19 August 2026</v>
      </c>
      <c r="J109" s="12"/>
    </row>
    <row r="110" customFormat="false" ht="15" hidden="false" customHeight="false" outlineLevel="0" collapsed="false">
      <c r="A110" s="65" t="s">
        <v>29</v>
      </c>
      <c r="B110" s="65"/>
      <c r="C110" s="65"/>
      <c r="D110" s="65"/>
      <c r="E110" s="65"/>
      <c r="F110" s="65"/>
      <c r="G110" s="65"/>
      <c r="I110" s="9" t="str">
        <f aca="false">A110</f>
        <v>Session, 2 (12:00 PM - 2:00 PM)</v>
      </c>
      <c r="J110" s="12"/>
    </row>
    <row r="111" customFormat="false" ht="15" hidden="false" customHeight="false" outlineLevel="0" collapsed="false">
      <c r="A111" s="66" t="s">
        <v>4</v>
      </c>
      <c r="B111" s="66" t="s">
        <v>5</v>
      </c>
      <c r="C111" s="67" t="s">
        <v>6</v>
      </c>
      <c r="D111" s="66" t="s">
        <v>7</v>
      </c>
      <c r="E111" s="68" t="s">
        <v>8</v>
      </c>
      <c r="F111" s="67" t="s">
        <v>9</v>
      </c>
      <c r="G111" s="69" t="s">
        <v>10</v>
      </c>
      <c r="I111" s="9" t="s">
        <v>31</v>
      </c>
      <c r="J111" s="12"/>
    </row>
    <row r="112" customFormat="false" ht="15" hidden="false" customHeight="false" outlineLevel="0" collapsed="false">
      <c r="A112" s="70" t="s">
        <v>160</v>
      </c>
      <c r="B112" s="74" t="str">
        <f aca="false" t="array" ref="B112:B122">IFERROR(VLOOKUP(I112:I122,Lectures_1!A2:F534,2,FALSE()),0)</f>
        <v>ENGINEERING DRAWING</v>
      </c>
      <c r="C112" s="74" t="str">
        <f aca="false" t="array" ref="C112:C122">IFERROR(VLOOKUP(I112:I122,Lectures_1!A2:F534,3,FALSE()),0)</f>
        <v>Aveyire Joseph</v>
      </c>
      <c r="D112" s="70" t="s">
        <v>131</v>
      </c>
      <c r="E112" s="72" t="n">
        <f aca="false" t="array" ref="E112:E122">IFERROR(VLOOKUP(I112:I122,Lectures_1!A2:F534,4,FALSE()),0)</f>
        <v>128</v>
      </c>
      <c r="F112" s="75" t="s">
        <v>552</v>
      </c>
      <c r="G112" s="73" t="n">
        <f aca="false">E112*1.1</f>
        <v>140.8</v>
      </c>
      <c r="H112" s="5" t="s">
        <v>621</v>
      </c>
      <c r="I112" s="6" t="str">
        <f aca="false">CONCATENATE(A112,",",D112)</f>
        <v>ME 160,ED1-AE</v>
      </c>
      <c r="J112" s="12"/>
    </row>
    <row r="113" customFormat="false" ht="15" hidden="false" customHeight="false" outlineLevel="0" collapsed="false">
      <c r="A113" s="70" t="s">
        <v>160</v>
      </c>
      <c r="B113" s="74" t="str">
        <v>ENGINEERING DRAWING</v>
      </c>
      <c r="C113" s="74" t="str">
        <v>Sekyere Charles Kofi Kafui</v>
      </c>
      <c r="D113" s="70" t="s">
        <v>112</v>
      </c>
      <c r="E113" s="72" t="n">
        <v>46</v>
      </c>
      <c r="F113" s="75" t="s">
        <v>622</v>
      </c>
      <c r="G113" s="73" t="n">
        <f aca="false">E113*1.1</f>
        <v>50.6</v>
      </c>
      <c r="H113" s="5" t="s">
        <v>623</v>
      </c>
      <c r="I113" s="6" t="str">
        <f aca="false">CONCATENATE(A113,",",D113)</f>
        <v>ME 160,ED1-MARI</v>
      </c>
      <c r="J113" s="12"/>
    </row>
    <row r="114" customFormat="false" ht="15" hidden="false" customHeight="false" outlineLevel="0" collapsed="false">
      <c r="A114" s="70" t="s">
        <v>160</v>
      </c>
      <c r="B114" s="74" t="str">
        <v>ENGINEERING DRAWING</v>
      </c>
      <c r="C114" s="74" t="str">
        <v>Aveyire Joseph</v>
      </c>
      <c r="D114" s="70" t="s">
        <v>114</v>
      </c>
      <c r="E114" s="72" t="n">
        <v>75</v>
      </c>
      <c r="F114" s="75" t="s">
        <v>624</v>
      </c>
      <c r="G114" s="73" t="n">
        <f aca="false">E114*1.1</f>
        <v>82.5</v>
      </c>
      <c r="H114" s="5" t="s">
        <v>590</v>
      </c>
      <c r="I114" s="6" t="str">
        <f aca="false">CONCATENATE(A114,",",D114)</f>
        <v>ME 160,ED1-METE</v>
      </c>
      <c r="J114" s="12"/>
    </row>
    <row r="115" customFormat="false" ht="15" hidden="false" customHeight="false" outlineLevel="0" collapsed="false">
      <c r="A115" s="70" t="s">
        <v>160</v>
      </c>
      <c r="B115" s="74" t="str">
        <v>ENGINEERING DRAWING</v>
      </c>
      <c r="C115" s="74" t="str">
        <v>Peter Oppong Tawiah</v>
      </c>
      <c r="D115" s="70" t="s">
        <v>115</v>
      </c>
      <c r="E115" s="72" t="n">
        <v>100</v>
      </c>
      <c r="F115" s="75" t="s">
        <v>582</v>
      </c>
      <c r="G115" s="73" t="n">
        <f aca="false">E115*1.1</f>
        <v>110</v>
      </c>
      <c r="H115" s="5" t="s">
        <v>583</v>
      </c>
      <c r="I115" s="6" t="str">
        <f aca="false">CONCATENATE(A115,",",D115)</f>
        <v>ME 160,ED1-MSE</v>
      </c>
      <c r="J115" s="12"/>
    </row>
    <row r="116" customFormat="false" ht="15" hidden="false" customHeight="false" outlineLevel="0" collapsed="false">
      <c r="A116" s="70" t="s">
        <v>160</v>
      </c>
      <c r="B116" s="74" t="str">
        <v>ENGINEERING DRAWING</v>
      </c>
      <c r="C116" s="74" t="str">
        <v>A. K. Sunnu</v>
      </c>
      <c r="D116" s="70" t="s">
        <v>161</v>
      </c>
      <c r="E116" s="72" t="n">
        <v>225</v>
      </c>
      <c r="F116" s="75" t="s">
        <v>619</v>
      </c>
      <c r="G116" s="73" t="n">
        <f aca="false">E116*1.1</f>
        <v>247.5</v>
      </c>
      <c r="H116" s="5" t="s">
        <v>625</v>
      </c>
      <c r="I116" s="6" t="str">
        <f aca="false">CONCATENATE(A116,",",D116)</f>
        <v>ME 160,ED1-ME</v>
      </c>
      <c r="J116" s="12"/>
    </row>
    <row r="117" customFormat="false" ht="15" hidden="false" customHeight="false" outlineLevel="0" collapsed="false">
      <c r="A117" s="70" t="s">
        <v>160</v>
      </c>
      <c r="B117" s="74" t="str">
        <v>ENGINEERING DRAWING</v>
      </c>
      <c r="C117" s="74" t="str">
        <v>Sekyere Charles Kofi Kafui</v>
      </c>
      <c r="D117" s="70" t="s">
        <v>162</v>
      </c>
      <c r="E117" s="72" t="n">
        <v>85</v>
      </c>
      <c r="F117" s="75" t="s">
        <v>626</v>
      </c>
      <c r="G117" s="73" t="n">
        <f aca="false">E117*1.1</f>
        <v>93.5</v>
      </c>
      <c r="H117" s="5" t="s">
        <v>627</v>
      </c>
      <c r="I117" s="6" t="str">
        <f aca="false">CONCATENATE(A117,",",D117)</f>
        <v>ME 160,ED1-AUTO</v>
      </c>
      <c r="J117" s="12"/>
    </row>
    <row r="118" customFormat="false" ht="15" hidden="false" customHeight="false" outlineLevel="0" collapsed="false">
      <c r="A118" s="70" t="s">
        <v>160</v>
      </c>
      <c r="B118" s="74" t="str">
        <v>ENGINEERING DRAWING</v>
      </c>
      <c r="C118" s="74" t="str">
        <v>Sekyere Charles Kofi Kafui</v>
      </c>
      <c r="D118" s="70" t="s">
        <v>111</v>
      </c>
      <c r="E118" s="72" t="n">
        <v>83</v>
      </c>
      <c r="F118" s="75" t="s">
        <v>628</v>
      </c>
      <c r="G118" s="73" t="n">
        <f aca="false">E118*1.1</f>
        <v>91.3</v>
      </c>
      <c r="H118" s="5" t="s">
        <v>629</v>
      </c>
      <c r="I118" s="6" t="str">
        <f aca="false">CONCATENATE(A118,",",D118)</f>
        <v>ME 160,ED1-IND</v>
      </c>
      <c r="J118" s="12"/>
    </row>
    <row r="119" customFormat="false" ht="15" hidden="false" customHeight="false" outlineLevel="0" collapsed="false">
      <c r="A119" s="70" t="s">
        <v>163</v>
      </c>
      <c r="B119" s="74" t="str">
        <v>PETROLEUM ENGINEERING LAB II</v>
      </c>
      <c r="C119" s="71" t="str">
        <v>Erzuah Samuel</v>
      </c>
      <c r="D119" s="70" t="s">
        <v>18</v>
      </c>
      <c r="E119" s="72" t="n">
        <v>80</v>
      </c>
      <c r="F119" s="75" t="s">
        <v>630</v>
      </c>
      <c r="G119" s="73" t="n">
        <f aca="false">E119*1.1</f>
        <v>88</v>
      </c>
      <c r="H119" s="5" t="s">
        <v>631</v>
      </c>
      <c r="I119" s="6" t="str">
        <f aca="false">CONCATENATE(A119,",",D119)</f>
        <v>PE 356,ED3-PE</v>
      </c>
      <c r="J119" s="12"/>
    </row>
    <row r="120" customFormat="false" ht="15" hidden="false" customHeight="false" outlineLevel="0" collapsed="false">
      <c r="A120" s="70" t="s">
        <v>164</v>
      </c>
      <c r="B120" s="71" t="str">
        <v>MARINE CONTROL ENGINEERING AND AUTOMATION</v>
      </c>
      <c r="C120" s="71" t="str">
        <v>Adjei Eunice Akyereko</v>
      </c>
      <c r="D120" s="70" t="s">
        <v>69</v>
      </c>
      <c r="E120" s="72" t="n">
        <v>23</v>
      </c>
      <c r="F120" s="75" t="s">
        <v>632</v>
      </c>
      <c r="G120" s="73" t="n">
        <f aca="false">E120*1.1</f>
        <v>25.3</v>
      </c>
      <c r="H120" s="5" t="n">
        <v>23</v>
      </c>
      <c r="I120" s="6" t="str">
        <f aca="false">CONCATENATE(A120,",",D120)</f>
        <v>MME 462,ED4-MARI</v>
      </c>
      <c r="J120" s="12"/>
    </row>
    <row r="121" customFormat="false" ht="15" hidden="false" customHeight="false" outlineLevel="0" collapsed="false">
      <c r="A121" s="70" t="s">
        <v>165</v>
      </c>
      <c r="B121" s="71" t="str">
        <v>AUTOMOTIVE SPARK-IGNITION ENGINES</v>
      </c>
      <c r="C121" s="71" t="str">
        <v>Abu Frimpong Solomon</v>
      </c>
      <c r="D121" s="70" t="s">
        <v>23</v>
      </c>
      <c r="E121" s="72" t="n">
        <v>40</v>
      </c>
      <c r="F121" s="75" t="s">
        <v>633</v>
      </c>
      <c r="G121" s="73" t="n">
        <f aca="false">E121*1.1</f>
        <v>44</v>
      </c>
      <c r="H121" s="5" t="n">
        <v>40</v>
      </c>
      <c r="I121" s="6" t="str">
        <f aca="false">CONCATENATE(A121,",",D121)</f>
        <v>AME 368,ED3-AUTO</v>
      </c>
      <c r="J121" s="12"/>
    </row>
    <row r="122" customFormat="false" ht="15" hidden="false" customHeight="false" outlineLevel="0" collapsed="false">
      <c r="A122" s="70" t="s">
        <v>166</v>
      </c>
      <c r="B122" s="74" t="str">
        <v>ELECTROMAGNETIC FIELDS</v>
      </c>
      <c r="C122" s="71" t="str">
        <v>Yeboah-Akowuah Bright</v>
      </c>
      <c r="D122" s="70" t="s">
        <v>108</v>
      </c>
      <c r="E122" s="72" t="n">
        <v>255</v>
      </c>
      <c r="F122" s="75" t="s">
        <v>531</v>
      </c>
      <c r="G122" s="73" t="n">
        <f aca="false">E122*1.1</f>
        <v>280.5</v>
      </c>
      <c r="H122" s="5" t="s">
        <v>634</v>
      </c>
      <c r="I122" s="6" t="str">
        <f aca="false">CONCATENATE(A122,",",D122)</f>
        <v>TE 262,ED2-COE</v>
      </c>
      <c r="J122" s="12"/>
    </row>
    <row r="123" customFormat="false" ht="15" hidden="false" customHeight="false" outlineLevel="0" collapsed="false">
      <c r="A123" s="76"/>
      <c r="B123" s="76"/>
      <c r="C123" s="67"/>
      <c r="D123" s="71" t="s">
        <v>167</v>
      </c>
      <c r="E123" s="77" t="n">
        <f aca="false">SUM(E112:E122)</f>
        <v>1140</v>
      </c>
      <c r="F123" s="78"/>
      <c r="G123" s="79"/>
      <c r="I123" s="9" t="s">
        <v>168</v>
      </c>
      <c r="J123" s="12"/>
    </row>
    <row r="124" customFormat="false" ht="15" hidden="false" customHeight="false" outlineLevel="0" collapsed="false">
      <c r="A124" s="65" t="s">
        <v>147</v>
      </c>
      <c r="B124" s="65"/>
      <c r="C124" s="65"/>
      <c r="D124" s="65"/>
      <c r="E124" s="65"/>
      <c r="F124" s="65"/>
      <c r="G124" s="65"/>
      <c r="I124" s="9" t="str">
        <f aca="false">A124</f>
        <v>Wednesday, 19 August 2026</v>
      </c>
      <c r="J124" s="12"/>
    </row>
    <row r="125" customFormat="false" ht="15" hidden="false" customHeight="false" outlineLevel="0" collapsed="false">
      <c r="A125" s="65" t="s">
        <v>59</v>
      </c>
      <c r="B125" s="65"/>
      <c r="C125" s="65"/>
      <c r="D125" s="65"/>
      <c r="E125" s="65"/>
      <c r="F125" s="65"/>
      <c r="G125" s="65"/>
      <c r="I125" s="9" t="str">
        <f aca="false">A125</f>
        <v>Session, 3 (3:00 PM - 5:00 PM)</v>
      </c>
      <c r="J125" s="12"/>
    </row>
    <row r="126" customFormat="false" ht="15" hidden="false" customHeight="false" outlineLevel="0" collapsed="false">
      <c r="A126" s="66" t="s">
        <v>4</v>
      </c>
      <c r="B126" s="66" t="s">
        <v>5</v>
      </c>
      <c r="C126" s="67" t="s">
        <v>6</v>
      </c>
      <c r="D126" s="66" t="s">
        <v>7</v>
      </c>
      <c r="E126" s="68" t="s">
        <v>8</v>
      </c>
      <c r="F126" s="67" t="s">
        <v>9</v>
      </c>
      <c r="G126" s="69" t="s">
        <v>10</v>
      </c>
      <c r="I126" s="9" t="s">
        <v>31</v>
      </c>
      <c r="J126" s="12"/>
    </row>
    <row r="127" customFormat="false" ht="15" hidden="false" customHeight="false" outlineLevel="0" collapsed="false">
      <c r="A127" s="70" t="s">
        <v>169</v>
      </c>
      <c r="B127" s="71" t="str">
        <f aca="false" t="array" ref="B127:B134">IFERROR(VLOOKUP(I127:I134,Lectures_1!A2:F534,2,FALSE()),0)</f>
        <v>PRINCIPLES OF REMOTE SENSING</v>
      </c>
      <c r="C127" s="71" t="str">
        <f aca="false" t="array" ref="C127:C134">IFERROR(VLOOKUP(I127:I134,Lectures_1!A2:F534,3,FALSE()),0)</f>
        <v>Yaw Mensah Asare</v>
      </c>
      <c r="D127" s="70" t="s">
        <v>170</v>
      </c>
      <c r="E127" s="72" t="n">
        <f aca="false" t="array" ref="E127:E134">IFERROR(VLOOKUP(I127:I134,Lectures_1!A2:F534,4,FALSE()),0)</f>
        <v>132</v>
      </c>
      <c r="F127" s="75" t="s">
        <v>552</v>
      </c>
      <c r="G127" s="73" t="n">
        <f aca="false">E127*1.1</f>
        <v>145.2</v>
      </c>
      <c r="H127" s="5" t="s">
        <v>635</v>
      </c>
      <c r="I127" s="6" t="str">
        <f aca="false">CONCATENATE(A127,",",D127)</f>
        <v>GE 262,ED2-GEOM</v>
      </c>
      <c r="J127" s="12"/>
    </row>
    <row r="128" customFormat="false" ht="15" hidden="false" customHeight="false" outlineLevel="0" collapsed="false">
      <c r="A128" s="70" t="s">
        <v>171</v>
      </c>
      <c r="B128" s="74" t="str">
        <v>COMMUNICATION CIRCUITS</v>
      </c>
      <c r="C128" s="74" t="str">
        <v>Abdul-Rahman Ahmed</v>
      </c>
      <c r="D128" s="70" t="s">
        <v>172</v>
      </c>
      <c r="E128" s="72" t="n">
        <v>175</v>
      </c>
      <c r="F128" s="75" t="s">
        <v>617</v>
      </c>
      <c r="G128" s="73" t="n">
        <f aca="false">E128*1.1</f>
        <v>192.5</v>
      </c>
      <c r="H128" s="27" t="s">
        <v>636</v>
      </c>
      <c r="I128" s="6" t="str">
        <f aca="false">CONCATENATE(A128,",",D128)</f>
        <v>TE 256,ED2-TEL</v>
      </c>
      <c r="J128" s="12"/>
    </row>
    <row r="129" customFormat="false" ht="15" hidden="false" customHeight="false" outlineLevel="0" collapsed="false">
      <c r="A129" s="70" t="s">
        <v>175</v>
      </c>
      <c r="B129" s="71" t="str">
        <v>INTRODUCTION TO INFORMATION TECHNOLOGY</v>
      </c>
      <c r="C129" s="71" t="str">
        <v>Addo Daniel Akwei</v>
      </c>
      <c r="D129" s="70" t="s">
        <v>20</v>
      </c>
      <c r="E129" s="72" t="n">
        <v>262</v>
      </c>
      <c r="F129" s="75" t="s">
        <v>531</v>
      </c>
      <c r="G129" s="73" t="n">
        <f aca="false">E129*1.1</f>
        <v>288.2</v>
      </c>
      <c r="H129" s="5" t="s">
        <v>637</v>
      </c>
      <c r="I129" s="6" t="str">
        <f aca="false">CONCATENATE(A129,",",D129)</f>
        <v>COE 158,ED1-COE</v>
      </c>
      <c r="J129" s="12"/>
    </row>
    <row r="130" customFormat="false" ht="15" hidden="false" customHeight="false" outlineLevel="0" collapsed="false">
      <c r="A130" s="70" t="s">
        <v>173</v>
      </c>
      <c r="B130" s="71" t="str">
        <v>PRACTICAL CHEMISTRY II</v>
      </c>
      <c r="C130" s="74" t="str">
        <v>Opoku Francis</v>
      </c>
      <c r="D130" s="70" t="s">
        <v>14</v>
      </c>
      <c r="E130" s="72" t="n">
        <v>65</v>
      </c>
      <c r="F130" s="75" t="s">
        <v>535</v>
      </c>
      <c r="G130" s="73" t="n">
        <f aca="false">E130*1.1</f>
        <v>71.5</v>
      </c>
      <c r="H130" s="5" t="s">
        <v>638</v>
      </c>
      <c r="I130" s="6" t="str">
        <f aca="false">CONCATENATE(A130,",",D130)</f>
        <v>CHEM 280,ED2-PCE</v>
      </c>
      <c r="J130" s="12"/>
    </row>
    <row r="131" customFormat="false" ht="15" hidden="false" customHeight="false" outlineLevel="0" collapsed="false">
      <c r="A131" s="70" t="s">
        <v>173</v>
      </c>
      <c r="B131" s="71" t="str">
        <v>PRACTICAL CHEMISTRY II</v>
      </c>
      <c r="C131" s="74" t="str">
        <v>Opoku Francis</v>
      </c>
      <c r="D131" s="70" t="s">
        <v>13</v>
      </c>
      <c r="E131" s="72" t="n">
        <v>160</v>
      </c>
      <c r="F131" s="75" t="s">
        <v>639</v>
      </c>
      <c r="G131" s="73" t="n">
        <f aca="false">E131*1.1</f>
        <v>176</v>
      </c>
      <c r="H131" s="5" t="s">
        <v>640</v>
      </c>
      <c r="I131" s="6" t="str">
        <f aca="false">CONCATENATE(A131,",",D131)</f>
        <v>CHEM 280,ED2-CHE</v>
      </c>
      <c r="J131" s="12"/>
    </row>
    <row r="132" customFormat="false" ht="15" hidden="false" customHeight="false" outlineLevel="0" collapsed="false">
      <c r="A132" s="70" t="s">
        <v>457</v>
      </c>
      <c r="B132" s="74" t="str">
        <v>FAULT DIAGNOSIS AND FAILURE TOLERANCE</v>
      </c>
      <c r="C132" s="74" t="str">
        <v>Agbemenu Andrew Selasi</v>
      </c>
      <c r="D132" s="70" t="s">
        <v>251</v>
      </c>
      <c r="E132" s="72" t="n">
        <v>70</v>
      </c>
      <c r="F132" s="75" t="s">
        <v>641</v>
      </c>
      <c r="G132" s="73" t="n">
        <f aca="false">E132*1.1</f>
        <v>77</v>
      </c>
      <c r="H132" s="3" t="s">
        <v>642</v>
      </c>
      <c r="I132" s="6" t="str">
        <f aca="false">CONCATENATE(A132,",",D132)</f>
        <v>COE 480,ED4-COE</v>
      </c>
      <c r="J132" s="12"/>
    </row>
    <row r="133" customFormat="false" ht="15" hidden="false" customHeight="false" outlineLevel="0" collapsed="false">
      <c r="A133" s="70" t="s">
        <v>174</v>
      </c>
      <c r="B133" s="71" t="str">
        <v>FLUID DYNAMICS  II</v>
      </c>
      <c r="C133" s="74" t="str">
        <v>A. K. Sunnu</v>
      </c>
      <c r="D133" s="75" t="s">
        <v>61</v>
      </c>
      <c r="E133" s="72" t="n">
        <v>222</v>
      </c>
      <c r="F133" s="75" t="s">
        <v>619</v>
      </c>
      <c r="G133" s="73" t="n">
        <f aca="false">E133*1.1</f>
        <v>244.2</v>
      </c>
      <c r="H133" s="5" t="s">
        <v>643</v>
      </c>
      <c r="I133" s="6" t="str">
        <f aca="false">CONCATENATE(A133,",",D133)</f>
        <v>ME 352,ED3-ME</v>
      </c>
      <c r="J133" s="12"/>
    </row>
    <row r="134" customFormat="false" ht="15" hidden="false" customHeight="false" outlineLevel="0" collapsed="false">
      <c r="A134" s="70" t="s">
        <v>174</v>
      </c>
      <c r="B134" s="71" t="str">
        <v>FLUID DYNAMICS II</v>
      </c>
      <c r="C134" s="74" t="str">
        <v>Tay Godwin Fabiola Kwaku</v>
      </c>
      <c r="D134" s="70" t="s">
        <v>86</v>
      </c>
      <c r="E134" s="72" t="n">
        <v>40</v>
      </c>
      <c r="F134" s="75" t="s">
        <v>633</v>
      </c>
      <c r="G134" s="73" t="n">
        <f aca="false">E134*1.1</f>
        <v>44</v>
      </c>
      <c r="H134" s="5" t="n">
        <v>40</v>
      </c>
      <c r="I134" s="6" t="str">
        <f aca="false">CONCATENATE(A134,",",D134)</f>
        <v>ME 352,ED3-MARI</v>
      </c>
      <c r="J134" s="12"/>
    </row>
    <row r="135" customFormat="false" ht="15" hidden="false" customHeight="false" outlineLevel="0" collapsed="false">
      <c r="A135" s="76"/>
      <c r="B135" s="76"/>
      <c r="C135" s="67"/>
      <c r="D135" s="71" t="s">
        <v>178</v>
      </c>
      <c r="E135" s="77" t="n">
        <f aca="false">SUM(E127:E134)</f>
        <v>1126</v>
      </c>
      <c r="F135" s="78"/>
      <c r="G135" s="79"/>
      <c r="I135" s="9" t="s">
        <v>179</v>
      </c>
      <c r="J135" s="12"/>
    </row>
    <row r="136" customFormat="false" ht="15" hidden="false" customHeight="false" outlineLevel="0" collapsed="false">
      <c r="A136" s="65" t="s">
        <v>180</v>
      </c>
      <c r="B136" s="65"/>
      <c r="C136" s="65"/>
      <c r="D136" s="65"/>
      <c r="E136" s="65"/>
      <c r="F136" s="65"/>
      <c r="G136" s="65"/>
      <c r="I136" s="9" t="str">
        <f aca="false">A136</f>
        <v>Thursday, 20 August 2026</v>
      </c>
      <c r="J136" s="12"/>
    </row>
    <row r="137" customFormat="false" ht="15" hidden="false" customHeight="false" outlineLevel="0" collapsed="false">
      <c r="A137" s="65" t="s">
        <v>2</v>
      </c>
      <c r="B137" s="65"/>
      <c r="C137" s="65"/>
      <c r="D137" s="65"/>
      <c r="E137" s="65"/>
      <c r="F137" s="65"/>
      <c r="G137" s="65"/>
      <c r="I137" s="9" t="str">
        <f aca="false">A137</f>
        <v>Session, 1 (8:30 AM - 10:30 AM)</v>
      </c>
      <c r="J137" s="12"/>
    </row>
    <row r="138" customFormat="false" ht="15" hidden="false" customHeight="false" outlineLevel="0" collapsed="false">
      <c r="A138" s="66" t="s">
        <v>4</v>
      </c>
      <c r="B138" s="66" t="s">
        <v>5</v>
      </c>
      <c r="C138" s="67" t="s">
        <v>6</v>
      </c>
      <c r="D138" s="66" t="s">
        <v>7</v>
      </c>
      <c r="E138" s="68" t="s">
        <v>8</v>
      </c>
      <c r="F138" s="67" t="s">
        <v>9</v>
      </c>
      <c r="G138" s="69" t="s">
        <v>10</v>
      </c>
      <c r="I138" s="9" t="s">
        <v>31</v>
      </c>
      <c r="J138" s="12"/>
    </row>
    <row r="139" customFormat="false" ht="15" hidden="false" customHeight="true" outlineLevel="0" collapsed="false">
      <c r="A139" s="70" t="s">
        <v>182</v>
      </c>
      <c r="B139" s="66" t="str">
        <f aca="false" t="array" ref="B139:B151">IFERROR(VLOOKUP(I139:I151,Lectures_1!A2:F534,2,FALSE()),0)</f>
        <v>CIVIL ENGINEERING DRAWING</v>
      </c>
      <c r="C139" s="71" t="str">
        <f aca="false" t="array" ref="C139:C151">IFERROR(VLOOKUP(I139:I151,Lectures_1!A2:F534,3,FALSE()),0)</f>
        <v>Osei Jack Banahene</v>
      </c>
      <c r="D139" s="70" t="s">
        <v>126</v>
      </c>
      <c r="E139" s="72" t="n">
        <f aca="false" t="array" ref="E139:E151">IFERROR(VLOOKUP(I139:I151,Lectures_1!A2:F534,4,FALSE()),0)</f>
        <v>125</v>
      </c>
      <c r="F139" s="86" t="s">
        <v>34</v>
      </c>
      <c r="G139" s="73" t="n">
        <f aca="false">E139*1.1</f>
        <v>137.5</v>
      </c>
      <c r="I139" s="6" t="str">
        <f aca="false">CONCATENATE(A139,",",D139)</f>
        <v>CE 164,ED1-GEOL</v>
      </c>
      <c r="J139" s="12"/>
    </row>
    <row r="140" customFormat="false" ht="15" hidden="false" customHeight="false" outlineLevel="0" collapsed="false">
      <c r="A140" s="70" t="s">
        <v>183</v>
      </c>
      <c r="B140" s="71" t="str">
        <v>INTRODUCTION TO FINITE ELEMENT</v>
      </c>
      <c r="C140" s="74" t="str">
        <v>Andoh Prince Yaw</v>
      </c>
      <c r="D140" s="70" t="s">
        <v>97</v>
      </c>
      <c r="E140" s="72" t="n">
        <v>32</v>
      </c>
      <c r="F140" s="86"/>
      <c r="G140" s="73" t="n">
        <f aca="false">E140*1.1</f>
        <v>35.2</v>
      </c>
      <c r="I140" s="6" t="str">
        <f aca="false">CONCATENATE(A140,",",D140)</f>
        <v>ME 456,ED4-AUTO</v>
      </c>
      <c r="J140" s="12"/>
    </row>
    <row r="141" customFormat="false" ht="15" hidden="false" customHeight="false" outlineLevel="0" collapsed="false">
      <c r="A141" s="70" t="s">
        <v>60</v>
      </c>
      <c r="B141" s="74" t="str">
        <v>MACHINE DESIGN II</v>
      </c>
      <c r="C141" s="71" t="str">
        <v>Afriyie Nyarko Frank Kwabena</v>
      </c>
      <c r="D141" s="70" t="s">
        <v>88</v>
      </c>
      <c r="E141" s="72" t="n">
        <v>101</v>
      </c>
      <c r="F141" s="75" t="s">
        <v>571</v>
      </c>
      <c r="G141" s="73" t="n">
        <f aca="false">E141*1.1</f>
        <v>111.1</v>
      </c>
      <c r="H141" s="5" t="s">
        <v>644</v>
      </c>
      <c r="I141" s="6" t="str">
        <f aca="false">CONCATENATE(A141,",",D141)</f>
        <v>ME 374,ED3-AE</v>
      </c>
      <c r="J141" s="12"/>
    </row>
    <row r="142" customFormat="false" ht="15" hidden="false" customHeight="false" outlineLevel="0" collapsed="false">
      <c r="A142" s="70" t="s">
        <v>184</v>
      </c>
      <c r="B142" s="74" t="str">
        <v>CIRCUIT THEORY</v>
      </c>
      <c r="C142" s="71" t="str">
        <v>Twumasi Elvis</v>
      </c>
      <c r="D142" s="70" t="s">
        <v>51</v>
      </c>
      <c r="E142" s="72" t="n">
        <v>295</v>
      </c>
      <c r="F142" s="75" t="s">
        <v>645</v>
      </c>
      <c r="G142" s="73" t="n">
        <f aca="false">E142*1.1</f>
        <v>324.5</v>
      </c>
      <c r="H142" s="5" t="s">
        <v>646</v>
      </c>
      <c r="I142" s="6" t="str">
        <f aca="false">CONCATENATE(A142,",",D142)</f>
        <v>EE 166,ED1-EE</v>
      </c>
      <c r="J142" s="12"/>
    </row>
    <row r="143" customFormat="false" ht="15" hidden="false" customHeight="false" outlineLevel="0" collapsed="false">
      <c r="A143" s="70" t="s">
        <v>185</v>
      </c>
      <c r="B143" s="71" t="str">
        <v>INTRODUCTION TO INFORMATION TECHNOLOGY</v>
      </c>
      <c r="C143" s="71" t="str">
        <v>Baidoo Martina Francisca</v>
      </c>
      <c r="D143" s="70" t="s">
        <v>81</v>
      </c>
      <c r="E143" s="72" t="n">
        <v>56</v>
      </c>
      <c r="F143" s="71" t="s">
        <v>545</v>
      </c>
      <c r="G143" s="73" t="n">
        <f aca="false">E143*1.1</f>
        <v>61.6</v>
      </c>
      <c r="H143" s="5" t="n">
        <v>56</v>
      </c>
      <c r="I143" s="6" t="str">
        <f aca="false">CONCATENATE(A143,",",D143)</f>
        <v>PCE 158,ED1-PCE</v>
      </c>
      <c r="J143" s="12"/>
    </row>
    <row r="144" customFormat="false" ht="15" hidden="false" customHeight="false" outlineLevel="0" collapsed="false">
      <c r="A144" s="70" t="s">
        <v>186</v>
      </c>
      <c r="B144" s="71" t="str">
        <v>INTRODUCTION TO INFORMATION TECHNOLOGY</v>
      </c>
      <c r="C144" s="71" t="str">
        <v>Baidoo Martina Francisca</v>
      </c>
      <c r="D144" s="70" t="s">
        <v>80</v>
      </c>
      <c r="E144" s="72" t="n">
        <v>120</v>
      </c>
      <c r="F144" s="71" t="s">
        <v>546</v>
      </c>
      <c r="G144" s="73" t="n">
        <f aca="false">E144*1.1</f>
        <v>132</v>
      </c>
      <c r="H144" s="5" t="n">
        <v>120</v>
      </c>
      <c r="I144" s="6" t="str">
        <f aca="false">CONCATENATE(A144,",",D144)</f>
        <v>CHE 158,ED1-CHE</v>
      </c>
      <c r="J144" s="12"/>
    </row>
    <row r="145" s="32" customFormat="true" ht="15" hidden="false" customHeight="false" outlineLevel="0" collapsed="false">
      <c r="A145" s="70" t="s">
        <v>187</v>
      </c>
      <c r="B145" s="71" t="str">
        <v>DATA COMMUNICATION PRINCIPLES</v>
      </c>
      <c r="C145" s="74" t="str">
        <v>Gadze James Dzisi</v>
      </c>
      <c r="D145" s="75" t="s">
        <v>119</v>
      </c>
      <c r="E145" s="72" t="n">
        <v>140</v>
      </c>
      <c r="F145" s="75" t="s">
        <v>585</v>
      </c>
      <c r="G145" s="73" t="n">
        <f aca="false">E145*1.1</f>
        <v>154</v>
      </c>
      <c r="H145" s="5" t="s">
        <v>586</v>
      </c>
      <c r="I145" s="29" t="str">
        <f aca="false">CONCATENATE(A145,",",D145)</f>
        <v>TE 352,ED3-TEL</v>
      </c>
      <c r="J145" s="31"/>
    </row>
    <row r="146" customFormat="false" ht="15" hidden="false" customHeight="false" outlineLevel="0" collapsed="false">
      <c r="A146" s="70" t="s">
        <v>188</v>
      </c>
      <c r="B146" s="74" t="str">
        <v>INTRODUCTION TO PETROLEUM ENGINEERING</v>
      </c>
      <c r="C146" s="71" t="str">
        <v>Erzuah Samuel</v>
      </c>
      <c r="D146" s="75" t="s">
        <v>82</v>
      </c>
      <c r="E146" s="72" t="n">
        <v>130</v>
      </c>
      <c r="F146" s="75" t="s">
        <v>552</v>
      </c>
      <c r="G146" s="73" t="n">
        <f aca="false">E146*1.1</f>
        <v>143</v>
      </c>
      <c r="H146" s="5" t="s">
        <v>647</v>
      </c>
      <c r="I146" s="6" t="str">
        <f aca="false">CONCATENATE(A146,",",D146)</f>
        <v>PE 154,ED1-PE</v>
      </c>
      <c r="J146" s="12"/>
    </row>
    <row r="147" customFormat="false" ht="15" hidden="false" customHeight="false" outlineLevel="0" collapsed="false">
      <c r="A147" s="70" t="s">
        <v>189</v>
      </c>
      <c r="B147" s="74" t="str">
        <v>PRODUCTION ENGINEERING II</v>
      </c>
      <c r="C147" s="74" t="str">
        <v>Obeng George Yaw</v>
      </c>
      <c r="D147" s="70" t="s">
        <v>67</v>
      </c>
      <c r="E147" s="72" t="n">
        <v>40</v>
      </c>
      <c r="F147" s="75" t="s">
        <v>641</v>
      </c>
      <c r="G147" s="73" t="n">
        <f aca="false">E147*1.1</f>
        <v>44</v>
      </c>
      <c r="H147" s="5" t="s">
        <v>648</v>
      </c>
      <c r="I147" s="6" t="str">
        <f aca="false">CONCATENATE(A147,",",D147)</f>
        <v>ME 478,ED4-ME</v>
      </c>
      <c r="J147" s="12"/>
    </row>
    <row r="148" customFormat="false" ht="15" hidden="false" customHeight="true" outlineLevel="0" collapsed="false">
      <c r="A148" s="70" t="s">
        <v>190</v>
      </c>
      <c r="B148" s="71" t="str">
        <v>ENGINEERING GRAPHICS</v>
      </c>
      <c r="C148" s="71" t="str">
        <v>Sackey Michael Nii</v>
      </c>
      <c r="D148" s="70" t="s">
        <v>191</v>
      </c>
      <c r="E148" s="72" t="n">
        <v>70</v>
      </c>
      <c r="F148" s="75" t="s">
        <v>529</v>
      </c>
      <c r="G148" s="73" t="n">
        <f aca="false">E148*1.1</f>
        <v>77</v>
      </c>
      <c r="H148" s="5" t="s">
        <v>649</v>
      </c>
      <c r="I148" s="6" t="str">
        <f aca="false">CONCATENATE(A148,",",D148)</f>
        <v>ME 158,ED1-AERO</v>
      </c>
      <c r="J148" s="12"/>
    </row>
    <row r="149" customFormat="false" ht="15" hidden="false" customHeight="false" outlineLevel="0" collapsed="false">
      <c r="A149" s="70" t="s">
        <v>216</v>
      </c>
      <c r="B149" s="71" t="str">
        <v>SYSTEMS INTEGRATION</v>
      </c>
      <c r="C149" s="74" t="str">
        <v>Tay Godwin Fabiola Kwaku</v>
      </c>
      <c r="D149" s="70" t="s">
        <v>124</v>
      </c>
      <c r="E149" s="72" t="n">
        <v>69</v>
      </c>
      <c r="F149" s="75" t="s">
        <v>545</v>
      </c>
      <c r="G149" s="73" t="n">
        <f aca="false">E149*1.1</f>
        <v>75.9</v>
      </c>
      <c r="H149" s="5" t="n">
        <v>69</v>
      </c>
      <c r="I149" s="6" t="str">
        <f aca="false">CONCATENATE(A149,",",D149)</f>
        <v>IE 456,ED4-IND</v>
      </c>
      <c r="J149" s="12"/>
    </row>
    <row r="150" s="1" customFormat="true" ht="15" hidden="false" customHeight="false" outlineLevel="0" collapsed="false">
      <c r="A150" s="70" t="s">
        <v>98</v>
      </c>
      <c r="B150" s="71" t="str">
        <v>APPLIED METEOROLOGY</v>
      </c>
      <c r="C150" s="74" t="str">
        <v>Prince Junior Asilevi</v>
      </c>
      <c r="D150" s="70" t="s">
        <v>99</v>
      </c>
      <c r="E150" s="72" t="n">
        <v>61</v>
      </c>
      <c r="F150" s="75" t="s">
        <v>650</v>
      </c>
      <c r="G150" s="73" t="n">
        <f aca="false">E150*1.1</f>
        <v>67.1</v>
      </c>
      <c r="H150" s="5" t="s">
        <v>651</v>
      </c>
      <c r="I150" s="29" t="str">
        <f aca="false">CONCATENATE(A150,",",D150)</f>
        <v>AERO 456,ED4-AERO</v>
      </c>
      <c r="J150" s="31"/>
      <c r="K150" s="32"/>
      <c r="L150" s="32"/>
      <c r="M150" s="32"/>
    </row>
    <row r="151" customFormat="false" ht="15" hidden="false" customHeight="true" outlineLevel="0" collapsed="false">
      <c r="A151" s="70" t="s">
        <v>193</v>
      </c>
      <c r="B151" s="71" t="str">
        <v>DATABASE SYSTEMS</v>
      </c>
      <c r="C151" s="71" t="str">
        <v>Ayer John Wise Divine</v>
      </c>
      <c r="D151" s="70" t="s">
        <v>194</v>
      </c>
      <c r="E151" s="72" t="n">
        <v>93</v>
      </c>
      <c r="F151" s="75" t="s">
        <v>652</v>
      </c>
      <c r="G151" s="73" t="n">
        <f aca="false">E151*1.1</f>
        <v>102.3</v>
      </c>
      <c r="H151" s="5" t="s">
        <v>653</v>
      </c>
      <c r="I151" s="6" t="str">
        <f aca="false">CONCATENATE(A151,",",D151)</f>
        <v>GE 464,ED4-GEOM</v>
      </c>
      <c r="J151" s="12"/>
    </row>
    <row r="152" customFormat="false" ht="15" hidden="false" customHeight="false" outlineLevel="0" collapsed="false">
      <c r="A152" s="76"/>
      <c r="B152" s="76"/>
      <c r="C152" s="67"/>
      <c r="D152" s="71" t="s">
        <v>195</v>
      </c>
      <c r="E152" s="77" t="n">
        <f aca="false">SUM(E141:E151)</f>
        <v>1175</v>
      </c>
      <c r="F152" s="78"/>
      <c r="G152" s="79"/>
      <c r="I152" s="9" t="s">
        <v>196</v>
      </c>
      <c r="J152" s="12"/>
    </row>
    <row r="153" customFormat="false" ht="15" hidden="false" customHeight="false" outlineLevel="0" collapsed="false">
      <c r="A153" s="65" t="s">
        <v>180</v>
      </c>
      <c r="B153" s="65"/>
      <c r="C153" s="65"/>
      <c r="D153" s="65"/>
      <c r="E153" s="65"/>
      <c r="F153" s="65"/>
      <c r="G153" s="65"/>
      <c r="I153" s="9" t="str">
        <f aca="false">A153</f>
        <v>Thursday, 20 August 2026</v>
      </c>
      <c r="J153" s="12"/>
    </row>
    <row r="154" customFormat="false" ht="15" hidden="false" customHeight="false" outlineLevel="0" collapsed="false">
      <c r="A154" s="65" t="s">
        <v>29</v>
      </c>
      <c r="B154" s="65"/>
      <c r="C154" s="65"/>
      <c r="D154" s="65"/>
      <c r="E154" s="65"/>
      <c r="F154" s="65"/>
      <c r="G154" s="65"/>
      <c r="I154" s="9" t="str">
        <f aca="false">A154</f>
        <v>Session, 2 (12:00 PM - 2:00 PM)</v>
      </c>
      <c r="J154" s="12"/>
    </row>
    <row r="155" customFormat="false" ht="15" hidden="false" customHeight="false" outlineLevel="0" collapsed="false">
      <c r="A155" s="66" t="s">
        <v>4</v>
      </c>
      <c r="B155" s="66" t="s">
        <v>5</v>
      </c>
      <c r="C155" s="67" t="s">
        <v>6</v>
      </c>
      <c r="D155" s="66" t="s">
        <v>7</v>
      </c>
      <c r="E155" s="68" t="s">
        <v>8</v>
      </c>
      <c r="F155" s="67" t="s">
        <v>9</v>
      </c>
      <c r="G155" s="69" t="s">
        <v>10</v>
      </c>
      <c r="I155" s="9" t="s">
        <v>31</v>
      </c>
      <c r="J155" s="12"/>
    </row>
    <row r="156" customFormat="false" ht="15" hidden="false" customHeight="false" outlineLevel="0" collapsed="false">
      <c r="A156" s="70" t="s">
        <v>182</v>
      </c>
      <c r="B156" s="74" t="str">
        <f aca="false" t="array" ref="B156:B164">IFERROR(VLOOKUP(I156:I164,Lectures_1!A2:F534,2,FALSE()),0)</f>
        <v>CIVIL ENGINEERING DRAWING</v>
      </c>
      <c r="C156" s="74" t="str">
        <f aca="false" t="array" ref="C156:C164">IFERROR(VLOOKUP(I156:I164,Lectures_1!A2:F534,3,FALSE()),0)</f>
        <v>Osei Jack Banahene</v>
      </c>
      <c r="D156" s="70" t="s">
        <v>75</v>
      </c>
      <c r="E156" s="72" t="n">
        <f aca="false" t="array" ref="E156:E164">IFERROR(VLOOKUP(I156:I164,Lectures_1!A2:F534,4,FALSE()),0)</f>
        <v>245</v>
      </c>
      <c r="F156" s="71" t="s">
        <v>34</v>
      </c>
      <c r="G156" s="73" t="n">
        <f aca="false">E156*1.1</f>
        <v>269.5</v>
      </c>
      <c r="H156" s="27"/>
      <c r="I156" s="6" t="str">
        <f aca="false">CONCATENATE(A156,",",D156)</f>
        <v>CE 164,ED1-CE</v>
      </c>
      <c r="J156" s="12"/>
    </row>
    <row r="157" customFormat="false" ht="15" hidden="false" customHeight="false" outlineLevel="0" collapsed="false">
      <c r="A157" s="70" t="s">
        <v>197</v>
      </c>
      <c r="B157" s="71" t="str">
        <v>INTRODUCTION TO SOCIOLOGY II</v>
      </c>
      <c r="C157" s="74" t="str">
        <v>Jones Opoku-Ware</v>
      </c>
      <c r="D157" s="70" t="s">
        <v>130</v>
      </c>
      <c r="E157" s="72" t="n">
        <v>136</v>
      </c>
      <c r="F157" s="70" t="s">
        <v>585</v>
      </c>
      <c r="G157" s="73" t="n">
        <f aca="false">E157*1.1</f>
        <v>149.6</v>
      </c>
      <c r="H157" s="5" t="s">
        <v>596</v>
      </c>
      <c r="I157" s="6" t="str">
        <f aca="false">CONCATENATE(A157,",",D157)</f>
        <v>SOC 152,ED1-BME</v>
      </c>
      <c r="J157" s="12"/>
    </row>
    <row r="158" customFormat="false" ht="15" hidden="false" customHeight="false" outlineLevel="0" collapsed="false">
      <c r="A158" s="70" t="s">
        <v>198</v>
      </c>
      <c r="B158" s="71" t="str">
        <v>DATABASE AND INFORMATION RETRIEVAL</v>
      </c>
      <c r="C158" s="71" t="str">
        <v>Keelson Eliel</v>
      </c>
      <c r="D158" s="70" t="s">
        <v>16</v>
      </c>
      <c r="E158" s="72" t="n">
        <v>265</v>
      </c>
      <c r="F158" s="71" t="s">
        <v>533</v>
      </c>
      <c r="G158" s="73" t="n">
        <f aca="false">E158*1.1</f>
        <v>291.5</v>
      </c>
      <c r="H158" s="5" t="s">
        <v>654</v>
      </c>
      <c r="I158" s="6" t="str">
        <f aca="false">CONCATENATE(A158,",",D158)</f>
        <v>COE 368,ED3-COE</v>
      </c>
      <c r="J158" s="12"/>
    </row>
    <row r="159" customFormat="false" ht="15" hidden="false" customHeight="false" outlineLevel="0" collapsed="false">
      <c r="A159" s="70" t="s">
        <v>199</v>
      </c>
      <c r="B159" s="74" t="str">
        <v>MATERIALS SCIENCE</v>
      </c>
      <c r="C159" s="74" t="str">
        <v>Patrick Boakye</v>
      </c>
      <c r="D159" s="70" t="s">
        <v>73</v>
      </c>
      <c r="E159" s="72" t="n">
        <v>105</v>
      </c>
      <c r="F159" s="75" t="s">
        <v>655</v>
      </c>
      <c r="G159" s="73" t="n">
        <f aca="false">E159*1.1</f>
        <v>115.5</v>
      </c>
      <c r="H159" s="5" t="s">
        <v>656</v>
      </c>
      <c r="I159" s="6" t="str">
        <f aca="false">CONCATENATE(A159,",",D159)</f>
        <v>CHE 350,ED3-CHE</v>
      </c>
      <c r="J159" s="12"/>
    </row>
    <row r="160" customFormat="false" ht="15" hidden="false" customHeight="false" outlineLevel="0" collapsed="false">
      <c r="A160" s="70" t="s">
        <v>199</v>
      </c>
      <c r="B160" s="74" t="str">
        <v>MATERIALS SCIENCE</v>
      </c>
      <c r="C160" s="74" t="str">
        <v>Anang Daniel Adjah</v>
      </c>
      <c r="D160" s="70" t="s">
        <v>63</v>
      </c>
      <c r="E160" s="72" t="n">
        <v>53</v>
      </c>
      <c r="F160" s="75" t="s">
        <v>535</v>
      </c>
      <c r="G160" s="73" t="n">
        <f aca="false">E160*1.1</f>
        <v>58.3</v>
      </c>
      <c r="H160" s="5" t="s">
        <v>657</v>
      </c>
      <c r="I160" s="6" t="str">
        <f aca="false">CONCATENATE(A160,",",D160)</f>
        <v>CHE 350,ED3-PCE</v>
      </c>
      <c r="J160" s="12"/>
    </row>
    <row r="161" customFormat="false" ht="15" hidden="false" customHeight="false" outlineLevel="0" collapsed="false">
      <c r="A161" s="70" t="s">
        <v>200</v>
      </c>
      <c r="B161" s="71" t="str">
        <v>INTRODUCTION TO PSYCHOLOGY</v>
      </c>
      <c r="C161" s="74" t="str">
        <v>Sarfo Fordjour Elizabeth Anokyewaa</v>
      </c>
      <c r="D161" s="70" t="s">
        <v>91</v>
      </c>
      <c r="E161" s="72" t="n">
        <v>130</v>
      </c>
      <c r="F161" s="75" t="s">
        <v>552</v>
      </c>
      <c r="G161" s="73" t="n">
        <f aca="false">E161*1.1</f>
        <v>143</v>
      </c>
      <c r="H161" s="5" t="s">
        <v>658</v>
      </c>
      <c r="I161" s="6" t="str">
        <f aca="false">CONCATENATE(A161,",",D161)</f>
        <v>PSYC 154,ED1-TEL</v>
      </c>
      <c r="J161" s="12"/>
    </row>
    <row r="162" customFormat="false" ht="15" hidden="false" customHeight="false" outlineLevel="0" collapsed="false">
      <c r="A162" s="70" t="s">
        <v>201</v>
      </c>
      <c r="B162" s="71" t="str">
        <v>REPRODUCTION CARTOGRAPHY</v>
      </c>
      <c r="C162" s="74" t="str">
        <v>Quaye-Ballard Jonathan Arthur</v>
      </c>
      <c r="D162" s="70" t="s">
        <v>95</v>
      </c>
      <c r="E162" s="72" t="n">
        <v>103</v>
      </c>
      <c r="F162" s="75" t="s">
        <v>659</v>
      </c>
      <c r="G162" s="73" t="n">
        <f aca="false">E162*1.1</f>
        <v>113.3</v>
      </c>
      <c r="H162" s="5" t="s">
        <v>660</v>
      </c>
      <c r="I162" s="6" t="str">
        <f aca="false">CONCATENATE(A162,",",D162)</f>
        <v>GE 152,ED1-GEOM</v>
      </c>
      <c r="J162" s="12"/>
    </row>
    <row r="163" customFormat="false" ht="15" hidden="false" customHeight="false" outlineLevel="0" collapsed="false">
      <c r="A163" s="70" t="s">
        <v>202</v>
      </c>
      <c r="B163" s="71" t="str">
        <v>CIRCUIT THEORY</v>
      </c>
      <c r="C163" s="74" t="str">
        <v>Yeboah-Akowuah Bright</v>
      </c>
      <c r="D163" s="70" t="s">
        <v>109</v>
      </c>
      <c r="E163" s="72" t="n">
        <v>80</v>
      </c>
      <c r="F163" s="75" t="s">
        <v>574</v>
      </c>
      <c r="G163" s="73" t="n">
        <f aca="false">E163*1.1</f>
        <v>88</v>
      </c>
      <c r="H163" s="5" t="s">
        <v>661</v>
      </c>
      <c r="I163" s="6" t="str">
        <f aca="false">CONCATENATE(A163,",",D163)</f>
        <v>COE 288,ED2-BME</v>
      </c>
      <c r="J163" s="12"/>
    </row>
    <row r="164" customFormat="false" ht="15" hidden="false" customHeight="false" outlineLevel="0" collapsed="false">
      <c r="A164" s="70" t="s">
        <v>202</v>
      </c>
      <c r="B164" s="71" t="str">
        <v>CIRCUIT THEORY</v>
      </c>
      <c r="C164" s="74" t="str">
        <v>Yeboah-Akowuah Bright</v>
      </c>
      <c r="D164" s="70" t="s">
        <v>108</v>
      </c>
      <c r="E164" s="72" t="n">
        <v>255</v>
      </c>
      <c r="F164" s="75" t="s">
        <v>531</v>
      </c>
      <c r="G164" s="73" t="n">
        <f aca="false">E164*1.1</f>
        <v>280.5</v>
      </c>
      <c r="H164" s="5" t="s">
        <v>662</v>
      </c>
      <c r="I164" s="6" t="str">
        <f aca="false">CONCATENATE(A164,",",D164)</f>
        <v>COE 288,ED2-COE</v>
      </c>
      <c r="J164" s="12"/>
    </row>
    <row r="165" customFormat="false" ht="15" hidden="false" customHeight="false" outlineLevel="0" collapsed="false">
      <c r="A165" s="76"/>
      <c r="B165" s="76"/>
      <c r="C165" s="67"/>
      <c r="D165" s="71" t="s">
        <v>203</v>
      </c>
      <c r="E165" s="77" t="n">
        <f aca="false">SUM(E157:E164)</f>
        <v>1127</v>
      </c>
      <c r="F165" s="78"/>
      <c r="G165" s="79"/>
      <c r="I165" s="9" t="s">
        <v>204</v>
      </c>
      <c r="J165" s="12"/>
    </row>
    <row r="166" customFormat="false" ht="15" hidden="false" customHeight="false" outlineLevel="0" collapsed="false">
      <c r="A166" s="65" t="s">
        <v>180</v>
      </c>
      <c r="B166" s="65"/>
      <c r="C166" s="65"/>
      <c r="D166" s="65"/>
      <c r="E166" s="65"/>
      <c r="F166" s="65"/>
      <c r="G166" s="65"/>
      <c r="I166" s="9" t="str">
        <f aca="false">A166</f>
        <v>Thursday, 20 August 2026</v>
      </c>
      <c r="J166" s="12"/>
    </row>
    <row r="167" customFormat="false" ht="15" hidden="false" customHeight="false" outlineLevel="0" collapsed="false">
      <c r="A167" s="65" t="s">
        <v>59</v>
      </c>
      <c r="B167" s="65"/>
      <c r="C167" s="65"/>
      <c r="D167" s="65"/>
      <c r="E167" s="65"/>
      <c r="F167" s="65"/>
      <c r="G167" s="65"/>
      <c r="I167" s="9" t="str">
        <f aca="false">A167</f>
        <v>Session, 3 (3:00 PM - 5:00 PM)</v>
      </c>
      <c r="J167" s="12"/>
    </row>
    <row r="168" customFormat="false" ht="15" hidden="false" customHeight="false" outlineLevel="0" collapsed="false">
      <c r="A168" s="66" t="s">
        <v>4</v>
      </c>
      <c r="B168" s="66" t="s">
        <v>5</v>
      </c>
      <c r="C168" s="67" t="s">
        <v>6</v>
      </c>
      <c r="D168" s="66" t="s">
        <v>7</v>
      </c>
      <c r="E168" s="68" t="s">
        <v>8</v>
      </c>
      <c r="F168" s="67" t="s">
        <v>9</v>
      </c>
      <c r="G168" s="69" t="s">
        <v>10</v>
      </c>
      <c r="I168" s="9" t="s">
        <v>31</v>
      </c>
      <c r="J168" s="12"/>
    </row>
    <row r="169" customFormat="false" ht="15" hidden="false" customHeight="false" outlineLevel="0" collapsed="false">
      <c r="A169" s="70" t="s">
        <v>205</v>
      </c>
      <c r="B169" s="74" t="str">
        <f aca="false" t="array" ref="B169:B180">IFERROR(VLOOKUP(I169:I180,Lectures_1!A2:F534,2,FALSE()),0)</f>
        <v>FINITE ELEMENT ANALYSIS</v>
      </c>
      <c r="C169" s="74" t="str">
        <f aca="false" t="array" ref="C169:C180">IFERROR(VLOOKUP(I169:I180,Lectures_1!A2:F534,3,FALSE()),0)</f>
        <v>Jones Owusu Twumasi</v>
      </c>
      <c r="D169" s="70" t="s">
        <v>103</v>
      </c>
      <c r="E169" s="72" t="n">
        <f aca="false" t="array" ref="E169:E180">IFERROR(VLOOKUP(I169:I180,Lectures_1!A2:F534,4,FALSE()),0)</f>
        <v>18</v>
      </c>
      <c r="F169" s="71" t="s">
        <v>663</v>
      </c>
      <c r="G169" s="73" t="n">
        <f aca="false">E169*1.1</f>
        <v>19.8</v>
      </c>
      <c r="H169" s="27" t="n">
        <v>18</v>
      </c>
      <c r="I169" s="6" t="str">
        <f aca="false">CONCATENATE(A169,",",D169)</f>
        <v>CE 480,ED4-CE</v>
      </c>
      <c r="J169" s="12"/>
    </row>
    <row r="170" customFormat="false" ht="17.9" hidden="false" customHeight="false" outlineLevel="0" collapsed="false">
      <c r="A170" s="70" t="s">
        <v>206</v>
      </c>
      <c r="B170" s="74" t="str">
        <v>OILFIELD GEOLCHEMISTRY</v>
      </c>
      <c r="C170" s="74" t="str">
        <v>Adenutsi Caspar Daniel</v>
      </c>
      <c r="D170" s="70" t="s">
        <v>46</v>
      </c>
      <c r="E170" s="72" t="n">
        <v>99</v>
      </c>
      <c r="F170" s="87" t="s">
        <v>655</v>
      </c>
      <c r="G170" s="73" t="n">
        <f aca="false">E170*1.1</f>
        <v>108.9</v>
      </c>
      <c r="H170" s="5" t="s">
        <v>664</v>
      </c>
      <c r="I170" s="6" t="str">
        <f aca="false">CONCATENATE(A170,",",D170)</f>
        <v>PE 458,ED4-PE</v>
      </c>
      <c r="J170" s="12"/>
    </row>
    <row r="171" customFormat="false" ht="15" hidden="false" customHeight="false" outlineLevel="0" collapsed="false">
      <c r="A171" s="70" t="s">
        <v>321</v>
      </c>
      <c r="B171" s="74" t="str">
        <v>MATERIALS JOINING PROCESSES</v>
      </c>
      <c r="C171" s="74" t="str">
        <v>Kwofie Samuel</v>
      </c>
      <c r="D171" s="70" t="s">
        <v>140</v>
      </c>
      <c r="E171" s="72" t="n">
        <v>85</v>
      </c>
      <c r="F171" s="75" t="s">
        <v>665</v>
      </c>
      <c r="G171" s="73" t="n">
        <f aca="false">E171*1.1</f>
        <v>93.5</v>
      </c>
      <c r="H171" s="5" t="s">
        <v>666</v>
      </c>
      <c r="I171" s="6" t="str">
        <f aca="false">CONCATENATE(A171,",",D171)</f>
        <v>MSE 362,ED3-MSE</v>
      </c>
      <c r="J171" s="12"/>
    </row>
    <row r="172" customFormat="false" ht="15" hidden="false" customHeight="false" outlineLevel="0" collapsed="false">
      <c r="A172" s="70" t="s">
        <v>321</v>
      </c>
      <c r="B172" s="71" t="str">
        <v>MATERIALS JOINING PROCESSES</v>
      </c>
      <c r="C172" s="71" t="str">
        <v>Kwofie Samuel</v>
      </c>
      <c r="D172" s="70" t="s">
        <v>142</v>
      </c>
      <c r="E172" s="72" t="n">
        <v>87</v>
      </c>
      <c r="F172" s="75" t="s">
        <v>667</v>
      </c>
      <c r="G172" s="73" t="n">
        <f aca="false">E172*1.1</f>
        <v>95.7</v>
      </c>
      <c r="H172" s="5" t="s">
        <v>668</v>
      </c>
      <c r="I172" s="6" t="str">
        <f aca="false">CONCATENATE(A172,",",D172)</f>
        <v>MSE 362,ED3-METE</v>
      </c>
      <c r="J172" s="12"/>
    </row>
    <row r="173" customFormat="false" ht="15" hidden="false" customHeight="false" outlineLevel="0" collapsed="false">
      <c r="A173" s="70" t="s">
        <v>209</v>
      </c>
      <c r="B173" s="71" t="str">
        <v>STRESS AND STRAIN ANALYSIS OF RIGID BODIES</v>
      </c>
      <c r="C173" s="74" t="str">
        <v>Mensah-Darkwa Kwadwo</v>
      </c>
      <c r="D173" s="70" t="s">
        <v>101</v>
      </c>
      <c r="E173" s="72" t="n">
        <v>57</v>
      </c>
      <c r="F173" s="75" t="s">
        <v>574</v>
      </c>
      <c r="G173" s="73" t="n">
        <f aca="false">E173*1.1</f>
        <v>62.7</v>
      </c>
      <c r="H173" s="5" t="s">
        <v>669</v>
      </c>
      <c r="I173" s="6" t="str">
        <f aca="false">CONCATENATE(A173,",",D173)</f>
        <v>MSE 262,ED2-METE</v>
      </c>
      <c r="J173" s="12"/>
    </row>
    <row r="174" customFormat="false" ht="17.9" hidden="false" customHeight="false" outlineLevel="0" collapsed="false">
      <c r="A174" s="70" t="s">
        <v>209</v>
      </c>
      <c r="B174" s="71" t="str">
        <v>STRESS AND STRAIN ANALYSIS OF RIGID BODIES</v>
      </c>
      <c r="C174" s="74" t="str">
        <v>Mensah-Darkwa Kwadwo</v>
      </c>
      <c r="D174" s="70" t="s">
        <v>210</v>
      </c>
      <c r="E174" s="72" t="n">
        <v>83</v>
      </c>
      <c r="F174" s="88" t="s">
        <v>571</v>
      </c>
      <c r="G174" s="73" t="n">
        <f aca="false">E174*1.1</f>
        <v>91.3</v>
      </c>
      <c r="H174" s="5" t="s">
        <v>670</v>
      </c>
      <c r="I174" s="6" t="str">
        <f aca="false">CONCATENATE(A174,",",D174)</f>
        <v>MSE 262,ED2-MSE</v>
      </c>
      <c r="J174" s="12"/>
    </row>
    <row r="175" customFormat="false" ht="17.9" hidden="false" customHeight="false" outlineLevel="0" collapsed="false">
      <c r="A175" s="70" t="s">
        <v>211</v>
      </c>
      <c r="B175" s="71" t="str">
        <v>HEALTH SAFETY AND ENVIRONMENT</v>
      </c>
      <c r="C175" s="74" t="str">
        <v>Adjei Stephen</v>
      </c>
      <c r="D175" s="70" t="s">
        <v>18</v>
      </c>
      <c r="E175" s="72" t="n">
        <v>80</v>
      </c>
      <c r="F175" s="89" t="s">
        <v>545</v>
      </c>
      <c r="G175" s="73" t="n">
        <f aca="false">E175*1.1</f>
        <v>88</v>
      </c>
      <c r="H175" s="5" t="n">
        <v>80</v>
      </c>
      <c r="I175" s="6" t="str">
        <f aca="false">CONCATENATE(A175,",",D175)</f>
        <v>PE 366,ED3-PE</v>
      </c>
      <c r="J175" s="12"/>
    </row>
    <row r="176" customFormat="false" ht="17.9" hidden="false" customHeight="false" outlineLevel="0" collapsed="false">
      <c r="A176" s="70" t="s">
        <v>212</v>
      </c>
      <c r="B176" s="71" t="str">
        <v>HEAT TRANSPORT PROCESSES</v>
      </c>
      <c r="C176" s="74" t="str">
        <v>Adjei Stephen</v>
      </c>
      <c r="D176" s="70" t="s">
        <v>93</v>
      </c>
      <c r="E176" s="72" t="n">
        <v>95</v>
      </c>
      <c r="F176" s="89" t="s">
        <v>546</v>
      </c>
      <c r="G176" s="73" t="n">
        <f aca="false">E176*1.1</f>
        <v>104.5</v>
      </c>
      <c r="H176" s="5" t="n">
        <v>95</v>
      </c>
      <c r="I176" s="6" t="str">
        <f aca="false">CONCATENATE(A176,",",D176)</f>
        <v>PE 252,ED2-PE</v>
      </c>
      <c r="J176" s="12"/>
    </row>
    <row r="177" customFormat="false" ht="15" hidden="false" customHeight="false" outlineLevel="0" collapsed="false">
      <c r="A177" s="70" t="s">
        <v>226</v>
      </c>
      <c r="B177" s="71" t="str">
        <v>RADAR COMMUNICATIONS</v>
      </c>
      <c r="C177" s="74" t="str">
        <v>ELLis Sani Mubarak</v>
      </c>
      <c r="D177" s="70" t="s">
        <v>227</v>
      </c>
      <c r="E177" s="72" t="n">
        <v>105</v>
      </c>
      <c r="F177" s="75" t="s">
        <v>652</v>
      </c>
      <c r="G177" s="73" t="n">
        <f aca="false">E177*1.1</f>
        <v>115.5</v>
      </c>
      <c r="H177" s="5" t="s">
        <v>656</v>
      </c>
      <c r="I177" s="6" t="str">
        <f aca="false">CONCATENATE(A177,",",D177)</f>
        <v>TE 464,ED4-TEL</v>
      </c>
      <c r="J177" s="12"/>
    </row>
    <row r="178" customFormat="false" ht="15" hidden="false" customHeight="false" outlineLevel="0" collapsed="false">
      <c r="A178" s="70" t="s">
        <v>213</v>
      </c>
      <c r="B178" s="71" t="str">
        <v>SOIL AND WATER ENGINEERING II</v>
      </c>
      <c r="C178" s="74" t="str">
        <v>Agyare Wilson Agyei</v>
      </c>
      <c r="D178" s="70" t="s">
        <v>50</v>
      </c>
      <c r="E178" s="72" t="n">
        <v>103</v>
      </c>
      <c r="F178" s="75" t="s">
        <v>582</v>
      </c>
      <c r="G178" s="73" t="n">
        <f aca="false">E178*1.1</f>
        <v>113.3</v>
      </c>
      <c r="H178" s="5" t="s">
        <v>660</v>
      </c>
      <c r="I178" s="29" t="str">
        <f aca="false">CONCATENATE(A178,",",D178)</f>
        <v>AE 452,ED4-AE</v>
      </c>
      <c r="J178" s="31"/>
      <c r="K178" s="32"/>
      <c r="L178" s="32"/>
      <c r="M178" s="32"/>
    </row>
    <row r="179" customFormat="false" ht="15" hidden="false" customHeight="false" outlineLevel="0" collapsed="false">
      <c r="A179" s="70" t="s">
        <v>280</v>
      </c>
      <c r="B179" s="74" t="str">
        <v>PULP AND PAPER TECHNOLOGY</v>
      </c>
      <c r="C179" s="71" t="str">
        <v>Rockson Mizpah Ama Dziedzorm</v>
      </c>
      <c r="D179" s="70" t="s">
        <v>48</v>
      </c>
      <c r="E179" s="72" t="n">
        <v>70</v>
      </c>
      <c r="F179" s="75" t="s">
        <v>574</v>
      </c>
      <c r="G179" s="73" t="n">
        <f aca="false">E179*1.1</f>
        <v>77</v>
      </c>
      <c r="H179" s="5" t="s">
        <v>671</v>
      </c>
      <c r="I179" s="6" t="str">
        <f aca="false">CONCATENATE(A179,",",D179)</f>
        <v>CHE 466,ED4-CHE</v>
      </c>
      <c r="J179" s="12"/>
    </row>
    <row r="180" customFormat="false" ht="15" hidden="false" customHeight="false" outlineLevel="0" collapsed="false">
      <c r="A180" s="70" t="s">
        <v>215</v>
      </c>
      <c r="B180" s="71" t="str">
        <v>STRUCTURAL ANALYSIS</v>
      </c>
      <c r="C180" s="74" t="str">
        <v>Kankam Charles Kwame</v>
      </c>
      <c r="D180" s="70" t="s">
        <v>56</v>
      </c>
      <c r="E180" s="72" t="n">
        <v>250</v>
      </c>
      <c r="F180" s="75" t="s">
        <v>556</v>
      </c>
      <c r="G180" s="73" t="n">
        <f aca="false">E180*1.1</f>
        <v>275</v>
      </c>
      <c r="H180" s="5" t="s">
        <v>672</v>
      </c>
      <c r="I180" s="6" t="str">
        <f aca="false">CONCATENATE(A180,",",D180)</f>
        <v>CE 258,ED2-CE</v>
      </c>
      <c r="J180" s="12"/>
    </row>
    <row r="181" customFormat="false" ht="15" hidden="false" customHeight="false" outlineLevel="0" collapsed="false">
      <c r="A181" s="76"/>
      <c r="B181" s="76"/>
      <c r="C181" s="67"/>
      <c r="D181" s="71" t="s">
        <v>203</v>
      </c>
      <c r="E181" s="77" t="n">
        <f aca="false">SUM(E169:E180)</f>
        <v>1132</v>
      </c>
      <c r="F181" s="78"/>
      <c r="G181" s="79"/>
      <c r="I181" s="9" t="s">
        <v>204</v>
      </c>
      <c r="J181" s="12"/>
    </row>
    <row r="182" customFormat="false" ht="15" hidden="false" customHeight="false" outlineLevel="0" collapsed="false">
      <c r="A182" s="65" t="s">
        <v>217</v>
      </c>
      <c r="B182" s="65"/>
      <c r="C182" s="65"/>
      <c r="D182" s="65"/>
      <c r="E182" s="65"/>
      <c r="F182" s="65"/>
      <c r="G182" s="65"/>
      <c r="I182" s="9" t="str">
        <f aca="false">A182</f>
        <v>Friday, 21 August 2026</v>
      </c>
      <c r="J182" s="12"/>
    </row>
    <row r="183" customFormat="false" ht="15" hidden="false" customHeight="false" outlineLevel="0" collapsed="false">
      <c r="A183" s="65" t="s">
        <v>2</v>
      </c>
      <c r="B183" s="65"/>
      <c r="C183" s="65"/>
      <c r="D183" s="65"/>
      <c r="E183" s="65"/>
      <c r="F183" s="65"/>
      <c r="G183" s="65"/>
      <c r="I183" s="9" t="str">
        <f aca="false">A183</f>
        <v>Session, 1 (8:30 AM - 10:30 AM)</v>
      </c>
      <c r="J183" s="12"/>
    </row>
    <row r="184" customFormat="false" ht="15" hidden="false" customHeight="false" outlineLevel="0" collapsed="false">
      <c r="A184" s="66" t="s">
        <v>4</v>
      </c>
      <c r="B184" s="66" t="s">
        <v>5</v>
      </c>
      <c r="C184" s="67" t="s">
        <v>6</v>
      </c>
      <c r="D184" s="66" t="s">
        <v>7</v>
      </c>
      <c r="E184" s="68" t="s">
        <v>8</v>
      </c>
      <c r="F184" s="67" t="s">
        <v>9</v>
      </c>
      <c r="G184" s="69" t="s">
        <v>10</v>
      </c>
      <c r="H184" s="41"/>
      <c r="I184" s="9" t="s">
        <v>31</v>
      </c>
      <c r="J184" s="12"/>
    </row>
    <row r="185" customFormat="false" ht="15" hidden="false" customHeight="false" outlineLevel="0" collapsed="false">
      <c r="A185" s="70" t="s">
        <v>219</v>
      </c>
      <c r="B185" s="74" t="str">
        <f aca="false" t="array" ref="B185:B197">IFERROR(VLOOKUP(I185:I197,Lectures_1!A2:F534,2,FALSE()),0)</f>
        <v>ENGINEERING SURVEY II</v>
      </c>
      <c r="C185" s="71" t="str">
        <f aca="false" t="array" ref="C185:C197">IFERROR(VLOOKUP(I185:I197,Lectures_1!A2:F534,3,FALSE()),0)</f>
        <v>Arko-Adjei Anthony</v>
      </c>
      <c r="D185" s="70" t="s">
        <v>170</v>
      </c>
      <c r="E185" s="72" t="n">
        <f aca="false" t="array" ref="E185:E197">IFERROR(VLOOKUP(I185:I197,Lectures_1!A2:F534,4,FALSE()),0)</f>
        <v>132</v>
      </c>
      <c r="F185" s="75" t="s">
        <v>652</v>
      </c>
      <c r="G185" s="73" t="n">
        <f aca="false">E185*1.1</f>
        <v>145.2</v>
      </c>
      <c r="H185" s="5" t="s">
        <v>635</v>
      </c>
      <c r="I185" s="6" t="str">
        <f aca="false">CONCATENATE(A185,",",D185)</f>
        <v>GE 272,ED2-GEOM</v>
      </c>
      <c r="J185" s="12"/>
    </row>
    <row r="186" customFormat="false" ht="15" hidden="false" customHeight="false" outlineLevel="0" collapsed="false">
      <c r="A186" s="70" t="s">
        <v>220</v>
      </c>
      <c r="B186" s="71" t="str">
        <v>RURAL ENGINEERING</v>
      </c>
      <c r="C186" s="74" t="str">
        <v>Mensah Ebenezer</v>
      </c>
      <c r="D186" s="70" t="s">
        <v>88</v>
      </c>
      <c r="E186" s="72" t="n">
        <v>101</v>
      </c>
      <c r="F186" s="75" t="s">
        <v>673</v>
      </c>
      <c r="G186" s="73" t="n">
        <f aca="false">E186*1.1</f>
        <v>111.1</v>
      </c>
      <c r="H186" s="5" t="s">
        <v>674</v>
      </c>
      <c r="I186" s="6" t="str">
        <f aca="false">CONCATENATE(A186,",",D186)</f>
        <v>AE 360,ED3-AE</v>
      </c>
      <c r="J186" s="12"/>
    </row>
    <row r="187" customFormat="false" ht="15" hidden="false" customHeight="false" outlineLevel="0" collapsed="false">
      <c r="A187" s="70" t="s">
        <v>221</v>
      </c>
      <c r="B187" s="71" t="str">
        <v>SATELLITE SURVEYING</v>
      </c>
      <c r="C187" s="74" t="str">
        <v>Andam-Akorful Samuel Ato</v>
      </c>
      <c r="D187" s="70" t="s">
        <v>77</v>
      </c>
      <c r="E187" s="72" t="n">
        <v>122</v>
      </c>
      <c r="F187" s="75" t="s">
        <v>675</v>
      </c>
      <c r="G187" s="73" t="n">
        <f aca="false">E187*1.1</f>
        <v>134.2</v>
      </c>
      <c r="H187" s="5" t="s">
        <v>676</v>
      </c>
      <c r="I187" s="6" t="str">
        <f aca="false">CONCATENATE(A187,",",D187)</f>
        <v>GE 354,ED3-GEOM</v>
      </c>
      <c r="J187" s="12"/>
    </row>
    <row r="188" customFormat="false" ht="15" hidden="false" customHeight="false" outlineLevel="0" collapsed="false">
      <c r="A188" s="70" t="s">
        <v>222</v>
      </c>
      <c r="B188" s="71" t="str">
        <v>GIS APPLICATIONS</v>
      </c>
      <c r="C188" s="71" t="str">
        <v>Appiah-Adjei Emmanuel Kwame</v>
      </c>
      <c r="D188" s="70" t="s">
        <v>154</v>
      </c>
      <c r="E188" s="72" t="n">
        <v>154</v>
      </c>
      <c r="F188" s="75" t="s">
        <v>677</v>
      </c>
      <c r="G188" s="73" t="n">
        <f aca="false">E188*1.1</f>
        <v>169.4</v>
      </c>
      <c r="H188" s="5" t="s">
        <v>678</v>
      </c>
      <c r="I188" s="6" t="str">
        <f aca="false">CONCATENATE(A188,",",D188)</f>
        <v>GED 368,ED3-GEOL</v>
      </c>
      <c r="J188" s="12"/>
    </row>
    <row r="189" customFormat="false" ht="15" hidden="false" customHeight="false" outlineLevel="0" collapsed="false">
      <c r="A189" s="70" t="s">
        <v>223</v>
      </c>
      <c r="B189" s="71" t="str">
        <v>MATERIALS QUALITY CONTROL, ASSURRANCE AND SELECTION</v>
      </c>
      <c r="C189" s="71" t="str">
        <v>Arthur Emmanuel Kwesi</v>
      </c>
      <c r="D189" s="70" t="s">
        <v>136</v>
      </c>
      <c r="E189" s="72" t="n">
        <v>55</v>
      </c>
      <c r="F189" s="75" t="s">
        <v>539</v>
      </c>
      <c r="G189" s="73" t="n">
        <f aca="false">E189*1.1</f>
        <v>60.5</v>
      </c>
      <c r="H189" s="5" t="s">
        <v>679</v>
      </c>
      <c r="I189" s="6" t="str">
        <f aca="false">CONCATENATE(A189,",",D189)</f>
        <v>MSE 456,ED4-METE</v>
      </c>
      <c r="J189" s="12"/>
    </row>
    <row r="190" customFormat="false" ht="15" hidden="false" customHeight="false" outlineLevel="0" collapsed="false">
      <c r="A190" s="70" t="s">
        <v>223</v>
      </c>
      <c r="B190" s="74" t="str">
        <v>MATERIALS QUALITY CONTROL, ASSURRANCE AND SELECTION</v>
      </c>
      <c r="C190" s="74" t="str">
        <v>Arthur Emmanuel Kwesi</v>
      </c>
      <c r="D190" s="70" t="s">
        <v>135</v>
      </c>
      <c r="E190" s="72" t="n">
        <v>60</v>
      </c>
      <c r="F190" s="75" t="s">
        <v>579</v>
      </c>
      <c r="G190" s="73" t="n">
        <f aca="false">E190*1.1</f>
        <v>66</v>
      </c>
      <c r="H190" s="5" t="s">
        <v>680</v>
      </c>
      <c r="I190" s="6" t="str">
        <f aca="false">CONCATENATE(A190,",",D190)</f>
        <v>MSE 456,ED4-MSE</v>
      </c>
      <c r="J190" s="12"/>
    </row>
    <row r="191" customFormat="false" ht="15" hidden="false" customHeight="false" outlineLevel="0" collapsed="false">
      <c r="A191" s="70" t="s">
        <v>224</v>
      </c>
      <c r="B191" s="74" t="str">
        <v>STRATIGRAPHY</v>
      </c>
      <c r="C191" s="71" t="str">
        <v>Amedjoe Godfrey Chiri</v>
      </c>
      <c r="D191" s="70" t="s">
        <v>55</v>
      </c>
      <c r="E191" s="72" t="n">
        <v>150</v>
      </c>
      <c r="F191" s="75" t="s">
        <v>533</v>
      </c>
      <c r="G191" s="73" t="n">
        <f aca="false">E191*1.1</f>
        <v>165</v>
      </c>
      <c r="H191" s="41" t="s">
        <v>681</v>
      </c>
      <c r="I191" s="6" t="str">
        <f aca="false">CONCATENATE(A191,",",D191)</f>
        <v>GED 252,ED2-GEOL</v>
      </c>
      <c r="J191" s="12"/>
    </row>
    <row r="192" customFormat="false" ht="15" hidden="false" customHeight="false" outlineLevel="0" collapsed="false">
      <c r="A192" s="70" t="s">
        <v>225</v>
      </c>
      <c r="B192" s="71" t="str">
        <v>INDUSTRIAL ENGINEEGING LABORATORY II</v>
      </c>
      <c r="C192" s="71" t="str">
        <v>Fiagbe Yesuenyeagbe Atsu Kwabla</v>
      </c>
      <c r="D192" s="70" t="s">
        <v>38</v>
      </c>
      <c r="E192" s="72" t="n">
        <v>80</v>
      </c>
      <c r="F192" s="75" t="s">
        <v>574</v>
      </c>
      <c r="G192" s="73" t="n">
        <f aca="false">E192*1.1</f>
        <v>88</v>
      </c>
      <c r="H192" s="5" t="s">
        <v>661</v>
      </c>
      <c r="I192" s="6" t="str">
        <f aca="false">CONCATENATE(A192,",",D192)</f>
        <v>IE 296,ED2-IND</v>
      </c>
      <c r="J192" s="12"/>
    </row>
    <row r="193" customFormat="false" ht="15" hidden="false" customHeight="false" outlineLevel="0" collapsed="false">
      <c r="A193" s="70" t="s">
        <v>228</v>
      </c>
      <c r="B193" s="74" t="str">
        <v>SHIP SAFETY, ENVIRONMENTAL PROTECTION AND SAFE WATCH KEEPING</v>
      </c>
      <c r="C193" s="74" t="str">
        <v>Larkai Francis Laako</v>
      </c>
      <c r="D193" s="70" t="s">
        <v>69</v>
      </c>
      <c r="E193" s="72" t="n">
        <v>23</v>
      </c>
      <c r="F193" s="75" t="s">
        <v>616</v>
      </c>
      <c r="G193" s="73" t="n">
        <f aca="false">E193*1.1</f>
        <v>25.3</v>
      </c>
      <c r="H193" s="5" t="n">
        <v>23</v>
      </c>
      <c r="I193" s="6" t="str">
        <f aca="false">CONCATENATE(A193,",",D193)</f>
        <v>MME 486,ED4-MARI</v>
      </c>
      <c r="J193" s="12"/>
    </row>
    <row r="194" s="45" customFormat="true" ht="15" hidden="false" customHeight="false" outlineLevel="0" collapsed="false">
      <c r="A194" s="70" t="s">
        <v>330</v>
      </c>
      <c r="B194" s="74" t="str">
        <v>MEDICAL IMAGING I</v>
      </c>
      <c r="C194" s="74" t="str">
        <v>Kotei Addison Eric Clement</v>
      </c>
      <c r="D194" s="70" t="s">
        <v>65</v>
      </c>
      <c r="E194" s="72" t="n">
        <v>90</v>
      </c>
      <c r="F194" s="75" t="s">
        <v>628</v>
      </c>
      <c r="G194" s="73" t="n">
        <f aca="false">E194*1.1</f>
        <v>99</v>
      </c>
      <c r="H194" s="5" t="s">
        <v>682</v>
      </c>
      <c r="I194" s="43" t="str">
        <f aca="false">CONCATENATE(A194,",",D194)</f>
        <v>BME 364,ED3-BME</v>
      </c>
      <c r="J194" s="44"/>
    </row>
    <row r="195" customFormat="false" ht="15" hidden="false" customHeight="false" outlineLevel="0" collapsed="false">
      <c r="A195" s="70" t="s">
        <v>242</v>
      </c>
      <c r="B195" s="74" t="str">
        <v>BASIC AGRICULTURE</v>
      </c>
      <c r="C195" s="74" t="str">
        <v>Bessah Enoch</v>
      </c>
      <c r="D195" s="70" t="s">
        <v>131</v>
      </c>
      <c r="E195" s="72" t="n">
        <v>128</v>
      </c>
      <c r="F195" s="75" t="s">
        <v>683</v>
      </c>
      <c r="G195" s="73" t="n">
        <f aca="false">E195*1.1</f>
        <v>140.8</v>
      </c>
      <c r="H195" s="5" t="s">
        <v>684</v>
      </c>
      <c r="I195" s="6" t="str">
        <f aca="false">CONCATENATE(A195,",",D195)</f>
        <v>AE 162,ED1-AE</v>
      </c>
      <c r="J195" s="12"/>
    </row>
    <row r="196" customFormat="false" ht="15" hidden="false" customHeight="false" outlineLevel="0" collapsed="false">
      <c r="A196" s="70" t="s">
        <v>229</v>
      </c>
      <c r="B196" s="71" t="str">
        <v>INDUSTRIAL ENGINEERING LAB III</v>
      </c>
      <c r="C196" s="74" t="str">
        <v>Oppong David Kofi</v>
      </c>
      <c r="D196" s="70" t="s">
        <v>121</v>
      </c>
      <c r="E196" s="72" t="n">
        <v>70</v>
      </c>
      <c r="F196" s="75" t="s">
        <v>546</v>
      </c>
      <c r="G196" s="73" t="n">
        <f aca="false">E196*1.1</f>
        <v>77</v>
      </c>
      <c r="H196" s="5" t="n">
        <v>70</v>
      </c>
      <c r="I196" s="6" t="str">
        <f aca="false">CONCATENATE(A196,",",D196)</f>
        <v>IE 362,ED3-IND</v>
      </c>
      <c r="J196" s="12"/>
    </row>
    <row r="197" customFormat="false" ht="15" hidden="false" customHeight="false" outlineLevel="0" collapsed="false">
      <c r="A197" s="70" t="s">
        <v>230</v>
      </c>
      <c r="B197" s="71" t="str">
        <v>MARINE ENGINEERING LABORATORY I</v>
      </c>
      <c r="C197" s="71" t="str">
        <v>Fiagbe Yesuenyeagbe Atsu Kwabla</v>
      </c>
      <c r="D197" s="70" t="s">
        <v>42</v>
      </c>
      <c r="E197" s="72" t="n">
        <v>37</v>
      </c>
      <c r="F197" s="75" t="s">
        <v>541</v>
      </c>
      <c r="G197" s="73" t="n">
        <f aca="false">E197*1.1</f>
        <v>40.7</v>
      </c>
      <c r="H197" s="5" t="n">
        <v>37</v>
      </c>
      <c r="I197" s="6" t="str">
        <f aca="false">CONCATENATE(A197,",",D197)</f>
        <v>MME 296,ED2-MARI</v>
      </c>
      <c r="J197" s="12"/>
    </row>
    <row r="198" customFormat="false" ht="15" hidden="false" customHeight="false" outlineLevel="0" collapsed="false">
      <c r="A198" s="76"/>
      <c r="B198" s="76"/>
      <c r="C198" s="67"/>
      <c r="D198" s="71" t="s">
        <v>231</v>
      </c>
      <c r="E198" s="77" t="n">
        <f aca="false">SUM(E185:E197)</f>
        <v>1202</v>
      </c>
      <c r="F198" s="78"/>
      <c r="G198" s="79"/>
      <c r="I198" s="9" t="s">
        <v>232</v>
      </c>
      <c r="J198" s="12"/>
    </row>
    <row r="199" customFormat="false" ht="15" hidden="false" customHeight="false" outlineLevel="0" collapsed="false">
      <c r="A199" s="65" t="s">
        <v>217</v>
      </c>
      <c r="B199" s="65"/>
      <c r="C199" s="65"/>
      <c r="D199" s="65"/>
      <c r="E199" s="65"/>
      <c r="F199" s="65"/>
      <c r="G199" s="65"/>
      <c r="I199" s="9" t="str">
        <f aca="false">A199</f>
        <v>Friday, 21 August 2026</v>
      </c>
      <c r="J199" s="12"/>
    </row>
    <row r="200" customFormat="false" ht="15" hidden="false" customHeight="false" outlineLevel="0" collapsed="false">
      <c r="A200" s="65" t="s">
        <v>29</v>
      </c>
      <c r="B200" s="65"/>
      <c r="C200" s="65"/>
      <c r="D200" s="65"/>
      <c r="E200" s="65"/>
      <c r="F200" s="65"/>
      <c r="G200" s="65"/>
      <c r="I200" s="9" t="str">
        <f aca="false">A200</f>
        <v>Session, 2 (12:00 PM - 2:00 PM)</v>
      </c>
      <c r="J200" s="12"/>
    </row>
    <row r="201" customFormat="false" ht="15" hidden="false" customHeight="false" outlineLevel="0" collapsed="false">
      <c r="A201" s="66" t="s">
        <v>4</v>
      </c>
      <c r="B201" s="66" t="s">
        <v>5</v>
      </c>
      <c r="C201" s="67" t="s">
        <v>6</v>
      </c>
      <c r="D201" s="66" t="s">
        <v>7</v>
      </c>
      <c r="E201" s="68" t="s">
        <v>8</v>
      </c>
      <c r="F201" s="67" t="s">
        <v>9</v>
      </c>
      <c r="G201" s="69" t="s">
        <v>10</v>
      </c>
      <c r="I201" s="9" t="s">
        <v>31</v>
      </c>
      <c r="J201" s="12"/>
    </row>
    <row r="202" customFormat="false" ht="15" hidden="false" customHeight="false" outlineLevel="0" collapsed="false">
      <c r="A202" s="70" t="s">
        <v>233</v>
      </c>
      <c r="B202" s="74" t="str">
        <f aca="false" t="array" ref="B202:B208">IFERROR(VLOOKUP(I202:I208,Lectures_1!A2:F534,2,FALSE()),0)</f>
        <v>DIGITAL CONTROL SYSTEMS</v>
      </c>
      <c r="C202" s="71" t="str">
        <f aca="false" t="array" ref="C202:C208">IFERROR(VLOOKUP(I202:I208,Lectures_1!A2:F534,3,FALSE()),0)</f>
        <v>Opoku Daniel</v>
      </c>
      <c r="D202" s="70" t="s">
        <v>71</v>
      </c>
      <c r="E202" s="72" t="n">
        <f aca="false" t="array" ref="E202:E208">IFERROR(VLOOKUP(I202:I208,Lectures_1!A2:F534,4,FALSE()),0)</f>
        <v>70</v>
      </c>
      <c r="F202" s="70" t="s">
        <v>685</v>
      </c>
      <c r="G202" s="73" t="n">
        <f aca="false">E202*1.1</f>
        <v>77</v>
      </c>
      <c r="H202" s="5" t="s">
        <v>590</v>
      </c>
      <c r="I202" s="6" t="str">
        <f aca="false">CONCATENATE(A202,",",D202)</f>
        <v>EE 380,ED3-EE</v>
      </c>
      <c r="J202" s="12"/>
    </row>
    <row r="203" customFormat="false" ht="15" hidden="false" customHeight="false" outlineLevel="0" collapsed="false">
      <c r="A203" s="70" t="s">
        <v>234</v>
      </c>
      <c r="B203" s="71" t="str">
        <v>BASIC ELECTRONICS</v>
      </c>
      <c r="C203" s="71" t="str">
        <v>Kwegyir Daniel</v>
      </c>
      <c r="D203" s="70" t="s">
        <v>75</v>
      </c>
      <c r="E203" s="72" t="n">
        <v>245</v>
      </c>
      <c r="F203" s="75" t="s">
        <v>533</v>
      </c>
      <c r="G203" s="73" t="n">
        <f aca="false">E203*1.1</f>
        <v>269.5</v>
      </c>
      <c r="H203" s="3" t="s">
        <v>686</v>
      </c>
      <c r="I203" s="6" t="str">
        <f aca="false">CONCATENATE(A203,",",D203)</f>
        <v>EE 152,ED1-CE</v>
      </c>
      <c r="J203" s="12"/>
    </row>
    <row r="204" customFormat="false" ht="15" hidden="false" customHeight="false" outlineLevel="0" collapsed="false">
      <c r="A204" s="70" t="s">
        <v>235</v>
      </c>
      <c r="B204" s="74" t="str">
        <v>ELECTROMAGNETIC FIELDS</v>
      </c>
      <c r="C204" s="74" t="str">
        <v>Kwame Oteng Gyasi</v>
      </c>
      <c r="D204" s="70" t="s">
        <v>25</v>
      </c>
      <c r="E204" s="72" t="n">
        <v>340</v>
      </c>
      <c r="F204" s="75" t="s">
        <v>687</v>
      </c>
      <c r="G204" s="73" t="n">
        <f aca="false">E204*1.1</f>
        <v>374</v>
      </c>
      <c r="H204" s="5" t="s">
        <v>688</v>
      </c>
      <c r="I204" s="6" t="str">
        <f aca="false">CONCATENATE(A204,",",D204)</f>
        <v>TE 254,ED2-EE</v>
      </c>
      <c r="J204" s="12"/>
    </row>
    <row r="205" customFormat="false" ht="15" hidden="false" customHeight="false" outlineLevel="0" collapsed="false">
      <c r="A205" s="70" t="s">
        <v>235</v>
      </c>
      <c r="B205" s="74" t="str">
        <v>ELECTROMAGNETIC FIELD THEORY</v>
      </c>
      <c r="C205" s="74" t="str">
        <v>Kwame Oteng Gyasi</v>
      </c>
      <c r="D205" s="70" t="s">
        <v>172</v>
      </c>
      <c r="E205" s="72" t="n">
        <v>175</v>
      </c>
      <c r="F205" s="75" t="s">
        <v>689</v>
      </c>
      <c r="G205" s="73" t="n">
        <f aca="false">E205*1.1</f>
        <v>192.5</v>
      </c>
      <c r="H205" s="5" t="s">
        <v>690</v>
      </c>
      <c r="I205" s="6" t="str">
        <f aca="false">CONCATENATE(A205,",",D205)</f>
        <v>TE 254,ED2-TEL</v>
      </c>
      <c r="J205" s="12"/>
    </row>
    <row r="206" customFormat="false" ht="15" hidden="false" customHeight="false" outlineLevel="0" collapsed="false">
      <c r="A206" s="70" t="s">
        <v>284</v>
      </c>
      <c r="B206" s="71" t="str">
        <v>LAND LAW AND REGISTRATION</v>
      </c>
      <c r="C206" s="74" t="str">
        <v>Arko-Adjei Anthony</v>
      </c>
      <c r="D206" s="70" t="s">
        <v>194</v>
      </c>
      <c r="E206" s="72" t="n">
        <v>93</v>
      </c>
      <c r="F206" s="75" t="s">
        <v>571</v>
      </c>
      <c r="G206" s="73" t="n">
        <f aca="false">E206*1.1</f>
        <v>102.3</v>
      </c>
      <c r="H206" s="5" t="s">
        <v>691</v>
      </c>
      <c r="I206" s="6" t="str">
        <f aca="false">CONCATENATE(A206,",",D206)</f>
        <v>GE 472,ED4-GEOM</v>
      </c>
      <c r="J206" s="12"/>
    </row>
    <row r="207" customFormat="false" ht="15" hidden="false" customHeight="true" outlineLevel="0" collapsed="false">
      <c r="A207" s="70" t="s">
        <v>113</v>
      </c>
      <c r="B207" s="71" t="str">
        <v>PRINCIPLES OF MATERIAL SCIENCE</v>
      </c>
      <c r="C207" s="71" t="str">
        <v>Agyemang Frank Ofori</v>
      </c>
      <c r="D207" s="70" t="s">
        <v>109</v>
      </c>
      <c r="E207" s="72" t="n">
        <v>80</v>
      </c>
      <c r="F207" s="75" t="s">
        <v>571</v>
      </c>
      <c r="G207" s="73" t="n">
        <f aca="false">E207*1.1</f>
        <v>88</v>
      </c>
      <c r="H207" s="5" t="s">
        <v>692</v>
      </c>
      <c r="I207" s="6" t="str">
        <f aca="false">CONCATENATE(A207,",",D207)</f>
        <v>MSE 154,ED2-BME</v>
      </c>
      <c r="J207" s="12"/>
    </row>
    <row r="208" customFormat="false" ht="15" hidden="false" customHeight="false" outlineLevel="0" collapsed="false">
      <c r="A208" s="70" t="s">
        <v>236</v>
      </c>
      <c r="B208" s="74" t="str">
        <v>MECHANICAL ENGINEERING MATERIALS II</v>
      </c>
      <c r="C208" s="74" t="str">
        <v>Agyemang Frank Ofori</v>
      </c>
      <c r="D208" s="70" t="s">
        <v>53</v>
      </c>
      <c r="E208" s="72" t="n">
        <v>155</v>
      </c>
      <c r="F208" s="75" t="s">
        <v>693</v>
      </c>
      <c r="G208" s="73" t="n">
        <f aca="false">E208*1.1</f>
        <v>170.5</v>
      </c>
      <c r="H208" s="5" t="s">
        <v>694</v>
      </c>
      <c r="I208" s="6" t="str">
        <f aca="false">CONCATENATE(A208,",",D208)</f>
        <v>ME 282,ED2-AE</v>
      </c>
      <c r="J208" s="12"/>
    </row>
    <row r="209" customFormat="false" ht="15" hidden="false" customHeight="false" outlineLevel="0" collapsed="false">
      <c r="A209" s="70"/>
      <c r="B209" s="71"/>
      <c r="C209" s="71"/>
      <c r="D209" s="71" t="s">
        <v>237</v>
      </c>
      <c r="E209" s="77" t="n">
        <f aca="false">SUM(E202:E208)</f>
        <v>1158</v>
      </c>
      <c r="F209" s="75"/>
      <c r="G209" s="73"/>
      <c r="I209" s="6" t="str">
        <f aca="false">CONCATENATE(A209,",",D209)</f>
        <v>,Total F1-2</v>
      </c>
      <c r="J209" s="12"/>
    </row>
    <row r="210" customFormat="false" ht="15" hidden="false" customHeight="false" outlineLevel="0" collapsed="false">
      <c r="A210" s="65" t="s">
        <v>217</v>
      </c>
      <c r="B210" s="65"/>
      <c r="C210" s="65"/>
      <c r="D210" s="65"/>
      <c r="E210" s="65"/>
      <c r="F210" s="65"/>
      <c r="G210" s="65"/>
      <c r="I210" s="9" t="str">
        <f aca="false">A210</f>
        <v>Friday, 21 August 2026</v>
      </c>
      <c r="J210" s="12"/>
    </row>
    <row r="211" customFormat="false" ht="15" hidden="false" customHeight="false" outlineLevel="0" collapsed="false">
      <c r="A211" s="65" t="s">
        <v>59</v>
      </c>
      <c r="B211" s="65"/>
      <c r="C211" s="65"/>
      <c r="D211" s="65"/>
      <c r="E211" s="65"/>
      <c r="F211" s="65"/>
      <c r="G211" s="65"/>
      <c r="I211" s="9" t="str">
        <f aca="false">A211</f>
        <v>Session, 3 (3:00 PM - 5:00 PM)</v>
      </c>
      <c r="J211" s="12"/>
    </row>
    <row r="212" customFormat="false" ht="15" hidden="false" customHeight="false" outlineLevel="0" collapsed="false">
      <c r="A212" s="66" t="s">
        <v>4</v>
      </c>
      <c r="B212" s="66" t="s">
        <v>5</v>
      </c>
      <c r="C212" s="67" t="s">
        <v>6</v>
      </c>
      <c r="D212" s="66" t="s">
        <v>7</v>
      </c>
      <c r="E212" s="68" t="s">
        <v>8</v>
      </c>
      <c r="F212" s="67" t="s">
        <v>9</v>
      </c>
      <c r="G212" s="69" t="s">
        <v>10</v>
      </c>
      <c r="I212" s="9" t="s">
        <v>31</v>
      </c>
      <c r="J212" s="12"/>
    </row>
    <row r="213" customFormat="false" ht="15" hidden="false" customHeight="false" outlineLevel="0" collapsed="false">
      <c r="A213" s="70" t="s">
        <v>238</v>
      </c>
      <c r="B213" s="74" t="str">
        <f aca="false" t="array" ref="B213:B220">IFERROR(VLOOKUP(I213:I220,Lectures_1!A2:F534,2,FALSE()),0)</f>
        <v>MARINE INDUSTRIAL ENGINEERING AND ERGONOMICS</v>
      </c>
      <c r="C213" s="71" t="str">
        <f aca="false" t="array" ref="C213:C220">IFERROR(VLOOKUP(I213:I220,Lectures_1!A2:F534,3,FALSE()),0)</f>
        <v>Mensah Lena Dzifa</v>
      </c>
      <c r="D213" s="70" t="s">
        <v>86</v>
      </c>
      <c r="E213" s="72" t="n">
        <f aca="false" t="array" ref="E213:E220">IFERROR(VLOOKUP(I213:I220,Lectures_1!A2:F534,4,FALSE()),0)</f>
        <v>40</v>
      </c>
      <c r="F213" s="70" t="s">
        <v>695</v>
      </c>
      <c r="G213" s="73" t="n">
        <f aca="false">E213*1.1</f>
        <v>44</v>
      </c>
      <c r="H213" s="5" t="s">
        <v>559</v>
      </c>
      <c r="I213" s="6" t="str">
        <f aca="false">CONCATENATE(A213,",",D213)</f>
        <v>MME 392,ED3-MARI</v>
      </c>
      <c r="J213" s="12"/>
    </row>
    <row r="214" customFormat="false" ht="15" hidden="false" customHeight="true" outlineLevel="0" collapsed="false">
      <c r="A214" s="70" t="s">
        <v>239</v>
      </c>
      <c r="B214" s="74" t="str">
        <v>INDUSTRIAL ENGINEERING AND ERGONOMICS</v>
      </c>
      <c r="C214" s="74" t="str">
        <v>Mensah Lena Dzifa</v>
      </c>
      <c r="D214" s="70" t="s">
        <v>133</v>
      </c>
      <c r="E214" s="72" t="n">
        <v>76</v>
      </c>
      <c r="F214" s="75" t="s">
        <v>696</v>
      </c>
      <c r="G214" s="73" t="n">
        <f aca="false">E214*1.1</f>
        <v>83.6</v>
      </c>
      <c r="H214" s="5" t="s">
        <v>697</v>
      </c>
      <c r="I214" s="6" t="str">
        <f aca="false">CONCATENATE(A214,",",D214)</f>
        <v>ME 392,ED3-AERO</v>
      </c>
      <c r="J214" s="12"/>
    </row>
    <row r="215" customFormat="false" ht="15" hidden="false" customHeight="false" outlineLevel="0" collapsed="false">
      <c r="A215" s="70" t="s">
        <v>240</v>
      </c>
      <c r="B215" s="74" t="str">
        <v>INDUSTRIAL ENGINEERING AND ERGONOMICS</v>
      </c>
      <c r="C215" s="74" t="str">
        <v>Mensah Lena Dzifa</v>
      </c>
      <c r="D215" s="70" t="s">
        <v>33</v>
      </c>
      <c r="E215" s="72" t="n">
        <v>240</v>
      </c>
      <c r="F215" s="75" t="s">
        <v>531</v>
      </c>
      <c r="G215" s="73" t="n">
        <f aca="false">E215*1.1</f>
        <v>264</v>
      </c>
      <c r="H215" s="5" t="s">
        <v>612</v>
      </c>
      <c r="I215" s="6" t="str">
        <f aca="false">CONCATENATE(A215,",",D215)</f>
        <v>ME 292,ED2-ME</v>
      </c>
      <c r="J215" s="12"/>
    </row>
    <row r="216" customFormat="false" ht="15" hidden="false" customHeight="false" outlineLevel="0" collapsed="false">
      <c r="A216" s="70" t="s">
        <v>241</v>
      </c>
      <c r="B216" s="74" t="str">
        <v>INDUSTRIAL ENGINEERING AND ERGONOMICS</v>
      </c>
      <c r="C216" s="74" t="str">
        <v>Mensah Lena Dzifa</v>
      </c>
      <c r="D216" s="70" t="s">
        <v>23</v>
      </c>
      <c r="E216" s="72" t="n">
        <v>40</v>
      </c>
      <c r="F216" s="75" t="s">
        <v>633</v>
      </c>
      <c r="G216" s="73" t="n">
        <f aca="false">E216*1.1</f>
        <v>44</v>
      </c>
      <c r="H216" s="5" t="n">
        <v>40</v>
      </c>
      <c r="I216" s="6" t="str">
        <f aca="false">CONCATENATE(A216,",",D216)</f>
        <v>AME 392,ED3-AUTO</v>
      </c>
      <c r="J216" s="12"/>
    </row>
    <row r="217" customFormat="false" ht="15" hidden="false" customHeight="false" outlineLevel="0" collapsed="false">
      <c r="A217" s="70" t="s">
        <v>214</v>
      </c>
      <c r="B217" s="71" t="str">
        <v>ADVANCED ENGINEERING GEOLLOGY</v>
      </c>
      <c r="C217" s="74" t="str">
        <v>Gidigasu Solomon Senyo Robert</v>
      </c>
      <c r="D217" s="70" t="s">
        <v>177</v>
      </c>
      <c r="E217" s="72" t="n">
        <v>95</v>
      </c>
      <c r="F217" s="75" t="s">
        <v>582</v>
      </c>
      <c r="G217" s="73" t="n">
        <f aca="false">E217*1.1</f>
        <v>104.5</v>
      </c>
      <c r="H217" s="5" t="s">
        <v>698</v>
      </c>
      <c r="I217" s="6" t="str">
        <f aca="false">CONCATENATE(A217,",",D217)</f>
        <v>GED 452,ED4-GEOL</v>
      </c>
      <c r="J217" s="12"/>
    </row>
    <row r="218" customFormat="false" ht="15" hidden="false" customHeight="false" outlineLevel="0" collapsed="false">
      <c r="A218" s="70" t="s">
        <v>234</v>
      </c>
      <c r="B218" s="71" t="str">
        <v>BASIC ELECTRONICS</v>
      </c>
      <c r="C218" s="71" t="str">
        <v>Yaw Opoku Mensah Sekyere</v>
      </c>
      <c r="D218" s="70" t="s">
        <v>80</v>
      </c>
      <c r="E218" s="72" t="n">
        <v>120</v>
      </c>
      <c r="F218" s="75" t="s">
        <v>611</v>
      </c>
      <c r="G218" s="73" t="n">
        <f aca="false">E218*1.1</f>
        <v>132</v>
      </c>
      <c r="H218" s="3" t="s">
        <v>699</v>
      </c>
      <c r="I218" s="6" t="str">
        <f aca="false">CONCATENATE(A218,",",D218)</f>
        <v>EE 152,ED1-CHE</v>
      </c>
      <c r="J218" s="12"/>
    </row>
    <row r="219" customFormat="false" ht="17.9" hidden="false" customHeight="false" outlineLevel="0" collapsed="false">
      <c r="A219" s="70" t="s">
        <v>234</v>
      </c>
      <c r="B219" s="71" t="str">
        <v>BASIC ELECTRONICS</v>
      </c>
      <c r="C219" s="71" t="str">
        <v>Yaw Opoku Mensah Sekyere</v>
      </c>
      <c r="D219" s="70" t="s">
        <v>51</v>
      </c>
      <c r="E219" s="72" t="n">
        <v>295</v>
      </c>
      <c r="F219" s="87" t="s">
        <v>700</v>
      </c>
      <c r="G219" s="73" t="n">
        <f aca="false">E219*1.1</f>
        <v>324.5</v>
      </c>
      <c r="H219" s="5" t="s">
        <v>701</v>
      </c>
      <c r="I219" s="6" t="str">
        <f aca="false">CONCATENATE(A219,",",D219)</f>
        <v>EE 152,ED1-EE</v>
      </c>
      <c r="J219" s="12"/>
    </row>
    <row r="220" customFormat="false" ht="15" hidden="false" customHeight="false" outlineLevel="0" collapsed="false">
      <c r="A220" s="70" t="s">
        <v>234</v>
      </c>
      <c r="B220" s="74" t="str">
        <v>BASIC ELECTRONICS</v>
      </c>
      <c r="C220" s="74" t="str">
        <v>Yaw Opoku Mensah Sekyere</v>
      </c>
      <c r="D220" s="70" t="s">
        <v>161</v>
      </c>
      <c r="E220" s="72" t="n">
        <v>225</v>
      </c>
      <c r="F220" s="75" t="s">
        <v>702</v>
      </c>
      <c r="G220" s="73" t="n">
        <f aca="false">E220*1.1</f>
        <v>247.5</v>
      </c>
      <c r="H220" s="5" t="s">
        <v>703</v>
      </c>
      <c r="I220" s="6" t="str">
        <f aca="false">CONCATENATE(A220,",",D220)</f>
        <v>EE 152,ED1-ME</v>
      </c>
      <c r="J220" s="12"/>
    </row>
    <row r="221" customFormat="false" ht="15" hidden="false" customHeight="false" outlineLevel="0" collapsed="false">
      <c r="A221" s="70"/>
      <c r="B221" s="71"/>
      <c r="C221" s="71"/>
      <c r="D221" s="71" t="s">
        <v>237</v>
      </c>
      <c r="E221" s="77" t="n">
        <f aca="false">SUM(E213:E220)</f>
        <v>1131</v>
      </c>
      <c r="F221" s="75"/>
      <c r="G221" s="73"/>
      <c r="I221" s="6" t="str">
        <f aca="false">CONCATENATE(A221,",",D221)</f>
        <v>,Total F1-2</v>
      </c>
      <c r="J221" s="12"/>
    </row>
    <row r="222" customFormat="false" ht="15" hidden="false" customHeight="false" outlineLevel="0" collapsed="false">
      <c r="A222" s="65" t="s">
        <v>243</v>
      </c>
      <c r="B222" s="65"/>
      <c r="C222" s="65"/>
      <c r="D222" s="65"/>
      <c r="E222" s="65"/>
      <c r="F222" s="65"/>
      <c r="G222" s="65"/>
      <c r="I222" s="9" t="str">
        <f aca="false">A222</f>
        <v>Monday, 24 August 2026</v>
      </c>
      <c r="J222" s="12"/>
    </row>
    <row r="223" customFormat="false" ht="15" hidden="false" customHeight="false" outlineLevel="0" collapsed="false">
      <c r="A223" s="65" t="s">
        <v>2</v>
      </c>
      <c r="B223" s="65"/>
      <c r="C223" s="65"/>
      <c r="D223" s="65"/>
      <c r="E223" s="65"/>
      <c r="F223" s="65"/>
      <c r="G223" s="65"/>
      <c r="I223" s="9" t="str">
        <f aca="false">A223</f>
        <v>Session, 1 (8:30 AM - 10:30 AM)</v>
      </c>
      <c r="J223" s="12"/>
    </row>
    <row r="224" customFormat="false" ht="15" hidden="false" customHeight="false" outlineLevel="0" collapsed="false">
      <c r="A224" s="66" t="s">
        <v>4</v>
      </c>
      <c r="B224" s="66" t="s">
        <v>5</v>
      </c>
      <c r="C224" s="67" t="s">
        <v>6</v>
      </c>
      <c r="D224" s="66" t="s">
        <v>7</v>
      </c>
      <c r="E224" s="68" t="s">
        <v>8</v>
      </c>
      <c r="F224" s="74" t="s">
        <v>9</v>
      </c>
      <c r="G224" s="69" t="s">
        <v>10</v>
      </c>
      <c r="I224" s="9" t="s">
        <v>31</v>
      </c>
      <c r="J224" s="12"/>
    </row>
    <row r="225" customFormat="false" ht="15" hidden="false" customHeight="false" outlineLevel="0" collapsed="false">
      <c r="A225" s="70" t="s">
        <v>245</v>
      </c>
      <c r="B225" s="71" t="str">
        <f aca="false" t="array" ref="B225:B239">IFERROR(VLOOKUP(I225:I239,Lectures_1!A2:F534,2,FALSE()),0)</f>
        <v>FRENCH FOR COMMUNICATION II</v>
      </c>
      <c r="C225" s="74" t="str">
        <f aca="false" t="array" ref="C225:C239">IFERROR(VLOOKUP(I225:I239,Lectures_1!A2:F534,3,FALSE()),0)</f>
        <v>Boakye-Agyeman Candy</v>
      </c>
      <c r="D225" s="70" t="s">
        <v>172</v>
      </c>
      <c r="E225" s="72" t="n">
        <f aca="false" t="array" ref="E225:E239">IFERROR(VLOOKUP(I225:I239,Lectures_1!A2:F534,4,FALSE()),0)</f>
        <v>103</v>
      </c>
      <c r="F225" s="75" t="s">
        <v>582</v>
      </c>
      <c r="G225" s="73" t="n">
        <f aca="false">E225*1.1</f>
        <v>113.3</v>
      </c>
      <c r="H225" s="5" t="s">
        <v>660</v>
      </c>
      <c r="I225" s="6" t="str">
        <f aca="false">CONCATENATE(A225,",",D225)</f>
        <v>FC 182,ED2-TEL</v>
      </c>
      <c r="J225" s="12"/>
    </row>
    <row r="226" customFormat="false" ht="15" hidden="false" customHeight="false" outlineLevel="0" collapsed="false">
      <c r="A226" s="70" t="s">
        <v>245</v>
      </c>
      <c r="B226" s="71" t="str">
        <v>FRENCH FOR COMMUNICATION II</v>
      </c>
      <c r="C226" s="74" t="str">
        <v>Alexander Ocloo</v>
      </c>
      <c r="D226" s="70" t="s">
        <v>73</v>
      </c>
      <c r="E226" s="72" t="n">
        <v>55</v>
      </c>
      <c r="F226" s="75" t="s">
        <v>704</v>
      </c>
      <c r="G226" s="73" t="n">
        <f aca="false">E226*1.1</f>
        <v>60.5</v>
      </c>
      <c r="H226" s="5" t="s">
        <v>598</v>
      </c>
      <c r="I226" s="6" t="str">
        <f aca="false">CONCATENATE(A226,",",D226)</f>
        <v>FC 182,ED3-CHE</v>
      </c>
      <c r="J226" s="12"/>
    </row>
    <row r="227" customFormat="false" ht="15" hidden="false" customHeight="false" outlineLevel="0" collapsed="false">
      <c r="A227" s="70" t="s">
        <v>245</v>
      </c>
      <c r="B227" s="74" t="str">
        <v>FRENCH FOR COMMUNICATION  II</v>
      </c>
      <c r="C227" s="74" t="str">
        <v>Pharis Jeel Darko</v>
      </c>
      <c r="D227" s="70" t="s">
        <v>77</v>
      </c>
      <c r="E227" s="72" t="n">
        <v>65</v>
      </c>
      <c r="F227" s="75" t="s">
        <v>705</v>
      </c>
      <c r="G227" s="73" t="n">
        <f aca="false">E227*1.1</f>
        <v>71.5</v>
      </c>
      <c r="H227" s="5" t="n">
        <v>65</v>
      </c>
      <c r="I227" s="6" t="str">
        <f aca="false">CONCATENATE(A227,",",D227)</f>
        <v>FC 182,ED3-GEOM</v>
      </c>
      <c r="J227" s="12"/>
    </row>
    <row r="228" customFormat="false" ht="15" hidden="false" customHeight="false" outlineLevel="0" collapsed="false">
      <c r="A228" s="70" t="s">
        <v>245</v>
      </c>
      <c r="B228" s="74" t="str">
        <v>FRENCH FOR COMMUNICATION II</v>
      </c>
      <c r="C228" s="74" t="str">
        <v>Alexander Ocloo</v>
      </c>
      <c r="D228" s="70" t="s">
        <v>25</v>
      </c>
      <c r="E228" s="72" t="n">
        <v>170</v>
      </c>
      <c r="F228" s="75" t="s">
        <v>706</v>
      </c>
      <c r="G228" s="73" t="n">
        <f aca="false">E228*1.1</f>
        <v>187</v>
      </c>
      <c r="H228" s="5" t="s">
        <v>707</v>
      </c>
      <c r="I228" s="6" t="str">
        <f aca="false">CONCATENATE(A228,",",D228)</f>
        <v>FC 182,ED2-EE</v>
      </c>
      <c r="J228" s="12"/>
    </row>
    <row r="229" customFormat="false" ht="15" hidden="false" customHeight="false" outlineLevel="0" collapsed="false">
      <c r="A229" s="70" t="s">
        <v>245</v>
      </c>
      <c r="B229" s="74" t="str">
        <v>FRENCH FOR COMMUNICATION II</v>
      </c>
      <c r="C229" s="74" t="str">
        <v>Boakye-Agyeman Candy</v>
      </c>
      <c r="D229" s="70" t="s">
        <v>126</v>
      </c>
      <c r="E229" s="72" t="n">
        <v>90</v>
      </c>
      <c r="F229" s="75" t="s">
        <v>708</v>
      </c>
      <c r="G229" s="73" t="n">
        <f aca="false">E229*1.1</f>
        <v>99</v>
      </c>
      <c r="H229" s="5" t="s">
        <v>709</v>
      </c>
      <c r="I229" s="6" t="str">
        <f aca="false">CONCATENATE(A229,",",D229)</f>
        <v>FC 182,ED1-GEOL</v>
      </c>
      <c r="J229" s="12"/>
    </row>
    <row r="230" customFormat="false" ht="15" hidden="false" customHeight="false" outlineLevel="0" collapsed="false">
      <c r="A230" s="70" t="s">
        <v>245</v>
      </c>
      <c r="B230" s="74" t="str">
        <v>FRENCH FOR COMMUNICATION II</v>
      </c>
      <c r="C230" s="74" t="str">
        <v>Boakye-Agyeman Candy</v>
      </c>
      <c r="D230" s="70" t="s">
        <v>75</v>
      </c>
      <c r="E230" s="72" t="n">
        <v>160</v>
      </c>
      <c r="F230" s="75" t="s">
        <v>710</v>
      </c>
      <c r="G230" s="73" t="n">
        <f aca="false">E230*1.1</f>
        <v>176</v>
      </c>
      <c r="H230" s="5" t="s">
        <v>711</v>
      </c>
      <c r="I230" s="6" t="str">
        <f aca="false">CONCATENATE(A230,",",D230)</f>
        <v>FC 182,ED1-CE</v>
      </c>
      <c r="J230" s="12"/>
    </row>
    <row r="231" customFormat="false" ht="15" hidden="false" customHeight="false" outlineLevel="0" collapsed="false">
      <c r="A231" s="70" t="s">
        <v>245</v>
      </c>
      <c r="B231" s="74" t="str">
        <v>FRENCH FOR COMMUNICATION II</v>
      </c>
      <c r="C231" s="74" t="str">
        <v>Boakye-Agyeman Candy</v>
      </c>
      <c r="D231" s="70" t="s">
        <v>112</v>
      </c>
      <c r="E231" s="72" t="n">
        <v>46</v>
      </c>
      <c r="F231" s="75" t="s">
        <v>541</v>
      </c>
      <c r="G231" s="73" t="n">
        <f aca="false">E231*1.1</f>
        <v>50.6</v>
      </c>
      <c r="H231" s="5" t="n">
        <v>46</v>
      </c>
      <c r="I231" s="6" t="str">
        <f aca="false">CONCATENATE(A231,",",D231)</f>
        <v>FC 182,ED1-MARI</v>
      </c>
      <c r="J231" s="12"/>
    </row>
    <row r="232" customFormat="false" ht="15" hidden="false" customHeight="false" outlineLevel="0" collapsed="false">
      <c r="A232" s="70" t="s">
        <v>245</v>
      </c>
      <c r="B232" s="74" t="str">
        <v>FRENCH FOR COMMUNICATION II</v>
      </c>
      <c r="C232" s="74" t="str">
        <v>Pharis Jeel Darko</v>
      </c>
      <c r="D232" s="70" t="s">
        <v>109</v>
      </c>
      <c r="E232" s="72" t="n">
        <v>43</v>
      </c>
      <c r="F232" s="75" t="s">
        <v>712</v>
      </c>
      <c r="G232" s="73" t="n">
        <f aca="false">E232*1.1</f>
        <v>47.3</v>
      </c>
      <c r="H232" s="5" t="s">
        <v>713</v>
      </c>
      <c r="I232" s="6" t="str">
        <f aca="false">CONCATENATE(A232,",",D232)</f>
        <v>FC 182,ED2-BME</v>
      </c>
      <c r="J232" s="12"/>
    </row>
    <row r="233" customFormat="false" ht="15" hidden="false" customHeight="false" outlineLevel="0" collapsed="false">
      <c r="A233" s="70" t="s">
        <v>245</v>
      </c>
      <c r="B233" s="74" t="str">
        <v>FRENCH FOR COMMUNICATION</v>
      </c>
      <c r="C233" s="74" t="str">
        <v>Pharis Jeel Darko</v>
      </c>
      <c r="D233" s="70" t="s">
        <v>108</v>
      </c>
      <c r="E233" s="72" t="n">
        <v>150</v>
      </c>
      <c r="F233" s="75" t="s">
        <v>714</v>
      </c>
      <c r="G233" s="73" t="n">
        <f aca="false">E233*1.1</f>
        <v>165</v>
      </c>
      <c r="H233" s="5" t="s">
        <v>715</v>
      </c>
      <c r="I233" s="6" t="str">
        <f aca="false">CONCATENATE(A233,",",D233)</f>
        <v>FC 182,ED2-COE</v>
      </c>
      <c r="J233" s="12"/>
    </row>
    <row r="234" customFormat="false" ht="14.25" hidden="false" customHeight="true" outlineLevel="0" collapsed="false">
      <c r="A234" s="70" t="s">
        <v>270</v>
      </c>
      <c r="B234" s="74" t="str">
        <v>GROUND ENGINEERING</v>
      </c>
      <c r="C234" s="74" t="str">
        <v>Samuel Innocent Kofi Ampadu</v>
      </c>
      <c r="D234" s="70" t="s">
        <v>177</v>
      </c>
      <c r="E234" s="72" t="n">
        <v>2</v>
      </c>
      <c r="F234" s="75" t="s">
        <v>716</v>
      </c>
      <c r="G234" s="73" t="n">
        <f aca="false">E234*1.1</f>
        <v>2.2</v>
      </c>
      <c r="H234" s="5" t="n">
        <v>2</v>
      </c>
      <c r="I234" s="6" t="str">
        <f aca="false">CONCATENATE(A234,",",D234)</f>
        <v>CE 478,ED4-GEOL</v>
      </c>
      <c r="J234" s="12"/>
    </row>
    <row r="235" customFormat="false" ht="15" hidden="false" customHeight="false" outlineLevel="0" collapsed="false">
      <c r="A235" s="70" t="s">
        <v>270</v>
      </c>
      <c r="B235" s="74" t="str">
        <v>GROUND ENGINEERING</v>
      </c>
      <c r="C235" s="74" t="str">
        <v>Samuel Innocent Kofi Ampadu</v>
      </c>
      <c r="D235" s="70" t="s">
        <v>103</v>
      </c>
      <c r="E235" s="72" t="n">
        <v>60</v>
      </c>
      <c r="F235" s="75" t="s">
        <v>566</v>
      </c>
      <c r="G235" s="73" t="n">
        <f aca="false">E235*1.1</f>
        <v>66</v>
      </c>
      <c r="H235" s="5" t="s">
        <v>717</v>
      </c>
      <c r="I235" s="6" t="str">
        <f aca="false">CONCATENATE(A235,",",D235)</f>
        <v>CE 478,ED4-CE</v>
      </c>
      <c r="J235" s="12"/>
    </row>
    <row r="236" customFormat="false" ht="15" hidden="false" customHeight="false" outlineLevel="0" collapsed="false">
      <c r="A236" s="70" t="s">
        <v>258</v>
      </c>
      <c r="B236" s="71" t="str">
        <v>SEPARATION PROCESSES II</v>
      </c>
      <c r="C236" s="74" t="str">
        <v>Augustine Ntiamoah</v>
      </c>
      <c r="D236" s="70" t="s">
        <v>63</v>
      </c>
      <c r="E236" s="72" t="n">
        <v>53</v>
      </c>
      <c r="F236" s="75" t="s">
        <v>718</v>
      </c>
      <c r="G236" s="73" t="n">
        <f aca="false">E236*1.1</f>
        <v>58.3</v>
      </c>
      <c r="H236" s="5" t="s">
        <v>657</v>
      </c>
      <c r="I236" s="6" t="str">
        <f aca="false">CONCATENATE(A236,",",D236)</f>
        <v>PCE 352,ED3-PCE</v>
      </c>
      <c r="J236" s="12"/>
    </row>
    <row r="237" customFormat="false" ht="15" hidden="false" customHeight="false" outlineLevel="0" collapsed="false">
      <c r="A237" s="70" t="s">
        <v>319</v>
      </c>
      <c r="B237" s="71" t="str">
        <v>ADSORPTION SEPARATION PROCESS TECHNOLOGY</v>
      </c>
      <c r="C237" s="71" t="str">
        <v>Ohemeng-Boahen Godfred</v>
      </c>
      <c r="D237" s="70" t="s">
        <v>44</v>
      </c>
      <c r="E237" s="72" t="n">
        <v>40</v>
      </c>
      <c r="F237" s="75" t="s">
        <v>541</v>
      </c>
      <c r="G237" s="73" t="n">
        <f aca="false">E237*1.1</f>
        <v>44</v>
      </c>
      <c r="H237" s="46" t="n">
        <v>40</v>
      </c>
      <c r="I237" s="6" t="str">
        <f aca="false">CONCATENATE(A237,",",D237)</f>
        <v>CHE 464,ED4-PCE</v>
      </c>
      <c r="J237" s="12"/>
    </row>
    <row r="238" customFormat="false" ht="15" hidden="false" customHeight="false" outlineLevel="0" collapsed="false">
      <c r="A238" s="70" t="s">
        <v>415</v>
      </c>
      <c r="B238" s="74" t="str">
        <v>PHARMACEUTICAL TECHNOLOGY</v>
      </c>
      <c r="C238" s="74" t="str">
        <v>Johnson Raphael</v>
      </c>
      <c r="D238" s="70" t="s">
        <v>48</v>
      </c>
      <c r="E238" s="72" t="n">
        <v>71</v>
      </c>
      <c r="F238" s="75" t="s">
        <v>546</v>
      </c>
      <c r="G238" s="73" t="n">
        <f aca="false">E238*1.1</f>
        <v>78.1</v>
      </c>
      <c r="H238" s="5" t="n">
        <v>71</v>
      </c>
      <c r="I238" s="6" t="str">
        <f aca="false">CONCATENATE(A238,",",D238)</f>
        <v>CHE 470,ED4-CHE</v>
      </c>
      <c r="J238" s="12"/>
    </row>
    <row r="239" customFormat="false" ht="15" hidden="false" customHeight="false" outlineLevel="0" collapsed="false">
      <c r="A239" s="70" t="s">
        <v>431</v>
      </c>
      <c r="B239" s="71" t="str">
        <v>ENVIRONMENTAL ENG. TECHNOLOGY</v>
      </c>
      <c r="C239" s="74" t="str">
        <v>Afotey Benjamin</v>
      </c>
      <c r="D239" s="70" t="s">
        <v>48</v>
      </c>
      <c r="E239" s="72" t="n">
        <v>54</v>
      </c>
      <c r="F239" s="75" t="s">
        <v>719</v>
      </c>
      <c r="G239" s="73" t="n">
        <f aca="false">E239*1.1</f>
        <v>59.4</v>
      </c>
      <c r="H239" s="5" t="s">
        <v>720</v>
      </c>
      <c r="I239" s="6" t="str">
        <f aca="false">CONCATENATE(A239,",",D239)</f>
        <v>CHE 468,ED4-CHE</v>
      </c>
      <c r="J239" s="12"/>
    </row>
    <row r="240" customFormat="false" ht="15" hidden="false" customHeight="false" outlineLevel="0" collapsed="false">
      <c r="A240" s="76"/>
      <c r="B240" s="76"/>
      <c r="C240" s="67"/>
      <c r="D240" s="71" t="s">
        <v>248</v>
      </c>
      <c r="E240" s="77" t="n">
        <f aca="false">SUM(E225:E239)</f>
        <v>1162</v>
      </c>
      <c r="F240" s="78"/>
      <c r="G240" s="79"/>
      <c r="I240" s="9" t="s">
        <v>249</v>
      </c>
      <c r="J240" s="12"/>
    </row>
    <row r="241" customFormat="false" ht="15" hidden="false" customHeight="false" outlineLevel="0" collapsed="false">
      <c r="A241" s="65" t="s">
        <v>243</v>
      </c>
      <c r="B241" s="65"/>
      <c r="C241" s="65"/>
      <c r="D241" s="65"/>
      <c r="E241" s="65"/>
      <c r="F241" s="65"/>
      <c r="G241" s="65"/>
      <c r="I241" s="9" t="str">
        <f aca="false">A241</f>
        <v>Monday, 24 August 2026</v>
      </c>
      <c r="J241" s="12"/>
    </row>
    <row r="242" customFormat="false" ht="15" hidden="false" customHeight="false" outlineLevel="0" collapsed="false">
      <c r="A242" s="65" t="s">
        <v>29</v>
      </c>
      <c r="B242" s="65"/>
      <c r="C242" s="65"/>
      <c r="D242" s="65"/>
      <c r="E242" s="65"/>
      <c r="F242" s="65"/>
      <c r="G242" s="65"/>
      <c r="I242" s="9" t="str">
        <f aca="false">A242</f>
        <v>Session, 2 (12:00 PM - 2:00 PM)</v>
      </c>
      <c r="J242" s="12"/>
    </row>
    <row r="243" customFormat="false" ht="15" hidden="false" customHeight="false" outlineLevel="0" collapsed="false">
      <c r="A243" s="66" t="s">
        <v>4</v>
      </c>
      <c r="B243" s="66" t="s">
        <v>5</v>
      </c>
      <c r="C243" s="67" t="s">
        <v>6</v>
      </c>
      <c r="D243" s="66" t="s">
        <v>7</v>
      </c>
      <c r="E243" s="68" t="s">
        <v>8</v>
      </c>
      <c r="F243" s="67" t="s">
        <v>9</v>
      </c>
      <c r="G243" s="69" t="s">
        <v>10</v>
      </c>
      <c r="I243" s="9" t="s">
        <v>31</v>
      </c>
      <c r="J243" s="12"/>
    </row>
    <row r="244" customFormat="false" ht="15" hidden="false" customHeight="false" outlineLevel="0" collapsed="false">
      <c r="A244" s="70" t="s">
        <v>250</v>
      </c>
      <c r="B244" s="71" t="str">
        <f aca="false" t="array" ref="B244:B254">IFERROR(VLOOKUP(I244:I254,Lectures_1!A2:F534,2,FALSE()),0)</f>
        <v>DIGITAL SIGNAL PROCESSING</v>
      </c>
      <c r="C244" s="71" t="str">
        <f aca="false" t="array" ref="C244:C254">IFERROR(VLOOKUP(I244:I254,Lectures_1!A2:F534,3,FALSE()),0)</f>
        <v>Akowuah Emmanuel Kofi</v>
      </c>
      <c r="D244" s="70" t="s">
        <v>251</v>
      </c>
      <c r="E244" s="72" t="n">
        <f aca="false" t="array" ref="E244:E254">IFERROR(VLOOKUP(I244:I254,Lectures_1!A2:F534,4,FALSE()),0)</f>
        <v>160</v>
      </c>
      <c r="F244" s="71" t="s">
        <v>34</v>
      </c>
      <c r="G244" s="73" t="n">
        <f aca="false">E244*1.1</f>
        <v>176</v>
      </c>
      <c r="I244" s="6" t="str">
        <f aca="false">CONCATENATE(A244,",",D244)</f>
        <v>COE 472,ED4-COE</v>
      </c>
      <c r="J244" s="12"/>
    </row>
    <row r="245" customFormat="false" ht="15" hidden="false" customHeight="false" outlineLevel="0" collapsed="false">
      <c r="A245" s="70" t="s">
        <v>250</v>
      </c>
      <c r="B245" s="71" t="str">
        <v>DIGITAL SIGNAL PROCESSING</v>
      </c>
      <c r="C245" s="71" t="str">
        <v>Adjei Prince Ebenezer</v>
      </c>
      <c r="D245" s="70" t="s">
        <v>252</v>
      </c>
      <c r="E245" s="72" t="n">
        <v>87</v>
      </c>
      <c r="F245" s="70" t="s">
        <v>721</v>
      </c>
      <c r="G245" s="73" t="n">
        <f aca="false">E245*1.1</f>
        <v>95.7</v>
      </c>
      <c r="H245" s="5" t="s">
        <v>722</v>
      </c>
      <c r="I245" s="6" t="str">
        <f aca="false">CONCATENATE(A245,",",D245)</f>
        <v>COE 472,ED4-BME</v>
      </c>
      <c r="J245" s="12"/>
    </row>
    <row r="246" customFormat="false" ht="15" hidden="false" customHeight="false" outlineLevel="0" collapsed="false">
      <c r="A246" s="70" t="s">
        <v>19</v>
      </c>
      <c r="B246" s="71" t="str">
        <v>ELECTRICAL ENG. DRAWING</v>
      </c>
      <c r="C246" s="74" t="str">
        <v>Kwegyir Daniel</v>
      </c>
      <c r="D246" s="70" t="s">
        <v>51</v>
      </c>
      <c r="E246" s="72" t="n">
        <v>295</v>
      </c>
      <c r="F246" s="75" t="s">
        <v>533</v>
      </c>
      <c r="G246" s="73" t="n">
        <f aca="false">E246*1.1</f>
        <v>324.5</v>
      </c>
      <c r="H246" s="5" t="s">
        <v>723</v>
      </c>
      <c r="I246" s="6" t="str">
        <f aca="false">CONCATENATE(A246,",",D246)</f>
        <v>EE 156,ED1-EE</v>
      </c>
      <c r="J246" s="12"/>
    </row>
    <row r="247" customFormat="false" ht="15" hidden="false" customHeight="false" outlineLevel="0" collapsed="false">
      <c r="A247" s="70" t="s">
        <v>253</v>
      </c>
      <c r="B247" s="74" t="str">
        <v>PHASE TRANSFORMATIONS</v>
      </c>
      <c r="C247" s="71" t="str">
        <v>Gikunoo Emmanuel</v>
      </c>
      <c r="D247" s="70" t="s">
        <v>210</v>
      </c>
      <c r="E247" s="72" t="n">
        <v>83</v>
      </c>
      <c r="F247" s="75" t="s">
        <v>724</v>
      </c>
      <c r="G247" s="73" t="n">
        <f aca="false">E247*1.1</f>
        <v>91.3</v>
      </c>
      <c r="H247" s="41" t="s">
        <v>725</v>
      </c>
      <c r="I247" s="6" t="str">
        <f aca="false">CONCATENATE(A247,",",D247)</f>
        <v>MSE 260,ED2-MSE</v>
      </c>
      <c r="J247" s="12"/>
    </row>
    <row r="248" customFormat="false" ht="15" hidden="false" customHeight="false" outlineLevel="0" collapsed="false">
      <c r="A248" s="70" t="s">
        <v>253</v>
      </c>
      <c r="B248" s="74" t="str">
        <v>PHASE TRANSFORMATIONS</v>
      </c>
      <c r="C248" s="71" t="str">
        <v>Gikunoo Emmanuel</v>
      </c>
      <c r="D248" s="70" t="s">
        <v>101</v>
      </c>
      <c r="E248" s="72" t="n">
        <v>57</v>
      </c>
      <c r="F248" s="75" t="s">
        <v>529</v>
      </c>
      <c r="G248" s="73" t="n">
        <f aca="false">E248*1.1</f>
        <v>62.7</v>
      </c>
      <c r="H248" s="5" t="s">
        <v>726</v>
      </c>
      <c r="I248" s="6" t="str">
        <f aca="false">CONCATENATE(A248,",",D248)</f>
        <v>MSE 260,ED2-METE</v>
      </c>
      <c r="J248" s="12"/>
    </row>
    <row r="249" customFormat="false" ht="15" hidden="false" customHeight="false" outlineLevel="0" collapsed="false">
      <c r="A249" s="70" t="s">
        <v>247</v>
      </c>
      <c r="B249" s="71" t="str">
        <v>INTRODUCTION TO SOIL MECHANICS</v>
      </c>
      <c r="C249" s="74" t="str">
        <v>Amenuvor Andrew Cudzo</v>
      </c>
      <c r="D249" s="70" t="s">
        <v>55</v>
      </c>
      <c r="E249" s="72" t="n">
        <v>150</v>
      </c>
      <c r="F249" s="75" t="s">
        <v>714</v>
      </c>
      <c r="G249" s="73" t="n">
        <f aca="false">E249*1.1</f>
        <v>165</v>
      </c>
      <c r="H249" s="5" t="s">
        <v>715</v>
      </c>
      <c r="I249" s="6" t="str">
        <f aca="false">CONCATENATE(A249,",",D249)</f>
        <v>GED 262,ED2-GEOL</v>
      </c>
      <c r="J249" s="12"/>
    </row>
    <row r="250" customFormat="false" ht="15" hidden="false" customHeight="false" outlineLevel="0" collapsed="false">
      <c r="A250" s="70" t="s">
        <v>254</v>
      </c>
      <c r="B250" s="71" t="str">
        <v>MECHANISMS SYNTHESIS AND ANALYSIS II</v>
      </c>
      <c r="C250" s="71" t="str">
        <v>David Kofi Oppong</v>
      </c>
      <c r="D250" s="70" t="s">
        <v>99</v>
      </c>
      <c r="E250" s="72" t="n">
        <v>17</v>
      </c>
      <c r="F250" s="75" t="s">
        <v>727</v>
      </c>
      <c r="G250" s="73" t="n">
        <f aca="false">E250*1.1</f>
        <v>18.7</v>
      </c>
      <c r="H250" s="5" t="n">
        <v>17</v>
      </c>
      <c r="I250" s="6" t="str">
        <f aca="false">CONCATENATE(A250,",",D250)</f>
        <v>ME 462,ED4-AERO</v>
      </c>
      <c r="J250" s="12"/>
    </row>
    <row r="251" customFormat="false" ht="15" hidden="false" customHeight="false" outlineLevel="0" collapsed="false">
      <c r="A251" s="70" t="s">
        <v>297</v>
      </c>
      <c r="B251" s="71" t="str">
        <v>CHEMICAL PROCESS CALCULATIONS II</v>
      </c>
      <c r="C251" s="71" t="str">
        <v>Ohemeng-Boahen Godfred</v>
      </c>
      <c r="D251" s="70" t="s">
        <v>14</v>
      </c>
      <c r="E251" s="72" t="n">
        <v>65</v>
      </c>
      <c r="F251" s="90" t="s">
        <v>574</v>
      </c>
      <c r="G251" s="73" t="n">
        <f aca="false">E251*1.1</f>
        <v>71.5</v>
      </c>
      <c r="H251" s="5" t="s">
        <v>638</v>
      </c>
      <c r="I251" s="6" t="str">
        <f aca="false">CONCATENATE(A251,",",D251)</f>
        <v>CHE 252,ED2-PCE</v>
      </c>
      <c r="J251" s="12"/>
    </row>
    <row r="252" customFormat="false" ht="15" hidden="false" customHeight="false" outlineLevel="0" collapsed="false">
      <c r="A252" s="70" t="s">
        <v>297</v>
      </c>
      <c r="B252" s="71" t="str">
        <v>CHEMICAL PROCESS CALCULATIONS II</v>
      </c>
      <c r="C252" s="74" t="str">
        <v>Rockson Mizpah Ama Dziedzorm</v>
      </c>
      <c r="D252" s="70" t="s">
        <v>13</v>
      </c>
      <c r="E252" s="72" t="n">
        <v>160</v>
      </c>
      <c r="F252" s="75" t="s">
        <v>706</v>
      </c>
      <c r="G252" s="73" t="n">
        <f aca="false">E252*1.1</f>
        <v>176</v>
      </c>
      <c r="H252" s="5" t="s">
        <v>728</v>
      </c>
      <c r="I252" s="6" t="str">
        <f aca="false">CONCATENATE(A252,",",D252)</f>
        <v>CHE 252,ED2-CHE</v>
      </c>
      <c r="J252" s="12"/>
    </row>
    <row r="253" customFormat="false" ht="15" hidden="false" customHeight="false" outlineLevel="0" collapsed="false">
      <c r="A253" s="70" t="s">
        <v>271</v>
      </c>
      <c r="B253" s="71" t="str">
        <v>ENGINEERING PROPERTIES OF POLYMERS</v>
      </c>
      <c r="C253" s="74" t="str">
        <v>Asare Eric Kwame Anokye</v>
      </c>
      <c r="D253" s="70" t="s">
        <v>140</v>
      </c>
      <c r="E253" s="72" t="n">
        <v>85</v>
      </c>
      <c r="F253" s="75" t="s">
        <v>729</v>
      </c>
      <c r="G253" s="73" t="n">
        <f aca="false">E253*1.1</f>
        <v>93.5</v>
      </c>
      <c r="H253" s="5" t="s">
        <v>730</v>
      </c>
      <c r="I253" s="6" t="str">
        <f aca="false">CONCATENATE(A253,",",D253)</f>
        <v>MSE 356,ED3-MSE</v>
      </c>
      <c r="J253" s="12"/>
    </row>
    <row r="254" customFormat="false" ht="15" hidden="false" customHeight="false" outlineLevel="0" collapsed="false">
      <c r="A254" s="70" t="s">
        <v>260</v>
      </c>
      <c r="B254" s="71" t="str">
        <v>BASIC ELECTRONICS</v>
      </c>
      <c r="C254" s="74" t="str">
        <v>Addo Daniel Akwei</v>
      </c>
      <c r="D254" s="70" t="s">
        <v>130</v>
      </c>
      <c r="E254" s="72" t="n">
        <v>136</v>
      </c>
      <c r="F254" s="75" t="s">
        <v>731</v>
      </c>
      <c r="G254" s="73" t="n">
        <f aca="false">E254*1.1</f>
        <v>149.6</v>
      </c>
      <c r="H254" s="5" t="s">
        <v>732</v>
      </c>
      <c r="I254" s="6" t="str">
        <f aca="false">CONCATENATE(A254,",",D254)</f>
        <v>COE 152,ED1-BME</v>
      </c>
      <c r="J254" s="12"/>
    </row>
    <row r="255" customFormat="false" ht="15" hidden="false" customHeight="false" outlineLevel="0" collapsed="false">
      <c r="A255" s="76"/>
      <c r="B255" s="76"/>
      <c r="C255" s="71"/>
      <c r="D255" s="71" t="s">
        <v>261</v>
      </c>
      <c r="E255" s="77" t="n">
        <f aca="false">SUM(E245:E254)</f>
        <v>1135</v>
      </c>
      <c r="F255" s="78"/>
      <c r="G255" s="79"/>
      <c r="I255" s="9" t="s">
        <v>262</v>
      </c>
      <c r="J255" s="12"/>
    </row>
    <row r="256" customFormat="false" ht="15" hidden="false" customHeight="false" outlineLevel="0" collapsed="false">
      <c r="A256" s="65" t="s">
        <v>243</v>
      </c>
      <c r="B256" s="65"/>
      <c r="C256" s="65"/>
      <c r="D256" s="65"/>
      <c r="E256" s="65"/>
      <c r="F256" s="65"/>
      <c r="G256" s="65"/>
      <c r="I256" s="9" t="str">
        <f aca="false">A256</f>
        <v>Monday, 24 August 2026</v>
      </c>
      <c r="J256" s="12"/>
    </row>
    <row r="257" customFormat="false" ht="15" hidden="false" customHeight="false" outlineLevel="0" collapsed="false">
      <c r="A257" s="65" t="s">
        <v>59</v>
      </c>
      <c r="B257" s="65"/>
      <c r="C257" s="65"/>
      <c r="D257" s="65"/>
      <c r="E257" s="65"/>
      <c r="F257" s="65"/>
      <c r="G257" s="65"/>
      <c r="I257" s="9" t="str">
        <f aca="false">A257</f>
        <v>Session, 3 (3:00 PM - 5:00 PM)</v>
      </c>
      <c r="J257" s="12"/>
    </row>
    <row r="258" customFormat="false" ht="15" hidden="false" customHeight="false" outlineLevel="0" collapsed="false">
      <c r="A258" s="66" t="s">
        <v>4</v>
      </c>
      <c r="B258" s="66" t="s">
        <v>5</v>
      </c>
      <c r="C258" s="67" t="s">
        <v>6</v>
      </c>
      <c r="D258" s="66" t="s">
        <v>7</v>
      </c>
      <c r="E258" s="68" t="s">
        <v>8</v>
      </c>
      <c r="F258" s="67" t="s">
        <v>9</v>
      </c>
      <c r="G258" s="69" t="s">
        <v>10</v>
      </c>
      <c r="I258" s="9" t="s">
        <v>31</v>
      </c>
      <c r="J258" s="12"/>
    </row>
    <row r="259" customFormat="false" ht="15" hidden="false" customHeight="false" outlineLevel="0" collapsed="false">
      <c r="A259" s="90" t="s">
        <v>263</v>
      </c>
      <c r="B259" s="71" t="str">
        <f aca="false" t="array" ref="B259:B268">IFERROR(VLOOKUP(I259:I268,Lectures_1!A2:F534,2,FALSE()),0)</f>
        <v>COMPUTER PROGRAMMING IN OIL AND GAS</v>
      </c>
      <c r="C259" s="71" t="str">
        <f aca="false" t="array" ref="C259:C268">IFERROR(VLOOKUP(I259:I268,Lectures_1!A2:F534,3,FALSE()),0)</f>
        <v>Sokama-Neuyam Yen Adams</v>
      </c>
      <c r="D259" s="90" t="s">
        <v>93</v>
      </c>
      <c r="E259" s="72" t="n">
        <f aca="false" t="array" ref="E259:E268">IFERROR(VLOOKUP(I259:I268,Lectures_1!A2:F534,4,FALSE()),0)</f>
        <v>95</v>
      </c>
      <c r="F259" s="75" t="s">
        <v>571</v>
      </c>
      <c r="G259" s="73" t="n">
        <f aca="false">E259*1.1</f>
        <v>104.5</v>
      </c>
      <c r="H259" s="5" t="s">
        <v>733</v>
      </c>
      <c r="I259" s="6" t="str">
        <f aca="false">CONCATENATE(A259,",",D259)</f>
        <v>PE 262,ED2-PE</v>
      </c>
      <c r="J259" s="42"/>
    </row>
    <row r="260" customFormat="false" ht="15" hidden="false" customHeight="false" outlineLevel="0" collapsed="false">
      <c r="A260" s="70" t="s">
        <v>264</v>
      </c>
      <c r="B260" s="74" t="str">
        <v>PETROLEUM PROJECT EVALUATION</v>
      </c>
      <c r="C260" s="74" t="str">
        <v>Sarkodie Kwame</v>
      </c>
      <c r="D260" s="70" t="s">
        <v>46</v>
      </c>
      <c r="E260" s="72" t="n">
        <v>99</v>
      </c>
      <c r="F260" s="75" t="s">
        <v>734</v>
      </c>
      <c r="G260" s="73" t="n">
        <f aca="false">E260*1.1</f>
        <v>108.9</v>
      </c>
      <c r="H260" s="5" t="s">
        <v>735</v>
      </c>
      <c r="I260" s="6" t="str">
        <f aca="false">CONCATENATE(A260,",",D260)</f>
        <v>PE 452,ED4-PE</v>
      </c>
      <c r="J260" s="12"/>
    </row>
    <row r="261" customFormat="false" ht="15" hidden="false" customHeight="false" outlineLevel="0" collapsed="false">
      <c r="A261" s="70" t="s">
        <v>265</v>
      </c>
      <c r="B261" s="74" t="str">
        <v>COMPUTER-AIDED DESIGN AND MANUFACTURING</v>
      </c>
      <c r="C261" s="71" t="str">
        <v>Afriyie Nyarko Frank Kwabena</v>
      </c>
      <c r="D261" s="70" t="s">
        <v>121</v>
      </c>
      <c r="E261" s="91" t="n">
        <v>70</v>
      </c>
      <c r="F261" s="75" t="s">
        <v>574</v>
      </c>
      <c r="G261" s="73" t="n">
        <f aca="false">E261*1.1</f>
        <v>77</v>
      </c>
      <c r="H261" s="5" t="s">
        <v>736</v>
      </c>
      <c r="I261" s="6" t="str">
        <f aca="false">CONCATENATE(A261,",",D261)</f>
        <v>IE 358,ED3-IND</v>
      </c>
      <c r="J261" s="12"/>
    </row>
    <row r="262" customFormat="false" ht="15" hidden="false" customHeight="false" outlineLevel="0" collapsed="false">
      <c r="A262" s="70" t="s">
        <v>266</v>
      </c>
      <c r="B262" s="71" t="str">
        <v>INTRODUCTION TO CAD/CAM</v>
      </c>
      <c r="C262" s="74" t="str">
        <v>Afriyie Nyarko Frank Kwabena</v>
      </c>
      <c r="D262" s="70" t="s">
        <v>88</v>
      </c>
      <c r="E262" s="72" t="n">
        <v>101</v>
      </c>
      <c r="F262" s="75" t="s">
        <v>582</v>
      </c>
      <c r="G262" s="73" t="n">
        <f aca="false">E262*1.1</f>
        <v>111.1</v>
      </c>
      <c r="H262" s="5" t="s">
        <v>737</v>
      </c>
      <c r="I262" s="6" t="str">
        <f aca="false">CONCATENATE(A262,",",D262)</f>
        <v>ME 376,ED3-AE</v>
      </c>
      <c r="J262" s="12"/>
    </row>
    <row r="263" customFormat="false" ht="17.9" hidden="false" customHeight="false" outlineLevel="0" collapsed="false">
      <c r="A263" s="70" t="s">
        <v>143</v>
      </c>
      <c r="B263" s="71" t="str">
        <v>ELECTRIC DRIVES</v>
      </c>
      <c r="C263" s="74" t="str">
        <v>Effah Francis Boafo</v>
      </c>
      <c r="D263" s="70" t="s">
        <v>144</v>
      </c>
      <c r="E263" s="72" t="n">
        <v>189</v>
      </c>
      <c r="F263" s="87" t="s">
        <v>533</v>
      </c>
      <c r="G263" s="73" t="n">
        <f aca="false">E263*1.1</f>
        <v>207.9</v>
      </c>
      <c r="H263" s="5" t="s">
        <v>738</v>
      </c>
      <c r="I263" s="6" t="str">
        <f aca="false">CONCATENATE(A263,",",D263)</f>
        <v>EE 462,ED4-EE</v>
      </c>
      <c r="J263" s="12"/>
    </row>
    <row r="264" customFormat="false" ht="15" hidden="false" customHeight="false" outlineLevel="0" collapsed="false">
      <c r="A264" s="70" t="s">
        <v>268</v>
      </c>
      <c r="B264" s="71" t="str">
        <v>STATICS OF SOLID MECHANICS</v>
      </c>
      <c r="C264" s="74" t="str">
        <v>Dzebre Denis Edem Kwame</v>
      </c>
      <c r="D264" s="70" t="s">
        <v>191</v>
      </c>
      <c r="E264" s="72" t="n">
        <v>70</v>
      </c>
      <c r="F264" s="75" t="s">
        <v>529</v>
      </c>
      <c r="G264" s="73" t="n">
        <f aca="false">E264*1.1</f>
        <v>77</v>
      </c>
      <c r="H264" s="5" t="s">
        <v>649</v>
      </c>
      <c r="I264" s="6" t="str">
        <f aca="false">CONCATENATE(A264,",",D264)</f>
        <v>ME 164,ED1-AERO</v>
      </c>
      <c r="J264" s="12"/>
    </row>
    <row r="265" customFormat="false" ht="15" hidden="false" customHeight="false" outlineLevel="0" collapsed="false">
      <c r="A265" s="70" t="s">
        <v>269</v>
      </c>
      <c r="B265" s="71" t="str">
        <v>NETWORK PLANNING AND OPTIMIZATION</v>
      </c>
      <c r="C265" s="74" t="str">
        <v>Kwasi Adu-Boahen Opare</v>
      </c>
      <c r="D265" s="70" t="s">
        <v>227</v>
      </c>
      <c r="E265" s="72" t="n">
        <v>138</v>
      </c>
      <c r="F265" s="75" t="s">
        <v>731</v>
      </c>
      <c r="G265" s="73" t="n">
        <f aca="false">E265*1.1</f>
        <v>151.8</v>
      </c>
      <c r="H265" s="5" t="s">
        <v>739</v>
      </c>
      <c r="I265" s="6" t="str">
        <f aca="false">CONCATENATE(A265,",",D265)</f>
        <v>TE 458,ED4-TEL</v>
      </c>
      <c r="J265" s="12"/>
    </row>
    <row r="266" customFormat="false" ht="15" hidden="false" customHeight="false" outlineLevel="0" collapsed="false">
      <c r="A266" s="70" t="s">
        <v>268</v>
      </c>
      <c r="B266" s="71" t="str">
        <v>ENGINEERING MECHANICS I: STATICS</v>
      </c>
      <c r="C266" s="74" t="str">
        <v>Dzebre Denis Edem Kwame</v>
      </c>
      <c r="D266" s="70" t="s">
        <v>161</v>
      </c>
      <c r="E266" s="72" t="n">
        <v>225</v>
      </c>
      <c r="F266" s="75" t="s">
        <v>740</v>
      </c>
      <c r="G266" s="73" t="n">
        <f aca="false">E266*1.1</f>
        <v>247.5</v>
      </c>
      <c r="H266" s="5" t="s">
        <v>741</v>
      </c>
      <c r="I266" s="6" t="str">
        <f aca="false">CONCATENATE(A266,",",D266)</f>
        <v>ME 164,ED1-ME</v>
      </c>
      <c r="J266" s="12"/>
    </row>
    <row r="267" customFormat="false" ht="15" hidden="false" customHeight="false" outlineLevel="0" collapsed="false">
      <c r="A267" s="70" t="s">
        <v>256</v>
      </c>
      <c r="B267" s="71" t="str">
        <v>HYDROMETALLURGICAL APPLICATIONS</v>
      </c>
      <c r="C267" s="74" t="str">
        <v>Agbe Henry</v>
      </c>
      <c r="D267" s="70" t="s">
        <v>142</v>
      </c>
      <c r="E267" s="72" t="n">
        <v>87</v>
      </c>
      <c r="F267" s="75" t="s">
        <v>742</v>
      </c>
      <c r="G267" s="73" t="n">
        <f aca="false">E267*1.1</f>
        <v>95.7</v>
      </c>
      <c r="H267" s="5" t="s">
        <v>743</v>
      </c>
      <c r="I267" s="6" t="str">
        <f aca="false">CONCATENATE(A267,",",D267)</f>
        <v>METE 352,ED3-METE</v>
      </c>
      <c r="J267" s="12"/>
    </row>
    <row r="268" customFormat="false" ht="15" hidden="false" customHeight="false" outlineLevel="0" collapsed="false">
      <c r="A268" s="70" t="s">
        <v>246</v>
      </c>
      <c r="B268" s="71" t="str">
        <v>PRINCIPLES OF GEOPHYSICS</v>
      </c>
      <c r="C268" s="74" t="str">
        <v>Ali Bukari</v>
      </c>
      <c r="D268" s="70" t="s">
        <v>154</v>
      </c>
      <c r="E268" s="72" t="n">
        <v>154</v>
      </c>
      <c r="F268" s="75" t="s">
        <v>706</v>
      </c>
      <c r="G268" s="73" t="n">
        <f aca="false">E268*1.1</f>
        <v>169.4</v>
      </c>
      <c r="H268" s="5" t="s">
        <v>744</v>
      </c>
      <c r="I268" s="6" t="str">
        <f aca="false">CONCATENATE(A268,",",D268)</f>
        <v>GED 354,ED3-GEOL</v>
      </c>
      <c r="J268" s="12"/>
    </row>
    <row r="269" customFormat="false" ht="15" hidden="false" customHeight="false" outlineLevel="0" collapsed="false">
      <c r="A269" s="70"/>
      <c r="B269" s="76"/>
      <c r="C269" s="67"/>
      <c r="D269" s="71" t="s">
        <v>272</v>
      </c>
      <c r="E269" s="77" t="n">
        <f aca="false">SUM(E259:E268)</f>
        <v>1228</v>
      </c>
      <c r="F269" s="78"/>
      <c r="G269" s="79"/>
      <c r="I269" s="9" t="s">
        <v>273</v>
      </c>
      <c r="J269" s="12"/>
    </row>
    <row r="270" customFormat="false" ht="15" hidden="false" customHeight="false" outlineLevel="0" collapsed="false">
      <c r="A270" s="65" t="s">
        <v>274</v>
      </c>
      <c r="B270" s="65"/>
      <c r="C270" s="65"/>
      <c r="D270" s="65"/>
      <c r="E270" s="65"/>
      <c r="F270" s="65"/>
      <c r="G270" s="65"/>
      <c r="I270" s="9" t="str">
        <f aca="false">A270</f>
        <v>Tuesday, 25 August 2026</v>
      </c>
      <c r="J270" s="12"/>
    </row>
    <row r="271" customFormat="false" ht="15" hidden="false" customHeight="false" outlineLevel="0" collapsed="false">
      <c r="A271" s="65" t="s">
        <v>2</v>
      </c>
      <c r="B271" s="65"/>
      <c r="C271" s="65"/>
      <c r="D271" s="65"/>
      <c r="E271" s="65"/>
      <c r="F271" s="65"/>
      <c r="G271" s="65"/>
      <c r="I271" s="9" t="str">
        <f aca="false">A271</f>
        <v>Session, 1 (8:30 AM - 10:30 AM)</v>
      </c>
      <c r="J271" s="12"/>
    </row>
    <row r="272" customFormat="false" ht="15" hidden="false" customHeight="false" outlineLevel="0" collapsed="false">
      <c r="A272" s="66" t="s">
        <v>4</v>
      </c>
      <c r="B272" s="66" t="s">
        <v>5</v>
      </c>
      <c r="C272" s="67" t="s">
        <v>6</v>
      </c>
      <c r="D272" s="66" t="s">
        <v>7</v>
      </c>
      <c r="E272" s="68" t="s">
        <v>8</v>
      </c>
      <c r="F272" s="67" t="s">
        <v>9</v>
      </c>
      <c r="G272" s="69" t="s">
        <v>10</v>
      </c>
      <c r="I272" s="9" t="s">
        <v>31</v>
      </c>
      <c r="J272" s="12"/>
    </row>
    <row r="273" customFormat="false" ht="15" hidden="false" customHeight="false" outlineLevel="0" collapsed="false">
      <c r="A273" s="70" t="s">
        <v>276</v>
      </c>
      <c r="B273" s="71" t="str">
        <f aca="false" t="array" ref="B273:B282">IFERROR(VLOOKUP(I273:I282,Lectures_1!A2:F534,2,FALSE()),0)</f>
        <v>LITERATURE IN ENGLISH II</v>
      </c>
      <c r="C273" s="71" t="str">
        <f aca="false" t="array" ref="C273:C282">IFERROR(VLOOKUP(I273:I282,Lectures_1!A2:F534,3,FALSE()),0)</f>
        <v>Yeboah Philomena Ama Okyeso</v>
      </c>
      <c r="D273" s="70" t="s">
        <v>53</v>
      </c>
      <c r="E273" s="72" t="n">
        <f aca="false" t="array" ref="E273:E282">IFERROR(VLOOKUP(I273:I282,Lectures_1!A2:F534,4,FALSE()),0)</f>
        <v>155</v>
      </c>
      <c r="F273" s="75" t="s">
        <v>745</v>
      </c>
      <c r="G273" s="73" t="n">
        <f aca="false">E273*1.1</f>
        <v>170.5</v>
      </c>
      <c r="H273" s="5" t="s">
        <v>746</v>
      </c>
      <c r="I273" s="6" t="str">
        <f aca="false">CONCATENATE(A273,",",D273)</f>
        <v>ENGL 264,ED2-AE</v>
      </c>
      <c r="J273" s="12"/>
    </row>
    <row r="274" customFormat="false" ht="15" hidden="false" customHeight="false" outlineLevel="0" collapsed="false">
      <c r="A274" s="70" t="s">
        <v>276</v>
      </c>
      <c r="B274" s="74" t="str">
        <v>LITERATURE IN ENGLISH II</v>
      </c>
      <c r="C274" s="71" t="str">
        <v>Yeboah Philomena Ama Okyeso</v>
      </c>
      <c r="D274" s="70" t="s">
        <v>36</v>
      </c>
      <c r="E274" s="72" t="n">
        <v>75</v>
      </c>
      <c r="F274" s="70" t="s">
        <v>545</v>
      </c>
      <c r="G274" s="73" t="n">
        <f aca="false">E274*1.1</f>
        <v>82.5</v>
      </c>
      <c r="H274" s="5" t="n">
        <v>75</v>
      </c>
      <c r="I274" s="6" t="str">
        <f aca="false">CONCATENATE(A274,",",D274)</f>
        <v>ENGL 264,ED2-AERO</v>
      </c>
      <c r="J274" s="12"/>
    </row>
    <row r="275" customFormat="false" ht="15" hidden="false" customHeight="false" outlineLevel="0" collapsed="false">
      <c r="A275" s="70" t="s">
        <v>276</v>
      </c>
      <c r="B275" s="74" t="str">
        <v>LITERATURE IN ENGLISH II</v>
      </c>
      <c r="C275" s="71" t="str">
        <v>Yeboah Philomena Ama Okyeso</v>
      </c>
      <c r="D275" s="70" t="s">
        <v>170</v>
      </c>
      <c r="E275" s="72" t="n">
        <v>132</v>
      </c>
      <c r="F275" s="90" t="s">
        <v>747</v>
      </c>
      <c r="G275" s="73" t="n">
        <f aca="false">E275*1.1</f>
        <v>145.2</v>
      </c>
      <c r="H275" s="5" t="s">
        <v>748</v>
      </c>
      <c r="I275" s="6" t="str">
        <f aca="false">CONCATENATE(A275,",",D275)</f>
        <v>ENGL 264,ED2-GEOM</v>
      </c>
      <c r="J275" s="12"/>
    </row>
    <row r="276" customFormat="false" ht="15" hidden="false" customHeight="false" outlineLevel="0" collapsed="false">
      <c r="A276" s="70" t="s">
        <v>276</v>
      </c>
      <c r="B276" s="74" t="str">
        <v>LITERATURE IN ENGLISH II</v>
      </c>
      <c r="C276" s="71" t="str">
        <v>Yeboah Philomena Ama Okyeso</v>
      </c>
      <c r="D276" s="70" t="s">
        <v>38</v>
      </c>
      <c r="E276" s="72" t="n">
        <v>80</v>
      </c>
      <c r="F276" s="70" t="s">
        <v>724</v>
      </c>
      <c r="G276" s="73" t="n">
        <f aca="false">E276*1.1</f>
        <v>88</v>
      </c>
      <c r="H276" s="5" t="s">
        <v>692</v>
      </c>
      <c r="I276" s="6" t="str">
        <f aca="false">CONCATENATE(A276,",",D276)</f>
        <v>ENGL 264,ED2-IND</v>
      </c>
      <c r="J276" s="12"/>
    </row>
    <row r="277" customFormat="false" ht="15" hidden="false" customHeight="false" outlineLevel="0" collapsed="false">
      <c r="A277" s="70" t="s">
        <v>277</v>
      </c>
      <c r="B277" s="71" t="str">
        <v>AIR VEHICLE STABILITY AND CONTROL</v>
      </c>
      <c r="C277" s="74" t="str">
        <v>Oppong David Kofi</v>
      </c>
      <c r="D277" s="70" t="s">
        <v>133</v>
      </c>
      <c r="E277" s="72" t="n">
        <v>76</v>
      </c>
      <c r="F277" s="70" t="s">
        <v>546</v>
      </c>
      <c r="G277" s="73" t="n">
        <f aca="false">E277*1.1</f>
        <v>83.6</v>
      </c>
      <c r="H277" s="5" t="n">
        <v>76</v>
      </c>
      <c r="I277" s="6" t="str">
        <f aca="false">CONCATENATE(A277,",",D277)</f>
        <v>AERO 362,ED3-AERO</v>
      </c>
      <c r="J277" s="12"/>
    </row>
    <row r="278" customFormat="false" ht="15" hidden="false" customHeight="false" outlineLevel="0" collapsed="false">
      <c r="A278" s="70" t="s">
        <v>257</v>
      </c>
      <c r="B278" s="74" t="str">
        <v>MODERN AUTOMOBILE TECHNOLOGY</v>
      </c>
      <c r="C278" s="71" t="str">
        <v>Ayetor Godwin Kafui Kwesi</v>
      </c>
      <c r="D278" s="70" t="s">
        <v>97</v>
      </c>
      <c r="E278" s="72" t="n">
        <v>32</v>
      </c>
      <c r="F278" s="70" t="s">
        <v>546</v>
      </c>
      <c r="G278" s="73" t="n">
        <f aca="false">E278*1.1</f>
        <v>35.2</v>
      </c>
      <c r="H278" s="5" t="n">
        <v>32</v>
      </c>
      <c r="I278" s="6" t="str">
        <f aca="false">CONCATENATE(A278,",",D278)</f>
        <v>AME 476,ED4-AUTO</v>
      </c>
      <c r="J278" s="12"/>
    </row>
    <row r="279" customFormat="false" ht="15" hidden="false" customHeight="false" outlineLevel="0" collapsed="false">
      <c r="A279" s="70" t="s">
        <v>285</v>
      </c>
      <c r="B279" s="71" t="str">
        <v>PETROLEUM GEOLOGY</v>
      </c>
      <c r="C279" s="74" t="str">
        <v>Borkloe Julius Kwame</v>
      </c>
      <c r="D279" s="70" t="s">
        <v>18</v>
      </c>
      <c r="E279" s="72" t="n">
        <v>80</v>
      </c>
      <c r="F279" s="90" t="s">
        <v>749</v>
      </c>
      <c r="G279" s="73" t="n">
        <f aca="false">E279*1.1</f>
        <v>88</v>
      </c>
      <c r="H279" s="5" t="s">
        <v>750</v>
      </c>
      <c r="I279" s="6" t="str">
        <f aca="false">CONCATENATE(A279,",",D279)</f>
        <v>PE 352,ED3-PE</v>
      </c>
      <c r="J279" s="12"/>
    </row>
    <row r="280" customFormat="false" ht="15" hidden="false" customHeight="false" outlineLevel="0" collapsed="false">
      <c r="A280" s="70" t="s">
        <v>278</v>
      </c>
      <c r="B280" s="71" t="str">
        <v>INTRO TO ENVIRONMENTAL ENG.</v>
      </c>
      <c r="C280" s="74" t="str">
        <v>Essandoh Helen Michelle Korkor</v>
      </c>
      <c r="D280" s="70" t="s">
        <v>56</v>
      </c>
      <c r="E280" s="72" t="n">
        <v>250</v>
      </c>
      <c r="F280" s="90" t="s">
        <v>531</v>
      </c>
      <c r="G280" s="73" t="n">
        <f aca="false">E280*1.1</f>
        <v>275</v>
      </c>
      <c r="H280" s="5" t="s">
        <v>751</v>
      </c>
      <c r="I280" s="6" t="str">
        <f aca="false">CONCATENATE(A280,",",D280)</f>
        <v>CE 264,ED2-CE</v>
      </c>
      <c r="J280" s="12"/>
    </row>
    <row r="281" s="45" customFormat="true" ht="15" hidden="false" customHeight="false" outlineLevel="0" collapsed="false">
      <c r="A281" s="70" t="s">
        <v>281</v>
      </c>
      <c r="B281" s="74" t="str">
        <v>CALCULUS WITH SEVERAL VARIABLES</v>
      </c>
      <c r="C281" s="71" t="str">
        <v>Boateng Maxwell Akwasi</v>
      </c>
      <c r="D281" s="70" t="s">
        <v>42</v>
      </c>
      <c r="E281" s="72" t="n">
        <v>37</v>
      </c>
      <c r="F281" s="75" t="s">
        <v>616</v>
      </c>
      <c r="G281" s="73" t="n">
        <f aca="false">E281*1.1</f>
        <v>40.7</v>
      </c>
      <c r="H281" s="5" t="n">
        <v>37</v>
      </c>
      <c r="I281" s="43" t="str">
        <f aca="false">CONCATENATE(A281,",",D281)</f>
        <v>MATH 252,ED2-MARI</v>
      </c>
      <c r="J281" s="44"/>
    </row>
    <row r="282" s="45" customFormat="true" ht="15" hidden="false" customHeight="false" outlineLevel="0" collapsed="false">
      <c r="A282" s="70" t="s">
        <v>281</v>
      </c>
      <c r="B282" s="74" t="str">
        <v>CALCULUS WITH SEVERAL VARIABLES</v>
      </c>
      <c r="C282" s="71" t="str">
        <v>Boateng Maxwell Akwasi</v>
      </c>
      <c r="D282" s="70" t="s">
        <v>33</v>
      </c>
      <c r="E282" s="72" t="n">
        <v>240</v>
      </c>
      <c r="F282" s="75" t="s">
        <v>556</v>
      </c>
      <c r="G282" s="73" t="n">
        <f aca="false">E282*1.1</f>
        <v>264</v>
      </c>
      <c r="H282" s="5" t="s">
        <v>752</v>
      </c>
      <c r="I282" s="43" t="str">
        <f aca="false">CONCATENATE(A282,",",D282)</f>
        <v>MATH 252,ED2-ME</v>
      </c>
      <c r="J282" s="44"/>
    </row>
    <row r="283" customFormat="false" ht="15" hidden="false" customHeight="false" outlineLevel="0" collapsed="false">
      <c r="A283" s="76"/>
      <c r="B283" s="76"/>
      <c r="C283" s="67"/>
      <c r="D283" s="71" t="s">
        <v>282</v>
      </c>
      <c r="E283" s="77" t="n">
        <f aca="false">SUM(E273:E282)</f>
        <v>1157</v>
      </c>
      <c r="F283" s="78"/>
      <c r="G283" s="79"/>
      <c r="I283" s="9" t="s">
        <v>283</v>
      </c>
      <c r="J283" s="12"/>
    </row>
    <row r="284" customFormat="false" ht="15" hidden="false" customHeight="false" outlineLevel="0" collapsed="false">
      <c r="A284" s="65" t="s">
        <v>274</v>
      </c>
      <c r="B284" s="65"/>
      <c r="C284" s="65"/>
      <c r="D284" s="65"/>
      <c r="E284" s="65"/>
      <c r="F284" s="65"/>
      <c r="G284" s="65"/>
      <c r="I284" s="9" t="str">
        <f aca="false">A284</f>
        <v>Tuesday, 25 August 2026</v>
      </c>
      <c r="J284" s="12"/>
    </row>
    <row r="285" customFormat="false" ht="15" hidden="false" customHeight="false" outlineLevel="0" collapsed="false">
      <c r="A285" s="65" t="s">
        <v>29</v>
      </c>
      <c r="B285" s="65"/>
      <c r="C285" s="65"/>
      <c r="D285" s="65"/>
      <c r="E285" s="65"/>
      <c r="F285" s="65"/>
      <c r="G285" s="65"/>
      <c r="I285" s="9" t="str">
        <f aca="false">A285</f>
        <v>Session, 2 (12:00 PM - 2:00 PM)</v>
      </c>
      <c r="J285" s="12"/>
    </row>
    <row r="286" customFormat="false" ht="15" hidden="false" customHeight="false" outlineLevel="0" collapsed="false">
      <c r="A286" s="66" t="s">
        <v>4</v>
      </c>
      <c r="B286" s="66" t="s">
        <v>5</v>
      </c>
      <c r="C286" s="67" t="s">
        <v>6</v>
      </c>
      <c r="D286" s="66" t="s">
        <v>7</v>
      </c>
      <c r="E286" s="68" t="s">
        <v>8</v>
      </c>
      <c r="F286" s="67" t="s">
        <v>9</v>
      </c>
      <c r="G286" s="69" t="s">
        <v>10</v>
      </c>
      <c r="I286" s="9" t="s">
        <v>31</v>
      </c>
      <c r="J286" s="12"/>
    </row>
    <row r="287" customFormat="false" ht="15" hidden="false" customHeight="false" outlineLevel="0" collapsed="false">
      <c r="A287" s="70" t="s">
        <v>234</v>
      </c>
      <c r="B287" s="71" t="str">
        <f aca="false" t="array" ref="B287:B298">IFERROR(VLOOKUP(I287:I298,Lectures_1!A2:F534,2,FALSE()),0)</f>
        <v>BASIC ELECTRONICS</v>
      </c>
      <c r="C287" s="71" t="str">
        <f aca="false" t="array" ref="C287:C298">IFERROR(VLOOKUP(I287:I298,Lectures_1!A2:F5343,3,FALSE()),0)</f>
        <v>Nicholas Kwesi Prah II</v>
      </c>
      <c r="D287" s="70" t="s">
        <v>191</v>
      </c>
      <c r="E287" s="72" t="n">
        <f aca="false" t="array" ref="E287:E298">IFERROR(VLOOKUP(I287:I298,Lectures_1!A2:F5343,4,FALSE()),0)</f>
        <v>70</v>
      </c>
      <c r="F287" s="75" t="s">
        <v>574</v>
      </c>
      <c r="G287" s="73" t="n">
        <f aca="false">E287*1.1</f>
        <v>77</v>
      </c>
      <c r="H287" s="5" t="s">
        <v>671</v>
      </c>
      <c r="I287" s="6" t="str">
        <f aca="false">CONCATENATE(A287,",",D287)</f>
        <v>EE 152,ED1-AERO</v>
      </c>
      <c r="J287" s="12"/>
    </row>
    <row r="288" customFormat="false" ht="15" hidden="false" customHeight="false" outlineLevel="0" collapsed="false">
      <c r="A288" s="70" t="s">
        <v>234</v>
      </c>
      <c r="B288" s="71" t="str">
        <v>BASIC ELECTRONICS</v>
      </c>
      <c r="C288" s="71" t="str">
        <v>Nicholas Kwesi Prah II</v>
      </c>
      <c r="D288" s="70" t="s">
        <v>112</v>
      </c>
      <c r="E288" s="72" t="n">
        <v>46</v>
      </c>
      <c r="F288" s="90" t="s">
        <v>753</v>
      </c>
      <c r="G288" s="73" t="n">
        <f aca="false">E288*1.1</f>
        <v>50.6</v>
      </c>
      <c r="H288" s="3" t="s">
        <v>754</v>
      </c>
      <c r="I288" s="6" t="str">
        <f aca="false">CONCATENATE(A288,",",D288)</f>
        <v>EE 152,ED1-MARI</v>
      </c>
      <c r="J288" s="12"/>
    </row>
    <row r="289" customFormat="false" ht="15" hidden="false" customHeight="false" outlineLevel="0" collapsed="false">
      <c r="A289" s="70" t="s">
        <v>234</v>
      </c>
      <c r="B289" s="71" t="str">
        <v>BASIC ELECTRONICS</v>
      </c>
      <c r="C289" s="71" t="str">
        <v>Nicholas Kwesi Prah II</v>
      </c>
      <c r="D289" s="70" t="s">
        <v>111</v>
      </c>
      <c r="E289" s="72" t="n">
        <v>83</v>
      </c>
      <c r="F289" s="90" t="s">
        <v>755</v>
      </c>
      <c r="G289" s="73" t="n">
        <f aca="false">E289*1.1</f>
        <v>91.3</v>
      </c>
      <c r="H289" s="5" t="s">
        <v>756</v>
      </c>
      <c r="I289" s="6" t="str">
        <f aca="false">CONCATENATE(A289,",",D289)</f>
        <v>EE 152,ED1-IND</v>
      </c>
      <c r="J289" s="12"/>
    </row>
    <row r="290" customFormat="false" ht="17.9" hidden="false" customHeight="false" outlineLevel="0" collapsed="false">
      <c r="A290" s="70" t="s">
        <v>234</v>
      </c>
      <c r="B290" s="71" t="str">
        <v>BASIC ELECTRONICS</v>
      </c>
      <c r="C290" s="71" t="str">
        <v>Nicholas Kwesi Prah II</v>
      </c>
      <c r="D290" s="70" t="s">
        <v>162</v>
      </c>
      <c r="E290" s="72" t="n">
        <v>85</v>
      </c>
      <c r="F290" s="88" t="s">
        <v>571</v>
      </c>
      <c r="G290" s="73" t="n">
        <f aca="false">E290*1.1</f>
        <v>93.5</v>
      </c>
      <c r="H290" s="3" t="s">
        <v>757</v>
      </c>
      <c r="I290" s="6" t="str">
        <f aca="false">CONCATENATE(A290,",",D290)</f>
        <v>EE 152,ED1-AUTO</v>
      </c>
      <c r="J290" s="12"/>
    </row>
    <row r="291" customFormat="false" ht="15" hidden="false" customHeight="false" outlineLevel="0" collapsed="false">
      <c r="A291" s="70" t="s">
        <v>234</v>
      </c>
      <c r="B291" s="71" t="str">
        <v>BASIC ELECTRONICS</v>
      </c>
      <c r="C291" s="71" t="str">
        <v>Twumasi Elvis</v>
      </c>
      <c r="D291" s="70" t="s">
        <v>81</v>
      </c>
      <c r="E291" s="72" t="n">
        <v>56</v>
      </c>
      <c r="F291" s="75" t="s">
        <v>758</v>
      </c>
      <c r="G291" s="73" t="n">
        <f aca="false">E291*1.1</f>
        <v>61.6</v>
      </c>
      <c r="H291" s="5" t="s">
        <v>759</v>
      </c>
      <c r="I291" s="6" t="str">
        <f aca="false">CONCATENATE(A291,",",D291)</f>
        <v>EE 152,ED1-PCE</v>
      </c>
      <c r="J291" s="12"/>
    </row>
    <row r="292" customFormat="false" ht="15" hidden="false" customHeight="false" outlineLevel="0" collapsed="false">
      <c r="A292" s="70" t="s">
        <v>234</v>
      </c>
      <c r="B292" s="71" t="str">
        <v>BASIC ELECTRONICS</v>
      </c>
      <c r="C292" s="71" t="str">
        <v>Twumasi Elvis</v>
      </c>
      <c r="D292" s="70" t="s">
        <v>82</v>
      </c>
      <c r="E292" s="72" t="n">
        <v>130</v>
      </c>
      <c r="F292" s="75" t="s">
        <v>760</v>
      </c>
      <c r="G292" s="73" t="n">
        <f aca="false">E292*1.1</f>
        <v>143</v>
      </c>
      <c r="H292" s="5" t="s">
        <v>761</v>
      </c>
      <c r="I292" s="6" t="str">
        <f aca="false">CONCATENATE(A292,",",D292)</f>
        <v>EE 152,ED1-PE</v>
      </c>
      <c r="J292" s="12"/>
    </row>
    <row r="293" customFormat="false" ht="15" hidden="false" customHeight="false" outlineLevel="0" collapsed="false">
      <c r="A293" s="70" t="s">
        <v>234</v>
      </c>
      <c r="B293" s="74" t="str">
        <v>BASIC ELECTRONICS</v>
      </c>
      <c r="C293" s="71" t="str">
        <v>Nicholas Kwesi Prah II</v>
      </c>
      <c r="D293" s="70" t="s">
        <v>131</v>
      </c>
      <c r="E293" s="72" t="n">
        <v>128</v>
      </c>
      <c r="F293" s="70" t="s">
        <v>731</v>
      </c>
      <c r="G293" s="73" t="n">
        <f aca="false">E293*1.1</f>
        <v>140.8</v>
      </c>
      <c r="H293" s="5" t="s">
        <v>762</v>
      </c>
      <c r="I293" s="6" t="str">
        <f aca="false">CONCATENATE(A293,",",D293)</f>
        <v>EE 152,ED1-AE</v>
      </c>
      <c r="J293" s="12"/>
    </row>
    <row r="294" customFormat="false" ht="15" hidden="false" customHeight="false" outlineLevel="0" collapsed="false">
      <c r="A294" s="70" t="s">
        <v>234</v>
      </c>
      <c r="B294" s="74" t="str">
        <v>BASIC ELECTRONICS</v>
      </c>
      <c r="C294" s="74" t="str">
        <v>Affum Emmanuel Ampoma</v>
      </c>
      <c r="D294" s="70" t="s">
        <v>91</v>
      </c>
      <c r="E294" s="72" t="n">
        <v>130</v>
      </c>
      <c r="F294" s="75" t="s">
        <v>763</v>
      </c>
      <c r="G294" s="73" t="n">
        <f aca="false">E294*1.1</f>
        <v>143</v>
      </c>
      <c r="H294" s="5" t="s">
        <v>764</v>
      </c>
      <c r="I294" s="6" t="str">
        <f aca="false">CONCATENATE(A294,",",D294)</f>
        <v>EE 152,ED1-TEL</v>
      </c>
      <c r="J294" s="12"/>
    </row>
    <row r="295" customFormat="false" ht="15" hidden="false" customHeight="false" outlineLevel="0" collapsed="false">
      <c r="A295" s="70" t="s">
        <v>260</v>
      </c>
      <c r="B295" s="71" t="str">
        <v>BASIC ELECTRONICS</v>
      </c>
      <c r="C295" s="74" t="str">
        <v>Klogo Griffith Selorm</v>
      </c>
      <c r="D295" s="70" t="s">
        <v>20</v>
      </c>
      <c r="E295" s="72" t="n">
        <v>262</v>
      </c>
      <c r="F295" s="75" t="s">
        <v>533</v>
      </c>
      <c r="G295" s="73" t="n">
        <f aca="false">E295*1.1</f>
        <v>288.2</v>
      </c>
      <c r="H295" s="5" t="s">
        <v>534</v>
      </c>
      <c r="I295" s="6" t="str">
        <f aca="false">CONCATENATE(A295,",",D295)</f>
        <v>COE 152,ED1-COE</v>
      </c>
      <c r="J295" s="12"/>
    </row>
    <row r="296" customFormat="false" ht="15" hidden="false" customHeight="false" outlineLevel="0" collapsed="false">
      <c r="A296" s="70" t="s">
        <v>289</v>
      </c>
      <c r="B296" s="74" t="str">
        <v>WASTE MANAGEMENT</v>
      </c>
      <c r="C296" s="74" t="str">
        <v>Koomson Bennetta</v>
      </c>
      <c r="D296" s="70" t="s">
        <v>135</v>
      </c>
      <c r="E296" s="72" t="n">
        <v>60</v>
      </c>
      <c r="F296" s="75" t="s">
        <v>529</v>
      </c>
      <c r="G296" s="73" t="n">
        <f aca="false">E296*1.1</f>
        <v>66</v>
      </c>
      <c r="H296" s="5" t="s">
        <v>765</v>
      </c>
      <c r="I296" s="6" t="str">
        <f aca="false">CONCATENATE(A296,",",D296)</f>
        <v>MSE 452,ED4-MSE</v>
      </c>
      <c r="J296" s="12"/>
    </row>
    <row r="297" customFormat="false" ht="15" hidden="false" customHeight="false" outlineLevel="0" collapsed="false">
      <c r="A297" s="70" t="s">
        <v>290</v>
      </c>
      <c r="B297" s="71" t="str">
        <v>METALLURGICAL WASTE MANAGEMENT</v>
      </c>
      <c r="C297" s="74" t="str">
        <v>Koomson Bennetta</v>
      </c>
      <c r="D297" s="75" t="s">
        <v>136</v>
      </c>
      <c r="E297" s="72" t="n">
        <v>55</v>
      </c>
      <c r="F297" s="75" t="s">
        <v>766</v>
      </c>
      <c r="G297" s="73" t="n">
        <f aca="false">E297*1.1</f>
        <v>60.5</v>
      </c>
      <c r="H297" s="27" t="s">
        <v>767</v>
      </c>
      <c r="I297" s="6" t="str">
        <f aca="false">CONCATENATE(A297,",",D297)</f>
        <v>METE 454,ED4-METE</v>
      </c>
      <c r="J297" s="12"/>
    </row>
    <row r="298" customFormat="false" ht="15" hidden="false" customHeight="false" outlineLevel="0" collapsed="false">
      <c r="A298" s="70" t="s">
        <v>279</v>
      </c>
      <c r="B298" s="71" t="str">
        <v>MICROPROCESSORS AND MECHATRONICS APPLICATIONS</v>
      </c>
      <c r="C298" s="71" t="str">
        <v>Sackey Michael Nii</v>
      </c>
      <c r="D298" s="70" t="s">
        <v>23</v>
      </c>
      <c r="E298" s="72" t="n">
        <v>40</v>
      </c>
      <c r="F298" s="90" t="s">
        <v>616</v>
      </c>
      <c r="G298" s="73" t="n">
        <f aca="false">E298*1.1</f>
        <v>44</v>
      </c>
      <c r="H298" s="5" t="n">
        <v>40</v>
      </c>
      <c r="I298" s="6" t="str">
        <f aca="false">CONCATENATE(A298,",",D298)</f>
        <v>AME 384,ED3-AUTO</v>
      </c>
      <c r="J298" s="12"/>
    </row>
    <row r="299" customFormat="false" ht="15" hidden="false" customHeight="false" outlineLevel="0" collapsed="false">
      <c r="A299" s="76"/>
      <c r="B299" s="76"/>
      <c r="C299" s="67"/>
      <c r="D299" s="71" t="s">
        <v>287</v>
      </c>
      <c r="E299" s="77" t="n">
        <f aca="false">SUM(E287:E298)</f>
        <v>1145</v>
      </c>
      <c r="F299" s="78"/>
      <c r="G299" s="79"/>
      <c r="I299" s="9" t="s">
        <v>288</v>
      </c>
      <c r="J299" s="12"/>
    </row>
    <row r="300" customFormat="false" ht="15" hidden="false" customHeight="false" outlineLevel="0" collapsed="false">
      <c r="A300" s="65" t="s">
        <v>274</v>
      </c>
      <c r="B300" s="65"/>
      <c r="C300" s="65"/>
      <c r="D300" s="65"/>
      <c r="E300" s="65"/>
      <c r="F300" s="65"/>
      <c r="G300" s="65"/>
      <c r="I300" s="9" t="str">
        <f aca="false">A300</f>
        <v>Tuesday, 25 August 2026</v>
      </c>
      <c r="J300" s="12"/>
    </row>
    <row r="301" customFormat="false" ht="15" hidden="false" customHeight="false" outlineLevel="0" collapsed="false">
      <c r="A301" s="65" t="s">
        <v>59</v>
      </c>
      <c r="B301" s="65"/>
      <c r="C301" s="65"/>
      <c r="D301" s="65"/>
      <c r="E301" s="65"/>
      <c r="F301" s="65"/>
      <c r="G301" s="65"/>
      <c r="I301" s="9" t="str">
        <f aca="false">A301</f>
        <v>Session, 3 (3:00 PM - 5:00 PM)</v>
      </c>
      <c r="J301" s="12"/>
    </row>
    <row r="302" customFormat="false" ht="15" hidden="false" customHeight="false" outlineLevel="0" collapsed="false">
      <c r="A302" s="66" t="s">
        <v>4</v>
      </c>
      <c r="B302" s="66" t="s">
        <v>5</v>
      </c>
      <c r="C302" s="67" t="s">
        <v>6</v>
      </c>
      <c r="D302" s="66" t="s">
        <v>7</v>
      </c>
      <c r="E302" s="68" t="s">
        <v>8</v>
      </c>
      <c r="F302" s="74" t="s">
        <v>9</v>
      </c>
      <c r="G302" s="69" t="s">
        <v>10</v>
      </c>
      <c r="I302" s="9" t="s">
        <v>31</v>
      </c>
      <c r="J302" s="12"/>
    </row>
    <row r="303" customFormat="false" ht="15" hidden="false" customHeight="false" outlineLevel="0" collapsed="false">
      <c r="A303" s="70" t="s">
        <v>296</v>
      </c>
      <c r="B303" s="71" t="str">
        <f aca="false" t="array" ref="B303:B311">IFERROR(VLOOKUP(I303:I311,Lectures_1!A2:F534,2,FALSE()),0)</f>
        <v>ENVIRONMENTAL IMPACT ASSESSMENT</v>
      </c>
      <c r="C303" s="71" t="str">
        <f aca="false" t="array" ref="C303:C311">IFERROR(VLOOKUP(I303:I311,Lectures_1!A2:F534,3,FALSE()),0)</f>
        <v>Afotey Benjamin</v>
      </c>
      <c r="D303" s="70" t="s">
        <v>63</v>
      </c>
      <c r="E303" s="72" t="n">
        <f aca="false" t="array" ref="E303:E311">IFERROR(VLOOKUP(I303:I311,Lectures_1!A2:F534,4,FALSE()),0)</f>
        <v>30</v>
      </c>
      <c r="F303" s="75" t="s">
        <v>541</v>
      </c>
      <c r="G303" s="73" t="n">
        <f aca="false">E303*1.1</f>
        <v>33</v>
      </c>
      <c r="H303" s="5" t="n">
        <v>30</v>
      </c>
      <c r="I303" s="6" t="str">
        <f aca="false">CONCATENATE(A303,",",D303)</f>
        <v>CHE 370,ED3-PCE</v>
      </c>
      <c r="J303" s="12"/>
    </row>
    <row r="304" s="45" customFormat="true" ht="15" hidden="false" customHeight="false" outlineLevel="0" collapsed="false">
      <c r="A304" s="70" t="s">
        <v>291</v>
      </c>
      <c r="B304" s="74" t="str">
        <v>HYDRAULIC ENGINEERING</v>
      </c>
      <c r="C304" s="74" t="str">
        <v>Adjei Kwaku Amaning</v>
      </c>
      <c r="D304" s="70" t="s">
        <v>157</v>
      </c>
      <c r="E304" s="72" t="n">
        <v>230</v>
      </c>
      <c r="F304" s="75" t="s">
        <v>768</v>
      </c>
      <c r="G304" s="73" t="n">
        <f aca="false">E304*1.1</f>
        <v>253</v>
      </c>
      <c r="H304" s="5" t="s">
        <v>769</v>
      </c>
      <c r="I304" s="43" t="str">
        <f aca="false">CONCATENATE(A304,",",D304)</f>
        <v>CE 356,ED3-CE</v>
      </c>
      <c r="J304" s="44"/>
    </row>
    <row r="305" customFormat="false" ht="15" hidden="false" customHeight="false" outlineLevel="0" collapsed="false">
      <c r="A305" s="70" t="s">
        <v>292</v>
      </c>
      <c r="B305" s="71" t="str">
        <v>MARINE MAINTENANCE ENGINEERING</v>
      </c>
      <c r="C305" s="71" t="str">
        <v>Peter Oppong Tawiah </v>
      </c>
      <c r="D305" s="70" t="s">
        <v>69</v>
      </c>
      <c r="E305" s="72" t="n">
        <v>23</v>
      </c>
      <c r="F305" s="75" t="s">
        <v>770</v>
      </c>
      <c r="G305" s="73" t="n">
        <f aca="false">E305*1.1</f>
        <v>25.3</v>
      </c>
      <c r="H305" s="5" t="n">
        <v>23</v>
      </c>
      <c r="I305" s="6" t="str">
        <f aca="false">CONCATENATE(A305,",",D305)</f>
        <v>MME 494,ED4-MARI</v>
      </c>
      <c r="J305" s="12"/>
    </row>
    <row r="306" customFormat="false" ht="15" hidden="false" customHeight="false" outlineLevel="0" collapsed="false">
      <c r="A306" s="70" t="s">
        <v>293</v>
      </c>
      <c r="B306" s="74" t="str">
        <v>MAINTENANCE ENGINEERING</v>
      </c>
      <c r="C306" s="74" t="str">
        <v>Peter Oppong Tawiah </v>
      </c>
      <c r="D306" s="70" t="s">
        <v>67</v>
      </c>
      <c r="E306" s="72" t="n">
        <v>135</v>
      </c>
      <c r="F306" s="75" t="s">
        <v>731</v>
      </c>
      <c r="G306" s="73" t="n">
        <f aca="false">E306*1.1</f>
        <v>148.5</v>
      </c>
      <c r="H306" s="5" t="s">
        <v>771</v>
      </c>
      <c r="I306" s="6" t="str">
        <f aca="false">CONCATENATE(A306,",",D306)</f>
        <v>ME 494,ED4-ME</v>
      </c>
      <c r="J306" s="12"/>
    </row>
    <row r="307" customFormat="false" ht="15" hidden="false" customHeight="false" outlineLevel="0" collapsed="false">
      <c r="A307" s="70" t="s">
        <v>293</v>
      </c>
      <c r="B307" s="74" t="str">
        <v>MAINTENANCE ENGINEERING</v>
      </c>
      <c r="C307" s="74" t="str">
        <v>Peter Oppong Tawiah </v>
      </c>
      <c r="D307" s="70" t="s">
        <v>124</v>
      </c>
      <c r="E307" s="72" t="n">
        <v>69</v>
      </c>
      <c r="F307" s="75" t="s">
        <v>641</v>
      </c>
      <c r="G307" s="73" t="n">
        <f aca="false">E307*1.1</f>
        <v>75.9</v>
      </c>
      <c r="H307" s="5" t="s">
        <v>772</v>
      </c>
      <c r="I307" s="6" t="str">
        <f aca="false">CONCATENATE(A307,",",D307)</f>
        <v>ME 494,ED4-IND</v>
      </c>
      <c r="J307" s="12"/>
    </row>
    <row r="308" customFormat="false" ht="15" hidden="false" customHeight="false" outlineLevel="0" collapsed="false">
      <c r="A308" s="70" t="s">
        <v>294</v>
      </c>
      <c r="B308" s="74" t="str">
        <v>KINETICS OF CHEMICAL REACTIONS</v>
      </c>
      <c r="C308" s="71" t="str">
        <v>Patrick Aggrey</v>
      </c>
      <c r="D308" s="70" t="s">
        <v>115</v>
      </c>
      <c r="E308" s="72" t="n">
        <v>100</v>
      </c>
      <c r="F308" s="70" t="s">
        <v>571</v>
      </c>
      <c r="G308" s="73" t="n">
        <f aca="false">E308*1.1</f>
        <v>110</v>
      </c>
      <c r="H308" s="5" t="s">
        <v>602</v>
      </c>
      <c r="I308" s="6" t="str">
        <f aca="false">CONCATENATE(A308,",",D308)</f>
        <v>MSE 152,ED1-MSE</v>
      </c>
      <c r="J308" s="12"/>
    </row>
    <row r="309" customFormat="false" ht="15" hidden="false" customHeight="false" outlineLevel="0" collapsed="false">
      <c r="A309" s="70" t="s">
        <v>295</v>
      </c>
      <c r="B309" s="74" t="str">
        <v>CHEMISTRY FOR METALLURGICAL ENGINEERS</v>
      </c>
      <c r="C309" s="71" t="str">
        <v>Patrick Aggrey</v>
      </c>
      <c r="D309" s="70" t="s">
        <v>114</v>
      </c>
      <c r="E309" s="72" t="n">
        <v>75</v>
      </c>
      <c r="F309" s="75" t="s">
        <v>574</v>
      </c>
      <c r="G309" s="73" t="n">
        <f aca="false">E309*1.1</f>
        <v>82.5</v>
      </c>
      <c r="H309" s="5" t="s">
        <v>773</v>
      </c>
      <c r="I309" s="6" t="str">
        <f aca="false">CONCATENATE(A309,",",D309)</f>
        <v>METE 152,ED1-METE</v>
      </c>
      <c r="J309" s="12"/>
    </row>
    <row r="310" customFormat="false" ht="15" hidden="false" customHeight="false" outlineLevel="0" collapsed="false">
      <c r="A310" s="70" t="s">
        <v>397</v>
      </c>
      <c r="B310" s="74" t="str">
        <v>CHEMICAL ENGINEERING THERMODYNAMICS II</v>
      </c>
      <c r="C310" s="74" t="str">
        <v>Bonsu Jude Kwaku</v>
      </c>
      <c r="D310" s="70" t="s">
        <v>13</v>
      </c>
      <c r="E310" s="72" t="n">
        <v>160</v>
      </c>
      <c r="F310" s="75" t="s">
        <v>617</v>
      </c>
      <c r="G310" s="73" t="n">
        <f aca="false">E310*1.1</f>
        <v>176</v>
      </c>
      <c r="H310" s="5" t="s">
        <v>774</v>
      </c>
      <c r="I310" s="6" t="str">
        <f aca="false">CONCATENATE(A310,",",D310)</f>
        <v>CHE 254,ED2-CHE</v>
      </c>
      <c r="J310" s="12"/>
    </row>
    <row r="311" customFormat="false" ht="15" hidden="false" customHeight="false" outlineLevel="0" collapsed="false">
      <c r="A311" s="70" t="s">
        <v>286</v>
      </c>
      <c r="B311" s="74" t="str">
        <v>POWER ELECTRONICS</v>
      </c>
      <c r="C311" s="74" t="str">
        <v>Effah Francis Boafo</v>
      </c>
      <c r="D311" s="70" t="s">
        <v>71</v>
      </c>
      <c r="E311" s="72" t="n">
        <v>240</v>
      </c>
      <c r="F311" s="75" t="s">
        <v>533</v>
      </c>
      <c r="G311" s="73" t="n">
        <f aca="false">E311*1.1</f>
        <v>264</v>
      </c>
      <c r="H311" s="5" t="s">
        <v>775</v>
      </c>
      <c r="I311" s="6" t="str">
        <f aca="false">CONCATENATE(A311,",",D311)</f>
        <v>EE 366,ED3-EE</v>
      </c>
      <c r="J311" s="12"/>
    </row>
    <row r="312" customFormat="false" ht="15" hidden="false" customHeight="false" outlineLevel="0" collapsed="false">
      <c r="A312" s="76"/>
      <c r="B312" s="76"/>
      <c r="C312" s="67"/>
      <c r="D312" s="71" t="s">
        <v>298</v>
      </c>
      <c r="E312" s="77" t="n">
        <f aca="false">SUM(E303:E311)</f>
        <v>1062</v>
      </c>
      <c r="F312" s="78"/>
      <c r="G312" s="79"/>
      <c r="I312" s="9" t="s">
        <v>299</v>
      </c>
      <c r="J312" s="12"/>
    </row>
    <row r="313" customFormat="false" ht="15" hidden="false" customHeight="false" outlineLevel="0" collapsed="false">
      <c r="A313" s="65" t="s">
        <v>300</v>
      </c>
      <c r="B313" s="65"/>
      <c r="C313" s="65"/>
      <c r="D313" s="65"/>
      <c r="E313" s="65"/>
      <c r="F313" s="65"/>
      <c r="G313" s="65"/>
      <c r="I313" s="9" t="str">
        <f aca="false">A313</f>
        <v>Wednesday, 26 August 2026</v>
      </c>
      <c r="J313" s="12"/>
    </row>
    <row r="314" customFormat="false" ht="15" hidden="false" customHeight="false" outlineLevel="0" collapsed="false">
      <c r="A314" s="65" t="s">
        <v>2</v>
      </c>
      <c r="B314" s="65"/>
      <c r="C314" s="65"/>
      <c r="D314" s="65"/>
      <c r="E314" s="65"/>
      <c r="F314" s="65"/>
      <c r="G314" s="65"/>
      <c r="I314" s="9" t="str">
        <f aca="false">A314</f>
        <v>Session, 1 (8:30 AM - 10:30 AM)</v>
      </c>
      <c r="J314" s="12"/>
    </row>
    <row r="315" customFormat="false" ht="15" hidden="false" customHeight="false" outlineLevel="0" collapsed="false">
      <c r="A315" s="66" t="s">
        <v>4</v>
      </c>
      <c r="B315" s="66" t="s">
        <v>5</v>
      </c>
      <c r="C315" s="67" t="s">
        <v>6</v>
      </c>
      <c r="D315" s="66" t="s">
        <v>7</v>
      </c>
      <c r="E315" s="68" t="s">
        <v>8</v>
      </c>
      <c r="F315" s="74" t="s">
        <v>9</v>
      </c>
      <c r="G315" s="69" t="s">
        <v>10</v>
      </c>
      <c r="I315" s="9" t="s">
        <v>31</v>
      </c>
      <c r="J315" s="12"/>
    </row>
    <row r="316" customFormat="false" ht="15" hidden="false" customHeight="false" outlineLevel="0" collapsed="false">
      <c r="A316" s="70" t="s">
        <v>281</v>
      </c>
      <c r="B316" s="71" t="str">
        <f aca="false" t="array" ref="B316:B337">IFERROR(VLOOKUP(I316:I337,Lectures_1!A2:F534,2,FALSE()),0)</f>
        <v>CALCULUS WITH SEVERAL VARIABLES</v>
      </c>
      <c r="C316" s="74" t="str">
        <f aca="false" t="array" ref="C316:C337">IFERROR(VLOOKUP(I316:I337,Lectures_1!A2:F534,3,FALSE()),0)</f>
        <v>Eghan Rhydal Esi</v>
      </c>
      <c r="D316" s="70" t="s">
        <v>109</v>
      </c>
      <c r="E316" s="72" t="n">
        <f aca="false" t="array" ref="E316:E337">IFERROR(VLOOKUP(I316:I337,Lectures_1!A2:F534,4,FALSE()),0)</f>
        <v>80</v>
      </c>
      <c r="F316" s="81" t="s">
        <v>34</v>
      </c>
      <c r="G316" s="73" t="n">
        <f aca="false">E316*1.1</f>
        <v>88</v>
      </c>
      <c r="I316" s="6" t="str">
        <f aca="false">CONCATENATE(A316,",",D316)</f>
        <v>MATH 252,ED2-BME</v>
      </c>
      <c r="J316" s="12"/>
    </row>
    <row r="317" customFormat="false" ht="15" hidden="false" customHeight="false" outlineLevel="0" collapsed="false">
      <c r="A317" s="70" t="s">
        <v>281</v>
      </c>
      <c r="B317" s="71" t="str">
        <v>CALCULUS WITH SEVERAL VARIABLES</v>
      </c>
      <c r="C317" s="74" t="str">
        <v>Eghan Rhydal Esi</v>
      </c>
      <c r="D317" s="70" t="s">
        <v>40</v>
      </c>
      <c r="E317" s="72" t="n">
        <v>82</v>
      </c>
      <c r="F317" s="81"/>
      <c r="G317" s="73" t="n">
        <f aca="false">E317*1.1</f>
        <v>90.2</v>
      </c>
      <c r="I317" s="6" t="str">
        <f aca="false">CONCATENATE(A317,",",D317)</f>
        <v>MATH 252,ED2-AUTO</v>
      </c>
      <c r="J317" s="12"/>
    </row>
    <row r="318" s="45" customFormat="true" ht="15" hidden="false" customHeight="false" outlineLevel="0" collapsed="false">
      <c r="A318" s="70" t="s">
        <v>281</v>
      </c>
      <c r="B318" s="74" t="str">
        <v>CALCULUS WITH SEVERAL VARIABLES</v>
      </c>
      <c r="C318" s="71" t="str">
        <v>Reindorf Nartey Borkor</v>
      </c>
      <c r="D318" s="70" t="s">
        <v>56</v>
      </c>
      <c r="E318" s="72" t="n">
        <v>250</v>
      </c>
      <c r="F318" s="81"/>
      <c r="G318" s="73" t="n">
        <f aca="false">E318*1.1</f>
        <v>275</v>
      </c>
      <c r="H318" s="5"/>
      <c r="I318" s="43" t="str">
        <f aca="false">CONCATENATE(A318,",",D318)</f>
        <v>MATH 252,ED2-CE</v>
      </c>
      <c r="J318" s="44"/>
    </row>
    <row r="319" customFormat="false" ht="15" hidden="false" customHeight="false" outlineLevel="0" collapsed="false">
      <c r="A319" s="70" t="s">
        <v>281</v>
      </c>
      <c r="B319" s="71" t="str">
        <v>CALCULUS OF SEVERAL VARIABLES</v>
      </c>
      <c r="C319" s="74" t="str">
        <v>Eghan Rhydal Esi</v>
      </c>
      <c r="D319" s="70" t="s">
        <v>14</v>
      </c>
      <c r="E319" s="72" t="n">
        <v>65</v>
      </c>
      <c r="F319" s="81"/>
      <c r="G319" s="73" t="n">
        <f aca="false">E319*1.1</f>
        <v>71.5</v>
      </c>
      <c r="I319" s="6" t="str">
        <f aca="false">CONCATENATE(A319,",",D319)</f>
        <v>MATH 252,ED2-PCE</v>
      </c>
      <c r="J319" s="12"/>
    </row>
    <row r="320" customFormat="false" ht="15" hidden="false" customHeight="false" outlineLevel="0" collapsed="false">
      <c r="A320" s="70" t="s">
        <v>281</v>
      </c>
      <c r="B320" s="71" t="str">
        <v>CALCULUS OF SEVERAL VARIABLES</v>
      </c>
      <c r="C320" s="74" t="str">
        <v>Eghan Rhydal Esi</v>
      </c>
      <c r="D320" s="70" t="s">
        <v>93</v>
      </c>
      <c r="E320" s="72" t="n">
        <v>95</v>
      </c>
      <c r="F320" s="81"/>
      <c r="G320" s="73" t="n">
        <f aca="false">E320*1.1</f>
        <v>104.5</v>
      </c>
      <c r="H320" s="41"/>
      <c r="I320" s="6" t="str">
        <f aca="false">CONCATENATE(A320,",",D320)</f>
        <v>MATH 252,ED2-PE</v>
      </c>
      <c r="J320" s="12"/>
    </row>
    <row r="321" customFormat="false" ht="15" hidden="false" customHeight="false" outlineLevel="0" collapsed="false">
      <c r="A321" s="70" t="s">
        <v>281</v>
      </c>
      <c r="B321" s="71" t="str">
        <v>CALCULUS WITH SEVERAL VARIABLES</v>
      </c>
      <c r="C321" s="71" t="str">
        <v>Asamoah Joshua Kiddy Kwasi</v>
      </c>
      <c r="D321" s="70" t="s">
        <v>170</v>
      </c>
      <c r="E321" s="72" t="n">
        <v>132</v>
      </c>
      <c r="F321" s="81"/>
      <c r="G321" s="73" t="n">
        <f aca="false">E321*1.1</f>
        <v>145.2</v>
      </c>
      <c r="I321" s="6" t="str">
        <f aca="false">CONCATENATE(A321,",",D321)</f>
        <v>MATH 252,ED2-GEOM</v>
      </c>
      <c r="J321" s="12"/>
    </row>
    <row r="322" customFormat="false" ht="15" hidden="false" customHeight="false" outlineLevel="0" collapsed="false">
      <c r="A322" s="70" t="s">
        <v>281</v>
      </c>
      <c r="B322" s="71" t="str">
        <v>CALCULUS WITH SEVERAL VARIABLES</v>
      </c>
      <c r="C322" s="74" t="str">
        <v>Asamoah Joshua Kiddy Kwasi</v>
      </c>
      <c r="D322" s="70" t="s">
        <v>210</v>
      </c>
      <c r="E322" s="72" t="n">
        <v>83</v>
      </c>
      <c r="F322" s="81"/>
      <c r="G322" s="73" t="n">
        <f aca="false">E322*1.1</f>
        <v>91.3</v>
      </c>
      <c r="I322" s="6" t="str">
        <f aca="false">CONCATENATE(A322,",",D322)</f>
        <v>MATH 252,ED2-MSE</v>
      </c>
      <c r="J322" s="12"/>
    </row>
    <row r="323" customFormat="false" ht="15" hidden="false" customHeight="false" outlineLevel="0" collapsed="false">
      <c r="A323" s="70" t="s">
        <v>281</v>
      </c>
      <c r="B323" s="71" t="str">
        <v>CALCULUS WITH SEVERAL VARIABLES</v>
      </c>
      <c r="C323" s="74" t="str">
        <v>Asamoah Joshua Kiddy Kwasi</v>
      </c>
      <c r="D323" s="70" t="s">
        <v>101</v>
      </c>
      <c r="E323" s="72" t="n">
        <v>57</v>
      </c>
      <c r="F323" s="81"/>
      <c r="G323" s="73" t="n">
        <f aca="false">E323*1.1</f>
        <v>62.7</v>
      </c>
      <c r="I323" s="6" t="str">
        <f aca="false">CONCATENATE(A323,",",D323)</f>
        <v>MATH 252,ED2-METE</v>
      </c>
      <c r="J323" s="12"/>
    </row>
    <row r="324" customFormat="false" ht="15" hidden="false" customHeight="false" outlineLevel="0" collapsed="false">
      <c r="A324" s="70" t="s">
        <v>281</v>
      </c>
      <c r="B324" s="71" t="str">
        <v>CALCULUS WITH SEVERAL VARIABLES</v>
      </c>
      <c r="C324" s="71" t="str">
        <v>Wireko Fredrick Asenso</v>
      </c>
      <c r="D324" s="70" t="s">
        <v>108</v>
      </c>
      <c r="E324" s="72" t="n">
        <v>255</v>
      </c>
      <c r="F324" s="81"/>
      <c r="G324" s="73" t="n">
        <f aca="false">E324*1.1</f>
        <v>280.5</v>
      </c>
      <c r="I324" s="6" t="str">
        <f aca="false">CONCATENATE(A324,",",D324)</f>
        <v>MATH 252,ED2-COE</v>
      </c>
      <c r="J324" s="12"/>
    </row>
    <row r="325" customFormat="false" ht="15" hidden="false" customHeight="false" outlineLevel="0" collapsed="false">
      <c r="A325" s="70" t="s">
        <v>281</v>
      </c>
      <c r="B325" s="71" t="str">
        <v>CALCULUS WITH SEVERAL VARIABLES</v>
      </c>
      <c r="C325" s="71" t="str">
        <v>Wireko Fredrick Asenso</v>
      </c>
      <c r="D325" s="70" t="s">
        <v>55</v>
      </c>
      <c r="E325" s="72" t="n">
        <v>150</v>
      </c>
      <c r="F325" s="81"/>
      <c r="G325" s="73" t="n">
        <f aca="false">E325*1.1</f>
        <v>165</v>
      </c>
      <c r="I325" s="6" t="str">
        <f aca="false">CONCATENATE(A325,",",D325)</f>
        <v>MATH 252,ED2-GEOL</v>
      </c>
      <c r="J325" s="12"/>
    </row>
    <row r="326" customFormat="false" ht="15" hidden="false" customHeight="false" outlineLevel="0" collapsed="false">
      <c r="A326" s="70" t="s">
        <v>281</v>
      </c>
      <c r="B326" s="74" t="str">
        <v>CALCULUS WITH SEVERAL VARIABLES</v>
      </c>
      <c r="C326" s="71" t="str">
        <v>Wireko Fredrick Asenso</v>
      </c>
      <c r="D326" s="70" t="s">
        <v>172</v>
      </c>
      <c r="E326" s="72" t="n">
        <v>175</v>
      </c>
      <c r="F326" s="81"/>
      <c r="G326" s="73" t="n">
        <f aca="false">E326*1.1</f>
        <v>192.5</v>
      </c>
      <c r="I326" s="6" t="str">
        <f aca="false">CONCATENATE(A326,",",D326)</f>
        <v>MATH 252,ED2-TEL</v>
      </c>
      <c r="J326" s="12"/>
    </row>
    <row r="327" s="45" customFormat="true" ht="15" hidden="false" customHeight="false" outlineLevel="0" collapsed="false">
      <c r="A327" s="70" t="s">
        <v>281</v>
      </c>
      <c r="B327" s="74" t="str">
        <v>CALCULUS WITH SEVERAL VARIABLES</v>
      </c>
      <c r="C327" s="71" t="str">
        <v>Wireko Fredrick Asenso</v>
      </c>
      <c r="D327" s="70" t="s">
        <v>53</v>
      </c>
      <c r="E327" s="72" t="n">
        <v>155</v>
      </c>
      <c r="F327" s="81"/>
      <c r="G327" s="73" t="n">
        <f aca="false">E327*1.1</f>
        <v>170.5</v>
      </c>
      <c r="H327" s="5"/>
      <c r="I327" s="43" t="str">
        <f aca="false">CONCATENATE(A327,",",D327)</f>
        <v>MATH 252,ED2-AE</v>
      </c>
      <c r="J327" s="44"/>
    </row>
    <row r="328" s="45" customFormat="true" ht="15" hidden="false" customHeight="false" outlineLevel="0" collapsed="false">
      <c r="A328" s="70" t="s">
        <v>281</v>
      </c>
      <c r="B328" s="74" t="str">
        <v>CALCULUS WITH SEVERAL VARIABLES</v>
      </c>
      <c r="C328" s="71" t="str">
        <v>Wireko Fredrick Asenso</v>
      </c>
      <c r="D328" s="70" t="s">
        <v>36</v>
      </c>
      <c r="E328" s="72" t="n">
        <v>75</v>
      </c>
      <c r="F328" s="81"/>
      <c r="G328" s="73" t="n">
        <f aca="false">E328*1.1</f>
        <v>82.5</v>
      </c>
      <c r="H328" s="5"/>
      <c r="I328" s="43" t="str">
        <f aca="false">CONCATENATE(A328,",",D328)</f>
        <v>MATH 252,ED2-AERO</v>
      </c>
      <c r="J328" s="44"/>
    </row>
    <row r="329" customFormat="false" ht="15" hidden="false" customHeight="false" outlineLevel="0" collapsed="false">
      <c r="A329" s="70" t="s">
        <v>281</v>
      </c>
      <c r="B329" s="71" t="str">
        <v>CALCULUS WITH SEVERAL VARIABLES</v>
      </c>
      <c r="C329" s="71" t="str">
        <v>Wireko Fredrick Asenso</v>
      </c>
      <c r="D329" s="70" t="s">
        <v>38</v>
      </c>
      <c r="E329" s="72" t="n">
        <v>80</v>
      </c>
      <c r="F329" s="81"/>
      <c r="G329" s="73" t="n">
        <f aca="false">E329*1.1</f>
        <v>88</v>
      </c>
      <c r="I329" s="6" t="str">
        <f aca="false">CONCATENATE(A329,",",D329)</f>
        <v>MATH 252,ED2-IND</v>
      </c>
      <c r="J329" s="12"/>
    </row>
    <row r="330" customFormat="false" ht="15" hidden="false" customHeight="false" outlineLevel="0" collapsed="false">
      <c r="A330" s="70" t="s">
        <v>302</v>
      </c>
      <c r="B330" s="66" t="str">
        <v>PHYSICAL CHEMISTRY FOR ENGINEERS</v>
      </c>
      <c r="C330" s="74" t="str">
        <v>Anang Daniel Adjah</v>
      </c>
      <c r="D330" s="70" t="s">
        <v>80</v>
      </c>
      <c r="E330" s="91" t="n">
        <v>120</v>
      </c>
      <c r="F330" s="75" t="s">
        <v>776</v>
      </c>
      <c r="G330" s="73" t="n">
        <f aca="false">E330*1.1</f>
        <v>132</v>
      </c>
      <c r="H330" s="5" t="s">
        <v>777</v>
      </c>
      <c r="I330" s="6" t="str">
        <f aca="false">CONCATENATE(A330,",",D330)</f>
        <v>CHE 156,ED1-CHE</v>
      </c>
      <c r="J330" s="12"/>
    </row>
    <row r="331" customFormat="false" ht="17.9" hidden="false" customHeight="false" outlineLevel="0" collapsed="false">
      <c r="A331" s="70" t="s">
        <v>303</v>
      </c>
      <c r="B331" s="71" t="str">
        <v>FARM POWER AND MACHINERY</v>
      </c>
      <c r="C331" s="74" t="str">
        <v>Aikins Stephen Hill Mends</v>
      </c>
      <c r="D331" s="70" t="s">
        <v>88</v>
      </c>
      <c r="E331" s="72" t="n">
        <v>101</v>
      </c>
      <c r="F331" s="87" t="s">
        <v>571</v>
      </c>
      <c r="G331" s="73" t="n">
        <f aca="false">E331*1.1</f>
        <v>111.1</v>
      </c>
      <c r="H331" s="3" t="s">
        <v>644</v>
      </c>
      <c r="I331" s="6" t="str">
        <f aca="false">CONCATENATE(A331,",",D331)</f>
        <v>AE 356,ED3-AE</v>
      </c>
      <c r="J331" s="12"/>
    </row>
    <row r="332" customFormat="false" ht="15" hidden="false" customHeight="false" outlineLevel="0" collapsed="false">
      <c r="A332" s="70" t="s">
        <v>304</v>
      </c>
      <c r="B332" s="74" t="str">
        <v>NAVAL ARCHITECTURE I</v>
      </c>
      <c r="C332" s="74" t="str">
        <v>Kudzedzi Emmanuel Yaw Mawuko</v>
      </c>
      <c r="D332" s="70" t="s">
        <v>86</v>
      </c>
      <c r="E332" s="72" t="n">
        <v>40</v>
      </c>
      <c r="F332" s="75" t="s">
        <v>541</v>
      </c>
      <c r="G332" s="73" t="n">
        <f aca="false">E332*1.1</f>
        <v>44</v>
      </c>
      <c r="H332" s="5" t="n">
        <v>40</v>
      </c>
      <c r="I332" s="6" t="str">
        <f aca="false">CONCATENATE(A332,",",D332)</f>
        <v>MME 382,ED3-MARI</v>
      </c>
      <c r="J332" s="12"/>
    </row>
    <row r="333" customFormat="false" ht="15" hidden="false" customHeight="false" outlineLevel="0" collapsed="false">
      <c r="A333" s="70" t="s">
        <v>305</v>
      </c>
      <c r="B333" s="71" t="str">
        <v>POWER SUPPLY ELECTRONICS</v>
      </c>
      <c r="C333" s="71" t="str">
        <v>Effah Francis Boafo</v>
      </c>
      <c r="D333" s="70" t="s">
        <v>25</v>
      </c>
      <c r="E333" s="72" t="n">
        <v>340</v>
      </c>
      <c r="F333" s="75" t="s">
        <v>533</v>
      </c>
      <c r="G333" s="73" t="n">
        <f aca="false">E333*1.1</f>
        <v>374</v>
      </c>
      <c r="H333" s="5" t="s">
        <v>778</v>
      </c>
      <c r="I333" s="6" t="str">
        <f aca="false">CONCATENATE(A333,",",D333)</f>
        <v>EE 258,ED2-EE</v>
      </c>
      <c r="J333" s="12"/>
    </row>
    <row r="334" customFormat="false" ht="15" hidden="false" customHeight="false" outlineLevel="0" collapsed="false">
      <c r="A334" s="70" t="s">
        <v>507</v>
      </c>
      <c r="B334" s="71" t="str">
        <v>DIGITAL SIGNAL PROCESSING</v>
      </c>
      <c r="C334" s="74" t="str">
        <v>Kponyo Jerry John</v>
      </c>
      <c r="D334" s="75" t="s">
        <v>227</v>
      </c>
      <c r="E334" s="72" t="n">
        <v>138</v>
      </c>
      <c r="F334" s="75" t="s">
        <v>779</v>
      </c>
      <c r="G334" s="73" t="n">
        <f aca="false">E334*1.1</f>
        <v>151.8</v>
      </c>
      <c r="H334" s="5" t="s">
        <v>780</v>
      </c>
      <c r="I334" s="29" t="str">
        <f aca="false">CONCATENATE(A334,",",D334)</f>
        <v>TE 454,ED4-TEL</v>
      </c>
      <c r="J334" s="31"/>
      <c r="K334" s="32"/>
      <c r="L334" s="32"/>
      <c r="M334" s="32"/>
    </row>
    <row r="335" customFormat="false" ht="15" hidden="false" customHeight="false" outlineLevel="0" collapsed="false">
      <c r="A335" s="70" t="s">
        <v>307</v>
      </c>
      <c r="B335" s="71" t="str">
        <v>DIGITAL SIGNAL PROCESSING</v>
      </c>
      <c r="C335" s="74" t="str">
        <v>Kponyo Jerry John</v>
      </c>
      <c r="D335" s="70" t="s">
        <v>144</v>
      </c>
      <c r="E335" s="72" t="n">
        <v>12</v>
      </c>
      <c r="F335" s="70" t="s">
        <v>781</v>
      </c>
      <c r="G335" s="73" t="n">
        <f aca="false">E335*1.1</f>
        <v>13.2</v>
      </c>
      <c r="H335" s="5" t="n">
        <v>12</v>
      </c>
      <c r="I335" s="6" t="str">
        <f aca="false">CONCATENATE(A335,",",D335)</f>
        <v>EE 472,ED4-EE</v>
      </c>
      <c r="J335" s="12"/>
    </row>
    <row r="336" customFormat="false" ht="15" hidden="false" customHeight="false" outlineLevel="0" collapsed="false">
      <c r="A336" s="70" t="s">
        <v>308</v>
      </c>
      <c r="B336" s="71" t="str">
        <v>ENGINEERING PROJECT DESIGN AND MANAGEMENT</v>
      </c>
      <c r="C336" s="71" t="str">
        <v>Agyekum Kwame Agyeman-Prempeh</v>
      </c>
      <c r="D336" s="70" t="s">
        <v>119</v>
      </c>
      <c r="E336" s="72" t="n">
        <v>140</v>
      </c>
      <c r="F336" s="75" t="s">
        <v>782</v>
      </c>
      <c r="G336" s="73" t="n">
        <f aca="false">E336*1.1</f>
        <v>154</v>
      </c>
      <c r="H336" s="5" t="s">
        <v>586</v>
      </c>
      <c r="I336" s="6" t="str">
        <f aca="false">CONCATENATE(A336,",",D336)</f>
        <v>TE 372,ED3-TEL</v>
      </c>
      <c r="J336" s="12"/>
    </row>
    <row r="337" customFormat="false" ht="15" hidden="false" customHeight="false" outlineLevel="0" collapsed="false">
      <c r="A337" s="70" t="s">
        <v>310</v>
      </c>
      <c r="B337" s="74" t="str">
        <v>MANUFACTURING TECHNOLOGY</v>
      </c>
      <c r="C337" s="74" t="str">
        <v>Francis Davis</v>
      </c>
      <c r="D337" s="70" t="s">
        <v>61</v>
      </c>
      <c r="E337" s="72" t="n">
        <v>222</v>
      </c>
      <c r="F337" s="75" t="s">
        <v>768</v>
      </c>
      <c r="G337" s="73" t="n">
        <f aca="false">E337*1.1</f>
        <v>244.2</v>
      </c>
      <c r="H337" s="5" t="s">
        <v>783</v>
      </c>
      <c r="I337" s="6" t="str">
        <f aca="false">CONCATENATE(A337,",",D337)</f>
        <v>ME 370,ED3-ME</v>
      </c>
      <c r="J337" s="12"/>
    </row>
    <row r="338" customFormat="false" ht="15" hidden="false" customHeight="false" outlineLevel="0" collapsed="false">
      <c r="A338" s="76"/>
      <c r="B338" s="76"/>
      <c r="C338" s="67"/>
      <c r="D338" s="71" t="s">
        <v>311</v>
      </c>
      <c r="E338" s="77" t="n">
        <f aca="false">SUM(E330:E337)</f>
        <v>1113</v>
      </c>
      <c r="F338" s="78"/>
      <c r="G338" s="79"/>
      <c r="I338" s="9" t="s">
        <v>312</v>
      </c>
      <c r="J338" s="12"/>
    </row>
    <row r="339" customFormat="false" ht="15" hidden="false" customHeight="false" outlineLevel="0" collapsed="false">
      <c r="A339" s="65" t="s">
        <v>300</v>
      </c>
      <c r="B339" s="65"/>
      <c r="C339" s="65"/>
      <c r="D339" s="65"/>
      <c r="E339" s="65"/>
      <c r="F339" s="65"/>
      <c r="G339" s="65"/>
      <c r="I339" s="9" t="str">
        <f aca="false">A339</f>
        <v>Wednesday, 26 August 2026</v>
      </c>
      <c r="J339" s="12"/>
    </row>
    <row r="340" customFormat="false" ht="15" hidden="false" customHeight="false" outlineLevel="0" collapsed="false">
      <c r="A340" s="65" t="s">
        <v>29</v>
      </c>
      <c r="B340" s="65"/>
      <c r="C340" s="65"/>
      <c r="D340" s="65"/>
      <c r="E340" s="65"/>
      <c r="F340" s="65"/>
      <c r="G340" s="65"/>
      <c r="I340" s="9" t="str">
        <f aca="false">A340</f>
        <v>Session, 2 (12:00 PM - 2:00 PM)</v>
      </c>
      <c r="J340" s="12"/>
    </row>
    <row r="341" customFormat="false" ht="15" hidden="false" customHeight="false" outlineLevel="0" collapsed="false">
      <c r="A341" s="66" t="s">
        <v>4</v>
      </c>
      <c r="B341" s="66" t="s">
        <v>5</v>
      </c>
      <c r="C341" s="67" t="s">
        <v>6</v>
      </c>
      <c r="D341" s="66" t="s">
        <v>7</v>
      </c>
      <c r="E341" s="68" t="s">
        <v>8</v>
      </c>
      <c r="F341" s="67" t="s">
        <v>9</v>
      </c>
      <c r="G341" s="69" t="s">
        <v>10</v>
      </c>
      <c r="I341" s="9" t="s">
        <v>31</v>
      </c>
      <c r="J341" s="12"/>
    </row>
    <row r="342" customFormat="false" ht="15" hidden="false" customHeight="false" outlineLevel="0" collapsed="false">
      <c r="A342" s="70" t="s">
        <v>313</v>
      </c>
      <c r="B342" s="71" t="str">
        <f aca="false" t="array" ref="B342:B350">IFERROR(VLOOKUP(I342:I350,Lectures_1!A2:F534,2,FALSE()),0)</f>
        <v>PROPERTIES OF MATTER</v>
      </c>
      <c r="C342" s="74" t="str">
        <f aca="false" t="array" ref="C342:C350">IFERROR(VLOOKUP(I342:I350,Lectures_1!A2:F534,3,FALSE()),0)</f>
        <v>Reginald Mensah Noye</v>
      </c>
      <c r="D342" s="70" t="s">
        <v>130</v>
      </c>
      <c r="E342" s="72" t="n">
        <f aca="false" t="array" ref="E342:E350">IFERROR(VLOOKUP(I342:I350,Lectures_1!A2:F534,4,FALSE()),0)</f>
        <v>136</v>
      </c>
      <c r="F342" s="75" t="s">
        <v>710</v>
      </c>
      <c r="G342" s="73" t="n">
        <f aca="false">E342*1.1</f>
        <v>149.6</v>
      </c>
      <c r="H342" s="5" t="s">
        <v>784</v>
      </c>
      <c r="I342" s="6" t="str">
        <f aca="false">CONCATENATE(A342,",",D342)</f>
        <v>PHY 154,ED1-BME</v>
      </c>
      <c r="J342" s="12"/>
    </row>
    <row r="343" customFormat="false" ht="15" hidden="false" customHeight="false" outlineLevel="0" collapsed="false">
      <c r="A343" s="70" t="s">
        <v>314</v>
      </c>
      <c r="B343" s="71" t="str">
        <v>INTRODUCTION TO INFORMATION TECHNOLOGY</v>
      </c>
      <c r="C343" s="74" t="str">
        <v>Bessah Enoch</v>
      </c>
      <c r="D343" s="70" t="s">
        <v>131</v>
      </c>
      <c r="E343" s="72" t="n">
        <v>128</v>
      </c>
      <c r="F343" s="75" t="s">
        <v>533</v>
      </c>
      <c r="G343" s="73" t="n">
        <f aca="false">E343*1.1</f>
        <v>140.8</v>
      </c>
      <c r="H343" s="5" t="s">
        <v>785</v>
      </c>
      <c r="I343" s="6" t="str">
        <f aca="false">CONCATENATE(A343,",",D343)</f>
        <v>AE 158,ED1-AE</v>
      </c>
      <c r="J343" s="12"/>
    </row>
    <row r="344" customFormat="false" ht="15" hidden="false" customHeight="false" outlineLevel="0" collapsed="false">
      <c r="A344" s="70" t="s">
        <v>315</v>
      </c>
      <c r="B344" s="71" t="str">
        <v>NUMERICAL METHODS FOR CHEMICAL ENGINEERS</v>
      </c>
      <c r="C344" s="74" t="str">
        <v>Mensah Mary</v>
      </c>
      <c r="D344" s="70" t="s">
        <v>63</v>
      </c>
      <c r="E344" s="72" t="n">
        <v>53</v>
      </c>
      <c r="F344" s="75" t="s">
        <v>786</v>
      </c>
      <c r="G344" s="73" t="n">
        <f aca="false">E344*1.1</f>
        <v>58.3</v>
      </c>
      <c r="H344" s="5" t="s">
        <v>787</v>
      </c>
      <c r="I344" s="6" t="str">
        <f aca="false">CONCATENATE(A344,",",D344)</f>
        <v>CHE 358,ED3-PCE</v>
      </c>
      <c r="J344" s="12"/>
    </row>
    <row r="345" customFormat="false" ht="15" hidden="false" customHeight="false" outlineLevel="0" collapsed="false">
      <c r="A345" s="70" t="s">
        <v>315</v>
      </c>
      <c r="B345" s="71" t="str">
        <v>NUMERICAL METHODS FOR CHEMICAL ENGINEERS</v>
      </c>
      <c r="C345" s="74" t="str">
        <v>Mensah Mary</v>
      </c>
      <c r="D345" s="70" t="s">
        <v>73</v>
      </c>
      <c r="E345" s="72" t="n">
        <v>105</v>
      </c>
      <c r="F345" s="75" t="s">
        <v>603</v>
      </c>
      <c r="G345" s="73" t="n">
        <f aca="false">E345*1.1</f>
        <v>115.5</v>
      </c>
      <c r="H345" s="5" t="s">
        <v>788</v>
      </c>
      <c r="I345" s="6" t="str">
        <f aca="false">CONCATENATE(A345,",",D345)</f>
        <v>CHE 358,ED3-CHE</v>
      </c>
      <c r="J345" s="12"/>
    </row>
    <row r="346" customFormat="false" ht="15" hidden="false" customHeight="false" outlineLevel="0" collapsed="false">
      <c r="A346" s="70" t="s">
        <v>317</v>
      </c>
      <c r="B346" s="71" t="str">
        <v>ENVIRONMENTAL GEOLLOGY</v>
      </c>
      <c r="C346" s="71" t="str">
        <v>Foli Gordon</v>
      </c>
      <c r="D346" s="70" t="s">
        <v>177</v>
      </c>
      <c r="E346" s="72" t="n">
        <v>95</v>
      </c>
      <c r="F346" s="75" t="s">
        <v>749</v>
      </c>
      <c r="G346" s="73" t="n">
        <f aca="false">E346*1.1</f>
        <v>104.5</v>
      </c>
      <c r="H346" s="5" t="s">
        <v>789</v>
      </c>
      <c r="I346" s="6" t="str">
        <f aca="false">CONCATENATE(A346,",",D346)</f>
        <v>GED 454,ED4-GEOL</v>
      </c>
      <c r="J346" s="12"/>
    </row>
    <row r="347" customFormat="false" ht="15" hidden="false" customHeight="false" outlineLevel="0" collapsed="false">
      <c r="A347" s="70" t="s">
        <v>259</v>
      </c>
      <c r="B347" s="71" t="str">
        <v>EMBEDDED SYSTEMS</v>
      </c>
      <c r="C347" s="74" t="str">
        <v>Kommey Benjamin</v>
      </c>
      <c r="D347" s="70" t="s">
        <v>16</v>
      </c>
      <c r="E347" s="72" t="n">
        <v>265</v>
      </c>
      <c r="F347" s="75" t="s">
        <v>531</v>
      </c>
      <c r="G347" s="73" t="n">
        <f aca="false">E347*1.1</f>
        <v>291.5</v>
      </c>
      <c r="H347" s="5" t="s">
        <v>790</v>
      </c>
      <c r="I347" s="6" t="str">
        <f aca="false">CONCATENATE(A347,",",D347)</f>
        <v>COE 358,ED3-COE</v>
      </c>
      <c r="J347" s="12"/>
    </row>
    <row r="348" customFormat="false" ht="15" hidden="false" customHeight="false" outlineLevel="0" collapsed="false">
      <c r="A348" s="70" t="s">
        <v>259</v>
      </c>
      <c r="B348" s="71" t="str">
        <v>EMBEDDED SYSTEMS</v>
      </c>
      <c r="C348" s="74" t="str">
        <v>Kommey Benjamin</v>
      </c>
      <c r="D348" s="70" t="s">
        <v>65</v>
      </c>
      <c r="E348" s="72" t="n">
        <v>90</v>
      </c>
      <c r="F348" s="75" t="s">
        <v>791</v>
      </c>
      <c r="G348" s="73" t="n">
        <f aca="false">E348*1.1</f>
        <v>99</v>
      </c>
      <c r="H348" s="5" t="s">
        <v>709</v>
      </c>
      <c r="I348" s="6" t="str">
        <f aca="false">CONCATENATE(A348,",",D348)</f>
        <v>COE 358,ED3-BME</v>
      </c>
      <c r="J348" s="12"/>
    </row>
    <row r="349" customFormat="false" ht="15" hidden="false" customHeight="false" outlineLevel="0" collapsed="false">
      <c r="A349" s="70" t="s">
        <v>208</v>
      </c>
      <c r="B349" s="74" t="str">
        <v>PHYSICAL METALLURGY OF FERROUS METALS</v>
      </c>
      <c r="C349" s="74" t="str">
        <v>Kwofie Samuel</v>
      </c>
      <c r="D349" s="70" t="s">
        <v>142</v>
      </c>
      <c r="E349" s="72" t="n">
        <v>87</v>
      </c>
      <c r="F349" s="75" t="s">
        <v>792</v>
      </c>
      <c r="G349" s="73" t="n">
        <f aca="false">E349*1.1</f>
        <v>95.7</v>
      </c>
      <c r="H349" s="41" t="s">
        <v>793</v>
      </c>
      <c r="I349" s="6" t="str">
        <f aca="false">CONCATENATE(A349,",",D349)</f>
        <v>METE 362,ED3-METE</v>
      </c>
      <c r="J349" s="12"/>
    </row>
    <row r="350" customFormat="false" ht="15" hidden="false" customHeight="false" outlineLevel="0" collapsed="false">
      <c r="A350" s="70" t="s">
        <v>207</v>
      </c>
      <c r="B350" s="74" t="str">
        <v>PHYSICAL METALLURGY OF FERROUS METALS</v>
      </c>
      <c r="C350" s="71" t="str">
        <v>Kwofie Samuel</v>
      </c>
      <c r="D350" s="70" t="s">
        <v>140</v>
      </c>
      <c r="E350" s="72" t="n">
        <v>85</v>
      </c>
      <c r="F350" s="75" t="s">
        <v>582</v>
      </c>
      <c r="G350" s="73" t="n">
        <f aca="false">E350*1.1</f>
        <v>93.5</v>
      </c>
      <c r="H350" s="5" t="s">
        <v>794</v>
      </c>
      <c r="I350" s="6" t="str">
        <f aca="false">CONCATENATE(A350,",",D350)</f>
        <v>MSE 354,ED3-MSE</v>
      </c>
      <c r="J350" s="12"/>
    </row>
    <row r="351" customFormat="false" ht="15" hidden="false" customHeight="false" outlineLevel="0" collapsed="false">
      <c r="A351" s="76"/>
      <c r="B351" s="76"/>
      <c r="C351" s="67"/>
      <c r="D351" s="71" t="s">
        <v>322</v>
      </c>
      <c r="E351" s="77" t="n">
        <f aca="false">SUM(E342:E350)</f>
        <v>1044</v>
      </c>
      <c r="F351" s="78"/>
      <c r="G351" s="79"/>
      <c r="I351" s="9" t="s">
        <v>323</v>
      </c>
      <c r="J351" s="12"/>
    </row>
    <row r="352" customFormat="false" ht="15" hidden="false" customHeight="false" outlineLevel="0" collapsed="false">
      <c r="A352" s="76"/>
      <c r="B352" s="76"/>
      <c r="C352" s="67"/>
      <c r="D352" s="76"/>
      <c r="E352" s="77"/>
      <c r="F352" s="78"/>
      <c r="G352" s="79"/>
      <c r="I352" s="9" t="s">
        <v>106</v>
      </c>
      <c r="J352" s="12"/>
    </row>
    <row r="353" customFormat="false" ht="15" hidden="false" customHeight="false" outlineLevel="0" collapsed="false">
      <c r="A353" s="76"/>
      <c r="B353" s="76"/>
      <c r="C353" s="67"/>
      <c r="D353" s="76"/>
      <c r="E353" s="77"/>
      <c r="F353" s="78"/>
      <c r="G353" s="79"/>
      <c r="I353" s="9" t="s">
        <v>106</v>
      </c>
      <c r="J353" s="12"/>
    </row>
    <row r="354" customFormat="false" ht="15" hidden="false" customHeight="false" outlineLevel="0" collapsed="false">
      <c r="A354" s="65" t="s">
        <v>300</v>
      </c>
      <c r="B354" s="65"/>
      <c r="C354" s="65"/>
      <c r="D354" s="65"/>
      <c r="E354" s="65"/>
      <c r="F354" s="65"/>
      <c r="G354" s="65"/>
      <c r="I354" s="9" t="str">
        <f aca="false">A354</f>
        <v>Wednesday, 26 August 2026</v>
      </c>
      <c r="J354" s="12"/>
    </row>
    <row r="355" customFormat="false" ht="15" hidden="false" customHeight="false" outlineLevel="0" collapsed="false">
      <c r="A355" s="65" t="s">
        <v>59</v>
      </c>
      <c r="B355" s="65"/>
      <c r="C355" s="65"/>
      <c r="D355" s="65"/>
      <c r="E355" s="65"/>
      <c r="F355" s="65"/>
      <c r="G355" s="65"/>
      <c r="I355" s="9" t="str">
        <f aca="false">A355</f>
        <v>Session, 3 (3:00 PM - 5:00 PM)</v>
      </c>
      <c r="J355" s="12"/>
    </row>
    <row r="356" customFormat="false" ht="15" hidden="false" customHeight="false" outlineLevel="0" collapsed="false">
      <c r="A356" s="66" t="s">
        <v>4</v>
      </c>
      <c r="B356" s="66" t="s">
        <v>5</v>
      </c>
      <c r="C356" s="67" t="s">
        <v>6</v>
      </c>
      <c r="D356" s="66" t="s">
        <v>7</v>
      </c>
      <c r="E356" s="68" t="s">
        <v>8</v>
      </c>
      <c r="F356" s="67" t="s">
        <v>9</v>
      </c>
      <c r="G356" s="69" t="s">
        <v>10</v>
      </c>
      <c r="I356" s="9" t="s">
        <v>31</v>
      </c>
      <c r="J356" s="12"/>
    </row>
    <row r="357" s="45" customFormat="true" ht="15" hidden="false" customHeight="false" outlineLevel="0" collapsed="false">
      <c r="A357" s="70" t="s">
        <v>324</v>
      </c>
      <c r="B357" s="74" t="str">
        <f aca="false" t="array" ref="B357:B365">IFERROR(VLOOKUP(I357:I365,Lectures_1!A2:F534,2,FALSE()),0)</f>
        <v>RESERVOIR RECOVERY TECHNIQUES</v>
      </c>
      <c r="C357" s="74" t="str">
        <f aca="false" t="array" ref="C357:C365">IFERROR(VLOOKUP(I357:I365,Lectures_1!A2:F534,3,FALSE()),0)</f>
        <v>Adenutsi Caspar Daniel</v>
      </c>
      <c r="D357" s="70" t="s">
        <v>46</v>
      </c>
      <c r="E357" s="72" t="n">
        <f aca="false" t="array" ref="E357:E365">IFERROR(VLOOKUP(I357:I365,Lectures_1!A2:F534,4,FALSE()),0)</f>
        <v>99</v>
      </c>
      <c r="F357" s="75" t="s">
        <v>795</v>
      </c>
      <c r="G357" s="73" t="n">
        <f aca="false">E357*1.1</f>
        <v>108.9</v>
      </c>
      <c r="H357" s="5" t="s">
        <v>796</v>
      </c>
      <c r="I357" s="43" t="str">
        <f aca="false">CONCATENATE(A357,",",D357)</f>
        <v>PE 450,ED4-PE</v>
      </c>
      <c r="J357" s="44"/>
    </row>
    <row r="358" customFormat="false" ht="15" hidden="false" customHeight="false" outlineLevel="0" collapsed="false">
      <c r="A358" s="70" t="s">
        <v>325</v>
      </c>
      <c r="B358" s="74" t="str">
        <v>MAINTENANCE AND REPAIRS OF AGRIC. MACHINERY</v>
      </c>
      <c r="C358" s="71" t="str">
        <v>Bobobee Emmanuel Yaovi Hunnuor</v>
      </c>
      <c r="D358" s="70" t="s">
        <v>50</v>
      </c>
      <c r="E358" s="72" t="n">
        <v>103</v>
      </c>
      <c r="F358" s="75" t="s">
        <v>797</v>
      </c>
      <c r="G358" s="73" t="n">
        <f aca="false">E358*1.1</f>
        <v>113.3</v>
      </c>
      <c r="H358" s="5" t="s">
        <v>798</v>
      </c>
      <c r="I358" s="6" t="str">
        <f aca="false">CONCATENATE(A358,",",D358)</f>
        <v>AE 460,ED4-AE</v>
      </c>
      <c r="J358" s="12"/>
    </row>
    <row r="359" customFormat="false" ht="15" hidden="false" customHeight="false" outlineLevel="0" collapsed="false">
      <c r="A359" s="70" t="s">
        <v>327</v>
      </c>
      <c r="B359" s="74" t="str">
        <v>MACHINE SHOP AND FACTORY DESIGN</v>
      </c>
      <c r="C359" s="74" t="str">
        <v>Obeng George Yaw</v>
      </c>
      <c r="D359" s="70" t="s">
        <v>67</v>
      </c>
      <c r="E359" s="72" t="n">
        <v>54</v>
      </c>
      <c r="F359" s="75" t="s">
        <v>574</v>
      </c>
      <c r="G359" s="73" t="n">
        <f aca="false">E359*1.1</f>
        <v>59.4</v>
      </c>
      <c r="H359" s="5" t="s">
        <v>799</v>
      </c>
      <c r="I359" s="6" t="str">
        <f aca="false">CONCATENATE(A359,",",D359)</f>
        <v>ME 472,ED4-ME</v>
      </c>
      <c r="J359" s="12"/>
    </row>
    <row r="360" customFormat="false" ht="15" hidden="false" customHeight="false" outlineLevel="0" collapsed="false">
      <c r="A360" s="70" t="s">
        <v>327</v>
      </c>
      <c r="B360" s="74" t="str">
        <v>MACHINE SHOP AND FACTORY DESIGN</v>
      </c>
      <c r="C360" s="74" t="str">
        <v>Obeng George Yaw</v>
      </c>
      <c r="D360" s="70" t="s">
        <v>99</v>
      </c>
      <c r="E360" s="72" t="n">
        <v>52</v>
      </c>
      <c r="F360" s="75" t="s">
        <v>786</v>
      </c>
      <c r="G360" s="73" t="n">
        <f aca="false">E360*1.1</f>
        <v>57.2</v>
      </c>
      <c r="H360" s="5" t="s">
        <v>800</v>
      </c>
      <c r="I360" s="6" t="str">
        <f aca="false">CONCATENATE(A360,",",D360)</f>
        <v>ME 472,ED4-AERO</v>
      </c>
      <c r="J360" s="12"/>
    </row>
    <row r="361" customFormat="false" ht="15" hidden="false" customHeight="false" outlineLevel="0" collapsed="false">
      <c r="A361" s="70" t="s">
        <v>328</v>
      </c>
      <c r="B361" s="74" t="str">
        <v>COMPUTER APPLICATIONS IN CIVIL ENGINEERING</v>
      </c>
      <c r="C361" s="71" t="str">
        <v>Ayeh Felix Jojo Fianko</v>
      </c>
      <c r="D361" s="70" t="s">
        <v>103</v>
      </c>
      <c r="E361" s="72" t="n">
        <v>240</v>
      </c>
      <c r="F361" s="75" t="s">
        <v>556</v>
      </c>
      <c r="G361" s="73" t="n">
        <f aca="false">E361*1.1</f>
        <v>264</v>
      </c>
      <c r="H361" s="5" t="s">
        <v>752</v>
      </c>
      <c r="I361" s="6" t="str">
        <f aca="false">CONCATENATE(A361,",",D361)</f>
        <v>CE 452,ED4-CE</v>
      </c>
      <c r="J361" s="12"/>
    </row>
    <row r="362" customFormat="false" ht="15" hidden="false" customHeight="false" outlineLevel="0" collapsed="false">
      <c r="A362" s="70" t="s">
        <v>341</v>
      </c>
      <c r="B362" s="71" t="str">
        <v>PROFESSIONAL STUDIES AND DEVELOPMENT</v>
      </c>
      <c r="C362" s="74" t="str">
        <v>Akrofi Emmanuel Offei</v>
      </c>
      <c r="D362" s="70" t="s">
        <v>194</v>
      </c>
      <c r="E362" s="72" t="n">
        <v>93</v>
      </c>
      <c r="F362" s="75" t="s">
        <v>582</v>
      </c>
      <c r="G362" s="73" t="n">
        <f aca="false">E362*1.1</f>
        <v>102.3</v>
      </c>
      <c r="H362" s="5" t="s">
        <v>801</v>
      </c>
      <c r="I362" s="6" t="str">
        <f aca="false">CONCATENATE(A362,",",D362)</f>
        <v>GE 476,ED4-GEOM</v>
      </c>
      <c r="J362" s="12"/>
    </row>
    <row r="363" s="10" customFormat="true" ht="15" hidden="false" customHeight="true" outlineLevel="0" collapsed="false">
      <c r="A363" s="70" t="s">
        <v>320</v>
      </c>
      <c r="B363" s="71" t="str">
        <v>MEDICAL DEVICE REGULATION</v>
      </c>
      <c r="C363" s="71" t="str">
        <v>Acquah Isaac</v>
      </c>
      <c r="D363" s="70" t="s">
        <v>252</v>
      </c>
      <c r="E363" s="72" t="n">
        <v>87</v>
      </c>
      <c r="F363" s="70" t="s">
        <v>792</v>
      </c>
      <c r="G363" s="73" t="n">
        <f aca="false">E363*1.1</f>
        <v>95.7</v>
      </c>
      <c r="H363" s="5" t="s">
        <v>802</v>
      </c>
      <c r="I363" s="6" t="str">
        <f aca="false">CONCATENATE(A363,",",D363)</f>
        <v>BME 454,ED4-BME</v>
      </c>
      <c r="J363" s="12"/>
    </row>
    <row r="364" customFormat="false" ht="15" hidden="false" customHeight="false" outlineLevel="0" collapsed="false">
      <c r="A364" s="70" t="s">
        <v>465</v>
      </c>
      <c r="B364" s="71" t="str">
        <v>DIGITAL COMMUNICATION SYSTEMS</v>
      </c>
      <c r="C364" s="74" t="str">
        <v>Charles Mawutor Adrah</v>
      </c>
      <c r="D364" s="70" t="s">
        <v>71</v>
      </c>
      <c r="E364" s="72" t="n">
        <v>240</v>
      </c>
      <c r="F364" s="75" t="s">
        <v>533</v>
      </c>
      <c r="G364" s="73" t="n">
        <f aca="false">E364*1.1</f>
        <v>264</v>
      </c>
      <c r="H364" s="5" t="s">
        <v>775</v>
      </c>
      <c r="I364" s="6" t="str">
        <f aca="false">CONCATENATE(A364,",",D364)</f>
        <v>TE 386,ED3-EE</v>
      </c>
      <c r="J364" s="12"/>
    </row>
    <row r="365" customFormat="false" ht="15" hidden="false" customHeight="false" outlineLevel="0" collapsed="false">
      <c r="A365" s="70" t="s">
        <v>309</v>
      </c>
      <c r="B365" s="71" t="str">
        <v>PRINCIPLES OF GIS</v>
      </c>
      <c r="C365" s="74" t="str">
        <v>Forkuo Eric Kwabena</v>
      </c>
      <c r="D365" s="70" t="s">
        <v>77</v>
      </c>
      <c r="E365" s="72" t="n">
        <v>122</v>
      </c>
      <c r="F365" s="90" t="s">
        <v>803</v>
      </c>
      <c r="G365" s="73" t="n">
        <f aca="false">E365*1.1</f>
        <v>134.2</v>
      </c>
      <c r="H365" s="5" t="s">
        <v>804</v>
      </c>
      <c r="I365" s="29" t="str">
        <f aca="false">CONCATENATE(A365,",",D365)</f>
        <v>GE 362,ED3-GEOM</v>
      </c>
      <c r="J365" s="12"/>
    </row>
    <row r="366" customFormat="false" ht="15" hidden="false" customHeight="false" outlineLevel="0" collapsed="false">
      <c r="A366" s="76"/>
      <c r="B366" s="76"/>
      <c r="C366" s="67"/>
      <c r="D366" s="71" t="s">
        <v>331</v>
      </c>
      <c r="E366" s="77" t="n">
        <f aca="false">SUM(E357:E365)</f>
        <v>1090</v>
      </c>
      <c r="F366" s="78"/>
      <c r="G366" s="79"/>
      <c r="I366" s="9" t="s">
        <v>332</v>
      </c>
      <c r="J366" s="12"/>
    </row>
    <row r="367" customFormat="false" ht="15" hidden="false" customHeight="false" outlineLevel="0" collapsed="false">
      <c r="A367" s="65" t="s">
        <v>333</v>
      </c>
      <c r="B367" s="65"/>
      <c r="C367" s="65"/>
      <c r="D367" s="65"/>
      <c r="E367" s="65"/>
      <c r="F367" s="65"/>
      <c r="G367" s="65"/>
      <c r="I367" s="9" t="str">
        <f aca="false">A367</f>
        <v>Thursday, 27 August 2025</v>
      </c>
      <c r="J367" s="12"/>
    </row>
    <row r="368" customFormat="false" ht="15" hidden="false" customHeight="false" outlineLevel="0" collapsed="false">
      <c r="A368" s="65" t="s">
        <v>2</v>
      </c>
      <c r="B368" s="65"/>
      <c r="C368" s="65"/>
      <c r="D368" s="65"/>
      <c r="E368" s="65"/>
      <c r="F368" s="65"/>
      <c r="G368" s="65"/>
      <c r="I368" s="9" t="str">
        <f aca="false">A368</f>
        <v>Session, 1 (8:30 AM - 10:30 AM)</v>
      </c>
      <c r="J368" s="12"/>
    </row>
    <row r="369" customFormat="false" ht="15" hidden="false" customHeight="false" outlineLevel="0" collapsed="false">
      <c r="A369" s="66" t="s">
        <v>4</v>
      </c>
      <c r="B369" s="66" t="s">
        <v>5</v>
      </c>
      <c r="C369" s="67" t="s">
        <v>6</v>
      </c>
      <c r="D369" s="66" t="s">
        <v>7</v>
      </c>
      <c r="E369" s="68" t="s">
        <v>8</v>
      </c>
      <c r="F369" s="67" t="s">
        <v>9</v>
      </c>
      <c r="G369" s="69" t="s">
        <v>10</v>
      </c>
      <c r="I369" s="9" t="s">
        <v>31</v>
      </c>
      <c r="J369" s="12"/>
    </row>
    <row r="370" customFormat="false" ht="15" hidden="false" customHeight="false" outlineLevel="0" collapsed="false">
      <c r="A370" s="70" t="s">
        <v>335</v>
      </c>
      <c r="B370" s="71" t="str">
        <f aca="false" t="array" ref="B370:B377">IFERROR(VLOOKUP(I370:I377,Lectures_1!A2:F534,2,FALSE()),0)</f>
        <v>FOUNDATION ENGINEERING</v>
      </c>
      <c r="C370" s="71" t="str">
        <f aca="false" t="array" ref="C370:C377">IFERROR(VLOOKUP(I370:I377,Lectures_1!A2:F534,3,FALSE()),0)</f>
        <v>Amenuvor Andrew Cudzo</v>
      </c>
      <c r="D370" s="70" t="s">
        <v>154</v>
      </c>
      <c r="E370" s="72" t="n">
        <f aca="false" t="array" ref="E370:E377">IFERROR(VLOOKUP(I370:I377,Lectures_1!A2:F534,4,FALSE()),0)</f>
        <v>154</v>
      </c>
      <c r="F370" s="75" t="s">
        <v>805</v>
      </c>
      <c r="G370" s="73" t="n">
        <f aca="false">E370*1.1</f>
        <v>169.4</v>
      </c>
      <c r="H370" s="5" t="s">
        <v>806</v>
      </c>
      <c r="I370" s="6" t="str">
        <f aca="false">CONCATENATE(A370,",",D370)</f>
        <v>GED 370,ED3-GEOL</v>
      </c>
      <c r="J370" s="12"/>
    </row>
    <row r="371" customFormat="false" ht="15" hidden="false" customHeight="false" outlineLevel="0" collapsed="false">
      <c r="A371" s="70" t="s">
        <v>336</v>
      </c>
      <c r="B371" s="71" t="str">
        <v>FOUNDATION ENGINEERING</v>
      </c>
      <c r="C371" s="74" t="str">
        <v>Acquaah Vincent Kofi Abaka</v>
      </c>
      <c r="D371" s="70" t="s">
        <v>157</v>
      </c>
      <c r="E371" s="72" t="n">
        <v>230</v>
      </c>
      <c r="F371" s="75" t="s">
        <v>556</v>
      </c>
      <c r="G371" s="73" t="n">
        <f aca="false">E371*1.1</f>
        <v>253</v>
      </c>
      <c r="H371" s="5" t="s">
        <v>807</v>
      </c>
      <c r="I371" s="6" t="str">
        <f aca="false">CONCATENATE(A371,",",D371)</f>
        <v>CE 360,ED3-CE</v>
      </c>
      <c r="J371" s="12"/>
    </row>
    <row r="372" customFormat="false" ht="15" hidden="false" customHeight="false" outlineLevel="0" collapsed="false">
      <c r="A372" s="70" t="s">
        <v>337</v>
      </c>
      <c r="B372" s="71" t="str">
        <v>MANUFACTURING TECHNOLOGY</v>
      </c>
      <c r="C372" s="74" t="str">
        <v>Boahen Samuel</v>
      </c>
      <c r="D372" s="70" t="s">
        <v>38</v>
      </c>
      <c r="E372" s="72" t="n">
        <v>80</v>
      </c>
      <c r="F372" s="75" t="s">
        <v>574</v>
      </c>
      <c r="G372" s="73" t="n">
        <f aca="false">E372*1.1</f>
        <v>88</v>
      </c>
      <c r="H372" s="5" t="s">
        <v>661</v>
      </c>
      <c r="I372" s="6" t="str">
        <f aca="false">CONCATENATE(A372,",",D372)</f>
        <v>ME 270,ED2-IND</v>
      </c>
      <c r="J372" s="12"/>
    </row>
    <row r="373" customFormat="false" ht="15" hidden="false" customHeight="false" outlineLevel="0" collapsed="false">
      <c r="A373" s="70" t="s">
        <v>337</v>
      </c>
      <c r="B373" s="74" t="str">
        <v>MANUFACTURING TECHNOLOGY</v>
      </c>
      <c r="C373" s="74" t="str">
        <v>Boahen Samuel</v>
      </c>
      <c r="D373" s="70" t="s">
        <v>42</v>
      </c>
      <c r="E373" s="72" t="n">
        <v>37</v>
      </c>
      <c r="F373" s="75" t="s">
        <v>808</v>
      </c>
      <c r="G373" s="73" t="n">
        <f aca="false">E373*1.1</f>
        <v>40.7</v>
      </c>
      <c r="H373" s="5" t="n">
        <v>37</v>
      </c>
      <c r="I373" s="6" t="str">
        <f aca="false">CONCATENATE(A373,",",D373)</f>
        <v>ME 270,ED2-MARI</v>
      </c>
      <c r="J373" s="12"/>
    </row>
    <row r="374" customFormat="false" ht="15" hidden="false" customHeight="false" outlineLevel="0" collapsed="false">
      <c r="A374" s="70" t="s">
        <v>337</v>
      </c>
      <c r="B374" s="74" t="str">
        <v>MANUFACTURING TECHNOLOGY</v>
      </c>
      <c r="C374" s="74" t="str">
        <v>Boahen Samuel</v>
      </c>
      <c r="D374" s="70" t="s">
        <v>40</v>
      </c>
      <c r="E374" s="72" t="n">
        <v>82</v>
      </c>
      <c r="F374" s="75" t="s">
        <v>571</v>
      </c>
      <c r="G374" s="73" t="n">
        <f aca="false">E374*1.1</f>
        <v>90.2</v>
      </c>
      <c r="H374" s="5" t="s">
        <v>809</v>
      </c>
      <c r="I374" s="6" t="str">
        <f aca="false">CONCATENATE(A374,",",D374)</f>
        <v>ME 270,ED2-AUTO</v>
      </c>
      <c r="J374" s="12"/>
    </row>
    <row r="375" customFormat="false" ht="15" hidden="false" customHeight="false" outlineLevel="0" collapsed="false">
      <c r="A375" s="70" t="s">
        <v>338</v>
      </c>
      <c r="B375" s="71" t="str">
        <v>STRENGTH OF MATERIALS FOR CHEMICAL ENGINEERS</v>
      </c>
      <c r="C375" s="74" t="str">
        <v>Anang Daniel Adjah</v>
      </c>
      <c r="D375" s="70" t="s">
        <v>13</v>
      </c>
      <c r="E375" s="72" t="n">
        <v>160</v>
      </c>
      <c r="F375" s="75" t="s">
        <v>745</v>
      </c>
      <c r="G375" s="73" t="n">
        <f aca="false">E375*1.1</f>
        <v>176</v>
      </c>
      <c r="H375" s="5" t="s">
        <v>810</v>
      </c>
      <c r="I375" s="6" t="str">
        <f aca="false">CONCATENATE(A375,",",D375)</f>
        <v>CHE 250,ED2-CHE</v>
      </c>
      <c r="J375" s="12"/>
    </row>
    <row r="376" customFormat="false" ht="15" hidden="false" customHeight="false" outlineLevel="0" collapsed="false">
      <c r="A376" s="70" t="s">
        <v>329</v>
      </c>
      <c r="B376" s="74" t="str">
        <v>INTRO TO PYTHON &amp; COMPUTER NETWORKING</v>
      </c>
      <c r="C376" s="71" t="str">
        <v>Charles Mawutor Adrah</v>
      </c>
      <c r="D376" s="70" t="s">
        <v>51</v>
      </c>
      <c r="E376" s="72" t="n">
        <v>340</v>
      </c>
      <c r="F376" s="75" t="s">
        <v>533</v>
      </c>
      <c r="G376" s="73" t="n">
        <f aca="false">E376*1.1</f>
        <v>374</v>
      </c>
      <c r="H376" s="5" t="s">
        <v>778</v>
      </c>
      <c r="I376" s="6" t="str">
        <f aca="false">CONCATENATE(A376,",",D376)</f>
        <v>EE 158,ED1-EE</v>
      </c>
      <c r="J376" s="12"/>
    </row>
    <row r="377" customFormat="false" ht="15" hidden="false" customHeight="false" outlineLevel="0" collapsed="false">
      <c r="A377" s="70" t="s">
        <v>340</v>
      </c>
      <c r="B377" s="71" t="str">
        <v>ADVANCED MANUFACTURING TECHNOLOGY I</v>
      </c>
      <c r="C377" s="74" t="str">
        <v>Takyi Gabriel</v>
      </c>
      <c r="D377" s="70" t="s">
        <v>121</v>
      </c>
      <c r="E377" s="72" t="n">
        <v>70</v>
      </c>
      <c r="F377" s="75" t="s">
        <v>529</v>
      </c>
      <c r="G377" s="73" t="n">
        <f aca="false">E377*1.1</f>
        <v>77</v>
      </c>
      <c r="H377" s="5" t="s">
        <v>649</v>
      </c>
      <c r="I377" s="6" t="str">
        <f aca="false">CONCATENATE(A377,",",D377)</f>
        <v>IE 366,ED3-IND</v>
      </c>
      <c r="J377" s="12"/>
    </row>
    <row r="378" customFormat="false" ht="15" hidden="false" customHeight="false" outlineLevel="0" collapsed="false">
      <c r="A378" s="76"/>
      <c r="B378" s="76"/>
      <c r="C378" s="67"/>
      <c r="D378" s="71" t="s">
        <v>342</v>
      </c>
      <c r="E378" s="77" t="n">
        <f aca="false">SUM(E370:E377)</f>
        <v>1153</v>
      </c>
      <c r="F378" s="78"/>
      <c r="G378" s="79"/>
      <c r="I378" s="9" t="s">
        <v>343</v>
      </c>
      <c r="J378" s="12"/>
    </row>
    <row r="379" customFormat="false" ht="15" hidden="false" customHeight="false" outlineLevel="0" collapsed="false">
      <c r="A379" s="65" t="s">
        <v>333</v>
      </c>
      <c r="B379" s="65"/>
      <c r="C379" s="65"/>
      <c r="D379" s="65"/>
      <c r="E379" s="65"/>
      <c r="F379" s="65"/>
      <c r="G379" s="65"/>
      <c r="I379" s="9" t="str">
        <f aca="false">A379</f>
        <v>Thursday, 27 August 2025</v>
      </c>
      <c r="J379" s="12"/>
    </row>
    <row r="380" customFormat="false" ht="15" hidden="false" customHeight="false" outlineLevel="0" collapsed="false">
      <c r="A380" s="65" t="s">
        <v>29</v>
      </c>
      <c r="B380" s="65"/>
      <c r="C380" s="65"/>
      <c r="D380" s="65"/>
      <c r="E380" s="65"/>
      <c r="F380" s="65"/>
      <c r="G380" s="65"/>
      <c r="I380" s="9" t="str">
        <f aca="false">A380</f>
        <v>Session, 2 (12:00 PM - 2:00 PM)</v>
      </c>
      <c r="J380" s="12"/>
    </row>
    <row r="381" customFormat="false" ht="15" hidden="false" customHeight="false" outlineLevel="0" collapsed="false">
      <c r="A381" s="66" t="s">
        <v>4</v>
      </c>
      <c r="B381" s="66" t="s">
        <v>5</v>
      </c>
      <c r="C381" s="67" t="s">
        <v>6</v>
      </c>
      <c r="D381" s="66" t="s">
        <v>7</v>
      </c>
      <c r="E381" s="68" t="s">
        <v>8</v>
      </c>
      <c r="F381" s="67" t="s">
        <v>9</v>
      </c>
      <c r="G381" s="69" t="s">
        <v>10</v>
      </c>
      <c r="I381" s="9" t="s">
        <v>31</v>
      </c>
      <c r="J381" s="12"/>
    </row>
    <row r="382" customFormat="false" ht="15" hidden="false" customHeight="false" outlineLevel="0" collapsed="false">
      <c r="A382" s="70" t="s">
        <v>137</v>
      </c>
      <c r="B382" s="71" t="str">
        <f aca="false" t="array" ref="B382:B393">IFERROR(VLOOKUP(I382:I393,Lectures_1!A2:F534,2,FALSE()),0)</f>
        <v>ELECTRICAL MEASUREMENT AND INSTRUMENTATION</v>
      </c>
      <c r="C382" s="74" t="str">
        <f aca="false" t="array" ref="C382:C393">IFERROR(VLOOKUP(I382:I393,Lectures_1!A2:F534,3,FALSE()),0)</f>
        <v>Obeng Kwakye Kingsford Sarkodie</v>
      </c>
      <c r="D382" s="70" t="s">
        <v>91</v>
      </c>
      <c r="E382" s="72" t="n">
        <f aca="false" t="array" ref="E382:E393">IFERROR(VLOOKUP(I382:I393,Lectures_1!A2:F534,4,FALSE()),0)</f>
        <v>130</v>
      </c>
      <c r="F382" s="75" t="s">
        <v>731</v>
      </c>
      <c r="G382" s="73" t="n">
        <f aca="false">E382*1.1</f>
        <v>143</v>
      </c>
      <c r="H382" s="5" t="s">
        <v>658</v>
      </c>
      <c r="I382" s="29" t="str">
        <f aca="false">CONCATENATE(A382,",",D382)</f>
        <v>EE 188,ED1-TEL</v>
      </c>
      <c r="J382" s="31"/>
      <c r="K382" s="32"/>
      <c r="L382" s="32"/>
      <c r="M382" s="32"/>
    </row>
    <row r="383" customFormat="false" ht="15" hidden="false" customHeight="false" outlineLevel="0" collapsed="false">
      <c r="A383" s="70" t="s">
        <v>345</v>
      </c>
      <c r="B383" s="71" t="str">
        <v>ENTREPRENEURSHIP AND BUSINESS DEVELOPMENT</v>
      </c>
      <c r="C383" s="74" t="str">
        <v>Asamoah Boateng Kenneth</v>
      </c>
      <c r="D383" s="70" t="s">
        <v>48</v>
      </c>
      <c r="E383" s="72" t="n">
        <v>114</v>
      </c>
      <c r="F383" s="90" t="s">
        <v>811</v>
      </c>
      <c r="G383" s="73" t="n">
        <f aca="false">E383*1.1</f>
        <v>125.4</v>
      </c>
      <c r="H383" s="5" t="s">
        <v>812</v>
      </c>
      <c r="I383" s="29" t="str">
        <f aca="false">CONCATENATE(A383,",",D383)</f>
        <v>CHE 458,ED4-CHE</v>
      </c>
      <c r="J383" s="31"/>
      <c r="K383" s="32"/>
      <c r="L383" s="32"/>
      <c r="M383" s="32"/>
    </row>
    <row r="384" customFormat="false" ht="15" hidden="false" customHeight="false" outlineLevel="0" collapsed="false">
      <c r="A384" s="70" t="s">
        <v>345</v>
      </c>
      <c r="B384" s="71" t="str">
        <v>ENTREPRENEURSHIP AND BUSINESS DEVELOPMENT</v>
      </c>
      <c r="C384" s="74" t="str">
        <v>Asamoah Boateng Kenneth</v>
      </c>
      <c r="D384" s="70" t="s">
        <v>44</v>
      </c>
      <c r="E384" s="72" t="n">
        <v>55</v>
      </c>
      <c r="F384" s="75" t="s">
        <v>545</v>
      </c>
      <c r="G384" s="73" t="n">
        <f aca="false">E384*1.1</f>
        <v>60.5</v>
      </c>
      <c r="H384" s="5" t="n">
        <v>55</v>
      </c>
      <c r="I384" s="29" t="str">
        <f aca="false">CONCATENATE(A384,",",D384)</f>
        <v>CHE 458,ED4-PCE</v>
      </c>
      <c r="J384" s="31"/>
      <c r="K384" s="32"/>
      <c r="L384" s="32"/>
      <c r="M384" s="32"/>
    </row>
    <row r="385" customFormat="false" ht="15" hidden="false" customHeight="false" outlineLevel="0" collapsed="false">
      <c r="A385" s="70" t="s">
        <v>346</v>
      </c>
      <c r="B385" s="74" t="str">
        <v>SYSTEM ENGINEERING II</v>
      </c>
      <c r="C385" s="71" t="str">
        <v>Osei Jack Banahene</v>
      </c>
      <c r="D385" s="70" t="s">
        <v>103</v>
      </c>
      <c r="E385" s="72" t="n">
        <v>115</v>
      </c>
      <c r="F385" s="75" t="s">
        <v>813</v>
      </c>
      <c r="G385" s="73" t="n">
        <f aca="false">E385*1.1</f>
        <v>126.5</v>
      </c>
      <c r="H385" s="5" t="s">
        <v>814</v>
      </c>
      <c r="I385" s="6" t="str">
        <f aca="false">CONCATENATE(A385,",",D385)</f>
        <v>CE 476,ED4-CE</v>
      </c>
      <c r="J385" s="12"/>
    </row>
    <row r="386" customFormat="false" ht="15" hidden="false" customHeight="false" outlineLevel="0" collapsed="false">
      <c r="A386" s="70" t="s">
        <v>347</v>
      </c>
      <c r="B386" s="71" t="str">
        <v>HEAT TRANSFER</v>
      </c>
      <c r="C386" s="74" t="str">
        <v>Forson Francis Kofi</v>
      </c>
      <c r="D386" s="70" t="s">
        <v>61</v>
      </c>
      <c r="E386" s="72" t="n">
        <v>222</v>
      </c>
      <c r="F386" s="90" t="s">
        <v>556</v>
      </c>
      <c r="G386" s="73" t="n">
        <f aca="false">E386*1.1</f>
        <v>244.2</v>
      </c>
      <c r="H386" s="5" t="s">
        <v>815</v>
      </c>
      <c r="I386" s="6" t="str">
        <f aca="false">CONCATENATE(A386,",",D386)</f>
        <v>ME 366,ED3-ME</v>
      </c>
      <c r="J386" s="12"/>
    </row>
    <row r="387" customFormat="false" ht="15" hidden="false" customHeight="false" outlineLevel="0" collapsed="false">
      <c r="A387" s="70" t="s">
        <v>347</v>
      </c>
      <c r="B387" s="71" t="str">
        <v>HEAT TRANSFER</v>
      </c>
      <c r="C387" s="74" t="str">
        <v>Forson Francis Kofi</v>
      </c>
      <c r="D387" s="70" t="s">
        <v>133</v>
      </c>
      <c r="E387" s="72" t="n">
        <v>76</v>
      </c>
      <c r="F387" s="75" t="s">
        <v>574</v>
      </c>
      <c r="G387" s="73" t="n">
        <f aca="false">E387*1.1</f>
        <v>83.6</v>
      </c>
      <c r="H387" s="5" t="s">
        <v>536</v>
      </c>
      <c r="I387" s="6" t="str">
        <f aca="false">CONCATENATE(A387,",",D387)</f>
        <v>ME 366,ED3-AERO</v>
      </c>
      <c r="J387" s="12"/>
    </row>
    <row r="388" customFormat="false" ht="15" hidden="false" customHeight="false" outlineLevel="0" collapsed="false">
      <c r="A388" s="70" t="s">
        <v>347</v>
      </c>
      <c r="B388" s="71" t="str">
        <v>HEAT TRANSFER</v>
      </c>
      <c r="C388" s="74" t="str">
        <v>Forson Francis Kofi</v>
      </c>
      <c r="D388" s="70" t="s">
        <v>88</v>
      </c>
      <c r="E388" s="72" t="n">
        <v>101</v>
      </c>
      <c r="F388" s="90" t="s">
        <v>603</v>
      </c>
      <c r="G388" s="73" t="n">
        <f aca="false">E388*1.1</f>
        <v>111.1</v>
      </c>
      <c r="H388" s="5" t="s">
        <v>644</v>
      </c>
      <c r="I388" s="6" t="str">
        <f aca="false">CONCATENATE(A388,",",D388)</f>
        <v>ME 366,ED3-AE</v>
      </c>
      <c r="J388" s="12"/>
    </row>
    <row r="389" customFormat="false" ht="15" hidden="false" customHeight="false" outlineLevel="0" collapsed="false">
      <c r="A389" s="70" t="s">
        <v>347</v>
      </c>
      <c r="B389" s="71" t="str">
        <v>HEAT TRANSFER</v>
      </c>
      <c r="C389" s="74" t="str">
        <v>Forson Francis Kofi</v>
      </c>
      <c r="D389" s="70" t="s">
        <v>86</v>
      </c>
      <c r="E389" s="72" t="n">
        <v>40</v>
      </c>
      <c r="F389" s="75" t="s">
        <v>560</v>
      </c>
      <c r="G389" s="73" t="n">
        <f aca="false">E389*1.1</f>
        <v>44</v>
      </c>
      <c r="H389" s="5" t="n">
        <v>40</v>
      </c>
      <c r="I389" s="6" t="str">
        <f aca="false">CONCATENATE(A389,",",D389)</f>
        <v>ME 366,ED3-MARI</v>
      </c>
      <c r="J389" s="12"/>
    </row>
    <row r="390" customFormat="false" ht="15" hidden="false" customHeight="false" outlineLevel="0" collapsed="false">
      <c r="A390" s="70" t="s">
        <v>348</v>
      </c>
      <c r="B390" s="71" t="str">
        <v>ROBOTICS AND COMPUTER VISION</v>
      </c>
      <c r="C390" s="71" t="str">
        <v>Klogo Griffith Selorm</v>
      </c>
      <c r="D390" s="70" t="s">
        <v>251</v>
      </c>
      <c r="E390" s="72" t="n">
        <v>45</v>
      </c>
      <c r="F390" s="75" t="s">
        <v>541</v>
      </c>
      <c r="G390" s="73" t="n">
        <f aca="false">E390*1.1</f>
        <v>49.5</v>
      </c>
      <c r="H390" s="5" t="n">
        <v>45</v>
      </c>
      <c r="I390" s="6" t="str">
        <f aca="false">CONCATENATE(A390,",",D390)</f>
        <v>COE 458,ED4-COE</v>
      </c>
      <c r="J390" s="12"/>
    </row>
    <row r="391" customFormat="false" ht="15" hidden="false" customHeight="false" outlineLevel="0" collapsed="false">
      <c r="A391" s="70" t="s">
        <v>355</v>
      </c>
      <c r="B391" s="74" t="str">
        <v>INTRODUCTORY GEOLOGY</v>
      </c>
      <c r="C391" s="74" t="str">
        <v>Gawu Simon Kafui Yawo</v>
      </c>
      <c r="D391" s="70" t="s">
        <v>114</v>
      </c>
      <c r="E391" s="72" t="n">
        <v>75</v>
      </c>
      <c r="F391" s="75" t="s">
        <v>546</v>
      </c>
      <c r="G391" s="73" t="n">
        <f aca="false">E391*1.1</f>
        <v>82.5</v>
      </c>
      <c r="H391" s="5" t="n">
        <v>75</v>
      </c>
      <c r="I391" s="6" t="str">
        <f aca="false">CONCATENATE(A391,",",D391)</f>
        <v>GED 162,ED1-METE</v>
      </c>
      <c r="J391" s="12"/>
    </row>
    <row r="392" customFormat="false" ht="15" hidden="false" customHeight="false" outlineLevel="0" collapsed="false">
      <c r="A392" s="70" t="s">
        <v>374</v>
      </c>
      <c r="B392" s="74" t="str">
        <v>PETROLEUM BUSINESS: STRUCTURES, LOGISTICS</v>
      </c>
      <c r="C392" s="74" t="str">
        <v>Quaye Jonathan Atuquaye</v>
      </c>
      <c r="D392" s="70" t="s">
        <v>46</v>
      </c>
      <c r="E392" s="72" t="n">
        <v>77</v>
      </c>
      <c r="F392" s="70" t="s">
        <v>546</v>
      </c>
      <c r="G392" s="73" t="n">
        <f aca="false">E392*1.1</f>
        <v>84.7</v>
      </c>
      <c r="H392" s="5" t="n">
        <v>77</v>
      </c>
      <c r="I392" s="6" t="str">
        <f aca="false">CONCATENATE(A392,",",D392)</f>
        <v>PE 468,ED4-PE</v>
      </c>
      <c r="J392" s="12"/>
    </row>
    <row r="393" customFormat="false" ht="15" hidden="false" customHeight="false" outlineLevel="0" collapsed="false">
      <c r="A393" s="70" t="s">
        <v>349</v>
      </c>
      <c r="B393" s="71" t="str">
        <v>OIL &amp; GAS GEOLPHYSICS</v>
      </c>
      <c r="C393" s="74" t="str">
        <v>Quaye Jonathan Atuquaye</v>
      </c>
      <c r="D393" s="70" t="s">
        <v>18</v>
      </c>
      <c r="E393" s="72" t="n">
        <v>80</v>
      </c>
      <c r="F393" s="70" t="s">
        <v>545</v>
      </c>
      <c r="G393" s="73" t="n">
        <f aca="false">E393*1.1</f>
        <v>88</v>
      </c>
      <c r="H393" s="5" t="n">
        <v>80</v>
      </c>
      <c r="I393" s="6" t="str">
        <f aca="false">CONCATENATE(A393,",",D393)</f>
        <v>PE 364,ED3-PE</v>
      </c>
      <c r="J393" s="12"/>
    </row>
    <row r="394" customFormat="false" ht="15" hidden="false" customHeight="false" outlineLevel="0" collapsed="false">
      <c r="A394" s="76"/>
      <c r="B394" s="76"/>
      <c r="C394" s="67"/>
      <c r="D394" s="71" t="s">
        <v>350</v>
      </c>
      <c r="E394" s="77" t="n">
        <f aca="false">SUM(E382:E393)</f>
        <v>1130</v>
      </c>
      <c r="F394" s="78"/>
      <c r="G394" s="79"/>
      <c r="I394" s="9" t="s">
        <v>351</v>
      </c>
      <c r="J394" s="12"/>
    </row>
    <row r="395" customFormat="false" ht="15" hidden="false" customHeight="false" outlineLevel="0" collapsed="false">
      <c r="A395" s="65" t="s">
        <v>333</v>
      </c>
      <c r="B395" s="65"/>
      <c r="C395" s="65"/>
      <c r="D395" s="65"/>
      <c r="E395" s="65"/>
      <c r="F395" s="65"/>
      <c r="G395" s="65"/>
      <c r="I395" s="9" t="str">
        <f aca="false">A395</f>
        <v>Thursday, 27 August 2025</v>
      </c>
      <c r="J395" s="12"/>
    </row>
    <row r="396" customFormat="false" ht="15" hidden="false" customHeight="false" outlineLevel="0" collapsed="false">
      <c r="A396" s="65" t="s">
        <v>59</v>
      </c>
      <c r="B396" s="65"/>
      <c r="C396" s="65"/>
      <c r="D396" s="65"/>
      <c r="E396" s="65"/>
      <c r="F396" s="65"/>
      <c r="G396" s="65"/>
      <c r="I396" s="9" t="str">
        <f aca="false">A396</f>
        <v>Session, 3 (3:00 PM - 5:00 PM)</v>
      </c>
      <c r="J396" s="12"/>
    </row>
    <row r="397" customFormat="false" ht="15" hidden="false" customHeight="false" outlineLevel="0" collapsed="false">
      <c r="A397" s="66" t="s">
        <v>4</v>
      </c>
      <c r="B397" s="66" t="s">
        <v>5</v>
      </c>
      <c r="C397" s="67" t="s">
        <v>6</v>
      </c>
      <c r="D397" s="66" t="s">
        <v>7</v>
      </c>
      <c r="E397" s="68" t="s">
        <v>8</v>
      </c>
      <c r="F397" s="67" t="s">
        <v>9</v>
      </c>
      <c r="G397" s="69" t="s">
        <v>10</v>
      </c>
      <c r="I397" s="9" t="s">
        <v>31</v>
      </c>
      <c r="J397" s="12"/>
    </row>
    <row r="398" customFormat="false" ht="15" hidden="false" customHeight="false" outlineLevel="0" collapsed="false">
      <c r="A398" s="70" t="s">
        <v>352</v>
      </c>
      <c r="B398" s="71" t="str">
        <f aca="false" t="array" ref="B398:B408">IFERROR(VLOOKUP(I398:I408,Lectures_1!A2:F534,2,FALSE()),0)</f>
        <v>MICROPROCESSORS</v>
      </c>
      <c r="C398" s="74" t="str">
        <f aca="false" t="array" ref="C398:C408">IFERROR(VLOOKUP(I398:I408,Lectures_1!A2:F534,3,FALSE()),0)</f>
        <v>Agyemang Justice Owusu</v>
      </c>
      <c r="D398" s="70" t="s">
        <v>172</v>
      </c>
      <c r="E398" s="72" t="n">
        <f aca="false" t="array" ref="E398:E408">IFERROR(VLOOKUP(I398:I408,Lectures_1!A2:F534,4,FALSE()),0)</f>
        <v>175</v>
      </c>
      <c r="F398" s="70" t="s">
        <v>710</v>
      </c>
      <c r="G398" s="73" t="n">
        <f aca="false">E398*1.1</f>
        <v>192.5</v>
      </c>
      <c r="H398" s="5" t="s">
        <v>816</v>
      </c>
      <c r="I398" s="6" t="str">
        <f aca="false">CONCATENATE(A398,",",D398)</f>
        <v>TE 258,ED2-TEL</v>
      </c>
      <c r="J398" s="12"/>
    </row>
    <row r="399" customFormat="false" ht="15" hidden="false" customHeight="false" outlineLevel="0" collapsed="false">
      <c r="A399" s="70" t="s">
        <v>338</v>
      </c>
      <c r="B399" s="71" t="str">
        <v>STRENGTH OF MATERIALS FOR CHEMICAL ENGINEERS</v>
      </c>
      <c r="C399" s="74" t="str">
        <v>Baidoo Martina Francisca</v>
      </c>
      <c r="D399" s="70" t="s">
        <v>14</v>
      </c>
      <c r="E399" s="72" t="n">
        <v>65</v>
      </c>
      <c r="F399" s="70" t="s">
        <v>546</v>
      </c>
      <c r="G399" s="73" t="n">
        <f aca="false">E399*1.1</f>
        <v>71.5</v>
      </c>
      <c r="H399" s="5" t="n">
        <v>65</v>
      </c>
      <c r="I399" s="6" t="str">
        <f aca="false">CONCATENATE(A399,",",D399)</f>
        <v>CHE 250,ED2-PCE</v>
      </c>
      <c r="J399" s="12"/>
    </row>
    <row r="400" s="1" customFormat="true" ht="15" hidden="false" customHeight="false" outlineLevel="0" collapsed="false">
      <c r="A400" s="70" t="s">
        <v>353</v>
      </c>
      <c r="B400" s="74" t="str">
        <v>POWER SYSTEMS PLANNING AND OPTIMIZATION</v>
      </c>
      <c r="C400" s="74" t="str">
        <v>Antoh Emmanuel Kwaku</v>
      </c>
      <c r="D400" s="70" t="s">
        <v>144</v>
      </c>
      <c r="E400" s="72" t="n">
        <v>165</v>
      </c>
      <c r="F400" s="75" t="s">
        <v>706</v>
      </c>
      <c r="G400" s="73" t="n">
        <f aca="false">E400*1.1</f>
        <v>181.5</v>
      </c>
      <c r="H400" s="5" t="s">
        <v>817</v>
      </c>
      <c r="I400" s="47" t="str">
        <f aca="false">CONCATENATE(A400,",",D400)</f>
        <v>EE 466,ED4-EE</v>
      </c>
      <c r="J400" s="48"/>
    </row>
    <row r="401" customFormat="false" ht="15" hidden="false" customHeight="false" outlineLevel="0" collapsed="false">
      <c r="A401" s="70" t="s">
        <v>354</v>
      </c>
      <c r="B401" s="74" t="str">
        <v>BASIC MINERAL SCIENCE</v>
      </c>
      <c r="C401" s="74" t="str">
        <v>Appiah-Adjei Emmanuel Kwame</v>
      </c>
      <c r="D401" s="70" t="s">
        <v>126</v>
      </c>
      <c r="E401" s="72" t="n">
        <v>125</v>
      </c>
      <c r="F401" s="75" t="s">
        <v>818</v>
      </c>
      <c r="G401" s="73" t="n">
        <f aca="false">E401*1.1</f>
        <v>137.5</v>
      </c>
      <c r="H401" s="5" t="s">
        <v>819</v>
      </c>
      <c r="I401" s="6" t="str">
        <f aca="false">CONCATENATE(A401,",",D401)</f>
        <v>GED 152,ED1-GEOL</v>
      </c>
      <c r="J401" s="12"/>
    </row>
    <row r="402" s="1" customFormat="true" ht="15" hidden="false" customHeight="false" outlineLevel="0" collapsed="false">
      <c r="A402" s="70" t="s">
        <v>356</v>
      </c>
      <c r="B402" s="71" t="str">
        <v>AEROSPACE STRUCTURES</v>
      </c>
      <c r="C402" s="74" t="str">
        <v>Agyei Agyemang Anthony</v>
      </c>
      <c r="D402" s="75" t="s">
        <v>36</v>
      </c>
      <c r="E402" s="72" t="n">
        <v>75</v>
      </c>
      <c r="F402" s="75" t="s">
        <v>574</v>
      </c>
      <c r="G402" s="73" t="n">
        <f aca="false">E402*1.1</f>
        <v>82.5</v>
      </c>
      <c r="H402" s="5" t="s">
        <v>820</v>
      </c>
      <c r="I402" s="29" t="str">
        <f aca="false">CONCATENATE(A402,",",D402)</f>
        <v>AERO 256,ED2-AERO</v>
      </c>
      <c r="J402" s="31"/>
      <c r="K402" s="32"/>
      <c r="L402" s="32"/>
      <c r="M402" s="32"/>
    </row>
    <row r="403" s="45" customFormat="true" ht="17.9" hidden="false" customHeight="false" outlineLevel="0" collapsed="false">
      <c r="A403" s="70" t="s">
        <v>383</v>
      </c>
      <c r="B403" s="74" t="str">
        <v>MECHANICS OF MATERIALS</v>
      </c>
      <c r="C403" s="74" t="str">
        <v>Mensah-Darkwa Kwadwo</v>
      </c>
      <c r="D403" s="70" t="s">
        <v>140</v>
      </c>
      <c r="E403" s="72" t="n">
        <v>85</v>
      </c>
      <c r="F403" s="87" t="s">
        <v>791</v>
      </c>
      <c r="G403" s="73" t="n">
        <f aca="false">E403*1.1</f>
        <v>93.5</v>
      </c>
      <c r="H403" s="27" t="s">
        <v>821</v>
      </c>
      <c r="I403" s="43" t="str">
        <f aca="false">CONCATENATE(A403,",",D403)</f>
        <v>MSE 360,ED3-MSE</v>
      </c>
      <c r="J403" s="44"/>
    </row>
    <row r="404" customFormat="false" ht="15" hidden="false" customHeight="false" outlineLevel="0" collapsed="false">
      <c r="A404" s="70" t="s">
        <v>366</v>
      </c>
      <c r="B404" s="71" t="str">
        <v>HEAT AND MASS TRANSPORT</v>
      </c>
      <c r="C404" s="74" t="str">
        <v>Agyemang Frank Ofori</v>
      </c>
      <c r="D404" s="70" t="s">
        <v>210</v>
      </c>
      <c r="E404" s="72" t="n">
        <v>83</v>
      </c>
      <c r="F404" s="75" t="s">
        <v>822</v>
      </c>
      <c r="G404" s="73" t="n">
        <f aca="false">E404*1.1</f>
        <v>91.3</v>
      </c>
      <c r="H404" s="5" t="s">
        <v>823</v>
      </c>
      <c r="I404" s="29" t="str">
        <f aca="false">CONCATENATE(A404,",",D404)</f>
        <v>MSE 252,ED2-MSE</v>
      </c>
      <c r="J404" s="12"/>
    </row>
    <row r="405" customFormat="false" ht="15" hidden="false" customHeight="false" outlineLevel="0" collapsed="false">
      <c r="A405" s="70" t="s">
        <v>366</v>
      </c>
      <c r="B405" s="71" t="str">
        <v>HEAT AND MASS TRANSPORT</v>
      </c>
      <c r="C405" s="74" t="str">
        <v>Agyemang Frank Ofori</v>
      </c>
      <c r="D405" s="70" t="s">
        <v>101</v>
      </c>
      <c r="E405" s="72" t="n">
        <v>57</v>
      </c>
      <c r="F405" s="75" t="s">
        <v>529</v>
      </c>
      <c r="G405" s="73" t="n">
        <f aca="false">E405*1.1</f>
        <v>62.7</v>
      </c>
      <c r="H405" s="5" t="s">
        <v>824</v>
      </c>
      <c r="I405" s="29" t="str">
        <f aca="false">CONCATENATE(A405,",",D405)</f>
        <v>MSE 252,ED2-METE</v>
      </c>
      <c r="J405" s="12"/>
    </row>
    <row r="406" customFormat="false" ht="15" hidden="false" customHeight="false" outlineLevel="0" collapsed="false">
      <c r="A406" s="70" t="s">
        <v>382</v>
      </c>
      <c r="B406" s="71" t="str">
        <v>RENEWABLE ENERGY RESOURCES</v>
      </c>
      <c r="C406" s="74" t="str">
        <v>Baah-Ennumh Emmanuel Kwaku</v>
      </c>
      <c r="D406" s="70" t="s">
        <v>63</v>
      </c>
      <c r="E406" s="72" t="n">
        <v>20</v>
      </c>
      <c r="F406" s="92" t="s">
        <v>716</v>
      </c>
      <c r="G406" s="73" t="n">
        <f aca="false">E406*1.1</f>
        <v>22</v>
      </c>
      <c r="H406" s="5" t="n">
        <v>20</v>
      </c>
      <c r="I406" s="6" t="str">
        <f aca="false">CONCATENATE(A406,",",D406)</f>
        <v>CHE 366,ED3-PCE</v>
      </c>
      <c r="J406" s="12"/>
    </row>
    <row r="407" customFormat="false" ht="15" hidden="false" customHeight="false" outlineLevel="0" collapsed="false">
      <c r="A407" s="70" t="s">
        <v>339</v>
      </c>
      <c r="B407" s="71" t="str">
        <v>ANTENNA THEORY AND DESIGN</v>
      </c>
      <c r="C407" s="74" t="str">
        <v>Ellis Sani Mubarak</v>
      </c>
      <c r="D407" s="70" t="s">
        <v>119</v>
      </c>
      <c r="E407" s="72" t="n">
        <v>140</v>
      </c>
      <c r="F407" s="75" t="s">
        <v>706</v>
      </c>
      <c r="G407" s="73" t="n">
        <f aca="false">E407*1.1</f>
        <v>154</v>
      </c>
      <c r="H407" s="5" t="s">
        <v>825</v>
      </c>
      <c r="I407" s="6" t="str">
        <f aca="false">CONCATENATE(A407,",",D407)</f>
        <v>TE 354,ED3-TEL</v>
      </c>
      <c r="J407" s="12"/>
    </row>
    <row r="408" customFormat="false" ht="15" hidden="false" customHeight="false" outlineLevel="0" collapsed="false">
      <c r="A408" s="70" t="s">
        <v>359</v>
      </c>
      <c r="B408" s="74" t="str">
        <v>PRINCIPLES OF LAND SURVEYING AND HYDROGRAPHIC SCIENCE</v>
      </c>
      <c r="C408" s="74" t="str">
        <v>Asante Cosmas Yaw</v>
      </c>
      <c r="D408" s="75" t="s">
        <v>93</v>
      </c>
      <c r="E408" s="72" t="n">
        <v>95</v>
      </c>
      <c r="F408" s="75" t="s">
        <v>571</v>
      </c>
      <c r="G408" s="73" t="n">
        <f aca="false">E408*1.1</f>
        <v>104.5</v>
      </c>
      <c r="H408" s="5" t="s">
        <v>826</v>
      </c>
      <c r="I408" s="6" t="str">
        <f aca="false">CONCATENATE(A408,",",D408)</f>
        <v>PE 264,ED2-PE</v>
      </c>
      <c r="J408" s="12"/>
    </row>
    <row r="409" customFormat="false" ht="15" hidden="false" customHeight="false" outlineLevel="0" collapsed="false">
      <c r="A409" s="76"/>
      <c r="B409" s="78"/>
      <c r="C409" s="67"/>
      <c r="D409" s="71" t="s">
        <v>360</v>
      </c>
      <c r="E409" s="77" t="n">
        <f aca="false">SUM(E398:E408)</f>
        <v>1085</v>
      </c>
      <c r="F409" s="78"/>
      <c r="G409" s="79"/>
      <c r="I409" s="9" t="s">
        <v>361</v>
      </c>
      <c r="J409" s="12"/>
    </row>
    <row r="410" customFormat="false" ht="15" hidden="false" customHeight="false" outlineLevel="0" collapsed="false">
      <c r="A410" s="65" t="s">
        <v>362</v>
      </c>
      <c r="B410" s="65"/>
      <c r="C410" s="65"/>
      <c r="D410" s="65"/>
      <c r="E410" s="65"/>
      <c r="F410" s="65"/>
      <c r="G410" s="65"/>
      <c r="I410" s="9" t="str">
        <f aca="false">A410</f>
        <v>Friday, 28 August 2026</v>
      </c>
      <c r="J410" s="12"/>
    </row>
    <row r="411" customFormat="false" ht="15" hidden="false" customHeight="false" outlineLevel="0" collapsed="false">
      <c r="A411" s="65" t="s">
        <v>2</v>
      </c>
      <c r="B411" s="65"/>
      <c r="C411" s="65"/>
      <c r="D411" s="65"/>
      <c r="E411" s="65"/>
      <c r="F411" s="65"/>
      <c r="G411" s="65"/>
      <c r="I411" s="9" t="str">
        <f aca="false">A411</f>
        <v>Session, 1 (8:30 AM - 10:30 AM)</v>
      </c>
      <c r="J411" s="12"/>
    </row>
    <row r="412" customFormat="false" ht="15" hidden="false" customHeight="false" outlineLevel="0" collapsed="false">
      <c r="A412" s="66" t="s">
        <v>4</v>
      </c>
      <c r="B412" s="66" t="s">
        <v>5</v>
      </c>
      <c r="C412" s="67" t="s">
        <v>6</v>
      </c>
      <c r="D412" s="66" t="s">
        <v>7</v>
      </c>
      <c r="E412" s="68" t="s">
        <v>8</v>
      </c>
      <c r="F412" s="67" t="s">
        <v>9</v>
      </c>
      <c r="G412" s="69" t="s">
        <v>10</v>
      </c>
      <c r="I412" s="9" t="s">
        <v>31</v>
      </c>
      <c r="J412" s="12"/>
    </row>
    <row r="413" customFormat="false" ht="15" hidden="false" customHeight="false" outlineLevel="0" collapsed="false">
      <c r="A413" s="70" t="s">
        <v>364</v>
      </c>
      <c r="B413" s="71" t="str">
        <f aca="false" t="array" ref="B413:B425">IFERROR(VLOOKUP(I413:I425,Lectures_1!A2:F534,2,FALSE()),0)</f>
        <v>COMMUNICATION SKILLS II</v>
      </c>
      <c r="C413" s="71" t="str">
        <f aca="false" t="array" ref="C413:C425">IFERROR(VLOOKUP(I413:I425,Lectures_1!A2:F534,3,FALSE()),0)</f>
        <v>Yeboah Philomena Ama Okyeso</v>
      </c>
      <c r="D413" s="70" t="s">
        <v>191</v>
      </c>
      <c r="E413" s="72" t="n">
        <f aca="false" t="array" ref="E413:E425">IFERROR(VLOOKUP(I413:I425,Lectures_1!A2:F534,4,FALSE()),0)</f>
        <v>70</v>
      </c>
      <c r="F413" s="81" t="s">
        <v>34</v>
      </c>
      <c r="G413" s="73" t="n">
        <f aca="false">E413*1.1</f>
        <v>77</v>
      </c>
      <c r="I413" s="6" t="str">
        <f aca="false">CONCATENATE(A413,",",D413)</f>
        <v>ENGL 158,ED1-AERO</v>
      </c>
      <c r="J413" s="12"/>
    </row>
    <row r="414" customFormat="false" ht="15" hidden="false" customHeight="false" outlineLevel="0" collapsed="false">
      <c r="A414" s="70" t="s">
        <v>364</v>
      </c>
      <c r="B414" s="71" t="str">
        <v>COMMUNICATION SKILLS II</v>
      </c>
      <c r="C414" s="71" t="str">
        <v>Yeboah Philomena Ama Okyeso</v>
      </c>
      <c r="D414" s="70" t="s">
        <v>131</v>
      </c>
      <c r="E414" s="72" t="n">
        <v>128</v>
      </c>
      <c r="F414" s="81"/>
      <c r="G414" s="73" t="n">
        <f aca="false">E414*1.1</f>
        <v>140.8</v>
      </c>
      <c r="I414" s="6" t="str">
        <f aca="false">CONCATENATE(A414,",",D414)</f>
        <v>ENGL 158,ED1-AE</v>
      </c>
      <c r="J414" s="12"/>
    </row>
    <row r="415" customFormat="false" ht="15" hidden="false" customHeight="false" outlineLevel="0" collapsed="false">
      <c r="A415" s="70" t="s">
        <v>364</v>
      </c>
      <c r="B415" s="71" t="str">
        <v>COMMUNICATION SKILLS II</v>
      </c>
      <c r="C415" s="71" t="str">
        <v>Yeboah Philomena Ama Okyeso</v>
      </c>
      <c r="D415" s="70" t="s">
        <v>130</v>
      </c>
      <c r="E415" s="72" t="n">
        <v>136</v>
      </c>
      <c r="F415" s="81"/>
      <c r="G415" s="73" t="n">
        <f aca="false">E415*1.1</f>
        <v>149.6</v>
      </c>
      <c r="I415" s="6" t="str">
        <f aca="false">CONCATENATE(A415,",",D415)</f>
        <v>ENGL 158,ED1-BME</v>
      </c>
      <c r="J415" s="12"/>
    </row>
    <row r="416" customFormat="false" ht="15" hidden="false" customHeight="false" outlineLevel="0" collapsed="false">
      <c r="A416" s="70" t="s">
        <v>364</v>
      </c>
      <c r="B416" s="71" t="str">
        <v>COMMUNICATION SKILLS II</v>
      </c>
      <c r="C416" s="74" t="str">
        <v>Patricia Gustafson-Asamoah</v>
      </c>
      <c r="D416" s="70" t="s">
        <v>75</v>
      </c>
      <c r="E416" s="72" t="n">
        <v>245</v>
      </c>
      <c r="F416" s="81"/>
      <c r="G416" s="73" t="n">
        <f aca="false">E416*1.1</f>
        <v>269.5</v>
      </c>
      <c r="I416" s="6" t="str">
        <f aca="false">CONCATENATE(A416,",",D416)</f>
        <v>ENGL 158,ED1-CE</v>
      </c>
      <c r="J416" s="12"/>
    </row>
    <row r="417" customFormat="false" ht="15" hidden="false" customHeight="false" outlineLevel="0" collapsed="false">
      <c r="A417" s="70" t="s">
        <v>364</v>
      </c>
      <c r="B417" s="71" t="str">
        <v>COMMUNICATION  SKILLS II</v>
      </c>
      <c r="C417" s="71" t="str">
        <v>Yeboah Philomena Ama Okyeso</v>
      </c>
      <c r="D417" s="70" t="s">
        <v>80</v>
      </c>
      <c r="E417" s="72" t="n">
        <v>120</v>
      </c>
      <c r="F417" s="81"/>
      <c r="G417" s="73" t="n">
        <f aca="false">E417*1.1</f>
        <v>132</v>
      </c>
      <c r="I417" s="6" t="str">
        <f aca="false">CONCATENATE(A417,",",D417)</f>
        <v>ENGL 158,ED1-CHE</v>
      </c>
      <c r="J417" s="12"/>
    </row>
    <row r="418" customFormat="false" ht="15" hidden="false" customHeight="false" outlineLevel="0" collapsed="false">
      <c r="A418" s="70" t="s">
        <v>364</v>
      </c>
      <c r="B418" s="71" t="str">
        <v>COMMUNICATION SKILLS II</v>
      </c>
      <c r="C418" s="71" t="str">
        <v>Bernard Ampong</v>
      </c>
      <c r="D418" s="70" t="s">
        <v>20</v>
      </c>
      <c r="E418" s="72" t="n">
        <v>262</v>
      </c>
      <c r="F418" s="81"/>
      <c r="G418" s="73" t="n">
        <f aca="false">E418*1.1</f>
        <v>288.2</v>
      </c>
      <c r="I418" s="6" t="str">
        <f aca="false">CONCATENATE(A418,",",D418)</f>
        <v>ENGL 158,ED1-COE</v>
      </c>
      <c r="J418" s="12"/>
    </row>
    <row r="419" customFormat="false" ht="15" hidden="false" customHeight="false" outlineLevel="0" collapsed="false">
      <c r="A419" s="70" t="s">
        <v>365</v>
      </c>
      <c r="B419" s="71" t="str">
        <v>AC MACHINES</v>
      </c>
      <c r="C419" s="74" t="str">
        <v>Asigri Peter</v>
      </c>
      <c r="D419" s="70" t="s">
        <v>25</v>
      </c>
      <c r="E419" s="72" t="n">
        <v>340</v>
      </c>
      <c r="F419" s="84" t="s">
        <v>533</v>
      </c>
      <c r="G419" s="73" t="n">
        <f aca="false">E419*1.1</f>
        <v>374</v>
      </c>
      <c r="H419" s="5" t="s">
        <v>778</v>
      </c>
      <c r="I419" s="6" t="str">
        <f aca="false">CONCATENATE(A419,",",D419)</f>
        <v>EE 262,ED2-EE</v>
      </c>
      <c r="J419" s="12"/>
    </row>
    <row r="420" customFormat="false" ht="15" hidden="false" customHeight="false" outlineLevel="0" collapsed="false">
      <c r="A420" s="70" t="s">
        <v>367</v>
      </c>
      <c r="B420" s="66" t="str">
        <v>SOIL AND ROCK MECHANICS</v>
      </c>
      <c r="C420" s="74" t="str">
        <v>Frederick Owusu-Nimo</v>
      </c>
      <c r="D420" s="70" t="s">
        <v>56</v>
      </c>
      <c r="E420" s="91" t="n">
        <v>250</v>
      </c>
      <c r="F420" s="75" t="s">
        <v>531</v>
      </c>
      <c r="G420" s="73" t="n">
        <f aca="false">E420*1.1</f>
        <v>275</v>
      </c>
      <c r="H420" s="5" t="s">
        <v>827</v>
      </c>
      <c r="I420" s="6" t="str">
        <f aca="false">CONCATENATE(A420,",",D420)</f>
        <v>CE 260,ED2-CE</v>
      </c>
      <c r="J420" s="12"/>
    </row>
    <row r="421" customFormat="false" ht="15" hidden="false" customHeight="false" outlineLevel="0" collapsed="false">
      <c r="A421" s="70" t="s">
        <v>367</v>
      </c>
      <c r="B421" s="66" t="str">
        <v>SOIL AND ROCK MECHANICS</v>
      </c>
      <c r="C421" s="74" t="str">
        <v>Owusu-Nimo Frederick</v>
      </c>
      <c r="D421" s="70" t="s">
        <v>170</v>
      </c>
      <c r="E421" s="91" t="n">
        <v>132</v>
      </c>
      <c r="F421" s="90" t="s">
        <v>731</v>
      </c>
      <c r="G421" s="73" t="n">
        <f aca="false">E421*1.1</f>
        <v>145.2</v>
      </c>
      <c r="H421" s="5" t="s">
        <v>828</v>
      </c>
      <c r="I421" s="6" t="str">
        <f aca="false">CONCATENATE(A421,",",D421)</f>
        <v>CE 260,ED2-GEOM</v>
      </c>
      <c r="J421" s="12"/>
    </row>
    <row r="422" customFormat="false" ht="15" hidden="false" customHeight="false" outlineLevel="0" collapsed="false">
      <c r="A422" s="70" t="s">
        <v>368</v>
      </c>
      <c r="B422" s="74" t="str">
        <v>BIOSIGNAL PROCESSES AND ANALYSIS</v>
      </c>
      <c r="C422" s="74" t="str">
        <v>Adjei Prince Ebenezer</v>
      </c>
      <c r="D422" s="70" t="s">
        <v>65</v>
      </c>
      <c r="E422" s="72" t="n">
        <v>90</v>
      </c>
      <c r="F422" s="75" t="s">
        <v>571</v>
      </c>
      <c r="G422" s="73" t="n">
        <f aca="false">E422*1.1</f>
        <v>99</v>
      </c>
      <c r="H422" s="5" t="s">
        <v>709</v>
      </c>
      <c r="I422" s="6" t="str">
        <f aca="false">CONCATENATE(A422,",",D422)</f>
        <v>BME 366,ED3-BME</v>
      </c>
      <c r="J422" s="12"/>
    </row>
    <row r="423" customFormat="false" ht="15" hidden="false" customHeight="false" outlineLevel="0" collapsed="false">
      <c r="A423" s="70" t="s">
        <v>369</v>
      </c>
      <c r="B423" s="71" t="str">
        <v>OPTICAL MINERALOGY</v>
      </c>
      <c r="C423" s="74" t="str">
        <v>Wilson Matthew Coffie</v>
      </c>
      <c r="D423" s="70" t="s">
        <v>55</v>
      </c>
      <c r="E423" s="72" t="n">
        <v>150</v>
      </c>
      <c r="F423" s="90" t="s">
        <v>829</v>
      </c>
      <c r="G423" s="73" t="n">
        <f aca="false">E423*1.1</f>
        <v>165</v>
      </c>
      <c r="H423" s="5" t="s">
        <v>830</v>
      </c>
      <c r="I423" s="6" t="str">
        <f aca="false">CONCATENATE(A423,",",D423)</f>
        <v>GED 258,ED2-GEOL</v>
      </c>
      <c r="J423" s="12"/>
    </row>
    <row r="424" customFormat="false" ht="15" hidden="false" customHeight="false" outlineLevel="0" collapsed="false">
      <c r="A424" s="70" t="s">
        <v>344</v>
      </c>
      <c r="B424" s="71" t="str">
        <v>THEORY OF MACHINES</v>
      </c>
      <c r="C424" s="74" t="str">
        <v>Adam Faisal Wahib</v>
      </c>
      <c r="D424" s="70" t="s">
        <v>53</v>
      </c>
      <c r="E424" s="72" t="n">
        <v>155</v>
      </c>
      <c r="F424" s="90" t="s">
        <v>831</v>
      </c>
      <c r="G424" s="73" t="n">
        <f aca="false">E424*1.1</f>
        <v>170.5</v>
      </c>
      <c r="H424" s="5" t="s">
        <v>832</v>
      </c>
      <c r="I424" s="6" t="str">
        <f aca="false">CONCATENATE(A424,",",D424)</f>
        <v>ME 262,ED2-AE</v>
      </c>
      <c r="J424" s="12"/>
    </row>
    <row r="425" customFormat="false" ht="15" hidden="false" customHeight="false" outlineLevel="0" collapsed="false">
      <c r="A425" s="70" t="s">
        <v>370</v>
      </c>
      <c r="B425" s="71" t="str">
        <v>PACKAGING TECHNOLOGY</v>
      </c>
      <c r="C425" s="74" t="str">
        <v>Baah-Ennumh Emmanuel Kwaku</v>
      </c>
      <c r="D425" s="70" t="s">
        <v>73</v>
      </c>
      <c r="E425" s="72" t="n">
        <v>45</v>
      </c>
      <c r="F425" s="75" t="s">
        <v>539</v>
      </c>
      <c r="G425" s="73" t="n">
        <f aca="false">E425*1.1</f>
        <v>49.5</v>
      </c>
      <c r="H425" s="5" t="s">
        <v>833</v>
      </c>
      <c r="I425" s="6" t="str">
        <f aca="false">CONCATENATE(A425,",",D425)</f>
        <v>CHE 364,ED3-CHE</v>
      </c>
      <c r="J425" s="12"/>
    </row>
    <row r="426" customFormat="false" ht="15" hidden="false" customHeight="false" outlineLevel="0" collapsed="false">
      <c r="A426" s="76"/>
      <c r="B426" s="76"/>
      <c r="C426" s="67"/>
      <c r="D426" s="71" t="s">
        <v>371</v>
      </c>
      <c r="E426" s="77" t="n">
        <f aca="false">SUM(E419:E425)</f>
        <v>1162</v>
      </c>
      <c r="F426" s="78"/>
      <c r="G426" s="79"/>
      <c r="I426" s="9"/>
      <c r="J426" s="12"/>
    </row>
    <row r="427" customFormat="false" ht="15" hidden="false" customHeight="false" outlineLevel="0" collapsed="false">
      <c r="A427" s="65" t="s">
        <v>362</v>
      </c>
      <c r="B427" s="65"/>
      <c r="C427" s="65"/>
      <c r="D427" s="65"/>
      <c r="E427" s="65"/>
      <c r="F427" s="65"/>
      <c r="G427" s="65"/>
      <c r="I427" s="9" t="str">
        <f aca="false">A427</f>
        <v>Friday, 28 August 2026</v>
      </c>
      <c r="J427" s="12"/>
    </row>
    <row r="428" customFormat="false" ht="15" hidden="false" customHeight="false" outlineLevel="0" collapsed="false">
      <c r="A428" s="65" t="s">
        <v>29</v>
      </c>
      <c r="B428" s="65"/>
      <c r="C428" s="65"/>
      <c r="D428" s="65"/>
      <c r="E428" s="65"/>
      <c r="F428" s="65"/>
      <c r="G428" s="65"/>
      <c r="I428" s="9" t="str">
        <f aca="false">A428</f>
        <v>Session, 2 (12:00 PM - 2:00 PM)</v>
      </c>
      <c r="J428" s="12"/>
    </row>
    <row r="429" customFormat="false" ht="15" hidden="false" customHeight="false" outlineLevel="0" collapsed="false">
      <c r="A429" s="66" t="s">
        <v>4</v>
      </c>
      <c r="B429" s="66" t="s">
        <v>5</v>
      </c>
      <c r="C429" s="67" t="s">
        <v>6</v>
      </c>
      <c r="D429" s="66" t="s">
        <v>7</v>
      </c>
      <c r="E429" s="68" t="s">
        <v>8</v>
      </c>
      <c r="F429" s="67" t="s">
        <v>9</v>
      </c>
      <c r="G429" s="69" t="s">
        <v>10</v>
      </c>
      <c r="I429" s="9" t="s">
        <v>31</v>
      </c>
      <c r="J429" s="12"/>
    </row>
    <row r="430" customFormat="false" ht="15" hidden="false" customHeight="false" outlineLevel="0" collapsed="false">
      <c r="A430" s="70" t="s">
        <v>364</v>
      </c>
      <c r="B430" s="71" t="str">
        <f aca="false" t="array" ref="B430:B447">IFERROR(VLOOKUP(I430:I447,Lectures_1!A2:F534,2,FALSE()),0)</f>
        <v>COMMUNICATION SKILLS II</v>
      </c>
      <c r="C430" s="71" t="str">
        <f aca="false" t="array" ref="C430:C447">IFERROR(VLOOKUP(I430:I447,Lectures_1!A2:F534,3,FALSE()),0)</f>
        <v>Yeboah Philomena Ama Okyeso</v>
      </c>
      <c r="D430" s="70" t="s">
        <v>81</v>
      </c>
      <c r="E430" s="72" t="n">
        <f aca="false" t="array" ref="E430:E447">IFERROR(VLOOKUP(I430:I447,Lectures_1!A2:F534,4,FALSE()),0)</f>
        <v>56</v>
      </c>
      <c r="F430" s="81" t="s">
        <v>372</v>
      </c>
      <c r="G430" s="73" t="n">
        <f aca="false">E430*1.1</f>
        <v>61.6</v>
      </c>
      <c r="I430" s="6" t="str">
        <f aca="false">CONCATENATE(A430,",",D430)</f>
        <v>ENGL 158,ED1-PCE</v>
      </c>
      <c r="J430" s="12"/>
    </row>
    <row r="431" customFormat="false" ht="15" hidden="false" customHeight="false" outlineLevel="0" collapsed="false">
      <c r="A431" s="70" t="s">
        <v>364</v>
      </c>
      <c r="B431" s="71" t="str">
        <v>COMMUNICATION SKILLS II</v>
      </c>
      <c r="C431" s="71" t="str">
        <v>Sarfo-Adu Kwasi</v>
      </c>
      <c r="D431" s="70" t="s">
        <v>162</v>
      </c>
      <c r="E431" s="72" t="n">
        <v>85</v>
      </c>
      <c r="F431" s="81"/>
      <c r="G431" s="73" t="n">
        <f aca="false">E431*1.1</f>
        <v>93.5</v>
      </c>
      <c r="I431" s="6" t="str">
        <f aca="false">CONCATENATE(A431,",",D431)</f>
        <v>ENGL 158,ED1-AUTO</v>
      </c>
      <c r="J431" s="12"/>
    </row>
    <row r="432" customFormat="false" ht="15" hidden="false" customHeight="false" outlineLevel="0" collapsed="false">
      <c r="A432" s="70" t="s">
        <v>364</v>
      </c>
      <c r="B432" s="71" t="str">
        <v>COMMUNICATION SKILLS II</v>
      </c>
      <c r="C432" s="74" t="str">
        <v>Yeboah Philomena Ama Okyeso</v>
      </c>
      <c r="D432" s="70" t="s">
        <v>51</v>
      </c>
      <c r="E432" s="72" t="n">
        <v>295</v>
      </c>
      <c r="F432" s="81"/>
      <c r="G432" s="73" t="n">
        <f aca="false">E432*1.1</f>
        <v>324.5</v>
      </c>
      <c r="I432" s="6" t="str">
        <f aca="false">CONCATENATE(A432,",",D432)</f>
        <v>ENGL 158,ED1-EE</v>
      </c>
      <c r="J432" s="12"/>
    </row>
    <row r="433" customFormat="false" ht="15" hidden="false" customHeight="false" outlineLevel="0" collapsed="false">
      <c r="A433" s="70" t="s">
        <v>364</v>
      </c>
      <c r="B433" s="71" t="str">
        <v>COMMUNICATION SKILLS II</v>
      </c>
      <c r="C433" s="67" t="str">
        <v>Yeboah Philomena Ama Okyeso</v>
      </c>
      <c r="D433" s="70" t="s">
        <v>111</v>
      </c>
      <c r="E433" s="72" t="n">
        <v>83</v>
      </c>
      <c r="F433" s="81"/>
      <c r="G433" s="73" t="n">
        <f aca="false">E433*1.1</f>
        <v>91.3</v>
      </c>
      <c r="I433" s="6" t="str">
        <f aca="false">CONCATENATE(A433,",",D433)</f>
        <v>ENGL 158,ED1-IND</v>
      </c>
      <c r="J433" s="12"/>
    </row>
    <row r="434" customFormat="false" ht="15" hidden="false" customHeight="false" outlineLevel="0" collapsed="false">
      <c r="A434" s="70" t="s">
        <v>364</v>
      </c>
      <c r="B434" s="71" t="str">
        <v>COMMUNICATION SKILLS II</v>
      </c>
      <c r="C434" s="74" t="str">
        <v>Yeboah Philomena Ama Okyeso</v>
      </c>
      <c r="D434" s="70" t="s">
        <v>126</v>
      </c>
      <c r="E434" s="72" t="n">
        <v>125</v>
      </c>
      <c r="F434" s="81"/>
      <c r="G434" s="73" t="n">
        <f aca="false">E434*1.1</f>
        <v>137.5</v>
      </c>
      <c r="I434" s="6" t="str">
        <f aca="false">CONCATENATE(A434,",",D434)</f>
        <v>ENGL 158,ED1-GEOL</v>
      </c>
      <c r="J434" s="12"/>
    </row>
    <row r="435" customFormat="false" ht="15" hidden="false" customHeight="false" outlineLevel="0" collapsed="false">
      <c r="A435" s="70" t="s">
        <v>364</v>
      </c>
      <c r="B435" s="67" t="str">
        <v>COMMUNICATION SKILLS II</v>
      </c>
      <c r="C435" s="67" t="str">
        <v>Alhassan Yakubu</v>
      </c>
      <c r="D435" s="70" t="s">
        <v>115</v>
      </c>
      <c r="E435" s="68" t="n">
        <v>100</v>
      </c>
      <c r="F435" s="81"/>
      <c r="G435" s="73" t="n">
        <f aca="false">E435*1.1</f>
        <v>110</v>
      </c>
      <c r="I435" s="6" t="str">
        <f aca="false">CONCATENATE(A435,",",D435)</f>
        <v>ENGL 158,ED1-MSE</v>
      </c>
      <c r="J435" s="12"/>
    </row>
    <row r="436" customFormat="false" ht="15" hidden="false" customHeight="false" outlineLevel="0" collapsed="false">
      <c r="A436" s="70" t="s">
        <v>364</v>
      </c>
      <c r="B436" s="67" t="str">
        <v>COMMUNICATION SKILLS II</v>
      </c>
      <c r="C436" s="67" t="str">
        <v>Yeboah Philomena Ama Okyeso</v>
      </c>
      <c r="D436" s="70" t="s">
        <v>95</v>
      </c>
      <c r="E436" s="68" t="n">
        <v>103</v>
      </c>
      <c r="F436" s="81"/>
      <c r="G436" s="73" t="n">
        <f aca="false">E436*1.1</f>
        <v>113.3</v>
      </c>
      <c r="I436" s="6" t="str">
        <f aca="false">CONCATENATE(A436,",",D436)</f>
        <v>ENGL 158,ED1-GEOM</v>
      </c>
      <c r="J436" s="12"/>
    </row>
    <row r="437" customFormat="false" ht="15" hidden="false" customHeight="false" outlineLevel="0" collapsed="false">
      <c r="A437" s="70" t="s">
        <v>373</v>
      </c>
      <c r="B437" s="74" t="str">
        <v>MANAGEMENT AND ENTREPRENEURSHIP DEVELOPMENT</v>
      </c>
      <c r="C437" s="74" t="str">
        <v>Aikins Stephen Hill Mends</v>
      </c>
      <c r="D437" s="70" t="s">
        <v>251</v>
      </c>
      <c r="E437" s="72" t="n">
        <v>160</v>
      </c>
      <c r="F437" s="75" t="s">
        <v>617</v>
      </c>
      <c r="G437" s="73" t="n">
        <f aca="false">E437*1.1</f>
        <v>176</v>
      </c>
      <c r="H437" s="5" t="s">
        <v>774</v>
      </c>
      <c r="I437" s="6" t="str">
        <f aca="false">CONCATENATE(A437,",",D437)</f>
        <v>ME 492,ED4-COE</v>
      </c>
      <c r="J437" s="12"/>
    </row>
    <row r="438" customFormat="false" ht="17.9" hidden="false" customHeight="false" outlineLevel="0" collapsed="false">
      <c r="A438" s="70" t="s">
        <v>373</v>
      </c>
      <c r="B438" s="74" t="str">
        <v>ENTREPRENEURSHIP DEVELOPMENT AND MANAGEMENT</v>
      </c>
      <c r="C438" s="74" t="str">
        <v>Mensah Lena Dzifa</v>
      </c>
      <c r="D438" s="70" t="s">
        <v>144</v>
      </c>
      <c r="E438" s="72" t="n">
        <v>205</v>
      </c>
      <c r="F438" s="87" t="s">
        <v>834</v>
      </c>
      <c r="G438" s="73" t="n">
        <f aca="false">E438*1.1</f>
        <v>225.5</v>
      </c>
      <c r="H438" s="5" t="s">
        <v>610</v>
      </c>
      <c r="I438" s="6" t="str">
        <f aca="false">CONCATENATE(A438,",",D438)</f>
        <v>ME 492,ED4-EE</v>
      </c>
      <c r="J438" s="12"/>
    </row>
    <row r="439" customFormat="false" ht="15" hidden="false" customHeight="false" outlineLevel="0" collapsed="false">
      <c r="A439" s="70" t="s">
        <v>373</v>
      </c>
      <c r="B439" s="74" t="str">
        <v>ENTREPRENEURSHIP MANAGEMENT </v>
      </c>
      <c r="C439" s="74" t="str">
        <v>Asiedu Charlotte</v>
      </c>
      <c r="D439" s="70" t="s">
        <v>124</v>
      </c>
      <c r="E439" s="72" t="n">
        <v>69</v>
      </c>
      <c r="F439" s="75" t="s">
        <v>545</v>
      </c>
      <c r="G439" s="73" t="n">
        <f aca="false">E439*1.1</f>
        <v>75.9</v>
      </c>
      <c r="H439" s="5" t="n">
        <v>69</v>
      </c>
      <c r="I439" s="6" t="str">
        <f aca="false">CONCATENATE(A439,",",D439)</f>
        <v>ME 492,ED4-IND</v>
      </c>
      <c r="J439" s="12"/>
    </row>
    <row r="440" customFormat="false" ht="17.9" hidden="false" customHeight="false" outlineLevel="0" collapsed="false">
      <c r="A440" s="70" t="s">
        <v>373</v>
      </c>
      <c r="B440" s="74" t="str">
        <v>MANAGEMENT AND ENTREPRENEURSHIP DEVELOPMENT</v>
      </c>
      <c r="C440" s="74" t="str">
        <v>Mensah Lena Dzifa</v>
      </c>
      <c r="D440" s="70" t="s">
        <v>67</v>
      </c>
      <c r="E440" s="72" t="n">
        <v>135</v>
      </c>
      <c r="F440" s="87" t="s">
        <v>835</v>
      </c>
      <c r="G440" s="73" t="n">
        <f aca="false">E440*1.1</f>
        <v>148.5</v>
      </c>
      <c r="H440" s="5" t="s">
        <v>836</v>
      </c>
      <c r="I440" s="6" t="str">
        <f aca="false">CONCATENATE(A440,",",D440)</f>
        <v>ME 492,ED4-ME</v>
      </c>
      <c r="J440" s="12"/>
    </row>
    <row r="441" customFormat="false" ht="15" hidden="false" customHeight="false" outlineLevel="0" collapsed="false">
      <c r="A441" s="70" t="s">
        <v>373</v>
      </c>
      <c r="B441" s="74" t="str">
        <v>MANAGEMENT AND ENTREPRENEURSHIP DEVELOPMENT</v>
      </c>
      <c r="C441" s="74" t="str">
        <v>Mensah Lena Dzifa</v>
      </c>
      <c r="D441" s="70" t="s">
        <v>136</v>
      </c>
      <c r="E441" s="72" t="n">
        <v>55</v>
      </c>
      <c r="F441" s="75" t="s">
        <v>837</v>
      </c>
      <c r="G441" s="73" t="n">
        <f aca="false">E441*1.1</f>
        <v>60.5</v>
      </c>
      <c r="H441" s="5" t="s">
        <v>767</v>
      </c>
      <c r="I441" s="6" t="str">
        <f aca="false">CONCATENATE(A441,",",D441)</f>
        <v>ME 492,ED4-METE</v>
      </c>
      <c r="J441" s="12"/>
    </row>
    <row r="442" customFormat="false" ht="15" hidden="false" customHeight="false" outlineLevel="0" collapsed="false">
      <c r="A442" s="70" t="s">
        <v>373</v>
      </c>
      <c r="B442" s="74" t="str">
        <v>MANAGEMENT AND ENTREPRENEURSHIP DEVELOPMENT</v>
      </c>
      <c r="C442" s="74" t="str">
        <v>Mensah Lena Dzifa</v>
      </c>
      <c r="D442" s="70" t="s">
        <v>99</v>
      </c>
      <c r="E442" s="72" t="n">
        <v>61</v>
      </c>
      <c r="F442" s="75" t="s">
        <v>624</v>
      </c>
      <c r="G442" s="73" t="n">
        <f aca="false">E442*1.1</f>
        <v>67.1</v>
      </c>
      <c r="H442" s="5" t="s">
        <v>588</v>
      </c>
      <c r="I442" s="6" t="str">
        <f aca="false">CONCATENATE(A442,",",D442)</f>
        <v>ME 492,ED4-AERO</v>
      </c>
      <c r="J442" s="12"/>
    </row>
    <row r="443" customFormat="false" ht="15" hidden="false" customHeight="false" outlineLevel="0" collapsed="false">
      <c r="A443" s="70" t="s">
        <v>373</v>
      </c>
      <c r="B443" s="74" t="str">
        <v>MANAGEMENT AND ENTREPRENEURSHIP DEVELOPMENT</v>
      </c>
      <c r="C443" s="74" t="str">
        <v>Mensah Lena Dzifa</v>
      </c>
      <c r="D443" s="70" t="s">
        <v>97</v>
      </c>
      <c r="E443" s="72" t="n">
        <v>32</v>
      </c>
      <c r="F443" s="75" t="s">
        <v>541</v>
      </c>
      <c r="G443" s="73" t="n">
        <f aca="false">E443*1.1</f>
        <v>35.2</v>
      </c>
      <c r="H443" s="5" t="n">
        <v>32</v>
      </c>
      <c r="I443" s="6" t="str">
        <f aca="false">CONCATENATE(A443,",",D443)</f>
        <v>ME 492,ED4-AUTO</v>
      </c>
      <c r="J443" s="12"/>
    </row>
    <row r="444" customFormat="false" ht="15" hidden="false" customHeight="false" outlineLevel="0" collapsed="false">
      <c r="A444" s="70" t="s">
        <v>373</v>
      </c>
      <c r="B444" s="74" t="str">
        <v>ENTREPRENEURSHIP DEVELOPMENT</v>
      </c>
      <c r="C444" s="74" t="str">
        <v>Aikins Stephen Hill Mends</v>
      </c>
      <c r="D444" s="70" t="s">
        <v>252</v>
      </c>
      <c r="E444" s="72" t="n">
        <v>87</v>
      </c>
      <c r="F444" s="75" t="s">
        <v>582</v>
      </c>
      <c r="G444" s="73" t="n">
        <f aca="false">E444*1.1</f>
        <v>95.7</v>
      </c>
      <c r="H444" s="5" t="s">
        <v>838</v>
      </c>
      <c r="I444" s="6" t="str">
        <f aca="false">CONCATENATE(A444,",",D444)</f>
        <v>ME 492,ED4-BME</v>
      </c>
      <c r="J444" s="12"/>
    </row>
    <row r="445" customFormat="false" ht="15" hidden="false" customHeight="false" outlineLevel="0" collapsed="false">
      <c r="A445" s="70" t="s">
        <v>373</v>
      </c>
      <c r="B445" s="74" t="str">
        <v>MANAGEMENT AND ENTREPRENEURSHIP DEVELOPMENT</v>
      </c>
      <c r="C445" s="74" t="str">
        <v>Aikins Stephen Hill Mends</v>
      </c>
      <c r="D445" s="70" t="s">
        <v>50</v>
      </c>
      <c r="E445" s="72" t="n">
        <v>103</v>
      </c>
      <c r="F445" s="75" t="s">
        <v>571</v>
      </c>
      <c r="G445" s="73" t="n">
        <f aca="false">E445*1.1</f>
        <v>113.3</v>
      </c>
      <c r="H445" s="5" t="s">
        <v>572</v>
      </c>
      <c r="I445" s="6" t="str">
        <f aca="false">CONCATENATE(A445,",",D445)</f>
        <v>ME 492,ED4-AE</v>
      </c>
      <c r="J445" s="12"/>
    </row>
    <row r="446" customFormat="false" ht="15" hidden="false" customHeight="false" outlineLevel="0" collapsed="false">
      <c r="A446" s="70" t="s">
        <v>373</v>
      </c>
      <c r="B446" s="74" t="str">
        <v>MANAGEMENT AND ENTREPRENEURSHIP DEVELOPMENT</v>
      </c>
      <c r="C446" s="74" t="str">
        <v>Mensah Lena Dzifa</v>
      </c>
      <c r="D446" s="70" t="s">
        <v>135</v>
      </c>
      <c r="E446" s="72" t="n">
        <v>60</v>
      </c>
      <c r="F446" s="75" t="s">
        <v>546</v>
      </c>
      <c r="G446" s="73" t="n">
        <f aca="false">E446*1.1</f>
        <v>66</v>
      </c>
      <c r="H446" s="5" t="n">
        <v>60</v>
      </c>
      <c r="I446" s="6" t="str">
        <f aca="false">CONCATENATE(A446,",",D446)</f>
        <v>ME 492,ED4-MSE</v>
      </c>
      <c r="J446" s="12"/>
    </row>
    <row r="447" customFormat="false" ht="15" hidden="false" customHeight="false" outlineLevel="0" collapsed="false">
      <c r="A447" s="70" t="s">
        <v>373</v>
      </c>
      <c r="B447" s="74" t="str">
        <v>MANAGEMENT AND ENTREPRENEURSHIP DEVELOPMENT</v>
      </c>
      <c r="C447" s="74" t="str">
        <v>Intsiful Araba Kwegyirba</v>
      </c>
      <c r="D447" s="70" t="s">
        <v>227</v>
      </c>
      <c r="E447" s="72" t="n">
        <v>138</v>
      </c>
      <c r="F447" s="75" t="s">
        <v>839</v>
      </c>
      <c r="G447" s="73" t="n">
        <f aca="false">E447*1.1</f>
        <v>151.8</v>
      </c>
      <c r="H447" s="5" t="s">
        <v>840</v>
      </c>
      <c r="I447" s="6" t="str">
        <f aca="false">CONCATENATE(A447,",",D447)</f>
        <v>ME 492,ED4-TEL</v>
      </c>
      <c r="J447" s="12"/>
    </row>
    <row r="448" customFormat="false" ht="15" hidden="false" customHeight="false" outlineLevel="0" collapsed="false">
      <c r="A448" s="76"/>
      <c r="B448" s="76"/>
      <c r="C448" s="67"/>
      <c r="D448" s="71" t="s">
        <v>375</v>
      </c>
      <c r="E448" s="77" t="n">
        <f aca="false">SUM(E437:E447)</f>
        <v>1105</v>
      </c>
      <c r="F448" s="78"/>
      <c r="G448" s="79"/>
      <c r="I448" s="9" t="s">
        <v>376</v>
      </c>
      <c r="J448" s="12"/>
    </row>
    <row r="449" customFormat="false" ht="15" hidden="false" customHeight="false" outlineLevel="0" collapsed="false">
      <c r="A449" s="93"/>
      <c r="B449" s="93"/>
      <c r="C449" s="67"/>
      <c r="D449" s="93"/>
      <c r="E449" s="94"/>
      <c r="F449" s="95"/>
      <c r="G449" s="96"/>
      <c r="J449" s="42"/>
    </row>
    <row r="450" customFormat="false" ht="15" hidden="false" customHeight="false" outlineLevel="0" collapsed="false">
      <c r="A450" s="93"/>
      <c r="B450" s="93"/>
      <c r="C450" s="67"/>
      <c r="D450" s="93"/>
      <c r="E450" s="94"/>
      <c r="F450" s="95"/>
      <c r="G450" s="96"/>
      <c r="J450" s="42"/>
    </row>
    <row r="451" customFormat="false" ht="15" hidden="false" customHeight="false" outlineLevel="0" collapsed="false">
      <c r="A451" s="65" t="s">
        <v>362</v>
      </c>
      <c r="B451" s="65"/>
      <c r="C451" s="65"/>
      <c r="D451" s="65"/>
      <c r="E451" s="65"/>
      <c r="F451" s="65"/>
      <c r="G451" s="65"/>
      <c r="I451" s="9" t="str">
        <f aca="false">A451</f>
        <v>Friday, 28 August 2026</v>
      </c>
      <c r="J451" s="12"/>
    </row>
    <row r="452" customFormat="false" ht="15" hidden="false" customHeight="false" outlineLevel="0" collapsed="false">
      <c r="A452" s="65" t="s">
        <v>59</v>
      </c>
      <c r="B452" s="65"/>
      <c r="C452" s="65"/>
      <c r="D452" s="65"/>
      <c r="E452" s="65"/>
      <c r="F452" s="65"/>
      <c r="G452" s="65"/>
      <c r="I452" s="9" t="str">
        <f aca="false">A452</f>
        <v>Session, 3 (3:00 PM - 5:00 PM)</v>
      </c>
      <c r="J452" s="12"/>
    </row>
    <row r="453" customFormat="false" ht="15" hidden="false" customHeight="false" outlineLevel="0" collapsed="false">
      <c r="A453" s="66" t="s">
        <v>4</v>
      </c>
      <c r="B453" s="66" t="s">
        <v>5</v>
      </c>
      <c r="C453" s="67" t="s">
        <v>6</v>
      </c>
      <c r="D453" s="66" t="s">
        <v>7</v>
      </c>
      <c r="E453" s="68" t="s">
        <v>8</v>
      </c>
      <c r="F453" s="67" t="s">
        <v>9</v>
      </c>
      <c r="G453" s="69" t="s">
        <v>10</v>
      </c>
      <c r="I453" s="9" t="s">
        <v>31</v>
      </c>
      <c r="J453" s="12"/>
    </row>
    <row r="454" customFormat="false" ht="15" hidden="false" customHeight="false" outlineLevel="0" collapsed="false">
      <c r="A454" s="70" t="s">
        <v>364</v>
      </c>
      <c r="B454" s="67" t="str">
        <f aca="false" t="array" ref="B454:B466">IFERROR(VLOOKUP(I454:I466,Lectures_1!A2:F534,2,FALSE()),0)</f>
        <v>COMMUNICATION SKILLS II</v>
      </c>
      <c r="C454" s="67" t="str">
        <f aca="false" t="array" ref="C454:C466">IFERROR(VLOOKUP(I454:I466,Lectures_1!A2:F534,3,FALSE()),0)</f>
        <v>Yeboah Philomena Ama Okyeso</v>
      </c>
      <c r="D454" s="70" t="s">
        <v>112</v>
      </c>
      <c r="E454" s="68" t="n">
        <f aca="false" t="array" ref="E454:E466">IFERROR(VLOOKUP(I454:I466,Lectures_1!A2:F534,4,FALSE()),0)</f>
        <v>46</v>
      </c>
      <c r="F454" s="81" t="s">
        <v>34</v>
      </c>
      <c r="G454" s="73" t="n">
        <f aca="false">E454*1.1</f>
        <v>50.6</v>
      </c>
      <c r="I454" s="6" t="str">
        <f aca="false">CONCATENATE(A454,",",D454)</f>
        <v>ENGL 158,ED1-MARI</v>
      </c>
      <c r="J454" s="12"/>
    </row>
    <row r="455" customFormat="false" ht="15" hidden="false" customHeight="false" outlineLevel="0" collapsed="false">
      <c r="A455" s="70" t="s">
        <v>364</v>
      </c>
      <c r="B455" s="67" t="str">
        <v>COMMUNICATION SKILLS II</v>
      </c>
      <c r="C455" s="67" t="str">
        <v>Yeboah Philomena Ama Okyeso</v>
      </c>
      <c r="D455" s="70" t="s">
        <v>161</v>
      </c>
      <c r="E455" s="68" t="n">
        <v>225</v>
      </c>
      <c r="F455" s="81"/>
      <c r="G455" s="73" t="n">
        <f aca="false">E455*1.1</f>
        <v>247.5</v>
      </c>
      <c r="I455" s="6" t="str">
        <f aca="false">CONCATENATE(A455,",",D455)</f>
        <v>ENGL 158,ED1-ME</v>
      </c>
      <c r="J455" s="12"/>
    </row>
    <row r="456" customFormat="false" ht="15" hidden="false" customHeight="false" outlineLevel="0" collapsed="false">
      <c r="A456" s="70" t="s">
        <v>364</v>
      </c>
      <c r="B456" s="71" t="str">
        <v>COMMUNICATION SKILLS II</v>
      </c>
      <c r="C456" s="67" t="str">
        <v>Alhassan Yakubu</v>
      </c>
      <c r="D456" s="70" t="s">
        <v>82</v>
      </c>
      <c r="E456" s="72" t="n">
        <v>130</v>
      </c>
      <c r="F456" s="81"/>
      <c r="G456" s="73" t="n">
        <f aca="false">E456*1.1</f>
        <v>143</v>
      </c>
      <c r="I456" s="6" t="str">
        <f aca="false">CONCATENATE(A456,",",D456)</f>
        <v>ENGL 158,ED1-PE</v>
      </c>
      <c r="J456" s="12"/>
    </row>
    <row r="457" customFormat="false" ht="15" hidden="false" customHeight="false" outlineLevel="0" collapsed="false">
      <c r="A457" s="70" t="s">
        <v>364</v>
      </c>
      <c r="B457" s="71" t="str">
        <v>COMMUNICATION SKILLS II</v>
      </c>
      <c r="C457" s="67" t="str">
        <v>Alhassan Yakubu</v>
      </c>
      <c r="D457" s="70" t="s">
        <v>91</v>
      </c>
      <c r="E457" s="72" t="n">
        <v>130</v>
      </c>
      <c r="F457" s="81"/>
      <c r="G457" s="73" t="n">
        <f aca="false">E457*1.1</f>
        <v>143</v>
      </c>
      <c r="I457" s="6" t="str">
        <f aca="false">CONCATENATE(A457,",",D457)</f>
        <v>ENGL 158,ED1-TEL</v>
      </c>
      <c r="J457" s="12"/>
    </row>
    <row r="458" customFormat="false" ht="15" hidden="false" customHeight="false" outlineLevel="0" collapsed="false">
      <c r="A458" s="70" t="s">
        <v>364</v>
      </c>
      <c r="B458" s="71" t="str">
        <v>COMMUNICATION SKILLS II</v>
      </c>
      <c r="C458" s="74" t="str">
        <v>Alhassan Yakubu</v>
      </c>
      <c r="D458" s="70" t="s">
        <v>114</v>
      </c>
      <c r="E458" s="72" t="n">
        <v>75</v>
      </c>
      <c r="F458" s="81"/>
      <c r="G458" s="73" t="n">
        <f aca="false">E458*1.1</f>
        <v>82.5</v>
      </c>
      <c r="I458" s="6" t="str">
        <f aca="false">CONCATENATE(A458,",",D458)</f>
        <v>ENGL 158,ED1-METE</v>
      </c>
      <c r="J458" s="12"/>
    </row>
    <row r="459" customFormat="false" ht="15" hidden="false" customHeight="false" outlineLevel="0" collapsed="false">
      <c r="A459" s="70" t="s">
        <v>377</v>
      </c>
      <c r="B459" s="71" t="str">
        <v>DIGITAL SYSTEMS DESIGN I</v>
      </c>
      <c r="C459" s="74" t="str">
        <v>Nunoo-Mensah Henry</v>
      </c>
      <c r="D459" s="70" t="s">
        <v>109</v>
      </c>
      <c r="E459" s="72" t="n">
        <v>80</v>
      </c>
      <c r="F459" s="75" t="s">
        <v>529</v>
      </c>
      <c r="G459" s="73" t="n">
        <f aca="false">E459*1.1</f>
        <v>88</v>
      </c>
      <c r="H459" s="5" t="s">
        <v>841</v>
      </c>
      <c r="I459" s="6" t="str">
        <f aca="false">CONCATENATE(A459,",",D459)</f>
        <v>COE 272,ED2-BME</v>
      </c>
      <c r="J459" s="12"/>
    </row>
    <row r="460" customFormat="false" ht="15" hidden="false" customHeight="false" outlineLevel="0" collapsed="false">
      <c r="A460" s="70" t="s">
        <v>377</v>
      </c>
      <c r="B460" s="71" t="str">
        <v>DIGITAL SYSTEMS DESIGN I</v>
      </c>
      <c r="C460" s="74" t="str">
        <v>Nunoo-Mensah Henry</v>
      </c>
      <c r="D460" s="70" t="s">
        <v>108</v>
      </c>
      <c r="E460" s="72" t="n">
        <v>255</v>
      </c>
      <c r="F460" s="75" t="s">
        <v>531</v>
      </c>
      <c r="G460" s="73" t="n">
        <f aca="false">E460*1.1</f>
        <v>280.5</v>
      </c>
      <c r="H460" s="5" t="s">
        <v>662</v>
      </c>
      <c r="I460" s="6" t="str">
        <f aca="false">CONCATENATE(A460,",",D460)</f>
        <v>COE 272,ED2-COE</v>
      </c>
      <c r="J460" s="12"/>
    </row>
    <row r="461" customFormat="false" ht="15" hidden="false" customHeight="false" outlineLevel="0" collapsed="false">
      <c r="A461" s="70" t="s">
        <v>378</v>
      </c>
      <c r="B461" s="71" t="str">
        <v>HIGHWAY ENGINEERING</v>
      </c>
      <c r="C461" s="71" t="str">
        <v>Tutu Kenneth Adomako</v>
      </c>
      <c r="D461" s="70" t="s">
        <v>157</v>
      </c>
      <c r="E461" s="72" t="n">
        <v>230</v>
      </c>
      <c r="F461" s="75" t="s">
        <v>556</v>
      </c>
      <c r="G461" s="73" t="n">
        <f aca="false">E461*1.1</f>
        <v>253</v>
      </c>
      <c r="H461" s="5" t="s">
        <v>807</v>
      </c>
      <c r="I461" s="6" t="str">
        <f aca="false">CONCATENATE(A461,",",D461)</f>
        <v>CE 368,ED3-CE</v>
      </c>
      <c r="J461" s="12"/>
    </row>
    <row r="462" customFormat="false" ht="15" hidden="false" customHeight="false" outlineLevel="0" collapsed="false">
      <c r="A462" s="70" t="s">
        <v>379</v>
      </c>
      <c r="B462" s="74" t="str">
        <v>MINERAL ECONOMICS AND EVALUATION</v>
      </c>
      <c r="C462" s="74" t="str">
        <v>Foli Gordon</v>
      </c>
      <c r="D462" s="70" t="s">
        <v>154</v>
      </c>
      <c r="E462" s="72" t="n">
        <v>154</v>
      </c>
      <c r="F462" s="75" t="s">
        <v>842</v>
      </c>
      <c r="G462" s="73" t="n">
        <f aca="false">E462*1.1</f>
        <v>169.4</v>
      </c>
      <c r="H462" s="5" t="s">
        <v>843</v>
      </c>
      <c r="I462" s="6" t="str">
        <f aca="false">CONCATENATE(A462,",",D462)</f>
        <v>GED 366,ED3-GEOL</v>
      </c>
      <c r="J462" s="12"/>
    </row>
    <row r="463" customFormat="false" ht="15" hidden="false" customHeight="false" outlineLevel="0" collapsed="false">
      <c r="A463" s="70" t="s">
        <v>380</v>
      </c>
      <c r="B463" s="66" t="str">
        <v>STRENGTH OF MARINE MATERIALS II</v>
      </c>
      <c r="C463" s="74" t="str">
        <v>Adam Faisal Wahib</v>
      </c>
      <c r="D463" s="75" t="s">
        <v>86</v>
      </c>
      <c r="E463" s="91" t="n">
        <v>40</v>
      </c>
      <c r="F463" s="90" t="s">
        <v>633</v>
      </c>
      <c r="G463" s="73" t="n">
        <f aca="false">E463*1.1</f>
        <v>44</v>
      </c>
      <c r="H463" s="5" t="n">
        <v>40</v>
      </c>
      <c r="I463" s="6" t="str">
        <f aca="false">CONCATENATE(A463,",",D463)</f>
        <v>MME 356,ED3-MARI</v>
      </c>
      <c r="J463" s="12"/>
    </row>
    <row r="464" customFormat="false" ht="15" hidden="false" customHeight="false" outlineLevel="0" collapsed="false">
      <c r="A464" s="70" t="s">
        <v>381</v>
      </c>
      <c r="B464" s="71" t="str">
        <v>HIGH VOLTAGE ENGINEERING</v>
      </c>
      <c r="C464" s="74" t="str">
        <v>Asigri Peter</v>
      </c>
      <c r="D464" s="70" t="s">
        <v>71</v>
      </c>
      <c r="E464" s="72" t="n">
        <v>185</v>
      </c>
      <c r="F464" s="75" t="s">
        <v>710</v>
      </c>
      <c r="G464" s="73" t="n">
        <f aca="false">E464*1.1</f>
        <v>203.5</v>
      </c>
      <c r="H464" s="5" t="s">
        <v>844</v>
      </c>
      <c r="I464" s="6" t="str">
        <f aca="false">CONCATENATE(A464,",",D464)</f>
        <v>EE 360,ED3-EE</v>
      </c>
      <c r="J464" s="12"/>
    </row>
    <row r="465" customFormat="false" ht="15" hidden="false" customHeight="false" outlineLevel="0" collapsed="false">
      <c r="A465" s="70" t="s">
        <v>358</v>
      </c>
      <c r="B465" s="71" t="str">
        <v>ECONOMIC GEOLLOGY</v>
      </c>
      <c r="C465" s="74" t="str">
        <v>Mensah Emmanuel</v>
      </c>
      <c r="D465" s="75" t="s">
        <v>177</v>
      </c>
      <c r="E465" s="72" t="n">
        <v>95</v>
      </c>
      <c r="F465" s="75" t="s">
        <v>582</v>
      </c>
      <c r="G465" s="73" t="n">
        <f aca="false">E465*1.1</f>
        <v>104.5</v>
      </c>
      <c r="H465" s="5" t="s">
        <v>698</v>
      </c>
      <c r="I465" s="29" t="str">
        <f aca="false">CONCATENATE(A465,",",D465)</f>
        <v>GED 462,ED4-GEOL</v>
      </c>
      <c r="J465" s="31"/>
      <c r="K465" s="32"/>
      <c r="L465" s="32"/>
      <c r="M465" s="32"/>
    </row>
    <row r="466" customFormat="false" ht="15" hidden="false" customHeight="false" outlineLevel="0" collapsed="false">
      <c r="A466" s="70" t="s">
        <v>384</v>
      </c>
      <c r="B466" s="71" t="str">
        <v>WATER RESOURCES ENGINEERING II</v>
      </c>
      <c r="C466" s="74" t="str">
        <v>Anornu Geophrey Kwame</v>
      </c>
      <c r="D466" s="70" t="s">
        <v>103</v>
      </c>
      <c r="E466" s="72" t="n">
        <v>105</v>
      </c>
      <c r="F466" s="75" t="s">
        <v>571</v>
      </c>
      <c r="G466" s="73" t="n">
        <f aca="false">E466*1.1</f>
        <v>115.5</v>
      </c>
      <c r="H466" s="5" t="s">
        <v>788</v>
      </c>
      <c r="I466" s="6" t="str">
        <f aca="false">CONCATENATE(A466,",",D466)</f>
        <v>CE 458,ED4-CE</v>
      </c>
      <c r="J466" s="12"/>
    </row>
    <row r="467" customFormat="false" ht="15" hidden="false" customHeight="false" outlineLevel="0" collapsed="false">
      <c r="A467" s="76"/>
      <c r="B467" s="76"/>
      <c r="C467" s="67"/>
      <c r="D467" s="71" t="s">
        <v>385</v>
      </c>
      <c r="E467" s="77" t="n">
        <f aca="false">SUM(E459:E466)</f>
        <v>1144</v>
      </c>
      <c r="F467" s="78"/>
      <c r="G467" s="79"/>
      <c r="I467" s="9" t="s">
        <v>386</v>
      </c>
      <c r="J467" s="12"/>
    </row>
    <row r="468" customFormat="false" ht="15" hidden="false" customHeight="false" outlineLevel="0" collapsed="false">
      <c r="A468" s="65" t="s">
        <v>387</v>
      </c>
      <c r="B468" s="65"/>
      <c r="C468" s="65"/>
      <c r="D468" s="65"/>
      <c r="E468" s="65"/>
      <c r="F468" s="65"/>
      <c r="G468" s="65"/>
      <c r="I468" s="9" t="str">
        <f aca="false">A468</f>
        <v>Monday, 31  August 2026</v>
      </c>
      <c r="J468" s="12"/>
    </row>
    <row r="469" customFormat="false" ht="15" hidden="false" customHeight="false" outlineLevel="0" collapsed="false">
      <c r="A469" s="65" t="s">
        <v>2</v>
      </c>
      <c r="B469" s="65"/>
      <c r="C469" s="65"/>
      <c r="D469" s="65"/>
      <c r="E469" s="65"/>
      <c r="F469" s="65"/>
      <c r="G469" s="65"/>
      <c r="I469" s="9" t="str">
        <f aca="false">A469</f>
        <v>Session, 1 (8:30 AM - 10:30 AM)</v>
      </c>
      <c r="J469" s="12"/>
    </row>
    <row r="470" customFormat="false" ht="15" hidden="false" customHeight="false" outlineLevel="0" collapsed="false">
      <c r="A470" s="66" t="s">
        <v>4</v>
      </c>
      <c r="B470" s="66" t="s">
        <v>5</v>
      </c>
      <c r="C470" s="67" t="s">
        <v>6</v>
      </c>
      <c r="D470" s="66" t="s">
        <v>7</v>
      </c>
      <c r="E470" s="68" t="s">
        <v>8</v>
      </c>
      <c r="F470" s="67" t="s">
        <v>9</v>
      </c>
      <c r="G470" s="69" t="s">
        <v>10</v>
      </c>
      <c r="I470" s="9" t="s">
        <v>31</v>
      </c>
      <c r="J470" s="12"/>
    </row>
    <row r="471" customFormat="false" ht="15" hidden="false" customHeight="false" outlineLevel="0" collapsed="false">
      <c r="A471" s="70" t="s">
        <v>389</v>
      </c>
      <c r="B471" s="74" t="str">
        <f aca="false" t="array" ref="B471:B480">IFERROR(VLOOKUP(I471:I480,Lectures_1!A2:F534,2,FALSE()),0)</f>
        <v>STRENGTH OF MATERIALS II</v>
      </c>
      <c r="C471" s="71" t="str">
        <f aca="false" t="array" ref="C471:C480">IFERROR(VLOOKUP(I471:I480,Lectures_1!A2:F534,3,FALSE()),0)</f>
        <v>Tay Godwin Fabiola Kwaku</v>
      </c>
      <c r="D471" s="70" t="s">
        <v>61</v>
      </c>
      <c r="E471" s="72" t="n">
        <f aca="false" t="array" ref="E471:E480">IFERROR(VLOOKUP(I471:I480,Lectures_1!A2:F534,4,FALSE()),0)</f>
        <v>222</v>
      </c>
      <c r="F471" s="75" t="s">
        <v>619</v>
      </c>
      <c r="G471" s="73" t="n">
        <f aca="false">E471*1.1</f>
        <v>244.2</v>
      </c>
      <c r="H471" s="5" t="s">
        <v>845</v>
      </c>
      <c r="I471" s="6" t="str">
        <f aca="false">CONCATENATE(A471,",",D471)</f>
        <v>ME 356,ED3-ME</v>
      </c>
      <c r="J471" s="12"/>
    </row>
    <row r="472" customFormat="false" ht="15" hidden="false" customHeight="false" outlineLevel="0" collapsed="false">
      <c r="A472" s="70" t="s">
        <v>390</v>
      </c>
      <c r="B472" s="71" t="str">
        <v>PHYSICAL METALLURGY OF NON-FERROUS METALS</v>
      </c>
      <c r="C472" s="74" t="str">
        <v>Agyemang Frank Ofori</v>
      </c>
      <c r="D472" s="70" t="s">
        <v>142</v>
      </c>
      <c r="E472" s="72" t="n">
        <v>87</v>
      </c>
      <c r="F472" s="75" t="s">
        <v>564</v>
      </c>
      <c r="G472" s="73" t="n">
        <f aca="false">E472*1.1</f>
        <v>95.7</v>
      </c>
      <c r="H472" s="5" t="s">
        <v>846</v>
      </c>
      <c r="I472" s="6" t="str">
        <f aca="false">CONCATENATE(A472,",",D472)</f>
        <v>METE 354,ED3-METE</v>
      </c>
      <c r="J472" s="12"/>
    </row>
    <row r="473" customFormat="false" ht="15" hidden="false" customHeight="false" outlineLevel="0" collapsed="false">
      <c r="A473" s="70" t="s">
        <v>391</v>
      </c>
      <c r="B473" s="71" t="str">
        <v>COMPUTER NETWORKING</v>
      </c>
      <c r="C473" s="74" t="str">
        <v>Kwasi Adu-Boahen Opare</v>
      </c>
      <c r="D473" s="70" t="s">
        <v>119</v>
      </c>
      <c r="E473" s="72" t="n">
        <v>140</v>
      </c>
      <c r="F473" s="75" t="s">
        <v>693</v>
      </c>
      <c r="G473" s="73" t="n">
        <f aca="false">E473*1.1</f>
        <v>154</v>
      </c>
      <c r="H473" s="5" t="s">
        <v>847</v>
      </c>
      <c r="I473" s="6" t="str">
        <f aca="false">CONCATENATE(A473,",",D473)</f>
        <v>TE 374,ED3-TEL</v>
      </c>
      <c r="J473" s="12"/>
    </row>
    <row r="474" customFormat="false" ht="18" hidden="false" customHeight="true" outlineLevel="0" collapsed="false">
      <c r="A474" s="70" t="s">
        <v>392</v>
      </c>
      <c r="B474" s="71" t="str">
        <v>BASIC MECHANICS</v>
      </c>
      <c r="C474" s="74" t="str">
        <v>Oppong David Kofi</v>
      </c>
      <c r="D474" s="70" t="s">
        <v>131</v>
      </c>
      <c r="E474" s="72" t="n">
        <v>128</v>
      </c>
      <c r="F474" s="75" t="s">
        <v>611</v>
      </c>
      <c r="G474" s="73" t="n">
        <f aca="false">E474*1.1</f>
        <v>140.8</v>
      </c>
      <c r="H474" s="5" t="s">
        <v>848</v>
      </c>
      <c r="I474" s="6" t="str">
        <f aca="false">CONCATENATE(A474,",",D474)</f>
        <v>ME 162,ED1-AE</v>
      </c>
      <c r="J474" s="12"/>
    </row>
    <row r="475" customFormat="false" ht="15" hidden="false" customHeight="false" outlineLevel="0" collapsed="false">
      <c r="A475" s="70" t="s">
        <v>392</v>
      </c>
      <c r="B475" s="74" t="str">
        <v>BASIC MECHANICS</v>
      </c>
      <c r="C475" s="71" t="str">
        <v>Oppong David Kofi</v>
      </c>
      <c r="D475" s="70" t="s">
        <v>80</v>
      </c>
      <c r="E475" s="72" t="n">
        <v>120</v>
      </c>
      <c r="F475" s="75" t="s">
        <v>533</v>
      </c>
      <c r="G475" s="73" t="n">
        <f aca="false">E475*1.1</f>
        <v>132</v>
      </c>
      <c r="H475" s="41" t="s">
        <v>849</v>
      </c>
      <c r="I475" s="6" t="str">
        <f aca="false">CONCATENATE(A475,",",D475)</f>
        <v>ME 162,ED1-CHE</v>
      </c>
      <c r="J475" s="12"/>
    </row>
    <row r="476" customFormat="false" ht="15" hidden="false" customHeight="false" outlineLevel="0" collapsed="false">
      <c r="A476" s="70" t="s">
        <v>268</v>
      </c>
      <c r="B476" s="74" t="str">
        <v>STATICS OF SOLID MECHANICS</v>
      </c>
      <c r="C476" s="71" t="str">
        <v>Oppong David Kofi</v>
      </c>
      <c r="D476" s="70" t="s">
        <v>162</v>
      </c>
      <c r="E476" s="72" t="n">
        <v>85</v>
      </c>
      <c r="F476" s="75" t="s">
        <v>850</v>
      </c>
      <c r="G476" s="73" t="n">
        <f aca="false">E476*1.1</f>
        <v>93.5</v>
      </c>
      <c r="H476" s="41" t="s">
        <v>851</v>
      </c>
      <c r="I476" s="6" t="str">
        <f aca="false">CONCATENATE(A476,",",D476)</f>
        <v>ME 164,ED1-AUTO</v>
      </c>
      <c r="J476" s="12"/>
    </row>
    <row r="477" customFormat="false" ht="15" hidden="false" customHeight="false" outlineLevel="0" collapsed="false">
      <c r="A477" s="70" t="s">
        <v>393</v>
      </c>
      <c r="B477" s="71" t="str">
        <v>NATURAL GAS ENGINEERING</v>
      </c>
      <c r="C477" s="71" t="str">
        <v>Ankudey Emmanuel Godwin</v>
      </c>
      <c r="D477" s="70" t="s">
        <v>63</v>
      </c>
      <c r="E477" s="72" t="n">
        <v>53</v>
      </c>
      <c r="F477" s="75" t="s">
        <v>852</v>
      </c>
      <c r="G477" s="73" t="n">
        <f aca="false">E477*1.1</f>
        <v>58.3</v>
      </c>
      <c r="H477" s="46" t="s">
        <v>853</v>
      </c>
      <c r="I477" s="6" t="str">
        <f aca="false">CONCATENATE(A477,",",D477)</f>
        <v>PETE 450,ED3-PCE</v>
      </c>
      <c r="J477" s="12"/>
    </row>
    <row r="478" customFormat="false" ht="15" hidden="false" customHeight="false" outlineLevel="0" collapsed="false">
      <c r="A478" s="70" t="s">
        <v>394</v>
      </c>
      <c r="B478" s="74" t="str">
        <v>FLUID DYNAMICS I</v>
      </c>
      <c r="C478" s="74" t="str">
        <v>Fiagbe Yesuenyeagbe Atsu Kwabla</v>
      </c>
      <c r="D478" s="70" t="s">
        <v>38</v>
      </c>
      <c r="E478" s="72" t="n">
        <v>80</v>
      </c>
      <c r="F478" s="75" t="s">
        <v>574</v>
      </c>
      <c r="G478" s="73" t="n">
        <f aca="false">E478*1.1</f>
        <v>88</v>
      </c>
      <c r="H478" s="5" t="s">
        <v>661</v>
      </c>
      <c r="I478" s="6" t="str">
        <f aca="false">CONCATENATE(A478,",",D478)</f>
        <v>ME 252,ED2-IND</v>
      </c>
      <c r="J478" s="12"/>
    </row>
    <row r="479" customFormat="false" ht="15" hidden="false" customHeight="false" outlineLevel="0" collapsed="false">
      <c r="A479" s="70" t="s">
        <v>394</v>
      </c>
      <c r="B479" s="74" t="str">
        <v>FLUID DYNAMICS I</v>
      </c>
      <c r="C479" s="74" t="str">
        <v>Fiagbe Yesuenyeagbe Atsu Kwabla</v>
      </c>
      <c r="D479" s="70" t="s">
        <v>42</v>
      </c>
      <c r="E479" s="72" t="n">
        <v>37</v>
      </c>
      <c r="F479" s="75" t="s">
        <v>616</v>
      </c>
      <c r="G479" s="73" t="n">
        <f aca="false">E479*1.1</f>
        <v>40.7</v>
      </c>
      <c r="H479" s="5" t="n">
        <v>37</v>
      </c>
      <c r="I479" s="6" t="str">
        <f aca="false">CONCATENATE(A479,",",D479)</f>
        <v>ME 252,ED2-MARI</v>
      </c>
      <c r="J479" s="12"/>
    </row>
    <row r="480" customFormat="false" ht="15" hidden="false" customHeight="false" outlineLevel="0" collapsed="false">
      <c r="A480" s="70" t="s">
        <v>394</v>
      </c>
      <c r="B480" s="74" t="str">
        <v>FLUID DYNAMICS I</v>
      </c>
      <c r="C480" s="74" t="str">
        <v>Fiagbe Yesuenyeagbe Atsu Kwabla</v>
      </c>
      <c r="D480" s="70" t="s">
        <v>33</v>
      </c>
      <c r="E480" s="72" t="n">
        <v>240</v>
      </c>
      <c r="F480" s="75" t="s">
        <v>854</v>
      </c>
      <c r="G480" s="73" t="n">
        <f aca="false">E480*1.1</f>
        <v>264</v>
      </c>
      <c r="H480" s="5" t="s">
        <v>855</v>
      </c>
      <c r="I480" s="6" t="str">
        <f aca="false">CONCATENATE(A480,",",D480)</f>
        <v>ME 252,ED2-ME</v>
      </c>
      <c r="J480" s="12"/>
    </row>
    <row r="481" customFormat="false" ht="15" hidden="false" customHeight="false" outlineLevel="0" collapsed="false">
      <c r="A481" s="76"/>
      <c r="B481" s="76"/>
      <c r="C481" s="67"/>
      <c r="D481" s="71" t="s">
        <v>395</v>
      </c>
      <c r="E481" s="77" t="n">
        <f aca="false">SUM(E471:E480)</f>
        <v>1192</v>
      </c>
      <c r="F481" s="78"/>
      <c r="G481" s="79"/>
      <c r="I481" s="9" t="s">
        <v>396</v>
      </c>
      <c r="J481" s="12"/>
    </row>
    <row r="482" customFormat="false" ht="15" hidden="false" customHeight="false" outlineLevel="0" collapsed="false">
      <c r="A482" s="93"/>
      <c r="B482" s="93"/>
      <c r="C482" s="67"/>
      <c r="D482" s="93"/>
      <c r="E482" s="94"/>
      <c r="F482" s="95"/>
      <c r="G482" s="96"/>
      <c r="J482" s="42"/>
    </row>
    <row r="483" customFormat="false" ht="15" hidden="false" customHeight="true" outlineLevel="0" collapsed="false">
      <c r="A483" s="93"/>
      <c r="B483" s="93"/>
      <c r="C483" s="67"/>
      <c r="D483" s="93"/>
      <c r="E483" s="94"/>
      <c r="F483" s="95"/>
      <c r="G483" s="96"/>
    </row>
    <row r="484" customFormat="false" ht="15" hidden="false" customHeight="false" outlineLevel="0" collapsed="false">
      <c r="A484" s="65" t="s">
        <v>387</v>
      </c>
      <c r="B484" s="65"/>
      <c r="C484" s="65"/>
      <c r="D484" s="65"/>
      <c r="E484" s="65"/>
      <c r="F484" s="65"/>
      <c r="G484" s="65"/>
      <c r="I484" s="9" t="str">
        <f aca="false">A484</f>
        <v>Monday, 31  August 2026</v>
      </c>
      <c r="J484" s="12"/>
    </row>
    <row r="485" customFormat="false" ht="15" hidden="false" customHeight="false" outlineLevel="0" collapsed="false">
      <c r="A485" s="65" t="s">
        <v>29</v>
      </c>
      <c r="B485" s="65"/>
      <c r="C485" s="65"/>
      <c r="D485" s="65"/>
      <c r="E485" s="65"/>
      <c r="F485" s="65"/>
      <c r="G485" s="65"/>
      <c r="I485" s="9" t="str">
        <f aca="false">A485</f>
        <v>Session, 2 (12:00 PM - 2:00 PM)</v>
      </c>
      <c r="J485" s="12"/>
    </row>
    <row r="486" customFormat="false" ht="15" hidden="false" customHeight="false" outlineLevel="0" collapsed="false">
      <c r="A486" s="66" t="s">
        <v>4</v>
      </c>
      <c r="B486" s="66" t="s">
        <v>5</v>
      </c>
      <c r="C486" s="67" t="s">
        <v>6</v>
      </c>
      <c r="D486" s="66" t="s">
        <v>7</v>
      </c>
      <c r="E486" s="68" t="s">
        <v>8</v>
      </c>
      <c r="F486" s="67" t="s">
        <v>9</v>
      </c>
      <c r="G486" s="69" t="s">
        <v>10</v>
      </c>
      <c r="I486" s="9" t="s">
        <v>31</v>
      </c>
      <c r="J486" s="12"/>
    </row>
    <row r="487" customFormat="false" ht="15" hidden="false" customHeight="false" outlineLevel="0" collapsed="false">
      <c r="A487" s="70" t="s">
        <v>397</v>
      </c>
      <c r="B487" s="71" t="str">
        <f aca="false" t="array" ref="B487:B496">IFERROR(VLOOKUP(I487:I496,Lectures_1!A2:F534,2,FALSE()),0)</f>
        <v>CHEMICAL ENGINEERING THERMODYNAMICS II</v>
      </c>
      <c r="C487" s="71" t="str">
        <f aca="false" t="array" ref="C487:C496">IFERROR(VLOOKUP(I487:I496,Lectures_1!A2:F534,3,FALSE()),0)</f>
        <v>Eunice Sefakor Aku Dogbe</v>
      </c>
      <c r="D487" s="70" t="s">
        <v>14</v>
      </c>
      <c r="E487" s="72" t="n">
        <f aca="false" t="array" ref="E487:E496">IFERROR(VLOOKUP(I487:I496,Lectures_1!A2:F534,4,FALSE()),0)</f>
        <v>65</v>
      </c>
      <c r="F487" s="75" t="s">
        <v>546</v>
      </c>
      <c r="G487" s="73" t="n">
        <f aca="false">E487*1.1</f>
        <v>71.5</v>
      </c>
      <c r="H487" s="46" t="n">
        <v>65</v>
      </c>
      <c r="I487" s="6" t="str">
        <f aca="false">CONCATENATE(A487,",",D487)</f>
        <v>CHE 254,ED2-PCE</v>
      </c>
      <c r="J487" s="12"/>
    </row>
    <row r="488" customFormat="false" ht="15" hidden="false" customHeight="false" outlineLevel="0" collapsed="false">
      <c r="A488" s="70" t="s">
        <v>398</v>
      </c>
      <c r="B488" s="74" t="str">
        <v>PETROLEUM ENGINEERING THERMODYNAMICS II</v>
      </c>
      <c r="C488" s="74" t="str">
        <v>Sokama-Neuyam Yen Adams</v>
      </c>
      <c r="D488" s="70" t="s">
        <v>93</v>
      </c>
      <c r="E488" s="72" t="n">
        <v>95</v>
      </c>
      <c r="F488" s="70" t="s">
        <v>571</v>
      </c>
      <c r="G488" s="73" t="n">
        <f aca="false">E488*1.1</f>
        <v>104.5</v>
      </c>
      <c r="H488" s="5" t="s">
        <v>856</v>
      </c>
      <c r="I488" s="6" t="str">
        <f aca="false">CONCATENATE(A488,",",D488)</f>
        <v>PE 258,ED2-PE</v>
      </c>
      <c r="J488" s="12"/>
    </row>
    <row r="489" customFormat="false" ht="15" hidden="false" customHeight="false" outlineLevel="0" collapsed="false">
      <c r="A489" s="70" t="s">
        <v>399</v>
      </c>
      <c r="B489" s="71" t="str">
        <v>ROCK ENGINEERING</v>
      </c>
      <c r="C489" s="74" t="str">
        <v>Gidigasu Solomon Senyo Robert</v>
      </c>
      <c r="D489" s="70" t="s">
        <v>55</v>
      </c>
      <c r="E489" s="72" t="n">
        <v>150</v>
      </c>
      <c r="F489" s="97" t="s">
        <v>693</v>
      </c>
      <c r="G489" s="73" t="n">
        <f aca="false">E489*1.1</f>
        <v>165</v>
      </c>
      <c r="H489" s="50" t="s">
        <v>857</v>
      </c>
      <c r="I489" s="6" t="str">
        <f aca="false">CONCATENATE(A489,",",D489)</f>
        <v>GED 254,ED2-GEOL</v>
      </c>
      <c r="J489" s="12"/>
    </row>
    <row r="490" customFormat="false" ht="15" hidden="false" customHeight="false" outlineLevel="0" collapsed="false">
      <c r="A490" s="70" t="s">
        <v>392</v>
      </c>
      <c r="B490" s="71" t="str">
        <v>BASIC MECHANICS</v>
      </c>
      <c r="C490" s="71" t="str">
        <v>Quansah David Ato</v>
      </c>
      <c r="D490" s="70" t="s">
        <v>82</v>
      </c>
      <c r="E490" s="72" t="n">
        <v>130</v>
      </c>
      <c r="F490" s="75" t="s">
        <v>533</v>
      </c>
      <c r="G490" s="73" t="n">
        <f aca="false">E490*1.1</f>
        <v>143</v>
      </c>
      <c r="H490" s="5" t="s">
        <v>858</v>
      </c>
      <c r="I490" s="6" t="str">
        <f aca="false">CONCATENATE(A490,",",D490)</f>
        <v>ME 162,ED1-PE</v>
      </c>
      <c r="J490" s="12"/>
    </row>
    <row r="491" customFormat="false" ht="15" hidden="false" customHeight="false" outlineLevel="0" collapsed="false">
      <c r="A491" s="70" t="s">
        <v>392</v>
      </c>
      <c r="B491" s="71" t="str">
        <v>BASIC MECHANICS</v>
      </c>
      <c r="C491" s="71" t="str">
        <v>Quansah David Ato</v>
      </c>
      <c r="D491" s="70" t="s">
        <v>115</v>
      </c>
      <c r="E491" s="72" t="n">
        <v>100</v>
      </c>
      <c r="F491" s="75" t="s">
        <v>859</v>
      </c>
      <c r="G491" s="73" t="n">
        <f aca="false">E491*1.1</f>
        <v>110</v>
      </c>
      <c r="H491" s="5" t="s">
        <v>860</v>
      </c>
      <c r="I491" s="6" t="str">
        <f aca="false">CONCATENATE(A491,",",D491)</f>
        <v>ME 162,ED1-MSE</v>
      </c>
      <c r="J491" s="12"/>
    </row>
    <row r="492" customFormat="false" ht="17.9" hidden="false" customHeight="false" outlineLevel="0" collapsed="false">
      <c r="A492" s="70" t="s">
        <v>400</v>
      </c>
      <c r="B492" s="74" t="str">
        <v>STEEL AND TIMBER DESIGN</v>
      </c>
      <c r="C492" s="74" t="str">
        <v>Mark Adom-Asamoah</v>
      </c>
      <c r="D492" s="70" t="s">
        <v>157</v>
      </c>
      <c r="E492" s="72" t="n">
        <v>230</v>
      </c>
      <c r="F492" s="87" t="s">
        <v>854</v>
      </c>
      <c r="G492" s="73" t="n">
        <f aca="false">E492*1.1</f>
        <v>253</v>
      </c>
      <c r="H492" s="3" t="s">
        <v>861</v>
      </c>
      <c r="I492" s="6" t="str">
        <f aca="false">CONCATENATE(A492,",",D492)</f>
        <v>CE 352,ED3-CE</v>
      </c>
      <c r="J492" s="12"/>
    </row>
    <row r="493" customFormat="false" ht="15" hidden="false" customHeight="false" outlineLevel="0" collapsed="false">
      <c r="A493" s="70" t="s">
        <v>401</v>
      </c>
      <c r="B493" s="71" t="str">
        <v>MILLIMETERWAVE TECHNOLOGY</v>
      </c>
      <c r="C493" s="71" t="str">
        <v>Abdul-Rahman Ahmed</v>
      </c>
      <c r="D493" s="70" t="s">
        <v>227</v>
      </c>
      <c r="E493" s="72" t="n">
        <v>33</v>
      </c>
      <c r="F493" s="75" t="s">
        <v>770</v>
      </c>
      <c r="G493" s="73" t="n">
        <f aca="false">E493*1.1</f>
        <v>36.3</v>
      </c>
      <c r="H493" s="5" t="n">
        <v>33</v>
      </c>
      <c r="I493" s="6" t="str">
        <f aca="false">CONCATENATE(A493,",",D493)</f>
        <v>TE 468,ED4-TEL</v>
      </c>
      <c r="J493" s="12"/>
    </row>
    <row r="494" customFormat="false" ht="15" hidden="false" customHeight="false" outlineLevel="0" collapsed="false">
      <c r="A494" s="70" t="s">
        <v>402</v>
      </c>
      <c r="B494" s="71" t="str">
        <v>QUALITY ASSURANCE</v>
      </c>
      <c r="C494" s="71" t="str">
        <v>Sackey Samuel Mensah</v>
      </c>
      <c r="D494" s="70" t="s">
        <v>121</v>
      </c>
      <c r="E494" s="72" t="n">
        <v>70</v>
      </c>
      <c r="F494" s="75" t="s">
        <v>545</v>
      </c>
      <c r="G494" s="73" t="n">
        <f aca="false">E494*1.1</f>
        <v>77</v>
      </c>
      <c r="H494" s="5" t="n">
        <v>70</v>
      </c>
      <c r="I494" s="6" t="str">
        <f aca="false">CONCATENATE(A494,",",D494)</f>
        <v>IE 360,ED3-IND</v>
      </c>
      <c r="J494" s="12"/>
    </row>
    <row r="495" customFormat="false" ht="15" hidden="false" customHeight="false" outlineLevel="0" collapsed="false">
      <c r="A495" s="70" t="s">
        <v>403</v>
      </c>
      <c r="B495" s="71" t="str">
        <v>METALLURGICAL RATE PROCESSES/SURFACE PHENOMENA</v>
      </c>
      <c r="C495" s="71" t="str">
        <v>Patrick Aggrey</v>
      </c>
      <c r="D495" s="70" t="s">
        <v>101</v>
      </c>
      <c r="E495" s="72" t="n">
        <v>57</v>
      </c>
      <c r="F495" s="75" t="s">
        <v>566</v>
      </c>
      <c r="G495" s="73" t="n">
        <f aca="false">E495*1.1</f>
        <v>62.7</v>
      </c>
      <c r="H495" s="5" t="s">
        <v>669</v>
      </c>
      <c r="I495" s="6" t="str">
        <f aca="false">CONCATENATE(A495,",",D495)</f>
        <v>METE 252,ED2-METE</v>
      </c>
      <c r="J495" s="12"/>
    </row>
    <row r="496" customFormat="false" ht="17.9" hidden="false" customHeight="false" outlineLevel="0" collapsed="false">
      <c r="A496" s="70" t="s">
        <v>404</v>
      </c>
      <c r="B496" s="71" t="str">
        <v>CONSTRUCTION MANAGEMENT</v>
      </c>
      <c r="C496" s="71" t="str">
        <v>Obeng Daniel Atuah</v>
      </c>
      <c r="D496" s="70" t="s">
        <v>103</v>
      </c>
      <c r="E496" s="72" t="n">
        <v>240</v>
      </c>
      <c r="F496" s="87" t="s">
        <v>854</v>
      </c>
      <c r="G496" s="73" t="n">
        <f aca="false">E496*1.1</f>
        <v>264</v>
      </c>
      <c r="H496" s="5" t="s">
        <v>855</v>
      </c>
      <c r="I496" s="6" t="str">
        <f aca="false">CONCATENATE(A496,",",D496)</f>
        <v>CE 462,ED4-CE</v>
      </c>
      <c r="J496" s="12"/>
    </row>
    <row r="497" customFormat="false" ht="15" hidden="false" customHeight="false" outlineLevel="0" collapsed="false">
      <c r="A497" s="76"/>
      <c r="B497" s="76"/>
      <c r="C497" s="67"/>
      <c r="D497" s="71" t="s">
        <v>405</v>
      </c>
      <c r="E497" s="77" t="n">
        <f aca="false">SUM(E487:E496)</f>
        <v>1170</v>
      </c>
      <c r="F497" s="78"/>
      <c r="G497" s="79"/>
      <c r="I497" s="9"/>
      <c r="J497" s="12"/>
    </row>
    <row r="498" customFormat="false" ht="15" hidden="false" customHeight="false" outlineLevel="0" collapsed="false">
      <c r="A498" s="65" t="s">
        <v>387</v>
      </c>
      <c r="B498" s="65"/>
      <c r="C498" s="65"/>
      <c r="D498" s="65"/>
      <c r="E498" s="65"/>
      <c r="F498" s="65"/>
      <c r="G498" s="65"/>
      <c r="I498" s="9" t="str">
        <f aca="false">A498</f>
        <v>Monday, 31  August 2026</v>
      </c>
      <c r="J498" s="12"/>
    </row>
    <row r="499" customFormat="false" ht="15" hidden="false" customHeight="false" outlineLevel="0" collapsed="false">
      <c r="A499" s="65" t="s">
        <v>59</v>
      </c>
      <c r="B499" s="65"/>
      <c r="C499" s="65"/>
      <c r="D499" s="65"/>
      <c r="E499" s="65"/>
      <c r="F499" s="65"/>
      <c r="G499" s="65"/>
      <c r="I499" s="9" t="str">
        <f aca="false">A499</f>
        <v>Session, 3 (3:00 PM - 5:00 PM)</v>
      </c>
      <c r="J499" s="12"/>
    </row>
    <row r="500" customFormat="false" ht="16.5" hidden="false" customHeight="true" outlineLevel="0" collapsed="false">
      <c r="A500" s="66" t="s">
        <v>4</v>
      </c>
      <c r="B500" s="66" t="s">
        <v>5</v>
      </c>
      <c r="C500" s="67" t="s">
        <v>6</v>
      </c>
      <c r="D500" s="66" t="s">
        <v>7</v>
      </c>
      <c r="E500" s="68" t="s">
        <v>8</v>
      </c>
      <c r="F500" s="67" t="s">
        <v>9</v>
      </c>
      <c r="G500" s="69" t="s">
        <v>10</v>
      </c>
      <c r="I500" s="9" t="s">
        <v>31</v>
      </c>
      <c r="J500" s="12"/>
    </row>
    <row r="501" customFormat="false" ht="15" hidden="false" customHeight="false" outlineLevel="0" collapsed="false">
      <c r="A501" s="70" t="s">
        <v>406</v>
      </c>
      <c r="B501" s="71" t="str">
        <f aca="false" t="array" ref="B501:B517">IFERROR(VLOOKUP(I501:I517,Lectures_1!A2:F534,2,FALSE()),0)</f>
        <v>INTRODUCTORY ECONOMICS II</v>
      </c>
      <c r="C501" s="71" t="str">
        <f aca="false" t="array" ref="C501:C517">IFERROR(VLOOKUP(I501:I517,Lectures_1!A2:F534,3,FALSE()),0)</f>
        <v>Takyi Paul Owusu</v>
      </c>
      <c r="D501" s="70" t="s">
        <v>25</v>
      </c>
      <c r="E501" s="72" t="n">
        <f aca="false" t="array" ref="E501:E517">IFERROR(VLOOKUP(I501:I517,Lectures_1!A2:F534,4,FALSE()),0)</f>
        <v>150</v>
      </c>
      <c r="F501" s="75" t="s">
        <v>693</v>
      </c>
      <c r="G501" s="73" t="n">
        <f aca="false">E501*1.1</f>
        <v>165</v>
      </c>
      <c r="H501" s="5" t="s">
        <v>857</v>
      </c>
      <c r="I501" s="6" t="str">
        <f aca="false">CONCATENATE(A501,",",D501)</f>
        <v>ECON 152,ED2-EE</v>
      </c>
      <c r="J501" s="12"/>
    </row>
    <row r="502" customFormat="false" ht="15" hidden="false" customHeight="false" outlineLevel="0" collapsed="false">
      <c r="A502" s="70" t="s">
        <v>406</v>
      </c>
      <c r="B502" s="74" t="str">
        <v>ELEMENTS OF ECONOMICS II</v>
      </c>
      <c r="C502" s="74" t="str">
        <v>Edward Yeboah</v>
      </c>
      <c r="D502" s="70" t="s">
        <v>77</v>
      </c>
      <c r="E502" s="72" t="n">
        <v>15</v>
      </c>
      <c r="F502" s="75" t="s">
        <v>862</v>
      </c>
      <c r="G502" s="73" t="n">
        <f aca="false">E502*1.1</f>
        <v>16.5</v>
      </c>
      <c r="H502" s="3" t="n">
        <v>15</v>
      </c>
      <c r="I502" s="6" t="str">
        <f aca="false">CONCATENATE(A502,",",D502)</f>
        <v>ECON 152,ED3-GEOM</v>
      </c>
      <c r="J502" s="12"/>
    </row>
    <row r="503" customFormat="false" ht="15" hidden="false" customHeight="false" outlineLevel="0" collapsed="false">
      <c r="A503" s="70" t="s">
        <v>406</v>
      </c>
      <c r="B503" s="74" t="str">
        <v>INTRODUCTION TO ECONOMICS II</v>
      </c>
      <c r="C503" s="74" t="str">
        <v>Takyi Paul Owusu</v>
      </c>
      <c r="D503" s="70" t="s">
        <v>75</v>
      </c>
      <c r="E503" s="72" t="n">
        <v>32</v>
      </c>
      <c r="F503" s="75" t="s">
        <v>632</v>
      </c>
      <c r="G503" s="73" t="n">
        <f aca="false">E503*1.1</f>
        <v>35.2</v>
      </c>
      <c r="H503" s="3" t="n">
        <v>32</v>
      </c>
      <c r="I503" s="6" t="str">
        <f aca="false">CONCATENATE(A503,",",D503)</f>
        <v>ECON 152,ED1-CE</v>
      </c>
      <c r="J503" s="12"/>
    </row>
    <row r="504" customFormat="false" ht="15" hidden="false" customHeight="false" outlineLevel="0" collapsed="false">
      <c r="A504" s="70" t="s">
        <v>406</v>
      </c>
      <c r="B504" s="74" t="str">
        <v>INTRODUCTORY ECONOMICS II</v>
      </c>
      <c r="C504" s="74" t="str">
        <v>Beatrice Sarpong-Danquah</v>
      </c>
      <c r="D504" s="70" t="s">
        <v>126</v>
      </c>
      <c r="E504" s="72" t="n">
        <v>30</v>
      </c>
      <c r="F504" s="92" t="s">
        <v>863</v>
      </c>
      <c r="G504" s="73" t="n">
        <f aca="false">E504*1.1</f>
        <v>33</v>
      </c>
      <c r="H504" s="3" t="n">
        <v>30</v>
      </c>
      <c r="I504" s="6" t="str">
        <f aca="false">CONCATENATE(A504,",",D504)</f>
        <v>ECON 152,ED1-GEOL</v>
      </c>
      <c r="J504" s="12"/>
    </row>
    <row r="505" customFormat="false" ht="15" hidden="false" customHeight="false" outlineLevel="0" collapsed="false">
      <c r="A505" s="70" t="s">
        <v>406</v>
      </c>
      <c r="B505" s="74" t="str">
        <v>ELEMENTS OF ECONOMICS II</v>
      </c>
      <c r="C505" s="74" t="str">
        <v>Paul Owusu Takyi</v>
      </c>
      <c r="D505" s="70" t="s">
        <v>109</v>
      </c>
      <c r="E505" s="72" t="n">
        <v>20</v>
      </c>
      <c r="F505" s="92" t="s">
        <v>544</v>
      </c>
      <c r="G505" s="73" t="n">
        <f aca="false">E505*1.1</f>
        <v>22</v>
      </c>
      <c r="H505" s="3" t="n">
        <v>20</v>
      </c>
      <c r="I505" s="6" t="str">
        <f aca="false">CONCATENATE(A505,",",D505)</f>
        <v>ECON 152,ED2-BME</v>
      </c>
      <c r="J505" s="12"/>
    </row>
    <row r="506" customFormat="false" ht="15" hidden="false" customHeight="false" outlineLevel="0" collapsed="false">
      <c r="A506" s="70" t="s">
        <v>406</v>
      </c>
      <c r="B506" s="74" t="str">
        <v>INTRODUCTION TO ECONOMICS II</v>
      </c>
      <c r="C506" s="74" t="str">
        <v>Takyi Paul Owusu</v>
      </c>
      <c r="D506" s="70" t="s">
        <v>108</v>
      </c>
      <c r="E506" s="72" t="n">
        <v>40</v>
      </c>
      <c r="F506" s="92" t="s">
        <v>633</v>
      </c>
      <c r="G506" s="73" t="n">
        <f aca="false">E506*1.1</f>
        <v>44</v>
      </c>
      <c r="H506" s="3" t="n">
        <v>40</v>
      </c>
      <c r="I506" s="6" t="str">
        <f aca="false">CONCATENATE(A506,",",D506)</f>
        <v>ECON 152,ED2-COE</v>
      </c>
      <c r="J506" s="12"/>
    </row>
    <row r="507" customFormat="false" ht="15" hidden="false" customHeight="false" outlineLevel="0" collapsed="false">
      <c r="A507" s="70" t="s">
        <v>406</v>
      </c>
      <c r="B507" s="74" t="str">
        <v>INTRODUCTORY ECONOMICS II</v>
      </c>
      <c r="C507" s="74" t="str">
        <v>Takyi Paul Owusu</v>
      </c>
      <c r="D507" s="70" t="s">
        <v>172</v>
      </c>
      <c r="E507" s="72" t="n">
        <v>30</v>
      </c>
      <c r="F507" s="75" t="s">
        <v>864</v>
      </c>
      <c r="G507" s="73" t="n">
        <f aca="false">E507*1.1</f>
        <v>33</v>
      </c>
      <c r="H507" s="3" t="n">
        <v>30</v>
      </c>
      <c r="I507" s="6" t="str">
        <f aca="false">CONCATENATE(A507,",",D507)</f>
        <v>ECON 152,ED2-TEL</v>
      </c>
      <c r="J507" s="12"/>
    </row>
    <row r="508" customFormat="false" ht="17.9" hidden="false" customHeight="false" outlineLevel="0" collapsed="false">
      <c r="A508" s="70" t="s">
        <v>406</v>
      </c>
      <c r="B508" s="74" t="str">
        <v>INTRODUCTORY ECONOMICS II</v>
      </c>
      <c r="C508" s="74" t="str">
        <v>Takyi Paul Owusu</v>
      </c>
      <c r="D508" s="70" t="s">
        <v>73</v>
      </c>
      <c r="E508" s="72" t="n">
        <v>80</v>
      </c>
      <c r="F508" s="87" t="s">
        <v>545</v>
      </c>
      <c r="G508" s="73" t="n">
        <f aca="false">E508*1.1</f>
        <v>88</v>
      </c>
      <c r="H508" s="3" t="n">
        <v>80</v>
      </c>
      <c r="I508" s="6" t="str">
        <f aca="false">CONCATENATE(A508,",",D508)</f>
        <v>ECON 152,ED3-CHE</v>
      </c>
      <c r="J508" s="12"/>
    </row>
    <row r="509" customFormat="false" ht="15" hidden="false" customHeight="false" outlineLevel="0" collapsed="false">
      <c r="A509" s="70" t="s">
        <v>407</v>
      </c>
      <c r="B509" s="74" t="str">
        <v>INTERNAL COMBUSTION ENGINES</v>
      </c>
      <c r="C509" s="74" t="str">
        <v>Forson Francis Kofi</v>
      </c>
      <c r="D509" s="70" t="s">
        <v>99</v>
      </c>
      <c r="E509" s="72" t="n">
        <v>5</v>
      </c>
      <c r="F509" s="75" t="s">
        <v>663</v>
      </c>
      <c r="G509" s="73" t="n">
        <f aca="false">E509*1.1</f>
        <v>5.5</v>
      </c>
      <c r="H509" s="3" t="n">
        <v>5</v>
      </c>
      <c r="I509" s="6" t="str">
        <f aca="false">CONCATENATE(A509,",",D509)</f>
        <v>ME 468,ED4-AERO</v>
      </c>
      <c r="J509" s="12"/>
    </row>
    <row r="510" customFormat="false" ht="15" hidden="false" customHeight="false" outlineLevel="0" collapsed="false">
      <c r="A510" s="70" t="s">
        <v>407</v>
      </c>
      <c r="B510" s="74" t="str">
        <v>INTERNAL COMBUSTION ENGINES</v>
      </c>
      <c r="C510" s="74" t="str">
        <v>Forson Francis Kofi</v>
      </c>
      <c r="D510" s="70" t="s">
        <v>67</v>
      </c>
      <c r="E510" s="72" t="n">
        <v>40</v>
      </c>
      <c r="F510" s="75" t="s">
        <v>781</v>
      </c>
      <c r="G510" s="73" t="n">
        <f aca="false">E510*1.1</f>
        <v>44</v>
      </c>
      <c r="H510" s="3" t="n">
        <v>40</v>
      </c>
      <c r="I510" s="6" t="str">
        <f aca="false">CONCATENATE(A510,",",D510)</f>
        <v>ME 468,ED4-ME</v>
      </c>
      <c r="J510" s="12"/>
    </row>
    <row r="511" customFormat="false" ht="15" hidden="false" customHeight="false" outlineLevel="0" collapsed="false">
      <c r="A511" s="70" t="s">
        <v>408</v>
      </c>
      <c r="B511" s="71" t="str">
        <v>DRILLING ENGINEERING II</v>
      </c>
      <c r="C511" s="74" t="str">
        <v>Erzuah Samuel</v>
      </c>
      <c r="D511" s="70" t="s">
        <v>18</v>
      </c>
      <c r="E511" s="72" t="n">
        <v>80</v>
      </c>
      <c r="F511" s="75" t="s">
        <v>545</v>
      </c>
      <c r="G511" s="73" t="n">
        <f aca="false">E511*1.1</f>
        <v>88</v>
      </c>
      <c r="H511" s="3" t="n">
        <v>80</v>
      </c>
      <c r="I511" s="6" t="str">
        <f aca="false">CONCATENATE(A511,",",D511)</f>
        <v>PE 354,ED3-PE</v>
      </c>
      <c r="J511" s="12"/>
    </row>
    <row r="512" customFormat="false" ht="15" hidden="false" customHeight="false" outlineLevel="0" collapsed="false">
      <c r="A512" s="70" t="s">
        <v>409</v>
      </c>
      <c r="B512" s="74" t="str">
        <v>PIPELINE ENGINEERING</v>
      </c>
      <c r="C512" s="74" t="str">
        <v>Adjei Stephen</v>
      </c>
      <c r="D512" s="70" t="s">
        <v>46</v>
      </c>
      <c r="E512" s="72" t="n">
        <v>99</v>
      </c>
      <c r="F512" s="75" t="s">
        <v>546</v>
      </c>
      <c r="G512" s="73" t="n">
        <f aca="false">E512*1.1</f>
        <v>108.9</v>
      </c>
      <c r="H512" s="3" t="n">
        <v>99</v>
      </c>
      <c r="I512" s="6" t="str">
        <f aca="false">CONCATENATE(A512,",",D512)</f>
        <v>PE 474,ED4-PE</v>
      </c>
      <c r="J512" s="12"/>
    </row>
    <row r="513" customFormat="false" ht="15" hidden="false" customHeight="false" outlineLevel="0" collapsed="false">
      <c r="A513" s="70" t="s">
        <v>410</v>
      </c>
      <c r="B513" s="71" t="str">
        <v>PETROLEUM GEOLOGY</v>
      </c>
      <c r="C513" s="71" t="str">
        <v>Foli Gordon</v>
      </c>
      <c r="D513" s="75" t="s">
        <v>177</v>
      </c>
      <c r="E513" s="72" t="n">
        <v>35</v>
      </c>
      <c r="F513" s="75" t="s">
        <v>560</v>
      </c>
      <c r="G513" s="73" t="n">
        <f aca="false">E513*1.1</f>
        <v>38.5</v>
      </c>
      <c r="H513" s="5" t="n">
        <v>35</v>
      </c>
      <c r="I513" s="6" t="str">
        <f aca="false">CONCATENATE(A513,",",D513)</f>
        <v>GED 466,ED4-GEOL</v>
      </c>
      <c r="J513" s="12"/>
    </row>
    <row r="514" customFormat="false" ht="15" hidden="false" customHeight="false" outlineLevel="0" collapsed="false">
      <c r="A514" s="70" t="s">
        <v>411</v>
      </c>
      <c r="B514" s="74" t="str">
        <v>BIOMECHANICS II</v>
      </c>
      <c r="C514" s="71" t="str">
        <v>Odame Prince</v>
      </c>
      <c r="D514" s="70" t="s">
        <v>252</v>
      </c>
      <c r="E514" s="72" t="n">
        <v>87</v>
      </c>
      <c r="F514" s="75" t="s">
        <v>571</v>
      </c>
      <c r="G514" s="73" t="n">
        <f aca="false">E514*1.1</f>
        <v>95.7</v>
      </c>
      <c r="H514" s="3" t="s">
        <v>865</v>
      </c>
      <c r="I514" s="6" t="str">
        <f aca="false">CONCATENATE(A514,",",D514)</f>
        <v>BME 462,ED4-BME</v>
      </c>
      <c r="J514" s="12"/>
    </row>
    <row r="515" customFormat="false" ht="15" hidden="false" customHeight="false" outlineLevel="0" collapsed="false">
      <c r="A515" s="70" t="s">
        <v>412</v>
      </c>
      <c r="B515" s="71" t="str">
        <v>DIGITAL COMPUTER DESIGN</v>
      </c>
      <c r="C515" s="71" t="str">
        <v>Boateng Kwame Osei</v>
      </c>
      <c r="D515" s="70" t="s">
        <v>71</v>
      </c>
      <c r="E515" s="72" t="n">
        <v>29</v>
      </c>
      <c r="F515" s="75" t="n">
        <v>303</v>
      </c>
      <c r="G515" s="73" t="n">
        <f aca="false">E515*1.1</f>
        <v>31.9</v>
      </c>
      <c r="H515" s="3" t="n">
        <v>29</v>
      </c>
      <c r="I515" s="6" t="str">
        <f aca="false">CONCATENATE(A515,",",D515)</f>
        <v>COE 382,ED3-EE</v>
      </c>
      <c r="J515" s="12"/>
    </row>
    <row r="516" customFormat="false" ht="15" hidden="false" customHeight="false" outlineLevel="0" collapsed="false">
      <c r="A516" s="70" t="s">
        <v>413</v>
      </c>
      <c r="B516" s="71" t="str">
        <v>DIGITAL SYSTEMS DESIGN II</v>
      </c>
      <c r="C516" s="71" t="str">
        <v>Boateng Kwame Osei</v>
      </c>
      <c r="D516" s="70" t="s">
        <v>16</v>
      </c>
      <c r="E516" s="72" t="n">
        <v>265</v>
      </c>
      <c r="F516" s="75" t="s">
        <v>854</v>
      </c>
      <c r="G516" s="73" t="n">
        <f aca="false">E516*1.1</f>
        <v>291.5</v>
      </c>
      <c r="H516" s="3" t="s">
        <v>866</v>
      </c>
      <c r="I516" s="6" t="str">
        <f aca="false">CONCATENATE(A516,",",D516)</f>
        <v>COE 372,ED3-COE</v>
      </c>
      <c r="J516" s="12"/>
    </row>
    <row r="517" customFormat="false" ht="15" hidden="false" customHeight="false" outlineLevel="0" collapsed="false">
      <c r="A517" s="70" t="s">
        <v>414</v>
      </c>
      <c r="B517" s="74" t="str">
        <v>GLASS AND CEMENT TECHNOLOGIES</v>
      </c>
      <c r="C517" s="74" t="str">
        <v>Andrews Anthony</v>
      </c>
      <c r="D517" s="70" t="s">
        <v>140</v>
      </c>
      <c r="E517" s="72" t="n">
        <v>85</v>
      </c>
      <c r="F517" s="75" t="s">
        <v>571</v>
      </c>
      <c r="G517" s="73" t="n">
        <f aca="false">E517*1.1</f>
        <v>93.5</v>
      </c>
      <c r="H517" s="3" t="s">
        <v>867</v>
      </c>
      <c r="I517" s="6" t="str">
        <f aca="false">CONCATENATE(A517,",",D517)</f>
        <v>MSE 352,ED3-MSE</v>
      </c>
      <c r="J517" s="12"/>
    </row>
    <row r="518" customFormat="false" ht="15" hidden="false" customHeight="false" outlineLevel="0" collapsed="false">
      <c r="A518" s="76"/>
      <c r="B518" s="76"/>
      <c r="C518" s="67"/>
      <c r="D518" s="71" t="s">
        <v>416</v>
      </c>
      <c r="E518" s="77" t="n">
        <f aca="false">SUM(E501:E517)</f>
        <v>1122</v>
      </c>
      <c r="F518" s="78"/>
      <c r="G518" s="79"/>
      <c r="I518" s="9" t="s">
        <v>417</v>
      </c>
      <c r="J518" s="12"/>
    </row>
    <row r="519" customFormat="false" ht="15" hidden="false" customHeight="false" outlineLevel="0" collapsed="false">
      <c r="A519" s="65" t="s">
        <v>418</v>
      </c>
      <c r="B519" s="65"/>
      <c r="C519" s="65"/>
      <c r="D519" s="65"/>
      <c r="E519" s="65"/>
      <c r="F519" s="65"/>
      <c r="G519" s="65"/>
      <c r="I519" s="9" t="str">
        <f aca="false">A519</f>
        <v>Tuesday, 1 September 2026</v>
      </c>
      <c r="J519" s="12"/>
    </row>
    <row r="520" customFormat="false" ht="15" hidden="false" customHeight="false" outlineLevel="0" collapsed="false">
      <c r="A520" s="65" t="s">
        <v>2</v>
      </c>
      <c r="B520" s="65"/>
      <c r="C520" s="65"/>
      <c r="D520" s="65"/>
      <c r="E520" s="65"/>
      <c r="F520" s="65"/>
      <c r="G520" s="65"/>
      <c r="I520" s="9" t="str">
        <f aca="false">A520</f>
        <v>Session, 1 (8:30 AM - 10:30 AM)</v>
      </c>
      <c r="J520" s="12"/>
    </row>
    <row r="521" customFormat="false" ht="15" hidden="false" customHeight="false" outlineLevel="0" collapsed="false">
      <c r="A521" s="66" t="s">
        <v>4</v>
      </c>
      <c r="B521" s="66" t="s">
        <v>5</v>
      </c>
      <c r="C521" s="67" t="s">
        <v>6</v>
      </c>
      <c r="D521" s="66" t="s">
        <v>7</v>
      </c>
      <c r="E521" s="68" t="s">
        <v>8</v>
      </c>
      <c r="F521" s="67" t="s">
        <v>9</v>
      </c>
      <c r="G521" s="69" t="s">
        <v>10</v>
      </c>
      <c r="I521" s="9" t="s">
        <v>31</v>
      </c>
      <c r="J521" s="12"/>
    </row>
    <row r="522" customFormat="false" ht="15" hidden="false" customHeight="false" outlineLevel="0" collapsed="false">
      <c r="A522" s="70" t="s">
        <v>420</v>
      </c>
      <c r="B522" s="74" t="str">
        <f aca="false" t="array" ref="B522:B533">IFERROR(VLOOKUP(I522:I533,Lectures_1!A2:F534,2,FALSE()),0)</f>
        <v>THERMODYNAMICS I</v>
      </c>
      <c r="C522" s="71" t="str">
        <f aca="false" t="array" ref="C522:C533">IFERROR(VLOOKUP(I522:I533,Lectures_1!A2:F534,3,FALSE()),0)</f>
        <v>Amoabeng Kofi Owura</v>
      </c>
      <c r="D522" s="70" t="s">
        <v>38</v>
      </c>
      <c r="E522" s="72" t="n">
        <f aca="false" t="array" ref="E522:E533">IFERROR(VLOOKUP(I522:I533,Lectures_1!A2:F534,4,FALSE()),0)</f>
        <v>80</v>
      </c>
      <c r="F522" s="75" t="s">
        <v>673</v>
      </c>
      <c r="G522" s="73" t="n">
        <f aca="false">E522*1.1</f>
        <v>88</v>
      </c>
      <c r="H522" s="3" t="s">
        <v>631</v>
      </c>
      <c r="I522" s="6" t="str">
        <f aca="false">CONCATENATE(A522,",",D522)</f>
        <v>ME 266,ED2-IND</v>
      </c>
      <c r="J522" s="12"/>
    </row>
    <row r="523" customFormat="false" ht="15" hidden="false" customHeight="false" outlineLevel="0" collapsed="false">
      <c r="A523" s="70" t="s">
        <v>420</v>
      </c>
      <c r="B523" s="74" t="str">
        <v>THERMODYNAMICS I</v>
      </c>
      <c r="C523" s="71" t="str">
        <v>Amoabeng Kofi Owura</v>
      </c>
      <c r="D523" s="70" t="s">
        <v>33</v>
      </c>
      <c r="E523" s="72" t="n">
        <v>240</v>
      </c>
      <c r="F523" s="75" t="s">
        <v>619</v>
      </c>
      <c r="G523" s="73" t="n">
        <f aca="false">E523*1.1</f>
        <v>264</v>
      </c>
      <c r="H523" s="3" t="s">
        <v>868</v>
      </c>
      <c r="I523" s="6" t="str">
        <f aca="false">CONCATENATE(A523,",",D523)</f>
        <v>ME 266,ED2-ME</v>
      </c>
      <c r="J523" s="12"/>
    </row>
    <row r="524" customFormat="false" ht="17.9" hidden="false" customHeight="false" outlineLevel="0" collapsed="false">
      <c r="A524" s="70" t="s">
        <v>421</v>
      </c>
      <c r="B524" s="71" t="str">
        <v>APPLIED THERMODYNAMICS </v>
      </c>
      <c r="C524" s="74" t="str">
        <v>Amoabeng Kofi Owura</v>
      </c>
      <c r="D524" s="75" t="s">
        <v>130</v>
      </c>
      <c r="E524" s="72" t="n">
        <v>136</v>
      </c>
      <c r="F524" s="90" t="s">
        <v>693</v>
      </c>
      <c r="G524" s="73" t="n">
        <f aca="false">E524*1.1</f>
        <v>149.6</v>
      </c>
      <c r="H524" s="30" t="s">
        <v>869</v>
      </c>
      <c r="I524" s="6" t="str">
        <f aca="false">CONCATENATE(A524,",",D524)</f>
        <v>ME 166,ED1-BME</v>
      </c>
      <c r="J524" s="12"/>
    </row>
    <row r="525" customFormat="false" ht="15" hidden="false" customHeight="false" outlineLevel="0" collapsed="false">
      <c r="A525" s="70" t="s">
        <v>422</v>
      </c>
      <c r="B525" s="71" t="str">
        <v>BASIC THERMODYNAMICS</v>
      </c>
      <c r="C525" s="74" t="str">
        <v>Samuel Boahen</v>
      </c>
      <c r="D525" s="70" t="s">
        <v>162</v>
      </c>
      <c r="E525" s="72" t="n">
        <v>85</v>
      </c>
      <c r="F525" s="90" t="s">
        <v>582</v>
      </c>
      <c r="G525" s="73" t="n">
        <f aca="false">E525*1.1</f>
        <v>93.5</v>
      </c>
      <c r="H525" s="3" t="s">
        <v>870</v>
      </c>
      <c r="I525" s="29" t="str">
        <f aca="false">CONCATENATE(A525,",",D525)</f>
        <v>AME 156,ED1-AUTO</v>
      </c>
      <c r="J525" s="12"/>
    </row>
    <row r="526" customFormat="false" ht="15" hidden="false" customHeight="false" outlineLevel="0" collapsed="false">
      <c r="A526" s="70" t="s">
        <v>420</v>
      </c>
      <c r="B526" s="74" t="str">
        <v>THERMODYNAMICS I</v>
      </c>
      <c r="C526" s="71" t="str">
        <v>Boahen Samuel</v>
      </c>
      <c r="D526" s="70" t="s">
        <v>36</v>
      </c>
      <c r="E526" s="72" t="n">
        <v>75</v>
      </c>
      <c r="F526" s="75" t="s">
        <v>545</v>
      </c>
      <c r="G526" s="73" t="n">
        <f aca="false">E526*1.1</f>
        <v>82.5</v>
      </c>
      <c r="H526" s="3" t="n">
        <v>75</v>
      </c>
      <c r="I526" s="6" t="str">
        <f aca="false">CONCATENATE(A526,",",D526)</f>
        <v>ME 266,ED2-AERO</v>
      </c>
      <c r="J526" s="12"/>
    </row>
    <row r="527" customFormat="false" ht="15" hidden="false" customHeight="false" outlineLevel="0" collapsed="false">
      <c r="A527" s="70" t="s">
        <v>421</v>
      </c>
      <c r="B527" s="74" t="str">
        <v>APPLIED THERMODYNAMICS I</v>
      </c>
      <c r="C527" s="71" t="str">
        <v>Quansah David Ato</v>
      </c>
      <c r="D527" s="70" t="s">
        <v>51</v>
      </c>
      <c r="E527" s="72" t="n">
        <v>295</v>
      </c>
      <c r="F527" s="97" t="s">
        <v>871</v>
      </c>
      <c r="G527" s="73" t="n">
        <f aca="false">E527*1.1</f>
        <v>324.5</v>
      </c>
      <c r="H527" s="50" t="s">
        <v>872</v>
      </c>
      <c r="I527" s="6" t="str">
        <f aca="false">CONCATENATE(A527,",",D527)</f>
        <v>ME 166,ED1-EE</v>
      </c>
      <c r="J527" s="12"/>
    </row>
    <row r="528" customFormat="false" ht="15" hidden="false" customHeight="false" outlineLevel="0" collapsed="false">
      <c r="A528" s="70" t="s">
        <v>423</v>
      </c>
      <c r="B528" s="74" t="str">
        <v>ENGINEERING RESEARCH AND TECHNICAL REPORT WRITING</v>
      </c>
      <c r="C528" s="71" t="str">
        <v>Obeng Kwakye Kingsford Sarkodie</v>
      </c>
      <c r="D528" s="70" t="s">
        <v>91</v>
      </c>
      <c r="E528" s="72" t="n">
        <v>130</v>
      </c>
      <c r="F528" s="75" t="s">
        <v>873</v>
      </c>
      <c r="G528" s="73" t="n">
        <f aca="false">E528*1.1</f>
        <v>143</v>
      </c>
      <c r="H528" s="3" t="s">
        <v>658</v>
      </c>
      <c r="I528" s="6" t="str">
        <f aca="false">CONCATENATE(A528,",",D528)</f>
        <v>TE 152,ED1-TEL</v>
      </c>
      <c r="J528" s="12"/>
    </row>
    <row r="529" customFormat="false" ht="15" hidden="false" customHeight="false" outlineLevel="0" collapsed="false">
      <c r="A529" s="70" t="s">
        <v>424</v>
      </c>
      <c r="B529" s="71" t="str">
        <v>FINANCIAL ACCOUNTING II</v>
      </c>
      <c r="C529" s="71" t="str">
        <v>Yeboah Edward</v>
      </c>
      <c r="D529" s="70" t="s">
        <v>108</v>
      </c>
      <c r="E529" s="72" t="n">
        <v>65</v>
      </c>
      <c r="F529" s="75" t="s">
        <v>546</v>
      </c>
      <c r="G529" s="73" t="n">
        <f aca="false">E529*1.1</f>
        <v>71.5</v>
      </c>
      <c r="H529" s="3" t="n">
        <v>65</v>
      </c>
      <c r="I529" s="6" t="str">
        <f aca="false">CONCATENATE(A529,",",D529)</f>
        <v>ACF 256,ED2-COE</v>
      </c>
      <c r="J529" s="12"/>
    </row>
    <row r="530" customFormat="false" ht="15" hidden="false" customHeight="false" outlineLevel="0" collapsed="false">
      <c r="A530" s="70" t="s">
        <v>424</v>
      </c>
      <c r="B530" s="71" t="str">
        <v>FINANCIAL ACCOUNTING II</v>
      </c>
      <c r="C530" s="71" t="str">
        <v>Yeboah Edward</v>
      </c>
      <c r="D530" s="70" t="s">
        <v>109</v>
      </c>
      <c r="E530" s="72" t="n">
        <v>18</v>
      </c>
      <c r="F530" s="75" t="s">
        <v>781</v>
      </c>
      <c r="G530" s="73" t="n">
        <f aca="false">E530*1.1</f>
        <v>19.8</v>
      </c>
      <c r="H530" s="3" t="n">
        <v>18</v>
      </c>
      <c r="I530" s="6" t="str">
        <f aca="false">CONCATENATE(A530,",",D530)</f>
        <v>ACF 256,ED2-BME</v>
      </c>
      <c r="J530" s="12"/>
    </row>
    <row r="531" customFormat="false" ht="15" hidden="false" customHeight="false" outlineLevel="0" collapsed="false">
      <c r="A531" s="70" t="s">
        <v>424</v>
      </c>
      <c r="B531" s="71" t="str">
        <v>FINANCIAL ACCOUNTING II</v>
      </c>
      <c r="C531" s="71" t="str">
        <v>Yeboah Edward</v>
      </c>
      <c r="D531" s="70" t="s">
        <v>172</v>
      </c>
      <c r="E531" s="72" t="n">
        <v>40</v>
      </c>
      <c r="F531" s="75" t="s">
        <v>616</v>
      </c>
      <c r="G531" s="73" t="n">
        <f aca="false">E531*1.1</f>
        <v>44</v>
      </c>
      <c r="H531" s="3" t="n">
        <v>40</v>
      </c>
      <c r="I531" s="6" t="str">
        <f aca="false">CONCATENATE(A531,",",D531)</f>
        <v>ACF 256,ED2-TEL</v>
      </c>
      <c r="J531" s="12"/>
    </row>
    <row r="532" customFormat="false" ht="15" hidden="false" customHeight="false" outlineLevel="0" collapsed="false">
      <c r="A532" s="70" t="s">
        <v>424</v>
      </c>
      <c r="B532" s="74" t="str">
        <v>PRINCIPLES OF ACCOUNTING II</v>
      </c>
      <c r="C532" s="71" t="str">
        <v>John Bosco Dramani</v>
      </c>
      <c r="D532" s="70" t="s">
        <v>126</v>
      </c>
      <c r="E532" s="72" t="n">
        <v>5</v>
      </c>
      <c r="F532" s="75" t="s">
        <v>874</v>
      </c>
      <c r="G532" s="73" t="n">
        <f aca="false">E532*1.1</f>
        <v>5.5</v>
      </c>
      <c r="H532" s="3" t="n">
        <v>5</v>
      </c>
      <c r="I532" s="6" t="str">
        <f aca="false">CONCATENATE(A532,",",D532)</f>
        <v>ACF 256,ED1-GEOL</v>
      </c>
      <c r="J532" s="12"/>
    </row>
    <row r="533" customFormat="false" ht="15" hidden="false" customHeight="false" outlineLevel="0" collapsed="false">
      <c r="A533" s="70" t="s">
        <v>424</v>
      </c>
      <c r="B533" s="71" t="str">
        <v>PRINCIPLES OF ACCOUNTING II</v>
      </c>
      <c r="C533" s="71" t="str">
        <v>Beatrice Sarpong-Danquah</v>
      </c>
      <c r="D533" s="70" t="s">
        <v>77</v>
      </c>
      <c r="E533" s="72" t="n">
        <v>35</v>
      </c>
      <c r="F533" s="75" t="s">
        <v>863</v>
      </c>
      <c r="G533" s="73" t="n">
        <f aca="false">E533*1.1</f>
        <v>38.5</v>
      </c>
      <c r="H533" s="3" t="n">
        <v>35</v>
      </c>
      <c r="I533" s="6" t="str">
        <f aca="false">CONCATENATE(A533,",",D533)</f>
        <v>ACF 256,ED3-GEOM</v>
      </c>
      <c r="J533" s="12"/>
    </row>
    <row r="534" customFormat="false" ht="15" hidden="false" customHeight="false" outlineLevel="0" collapsed="false">
      <c r="A534" s="76"/>
      <c r="B534" s="76"/>
      <c r="C534" s="67"/>
      <c r="D534" s="71" t="s">
        <v>425</v>
      </c>
      <c r="E534" s="77" t="n">
        <f aca="false">SUM(E522:E533)</f>
        <v>1204</v>
      </c>
      <c r="F534" s="78"/>
      <c r="G534" s="79"/>
      <c r="I534" s="9" t="s">
        <v>426</v>
      </c>
      <c r="J534" s="12"/>
    </row>
    <row r="535" customFormat="false" ht="15" hidden="false" customHeight="false" outlineLevel="0" collapsed="false">
      <c r="A535" s="65" t="s">
        <v>418</v>
      </c>
      <c r="B535" s="65"/>
      <c r="C535" s="65"/>
      <c r="D535" s="65"/>
      <c r="E535" s="65"/>
      <c r="F535" s="65"/>
      <c r="G535" s="65"/>
      <c r="I535" s="9" t="str">
        <f aca="false">A535</f>
        <v>Tuesday, 1 September 2026</v>
      </c>
      <c r="J535" s="12"/>
    </row>
    <row r="536" customFormat="false" ht="15" hidden="false" customHeight="false" outlineLevel="0" collapsed="false">
      <c r="A536" s="65" t="s">
        <v>29</v>
      </c>
      <c r="B536" s="65"/>
      <c r="C536" s="65"/>
      <c r="D536" s="65"/>
      <c r="E536" s="65"/>
      <c r="F536" s="65"/>
      <c r="G536" s="65"/>
      <c r="I536" s="9" t="str">
        <f aca="false">A536</f>
        <v>Session, 2 (12:00 PM - 2:00 PM)</v>
      </c>
      <c r="J536" s="12"/>
    </row>
    <row r="537" customFormat="false" ht="15" hidden="false" customHeight="false" outlineLevel="0" collapsed="false">
      <c r="A537" s="66" t="s">
        <v>4</v>
      </c>
      <c r="B537" s="66" t="s">
        <v>5</v>
      </c>
      <c r="C537" s="67" t="s">
        <v>6</v>
      </c>
      <c r="D537" s="66" t="s">
        <v>7</v>
      </c>
      <c r="E537" s="68" t="s">
        <v>8</v>
      </c>
      <c r="F537" s="67" t="s">
        <v>9</v>
      </c>
      <c r="G537" s="69" t="s">
        <v>10</v>
      </c>
      <c r="I537" s="9" t="s">
        <v>31</v>
      </c>
      <c r="J537" s="12"/>
    </row>
    <row r="538" customFormat="false" ht="15" hidden="false" customHeight="false" outlineLevel="0" collapsed="false">
      <c r="A538" s="70" t="s">
        <v>427</v>
      </c>
      <c r="B538" s="71" t="str">
        <f aca="false" t="array" ref="B538:B550">IFERROR(VLOOKUP(I538:I550,Lectures_1!A2:F534,2,FALSE()),0)</f>
        <v>HUMAN FACTORS AND ERGONOMICS</v>
      </c>
      <c r="C538" s="74" t="str">
        <f aca="false" t="array" ref="C538:C550">IFERROR(VLOOKUP(I538:I550,Lectures_1!A2:F534,3,FALSE()),0)</f>
        <v>Sackey Samuel Mensah</v>
      </c>
      <c r="D538" s="70" t="s">
        <v>124</v>
      </c>
      <c r="E538" s="72" t="n">
        <f aca="false" t="array" ref="E538:E550">IFERROR(VLOOKUP(I538:I550,Lectures_1!A2:F534,4,FALSE()),0)</f>
        <v>69</v>
      </c>
      <c r="F538" s="75" t="s">
        <v>574</v>
      </c>
      <c r="G538" s="73" t="n">
        <f aca="false">E538*1.1</f>
        <v>75.9</v>
      </c>
      <c r="H538" s="3" t="s">
        <v>875</v>
      </c>
      <c r="I538" s="6" t="str">
        <f aca="false">CONCATENATE(A538,",",D538)</f>
        <v>IE 458,ED4-IND</v>
      </c>
      <c r="J538" s="12"/>
    </row>
    <row r="539" customFormat="false" ht="15" hidden="false" customHeight="false" outlineLevel="0" collapsed="false">
      <c r="A539" s="70" t="s">
        <v>427</v>
      </c>
      <c r="B539" s="71" t="str">
        <v>HUMAN FACTORS AND ERGONOMICS</v>
      </c>
      <c r="C539" s="74" t="str">
        <v>Sackey Samuel Mensah</v>
      </c>
      <c r="D539" s="70" t="s">
        <v>99</v>
      </c>
      <c r="E539" s="72" t="n">
        <v>5</v>
      </c>
      <c r="F539" s="75" t="s">
        <v>864</v>
      </c>
      <c r="G539" s="73" t="n">
        <f aca="false">E539*1.1</f>
        <v>5.5</v>
      </c>
      <c r="H539" s="3" t="n">
        <v>5</v>
      </c>
      <c r="I539" s="6" t="str">
        <f aca="false">CONCATENATE(A539,",",D539)</f>
        <v>IE 458,ED4-AERO</v>
      </c>
      <c r="J539" s="12"/>
    </row>
    <row r="540" customFormat="false" ht="15" hidden="false" customHeight="false" outlineLevel="0" collapsed="false">
      <c r="A540" s="70" t="s">
        <v>110</v>
      </c>
      <c r="B540" s="71" t="str">
        <v>COMPUTER PROGRAMMING FOR ENGINEERS</v>
      </c>
      <c r="C540" s="74" t="str">
        <v>Tay Godwin Fabiola Kwaku</v>
      </c>
      <c r="D540" s="70" t="s">
        <v>191</v>
      </c>
      <c r="E540" s="72" t="n">
        <v>70</v>
      </c>
      <c r="F540" s="75" t="s">
        <v>574</v>
      </c>
      <c r="G540" s="73" t="n">
        <f aca="false">E540*1.1</f>
        <v>77</v>
      </c>
      <c r="H540" s="3" t="s">
        <v>671</v>
      </c>
      <c r="I540" s="6" t="str">
        <f aca="false">CONCATENATE(A540,",",D540)</f>
        <v>ME 168,ED1-AERO</v>
      </c>
      <c r="J540" s="12"/>
    </row>
    <row r="541" customFormat="false" ht="15" hidden="false" customHeight="false" outlineLevel="0" collapsed="false">
      <c r="A541" s="70" t="s">
        <v>110</v>
      </c>
      <c r="B541" s="71" t="str">
        <v>COMPUTER PROGRAMMING FOR ENGINEERS</v>
      </c>
      <c r="C541" s="74" t="str">
        <v>Tay Godwin Fabiola Kwaku</v>
      </c>
      <c r="D541" s="70" t="s">
        <v>161</v>
      </c>
      <c r="E541" s="72" t="n">
        <v>225</v>
      </c>
      <c r="F541" s="75" t="s">
        <v>687</v>
      </c>
      <c r="G541" s="73" t="n">
        <f aca="false">E541*1.1</f>
        <v>247.5</v>
      </c>
      <c r="H541" s="3" t="s">
        <v>876</v>
      </c>
      <c r="I541" s="6" t="str">
        <f aca="false">CONCATENATE(A541,",",D541)</f>
        <v>ME 168,ED1-ME</v>
      </c>
      <c r="J541" s="12"/>
    </row>
    <row r="542" customFormat="false" ht="15" hidden="false" customHeight="false" outlineLevel="0" collapsed="false">
      <c r="A542" s="70" t="s">
        <v>428</v>
      </c>
      <c r="B542" s="71" t="str">
        <v>BIOMATERIALS I</v>
      </c>
      <c r="C542" s="74" t="str">
        <v>Odame Prince</v>
      </c>
      <c r="D542" s="70" t="s">
        <v>65</v>
      </c>
      <c r="E542" s="72" t="n">
        <v>90</v>
      </c>
      <c r="F542" s="75" t="s">
        <v>571</v>
      </c>
      <c r="G542" s="73" t="n">
        <f aca="false">E542*1.1</f>
        <v>99</v>
      </c>
      <c r="H542" s="3" t="s">
        <v>877</v>
      </c>
      <c r="I542" s="6" t="str">
        <f aca="false">CONCATENATE(A542,",",D542)</f>
        <v>BME 362,ED3-BME</v>
      </c>
      <c r="J542" s="12"/>
    </row>
    <row r="543" customFormat="false" ht="15" hidden="false" customHeight="false" outlineLevel="0" collapsed="false">
      <c r="A543" s="70" t="s">
        <v>268</v>
      </c>
      <c r="B543" s="74" t="str">
        <v>ENGINEERING MECHANICS I:STATICS</v>
      </c>
      <c r="C543" s="74" t="str">
        <v>Amoabeng Kofi Owura</v>
      </c>
      <c r="D543" s="70" t="s">
        <v>111</v>
      </c>
      <c r="E543" s="72" t="n">
        <v>83</v>
      </c>
      <c r="F543" s="92" t="s">
        <v>667</v>
      </c>
      <c r="G543" s="73" t="n">
        <f aca="false">E543*1.1</f>
        <v>91.3</v>
      </c>
      <c r="H543" s="3" t="s">
        <v>878</v>
      </c>
      <c r="I543" s="6" t="str">
        <f aca="false">CONCATENATE(A543,",",D543)</f>
        <v>ME 164,ED1-IND</v>
      </c>
      <c r="J543" s="12"/>
    </row>
    <row r="544" customFormat="false" ht="15" hidden="false" customHeight="false" outlineLevel="0" collapsed="false">
      <c r="A544" s="70" t="s">
        <v>268</v>
      </c>
      <c r="B544" s="71" t="str">
        <v>ENGINEERING MECHANICS I:STATICS</v>
      </c>
      <c r="C544" s="74" t="str">
        <v>Amoabeng Kofi Owura</v>
      </c>
      <c r="D544" s="70" t="s">
        <v>112</v>
      </c>
      <c r="E544" s="72" t="n">
        <v>46</v>
      </c>
      <c r="F544" s="70" t="s">
        <v>879</v>
      </c>
      <c r="G544" s="73" t="n">
        <f aca="false">E544*1.1</f>
        <v>50.6</v>
      </c>
      <c r="H544" s="3" t="s">
        <v>623</v>
      </c>
      <c r="I544" s="6" t="str">
        <f aca="false">CONCATENATE(A544,",",D544)</f>
        <v>ME 164,ED1-MARI</v>
      </c>
      <c r="J544" s="12"/>
    </row>
    <row r="545" customFormat="false" ht="15" hidden="false" customHeight="false" outlineLevel="0" collapsed="false">
      <c r="A545" s="90" t="s">
        <v>429</v>
      </c>
      <c r="B545" s="66" t="str">
        <v>FARM MACHINERY DESIGN</v>
      </c>
      <c r="C545" s="71" t="str">
        <v>Aveyire Joseph</v>
      </c>
      <c r="D545" s="90" t="s">
        <v>50</v>
      </c>
      <c r="E545" s="91" t="n">
        <v>103</v>
      </c>
      <c r="F545" s="90" t="s">
        <v>859</v>
      </c>
      <c r="G545" s="73" t="n">
        <f aca="false">E545*1.1</f>
        <v>113.3</v>
      </c>
      <c r="H545" s="3" t="s">
        <v>880</v>
      </c>
      <c r="I545" s="6" t="str">
        <f aca="false">CONCATENATE(A545,",",D545)</f>
        <v>AE 482,ED4-AE</v>
      </c>
      <c r="J545" s="12"/>
    </row>
    <row r="546" customFormat="false" ht="15" hidden="false" customHeight="false" outlineLevel="0" collapsed="false">
      <c r="A546" s="70" t="s">
        <v>430</v>
      </c>
      <c r="B546" s="74" t="str">
        <v>INTRODUCTION TO INFORMATION TECHNOLOGY</v>
      </c>
      <c r="C546" s="71" t="str">
        <v>Titus Tienaah</v>
      </c>
      <c r="D546" s="70" t="s">
        <v>95</v>
      </c>
      <c r="E546" s="72" t="n">
        <v>103</v>
      </c>
      <c r="F546" s="75" t="s">
        <v>881</v>
      </c>
      <c r="G546" s="73" t="n">
        <f aca="false">E546*1.1</f>
        <v>113.3</v>
      </c>
      <c r="H546" s="3" t="s">
        <v>882</v>
      </c>
      <c r="I546" s="6" t="str">
        <f aca="false">CONCATENATE(A546,",",D546)</f>
        <v>GE 158,ED1-GEOM</v>
      </c>
      <c r="J546" s="12"/>
    </row>
    <row r="547" customFormat="false" ht="15" hidden="false" customHeight="false" outlineLevel="0" collapsed="false">
      <c r="A547" s="70" t="s">
        <v>432</v>
      </c>
      <c r="B547" s="74" t="str">
        <v>SECURE NETWORK SYSTEMS</v>
      </c>
      <c r="C547" s="71" t="str">
        <v>Tchao Eric Tutu</v>
      </c>
      <c r="D547" s="70" t="s">
        <v>251</v>
      </c>
      <c r="E547" s="91" t="n">
        <v>90</v>
      </c>
      <c r="F547" s="75" t="s">
        <v>571</v>
      </c>
      <c r="G547" s="73" t="n">
        <f aca="false">E547*1.1</f>
        <v>99</v>
      </c>
      <c r="H547" s="3" t="s">
        <v>877</v>
      </c>
      <c r="I547" s="6" t="str">
        <f aca="false">CONCATENATE(A547,",",D547)</f>
        <v>COE 456,ED4-COE</v>
      </c>
      <c r="J547" s="12"/>
    </row>
    <row r="548" customFormat="false" ht="15" hidden="false" customHeight="false" outlineLevel="0" collapsed="false">
      <c r="A548" s="70" t="s">
        <v>22</v>
      </c>
      <c r="B548" s="71" t="str">
        <v>AUTOMOTIVE CHASSIS</v>
      </c>
      <c r="C548" s="71" t="str">
        <v>Ayetor Godwin Kafui Kwesi</v>
      </c>
      <c r="D548" s="70" t="s">
        <v>23</v>
      </c>
      <c r="E548" s="72" t="n">
        <v>40</v>
      </c>
      <c r="F548" s="70" t="s">
        <v>545</v>
      </c>
      <c r="G548" s="73" t="n">
        <f aca="false">E548*1.1</f>
        <v>44</v>
      </c>
      <c r="H548" s="5" t="n">
        <v>40</v>
      </c>
      <c r="I548" s="6" t="str">
        <f aca="false">CONCATENATE(A548,",",D548)</f>
        <v>AME 376,ED3-AUTO</v>
      </c>
      <c r="J548" s="12"/>
    </row>
    <row r="549" customFormat="false" ht="15" hidden="false" customHeight="false" outlineLevel="0" collapsed="false">
      <c r="A549" s="70" t="s">
        <v>433</v>
      </c>
      <c r="B549" s="71" t="str">
        <v>AUTOMOTIVE CHASSIS</v>
      </c>
      <c r="C549" s="74" t="str">
        <v>Ayetor Godwin Kafui Kwesi</v>
      </c>
      <c r="D549" s="70" t="s">
        <v>40</v>
      </c>
      <c r="E549" s="72" t="n">
        <v>82</v>
      </c>
      <c r="F549" s="70" t="s">
        <v>546</v>
      </c>
      <c r="G549" s="73" t="n">
        <f aca="false">E549*1.1</f>
        <v>90.2</v>
      </c>
      <c r="H549" s="3" t="n">
        <v>82</v>
      </c>
      <c r="I549" s="6" t="str">
        <f aca="false">CONCATENATE(A549,",",D549)</f>
        <v>AME 256,ED2-AUTO</v>
      </c>
      <c r="J549" s="12"/>
    </row>
    <row r="550" customFormat="false" ht="17.9" hidden="false" customHeight="false" outlineLevel="0" collapsed="false">
      <c r="A550" s="70" t="s">
        <v>434</v>
      </c>
      <c r="B550" s="71" t="str">
        <v>SATELLITE COMMUNICATION AND NAVIGATION SYSTEMS</v>
      </c>
      <c r="C550" s="71" t="str">
        <v>Gadze James Dzisi</v>
      </c>
      <c r="D550" s="75" t="s">
        <v>227</v>
      </c>
      <c r="E550" s="72" t="n">
        <v>138</v>
      </c>
      <c r="F550" s="70" t="s">
        <v>533</v>
      </c>
      <c r="G550" s="73" t="n">
        <f aca="false">E550*1.1</f>
        <v>151.8</v>
      </c>
      <c r="H550" s="3" t="s">
        <v>883</v>
      </c>
      <c r="I550" s="6" t="str">
        <f aca="false">CONCATENATE(A550,",",D550)</f>
        <v>TE 456,ED4-TEL</v>
      </c>
      <c r="J550" s="12"/>
    </row>
    <row r="551" customFormat="false" ht="15" hidden="false" customHeight="false" outlineLevel="0" collapsed="false">
      <c r="A551" s="76"/>
      <c r="B551" s="76"/>
      <c r="C551" s="67"/>
      <c r="D551" s="71" t="s">
        <v>435</v>
      </c>
      <c r="E551" s="77" t="e">
        <f aca="false">SUM(_xlfn.anchorarray(E538))</f>
        <v>#NAME?</v>
      </c>
      <c r="F551" s="78"/>
      <c r="G551" s="79"/>
      <c r="I551" s="9"/>
      <c r="J551" s="12"/>
    </row>
    <row r="552" customFormat="false" ht="15" hidden="false" customHeight="false" outlineLevel="0" collapsed="false">
      <c r="A552" s="65" t="s">
        <v>418</v>
      </c>
      <c r="B552" s="65"/>
      <c r="C552" s="65"/>
      <c r="D552" s="65"/>
      <c r="E552" s="65"/>
      <c r="F552" s="65"/>
      <c r="G552" s="65"/>
      <c r="I552" s="9" t="str">
        <f aca="false">A552</f>
        <v>Tuesday, 1 September 2026</v>
      </c>
      <c r="J552" s="12"/>
    </row>
    <row r="553" customFormat="false" ht="15" hidden="false" customHeight="false" outlineLevel="0" collapsed="false">
      <c r="A553" s="65" t="s">
        <v>59</v>
      </c>
      <c r="B553" s="65"/>
      <c r="C553" s="65"/>
      <c r="D553" s="65"/>
      <c r="E553" s="65"/>
      <c r="F553" s="65"/>
      <c r="G553" s="65"/>
      <c r="I553" s="9" t="str">
        <f aca="false">A553</f>
        <v>Session, 3 (3:00 PM - 5:00 PM)</v>
      </c>
      <c r="J553" s="12"/>
    </row>
    <row r="554" customFormat="false" ht="15" hidden="false" customHeight="false" outlineLevel="0" collapsed="false">
      <c r="A554" s="66" t="s">
        <v>4</v>
      </c>
      <c r="B554" s="66" t="s">
        <v>5</v>
      </c>
      <c r="C554" s="67" t="s">
        <v>6</v>
      </c>
      <c r="D554" s="66" t="s">
        <v>7</v>
      </c>
      <c r="E554" s="68" t="s">
        <v>8</v>
      </c>
      <c r="F554" s="67" t="s">
        <v>9</v>
      </c>
      <c r="G554" s="69" t="s">
        <v>10</v>
      </c>
      <c r="I554" s="9" t="s">
        <v>31</v>
      </c>
      <c r="J554" s="12"/>
    </row>
    <row r="555" customFormat="false" ht="15" hidden="false" customHeight="false" outlineLevel="0" collapsed="false">
      <c r="A555" s="70" t="s">
        <v>436</v>
      </c>
      <c r="B555" s="74" t="str">
        <f aca="false" t="array" ref="B555:B569">IFERROR(VLOOKUP(I555:I569,Lectures_1!A2:F534,2,FALSE()),0)</f>
        <v>AIRCRAFT PERFORMANCE AND DESIGN</v>
      </c>
      <c r="C555" s="74" t="str">
        <f aca="false" t="array" ref="C555:C569">IFERROR(VLOOKUP(I555:I569,Lectures_1!A2:F534,3,FALSE()),0)</f>
        <v>Agyei Agyemang Anthony</v>
      </c>
      <c r="D555" s="70" t="s">
        <v>133</v>
      </c>
      <c r="E555" s="72" t="n">
        <f aca="false" t="array" ref="E555:E569">IFERROR(VLOOKUP(I555:I569,Lectures_1!A2:F534,4,FALSE()),0)</f>
        <v>76</v>
      </c>
      <c r="F555" s="75" t="s">
        <v>850</v>
      </c>
      <c r="G555" s="73" t="n">
        <f aca="false">E555*1.1</f>
        <v>83.6</v>
      </c>
      <c r="H555" s="3" t="s">
        <v>884</v>
      </c>
      <c r="I555" s="6" t="str">
        <f aca="false">CONCATENATE(A555,",",D555)</f>
        <v>AERO 374,ED3-AERO</v>
      </c>
      <c r="J555" s="12"/>
    </row>
    <row r="556" customFormat="false" ht="15" hidden="false" customHeight="false" outlineLevel="0" collapsed="false">
      <c r="A556" s="70" t="s">
        <v>437</v>
      </c>
      <c r="B556" s="74" t="str">
        <v>STRUCTURAL GEOLOGY</v>
      </c>
      <c r="C556" s="74" t="str">
        <v>Wilson Matthew Coffie</v>
      </c>
      <c r="D556" s="70" t="s">
        <v>154</v>
      </c>
      <c r="E556" s="72" t="n">
        <v>154</v>
      </c>
      <c r="F556" s="75" t="s">
        <v>693</v>
      </c>
      <c r="G556" s="73" t="n">
        <f aca="false">E556*1.1</f>
        <v>169.4</v>
      </c>
      <c r="H556" s="3" t="s">
        <v>885</v>
      </c>
      <c r="I556" s="6" t="str">
        <f aca="false">CONCATENATE(A556,",",D556)</f>
        <v>GED 364,ED3-GEOL</v>
      </c>
      <c r="J556" s="12"/>
    </row>
    <row r="557" customFormat="false" ht="15" hidden="false" customHeight="false" outlineLevel="0" collapsed="false">
      <c r="A557" s="70" t="s">
        <v>438</v>
      </c>
      <c r="B557" s="74" t="str">
        <v>ENERGY AND CLIMATE CHANGE</v>
      </c>
      <c r="C557" s="74" t="str">
        <v>Sokama-Neuyam Yen Adams</v>
      </c>
      <c r="D557" s="70" t="s">
        <v>46</v>
      </c>
      <c r="E557" s="72" t="n">
        <v>22</v>
      </c>
      <c r="F557" s="75" t="s">
        <v>886</v>
      </c>
      <c r="G557" s="73" t="n">
        <f aca="false">E557*1.1</f>
        <v>24.2</v>
      </c>
      <c r="H557" s="3" t="n">
        <v>22</v>
      </c>
      <c r="I557" s="6" t="str">
        <f aca="false">CONCATENATE(A557,",",D557)</f>
        <v>PE 476,ED4-PE</v>
      </c>
      <c r="J557" s="12"/>
    </row>
    <row r="558" customFormat="false" ht="15" hidden="false" customHeight="false" outlineLevel="0" collapsed="false">
      <c r="A558" s="70" t="s">
        <v>439</v>
      </c>
      <c r="B558" s="74" t="str">
        <v>REGIONAL GEOLOGY</v>
      </c>
      <c r="C558" s="74" t="str">
        <v>Quaye Jonathan Atuquaye</v>
      </c>
      <c r="D558" s="70" t="s">
        <v>93</v>
      </c>
      <c r="E558" s="72" t="n">
        <v>95</v>
      </c>
      <c r="F558" s="75" t="s">
        <v>546</v>
      </c>
      <c r="G558" s="73" t="n">
        <f aca="false">E558*1.1</f>
        <v>104.5</v>
      </c>
      <c r="H558" s="3" t="n">
        <v>95</v>
      </c>
      <c r="I558" s="6" t="str">
        <f aca="false">CONCATENATE(A558,",",D558)</f>
        <v>PE 256,ED2-PE</v>
      </c>
      <c r="J558" s="12"/>
    </row>
    <row r="559" customFormat="false" ht="15" hidden="false" customHeight="false" outlineLevel="0" collapsed="false">
      <c r="A559" s="70" t="s">
        <v>440</v>
      </c>
      <c r="B559" s="74" t="str">
        <v>MARINE ELECTRICAL TECHNOLOGY AND ELECTRICAL MEASUREMENTS</v>
      </c>
      <c r="C559" s="74" t="str">
        <v>Frimpong Emmanuel Asuming</v>
      </c>
      <c r="D559" s="70" t="s">
        <v>86</v>
      </c>
      <c r="E559" s="72" t="n">
        <v>40</v>
      </c>
      <c r="F559" s="75" t="s">
        <v>864</v>
      </c>
      <c r="G559" s="73" t="n">
        <f aca="false">E559*1.1</f>
        <v>44</v>
      </c>
      <c r="H559" s="3" t="n">
        <v>40</v>
      </c>
      <c r="I559" s="6" t="str">
        <f aca="false">CONCATENATE(A559,",",D559)</f>
        <v>MME 386,ED3-MARI</v>
      </c>
      <c r="J559" s="12"/>
    </row>
    <row r="560" customFormat="false" ht="15" hidden="false" customHeight="false" outlineLevel="0" collapsed="false">
      <c r="A560" s="70" t="s">
        <v>441</v>
      </c>
      <c r="B560" s="74" t="str">
        <v>SURFACE TREATMENT OF MATERIALS</v>
      </c>
      <c r="C560" s="74" t="str">
        <v>Andrews Anthony</v>
      </c>
      <c r="D560" s="70" t="s">
        <v>135</v>
      </c>
      <c r="E560" s="72" t="n">
        <v>60</v>
      </c>
      <c r="F560" s="70" t="s">
        <v>545</v>
      </c>
      <c r="G560" s="73" t="n">
        <f aca="false">E560*1.1</f>
        <v>66</v>
      </c>
      <c r="H560" s="3" t="n">
        <v>60</v>
      </c>
      <c r="I560" s="6" t="str">
        <f aca="false">CONCATENATE(A560,",",D560)</f>
        <v>MSE 454,ED4-MSE</v>
      </c>
      <c r="J560" s="12"/>
    </row>
    <row r="561" customFormat="false" ht="15" hidden="false" customHeight="false" outlineLevel="0" collapsed="false">
      <c r="A561" s="70" t="s">
        <v>442</v>
      </c>
      <c r="B561" s="71" t="str">
        <v>ELECTROMETALLURGY</v>
      </c>
      <c r="C561" s="71" t="str">
        <v>Agbe Henry</v>
      </c>
      <c r="D561" s="70" t="s">
        <v>136</v>
      </c>
      <c r="E561" s="72" t="n">
        <v>55</v>
      </c>
      <c r="F561" s="75" t="s">
        <v>650</v>
      </c>
      <c r="G561" s="73" t="n">
        <f aca="false">E561*1.1</f>
        <v>60.5</v>
      </c>
      <c r="H561" s="3" t="s">
        <v>540</v>
      </c>
      <c r="I561" s="6" t="str">
        <f aca="false">CONCATENATE(A561,",",D561)</f>
        <v>METE 452,ED4-METE</v>
      </c>
      <c r="J561" s="12"/>
    </row>
    <row r="562" customFormat="false" ht="15" hidden="false" customHeight="false" outlineLevel="0" collapsed="false">
      <c r="A562" s="70" t="s">
        <v>392</v>
      </c>
      <c r="B562" s="71" t="str">
        <v>BASIC MECHANICS</v>
      </c>
      <c r="C562" s="74" t="str">
        <v>Opoku Richard</v>
      </c>
      <c r="D562" s="70" t="s">
        <v>114</v>
      </c>
      <c r="E562" s="72" t="n">
        <v>75</v>
      </c>
      <c r="F562" s="75" t="s">
        <v>571</v>
      </c>
      <c r="G562" s="73" t="n">
        <f aca="false">E562*1.1</f>
        <v>82.5</v>
      </c>
      <c r="H562" s="3" t="s">
        <v>887</v>
      </c>
      <c r="I562" s="6" t="str">
        <f aca="false">CONCATENATE(A562,",",D562)</f>
        <v>ME 162,ED1-METE</v>
      </c>
      <c r="J562" s="12"/>
    </row>
    <row r="563" customFormat="false" ht="15" hidden="false" customHeight="false" outlineLevel="0" collapsed="false">
      <c r="A563" s="70" t="s">
        <v>392</v>
      </c>
      <c r="B563" s="71" t="str">
        <v>BASIC MECHANICS</v>
      </c>
      <c r="C563" s="74" t="str">
        <v>Boahen Samuel</v>
      </c>
      <c r="D563" s="70" t="s">
        <v>81</v>
      </c>
      <c r="E563" s="72" t="n">
        <v>56</v>
      </c>
      <c r="F563" s="90" t="s">
        <v>574</v>
      </c>
      <c r="G563" s="73" t="n">
        <f aca="false">E563*1.1</f>
        <v>61.6</v>
      </c>
      <c r="H563" s="3" t="s">
        <v>888</v>
      </c>
      <c r="I563" s="6" t="str">
        <f aca="false">CONCATENATE(A563,",",D563)</f>
        <v>ME 162,ED1-PCE</v>
      </c>
      <c r="J563" s="12"/>
    </row>
    <row r="564" customFormat="false" ht="15" hidden="false" customHeight="false" outlineLevel="0" collapsed="false">
      <c r="A564" s="70" t="s">
        <v>444</v>
      </c>
      <c r="B564" s="71" t="str">
        <v>RELIABILITY ENGINEERING</v>
      </c>
      <c r="C564" s="71" t="str">
        <v>Takyi Gabriel</v>
      </c>
      <c r="D564" s="70" t="s">
        <v>121</v>
      </c>
      <c r="E564" s="72" t="n">
        <v>70</v>
      </c>
      <c r="F564" s="75" t="s">
        <v>545</v>
      </c>
      <c r="G564" s="73" t="n">
        <f aca="false">E564*1.1</f>
        <v>77</v>
      </c>
      <c r="H564" s="3" t="n">
        <v>70</v>
      </c>
      <c r="I564" s="6" t="str">
        <f aca="false">CONCATENATE(A564,",",D564)</f>
        <v>IE 356,ED3-IND</v>
      </c>
      <c r="J564" s="12"/>
    </row>
    <row r="565" customFormat="false" ht="15" hidden="false" customHeight="false" outlineLevel="0" collapsed="false">
      <c r="A565" s="70" t="s">
        <v>445</v>
      </c>
      <c r="B565" s="71" t="str">
        <v>GROUNDWATER DEVELOPMENT</v>
      </c>
      <c r="C565" s="74" t="str">
        <v>Ali Bukari</v>
      </c>
      <c r="D565" s="70" t="s">
        <v>177</v>
      </c>
      <c r="E565" s="72" t="n">
        <v>95</v>
      </c>
      <c r="F565" s="75" t="s">
        <v>571</v>
      </c>
      <c r="G565" s="73" t="n">
        <f aca="false">E565*1.1</f>
        <v>104.5</v>
      </c>
      <c r="H565" s="3" t="s">
        <v>856</v>
      </c>
      <c r="I565" s="6" t="str">
        <f aca="false">CONCATENATE(A565,",",D565)</f>
        <v>GED 476,ED4-GEOL</v>
      </c>
      <c r="J565" s="12"/>
    </row>
    <row r="566" customFormat="false" ht="15" hidden="false" customHeight="false" outlineLevel="0" collapsed="false">
      <c r="A566" s="70" t="s">
        <v>446</v>
      </c>
      <c r="B566" s="66" t="str">
        <v>VEHICLE MAINTENANCE AND REGULATION</v>
      </c>
      <c r="C566" s="74" t="str">
        <v>Abu Frimpong Solomon</v>
      </c>
      <c r="D566" s="70" t="s">
        <v>97</v>
      </c>
      <c r="E566" s="91" t="n">
        <v>32</v>
      </c>
      <c r="F566" s="75" t="s">
        <v>632</v>
      </c>
      <c r="G566" s="73" t="n">
        <f aca="false">E566*1.1</f>
        <v>35.2</v>
      </c>
      <c r="H566" s="3" t="n">
        <v>32</v>
      </c>
      <c r="I566" s="6" t="str">
        <f aca="false">CONCATENATE(A566,",",D566)</f>
        <v>AME 496,ED4-AUTO</v>
      </c>
      <c r="J566" s="12"/>
    </row>
    <row r="567" customFormat="false" ht="15" hidden="false" customHeight="false" outlineLevel="0" collapsed="false">
      <c r="A567" s="70" t="s">
        <v>447</v>
      </c>
      <c r="B567" s="74" t="str">
        <v>INDUSTRIAL AUTOMATIC CONTROL</v>
      </c>
      <c r="C567" s="71" t="str">
        <v>Opoku Daniel</v>
      </c>
      <c r="D567" s="70" t="s">
        <v>144</v>
      </c>
      <c r="E567" s="72" t="n">
        <v>205</v>
      </c>
      <c r="F567" s="75" t="s">
        <v>889</v>
      </c>
      <c r="G567" s="73" t="n">
        <f aca="false">E567*1.1</f>
        <v>225.5</v>
      </c>
      <c r="H567" s="3" t="s">
        <v>890</v>
      </c>
      <c r="I567" s="6" t="str">
        <f aca="false">CONCATENATE(A567,",",D567)</f>
        <v>EE 484,ED4-EE</v>
      </c>
      <c r="J567" s="12"/>
    </row>
    <row r="568" customFormat="false" ht="15" hidden="false" customHeight="false" outlineLevel="0" collapsed="false">
      <c r="A568" s="70" t="s">
        <v>448</v>
      </c>
      <c r="B568" s="71" t="str">
        <v>PETROLEUM PRODUCTION ENGINEERING</v>
      </c>
      <c r="C568" s="74" t="str">
        <v>Ankudey Emmanuel Godwin</v>
      </c>
      <c r="D568" s="70" t="s">
        <v>63</v>
      </c>
      <c r="E568" s="72" t="n">
        <v>53</v>
      </c>
      <c r="F568" s="75" t="s">
        <v>574</v>
      </c>
      <c r="G568" s="73" t="n">
        <f aca="false">E568*1.1</f>
        <v>58.3</v>
      </c>
      <c r="H568" s="3" t="s">
        <v>891</v>
      </c>
      <c r="I568" s="6" t="str">
        <f aca="false">CONCATENATE(A568,",",D568)</f>
        <v>PETE 354,ED3-PCE</v>
      </c>
      <c r="J568" s="12"/>
    </row>
    <row r="569" customFormat="false" ht="15" hidden="false" customHeight="false" outlineLevel="0" collapsed="false">
      <c r="A569" s="70" t="s">
        <v>449</v>
      </c>
      <c r="B569" s="74" t="str">
        <v>SHIP CONSTRUCTION</v>
      </c>
      <c r="C569" s="71" t="str">
        <v>Jehoshaphat Eyram Deh</v>
      </c>
      <c r="D569" s="70" t="s">
        <v>69</v>
      </c>
      <c r="E569" s="72" t="n">
        <v>23</v>
      </c>
      <c r="F569" s="75" t="n">
        <v>303</v>
      </c>
      <c r="G569" s="73" t="n">
        <f aca="false">E569*1.1</f>
        <v>25.3</v>
      </c>
      <c r="H569" s="3" t="n">
        <v>23</v>
      </c>
      <c r="I569" s="6" t="str">
        <f aca="false">CONCATENATE(A569,",",D569)</f>
        <v>MME 476,ED4-MARI</v>
      </c>
      <c r="J569" s="12"/>
    </row>
    <row r="570" customFormat="false" ht="15" hidden="false" customHeight="false" outlineLevel="0" collapsed="false">
      <c r="A570" s="76"/>
      <c r="B570" s="76"/>
      <c r="C570" s="67"/>
      <c r="D570" s="71" t="s">
        <v>450</v>
      </c>
      <c r="E570" s="77" t="n">
        <f aca="false">SUM(E555:E569)</f>
        <v>1111</v>
      </c>
      <c r="F570" s="78"/>
      <c r="G570" s="79"/>
      <c r="I570" s="9" t="s">
        <v>451</v>
      </c>
      <c r="J570" s="12"/>
    </row>
    <row r="571" customFormat="false" ht="15" hidden="false" customHeight="false" outlineLevel="0" collapsed="false">
      <c r="A571" s="65" t="s">
        <v>452</v>
      </c>
      <c r="B571" s="65"/>
      <c r="C571" s="65"/>
      <c r="D571" s="65"/>
      <c r="E571" s="65"/>
      <c r="F571" s="65"/>
      <c r="G571" s="65"/>
      <c r="I571" s="9" t="str">
        <f aca="false">A571</f>
        <v>Wednesday, 2 September 2026</v>
      </c>
      <c r="J571" s="12"/>
    </row>
    <row r="572" customFormat="false" ht="15" hidden="false" customHeight="false" outlineLevel="0" collapsed="false">
      <c r="A572" s="65" t="s">
        <v>2</v>
      </c>
      <c r="B572" s="65"/>
      <c r="C572" s="65"/>
      <c r="D572" s="65"/>
      <c r="E572" s="65"/>
      <c r="F572" s="65"/>
      <c r="G572" s="65"/>
      <c r="I572" s="9" t="str">
        <f aca="false">A572</f>
        <v>Session, 1 (8:30 AM - 10:30 AM)</v>
      </c>
      <c r="J572" s="12"/>
    </row>
    <row r="573" customFormat="false" ht="15" hidden="false" customHeight="false" outlineLevel="0" collapsed="false">
      <c r="A573" s="66" t="s">
        <v>4</v>
      </c>
      <c r="B573" s="66" t="s">
        <v>5</v>
      </c>
      <c r="C573" s="67" t="s">
        <v>6</v>
      </c>
      <c r="D573" s="66" t="s">
        <v>7</v>
      </c>
      <c r="E573" s="68" t="s">
        <v>8</v>
      </c>
      <c r="F573" s="67" t="s">
        <v>9</v>
      </c>
      <c r="G573" s="69" t="s">
        <v>10</v>
      </c>
      <c r="I573" s="9" t="s">
        <v>31</v>
      </c>
      <c r="J573" s="12"/>
    </row>
    <row r="574" customFormat="false" ht="15" hidden="false" customHeight="false" outlineLevel="0" collapsed="false">
      <c r="A574" s="70" t="s">
        <v>454</v>
      </c>
      <c r="B574" s="74" t="str">
        <f aca="false" t="array" ref="B574:B582">IFERROR(VLOOKUP(I574:I582,Lectures_1!A2:F534,2,FALSE()),0)</f>
        <v>ENGINEERING WORKSHOP PRACTICE</v>
      </c>
      <c r="C574" s="74" t="str">
        <f aca="false" t="array" ref="C574:C582">IFERROR(VLOOKUP(I574:I582,Lectures_1!A2:F534,3,FALSE()),0)</f>
        <v>Michael Adusei-Bonsu</v>
      </c>
      <c r="D574" s="70" t="s">
        <v>131</v>
      </c>
      <c r="E574" s="72" t="n">
        <f aca="false" t="array" ref="E574:E582">IFERROR(VLOOKUP(I574:I582,Lectures_1!A2:F534,4,FALSE()),0)</f>
        <v>128</v>
      </c>
      <c r="F574" s="75" t="s">
        <v>611</v>
      </c>
      <c r="G574" s="73" t="n">
        <f aca="false">E574*1.1</f>
        <v>140.8</v>
      </c>
      <c r="H574" s="3" t="s">
        <v>848</v>
      </c>
      <c r="I574" s="6" t="str">
        <f aca="false">CONCATENATE(A574,",",D574)</f>
        <v>AE 196,ED1-AE</v>
      </c>
      <c r="J574" s="12"/>
    </row>
    <row r="575" customFormat="false" ht="15" hidden="false" customHeight="false" outlineLevel="0" collapsed="false">
      <c r="A575" s="70" t="s">
        <v>455</v>
      </c>
      <c r="B575" s="74" t="str">
        <v>SOIL MECHANICS APPLICATION TO MECHANISATION</v>
      </c>
      <c r="C575" s="74" t="str">
        <v>Agodzo Sampson Kwaku</v>
      </c>
      <c r="D575" s="70" t="s">
        <v>88</v>
      </c>
      <c r="E575" s="72" t="n">
        <v>101</v>
      </c>
      <c r="F575" s="75" t="s">
        <v>859</v>
      </c>
      <c r="G575" s="73" t="n">
        <f aca="false">E575*1.1</f>
        <v>111.1</v>
      </c>
      <c r="H575" s="3" t="s">
        <v>892</v>
      </c>
      <c r="I575" s="6" t="str">
        <f aca="false">CONCATENATE(A575,",",D575)</f>
        <v>AE 352,ED3-AE</v>
      </c>
      <c r="J575" s="12"/>
    </row>
    <row r="576" customFormat="false" ht="15" hidden="false" customHeight="false" outlineLevel="0" collapsed="false">
      <c r="A576" s="70" t="s">
        <v>456</v>
      </c>
      <c r="B576" s="71" t="str">
        <v>AQUATIC STROKES DEVELOPMENT AND REFINEMENT</v>
      </c>
      <c r="C576" s="71" t="str">
        <v>Afrifa Daniel</v>
      </c>
      <c r="D576" s="70" t="s">
        <v>42</v>
      </c>
      <c r="E576" s="72" t="n">
        <v>37</v>
      </c>
      <c r="F576" s="75" t="s">
        <v>541</v>
      </c>
      <c r="G576" s="73" t="n">
        <f aca="false">E576*1.1</f>
        <v>40.7</v>
      </c>
      <c r="H576" s="5" t="n">
        <v>37</v>
      </c>
      <c r="I576" s="6" t="str">
        <f aca="false">CONCATENATE(A576,",",D576)</f>
        <v>SES 172,ED2-MARI</v>
      </c>
      <c r="J576" s="12"/>
    </row>
    <row r="577" customFormat="false" ht="15" hidden="false" customHeight="false" outlineLevel="0" collapsed="false">
      <c r="A577" s="70" t="s">
        <v>458</v>
      </c>
      <c r="B577" s="71" t="str">
        <v>FLUID MACHINERY</v>
      </c>
      <c r="C577" s="74" t="str">
        <v>Opoku Richard</v>
      </c>
      <c r="D577" s="70" t="s">
        <v>67</v>
      </c>
      <c r="E577" s="72" t="n">
        <v>80</v>
      </c>
      <c r="F577" s="75" t="s">
        <v>893</v>
      </c>
      <c r="G577" s="73" t="n">
        <f aca="false">E577*1.1</f>
        <v>88</v>
      </c>
      <c r="H577" s="3" t="s">
        <v>692</v>
      </c>
      <c r="I577" s="6" t="str">
        <f aca="false">CONCATENATE(A577,",",D577)</f>
        <v>ME 452,ED4-ME</v>
      </c>
      <c r="J577" s="12"/>
    </row>
    <row r="578" customFormat="false" ht="15" hidden="false" customHeight="false" outlineLevel="0" collapsed="false">
      <c r="A578" s="70" t="s">
        <v>459</v>
      </c>
      <c r="B578" s="74" t="str">
        <v>PRINCIPLE OF DESIGN</v>
      </c>
      <c r="C578" s="71" t="str">
        <v>Ayeh Felix Jojo Fianko</v>
      </c>
      <c r="D578" s="70" t="s">
        <v>56</v>
      </c>
      <c r="E578" s="72" t="n">
        <v>250</v>
      </c>
      <c r="F578" s="97" t="s">
        <v>854</v>
      </c>
      <c r="G578" s="73" t="n">
        <f aca="false">E578*1.1</f>
        <v>275</v>
      </c>
      <c r="H578" s="50" t="s">
        <v>894</v>
      </c>
      <c r="I578" s="6" t="str">
        <f aca="false">CONCATENATE(A578,",",D578)</f>
        <v>CE 272,ED2-CE</v>
      </c>
      <c r="J578" s="12"/>
    </row>
    <row r="579" customFormat="false" ht="15" hidden="false" customHeight="false" outlineLevel="0" collapsed="false">
      <c r="A579" s="70" t="s">
        <v>472</v>
      </c>
      <c r="B579" s="71" t="str">
        <v>AEROSPACE SAFETY AND AIR SECURITY</v>
      </c>
      <c r="C579" s="74" t="str">
        <v>Peter Oppong Tawiah </v>
      </c>
      <c r="D579" s="70" t="s">
        <v>99</v>
      </c>
      <c r="E579" s="72" t="n">
        <v>61</v>
      </c>
      <c r="F579" s="70" t="s">
        <v>685</v>
      </c>
      <c r="G579" s="73" t="n">
        <f aca="false">E579*1.1</f>
        <v>67.1</v>
      </c>
      <c r="H579" s="3" t="s">
        <v>588</v>
      </c>
      <c r="I579" s="6" t="str">
        <f aca="false">CONCATENATE(A579,",",D579)</f>
        <v>AERO 492,ED4-AERO</v>
      </c>
      <c r="J579" s="12"/>
    </row>
    <row r="580" customFormat="false" ht="15" hidden="false" customHeight="false" outlineLevel="0" collapsed="false">
      <c r="A580" s="70" t="s">
        <v>460</v>
      </c>
      <c r="B580" s="71" t="str">
        <v>FUNDAMENTALS OF DATA SCIENCE</v>
      </c>
      <c r="C580" s="71" t="str">
        <v>Obour Agyekum Kwame Opuni-Boachie</v>
      </c>
      <c r="D580" s="70" t="s">
        <v>172</v>
      </c>
      <c r="E580" s="72" t="n">
        <v>175</v>
      </c>
      <c r="F580" s="97" t="s">
        <v>533</v>
      </c>
      <c r="G580" s="73" t="n">
        <f aca="false">E580*1.1</f>
        <v>192.5</v>
      </c>
      <c r="H580" s="5" t="s">
        <v>895</v>
      </c>
      <c r="I580" s="6" t="str">
        <f aca="false">CONCATENATE(A580,",",D580)</f>
        <v>TE 252,ED2-TEL</v>
      </c>
      <c r="J580" s="12"/>
    </row>
    <row r="581" s="45" customFormat="true" ht="15" hidden="false" customHeight="false" outlineLevel="0" collapsed="false">
      <c r="A581" s="70" t="s">
        <v>461</v>
      </c>
      <c r="B581" s="74" t="str">
        <v>ELEMENTARY FLUIDS MECHANICS</v>
      </c>
      <c r="C581" s="74" t="str">
        <v>Gyamfi Charles</v>
      </c>
      <c r="D581" s="70" t="s">
        <v>75</v>
      </c>
      <c r="E581" s="72" t="n">
        <v>245</v>
      </c>
      <c r="F581" s="83" t="s">
        <v>854</v>
      </c>
      <c r="G581" s="73" t="n">
        <f aca="false">E581*1.1</f>
        <v>269.5</v>
      </c>
      <c r="H581" s="3" t="s">
        <v>547</v>
      </c>
      <c r="I581" s="43" t="str">
        <f aca="false">CONCATENATE(A581,",",D581)</f>
        <v>CE 156,ED1-CE</v>
      </c>
      <c r="J581" s="44"/>
    </row>
    <row r="582" customFormat="false" ht="15" hidden="false" customHeight="false" outlineLevel="0" collapsed="false">
      <c r="A582" s="70" t="s">
        <v>461</v>
      </c>
      <c r="B582" s="71" t="str">
        <v>ELEMENTARY FLUIDS MECHANICS</v>
      </c>
      <c r="C582" s="71" t="str">
        <v>Gyamfi Charles</v>
      </c>
      <c r="D582" s="70" t="s">
        <v>126</v>
      </c>
      <c r="E582" s="72" t="n">
        <v>125</v>
      </c>
      <c r="F582" s="75" t="s">
        <v>611</v>
      </c>
      <c r="G582" s="73" t="n">
        <f aca="false">E582*1.1</f>
        <v>137.5</v>
      </c>
      <c r="H582" s="3" t="s">
        <v>896</v>
      </c>
      <c r="I582" s="6" t="str">
        <f aca="false">CONCATENATE(A582,",",D582)</f>
        <v>CE 156,ED1-GEOL</v>
      </c>
      <c r="J582" s="12"/>
    </row>
    <row r="583" customFormat="false" ht="15" hidden="false" customHeight="false" outlineLevel="0" collapsed="false">
      <c r="A583" s="76"/>
      <c r="B583" s="76"/>
      <c r="C583" s="67"/>
      <c r="D583" s="71" t="s">
        <v>462</v>
      </c>
      <c r="E583" s="77" t="n">
        <f aca="false">SUM(E574:E582)</f>
        <v>1202</v>
      </c>
      <c r="F583" s="78"/>
      <c r="G583" s="79"/>
      <c r="I583" s="9" t="s">
        <v>463</v>
      </c>
      <c r="J583" s="12"/>
    </row>
    <row r="584" customFormat="false" ht="15" hidden="false" customHeight="false" outlineLevel="0" collapsed="false">
      <c r="A584" s="65" t="s">
        <v>452</v>
      </c>
      <c r="B584" s="65"/>
      <c r="C584" s="65"/>
      <c r="D584" s="65"/>
      <c r="E584" s="65"/>
      <c r="F584" s="65"/>
      <c r="G584" s="65"/>
      <c r="I584" s="9" t="str">
        <f aca="false">A584</f>
        <v>Wednesday, 2 September 2026</v>
      </c>
      <c r="J584" s="12"/>
    </row>
    <row r="585" customFormat="false" ht="15" hidden="false" customHeight="false" outlineLevel="0" collapsed="false">
      <c r="A585" s="65" t="s">
        <v>29</v>
      </c>
      <c r="B585" s="65"/>
      <c r="C585" s="65"/>
      <c r="D585" s="65"/>
      <c r="E585" s="65"/>
      <c r="F585" s="65"/>
      <c r="G585" s="65"/>
      <c r="I585" s="9" t="str">
        <f aca="false">A585</f>
        <v>Session, 2 (12:00 PM - 2:00 PM)</v>
      </c>
      <c r="J585" s="12"/>
    </row>
    <row r="586" customFormat="false" ht="15" hidden="false" customHeight="false" outlineLevel="0" collapsed="false">
      <c r="A586" s="66" t="s">
        <v>4</v>
      </c>
      <c r="B586" s="66" t="s">
        <v>5</v>
      </c>
      <c r="C586" s="67" t="s">
        <v>6</v>
      </c>
      <c r="D586" s="66" t="s">
        <v>7</v>
      </c>
      <c r="E586" s="68" t="s">
        <v>8</v>
      </c>
      <c r="F586" s="67" t="s">
        <v>9</v>
      </c>
      <c r="G586" s="69" t="s">
        <v>10</v>
      </c>
      <c r="I586" s="9" t="s">
        <v>31</v>
      </c>
      <c r="J586" s="12"/>
    </row>
    <row r="587" customFormat="false" ht="15" hidden="false" customHeight="false" outlineLevel="0" collapsed="false">
      <c r="A587" s="70" t="s">
        <v>464</v>
      </c>
      <c r="B587" s="74" t="str">
        <f aca="false" t="array" ref="B587:B593">IFERROR(VLOOKUP(I587:I593,Lectures_1!A2:F534,2,FALSE()),0)</f>
        <v>DIGITAL COMMUNICATION SYSTEMS</v>
      </c>
      <c r="C587" s="74" t="str">
        <f aca="false" t="array" ref="C587:C593">IFERROR(VLOOKUP(I587:I593,Lectures_1!A2:F534,3,FALSE()),0)</f>
        <v>Affum Emmanuel Ampoma</v>
      </c>
      <c r="D587" s="70" t="s">
        <v>119</v>
      </c>
      <c r="E587" s="72" t="n">
        <f aca="false" t="array" ref="E587:E593">IFERROR(VLOOKUP(I587:I593,Lectures_1!A2:F534,4,FALSE()),0)</f>
        <v>140</v>
      </c>
      <c r="F587" s="75" t="s">
        <v>897</v>
      </c>
      <c r="G587" s="73" t="n">
        <f aca="false">E587*1.1</f>
        <v>154</v>
      </c>
      <c r="H587" s="3" t="s">
        <v>898</v>
      </c>
      <c r="I587" s="6" t="str">
        <f aca="false">CONCATENATE(A587,",",D587)</f>
        <v>TE 358,ED3-TEL</v>
      </c>
      <c r="J587" s="12"/>
    </row>
    <row r="588" customFormat="false" ht="15" hidden="false" customHeight="false" outlineLevel="0" collapsed="false">
      <c r="A588" s="70" t="s">
        <v>308</v>
      </c>
      <c r="B588" s="74" t="str">
        <v>ANTENNAS AND PROPAGATION</v>
      </c>
      <c r="C588" s="74" t="str">
        <v>Ellis Sani Mubarak</v>
      </c>
      <c r="D588" s="70" t="s">
        <v>71</v>
      </c>
      <c r="E588" s="72" t="n">
        <v>170</v>
      </c>
      <c r="F588" s="75" t="s">
        <v>706</v>
      </c>
      <c r="G588" s="73" t="n">
        <f aca="false">E588*1.1</f>
        <v>187</v>
      </c>
      <c r="H588" s="3" t="s">
        <v>899</v>
      </c>
      <c r="I588" s="6" t="str">
        <f aca="false">CONCATENATE(A588,",",D588)</f>
        <v>TE 372,ED3-EE</v>
      </c>
      <c r="J588" s="12"/>
    </row>
    <row r="589" customFormat="false" ht="15" hidden="false" customHeight="false" outlineLevel="0" collapsed="false">
      <c r="A589" s="70" t="s">
        <v>466</v>
      </c>
      <c r="B589" s="71" t="str">
        <v>COMPUTER-AIDED DESIGN AND MODELLING</v>
      </c>
      <c r="C589" s="74" t="str">
        <v>Sackey Michael Nii</v>
      </c>
      <c r="D589" s="70" t="s">
        <v>36</v>
      </c>
      <c r="E589" s="72" t="n">
        <v>75</v>
      </c>
      <c r="F589" s="75" t="s">
        <v>571</v>
      </c>
      <c r="G589" s="73" t="n">
        <f aca="false">E589*1.1</f>
        <v>82.5</v>
      </c>
      <c r="H589" s="3" t="s">
        <v>606</v>
      </c>
      <c r="I589" s="6" t="str">
        <f aca="false">CONCATENATE(A589,",",D589)</f>
        <v>ME 258,ED2-AERO</v>
      </c>
      <c r="J589" s="12"/>
    </row>
    <row r="590" customFormat="false" ht="15" hidden="false" customHeight="false" outlineLevel="0" collapsed="false">
      <c r="A590" s="70" t="s">
        <v>467</v>
      </c>
      <c r="B590" s="71" t="str">
        <v>NUMERICAL METHODS FOR PETROLEUM ENGINEERS</v>
      </c>
      <c r="C590" s="71" t="str">
        <v>Sokama-Neuyam Yen Adams</v>
      </c>
      <c r="D590" s="70" t="s">
        <v>18</v>
      </c>
      <c r="E590" s="72" t="n">
        <v>80</v>
      </c>
      <c r="F590" s="75" t="s">
        <v>571</v>
      </c>
      <c r="G590" s="73" t="n">
        <f aca="false">E590*1.1</f>
        <v>88</v>
      </c>
      <c r="H590" s="3" t="s">
        <v>692</v>
      </c>
      <c r="I590" s="6" t="str">
        <f aca="false">CONCATENATE(A590,",",D590)</f>
        <v>PE 350,ED3-PE</v>
      </c>
      <c r="J590" s="12"/>
    </row>
    <row r="591" customFormat="false" ht="15" hidden="false" customHeight="false" outlineLevel="0" collapsed="false">
      <c r="A591" s="70" t="s">
        <v>475</v>
      </c>
      <c r="B591" s="74" t="str">
        <v>HYDROGRAPHIC SURVEYING AND MARINE SCIENCE</v>
      </c>
      <c r="C591" s="71" t="str">
        <v>Asante Cosmas Yaw</v>
      </c>
      <c r="D591" s="70" t="s">
        <v>170</v>
      </c>
      <c r="E591" s="72" t="n">
        <v>132</v>
      </c>
      <c r="F591" s="75" t="s">
        <v>897</v>
      </c>
      <c r="G591" s="73" t="n">
        <f aca="false">E591*1.1</f>
        <v>145.2</v>
      </c>
      <c r="H591" s="3" t="s">
        <v>900</v>
      </c>
      <c r="I591" s="6" t="str">
        <f aca="false">CONCATENATE(A591,",",D591)</f>
        <v>GE 284,ED2-GEOM</v>
      </c>
      <c r="J591" s="12"/>
    </row>
    <row r="592" s="45" customFormat="true" ht="15" hidden="false" customHeight="false" outlineLevel="0" collapsed="false">
      <c r="A592" s="70" t="s">
        <v>281</v>
      </c>
      <c r="B592" s="74" t="str">
        <v>CALCULUS WITH SEVERAL VARIABLES</v>
      </c>
      <c r="C592" s="71" t="str">
        <v>Emmanuel Kpeglo</v>
      </c>
      <c r="D592" s="70" t="s">
        <v>25</v>
      </c>
      <c r="E592" s="72" t="n">
        <v>340</v>
      </c>
      <c r="F592" s="83" t="s">
        <v>901</v>
      </c>
      <c r="G592" s="73" t="n">
        <f aca="false">E592*1.1</f>
        <v>374</v>
      </c>
      <c r="H592" s="50" t="s">
        <v>902</v>
      </c>
      <c r="I592" s="43" t="str">
        <f aca="false">CONCATENATE(A592,",",D592)</f>
        <v>MATH 252,ED2-EE</v>
      </c>
      <c r="J592" s="44"/>
    </row>
    <row r="593" s="45" customFormat="true" ht="15" hidden="false" customHeight="false" outlineLevel="0" collapsed="false">
      <c r="A593" s="70" t="s">
        <v>281</v>
      </c>
      <c r="B593" s="74" t="str">
        <v>CALCULUS OF SEVERAL VARIABLES</v>
      </c>
      <c r="C593" s="71" t="str">
        <v>Benedict Barnes</v>
      </c>
      <c r="D593" s="70" t="s">
        <v>13</v>
      </c>
      <c r="E593" s="72" t="n">
        <v>160</v>
      </c>
      <c r="F593" s="75" t="s">
        <v>747</v>
      </c>
      <c r="G593" s="73" t="n">
        <f aca="false">E593*1.1</f>
        <v>176</v>
      </c>
      <c r="H593" s="3" t="s">
        <v>903</v>
      </c>
      <c r="I593" s="43" t="str">
        <f aca="false">CONCATENATE(A593,",",D593)</f>
        <v>MATH 252,ED2-CHE</v>
      </c>
      <c r="J593" s="44"/>
    </row>
    <row r="594" customFormat="false" ht="15" hidden="false" customHeight="false" outlineLevel="0" collapsed="false">
      <c r="A594" s="76"/>
      <c r="B594" s="76"/>
      <c r="C594" s="67"/>
      <c r="D594" s="71" t="s">
        <v>470</v>
      </c>
      <c r="E594" s="77" t="n">
        <f aca="false">SUM(E587:E593)</f>
        <v>1097</v>
      </c>
      <c r="F594" s="78"/>
      <c r="G594" s="79"/>
      <c r="I594" s="9"/>
      <c r="J594" s="12"/>
    </row>
    <row r="595" customFormat="false" ht="15" hidden="false" customHeight="false" outlineLevel="0" collapsed="false">
      <c r="A595" s="65" t="s">
        <v>452</v>
      </c>
      <c r="B595" s="65"/>
      <c r="C595" s="65"/>
      <c r="D595" s="65"/>
      <c r="E595" s="65"/>
      <c r="F595" s="65"/>
      <c r="G595" s="65"/>
      <c r="I595" s="9" t="str">
        <f aca="false">A595</f>
        <v>Wednesday, 2 September 2026</v>
      </c>
      <c r="J595" s="12"/>
    </row>
    <row r="596" customFormat="false" ht="15" hidden="false" customHeight="false" outlineLevel="0" collapsed="false">
      <c r="A596" s="65" t="s">
        <v>59</v>
      </c>
      <c r="B596" s="65"/>
      <c r="C596" s="65"/>
      <c r="D596" s="65"/>
      <c r="E596" s="65"/>
      <c r="F596" s="65"/>
      <c r="G596" s="65"/>
      <c r="I596" s="9" t="str">
        <f aca="false">A596</f>
        <v>Session, 3 (3:00 PM - 5:00 PM)</v>
      </c>
      <c r="J596" s="12"/>
    </row>
    <row r="597" customFormat="false" ht="15" hidden="false" customHeight="false" outlineLevel="0" collapsed="false">
      <c r="A597" s="66" t="s">
        <v>4</v>
      </c>
      <c r="B597" s="66" t="s">
        <v>5</v>
      </c>
      <c r="C597" s="67" t="s">
        <v>6</v>
      </c>
      <c r="D597" s="66" t="s">
        <v>7</v>
      </c>
      <c r="E597" s="68" t="s">
        <v>8</v>
      </c>
      <c r="F597" s="67" t="s">
        <v>9</v>
      </c>
      <c r="G597" s="69" t="s">
        <v>10</v>
      </c>
      <c r="I597" s="9" t="s">
        <v>31</v>
      </c>
      <c r="J597" s="12"/>
    </row>
    <row r="598" customFormat="false" ht="15" hidden="false" customHeight="false" outlineLevel="0" collapsed="false">
      <c r="A598" s="70" t="s">
        <v>471</v>
      </c>
      <c r="B598" s="74" t="str">
        <f aca="false" t="array" ref="B598:B606">IFERROR(VLOOKUP(I598:I606,Lectures_1!A2:F534,2,FALSE()),0)</f>
        <v>PRINCIPLES OF VALUATION OF LAND AND BUILDING</v>
      </c>
      <c r="C598" s="74" t="str">
        <f aca="false" t="array" ref="C598:C606">IFERROR(VLOOKUP(I598:I606,Lectures_1!A2:F534,3,FALSE()),0)</f>
        <v>Ayitey Jonathan</v>
      </c>
      <c r="D598" s="70" t="s">
        <v>194</v>
      </c>
      <c r="E598" s="72" t="n">
        <f aca="false" t="array" ref="E598:E606">IFERROR(VLOOKUP(I598:I606,Lectures_1!A2:F534,4,FALSE()),0)</f>
        <v>93</v>
      </c>
      <c r="F598" s="75" t="s">
        <v>571</v>
      </c>
      <c r="G598" s="73" t="n">
        <f aca="false">E598*1.1</f>
        <v>102.3</v>
      </c>
      <c r="H598" s="3" t="s">
        <v>904</v>
      </c>
      <c r="I598" s="6" t="str">
        <f aca="false">CONCATENATE(A598,",",D598)</f>
        <v>GE 474,ED4-GEOM</v>
      </c>
      <c r="J598" s="12"/>
    </row>
    <row r="599" customFormat="false" ht="15" hidden="false" customHeight="false" outlineLevel="0" collapsed="false">
      <c r="A599" s="70" t="s">
        <v>473</v>
      </c>
      <c r="B599" s="66" t="str">
        <v>ELECTRICAL ENGINEERING MACHINES</v>
      </c>
      <c r="C599" s="71" t="str">
        <v>Yaw Opoku Mensah Sekyere</v>
      </c>
      <c r="D599" s="70" t="s">
        <v>61</v>
      </c>
      <c r="E599" s="72" t="n">
        <v>222</v>
      </c>
      <c r="F599" s="75" t="s">
        <v>687</v>
      </c>
      <c r="G599" s="73" t="n">
        <f aca="false">E599*1.1</f>
        <v>244.2</v>
      </c>
      <c r="H599" s="3" t="s">
        <v>905</v>
      </c>
      <c r="I599" s="6" t="str">
        <f aca="false">CONCATENATE(A599,",",D599)</f>
        <v>EE 252,ED3-ME</v>
      </c>
      <c r="J599" s="12"/>
    </row>
    <row r="600" customFormat="false" ht="15" hidden="false" customHeight="false" outlineLevel="0" collapsed="false">
      <c r="A600" s="70" t="s">
        <v>473</v>
      </c>
      <c r="B600" s="66" t="str">
        <v>ELECTRICAL ENGINEERING MACHINES</v>
      </c>
      <c r="C600" s="71" t="str">
        <v>Yaw Opoku Mensah Sekyere</v>
      </c>
      <c r="D600" s="70" t="s">
        <v>53</v>
      </c>
      <c r="E600" s="72" t="n">
        <v>155</v>
      </c>
      <c r="F600" s="75" t="s">
        <v>693</v>
      </c>
      <c r="G600" s="73" t="n">
        <f aca="false">E600*1.1</f>
        <v>170.5</v>
      </c>
      <c r="H600" s="3" t="s">
        <v>906</v>
      </c>
      <c r="I600" s="6" t="str">
        <f aca="false">CONCATENATE(A600,",",D600)</f>
        <v>EE 252,ED2-AE</v>
      </c>
      <c r="J600" s="12"/>
    </row>
    <row r="601" customFormat="false" ht="15" hidden="false" customHeight="false" outlineLevel="0" collapsed="false">
      <c r="A601" s="70" t="s">
        <v>474</v>
      </c>
      <c r="B601" s="71" t="str">
        <v>ELECTRICAL MACHINES</v>
      </c>
      <c r="C601" s="71" t="str">
        <v>Asigri Peter</v>
      </c>
      <c r="D601" s="70" t="s">
        <v>20</v>
      </c>
      <c r="E601" s="72" t="n">
        <v>262</v>
      </c>
      <c r="F601" s="97" t="s">
        <v>533</v>
      </c>
      <c r="G601" s="73" t="n">
        <f aca="false">E601*1.1</f>
        <v>288.2</v>
      </c>
      <c r="H601" s="50" t="s">
        <v>534</v>
      </c>
      <c r="I601" s="6" t="str">
        <f aca="false">CONCATENATE(A601,",",D601)</f>
        <v>EE 172,ED1-COE</v>
      </c>
      <c r="J601" s="12"/>
    </row>
    <row r="602" customFormat="false" ht="15" hidden="false" customHeight="false" outlineLevel="0" collapsed="false">
      <c r="A602" s="70" t="s">
        <v>476</v>
      </c>
      <c r="B602" s="74" t="str">
        <v>SIMULTANEOUS HEAT/MASS TRANSFER</v>
      </c>
      <c r="C602" s="71" t="str">
        <v>Dogbe Eunice Sefakor Aku</v>
      </c>
      <c r="D602" s="70" t="s">
        <v>73</v>
      </c>
      <c r="E602" s="72" t="n">
        <v>105</v>
      </c>
      <c r="F602" s="75" t="s">
        <v>859</v>
      </c>
      <c r="G602" s="73" t="n">
        <f aca="false">E602*1.1</f>
        <v>115.5</v>
      </c>
      <c r="H602" s="3" t="s">
        <v>907</v>
      </c>
      <c r="I602" s="6" t="str">
        <f aca="false">CONCATENATE(A602,",",D602)</f>
        <v>CHE 354,ED3-CHE</v>
      </c>
      <c r="J602" s="12"/>
    </row>
    <row r="603" customFormat="false" ht="15" hidden="false" customHeight="false" outlineLevel="0" collapsed="false">
      <c r="A603" s="70" t="s">
        <v>469</v>
      </c>
      <c r="B603" s="71" t="str">
        <v>STRUCTURAL DYNAMICS</v>
      </c>
      <c r="C603" s="74" t="str">
        <v>Mark Adom-Asamoah</v>
      </c>
      <c r="D603" s="70" t="s">
        <v>103</v>
      </c>
      <c r="E603" s="72" t="n">
        <v>95</v>
      </c>
      <c r="F603" s="75" t="s">
        <v>659</v>
      </c>
      <c r="G603" s="73" t="n">
        <f aca="false">E603*1.1</f>
        <v>104.5</v>
      </c>
      <c r="H603" s="3" t="s">
        <v>908</v>
      </c>
      <c r="I603" s="29" t="str">
        <f aca="false">CONCATENATE(A603,",",D603)</f>
        <v>CE 456,ED4-CE</v>
      </c>
      <c r="J603" s="12"/>
    </row>
    <row r="604" customFormat="false" ht="15" hidden="false" customHeight="false" outlineLevel="0" collapsed="false">
      <c r="A604" s="70" t="s">
        <v>525</v>
      </c>
      <c r="B604" s="71" t="str">
        <v>PROCESS CONTROL AND SIMULATION</v>
      </c>
      <c r="C604" s="71" t="str">
        <v>Baah-Ennumh Emmanuel Kwaku</v>
      </c>
      <c r="D604" s="70" t="s">
        <v>48</v>
      </c>
      <c r="E604" s="72" t="n">
        <v>114</v>
      </c>
      <c r="F604" s="84" t="s">
        <v>909</v>
      </c>
      <c r="G604" s="73" t="n">
        <f aca="false">E604*1.1</f>
        <v>125.4</v>
      </c>
      <c r="H604" s="26" t="s">
        <v>910</v>
      </c>
      <c r="I604" s="6" t="str">
        <f aca="false">CONCATENATE(A604,",",D604)</f>
        <v>CHE 456,ED4-CHE</v>
      </c>
      <c r="J604" s="12"/>
    </row>
    <row r="605" customFormat="false" ht="15" hidden="false" customHeight="false" outlineLevel="0" collapsed="false">
      <c r="A605" s="70" t="s">
        <v>525</v>
      </c>
      <c r="B605" s="71" t="str">
        <v>PROCESS CONTROL AND SIMULATION</v>
      </c>
      <c r="C605" s="71" t="str">
        <v>Baidoo Martina Francisca</v>
      </c>
      <c r="D605" s="70" t="s">
        <v>44</v>
      </c>
      <c r="E605" s="72" t="n">
        <v>55</v>
      </c>
      <c r="F605" s="84" t="s">
        <v>541</v>
      </c>
      <c r="G605" s="73" t="n">
        <f aca="false">E605*1.1</f>
        <v>60.5</v>
      </c>
      <c r="H605" s="98" t="n">
        <v>55</v>
      </c>
      <c r="I605" s="6" t="str">
        <f aca="false">CONCATENATE(A605,",",D605)</f>
        <v>CHE 456,ED4-PCE</v>
      </c>
      <c r="J605" s="12"/>
    </row>
    <row r="606" customFormat="false" ht="15" hidden="false" customHeight="false" outlineLevel="0" collapsed="false">
      <c r="A606" s="70" t="s">
        <v>477</v>
      </c>
      <c r="B606" s="71" t="str">
        <v>CROP STORAGE AND STORAGE STRUCTURES</v>
      </c>
      <c r="C606" s="71" t="str">
        <v>Bart Plange Ato</v>
      </c>
      <c r="D606" s="70" t="s">
        <v>50</v>
      </c>
      <c r="E606" s="72" t="n">
        <v>103</v>
      </c>
      <c r="F606" s="75" t="s">
        <v>665</v>
      </c>
      <c r="G606" s="73" t="n">
        <f aca="false">E606*1.1</f>
        <v>113.3</v>
      </c>
      <c r="H606" s="3" t="s">
        <v>911</v>
      </c>
      <c r="I606" s="6" t="str">
        <f aca="false">CONCATENATE(A606,",",D606)</f>
        <v>AE 464,ED4-AE</v>
      </c>
      <c r="J606" s="12"/>
    </row>
    <row r="607" customFormat="false" ht="15" hidden="false" customHeight="false" outlineLevel="0" collapsed="false">
      <c r="A607" s="76"/>
      <c r="B607" s="76"/>
      <c r="C607" s="67"/>
      <c r="D607" s="71" t="s">
        <v>478</v>
      </c>
      <c r="E607" s="77" t="n">
        <f aca="false">SUM(E598:E606)</f>
        <v>1204</v>
      </c>
      <c r="F607" s="78"/>
      <c r="G607" s="79"/>
      <c r="I607" s="9" t="s">
        <v>479</v>
      </c>
      <c r="J607" s="12"/>
    </row>
    <row r="608" customFormat="false" ht="15" hidden="false" customHeight="false" outlineLevel="0" collapsed="false">
      <c r="A608" s="65" t="s">
        <v>480</v>
      </c>
      <c r="B608" s="65"/>
      <c r="C608" s="65"/>
      <c r="D608" s="65"/>
      <c r="E608" s="65"/>
      <c r="F608" s="65"/>
      <c r="G608" s="65"/>
      <c r="I608" s="9" t="str">
        <f aca="false">A608</f>
        <v>Thursday, 3 September 2026</v>
      </c>
      <c r="J608" s="12"/>
    </row>
    <row r="609" customFormat="false" ht="15" hidden="false" customHeight="false" outlineLevel="0" collapsed="false">
      <c r="A609" s="65" t="s">
        <v>2</v>
      </c>
      <c r="B609" s="65"/>
      <c r="C609" s="65"/>
      <c r="D609" s="65"/>
      <c r="E609" s="65"/>
      <c r="F609" s="65"/>
      <c r="G609" s="65"/>
      <c r="I609" s="9" t="str">
        <f aca="false">A609</f>
        <v>Session, 1 (8:30 AM - 10:30 AM)</v>
      </c>
      <c r="J609" s="12"/>
    </row>
    <row r="610" customFormat="false" ht="15" hidden="false" customHeight="false" outlineLevel="0" collapsed="false">
      <c r="A610" s="66" t="s">
        <v>4</v>
      </c>
      <c r="B610" s="66" t="s">
        <v>5</v>
      </c>
      <c r="C610" s="67" t="s">
        <v>6</v>
      </c>
      <c r="D610" s="66" t="s">
        <v>7</v>
      </c>
      <c r="E610" s="68" t="s">
        <v>8</v>
      </c>
      <c r="F610" s="67" t="s">
        <v>9</v>
      </c>
      <c r="G610" s="69" t="s">
        <v>10</v>
      </c>
      <c r="I610" s="9" t="s">
        <v>31</v>
      </c>
      <c r="J610" s="12"/>
    </row>
    <row r="611" customFormat="false" ht="15" hidden="false" customHeight="false" outlineLevel="0" collapsed="false">
      <c r="A611" s="70" t="s">
        <v>482</v>
      </c>
      <c r="B611" s="74" t="str">
        <f aca="false" t="array" ref="B611:B620">IFERROR(VLOOKUP(I611:I620,Lectures_1!A2:F534,2,FALSE()),0)</f>
        <v>LOGISTICS AND SUPPLY CHAIN ENGINEERING</v>
      </c>
      <c r="C611" s="71" t="str">
        <f aca="false" t="array" ref="C611:C620">IFERROR(VLOOKUP(I611:I620,Lectures_1!A2:F534,3,FALSE()),0)</f>
        <v>Asiedu Charlotte</v>
      </c>
      <c r="D611" s="70" t="s">
        <v>121</v>
      </c>
      <c r="E611" s="72" t="n">
        <f aca="false" t="array" ref="E611:E620">IFERROR(VLOOKUP(I611:I620,Lectures_1!A2:F534,4,FALSE()),0)</f>
        <v>70</v>
      </c>
      <c r="F611" s="70" t="s">
        <v>603</v>
      </c>
      <c r="G611" s="73" t="n">
        <f aca="false">E611*1.1</f>
        <v>77</v>
      </c>
      <c r="H611" s="3" t="s">
        <v>912</v>
      </c>
      <c r="I611" s="6" t="str">
        <f aca="false">CONCATENATE(A611,",",D611)</f>
        <v>IE 354,ED3-IND</v>
      </c>
      <c r="J611" s="12"/>
    </row>
    <row r="612" customFormat="false" ht="15" hidden="false" customHeight="false" outlineLevel="0" collapsed="false">
      <c r="A612" s="70" t="s">
        <v>483</v>
      </c>
      <c r="B612" s="71" t="str">
        <v>AEROSPACE DESIGN PROJECT I</v>
      </c>
      <c r="C612" s="74" t="str">
        <v>Afriyie Nyarko Frank Kwabena</v>
      </c>
      <c r="D612" s="70" t="s">
        <v>191</v>
      </c>
      <c r="E612" s="72" t="n">
        <v>70</v>
      </c>
      <c r="F612" s="75" t="s">
        <v>571</v>
      </c>
      <c r="G612" s="73" t="n">
        <f aca="false">E612*1.1</f>
        <v>77</v>
      </c>
      <c r="H612" s="3" t="s">
        <v>912</v>
      </c>
      <c r="I612" s="6" t="str">
        <f aca="false">CONCATENATE(A612,",",D612)</f>
        <v>AERO 174,ED1-AERO</v>
      </c>
      <c r="J612" s="12"/>
    </row>
    <row r="613" customFormat="false" ht="15" hidden="false" customHeight="false" outlineLevel="0" collapsed="false">
      <c r="A613" s="70" t="s">
        <v>484</v>
      </c>
      <c r="B613" s="74" t="str">
        <v>FIRST YEAR DESIGN PROJECT</v>
      </c>
      <c r="C613" s="71" t="str">
        <v>Afriyie Nyarko Frank Kwabena</v>
      </c>
      <c r="D613" s="70" t="s">
        <v>111</v>
      </c>
      <c r="E613" s="72" t="n">
        <v>83</v>
      </c>
      <c r="F613" s="75" t="s">
        <v>850</v>
      </c>
      <c r="G613" s="73" t="n">
        <f aca="false">E613*1.1</f>
        <v>91.3</v>
      </c>
      <c r="H613" s="3" t="s">
        <v>913</v>
      </c>
      <c r="I613" s="6" t="str">
        <f aca="false">CONCATENATE(A613,",",D613)</f>
        <v>IE 174,ED1-IND</v>
      </c>
      <c r="J613" s="12"/>
    </row>
    <row r="614" customFormat="false" ht="15" hidden="false" customHeight="false" outlineLevel="0" collapsed="false">
      <c r="A614" s="70" t="s">
        <v>485</v>
      </c>
      <c r="B614" s="74" t="str">
        <v>MARINE ENGINEERING DESIGN PROJECT I</v>
      </c>
      <c r="C614" s="71" t="str">
        <v>Afriyie Nyarko Frank Kwabena</v>
      </c>
      <c r="D614" s="70" t="s">
        <v>112</v>
      </c>
      <c r="E614" s="91" t="n">
        <v>46</v>
      </c>
      <c r="F614" s="75" t="s">
        <v>622</v>
      </c>
      <c r="G614" s="73" t="n">
        <f aca="false">E614*1.1</f>
        <v>50.6</v>
      </c>
      <c r="H614" s="3" t="s">
        <v>914</v>
      </c>
      <c r="I614" s="6" t="str">
        <f aca="false">CONCATENATE(A614,",",D614)</f>
        <v>MME 174,ED1-MARI</v>
      </c>
      <c r="J614" s="12"/>
    </row>
    <row r="615" customFormat="false" ht="17.9" hidden="false" customHeight="false" outlineLevel="0" collapsed="false">
      <c r="A615" s="70" t="s">
        <v>486</v>
      </c>
      <c r="B615" s="74" t="str">
        <v>PRODUCT DESIGN AND MANUFACTURING</v>
      </c>
      <c r="C615" s="74" t="str">
        <v>Afriyie Nyarko Frank Kwabena</v>
      </c>
      <c r="D615" s="70" t="s">
        <v>161</v>
      </c>
      <c r="E615" s="72" t="n">
        <v>225</v>
      </c>
      <c r="F615" s="99" t="s">
        <v>687</v>
      </c>
      <c r="G615" s="73" t="n">
        <f aca="false">E615*1.1</f>
        <v>247.5</v>
      </c>
      <c r="H615" s="3" t="s">
        <v>876</v>
      </c>
      <c r="I615" s="6" t="str">
        <f aca="false">CONCATENATE(A615,",",D615)</f>
        <v>ME 174,ED1-ME</v>
      </c>
      <c r="J615" s="12"/>
    </row>
    <row r="616" customFormat="false" ht="15" hidden="false" customHeight="false" outlineLevel="0" collapsed="false">
      <c r="A616" s="70" t="s">
        <v>486</v>
      </c>
      <c r="B616" s="74" t="str">
        <v>PRODUCT DESIGN AND MANUFACTURING</v>
      </c>
      <c r="C616" s="74" t="str">
        <v>Afriyie Nyarko Frank Kwabena</v>
      </c>
      <c r="D616" s="70" t="s">
        <v>162</v>
      </c>
      <c r="E616" s="72" t="n">
        <v>85</v>
      </c>
      <c r="F616" s="75" t="s">
        <v>850</v>
      </c>
      <c r="G616" s="73" t="n">
        <f aca="false">E616*1.1</f>
        <v>93.5</v>
      </c>
      <c r="H616" s="3" t="s">
        <v>851</v>
      </c>
      <c r="I616" s="6" t="str">
        <f aca="false">CONCATENATE(A616,",",D616)</f>
        <v>ME 174,ED1-AUTO</v>
      </c>
      <c r="J616" s="12"/>
    </row>
    <row r="617" customFormat="false" ht="15" hidden="false" customHeight="false" outlineLevel="0" collapsed="false">
      <c r="A617" s="70" t="s">
        <v>488</v>
      </c>
      <c r="B617" s="71" t="str">
        <v>PHYSICAL CHEMISTRY FOR ENGINEERS</v>
      </c>
      <c r="C617" s="74" t="str">
        <v>Boakye Patrick</v>
      </c>
      <c r="D617" s="70" t="s">
        <v>82</v>
      </c>
      <c r="E617" s="72" t="n">
        <v>130</v>
      </c>
      <c r="F617" s="75" t="s">
        <v>533</v>
      </c>
      <c r="G617" s="73" t="n">
        <f aca="false">E617*1.1</f>
        <v>143</v>
      </c>
      <c r="H617" s="3" t="s">
        <v>858</v>
      </c>
      <c r="I617" s="6" t="str">
        <f aca="false">CONCATENATE(A617,",",D617)</f>
        <v>PE 156,ED1-PE</v>
      </c>
      <c r="J617" s="12"/>
    </row>
    <row r="618" customFormat="false" ht="15" hidden="false" customHeight="false" outlineLevel="0" collapsed="false">
      <c r="A618" s="70" t="s">
        <v>302</v>
      </c>
      <c r="B618" s="71" t="str">
        <v>PHYSICAL CHEMISTRY FOR ENGINEERS</v>
      </c>
      <c r="C618" s="71" t="str">
        <v>Boakye Patrick</v>
      </c>
      <c r="D618" s="70" t="s">
        <v>81</v>
      </c>
      <c r="E618" s="72" t="n">
        <v>56</v>
      </c>
      <c r="F618" s="75" t="s">
        <v>915</v>
      </c>
      <c r="G618" s="73" t="n">
        <f aca="false">E618*1.1</f>
        <v>61.6</v>
      </c>
      <c r="H618" s="3" t="s">
        <v>916</v>
      </c>
      <c r="I618" s="6" t="str">
        <f aca="false">CONCATENATE(A618,",",D618)</f>
        <v>CHE 156,ED1-PCE</v>
      </c>
      <c r="J618" s="12"/>
    </row>
    <row r="619" customFormat="false" ht="15" hidden="false" customHeight="false" outlineLevel="0" collapsed="false">
      <c r="A619" s="70" t="s">
        <v>489</v>
      </c>
      <c r="B619" s="71" t="str">
        <v>LARGE SCALE SURVEYING</v>
      </c>
      <c r="C619" s="71" t="str">
        <v>Dadzie Isaac</v>
      </c>
      <c r="D619" s="70" t="s">
        <v>56</v>
      </c>
      <c r="E619" s="72" t="n">
        <v>250</v>
      </c>
      <c r="F619" s="75" t="s">
        <v>854</v>
      </c>
      <c r="G619" s="73" t="n">
        <f aca="false">E619*1.1</f>
        <v>275</v>
      </c>
      <c r="H619" s="3" t="s">
        <v>894</v>
      </c>
      <c r="I619" s="6" t="str">
        <f aca="false">CONCATENATE(A619,",",D619)</f>
        <v>GE 282,ED2-CE</v>
      </c>
      <c r="J619" s="12"/>
    </row>
    <row r="620" customFormat="false" ht="15" hidden="false" customHeight="false" outlineLevel="0" collapsed="false">
      <c r="A620" s="70" t="s">
        <v>489</v>
      </c>
      <c r="B620" s="71" t="str">
        <v>LARGE SCALE SURVEYING</v>
      </c>
      <c r="C620" s="71" t="str">
        <v>Dadzie Isaac</v>
      </c>
      <c r="D620" s="70" t="s">
        <v>55</v>
      </c>
      <c r="E620" s="72" t="n">
        <v>150</v>
      </c>
      <c r="F620" s="75" t="s">
        <v>533</v>
      </c>
      <c r="G620" s="73" t="n">
        <f aca="false">E620*1.1</f>
        <v>165</v>
      </c>
      <c r="H620" s="3" t="s">
        <v>681</v>
      </c>
      <c r="I620" s="6" t="str">
        <f aca="false">CONCATENATE(A620,",",D620)</f>
        <v>GE 282,ED2-GEOL</v>
      </c>
      <c r="J620" s="12"/>
    </row>
    <row r="621" customFormat="false" ht="15" hidden="false" customHeight="false" outlineLevel="0" collapsed="false">
      <c r="A621" s="76"/>
      <c r="B621" s="76"/>
      <c r="C621" s="67"/>
      <c r="D621" s="71" t="s">
        <v>490</v>
      </c>
      <c r="E621" s="77" t="n">
        <f aca="false">SUM(E611:E620)</f>
        <v>1165</v>
      </c>
      <c r="F621" s="78"/>
      <c r="G621" s="79"/>
      <c r="I621" s="9" t="s">
        <v>491</v>
      </c>
      <c r="J621" s="12"/>
    </row>
    <row r="622" customFormat="false" ht="15" hidden="false" customHeight="false" outlineLevel="0" collapsed="false">
      <c r="A622" s="93"/>
      <c r="B622" s="93"/>
      <c r="C622" s="67"/>
      <c r="D622" s="93"/>
      <c r="E622" s="94"/>
      <c r="F622" s="95"/>
      <c r="G622" s="96"/>
      <c r="J622" s="42"/>
    </row>
    <row r="623" customFormat="false" ht="15" hidden="false" customHeight="false" outlineLevel="0" collapsed="false">
      <c r="A623" s="93"/>
      <c r="B623" s="93"/>
      <c r="C623" s="67"/>
      <c r="D623" s="93"/>
      <c r="E623" s="94"/>
      <c r="F623" s="95"/>
      <c r="G623" s="96"/>
    </row>
    <row r="624" customFormat="false" ht="15" hidden="false" customHeight="false" outlineLevel="0" collapsed="false">
      <c r="A624" s="65" t="s">
        <v>480</v>
      </c>
      <c r="B624" s="65"/>
      <c r="C624" s="65"/>
      <c r="D624" s="65"/>
      <c r="E624" s="65"/>
      <c r="F624" s="65"/>
      <c r="G624" s="65"/>
      <c r="I624" s="9" t="str">
        <f aca="false">A624</f>
        <v>Thursday, 3 September 2026</v>
      </c>
      <c r="J624" s="12"/>
    </row>
    <row r="625" customFormat="false" ht="15" hidden="false" customHeight="false" outlineLevel="0" collapsed="false">
      <c r="A625" s="65" t="s">
        <v>29</v>
      </c>
      <c r="B625" s="65"/>
      <c r="C625" s="65"/>
      <c r="D625" s="65"/>
      <c r="E625" s="65"/>
      <c r="F625" s="65"/>
      <c r="G625" s="65"/>
      <c r="I625" s="9" t="str">
        <f aca="false">A625</f>
        <v>Session, 2 (12:00 PM - 2:00 PM)</v>
      </c>
      <c r="J625" s="12"/>
    </row>
    <row r="626" customFormat="false" ht="15" hidden="false" customHeight="false" outlineLevel="0" collapsed="false">
      <c r="A626" s="66" t="s">
        <v>4</v>
      </c>
      <c r="B626" s="66" t="s">
        <v>5</v>
      </c>
      <c r="C626" s="67" t="s">
        <v>6</v>
      </c>
      <c r="D626" s="66" t="s">
        <v>7</v>
      </c>
      <c r="E626" s="68" t="s">
        <v>8</v>
      </c>
      <c r="F626" s="67" t="s">
        <v>9</v>
      </c>
      <c r="G626" s="69" t="s">
        <v>10</v>
      </c>
      <c r="I626" s="9" t="s">
        <v>31</v>
      </c>
      <c r="J626" s="12"/>
    </row>
    <row r="627" customFormat="false" ht="15" hidden="false" customHeight="false" outlineLevel="0" collapsed="false">
      <c r="A627" s="70" t="s">
        <v>492</v>
      </c>
      <c r="B627" s="71" t="str">
        <f aca="false" t="array" ref="B627:B639">IFERROR(VLOOKUP(I627:I639,Lectures_1!A2:F534,2,FALSE()),0)</f>
        <v>INTRODUCTION TO PROGRAMMING - I</v>
      </c>
      <c r="C627" s="71" t="str">
        <f aca="false" t="array" ref="C627:C639">IFERROR(VLOOKUP(I627:I639,Lectures_1!A2:F534,3,FALSE()),0)</f>
        <v>Agyemang Justice Owusu</v>
      </c>
      <c r="D627" s="70" t="s">
        <v>91</v>
      </c>
      <c r="E627" s="72" t="n">
        <f aca="false" t="array" ref="E627:E639">IFERROR(VLOOKUP(I627:I639,Lectures_1!A2:F534,4,FALSE()),0)</f>
        <v>130</v>
      </c>
      <c r="F627" s="83" t="s">
        <v>533</v>
      </c>
      <c r="G627" s="73" t="n">
        <f aca="false">E627*1.1</f>
        <v>143</v>
      </c>
      <c r="H627" s="50" t="s">
        <v>917</v>
      </c>
      <c r="I627" s="6" t="str">
        <f aca="false">CONCATENATE(A627,",",D627)</f>
        <v>TE 158,ED1-TEL</v>
      </c>
      <c r="J627" s="12"/>
    </row>
    <row r="628" customFormat="false" ht="15" hidden="false" customHeight="false" outlineLevel="0" collapsed="false">
      <c r="A628" s="70" t="s">
        <v>493</v>
      </c>
      <c r="B628" s="74" t="str">
        <v>AUTOMOTIVE ELECTRICAL SYSTEMS AND ELECTRONICS</v>
      </c>
      <c r="C628" s="74" t="str">
        <v>Ayetor Godwin Kafui Kwesi</v>
      </c>
      <c r="D628" s="70" t="s">
        <v>40</v>
      </c>
      <c r="E628" s="72" t="n">
        <v>82</v>
      </c>
      <c r="F628" s="70" t="s">
        <v>546</v>
      </c>
      <c r="G628" s="73" t="n">
        <f aca="false">E628*1.1</f>
        <v>90.2</v>
      </c>
      <c r="H628" s="3" t="n">
        <v>82</v>
      </c>
      <c r="I628" s="6" t="str">
        <f aca="false">CONCATENATE(A628,",",D628)</f>
        <v>AME 252,ED2-AUTO</v>
      </c>
      <c r="J628" s="12"/>
    </row>
    <row r="629" customFormat="false" ht="15" hidden="false" customHeight="false" outlineLevel="0" collapsed="false">
      <c r="A629" s="70" t="s">
        <v>494</v>
      </c>
      <c r="B629" s="71" t="str">
        <v>RESERVOIR FLUID PROPERTIES</v>
      </c>
      <c r="C629" s="71" t="str">
        <v>Casper Daniel Adenutsi</v>
      </c>
      <c r="D629" s="70" t="s">
        <v>93</v>
      </c>
      <c r="E629" s="72" t="n">
        <v>95</v>
      </c>
      <c r="F629" s="75" t="s">
        <v>571</v>
      </c>
      <c r="G629" s="73" t="n">
        <f aca="false">E629*1.1</f>
        <v>104.5</v>
      </c>
      <c r="H629" s="3" t="s">
        <v>856</v>
      </c>
      <c r="I629" s="6" t="str">
        <f aca="false">CONCATENATE(A629,",",D629)</f>
        <v>PE 260,ED2-PE</v>
      </c>
      <c r="J629" s="12"/>
    </row>
    <row r="630" customFormat="false" ht="15" hidden="false" customHeight="false" outlineLevel="0" collapsed="false">
      <c r="A630" s="70" t="s">
        <v>496</v>
      </c>
      <c r="B630" s="66" t="str">
        <v>KINETICS AND REACTIONS ENGINEERING</v>
      </c>
      <c r="C630" s="71" t="str">
        <v>Augustine Ntiamoah</v>
      </c>
      <c r="D630" s="70" t="s">
        <v>63</v>
      </c>
      <c r="E630" s="72" t="n">
        <v>53</v>
      </c>
      <c r="F630" s="84" t="s">
        <v>541</v>
      </c>
      <c r="G630" s="73" t="n">
        <f aca="false">E630*1.1</f>
        <v>58.3</v>
      </c>
      <c r="H630" s="27" t="n">
        <v>53</v>
      </c>
      <c r="I630" s="6" t="str">
        <f aca="false">CONCATENATE(A630,",",D630)</f>
        <v>PCE 350,ED3-PCE</v>
      </c>
      <c r="J630" s="12"/>
    </row>
    <row r="631" customFormat="false" ht="15" hidden="false" customHeight="false" outlineLevel="0" collapsed="false">
      <c r="A631" s="70" t="s">
        <v>497</v>
      </c>
      <c r="B631" s="71" t="str">
        <v>MINING PRINCIPLES AND SYSTEMS</v>
      </c>
      <c r="C631" s="71" t="str">
        <v>Owusu-Sarpong Seth</v>
      </c>
      <c r="D631" s="70" t="s">
        <v>154</v>
      </c>
      <c r="E631" s="72" t="n">
        <v>154</v>
      </c>
      <c r="F631" s="75" t="s">
        <v>693</v>
      </c>
      <c r="G631" s="73" t="n">
        <f aca="false">E631*1.1</f>
        <v>169.4</v>
      </c>
      <c r="H631" s="3" t="s">
        <v>918</v>
      </c>
      <c r="I631" s="6" t="str">
        <f aca="false">CONCATENATE(A631,",",D631)</f>
        <v>GED 342,ED3-GEOL</v>
      </c>
      <c r="J631" s="12"/>
    </row>
    <row r="632" customFormat="false" ht="15" hidden="false" customHeight="false" outlineLevel="0" collapsed="false">
      <c r="A632" s="70" t="s">
        <v>498</v>
      </c>
      <c r="B632" s="74" t="str">
        <v>RESEARCH METHODS FOR ENGINEERS</v>
      </c>
      <c r="C632" s="71" t="str">
        <v>Amponsah William</v>
      </c>
      <c r="D632" s="70" t="s">
        <v>88</v>
      </c>
      <c r="E632" s="72" t="n">
        <v>101</v>
      </c>
      <c r="F632" s="75" t="s">
        <v>582</v>
      </c>
      <c r="G632" s="73" t="n">
        <f aca="false">E632*1.1</f>
        <v>111.1</v>
      </c>
      <c r="H632" s="3" t="s">
        <v>737</v>
      </c>
      <c r="I632" s="6" t="str">
        <f aca="false">CONCATENATE(A632,",",D632)</f>
        <v>AE 362,ED3-AE</v>
      </c>
      <c r="J632" s="12"/>
    </row>
    <row r="633" customFormat="false" ht="15" hidden="false" customHeight="false" outlineLevel="0" collapsed="false">
      <c r="A633" s="70" t="s">
        <v>499</v>
      </c>
      <c r="B633" s="74" t="str">
        <v>NUMERICAL METHODS FOR ENGINEERS</v>
      </c>
      <c r="C633" s="74" t="str">
        <v>Nartey Martinson Addo</v>
      </c>
      <c r="D633" s="70" t="s">
        <v>142</v>
      </c>
      <c r="E633" s="72" t="n">
        <v>87</v>
      </c>
      <c r="F633" s="70" t="s">
        <v>919</v>
      </c>
      <c r="G633" s="73" t="n">
        <f aca="false">E633*1.1</f>
        <v>95.7</v>
      </c>
      <c r="H633" s="3" t="s">
        <v>920</v>
      </c>
      <c r="I633" s="6" t="str">
        <f aca="false">CONCATENATE(A633,",",D633)</f>
        <v>MSE 358,ED3-METE</v>
      </c>
      <c r="J633" s="12"/>
    </row>
    <row r="634" customFormat="false" ht="15" hidden="false" customHeight="false" outlineLevel="0" collapsed="false">
      <c r="A634" s="70" t="s">
        <v>499</v>
      </c>
      <c r="B634" s="74" t="str">
        <v>NUMERICAL METHODS FOR ENGINEERS</v>
      </c>
      <c r="C634" s="74" t="str">
        <v>Nartey Martinson Addo</v>
      </c>
      <c r="D634" s="70" t="s">
        <v>140</v>
      </c>
      <c r="E634" s="72" t="n">
        <v>85</v>
      </c>
      <c r="F634" s="70" t="s">
        <v>921</v>
      </c>
      <c r="G634" s="73" t="n">
        <f aca="false">E634*1.1</f>
        <v>93.5</v>
      </c>
      <c r="H634" s="3" t="s">
        <v>922</v>
      </c>
      <c r="I634" s="6" t="str">
        <f aca="false">CONCATENATE(A634,",",D634)</f>
        <v>MSE 358,ED3-MSE</v>
      </c>
      <c r="J634" s="12"/>
    </row>
    <row r="635" customFormat="false" ht="15" hidden="false" customHeight="false" outlineLevel="0" collapsed="false">
      <c r="A635" s="70" t="s">
        <v>511</v>
      </c>
      <c r="B635" s="74" t="str">
        <v>INTRODUCTION TO POLYMERIC MATERIALS</v>
      </c>
      <c r="C635" s="71" t="str">
        <v>Asare Eric Kwame Anokye</v>
      </c>
      <c r="D635" s="70" t="s">
        <v>210</v>
      </c>
      <c r="E635" s="72" t="n">
        <v>83</v>
      </c>
      <c r="F635" s="75" t="s">
        <v>567</v>
      </c>
      <c r="G635" s="73" t="n">
        <f aca="false">E635*1.1</f>
        <v>91.3</v>
      </c>
      <c r="H635" s="3" t="s">
        <v>923</v>
      </c>
      <c r="I635" s="6" t="str">
        <f aca="false">CONCATENATE(A635,",",D635)</f>
        <v>MSE 256,ED2-MSE</v>
      </c>
      <c r="J635" s="12"/>
    </row>
    <row r="636" customFormat="false" ht="15" hidden="false" customHeight="false" outlineLevel="0" collapsed="false">
      <c r="A636" s="70" t="s">
        <v>509</v>
      </c>
      <c r="B636" s="71" t="str">
        <v>GEOSTATISTICS</v>
      </c>
      <c r="C636" s="71" t="str">
        <v>Mustapha Hameed</v>
      </c>
      <c r="D636" s="70" t="s">
        <v>18</v>
      </c>
      <c r="E636" s="72" t="n">
        <v>80</v>
      </c>
      <c r="F636" s="75" t="s">
        <v>685</v>
      </c>
      <c r="G636" s="73" t="n">
        <f aca="false">E636*1.1</f>
        <v>88</v>
      </c>
      <c r="H636" s="3" t="s">
        <v>561</v>
      </c>
      <c r="I636" s="6" t="str">
        <f aca="false">CONCATENATE(A636,",",D636)</f>
        <v>PE 362,ED3-PE</v>
      </c>
      <c r="J636" s="12"/>
    </row>
    <row r="637" customFormat="false" ht="15" hidden="false" customHeight="false" outlineLevel="0" collapsed="false">
      <c r="A637" s="70" t="s">
        <v>487</v>
      </c>
      <c r="B637" s="74" t="str">
        <v>ORE BENEFICIATION</v>
      </c>
      <c r="C637" s="74" t="str">
        <v>Koomson Bennetta</v>
      </c>
      <c r="D637" s="70" t="s">
        <v>101</v>
      </c>
      <c r="E637" s="72" t="n">
        <v>57</v>
      </c>
      <c r="F637" s="84" t="s">
        <v>924</v>
      </c>
      <c r="G637" s="73" t="n">
        <f aca="false">E637*1.1</f>
        <v>62.7</v>
      </c>
      <c r="H637" s="26" t="s">
        <v>925</v>
      </c>
      <c r="I637" s="6" t="str">
        <f aca="false">CONCATENATE(A637,",",D637)</f>
        <v>METE 254,ED2-METE</v>
      </c>
      <c r="J637" s="12"/>
    </row>
    <row r="638" customFormat="false" ht="14.25" hidden="false" customHeight="true" outlineLevel="0" collapsed="false">
      <c r="A638" s="70" t="s">
        <v>500</v>
      </c>
      <c r="B638" s="74" t="str">
        <v>ENVIRONMENTAL SCIENCE</v>
      </c>
      <c r="C638" s="71" t="str">
        <v>Koomson Bennetta</v>
      </c>
      <c r="D638" s="70" t="s">
        <v>114</v>
      </c>
      <c r="E638" s="72" t="n">
        <v>75</v>
      </c>
      <c r="F638" s="75" t="s">
        <v>926</v>
      </c>
      <c r="G638" s="73" t="n">
        <f aca="false">E638*1.1</f>
        <v>82.5</v>
      </c>
      <c r="H638" s="3" t="s">
        <v>927</v>
      </c>
      <c r="I638" s="6" t="str">
        <f aca="false">CONCATENATE(A638,",",D638)</f>
        <v>METE 154,ED1-METE</v>
      </c>
      <c r="J638" s="12"/>
    </row>
    <row r="639" customFormat="false" ht="15" hidden="false" customHeight="false" outlineLevel="0" collapsed="false">
      <c r="A639" s="70" t="s">
        <v>500</v>
      </c>
      <c r="B639" s="74" t="str">
        <v>ENVIRONMENTAL SCIENCE</v>
      </c>
      <c r="C639" s="71" t="str">
        <v>Koomson Bennetta</v>
      </c>
      <c r="D639" s="70" t="s">
        <v>115</v>
      </c>
      <c r="E639" s="72" t="n">
        <v>100</v>
      </c>
      <c r="F639" s="75" t="s">
        <v>928</v>
      </c>
      <c r="G639" s="73" t="n">
        <f aca="false">E639*1.1</f>
        <v>110</v>
      </c>
      <c r="H639" s="3" t="s">
        <v>929</v>
      </c>
      <c r="I639" s="6" t="str">
        <f aca="false">CONCATENATE(A639,",",D639)</f>
        <v>METE 154,ED1-MSE</v>
      </c>
      <c r="J639" s="12"/>
    </row>
    <row r="640" customFormat="false" ht="15" hidden="false" customHeight="false" outlineLevel="0" collapsed="false">
      <c r="A640" s="76"/>
      <c r="B640" s="76"/>
      <c r="C640" s="67"/>
      <c r="D640" s="71" t="s">
        <v>501</v>
      </c>
      <c r="E640" s="77" t="n">
        <f aca="false">SUM(E627:E639)</f>
        <v>1182</v>
      </c>
      <c r="F640" s="78"/>
      <c r="G640" s="79"/>
      <c r="I640" s="9"/>
      <c r="J640" s="12"/>
    </row>
    <row r="641" customFormat="false" ht="15" hidden="false" customHeight="false" outlineLevel="0" collapsed="false">
      <c r="A641" s="93"/>
      <c r="B641" s="93"/>
      <c r="C641" s="67"/>
      <c r="D641" s="93"/>
      <c r="E641" s="94"/>
      <c r="F641" s="95"/>
      <c r="G641" s="96"/>
    </row>
    <row r="642" customFormat="false" ht="15" hidden="false" customHeight="false" outlineLevel="0" collapsed="false">
      <c r="A642" s="65" t="s">
        <v>480</v>
      </c>
      <c r="B642" s="65"/>
      <c r="C642" s="65"/>
      <c r="D642" s="65"/>
      <c r="E642" s="65"/>
      <c r="F642" s="65"/>
      <c r="G642" s="65"/>
      <c r="I642" s="9" t="str">
        <f aca="false">A642</f>
        <v>Thursday, 3 September 2026</v>
      </c>
      <c r="J642" s="12"/>
    </row>
    <row r="643" customFormat="false" ht="15" hidden="false" customHeight="false" outlineLevel="0" collapsed="false">
      <c r="A643" s="65" t="s">
        <v>59</v>
      </c>
      <c r="B643" s="65"/>
      <c r="C643" s="65"/>
      <c r="D643" s="65"/>
      <c r="E643" s="65"/>
      <c r="F643" s="65"/>
      <c r="G643" s="65"/>
      <c r="I643" s="9" t="str">
        <f aca="false">A643</f>
        <v>Session, 3 (3:00 PM - 5:00 PM)</v>
      </c>
      <c r="J643" s="12"/>
    </row>
    <row r="644" customFormat="false" ht="15" hidden="false" customHeight="false" outlineLevel="0" collapsed="false">
      <c r="A644" s="66" t="s">
        <v>4</v>
      </c>
      <c r="B644" s="66" t="s">
        <v>5</v>
      </c>
      <c r="C644" s="67" t="s">
        <v>6</v>
      </c>
      <c r="D644" s="66" t="s">
        <v>7</v>
      </c>
      <c r="E644" s="68" t="s">
        <v>8</v>
      </c>
      <c r="F644" s="67" t="s">
        <v>9</v>
      </c>
      <c r="G644" s="69" t="s">
        <v>10</v>
      </c>
      <c r="H644" s="27"/>
      <c r="I644" s="9" t="s">
        <v>31</v>
      </c>
      <c r="J644" s="12"/>
    </row>
    <row r="645" customFormat="false" ht="15" hidden="false" customHeight="false" outlineLevel="0" collapsed="false">
      <c r="A645" s="70" t="s">
        <v>502</v>
      </c>
      <c r="B645" s="71" t="str">
        <f aca="false" t="array" ref="B645:B657">IFERROR(VLOOKUP(I645:I657,Lectures_1!A2:F534,2,FALSE()),0)</f>
        <v>WELL COMPLETION AND STIMULATION</v>
      </c>
      <c r="C645" s="71" t="str">
        <f aca="false" t="array" ref="C645:C657">IFERROR(VLOOKUP(I645:I657,Lectures_1!A2:F534,3,FALSE()),0)</f>
        <v>Erzuah Samuel</v>
      </c>
      <c r="D645" s="70" t="s">
        <v>46</v>
      </c>
      <c r="E645" s="72" t="n">
        <f aca="false" t="array" ref="E645:E657">IFERROR(VLOOKUP(I645:I657,Lectures_1!A2:F534,4,FALSE()),0)</f>
        <v>99</v>
      </c>
      <c r="F645" s="84" t="s">
        <v>582</v>
      </c>
      <c r="G645" s="73" t="n">
        <f aca="false">E645*1.1</f>
        <v>108.9</v>
      </c>
      <c r="H645" s="26" t="s">
        <v>930</v>
      </c>
      <c r="I645" s="6" t="str">
        <f aca="false">CONCATENATE(A645,",",D645)</f>
        <v>PE 456,ED4-PE</v>
      </c>
      <c r="J645" s="12"/>
    </row>
    <row r="646" customFormat="false" ht="15" hidden="false" customHeight="false" outlineLevel="0" collapsed="false">
      <c r="A646" s="70" t="s">
        <v>503</v>
      </c>
      <c r="B646" s="71" t="str">
        <v>BIOMEDICAL OPTICS</v>
      </c>
      <c r="C646" s="71" t="str">
        <v>Kotei Addison Eric Clement</v>
      </c>
      <c r="D646" s="70" t="s">
        <v>65</v>
      </c>
      <c r="E646" s="72" t="n">
        <v>90</v>
      </c>
      <c r="F646" s="84" t="s">
        <v>919</v>
      </c>
      <c r="G646" s="73" t="n">
        <f aca="false">E646*1.1</f>
        <v>99</v>
      </c>
      <c r="H646" s="26" t="s">
        <v>931</v>
      </c>
      <c r="I646" s="6" t="str">
        <f aca="false">CONCATENATE(A646,",",D646)</f>
        <v>BME 374,ED3-BME</v>
      </c>
      <c r="J646" s="12"/>
    </row>
    <row r="647" customFormat="false" ht="15" hidden="false" customHeight="false" outlineLevel="0" collapsed="false">
      <c r="A647" s="70" t="s">
        <v>504</v>
      </c>
      <c r="B647" s="71" t="str">
        <v>INTRODUCTION TO VLSI</v>
      </c>
      <c r="C647" s="74" t="str">
        <v>Agbemenu Andrew Selasi</v>
      </c>
      <c r="D647" s="70" t="s">
        <v>144</v>
      </c>
      <c r="E647" s="72" t="n">
        <v>15</v>
      </c>
      <c r="F647" s="75" t="s">
        <v>932</v>
      </c>
      <c r="G647" s="73" t="n">
        <f aca="false">E647*1.1</f>
        <v>16.5</v>
      </c>
      <c r="H647" s="3" t="n">
        <v>15</v>
      </c>
      <c r="I647" s="6" t="str">
        <f aca="false">CONCATENATE(A647,",",D647)</f>
        <v>COE 486,ED4-EE</v>
      </c>
      <c r="J647" s="12"/>
    </row>
    <row r="648" customFormat="false" ht="15" hidden="false" customHeight="false" outlineLevel="0" collapsed="false">
      <c r="A648" s="70" t="s">
        <v>504</v>
      </c>
      <c r="B648" s="71" t="str">
        <v>VLSI CIRCUIT DESIGN</v>
      </c>
      <c r="C648" s="74" t="str">
        <v>Agbemenu Andrew Selasi</v>
      </c>
      <c r="D648" s="70" t="s">
        <v>251</v>
      </c>
      <c r="E648" s="72" t="n">
        <v>20</v>
      </c>
      <c r="F648" s="75" t="s">
        <v>632</v>
      </c>
      <c r="G648" s="73" t="n">
        <f aca="false">E648*1.1</f>
        <v>22</v>
      </c>
      <c r="H648" s="3" t="n">
        <v>20</v>
      </c>
      <c r="I648" s="6" t="str">
        <f aca="false">CONCATENATE(A648,",",D648)</f>
        <v>COE 486,ED4-COE</v>
      </c>
      <c r="J648" s="12"/>
    </row>
    <row r="649" customFormat="false" ht="15" hidden="false" customHeight="false" outlineLevel="0" collapsed="false">
      <c r="A649" s="70" t="s">
        <v>506</v>
      </c>
      <c r="B649" s="71" t="str">
        <v>SHIP OPERATION, REGULATION AND MANAGEMENT</v>
      </c>
      <c r="C649" s="74" t="str">
        <v>Sackey Michael Nii</v>
      </c>
      <c r="D649" s="70" t="s">
        <v>69</v>
      </c>
      <c r="E649" s="72" t="n">
        <v>23</v>
      </c>
      <c r="F649" s="84" t="s">
        <v>863</v>
      </c>
      <c r="G649" s="73" t="n">
        <f aca="false">E649*1.1</f>
        <v>25.3</v>
      </c>
      <c r="H649" s="27" t="n">
        <v>23</v>
      </c>
      <c r="I649" s="6" t="str">
        <f aca="false">CONCATENATE(A649,",",D649)</f>
        <v>MME 492,ED4-MARI</v>
      </c>
      <c r="J649" s="12"/>
    </row>
    <row r="650" customFormat="false" ht="15" hidden="false" customHeight="false" outlineLevel="0" collapsed="false">
      <c r="A650" s="70" t="s">
        <v>326</v>
      </c>
      <c r="B650" s="71" t="str">
        <v>TELECOMMUNICATION POLICY AND REGULATION</v>
      </c>
      <c r="C650" s="74" t="str">
        <v>Kingsford Sarkodie Obeng Kwakye</v>
      </c>
      <c r="D650" s="70" t="s">
        <v>227</v>
      </c>
      <c r="E650" s="72" t="n">
        <v>138</v>
      </c>
      <c r="F650" s="84" t="s">
        <v>533</v>
      </c>
      <c r="G650" s="73" t="n">
        <f aca="false">E650*1.1</f>
        <v>151.8</v>
      </c>
      <c r="H650" s="27" t="s">
        <v>883</v>
      </c>
      <c r="I650" s="6" t="str">
        <f aca="false">CONCATENATE(A650,",",D650)</f>
        <v>TE 452,ED4-TEL</v>
      </c>
      <c r="J650" s="12"/>
    </row>
    <row r="651" customFormat="false" ht="15" hidden="false" customHeight="false" outlineLevel="0" collapsed="false">
      <c r="A651" s="70" t="s">
        <v>508</v>
      </c>
      <c r="B651" s="71" t="str">
        <v>PRODUCTION PLANNING AND CONTROL</v>
      </c>
      <c r="C651" s="74" t="str">
        <v>Dzebre Denis Edem Kwame</v>
      </c>
      <c r="D651" s="70" t="s">
        <v>124</v>
      </c>
      <c r="E651" s="72" t="n">
        <v>69</v>
      </c>
      <c r="F651" s="75" t="s">
        <v>933</v>
      </c>
      <c r="G651" s="73" t="n">
        <f aca="false">E651*1.1</f>
        <v>75.9</v>
      </c>
      <c r="H651" s="3" t="s">
        <v>934</v>
      </c>
      <c r="I651" s="6" t="str">
        <f aca="false">CONCATENATE(A651,",",D651)</f>
        <v>IE 454,ED4-IND</v>
      </c>
      <c r="J651" s="12"/>
    </row>
    <row r="652" customFormat="false" ht="15" hidden="false" customHeight="false" outlineLevel="0" collapsed="false">
      <c r="A652" s="70" t="s">
        <v>176</v>
      </c>
      <c r="B652" s="74" t="str">
        <v>ENGINEERING MANAGEMENT</v>
      </c>
      <c r="C652" s="74" t="str">
        <v>Takyi Gabriel</v>
      </c>
      <c r="D652" s="70" t="s">
        <v>177</v>
      </c>
      <c r="E652" s="72" t="n">
        <v>95</v>
      </c>
      <c r="F652" s="75" t="s">
        <v>919</v>
      </c>
      <c r="G652" s="73" t="n">
        <f aca="false">E652*1.1</f>
        <v>104.5</v>
      </c>
      <c r="H652" s="3" t="s">
        <v>935</v>
      </c>
      <c r="I652" s="6" t="str">
        <f aca="false">CONCATENATE(A652,",",D652)</f>
        <v>GED 464,ED4-GEOL</v>
      </c>
      <c r="J652" s="12"/>
    </row>
    <row r="653" customFormat="false" ht="15" hidden="false" customHeight="false" outlineLevel="0" collapsed="false">
      <c r="A653" s="70" t="s">
        <v>378</v>
      </c>
      <c r="B653" s="74" t="str">
        <v> HIGHWAY ENGINEERING</v>
      </c>
      <c r="C653" s="71" t="str">
        <v>Ababio-Donkor Augustus</v>
      </c>
      <c r="D653" s="70" t="s">
        <v>77</v>
      </c>
      <c r="E653" s="72" t="n">
        <v>122</v>
      </c>
      <c r="F653" s="75" t="s">
        <v>936</v>
      </c>
      <c r="G653" s="73" t="n">
        <f aca="false">E653*1.1</f>
        <v>134.2</v>
      </c>
      <c r="H653" s="3" t="s">
        <v>937</v>
      </c>
      <c r="I653" s="6" t="str">
        <f aca="false">CONCATENATE(A653,",",D653)</f>
        <v>CE 368,ED3-GEOM</v>
      </c>
      <c r="J653" s="12"/>
    </row>
    <row r="654" customFormat="false" ht="15" hidden="false" customHeight="false" outlineLevel="0" collapsed="false">
      <c r="A654" s="70" t="s">
        <v>83</v>
      </c>
      <c r="B654" s="71" t="str">
        <v>HEAT TRANSPORT PROCESSES</v>
      </c>
      <c r="C654" s="74" t="str">
        <v>Ohemeng-Boahen Godfred</v>
      </c>
      <c r="D654" s="75" t="s">
        <v>14</v>
      </c>
      <c r="E654" s="72" t="n">
        <v>65</v>
      </c>
      <c r="F654" s="75" t="s">
        <v>624</v>
      </c>
      <c r="G654" s="73" t="n">
        <f aca="false">E654*1.1</f>
        <v>71.5</v>
      </c>
      <c r="H654" s="5" t="s">
        <v>938</v>
      </c>
      <c r="I654" s="6" t="str">
        <f aca="false">CONCATENATE(A654,",",D654)</f>
        <v>CHE 256,ED2-PCE</v>
      </c>
      <c r="J654" s="12"/>
    </row>
    <row r="655" customFormat="false" ht="15" hidden="false" customHeight="false" outlineLevel="0" collapsed="false">
      <c r="A655" s="70" t="s">
        <v>83</v>
      </c>
      <c r="B655" s="71" t="str">
        <v>HEAT TRANSPORT PROCESSES</v>
      </c>
      <c r="C655" s="74" t="str">
        <v>Momade Zsuzsanna Gál</v>
      </c>
      <c r="D655" s="70" t="s">
        <v>13</v>
      </c>
      <c r="E655" s="72" t="n">
        <v>160</v>
      </c>
      <c r="F655" s="75" t="s">
        <v>710</v>
      </c>
      <c r="G655" s="73" t="n">
        <f aca="false">E655*1.1</f>
        <v>176</v>
      </c>
      <c r="H655" s="5" t="s">
        <v>711</v>
      </c>
      <c r="I655" s="6" t="str">
        <f aca="false">CONCATENATE(A655,",",D655)</f>
        <v>CHE 256,ED2-CHE</v>
      </c>
      <c r="J655" s="12"/>
    </row>
    <row r="656" customFormat="false" ht="15" hidden="false" customHeight="false" outlineLevel="0" collapsed="false">
      <c r="A656" s="70" t="s">
        <v>125</v>
      </c>
      <c r="B656" s="74" t="str">
        <v>COMPUTER APPLICATIONS</v>
      </c>
      <c r="C656" s="74" t="str">
        <v>Albert Kwame Kwaw</v>
      </c>
      <c r="D656" s="70" t="s">
        <v>126</v>
      </c>
      <c r="E656" s="72" t="n">
        <v>125</v>
      </c>
      <c r="F656" s="84" t="s">
        <v>939</v>
      </c>
      <c r="G656" s="73" t="n">
        <f aca="false">E656*1.1</f>
        <v>137.5</v>
      </c>
      <c r="H656" s="26" t="s">
        <v>940</v>
      </c>
      <c r="I656" s="6" t="str">
        <f aca="false">CONCATENATE(A656,",",D656)</f>
        <v>GED 164,ED1-GEOL</v>
      </c>
      <c r="J656" s="12"/>
    </row>
    <row r="657" customFormat="false" ht="15" hidden="false" customHeight="false" outlineLevel="0" collapsed="false">
      <c r="A657" s="70" t="s">
        <v>94</v>
      </c>
      <c r="B657" s="74" t="str">
        <v>LARGE SCALE SURVEYING</v>
      </c>
      <c r="C657" s="74" t="str">
        <v>Ayer John Wise Divine</v>
      </c>
      <c r="D657" s="70" t="s">
        <v>95</v>
      </c>
      <c r="E657" s="72" t="n">
        <v>103</v>
      </c>
      <c r="F657" s="84" t="s">
        <v>611</v>
      </c>
      <c r="G657" s="73" t="n">
        <f aca="false">E657*1.1</f>
        <v>113.3</v>
      </c>
      <c r="H657" s="26" t="s">
        <v>941</v>
      </c>
      <c r="I657" s="6" t="str">
        <f aca="false">CONCATENATE(A657,",",D657)</f>
        <v>GE 162,ED1-GEOM</v>
      </c>
      <c r="J657" s="12"/>
    </row>
    <row r="658" customFormat="false" ht="15" hidden="false" customHeight="false" outlineLevel="0" collapsed="false">
      <c r="A658" s="76"/>
      <c r="B658" s="76"/>
      <c r="C658" s="67"/>
      <c r="D658" s="71" t="s">
        <v>512</v>
      </c>
      <c r="E658" s="77" t="n">
        <f aca="false">SUM(E645:E657)</f>
        <v>1124</v>
      </c>
      <c r="F658" s="78"/>
      <c r="G658" s="79"/>
      <c r="I658" s="9" t="s">
        <v>513</v>
      </c>
      <c r="J658" s="12"/>
    </row>
    <row r="659" customFormat="false" ht="15" hidden="false" customHeight="false" outlineLevel="0" collapsed="false">
      <c r="A659" s="76"/>
      <c r="B659" s="76"/>
      <c r="C659" s="67"/>
      <c r="D659" s="71"/>
      <c r="E659" s="77"/>
      <c r="F659" s="78"/>
      <c r="G659" s="79"/>
      <c r="I659" s="9"/>
      <c r="J659" s="12"/>
    </row>
    <row r="660" customFormat="false" ht="15" hidden="false" customHeight="false" outlineLevel="0" collapsed="false">
      <c r="A660" s="65" t="s">
        <v>514</v>
      </c>
      <c r="B660" s="65"/>
      <c r="C660" s="65"/>
      <c r="D660" s="65"/>
      <c r="E660" s="65"/>
      <c r="F660" s="65"/>
      <c r="G660" s="65"/>
      <c r="I660" s="9" t="str">
        <f aca="false">A660</f>
        <v>Friday, 4 September 2026</v>
      </c>
      <c r="J660" s="12"/>
    </row>
    <row r="661" customFormat="false" ht="15" hidden="false" customHeight="false" outlineLevel="0" collapsed="false">
      <c r="A661" s="65" t="s">
        <v>2</v>
      </c>
      <c r="B661" s="65"/>
      <c r="C661" s="65"/>
      <c r="D661" s="65"/>
      <c r="E661" s="65"/>
      <c r="F661" s="65"/>
      <c r="G661" s="65"/>
      <c r="I661" s="9" t="str">
        <f aca="false">A661</f>
        <v>Session, 1 (8:30 AM - 10:30 AM)</v>
      </c>
      <c r="J661" s="12"/>
    </row>
    <row r="662" customFormat="false" ht="15" hidden="false" customHeight="false" outlineLevel="0" collapsed="false">
      <c r="A662" s="66" t="s">
        <v>4</v>
      </c>
      <c r="B662" s="66" t="s">
        <v>5</v>
      </c>
      <c r="C662" s="67" t="s">
        <v>6</v>
      </c>
      <c r="D662" s="66" t="s">
        <v>7</v>
      </c>
      <c r="E662" s="68" t="s">
        <v>8</v>
      </c>
      <c r="F662" s="67" t="s">
        <v>9</v>
      </c>
      <c r="G662" s="69" t="s">
        <v>10</v>
      </c>
      <c r="H662" s="27"/>
      <c r="I662" s="9" t="s">
        <v>31</v>
      </c>
      <c r="J662" s="12"/>
    </row>
    <row r="663" customFormat="false" ht="17.9" hidden="false" customHeight="false" outlineLevel="0" collapsed="false">
      <c r="A663" s="70" t="s">
        <v>129</v>
      </c>
      <c r="B663" s="71" t="str">
        <f aca="false" t="array" ref="B663:B671">IFERROR(VLOOKUP(I663:I671,Lectures_1!A2:F534,2,FALSE()),0)</f>
        <v>CALCULUS WITH ANALYSIS</v>
      </c>
      <c r="C663" s="74" t="str">
        <f aca="false" t="array" ref="C663:C671">IFERROR(VLOOKUP(I663:I671,Lectures_1!A2:F534,3,FALSE()),0)</f>
        <v>Kwabi Prince Amponsah</v>
      </c>
      <c r="D663" s="75" t="s">
        <v>82</v>
      </c>
      <c r="E663" s="72" t="n">
        <f aca="false" t="array" ref="E663:E671">IFERROR(VLOOKUP(I663:I671,Lectures_1!A2:F534,4,FALSE()),0)</f>
        <v>130</v>
      </c>
      <c r="F663" s="84" t="s">
        <v>533</v>
      </c>
      <c r="G663" s="73" t="n">
        <f aca="false">E663*1.1</f>
        <v>143</v>
      </c>
      <c r="H663" s="26" t="s">
        <v>917</v>
      </c>
      <c r="I663" s="6" t="str">
        <f aca="false">CONCATENATE(A663,",",D663)</f>
        <v>MATH 152,ED1-PE</v>
      </c>
      <c r="J663" s="12"/>
    </row>
    <row r="664" customFormat="false" ht="15" hidden="false" customHeight="false" outlineLevel="0" collapsed="false">
      <c r="A664" s="70" t="s">
        <v>129</v>
      </c>
      <c r="B664" s="71" t="str">
        <v>CALCULUS WITH ANALYSIS</v>
      </c>
      <c r="C664" s="71" t="str">
        <v>Kwabi Prince Amponsah</v>
      </c>
      <c r="D664" s="70" t="s">
        <v>126</v>
      </c>
      <c r="E664" s="72" t="n">
        <v>125</v>
      </c>
      <c r="F664" s="84" t="s">
        <v>942</v>
      </c>
      <c r="G664" s="73" t="n">
        <f aca="false">E664*1.1</f>
        <v>137.5</v>
      </c>
      <c r="H664" s="26" t="s">
        <v>943</v>
      </c>
      <c r="I664" s="6" t="str">
        <f aca="false">CONCATENATE(A664,",",D664)</f>
        <v>MATH 152,ED1-GEOL</v>
      </c>
      <c r="J664" s="12"/>
    </row>
    <row r="665" customFormat="false" ht="15" hidden="false" customHeight="false" outlineLevel="0" collapsed="false">
      <c r="A665" s="70" t="s">
        <v>129</v>
      </c>
      <c r="B665" s="71" t="str">
        <v>CALCULUS WITH ANALYSIS</v>
      </c>
      <c r="C665" s="71" t="str">
        <v>Ezearn Jeffery</v>
      </c>
      <c r="D665" s="70" t="s">
        <v>131</v>
      </c>
      <c r="E665" s="72" t="n">
        <v>128</v>
      </c>
      <c r="F665" s="70" t="s">
        <v>936</v>
      </c>
      <c r="G665" s="73" t="n">
        <f aca="false">E665*1.1</f>
        <v>140.8</v>
      </c>
      <c r="H665" s="27" t="s">
        <v>944</v>
      </c>
      <c r="I665" s="6" t="str">
        <f aca="false">CONCATENATE(A665,",",D665)</f>
        <v>MATH 152,ED1-AE</v>
      </c>
      <c r="J665" s="12"/>
    </row>
    <row r="666" customFormat="false" ht="15" hidden="false" customHeight="false" outlineLevel="0" collapsed="false">
      <c r="A666" s="70" t="s">
        <v>129</v>
      </c>
      <c r="B666" s="71" t="str">
        <v>CALCULUS WITH ANALYSIS</v>
      </c>
      <c r="C666" s="71" t="str">
        <v>Ezearn Jeffery</v>
      </c>
      <c r="D666" s="70" t="s">
        <v>130</v>
      </c>
      <c r="E666" s="72" t="n">
        <v>136</v>
      </c>
      <c r="F666" s="70" t="s">
        <v>710</v>
      </c>
      <c r="G666" s="73" t="n">
        <f aca="false">E666*1.1</f>
        <v>149.6</v>
      </c>
      <c r="H666" s="27" t="s">
        <v>784</v>
      </c>
      <c r="I666" s="6" t="str">
        <f aca="false">CONCATENATE(A666,",",D666)</f>
        <v>MATH 152,ED1-BME</v>
      </c>
      <c r="J666" s="12"/>
    </row>
    <row r="667" customFormat="false" ht="15" hidden="false" customHeight="false" outlineLevel="0" collapsed="false">
      <c r="A667" s="70" t="s">
        <v>129</v>
      </c>
      <c r="B667" s="74" t="str">
        <v>CALCULUS WITH ANALYSIS</v>
      </c>
      <c r="C667" s="71" t="str">
        <v>Ezearn Jeffery</v>
      </c>
      <c r="D667" s="70" t="s">
        <v>191</v>
      </c>
      <c r="E667" s="72" t="n">
        <v>70</v>
      </c>
      <c r="F667" s="84" t="s">
        <v>945</v>
      </c>
      <c r="G667" s="73" t="n">
        <f aca="false">E667*1.1</f>
        <v>77</v>
      </c>
      <c r="H667" s="27" t="s">
        <v>946</v>
      </c>
      <c r="I667" s="6" t="str">
        <f aca="false">CONCATENATE(A667,",",D667)</f>
        <v>MATH 152,ED1-AERO</v>
      </c>
      <c r="J667" s="12"/>
    </row>
    <row r="668" customFormat="false" ht="15" hidden="false" customHeight="false" outlineLevel="0" collapsed="false">
      <c r="A668" s="70" t="s">
        <v>129</v>
      </c>
      <c r="B668" s="74" t="str">
        <v>CALCULUS WITH ANALYSIS</v>
      </c>
      <c r="C668" s="71" t="str">
        <v>Ezearn Jeffery</v>
      </c>
      <c r="D668" s="70" t="s">
        <v>111</v>
      </c>
      <c r="E668" s="72" t="n">
        <v>83</v>
      </c>
      <c r="F668" s="84" t="s">
        <v>571</v>
      </c>
      <c r="G668" s="73" t="n">
        <f aca="false">E668*1.1</f>
        <v>91.3</v>
      </c>
      <c r="H668" s="27" t="s">
        <v>572</v>
      </c>
      <c r="I668" s="6" t="str">
        <f aca="false">CONCATENATE(A668,",",D668)</f>
        <v>MATH 152,ED1-IND</v>
      </c>
      <c r="J668" s="12"/>
    </row>
    <row r="669" customFormat="false" ht="15" hidden="false" customHeight="false" outlineLevel="0" collapsed="false">
      <c r="A669" s="70" t="s">
        <v>129</v>
      </c>
      <c r="B669" s="74" t="str">
        <v>CALCULUS WITH ANALYSIS</v>
      </c>
      <c r="C669" s="71" t="str">
        <v>Ezearn Jeffery</v>
      </c>
      <c r="D669" s="70" t="s">
        <v>75</v>
      </c>
      <c r="E669" s="72" t="n">
        <v>245</v>
      </c>
      <c r="F669" s="70" t="s">
        <v>854</v>
      </c>
      <c r="G669" s="73" t="n">
        <f aca="false">E669*1.1</f>
        <v>269.5</v>
      </c>
      <c r="H669" s="27" t="s">
        <v>547</v>
      </c>
      <c r="I669" s="6" t="str">
        <f aca="false">CONCATENATE(A669,",",D669)</f>
        <v>MATH 152,ED1-CE</v>
      </c>
      <c r="J669" s="12"/>
    </row>
    <row r="670" customFormat="false" ht="15" hidden="false" customHeight="false" outlineLevel="0" collapsed="false">
      <c r="A670" s="70" t="s">
        <v>129</v>
      </c>
      <c r="B670" s="74" t="str">
        <v>CALCULUS WITH ANALYSIS</v>
      </c>
      <c r="C670" s="71" t="str">
        <v>Ezearn Jeffery</v>
      </c>
      <c r="D670" s="70" t="s">
        <v>112</v>
      </c>
      <c r="E670" s="72" t="n">
        <v>46</v>
      </c>
      <c r="F670" s="84" t="s">
        <v>541</v>
      </c>
      <c r="G670" s="73" t="n">
        <f aca="false">E670*1.1</f>
        <v>50.6</v>
      </c>
      <c r="H670" s="5" t="n">
        <v>46</v>
      </c>
      <c r="I670" s="6" t="str">
        <f aca="false">CONCATENATE(A670,",",D670)</f>
        <v>MATH 152,ED1-MARI</v>
      </c>
      <c r="J670" s="12"/>
    </row>
    <row r="671" customFormat="false" ht="15" hidden="false" customHeight="false" outlineLevel="0" collapsed="false">
      <c r="A671" s="70" t="s">
        <v>129</v>
      </c>
      <c r="B671" s="71" t="str">
        <v>CALCULUS WITH ANALYSIS</v>
      </c>
      <c r="C671" s="74" t="str">
        <v>Ezearn Jeffery</v>
      </c>
      <c r="D671" s="70" t="s">
        <v>20</v>
      </c>
      <c r="E671" s="72" t="n">
        <v>262</v>
      </c>
      <c r="F671" s="70" t="s">
        <v>854</v>
      </c>
      <c r="G671" s="73" t="n">
        <f aca="false">E671*1.1</f>
        <v>288.2</v>
      </c>
      <c r="H671" s="3" t="s">
        <v>947</v>
      </c>
      <c r="I671" s="6" t="str">
        <f aca="false">CONCATENATE(A671,",",D671)</f>
        <v>MATH 152,ED1-COE</v>
      </c>
      <c r="J671" s="12"/>
    </row>
    <row r="672" customFormat="false" ht="15" hidden="false" customHeight="false" outlineLevel="0" collapsed="false">
      <c r="A672" s="76"/>
      <c r="B672" s="76"/>
      <c r="C672" s="67"/>
      <c r="D672" s="71" t="s">
        <v>523</v>
      </c>
      <c r="E672" s="77" t="n">
        <f aca="false">SUM(E663:E671)</f>
        <v>1225</v>
      </c>
      <c r="F672" s="78"/>
      <c r="G672" s="79"/>
      <c r="I672" s="9" t="s">
        <v>524</v>
      </c>
      <c r="J672" s="12"/>
    </row>
    <row r="673" customFormat="false" ht="15" hidden="false" customHeight="false" outlineLevel="0" collapsed="false">
      <c r="A673" s="76"/>
      <c r="B673" s="76"/>
      <c r="C673" s="67"/>
      <c r="D673" s="71"/>
      <c r="E673" s="77"/>
      <c r="F673" s="78"/>
      <c r="G673" s="79"/>
      <c r="I673" s="9"/>
      <c r="J673" s="12"/>
    </row>
    <row r="674" customFormat="false" ht="15" hidden="false" customHeight="false" outlineLevel="0" collapsed="false">
      <c r="A674" s="65" t="s">
        <v>514</v>
      </c>
      <c r="B674" s="65"/>
      <c r="C674" s="65"/>
      <c r="D674" s="65"/>
      <c r="E674" s="65"/>
      <c r="F674" s="65"/>
      <c r="G674" s="65"/>
      <c r="I674" s="9" t="str">
        <f aca="false">A674</f>
        <v>Friday, 4 September 2026</v>
      </c>
      <c r="J674" s="12"/>
    </row>
    <row r="675" customFormat="false" ht="15" hidden="false" customHeight="false" outlineLevel="0" collapsed="false">
      <c r="A675" s="65" t="s">
        <v>29</v>
      </c>
      <c r="B675" s="65"/>
      <c r="C675" s="65"/>
      <c r="D675" s="65"/>
      <c r="E675" s="65"/>
      <c r="F675" s="65"/>
      <c r="G675" s="65"/>
      <c r="I675" s="9" t="str">
        <f aca="false">A675</f>
        <v>Session, 2 (12:00 PM - 2:00 PM)</v>
      </c>
      <c r="J675" s="12"/>
    </row>
    <row r="676" customFormat="false" ht="15" hidden="false" customHeight="false" outlineLevel="0" collapsed="false">
      <c r="A676" s="66" t="s">
        <v>4</v>
      </c>
      <c r="B676" s="66" t="s">
        <v>5</v>
      </c>
      <c r="C676" s="67" t="s">
        <v>6</v>
      </c>
      <c r="D676" s="66" t="s">
        <v>7</v>
      </c>
      <c r="E676" s="68" t="s">
        <v>8</v>
      </c>
      <c r="F676" s="67" t="s">
        <v>9</v>
      </c>
      <c r="G676" s="69" t="s">
        <v>10</v>
      </c>
      <c r="H676" s="27"/>
      <c r="I676" s="9" t="s">
        <v>31</v>
      </c>
      <c r="J676" s="12"/>
    </row>
    <row r="677" customFormat="false" ht="15" hidden="false" customHeight="false" outlineLevel="0" collapsed="false">
      <c r="A677" s="70" t="s">
        <v>129</v>
      </c>
      <c r="B677" s="71" t="str">
        <f aca="false" t="array" ref="B677:B685">IFERROR(VLOOKUP(I677:I685,Lectures_1!A2:F534,2,FALSE()),0)</f>
        <v>CALCULUS WITH ANALYSIS</v>
      </c>
      <c r="C677" s="71" t="str">
        <f aca="false" t="array" ref="C677:C685">IFERROR(VLOOKUP(I677:I685,Lectures_1!A2:F534,3,FALSE()),0)</f>
        <v>Ayekple Yao Elikem</v>
      </c>
      <c r="D677" s="70" t="s">
        <v>51</v>
      </c>
      <c r="E677" s="72" t="n">
        <f aca="false" t="array" ref="E677:E685">IFERROR(VLOOKUP(I677:I685,Lectures_1!A2:F534,4,FALSE()),0)</f>
        <v>295</v>
      </c>
      <c r="F677" s="84" t="s">
        <v>948</v>
      </c>
      <c r="G677" s="73" t="n">
        <f aca="false">E677*1.1</f>
        <v>324.5</v>
      </c>
      <c r="H677" s="26" t="s">
        <v>600</v>
      </c>
      <c r="I677" s="6" t="str">
        <f aca="false">CONCATENATE(A677,",",D677)</f>
        <v>MATH 152,ED1-EE</v>
      </c>
      <c r="J677" s="12"/>
    </row>
    <row r="678" customFormat="false" ht="15" hidden="false" customHeight="false" outlineLevel="0" collapsed="false">
      <c r="A678" s="70" t="s">
        <v>129</v>
      </c>
      <c r="B678" s="74" t="str">
        <v>CALCULUS WITH ANALYSIS</v>
      </c>
      <c r="C678" s="71" t="str">
        <v>Lawton Adu-Ansah</v>
      </c>
      <c r="D678" s="70" t="s">
        <v>162</v>
      </c>
      <c r="E678" s="72" t="n">
        <v>85</v>
      </c>
      <c r="F678" s="70" t="s">
        <v>571</v>
      </c>
      <c r="G678" s="73" t="n">
        <f aca="false">E678*1.1</f>
        <v>93.5</v>
      </c>
      <c r="H678" s="57" t="s">
        <v>757</v>
      </c>
      <c r="I678" s="6" t="str">
        <f aca="false">CONCATENATE(A678,",",D678)</f>
        <v>MATH 152,ED1-AUTO</v>
      </c>
      <c r="J678" s="12"/>
    </row>
    <row r="679" customFormat="false" ht="15" hidden="false" customHeight="false" outlineLevel="0" collapsed="false">
      <c r="A679" s="70" t="s">
        <v>129</v>
      </c>
      <c r="B679" s="71" t="str">
        <v>CALCULUS WITH ANALYSIS</v>
      </c>
      <c r="C679" s="71" t="str">
        <v>Lawton Adu-Ansah</v>
      </c>
      <c r="D679" s="70" t="s">
        <v>161</v>
      </c>
      <c r="E679" s="72" t="n">
        <v>225</v>
      </c>
      <c r="F679" s="70" t="s">
        <v>687</v>
      </c>
      <c r="G679" s="73" t="n">
        <f aca="false">E679*1.1</f>
        <v>247.5</v>
      </c>
      <c r="H679" s="5" t="s">
        <v>876</v>
      </c>
      <c r="I679" s="6" t="str">
        <f aca="false">CONCATENATE(A679,",",D679)</f>
        <v>MATH 152,ED1-ME</v>
      </c>
      <c r="J679" s="12"/>
    </row>
    <row r="680" customFormat="false" ht="15" hidden="false" customHeight="false" outlineLevel="0" collapsed="false">
      <c r="A680" s="70" t="s">
        <v>129</v>
      </c>
      <c r="B680" s="74" t="str">
        <v>CALCULUS WITH ANALYSIS</v>
      </c>
      <c r="C680" s="71" t="str">
        <v>Lawton Adu-Ansah</v>
      </c>
      <c r="D680" s="70" t="s">
        <v>91</v>
      </c>
      <c r="E680" s="72" t="n">
        <v>130</v>
      </c>
      <c r="F680" s="75" t="s">
        <v>533</v>
      </c>
      <c r="G680" s="73" t="n">
        <f aca="false">E680*1.1</f>
        <v>143</v>
      </c>
      <c r="H680" s="5" t="s">
        <v>917</v>
      </c>
      <c r="I680" s="6" t="str">
        <f aca="false">CONCATENATE(A680,",",D680)</f>
        <v>MATH 152,ED1-TEL</v>
      </c>
      <c r="J680" s="12"/>
    </row>
    <row r="681" customFormat="false" ht="15" hidden="false" customHeight="false" outlineLevel="0" collapsed="false">
      <c r="A681" s="70" t="s">
        <v>129</v>
      </c>
      <c r="B681" s="74" t="str">
        <v>CALCULUS WITH ANALYSIS</v>
      </c>
      <c r="C681" s="71" t="str">
        <v>Lawton Adu-Ansah</v>
      </c>
      <c r="D681" s="70" t="s">
        <v>95</v>
      </c>
      <c r="E681" s="72" t="n">
        <v>103</v>
      </c>
      <c r="F681" s="70" t="s">
        <v>569</v>
      </c>
      <c r="G681" s="73" t="n">
        <f aca="false">E681*1.1</f>
        <v>113.3</v>
      </c>
      <c r="H681" s="5" t="s">
        <v>949</v>
      </c>
      <c r="I681" s="6" t="str">
        <f aca="false">CONCATENATE(A681,",",D681)</f>
        <v>MATH 152,ED1-GEOM</v>
      </c>
      <c r="J681" s="12"/>
    </row>
    <row r="682" customFormat="false" ht="15" hidden="false" customHeight="false" outlineLevel="0" collapsed="false">
      <c r="A682" s="70" t="s">
        <v>129</v>
      </c>
      <c r="B682" s="74" t="str">
        <v>CALCULUS WITH ANALYSIS</v>
      </c>
      <c r="C682" s="71" t="str">
        <v>Emmanuel Kpeglo</v>
      </c>
      <c r="D682" s="70" t="s">
        <v>115</v>
      </c>
      <c r="E682" s="72" t="n">
        <v>100</v>
      </c>
      <c r="F682" s="70" t="s">
        <v>582</v>
      </c>
      <c r="G682" s="73" t="n">
        <f aca="false">E682*1.1</f>
        <v>110</v>
      </c>
      <c r="H682" s="5" t="s">
        <v>583</v>
      </c>
      <c r="I682" s="6" t="str">
        <f aca="false">CONCATENATE(A682,",",D682)</f>
        <v>MATH 152,ED1-MSE</v>
      </c>
      <c r="J682" s="12"/>
    </row>
    <row r="683" customFormat="false" ht="15" hidden="false" customHeight="false" outlineLevel="0" collapsed="false">
      <c r="A683" s="70" t="s">
        <v>129</v>
      </c>
      <c r="B683" s="74" t="str">
        <v>CALCULUS WITH ANALYSIS</v>
      </c>
      <c r="C683" s="71" t="str">
        <v>Emmanuel Kpeglo</v>
      </c>
      <c r="D683" s="70" t="s">
        <v>114</v>
      </c>
      <c r="E683" s="72" t="n">
        <v>75</v>
      </c>
      <c r="F683" s="70" t="s">
        <v>545</v>
      </c>
      <c r="G683" s="73" t="n">
        <f aca="false">E683*1.1</f>
        <v>82.5</v>
      </c>
      <c r="H683" s="5" t="n">
        <v>75</v>
      </c>
      <c r="I683" s="6" t="str">
        <f aca="false">CONCATENATE(A683,",",D683)</f>
        <v>MATH 152,ED1-METE</v>
      </c>
      <c r="J683" s="12"/>
    </row>
    <row r="684" customFormat="false" ht="15" hidden="false" customHeight="false" outlineLevel="0" collapsed="false">
      <c r="A684" s="70" t="s">
        <v>129</v>
      </c>
      <c r="B684" s="74" t="str">
        <v>CALCULUS WITH ANALYSIS</v>
      </c>
      <c r="C684" s="71" t="str">
        <v>Isaac Azure</v>
      </c>
      <c r="D684" s="70" t="s">
        <v>80</v>
      </c>
      <c r="E684" s="72" t="n">
        <v>120</v>
      </c>
      <c r="F684" s="70" t="s">
        <v>950</v>
      </c>
      <c r="G684" s="73" t="n">
        <f aca="false">E684*1.1</f>
        <v>132</v>
      </c>
      <c r="H684" s="5" t="s">
        <v>951</v>
      </c>
      <c r="I684" s="6" t="str">
        <f aca="false">CONCATENATE(A684,",",D684)</f>
        <v>MATH 152,ED1-CHE</v>
      </c>
      <c r="J684" s="12"/>
    </row>
    <row r="685" customFormat="false" ht="15" hidden="false" customHeight="false" outlineLevel="0" collapsed="false">
      <c r="A685" s="70" t="s">
        <v>129</v>
      </c>
      <c r="B685" s="71" t="str">
        <v>CALCULUS WITH ANALYSIS</v>
      </c>
      <c r="C685" s="71" t="str">
        <v>Isaac Azure</v>
      </c>
      <c r="D685" s="70" t="s">
        <v>81</v>
      </c>
      <c r="E685" s="72" t="n">
        <v>56</v>
      </c>
      <c r="F685" s="75" t="s">
        <v>546</v>
      </c>
      <c r="G685" s="73" t="n">
        <f aca="false">E685*1.1</f>
        <v>61.6</v>
      </c>
      <c r="H685" s="3" t="n">
        <v>56</v>
      </c>
      <c r="I685" s="6" t="str">
        <f aca="false">CONCATENATE(A685,",",D685)</f>
        <v>MATH 152,ED1-PCE</v>
      </c>
      <c r="J685" s="12"/>
    </row>
    <row r="686" customFormat="false" ht="15" hidden="false" customHeight="false" outlineLevel="0" collapsed="false">
      <c r="A686" s="76"/>
      <c r="B686" s="76"/>
      <c r="C686" s="67"/>
      <c r="D686" s="71" t="s">
        <v>523</v>
      </c>
      <c r="E686" s="77" t="e">
        <f aca="false">SUM(_xlfn.anchorarray(E677))</f>
        <v>#NAME?</v>
      </c>
      <c r="F686" s="78"/>
      <c r="G686" s="79"/>
      <c r="H686" s="58"/>
      <c r="I686" s="9" t="s">
        <v>524</v>
      </c>
      <c r="J686" s="12"/>
    </row>
    <row r="687" customFormat="false" ht="15" hidden="false" customHeight="false" outlineLevel="0" collapsed="false">
      <c r="A687" s="65" t="s">
        <v>514</v>
      </c>
      <c r="B687" s="65"/>
      <c r="C687" s="65"/>
      <c r="D687" s="65"/>
      <c r="E687" s="65"/>
      <c r="F687" s="65"/>
      <c r="G687" s="65"/>
      <c r="I687" s="9" t="str">
        <f aca="false">A687</f>
        <v>Friday, 4 September 2026</v>
      </c>
      <c r="J687" s="12"/>
    </row>
    <row r="688" customFormat="false" ht="15" hidden="false" customHeight="false" outlineLevel="0" collapsed="false">
      <c r="A688" s="65" t="s">
        <v>59</v>
      </c>
      <c r="B688" s="65"/>
      <c r="C688" s="65"/>
      <c r="D688" s="65"/>
      <c r="E688" s="65"/>
      <c r="F688" s="65"/>
      <c r="G688" s="65"/>
      <c r="I688" s="9" t="str">
        <f aca="false">A688</f>
        <v>Session, 3 (3:00 PM - 5:00 PM)</v>
      </c>
      <c r="J688" s="12"/>
    </row>
    <row r="689" customFormat="false" ht="15" hidden="false" customHeight="false" outlineLevel="0" collapsed="false">
      <c r="A689" s="66" t="s">
        <v>4</v>
      </c>
      <c r="B689" s="66" t="s">
        <v>5</v>
      </c>
      <c r="C689" s="67" t="s">
        <v>6</v>
      </c>
      <c r="D689" s="66" t="s">
        <v>7</v>
      </c>
      <c r="E689" s="68" t="s">
        <v>8</v>
      </c>
      <c r="F689" s="67" t="s">
        <v>9</v>
      </c>
      <c r="G689" s="69" t="s">
        <v>10</v>
      </c>
      <c r="H689" s="27"/>
      <c r="I689" s="9" t="s">
        <v>31</v>
      </c>
      <c r="J689" s="12"/>
    </row>
    <row r="690" customFormat="false" ht="15" hidden="false" customHeight="false" outlineLevel="0" collapsed="false">
      <c r="A690" s="70" t="s">
        <v>505</v>
      </c>
      <c r="B690" s="71" t="str">
        <f aca="false" t="array" ref="B690:B698">IFERROR(VLOOKUP(I690:I698,Lectures_1!A2:F534,2,FALSE()),0)</f>
        <v>SOFTWARE ENGINEERING</v>
      </c>
      <c r="C690" s="71" t="str">
        <f aca="false" t="array" ref="C690:C698">IFERROR(VLOOKUP(I690:I698,Lectures_1!A2:F534,3,FALSE()),0)</f>
        <v>Keelson Eliel</v>
      </c>
      <c r="D690" s="70" t="s">
        <v>251</v>
      </c>
      <c r="E690" s="72" t="n">
        <f aca="false" t="array" ref="E690:E698">IFERROR(VLOOKUP(I690:I698,Lectures_1!A2:F534,4,FALSE()),0)</f>
        <v>115</v>
      </c>
      <c r="F690" s="84" t="s">
        <v>541</v>
      </c>
      <c r="G690" s="73" t="n">
        <f aca="false">E690*1.1</f>
        <v>126.5</v>
      </c>
      <c r="H690" s="98" t="n">
        <v>115</v>
      </c>
      <c r="I690" s="6" t="str">
        <f aca="false">CONCATENATE(A690,",",D690)</f>
        <v>COE 454,ED4-COE</v>
      </c>
      <c r="J690" s="12"/>
    </row>
    <row r="691" customFormat="false" ht="15" hidden="false" customHeight="false" outlineLevel="0" collapsed="false">
      <c r="A691" s="70" t="s">
        <v>516</v>
      </c>
      <c r="B691" s="71" t="str">
        <v>CHEMICAL REACTION ENGINEERING</v>
      </c>
      <c r="C691" s="71" t="str">
        <v>Bonsu Jude Kwaku</v>
      </c>
      <c r="D691" s="70" t="s">
        <v>73</v>
      </c>
      <c r="E691" s="72" t="n">
        <v>105</v>
      </c>
      <c r="F691" s="75" t="s">
        <v>571</v>
      </c>
      <c r="G691" s="73" t="n">
        <f aca="false">E691*1.1</f>
        <v>115.5</v>
      </c>
      <c r="H691" s="3" t="s">
        <v>788</v>
      </c>
      <c r="I691" s="6" t="str">
        <f aca="false">CONCATENATE(A691,",",D691)</f>
        <v>CHE 352,ED3-CHE</v>
      </c>
      <c r="J691" s="12"/>
    </row>
    <row r="692" customFormat="false" ht="15" hidden="false" customHeight="false" outlineLevel="0" collapsed="false">
      <c r="A692" s="70" t="s">
        <v>517</v>
      </c>
      <c r="B692" s="71" t="str">
        <v>POWER SYSTEMS ANALYSIS</v>
      </c>
      <c r="C692" s="71" t="str">
        <v>Twumasi Elvis</v>
      </c>
      <c r="D692" s="70" t="s">
        <v>71</v>
      </c>
      <c r="E692" s="72" t="n">
        <v>240</v>
      </c>
      <c r="F692" s="75" t="s">
        <v>854</v>
      </c>
      <c r="G692" s="73" t="n">
        <f aca="false">E692*1.1</f>
        <v>264</v>
      </c>
      <c r="H692" s="3" t="s">
        <v>855</v>
      </c>
      <c r="I692" s="6" t="str">
        <f aca="false">CONCATENATE(A692,",",D692)</f>
        <v>EE 368,ED3-EE</v>
      </c>
      <c r="J692" s="12"/>
    </row>
    <row r="693" customFormat="false" ht="15" hidden="false" customHeight="false" outlineLevel="0" collapsed="false">
      <c r="A693" s="70" t="s">
        <v>518</v>
      </c>
      <c r="B693" s="71" t="str">
        <v>ELECTRICAL MEASUREMENT AND INSTRUMENTATION</v>
      </c>
      <c r="C693" s="74" t="str">
        <v>Klogo Griffith Selorm</v>
      </c>
      <c r="D693" s="70" t="s">
        <v>108</v>
      </c>
      <c r="E693" s="72" t="n">
        <v>255</v>
      </c>
      <c r="F693" s="83" t="s">
        <v>533</v>
      </c>
      <c r="G693" s="73" t="n">
        <f aca="false">E693*1.1</f>
        <v>280.5</v>
      </c>
      <c r="H693" s="50" t="s">
        <v>952</v>
      </c>
      <c r="I693" s="6" t="str">
        <f aca="false">CONCATENATE(A693,",",D693)</f>
        <v>EE 288,ED2-COE</v>
      </c>
      <c r="J693" s="12"/>
    </row>
    <row r="694" customFormat="false" ht="15" hidden="false" customHeight="false" outlineLevel="0" collapsed="false">
      <c r="A694" s="70" t="s">
        <v>519</v>
      </c>
      <c r="B694" s="71" t="str">
        <v>VIBRATIONS I</v>
      </c>
      <c r="C694" s="71" t="str">
        <v>Adam Faisal Wahib</v>
      </c>
      <c r="D694" s="70" t="s">
        <v>133</v>
      </c>
      <c r="E694" s="72" t="n">
        <v>76</v>
      </c>
      <c r="F694" s="75" t="s">
        <v>850</v>
      </c>
      <c r="G694" s="73" t="n">
        <f aca="false">E694*1.1</f>
        <v>83.6</v>
      </c>
      <c r="H694" s="3" t="s">
        <v>884</v>
      </c>
      <c r="I694" s="6" t="str">
        <f aca="false">CONCATENATE(A694,",",D694)</f>
        <v>ME 362,ED3-AERO</v>
      </c>
      <c r="J694" s="12"/>
    </row>
    <row r="695" customFormat="false" ht="15" hidden="false" customHeight="false" outlineLevel="0" collapsed="false">
      <c r="A695" s="70" t="s">
        <v>519</v>
      </c>
      <c r="B695" s="71" t="str">
        <v>VIBRATIONS I</v>
      </c>
      <c r="C695" s="71" t="str">
        <v>Adam Faisal Wahib</v>
      </c>
      <c r="D695" s="70" t="s">
        <v>61</v>
      </c>
      <c r="E695" s="72" t="n">
        <v>222</v>
      </c>
      <c r="F695" s="75" t="s">
        <v>687</v>
      </c>
      <c r="G695" s="73" t="n">
        <f aca="false">E695*1.1</f>
        <v>244.2</v>
      </c>
      <c r="H695" s="3" t="s">
        <v>905</v>
      </c>
      <c r="I695" s="6" t="str">
        <f aca="false">CONCATENATE(A695,",",D695)</f>
        <v>ME 362,ED3-ME</v>
      </c>
      <c r="J695" s="12"/>
    </row>
    <row r="696" customFormat="false" ht="15" hidden="false" customHeight="false" outlineLevel="0" collapsed="false">
      <c r="A696" s="70" t="s">
        <v>519</v>
      </c>
      <c r="B696" s="71" t="str">
        <v>VIBRATIONS I</v>
      </c>
      <c r="C696" s="71" t="str">
        <v>Adam Faisal Wahib</v>
      </c>
      <c r="D696" s="70" t="s">
        <v>86</v>
      </c>
      <c r="E696" s="72" t="n">
        <v>40</v>
      </c>
      <c r="F696" s="75" t="s">
        <v>616</v>
      </c>
      <c r="G696" s="73" t="n">
        <f aca="false">E696*1.1</f>
        <v>44</v>
      </c>
      <c r="H696" s="3" t="n">
        <v>40</v>
      </c>
      <c r="I696" s="6" t="str">
        <f aca="false">CONCATENATE(A696,",",D696)</f>
        <v>ME 362,ED3-MARI</v>
      </c>
      <c r="J696" s="12"/>
    </row>
    <row r="697" customFormat="false" ht="15" hidden="false" customHeight="false" outlineLevel="0" collapsed="false">
      <c r="A697" s="70" t="s">
        <v>521</v>
      </c>
      <c r="B697" s="71" t="str">
        <v>VIBRATIONS FOR AUTOMOBILE ENGINEERS</v>
      </c>
      <c r="C697" s="71" t="str">
        <v>Adam Faisal Wahib</v>
      </c>
      <c r="D697" s="70" t="s">
        <v>23</v>
      </c>
      <c r="E697" s="72" t="n">
        <v>40</v>
      </c>
      <c r="F697" s="75" t="s">
        <v>766</v>
      </c>
      <c r="G697" s="73" t="n">
        <f aca="false">E697*1.1</f>
        <v>44</v>
      </c>
      <c r="H697" s="3" t="s">
        <v>559</v>
      </c>
      <c r="I697" s="6" t="str">
        <f aca="false">CONCATENATE(A697,",",D697)</f>
        <v>AME 362,ED3-AUTO</v>
      </c>
      <c r="J697" s="12"/>
    </row>
    <row r="698" customFormat="false" ht="15" hidden="false" customHeight="false" outlineLevel="0" collapsed="false">
      <c r="A698" s="70" t="s">
        <v>522</v>
      </c>
      <c r="B698" s="71" t="str">
        <v>ANATOMY AND PHYSIOLOGY FOR ENGINEERS II</v>
      </c>
      <c r="C698" s="71" t="str">
        <v>Agyapong Dorothy Araba Yakoba</v>
      </c>
      <c r="D698" s="70" t="s">
        <v>109</v>
      </c>
      <c r="E698" s="72" t="n">
        <v>80</v>
      </c>
      <c r="F698" s="75" t="s">
        <v>953</v>
      </c>
      <c r="G698" s="73" t="n">
        <f aca="false">E698*1.1</f>
        <v>88</v>
      </c>
      <c r="H698" s="3" t="s">
        <v>692</v>
      </c>
      <c r="I698" s="6" t="str">
        <f aca="false">CONCATENATE(A698,",",D698)</f>
        <v>BME 286,ED2-BME</v>
      </c>
      <c r="J698" s="12"/>
    </row>
    <row r="699" customFormat="false" ht="15" hidden="false" customHeight="false" outlineLevel="0" collapsed="false">
      <c r="A699" s="76"/>
      <c r="B699" s="76"/>
      <c r="C699" s="67"/>
      <c r="D699" s="71" t="s">
        <v>523</v>
      </c>
      <c r="E699" s="77" t="e">
        <f aca="false">SUM(_xlfn.anchorarray(E690))</f>
        <v>#NAME?</v>
      </c>
      <c r="F699" s="78"/>
      <c r="G699" s="79"/>
      <c r="H699" s="58"/>
      <c r="I699" s="9" t="s">
        <v>524</v>
      </c>
      <c r="J699" s="12"/>
    </row>
    <row r="700" s="61" customFormat="true" ht="13.8" hidden="false" customHeight="false" outlineLevel="0" collapsed="false">
      <c r="A700" s="59"/>
      <c r="B700" s="59"/>
      <c r="C700" s="59"/>
      <c r="D700" s="59"/>
      <c r="E700" s="60"/>
      <c r="F700" s="62"/>
      <c r="G700" s="100"/>
      <c r="H700" s="58"/>
    </row>
    <row r="701" s="61" customFormat="true" ht="15" hidden="false" customHeight="false" outlineLevel="0" collapsed="false">
      <c r="A701" s="62"/>
      <c r="B701" s="62"/>
      <c r="C701" s="62"/>
      <c r="D701" s="62"/>
      <c r="E701" s="63"/>
      <c r="F701" s="62"/>
      <c r="G701" s="101"/>
      <c r="H701" s="58"/>
    </row>
    <row r="702" s="61" customFormat="true" ht="15" hidden="false" customHeight="false" outlineLevel="0" collapsed="false">
      <c r="A702" s="62"/>
      <c r="B702" s="62"/>
      <c r="C702" s="62"/>
      <c r="D702" s="62"/>
      <c r="E702" s="63"/>
      <c r="F702" s="62"/>
      <c r="G702" s="101"/>
      <c r="H702" s="58"/>
    </row>
    <row r="703" s="61" customFormat="true" ht="15" hidden="false" customHeight="false" outlineLevel="0" collapsed="false">
      <c r="A703" s="62"/>
      <c r="B703" s="62"/>
      <c r="C703" s="62"/>
      <c r="D703" s="62"/>
      <c r="E703" s="63"/>
      <c r="F703" s="62"/>
      <c r="G703" s="101"/>
      <c r="H703" s="58"/>
    </row>
    <row r="704" s="61" customFormat="true" ht="14.25" hidden="false" customHeight="false" outlineLevel="0" collapsed="false">
      <c r="A704" s="62"/>
      <c r="B704" s="62"/>
      <c r="C704" s="62"/>
      <c r="D704" s="62"/>
      <c r="E704" s="63"/>
      <c r="F704" s="62"/>
      <c r="G704" s="101"/>
      <c r="H704" s="5"/>
    </row>
  </sheetData>
  <mergeCells count="97">
    <mergeCell ref="A1:G1"/>
    <mergeCell ref="A2:G2"/>
    <mergeCell ref="A12:G12"/>
    <mergeCell ref="A13:G13"/>
    <mergeCell ref="F15:F19"/>
    <mergeCell ref="A31:G31"/>
    <mergeCell ref="A32:G32"/>
    <mergeCell ref="A44:G44"/>
    <mergeCell ref="A45:G45"/>
    <mergeCell ref="F47:F49"/>
    <mergeCell ref="A64:G64"/>
    <mergeCell ref="A65:G65"/>
    <mergeCell ref="A82:G82"/>
    <mergeCell ref="A83:G83"/>
    <mergeCell ref="A96:G96"/>
    <mergeCell ref="A97:G97"/>
    <mergeCell ref="A109:G109"/>
    <mergeCell ref="A110:G110"/>
    <mergeCell ref="A124:G124"/>
    <mergeCell ref="A125:G125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199:G199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284:G284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368:G368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452:G4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552:G55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42:G642"/>
    <mergeCell ref="A643:G643"/>
    <mergeCell ref="A660:G660"/>
    <mergeCell ref="A661:G661"/>
    <mergeCell ref="A674:G674"/>
    <mergeCell ref="A675:G675"/>
    <mergeCell ref="A687:G687"/>
    <mergeCell ref="A688:G688"/>
  </mergeCells>
  <conditionalFormatting sqref="I264">
    <cfRule type="duplicateValues" priority="2" aboveAverage="0" equalAverage="0" bottom="0" percent="0" rank="0" text="" dxfId="127"/>
    <cfRule type="duplicateValues" priority="3" aboveAverage="0" equalAverage="0" bottom="0" percent="0" rank="0" text="" dxfId="128"/>
  </conditionalFormatting>
  <conditionalFormatting sqref="I22">
    <cfRule type="duplicateValues" priority="4" aboveAverage="0" equalAverage="0" bottom="0" percent="0" rank="0" text="" dxfId="129"/>
    <cfRule type="duplicateValues" priority="5" aboveAverage="0" equalAverage="0" bottom="0" percent="0" rank="0" text="" dxfId="130"/>
  </conditionalFormatting>
  <conditionalFormatting sqref="I149">
    <cfRule type="duplicateValues" priority="6" aboveAverage="0" equalAverage="0" bottom="0" percent="0" rank="0" text="" dxfId="131"/>
    <cfRule type="duplicateValues" priority="7" aboveAverage="0" equalAverage="0" bottom="0" percent="0" rank="0" text="" dxfId="132"/>
  </conditionalFormatting>
  <conditionalFormatting sqref="I362">
    <cfRule type="duplicateValues" priority="8" aboveAverage="0" equalAverage="0" bottom="0" percent="0" rank="0" text="" dxfId="133"/>
    <cfRule type="duplicateValues" priority="9" aboveAverage="0" equalAverage="0" bottom="0" percent="0" rank="0" text="" dxfId="134"/>
  </conditionalFormatting>
  <conditionalFormatting sqref="I79">
    <cfRule type="duplicateValues" priority="10" aboveAverage="0" equalAverage="0" bottom="0" percent="0" rank="0" text="" dxfId="135"/>
    <cfRule type="duplicateValues" priority="11" aboveAverage="0" equalAverage="0" bottom="0" percent="0" rank="0" text="" dxfId="136"/>
  </conditionalFormatting>
  <conditionalFormatting sqref="I604">
    <cfRule type="duplicateValues" priority="12" aboveAverage="0" equalAverage="0" bottom="0" percent="0" rank="0" text="" dxfId="137"/>
    <cfRule type="duplicateValues" priority="13" aboveAverage="0" equalAverage="0" bottom="0" percent="0" rank="0" text="" dxfId="138"/>
  </conditionalFormatting>
  <conditionalFormatting sqref="I236">
    <cfRule type="duplicateValues" priority="14" aboveAverage="0" equalAverage="0" bottom="0" percent="0" rank="0" text="" dxfId="139"/>
    <cfRule type="duplicateValues" priority="15" aboveAverage="0" equalAverage="0" bottom="0" percent="0" rank="0" text="" dxfId="140"/>
  </conditionalFormatting>
  <conditionalFormatting sqref="I58">
    <cfRule type="duplicateValues" priority="16" aboveAverage="0" equalAverage="0" bottom="0" percent="0" rank="0" text="" dxfId="141"/>
    <cfRule type="duplicateValues" priority="17" aboveAverage="0" equalAverage="0" bottom="0" percent="0" rank="0" text="" dxfId="142"/>
  </conditionalFormatting>
  <conditionalFormatting sqref="I90">
    <cfRule type="duplicateValues" priority="18" aboveAverage="0" equalAverage="0" bottom="0" percent="0" rank="0" text="" dxfId="143"/>
    <cfRule type="duplicateValues" priority="19" aboveAverage="0" equalAverage="0" bottom="0" percent="0" rank="0" text="" dxfId="144"/>
  </conditionalFormatting>
  <conditionalFormatting sqref="I691">
    <cfRule type="duplicateValues" priority="20" aboveAverage="0" equalAverage="0" bottom="0" percent="0" rank="0" text="" dxfId="145"/>
    <cfRule type="duplicateValues" priority="21" aboveAverage="0" equalAverage="0" bottom="0" percent="0" rank="0" text="" dxfId="146"/>
  </conditionalFormatting>
  <conditionalFormatting sqref="I249">
    <cfRule type="duplicateValues" priority="22" aboveAverage="0" equalAverage="0" bottom="0" percent="0" rank="0" text="" dxfId="147"/>
    <cfRule type="duplicateValues" priority="23" aboveAverage="0" equalAverage="0" bottom="0" percent="0" rank="0" text="" dxfId="148"/>
  </conditionalFormatting>
  <conditionalFormatting sqref="I665">
    <cfRule type="duplicateValues" priority="24" aboveAverage="0" equalAverage="0" bottom="0" percent="0" rank="0" text="" dxfId="149"/>
    <cfRule type="duplicateValues" priority="25" aboveAverage="0" equalAverage="0" bottom="0" percent="0" rank="0" text="" dxfId="150"/>
  </conditionalFormatting>
  <conditionalFormatting sqref="I310">
    <cfRule type="duplicateValues" priority="26" aboveAverage="0" equalAverage="0" bottom="0" percent="0" rank="0" text="" dxfId="151"/>
    <cfRule type="duplicateValues" priority="27" aboveAverage="0" equalAverage="0" bottom="0" percent="0" rank="0" text="" dxfId="152"/>
  </conditionalFormatting>
  <conditionalFormatting sqref="I24">
    <cfRule type="duplicateValues" priority="28" aboveAverage="0" equalAverage="0" bottom="0" percent="0" rank="0" text="" dxfId="153"/>
    <cfRule type="duplicateValues" priority="29" aboveAverage="0" equalAverage="0" bottom="0" percent="0" rank="0" text="" dxfId="154"/>
  </conditionalFormatting>
  <conditionalFormatting sqref="I25">
    <cfRule type="duplicateValues" priority="30" aboveAverage="0" equalAverage="0" bottom="0" percent="0" rank="0" text="" dxfId="155"/>
    <cfRule type="duplicateValues" priority="31" aboveAverage="0" equalAverage="0" bottom="0" percent="0" rank="0" text="" dxfId="156"/>
  </conditionalFormatting>
  <conditionalFormatting sqref="I246">
    <cfRule type="duplicateValues" priority="32" aboveAverage="0" equalAverage="0" bottom="0" percent="0" rank="0" text="" dxfId="157"/>
    <cfRule type="duplicateValues" priority="33" aboveAverage="0" equalAverage="0" bottom="0" percent="0" rank="0" text="" dxfId="158"/>
  </conditionalFormatting>
  <conditionalFormatting sqref="I392">
    <cfRule type="duplicateValues" priority="34" aboveAverage="0" equalAverage="0" bottom="0" percent="0" rank="0" text="" dxfId="159"/>
    <cfRule type="duplicateValues" priority="35" aboveAverage="0" equalAverage="0" bottom="0" percent="0" rank="0" text="" dxfId="160"/>
  </conditionalFormatting>
  <conditionalFormatting sqref="I253">
    <cfRule type="duplicateValues" priority="36" aboveAverage="0" equalAverage="0" bottom="0" percent="0" rank="0" text="" dxfId="161"/>
    <cfRule type="duplicateValues" priority="37" aboveAverage="0" equalAverage="0" bottom="0" percent="0" rank="0" text="" dxfId="162"/>
  </conditionalFormatting>
  <conditionalFormatting sqref="I295">
    <cfRule type="duplicateValues" priority="38" aboveAverage="0" equalAverage="0" bottom="0" percent="0" rank="0" text="" dxfId="163"/>
    <cfRule type="duplicateValues" priority="39" aboveAverage="0" equalAverage="0" bottom="0" percent="0" rank="0" text="" dxfId="164"/>
  </conditionalFormatting>
  <conditionalFormatting sqref="I251">
    <cfRule type="duplicateValues" priority="40" aboveAverage="0" equalAverage="0" bottom="0" percent="0" rank="0" text="" dxfId="165"/>
    <cfRule type="duplicateValues" priority="41" aboveAverage="0" equalAverage="0" bottom="0" percent="0" rank="0" text="" dxfId="166"/>
  </conditionalFormatting>
  <conditionalFormatting sqref="I423">
    <cfRule type="duplicateValues" priority="42" aboveAverage="0" equalAverage="0" bottom="0" percent="0" rank="0" text="" dxfId="167"/>
    <cfRule type="duplicateValues" priority="43" aboveAverage="0" equalAverage="0" bottom="0" percent="0" rank="0" text="" dxfId="168"/>
  </conditionalFormatting>
  <conditionalFormatting sqref="I23">
    <cfRule type="duplicateValues" priority="44" aboveAverage="0" equalAverage="0" bottom="0" percent="0" rank="0" text="" dxfId="169"/>
    <cfRule type="duplicateValues" priority="45" aboveAverage="0" equalAverage="0" bottom="0" percent="0" rank="0" text="" dxfId="170"/>
  </conditionalFormatting>
  <conditionalFormatting sqref="I193">
    <cfRule type="duplicateValues" priority="46" aboveAverage="0" equalAverage="0" bottom="0" percent="0" rank="0" text="" dxfId="171"/>
    <cfRule type="duplicateValues" priority="47" aboveAverage="0" equalAverage="0" bottom="0" percent="0" rank="0" text="" dxfId="172"/>
  </conditionalFormatting>
  <conditionalFormatting sqref="I129">
    <cfRule type="duplicateValues" priority="48" aboveAverage="0" equalAverage="0" bottom="0" percent="0" rank="0" text="" dxfId="173"/>
    <cfRule type="duplicateValues" priority="49" aboveAverage="0" equalAverage="0" bottom="0" percent="0" rank="0" text="" dxfId="174"/>
  </conditionalFormatting>
  <conditionalFormatting sqref="I493">
    <cfRule type="duplicateValues" priority="50" aboveAverage="0" equalAverage="0" bottom="0" percent="0" rank="0" text="" dxfId="175"/>
    <cfRule type="duplicateValues" priority="51" aboveAverage="0" equalAverage="0" bottom="0" percent="0" rank="0" text="" dxfId="176"/>
  </conditionalFormatting>
  <conditionalFormatting sqref="I196">
    <cfRule type="duplicateValues" priority="52" aboveAverage="0" equalAverage="0" bottom="0" percent="0" rank="0" text="" dxfId="177"/>
    <cfRule type="duplicateValues" priority="53" aboveAverage="0" equalAverage="0" bottom="0" percent="0" rank="0" text="" dxfId="178"/>
  </conditionalFormatting>
  <conditionalFormatting sqref="I130">
    <cfRule type="duplicateValues" priority="54" aboveAverage="0" equalAverage="0" bottom="0" percent="0" rank="0" text="" dxfId="179"/>
    <cfRule type="duplicateValues" priority="55" aboveAverage="0" equalAverage="0" bottom="0" percent="0" rank="0" text="" dxfId="180"/>
  </conditionalFormatting>
  <conditionalFormatting sqref="I37">
    <cfRule type="duplicateValues" priority="56" aboveAverage="0" equalAverage="0" bottom="0" percent="0" rank="0" text="" dxfId="181"/>
    <cfRule type="duplicateValues" priority="57" aboveAverage="0" equalAverage="0" bottom="0" percent="0" rank="0" text="" dxfId="182"/>
  </conditionalFormatting>
  <conditionalFormatting sqref="I278">
    <cfRule type="duplicateValues" priority="58" aboveAverage="0" equalAverage="0" bottom="0" percent="0" rank="0" text="" dxfId="183"/>
    <cfRule type="duplicateValues" priority="59" aboveAverage="0" equalAverage="0" bottom="0" percent="0" rank="0" text="" dxfId="184"/>
  </conditionalFormatting>
  <conditionalFormatting sqref="I148">
    <cfRule type="duplicateValues" priority="60" aboveAverage="0" equalAverage="0" bottom="0" percent="0" rank="0" text="" dxfId="185"/>
    <cfRule type="duplicateValues" priority="61" aboveAverage="0" equalAverage="0" bottom="0" percent="0" rank="0" text="" dxfId="186"/>
  </conditionalFormatting>
  <conditionalFormatting sqref="I143">
    <cfRule type="duplicateValues" priority="62" aboveAverage="0" equalAverage="0" bottom="0" percent="0" rank="0" text="" dxfId="187"/>
    <cfRule type="duplicateValues" priority="63" aboveAverage="0" equalAverage="0" bottom="0" percent="0" rank="0" text="" dxfId="188"/>
  </conditionalFormatting>
  <conditionalFormatting sqref="I144">
    <cfRule type="duplicateValues" priority="64" aboveAverage="0" equalAverage="0" bottom="0" percent="0" rank="0" text="" dxfId="189"/>
    <cfRule type="duplicateValues" priority="65" aboveAverage="0" equalAverage="0" bottom="0" percent="0" rank="0" text="" dxfId="190"/>
  </conditionalFormatting>
  <conditionalFormatting sqref="I628">
    <cfRule type="duplicateValues" priority="66" aboveAverage="0" equalAverage="0" bottom="0" percent="0" rank="0" text="" dxfId="191"/>
    <cfRule type="duplicateValues" priority="67" aboveAverage="0" equalAverage="0" bottom="0" percent="0" rank="0" text="" dxfId="192"/>
  </conditionalFormatting>
  <conditionalFormatting sqref="I549">
    <cfRule type="duplicateValues" priority="68" aboveAverage="0" equalAverage="0" bottom="0" percent="0" rank="0" text="" dxfId="193"/>
    <cfRule type="duplicateValues" priority="69" aboveAverage="0" equalAverage="0" bottom="0" percent="0" rank="0" text="" dxfId="194"/>
  </conditionalFormatting>
  <conditionalFormatting sqref="I332">
    <cfRule type="duplicateValues" priority="70" aboveAverage="0" equalAverage="0" bottom="0" percent="0" rank="0" text="" dxfId="195"/>
    <cfRule type="duplicateValues" priority="71" aboveAverage="0" equalAverage="0" bottom="0" percent="0" rank="0" text="" dxfId="196"/>
  </conditionalFormatting>
  <conditionalFormatting sqref="I567">
    <cfRule type="duplicateValues" priority="72" aboveAverage="0" equalAverage="0" bottom="0" percent="0" rank="0" text="" dxfId="197"/>
    <cfRule type="duplicateValues" priority="73" aboveAverage="0" equalAverage="0" bottom="0" percent="0" rank="0" text="" dxfId="198"/>
  </conditionalFormatting>
  <conditionalFormatting sqref="I195">
    <cfRule type="duplicateValues" priority="74" aboveAverage="0" equalAverage="0" bottom="0" percent="0" rank="0" text="" dxfId="199"/>
    <cfRule type="duplicateValues" priority="75" aboveAverage="0" equalAverage="0" bottom="0" percent="0" rank="0" text="" dxfId="200"/>
  </conditionalFormatting>
  <conditionalFormatting sqref="I204">
    <cfRule type="duplicateValues" priority="76" aboveAverage="0" equalAverage="0" bottom="0" percent="0" rank="0" text="" dxfId="201"/>
    <cfRule type="duplicateValues" priority="77" aboveAverage="0" equalAverage="0" bottom="0" percent="0" rank="0" text="" dxfId="202"/>
  </conditionalFormatting>
  <conditionalFormatting sqref="I333">
    <cfRule type="duplicateValues" priority="78" aboveAverage="0" equalAverage="0" bottom="0" percent="0" rank="0" text="" dxfId="203"/>
    <cfRule type="duplicateValues" priority="79" aboveAverage="0" equalAverage="0" bottom="0" percent="0" rank="0" text="" dxfId="204"/>
  </conditionalFormatting>
  <conditionalFormatting sqref="I91">
    <cfRule type="duplicateValues" priority="80" aboveAverage="0" equalAverage="0" bottom="0" percent="0" rank="0" text="" dxfId="205"/>
    <cfRule type="duplicateValues" priority="81" aboveAverage="0" equalAverage="0" bottom="0" percent="0" rank="0" text="" dxfId="206"/>
  </conditionalFormatting>
  <conditionalFormatting sqref="I361">
    <cfRule type="duplicateValues" priority="82" aboveAverage="0" equalAverage="0" bottom="0" percent="0" rank="0" text="" dxfId="207"/>
    <cfRule type="duplicateValues" priority="83" aboveAverage="0" equalAverage="0" bottom="0" percent="0" rank="0" text="" dxfId="208"/>
  </conditionalFormatting>
  <conditionalFormatting sqref="I527">
    <cfRule type="duplicateValues" priority="84" aboveAverage="0" equalAverage="0" bottom="0" percent="0" rank="0" text="" dxfId="209"/>
    <cfRule type="duplicateValues" priority="85" aboveAverage="0" equalAverage="0" bottom="0" percent="0" rank="0" text="" dxfId="210"/>
  </conditionalFormatting>
  <conditionalFormatting sqref="I280">
    <cfRule type="duplicateValues" priority="86" aboveAverage="0" equalAverage="0" bottom="0" percent="0" rank="0" text="" dxfId="211"/>
    <cfRule type="duplicateValues" priority="87" aboveAverage="0" equalAverage="0" bottom="0" percent="0" rank="0" text="" dxfId="212"/>
  </conditionalFormatting>
  <conditionalFormatting sqref="I207">
    <cfRule type="duplicateValues" priority="88" aboveAverage="0" equalAverage="0" bottom="0" percent="0" rank="0" text="" dxfId="213"/>
    <cfRule type="duplicateValues" priority="89" aboveAverage="0" equalAverage="0" bottom="0" percent="0" rank="0" text="" dxfId="214"/>
  </conditionalFormatting>
  <conditionalFormatting sqref="I163">
    <cfRule type="duplicateValues" priority="90" aboveAverage="0" equalAverage="0" bottom="0" percent="0" rank="0" text="" dxfId="215"/>
    <cfRule type="duplicateValues" priority="91" aboveAverage="0" equalAverage="0" bottom="0" percent="0" rank="0" text="" dxfId="216"/>
  </conditionalFormatting>
  <conditionalFormatting sqref="I539">
    <cfRule type="duplicateValues" priority="92" aboveAverage="0" equalAverage="0" bottom="0" percent="0" rank="0" text="" dxfId="217"/>
    <cfRule type="duplicateValues" priority="93" aboveAverage="0" equalAverage="0" bottom="0" percent="0" rank="0" text="" dxfId="218"/>
  </conditionalFormatting>
  <conditionalFormatting sqref="I147">
    <cfRule type="duplicateValues" priority="94" aboveAverage="0" equalAverage="0" bottom="0" percent="0" rank="0" text="" dxfId="219"/>
    <cfRule type="duplicateValues" priority="95" aboveAverage="0" equalAverage="0" bottom="0" percent="0" rank="0" text="" dxfId="220"/>
  </conditionalFormatting>
  <conditionalFormatting sqref="I293">
    <cfRule type="duplicateValues" priority="96" aboveAverage="0" equalAverage="0" bottom="0" percent="0" rank="0" text="" dxfId="221"/>
    <cfRule type="duplicateValues" priority="97" aboveAverage="0" equalAverage="0" bottom="0" percent="0" rank="0" text="" dxfId="222"/>
  </conditionalFormatting>
  <conditionalFormatting sqref="I540">
    <cfRule type="duplicateValues" priority="98" aboveAverage="0" equalAverage="0" bottom="0" percent="0" rank="0" text="" dxfId="223"/>
    <cfRule type="duplicateValues" priority="99" aboveAverage="0" equalAverage="0" bottom="0" percent="0" rank="0" text="" dxfId="224"/>
  </conditionalFormatting>
  <conditionalFormatting sqref="I635">
    <cfRule type="duplicateValues" priority="100" aboveAverage="0" equalAverage="0" bottom="0" percent="0" rank="0" text="" dxfId="225"/>
    <cfRule type="duplicateValues" priority="101" aboveAverage="0" equalAverage="0" bottom="0" percent="0" rank="0" text="" dxfId="226"/>
  </conditionalFormatting>
  <conditionalFormatting sqref="I446">
    <cfRule type="duplicateValues" priority="102" aboveAverage="0" equalAverage="0" bottom="0" percent="0" rank="0" text="" dxfId="227"/>
    <cfRule type="duplicateValues" priority="103" aboveAverage="0" equalAverage="0" bottom="0" percent="0" rank="0" text="" dxfId="228"/>
  </conditionalFormatting>
  <conditionalFormatting sqref="I294">
    <cfRule type="duplicateValues" priority="104" aboveAverage="0" equalAverage="0" bottom="0" percent="0" rank="0" text="" dxfId="229"/>
    <cfRule type="duplicateValues" priority="105" aboveAverage="0" equalAverage="0" bottom="0" percent="0" rank="0" text="" dxfId="230"/>
  </conditionalFormatting>
  <conditionalFormatting sqref="I252">
    <cfRule type="duplicateValues" priority="106" aboveAverage="0" equalAverage="0" bottom="0" percent="0" rank="0" text="" dxfId="231"/>
    <cfRule type="duplicateValues" priority="107" aboveAverage="0" equalAverage="0" bottom="0" percent="0" rank="0" text="" dxfId="232"/>
  </conditionalFormatting>
  <conditionalFormatting sqref="I77">
    <cfRule type="duplicateValues" priority="108" aboveAverage="0" equalAverage="0" bottom="0" percent="0" rank="0" text="" dxfId="233"/>
    <cfRule type="duplicateValues" priority="109" aboveAverage="0" equalAverage="0" bottom="0" percent="0" rank="0" text="" dxfId="234"/>
  </conditionalFormatting>
  <conditionalFormatting sqref="I162">
    <cfRule type="duplicateValues" priority="110" aboveAverage="0" equalAverage="0" bottom="0" percent="0" rank="0" text="" dxfId="235"/>
    <cfRule type="duplicateValues" priority="111" aboveAverage="0" equalAverage="0" bottom="0" percent="0" rank="0" text="" dxfId="236"/>
  </conditionalFormatting>
  <conditionalFormatting sqref="I697">
    <cfRule type="duplicateValues" priority="112" aboveAverage="0" equalAverage="0" bottom="0" percent="0" rank="0" text="" dxfId="237"/>
    <cfRule type="duplicateValues" priority="113" aboveAverage="0" equalAverage="0" bottom="0" percent="0" rank="0" text="" dxfId="238"/>
  </conditionalFormatting>
  <conditionalFormatting sqref="I436">
    <cfRule type="duplicateValues" priority="114" aboveAverage="0" equalAverage="0" bottom="0" percent="0" rank="0" text="" dxfId="239"/>
    <cfRule type="duplicateValues" priority="115" aboveAverage="0" equalAverage="0" bottom="0" percent="0" rank="0" text="" dxfId="240"/>
  </conditionalFormatting>
  <conditionalFormatting sqref="I189">
    <cfRule type="duplicateValues" priority="116" aboveAverage="0" equalAverage="0" bottom="0" percent="0" rank="0" text="" dxfId="241"/>
    <cfRule type="duplicateValues" priority="117" aboveAverage="0" equalAverage="0" bottom="0" percent="0" rank="0" text="" dxfId="242"/>
  </conditionalFormatting>
  <conditionalFormatting sqref="I670">
    <cfRule type="duplicateValues" priority="118" aboveAverage="0" equalAverage="0" bottom="0" percent="0" rank="0" text="" dxfId="243"/>
    <cfRule type="duplicateValues" priority="119" aboveAverage="0" equalAverage="0" bottom="0" percent="0" rank="0" text="" dxfId="244"/>
  </conditionalFormatting>
  <conditionalFormatting sqref="I682">
    <cfRule type="duplicateValues" priority="120" aboveAverage="0" equalAverage="0" bottom="0" percent="0" rank="0" text="" dxfId="245"/>
    <cfRule type="duplicateValues" priority="121" aboveAverage="0" equalAverage="0" bottom="0" percent="0" rank="0" text="" dxfId="246"/>
  </conditionalFormatting>
  <conditionalFormatting sqref="I666">
    <cfRule type="duplicateValues" priority="122" aboveAverage="0" equalAverage="0" bottom="0" percent="0" rank="0" text="" dxfId="247"/>
    <cfRule type="duplicateValues" priority="123" aboveAverage="0" equalAverage="0" bottom="0" percent="0" rank="0" text="" dxfId="248"/>
  </conditionalFormatting>
  <conditionalFormatting sqref="I530">
    <cfRule type="duplicateValues" priority="124" aboveAverage="0" equalAverage="0" bottom="0" percent="0" rank="0" text="" dxfId="249"/>
    <cfRule type="duplicateValues" priority="125" aboveAverage="0" equalAverage="0" bottom="0" percent="0" rank="0" text="" dxfId="250"/>
  </conditionalFormatting>
  <conditionalFormatting sqref="I649">
    <cfRule type="duplicateValues" priority="126" aboveAverage="0" equalAverage="0" bottom="0" percent="0" rank="0" text="" dxfId="251"/>
    <cfRule type="duplicateValues" priority="127" aboveAverage="0" equalAverage="0" bottom="0" percent="0" rank="0" text="" dxfId="252"/>
  </conditionalFormatting>
  <conditionalFormatting sqref="I465">
    <cfRule type="duplicateValues" priority="128" aboveAverage="0" equalAverage="0" bottom="0" percent="0" rank="0" text="" dxfId="253"/>
    <cfRule type="duplicateValues" priority="129" aboveAverage="0" equalAverage="0" bottom="0" percent="0" rank="0" text="" dxfId="254"/>
  </conditionalFormatting>
  <conditionalFormatting sqref="I676">
    <cfRule type="duplicateValues" priority="130" aboveAverage="0" equalAverage="0" bottom="0" percent="0" rank="0" text="" dxfId="255"/>
    <cfRule type="duplicateValues" priority="131" aboveAverage="0" equalAverage="0" bottom="0" percent="0" rank="0" text="" dxfId="256"/>
  </conditionalFormatting>
  <conditionalFormatting sqref="I675">
    <cfRule type="duplicateValues" priority="132" aboveAverage="0" equalAverage="0" bottom="0" percent="0" rank="0" text="" dxfId="257"/>
    <cfRule type="duplicateValues" priority="133" aboveAverage="0" equalAverage="0" bottom="0" percent="0" rank="0" text="" dxfId="258"/>
  </conditionalFormatting>
  <conditionalFormatting sqref="I686">
    <cfRule type="duplicateValues" priority="134" aboveAverage="0" equalAverage="0" bottom="0" percent="0" rank="0" text="" dxfId="259"/>
    <cfRule type="duplicateValues" priority="135" aboveAverage="0" equalAverage="0" bottom="0" percent="0" rank="0" text="" dxfId="260"/>
  </conditionalFormatting>
  <conditionalFormatting sqref="I674">
    <cfRule type="duplicateValues" priority="136" aboveAverage="0" equalAverage="0" bottom="0" percent="0" rank="0" text="" dxfId="261"/>
    <cfRule type="duplicateValues" priority="137" aboveAverage="0" equalAverage="0" bottom="0" percent="0" rank="0" text="" dxfId="262"/>
  </conditionalFormatting>
  <conditionalFormatting sqref="I689">
    <cfRule type="duplicateValues" priority="138" aboveAverage="0" equalAverage="0" bottom="0" percent="0" rank="0" text="" dxfId="263"/>
    <cfRule type="duplicateValues" priority="139" aboveAverage="0" equalAverage="0" bottom="0" percent="0" rank="0" text="" dxfId="264"/>
  </conditionalFormatting>
  <conditionalFormatting sqref="I688">
    <cfRule type="duplicateValues" priority="140" aboveAverage="0" equalAverage="0" bottom="0" percent="0" rank="0" text="" dxfId="265"/>
    <cfRule type="duplicateValues" priority="141" aboveAverage="0" equalAverage="0" bottom="0" percent="0" rank="0" text="" dxfId="266"/>
  </conditionalFormatting>
  <conditionalFormatting sqref="I699">
    <cfRule type="duplicateValues" priority="142" aboveAverage="0" equalAverage="0" bottom="0" percent="0" rank="0" text="" dxfId="267"/>
    <cfRule type="duplicateValues" priority="143" aboveAverage="0" equalAverage="0" bottom="0" percent="0" rank="0" text="" dxfId="268"/>
  </conditionalFormatting>
  <conditionalFormatting sqref="I433">
    <cfRule type="duplicateValues" priority="144" aboveAverage="0" equalAverage="0" bottom="0" percent="0" rank="0" text="" dxfId="269"/>
    <cfRule type="duplicateValues" priority="145" aboveAverage="0" equalAverage="0" bottom="0" percent="0" rank="0" text="" dxfId="270"/>
  </conditionalFormatting>
  <conditionalFormatting sqref="D34">
    <cfRule type="duplicateValues" priority="146" aboveAverage="0" equalAverage="0" bottom="0" percent="0" rank="0" text="" dxfId="271"/>
  </conditionalFormatting>
  <conditionalFormatting sqref="I687">
    <cfRule type="duplicateValues" priority="147" aboveAverage="0" equalAverage="0" bottom="0" percent="0" rank="0" text="" dxfId="272"/>
    <cfRule type="duplicateValues" priority="148" aboveAverage="0" equalAverage="0" bottom="0" percent="0" rank="0" text="" dxfId="273"/>
  </conditionalFormatting>
  <conditionalFormatting sqref="I42:I43 I31:I33">
    <cfRule type="duplicateValues" priority="149" aboveAverage="0" equalAverage="0" bottom="0" percent="0" rank="0" text="" dxfId="274"/>
    <cfRule type="duplicateValues" priority="150" aboveAverage="0" equalAverage="0" bottom="0" percent="0" rank="0" text="" dxfId="275"/>
  </conditionalFormatting>
  <conditionalFormatting sqref="D550">
    <cfRule type="duplicateValues" priority="151" aboveAverage="0" equalAverage="0" bottom="0" percent="0" rank="0" text="" dxfId="276"/>
  </conditionalFormatting>
  <conditionalFormatting sqref="I678:I679 I681 I683:I684 I199:I202 I192 I208:I209">
    <cfRule type="duplicateValues" priority="152" aboveAverage="0" equalAverage="0" bottom="0" percent="0" rank="0" text="" dxfId="277"/>
    <cfRule type="duplicateValues" priority="153" aboveAverage="0" equalAverage="0" bottom="0" percent="0" rank="0" text="" dxfId="278"/>
  </conditionalFormatting>
  <conditionalFormatting sqref="I685 I664 I677">
    <cfRule type="duplicateValues" priority="154" aboveAverage="0" equalAverage="0" bottom="0" percent="0" rank="0" text="" dxfId="279"/>
    <cfRule type="duplicateValues" priority="155" aboveAverage="0" equalAverage="0" bottom="0" percent="0" rank="0" text="" dxfId="280"/>
  </conditionalFormatting>
  <conditionalFormatting sqref="D663 D524">
    <cfRule type="duplicateValues" priority="156" aboveAverage="0" equalAverage="0" bottom="0" percent="0" rank="0" text="" dxfId="281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44:I57 I78 I690 I698 I38:I41 I424:I432 I334:I360 I393:I422 I363:I391 I194 I247:I248 I26:I30 I311:I331 I250 I210:I235 I568:I603 I605:I627 I237:I245 I692:I696 I92:I128 I254:I263 I80:I89 I59:I76 I131:I142 I145:I146 I173:I188 I1:I21 I265:I277">
    <cfRule type="duplicateValues" priority="157" aboveAverage="0" equalAverage="0" bottom="0" percent="0" rank="0" text="" dxfId="282"/>
    <cfRule type="duplicateValues" priority="158" aboveAverage="0" equalAverage="0" bottom="0" percent="0" rank="0" text="" dxfId="283"/>
  </conditionalFormatting>
  <conditionalFormatting sqref="I171:I172 I153:I160 I164:I165">
    <cfRule type="duplicateValues" priority="159" aboveAverage="0" equalAverage="0" bottom="0" percent="0" rank="0" text="" dxfId="284"/>
    <cfRule type="duplicateValues" priority="160" aboveAverage="0" equalAverage="0" bottom="0" percent="0" rank="0" text="" dxfId="285"/>
  </conditionalFormatting>
  <printOptions headings="false" gridLines="fals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Roman,Bold"&amp;12COLLEGE OF ENGINEERING             
DRAFT EXAMINATION TIMETABLE FOR THE SECOND SEMESTER, 2025/2026 ACADEMIC YEAR</oddHeader>
    <oddFooter>&amp;C&amp;"Times New Roman,Regular"&amp;18&amp;Kff0000For computer based exams, venues will be communicated.</oddFooter>
  </headerFooter>
  <rowBreaks count="44" manualBreakCount="44">
    <brk id="11" man="true" max="16383" min="0"/>
    <brk id="30" man="true" max="16383" min="0"/>
    <brk id="43" man="true" max="16383" min="0"/>
    <brk id="63" man="true" max="16383" min="0"/>
    <brk id="81" man="true" max="16383" min="0"/>
    <brk id="95" man="true" max="16383" min="0"/>
    <brk id="108" man="true" max="16383" min="0"/>
    <brk id="123" man="true" max="16383" min="0"/>
    <brk id="135" man="true" max="16383" min="0"/>
    <brk id="152" man="true" max="16383" min="0"/>
    <brk id="165" man="true" max="16383" min="0"/>
    <brk id="181" man="true" max="16383" min="0"/>
    <brk id="198" man="true" max="16383" min="0"/>
    <brk id="209" man="true" max="16383" min="0"/>
    <brk id="221" man="true" max="16383" min="0"/>
    <brk id="240" man="true" max="16383" min="0"/>
    <brk id="255" man="true" max="16383" min="0"/>
    <brk id="269" man="true" max="16383" min="0"/>
    <brk id="283" man="true" max="16383" min="0"/>
    <brk id="299" man="true" max="16383" min="0"/>
    <brk id="312" man="true" max="16383" min="0"/>
    <brk id="338" man="true" max="16383" min="0"/>
    <brk id="353" man="true" max="16383" min="0"/>
    <brk id="366" man="true" max="16383" min="0"/>
    <brk id="378" man="true" max="16383" min="0"/>
    <brk id="394" man="true" max="16383" min="0"/>
    <brk id="409" man="true" max="16383" min="0"/>
    <brk id="426" man="true" max="16383" min="0"/>
    <brk id="450" man="true" max="16383" min="0"/>
    <brk id="467" man="true" max="16383" min="0"/>
    <brk id="483" man="true" max="16383" min="0"/>
    <brk id="497" man="true" max="16383" min="0"/>
    <brk id="518" man="true" max="16383" min="0"/>
    <brk id="534" man="true" max="16383" min="0"/>
    <brk id="551" man="true" max="16383" min="0"/>
    <brk id="570" man="true" max="16383" min="0"/>
    <brk id="583" man="true" max="16383" min="0"/>
    <brk id="594" man="true" max="16383" min="0"/>
    <brk id="607" man="true" max="16383" min="0"/>
    <brk id="623" man="true" max="16383" min="0"/>
    <brk id="641" man="true" max="16383" min="0"/>
    <brk id="659" man="true" max="16383" min="0"/>
    <brk id="672" man="true" max="16383" min="0"/>
    <brk id="686" man="true" max="16383" min="0"/>
  </rowBreaks>
  <colBreaks count="1" manualBreakCount="1">
    <brk id="8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true"/>
  </sheetPr>
  <dimension ref="A1:M704"/>
  <sheetViews>
    <sheetView showFormulas="false" showGridLines="true" showRowColHeaders="true" showZeros="true" rightToLeft="false" tabSelected="true" showOutlineSymbols="true" defaultGridColor="true" view="normal" topLeftCell="A248" colorId="64" zoomScale="100" zoomScaleNormal="100" zoomScalePageLayoutView="100" workbookViewId="0">
      <selection pane="topLeft" activeCell="F259" activeCellId="0" sqref="F259"/>
    </sheetView>
  </sheetViews>
  <sheetFormatPr defaultColWidth="7.7578125" defaultRowHeight="12.75" customHeight="false" zeroHeight="false" outlineLevelRow="0" outlineLevelCol="0"/>
  <cols>
    <col collapsed="false" customWidth="true" hidden="false" outlineLevel="0" max="1" min="1" style="1" width="9.37"/>
    <col collapsed="false" customWidth="true" hidden="false" outlineLevel="0" max="2" min="2" style="1" width="59.13"/>
    <col collapsed="false" customWidth="true" hidden="false" outlineLevel="0" max="3" min="3" style="2" width="34.13"/>
    <col collapsed="false" customWidth="true" hidden="false" outlineLevel="0" max="4" min="4" style="1" width="9.26"/>
    <col collapsed="false" customWidth="true" hidden="false" outlineLevel="0" max="5" min="5" style="4" width="7.37"/>
    <col collapsed="false" customWidth="true" hidden="false" outlineLevel="0" max="6" min="6" style="3" width="58.27"/>
    <col collapsed="false" customWidth="true" hidden="false" outlineLevel="0" max="7" min="7" style="64" width="10"/>
    <col collapsed="false" customWidth="true" hidden="false" outlineLevel="0" max="8" min="8" style="5" width="21.12"/>
    <col collapsed="false" customWidth="true" hidden="false" outlineLevel="0" max="9" min="9" style="6" width="32.76"/>
    <col collapsed="false" customWidth="true" hidden="false" outlineLevel="0" max="10" min="10" style="7" width="41"/>
    <col collapsed="false" customWidth="false" hidden="false" outlineLevel="0" max="16384" min="11" style="7" width="7.75"/>
  </cols>
  <sheetData>
    <row r="1" customFormat="false" ht="14.9" hidden="false" customHeight="false" outlineLevel="0" collapsed="false">
      <c r="A1" s="8" t="s">
        <v>0</v>
      </c>
      <c r="B1" s="8"/>
      <c r="C1" s="8"/>
      <c r="D1" s="8"/>
      <c r="E1" s="8"/>
      <c r="F1" s="8"/>
      <c r="G1" s="8"/>
      <c r="I1" s="9" t="str">
        <f aca="false">A1</f>
        <v>Monday, 17 August 2026</v>
      </c>
      <c r="J1" s="10"/>
    </row>
    <row r="2" customFormat="false" ht="14.9" hidden="false" customHeight="false" outlineLevel="0" collapsed="false">
      <c r="A2" s="8" t="s">
        <v>2</v>
      </c>
      <c r="B2" s="8"/>
      <c r="C2" s="8"/>
      <c r="D2" s="8"/>
      <c r="E2" s="8"/>
      <c r="F2" s="8"/>
      <c r="G2" s="8"/>
      <c r="I2" s="9" t="str">
        <f aca="false">A2</f>
        <v>Session, 1 (8:30 AM - 10:30 AM)</v>
      </c>
      <c r="J2" s="10"/>
      <c r="L2" s="10"/>
    </row>
    <row r="3" customFormat="false" ht="14.9" hidden="false" customHeight="false" outlineLevel="0" collapsed="false">
      <c r="A3" s="11" t="s">
        <v>4</v>
      </c>
      <c r="B3" s="11" t="s">
        <v>5</v>
      </c>
      <c r="C3" s="2" t="s">
        <v>6</v>
      </c>
      <c r="D3" s="11" t="s">
        <v>7</v>
      </c>
      <c r="E3" s="102" t="s">
        <v>8</v>
      </c>
      <c r="F3" s="2" t="s">
        <v>9</v>
      </c>
      <c r="G3" s="103" t="s">
        <v>10</v>
      </c>
      <c r="I3" s="6" t="s">
        <v>11</v>
      </c>
      <c r="J3" s="12"/>
    </row>
    <row r="4" customFormat="false" ht="14.9" hidden="false" customHeight="false" outlineLevel="0" collapsed="false">
      <c r="A4" s="13" t="s">
        <v>12</v>
      </c>
      <c r="B4" s="14" t="str">
        <f aca="false" t="array" ref="B4:B9">IFERROR(VLOOKUP(I4:I9,Lectures_1!A2:F534,2,FALSE()),0)</f>
        <v>DRAWING FOR ENGINEERS</v>
      </c>
      <c r="C4" s="14" t="str">
        <f aca="false" t="array" ref="C4:C9">IFERROR(VLOOKUP(I4:I9,Lectures_1!A2:F534,3,FALSE()),0)</f>
        <v>Darkwah Lawrence</v>
      </c>
      <c r="D4" s="13" t="s">
        <v>13</v>
      </c>
      <c r="E4" s="104" t="n">
        <f aca="false" t="array" ref="E4:E9">IFERROR(VLOOKUP(I4:I9,Lectures_1!A2:F534,4,FALSE()),0)</f>
        <v>160</v>
      </c>
      <c r="F4" s="13" t="s">
        <v>527</v>
      </c>
      <c r="G4" s="105" t="n">
        <f aca="false">E4*1.1</f>
        <v>176</v>
      </c>
      <c r="H4" s="5" t="s">
        <v>528</v>
      </c>
      <c r="I4" s="6" t="str">
        <f aca="false">CONCATENATE(A4,",",D4)</f>
        <v>CHE 258,ED2-CHE</v>
      </c>
      <c r="J4" s="12"/>
    </row>
    <row r="5" s="108" customFormat="true" ht="14.9" hidden="false" customHeight="false" outlineLevel="0" collapsed="false">
      <c r="A5" s="13" t="s">
        <v>12</v>
      </c>
      <c r="B5" s="14" t="str">
        <v>DRAWING FOR ENGINEERS</v>
      </c>
      <c r="C5" s="14" t="str">
        <v>Darkwah Lawrence</v>
      </c>
      <c r="D5" s="13" t="s">
        <v>14</v>
      </c>
      <c r="E5" s="104" t="n">
        <v>65</v>
      </c>
      <c r="F5" s="13" t="s">
        <v>529</v>
      </c>
      <c r="G5" s="105" t="n">
        <f aca="false">E5*1.1</f>
        <v>71.5</v>
      </c>
      <c r="H5" s="5" t="s">
        <v>530</v>
      </c>
      <c r="I5" s="106" t="str">
        <f aca="false">CONCATENATE(A5,",",D5)</f>
        <v>CHE 258,ED2-PCE</v>
      </c>
      <c r="J5" s="107"/>
    </row>
    <row r="6" s="108" customFormat="true" ht="14.9" hidden="false" customHeight="false" outlineLevel="0" collapsed="false">
      <c r="A6" s="13" t="s">
        <v>15</v>
      </c>
      <c r="B6" s="18" t="str">
        <v>OPERATING SYSTEMS</v>
      </c>
      <c r="C6" s="18" t="str">
        <v>Kommey Benjamin</v>
      </c>
      <c r="D6" s="13" t="s">
        <v>16</v>
      </c>
      <c r="E6" s="104" t="n">
        <v>265</v>
      </c>
      <c r="F6" s="19" t="s">
        <v>531</v>
      </c>
      <c r="G6" s="105" t="n">
        <f aca="false">E6*1.1</f>
        <v>291.5</v>
      </c>
      <c r="H6" s="5" t="s">
        <v>532</v>
      </c>
      <c r="I6" s="106" t="str">
        <f aca="false">CONCATENATE(A6,",",D6)</f>
        <v>COE 354,ED3-COE</v>
      </c>
      <c r="J6" s="107"/>
    </row>
    <row r="7" s="116" customFormat="true" ht="14.9" hidden="false" customHeight="false" outlineLevel="0" collapsed="false">
      <c r="A7" s="109" t="s">
        <v>19</v>
      </c>
      <c r="B7" s="110" t="str">
        <v>ELECTRICAL ENG. DRAWING</v>
      </c>
      <c r="C7" s="110" t="str">
        <v>Kwegyir Daniel</v>
      </c>
      <c r="D7" s="109" t="s">
        <v>20</v>
      </c>
      <c r="E7" s="111" t="n">
        <v>262</v>
      </c>
      <c r="F7" s="109" t="s">
        <v>954</v>
      </c>
      <c r="G7" s="112" t="n">
        <f aca="false">E7*1.1</f>
        <v>288.2</v>
      </c>
      <c r="H7" s="113" t="s">
        <v>534</v>
      </c>
      <c r="I7" s="114" t="str">
        <f aca="false">CONCATENATE(A7,",",D7)</f>
        <v>EE 156,ED1-COE</v>
      </c>
      <c r="J7" s="115"/>
    </row>
    <row r="8" customFormat="false" ht="14.9" hidden="false" customHeight="false" outlineLevel="0" collapsed="false">
      <c r="A8" s="13" t="s">
        <v>192</v>
      </c>
      <c r="B8" s="14" t="str">
        <v>PROPULSION</v>
      </c>
      <c r="C8" s="18" t="str">
        <v>Bofah Kwasi Kete</v>
      </c>
      <c r="D8" s="13" t="s">
        <v>133</v>
      </c>
      <c r="E8" s="104" t="n">
        <v>76</v>
      </c>
      <c r="F8" s="19" t="s">
        <v>535</v>
      </c>
      <c r="G8" s="105" t="n">
        <f aca="false">E8*1.1</f>
        <v>83.6</v>
      </c>
      <c r="H8" s="5" t="s">
        <v>536</v>
      </c>
      <c r="I8" s="6" t="str">
        <f aca="false">CONCATENATE(A8,",",D8)</f>
        <v>AERO 368,ED3-AERO</v>
      </c>
      <c r="J8" s="12"/>
    </row>
    <row r="9" customFormat="false" ht="14.9" hidden="false" customHeight="false" outlineLevel="0" collapsed="false">
      <c r="A9" s="13" t="s">
        <v>24</v>
      </c>
      <c r="B9" s="18" t="str">
        <v>DIGITAL SYSTEMS</v>
      </c>
      <c r="C9" s="14" t="str">
        <v>Opoku Daniel</v>
      </c>
      <c r="D9" s="13" t="s">
        <v>25</v>
      </c>
      <c r="E9" s="104" t="n">
        <v>340</v>
      </c>
      <c r="F9" s="13" t="s">
        <v>537</v>
      </c>
      <c r="G9" s="105" t="n">
        <f aca="false">E9*1.1</f>
        <v>374</v>
      </c>
      <c r="H9" s="5" t="s">
        <v>538</v>
      </c>
      <c r="I9" s="6" t="str">
        <f aca="false">CONCATENATE(A9,",",D9)</f>
        <v>EE 272,ED2-EE</v>
      </c>
      <c r="J9" s="12"/>
    </row>
    <row r="10" customFormat="false" ht="14.9" hidden="false" customHeight="false" outlineLevel="0" collapsed="false">
      <c r="A10" s="22"/>
      <c r="B10" s="22"/>
      <c r="D10" s="14" t="s">
        <v>26</v>
      </c>
      <c r="E10" s="117" t="n">
        <f aca="false">SUM(E4:E9)</f>
        <v>1168</v>
      </c>
      <c r="F10" s="23"/>
      <c r="G10" s="118"/>
      <c r="I10" s="9" t="s">
        <v>27</v>
      </c>
      <c r="J10" s="12"/>
    </row>
    <row r="11" customFormat="false" ht="13.8" hidden="false" customHeight="false" outlineLevel="0" collapsed="false">
      <c r="A11" s="22"/>
      <c r="B11" s="22"/>
      <c r="D11" s="14"/>
      <c r="E11" s="117"/>
      <c r="F11" s="23"/>
      <c r="G11" s="118"/>
      <c r="I11" s="9"/>
      <c r="J11" s="12"/>
    </row>
    <row r="12" customFormat="false" ht="14.9" hidden="false" customHeight="false" outlineLevel="0" collapsed="false">
      <c r="A12" s="8" t="s">
        <v>0</v>
      </c>
      <c r="B12" s="8"/>
      <c r="C12" s="8"/>
      <c r="D12" s="8"/>
      <c r="E12" s="8"/>
      <c r="F12" s="8"/>
      <c r="G12" s="8"/>
      <c r="I12" s="9" t="str">
        <f aca="false">A12</f>
        <v>Monday, 17 August 2026</v>
      </c>
      <c r="J12" s="12"/>
    </row>
    <row r="13" s="10" customFormat="true" ht="14.9" hidden="false" customHeight="false" outlineLevel="0" collapsed="false">
      <c r="A13" s="8" t="s">
        <v>29</v>
      </c>
      <c r="B13" s="8"/>
      <c r="C13" s="8"/>
      <c r="D13" s="8"/>
      <c r="E13" s="8"/>
      <c r="F13" s="8"/>
      <c r="G13" s="8"/>
      <c r="H13" s="5"/>
      <c r="I13" s="9" t="str">
        <f aca="false">A13</f>
        <v>Session, 2 (12:00 PM - 2:00 PM)</v>
      </c>
      <c r="J13" s="12"/>
    </row>
    <row r="14" s="10" customFormat="true" ht="14.9" hidden="false" customHeight="false" outlineLevel="0" collapsed="false">
      <c r="A14" s="11" t="s">
        <v>4</v>
      </c>
      <c r="B14" s="11" t="s">
        <v>5</v>
      </c>
      <c r="C14" s="2" t="s">
        <v>6</v>
      </c>
      <c r="D14" s="11" t="s">
        <v>7</v>
      </c>
      <c r="E14" s="102" t="s">
        <v>8</v>
      </c>
      <c r="F14" s="2" t="s">
        <v>9</v>
      </c>
      <c r="G14" s="103" t="s">
        <v>10</v>
      </c>
      <c r="H14" s="5"/>
      <c r="I14" s="9" t="s">
        <v>31</v>
      </c>
      <c r="J14" s="12"/>
    </row>
    <row r="15" s="108" customFormat="true" ht="14.9" hidden="false" customHeight="false" outlineLevel="0" collapsed="false">
      <c r="A15" s="119" t="s">
        <v>32</v>
      </c>
      <c r="B15" s="120" t="str">
        <f aca="false" t="array" ref="B15:B28">IFERROR(VLOOKUP(I15:I28,Lectures_1!A2:F534,2,FALSE()),0)</f>
        <v>MACHINE DESIGN PROJECT</v>
      </c>
      <c r="C15" s="120" t="str">
        <f aca="false" t="array" ref="C15:C28">IFERROR(VLOOKUP(I15:I28,Lectures_1!A2:F534,3,FALSE()),0)</f>
        <v>Andoh Prince Yaw</v>
      </c>
      <c r="D15" s="119" t="s">
        <v>33</v>
      </c>
      <c r="E15" s="121" t="n">
        <f aca="false" t="array" ref="E15:E28">IFERROR(VLOOKUP(I15:I28,Lectures_1!A2:F534,4,FALSE()),0)</f>
        <v>240</v>
      </c>
      <c r="F15" s="20" t="s">
        <v>34</v>
      </c>
      <c r="G15" s="122" t="n">
        <f aca="false">E15*1.1</f>
        <v>264</v>
      </c>
      <c r="H15" s="123"/>
      <c r="I15" s="106" t="str">
        <f aca="false">CONCATENATE(A15,",",D15)</f>
        <v>ME 274,ED2-ME</v>
      </c>
      <c r="J15" s="107"/>
    </row>
    <row r="16" s="108" customFormat="true" ht="14.9" hidden="false" customHeight="false" outlineLevel="0" collapsed="false">
      <c r="A16" s="119" t="s">
        <v>35</v>
      </c>
      <c r="B16" s="124" t="str">
        <v>AEROSPACE DESIGN PROJECT II</v>
      </c>
      <c r="C16" s="124" t="str">
        <v>Andoh Prince Yaw</v>
      </c>
      <c r="D16" s="119" t="s">
        <v>36</v>
      </c>
      <c r="E16" s="125" t="n">
        <v>75</v>
      </c>
      <c r="F16" s="20"/>
      <c r="G16" s="122" t="n">
        <f aca="false">E16*1.1</f>
        <v>82.5</v>
      </c>
      <c r="H16" s="123"/>
      <c r="I16" s="106" t="str">
        <f aca="false">CONCATENATE(A16,",",D16)</f>
        <v>AERO 274,ED2-AERO</v>
      </c>
      <c r="J16" s="107"/>
    </row>
    <row r="17" s="108" customFormat="true" ht="14.9" hidden="false" customHeight="false" outlineLevel="0" collapsed="false">
      <c r="A17" s="119" t="s">
        <v>37</v>
      </c>
      <c r="B17" s="120" t="str">
        <v>SECOND YEAR DESIGN PROJECT</v>
      </c>
      <c r="C17" s="124" t="str">
        <v>Andoh Prince Yaw</v>
      </c>
      <c r="D17" s="119" t="s">
        <v>38</v>
      </c>
      <c r="E17" s="125" t="n">
        <v>80</v>
      </c>
      <c r="F17" s="20"/>
      <c r="G17" s="122" t="n">
        <f aca="false">E17*1.1</f>
        <v>88</v>
      </c>
      <c r="H17" s="126"/>
      <c r="I17" s="106" t="str">
        <f aca="false">CONCATENATE(A17,",",D17)</f>
        <v>IE 274,ED2-IND</v>
      </c>
      <c r="J17" s="107"/>
    </row>
    <row r="18" s="108" customFormat="true" ht="14.9" hidden="false" customHeight="false" outlineLevel="0" collapsed="false">
      <c r="A18" s="119" t="s">
        <v>39</v>
      </c>
      <c r="B18" s="120" t="str">
        <v>AUTOMOTIVE DESIGN PROJECT</v>
      </c>
      <c r="C18" s="124" t="str">
        <v>Andoh Prince Yaw</v>
      </c>
      <c r="D18" s="119" t="s">
        <v>40</v>
      </c>
      <c r="E18" s="125" t="n">
        <v>82</v>
      </c>
      <c r="F18" s="20"/>
      <c r="G18" s="122" t="n">
        <f aca="false">E18*1.1</f>
        <v>90.2</v>
      </c>
      <c r="H18" s="126"/>
      <c r="I18" s="106" t="str">
        <f aca="false">CONCATENATE(A18,",",D18)</f>
        <v>AME 274,ED2-AUTO</v>
      </c>
      <c r="J18" s="107"/>
    </row>
    <row r="19" s="108" customFormat="true" ht="14.9" hidden="false" customHeight="false" outlineLevel="0" collapsed="false">
      <c r="A19" s="119" t="s">
        <v>41</v>
      </c>
      <c r="B19" s="120" t="str">
        <v>MARINE ENGINEERING DESIGN PROJECT II</v>
      </c>
      <c r="C19" s="124" t="str">
        <v>Andoh Prince Yaw</v>
      </c>
      <c r="D19" s="119" t="s">
        <v>42</v>
      </c>
      <c r="E19" s="125" t="n">
        <v>37</v>
      </c>
      <c r="F19" s="20"/>
      <c r="G19" s="122" t="n">
        <f aca="false">E19*1.1</f>
        <v>40.7</v>
      </c>
      <c r="H19" s="126"/>
      <c r="I19" s="106" t="str">
        <f aca="false">CONCATENATE(A19,",",D19)</f>
        <v>MME 274,ED2-MARI</v>
      </c>
      <c r="J19" s="107"/>
    </row>
    <row r="20" customFormat="false" ht="14.9" hidden="false" customHeight="false" outlineLevel="0" collapsed="false">
      <c r="A20" s="13" t="s">
        <v>43</v>
      </c>
      <c r="B20" s="18" t="str">
        <v>PETROLEUM REFINING ENGINEERING</v>
      </c>
      <c r="C20" s="18" t="str">
        <v>Kwao-Boateng Emmanuela</v>
      </c>
      <c r="D20" s="13" t="s">
        <v>44</v>
      </c>
      <c r="E20" s="104" t="n">
        <v>55</v>
      </c>
      <c r="F20" s="19" t="s">
        <v>539</v>
      </c>
      <c r="G20" s="105" t="n">
        <f aca="false">E20*1.1</f>
        <v>60.5</v>
      </c>
      <c r="H20" s="5" t="s">
        <v>540</v>
      </c>
      <c r="I20" s="6" t="str">
        <f aca="false">CONCATENATE(A20,",",D20)</f>
        <v>PCE 450,ED4-PCE</v>
      </c>
      <c r="J20" s="12"/>
    </row>
    <row r="21" customFormat="false" ht="14.9" hidden="false" customHeight="false" outlineLevel="0" collapsed="false">
      <c r="A21" s="13" t="s">
        <v>47</v>
      </c>
      <c r="B21" s="18" t="str">
        <v>REFINING PROCESSES TECHNOLOGY</v>
      </c>
      <c r="C21" s="18" t="str">
        <v>Kwao-Boateng Emmanuela</v>
      </c>
      <c r="D21" s="13" t="s">
        <v>48</v>
      </c>
      <c r="E21" s="104" t="n">
        <v>50</v>
      </c>
      <c r="F21" s="19" t="s">
        <v>541</v>
      </c>
      <c r="G21" s="105" t="n">
        <f aca="false">E21*1.1</f>
        <v>55</v>
      </c>
      <c r="H21" s="5" t="n">
        <v>50</v>
      </c>
      <c r="I21" s="6" t="str">
        <f aca="false">CONCATENATE(A21,",",D21)</f>
        <v>PCE 464,ED4-CHE</v>
      </c>
      <c r="J21" s="12"/>
    </row>
    <row r="22" customFormat="false" ht="14.9" hidden="false" customHeight="false" outlineLevel="0" collapsed="false">
      <c r="A22" s="13" t="s">
        <v>542</v>
      </c>
      <c r="B22" s="14" t="str">
        <v>MECHANICAL ENGINEERING LAB. II</v>
      </c>
      <c r="C22" s="18" t="str">
        <v>Boahen Samuel</v>
      </c>
      <c r="D22" s="13" t="s">
        <v>53</v>
      </c>
      <c r="E22" s="104" t="n">
        <v>155</v>
      </c>
      <c r="F22" s="19" t="s">
        <v>527</v>
      </c>
      <c r="G22" s="105" t="n">
        <f aca="false">E22*1.1</f>
        <v>170.5</v>
      </c>
      <c r="H22" s="5" t="s">
        <v>543</v>
      </c>
      <c r="I22" s="6" t="str">
        <f aca="false">CONCATENATE(A22,",",D22)</f>
        <v>ME 296,ED2-AE</v>
      </c>
      <c r="J22" s="12"/>
    </row>
    <row r="23" s="108" customFormat="true" ht="14.9" hidden="false" customHeight="false" outlineLevel="0" collapsed="false">
      <c r="A23" s="13" t="s">
        <v>72</v>
      </c>
      <c r="B23" s="14" t="str">
        <v>SILICATE TECHNOLOGY II</v>
      </c>
      <c r="C23" s="18" t="str">
        <v>Momade Zsuzsanna Gál</v>
      </c>
      <c r="D23" s="13" t="s">
        <v>73</v>
      </c>
      <c r="E23" s="104" t="n">
        <v>15</v>
      </c>
      <c r="F23" s="19" t="s">
        <v>544</v>
      </c>
      <c r="G23" s="105" t="n">
        <f aca="false">E23*1.1</f>
        <v>16.5</v>
      </c>
      <c r="H23" s="5" t="n">
        <v>15</v>
      </c>
      <c r="I23" s="106" t="str">
        <f aca="false">CONCATENATE(A23,",",D23)</f>
        <v>CHE 362,ED3-CHE</v>
      </c>
      <c r="J23" s="107"/>
    </row>
    <row r="24" s="116" customFormat="true" ht="14.9" hidden="false" customHeight="false" outlineLevel="0" collapsed="false">
      <c r="A24" s="109" t="s">
        <v>234</v>
      </c>
      <c r="B24" s="114" t="str">
        <v>BASIC ELECTRONICS</v>
      </c>
      <c r="C24" s="114" t="str">
        <v>Kwegyir Daniel</v>
      </c>
      <c r="D24" s="109" t="s">
        <v>95</v>
      </c>
      <c r="E24" s="111" t="n">
        <v>103</v>
      </c>
      <c r="F24" s="109" t="s">
        <v>955</v>
      </c>
      <c r="G24" s="112" t="n">
        <f aca="false">E24*1.1</f>
        <v>113.3</v>
      </c>
      <c r="H24" s="113" t="n">
        <v>103</v>
      </c>
      <c r="I24" s="127" t="str">
        <f aca="false">CONCATENATE(A24,",",D24)</f>
        <v>EE 152,ED1-GEOM</v>
      </c>
      <c r="J24" s="115"/>
    </row>
    <row r="25" s="116" customFormat="true" ht="14.9" hidden="false" customHeight="false" outlineLevel="0" collapsed="false">
      <c r="A25" s="109" t="s">
        <v>234</v>
      </c>
      <c r="B25" s="114" t="str">
        <v>BASIC ELECTRONICS</v>
      </c>
      <c r="C25" s="114" t="str">
        <v>Kwegyir Daniel</v>
      </c>
      <c r="D25" s="109" t="s">
        <v>126</v>
      </c>
      <c r="E25" s="111" t="n">
        <v>125</v>
      </c>
      <c r="F25" s="109" t="s">
        <v>956</v>
      </c>
      <c r="G25" s="112" t="n">
        <f aca="false">E25*1.1</f>
        <v>137.5</v>
      </c>
      <c r="H25" s="113" t="n">
        <v>125</v>
      </c>
      <c r="I25" s="127" t="str">
        <f aca="false">CONCATENATE(A25,",",D25)</f>
        <v>EE 152,ED1-GEOL</v>
      </c>
      <c r="J25" s="115"/>
    </row>
    <row r="26" customFormat="false" ht="14.9" hidden="false" customHeight="false" outlineLevel="0" collapsed="false">
      <c r="A26" s="13" t="s">
        <v>74</v>
      </c>
      <c r="B26" s="18" t="str">
        <v>PROPERTIES OF CIVIL ENGINEERING MATERIAL</v>
      </c>
      <c r="C26" s="18" t="str">
        <v>Kankam Charles Kwame</v>
      </c>
      <c r="D26" s="13" t="s">
        <v>75</v>
      </c>
      <c r="E26" s="104" t="n">
        <v>245</v>
      </c>
      <c r="F26" s="19" t="s">
        <v>531</v>
      </c>
      <c r="G26" s="105" t="n">
        <f aca="false">E26*1.1</f>
        <v>269.5</v>
      </c>
      <c r="H26" s="5" t="s">
        <v>547</v>
      </c>
      <c r="I26" s="6" t="str">
        <f aca="false">CONCATENATE(A26,",",D26)</f>
        <v>CE 154,ED1-CE</v>
      </c>
      <c r="J26" s="12"/>
    </row>
    <row r="27" customFormat="false" ht="14.9" hidden="false" customHeight="false" outlineLevel="0" collapsed="false">
      <c r="A27" s="13" t="s">
        <v>54</v>
      </c>
      <c r="B27" s="18" t="str">
        <v>FLUID MECHANICS</v>
      </c>
      <c r="C27" s="14" t="str">
        <v>Anornu Geophrey Kwame</v>
      </c>
      <c r="D27" s="13" t="s">
        <v>55</v>
      </c>
      <c r="E27" s="104" t="n">
        <v>150</v>
      </c>
      <c r="F27" s="19" t="s">
        <v>548</v>
      </c>
      <c r="G27" s="105" t="n">
        <f aca="false">E27*1.1</f>
        <v>165</v>
      </c>
      <c r="H27" s="5" t="s">
        <v>549</v>
      </c>
      <c r="I27" s="6" t="str">
        <f aca="false">CONCATENATE(A27,",",D27)</f>
        <v>CE 256,ED2-GEOL</v>
      </c>
      <c r="J27" s="12"/>
    </row>
    <row r="28" customFormat="false" ht="14.9" hidden="false" customHeight="false" outlineLevel="0" collapsed="false">
      <c r="A28" s="13" t="s">
        <v>54</v>
      </c>
      <c r="B28" s="14" t="str">
        <v>FLUID MECHANICS</v>
      </c>
      <c r="C28" s="14" t="str">
        <v>Anornu Geophrey Kwame</v>
      </c>
      <c r="D28" s="13" t="s">
        <v>56</v>
      </c>
      <c r="E28" s="104" t="n">
        <v>250</v>
      </c>
      <c r="F28" s="19" t="s">
        <v>531</v>
      </c>
      <c r="G28" s="105" t="n">
        <f aca="false">E28*1.1</f>
        <v>275</v>
      </c>
      <c r="H28" s="5" t="s">
        <v>550</v>
      </c>
      <c r="I28" s="6" t="str">
        <f aca="false">CONCATENATE(A28,",",D28)</f>
        <v>CE 256,ED2-CE</v>
      </c>
      <c r="J28" s="12"/>
    </row>
    <row r="29" customFormat="false" ht="14.9" hidden="false" customHeight="false" outlineLevel="0" collapsed="false">
      <c r="A29" s="13"/>
      <c r="B29" s="22"/>
      <c r="D29" s="14" t="s">
        <v>57</v>
      </c>
      <c r="E29" s="117" t="n">
        <f aca="false">SUM(E20:E28)</f>
        <v>1148</v>
      </c>
      <c r="F29" s="23"/>
      <c r="G29" s="118"/>
      <c r="I29" s="9" t="s">
        <v>58</v>
      </c>
      <c r="J29" s="12"/>
    </row>
    <row r="30" customFormat="false" ht="13.8" hidden="false" customHeight="false" outlineLevel="0" collapsed="false">
      <c r="A30" s="13"/>
      <c r="B30" s="22"/>
      <c r="D30" s="14"/>
      <c r="E30" s="117"/>
      <c r="F30" s="23"/>
      <c r="G30" s="118"/>
      <c r="I30" s="9"/>
      <c r="J30" s="12"/>
    </row>
    <row r="31" customFormat="false" ht="14.9" hidden="false" customHeight="false" outlineLevel="0" collapsed="false">
      <c r="A31" s="8" t="s">
        <v>0</v>
      </c>
      <c r="B31" s="8"/>
      <c r="C31" s="8"/>
      <c r="D31" s="8"/>
      <c r="E31" s="8"/>
      <c r="F31" s="8"/>
      <c r="G31" s="8"/>
      <c r="I31" s="9" t="str">
        <f aca="false">A31</f>
        <v>Monday, 17 August 2026</v>
      </c>
      <c r="J31" s="12"/>
    </row>
    <row r="32" s="10" customFormat="true" ht="14.9" hidden="false" customHeight="false" outlineLevel="0" collapsed="false">
      <c r="A32" s="8" t="s">
        <v>59</v>
      </c>
      <c r="B32" s="8"/>
      <c r="C32" s="8"/>
      <c r="D32" s="8"/>
      <c r="E32" s="8"/>
      <c r="F32" s="8"/>
      <c r="G32" s="8"/>
      <c r="H32" s="5"/>
      <c r="I32" s="9" t="str">
        <f aca="false">A32</f>
        <v>Session, 3 (3:00 PM - 5:00 PM)</v>
      </c>
      <c r="J32" s="12"/>
    </row>
    <row r="33" s="10" customFormat="true" ht="14.9" hidden="false" customHeight="false" outlineLevel="0" collapsed="false">
      <c r="A33" s="11" t="s">
        <v>4</v>
      </c>
      <c r="B33" s="11" t="s">
        <v>5</v>
      </c>
      <c r="C33" s="2" t="s">
        <v>6</v>
      </c>
      <c r="D33" s="11" t="s">
        <v>7</v>
      </c>
      <c r="E33" s="102" t="s">
        <v>8</v>
      </c>
      <c r="F33" s="2" t="s">
        <v>9</v>
      </c>
      <c r="G33" s="103" t="s">
        <v>10</v>
      </c>
      <c r="H33" s="5"/>
      <c r="I33" s="9" t="s">
        <v>31</v>
      </c>
      <c r="J33" s="12"/>
    </row>
    <row r="34" s="108" customFormat="true" ht="14.9" hidden="false" customHeight="false" outlineLevel="0" collapsed="false">
      <c r="A34" s="119" t="s">
        <v>60</v>
      </c>
      <c r="B34" s="120" t="str">
        <f aca="false" t="array" ref="B34:B41">IFERROR(VLOOKUP(I34:I41,Lectures_1!A2:F534,2,FALSE()),0)</f>
        <v>MACHINE ELEMENTS DESIGN II</v>
      </c>
      <c r="C34" s="128" t="str">
        <f aca="false" t="array" ref="C34:C41">IFERROR(VLOOKUP(I34:I41,Lectures_1!A2:F534,3,FALSE()),0)</f>
        <v>Andoh Prince Yaw</v>
      </c>
      <c r="D34" s="129" t="s">
        <v>61</v>
      </c>
      <c r="E34" s="125" t="n">
        <f aca="false" t="array" ref="E34:E41">IFERROR(VLOOKUP(I34:I41,Lectures_1!A2:F534,4,FALSE()),0)</f>
        <v>222</v>
      </c>
      <c r="F34" s="130" t="s">
        <v>551</v>
      </c>
      <c r="G34" s="122" t="n">
        <f aca="false">E34*1.1</f>
        <v>244.2</v>
      </c>
      <c r="H34" s="123"/>
      <c r="I34" s="106" t="str">
        <f aca="false">CONCATENATE(A34,",",D34)</f>
        <v>ME 374,ED3-ME</v>
      </c>
      <c r="J34" s="107"/>
    </row>
    <row r="35" customFormat="false" ht="14.9" hidden="false" customHeight="false" outlineLevel="0" collapsed="false">
      <c r="A35" s="13" t="s">
        <v>66</v>
      </c>
      <c r="B35" s="14" t="str">
        <v>INSTRUMENTATION</v>
      </c>
      <c r="C35" s="14" t="str">
        <v>Adam Faisal Wahib</v>
      </c>
      <c r="D35" s="13" t="s">
        <v>67</v>
      </c>
      <c r="E35" s="104" t="n">
        <v>135</v>
      </c>
      <c r="F35" s="19" t="s">
        <v>552</v>
      </c>
      <c r="G35" s="105" t="n">
        <f aca="false">E35*1.1</f>
        <v>148.5</v>
      </c>
      <c r="H35" s="5" t="s">
        <v>553</v>
      </c>
      <c r="I35" s="6" t="str">
        <f aca="false">CONCATENATE(A35,",",D35)</f>
        <v>ME 464,ED4-ME</v>
      </c>
      <c r="J35" s="12"/>
    </row>
    <row r="36" s="108" customFormat="true" ht="14.9" hidden="false" customHeight="false" outlineLevel="0" collapsed="false">
      <c r="A36" s="13" t="s">
        <v>495</v>
      </c>
      <c r="B36" s="14" t="str">
        <v>QUANTITIES AND COST ESTIMATION IN CIVIL ENGINEERING</v>
      </c>
      <c r="C36" s="14" t="str">
        <v>Osei Jack Banahene</v>
      </c>
      <c r="D36" s="13" t="s">
        <v>157</v>
      </c>
      <c r="E36" s="104" t="n">
        <v>230</v>
      </c>
      <c r="F36" s="53" t="s">
        <v>554</v>
      </c>
      <c r="G36" s="105" t="n">
        <f aca="false">E36*1.1</f>
        <v>253</v>
      </c>
      <c r="H36" s="50" t="s">
        <v>555</v>
      </c>
      <c r="I36" s="106" t="str">
        <f aca="false">CONCATENATE(A36,",",D36)</f>
        <v>CE 376,ED3-CE</v>
      </c>
      <c r="J36" s="107"/>
    </row>
    <row r="37" customFormat="false" ht="14.9" hidden="false" customHeight="false" outlineLevel="0" collapsed="false">
      <c r="A37" s="13" t="s">
        <v>70</v>
      </c>
      <c r="B37" s="14" t="str">
        <v>SUBSTATIONS AND TRANSMISSION LINE DESIGN</v>
      </c>
      <c r="C37" s="14" t="str">
        <v>Antoh Emmanuel Kwaku</v>
      </c>
      <c r="D37" s="13" t="s">
        <v>71</v>
      </c>
      <c r="E37" s="104" t="n">
        <v>240</v>
      </c>
      <c r="F37" s="19" t="s">
        <v>556</v>
      </c>
      <c r="G37" s="105" t="n">
        <f aca="false">E37*1.1</f>
        <v>264</v>
      </c>
      <c r="H37" s="5" t="s">
        <v>557</v>
      </c>
      <c r="I37" s="6" t="str">
        <f aca="false">CONCATENATE(A37,",",D37)</f>
        <v>EE 362,ED3-EE</v>
      </c>
      <c r="J37" s="12"/>
    </row>
    <row r="38" customFormat="false" ht="14.9" hidden="false" customHeight="false" outlineLevel="0" collapsed="false">
      <c r="A38" s="13" t="s">
        <v>443</v>
      </c>
      <c r="B38" s="14" t="str">
        <v>MANUAL POWER TRAIN</v>
      </c>
      <c r="C38" s="18" t="str">
        <v>Abu Frimpong Solomon</v>
      </c>
      <c r="D38" s="13" t="s">
        <v>23</v>
      </c>
      <c r="E38" s="104" t="n">
        <v>40</v>
      </c>
      <c r="F38" s="19" t="s">
        <v>558</v>
      </c>
      <c r="G38" s="105" t="n">
        <f aca="false">E38*1.1</f>
        <v>44</v>
      </c>
      <c r="H38" s="3" t="s">
        <v>559</v>
      </c>
      <c r="I38" s="6" t="str">
        <f aca="false">CONCATENATE(A38,",",D38)</f>
        <v>AME 386,ED3-AUTO</v>
      </c>
      <c r="J38" s="12"/>
    </row>
    <row r="39" customFormat="false" ht="14.9" hidden="false" customHeight="false" outlineLevel="0" collapsed="false">
      <c r="A39" s="13" t="s">
        <v>68</v>
      </c>
      <c r="B39" s="14" t="str">
        <v>NAVAL ARCHITECTURE II</v>
      </c>
      <c r="C39" s="14" t="str">
        <v>Kudzedzi Emmanuel Yaw Mawuko</v>
      </c>
      <c r="D39" s="13" t="s">
        <v>69</v>
      </c>
      <c r="E39" s="104" t="n">
        <v>23</v>
      </c>
      <c r="F39" s="19" t="s">
        <v>560</v>
      </c>
      <c r="G39" s="105" t="n">
        <f aca="false">E39*1.1</f>
        <v>25.3</v>
      </c>
      <c r="H39" s="5" t="n">
        <v>23</v>
      </c>
      <c r="I39" s="6" t="str">
        <f aca="false">CONCATENATE(A39,",",D39)</f>
        <v>MME 482,ED4-MARI</v>
      </c>
      <c r="J39" s="12"/>
    </row>
    <row r="40" customFormat="false" ht="14.9" hidden="false" customHeight="false" outlineLevel="0" collapsed="false">
      <c r="A40" s="13" t="s">
        <v>17</v>
      </c>
      <c r="B40" s="18" t="str">
        <v>WELL TESTING</v>
      </c>
      <c r="C40" s="14" t="str">
        <v>Adenutsi Caspar Daniel</v>
      </c>
      <c r="D40" s="13" t="s">
        <v>18</v>
      </c>
      <c r="E40" s="104" t="n">
        <v>80</v>
      </c>
      <c r="F40" s="19" t="s">
        <v>533</v>
      </c>
      <c r="G40" s="105" t="n">
        <f aca="false">E40*1.1</f>
        <v>88</v>
      </c>
      <c r="H40" s="5" t="s">
        <v>561</v>
      </c>
      <c r="I40" s="6" t="str">
        <f aca="false">CONCATENATE(A40,",",D40)</f>
        <v>PE 360,ED3-PE</v>
      </c>
      <c r="J40" s="12"/>
    </row>
    <row r="41" customFormat="false" ht="14.9" hidden="false" customHeight="false" outlineLevel="0" collapsed="false">
      <c r="A41" s="13" t="s">
        <v>76</v>
      </c>
      <c r="B41" s="14" t="str">
        <v>ANALYSIS OF ERRORS</v>
      </c>
      <c r="C41" s="18" t="str">
        <v>Collins Fosu</v>
      </c>
      <c r="D41" s="13" t="s">
        <v>77</v>
      </c>
      <c r="E41" s="104" t="n">
        <v>122</v>
      </c>
      <c r="F41" s="19" t="s">
        <v>562</v>
      </c>
      <c r="G41" s="105" t="n">
        <f aca="false">E41*1.1</f>
        <v>134.2</v>
      </c>
      <c r="H41" s="5" t="s">
        <v>563</v>
      </c>
      <c r="I41" s="6" t="str">
        <f aca="false">CONCATENATE(A41,",",D41)</f>
        <v>GE 372,ED3-GEOM</v>
      </c>
      <c r="J41" s="12"/>
    </row>
    <row r="42" customFormat="false" ht="14.9" hidden="false" customHeight="false" outlineLevel="0" collapsed="false">
      <c r="A42" s="13"/>
      <c r="B42" s="22"/>
      <c r="D42" s="14" t="s">
        <v>57</v>
      </c>
      <c r="E42" s="117" t="n">
        <f aca="false">SUM(E34:E41)</f>
        <v>1092</v>
      </c>
      <c r="F42" s="23"/>
      <c r="G42" s="118"/>
      <c r="I42" s="9" t="s">
        <v>58</v>
      </c>
      <c r="J42" s="12"/>
    </row>
    <row r="43" customFormat="false" ht="13.8" hidden="false" customHeight="false" outlineLevel="0" collapsed="false">
      <c r="A43" s="13"/>
      <c r="B43" s="22"/>
      <c r="D43" s="14"/>
      <c r="E43" s="117"/>
      <c r="F43" s="23"/>
      <c r="G43" s="118"/>
      <c r="I43" s="9"/>
      <c r="J43" s="12"/>
    </row>
    <row r="44" s="135" customFormat="true" ht="14.9" hidden="false" customHeight="false" outlineLevel="0" collapsed="false">
      <c r="A44" s="131" t="s">
        <v>78</v>
      </c>
      <c r="B44" s="131"/>
      <c r="C44" s="131"/>
      <c r="D44" s="131"/>
      <c r="E44" s="131"/>
      <c r="F44" s="131"/>
      <c r="G44" s="131"/>
      <c r="H44" s="132"/>
      <c r="I44" s="133" t="str">
        <f aca="false">A44</f>
        <v>Tuesday, 18 August 2026</v>
      </c>
      <c r="J44" s="134"/>
    </row>
    <row r="45" s="135" customFormat="true" ht="14.9" hidden="false" customHeight="false" outlineLevel="0" collapsed="false">
      <c r="A45" s="131" t="s">
        <v>2</v>
      </c>
      <c r="B45" s="131"/>
      <c r="C45" s="131"/>
      <c r="D45" s="131"/>
      <c r="E45" s="131"/>
      <c r="F45" s="131"/>
      <c r="G45" s="131"/>
      <c r="H45" s="132"/>
      <c r="I45" s="133" t="str">
        <f aca="false">A45</f>
        <v>Session, 1 (8:30 AM - 10:30 AM)</v>
      </c>
      <c r="J45" s="134"/>
      <c r="L45" s="134"/>
    </row>
    <row r="46" customFormat="false" ht="14.9" hidden="false" customHeight="false" outlineLevel="0" collapsed="false">
      <c r="A46" s="11" t="s">
        <v>4</v>
      </c>
      <c r="B46" s="11" t="s">
        <v>5</v>
      </c>
      <c r="C46" s="2" t="s">
        <v>6</v>
      </c>
      <c r="D46" s="11" t="s">
        <v>7</v>
      </c>
      <c r="E46" s="102" t="s">
        <v>8</v>
      </c>
      <c r="F46" s="2" t="s">
        <v>9</v>
      </c>
      <c r="G46" s="103" t="s">
        <v>10</v>
      </c>
      <c r="I46" s="6" t="s">
        <v>11</v>
      </c>
      <c r="J46" s="12"/>
    </row>
    <row r="47" s="108" customFormat="true" ht="14.9" hidden="false" customHeight="false" outlineLevel="0" collapsed="false">
      <c r="A47" s="119" t="s">
        <v>79</v>
      </c>
      <c r="B47" s="120" t="str">
        <f aca="false" t="array" ref="B47:B60">IFERROR(VLOOKUP(I47:I60,Lectures_1!A2:F534,2,FALSE()),0)</f>
        <v>GENERAL PHYSICS</v>
      </c>
      <c r="C47" s="124" t="str">
        <f aca="false" t="array" ref="C47:C60">IFERROR(VLOOKUP(I47:I60,Lectures_1!A2:F534,3,FALSE()),0)</f>
        <v>Boateng Cyril Dziedzorm</v>
      </c>
      <c r="D47" s="119" t="s">
        <v>80</v>
      </c>
      <c r="E47" s="125" t="n">
        <f aca="false" t="array" ref="E47:E60">IFERROR(VLOOKUP(I47:I60,Lectures_1!A2:F534,4,FALSE()),0)</f>
        <v>120</v>
      </c>
      <c r="F47" s="20" t="s">
        <v>34</v>
      </c>
      <c r="G47" s="122" t="n">
        <f aca="false">E47*1.1</f>
        <v>132</v>
      </c>
      <c r="H47" s="123"/>
      <c r="I47" s="106" t="str">
        <f aca="false">CONCATENATE(A47,",",D47)</f>
        <v>PHY 170,ED1-CHE</v>
      </c>
      <c r="J47" s="107"/>
    </row>
    <row r="48" s="108" customFormat="true" ht="14.9" hidden="false" customHeight="false" outlineLevel="0" collapsed="false">
      <c r="A48" s="119" t="s">
        <v>79</v>
      </c>
      <c r="B48" s="120" t="str">
        <v>GENERAL PHYSICS</v>
      </c>
      <c r="C48" s="124" t="str">
        <v>Abavare Eric Kwabena Kyeh</v>
      </c>
      <c r="D48" s="119" t="s">
        <v>81</v>
      </c>
      <c r="E48" s="125" t="n">
        <v>56</v>
      </c>
      <c r="F48" s="20"/>
      <c r="G48" s="122" t="n">
        <f aca="false">E48*1.1</f>
        <v>61.6</v>
      </c>
      <c r="H48" s="123"/>
      <c r="I48" s="106" t="str">
        <f aca="false">CONCATENATE(A48,",",D48)</f>
        <v>PHY 170,ED1-PCE</v>
      </c>
      <c r="J48" s="107"/>
    </row>
    <row r="49" s="108" customFormat="true" ht="14.9" hidden="false" customHeight="false" outlineLevel="0" collapsed="false">
      <c r="A49" s="119" t="s">
        <v>79</v>
      </c>
      <c r="B49" s="120" t="str">
        <v>GENERAL PHYSICS</v>
      </c>
      <c r="C49" s="124" t="str">
        <v>Boateng Cyril Dziedzorm</v>
      </c>
      <c r="D49" s="119" t="s">
        <v>82</v>
      </c>
      <c r="E49" s="125" t="n">
        <v>130</v>
      </c>
      <c r="F49" s="20"/>
      <c r="G49" s="122" t="n">
        <f aca="false">E49*1.1</f>
        <v>143</v>
      </c>
      <c r="H49" s="123"/>
      <c r="I49" s="106" t="str">
        <f aca="false">CONCATENATE(A49,",",D49)</f>
        <v>PHY 170,ED1-PE</v>
      </c>
      <c r="J49" s="107"/>
    </row>
    <row r="50" customFormat="false" ht="14.9" hidden="false" customHeight="false" outlineLevel="0" collapsed="false">
      <c r="A50" s="13" t="s">
        <v>84</v>
      </c>
      <c r="B50" s="14" t="str">
        <v>SEAMANSHIP</v>
      </c>
      <c r="C50" s="18" t="str">
        <v>Larkai Francis Laako</v>
      </c>
      <c r="D50" s="13" t="s">
        <v>42</v>
      </c>
      <c r="E50" s="104" t="n">
        <v>37</v>
      </c>
      <c r="F50" s="19" t="s">
        <v>560</v>
      </c>
      <c r="G50" s="105" t="n">
        <f aca="false">E50*1.1</f>
        <v>40.7</v>
      </c>
      <c r="H50" s="5" t="n">
        <v>37</v>
      </c>
      <c r="I50" s="6" t="str">
        <f aca="false">CONCATENATE(A50,",",D50)</f>
        <v>MME 292,ED2-MARI</v>
      </c>
      <c r="J50" s="12"/>
    </row>
    <row r="51" customFormat="false" ht="14.9" hidden="false" customHeight="false" outlineLevel="0" collapsed="false">
      <c r="A51" s="13" t="s">
        <v>85</v>
      </c>
      <c r="B51" s="14" t="str">
        <v>MARINE ENGINEERING LABORATORY III</v>
      </c>
      <c r="C51" s="14" t="str">
        <v>Tay Godwin Fabiola Kwaku</v>
      </c>
      <c r="D51" s="13" t="s">
        <v>86</v>
      </c>
      <c r="E51" s="104" t="n">
        <v>40</v>
      </c>
      <c r="F51" s="19" t="s">
        <v>541</v>
      </c>
      <c r="G51" s="105" t="n">
        <f aca="false">E51*1.1</f>
        <v>44</v>
      </c>
      <c r="H51" s="5" t="n">
        <v>40</v>
      </c>
      <c r="I51" s="6" t="str">
        <f aca="false">CONCATENATE(A51,",",D51)</f>
        <v>MME 396,ED3-MARI</v>
      </c>
      <c r="J51" s="12"/>
    </row>
    <row r="52" customFormat="false" ht="14.9" hidden="false" customHeight="false" outlineLevel="0" collapsed="false">
      <c r="A52" s="13" t="s">
        <v>87</v>
      </c>
      <c r="B52" s="18" t="str">
        <v>RENEWABLE ENERGY SYSTEMS AND MANAGEMENT</v>
      </c>
      <c r="C52" s="18" t="str">
        <v>Kemausuor Francis</v>
      </c>
      <c r="D52" s="13" t="s">
        <v>88</v>
      </c>
      <c r="E52" s="104" t="n">
        <v>101</v>
      </c>
      <c r="F52" s="19" t="s">
        <v>564</v>
      </c>
      <c r="G52" s="105" t="n">
        <f aca="false">E52*1.1</f>
        <v>111.1</v>
      </c>
      <c r="H52" s="5" t="s">
        <v>565</v>
      </c>
      <c r="I52" s="6" t="str">
        <f aca="false">CONCATENATE(A52,",",D52)</f>
        <v>AE 358,ED3-AE</v>
      </c>
      <c r="J52" s="12"/>
    </row>
    <row r="53" customFormat="false" ht="14.9" hidden="false" customHeight="false" outlineLevel="0" collapsed="false">
      <c r="A53" s="13" t="s">
        <v>89</v>
      </c>
      <c r="B53" s="18" t="str">
        <v>INTRODUCTION TO LIGHTING AND ACOUSTICS</v>
      </c>
      <c r="C53" s="18" t="str">
        <v>Amos-Abanyie Samuel</v>
      </c>
      <c r="D53" s="13" t="s">
        <v>75</v>
      </c>
      <c r="E53" s="104" t="n">
        <v>55</v>
      </c>
      <c r="F53" s="19" t="s">
        <v>545</v>
      </c>
      <c r="G53" s="105" t="n">
        <f aca="false">E53*1.1</f>
        <v>60.5</v>
      </c>
      <c r="H53" s="5" t="n">
        <v>55</v>
      </c>
      <c r="I53" s="6" t="str">
        <f aca="false">CONCATENATE(A53,",",D53)</f>
        <v>ARC 156,ED1-CE</v>
      </c>
      <c r="J53" s="12"/>
    </row>
    <row r="54" s="116" customFormat="true" ht="14.9" hidden="false" customHeight="false" outlineLevel="0" collapsed="false">
      <c r="A54" s="109" t="s">
        <v>90</v>
      </c>
      <c r="B54" s="114" t="str">
        <v>INTRODUCTION TO COMMUNICATION NETWORKS</v>
      </c>
      <c r="C54" s="114" t="str">
        <v>Agyemang Justice Owusu</v>
      </c>
      <c r="D54" s="109" t="s">
        <v>91</v>
      </c>
      <c r="E54" s="111" t="n">
        <v>130</v>
      </c>
      <c r="F54" s="109" t="s">
        <v>956</v>
      </c>
      <c r="G54" s="112" t="n">
        <f aca="false">E54*1.1</f>
        <v>143</v>
      </c>
      <c r="H54" s="113" t="n">
        <v>130</v>
      </c>
      <c r="I54" s="127" t="str">
        <f aca="false">CONCATENATE(A54,",",D54)</f>
        <v>TE 156,ED1-TEL</v>
      </c>
      <c r="J54" s="115"/>
    </row>
    <row r="55" s="116" customFormat="true" ht="14.9" hidden="false" customHeight="false" outlineLevel="0" collapsed="false">
      <c r="A55" s="109" t="s">
        <v>62</v>
      </c>
      <c r="B55" s="110" t="str">
        <v>PETROCHEMICAL ENGINEERING LABORATORY II</v>
      </c>
      <c r="C55" s="110" t="str">
        <v>Bonsu Jude Kwaku</v>
      </c>
      <c r="D55" s="109" t="s">
        <v>63</v>
      </c>
      <c r="E55" s="111" t="n">
        <v>53</v>
      </c>
      <c r="F55" s="109" t="s">
        <v>955</v>
      </c>
      <c r="G55" s="112" t="n">
        <f aca="false">E55*1.1</f>
        <v>58.3</v>
      </c>
      <c r="H55" s="113" t="n">
        <v>53</v>
      </c>
      <c r="I55" s="136" t="str">
        <f aca="false">CONCATENATE(A55,",",D55)</f>
        <v>PCE 354,ED3-PCE</v>
      </c>
      <c r="J55" s="115"/>
    </row>
    <row r="56" customFormat="false" ht="14.9" hidden="false" customHeight="false" outlineLevel="0" collapsed="false">
      <c r="A56" s="13" t="s">
        <v>92</v>
      </c>
      <c r="B56" s="14" t="str">
        <v>DRAWING FOR ENGINEERS</v>
      </c>
      <c r="C56" s="14" t="str">
        <v>Jones Twumasi</v>
      </c>
      <c r="D56" s="13" t="s">
        <v>93</v>
      </c>
      <c r="E56" s="104" t="n">
        <v>95</v>
      </c>
      <c r="F56" s="13" t="s">
        <v>567</v>
      </c>
      <c r="G56" s="105" t="n">
        <f aca="false">E56*1.1</f>
        <v>104.5</v>
      </c>
      <c r="H56" s="5" t="s">
        <v>568</v>
      </c>
      <c r="I56" s="29" t="str">
        <f aca="false">CONCATENATE(A56,",",D56)</f>
        <v>PE 254,ED2-PE</v>
      </c>
      <c r="J56" s="12"/>
    </row>
    <row r="57" customFormat="false" ht="14.9" hidden="false" customHeight="false" outlineLevel="0" collapsed="false">
      <c r="A57" s="13" t="s">
        <v>64</v>
      </c>
      <c r="B57" s="14" t="str">
        <v>BIOINSTRUMENTATION I</v>
      </c>
      <c r="C57" s="18" t="str">
        <v>Acquah Isaac</v>
      </c>
      <c r="D57" s="13" t="s">
        <v>65</v>
      </c>
      <c r="E57" s="104" t="n">
        <v>90</v>
      </c>
      <c r="F57" s="13" t="s">
        <v>569</v>
      </c>
      <c r="G57" s="105" t="n">
        <f aca="false">E57*1.1</f>
        <v>99</v>
      </c>
      <c r="H57" s="5" t="s">
        <v>570</v>
      </c>
      <c r="I57" s="6" t="str">
        <f aca="false">CONCATENATE(A57,",",D57)</f>
        <v>BME 372,ED3-BME</v>
      </c>
      <c r="J57" s="12"/>
    </row>
    <row r="58" customFormat="false" ht="14.9" hidden="false" customHeight="false" outlineLevel="0" collapsed="false">
      <c r="A58" s="13" t="s">
        <v>49</v>
      </c>
      <c r="B58" s="18" t="str">
        <v>CROP LOSSES AND THEIR CONTROL</v>
      </c>
      <c r="C58" s="18" t="str">
        <v>Darko Joseph Ofei </v>
      </c>
      <c r="D58" s="13" t="s">
        <v>50</v>
      </c>
      <c r="E58" s="104" t="n">
        <v>103</v>
      </c>
      <c r="F58" s="19" t="s">
        <v>571</v>
      </c>
      <c r="G58" s="105" t="n">
        <f aca="false">E58*1.1</f>
        <v>113.3</v>
      </c>
      <c r="H58" s="5" t="s">
        <v>572</v>
      </c>
      <c r="I58" s="6" t="str">
        <f aca="false">CONCATENATE(A58,",",D58)</f>
        <v>AE 458,ED4-AE</v>
      </c>
      <c r="J58" s="12"/>
    </row>
    <row r="59" customFormat="false" ht="14.9" hidden="false" customHeight="false" outlineLevel="0" collapsed="false">
      <c r="A59" s="13" t="s">
        <v>102</v>
      </c>
      <c r="B59" s="14" t="str">
        <v>ENVIRONMENTAL QUALITY ENGINEERING II</v>
      </c>
      <c r="C59" s="18" t="str">
        <v>Appiah-Effah Eugene</v>
      </c>
      <c r="D59" s="13" t="s">
        <v>103</v>
      </c>
      <c r="E59" s="104" t="n">
        <v>115</v>
      </c>
      <c r="F59" s="19" t="s">
        <v>569</v>
      </c>
      <c r="G59" s="105" t="n">
        <f aca="false">E59*1.1</f>
        <v>126.5</v>
      </c>
      <c r="H59" s="5" t="s">
        <v>573</v>
      </c>
      <c r="I59" s="6" t="str">
        <f aca="false">CONCATENATE(A59,",",D59)</f>
        <v>CE 464,ED4-CE</v>
      </c>
      <c r="J59" s="12"/>
    </row>
    <row r="60" customFormat="false" ht="14.9" hidden="false" customHeight="false" outlineLevel="0" collapsed="false">
      <c r="A60" s="13" t="s">
        <v>132</v>
      </c>
      <c r="B60" s="18" t="str">
        <v>AEROSPACE ENGINEERING LAB II</v>
      </c>
      <c r="C60" s="18" t="str">
        <v>Oppong David Kofi</v>
      </c>
      <c r="D60" s="13" t="s">
        <v>133</v>
      </c>
      <c r="E60" s="104" t="n">
        <v>76</v>
      </c>
      <c r="F60" s="19" t="s">
        <v>574</v>
      </c>
      <c r="G60" s="105" t="n">
        <f aca="false">E60*1.1</f>
        <v>83.6</v>
      </c>
      <c r="H60" s="5" t="s">
        <v>575</v>
      </c>
      <c r="I60" s="6" t="str">
        <f aca="false">CONCATENATE(A60,",",D60)</f>
        <v>AERO 396,ED3-AERO</v>
      </c>
      <c r="J60" s="12"/>
    </row>
    <row r="61" customFormat="false" ht="14.9" hidden="false" customHeight="false" outlineLevel="0" collapsed="false">
      <c r="A61" s="22"/>
      <c r="B61" s="22"/>
      <c r="D61" s="14" t="s">
        <v>105</v>
      </c>
      <c r="E61" s="117" t="n">
        <f aca="false">SUM(E50:E60)</f>
        <v>895</v>
      </c>
      <c r="F61" s="23"/>
      <c r="G61" s="118"/>
      <c r="I61" s="9" t="s">
        <v>27</v>
      </c>
      <c r="J61" s="12"/>
    </row>
    <row r="62" customFormat="false" ht="14.9" hidden="false" customHeight="false" outlineLevel="0" collapsed="false">
      <c r="A62" s="22"/>
      <c r="B62" s="22"/>
      <c r="D62" s="22"/>
      <c r="E62" s="137"/>
      <c r="F62" s="23"/>
      <c r="G62" s="118"/>
      <c r="I62" s="9" t="s">
        <v>106</v>
      </c>
      <c r="J62" s="12"/>
    </row>
    <row r="63" customFormat="false" ht="14.9" hidden="false" customHeight="false" outlineLevel="0" collapsed="false">
      <c r="A63" s="8" t="s">
        <v>78</v>
      </c>
      <c r="B63" s="8"/>
      <c r="C63" s="8"/>
      <c r="D63" s="8"/>
      <c r="E63" s="8"/>
      <c r="F63" s="8"/>
      <c r="G63" s="8"/>
      <c r="I63" s="9" t="str">
        <f aca="false">A63</f>
        <v>Tuesday, 18 August 2026</v>
      </c>
      <c r="J63" s="12"/>
    </row>
    <row r="64" s="10" customFormat="true" ht="14.9" hidden="false" customHeight="false" outlineLevel="0" collapsed="false">
      <c r="A64" s="8" t="s">
        <v>29</v>
      </c>
      <c r="B64" s="8"/>
      <c r="C64" s="8"/>
      <c r="D64" s="8"/>
      <c r="E64" s="8"/>
      <c r="F64" s="8"/>
      <c r="G64" s="8"/>
      <c r="H64" s="5"/>
      <c r="I64" s="9" t="str">
        <f aca="false">A64</f>
        <v>Session, 2 (12:00 PM - 2:00 PM)</v>
      </c>
      <c r="J64" s="12"/>
    </row>
    <row r="65" s="10" customFormat="true" ht="14.9" hidden="false" customHeight="false" outlineLevel="0" collapsed="false">
      <c r="A65" s="11" t="s">
        <v>4</v>
      </c>
      <c r="B65" s="11" t="s">
        <v>5</v>
      </c>
      <c r="C65" s="2" t="s">
        <v>6</v>
      </c>
      <c r="D65" s="11" t="s">
        <v>7</v>
      </c>
      <c r="E65" s="102" t="s">
        <v>8</v>
      </c>
      <c r="F65" s="2" t="s">
        <v>9</v>
      </c>
      <c r="G65" s="103" t="s">
        <v>10</v>
      </c>
      <c r="H65" s="5"/>
      <c r="I65" s="9" t="s">
        <v>31</v>
      </c>
      <c r="J65" s="12"/>
    </row>
    <row r="66" s="116" customFormat="true" ht="14.9" hidden="false" customHeight="false" outlineLevel="0" collapsed="false">
      <c r="A66" s="109" t="s">
        <v>107</v>
      </c>
      <c r="B66" s="110" t="str">
        <f aca="false" t="array" ref="B66:B79">IFERROR(VLOOKUP(I66:I79,Lectures_1!A2:F534,2,FALSE()),0)</f>
        <v>OBJECT-ORIENTED PROGRAMMING</v>
      </c>
      <c r="C66" s="114" t="str">
        <f aca="false" t="array" ref="C66:C79">IFERROR(VLOOKUP(I66:I79,Lectures_1!A2:F534,3,FALSE()),0)</f>
        <v>Adjaidoo Theresa-Samuelle Maame Atwemaah</v>
      </c>
      <c r="D66" s="109" t="s">
        <v>108</v>
      </c>
      <c r="E66" s="111" t="n">
        <f aca="false" t="array" ref="E66:E79">IFERROR(VLOOKUP(I66:I79,Lectures_1!A2:F534,4,FALSE()),0)</f>
        <v>255</v>
      </c>
      <c r="F66" s="110" t="s">
        <v>956</v>
      </c>
      <c r="G66" s="112" t="n">
        <f aca="false">E66*1.1</f>
        <v>280.5</v>
      </c>
      <c r="H66" s="113" t="s">
        <v>576</v>
      </c>
      <c r="I66" s="127" t="str">
        <f aca="false">CONCATENATE(A66,",",D66)</f>
        <v>COE 254,ED2-COE</v>
      </c>
      <c r="J66" s="115"/>
    </row>
    <row r="67" s="116" customFormat="true" ht="14.9" hidden="false" customHeight="false" outlineLevel="0" collapsed="false">
      <c r="A67" s="109" t="s">
        <v>107</v>
      </c>
      <c r="B67" s="110" t="str">
        <v>OBJECT-ORIENTED PROGRAMMING</v>
      </c>
      <c r="C67" s="114" t="str">
        <v>Adjaidoo Theresa-Samuelle Maame Atwemaah</v>
      </c>
      <c r="D67" s="109" t="s">
        <v>109</v>
      </c>
      <c r="E67" s="111" t="n">
        <v>80</v>
      </c>
      <c r="F67" s="110" t="s">
        <v>955</v>
      </c>
      <c r="G67" s="112" t="n">
        <f aca="false">E67*1.1</f>
        <v>88</v>
      </c>
      <c r="H67" s="113" t="n">
        <v>80</v>
      </c>
      <c r="I67" s="127" t="str">
        <f aca="false">CONCATENATE(A67,",",D67)</f>
        <v>COE 254,ED2-BME</v>
      </c>
      <c r="J67" s="115"/>
    </row>
    <row r="68" s="140" customFormat="true" ht="14.9" hidden="false" customHeight="false" outlineLevel="0" collapsed="false">
      <c r="A68" s="13" t="s">
        <v>110</v>
      </c>
      <c r="B68" s="14" t="str">
        <v>COMPUTER PROGRAMMING FOR ENGINEERS</v>
      </c>
      <c r="C68" s="18" t="str">
        <v>Dzebre Denis Edem Kwame</v>
      </c>
      <c r="D68" s="13" t="s">
        <v>111</v>
      </c>
      <c r="E68" s="104" t="n">
        <v>83</v>
      </c>
      <c r="F68" s="19" t="s">
        <v>577</v>
      </c>
      <c r="G68" s="105" t="n">
        <f aca="false">E68*1.1</f>
        <v>91.3</v>
      </c>
      <c r="H68" s="5" t="s">
        <v>578</v>
      </c>
      <c r="I68" s="138" t="str">
        <f aca="false">CONCATENATE(A68,",",D68)</f>
        <v>ME 168,ED1-IND</v>
      </c>
      <c r="J68" s="139"/>
    </row>
    <row r="69" s="140" customFormat="true" ht="14.9" hidden="false" customHeight="false" outlineLevel="0" collapsed="false">
      <c r="A69" s="13" t="s">
        <v>110</v>
      </c>
      <c r="B69" s="14" t="str">
        <v>COMPUTER PROGRAMMING FOR ENGINEERS</v>
      </c>
      <c r="C69" s="18" t="str">
        <v>Dzebre Denis Edem Kwame</v>
      </c>
      <c r="D69" s="13" t="s">
        <v>112</v>
      </c>
      <c r="E69" s="104" t="n">
        <v>46</v>
      </c>
      <c r="F69" s="19" t="s">
        <v>579</v>
      </c>
      <c r="G69" s="105" t="n">
        <f aca="false">E69*1.1</f>
        <v>50.6</v>
      </c>
      <c r="H69" s="5" t="s">
        <v>580</v>
      </c>
      <c r="I69" s="138" t="str">
        <f aca="false">CONCATENATE(A69,",",D69)</f>
        <v>ME 168,ED1-MARI</v>
      </c>
      <c r="J69" s="139"/>
    </row>
    <row r="70" customFormat="false" ht="14.9" hidden="false" customHeight="false" outlineLevel="0" collapsed="false">
      <c r="A70" s="13" t="s">
        <v>113</v>
      </c>
      <c r="B70" s="14" t="str">
        <v>OPTICAL AND THERMAL BEHAVIOUR OF MATERIALS</v>
      </c>
      <c r="C70" s="18" t="str">
        <v>Nartey Martinson Addo</v>
      </c>
      <c r="D70" s="13" t="s">
        <v>114</v>
      </c>
      <c r="E70" s="104" t="n">
        <v>75</v>
      </c>
      <c r="F70" s="19" t="s">
        <v>529</v>
      </c>
      <c r="G70" s="105" t="n">
        <f aca="false">E70*1.1</f>
        <v>82.5</v>
      </c>
      <c r="H70" s="5" t="s">
        <v>581</v>
      </c>
      <c r="I70" s="6" t="str">
        <f aca="false">CONCATENATE(A70,",",D70)</f>
        <v>MSE 154,ED1-METE</v>
      </c>
      <c r="J70" s="12"/>
    </row>
    <row r="71" customFormat="false" ht="14.9" hidden="false" customHeight="false" outlineLevel="0" collapsed="false">
      <c r="A71" s="13" t="s">
        <v>113</v>
      </c>
      <c r="B71" s="14" t="str">
        <v>OPTICAL AND THERMAL BEHAVIOUR OF MATERIALS</v>
      </c>
      <c r="C71" s="18" t="str">
        <v>Nartey Martinson Addo</v>
      </c>
      <c r="D71" s="13" t="s">
        <v>115</v>
      </c>
      <c r="E71" s="104" t="n">
        <v>100</v>
      </c>
      <c r="F71" s="19" t="s">
        <v>582</v>
      </c>
      <c r="G71" s="105" t="n">
        <f aca="false">E71*1.1</f>
        <v>110</v>
      </c>
      <c r="H71" s="5" t="s">
        <v>583</v>
      </c>
      <c r="I71" s="6" t="str">
        <f aca="false">CONCATENATE(A71,",",D71)</f>
        <v>MSE 154,ED1-MSE</v>
      </c>
      <c r="J71" s="12"/>
    </row>
    <row r="72" customFormat="false" ht="14.9" hidden="false" customHeight="false" outlineLevel="0" collapsed="false">
      <c r="A72" s="13" t="s">
        <v>116</v>
      </c>
      <c r="B72" s="18" t="str">
        <v>MECHANICAL ENGINEERING MATERIALS III</v>
      </c>
      <c r="C72" s="18" t="str">
        <v>Sackey Samuel Mensah</v>
      </c>
      <c r="D72" s="13" t="s">
        <v>67</v>
      </c>
      <c r="E72" s="104" t="n">
        <v>55</v>
      </c>
      <c r="F72" s="19" t="s">
        <v>539</v>
      </c>
      <c r="G72" s="105" t="n">
        <f aca="false">E72*1.1</f>
        <v>60.5</v>
      </c>
      <c r="H72" s="5" t="s">
        <v>540</v>
      </c>
      <c r="I72" s="6" t="str">
        <f aca="false">CONCATENATE(A72,",",D72)</f>
        <v>ME 482,ED4-ME</v>
      </c>
      <c r="J72" s="12"/>
    </row>
    <row r="73" customFormat="false" ht="14.9" hidden="false" customHeight="false" outlineLevel="0" collapsed="false">
      <c r="A73" s="13" t="s">
        <v>117</v>
      </c>
      <c r="B73" s="14" t="str">
        <v>SWITCHING ENGINEERING IN COMMUNICATION</v>
      </c>
      <c r="C73" s="14" t="str">
        <v>Obour Agyekum Kwame Opuni-Boachie</v>
      </c>
      <c r="D73" s="13" t="s">
        <v>71</v>
      </c>
      <c r="E73" s="104" t="n">
        <v>10</v>
      </c>
      <c r="F73" s="19" t="s">
        <v>584</v>
      </c>
      <c r="G73" s="105" t="n">
        <f aca="false">E73*1.1</f>
        <v>11</v>
      </c>
      <c r="H73" s="5" t="n">
        <v>10</v>
      </c>
      <c r="I73" s="6" t="str">
        <f aca="false">CONCATENATE(A73,",",D73)</f>
        <v>TE 384,ED3-EE</v>
      </c>
      <c r="J73" s="12"/>
    </row>
    <row r="74" customFormat="false" ht="14.9" hidden="false" customHeight="false" outlineLevel="0" collapsed="false">
      <c r="A74" s="13" t="s">
        <v>118</v>
      </c>
      <c r="B74" s="14" t="str">
        <v>SWITCHING ENGINEERING IN COMMUNICATION</v>
      </c>
      <c r="C74" s="14" t="str">
        <v>Agyekum Kwame Agyeman-Prempeh</v>
      </c>
      <c r="D74" s="13" t="s">
        <v>119</v>
      </c>
      <c r="E74" s="104" t="n">
        <v>140</v>
      </c>
      <c r="F74" s="19" t="s">
        <v>585</v>
      </c>
      <c r="G74" s="105" t="n">
        <f aca="false">E74*1.1</f>
        <v>154</v>
      </c>
      <c r="H74" s="5" t="s">
        <v>586</v>
      </c>
      <c r="I74" s="6" t="str">
        <f aca="false">CONCATENATE(A74,",",D74)</f>
        <v>TE 356,ED3-TEL</v>
      </c>
      <c r="J74" s="12"/>
    </row>
    <row r="75" customFormat="false" ht="14.9" hidden="false" customHeight="false" outlineLevel="0" collapsed="false">
      <c r="A75" s="13" t="s">
        <v>526</v>
      </c>
      <c r="B75" s="14" t="str">
        <v>AERODYNAMICS II</v>
      </c>
      <c r="C75" s="2" t="str">
        <v>Bofah Kwasi Kete</v>
      </c>
      <c r="D75" s="13" t="s">
        <v>99</v>
      </c>
      <c r="E75" s="104" t="n">
        <v>61</v>
      </c>
      <c r="F75" s="19" t="s">
        <v>587</v>
      </c>
      <c r="G75" s="105" t="n">
        <f aca="false">E75*1.1</f>
        <v>67.1</v>
      </c>
      <c r="H75" s="3" t="s">
        <v>588</v>
      </c>
      <c r="I75" s="6" t="str">
        <f aca="false">CONCATENATE(A75,",",D75)</f>
        <v>AERO 452,ED4-AERO</v>
      </c>
      <c r="J75" s="12"/>
    </row>
    <row r="76" customFormat="false" ht="14.9" hidden="false" customHeight="false" outlineLevel="0" collapsed="false">
      <c r="A76" s="13" t="s">
        <v>100</v>
      </c>
      <c r="B76" s="18" t="str">
        <v>ASSAYING</v>
      </c>
      <c r="C76" s="18" t="str">
        <v>Koomson Bennetta</v>
      </c>
      <c r="D76" s="13" t="s">
        <v>101</v>
      </c>
      <c r="E76" s="104" t="n">
        <v>57</v>
      </c>
      <c r="F76" s="19" t="s">
        <v>535</v>
      </c>
      <c r="G76" s="105" t="n">
        <f aca="false">E76*1.1</f>
        <v>62.7</v>
      </c>
      <c r="H76" s="5" t="s">
        <v>589</v>
      </c>
      <c r="I76" s="6" t="str">
        <f aca="false">CONCATENATE(A76,",",D76)</f>
        <v>METE 256,ED2-METE</v>
      </c>
      <c r="J76" s="12"/>
    </row>
    <row r="77" s="143" customFormat="true" ht="14.9" hidden="false" customHeight="false" outlineLevel="0" collapsed="false">
      <c r="A77" s="13" t="s">
        <v>120</v>
      </c>
      <c r="B77" s="18" t="str">
        <v>OPERATIONS RESEARCH II</v>
      </c>
      <c r="C77" s="18" t="str">
        <v>Asiedu Charlotte</v>
      </c>
      <c r="D77" s="13" t="s">
        <v>121</v>
      </c>
      <c r="E77" s="104" t="n">
        <v>70</v>
      </c>
      <c r="F77" s="19" t="s">
        <v>558</v>
      </c>
      <c r="G77" s="105" t="n">
        <f aca="false">E77*1.1</f>
        <v>77</v>
      </c>
      <c r="H77" s="5" t="s">
        <v>590</v>
      </c>
      <c r="I77" s="141" t="str">
        <f aca="false">CONCATENATE(A77,",",D77)</f>
        <v>IE 368,ED3-IND</v>
      </c>
      <c r="J77" s="142"/>
    </row>
    <row r="78" customFormat="false" ht="14.9" hidden="false" customHeight="false" outlineLevel="0" collapsed="false">
      <c r="A78" s="13" t="s">
        <v>122</v>
      </c>
      <c r="B78" s="18" t="str">
        <v>FOOD PROCESSING TECHNOLOGY</v>
      </c>
      <c r="C78" s="14" t="str">
        <v>Anang Daniel Adjah</v>
      </c>
      <c r="D78" s="13" t="s">
        <v>73</v>
      </c>
      <c r="E78" s="104" t="n">
        <v>50</v>
      </c>
      <c r="F78" s="19" t="s">
        <v>591</v>
      </c>
      <c r="G78" s="105" t="n">
        <f aca="false">E78*1.1</f>
        <v>55</v>
      </c>
      <c r="H78" s="5" t="s">
        <v>592</v>
      </c>
      <c r="I78" s="6" t="str">
        <f aca="false">CONCATENATE(A78,",",D78)</f>
        <v>CHE 368,ED3-CHE</v>
      </c>
      <c r="J78" s="12"/>
    </row>
    <row r="79" customFormat="false" ht="14.9" hidden="false" customHeight="false" outlineLevel="0" collapsed="false">
      <c r="A79" s="13" t="s">
        <v>123</v>
      </c>
      <c r="B79" s="18" t="str">
        <v>AUTOMATION AND PRODUCTION SYSTEM</v>
      </c>
      <c r="C79" s="18" t="str">
        <v>Sackey Samuel Mensah</v>
      </c>
      <c r="D79" s="13" t="s">
        <v>124</v>
      </c>
      <c r="E79" s="104" t="n">
        <v>69</v>
      </c>
      <c r="F79" s="19" t="s">
        <v>593</v>
      </c>
      <c r="G79" s="105" t="n">
        <f aca="false">E79*1.1</f>
        <v>75.9</v>
      </c>
      <c r="H79" s="5" t="s">
        <v>594</v>
      </c>
      <c r="I79" s="6" t="str">
        <f aca="false">CONCATENATE(A79,",",D79)</f>
        <v>IE 452,ED4-IND</v>
      </c>
      <c r="J79" s="12"/>
    </row>
    <row r="80" customFormat="false" ht="14.9" hidden="false" customHeight="false" outlineLevel="0" collapsed="false">
      <c r="A80" s="13"/>
      <c r="B80" s="22"/>
      <c r="D80" s="14" t="s">
        <v>127</v>
      </c>
      <c r="E80" s="117" t="n">
        <f aca="false">SUM(E66:E79)</f>
        <v>1151</v>
      </c>
      <c r="F80" s="23"/>
      <c r="G80" s="118"/>
      <c r="I80" s="9" t="s">
        <v>58</v>
      </c>
      <c r="J80" s="12"/>
    </row>
    <row r="81" customFormat="false" ht="14.9" hidden="false" customHeight="false" outlineLevel="0" collapsed="false">
      <c r="A81" s="8" t="s">
        <v>78</v>
      </c>
      <c r="B81" s="8"/>
      <c r="C81" s="8"/>
      <c r="D81" s="8"/>
      <c r="E81" s="8"/>
      <c r="F81" s="8"/>
      <c r="G81" s="8"/>
      <c r="I81" s="9" t="str">
        <f aca="false">A81</f>
        <v>Tuesday, 18 August 2026</v>
      </c>
      <c r="J81" s="12"/>
    </row>
    <row r="82" customFormat="false" ht="14.9" hidden="false" customHeight="false" outlineLevel="0" collapsed="false">
      <c r="A82" s="8" t="s">
        <v>59</v>
      </c>
      <c r="B82" s="8"/>
      <c r="C82" s="8"/>
      <c r="D82" s="8"/>
      <c r="E82" s="8"/>
      <c r="F82" s="8"/>
      <c r="G82" s="8"/>
      <c r="I82" s="9" t="str">
        <f aca="false">A82</f>
        <v>Session, 3 (3:00 PM - 5:00 PM)</v>
      </c>
      <c r="J82" s="12"/>
    </row>
    <row r="83" customFormat="false" ht="14.9" hidden="false" customHeight="false" outlineLevel="0" collapsed="false">
      <c r="A83" s="11" t="s">
        <v>4</v>
      </c>
      <c r="B83" s="11" t="s">
        <v>5</v>
      </c>
      <c r="C83" s="2" t="s">
        <v>6</v>
      </c>
      <c r="D83" s="11" t="s">
        <v>7</v>
      </c>
      <c r="E83" s="102" t="s">
        <v>8</v>
      </c>
      <c r="F83" s="2" t="s">
        <v>9</v>
      </c>
      <c r="G83" s="103" t="s">
        <v>10</v>
      </c>
      <c r="I83" s="9" t="s">
        <v>31</v>
      </c>
      <c r="J83" s="12"/>
    </row>
    <row r="84" customFormat="false" ht="14.9" hidden="false" customHeight="false" outlineLevel="0" collapsed="false">
      <c r="A84" s="13" t="s">
        <v>520</v>
      </c>
      <c r="B84" s="14" t="str">
        <f aca="false" t="array" ref="B84:B93">IFERROR(VLOOKUP(I84:I93,Lectures_1!A2:F534,2,FALSE()),0)</f>
        <v>BIOCHEMISTRY</v>
      </c>
      <c r="C84" s="14" t="str">
        <f aca="false" t="array" ref="C84:C93">IFERROR(VLOOKUP(I84:I93,Lectures_1!A2:F534,3,FALSE()),0)</f>
        <v>Charles Apprey</v>
      </c>
      <c r="D84" s="13" t="s">
        <v>130</v>
      </c>
      <c r="E84" s="104" t="n">
        <f aca="false" t="array" ref="E84:E93">IFERROR(VLOOKUP(I84:I93,Lectures_1!A2:F534,4,FALSE()),0)</f>
        <v>136</v>
      </c>
      <c r="F84" s="13" t="s">
        <v>595</v>
      </c>
      <c r="G84" s="105" t="n">
        <f aca="false">E84*1.1</f>
        <v>149.6</v>
      </c>
      <c r="H84" s="5" t="s">
        <v>596</v>
      </c>
      <c r="I84" s="29" t="str">
        <f aca="false">CONCATENATE(A84,",",D84)</f>
        <v>BME 166,ED1-BME</v>
      </c>
      <c r="J84" s="31"/>
      <c r="K84" s="32"/>
      <c r="L84" s="32"/>
      <c r="M84" s="32"/>
    </row>
    <row r="85" customFormat="false" ht="14.9" hidden="false" customHeight="false" outlineLevel="0" collapsed="false">
      <c r="A85" s="13" t="s">
        <v>134</v>
      </c>
      <c r="B85" s="14" t="str">
        <v>PROCESS DYNAMICS AND CONTROL</v>
      </c>
      <c r="C85" s="18" t="str">
        <v>Adjaottor Albert Amatey</v>
      </c>
      <c r="D85" s="13" t="s">
        <v>135</v>
      </c>
      <c r="E85" s="104" t="n">
        <v>60</v>
      </c>
      <c r="F85" s="19" t="s">
        <v>545</v>
      </c>
      <c r="G85" s="105" t="n">
        <f aca="false">E85*1.1</f>
        <v>66</v>
      </c>
      <c r="H85" s="5" t="n">
        <v>60</v>
      </c>
      <c r="I85" s="6" t="str">
        <f aca="false">CONCATENATE(A85,",",D85)</f>
        <v>MSE 458,ED4-MSE</v>
      </c>
      <c r="J85" s="12"/>
    </row>
    <row r="86" customFormat="false" ht="14.9" hidden="false" customHeight="false" outlineLevel="0" collapsed="false">
      <c r="A86" s="13" t="s">
        <v>134</v>
      </c>
      <c r="B86" s="14" t="str">
        <v>PROCESS DYNANICS AND CONTROL</v>
      </c>
      <c r="C86" s="18" t="str">
        <v>Adjaottor Albert Amatey</v>
      </c>
      <c r="D86" s="13" t="s">
        <v>136</v>
      </c>
      <c r="E86" s="104" t="n">
        <v>55</v>
      </c>
      <c r="F86" s="19" t="s">
        <v>597</v>
      </c>
      <c r="G86" s="105" t="n">
        <f aca="false">E86*1.1</f>
        <v>60.5</v>
      </c>
      <c r="H86" s="5" t="s">
        <v>598</v>
      </c>
      <c r="I86" s="6" t="str">
        <f aca="false">CONCATENATE(A86,",",D86)</f>
        <v>MSE 458,ED4-METE</v>
      </c>
      <c r="J86" s="12"/>
    </row>
    <row r="87" customFormat="false" ht="14.9" hidden="false" customHeight="false" outlineLevel="0" collapsed="false">
      <c r="A87" s="13" t="s">
        <v>137</v>
      </c>
      <c r="B87" s="14" t="str">
        <v>ELECTRICAL MEASUREMENTS &amp; INSTRUMENTATION</v>
      </c>
      <c r="C87" s="18" t="str">
        <v>Nicholas Kwesi Prah II</v>
      </c>
      <c r="D87" s="13" t="s">
        <v>51</v>
      </c>
      <c r="E87" s="104" t="n">
        <v>295</v>
      </c>
      <c r="F87" s="19" t="s">
        <v>599</v>
      </c>
      <c r="G87" s="105" t="n">
        <f aca="false">E87*1.1</f>
        <v>324.5</v>
      </c>
      <c r="H87" s="5" t="s">
        <v>600</v>
      </c>
      <c r="I87" s="6" t="str">
        <f aca="false">CONCATENATE(A87,",",D87)</f>
        <v>EE 188,ED1-EE</v>
      </c>
      <c r="J87" s="12"/>
    </row>
    <row r="88" customFormat="false" ht="14.9" hidden="false" customHeight="false" outlineLevel="0" collapsed="false">
      <c r="A88" s="13" t="s">
        <v>52</v>
      </c>
      <c r="B88" s="14" t="str">
        <v>PRINCIPLES OF SURVEYING</v>
      </c>
      <c r="C88" s="14" t="str">
        <v>Akwasi Afrifa Acheampong</v>
      </c>
      <c r="D88" s="13" t="s">
        <v>53</v>
      </c>
      <c r="E88" s="104" t="n">
        <v>155</v>
      </c>
      <c r="F88" s="26" t="s">
        <v>601</v>
      </c>
      <c r="G88" s="105" t="n">
        <f aca="false">E88*1.1</f>
        <v>170.5</v>
      </c>
      <c r="H88" s="27" t="s">
        <v>543</v>
      </c>
      <c r="I88" s="6" t="str">
        <f aca="false">CONCATENATE(A88,",",D88)</f>
        <v>GE 286,ED2-AE</v>
      </c>
      <c r="J88" s="12"/>
    </row>
    <row r="89" customFormat="false" ht="14.9" hidden="false" customHeight="false" outlineLevel="0" collapsed="false">
      <c r="A89" s="13" t="s">
        <v>104</v>
      </c>
      <c r="B89" s="18" t="str">
        <v>FUNDAMENTALS OF PETROLEUM LAW</v>
      </c>
      <c r="C89" s="18" t="str">
        <v>Amoah Enoch Kwabena</v>
      </c>
      <c r="D89" s="13" t="s">
        <v>46</v>
      </c>
      <c r="E89" s="104" t="n">
        <v>99</v>
      </c>
      <c r="F89" s="19" t="s">
        <v>571</v>
      </c>
      <c r="G89" s="105" t="n">
        <f aca="false">E89*1.1</f>
        <v>108.9</v>
      </c>
      <c r="H89" s="5" t="s">
        <v>602</v>
      </c>
      <c r="I89" s="6" t="str">
        <f aca="false">CONCATENATE(A89,",",D89)</f>
        <v>PE 466,ED4-PE</v>
      </c>
      <c r="J89" s="12"/>
    </row>
    <row r="90" customFormat="false" ht="14.9" hidden="false" customHeight="false" outlineLevel="0" collapsed="false">
      <c r="A90" s="13" t="s">
        <v>468</v>
      </c>
      <c r="B90" s="14" t="str">
        <v>INTRODUCTION TO CERAMICS</v>
      </c>
      <c r="C90" s="14" t="str">
        <v>Andrews Anthony</v>
      </c>
      <c r="D90" s="13" t="s">
        <v>210</v>
      </c>
      <c r="E90" s="104" t="n">
        <v>83</v>
      </c>
      <c r="F90" s="19" t="s">
        <v>603</v>
      </c>
      <c r="G90" s="105" t="n">
        <f aca="false">E90*1.1</f>
        <v>91.3</v>
      </c>
      <c r="H90" s="3" t="s">
        <v>604</v>
      </c>
      <c r="I90" s="6" t="str">
        <f aca="false">CONCATENATE(A90,",",D90)</f>
        <v>MSE 254,ED2-MSE</v>
      </c>
      <c r="J90" s="12"/>
    </row>
    <row r="91" customFormat="false" ht="14.9" hidden="false" customHeight="false" outlineLevel="0" collapsed="false">
      <c r="A91" s="13" t="s">
        <v>139</v>
      </c>
      <c r="B91" s="18" t="str">
        <v>MATERIALS CHARACTERIZATION LABORATORY</v>
      </c>
      <c r="C91" s="18" t="str">
        <v>Arthur Emmanuel Kwesi</v>
      </c>
      <c r="D91" s="13" t="s">
        <v>140</v>
      </c>
      <c r="E91" s="104" t="n">
        <v>85</v>
      </c>
      <c r="F91" s="19" t="s">
        <v>605</v>
      </c>
      <c r="G91" s="105" t="n">
        <f aca="false">E91*1.1</f>
        <v>93.5</v>
      </c>
      <c r="H91" s="5" t="s">
        <v>606</v>
      </c>
      <c r="I91" s="6" t="str">
        <f aca="false">CONCATENATE(A91,",",D91)</f>
        <v>MSE 364,ED3-MSE</v>
      </c>
      <c r="J91" s="12"/>
    </row>
    <row r="92" customFormat="false" ht="14.9" hidden="false" customHeight="false" outlineLevel="0" collapsed="false">
      <c r="A92" s="13" t="s">
        <v>141</v>
      </c>
      <c r="B92" s="18" t="str">
        <v>METALLURGICAL CHARACTERIZATION LABORATORY</v>
      </c>
      <c r="C92" s="18" t="str">
        <v>Arthur Emmanuel Kwesi</v>
      </c>
      <c r="D92" s="13" t="s">
        <v>142</v>
      </c>
      <c r="E92" s="104" t="n">
        <v>87</v>
      </c>
      <c r="F92" s="19" t="s">
        <v>607</v>
      </c>
      <c r="G92" s="105" t="n">
        <f aca="false">E92*1.1</f>
        <v>95.7</v>
      </c>
      <c r="H92" s="5" t="s">
        <v>608</v>
      </c>
      <c r="I92" s="6" t="str">
        <f aca="false">CONCATENATE(A92,",",D92)</f>
        <v>METE 358,ED3-METE</v>
      </c>
      <c r="J92" s="12"/>
    </row>
    <row r="93" customFormat="false" ht="14.9" hidden="false" customHeight="false" outlineLevel="0" collapsed="false">
      <c r="A93" s="13" t="s">
        <v>267</v>
      </c>
      <c r="B93" s="14" t="str">
        <v>POWER SYSTEMS PROTECTION</v>
      </c>
      <c r="C93" s="14" t="str">
        <v>Frimpong Emmanuel Asuming</v>
      </c>
      <c r="D93" s="13" t="s">
        <v>144</v>
      </c>
      <c r="E93" s="104" t="n">
        <v>205</v>
      </c>
      <c r="F93" s="19" t="s">
        <v>609</v>
      </c>
      <c r="G93" s="105" t="n">
        <f aca="false">E93*1.1</f>
        <v>225.5</v>
      </c>
      <c r="H93" s="5" t="s">
        <v>610</v>
      </c>
      <c r="I93" s="6" t="str">
        <f aca="false">CONCATENATE(A93,",",D93)</f>
        <v>EE 468,ED4-EE</v>
      </c>
      <c r="J93" s="12"/>
    </row>
    <row r="94" customFormat="false" ht="14.9" hidden="false" customHeight="false" outlineLevel="0" collapsed="false">
      <c r="A94" s="22"/>
      <c r="B94" s="22"/>
      <c r="D94" s="14" t="s">
        <v>145</v>
      </c>
      <c r="E94" s="117" t="n">
        <f aca="false">SUM(E85:E93)</f>
        <v>1124</v>
      </c>
      <c r="F94" s="18"/>
      <c r="G94" s="118"/>
      <c r="I94" s="9" t="s">
        <v>146</v>
      </c>
      <c r="J94" s="12"/>
    </row>
    <row r="95" customFormat="false" ht="14.9" hidden="false" customHeight="false" outlineLevel="0" collapsed="false">
      <c r="A95" s="8" t="s">
        <v>147</v>
      </c>
      <c r="B95" s="8"/>
      <c r="C95" s="8"/>
      <c r="D95" s="8"/>
      <c r="E95" s="8"/>
      <c r="F95" s="8"/>
      <c r="G95" s="8"/>
      <c r="I95" s="9" t="str">
        <f aca="false">A95</f>
        <v>Wednesday, 19 August 2026</v>
      </c>
      <c r="J95" s="12"/>
    </row>
    <row r="96" customFormat="false" ht="14.9" hidden="false" customHeight="false" outlineLevel="0" collapsed="false">
      <c r="A96" s="8" t="s">
        <v>2</v>
      </c>
      <c r="B96" s="8"/>
      <c r="C96" s="8"/>
      <c r="D96" s="8"/>
      <c r="E96" s="8"/>
      <c r="F96" s="8"/>
      <c r="G96" s="8"/>
      <c r="I96" s="9" t="str">
        <f aca="false">A96</f>
        <v>Session, 1 (8:30 AM - 10:30 AM)</v>
      </c>
      <c r="J96" s="12"/>
    </row>
    <row r="97" customFormat="false" ht="14.9" hidden="false" customHeight="false" outlineLevel="0" collapsed="false">
      <c r="A97" s="11" t="s">
        <v>4</v>
      </c>
      <c r="B97" s="11" t="s">
        <v>5</v>
      </c>
      <c r="C97" s="2" t="s">
        <v>6</v>
      </c>
      <c r="D97" s="11" t="s">
        <v>7</v>
      </c>
      <c r="E97" s="102" t="s">
        <v>8</v>
      </c>
      <c r="F97" s="2" t="s">
        <v>9</v>
      </c>
      <c r="G97" s="103" t="s">
        <v>10</v>
      </c>
      <c r="I97" s="9" t="s">
        <v>31</v>
      </c>
      <c r="J97" s="12"/>
    </row>
    <row r="98" customFormat="false" ht="14.9" hidden="false" customHeight="false" outlineLevel="0" collapsed="false">
      <c r="A98" s="13" t="s">
        <v>150</v>
      </c>
      <c r="B98" s="14" t="str">
        <f aca="false" t="array" ref="B98:B106">IFERROR(VLOOKUP(I98:I106,Lectures_1!A2:F534,2,FALSE()),0)</f>
        <v>PLANNING THE PHYSICAL ENVIRONMENT</v>
      </c>
      <c r="C98" s="18" t="str">
        <f aca="false" t="array" ref="C98:C106">IFERROR(VLOOKUP(I98:I106,Lectures_1!A2:F534,3,FALSE()),0)</f>
        <v>Aboagye Prince Anokye</v>
      </c>
      <c r="D98" s="13" t="s">
        <v>77</v>
      </c>
      <c r="E98" s="104" t="n">
        <f aca="false" t="array" ref="E98:E106">IFERROR(VLOOKUP(I98:I106,Lectures_1!A2:F534,4,FALSE()),0)</f>
        <v>122</v>
      </c>
      <c r="F98" s="19" t="s">
        <v>611</v>
      </c>
      <c r="G98" s="105" t="n">
        <f aca="false">E98*1.1</f>
        <v>134.2</v>
      </c>
      <c r="H98" s="5" t="s">
        <v>563</v>
      </c>
      <c r="I98" s="6" t="str">
        <f aca="false">CONCATENATE(A98,",",D98)</f>
        <v>PL 252,ED3-GEOM</v>
      </c>
      <c r="J98" s="12"/>
    </row>
    <row r="99" customFormat="false" ht="14.9" hidden="false" customHeight="false" outlineLevel="0" collapsed="false">
      <c r="A99" s="13" t="s">
        <v>151</v>
      </c>
      <c r="B99" s="14" t="str">
        <v>MECHANISMS SYNTHESIS AND ANALYSIS I</v>
      </c>
      <c r="C99" s="14" t="str">
        <v>Ampofo Joshua</v>
      </c>
      <c r="D99" s="13" t="s">
        <v>33</v>
      </c>
      <c r="E99" s="104" t="n">
        <v>240</v>
      </c>
      <c r="F99" s="19" t="s">
        <v>531</v>
      </c>
      <c r="G99" s="105" t="n">
        <f aca="false">E99*1.1</f>
        <v>264</v>
      </c>
      <c r="H99" s="5" t="s">
        <v>612</v>
      </c>
      <c r="I99" s="6" t="str">
        <f aca="false">CONCATENATE(A99,",",D99)</f>
        <v>ME 264,ED2-ME</v>
      </c>
      <c r="J99" s="12"/>
    </row>
    <row r="100" customFormat="false" ht="14.9" hidden="false" customHeight="false" outlineLevel="0" collapsed="false">
      <c r="A100" s="13" t="s">
        <v>151</v>
      </c>
      <c r="B100" s="14" t="str">
        <v>MECHANISMS SYNTHESIS AND ANALYSIS I</v>
      </c>
      <c r="C100" s="14" t="str">
        <v>Ampofo Joshua</v>
      </c>
      <c r="D100" s="13" t="s">
        <v>36</v>
      </c>
      <c r="E100" s="104" t="n">
        <v>75</v>
      </c>
      <c r="F100" s="19" t="s">
        <v>546</v>
      </c>
      <c r="G100" s="105" t="n">
        <f aca="false">E100*1.1</f>
        <v>82.5</v>
      </c>
      <c r="H100" s="5" t="n">
        <v>75</v>
      </c>
      <c r="I100" s="6" t="str">
        <f aca="false">CONCATENATE(A100,",",D100)</f>
        <v>ME 264,ED2-AERO</v>
      </c>
      <c r="J100" s="12"/>
    </row>
    <row r="101" customFormat="false" ht="14.9" hidden="false" customHeight="false" outlineLevel="0" collapsed="false">
      <c r="A101" s="13" t="s">
        <v>151</v>
      </c>
      <c r="B101" s="14" t="str">
        <v>MECHANISMS SYNTHESIS AND ANALYSIS I</v>
      </c>
      <c r="C101" s="14" t="str">
        <v>Ampofo Joshua</v>
      </c>
      <c r="D101" s="13" t="s">
        <v>38</v>
      </c>
      <c r="E101" s="104" t="n">
        <v>80</v>
      </c>
      <c r="F101" s="19" t="s">
        <v>577</v>
      </c>
      <c r="G101" s="105" t="n">
        <f aca="false">E101*1.1</f>
        <v>88</v>
      </c>
      <c r="H101" s="5" t="s">
        <v>613</v>
      </c>
      <c r="I101" s="6" t="str">
        <f aca="false">CONCATENATE(A101,",",D101)</f>
        <v>ME 264,ED2-IND</v>
      </c>
      <c r="J101" s="12"/>
    </row>
    <row r="102" customFormat="false" ht="14.9" hidden="false" customHeight="false" outlineLevel="0" collapsed="false">
      <c r="A102" s="13" t="s">
        <v>151</v>
      </c>
      <c r="B102" s="18" t="str">
        <v>MECHANISMS SYNTHESIS AND ANALYSIS I</v>
      </c>
      <c r="C102" s="14" t="str">
        <v>Ampofo Joshua</v>
      </c>
      <c r="D102" s="13" t="s">
        <v>40</v>
      </c>
      <c r="E102" s="104" t="n">
        <v>82</v>
      </c>
      <c r="F102" s="19" t="s">
        <v>614</v>
      </c>
      <c r="G102" s="105" t="n">
        <f aca="false">E102*1.1</f>
        <v>90.2</v>
      </c>
      <c r="H102" s="5" t="s">
        <v>615</v>
      </c>
      <c r="I102" s="6" t="str">
        <f aca="false">CONCATENATE(A102,",",D102)</f>
        <v>ME 264,ED2-AUTO</v>
      </c>
      <c r="J102" s="12"/>
    </row>
    <row r="103" customFormat="false" ht="14.9" hidden="false" customHeight="false" outlineLevel="0" collapsed="false">
      <c r="A103" s="13" t="s">
        <v>152</v>
      </c>
      <c r="B103" s="14" t="str">
        <v>MARINE MECHANISMS, SYSTHESIS AND ANALYSIS</v>
      </c>
      <c r="C103" s="18" t="str">
        <v>Ampofo Joshua</v>
      </c>
      <c r="D103" s="13" t="s">
        <v>42</v>
      </c>
      <c r="E103" s="104" t="n">
        <v>37</v>
      </c>
      <c r="F103" s="19" t="s">
        <v>616</v>
      </c>
      <c r="G103" s="105" t="n">
        <f aca="false">E103*1.1</f>
        <v>40.7</v>
      </c>
      <c r="H103" s="5" t="n">
        <v>37</v>
      </c>
      <c r="I103" s="6" t="str">
        <f aca="false">CONCATENATE(A103,",",D103)</f>
        <v>MME 264,ED2-MARI</v>
      </c>
      <c r="J103" s="12"/>
    </row>
    <row r="104" customFormat="false" ht="14.9" hidden="false" customHeight="false" outlineLevel="0" collapsed="false">
      <c r="A104" s="13" t="s">
        <v>153</v>
      </c>
      <c r="B104" s="18" t="str">
        <v>PRINCIPLES OF GEOLCHEMISTRY</v>
      </c>
      <c r="C104" s="18" t="str">
        <v>Gawu Simon Kafui Yawo</v>
      </c>
      <c r="D104" s="13" t="s">
        <v>154</v>
      </c>
      <c r="E104" s="104" t="n">
        <v>154</v>
      </c>
      <c r="F104" s="19" t="s">
        <v>601</v>
      </c>
      <c r="G104" s="105" t="n">
        <f aca="false">E104*1.1</f>
        <v>169.4</v>
      </c>
      <c r="H104" s="5" t="s">
        <v>543</v>
      </c>
      <c r="I104" s="6" t="str">
        <f aca="false">CONCATENATE(A104,",",D104)</f>
        <v>GED 352,ED3-GEOL</v>
      </c>
      <c r="J104" s="12"/>
    </row>
    <row r="105" customFormat="false" ht="14.9" hidden="false" customHeight="false" outlineLevel="0" collapsed="false">
      <c r="A105" s="13" t="s">
        <v>155</v>
      </c>
      <c r="B105" s="18" t="str">
        <v>TRANSPORTATION ENGINEERING</v>
      </c>
      <c r="C105" s="18" t="str">
        <v>Tuffour Yaw Adubofour</v>
      </c>
      <c r="D105" s="13" t="s">
        <v>103</v>
      </c>
      <c r="E105" s="104" t="n">
        <v>150</v>
      </c>
      <c r="F105" s="19" t="s">
        <v>617</v>
      </c>
      <c r="G105" s="105" t="n">
        <f aca="false">E105*1.1</f>
        <v>165</v>
      </c>
      <c r="H105" s="5" t="s">
        <v>618</v>
      </c>
      <c r="I105" s="6" t="str">
        <f aca="false">CONCATENATE(A105,",",D105)</f>
        <v>CE 468,ED4-CE</v>
      </c>
      <c r="J105" s="12"/>
    </row>
    <row r="106" customFormat="false" ht="14.25" hidden="false" customHeight="true" outlineLevel="0" collapsed="false">
      <c r="A106" s="13" t="s">
        <v>156</v>
      </c>
      <c r="B106" s="14" t="str">
        <v>ENVIRONMENTAL QUALITY ENGINEERING</v>
      </c>
      <c r="C106" s="14" t="str">
        <v>Appiah-Effah Eugene</v>
      </c>
      <c r="D106" s="13" t="s">
        <v>157</v>
      </c>
      <c r="E106" s="104" t="n">
        <v>230</v>
      </c>
      <c r="F106" s="19" t="s">
        <v>619</v>
      </c>
      <c r="G106" s="105" t="n">
        <f aca="false">E106*1.1</f>
        <v>253</v>
      </c>
      <c r="H106" s="5" t="s">
        <v>620</v>
      </c>
      <c r="I106" s="6" t="str">
        <f aca="false">CONCATENATE(A106,",",D106)</f>
        <v>CE 364,ED3-CE</v>
      </c>
      <c r="J106" s="12"/>
    </row>
    <row r="107" customFormat="false" ht="14.9" hidden="false" customHeight="false" outlineLevel="0" collapsed="false">
      <c r="A107" s="22"/>
      <c r="B107" s="22"/>
      <c r="D107" s="14" t="s">
        <v>158</v>
      </c>
      <c r="E107" s="144" t="n">
        <f aca="false">SUM(E98:E106)</f>
        <v>1170</v>
      </c>
      <c r="F107" s="23"/>
      <c r="G107" s="118"/>
      <c r="I107" s="9" t="s">
        <v>159</v>
      </c>
      <c r="J107" s="12"/>
    </row>
    <row r="108" s="135" customFormat="true" ht="14.9" hidden="false" customHeight="false" outlineLevel="0" collapsed="false">
      <c r="A108" s="131" t="s">
        <v>147</v>
      </c>
      <c r="B108" s="131"/>
      <c r="C108" s="131"/>
      <c r="D108" s="131"/>
      <c r="E108" s="131"/>
      <c r="F108" s="131"/>
      <c r="G108" s="131"/>
      <c r="H108" s="132"/>
      <c r="I108" s="133" t="str">
        <f aca="false">A108</f>
        <v>Wednesday, 19 August 2026</v>
      </c>
      <c r="J108" s="145"/>
    </row>
    <row r="109" s="135" customFormat="true" ht="14.9" hidden="false" customHeight="false" outlineLevel="0" collapsed="false">
      <c r="A109" s="131" t="s">
        <v>29</v>
      </c>
      <c r="B109" s="131"/>
      <c r="C109" s="131"/>
      <c r="D109" s="131"/>
      <c r="E109" s="131"/>
      <c r="F109" s="131"/>
      <c r="G109" s="131"/>
      <c r="H109" s="132"/>
      <c r="I109" s="133" t="str">
        <f aca="false">A109</f>
        <v>Session, 2 (12:00 PM - 2:00 PM)</v>
      </c>
      <c r="J109" s="145"/>
    </row>
    <row r="110" customFormat="false" ht="14.9" hidden="false" customHeight="false" outlineLevel="0" collapsed="false">
      <c r="A110" s="11" t="s">
        <v>4</v>
      </c>
      <c r="B110" s="11" t="s">
        <v>5</v>
      </c>
      <c r="C110" s="2" t="s">
        <v>6</v>
      </c>
      <c r="D110" s="11" t="s">
        <v>7</v>
      </c>
      <c r="E110" s="102" t="s">
        <v>8</v>
      </c>
      <c r="F110" s="2" t="s">
        <v>9</v>
      </c>
      <c r="G110" s="103" t="s">
        <v>10</v>
      </c>
      <c r="I110" s="9" t="s">
        <v>31</v>
      </c>
      <c r="J110" s="12"/>
    </row>
    <row r="111" customFormat="false" ht="14.9" hidden="false" customHeight="false" outlineLevel="0" collapsed="false">
      <c r="A111" s="13" t="s">
        <v>160</v>
      </c>
      <c r="B111" s="18" t="str">
        <f aca="false" t="array" ref="B111:B121">IFERROR(VLOOKUP(I111:I121,Lectures_1!A2:F534,2,FALSE()),0)</f>
        <v>ENGINEERING DRAWING</v>
      </c>
      <c r="C111" s="18" t="str">
        <f aca="false" t="array" ref="C111:C121">IFERROR(VLOOKUP(I111:I121,Lectures_1!A2:F534,3,FALSE()),0)</f>
        <v>Aveyire Joseph</v>
      </c>
      <c r="D111" s="13" t="s">
        <v>131</v>
      </c>
      <c r="E111" s="104" t="n">
        <f aca="false" t="array" ref="E111:E121">IFERROR(VLOOKUP(I111:I121,Lectures_1!A2:F534,4,FALSE()),0)</f>
        <v>128</v>
      </c>
      <c r="F111" s="19" t="s">
        <v>957</v>
      </c>
      <c r="G111" s="105" t="n">
        <f aca="false">E111*1.1</f>
        <v>140.8</v>
      </c>
      <c r="H111" s="5" t="s">
        <v>621</v>
      </c>
      <c r="I111" s="6" t="str">
        <f aca="false">CONCATENATE(A111,",",D111)</f>
        <v>ME 160,ED1-AE</v>
      </c>
      <c r="J111" s="12"/>
    </row>
    <row r="112" customFormat="false" ht="14.9" hidden="false" customHeight="false" outlineLevel="0" collapsed="false">
      <c r="A112" s="13" t="s">
        <v>160</v>
      </c>
      <c r="B112" s="18" t="str">
        <v>ENGINEERING DRAWING</v>
      </c>
      <c r="C112" s="18" t="str">
        <v>Sekyere Charles Kofi Kafui</v>
      </c>
      <c r="D112" s="13" t="s">
        <v>112</v>
      </c>
      <c r="E112" s="104" t="n">
        <v>46</v>
      </c>
      <c r="F112" s="19" t="s">
        <v>958</v>
      </c>
      <c r="G112" s="105" t="n">
        <f aca="false">E112*1.1</f>
        <v>50.6</v>
      </c>
      <c r="H112" s="5" t="s">
        <v>623</v>
      </c>
      <c r="I112" s="6" t="str">
        <f aca="false">CONCATENATE(A112,",",D112)</f>
        <v>ME 160,ED1-MARI</v>
      </c>
      <c r="J112" s="12"/>
    </row>
    <row r="113" customFormat="false" ht="14.9" hidden="false" customHeight="false" outlineLevel="0" collapsed="false">
      <c r="A113" s="13" t="s">
        <v>160</v>
      </c>
      <c r="B113" s="18" t="str">
        <v>ENGINEERING DRAWING</v>
      </c>
      <c r="C113" s="18" t="str">
        <v>Aveyire Joseph</v>
      </c>
      <c r="D113" s="13" t="s">
        <v>114</v>
      </c>
      <c r="E113" s="104" t="n">
        <v>75</v>
      </c>
      <c r="F113" s="19" t="s">
        <v>624</v>
      </c>
      <c r="G113" s="105" t="n">
        <f aca="false">E113*1.1</f>
        <v>82.5</v>
      </c>
      <c r="H113" s="5" t="s">
        <v>590</v>
      </c>
      <c r="I113" s="6" t="str">
        <f aca="false">CONCATENATE(A113,",",D113)</f>
        <v>ME 160,ED1-METE</v>
      </c>
      <c r="J113" s="12"/>
    </row>
    <row r="114" customFormat="false" ht="14.9" hidden="false" customHeight="false" outlineLevel="0" collapsed="false">
      <c r="A114" s="13" t="s">
        <v>160</v>
      </c>
      <c r="B114" s="18" t="str">
        <v>ENGINEERING DRAWING</v>
      </c>
      <c r="C114" s="18" t="str">
        <v>Peter Oppong Tawiah</v>
      </c>
      <c r="D114" s="13" t="s">
        <v>115</v>
      </c>
      <c r="E114" s="104" t="n">
        <v>100</v>
      </c>
      <c r="F114" s="19" t="s">
        <v>582</v>
      </c>
      <c r="G114" s="105" t="n">
        <f aca="false">E114*1.1</f>
        <v>110</v>
      </c>
      <c r="H114" s="5" t="s">
        <v>583</v>
      </c>
      <c r="I114" s="6" t="str">
        <f aca="false">CONCATENATE(A114,",",D114)</f>
        <v>ME 160,ED1-MSE</v>
      </c>
      <c r="J114" s="12"/>
    </row>
    <row r="115" customFormat="false" ht="14.9" hidden="false" customHeight="false" outlineLevel="0" collapsed="false">
      <c r="A115" s="13" t="s">
        <v>160</v>
      </c>
      <c r="B115" s="18" t="str">
        <v>ENGINEERING DRAWING</v>
      </c>
      <c r="C115" s="18" t="str">
        <v>A. K. Sunnu</v>
      </c>
      <c r="D115" s="13" t="s">
        <v>161</v>
      </c>
      <c r="E115" s="104" t="n">
        <v>225</v>
      </c>
      <c r="F115" s="19" t="s">
        <v>619</v>
      </c>
      <c r="G115" s="105" t="n">
        <f aca="false">E115*1.1</f>
        <v>247.5</v>
      </c>
      <c r="H115" s="5" t="s">
        <v>625</v>
      </c>
      <c r="I115" s="6" t="str">
        <f aca="false">CONCATENATE(A115,",",D115)</f>
        <v>ME 160,ED1-ME</v>
      </c>
      <c r="J115" s="12"/>
    </row>
    <row r="116" customFormat="false" ht="14.9" hidden="false" customHeight="false" outlineLevel="0" collapsed="false">
      <c r="A116" s="13" t="s">
        <v>160</v>
      </c>
      <c r="B116" s="18" t="str">
        <v>ENGINEERING DRAWING</v>
      </c>
      <c r="C116" s="18" t="str">
        <v>Sekyere Charles Kofi Kafui</v>
      </c>
      <c r="D116" s="13" t="s">
        <v>162</v>
      </c>
      <c r="E116" s="104" t="n">
        <v>85</v>
      </c>
      <c r="F116" s="19" t="s">
        <v>626</v>
      </c>
      <c r="G116" s="105" t="n">
        <f aca="false">E116*1.1</f>
        <v>93.5</v>
      </c>
      <c r="H116" s="5" t="s">
        <v>627</v>
      </c>
      <c r="I116" s="6" t="str">
        <f aca="false">CONCATENATE(A116,",",D116)</f>
        <v>ME 160,ED1-AUTO</v>
      </c>
      <c r="J116" s="12"/>
    </row>
    <row r="117" customFormat="false" ht="14.9" hidden="false" customHeight="false" outlineLevel="0" collapsed="false">
      <c r="A117" s="13" t="s">
        <v>160</v>
      </c>
      <c r="B117" s="18" t="str">
        <v>ENGINEERING DRAWING</v>
      </c>
      <c r="C117" s="18" t="str">
        <v>Sekyere Charles Kofi Kafui</v>
      </c>
      <c r="D117" s="13" t="s">
        <v>111</v>
      </c>
      <c r="E117" s="104" t="n">
        <v>83</v>
      </c>
      <c r="F117" s="19" t="s">
        <v>628</v>
      </c>
      <c r="G117" s="105" t="n">
        <f aca="false">E117*1.1</f>
        <v>91.3</v>
      </c>
      <c r="H117" s="5" t="s">
        <v>629</v>
      </c>
      <c r="I117" s="6" t="str">
        <f aca="false">CONCATENATE(A117,",",D117)</f>
        <v>ME 160,ED1-IND</v>
      </c>
      <c r="J117" s="12"/>
    </row>
    <row r="118" customFormat="false" ht="14.9" hidden="false" customHeight="false" outlineLevel="0" collapsed="false">
      <c r="A118" s="13" t="s">
        <v>163</v>
      </c>
      <c r="B118" s="18" t="str">
        <v>PETROLEUM ENGINEERING LAB II</v>
      </c>
      <c r="C118" s="14" t="str">
        <v>Erzuah Samuel</v>
      </c>
      <c r="D118" s="13" t="s">
        <v>18</v>
      </c>
      <c r="E118" s="104" t="n">
        <v>80</v>
      </c>
      <c r="F118" s="19" t="s">
        <v>630</v>
      </c>
      <c r="G118" s="105" t="n">
        <f aca="false">E118*1.1</f>
        <v>88</v>
      </c>
      <c r="H118" s="5" t="s">
        <v>631</v>
      </c>
      <c r="I118" s="6" t="str">
        <f aca="false">CONCATENATE(A118,",",D118)</f>
        <v>PE 356,ED3-PE</v>
      </c>
      <c r="J118" s="12"/>
    </row>
    <row r="119" customFormat="false" ht="14.9" hidden="false" customHeight="false" outlineLevel="0" collapsed="false">
      <c r="A119" s="13" t="s">
        <v>164</v>
      </c>
      <c r="B119" s="14" t="str">
        <v>MARINE CONTROL ENGINEERING AND AUTOMATION</v>
      </c>
      <c r="C119" s="14" t="str">
        <v>Adjei Eunice Akyereko</v>
      </c>
      <c r="D119" s="13" t="s">
        <v>69</v>
      </c>
      <c r="E119" s="104" t="n">
        <v>23</v>
      </c>
      <c r="F119" s="19" t="s">
        <v>632</v>
      </c>
      <c r="G119" s="105" t="n">
        <f aca="false">E119*1.1</f>
        <v>25.3</v>
      </c>
      <c r="H119" s="5" t="n">
        <v>23</v>
      </c>
      <c r="I119" s="6" t="str">
        <f aca="false">CONCATENATE(A119,",",D119)</f>
        <v>MME 462,ED4-MARI</v>
      </c>
      <c r="J119" s="12"/>
    </row>
    <row r="120" customFormat="false" ht="14.9" hidden="false" customHeight="false" outlineLevel="0" collapsed="false">
      <c r="A120" s="13" t="s">
        <v>165</v>
      </c>
      <c r="B120" s="14" t="str">
        <v>AUTOMOTIVE SPARK-IGNITION ENGINES</v>
      </c>
      <c r="C120" s="14" t="str">
        <v>Abu Frimpong Solomon</v>
      </c>
      <c r="D120" s="13" t="s">
        <v>23</v>
      </c>
      <c r="E120" s="104" t="n">
        <v>40</v>
      </c>
      <c r="F120" s="19" t="s">
        <v>633</v>
      </c>
      <c r="G120" s="105" t="n">
        <f aca="false">E120*1.1</f>
        <v>44</v>
      </c>
      <c r="H120" s="5" t="n">
        <v>40</v>
      </c>
      <c r="I120" s="6" t="str">
        <f aca="false">CONCATENATE(A120,",",D120)</f>
        <v>AME 368,ED3-AUTO</v>
      </c>
      <c r="J120" s="12"/>
    </row>
    <row r="121" customFormat="false" ht="14.9" hidden="false" customHeight="false" outlineLevel="0" collapsed="false">
      <c r="A121" s="13" t="s">
        <v>166</v>
      </c>
      <c r="B121" s="18" t="str">
        <v>ELECTROMAGNETIC FIELDS</v>
      </c>
      <c r="C121" s="14" t="str">
        <v>Yeboah-Akowuah Bright</v>
      </c>
      <c r="D121" s="13" t="s">
        <v>108</v>
      </c>
      <c r="E121" s="104" t="n">
        <v>255</v>
      </c>
      <c r="F121" s="19" t="s">
        <v>531</v>
      </c>
      <c r="G121" s="105" t="n">
        <f aca="false">E121*1.1</f>
        <v>280.5</v>
      </c>
      <c r="H121" s="5" t="s">
        <v>634</v>
      </c>
      <c r="I121" s="6" t="str">
        <f aca="false">CONCATENATE(A121,",",D121)</f>
        <v>TE 262,ED2-COE</v>
      </c>
      <c r="J121" s="12"/>
    </row>
    <row r="122" customFormat="false" ht="14.9" hidden="false" customHeight="false" outlineLevel="0" collapsed="false">
      <c r="A122" s="22"/>
      <c r="B122" s="22"/>
      <c r="D122" s="14" t="s">
        <v>167</v>
      </c>
      <c r="E122" s="117" t="n">
        <f aca="false">SUM(E111:E121)</f>
        <v>1140</v>
      </c>
      <c r="F122" s="23"/>
      <c r="G122" s="118"/>
      <c r="I122" s="9" t="s">
        <v>168</v>
      </c>
      <c r="J122" s="12"/>
    </row>
    <row r="123" customFormat="false" ht="14.9" hidden="false" customHeight="false" outlineLevel="0" collapsed="false">
      <c r="A123" s="8" t="s">
        <v>147</v>
      </c>
      <c r="B123" s="8"/>
      <c r="C123" s="8"/>
      <c r="D123" s="8"/>
      <c r="E123" s="8"/>
      <c r="F123" s="8"/>
      <c r="G123" s="8"/>
      <c r="I123" s="9" t="str">
        <f aca="false">A123</f>
        <v>Wednesday, 19 August 2026</v>
      </c>
      <c r="J123" s="12"/>
    </row>
    <row r="124" customFormat="false" ht="14.9" hidden="false" customHeight="false" outlineLevel="0" collapsed="false">
      <c r="A124" s="8" t="s">
        <v>59</v>
      </c>
      <c r="B124" s="8"/>
      <c r="C124" s="8"/>
      <c r="D124" s="8"/>
      <c r="E124" s="8"/>
      <c r="F124" s="8"/>
      <c r="G124" s="8"/>
      <c r="I124" s="9" t="str">
        <f aca="false">A124</f>
        <v>Session, 3 (3:00 PM - 5:00 PM)</v>
      </c>
      <c r="J124" s="12"/>
    </row>
    <row r="125" customFormat="false" ht="14.9" hidden="false" customHeight="false" outlineLevel="0" collapsed="false">
      <c r="A125" s="11" t="s">
        <v>4</v>
      </c>
      <c r="B125" s="11" t="s">
        <v>5</v>
      </c>
      <c r="C125" s="2" t="s">
        <v>6</v>
      </c>
      <c r="D125" s="11" t="s">
        <v>7</v>
      </c>
      <c r="E125" s="102" t="s">
        <v>8</v>
      </c>
      <c r="F125" s="2" t="s">
        <v>9</v>
      </c>
      <c r="G125" s="103" t="s">
        <v>10</v>
      </c>
      <c r="I125" s="9" t="s">
        <v>31</v>
      </c>
      <c r="J125" s="12"/>
    </row>
    <row r="126" customFormat="false" ht="14.9" hidden="false" customHeight="false" outlineLevel="0" collapsed="false">
      <c r="A126" s="13" t="s">
        <v>169</v>
      </c>
      <c r="B126" s="14" t="str">
        <f aca="false" t="array" ref="B126:B134">IFERROR(VLOOKUP(I126:I134,Lectures_1!A2:F534,2,FALSE()),0)</f>
        <v>PRINCIPLES OF REMOTE SENSING</v>
      </c>
      <c r="C126" s="14" t="str">
        <f aca="false" t="array" ref="C126:C134">IFERROR(VLOOKUP(I126:I134,Lectures_1!A2:F534,3,FALSE()),0)</f>
        <v>Yaw Mensah Asare</v>
      </c>
      <c r="D126" s="13" t="s">
        <v>170</v>
      </c>
      <c r="E126" s="104" t="n">
        <f aca="false" t="array" ref="E126:E134">IFERROR(VLOOKUP(I126:I134,Lectures_1!A2:F534,4,FALSE()),0)</f>
        <v>132</v>
      </c>
      <c r="F126" s="19" t="s">
        <v>552</v>
      </c>
      <c r="G126" s="105" t="n">
        <f aca="false">E126*1.1</f>
        <v>145.2</v>
      </c>
      <c r="H126" s="5" t="s">
        <v>635</v>
      </c>
      <c r="I126" s="6" t="str">
        <f aca="false">CONCATENATE(A126,",",D126)</f>
        <v>GE 262,ED2-GEOM</v>
      </c>
      <c r="J126" s="12"/>
    </row>
    <row r="127" customFormat="false" ht="14.9" hidden="false" customHeight="false" outlineLevel="0" collapsed="false">
      <c r="A127" s="13" t="s">
        <v>171</v>
      </c>
      <c r="B127" s="18" t="str">
        <v>COMMUNICATION CIRCUITS</v>
      </c>
      <c r="C127" s="18" t="str">
        <v>Abdul-Rahman Ahmed</v>
      </c>
      <c r="D127" s="13" t="s">
        <v>172</v>
      </c>
      <c r="E127" s="104" t="n">
        <v>175</v>
      </c>
      <c r="F127" s="19" t="s">
        <v>617</v>
      </c>
      <c r="G127" s="105" t="n">
        <f aca="false">E127*1.1</f>
        <v>192.5</v>
      </c>
      <c r="H127" s="27" t="s">
        <v>636</v>
      </c>
      <c r="I127" s="6" t="str">
        <f aca="false">CONCATENATE(A127,",",D127)</f>
        <v>TE 256,ED2-TEL</v>
      </c>
      <c r="J127" s="12"/>
    </row>
    <row r="128" customFormat="false" ht="14.9" hidden="false" customHeight="false" outlineLevel="0" collapsed="false">
      <c r="A128" s="13" t="s">
        <v>175</v>
      </c>
      <c r="B128" s="14" t="str">
        <v>INTRODUCTION TO INFORMATION TECHNOLOGY</v>
      </c>
      <c r="C128" s="14" t="str">
        <v>Addo Daniel Akwei</v>
      </c>
      <c r="D128" s="13" t="s">
        <v>20</v>
      </c>
      <c r="E128" s="104" t="n">
        <v>262</v>
      </c>
      <c r="F128" s="19" t="s">
        <v>531</v>
      </c>
      <c r="G128" s="105" t="n">
        <f aca="false">E128*1.1</f>
        <v>288.2</v>
      </c>
      <c r="H128" s="5" t="s">
        <v>637</v>
      </c>
      <c r="I128" s="6" t="str">
        <f aca="false">CONCATENATE(A128,",",D128)</f>
        <v>COE 158,ED1-COE</v>
      </c>
      <c r="J128" s="12"/>
    </row>
    <row r="129" customFormat="false" ht="14.9" hidden="false" customHeight="false" outlineLevel="0" collapsed="false">
      <c r="A129" s="13" t="s">
        <v>173</v>
      </c>
      <c r="B129" s="14" t="str">
        <v>PRACTICAL CHEMISTRY II</v>
      </c>
      <c r="C129" s="18" t="str">
        <v>Opoku Francis</v>
      </c>
      <c r="D129" s="13" t="s">
        <v>14</v>
      </c>
      <c r="E129" s="104" t="n">
        <v>65</v>
      </c>
      <c r="F129" s="19" t="s">
        <v>535</v>
      </c>
      <c r="G129" s="105" t="n">
        <f aca="false">E129*1.1</f>
        <v>71.5</v>
      </c>
      <c r="H129" s="5" t="s">
        <v>638</v>
      </c>
      <c r="I129" s="6" t="str">
        <f aca="false">CONCATENATE(A129,",",D129)</f>
        <v>CHEM 280,ED2-PCE</v>
      </c>
      <c r="J129" s="12"/>
    </row>
    <row r="130" customFormat="false" ht="14.9" hidden="false" customHeight="false" outlineLevel="0" collapsed="false">
      <c r="A130" s="13" t="s">
        <v>173</v>
      </c>
      <c r="B130" s="14" t="str">
        <v>PRACTICAL CHEMISTRY II</v>
      </c>
      <c r="C130" s="18" t="str">
        <v>Opoku Francis</v>
      </c>
      <c r="D130" s="13" t="s">
        <v>13</v>
      </c>
      <c r="E130" s="104" t="n">
        <v>160</v>
      </c>
      <c r="F130" s="19" t="s">
        <v>639</v>
      </c>
      <c r="G130" s="105" t="n">
        <f aca="false">E130*1.1</f>
        <v>176</v>
      </c>
      <c r="H130" s="5" t="s">
        <v>640</v>
      </c>
      <c r="I130" s="6" t="str">
        <f aca="false">CONCATENATE(A130,",",D130)</f>
        <v>CHEM 280,ED2-CHE</v>
      </c>
      <c r="J130" s="12"/>
    </row>
    <row r="131" s="108" customFormat="true" ht="14.9" hidden="false" customHeight="false" outlineLevel="0" collapsed="false">
      <c r="A131" s="13" t="s">
        <v>457</v>
      </c>
      <c r="B131" s="18" t="str">
        <v>FAULT DIAGNOSIS AND FAILURE TOLERANCE</v>
      </c>
      <c r="C131" s="18" t="str">
        <v>Agbemenu Andrew Selasi</v>
      </c>
      <c r="D131" s="13" t="s">
        <v>251</v>
      </c>
      <c r="E131" s="104" t="n">
        <v>70</v>
      </c>
      <c r="F131" s="19" t="s">
        <v>641</v>
      </c>
      <c r="G131" s="105" t="n">
        <f aca="false">E131*1.1</f>
        <v>77</v>
      </c>
      <c r="H131" s="126" t="s">
        <v>642</v>
      </c>
      <c r="I131" s="106" t="str">
        <f aca="false">CONCATENATE(A131,",",D131)</f>
        <v>COE 480,ED4-COE</v>
      </c>
      <c r="J131" s="107"/>
    </row>
    <row r="132" customFormat="false" ht="14.9" hidden="false" customHeight="false" outlineLevel="0" collapsed="false">
      <c r="A132" s="13" t="s">
        <v>510</v>
      </c>
      <c r="B132" s="14" t="str">
        <v>GEOSTATISTICS</v>
      </c>
      <c r="C132" s="18" t="str">
        <v>Nuamah Daniel Oduro Boatey</v>
      </c>
      <c r="D132" s="19" t="s">
        <v>177</v>
      </c>
      <c r="E132" s="104" t="n">
        <v>72</v>
      </c>
      <c r="F132" s="19" t="s">
        <v>959</v>
      </c>
      <c r="G132" s="105" t="n">
        <f aca="false">E132*1.1</f>
        <v>79.2</v>
      </c>
      <c r="H132" s="5" t="s">
        <v>960</v>
      </c>
      <c r="I132" s="6" t="str">
        <f aca="false">CONCATENATE(A132,",",D132)</f>
        <v>GED 468,ED4-GEOL</v>
      </c>
      <c r="J132" s="12"/>
    </row>
    <row r="133" customFormat="false" ht="14.9" hidden="false" customHeight="false" outlineLevel="0" collapsed="false">
      <c r="A133" s="13" t="s">
        <v>174</v>
      </c>
      <c r="B133" s="14" t="str">
        <v>FLUID DYNAMICS  II</v>
      </c>
      <c r="C133" s="18" t="str">
        <v>A. K. Sunnu</v>
      </c>
      <c r="D133" s="19" t="s">
        <v>61</v>
      </c>
      <c r="E133" s="104" t="n">
        <v>222</v>
      </c>
      <c r="F133" s="19" t="s">
        <v>619</v>
      </c>
      <c r="G133" s="105" t="n">
        <f aca="false">E133*1.1</f>
        <v>244.2</v>
      </c>
      <c r="H133" s="5" t="s">
        <v>643</v>
      </c>
      <c r="I133" s="6" t="str">
        <f aca="false">CONCATENATE(A133,",",D133)</f>
        <v>ME 352,ED3-ME</v>
      </c>
      <c r="J133" s="12"/>
    </row>
    <row r="134" customFormat="false" ht="14.9" hidden="false" customHeight="false" outlineLevel="0" collapsed="false">
      <c r="A134" s="13" t="s">
        <v>174</v>
      </c>
      <c r="B134" s="14" t="str">
        <v>FLUID DYNAMICS II</v>
      </c>
      <c r="C134" s="18" t="str">
        <v>Tay Godwin Fabiola Kwaku</v>
      </c>
      <c r="D134" s="13" t="s">
        <v>86</v>
      </c>
      <c r="E134" s="104" t="n">
        <v>40</v>
      </c>
      <c r="F134" s="19" t="s">
        <v>633</v>
      </c>
      <c r="G134" s="105" t="n">
        <f aca="false">E134*1.1</f>
        <v>44</v>
      </c>
      <c r="H134" s="5" t="n">
        <v>40</v>
      </c>
      <c r="I134" s="6" t="str">
        <f aca="false">CONCATENATE(A134,",",D134)</f>
        <v>ME 352,ED3-MARI</v>
      </c>
      <c r="J134" s="12"/>
    </row>
    <row r="135" customFormat="false" ht="14.9" hidden="false" customHeight="false" outlineLevel="0" collapsed="false">
      <c r="A135" s="22"/>
      <c r="B135" s="22"/>
      <c r="D135" s="14" t="s">
        <v>178</v>
      </c>
      <c r="E135" s="117" t="n">
        <f aca="false">SUM(E126:E134)</f>
        <v>1198</v>
      </c>
      <c r="F135" s="23"/>
      <c r="G135" s="118"/>
      <c r="I135" s="9" t="s">
        <v>179</v>
      </c>
      <c r="J135" s="12"/>
    </row>
    <row r="136" customFormat="false" ht="14.9" hidden="false" customHeight="false" outlineLevel="0" collapsed="false">
      <c r="A136" s="8" t="s">
        <v>180</v>
      </c>
      <c r="B136" s="8"/>
      <c r="C136" s="8"/>
      <c r="D136" s="8"/>
      <c r="E136" s="8"/>
      <c r="F136" s="8"/>
      <c r="G136" s="8"/>
      <c r="I136" s="9" t="str">
        <f aca="false">A136</f>
        <v>Thursday, 20 August 2026</v>
      </c>
      <c r="J136" s="12"/>
    </row>
    <row r="137" customFormat="false" ht="14.9" hidden="false" customHeight="false" outlineLevel="0" collapsed="false">
      <c r="A137" s="8" t="s">
        <v>2</v>
      </c>
      <c r="B137" s="8"/>
      <c r="C137" s="8"/>
      <c r="D137" s="8"/>
      <c r="E137" s="8"/>
      <c r="F137" s="8"/>
      <c r="G137" s="8"/>
      <c r="I137" s="9" t="str">
        <f aca="false">A137</f>
        <v>Session, 1 (8:30 AM - 10:30 AM)</v>
      </c>
      <c r="J137" s="12"/>
    </row>
    <row r="138" customFormat="false" ht="14.9" hidden="false" customHeight="false" outlineLevel="0" collapsed="false">
      <c r="A138" s="11" t="s">
        <v>4</v>
      </c>
      <c r="B138" s="11" t="s">
        <v>5</v>
      </c>
      <c r="C138" s="2" t="s">
        <v>6</v>
      </c>
      <c r="D138" s="11" t="s">
        <v>7</v>
      </c>
      <c r="E138" s="102" t="s">
        <v>8</v>
      </c>
      <c r="F138" s="2" t="s">
        <v>9</v>
      </c>
      <c r="G138" s="103" t="s">
        <v>10</v>
      </c>
      <c r="I138" s="9" t="s">
        <v>31</v>
      </c>
      <c r="J138" s="12"/>
    </row>
    <row r="139" s="108" customFormat="true" ht="14.9" hidden="false" customHeight="true" outlineLevel="0" collapsed="false">
      <c r="A139" s="119" t="s">
        <v>182</v>
      </c>
      <c r="B139" s="146" t="str">
        <f aca="false" t="array" ref="B139:B151">IFERROR(VLOOKUP(I139:I151,Lectures_1!A2:F534,2,FALSE()),0)</f>
        <v>CIVIL ENGINEERING DRAWING</v>
      </c>
      <c r="C139" s="120" t="str">
        <f aca="false" t="array" ref="C139:C151">IFERROR(VLOOKUP(I139:I151,Lectures_1!A2:F534,3,FALSE()),0)</f>
        <v>Osei Jack Banahene</v>
      </c>
      <c r="D139" s="119" t="s">
        <v>126</v>
      </c>
      <c r="E139" s="125" t="n">
        <f aca="false" t="array" ref="E139:E151">IFERROR(VLOOKUP(I139:I151,Lectures_1!A2:F534,4,FALSE()),0)</f>
        <v>125</v>
      </c>
      <c r="F139" s="37" t="s">
        <v>34</v>
      </c>
      <c r="G139" s="122" t="n">
        <f aca="false">E139*1.1</f>
        <v>137.5</v>
      </c>
      <c r="H139" s="123"/>
      <c r="I139" s="106" t="str">
        <f aca="false">CONCATENATE(A139,",",D139)</f>
        <v>CE 164,ED1-GEOL</v>
      </c>
      <c r="J139" s="107"/>
    </row>
    <row r="140" s="108" customFormat="true" ht="14.9" hidden="false" customHeight="false" outlineLevel="0" collapsed="false">
      <c r="A140" s="119" t="s">
        <v>183</v>
      </c>
      <c r="B140" s="120" t="str">
        <v>INTRODUCTION TO FINITE ELEMENT</v>
      </c>
      <c r="C140" s="124" t="str">
        <v>Andoh Prince Yaw</v>
      </c>
      <c r="D140" s="119" t="s">
        <v>97</v>
      </c>
      <c r="E140" s="125" t="n">
        <v>32</v>
      </c>
      <c r="F140" s="37"/>
      <c r="G140" s="122" t="n">
        <f aca="false">E140*1.1</f>
        <v>35.2</v>
      </c>
      <c r="H140" s="123"/>
      <c r="I140" s="106" t="str">
        <f aca="false">CONCATENATE(A140,",",D140)</f>
        <v>ME 456,ED4-AUTO</v>
      </c>
      <c r="J140" s="107"/>
    </row>
    <row r="141" customFormat="false" ht="14.9" hidden="false" customHeight="false" outlineLevel="0" collapsed="false">
      <c r="A141" s="13" t="s">
        <v>60</v>
      </c>
      <c r="B141" s="18" t="str">
        <v>MACHINE DESIGN II</v>
      </c>
      <c r="C141" s="14" t="str">
        <v>Afriyie Nyarko Frank Kwabena</v>
      </c>
      <c r="D141" s="13" t="s">
        <v>88</v>
      </c>
      <c r="E141" s="104" t="n">
        <v>101</v>
      </c>
      <c r="F141" s="19" t="s">
        <v>571</v>
      </c>
      <c r="G141" s="105" t="n">
        <f aca="false">E141*1.1</f>
        <v>111.1</v>
      </c>
      <c r="H141" s="5" t="s">
        <v>644</v>
      </c>
      <c r="I141" s="6" t="str">
        <f aca="false">CONCATENATE(A141,",",D141)</f>
        <v>ME 374,ED3-AE</v>
      </c>
      <c r="J141" s="12"/>
    </row>
    <row r="142" customFormat="false" ht="14.9" hidden="false" customHeight="false" outlineLevel="0" collapsed="false">
      <c r="A142" s="13" t="s">
        <v>184</v>
      </c>
      <c r="B142" s="18" t="str">
        <v>CIRCUIT THEORY</v>
      </c>
      <c r="C142" s="14" t="str">
        <v>Twumasi Elvis</v>
      </c>
      <c r="D142" s="13" t="s">
        <v>51</v>
      </c>
      <c r="E142" s="104" t="n">
        <v>295</v>
      </c>
      <c r="F142" s="19" t="s">
        <v>645</v>
      </c>
      <c r="G142" s="105" t="n">
        <f aca="false">E142*1.1</f>
        <v>324.5</v>
      </c>
      <c r="H142" s="5" t="s">
        <v>646</v>
      </c>
      <c r="I142" s="6" t="str">
        <f aca="false">CONCATENATE(A142,",",D142)</f>
        <v>EE 166,ED1-EE</v>
      </c>
      <c r="J142" s="12"/>
    </row>
    <row r="143" s="116" customFormat="true" ht="14.9" hidden="false" customHeight="false" outlineLevel="0" collapsed="false">
      <c r="A143" s="109" t="s">
        <v>185</v>
      </c>
      <c r="B143" s="110" t="str">
        <v>INTRODUCTION TO INFORMATION TECHNOLOGY</v>
      </c>
      <c r="C143" s="110" t="str">
        <v>Baidoo Martina Francisca</v>
      </c>
      <c r="D143" s="109" t="s">
        <v>81</v>
      </c>
      <c r="E143" s="111" t="n">
        <v>56</v>
      </c>
      <c r="F143" s="110" t="s">
        <v>955</v>
      </c>
      <c r="G143" s="112" t="n">
        <f aca="false">E143*1.1</f>
        <v>61.6</v>
      </c>
      <c r="H143" s="113" t="n">
        <v>56</v>
      </c>
      <c r="I143" s="127" t="str">
        <f aca="false">CONCATENATE(A143,",",D143)</f>
        <v>PCE 158,ED1-PCE</v>
      </c>
      <c r="J143" s="115"/>
    </row>
    <row r="144" s="116" customFormat="true" ht="14.9" hidden="false" customHeight="false" outlineLevel="0" collapsed="false">
      <c r="A144" s="109" t="s">
        <v>186</v>
      </c>
      <c r="B144" s="110" t="str">
        <v>INTRODUCTION TO INFORMATION TECHNOLOGY</v>
      </c>
      <c r="C144" s="110" t="str">
        <v>Baidoo Martina Francisca</v>
      </c>
      <c r="D144" s="109" t="s">
        <v>80</v>
      </c>
      <c r="E144" s="111" t="n">
        <v>120</v>
      </c>
      <c r="F144" s="110" t="s">
        <v>956</v>
      </c>
      <c r="G144" s="112" t="n">
        <f aca="false">E144*1.1</f>
        <v>132</v>
      </c>
      <c r="H144" s="113" t="n">
        <v>120</v>
      </c>
      <c r="I144" s="127" t="str">
        <f aca="false">CONCATENATE(A144,",",D144)</f>
        <v>CHE 158,ED1-CHE</v>
      </c>
      <c r="J144" s="115"/>
    </row>
    <row r="145" s="32" customFormat="true" ht="14.9" hidden="false" customHeight="false" outlineLevel="0" collapsed="false">
      <c r="A145" s="13" t="s">
        <v>187</v>
      </c>
      <c r="B145" s="14" t="str">
        <v>DATA COMMUNICATION PRINCIPLES</v>
      </c>
      <c r="C145" s="18" t="str">
        <v>Gadze James Dzisi</v>
      </c>
      <c r="D145" s="38" t="s">
        <v>119</v>
      </c>
      <c r="E145" s="104" t="n">
        <v>140</v>
      </c>
      <c r="F145" s="19" t="s">
        <v>585</v>
      </c>
      <c r="G145" s="105" t="n">
        <f aca="false">E145*1.1</f>
        <v>154</v>
      </c>
      <c r="H145" s="5" t="s">
        <v>586</v>
      </c>
      <c r="I145" s="29" t="str">
        <f aca="false">CONCATENATE(A145,",",D145)</f>
        <v>TE 352,ED3-TEL</v>
      </c>
      <c r="J145" s="31"/>
    </row>
    <row r="146" customFormat="false" ht="14.9" hidden="false" customHeight="false" outlineLevel="0" collapsed="false">
      <c r="A146" s="13" t="s">
        <v>188</v>
      </c>
      <c r="B146" s="18" t="str">
        <v>INTRODUCTION TO PETROLEUM ENGINEERING</v>
      </c>
      <c r="C146" s="14" t="str">
        <v>Erzuah Samuel</v>
      </c>
      <c r="D146" s="19" t="s">
        <v>82</v>
      </c>
      <c r="E146" s="104" t="n">
        <v>130</v>
      </c>
      <c r="F146" s="19" t="s">
        <v>552</v>
      </c>
      <c r="G146" s="105" t="n">
        <f aca="false">E146*1.1</f>
        <v>143</v>
      </c>
      <c r="H146" s="5" t="s">
        <v>647</v>
      </c>
      <c r="I146" s="6" t="str">
        <f aca="false">CONCATENATE(A146,",",D146)</f>
        <v>PE 154,ED1-PE</v>
      </c>
      <c r="J146" s="12"/>
    </row>
    <row r="147" customFormat="false" ht="14.9" hidden="false" customHeight="false" outlineLevel="0" collapsed="false">
      <c r="A147" s="13" t="s">
        <v>189</v>
      </c>
      <c r="B147" s="18" t="str">
        <v>PRODUCTION ENGINEERING II</v>
      </c>
      <c r="C147" s="18" t="str">
        <v>Obeng George Yaw</v>
      </c>
      <c r="D147" s="13" t="s">
        <v>67</v>
      </c>
      <c r="E147" s="104" t="n">
        <v>40</v>
      </c>
      <c r="F147" s="19" t="s">
        <v>641</v>
      </c>
      <c r="G147" s="105" t="n">
        <f aca="false">E147*1.1</f>
        <v>44</v>
      </c>
      <c r="H147" s="5" t="s">
        <v>648</v>
      </c>
      <c r="I147" s="6" t="str">
        <f aca="false">CONCATENATE(A147,",",D147)</f>
        <v>ME 478,ED4-ME</v>
      </c>
      <c r="J147" s="12"/>
    </row>
    <row r="148" customFormat="false" ht="15" hidden="false" customHeight="true" outlineLevel="0" collapsed="false">
      <c r="A148" s="13" t="s">
        <v>190</v>
      </c>
      <c r="B148" s="14" t="str">
        <v>ENGINEERING GRAPHICS</v>
      </c>
      <c r="C148" s="14" t="str">
        <v>Sackey Michael Nii</v>
      </c>
      <c r="D148" s="13" t="s">
        <v>191</v>
      </c>
      <c r="E148" s="104" t="n">
        <v>70</v>
      </c>
      <c r="F148" s="19" t="s">
        <v>529</v>
      </c>
      <c r="G148" s="105" t="n">
        <f aca="false">E148*1.1</f>
        <v>77</v>
      </c>
      <c r="H148" s="5" t="s">
        <v>649</v>
      </c>
      <c r="I148" s="6" t="str">
        <f aca="false">CONCATENATE(A148,",",D148)</f>
        <v>ME 158,ED1-AERO</v>
      </c>
      <c r="J148" s="12"/>
    </row>
    <row r="149" customFormat="false" ht="14.9" hidden="false" customHeight="false" outlineLevel="0" collapsed="false">
      <c r="A149" s="13" t="s">
        <v>216</v>
      </c>
      <c r="B149" s="14" t="str">
        <v>SYSTEMS INTEGRATION</v>
      </c>
      <c r="C149" s="18" t="str">
        <v>Tay Godwin Fabiola Kwaku</v>
      </c>
      <c r="D149" s="13" t="s">
        <v>124</v>
      </c>
      <c r="E149" s="104" t="n">
        <v>69</v>
      </c>
      <c r="F149" s="19" t="s">
        <v>545</v>
      </c>
      <c r="G149" s="105" t="n">
        <f aca="false">E149*1.1</f>
        <v>75.9</v>
      </c>
      <c r="H149" s="5" t="n">
        <v>69</v>
      </c>
      <c r="I149" s="6" t="str">
        <f aca="false">CONCATENATE(A149,",",D149)</f>
        <v>IE 456,ED4-IND</v>
      </c>
      <c r="J149" s="12"/>
    </row>
    <row r="150" s="1" customFormat="true" ht="14.9" hidden="false" customHeight="false" outlineLevel="0" collapsed="false">
      <c r="A150" s="13" t="s">
        <v>98</v>
      </c>
      <c r="B150" s="14" t="str">
        <v>APPLIED METEOROLOGY</v>
      </c>
      <c r="C150" s="18" t="str">
        <v>Prince Junior Asilevi</v>
      </c>
      <c r="D150" s="13" t="s">
        <v>99</v>
      </c>
      <c r="E150" s="104" t="n">
        <v>61</v>
      </c>
      <c r="F150" s="19" t="s">
        <v>650</v>
      </c>
      <c r="G150" s="105" t="n">
        <f aca="false">E150*1.1</f>
        <v>67.1</v>
      </c>
      <c r="H150" s="5" t="s">
        <v>651</v>
      </c>
      <c r="I150" s="29" t="str">
        <f aca="false">CONCATENATE(A150,",",D150)</f>
        <v>AERO 456,ED4-AERO</v>
      </c>
      <c r="J150" s="31"/>
      <c r="K150" s="32"/>
      <c r="L150" s="32"/>
      <c r="M150" s="32"/>
    </row>
    <row r="151" customFormat="false" ht="15" hidden="false" customHeight="true" outlineLevel="0" collapsed="false">
      <c r="A151" s="13" t="s">
        <v>193</v>
      </c>
      <c r="B151" s="14" t="str">
        <v>DATABASE SYSTEMS</v>
      </c>
      <c r="C151" s="14" t="str">
        <v>Ayer John Wise Divine</v>
      </c>
      <c r="D151" s="13" t="s">
        <v>194</v>
      </c>
      <c r="E151" s="104" t="n">
        <v>93</v>
      </c>
      <c r="F151" s="19" t="s">
        <v>652</v>
      </c>
      <c r="G151" s="105" t="n">
        <f aca="false">E151*1.1</f>
        <v>102.3</v>
      </c>
      <c r="H151" s="5" t="s">
        <v>653</v>
      </c>
      <c r="I151" s="6" t="str">
        <f aca="false">CONCATENATE(A151,",",D151)</f>
        <v>GE 464,ED4-GEOM</v>
      </c>
      <c r="J151" s="12"/>
    </row>
    <row r="152" customFormat="false" ht="14.9" hidden="false" customHeight="false" outlineLevel="0" collapsed="false">
      <c r="A152" s="22"/>
      <c r="B152" s="22"/>
      <c r="D152" s="14" t="s">
        <v>195</v>
      </c>
      <c r="E152" s="117" t="n">
        <f aca="false">SUM(E141:E151)</f>
        <v>1175</v>
      </c>
      <c r="F152" s="23"/>
      <c r="G152" s="118"/>
      <c r="I152" s="9" t="s">
        <v>196</v>
      </c>
      <c r="J152" s="12"/>
    </row>
    <row r="153" customFormat="false" ht="14.9" hidden="false" customHeight="false" outlineLevel="0" collapsed="false">
      <c r="A153" s="8" t="s">
        <v>180</v>
      </c>
      <c r="B153" s="8"/>
      <c r="C153" s="8"/>
      <c r="D153" s="8"/>
      <c r="E153" s="8"/>
      <c r="F153" s="8"/>
      <c r="G153" s="8"/>
      <c r="I153" s="9" t="str">
        <f aca="false">A153</f>
        <v>Thursday, 20 August 2026</v>
      </c>
      <c r="J153" s="12"/>
    </row>
    <row r="154" customFormat="false" ht="14.9" hidden="false" customHeight="false" outlineLevel="0" collapsed="false">
      <c r="A154" s="8" t="s">
        <v>29</v>
      </c>
      <c r="B154" s="8"/>
      <c r="C154" s="8"/>
      <c r="D154" s="8"/>
      <c r="E154" s="8"/>
      <c r="F154" s="8"/>
      <c r="G154" s="8"/>
      <c r="I154" s="9" t="str">
        <f aca="false">A154</f>
        <v>Session, 2 (12:00 PM - 2:00 PM)</v>
      </c>
      <c r="J154" s="12"/>
    </row>
    <row r="155" customFormat="false" ht="14.9" hidden="false" customHeight="false" outlineLevel="0" collapsed="false">
      <c r="A155" s="11" t="s">
        <v>4</v>
      </c>
      <c r="B155" s="11" t="s">
        <v>5</v>
      </c>
      <c r="C155" s="2" t="s">
        <v>6</v>
      </c>
      <c r="D155" s="11" t="s">
        <v>7</v>
      </c>
      <c r="E155" s="102" t="s">
        <v>8</v>
      </c>
      <c r="F155" s="2" t="s">
        <v>9</v>
      </c>
      <c r="G155" s="103" t="s">
        <v>10</v>
      </c>
      <c r="I155" s="9" t="s">
        <v>31</v>
      </c>
      <c r="J155" s="12"/>
    </row>
    <row r="156" s="108" customFormat="true" ht="14.9" hidden="false" customHeight="false" outlineLevel="0" collapsed="false">
      <c r="A156" s="119" t="s">
        <v>182</v>
      </c>
      <c r="B156" s="124" t="str">
        <f aca="false" t="array" ref="B156:B164">IFERROR(VLOOKUP(I156:I164,Lectures_1!A2:F534,2,FALSE()),0)</f>
        <v>CIVIL ENGINEERING DRAWING</v>
      </c>
      <c r="C156" s="124" t="str">
        <f aca="false" t="array" ref="C156:C164">IFERROR(VLOOKUP(I156:I164,Lectures_1!A2:F534,3,FALSE()),0)</f>
        <v>Osei Jack Banahene</v>
      </c>
      <c r="D156" s="119" t="s">
        <v>75</v>
      </c>
      <c r="E156" s="125" t="n">
        <f aca="false" t="array" ref="E156:E164">IFERROR(VLOOKUP(I156:I164,Lectures_1!A2:F534,4,FALSE()),0)</f>
        <v>245</v>
      </c>
      <c r="F156" s="14" t="s">
        <v>34</v>
      </c>
      <c r="G156" s="122" t="n">
        <f aca="false">E156*1.1</f>
        <v>269.5</v>
      </c>
      <c r="H156" s="147"/>
      <c r="I156" s="106" t="str">
        <f aca="false">CONCATENATE(A156,",",D156)</f>
        <v>CE 164,ED1-CE</v>
      </c>
      <c r="J156" s="107"/>
    </row>
    <row r="157" s="108" customFormat="true" ht="14.9" hidden="false" customHeight="false" outlineLevel="0" collapsed="false">
      <c r="A157" s="119" t="s">
        <v>197</v>
      </c>
      <c r="B157" s="120" t="str">
        <v>INTRODUCTION TO SOCIOLOGY II</v>
      </c>
      <c r="C157" s="124" t="str">
        <v>Jones Opoku-Ware</v>
      </c>
      <c r="D157" s="119" t="s">
        <v>130</v>
      </c>
      <c r="E157" s="125" t="n">
        <v>136</v>
      </c>
      <c r="F157" s="119" t="s">
        <v>585</v>
      </c>
      <c r="G157" s="122" t="n">
        <f aca="false">E157*1.1</f>
        <v>149.6</v>
      </c>
      <c r="H157" s="123" t="s">
        <v>596</v>
      </c>
      <c r="I157" s="106" t="str">
        <f aca="false">CONCATENATE(A157,",",D157)</f>
        <v>SOC 152,ED1-BME</v>
      </c>
      <c r="J157" s="107"/>
    </row>
    <row r="158" s="116" customFormat="true" ht="14.9" hidden="false" customHeight="false" outlineLevel="0" collapsed="false">
      <c r="A158" s="109" t="s">
        <v>198</v>
      </c>
      <c r="B158" s="110" t="str">
        <v>DATABASE AND INFORMATION RETRIEVAL</v>
      </c>
      <c r="C158" s="110" t="str">
        <v>Keelson Eliel</v>
      </c>
      <c r="D158" s="109" t="s">
        <v>16</v>
      </c>
      <c r="E158" s="111" t="n">
        <v>265</v>
      </c>
      <c r="F158" s="110" t="s">
        <v>954</v>
      </c>
      <c r="G158" s="112" t="n">
        <f aca="false">E158*1.1</f>
        <v>291.5</v>
      </c>
      <c r="H158" s="113" t="s">
        <v>654</v>
      </c>
      <c r="I158" s="127" t="str">
        <f aca="false">CONCATENATE(A158,",",D158)</f>
        <v>COE 368,ED3-COE</v>
      </c>
      <c r="J158" s="115"/>
    </row>
    <row r="159" customFormat="false" ht="14.9" hidden="false" customHeight="false" outlineLevel="0" collapsed="false">
      <c r="A159" s="13" t="s">
        <v>199</v>
      </c>
      <c r="B159" s="18" t="str">
        <v>MATERIALS SCIENCE</v>
      </c>
      <c r="C159" s="18" t="str">
        <v>Patrick Boakye</v>
      </c>
      <c r="D159" s="13" t="s">
        <v>73</v>
      </c>
      <c r="E159" s="104" t="n">
        <v>105</v>
      </c>
      <c r="F159" s="19" t="s">
        <v>655</v>
      </c>
      <c r="G159" s="105" t="n">
        <f aca="false">E159*1.1</f>
        <v>115.5</v>
      </c>
      <c r="H159" s="5" t="s">
        <v>656</v>
      </c>
      <c r="I159" s="6" t="str">
        <f aca="false">CONCATENATE(A159,",",D159)</f>
        <v>CHE 350,ED3-CHE</v>
      </c>
      <c r="J159" s="12"/>
    </row>
    <row r="160" customFormat="false" ht="14.9" hidden="false" customHeight="false" outlineLevel="0" collapsed="false">
      <c r="A160" s="13" t="s">
        <v>199</v>
      </c>
      <c r="B160" s="18" t="str">
        <v>MATERIALS SCIENCE</v>
      </c>
      <c r="C160" s="18" t="str">
        <v>Anang Daniel Adjah</v>
      </c>
      <c r="D160" s="13" t="s">
        <v>63</v>
      </c>
      <c r="E160" s="104" t="n">
        <v>53</v>
      </c>
      <c r="F160" s="19" t="s">
        <v>535</v>
      </c>
      <c r="G160" s="105" t="n">
        <f aca="false">E160*1.1</f>
        <v>58.3</v>
      </c>
      <c r="H160" s="5" t="s">
        <v>657</v>
      </c>
      <c r="I160" s="6" t="str">
        <f aca="false">CONCATENATE(A160,",",D160)</f>
        <v>CHE 350,ED3-PCE</v>
      </c>
      <c r="J160" s="12"/>
    </row>
    <row r="161" customFormat="false" ht="14.9" hidden="false" customHeight="false" outlineLevel="0" collapsed="false">
      <c r="A161" s="13" t="s">
        <v>200</v>
      </c>
      <c r="B161" s="14" t="str">
        <v>INTRODUCTION TO PSYCHOLOGY</v>
      </c>
      <c r="C161" s="18" t="str">
        <v>Sarfo Fordjour Elizabeth Anokyewaa</v>
      </c>
      <c r="D161" s="13" t="s">
        <v>91</v>
      </c>
      <c r="E161" s="104" t="n">
        <v>130</v>
      </c>
      <c r="F161" s="19" t="s">
        <v>552</v>
      </c>
      <c r="G161" s="105" t="n">
        <f aca="false">E161*1.1</f>
        <v>143</v>
      </c>
      <c r="H161" s="5" t="s">
        <v>658</v>
      </c>
      <c r="I161" s="6" t="str">
        <f aca="false">CONCATENATE(A161,",",D161)</f>
        <v>PSYC 154,ED1-TEL</v>
      </c>
      <c r="J161" s="12"/>
    </row>
    <row r="162" customFormat="false" ht="14.9" hidden="false" customHeight="false" outlineLevel="0" collapsed="false">
      <c r="A162" s="13" t="s">
        <v>201</v>
      </c>
      <c r="B162" s="14" t="str">
        <v>REPRODUCTION CARTOGRAPHY</v>
      </c>
      <c r="C162" s="18" t="str">
        <v>Quaye-Ballard Jonathan Arthur</v>
      </c>
      <c r="D162" s="13" t="s">
        <v>95</v>
      </c>
      <c r="E162" s="104" t="n">
        <v>103</v>
      </c>
      <c r="F162" s="19" t="s">
        <v>659</v>
      </c>
      <c r="G162" s="105" t="n">
        <f aca="false">E162*1.1</f>
        <v>113.3</v>
      </c>
      <c r="H162" s="5" t="s">
        <v>660</v>
      </c>
      <c r="I162" s="6" t="str">
        <f aca="false">CONCATENATE(A162,",",D162)</f>
        <v>GE 152,ED1-GEOM</v>
      </c>
      <c r="J162" s="12"/>
    </row>
    <row r="163" customFormat="false" ht="14.9" hidden="false" customHeight="false" outlineLevel="0" collapsed="false">
      <c r="A163" s="13" t="s">
        <v>202</v>
      </c>
      <c r="B163" s="14" t="str">
        <v>CIRCUIT THEORY</v>
      </c>
      <c r="C163" s="18" t="str">
        <v>Yeboah-Akowuah Bright</v>
      </c>
      <c r="D163" s="13" t="s">
        <v>109</v>
      </c>
      <c r="E163" s="104" t="n">
        <v>80</v>
      </c>
      <c r="F163" s="19" t="s">
        <v>574</v>
      </c>
      <c r="G163" s="105" t="n">
        <f aca="false">E163*1.1</f>
        <v>88</v>
      </c>
      <c r="H163" s="5" t="s">
        <v>661</v>
      </c>
      <c r="I163" s="6" t="str">
        <f aca="false">CONCATENATE(A163,",",D163)</f>
        <v>COE 288,ED2-BME</v>
      </c>
      <c r="J163" s="12"/>
    </row>
    <row r="164" customFormat="false" ht="14.9" hidden="false" customHeight="false" outlineLevel="0" collapsed="false">
      <c r="A164" s="13" t="s">
        <v>202</v>
      </c>
      <c r="B164" s="14" t="str">
        <v>CIRCUIT THEORY</v>
      </c>
      <c r="C164" s="18" t="str">
        <v>Yeboah-Akowuah Bright</v>
      </c>
      <c r="D164" s="13" t="s">
        <v>108</v>
      </c>
      <c r="E164" s="104" t="n">
        <v>255</v>
      </c>
      <c r="F164" s="19" t="s">
        <v>531</v>
      </c>
      <c r="G164" s="105" t="n">
        <f aca="false">E164*1.1</f>
        <v>280.5</v>
      </c>
      <c r="H164" s="5" t="s">
        <v>662</v>
      </c>
      <c r="I164" s="6" t="str">
        <f aca="false">CONCATENATE(A164,",",D164)</f>
        <v>COE 288,ED2-COE</v>
      </c>
      <c r="J164" s="12"/>
    </row>
    <row r="165" customFormat="false" ht="14.9" hidden="false" customHeight="false" outlineLevel="0" collapsed="false">
      <c r="A165" s="22"/>
      <c r="B165" s="22"/>
      <c r="D165" s="14" t="s">
        <v>203</v>
      </c>
      <c r="E165" s="117" t="n">
        <f aca="false">SUM(E157:E164)</f>
        <v>1127</v>
      </c>
      <c r="F165" s="23"/>
      <c r="G165" s="118"/>
      <c r="I165" s="9" t="s">
        <v>204</v>
      </c>
      <c r="J165" s="12"/>
    </row>
    <row r="166" customFormat="false" ht="14.9" hidden="false" customHeight="false" outlineLevel="0" collapsed="false">
      <c r="A166" s="8" t="s">
        <v>180</v>
      </c>
      <c r="B166" s="8"/>
      <c r="C166" s="8"/>
      <c r="D166" s="8"/>
      <c r="E166" s="8"/>
      <c r="F166" s="8"/>
      <c r="G166" s="8"/>
      <c r="I166" s="9" t="str">
        <f aca="false">A166</f>
        <v>Thursday, 20 August 2026</v>
      </c>
      <c r="J166" s="12"/>
    </row>
    <row r="167" customFormat="false" ht="14.9" hidden="false" customHeight="false" outlineLevel="0" collapsed="false">
      <c r="A167" s="8" t="s">
        <v>59</v>
      </c>
      <c r="B167" s="8"/>
      <c r="C167" s="8"/>
      <c r="D167" s="8"/>
      <c r="E167" s="8"/>
      <c r="F167" s="8"/>
      <c r="G167" s="8"/>
      <c r="I167" s="9" t="str">
        <f aca="false">A167</f>
        <v>Session, 3 (3:00 PM - 5:00 PM)</v>
      </c>
      <c r="J167" s="12"/>
    </row>
    <row r="168" customFormat="false" ht="14.9" hidden="false" customHeight="false" outlineLevel="0" collapsed="false">
      <c r="A168" s="11" t="s">
        <v>4</v>
      </c>
      <c r="B168" s="11" t="s">
        <v>5</v>
      </c>
      <c r="C168" s="2" t="s">
        <v>6</v>
      </c>
      <c r="D168" s="11" t="s">
        <v>7</v>
      </c>
      <c r="E168" s="102" t="s">
        <v>8</v>
      </c>
      <c r="F168" s="2" t="s">
        <v>9</v>
      </c>
      <c r="G168" s="103" t="s">
        <v>10</v>
      </c>
      <c r="I168" s="9" t="s">
        <v>31</v>
      </c>
      <c r="J168" s="12"/>
    </row>
    <row r="169" customFormat="false" ht="14.9" hidden="false" customHeight="false" outlineLevel="0" collapsed="false">
      <c r="A169" s="13" t="s">
        <v>205</v>
      </c>
      <c r="B169" s="18" t="str">
        <f aca="false" t="array" ref="B169:B180">IFERROR(VLOOKUP(I169:I180,Lectures_1!A2:F534,2,FALSE()),0)</f>
        <v>FINITE ELEMENT ANALYSIS</v>
      </c>
      <c r="C169" s="18" t="str">
        <f aca="false" t="array" ref="C169:C180">IFERROR(VLOOKUP(I169:I180,Lectures_1!A2:F534,3,FALSE()),0)</f>
        <v>Jones Owusu Twumasi</v>
      </c>
      <c r="D169" s="13" t="s">
        <v>103</v>
      </c>
      <c r="E169" s="104" t="n">
        <f aca="false" t="array" ref="E169:E180">IFERROR(VLOOKUP(I169:I180,Lectures_1!A2:F534,4,FALSE()),0)</f>
        <v>18</v>
      </c>
      <c r="F169" s="14" t="s">
        <v>663</v>
      </c>
      <c r="G169" s="105" t="n">
        <f aca="false">E169*1.1</f>
        <v>19.8</v>
      </c>
      <c r="H169" s="27" t="n">
        <v>18</v>
      </c>
      <c r="I169" s="6" t="str">
        <f aca="false">CONCATENATE(A169,",",D169)</f>
        <v>CE 480,ED4-CE</v>
      </c>
      <c r="J169" s="12"/>
    </row>
    <row r="170" customFormat="false" ht="14.9" hidden="false" customHeight="false" outlineLevel="0" collapsed="false">
      <c r="A170" s="13" t="s">
        <v>206</v>
      </c>
      <c r="B170" s="18" t="str">
        <v>OILFIELD GEOLCHEMISTRY</v>
      </c>
      <c r="C170" s="18" t="str">
        <v>Adenutsi Caspar Daniel</v>
      </c>
      <c r="D170" s="13" t="s">
        <v>46</v>
      </c>
      <c r="E170" s="104" t="n">
        <v>99</v>
      </c>
      <c r="F170" s="39" t="s">
        <v>655</v>
      </c>
      <c r="G170" s="105" t="n">
        <f aca="false">E170*1.1</f>
        <v>108.9</v>
      </c>
      <c r="H170" s="5" t="s">
        <v>664</v>
      </c>
      <c r="I170" s="6" t="str">
        <f aca="false">CONCATENATE(A170,",",D170)</f>
        <v>PE 458,ED4-PE</v>
      </c>
      <c r="J170" s="12"/>
    </row>
    <row r="171" customFormat="false" ht="14.9" hidden="false" customHeight="false" outlineLevel="0" collapsed="false">
      <c r="A171" s="13" t="s">
        <v>321</v>
      </c>
      <c r="B171" s="18" t="str">
        <v>MATERIALS JOINING PROCESSES</v>
      </c>
      <c r="C171" s="18" t="str">
        <v>Kwofie Samuel</v>
      </c>
      <c r="D171" s="13" t="s">
        <v>140</v>
      </c>
      <c r="E171" s="104" t="n">
        <v>85</v>
      </c>
      <c r="F171" s="19" t="s">
        <v>665</v>
      </c>
      <c r="G171" s="105" t="n">
        <f aca="false">E171*1.1</f>
        <v>93.5</v>
      </c>
      <c r="H171" s="5" t="s">
        <v>666</v>
      </c>
      <c r="I171" s="6" t="str">
        <f aca="false">CONCATENATE(A171,",",D171)</f>
        <v>MSE 362,ED3-MSE</v>
      </c>
      <c r="J171" s="12"/>
    </row>
    <row r="172" customFormat="false" ht="14.9" hidden="false" customHeight="false" outlineLevel="0" collapsed="false">
      <c r="A172" s="13" t="s">
        <v>321</v>
      </c>
      <c r="B172" s="14" t="str">
        <v>MATERIALS JOINING PROCESSES</v>
      </c>
      <c r="C172" s="14" t="str">
        <v>Kwofie Samuel</v>
      </c>
      <c r="D172" s="13" t="s">
        <v>142</v>
      </c>
      <c r="E172" s="104" t="n">
        <v>87</v>
      </c>
      <c r="F172" s="19" t="s">
        <v>667</v>
      </c>
      <c r="G172" s="105" t="n">
        <f aca="false">E172*1.1</f>
        <v>95.7</v>
      </c>
      <c r="H172" s="5" t="s">
        <v>668</v>
      </c>
      <c r="I172" s="6" t="str">
        <f aca="false">CONCATENATE(A172,",",D172)</f>
        <v>MSE 362,ED3-METE</v>
      </c>
      <c r="J172" s="12"/>
    </row>
    <row r="173" customFormat="false" ht="14.9" hidden="false" customHeight="false" outlineLevel="0" collapsed="false">
      <c r="A173" s="13" t="s">
        <v>209</v>
      </c>
      <c r="B173" s="14" t="str">
        <v>STRESS AND STRAIN ANALYSIS OF RIGID BODIES</v>
      </c>
      <c r="C173" s="18" t="str">
        <v>Mensah-Darkwa Kwadwo</v>
      </c>
      <c r="D173" s="13" t="s">
        <v>101</v>
      </c>
      <c r="E173" s="104" t="n">
        <v>57</v>
      </c>
      <c r="F173" s="19" t="s">
        <v>574</v>
      </c>
      <c r="G173" s="105" t="n">
        <f aca="false">E173*1.1</f>
        <v>62.7</v>
      </c>
      <c r="H173" s="5" t="s">
        <v>669</v>
      </c>
      <c r="I173" s="6" t="str">
        <f aca="false">CONCATENATE(A173,",",D173)</f>
        <v>MSE 262,ED2-METE</v>
      </c>
      <c r="J173" s="12"/>
    </row>
    <row r="174" customFormat="false" ht="14.9" hidden="false" customHeight="false" outlineLevel="0" collapsed="false">
      <c r="A174" s="13" t="s">
        <v>209</v>
      </c>
      <c r="B174" s="14" t="str">
        <v>STRESS AND STRAIN ANALYSIS OF RIGID BODIES</v>
      </c>
      <c r="C174" s="18" t="str">
        <v>Mensah-Darkwa Kwadwo</v>
      </c>
      <c r="D174" s="13" t="s">
        <v>210</v>
      </c>
      <c r="E174" s="104" t="n">
        <v>83</v>
      </c>
      <c r="F174" s="40" t="s">
        <v>571</v>
      </c>
      <c r="G174" s="105" t="n">
        <f aca="false">E174*1.1</f>
        <v>91.3</v>
      </c>
      <c r="H174" s="5" t="s">
        <v>670</v>
      </c>
      <c r="I174" s="6" t="str">
        <f aca="false">CONCATENATE(A174,",",D174)</f>
        <v>MSE 262,ED2-MSE</v>
      </c>
      <c r="J174" s="12"/>
    </row>
    <row r="175" s="116" customFormat="true" ht="14.9" hidden="false" customHeight="false" outlineLevel="0" collapsed="false">
      <c r="A175" s="109" t="s">
        <v>211</v>
      </c>
      <c r="B175" s="110" t="str">
        <v>HEALTH SAFETY AND ENVIRONMENT</v>
      </c>
      <c r="C175" s="114" t="str">
        <v>Adjei Stephen</v>
      </c>
      <c r="D175" s="109" t="s">
        <v>18</v>
      </c>
      <c r="E175" s="111" t="n">
        <v>80</v>
      </c>
      <c r="F175" s="148" t="s">
        <v>955</v>
      </c>
      <c r="G175" s="112" t="n">
        <f aca="false">E175*1.1</f>
        <v>88</v>
      </c>
      <c r="H175" s="113" t="n">
        <v>80</v>
      </c>
      <c r="I175" s="127" t="str">
        <f aca="false">CONCATENATE(A175,",",D175)</f>
        <v>PE 366,ED3-PE</v>
      </c>
      <c r="J175" s="115"/>
    </row>
    <row r="176" s="116" customFormat="true" ht="14.9" hidden="false" customHeight="false" outlineLevel="0" collapsed="false">
      <c r="A176" s="109" t="s">
        <v>212</v>
      </c>
      <c r="B176" s="110" t="str">
        <v>HEAT TRANSPORT PROCESSES</v>
      </c>
      <c r="C176" s="114" t="str">
        <v>Adjei Stephen</v>
      </c>
      <c r="D176" s="109" t="s">
        <v>93</v>
      </c>
      <c r="E176" s="111" t="n">
        <v>95</v>
      </c>
      <c r="F176" s="148" t="s">
        <v>956</v>
      </c>
      <c r="G176" s="112" t="n">
        <f aca="false">E176*1.1</f>
        <v>104.5</v>
      </c>
      <c r="H176" s="113" t="n">
        <v>95</v>
      </c>
      <c r="I176" s="127" t="str">
        <f aca="false">CONCATENATE(A176,",",D176)</f>
        <v>PE 252,ED2-PE</v>
      </c>
      <c r="J176" s="115"/>
    </row>
    <row r="177" customFormat="false" ht="14.9" hidden="false" customHeight="false" outlineLevel="0" collapsed="false">
      <c r="A177" s="13" t="s">
        <v>226</v>
      </c>
      <c r="B177" s="14" t="str">
        <v>RADAR COMMUNICATIONS</v>
      </c>
      <c r="C177" s="18" t="str">
        <v>ELLis Sani Mubarak</v>
      </c>
      <c r="D177" s="13" t="s">
        <v>227</v>
      </c>
      <c r="E177" s="104" t="n">
        <v>105</v>
      </c>
      <c r="F177" s="19" t="s">
        <v>652</v>
      </c>
      <c r="G177" s="105" t="n">
        <f aca="false">E177*1.1</f>
        <v>115.5</v>
      </c>
      <c r="H177" s="5" t="s">
        <v>656</v>
      </c>
      <c r="I177" s="6" t="str">
        <f aca="false">CONCATENATE(A177,",",D177)</f>
        <v>TE 464,ED4-TEL</v>
      </c>
      <c r="J177" s="12"/>
    </row>
    <row r="178" customFormat="false" ht="14.9" hidden="false" customHeight="false" outlineLevel="0" collapsed="false">
      <c r="A178" s="13" t="s">
        <v>213</v>
      </c>
      <c r="B178" s="14" t="str">
        <v>SOIL AND WATER ENGINEERING II</v>
      </c>
      <c r="C178" s="18" t="str">
        <v>Agyare Wilson Agyei</v>
      </c>
      <c r="D178" s="13" t="s">
        <v>50</v>
      </c>
      <c r="E178" s="104" t="n">
        <v>103</v>
      </c>
      <c r="F178" s="19" t="s">
        <v>582</v>
      </c>
      <c r="G178" s="105" t="n">
        <f aca="false">E178*1.1</f>
        <v>113.3</v>
      </c>
      <c r="H178" s="5" t="s">
        <v>660</v>
      </c>
      <c r="I178" s="29" t="str">
        <f aca="false">CONCATENATE(A178,",",D178)</f>
        <v>AE 452,ED4-AE</v>
      </c>
      <c r="J178" s="31"/>
      <c r="K178" s="32"/>
      <c r="L178" s="32"/>
      <c r="M178" s="32"/>
    </row>
    <row r="179" customFormat="false" ht="14.9" hidden="false" customHeight="false" outlineLevel="0" collapsed="false">
      <c r="A179" s="13" t="s">
        <v>280</v>
      </c>
      <c r="B179" s="18" t="str">
        <v>PULP AND PAPER TECHNOLOGY</v>
      </c>
      <c r="C179" s="14" t="str">
        <v>Rockson Mizpah Ama Dziedzorm</v>
      </c>
      <c r="D179" s="13" t="s">
        <v>48</v>
      </c>
      <c r="E179" s="104" t="n">
        <v>70</v>
      </c>
      <c r="F179" s="19" t="s">
        <v>574</v>
      </c>
      <c r="G179" s="105" t="n">
        <f aca="false">E179*1.1</f>
        <v>77</v>
      </c>
      <c r="H179" s="5" t="s">
        <v>671</v>
      </c>
      <c r="I179" s="6" t="str">
        <f aca="false">CONCATENATE(A179,",",D179)</f>
        <v>CHE 466,ED4-CHE</v>
      </c>
      <c r="J179" s="12"/>
    </row>
    <row r="180" customFormat="false" ht="14.9" hidden="false" customHeight="false" outlineLevel="0" collapsed="false">
      <c r="A180" s="13" t="s">
        <v>215</v>
      </c>
      <c r="B180" s="14" t="str">
        <v>STRUCTURAL ANALYSIS</v>
      </c>
      <c r="C180" s="18" t="str">
        <v>Kankam Charles Kwame</v>
      </c>
      <c r="D180" s="13" t="s">
        <v>56</v>
      </c>
      <c r="E180" s="104" t="n">
        <v>250</v>
      </c>
      <c r="F180" s="19" t="s">
        <v>556</v>
      </c>
      <c r="G180" s="105" t="n">
        <f aca="false">E180*1.1</f>
        <v>275</v>
      </c>
      <c r="H180" s="5" t="s">
        <v>672</v>
      </c>
      <c r="I180" s="6" t="str">
        <f aca="false">CONCATENATE(A180,",",D180)</f>
        <v>CE 258,ED2-CE</v>
      </c>
      <c r="J180" s="12"/>
    </row>
    <row r="181" customFormat="false" ht="14.9" hidden="false" customHeight="false" outlineLevel="0" collapsed="false">
      <c r="A181" s="22"/>
      <c r="B181" s="22"/>
      <c r="D181" s="14" t="s">
        <v>203</v>
      </c>
      <c r="E181" s="117" t="n">
        <f aca="false">SUM(E169:E180)</f>
        <v>1132</v>
      </c>
      <c r="F181" s="23"/>
      <c r="G181" s="118"/>
      <c r="I181" s="9" t="s">
        <v>204</v>
      </c>
      <c r="J181" s="12"/>
    </row>
    <row r="182" customFormat="false" ht="14.9" hidden="false" customHeight="false" outlineLevel="0" collapsed="false">
      <c r="A182" s="8" t="s">
        <v>217</v>
      </c>
      <c r="B182" s="8"/>
      <c r="C182" s="8"/>
      <c r="D182" s="8"/>
      <c r="E182" s="8"/>
      <c r="F182" s="8"/>
      <c r="G182" s="8"/>
      <c r="I182" s="9" t="str">
        <f aca="false">A182</f>
        <v>Friday, 21 August 2026</v>
      </c>
      <c r="J182" s="12"/>
    </row>
    <row r="183" customFormat="false" ht="14.9" hidden="false" customHeight="false" outlineLevel="0" collapsed="false">
      <c r="A183" s="8" t="s">
        <v>2</v>
      </c>
      <c r="B183" s="8"/>
      <c r="C183" s="8"/>
      <c r="D183" s="8"/>
      <c r="E183" s="8"/>
      <c r="F183" s="8"/>
      <c r="G183" s="8"/>
      <c r="I183" s="9" t="str">
        <f aca="false">A183</f>
        <v>Session, 1 (8:30 AM - 10:30 AM)</v>
      </c>
      <c r="J183" s="12"/>
    </row>
    <row r="184" customFormat="false" ht="14.9" hidden="false" customHeight="false" outlineLevel="0" collapsed="false">
      <c r="A184" s="11" t="s">
        <v>4</v>
      </c>
      <c r="B184" s="11" t="s">
        <v>5</v>
      </c>
      <c r="C184" s="2" t="s">
        <v>6</v>
      </c>
      <c r="D184" s="11" t="s">
        <v>7</v>
      </c>
      <c r="E184" s="102" t="s">
        <v>8</v>
      </c>
      <c r="F184" s="2" t="s">
        <v>9</v>
      </c>
      <c r="G184" s="103" t="s">
        <v>10</v>
      </c>
      <c r="H184" s="41"/>
      <c r="I184" s="9" t="s">
        <v>31</v>
      </c>
      <c r="J184" s="12"/>
    </row>
    <row r="185" customFormat="false" ht="14.9" hidden="false" customHeight="false" outlineLevel="0" collapsed="false">
      <c r="A185" s="13" t="s">
        <v>219</v>
      </c>
      <c r="B185" s="18" t="str">
        <f aca="false" t="array" ref="B185:B197">IFERROR(VLOOKUP(I185:I197,Lectures_1!A2:F534,2,FALSE()),0)</f>
        <v>ENGINEERING SURVEY II</v>
      </c>
      <c r="C185" s="14" t="str">
        <f aca="false" t="array" ref="C185:C197">IFERROR(VLOOKUP(I185:I197,Lectures_1!A2:F534,3,FALSE()),0)</f>
        <v>Arko-Adjei Anthony</v>
      </c>
      <c r="D185" s="13" t="s">
        <v>170</v>
      </c>
      <c r="E185" s="104" t="n">
        <f aca="false" t="array" ref="E185:E197">IFERROR(VLOOKUP(I185:I197,Lectures_1!A2:F534,4,FALSE()),0)</f>
        <v>132</v>
      </c>
      <c r="F185" s="19" t="s">
        <v>652</v>
      </c>
      <c r="G185" s="105" t="n">
        <f aca="false">E185*1.1</f>
        <v>145.2</v>
      </c>
      <c r="H185" s="5" t="s">
        <v>635</v>
      </c>
      <c r="I185" s="6" t="str">
        <f aca="false">CONCATENATE(A185,",",D185)</f>
        <v>GE 272,ED2-GEOM</v>
      </c>
      <c r="J185" s="12"/>
    </row>
    <row r="186" customFormat="false" ht="14.9" hidden="false" customHeight="false" outlineLevel="0" collapsed="false">
      <c r="A186" s="13" t="s">
        <v>220</v>
      </c>
      <c r="B186" s="14" t="str">
        <v>RURAL ENGINEERING</v>
      </c>
      <c r="C186" s="18" t="str">
        <v>Mensah Ebenezer</v>
      </c>
      <c r="D186" s="13" t="s">
        <v>88</v>
      </c>
      <c r="E186" s="104" t="n">
        <v>101</v>
      </c>
      <c r="F186" s="19" t="s">
        <v>673</v>
      </c>
      <c r="G186" s="105" t="n">
        <f aca="false">E186*1.1</f>
        <v>111.1</v>
      </c>
      <c r="H186" s="5" t="s">
        <v>674</v>
      </c>
      <c r="I186" s="6" t="str">
        <f aca="false">CONCATENATE(A186,",",D186)</f>
        <v>AE 360,ED3-AE</v>
      </c>
      <c r="J186" s="12"/>
    </row>
    <row r="187" customFormat="false" ht="14.9" hidden="false" customHeight="false" outlineLevel="0" collapsed="false">
      <c r="A187" s="13" t="s">
        <v>221</v>
      </c>
      <c r="B187" s="14" t="str">
        <v>SATELLITE SURVEYING</v>
      </c>
      <c r="C187" s="18" t="str">
        <v>Andam-Akorful Samuel Ato</v>
      </c>
      <c r="D187" s="13" t="s">
        <v>77</v>
      </c>
      <c r="E187" s="104" t="n">
        <v>122</v>
      </c>
      <c r="F187" s="19" t="s">
        <v>675</v>
      </c>
      <c r="G187" s="105" t="n">
        <f aca="false">E187*1.1</f>
        <v>134.2</v>
      </c>
      <c r="H187" s="5" t="s">
        <v>676</v>
      </c>
      <c r="I187" s="6" t="str">
        <f aca="false">CONCATENATE(A187,",",D187)</f>
        <v>GE 354,ED3-GEOM</v>
      </c>
      <c r="J187" s="12"/>
    </row>
    <row r="188" s="157" customFormat="true" ht="14.9" hidden="false" customHeight="false" outlineLevel="0" collapsed="false">
      <c r="A188" s="149" t="s">
        <v>222</v>
      </c>
      <c r="B188" s="150" t="str">
        <v>GIS APPLICATIONS</v>
      </c>
      <c r="C188" s="150" t="str">
        <v>Appiah-Adjei Emmanuel Kwame</v>
      </c>
      <c r="D188" s="149" t="s">
        <v>154</v>
      </c>
      <c r="E188" s="151" t="n">
        <v>154</v>
      </c>
      <c r="F188" s="152" t="s">
        <v>677</v>
      </c>
      <c r="G188" s="153" t="n">
        <f aca="false">E188*1.1</f>
        <v>169.4</v>
      </c>
      <c r="H188" s="154" t="s">
        <v>678</v>
      </c>
      <c r="I188" s="155" t="str">
        <f aca="false">CONCATENATE(A188,",",D188)</f>
        <v>GED 368,ED3-GEOL</v>
      </c>
      <c r="J188" s="156"/>
    </row>
    <row r="189" customFormat="false" ht="14.9" hidden="false" customHeight="false" outlineLevel="0" collapsed="false">
      <c r="A189" s="13" t="s">
        <v>223</v>
      </c>
      <c r="B189" s="14" t="str">
        <v>MATERIALS QUALITY CONTROL, ASSURRANCE AND SELECTION</v>
      </c>
      <c r="C189" s="14" t="str">
        <v>Arthur Emmanuel Kwesi</v>
      </c>
      <c r="D189" s="13" t="s">
        <v>136</v>
      </c>
      <c r="E189" s="104" t="n">
        <v>55</v>
      </c>
      <c r="F189" s="19" t="s">
        <v>539</v>
      </c>
      <c r="G189" s="105" t="n">
        <f aca="false">E189*1.1</f>
        <v>60.5</v>
      </c>
      <c r="H189" s="5" t="s">
        <v>679</v>
      </c>
      <c r="I189" s="6" t="str">
        <f aca="false">CONCATENATE(A189,",",D189)</f>
        <v>MSE 456,ED4-METE</v>
      </c>
      <c r="J189" s="12"/>
    </row>
    <row r="190" customFormat="false" ht="14.9" hidden="false" customHeight="false" outlineLevel="0" collapsed="false">
      <c r="A190" s="13" t="s">
        <v>223</v>
      </c>
      <c r="B190" s="18" t="str">
        <v>MATERIALS QUALITY CONTROL, ASSURRANCE AND SELECTION</v>
      </c>
      <c r="C190" s="18" t="str">
        <v>Arthur Emmanuel Kwesi</v>
      </c>
      <c r="D190" s="13" t="s">
        <v>135</v>
      </c>
      <c r="E190" s="104" t="n">
        <v>60</v>
      </c>
      <c r="F190" s="19" t="s">
        <v>579</v>
      </c>
      <c r="G190" s="105" t="n">
        <f aca="false">E190*1.1</f>
        <v>66</v>
      </c>
      <c r="H190" s="5" t="s">
        <v>680</v>
      </c>
      <c r="I190" s="6" t="str">
        <f aca="false">CONCATENATE(A190,",",D190)</f>
        <v>MSE 456,ED4-MSE</v>
      </c>
      <c r="J190" s="12"/>
    </row>
    <row r="191" customFormat="false" ht="14.9" hidden="false" customHeight="false" outlineLevel="0" collapsed="false">
      <c r="A191" s="13" t="s">
        <v>224</v>
      </c>
      <c r="B191" s="18" t="str">
        <v>STRATIGRAPHY</v>
      </c>
      <c r="C191" s="14" t="str">
        <v>Amedjoe Godfrey Chiri</v>
      </c>
      <c r="D191" s="13" t="s">
        <v>55</v>
      </c>
      <c r="E191" s="104" t="n">
        <v>150</v>
      </c>
      <c r="F191" s="19" t="s">
        <v>533</v>
      </c>
      <c r="G191" s="105" t="n">
        <f aca="false">E191*1.1</f>
        <v>165</v>
      </c>
      <c r="H191" s="41" t="s">
        <v>681</v>
      </c>
      <c r="I191" s="6" t="str">
        <f aca="false">CONCATENATE(A191,",",D191)</f>
        <v>GED 252,ED2-GEOL</v>
      </c>
      <c r="J191" s="12"/>
    </row>
    <row r="192" customFormat="false" ht="14.9" hidden="false" customHeight="false" outlineLevel="0" collapsed="false">
      <c r="A192" s="13" t="s">
        <v>225</v>
      </c>
      <c r="B192" s="14" t="str">
        <v>INDUSTRIAL ENGINEEGING LABORATORY II</v>
      </c>
      <c r="C192" s="14" t="str">
        <v>Fiagbe Yesuenyeagbe Atsu Kwabla</v>
      </c>
      <c r="D192" s="13" t="s">
        <v>38</v>
      </c>
      <c r="E192" s="104" t="n">
        <v>80</v>
      </c>
      <c r="F192" s="19" t="s">
        <v>574</v>
      </c>
      <c r="G192" s="105" t="n">
        <f aca="false">E192*1.1</f>
        <v>88</v>
      </c>
      <c r="H192" s="5" t="s">
        <v>661</v>
      </c>
      <c r="I192" s="6" t="str">
        <f aca="false">CONCATENATE(A192,",",D192)</f>
        <v>IE 296,ED2-IND</v>
      </c>
      <c r="J192" s="12"/>
    </row>
    <row r="193" customFormat="false" ht="14.9" hidden="false" customHeight="false" outlineLevel="0" collapsed="false">
      <c r="A193" s="13" t="s">
        <v>228</v>
      </c>
      <c r="B193" s="18" t="str">
        <v>SHIP SAFETY, ENVIRONMENTAL PROTECTION AND SAFE WATCH KEEPING</v>
      </c>
      <c r="C193" s="18" t="str">
        <v>Larkai Francis Laako</v>
      </c>
      <c r="D193" s="13" t="s">
        <v>69</v>
      </c>
      <c r="E193" s="104" t="n">
        <v>23</v>
      </c>
      <c r="F193" s="19" t="s">
        <v>616</v>
      </c>
      <c r="G193" s="105" t="n">
        <f aca="false">E193*1.1</f>
        <v>25.3</v>
      </c>
      <c r="H193" s="5" t="n">
        <v>23</v>
      </c>
      <c r="I193" s="6" t="str">
        <f aca="false">CONCATENATE(A193,",",D193)</f>
        <v>MME 486,ED4-MARI</v>
      </c>
      <c r="J193" s="12"/>
    </row>
    <row r="194" s="45" customFormat="true" ht="14.9" hidden="false" customHeight="false" outlineLevel="0" collapsed="false">
      <c r="A194" s="13" t="s">
        <v>330</v>
      </c>
      <c r="B194" s="18" t="str">
        <v>MEDICAL IMAGING I</v>
      </c>
      <c r="C194" s="18" t="str">
        <v>Kotei Addison Eric Clement</v>
      </c>
      <c r="D194" s="13" t="s">
        <v>65</v>
      </c>
      <c r="E194" s="104" t="n">
        <v>90</v>
      </c>
      <c r="F194" s="19" t="s">
        <v>628</v>
      </c>
      <c r="G194" s="105" t="n">
        <f aca="false">E194*1.1</f>
        <v>99</v>
      </c>
      <c r="H194" s="5" t="s">
        <v>682</v>
      </c>
      <c r="I194" s="43" t="str">
        <f aca="false">CONCATENATE(A194,",",D194)</f>
        <v>BME 364,ED3-BME</v>
      </c>
      <c r="J194" s="44"/>
    </row>
    <row r="195" customFormat="false" ht="14.9" hidden="false" customHeight="false" outlineLevel="0" collapsed="false">
      <c r="A195" s="13" t="s">
        <v>242</v>
      </c>
      <c r="B195" s="18" t="str">
        <v>BASIC AGRICULTURE</v>
      </c>
      <c r="C195" s="18" t="str">
        <v>Bessah Enoch</v>
      </c>
      <c r="D195" s="13" t="s">
        <v>131</v>
      </c>
      <c r="E195" s="104" t="n">
        <v>128</v>
      </c>
      <c r="F195" s="19" t="s">
        <v>683</v>
      </c>
      <c r="G195" s="105" t="n">
        <f aca="false">E195*1.1</f>
        <v>140.8</v>
      </c>
      <c r="H195" s="5" t="s">
        <v>684</v>
      </c>
      <c r="I195" s="6" t="str">
        <f aca="false">CONCATENATE(A195,",",D195)</f>
        <v>AE 162,ED1-AE</v>
      </c>
      <c r="J195" s="12"/>
    </row>
    <row r="196" customFormat="false" ht="14.9" hidden="false" customHeight="false" outlineLevel="0" collapsed="false">
      <c r="A196" s="13" t="s">
        <v>229</v>
      </c>
      <c r="B196" s="14" t="str">
        <v>INDUSTRIAL ENGINEERING LAB III</v>
      </c>
      <c r="C196" s="18" t="str">
        <v>Oppong David Kofi</v>
      </c>
      <c r="D196" s="13" t="s">
        <v>121</v>
      </c>
      <c r="E196" s="104" t="n">
        <v>70</v>
      </c>
      <c r="F196" s="19" t="s">
        <v>546</v>
      </c>
      <c r="G196" s="105" t="n">
        <f aca="false">E196*1.1</f>
        <v>77</v>
      </c>
      <c r="H196" s="5" t="n">
        <v>70</v>
      </c>
      <c r="I196" s="6" t="str">
        <f aca="false">CONCATENATE(A196,",",D196)</f>
        <v>IE 362,ED3-IND</v>
      </c>
      <c r="J196" s="12"/>
    </row>
    <row r="197" customFormat="false" ht="14.9" hidden="false" customHeight="false" outlineLevel="0" collapsed="false">
      <c r="A197" s="13" t="s">
        <v>230</v>
      </c>
      <c r="B197" s="14" t="str">
        <v>MARINE ENGINEERING LABORATORY I</v>
      </c>
      <c r="C197" s="14" t="str">
        <v>Fiagbe Yesuenyeagbe Atsu Kwabla</v>
      </c>
      <c r="D197" s="13" t="s">
        <v>42</v>
      </c>
      <c r="E197" s="104" t="n">
        <v>37</v>
      </c>
      <c r="F197" s="19" t="s">
        <v>541</v>
      </c>
      <c r="G197" s="105" t="n">
        <f aca="false">E197*1.1</f>
        <v>40.7</v>
      </c>
      <c r="H197" s="5" t="n">
        <v>37</v>
      </c>
      <c r="I197" s="6" t="str">
        <f aca="false">CONCATENATE(A197,",",D197)</f>
        <v>MME 296,ED2-MARI</v>
      </c>
      <c r="J197" s="12"/>
    </row>
    <row r="198" customFormat="false" ht="14.9" hidden="false" customHeight="false" outlineLevel="0" collapsed="false">
      <c r="A198" s="22"/>
      <c r="B198" s="22"/>
      <c r="D198" s="14" t="s">
        <v>231</v>
      </c>
      <c r="E198" s="117" t="n">
        <f aca="false">SUM(E185:E197)</f>
        <v>1202</v>
      </c>
      <c r="F198" s="23"/>
      <c r="G198" s="118"/>
      <c r="I198" s="9" t="s">
        <v>232</v>
      </c>
      <c r="J198" s="12"/>
    </row>
    <row r="199" customFormat="false" ht="14.9" hidden="false" customHeight="false" outlineLevel="0" collapsed="false">
      <c r="A199" s="8" t="s">
        <v>217</v>
      </c>
      <c r="B199" s="8"/>
      <c r="C199" s="8"/>
      <c r="D199" s="8"/>
      <c r="E199" s="8"/>
      <c r="F199" s="8"/>
      <c r="G199" s="8"/>
      <c r="I199" s="9" t="str">
        <f aca="false">A199</f>
        <v>Friday, 21 August 2026</v>
      </c>
      <c r="J199" s="12"/>
    </row>
    <row r="200" customFormat="false" ht="14.9" hidden="false" customHeight="false" outlineLevel="0" collapsed="false">
      <c r="A200" s="8" t="s">
        <v>29</v>
      </c>
      <c r="B200" s="8"/>
      <c r="C200" s="8"/>
      <c r="D200" s="8"/>
      <c r="E200" s="8"/>
      <c r="F200" s="8"/>
      <c r="G200" s="8"/>
      <c r="I200" s="9" t="str">
        <f aca="false">A200</f>
        <v>Session, 2 (12:00 PM - 2:00 PM)</v>
      </c>
      <c r="J200" s="12"/>
    </row>
    <row r="201" customFormat="false" ht="14.9" hidden="false" customHeight="false" outlineLevel="0" collapsed="false">
      <c r="A201" s="11" t="s">
        <v>4</v>
      </c>
      <c r="B201" s="11" t="s">
        <v>5</v>
      </c>
      <c r="C201" s="2" t="s">
        <v>6</v>
      </c>
      <c r="D201" s="11" t="s">
        <v>7</v>
      </c>
      <c r="E201" s="102" t="s">
        <v>8</v>
      </c>
      <c r="F201" s="2" t="s">
        <v>9</v>
      </c>
      <c r="G201" s="103" t="s">
        <v>10</v>
      </c>
      <c r="I201" s="9" t="s">
        <v>31</v>
      </c>
      <c r="J201" s="12"/>
    </row>
    <row r="202" s="108" customFormat="true" ht="14.9" hidden="false" customHeight="false" outlineLevel="0" collapsed="false">
      <c r="A202" s="13" t="s">
        <v>233</v>
      </c>
      <c r="B202" s="18" t="str">
        <f aca="false" t="array" ref="B202:B208">IFERROR(VLOOKUP(I202:I208,Lectures_1!A2:F534,2,FALSE()),0)</f>
        <v>DIGITAL CONTROL SYSTEMS</v>
      </c>
      <c r="C202" s="14" t="str">
        <f aca="false" t="array" ref="C202:C208">IFERROR(VLOOKUP(I202:I208,Lectures_1!A2:F534,3,FALSE()),0)</f>
        <v>Opoku Daniel</v>
      </c>
      <c r="D202" s="13" t="s">
        <v>71</v>
      </c>
      <c r="E202" s="104" t="n">
        <f aca="false" t="array" ref="E202:E208">IFERROR(VLOOKUP(I202:I208,Lectures_1!A2:F534,4,FALSE()),0)</f>
        <v>70</v>
      </c>
      <c r="F202" s="13" t="s">
        <v>685</v>
      </c>
      <c r="G202" s="105" t="n">
        <f aca="false">E202*1.1</f>
        <v>77</v>
      </c>
      <c r="H202" s="5" t="s">
        <v>590</v>
      </c>
      <c r="I202" s="106" t="str">
        <f aca="false">CONCATENATE(A202,",",D202)</f>
        <v>EE 380,ED3-EE</v>
      </c>
      <c r="J202" s="107"/>
    </row>
    <row r="203" s="116" customFormat="true" ht="14.9" hidden="false" customHeight="false" outlineLevel="0" collapsed="false">
      <c r="A203" s="109" t="s">
        <v>234</v>
      </c>
      <c r="B203" s="110" t="str">
        <v>BASIC ELECTRONICS</v>
      </c>
      <c r="C203" s="110" t="str">
        <v>Kwegyir Daniel</v>
      </c>
      <c r="D203" s="109" t="s">
        <v>75</v>
      </c>
      <c r="E203" s="111" t="n">
        <v>245</v>
      </c>
      <c r="F203" s="158" t="s">
        <v>954</v>
      </c>
      <c r="G203" s="112" t="n">
        <f aca="false">E203*1.1</f>
        <v>269.5</v>
      </c>
      <c r="H203" s="159" t="s">
        <v>686</v>
      </c>
      <c r="I203" s="127" t="str">
        <f aca="false">CONCATENATE(A203,",",D203)</f>
        <v>EE 152,ED1-CE</v>
      </c>
      <c r="J203" s="115"/>
    </row>
    <row r="204" s="140" customFormat="true" ht="14.9" hidden="false" customHeight="false" outlineLevel="0" collapsed="false">
      <c r="A204" s="13" t="s">
        <v>235</v>
      </c>
      <c r="B204" s="18" t="str">
        <v>ELECTROMAGNETIC FIELDS</v>
      </c>
      <c r="C204" s="18" t="str">
        <v>Kwame Oteng Gyasi</v>
      </c>
      <c r="D204" s="13" t="s">
        <v>25</v>
      </c>
      <c r="E204" s="104" t="n">
        <v>340</v>
      </c>
      <c r="F204" s="19" t="s">
        <v>687</v>
      </c>
      <c r="G204" s="105" t="n">
        <f aca="false">E204*1.1</f>
        <v>374</v>
      </c>
      <c r="H204" s="5" t="s">
        <v>688</v>
      </c>
      <c r="I204" s="138" t="str">
        <f aca="false">CONCATENATE(A204,",",D204)</f>
        <v>TE 254,ED2-EE</v>
      </c>
      <c r="J204" s="139"/>
    </row>
    <row r="205" s="140" customFormat="true" ht="14.9" hidden="false" customHeight="false" outlineLevel="0" collapsed="false">
      <c r="A205" s="13" t="s">
        <v>235</v>
      </c>
      <c r="B205" s="18" t="str">
        <v>ELECTROMAGNETIC FIELD THEORY</v>
      </c>
      <c r="C205" s="18" t="str">
        <v>Kwame Oteng Gyasi</v>
      </c>
      <c r="D205" s="13" t="s">
        <v>172</v>
      </c>
      <c r="E205" s="104" t="n">
        <v>175</v>
      </c>
      <c r="F205" s="19" t="s">
        <v>689</v>
      </c>
      <c r="G205" s="105" t="n">
        <f aca="false">E205*1.1</f>
        <v>192.5</v>
      </c>
      <c r="H205" s="5" t="s">
        <v>690</v>
      </c>
      <c r="I205" s="138" t="str">
        <f aca="false">CONCATENATE(A205,",",D205)</f>
        <v>TE 254,ED2-TEL</v>
      </c>
      <c r="J205" s="139"/>
    </row>
    <row r="206" customFormat="false" ht="14.9" hidden="false" customHeight="false" outlineLevel="0" collapsed="false">
      <c r="A206" s="13" t="s">
        <v>284</v>
      </c>
      <c r="B206" s="14" t="str">
        <v>LAND LAW AND REGISTRATION</v>
      </c>
      <c r="C206" s="18" t="str">
        <v>Arko-Adjei Anthony</v>
      </c>
      <c r="D206" s="13" t="s">
        <v>194</v>
      </c>
      <c r="E206" s="104" t="n">
        <v>93</v>
      </c>
      <c r="F206" s="19" t="s">
        <v>571</v>
      </c>
      <c r="G206" s="105" t="n">
        <f aca="false">E206*1.1</f>
        <v>102.3</v>
      </c>
      <c r="H206" s="5" t="s">
        <v>691</v>
      </c>
      <c r="I206" s="6" t="str">
        <f aca="false">CONCATENATE(A206,",",D206)</f>
        <v>GE 472,ED4-GEOM</v>
      </c>
      <c r="J206" s="12"/>
    </row>
    <row r="207" customFormat="false" ht="15" hidden="false" customHeight="true" outlineLevel="0" collapsed="false">
      <c r="A207" s="13" t="s">
        <v>113</v>
      </c>
      <c r="B207" s="14" t="str">
        <v>PRINCIPLES OF MATERIAL SCIENCE</v>
      </c>
      <c r="C207" s="14" t="str">
        <v>Agyemang Frank Ofori</v>
      </c>
      <c r="D207" s="13" t="s">
        <v>109</v>
      </c>
      <c r="E207" s="104" t="n">
        <v>80</v>
      </c>
      <c r="F207" s="19" t="s">
        <v>571</v>
      </c>
      <c r="G207" s="105" t="n">
        <f aca="false">E207*1.1</f>
        <v>88</v>
      </c>
      <c r="H207" s="5" t="s">
        <v>692</v>
      </c>
      <c r="I207" s="6" t="str">
        <f aca="false">CONCATENATE(A207,",",D207)</f>
        <v>MSE 154,ED2-BME</v>
      </c>
      <c r="J207" s="12"/>
    </row>
    <row r="208" customFormat="false" ht="14.9" hidden="false" customHeight="false" outlineLevel="0" collapsed="false">
      <c r="A208" s="13" t="s">
        <v>236</v>
      </c>
      <c r="B208" s="18" t="str">
        <v>MECHANICAL ENGINEERING MATERIALS II</v>
      </c>
      <c r="C208" s="18" t="str">
        <v>Agyemang Frank Ofori</v>
      </c>
      <c r="D208" s="13" t="s">
        <v>53</v>
      </c>
      <c r="E208" s="104" t="n">
        <v>155</v>
      </c>
      <c r="F208" s="19" t="s">
        <v>693</v>
      </c>
      <c r="G208" s="105" t="n">
        <f aca="false">E208*1.1</f>
        <v>170.5</v>
      </c>
      <c r="H208" s="5" t="s">
        <v>694</v>
      </c>
      <c r="I208" s="6" t="str">
        <f aca="false">CONCATENATE(A208,",",D208)</f>
        <v>ME 282,ED2-AE</v>
      </c>
      <c r="J208" s="12"/>
    </row>
    <row r="209" customFormat="false" ht="14.9" hidden="false" customHeight="false" outlineLevel="0" collapsed="false">
      <c r="A209" s="13"/>
      <c r="B209" s="14"/>
      <c r="C209" s="14"/>
      <c r="D209" s="14" t="s">
        <v>237</v>
      </c>
      <c r="E209" s="117" t="n">
        <f aca="false">SUM(E202:E208)</f>
        <v>1158</v>
      </c>
      <c r="F209" s="19"/>
      <c r="G209" s="105"/>
      <c r="I209" s="6" t="str">
        <f aca="false">CONCATENATE(A209,",",D209)</f>
        <v>,Total F1-2</v>
      </c>
      <c r="J209" s="12"/>
    </row>
    <row r="210" customFormat="false" ht="14.9" hidden="false" customHeight="false" outlineLevel="0" collapsed="false">
      <c r="A210" s="8" t="s">
        <v>217</v>
      </c>
      <c r="B210" s="8"/>
      <c r="C210" s="8"/>
      <c r="D210" s="8"/>
      <c r="E210" s="8"/>
      <c r="F210" s="8"/>
      <c r="G210" s="8"/>
      <c r="I210" s="9" t="str">
        <f aca="false">A210</f>
        <v>Friday, 21 August 2026</v>
      </c>
      <c r="J210" s="12"/>
    </row>
    <row r="211" customFormat="false" ht="14.9" hidden="false" customHeight="false" outlineLevel="0" collapsed="false">
      <c r="A211" s="8" t="s">
        <v>59</v>
      </c>
      <c r="B211" s="8"/>
      <c r="C211" s="8"/>
      <c r="D211" s="8"/>
      <c r="E211" s="8"/>
      <c r="F211" s="8"/>
      <c r="G211" s="8"/>
      <c r="I211" s="9" t="str">
        <f aca="false">A211</f>
        <v>Session, 3 (3:00 PM - 5:00 PM)</v>
      </c>
      <c r="J211" s="12"/>
    </row>
    <row r="212" customFormat="false" ht="14.9" hidden="false" customHeight="false" outlineLevel="0" collapsed="false">
      <c r="A212" s="11" t="s">
        <v>4</v>
      </c>
      <c r="B212" s="11" t="s">
        <v>5</v>
      </c>
      <c r="C212" s="2" t="s">
        <v>6</v>
      </c>
      <c r="D212" s="11" t="s">
        <v>7</v>
      </c>
      <c r="E212" s="102" t="s">
        <v>8</v>
      </c>
      <c r="F212" s="2" t="s">
        <v>9</v>
      </c>
      <c r="G212" s="103" t="s">
        <v>10</v>
      </c>
      <c r="I212" s="9" t="s">
        <v>31</v>
      </c>
      <c r="J212" s="12"/>
    </row>
    <row r="213" customFormat="false" ht="14.9" hidden="false" customHeight="false" outlineLevel="0" collapsed="false">
      <c r="A213" s="13" t="s">
        <v>238</v>
      </c>
      <c r="B213" s="18" t="str">
        <f aca="false" t="array" ref="B213:B220">IFERROR(VLOOKUP(I213:I220,Lectures_1!A2:F534,2,FALSE()),0)</f>
        <v>MARINE INDUSTRIAL ENGINEERING AND ERGONOMICS</v>
      </c>
      <c r="C213" s="14" t="str">
        <f aca="false" t="array" ref="C213:C220">IFERROR(VLOOKUP(I213:I220,Lectures_1!A2:F534,3,FALSE()),0)</f>
        <v>Mensah Lena Dzifa</v>
      </c>
      <c r="D213" s="13" t="s">
        <v>86</v>
      </c>
      <c r="E213" s="104" t="n">
        <f aca="false" t="array" ref="E213:E220">IFERROR(VLOOKUP(I213:I220,Lectures_1!A2:F534,4,FALSE()),0)</f>
        <v>40</v>
      </c>
      <c r="F213" s="13" t="s">
        <v>695</v>
      </c>
      <c r="G213" s="105" t="n">
        <f aca="false">E213*1.1</f>
        <v>44</v>
      </c>
      <c r="H213" s="5" t="s">
        <v>559</v>
      </c>
      <c r="I213" s="6" t="str">
        <f aca="false">CONCATENATE(A213,",",D213)</f>
        <v>MME 392,ED3-MARI</v>
      </c>
      <c r="J213" s="12"/>
    </row>
    <row r="214" customFormat="false" ht="15" hidden="false" customHeight="true" outlineLevel="0" collapsed="false">
      <c r="A214" s="13" t="s">
        <v>239</v>
      </c>
      <c r="B214" s="18" t="str">
        <v>INDUSTRIAL ENGINEERING AND ERGONOMICS</v>
      </c>
      <c r="C214" s="18" t="str">
        <v>Mensah Lena Dzifa</v>
      </c>
      <c r="D214" s="13" t="s">
        <v>133</v>
      </c>
      <c r="E214" s="104" t="n">
        <v>76</v>
      </c>
      <c r="F214" s="19" t="s">
        <v>696</v>
      </c>
      <c r="G214" s="105" t="n">
        <f aca="false">E214*1.1</f>
        <v>83.6</v>
      </c>
      <c r="H214" s="5" t="s">
        <v>697</v>
      </c>
      <c r="I214" s="6" t="str">
        <f aca="false">CONCATENATE(A214,",",D214)</f>
        <v>ME 392,ED3-AERO</v>
      </c>
      <c r="J214" s="12"/>
    </row>
    <row r="215" customFormat="false" ht="14.9" hidden="false" customHeight="false" outlineLevel="0" collapsed="false">
      <c r="A215" s="13" t="s">
        <v>240</v>
      </c>
      <c r="B215" s="18" t="str">
        <v>INDUSTRIAL ENGINEERING AND ERGONOMICS</v>
      </c>
      <c r="C215" s="18" t="str">
        <v>Mensah Lena Dzifa</v>
      </c>
      <c r="D215" s="13" t="s">
        <v>33</v>
      </c>
      <c r="E215" s="104" t="n">
        <v>240</v>
      </c>
      <c r="F215" s="19" t="s">
        <v>531</v>
      </c>
      <c r="G215" s="105" t="n">
        <f aca="false">E215*1.1</f>
        <v>264</v>
      </c>
      <c r="H215" s="5" t="s">
        <v>612</v>
      </c>
      <c r="I215" s="6" t="str">
        <f aca="false">CONCATENATE(A215,",",D215)</f>
        <v>ME 292,ED2-ME</v>
      </c>
      <c r="J215" s="12"/>
    </row>
    <row r="216" customFormat="false" ht="14.9" hidden="false" customHeight="false" outlineLevel="0" collapsed="false">
      <c r="A216" s="13" t="s">
        <v>241</v>
      </c>
      <c r="B216" s="18" t="str">
        <v>INDUSTRIAL ENGINEERING AND ERGONOMICS</v>
      </c>
      <c r="C216" s="18" t="str">
        <v>Mensah Lena Dzifa</v>
      </c>
      <c r="D216" s="13" t="s">
        <v>23</v>
      </c>
      <c r="E216" s="104" t="n">
        <v>40</v>
      </c>
      <c r="F216" s="19" t="s">
        <v>633</v>
      </c>
      <c r="G216" s="105" t="n">
        <f aca="false">E216*1.1</f>
        <v>44</v>
      </c>
      <c r="H216" s="5" t="n">
        <v>40</v>
      </c>
      <c r="I216" s="6" t="str">
        <f aca="false">CONCATENATE(A216,",",D216)</f>
        <v>AME 392,ED3-AUTO</v>
      </c>
      <c r="J216" s="12"/>
    </row>
    <row r="217" customFormat="false" ht="14.9" hidden="false" customHeight="false" outlineLevel="0" collapsed="false">
      <c r="A217" s="13" t="s">
        <v>214</v>
      </c>
      <c r="B217" s="14" t="str">
        <v>ADVANCED ENGINEERING GEOLLOGY</v>
      </c>
      <c r="C217" s="18" t="str">
        <v>Gidigasu Solomon Senyo Robert</v>
      </c>
      <c r="D217" s="13" t="s">
        <v>177</v>
      </c>
      <c r="E217" s="104" t="n">
        <v>95</v>
      </c>
      <c r="F217" s="19" t="s">
        <v>582</v>
      </c>
      <c r="G217" s="105" t="n">
        <f aca="false">E217*1.1</f>
        <v>104.5</v>
      </c>
      <c r="H217" s="5" t="s">
        <v>698</v>
      </c>
      <c r="I217" s="6" t="str">
        <f aca="false">CONCATENATE(A217,",",D217)</f>
        <v>GED 452,ED4-GEOL</v>
      </c>
      <c r="J217" s="12"/>
    </row>
    <row r="218" customFormat="false" ht="14.9" hidden="false" customHeight="false" outlineLevel="0" collapsed="false">
      <c r="A218" s="13" t="s">
        <v>234</v>
      </c>
      <c r="B218" s="14" t="str">
        <v>BASIC ELECTRONICS</v>
      </c>
      <c r="C218" s="14" t="str">
        <v>Yaw Opoku Mensah Sekyere</v>
      </c>
      <c r="D218" s="13" t="s">
        <v>80</v>
      </c>
      <c r="E218" s="104" t="n">
        <v>120</v>
      </c>
      <c r="F218" s="19" t="s">
        <v>611</v>
      </c>
      <c r="G218" s="105" t="n">
        <f aca="false">E218*1.1</f>
        <v>132</v>
      </c>
      <c r="H218" s="3" t="s">
        <v>699</v>
      </c>
      <c r="I218" s="6" t="str">
        <f aca="false">CONCATENATE(A218,",",D218)</f>
        <v>EE 152,ED1-CHE</v>
      </c>
      <c r="J218" s="12"/>
    </row>
    <row r="219" customFormat="false" ht="14.9" hidden="false" customHeight="false" outlineLevel="0" collapsed="false">
      <c r="A219" s="13" t="s">
        <v>234</v>
      </c>
      <c r="B219" s="14" t="str">
        <v>BASIC ELECTRONICS</v>
      </c>
      <c r="C219" s="14" t="str">
        <v>Yaw Opoku Mensah Sekyere</v>
      </c>
      <c r="D219" s="13" t="s">
        <v>51</v>
      </c>
      <c r="E219" s="104" t="n">
        <v>295</v>
      </c>
      <c r="F219" s="39" t="s">
        <v>700</v>
      </c>
      <c r="G219" s="105" t="n">
        <f aca="false">E219*1.1</f>
        <v>324.5</v>
      </c>
      <c r="H219" s="5" t="s">
        <v>701</v>
      </c>
      <c r="I219" s="6" t="str">
        <f aca="false">CONCATENATE(A219,",",D219)</f>
        <v>EE 152,ED1-EE</v>
      </c>
      <c r="J219" s="12"/>
    </row>
    <row r="220" customFormat="false" ht="14.9" hidden="false" customHeight="false" outlineLevel="0" collapsed="false">
      <c r="A220" s="13" t="s">
        <v>234</v>
      </c>
      <c r="B220" s="18" t="str">
        <v>BASIC ELECTRONICS</v>
      </c>
      <c r="C220" s="18" t="str">
        <v>Yaw Opoku Mensah Sekyere</v>
      </c>
      <c r="D220" s="13" t="s">
        <v>161</v>
      </c>
      <c r="E220" s="104" t="n">
        <v>225</v>
      </c>
      <c r="F220" s="19" t="s">
        <v>702</v>
      </c>
      <c r="G220" s="105" t="n">
        <f aca="false">E220*1.1</f>
        <v>247.5</v>
      </c>
      <c r="H220" s="5" t="s">
        <v>703</v>
      </c>
      <c r="I220" s="6" t="str">
        <f aca="false">CONCATENATE(A220,",",D220)</f>
        <v>EE 152,ED1-ME</v>
      </c>
      <c r="J220" s="12"/>
    </row>
    <row r="221" customFormat="false" ht="14.9" hidden="false" customHeight="false" outlineLevel="0" collapsed="false">
      <c r="A221" s="13"/>
      <c r="B221" s="14"/>
      <c r="C221" s="14"/>
      <c r="D221" s="14" t="s">
        <v>237</v>
      </c>
      <c r="E221" s="117" t="n">
        <f aca="false">SUM(E213:E220)</f>
        <v>1131</v>
      </c>
      <c r="F221" s="19"/>
      <c r="G221" s="105"/>
      <c r="I221" s="6" t="str">
        <f aca="false">CONCATENATE(A221,",",D221)</f>
        <v>,Total F1-2</v>
      </c>
      <c r="J221" s="12"/>
    </row>
    <row r="222" customFormat="false" ht="14.9" hidden="false" customHeight="false" outlineLevel="0" collapsed="false">
      <c r="A222" s="8" t="s">
        <v>243</v>
      </c>
      <c r="B222" s="8"/>
      <c r="C222" s="8"/>
      <c r="D222" s="8"/>
      <c r="E222" s="8"/>
      <c r="F222" s="8"/>
      <c r="G222" s="8"/>
      <c r="I222" s="9" t="str">
        <f aca="false">A222</f>
        <v>Monday, 24 August 2026</v>
      </c>
      <c r="J222" s="12"/>
    </row>
    <row r="223" customFormat="false" ht="14.9" hidden="false" customHeight="false" outlineLevel="0" collapsed="false">
      <c r="A223" s="8" t="s">
        <v>2</v>
      </c>
      <c r="B223" s="8"/>
      <c r="C223" s="8"/>
      <c r="D223" s="8"/>
      <c r="E223" s="8"/>
      <c r="F223" s="8"/>
      <c r="G223" s="8"/>
      <c r="I223" s="9" t="str">
        <f aca="false">A223</f>
        <v>Session, 1 (8:30 AM - 10:30 AM)</v>
      </c>
      <c r="J223" s="12"/>
    </row>
    <row r="224" customFormat="false" ht="14.9" hidden="false" customHeight="false" outlineLevel="0" collapsed="false">
      <c r="A224" s="11" t="s">
        <v>4</v>
      </c>
      <c r="B224" s="11" t="s">
        <v>5</v>
      </c>
      <c r="C224" s="2" t="s">
        <v>6</v>
      </c>
      <c r="D224" s="11" t="s">
        <v>7</v>
      </c>
      <c r="E224" s="102" t="s">
        <v>8</v>
      </c>
      <c r="F224" s="18" t="s">
        <v>9</v>
      </c>
      <c r="G224" s="103" t="s">
        <v>10</v>
      </c>
      <c r="I224" s="9" t="s">
        <v>31</v>
      </c>
      <c r="J224" s="12"/>
    </row>
    <row r="225" s="108" customFormat="true" ht="14.9" hidden="false" customHeight="false" outlineLevel="0" collapsed="false">
      <c r="A225" s="119" t="s">
        <v>245</v>
      </c>
      <c r="B225" s="120" t="str">
        <f aca="false" t="array" ref="B225:B239">IFERROR(VLOOKUP(I225:I239,Lectures_1!A2:F534,2,FALSE()),0)</f>
        <v>FRENCH FOR COMMUNICATION II</v>
      </c>
      <c r="C225" s="124" t="str">
        <f aca="false" t="array" ref="C225:C239">IFERROR(VLOOKUP(I225:I239,Lectures_1!A2:F534,3,FALSE()),0)</f>
        <v>Boakye-Agyeman Candy</v>
      </c>
      <c r="D225" s="119" t="s">
        <v>172</v>
      </c>
      <c r="E225" s="125" t="n">
        <f aca="false" t="array" ref="E225:E239">IFERROR(VLOOKUP(I225:I239,Lectures_1!A2:F534,4,FALSE()),0)</f>
        <v>103</v>
      </c>
      <c r="F225" s="129" t="s">
        <v>582</v>
      </c>
      <c r="G225" s="122" t="n">
        <f aca="false">E225*1.1</f>
        <v>113.3</v>
      </c>
      <c r="H225" s="123" t="s">
        <v>660</v>
      </c>
      <c r="I225" s="106" t="str">
        <f aca="false">CONCATENATE(A225,",",D225)</f>
        <v>FC 182,ED2-TEL</v>
      </c>
      <c r="J225" s="107"/>
    </row>
    <row r="226" s="108" customFormat="true" ht="14.9" hidden="false" customHeight="false" outlineLevel="0" collapsed="false">
      <c r="A226" s="119" t="s">
        <v>245</v>
      </c>
      <c r="B226" s="120" t="str">
        <v>FRENCH FOR COMMUNICATION II</v>
      </c>
      <c r="C226" s="124" t="str">
        <v>Alexander Ocloo</v>
      </c>
      <c r="D226" s="119" t="s">
        <v>73</v>
      </c>
      <c r="E226" s="125" t="n">
        <v>55</v>
      </c>
      <c r="F226" s="129" t="s">
        <v>704</v>
      </c>
      <c r="G226" s="122" t="n">
        <f aca="false">E226*1.1</f>
        <v>60.5</v>
      </c>
      <c r="H226" s="123" t="s">
        <v>598</v>
      </c>
      <c r="I226" s="106" t="str">
        <f aca="false">CONCATENATE(A226,",",D226)</f>
        <v>FC 182,ED3-CHE</v>
      </c>
      <c r="J226" s="107"/>
    </row>
    <row r="227" s="108" customFormat="true" ht="14.9" hidden="false" customHeight="false" outlineLevel="0" collapsed="false">
      <c r="A227" s="119" t="s">
        <v>245</v>
      </c>
      <c r="B227" s="124" t="str">
        <v>FRENCH FOR COMMUNICATION  II</v>
      </c>
      <c r="C227" s="124" t="str">
        <v>Pharis Jeel Darko</v>
      </c>
      <c r="D227" s="119" t="s">
        <v>77</v>
      </c>
      <c r="E227" s="125" t="n">
        <v>65</v>
      </c>
      <c r="F227" s="129" t="s">
        <v>705</v>
      </c>
      <c r="G227" s="122" t="n">
        <f aca="false">E227*1.1</f>
        <v>71.5</v>
      </c>
      <c r="H227" s="123" t="n">
        <v>65</v>
      </c>
      <c r="I227" s="106" t="str">
        <f aca="false">CONCATENATE(A227,",",D227)</f>
        <v>FC 182,ED3-GEOM</v>
      </c>
      <c r="J227" s="107"/>
    </row>
    <row r="228" s="108" customFormat="true" ht="14.9" hidden="false" customHeight="false" outlineLevel="0" collapsed="false">
      <c r="A228" s="119" t="s">
        <v>245</v>
      </c>
      <c r="B228" s="124" t="str">
        <v>FRENCH FOR COMMUNICATION II</v>
      </c>
      <c r="C228" s="124" t="str">
        <v>Alexander Ocloo</v>
      </c>
      <c r="D228" s="119" t="s">
        <v>25</v>
      </c>
      <c r="E228" s="125" t="n">
        <v>170</v>
      </c>
      <c r="F228" s="129" t="s">
        <v>706</v>
      </c>
      <c r="G228" s="122" t="n">
        <f aca="false">E228*1.1</f>
        <v>187</v>
      </c>
      <c r="H228" s="123" t="s">
        <v>707</v>
      </c>
      <c r="I228" s="106" t="str">
        <f aca="false">CONCATENATE(A228,",",D228)</f>
        <v>FC 182,ED2-EE</v>
      </c>
      <c r="J228" s="107"/>
    </row>
    <row r="229" s="108" customFormat="true" ht="14.9" hidden="false" customHeight="false" outlineLevel="0" collapsed="false">
      <c r="A229" s="119" t="s">
        <v>245</v>
      </c>
      <c r="B229" s="124" t="str">
        <v>FRENCH FOR COMMUNICATION II</v>
      </c>
      <c r="C229" s="124" t="str">
        <v>Boakye-Agyeman Candy</v>
      </c>
      <c r="D229" s="119" t="s">
        <v>126</v>
      </c>
      <c r="E229" s="125" t="n">
        <v>90</v>
      </c>
      <c r="F229" s="129" t="s">
        <v>708</v>
      </c>
      <c r="G229" s="122" t="n">
        <f aca="false">E229*1.1</f>
        <v>99</v>
      </c>
      <c r="H229" s="123" t="s">
        <v>709</v>
      </c>
      <c r="I229" s="106" t="str">
        <f aca="false">CONCATENATE(A229,",",D229)</f>
        <v>FC 182,ED1-GEOL</v>
      </c>
      <c r="J229" s="107"/>
    </row>
    <row r="230" s="108" customFormat="true" ht="14.9" hidden="false" customHeight="false" outlineLevel="0" collapsed="false">
      <c r="A230" s="119" t="s">
        <v>245</v>
      </c>
      <c r="B230" s="124" t="str">
        <v>FRENCH FOR COMMUNICATION II</v>
      </c>
      <c r="C230" s="124" t="str">
        <v>Boakye-Agyeman Candy</v>
      </c>
      <c r="D230" s="119" t="s">
        <v>75</v>
      </c>
      <c r="E230" s="125" t="n">
        <v>160</v>
      </c>
      <c r="F230" s="129" t="s">
        <v>710</v>
      </c>
      <c r="G230" s="122" t="n">
        <f aca="false">E230*1.1</f>
        <v>176</v>
      </c>
      <c r="H230" s="123" t="s">
        <v>711</v>
      </c>
      <c r="I230" s="106" t="str">
        <f aca="false">CONCATENATE(A230,",",D230)</f>
        <v>FC 182,ED1-CE</v>
      </c>
      <c r="J230" s="107"/>
    </row>
    <row r="231" s="108" customFormat="true" ht="14.9" hidden="false" customHeight="false" outlineLevel="0" collapsed="false">
      <c r="A231" s="119" t="s">
        <v>245</v>
      </c>
      <c r="B231" s="124" t="str">
        <v>FRENCH FOR COMMUNICATION II</v>
      </c>
      <c r="C231" s="124" t="str">
        <v>Boakye-Agyeman Candy</v>
      </c>
      <c r="D231" s="119" t="s">
        <v>112</v>
      </c>
      <c r="E231" s="125" t="n">
        <v>46</v>
      </c>
      <c r="F231" s="129" t="s">
        <v>541</v>
      </c>
      <c r="G231" s="122" t="n">
        <f aca="false">E231*1.1</f>
        <v>50.6</v>
      </c>
      <c r="H231" s="123" t="n">
        <v>46</v>
      </c>
      <c r="I231" s="106" t="str">
        <f aca="false">CONCATENATE(A231,",",D231)</f>
        <v>FC 182,ED1-MARI</v>
      </c>
      <c r="J231" s="107"/>
    </row>
    <row r="232" s="108" customFormat="true" ht="14.9" hidden="false" customHeight="false" outlineLevel="0" collapsed="false">
      <c r="A232" s="119" t="s">
        <v>245</v>
      </c>
      <c r="B232" s="124" t="str">
        <v>FRENCH FOR COMMUNICATION II</v>
      </c>
      <c r="C232" s="124" t="str">
        <v>Pharis Jeel Darko</v>
      </c>
      <c r="D232" s="119" t="s">
        <v>109</v>
      </c>
      <c r="E232" s="125" t="n">
        <v>43</v>
      </c>
      <c r="F232" s="129" t="s">
        <v>712</v>
      </c>
      <c r="G232" s="122" t="n">
        <f aca="false">E232*1.1</f>
        <v>47.3</v>
      </c>
      <c r="H232" s="123" t="s">
        <v>713</v>
      </c>
      <c r="I232" s="106" t="str">
        <f aca="false">CONCATENATE(A232,",",D232)</f>
        <v>FC 182,ED2-BME</v>
      </c>
      <c r="J232" s="107"/>
    </row>
    <row r="233" s="108" customFormat="true" ht="14.9" hidden="false" customHeight="false" outlineLevel="0" collapsed="false">
      <c r="A233" s="119" t="s">
        <v>245</v>
      </c>
      <c r="B233" s="124" t="str">
        <v>FRENCH FOR COMMUNICATION</v>
      </c>
      <c r="C233" s="124" t="str">
        <v>Pharis Jeel Darko</v>
      </c>
      <c r="D233" s="119" t="s">
        <v>108</v>
      </c>
      <c r="E233" s="125" t="n">
        <v>150</v>
      </c>
      <c r="F233" s="129" t="s">
        <v>714</v>
      </c>
      <c r="G233" s="122" t="n">
        <f aca="false">E233*1.1</f>
        <v>165</v>
      </c>
      <c r="H233" s="123" t="s">
        <v>715</v>
      </c>
      <c r="I233" s="106" t="str">
        <f aca="false">CONCATENATE(A233,",",D233)</f>
        <v>FC 182,ED2-COE</v>
      </c>
      <c r="J233" s="107"/>
    </row>
    <row r="234" customFormat="false" ht="14.25" hidden="false" customHeight="true" outlineLevel="0" collapsed="false">
      <c r="A234" s="13" t="s">
        <v>270</v>
      </c>
      <c r="B234" s="18" t="str">
        <v>GROUND ENGINEERING</v>
      </c>
      <c r="C234" s="18" t="str">
        <v>Samuel Innocent Kofi Ampadu</v>
      </c>
      <c r="D234" s="13" t="s">
        <v>177</v>
      </c>
      <c r="E234" s="104" t="n">
        <v>2</v>
      </c>
      <c r="F234" s="19" t="s">
        <v>716</v>
      </c>
      <c r="G234" s="105" t="n">
        <f aca="false">E234*1.1</f>
        <v>2.2</v>
      </c>
      <c r="H234" s="5" t="n">
        <v>2</v>
      </c>
      <c r="I234" s="6" t="str">
        <f aca="false">CONCATENATE(A234,",",D234)</f>
        <v>CE 478,ED4-GEOL</v>
      </c>
      <c r="J234" s="12"/>
    </row>
    <row r="235" s="143" customFormat="true" ht="14.9" hidden="false" customHeight="false" outlineLevel="0" collapsed="false">
      <c r="A235" s="13" t="s">
        <v>270</v>
      </c>
      <c r="B235" s="18" t="str">
        <v>GROUND ENGINEERING</v>
      </c>
      <c r="C235" s="18" t="str">
        <v>Samuel Innocent Kofi Ampadu</v>
      </c>
      <c r="D235" s="13" t="s">
        <v>103</v>
      </c>
      <c r="E235" s="104" t="n">
        <v>60</v>
      </c>
      <c r="F235" s="19" t="s">
        <v>566</v>
      </c>
      <c r="G235" s="105" t="n">
        <f aca="false">E235*1.1</f>
        <v>66</v>
      </c>
      <c r="H235" s="5" t="s">
        <v>717</v>
      </c>
      <c r="I235" s="141" t="str">
        <f aca="false">CONCATENATE(A235,",",D235)</f>
        <v>CE 478,ED4-CE</v>
      </c>
      <c r="J235" s="142"/>
    </row>
    <row r="236" customFormat="false" ht="14.9" hidden="false" customHeight="false" outlineLevel="0" collapsed="false">
      <c r="A236" s="13" t="s">
        <v>258</v>
      </c>
      <c r="B236" s="14" t="str">
        <v>SEPARATION PROCESSES II</v>
      </c>
      <c r="C236" s="18" t="str">
        <v>Augustine Ntiamoah</v>
      </c>
      <c r="D236" s="13" t="s">
        <v>63</v>
      </c>
      <c r="E236" s="104" t="n">
        <v>53</v>
      </c>
      <c r="F236" s="19" t="s">
        <v>718</v>
      </c>
      <c r="G236" s="105" t="n">
        <f aca="false">E236*1.1</f>
        <v>58.3</v>
      </c>
      <c r="H236" s="5" t="s">
        <v>657</v>
      </c>
      <c r="I236" s="6" t="str">
        <f aca="false">CONCATENATE(A236,",",D236)</f>
        <v>PCE 352,ED3-PCE</v>
      </c>
      <c r="J236" s="12"/>
    </row>
    <row r="237" customFormat="false" ht="14.9" hidden="false" customHeight="false" outlineLevel="0" collapsed="false">
      <c r="A237" s="13" t="s">
        <v>319</v>
      </c>
      <c r="B237" s="14" t="str">
        <v>ADSORPTION SEPARATION PROCESS TECHNOLOGY</v>
      </c>
      <c r="C237" s="14" t="str">
        <v>Ohemeng-Boahen Godfred</v>
      </c>
      <c r="D237" s="13" t="s">
        <v>44</v>
      </c>
      <c r="E237" s="104" t="n">
        <v>40</v>
      </c>
      <c r="F237" s="19" t="s">
        <v>541</v>
      </c>
      <c r="G237" s="105" t="n">
        <f aca="false">E237*1.1</f>
        <v>44</v>
      </c>
      <c r="H237" s="46" t="n">
        <v>40</v>
      </c>
      <c r="I237" s="6" t="str">
        <f aca="false">CONCATENATE(A237,",",D237)</f>
        <v>CHE 464,ED4-PCE</v>
      </c>
      <c r="J237" s="12"/>
    </row>
    <row r="238" customFormat="false" ht="14.9" hidden="false" customHeight="false" outlineLevel="0" collapsed="false">
      <c r="A238" s="13" t="s">
        <v>415</v>
      </c>
      <c r="B238" s="18" t="str">
        <v>PHARMACEUTICAL TECHNOLOGY</v>
      </c>
      <c r="C238" s="18" t="str">
        <v>Johnson Raphael</v>
      </c>
      <c r="D238" s="13" t="s">
        <v>48</v>
      </c>
      <c r="E238" s="104" t="n">
        <v>71</v>
      </c>
      <c r="F238" s="19" t="s">
        <v>546</v>
      </c>
      <c r="G238" s="105" t="n">
        <f aca="false">E238*1.1</f>
        <v>78.1</v>
      </c>
      <c r="H238" s="5" t="n">
        <v>71</v>
      </c>
      <c r="I238" s="6" t="str">
        <f aca="false">CONCATENATE(A238,",",D238)</f>
        <v>CHE 470,ED4-CHE</v>
      </c>
      <c r="J238" s="12"/>
    </row>
    <row r="239" customFormat="false" ht="14.9" hidden="false" customHeight="false" outlineLevel="0" collapsed="false">
      <c r="A239" s="13" t="s">
        <v>431</v>
      </c>
      <c r="B239" s="14" t="str">
        <v>ENVIRONMENTAL ENG. TECHNOLOGY</v>
      </c>
      <c r="C239" s="18" t="str">
        <v>Afotey Benjamin</v>
      </c>
      <c r="D239" s="13" t="s">
        <v>48</v>
      </c>
      <c r="E239" s="104" t="n">
        <v>54</v>
      </c>
      <c r="F239" s="19" t="s">
        <v>719</v>
      </c>
      <c r="G239" s="105" t="n">
        <f aca="false">E239*1.1</f>
        <v>59.4</v>
      </c>
      <c r="H239" s="5" t="s">
        <v>720</v>
      </c>
      <c r="I239" s="6" t="str">
        <f aca="false">CONCATENATE(A239,",",D239)</f>
        <v>CHE 468,ED4-CHE</v>
      </c>
      <c r="J239" s="12"/>
    </row>
    <row r="240" customFormat="false" ht="14.9" hidden="false" customHeight="false" outlineLevel="0" collapsed="false">
      <c r="A240" s="22"/>
      <c r="B240" s="22"/>
      <c r="D240" s="14" t="s">
        <v>248</v>
      </c>
      <c r="E240" s="117" t="n">
        <f aca="false">SUM(E225:E239)</f>
        <v>1162</v>
      </c>
      <c r="F240" s="23"/>
      <c r="G240" s="118"/>
      <c r="I240" s="9" t="s">
        <v>249</v>
      </c>
      <c r="J240" s="12"/>
    </row>
    <row r="241" customFormat="false" ht="14.9" hidden="false" customHeight="false" outlineLevel="0" collapsed="false">
      <c r="A241" s="8" t="s">
        <v>243</v>
      </c>
      <c r="B241" s="8"/>
      <c r="C241" s="8"/>
      <c r="D241" s="8"/>
      <c r="E241" s="8"/>
      <c r="F241" s="8"/>
      <c r="G241" s="8"/>
      <c r="I241" s="9" t="str">
        <f aca="false">A241</f>
        <v>Monday, 24 August 2026</v>
      </c>
      <c r="J241" s="12"/>
    </row>
    <row r="242" customFormat="false" ht="14.9" hidden="false" customHeight="false" outlineLevel="0" collapsed="false">
      <c r="A242" s="8" t="s">
        <v>29</v>
      </c>
      <c r="B242" s="8"/>
      <c r="C242" s="8"/>
      <c r="D242" s="8"/>
      <c r="E242" s="8"/>
      <c r="F242" s="8"/>
      <c r="G242" s="8"/>
      <c r="I242" s="9" t="str">
        <f aca="false">A242</f>
        <v>Session, 2 (12:00 PM - 2:00 PM)</v>
      </c>
      <c r="J242" s="12"/>
    </row>
    <row r="243" customFormat="false" ht="14.9" hidden="false" customHeight="false" outlineLevel="0" collapsed="false">
      <c r="A243" s="11" t="s">
        <v>4</v>
      </c>
      <c r="B243" s="11" t="s">
        <v>5</v>
      </c>
      <c r="C243" s="2" t="s">
        <v>6</v>
      </c>
      <c r="D243" s="11" t="s">
        <v>7</v>
      </c>
      <c r="E243" s="102" t="s">
        <v>8</v>
      </c>
      <c r="F243" s="2" t="s">
        <v>9</v>
      </c>
      <c r="G243" s="103" t="s">
        <v>10</v>
      </c>
      <c r="I243" s="9" t="s">
        <v>31</v>
      </c>
      <c r="J243" s="12"/>
    </row>
    <row r="244" s="108" customFormat="true" ht="14.9" hidden="false" customHeight="false" outlineLevel="0" collapsed="false">
      <c r="A244" s="119" t="s">
        <v>250</v>
      </c>
      <c r="B244" s="120" t="str">
        <f aca="false" t="array" ref="B244:B254">IFERROR(VLOOKUP(I244:I254,Lectures_1!A2:F534,2,FALSE()),0)</f>
        <v>DIGITAL SIGNAL PROCESSING</v>
      </c>
      <c r="C244" s="120" t="str">
        <f aca="false" t="array" ref="C244:C254">IFERROR(VLOOKUP(I244:I254,Lectures_1!A2:F534,3,FALSE()),0)</f>
        <v>Akowuah Emmanuel Kofi</v>
      </c>
      <c r="D244" s="119" t="s">
        <v>251</v>
      </c>
      <c r="E244" s="125" t="n">
        <f aca="false" t="array" ref="E244:E254">IFERROR(VLOOKUP(I244:I254,Lectures_1!A2:F534,4,FALSE()),0)</f>
        <v>160</v>
      </c>
      <c r="F244" s="120" t="s">
        <v>34</v>
      </c>
      <c r="G244" s="122" t="n">
        <f aca="false">E244*1.1</f>
        <v>176</v>
      </c>
      <c r="H244" s="123"/>
      <c r="I244" s="106" t="str">
        <f aca="false">CONCATENATE(A244,",",D244)</f>
        <v>COE 472,ED4-COE</v>
      </c>
      <c r="J244" s="107"/>
    </row>
    <row r="245" customFormat="false" ht="14.9" hidden="false" customHeight="false" outlineLevel="0" collapsed="false">
      <c r="A245" s="13" t="s">
        <v>250</v>
      </c>
      <c r="B245" s="14" t="str">
        <v>DIGITAL SIGNAL PROCESSING</v>
      </c>
      <c r="C245" s="14" t="str">
        <v>Adjei Prince Ebenezer</v>
      </c>
      <c r="D245" s="13" t="s">
        <v>252</v>
      </c>
      <c r="E245" s="104" t="n">
        <v>87</v>
      </c>
      <c r="F245" s="13" t="s">
        <v>721</v>
      </c>
      <c r="G245" s="105" t="n">
        <f aca="false">E245*1.1</f>
        <v>95.7</v>
      </c>
      <c r="H245" s="5" t="s">
        <v>722</v>
      </c>
      <c r="I245" s="6" t="str">
        <f aca="false">CONCATENATE(A245,",",D245)</f>
        <v>COE 472,ED4-BME</v>
      </c>
      <c r="J245" s="12"/>
    </row>
    <row r="246" s="116" customFormat="true" ht="14.9" hidden="false" customHeight="false" outlineLevel="0" collapsed="false">
      <c r="A246" s="109" t="s">
        <v>19</v>
      </c>
      <c r="B246" s="110" t="str">
        <v>ELECTRICAL ENG. DRAWING</v>
      </c>
      <c r="C246" s="114" t="str">
        <v>Kwegyir Daniel</v>
      </c>
      <c r="D246" s="109" t="s">
        <v>51</v>
      </c>
      <c r="E246" s="111" t="n">
        <v>295</v>
      </c>
      <c r="F246" s="158" t="s">
        <v>954</v>
      </c>
      <c r="G246" s="112" t="n">
        <f aca="false">E246*1.1</f>
        <v>324.5</v>
      </c>
      <c r="H246" s="113" t="s">
        <v>723</v>
      </c>
      <c r="I246" s="127" t="str">
        <f aca="false">CONCATENATE(A246,",",D246)</f>
        <v>EE 156,ED1-EE</v>
      </c>
      <c r="J246" s="115"/>
    </row>
    <row r="247" customFormat="false" ht="14.9" hidden="false" customHeight="false" outlineLevel="0" collapsed="false">
      <c r="A247" s="13" t="s">
        <v>253</v>
      </c>
      <c r="B247" s="18" t="str">
        <v>PHASE TRANSFORMATIONS</v>
      </c>
      <c r="C247" s="14" t="str">
        <v>Gikunoo Emmanuel</v>
      </c>
      <c r="D247" s="13" t="s">
        <v>210</v>
      </c>
      <c r="E247" s="104" t="n">
        <v>83</v>
      </c>
      <c r="F247" s="19" t="s">
        <v>724</v>
      </c>
      <c r="G247" s="105" t="n">
        <f aca="false">E247*1.1</f>
        <v>91.3</v>
      </c>
      <c r="H247" s="41" t="s">
        <v>725</v>
      </c>
      <c r="I247" s="6" t="str">
        <f aca="false">CONCATENATE(A247,",",D247)</f>
        <v>MSE 260,ED2-MSE</v>
      </c>
      <c r="J247" s="12"/>
    </row>
    <row r="248" customFormat="false" ht="14.9" hidden="false" customHeight="false" outlineLevel="0" collapsed="false">
      <c r="A248" s="13" t="s">
        <v>253</v>
      </c>
      <c r="B248" s="18" t="str">
        <v>PHASE TRANSFORMATIONS</v>
      </c>
      <c r="C248" s="14" t="str">
        <v>Gikunoo Emmanuel</v>
      </c>
      <c r="D248" s="13" t="s">
        <v>101</v>
      </c>
      <c r="E248" s="104" t="n">
        <v>57</v>
      </c>
      <c r="F248" s="19" t="s">
        <v>529</v>
      </c>
      <c r="G248" s="105" t="n">
        <f aca="false">E248*1.1</f>
        <v>62.7</v>
      </c>
      <c r="H248" s="5" t="s">
        <v>726</v>
      </c>
      <c r="I248" s="6" t="str">
        <f aca="false">CONCATENATE(A248,",",D248)</f>
        <v>MSE 260,ED2-METE</v>
      </c>
      <c r="J248" s="12"/>
    </row>
    <row r="249" customFormat="false" ht="14.9" hidden="false" customHeight="false" outlineLevel="0" collapsed="false">
      <c r="A249" s="13" t="s">
        <v>247</v>
      </c>
      <c r="B249" s="14" t="str">
        <v>INTRODUCTION TO SOIL MECHANICS</v>
      </c>
      <c r="C249" s="18" t="str">
        <v>Amenuvor Andrew Cudzo</v>
      </c>
      <c r="D249" s="13" t="s">
        <v>55</v>
      </c>
      <c r="E249" s="104" t="n">
        <v>150</v>
      </c>
      <c r="F249" s="19" t="s">
        <v>714</v>
      </c>
      <c r="G249" s="105" t="n">
        <f aca="false">E249*1.1</f>
        <v>165</v>
      </c>
      <c r="H249" s="5" t="s">
        <v>715</v>
      </c>
      <c r="I249" s="6" t="str">
        <f aca="false">CONCATENATE(A249,",",D249)</f>
        <v>GED 262,ED2-GEOL</v>
      </c>
      <c r="J249" s="12"/>
    </row>
    <row r="250" customFormat="false" ht="14.9" hidden="false" customHeight="false" outlineLevel="0" collapsed="false">
      <c r="A250" s="13" t="s">
        <v>254</v>
      </c>
      <c r="B250" s="14" t="str">
        <v>MECHANISMS SYNTHESIS AND ANALYSIS II</v>
      </c>
      <c r="C250" s="14" t="str">
        <v>David Kofi Oppong</v>
      </c>
      <c r="D250" s="13" t="s">
        <v>99</v>
      </c>
      <c r="E250" s="104" t="n">
        <v>17</v>
      </c>
      <c r="F250" s="19" t="s">
        <v>727</v>
      </c>
      <c r="G250" s="105" t="n">
        <f aca="false">E250*1.1</f>
        <v>18.7</v>
      </c>
      <c r="H250" s="5" t="n">
        <v>17</v>
      </c>
      <c r="I250" s="6" t="str">
        <f aca="false">CONCATENATE(A250,",",D250)</f>
        <v>ME 462,ED4-AERO</v>
      </c>
      <c r="J250" s="12"/>
    </row>
    <row r="251" customFormat="false" ht="14.9" hidden="false" customHeight="false" outlineLevel="0" collapsed="false">
      <c r="A251" s="13" t="s">
        <v>297</v>
      </c>
      <c r="B251" s="14" t="str">
        <v>CHEMICAL PROCESS CALCULATIONS II</v>
      </c>
      <c r="C251" s="14" t="str">
        <v>Ohemeng-Boahen Godfred</v>
      </c>
      <c r="D251" s="13" t="s">
        <v>14</v>
      </c>
      <c r="E251" s="104" t="n">
        <v>65</v>
      </c>
      <c r="F251" s="30" t="s">
        <v>574</v>
      </c>
      <c r="G251" s="105" t="n">
        <f aca="false">E251*1.1</f>
        <v>71.5</v>
      </c>
      <c r="H251" s="5" t="s">
        <v>638</v>
      </c>
      <c r="I251" s="6" t="str">
        <f aca="false">CONCATENATE(A251,",",D251)</f>
        <v>CHE 252,ED2-PCE</v>
      </c>
      <c r="J251" s="12"/>
    </row>
    <row r="252" customFormat="false" ht="14.9" hidden="false" customHeight="false" outlineLevel="0" collapsed="false">
      <c r="A252" s="13" t="s">
        <v>297</v>
      </c>
      <c r="B252" s="14" t="str">
        <v>CHEMICAL PROCESS CALCULATIONS II</v>
      </c>
      <c r="C252" s="18" t="str">
        <v>Rockson Mizpah Ama Dziedzorm</v>
      </c>
      <c r="D252" s="13" t="s">
        <v>13</v>
      </c>
      <c r="E252" s="104" t="n">
        <v>160</v>
      </c>
      <c r="F252" s="19" t="s">
        <v>706</v>
      </c>
      <c r="G252" s="105" t="n">
        <f aca="false">E252*1.1</f>
        <v>176</v>
      </c>
      <c r="H252" s="5" t="s">
        <v>728</v>
      </c>
      <c r="I252" s="6" t="str">
        <f aca="false">CONCATENATE(A252,",",D252)</f>
        <v>CHE 252,ED2-CHE</v>
      </c>
      <c r="J252" s="12"/>
    </row>
    <row r="253" customFormat="false" ht="14.9" hidden="false" customHeight="false" outlineLevel="0" collapsed="false">
      <c r="A253" s="13" t="s">
        <v>271</v>
      </c>
      <c r="B253" s="14" t="str">
        <v>ENGINEERING PROPERTIES OF POLYMERS</v>
      </c>
      <c r="C253" s="18" t="str">
        <v>Asare Eric Kwame Anokye</v>
      </c>
      <c r="D253" s="13" t="s">
        <v>140</v>
      </c>
      <c r="E253" s="104" t="n">
        <v>85</v>
      </c>
      <c r="F253" s="19" t="s">
        <v>729</v>
      </c>
      <c r="G253" s="105" t="n">
        <f aca="false">E253*1.1</f>
        <v>93.5</v>
      </c>
      <c r="H253" s="5" t="s">
        <v>730</v>
      </c>
      <c r="I253" s="6" t="str">
        <f aca="false">CONCATENATE(A253,",",D253)</f>
        <v>MSE 356,ED3-MSE</v>
      </c>
      <c r="J253" s="12"/>
    </row>
    <row r="254" customFormat="false" ht="14.9" hidden="false" customHeight="false" outlineLevel="0" collapsed="false">
      <c r="A254" s="13" t="s">
        <v>260</v>
      </c>
      <c r="B254" s="14" t="str">
        <v>BASIC ELECTRONICS</v>
      </c>
      <c r="C254" s="18" t="str">
        <v>Addo Daniel Akwei</v>
      </c>
      <c r="D254" s="13" t="s">
        <v>130</v>
      </c>
      <c r="E254" s="104" t="n">
        <v>136</v>
      </c>
      <c r="F254" s="19" t="s">
        <v>731</v>
      </c>
      <c r="G254" s="105" t="n">
        <f aca="false">E254*1.1</f>
        <v>149.6</v>
      </c>
      <c r="H254" s="5" t="s">
        <v>732</v>
      </c>
      <c r="I254" s="6" t="str">
        <f aca="false">CONCATENATE(A254,",",D254)</f>
        <v>COE 152,ED1-BME</v>
      </c>
      <c r="J254" s="12"/>
    </row>
    <row r="255" customFormat="false" ht="14.9" hidden="false" customHeight="false" outlineLevel="0" collapsed="false">
      <c r="A255" s="22"/>
      <c r="B255" s="22"/>
      <c r="C255" s="14"/>
      <c r="D255" s="14" t="s">
        <v>261</v>
      </c>
      <c r="E255" s="117" t="n">
        <f aca="false">SUM(E245:E254)</f>
        <v>1135</v>
      </c>
      <c r="F255" s="23"/>
      <c r="G255" s="118"/>
      <c r="I255" s="9" t="s">
        <v>262</v>
      </c>
      <c r="J255" s="12"/>
    </row>
    <row r="256" customFormat="false" ht="14.9" hidden="false" customHeight="false" outlineLevel="0" collapsed="false">
      <c r="A256" s="8" t="s">
        <v>243</v>
      </c>
      <c r="B256" s="8"/>
      <c r="C256" s="8"/>
      <c r="D256" s="8"/>
      <c r="E256" s="8"/>
      <c r="F256" s="8"/>
      <c r="G256" s="8"/>
      <c r="I256" s="9" t="str">
        <f aca="false">A256</f>
        <v>Monday, 24 August 2026</v>
      </c>
      <c r="J256" s="12"/>
    </row>
    <row r="257" customFormat="false" ht="14.9" hidden="false" customHeight="false" outlineLevel="0" collapsed="false">
      <c r="A257" s="8" t="s">
        <v>59</v>
      </c>
      <c r="B257" s="8"/>
      <c r="C257" s="8"/>
      <c r="D257" s="8"/>
      <c r="E257" s="8"/>
      <c r="F257" s="8"/>
      <c r="G257" s="8"/>
      <c r="I257" s="9" t="str">
        <f aca="false">A257</f>
        <v>Session, 3 (3:00 PM - 5:00 PM)</v>
      </c>
      <c r="J257" s="12"/>
    </row>
    <row r="258" customFormat="false" ht="14.9" hidden="false" customHeight="false" outlineLevel="0" collapsed="false">
      <c r="A258" s="11" t="s">
        <v>4</v>
      </c>
      <c r="B258" s="11" t="s">
        <v>5</v>
      </c>
      <c r="C258" s="2" t="s">
        <v>6</v>
      </c>
      <c r="D258" s="11" t="s">
        <v>7</v>
      </c>
      <c r="E258" s="102" t="s">
        <v>8</v>
      </c>
      <c r="F258" s="2" t="s">
        <v>9</v>
      </c>
      <c r="G258" s="103" t="s">
        <v>10</v>
      </c>
      <c r="I258" s="9" t="s">
        <v>31</v>
      </c>
      <c r="J258" s="12"/>
    </row>
    <row r="259" s="108" customFormat="true" ht="14.9" hidden="false" customHeight="false" outlineLevel="0" collapsed="false">
      <c r="A259" s="30" t="s">
        <v>263</v>
      </c>
      <c r="B259" s="14" t="str">
        <f aca="false" t="array" ref="B259:B268">IFERROR(VLOOKUP(I259:I268,Lectures_1!A2:F534,2,FALSE()),0)</f>
        <v>COMPUTER PROGRAMMING IN OIL AND GAS</v>
      </c>
      <c r="C259" s="14" t="str">
        <f aca="false" t="array" ref="C259:C268">IFERROR(VLOOKUP(I259:I268,Lectures_1!A2:F534,3,FALSE()),0)</f>
        <v>Sokama-Neuyam Yen Adams</v>
      </c>
      <c r="D259" s="30" t="s">
        <v>93</v>
      </c>
      <c r="E259" s="104" t="n">
        <f aca="false" t="array" ref="E259:E268">IFERROR(VLOOKUP(I259:I268,Lectures_1!A2:F534,4,FALSE()),0)</f>
        <v>95</v>
      </c>
      <c r="F259" s="19" t="s">
        <v>571</v>
      </c>
      <c r="G259" s="105" t="n">
        <f aca="false">E259*1.1</f>
        <v>104.5</v>
      </c>
      <c r="H259" s="5" t="s">
        <v>733</v>
      </c>
      <c r="I259" s="106" t="str">
        <f aca="false">CONCATENATE(A259,",",D259)</f>
        <v>PE 262,ED2-PE</v>
      </c>
      <c r="J259" s="160"/>
    </row>
    <row r="260" s="108" customFormat="true" ht="14.9" hidden="false" customHeight="false" outlineLevel="0" collapsed="false">
      <c r="A260" s="13" t="s">
        <v>264</v>
      </c>
      <c r="B260" s="18" t="str">
        <v>PETROLEUM PROJECT EVALUATION</v>
      </c>
      <c r="C260" s="18" t="str">
        <v>Sarkodie Kwame</v>
      </c>
      <c r="D260" s="13" t="s">
        <v>46</v>
      </c>
      <c r="E260" s="104" t="n">
        <v>99</v>
      </c>
      <c r="F260" s="19" t="s">
        <v>734</v>
      </c>
      <c r="G260" s="105" t="n">
        <f aca="false">E260*1.1</f>
        <v>108.9</v>
      </c>
      <c r="H260" s="5" t="s">
        <v>735</v>
      </c>
      <c r="I260" s="6" t="str">
        <f aca="false">CONCATENATE(A260,",",D260)</f>
        <v>PE 452,ED4-PE</v>
      </c>
      <c r="J260" s="12"/>
    </row>
    <row r="261" s="143" customFormat="true" ht="14.9" hidden="false" customHeight="false" outlineLevel="0" collapsed="false">
      <c r="A261" s="13" t="s">
        <v>265</v>
      </c>
      <c r="B261" s="18" t="str">
        <v>COMPUTER-AIDED DESIGN AND MANUFACTURING</v>
      </c>
      <c r="C261" s="14" t="str">
        <v>Afriyie Nyarko Frank Kwabena</v>
      </c>
      <c r="D261" s="13" t="s">
        <v>121</v>
      </c>
      <c r="E261" s="161" t="n">
        <v>70</v>
      </c>
      <c r="F261" s="19" t="s">
        <v>574</v>
      </c>
      <c r="G261" s="105" t="n">
        <f aca="false">E261*1.1</f>
        <v>77</v>
      </c>
      <c r="H261" s="5" t="s">
        <v>736</v>
      </c>
      <c r="I261" s="141" t="str">
        <f aca="false">CONCATENATE(A261,",",D261)</f>
        <v>IE 358,ED3-IND</v>
      </c>
      <c r="J261" s="142"/>
    </row>
    <row r="262" s="171" customFormat="true" ht="14.9" hidden="false" customHeight="false" outlineLevel="0" collapsed="false">
      <c r="A262" s="162" t="s">
        <v>266</v>
      </c>
      <c r="B262" s="163" t="str">
        <v>INTRODUCTION TO CAD/CAM</v>
      </c>
      <c r="C262" s="164" t="str">
        <v>Afriyie Nyarko Frank Kwabena</v>
      </c>
      <c r="D262" s="162" t="s">
        <v>88</v>
      </c>
      <c r="E262" s="165" t="n">
        <v>101</v>
      </c>
      <c r="F262" s="166" t="s">
        <v>954</v>
      </c>
      <c r="G262" s="167" t="n">
        <f aca="false">E262*1.1</f>
        <v>111.1</v>
      </c>
      <c r="H262" s="168" t="s">
        <v>961</v>
      </c>
      <c r="I262" s="169" t="str">
        <f aca="false">CONCATENATE(A262,",",D262)</f>
        <v>ME 376,ED3-AE</v>
      </c>
      <c r="J262" s="170"/>
    </row>
    <row r="263" s="116" customFormat="true" ht="14.9" hidden="false" customHeight="false" outlineLevel="0" collapsed="false">
      <c r="A263" s="109" t="s">
        <v>143</v>
      </c>
      <c r="B263" s="110" t="str">
        <v>ELECTRIC DRIVES</v>
      </c>
      <c r="C263" s="114" t="str">
        <v>Effah Francis Boafo</v>
      </c>
      <c r="D263" s="109" t="s">
        <v>144</v>
      </c>
      <c r="E263" s="111" t="n">
        <v>189</v>
      </c>
      <c r="F263" s="172" t="s">
        <v>954</v>
      </c>
      <c r="G263" s="112" t="n">
        <f aca="false">E263*1.1</f>
        <v>207.9</v>
      </c>
      <c r="H263" s="113" t="s">
        <v>738</v>
      </c>
      <c r="I263" s="127" t="str">
        <f aca="false">CONCATENATE(A263,",",D263)</f>
        <v>EE 462,ED4-EE</v>
      </c>
      <c r="J263" s="115"/>
    </row>
    <row r="264" s="140" customFormat="true" ht="14.9" hidden="false" customHeight="false" outlineLevel="0" collapsed="false">
      <c r="A264" s="13" t="s">
        <v>268</v>
      </c>
      <c r="B264" s="14" t="str">
        <v>STATICS OF SOLID MECHANICS</v>
      </c>
      <c r="C264" s="18" t="str">
        <v>Dzebre Denis Edem Kwame</v>
      </c>
      <c r="D264" s="13" t="s">
        <v>191</v>
      </c>
      <c r="E264" s="104" t="n">
        <v>70</v>
      </c>
      <c r="F264" s="19" t="s">
        <v>529</v>
      </c>
      <c r="G264" s="105" t="n">
        <f aca="false">E264*1.1</f>
        <v>77</v>
      </c>
      <c r="H264" s="5" t="s">
        <v>649</v>
      </c>
      <c r="I264" s="138" t="str">
        <f aca="false">CONCATENATE(A264,",",D264)</f>
        <v>ME 164,ED1-AERO</v>
      </c>
      <c r="J264" s="139"/>
    </row>
    <row r="265" s="140" customFormat="true" ht="14.9" hidden="false" customHeight="false" outlineLevel="0" collapsed="false">
      <c r="A265" s="13" t="s">
        <v>269</v>
      </c>
      <c r="B265" s="14" t="str">
        <v>NETWORK PLANNING AND OPTIMIZATION</v>
      </c>
      <c r="C265" s="18" t="str">
        <v>Kwasi Adu-Boahen Opare</v>
      </c>
      <c r="D265" s="13" t="s">
        <v>227</v>
      </c>
      <c r="E265" s="104" t="n">
        <v>138</v>
      </c>
      <c r="F265" s="19" t="s">
        <v>731</v>
      </c>
      <c r="G265" s="105" t="n">
        <f aca="false">E265*1.1</f>
        <v>151.8</v>
      </c>
      <c r="H265" s="5" t="s">
        <v>739</v>
      </c>
      <c r="I265" s="138" t="str">
        <f aca="false">CONCATENATE(A265,",",D265)</f>
        <v>TE 458,ED4-TEL</v>
      </c>
      <c r="J265" s="139"/>
    </row>
    <row r="266" s="140" customFormat="true" ht="14.9" hidden="false" customHeight="false" outlineLevel="0" collapsed="false">
      <c r="A266" s="13" t="s">
        <v>268</v>
      </c>
      <c r="B266" s="14" t="str">
        <v>ENGINEERING MECHANICS I: STATICS</v>
      </c>
      <c r="C266" s="18" t="str">
        <v>Dzebre Denis Edem Kwame</v>
      </c>
      <c r="D266" s="13" t="s">
        <v>161</v>
      </c>
      <c r="E266" s="104" t="n">
        <v>225</v>
      </c>
      <c r="F266" s="19" t="s">
        <v>740</v>
      </c>
      <c r="G266" s="105" t="n">
        <f aca="false">E266*1.1</f>
        <v>247.5</v>
      </c>
      <c r="H266" s="5" t="s">
        <v>741</v>
      </c>
      <c r="I266" s="138" t="str">
        <f aca="false">CONCATENATE(A266,",",D266)</f>
        <v>ME 164,ED1-ME</v>
      </c>
      <c r="J266" s="139"/>
    </row>
    <row r="267" customFormat="false" ht="14.9" hidden="false" customHeight="false" outlineLevel="0" collapsed="false">
      <c r="A267" s="13" t="s">
        <v>256</v>
      </c>
      <c r="B267" s="14" t="str">
        <v>HYDROMETALLURGICAL APPLICATIONS</v>
      </c>
      <c r="C267" s="18" t="str">
        <v>Agbe Henry</v>
      </c>
      <c r="D267" s="13" t="s">
        <v>142</v>
      </c>
      <c r="E267" s="104" t="n">
        <v>87</v>
      </c>
      <c r="F267" s="19" t="s">
        <v>742</v>
      </c>
      <c r="G267" s="105" t="n">
        <f aca="false">E267*1.1</f>
        <v>95.7</v>
      </c>
      <c r="H267" s="5" t="s">
        <v>743</v>
      </c>
      <c r="I267" s="6" t="str">
        <f aca="false">CONCATENATE(A267,",",D267)</f>
        <v>METE 352,ED3-METE</v>
      </c>
      <c r="J267" s="12"/>
    </row>
    <row r="268" customFormat="false" ht="14.9" hidden="false" customHeight="false" outlineLevel="0" collapsed="false">
      <c r="A268" s="13" t="s">
        <v>246</v>
      </c>
      <c r="B268" s="14" t="str">
        <v>PRINCIPLES OF GEOPHYSICS</v>
      </c>
      <c r="C268" s="18" t="str">
        <v>Ali Bukari</v>
      </c>
      <c r="D268" s="13" t="s">
        <v>154</v>
      </c>
      <c r="E268" s="104" t="n">
        <v>154</v>
      </c>
      <c r="F268" s="19" t="s">
        <v>706</v>
      </c>
      <c r="G268" s="105" t="n">
        <f aca="false">E268*1.1</f>
        <v>169.4</v>
      </c>
      <c r="H268" s="5" t="s">
        <v>744</v>
      </c>
      <c r="I268" s="6" t="str">
        <f aca="false">CONCATENATE(A268,",",D268)</f>
        <v>GED 354,ED3-GEOL</v>
      </c>
      <c r="J268" s="12"/>
    </row>
    <row r="269" customFormat="false" ht="14.9" hidden="false" customHeight="false" outlineLevel="0" collapsed="false">
      <c r="A269" s="13"/>
      <c r="B269" s="22"/>
      <c r="D269" s="14" t="s">
        <v>272</v>
      </c>
      <c r="E269" s="117" t="n">
        <f aca="false">SUM(E259:E268)</f>
        <v>1228</v>
      </c>
      <c r="F269" s="23"/>
      <c r="G269" s="118"/>
      <c r="I269" s="9" t="s">
        <v>273</v>
      </c>
      <c r="J269" s="12"/>
    </row>
    <row r="270" customFormat="false" ht="14.9" hidden="false" customHeight="false" outlineLevel="0" collapsed="false">
      <c r="A270" s="8" t="s">
        <v>274</v>
      </c>
      <c r="B270" s="8"/>
      <c r="C270" s="8"/>
      <c r="D270" s="8"/>
      <c r="E270" s="8"/>
      <c r="F270" s="8"/>
      <c r="G270" s="8"/>
      <c r="I270" s="9" t="str">
        <f aca="false">A270</f>
        <v>Tuesday, 25 August 2026</v>
      </c>
      <c r="J270" s="12"/>
    </row>
    <row r="271" customFormat="false" ht="14.9" hidden="false" customHeight="false" outlineLevel="0" collapsed="false">
      <c r="A271" s="8" t="s">
        <v>2</v>
      </c>
      <c r="B271" s="8"/>
      <c r="C271" s="8"/>
      <c r="D271" s="8"/>
      <c r="E271" s="8"/>
      <c r="F271" s="8"/>
      <c r="G271" s="8"/>
      <c r="I271" s="9" t="str">
        <f aca="false">A271</f>
        <v>Session, 1 (8:30 AM - 10:30 AM)</v>
      </c>
      <c r="J271" s="12"/>
    </row>
    <row r="272" customFormat="false" ht="14.9" hidden="false" customHeight="false" outlineLevel="0" collapsed="false">
      <c r="A272" s="11" t="s">
        <v>4</v>
      </c>
      <c r="B272" s="11" t="s">
        <v>5</v>
      </c>
      <c r="C272" s="2" t="s">
        <v>6</v>
      </c>
      <c r="D272" s="11" t="s">
        <v>7</v>
      </c>
      <c r="E272" s="102" t="s">
        <v>8</v>
      </c>
      <c r="F272" s="2" t="s">
        <v>9</v>
      </c>
      <c r="G272" s="103" t="s">
        <v>10</v>
      </c>
      <c r="I272" s="9" t="s">
        <v>31</v>
      </c>
      <c r="J272" s="12"/>
    </row>
    <row r="273" s="108" customFormat="true" ht="14.9" hidden="false" customHeight="false" outlineLevel="0" collapsed="false">
      <c r="A273" s="119" t="s">
        <v>276</v>
      </c>
      <c r="B273" s="120" t="str">
        <f aca="false" t="array" ref="B273:B282">IFERROR(VLOOKUP(I273:I282,Lectures_1!A2:F534,2,FALSE()),0)</f>
        <v>LITERATURE IN ENGLISH II</v>
      </c>
      <c r="C273" s="120" t="str">
        <f aca="false" t="array" ref="C273:C282">IFERROR(VLOOKUP(I273:I282,Lectures_1!A2:F534,3,FALSE()),0)</f>
        <v>Yeboah Philomena Ama Okyeso</v>
      </c>
      <c r="D273" s="119" t="s">
        <v>53</v>
      </c>
      <c r="E273" s="125" t="n">
        <f aca="false" t="array" ref="E273:E282">IFERROR(VLOOKUP(I273:I282,Lectures_1!A2:F534,4,FALSE()),0)</f>
        <v>155</v>
      </c>
      <c r="F273" s="129" t="s">
        <v>745</v>
      </c>
      <c r="G273" s="122" t="n">
        <f aca="false">E273*1.1</f>
        <v>170.5</v>
      </c>
      <c r="H273" s="123" t="s">
        <v>746</v>
      </c>
      <c r="I273" s="106" t="str">
        <f aca="false">CONCATENATE(A273,",",D273)</f>
        <v>ENGL 264,ED2-AE</v>
      </c>
      <c r="J273" s="107"/>
    </row>
    <row r="274" s="108" customFormat="true" ht="14.9" hidden="false" customHeight="false" outlineLevel="0" collapsed="false">
      <c r="A274" s="119" t="s">
        <v>276</v>
      </c>
      <c r="B274" s="124" t="str">
        <v>LITERATURE IN ENGLISH II</v>
      </c>
      <c r="C274" s="120" t="str">
        <v>Yeboah Philomena Ama Okyeso</v>
      </c>
      <c r="D274" s="119" t="s">
        <v>36</v>
      </c>
      <c r="E274" s="125" t="n">
        <v>75</v>
      </c>
      <c r="F274" s="119" t="s">
        <v>545</v>
      </c>
      <c r="G274" s="122" t="n">
        <f aca="false">E274*1.1</f>
        <v>82.5</v>
      </c>
      <c r="H274" s="123" t="n">
        <v>75</v>
      </c>
      <c r="I274" s="106" t="str">
        <f aca="false">CONCATENATE(A274,",",D274)</f>
        <v>ENGL 264,ED2-AERO</v>
      </c>
      <c r="J274" s="107"/>
    </row>
    <row r="275" s="108" customFormat="true" ht="14.9" hidden="false" customHeight="false" outlineLevel="0" collapsed="false">
      <c r="A275" s="119" t="s">
        <v>276</v>
      </c>
      <c r="B275" s="124" t="str">
        <v>LITERATURE IN ENGLISH II</v>
      </c>
      <c r="C275" s="120" t="str">
        <v>Yeboah Philomena Ama Okyeso</v>
      </c>
      <c r="D275" s="119" t="s">
        <v>170</v>
      </c>
      <c r="E275" s="125" t="n">
        <v>132</v>
      </c>
      <c r="F275" s="173" t="s">
        <v>747</v>
      </c>
      <c r="G275" s="122" t="n">
        <f aca="false">E275*1.1</f>
        <v>145.2</v>
      </c>
      <c r="H275" s="123" t="s">
        <v>748</v>
      </c>
      <c r="I275" s="106" t="str">
        <f aca="false">CONCATENATE(A275,",",D275)</f>
        <v>ENGL 264,ED2-GEOM</v>
      </c>
      <c r="J275" s="107"/>
    </row>
    <row r="276" s="108" customFormat="true" ht="14.9" hidden="false" customHeight="false" outlineLevel="0" collapsed="false">
      <c r="A276" s="119" t="s">
        <v>276</v>
      </c>
      <c r="B276" s="124" t="str">
        <v>LITERATURE IN ENGLISH II</v>
      </c>
      <c r="C276" s="120" t="str">
        <v>Yeboah Philomena Ama Okyeso</v>
      </c>
      <c r="D276" s="119" t="s">
        <v>38</v>
      </c>
      <c r="E276" s="125" t="n">
        <v>80</v>
      </c>
      <c r="F276" s="119" t="s">
        <v>724</v>
      </c>
      <c r="G276" s="122" t="n">
        <f aca="false">E276*1.1</f>
        <v>88</v>
      </c>
      <c r="H276" s="123" t="s">
        <v>692</v>
      </c>
      <c r="I276" s="106" t="str">
        <f aca="false">CONCATENATE(A276,",",D276)</f>
        <v>ENGL 264,ED2-IND</v>
      </c>
      <c r="J276" s="107"/>
    </row>
    <row r="277" s="116" customFormat="true" ht="14.9" hidden="false" customHeight="false" outlineLevel="0" collapsed="false">
      <c r="A277" s="109" t="s">
        <v>277</v>
      </c>
      <c r="B277" s="110" t="str">
        <v>AIR VEHICLE STABILITY AND CONTROL</v>
      </c>
      <c r="C277" s="114" t="str">
        <v>Oppong David Kofi</v>
      </c>
      <c r="D277" s="109" t="s">
        <v>133</v>
      </c>
      <c r="E277" s="111" t="n">
        <v>76</v>
      </c>
      <c r="F277" s="109" t="s">
        <v>956</v>
      </c>
      <c r="G277" s="112" t="n">
        <f aca="false">E277*1.1</f>
        <v>83.6</v>
      </c>
      <c r="H277" s="113" t="n">
        <v>76</v>
      </c>
      <c r="I277" s="127" t="str">
        <f aca="false">CONCATENATE(A277,",",D277)</f>
        <v>AERO 362,ED3-AERO</v>
      </c>
      <c r="J277" s="115"/>
    </row>
    <row r="278" s="116" customFormat="true" ht="14.9" hidden="false" customHeight="false" outlineLevel="0" collapsed="false">
      <c r="A278" s="109" t="s">
        <v>257</v>
      </c>
      <c r="B278" s="114" t="str">
        <v>MODERN AUTOMOBILE TECHNOLOGY</v>
      </c>
      <c r="C278" s="110" t="str">
        <v>Ayetor Godwin Kafui Kwesi</v>
      </c>
      <c r="D278" s="109" t="s">
        <v>97</v>
      </c>
      <c r="E278" s="111" t="n">
        <v>32</v>
      </c>
      <c r="F278" s="109" t="s">
        <v>956</v>
      </c>
      <c r="G278" s="112" t="n">
        <f aca="false">E278*1.1</f>
        <v>35.2</v>
      </c>
      <c r="H278" s="113" t="n">
        <v>32</v>
      </c>
      <c r="I278" s="127" t="str">
        <f aca="false">CONCATENATE(A278,",",D278)</f>
        <v>AME 476,ED4-AUTO</v>
      </c>
      <c r="J278" s="115"/>
    </row>
    <row r="279" customFormat="false" ht="14.9" hidden="false" customHeight="false" outlineLevel="0" collapsed="false">
      <c r="A279" s="13" t="s">
        <v>285</v>
      </c>
      <c r="B279" s="14" t="str">
        <v>PETROLEUM GEOLOGY</v>
      </c>
      <c r="C279" s="18" t="str">
        <v>Borkloe Julius Kwame</v>
      </c>
      <c r="D279" s="13" t="s">
        <v>18</v>
      </c>
      <c r="E279" s="104" t="n">
        <v>80</v>
      </c>
      <c r="F279" s="30" t="s">
        <v>749</v>
      </c>
      <c r="G279" s="105" t="n">
        <f aca="false">E279*1.1</f>
        <v>88</v>
      </c>
      <c r="H279" s="5" t="s">
        <v>750</v>
      </c>
      <c r="I279" s="6" t="str">
        <f aca="false">CONCATENATE(A279,",",D279)</f>
        <v>PE 352,ED3-PE</v>
      </c>
      <c r="J279" s="12"/>
    </row>
    <row r="280" customFormat="false" ht="14.9" hidden="false" customHeight="false" outlineLevel="0" collapsed="false">
      <c r="A280" s="13" t="s">
        <v>278</v>
      </c>
      <c r="B280" s="14" t="str">
        <v>INTRO TO ENVIRONMENTAL ENG.</v>
      </c>
      <c r="C280" s="18" t="str">
        <v>Essandoh Helen Michelle Korkor</v>
      </c>
      <c r="D280" s="13" t="s">
        <v>56</v>
      </c>
      <c r="E280" s="104" t="n">
        <v>250</v>
      </c>
      <c r="F280" s="30" t="s">
        <v>531</v>
      </c>
      <c r="G280" s="105" t="n">
        <f aca="false">E280*1.1</f>
        <v>275</v>
      </c>
      <c r="H280" s="5" t="s">
        <v>751</v>
      </c>
      <c r="I280" s="6" t="str">
        <f aca="false">CONCATENATE(A280,",",D280)</f>
        <v>CE 264,ED2-CE</v>
      </c>
      <c r="J280" s="12"/>
    </row>
    <row r="281" s="45" customFormat="true" ht="14.9" hidden="false" customHeight="false" outlineLevel="0" collapsed="false">
      <c r="A281" s="13" t="s">
        <v>281</v>
      </c>
      <c r="B281" s="18" t="str">
        <v>CALCULUS WITH SEVERAL VARIABLES</v>
      </c>
      <c r="C281" s="14" t="str">
        <v>Boateng Maxwell Akwasi</v>
      </c>
      <c r="D281" s="13" t="s">
        <v>42</v>
      </c>
      <c r="E281" s="104" t="n">
        <v>37</v>
      </c>
      <c r="F281" s="19" t="s">
        <v>616</v>
      </c>
      <c r="G281" s="105" t="n">
        <f aca="false">E281*1.1</f>
        <v>40.7</v>
      </c>
      <c r="H281" s="5" t="n">
        <v>37</v>
      </c>
      <c r="I281" s="43" t="str">
        <f aca="false">CONCATENATE(A281,",",D281)</f>
        <v>MATH 252,ED2-MARI</v>
      </c>
      <c r="J281" s="44"/>
    </row>
    <row r="282" s="45" customFormat="true" ht="14.9" hidden="false" customHeight="false" outlineLevel="0" collapsed="false">
      <c r="A282" s="13" t="s">
        <v>281</v>
      </c>
      <c r="B282" s="18" t="str">
        <v>CALCULUS WITH SEVERAL VARIABLES</v>
      </c>
      <c r="C282" s="14" t="str">
        <v>Boateng Maxwell Akwasi</v>
      </c>
      <c r="D282" s="13" t="s">
        <v>33</v>
      </c>
      <c r="E282" s="104" t="n">
        <v>240</v>
      </c>
      <c r="F282" s="19" t="s">
        <v>556</v>
      </c>
      <c r="G282" s="105" t="n">
        <f aca="false">E282*1.1</f>
        <v>264</v>
      </c>
      <c r="H282" s="5" t="s">
        <v>752</v>
      </c>
      <c r="I282" s="43" t="str">
        <f aca="false">CONCATENATE(A282,",",D282)</f>
        <v>MATH 252,ED2-ME</v>
      </c>
      <c r="J282" s="44"/>
    </row>
    <row r="283" customFormat="false" ht="14.9" hidden="false" customHeight="false" outlineLevel="0" collapsed="false">
      <c r="A283" s="22"/>
      <c r="B283" s="22"/>
      <c r="D283" s="14" t="s">
        <v>282</v>
      </c>
      <c r="E283" s="117" t="n">
        <f aca="false">SUM(E273:E282)</f>
        <v>1157</v>
      </c>
      <c r="F283" s="23"/>
      <c r="G283" s="118"/>
      <c r="I283" s="9" t="s">
        <v>283</v>
      </c>
      <c r="J283" s="12"/>
    </row>
    <row r="284" customFormat="false" ht="14.9" hidden="false" customHeight="false" outlineLevel="0" collapsed="false">
      <c r="A284" s="8" t="s">
        <v>274</v>
      </c>
      <c r="B284" s="8"/>
      <c r="C284" s="8"/>
      <c r="D284" s="8"/>
      <c r="E284" s="8"/>
      <c r="F284" s="8"/>
      <c r="G284" s="8"/>
      <c r="I284" s="9" t="str">
        <f aca="false">A284</f>
        <v>Tuesday, 25 August 2026</v>
      </c>
      <c r="J284" s="12"/>
    </row>
    <row r="285" customFormat="false" ht="14.9" hidden="false" customHeight="false" outlineLevel="0" collapsed="false">
      <c r="A285" s="8" t="s">
        <v>29</v>
      </c>
      <c r="B285" s="8"/>
      <c r="C285" s="8"/>
      <c r="D285" s="8"/>
      <c r="E285" s="8"/>
      <c r="F285" s="8"/>
      <c r="G285" s="8"/>
      <c r="I285" s="9" t="str">
        <f aca="false">A285</f>
        <v>Session, 2 (12:00 PM - 2:00 PM)</v>
      </c>
      <c r="J285" s="12"/>
    </row>
    <row r="286" customFormat="false" ht="14.9" hidden="false" customHeight="false" outlineLevel="0" collapsed="false">
      <c r="A286" s="11" t="s">
        <v>4</v>
      </c>
      <c r="B286" s="11" t="s">
        <v>5</v>
      </c>
      <c r="C286" s="2" t="s">
        <v>6</v>
      </c>
      <c r="D286" s="11" t="s">
        <v>7</v>
      </c>
      <c r="E286" s="102" t="s">
        <v>8</v>
      </c>
      <c r="F286" s="2" t="s">
        <v>9</v>
      </c>
      <c r="G286" s="103" t="s">
        <v>10</v>
      </c>
      <c r="I286" s="9" t="s">
        <v>31</v>
      </c>
      <c r="J286" s="12"/>
    </row>
    <row r="287" customFormat="false" ht="14.9" hidden="false" customHeight="false" outlineLevel="0" collapsed="false">
      <c r="A287" s="13" t="s">
        <v>234</v>
      </c>
      <c r="B287" s="14" t="str">
        <f aca="false" t="array" ref="B287:B298">IFERROR(VLOOKUP(I287:I298,Lectures_1!A2:F534,2,FALSE()),0)</f>
        <v>BASIC ELECTRONICS</v>
      </c>
      <c r="C287" s="14" t="str">
        <f aca="false" t="array" ref="C287:C298">IFERROR(VLOOKUP(I287:I298,Lectures_1!A2:F5343,3,FALSE()),0)</f>
        <v>Nicholas Kwesi Prah II</v>
      </c>
      <c r="D287" s="13" t="s">
        <v>191</v>
      </c>
      <c r="E287" s="104" t="n">
        <f aca="false" t="array" ref="E287:E298">IFERROR(VLOOKUP(I287:I298,Lectures_1!A2:F5343,4,FALSE()),0)</f>
        <v>70</v>
      </c>
      <c r="F287" s="19" t="s">
        <v>574</v>
      </c>
      <c r="G287" s="105" t="n">
        <f aca="false">E287*1.1</f>
        <v>77</v>
      </c>
      <c r="H287" s="5" t="s">
        <v>671</v>
      </c>
      <c r="I287" s="6" t="str">
        <f aca="false">CONCATENATE(A287,",",D287)</f>
        <v>EE 152,ED1-AERO</v>
      </c>
      <c r="J287" s="12"/>
    </row>
    <row r="288" customFormat="false" ht="14.9" hidden="false" customHeight="false" outlineLevel="0" collapsed="false">
      <c r="A288" s="13" t="s">
        <v>234</v>
      </c>
      <c r="B288" s="14" t="str">
        <v>BASIC ELECTRONICS</v>
      </c>
      <c r="C288" s="14" t="str">
        <v>Nicholas Kwesi Prah II</v>
      </c>
      <c r="D288" s="13" t="s">
        <v>112</v>
      </c>
      <c r="E288" s="104" t="n">
        <v>46</v>
      </c>
      <c r="F288" s="30" t="s">
        <v>753</v>
      </c>
      <c r="G288" s="105" t="n">
        <f aca="false">E288*1.1</f>
        <v>50.6</v>
      </c>
      <c r="H288" s="3" t="s">
        <v>754</v>
      </c>
      <c r="I288" s="6" t="str">
        <f aca="false">CONCATENATE(A288,",",D288)</f>
        <v>EE 152,ED1-MARI</v>
      </c>
      <c r="J288" s="12"/>
    </row>
    <row r="289" customFormat="false" ht="14.9" hidden="false" customHeight="false" outlineLevel="0" collapsed="false">
      <c r="A289" s="13" t="s">
        <v>234</v>
      </c>
      <c r="B289" s="14" t="str">
        <v>BASIC ELECTRONICS</v>
      </c>
      <c r="C289" s="14" t="str">
        <v>Nicholas Kwesi Prah II</v>
      </c>
      <c r="D289" s="13" t="s">
        <v>111</v>
      </c>
      <c r="E289" s="104" t="n">
        <v>83</v>
      </c>
      <c r="F289" s="30" t="s">
        <v>755</v>
      </c>
      <c r="G289" s="105" t="n">
        <f aca="false">E289*1.1</f>
        <v>91.3</v>
      </c>
      <c r="H289" s="5" t="s">
        <v>756</v>
      </c>
      <c r="I289" s="6" t="str">
        <f aca="false">CONCATENATE(A289,",",D289)</f>
        <v>EE 152,ED1-IND</v>
      </c>
      <c r="J289" s="12"/>
    </row>
    <row r="290" customFormat="false" ht="14.9" hidden="false" customHeight="false" outlineLevel="0" collapsed="false">
      <c r="A290" s="13" t="s">
        <v>234</v>
      </c>
      <c r="B290" s="14" t="str">
        <v>BASIC ELECTRONICS</v>
      </c>
      <c r="C290" s="14" t="str">
        <v>Nicholas Kwesi Prah II</v>
      </c>
      <c r="D290" s="13" t="s">
        <v>162</v>
      </c>
      <c r="E290" s="104" t="n">
        <v>85</v>
      </c>
      <c r="F290" s="40" t="s">
        <v>571</v>
      </c>
      <c r="G290" s="105" t="n">
        <f aca="false">E290*1.1</f>
        <v>93.5</v>
      </c>
      <c r="H290" s="3" t="s">
        <v>757</v>
      </c>
      <c r="I290" s="6" t="str">
        <f aca="false">CONCATENATE(A290,",",D290)</f>
        <v>EE 152,ED1-AUTO</v>
      </c>
      <c r="J290" s="12"/>
    </row>
    <row r="291" customFormat="false" ht="14.9" hidden="false" customHeight="false" outlineLevel="0" collapsed="false">
      <c r="A291" s="13" t="s">
        <v>234</v>
      </c>
      <c r="B291" s="14" t="str">
        <v>BASIC ELECTRONICS</v>
      </c>
      <c r="C291" s="14" t="str">
        <v>Twumasi Elvis</v>
      </c>
      <c r="D291" s="13" t="s">
        <v>81</v>
      </c>
      <c r="E291" s="104" t="n">
        <v>56</v>
      </c>
      <c r="F291" s="19" t="s">
        <v>758</v>
      </c>
      <c r="G291" s="105" t="n">
        <f aca="false">E291*1.1</f>
        <v>61.6</v>
      </c>
      <c r="H291" s="5" t="s">
        <v>759</v>
      </c>
      <c r="I291" s="6" t="str">
        <f aca="false">CONCATENATE(A291,",",D291)</f>
        <v>EE 152,ED1-PCE</v>
      </c>
      <c r="J291" s="12"/>
    </row>
    <row r="292" customFormat="false" ht="14.9" hidden="false" customHeight="false" outlineLevel="0" collapsed="false">
      <c r="A292" s="13" t="s">
        <v>234</v>
      </c>
      <c r="B292" s="14" t="str">
        <v>BASIC ELECTRONICS</v>
      </c>
      <c r="C292" s="14" t="str">
        <v>Twumasi Elvis</v>
      </c>
      <c r="D292" s="13" t="s">
        <v>82</v>
      </c>
      <c r="E292" s="104" t="n">
        <v>130</v>
      </c>
      <c r="F292" s="19" t="s">
        <v>760</v>
      </c>
      <c r="G292" s="105" t="n">
        <f aca="false">E292*1.1</f>
        <v>143</v>
      </c>
      <c r="H292" s="5" t="s">
        <v>761</v>
      </c>
      <c r="I292" s="6" t="str">
        <f aca="false">CONCATENATE(A292,",",D292)</f>
        <v>EE 152,ED1-PE</v>
      </c>
      <c r="J292" s="12"/>
    </row>
    <row r="293" customFormat="false" ht="14.9" hidden="false" customHeight="false" outlineLevel="0" collapsed="false">
      <c r="A293" s="13" t="s">
        <v>234</v>
      </c>
      <c r="B293" s="18" t="str">
        <v>BASIC ELECTRONICS</v>
      </c>
      <c r="C293" s="14" t="str">
        <v>Nicholas Kwesi Prah II</v>
      </c>
      <c r="D293" s="13" t="s">
        <v>131</v>
      </c>
      <c r="E293" s="104" t="n">
        <v>128</v>
      </c>
      <c r="F293" s="13" t="s">
        <v>731</v>
      </c>
      <c r="G293" s="105" t="n">
        <f aca="false">E293*1.1</f>
        <v>140.8</v>
      </c>
      <c r="H293" s="5" t="s">
        <v>762</v>
      </c>
      <c r="I293" s="6" t="str">
        <f aca="false">CONCATENATE(A293,",",D293)</f>
        <v>EE 152,ED1-AE</v>
      </c>
      <c r="J293" s="12"/>
    </row>
    <row r="294" customFormat="false" ht="14.9" hidden="false" customHeight="false" outlineLevel="0" collapsed="false">
      <c r="A294" s="13" t="s">
        <v>234</v>
      </c>
      <c r="B294" s="18" t="str">
        <v>BASIC ELECTRONICS</v>
      </c>
      <c r="C294" s="18" t="str">
        <v>Affum Emmanuel Ampoma</v>
      </c>
      <c r="D294" s="13" t="s">
        <v>91</v>
      </c>
      <c r="E294" s="104" t="n">
        <v>130</v>
      </c>
      <c r="F294" s="19" t="s">
        <v>763</v>
      </c>
      <c r="G294" s="105" t="n">
        <f aca="false">E294*1.1</f>
        <v>143</v>
      </c>
      <c r="H294" s="5" t="s">
        <v>764</v>
      </c>
      <c r="I294" s="6" t="str">
        <f aca="false">CONCATENATE(A294,",",D294)</f>
        <v>EE 152,ED1-TEL</v>
      </c>
      <c r="J294" s="12"/>
    </row>
    <row r="295" s="116" customFormat="true" ht="14.9" hidden="false" customHeight="false" outlineLevel="0" collapsed="false">
      <c r="A295" s="109" t="s">
        <v>260</v>
      </c>
      <c r="B295" s="110" t="str">
        <v>BASIC ELECTRONICS</v>
      </c>
      <c r="C295" s="114" t="str">
        <v>Klogo Griffith Selorm</v>
      </c>
      <c r="D295" s="109" t="s">
        <v>20</v>
      </c>
      <c r="E295" s="111" t="n">
        <v>262</v>
      </c>
      <c r="F295" s="158" t="s">
        <v>954</v>
      </c>
      <c r="G295" s="112" t="n">
        <f aca="false">E295*1.1</f>
        <v>288.2</v>
      </c>
      <c r="H295" s="113" t="s">
        <v>534</v>
      </c>
      <c r="I295" s="127" t="str">
        <f aca="false">CONCATENATE(A295,",",D295)</f>
        <v>COE 152,ED1-COE</v>
      </c>
      <c r="J295" s="115"/>
    </row>
    <row r="296" customFormat="false" ht="14.9" hidden="false" customHeight="false" outlineLevel="0" collapsed="false">
      <c r="A296" s="13" t="s">
        <v>289</v>
      </c>
      <c r="B296" s="18" t="str">
        <v>WASTE MANAGEMENT</v>
      </c>
      <c r="C296" s="18" t="str">
        <v>Koomson Bennetta</v>
      </c>
      <c r="D296" s="13" t="s">
        <v>135</v>
      </c>
      <c r="E296" s="104" t="n">
        <v>60</v>
      </c>
      <c r="F296" s="19" t="s">
        <v>529</v>
      </c>
      <c r="G296" s="105" t="n">
        <f aca="false">E296*1.1</f>
        <v>66</v>
      </c>
      <c r="H296" s="5" t="s">
        <v>765</v>
      </c>
      <c r="I296" s="6" t="str">
        <f aca="false">CONCATENATE(A296,",",D296)</f>
        <v>MSE 452,ED4-MSE</v>
      </c>
      <c r="J296" s="12"/>
    </row>
    <row r="297" customFormat="false" ht="14.9" hidden="false" customHeight="false" outlineLevel="0" collapsed="false">
      <c r="A297" s="13" t="s">
        <v>290</v>
      </c>
      <c r="B297" s="14" t="str">
        <v>METALLURGICAL WASTE MANAGEMENT</v>
      </c>
      <c r="C297" s="18" t="str">
        <v>Koomson Bennetta</v>
      </c>
      <c r="D297" s="19" t="s">
        <v>136</v>
      </c>
      <c r="E297" s="104" t="n">
        <v>55</v>
      </c>
      <c r="F297" s="19" t="s">
        <v>766</v>
      </c>
      <c r="G297" s="105" t="n">
        <f aca="false">E297*1.1</f>
        <v>60.5</v>
      </c>
      <c r="H297" s="27" t="s">
        <v>767</v>
      </c>
      <c r="I297" s="6" t="str">
        <f aca="false">CONCATENATE(A297,",",D297)</f>
        <v>METE 454,ED4-METE</v>
      </c>
      <c r="J297" s="12"/>
    </row>
    <row r="298" customFormat="false" ht="14.9" hidden="false" customHeight="false" outlineLevel="0" collapsed="false">
      <c r="A298" s="13" t="s">
        <v>279</v>
      </c>
      <c r="B298" s="14" t="str">
        <v>MICROPROCESSORS AND MECHATRONICS APPLICATIONS</v>
      </c>
      <c r="C298" s="14" t="str">
        <v>Sackey Michael Nii</v>
      </c>
      <c r="D298" s="13" t="s">
        <v>23</v>
      </c>
      <c r="E298" s="104" t="n">
        <v>40</v>
      </c>
      <c r="F298" s="30" t="s">
        <v>616</v>
      </c>
      <c r="G298" s="105" t="n">
        <f aca="false">E298*1.1</f>
        <v>44</v>
      </c>
      <c r="H298" s="5" t="n">
        <v>40</v>
      </c>
      <c r="I298" s="6" t="str">
        <f aca="false">CONCATENATE(A298,",",D298)</f>
        <v>AME 384,ED3-AUTO</v>
      </c>
      <c r="J298" s="12"/>
    </row>
    <row r="299" customFormat="false" ht="14.9" hidden="false" customHeight="false" outlineLevel="0" collapsed="false">
      <c r="A299" s="22"/>
      <c r="B299" s="22"/>
      <c r="D299" s="14" t="s">
        <v>287</v>
      </c>
      <c r="E299" s="117" t="n">
        <f aca="false">SUM(E287:E298)</f>
        <v>1145</v>
      </c>
      <c r="F299" s="23"/>
      <c r="G299" s="118"/>
      <c r="I299" s="9" t="s">
        <v>288</v>
      </c>
      <c r="J299" s="12"/>
    </row>
    <row r="300" customFormat="false" ht="14.9" hidden="false" customHeight="false" outlineLevel="0" collapsed="false">
      <c r="A300" s="8" t="s">
        <v>274</v>
      </c>
      <c r="B300" s="8"/>
      <c r="C300" s="8"/>
      <c r="D300" s="8"/>
      <c r="E300" s="8"/>
      <c r="F300" s="8"/>
      <c r="G300" s="8"/>
      <c r="I300" s="9" t="str">
        <f aca="false">A300</f>
        <v>Tuesday, 25 August 2026</v>
      </c>
      <c r="J300" s="12"/>
    </row>
    <row r="301" customFormat="false" ht="14.9" hidden="false" customHeight="false" outlineLevel="0" collapsed="false">
      <c r="A301" s="8" t="s">
        <v>59</v>
      </c>
      <c r="B301" s="8"/>
      <c r="C301" s="8"/>
      <c r="D301" s="8"/>
      <c r="E301" s="8"/>
      <c r="F301" s="8"/>
      <c r="G301" s="8"/>
      <c r="I301" s="9" t="str">
        <f aca="false">A301</f>
        <v>Session, 3 (3:00 PM - 5:00 PM)</v>
      </c>
      <c r="J301" s="12"/>
    </row>
    <row r="302" customFormat="false" ht="14.9" hidden="false" customHeight="false" outlineLevel="0" collapsed="false">
      <c r="A302" s="11" t="s">
        <v>4</v>
      </c>
      <c r="B302" s="11" t="s">
        <v>5</v>
      </c>
      <c r="C302" s="2" t="s">
        <v>6</v>
      </c>
      <c r="D302" s="11" t="s">
        <v>7</v>
      </c>
      <c r="E302" s="102" t="s">
        <v>8</v>
      </c>
      <c r="F302" s="18" t="s">
        <v>9</v>
      </c>
      <c r="G302" s="103" t="s">
        <v>10</v>
      </c>
      <c r="I302" s="9" t="s">
        <v>31</v>
      </c>
      <c r="J302" s="12"/>
    </row>
    <row r="303" customFormat="false" ht="14.9" hidden="false" customHeight="false" outlineLevel="0" collapsed="false">
      <c r="A303" s="13" t="s">
        <v>296</v>
      </c>
      <c r="B303" s="14" t="str">
        <f aca="false" t="array" ref="B303:B311">IFERROR(VLOOKUP(I303:I311,Lectures_1!A2:F534,2,FALSE()),0)</f>
        <v>ENVIRONMENTAL IMPACT ASSESSMENT</v>
      </c>
      <c r="C303" s="14" t="str">
        <f aca="false" t="array" ref="C303:C311">IFERROR(VLOOKUP(I303:I311,Lectures_1!A2:F534,3,FALSE()),0)</f>
        <v>Afotey Benjamin</v>
      </c>
      <c r="D303" s="13" t="s">
        <v>63</v>
      </c>
      <c r="E303" s="104" t="n">
        <f aca="false" t="array" ref="E303:E311">IFERROR(VLOOKUP(I303:I311,Lectures_1!A2:F534,4,FALSE()),0)</f>
        <v>30</v>
      </c>
      <c r="F303" s="19" t="s">
        <v>541</v>
      </c>
      <c r="G303" s="105" t="n">
        <f aca="false">E303*1.1</f>
        <v>33</v>
      </c>
      <c r="H303" s="5" t="n">
        <v>30</v>
      </c>
      <c r="I303" s="6" t="str">
        <f aca="false">CONCATENATE(A303,",",D303)</f>
        <v>CHE 370,ED3-PCE</v>
      </c>
      <c r="J303" s="12"/>
    </row>
    <row r="304" s="45" customFormat="true" ht="14.9" hidden="false" customHeight="false" outlineLevel="0" collapsed="false">
      <c r="A304" s="13" t="s">
        <v>291</v>
      </c>
      <c r="B304" s="18" t="str">
        <v>HYDRAULIC ENGINEERING</v>
      </c>
      <c r="C304" s="18" t="str">
        <v>Adjei Kwaku Amaning</v>
      </c>
      <c r="D304" s="13" t="s">
        <v>157</v>
      </c>
      <c r="E304" s="104" t="n">
        <v>230</v>
      </c>
      <c r="F304" s="19" t="s">
        <v>768</v>
      </c>
      <c r="G304" s="105" t="n">
        <f aca="false">E304*1.1</f>
        <v>253</v>
      </c>
      <c r="H304" s="5" t="s">
        <v>769</v>
      </c>
      <c r="I304" s="43" t="str">
        <f aca="false">CONCATENATE(A304,",",D304)</f>
        <v>CE 356,ED3-CE</v>
      </c>
      <c r="J304" s="44"/>
    </row>
    <row r="305" s="108" customFormat="true" ht="14.9" hidden="false" customHeight="false" outlineLevel="0" collapsed="false">
      <c r="A305" s="13" t="s">
        <v>292</v>
      </c>
      <c r="B305" s="14" t="str">
        <v>MARINE MAINTENANCE ENGINEERING</v>
      </c>
      <c r="C305" s="14" t="str">
        <v>Peter Oppong Tawiah </v>
      </c>
      <c r="D305" s="13" t="s">
        <v>69</v>
      </c>
      <c r="E305" s="104" t="n">
        <v>23</v>
      </c>
      <c r="F305" s="19" t="s">
        <v>770</v>
      </c>
      <c r="G305" s="105" t="n">
        <f aca="false">E305*1.1</f>
        <v>25.3</v>
      </c>
      <c r="H305" s="5" t="n">
        <v>23</v>
      </c>
      <c r="I305" s="106" t="str">
        <f aca="false">CONCATENATE(A305,",",D305)</f>
        <v>MME 494,ED4-MARI</v>
      </c>
      <c r="J305" s="107"/>
    </row>
    <row r="306" s="108" customFormat="true" ht="14.9" hidden="false" customHeight="false" outlineLevel="0" collapsed="false">
      <c r="A306" s="13" t="s">
        <v>293</v>
      </c>
      <c r="B306" s="18" t="str">
        <v>MAINTENANCE ENGINEERING</v>
      </c>
      <c r="C306" s="18" t="str">
        <v>Peter Oppong Tawiah </v>
      </c>
      <c r="D306" s="13" t="s">
        <v>67</v>
      </c>
      <c r="E306" s="104" t="n">
        <v>135</v>
      </c>
      <c r="F306" s="19" t="s">
        <v>731</v>
      </c>
      <c r="G306" s="105" t="n">
        <f aca="false">E306*1.1</f>
        <v>148.5</v>
      </c>
      <c r="H306" s="5" t="s">
        <v>771</v>
      </c>
      <c r="I306" s="106" t="str">
        <f aca="false">CONCATENATE(A306,",",D306)</f>
        <v>ME 494,ED4-ME</v>
      </c>
      <c r="J306" s="107"/>
    </row>
    <row r="307" s="108" customFormat="true" ht="14.9" hidden="false" customHeight="false" outlineLevel="0" collapsed="false">
      <c r="A307" s="13" t="s">
        <v>293</v>
      </c>
      <c r="B307" s="18" t="str">
        <v>MAINTENANCE ENGINEERING</v>
      </c>
      <c r="C307" s="18" t="str">
        <v>Peter Oppong Tawiah </v>
      </c>
      <c r="D307" s="13" t="s">
        <v>124</v>
      </c>
      <c r="E307" s="104" t="n">
        <v>69</v>
      </c>
      <c r="F307" s="19" t="s">
        <v>641</v>
      </c>
      <c r="G307" s="105" t="n">
        <f aca="false">E307*1.1</f>
        <v>75.9</v>
      </c>
      <c r="H307" s="5" t="s">
        <v>772</v>
      </c>
      <c r="I307" s="106" t="str">
        <f aca="false">CONCATENATE(A307,",",D307)</f>
        <v>ME 494,ED4-IND</v>
      </c>
      <c r="J307" s="107"/>
    </row>
    <row r="308" customFormat="false" ht="14.9" hidden="false" customHeight="false" outlineLevel="0" collapsed="false">
      <c r="A308" s="13" t="s">
        <v>294</v>
      </c>
      <c r="B308" s="18" t="str">
        <v>KINETICS OF CHEMICAL REACTIONS</v>
      </c>
      <c r="C308" s="14" t="str">
        <v>Patrick Aggrey</v>
      </c>
      <c r="D308" s="13" t="s">
        <v>115</v>
      </c>
      <c r="E308" s="104" t="n">
        <v>100</v>
      </c>
      <c r="F308" s="13" t="s">
        <v>571</v>
      </c>
      <c r="G308" s="105" t="n">
        <f aca="false">E308*1.1</f>
        <v>110</v>
      </c>
      <c r="H308" s="5" t="s">
        <v>602</v>
      </c>
      <c r="I308" s="6" t="str">
        <f aca="false">CONCATENATE(A308,",",D308)</f>
        <v>MSE 152,ED1-MSE</v>
      </c>
      <c r="J308" s="12"/>
    </row>
    <row r="309" customFormat="false" ht="14.9" hidden="false" customHeight="false" outlineLevel="0" collapsed="false">
      <c r="A309" s="13" t="s">
        <v>295</v>
      </c>
      <c r="B309" s="18" t="str">
        <v>CHEMISTRY FOR METALLURGICAL ENGINEERS</v>
      </c>
      <c r="C309" s="14" t="str">
        <v>Patrick Aggrey</v>
      </c>
      <c r="D309" s="13" t="s">
        <v>114</v>
      </c>
      <c r="E309" s="104" t="n">
        <v>75</v>
      </c>
      <c r="F309" s="19" t="s">
        <v>574</v>
      </c>
      <c r="G309" s="105" t="n">
        <f aca="false">E309*1.1</f>
        <v>82.5</v>
      </c>
      <c r="H309" s="5" t="s">
        <v>773</v>
      </c>
      <c r="I309" s="6" t="str">
        <f aca="false">CONCATENATE(A309,",",D309)</f>
        <v>METE 152,ED1-METE</v>
      </c>
      <c r="J309" s="12"/>
    </row>
    <row r="310" customFormat="false" ht="14.9" hidden="false" customHeight="false" outlineLevel="0" collapsed="false">
      <c r="A310" s="13" t="s">
        <v>397</v>
      </c>
      <c r="B310" s="18" t="str">
        <v>CHEMICAL ENGINEERING THERMODYNAMICS II</v>
      </c>
      <c r="C310" s="18" t="str">
        <v>Bonsu Jude Kwaku</v>
      </c>
      <c r="D310" s="13" t="s">
        <v>13</v>
      </c>
      <c r="E310" s="104" t="n">
        <v>160</v>
      </c>
      <c r="F310" s="19" t="s">
        <v>617</v>
      </c>
      <c r="G310" s="105" t="n">
        <f aca="false">E310*1.1</f>
        <v>176</v>
      </c>
      <c r="H310" s="5" t="s">
        <v>774</v>
      </c>
      <c r="I310" s="6" t="str">
        <f aca="false">CONCATENATE(A310,",",D310)</f>
        <v>CHE 254,ED2-CHE</v>
      </c>
      <c r="J310" s="12"/>
    </row>
    <row r="311" s="116" customFormat="true" ht="14.9" hidden="false" customHeight="false" outlineLevel="0" collapsed="false">
      <c r="A311" s="109" t="s">
        <v>286</v>
      </c>
      <c r="B311" s="114" t="str">
        <v>POWER ELECTRONICS</v>
      </c>
      <c r="C311" s="114" t="str">
        <v>Effah Francis Boafo</v>
      </c>
      <c r="D311" s="109" t="s">
        <v>71</v>
      </c>
      <c r="E311" s="111" t="n">
        <v>240</v>
      </c>
      <c r="F311" s="158" t="s">
        <v>954</v>
      </c>
      <c r="G311" s="112" t="n">
        <f aca="false">E311*1.1</f>
        <v>264</v>
      </c>
      <c r="H311" s="113" t="s">
        <v>775</v>
      </c>
      <c r="I311" s="127" t="str">
        <f aca="false">CONCATENATE(A311,",",D311)</f>
        <v>EE 366,ED3-EE</v>
      </c>
      <c r="J311" s="115"/>
    </row>
    <row r="312" customFormat="false" ht="14.9" hidden="false" customHeight="false" outlineLevel="0" collapsed="false">
      <c r="A312" s="22"/>
      <c r="B312" s="22"/>
      <c r="D312" s="14" t="s">
        <v>298</v>
      </c>
      <c r="E312" s="117" t="n">
        <f aca="false">SUM(E303:E311)</f>
        <v>1062</v>
      </c>
      <c r="F312" s="23"/>
      <c r="G312" s="118"/>
      <c r="I312" s="9" t="s">
        <v>299</v>
      </c>
      <c r="J312" s="12"/>
    </row>
    <row r="313" customFormat="false" ht="14.9" hidden="false" customHeight="false" outlineLevel="0" collapsed="false">
      <c r="A313" s="8" t="s">
        <v>300</v>
      </c>
      <c r="B313" s="8"/>
      <c r="C313" s="8"/>
      <c r="D313" s="8"/>
      <c r="E313" s="8"/>
      <c r="F313" s="8"/>
      <c r="G313" s="8"/>
      <c r="I313" s="9" t="str">
        <f aca="false">A313</f>
        <v>Wednesday, 26 August 2026</v>
      </c>
      <c r="J313" s="12"/>
    </row>
    <row r="314" customFormat="false" ht="14.9" hidden="false" customHeight="false" outlineLevel="0" collapsed="false">
      <c r="A314" s="8" t="s">
        <v>2</v>
      </c>
      <c r="B314" s="8"/>
      <c r="C314" s="8"/>
      <c r="D314" s="8"/>
      <c r="E314" s="8"/>
      <c r="F314" s="8"/>
      <c r="G314" s="8"/>
      <c r="I314" s="9" t="str">
        <f aca="false">A314</f>
        <v>Session, 1 (8:30 AM - 10:30 AM)</v>
      </c>
      <c r="J314" s="12"/>
    </row>
    <row r="315" customFormat="false" ht="14.9" hidden="false" customHeight="false" outlineLevel="0" collapsed="false">
      <c r="A315" s="11" t="s">
        <v>4</v>
      </c>
      <c r="B315" s="11" t="s">
        <v>5</v>
      </c>
      <c r="C315" s="2" t="s">
        <v>6</v>
      </c>
      <c r="D315" s="11" t="s">
        <v>7</v>
      </c>
      <c r="E315" s="102" t="s">
        <v>8</v>
      </c>
      <c r="F315" s="18" t="s">
        <v>9</v>
      </c>
      <c r="G315" s="103" t="s">
        <v>10</v>
      </c>
      <c r="I315" s="9" t="s">
        <v>31</v>
      </c>
      <c r="J315" s="12"/>
    </row>
    <row r="316" s="108" customFormat="true" ht="14.9" hidden="false" customHeight="false" outlineLevel="0" collapsed="false">
      <c r="A316" s="119" t="s">
        <v>281</v>
      </c>
      <c r="B316" s="120" t="str">
        <f aca="false" t="array" ref="B316:B337">IFERROR(VLOOKUP(I316:I337,Lectures_1!A2:F534,2,FALSE()),0)</f>
        <v>CALCULUS WITH SEVERAL VARIABLES</v>
      </c>
      <c r="C316" s="124" t="str">
        <f aca="false" t="array" ref="C316:C337">IFERROR(VLOOKUP(I316:I337,Lectures_1!A2:F534,3,FALSE()),0)</f>
        <v>Eghan Rhydal Esi</v>
      </c>
      <c r="D316" s="119" t="s">
        <v>109</v>
      </c>
      <c r="E316" s="125" t="n">
        <f aca="false" t="array" ref="E316:E337">IFERROR(VLOOKUP(I316:I337,Lectures_1!A2:F534,4,FALSE()),0)</f>
        <v>80</v>
      </c>
      <c r="F316" s="130" t="s">
        <v>34</v>
      </c>
      <c r="G316" s="122" t="n">
        <f aca="false">E316*1.1</f>
        <v>88</v>
      </c>
      <c r="H316" s="123"/>
      <c r="I316" s="106" t="str">
        <f aca="false">CONCATENATE(A316,",",D316)</f>
        <v>MATH 252,ED2-BME</v>
      </c>
      <c r="J316" s="107"/>
    </row>
    <row r="317" s="108" customFormat="true" ht="14.9" hidden="false" customHeight="false" outlineLevel="0" collapsed="false">
      <c r="A317" s="119" t="s">
        <v>281</v>
      </c>
      <c r="B317" s="120" t="str">
        <v>CALCULUS WITH SEVERAL VARIABLES</v>
      </c>
      <c r="C317" s="124" t="str">
        <v>Eghan Rhydal Esi</v>
      </c>
      <c r="D317" s="119" t="s">
        <v>40</v>
      </c>
      <c r="E317" s="125" t="n">
        <v>82</v>
      </c>
      <c r="F317" s="130"/>
      <c r="G317" s="122" t="n">
        <f aca="false">E317*1.1</f>
        <v>90.2</v>
      </c>
      <c r="H317" s="123"/>
      <c r="I317" s="106" t="str">
        <f aca="false">CONCATENATE(A317,",",D317)</f>
        <v>MATH 252,ED2-AUTO</v>
      </c>
      <c r="J317" s="107"/>
    </row>
    <row r="318" s="176" customFormat="true" ht="14.9" hidden="false" customHeight="false" outlineLevel="0" collapsed="false">
      <c r="A318" s="119" t="s">
        <v>281</v>
      </c>
      <c r="B318" s="124" t="str">
        <v>CALCULUS WITH SEVERAL VARIABLES</v>
      </c>
      <c r="C318" s="120" t="str">
        <v>Reindorf Nartey Borkor</v>
      </c>
      <c r="D318" s="119" t="s">
        <v>56</v>
      </c>
      <c r="E318" s="125" t="n">
        <v>250</v>
      </c>
      <c r="F318" s="130"/>
      <c r="G318" s="122" t="n">
        <f aca="false">E318*1.1</f>
        <v>275</v>
      </c>
      <c r="H318" s="123"/>
      <c r="I318" s="174" t="str">
        <f aca="false">CONCATENATE(A318,",",D318)</f>
        <v>MATH 252,ED2-CE</v>
      </c>
      <c r="J318" s="175"/>
    </row>
    <row r="319" s="108" customFormat="true" ht="14.9" hidden="false" customHeight="false" outlineLevel="0" collapsed="false">
      <c r="A319" s="119" t="s">
        <v>281</v>
      </c>
      <c r="B319" s="120" t="str">
        <v>CALCULUS OF SEVERAL VARIABLES</v>
      </c>
      <c r="C319" s="124" t="str">
        <v>Eghan Rhydal Esi</v>
      </c>
      <c r="D319" s="119" t="s">
        <v>14</v>
      </c>
      <c r="E319" s="125" t="n">
        <v>65</v>
      </c>
      <c r="F319" s="130"/>
      <c r="G319" s="122" t="n">
        <f aca="false">E319*1.1</f>
        <v>71.5</v>
      </c>
      <c r="H319" s="123"/>
      <c r="I319" s="106" t="str">
        <f aca="false">CONCATENATE(A319,",",D319)</f>
        <v>MATH 252,ED2-PCE</v>
      </c>
      <c r="J319" s="107"/>
    </row>
    <row r="320" s="108" customFormat="true" ht="14.9" hidden="false" customHeight="false" outlineLevel="0" collapsed="false">
      <c r="A320" s="119" t="s">
        <v>281</v>
      </c>
      <c r="B320" s="120" t="str">
        <v>CALCULUS OF SEVERAL VARIABLES</v>
      </c>
      <c r="C320" s="124" t="str">
        <v>Eghan Rhydal Esi</v>
      </c>
      <c r="D320" s="119" t="s">
        <v>93</v>
      </c>
      <c r="E320" s="125" t="n">
        <v>95</v>
      </c>
      <c r="F320" s="130"/>
      <c r="G320" s="122" t="n">
        <f aca="false">E320*1.1</f>
        <v>104.5</v>
      </c>
      <c r="H320" s="177"/>
      <c r="I320" s="106" t="str">
        <f aca="false">CONCATENATE(A320,",",D320)</f>
        <v>MATH 252,ED2-PE</v>
      </c>
      <c r="J320" s="107"/>
    </row>
    <row r="321" s="108" customFormat="true" ht="14.9" hidden="false" customHeight="false" outlineLevel="0" collapsed="false">
      <c r="A321" s="119" t="s">
        <v>281</v>
      </c>
      <c r="B321" s="120" t="str">
        <v>CALCULUS WITH SEVERAL VARIABLES</v>
      </c>
      <c r="C321" s="120" t="str">
        <v>Asamoah Joshua Kiddy Kwasi</v>
      </c>
      <c r="D321" s="119" t="s">
        <v>170</v>
      </c>
      <c r="E321" s="125" t="n">
        <v>132</v>
      </c>
      <c r="F321" s="130"/>
      <c r="G321" s="122" t="n">
        <f aca="false">E321*1.1</f>
        <v>145.2</v>
      </c>
      <c r="H321" s="123"/>
      <c r="I321" s="106" t="str">
        <f aca="false">CONCATENATE(A321,",",D321)</f>
        <v>MATH 252,ED2-GEOM</v>
      </c>
      <c r="J321" s="107"/>
    </row>
    <row r="322" s="108" customFormat="true" ht="14.9" hidden="false" customHeight="false" outlineLevel="0" collapsed="false">
      <c r="A322" s="119" t="s">
        <v>281</v>
      </c>
      <c r="B322" s="120" t="str">
        <v>CALCULUS WITH SEVERAL VARIABLES</v>
      </c>
      <c r="C322" s="124" t="str">
        <v>Asamoah Joshua Kiddy Kwasi</v>
      </c>
      <c r="D322" s="119" t="s">
        <v>210</v>
      </c>
      <c r="E322" s="125" t="n">
        <v>83</v>
      </c>
      <c r="F322" s="130"/>
      <c r="G322" s="122" t="n">
        <f aca="false">E322*1.1</f>
        <v>91.3</v>
      </c>
      <c r="H322" s="123"/>
      <c r="I322" s="106" t="str">
        <f aca="false">CONCATENATE(A322,",",D322)</f>
        <v>MATH 252,ED2-MSE</v>
      </c>
      <c r="J322" s="107"/>
    </row>
    <row r="323" s="108" customFormat="true" ht="14.9" hidden="false" customHeight="false" outlineLevel="0" collapsed="false">
      <c r="A323" s="119" t="s">
        <v>281</v>
      </c>
      <c r="B323" s="120" t="str">
        <v>CALCULUS WITH SEVERAL VARIABLES</v>
      </c>
      <c r="C323" s="124" t="str">
        <v>Asamoah Joshua Kiddy Kwasi</v>
      </c>
      <c r="D323" s="119" t="s">
        <v>101</v>
      </c>
      <c r="E323" s="125" t="n">
        <v>57</v>
      </c>
      <c r="F323" s="130"/>
      <c r="G323" s="122" t="n">
        <f aca="false">E323*1.1</f>
        <v>62.7</v>
      </c>
      <c r="H323" s="123"/>
      <c r="I323" s="106" t="str">
        <f aca="false">CONCATENATE(A323,",",D323)</f>
        <v>MATH 252,ED2-METE</v>
      </c>
      <c r="J323" s="107"/>
    </row>
    <row r="324" s="108" customFormat="true" ht="14.9" hidden="false" customHeight="false" outlineLevel="0" collapsed="false">
      <c r="A324" s="119" t="s">
        <v>281</v>
      </c>
      <c r="B324" s="120" t="str">
        <v>CALCULUS WITH SEVERAL VARIABLES</v>
      </c>
      <c r="C324" s="120" t="str">
        <v>Wireko Fredrick Asenso</v>
      </c>
      <c r="D324" s="119" t="s">
        <v>108</v>
      </c>
      <c r="E324" s="125" t="n">
        <v>255</v>
      </c>
      <c r="F324" s="130"/>
      <c r="G324" s="122" t="n">
        <f aca="false">E324*1.1</f>
        <v>280.5</v>
      </c>
      <c r="H324" s="123"/>
      <c r="I324" s="106" t="str">
        <f aca="false">CONCATENATE(A324,",",D324)</f>
        <v>MATH 252,ED2-COE</v>
      </c>
      <c r="J324" s="107"/>
    </row>
    <row r="325" s="108" customFormat="true" ht="14.9" hidden="false" customHeight="false" outlineLevel="0" collapsed="false">
      <c r="A325" s="119" t="s">
        <v>281</v>
      </c>
      <c r="B325" s="120" t="str">
        <v>CALCULUS WITH SEVERAL VARIABLES</v>
      </c>
      <c r="C325" s="120" t="str">
        <v>Wireko Fredrick Asenso</v>
      </c>
      <c r="D325" s="119" t="s">
        <v>55</v>
      </c>
      <c r="E325" s="125" t="n">
        <v>150</v>
      </c>
      <c r="F325" s="130"/>
      <c r="G325" s="122" t="n">
        <f aca="false">E325*1.1</f>
        <v>165</v>
      </c>
      <c r="H325" s="123"/>
      <c r="I325" s="106" t="str">
        <f aca="false">CONCATENATE(A325,",",D325)</f>
        <v>MATH 252,ED2-GEOL</v>
      </c>
      <c r="J325" s="107"/>
    </row>
    <row r="326" s="108" customFormat="true" ht="14.9" hidden="false" customHeight="false" outlineLevel="0" collapsed="false">
      <c r="A326" s="119" t="s">
        <v>281</v>
      </c>
      <c r="B326" s="124" t="str">
        <v>CALCULUS WITH SEVERAL VARIABLES</v>
      </c>
      <c r="C326" s="120" t="str">
        <v>Wireko Fredrick Asenso</v>
      </c>
      <c r="D326" s="119" t="s">
        <v>172</v>
      </c>
      <c r="E326" s="125" t="n">
        <v>175</v>
      </c>
      <c r="F326" s="130"/>
      <c r="G326" s="122" t="n">
        <f aca="false">E326*1.1</f>
        <v>192.5</v>
      </c>
      <c r="H326" s="123"/>
      <c r="I326" s="106" t="str">
        <f aca="false">CONCATENATE(A326,",",D326)</f>
        <v>MATH 252,ED2-TEL</v>
      </c>
      <c r="J326" s="107"/>
    </row>
    <row r="327" s="176" customFormat="true" ht="14.9" hidden="false" customHeight="false" outlineLevel="0" collapsed="false">
      <c r="A327" s="119" t="s">
        <v>281</v>
      </c>
      <c r="B327" s="124" t="str">
        <v>CALCULUS WITH SEVERAL VARIABLES</v>
      </c>
      <c r="C327" s="120" t="str">
        <v>Wireko Fredrick Asenso</v>
      </c>
      <c r="D327" s="119" t="s">
        <v>53</v>
      </c>
      <c r="E327" s="125" t="n">
        <v>155</v>
      </c>
      <c r="F327" s="130"/>
      <c r="G327" s="122" t="n">
        <f aca="false">E327*1.1</f>
        <v>170.5</v>
      </c>
      <c r="H327" s="123"/>
      <c r="I327" s="174" t="str">
        <f aca="false">CONCATENATE(A327,",",D327)</f>
        <v>MATH 252,ED2-AE</v>
      </c>
      <c r="J327" s="175"/>
    </row>
    <row r="328" s="176" customFormat="true" ht="14.9" hidden="false" customHeight="false" outlineLevel="0" collapsed="false">
      <c r="A328" s="119" t="s">
        <v>281</v>
      </c>
      <c r="B328" s="124" t="str">
        <v>CALCULUS WITH SEVERAL VARIABLES</v>
      </c>
      <c r="C328" s="120" t="str">
        <v>Wireko Fredrick Asenso</v>
      </c>
      <c r="D328" s="119" t="s">
        <v>36</v>
      </c>
      <c r="E328" s="125" t="n">
        <v>75</v>
      </c>
      <c r="F328" s="130"/>
      <c r="G328" s="122" t="n">
        <f aca="false">E328*1.1</f>
        <v>82.5</v>
      </c>
      <c r="H328" s="123"/>
      <c r="I328" s="174" t="str">
        <f aca="false">CONCATENATE(A328,",",D328)</f>
        <v>MATH 252,ED2-AERO</v>
      </c>
      <c r="J328" s="175"/>
    </row>
    <row r="329" s="108" customFormat="true" ht="14.9" hidden="false" customHeight="false" outlineLevel="0" collapsed="false">
      <c r="A329" s="119" t="s">
        <v>281</v>
      </c>
      <c r="B329" s="120" t="str">
        <v>CALCULUS WITH SEVERAL VARIABLES</v>
      </c>
      <c r="C329" s="120" t="str">
        <v>Wireko Fredrick Asenso</v>
      </c>
      <c r="D329" s="119" t="s">
        <v>38</v>
      </c>
      <c r="E329" s="125" t="n">
        <v>80</v>
      </c>
      <c r="F329" s="130"/>
      <c r="G329" s="122" t="n">
        <f aca="false">E329*1.1</f>
        <v>88</v>
      </c>
      <c r="H329" s="123"/>
      <c r="I329" s="106" t="str">
        <f aca="false">CONCATENATE(A329,",",D329)</f>
        <v>MATH 252,ED2-IND</v>
      </c>
      <c r="J329" s="107"/>
    </row>
    <row r="330" customFormat="false" ht="14.9" hidden="false" customHeight="false" outlineLevel="0" collapsed="false">
      <c r="A330" s="13" t="s">
        <v>302</v>
      </c>
      <c r="B330" s="11" t="str">
        <v>PHYSICAL CHEMISTRY FOR ENGINEERS</v>
      </c>
      <c r="C330" s="18" t="str">
        <v>Anang Daniel Adjah</v>
      </c>
      <c r="D330" s="13" t="s">
        <v>80</v>
      </c>
      <c r="E330" s="161" t="n">
        <v>120</v>
      </c>
      <c r="F330" s="19" t="s">
        <v>776</v>
      </c>
      <c r="G330" s="105" t="n">
        <f aca="false">E330*1.1</f>
        <v>132</v>
      </c>
      <c r="H330" s="5" t="s">
        <v>777</v>
      </c>
      <c r="I330" s="6" t="str">
        <f aca="false">CONCATENATE(A330,",",D330)</f>
        <v>CHE 156,ED1-CHE</v>
      </c>
      <c r="J330" s="12"/>
    </row>
    <row r="331" customFormat="false" ht="14.9" hidden="false" customHeight="false" outlineLevel="0" collapsed="false">
      <c r="A331" s="13" t="s">
        <v>303</v>
      </c>
      <c r="B331" s="14" t="str">
        <v>FARM POWER AND MACHINERY</v>
      </c>
      <c r="C331" s="18" t="str">
        <v>Aikins Stephen Hill Mends</v>
      </c>
      <c r="D331" s="13" t="s">
        <v>88</v>
      </c>
      <c r="E331" s="104" t="n">
        <v>101</v>
      </c>
      <c r="F331" s="39" t="s">
        <v>571</v>
      </c>
      <c r="G331" s="105" t="n">
        <f aca="false">E331*1.1</f>
        <v>111.1</v>
      </c>
      <c r="H331" s="3" t="s">
        <v>644</v>
      </c>
      <c r="I331" s="6" t="str">
        <f aca="false">CONCATENATE(A331,",",D331)</f>
        <v>AE 356,ED3-AE</v>
      </c>
      <c r="J331" s="12"/>
    </row>
    <row r="332" customFormat="false" ht="14.9" hidden="false" customHeight="false" outlineLevel="0" collapsed="false">
      <c r="A332" s="13" t="s">
        <v>304</v>
      </c>
      <c r="B332" s="18" t="str">
        <v>NAVAL ARCHITECTURE I</v>
      </c>
      <c r="C332" s="18" t="str">
        <v>Kudzedzi Emmanuel Yaw Mawuko</v>
      </c>
      <c r="D332" s="13" t="s">
        <v>86</v>
      </c>
      <c r="E332" s="104" t="n">
        <v>40</v>
      </c>
      <c r="F332" s="19" t="s">
        <v>541</v>
      </c>
      <c r="G332" s="105" t="n">
        <f aca="false">E332*1.1</f>
        <v>44</v>
      </c>
      <c r="H332" s="5" t="n">
        <v>40</v>
      </c>
      <c r="I332" s="6" t="str">
        <f aca="false">CONCATENATE(A332,",",D332)</f>
        <v>MME 382,ED3-MARI</v>
      </c>
      <c r="J332" s="12"/>
    </row>
    <row r="333" s="116" customFormat="true" ht="14.9" hidden="false" customHeight="false" outlineLevel="0" collapsed="false">
      <c r="A333" s="109" t="s">
        <v>305</v>
      </c>
      <c r="B333" s="110" t="str">
        <v>POWER SUPPLY ELECTRONICS</v>
      </c>
      <c r="C333" s="110" t="str">
        <v>Effah Francis Boafo</v>
      </c>
      <c r="D333" s="109" t="s">
        <v>25</v>
      </c>
      <c r="E333" s="111" t="n">
        <v>340</v>
      </c>
      <c r="F333" s="158" t="s">
        <v>954</v>
      </c>
      <c r="G333" s="112" t="n">
        <f aca="false">E333*1.1</f>
        <v>374</v>
      </c>
      <c r="H333" s="113" t="s">
        <v>778</v>
      </c>
      <c r="I333" s="127" t="str">
        <f aca="false">CONCATENATE(A333,",",D333)</f>
        <v>EE 258,ED2-EE</v>
      </c>
      <c r="J333" s="115"/>
    </row>
    <row r="334" customFormat="false" ht="14.9" hidden="false" customHeight="false" outlineLevel="0" collapsed="false">
      <c r="A334" s="13" t="s">
        <v>507</v>
      </c>
      <c r="B334" s="14" t="str">
        <v>DIGITAL SIGNAL PROCESSING</v>
      </c>
      <c r="C334" s="18" t="str">
        <v>Kponyo Jerry John</v>
      </c>
      <c r="D334" s="38" t="s">
        <v>227</v>
      </c>
      <c r="E334" s="104" t="n">
        <v>138</v>
      </c>
      <c r="F334" s="19" t="s">
        <v>779</v>
      </c>
      <c r="G334" s="105" t="n">
        <f aca="false">E334*1.1</f>
        <v>151.8</v>
      </c>
      <c r="H334" s="5" t="s">
        <v>780</v>
      </c>
      <c r="I334" s="29" t="str">
        <f aca="false">CONCATENATE(A334,",",D334)</f>
        <v>TE 454,ED4-TEL</v>
      </c>
      <c r="J334" s="31"/>
      <c r="K334" s="32"/>
      <c r="L334" s="32"/>
      <c r="M334" s="32"/>
    </row>
    <row r="335" customFormat="false" ht="14.9" hidden="false" customHeight="false" outlineLevel="0" collapsed="false">
      <c r="A335" s="13" t="s">
        <v>307</v>
      </c>
      <c r="B335" s="14" t="str">
        <v>DIGITAL SIGNAL PROCESSING</v>
      </c>
      <c r="C335" s="18" t="str">
        <v>Kponyo Jerry John</v>
      </c>
      <c r="D335" s="13" t="s">
        <v>144</v>
      </c>
      <c r="E335" s="104" t="n">
        <v>12</v>
      </c>
      <c r="F335" s="13" t="s">
        <v>781</v>
      </c>
      <c r="G335" s="105" t="n">
        <f aca="false">E335*1.1</f>
        <v>13.2</v>
      </c>
      <c r="H335" s="5" t="n">
        <v>12</v>
      </c>
      <c r="I335" s="6" t="str">
        <f aca="false">CONCATENATE(A335,",",D335)</f>
        <v>EE 472,ED4-EE</v>
      </c>
      <c r="J335" s="12"/>
    </row>
    <row r="336" customFormat="false" ht="14.9" hidden="false" customHeight="false" outlineLevel="0" collapsed="false">
      <c r="A336" s="13" t="s">
        <v>308</v>
      </c>
      <c r="B336" s="14" t="str">
        <v>ENGINEERING PROJECT DESIGN AND MANAGEMENT</v>
      </c>
      <c r="C336" s="14" t="str">
        <v>Agyekum Kwame Agyeman-Prempeh</v>
      </c>
      <c r="D336" s="13" t="s">
        <v>119</v>
      </c>
      <c r="E336" s="104" t="n">
        <v>140</v>
      </c>
      <c r="F336" s="19" t="s">
        <v>782</v>
      </c>
      <c r="G336" s="105" t="n">
        <f aca="false">E336*1.1</f>
        <v>154</v>
      </c>
      <c r="H336" s="5" t="s">
        <v>586</v>
      </c>
      <c r="I336" s="6" t="str">
        <f aca="false">CONCATENATE(A336,",",D336)</f>
        <v>TE 372,ED3-TEL</v>
      </c>
      <c r="J336" s="12"/>
    </row>
    <row r="337" customFormat="false" ht="14.9" hidden="false" customHeight="false" outlineLevel="0" collapsed="false">
      <c r="A337" s="13" t="s">
        <v>310</v>
      </c>
      <c r="B337" s="18" t="str">
        <v>MANUFACTURING TECHNOLOGY</v>
      </c>
      <c r="C337" s="18" t="str">
        <v>Francis Davis</v>
      </c>
      <c r="D337" s="13" t="s">
        <v>61</v>
      </c>
      <c r="E337" s="104" t="n">
        <v>222</v>
      </c>
      <c r="F337" s="19" t="s">
        <v>768</v>
      </c>
      <c r="G337" s="105" t="n">
        <f aca="false">E337*1.1</f>
        <v>244.2</v>
      </c>
      <c r="H337" s="5" t="s">
        <v>783</v>
      </c>
      <c r="I337" s="6" t="str">
        <f aca="false">CONCATENATE(A337,",",D337)</f>
        <v>ME 370,ED3-ME</v>
      </c>
      <c r="J337" s="12"/>
    </row>
    <row r="338" customFormat="false" ht="14.9" hidden="false" customHeight="false" outlineLevel="0" collapsed="false">
      <c r="A338" s="22"/>
      <c r="B338" s="22"/>
      <c r="D338" s="14" t="s">
        <v>311</v>
      </c>
      <c r="E338" s="117" t="n">
        <f aca="false">SUM(E330:E337)</f>
        <v>1113</v>
      </c>
      <c r="F338" s="23"/>
      <c r="G338" s="118"/>
      <c r="I338" s="9" t="s">
        <v>312</v>
      </c>
      <c r="J338" s="12"/>
    </row>
    <row r="339" customFormat="false" ht="14.9" hidden="false" customHeight="false" outlineLevel="0" collapsed="false">
      <c r="A339" s="8" t="s">
        <v>300</v>
      </c>
      <c r="B339" s="8"/>
      <c r="C339" s="8"/>
      <c r="D339" s="8"/>
      <c r="E339" s="8"/>
      <c r="F339" s="8"/>
      <c r="G339" s="8"/>
      <c r="I339" s="9" t="str">
        <f aca="false">A339</f>
        <v>Wednesday, 26 August 2026</v>
      </c>
      <c r="J339" s="12"/>
    </row>
    <row r="340" customFormat="false" ht="14.9" hidden="false" customHeight="false" outlineLevel="0" collapsed="false">
      <c r="A340" s="8" t="s">
        <v>29</v>
      </c>
      <c r="B340" s="8"/>
      <c r="C340" s="8"/>
      <c r="D340" s="8"/>
      <c r="E340" s="8"/>
      <c r="F340" s="8"/>
      <c r="G340" s="8"/>
      <c r="I340" s="9" t="str">
        <f aca="false">A340</f>
        <v>Session, 2 (12:00 PM - 2:00 PM)</v>
      </c>
      <c r="J340" s="12"/>
    </row>
    <row r="341" customFormat="false" ht="14.9" hidden="false" customHeight="false" outlineLevel="0" collapsed="false">
      <c r="A341" s="11" t="s">
        <v>4</v>
      </c>
      <c r="B341" s="11" t="s">
        <v>5</v>
      </c>
      <c r="C341" s="2" t="s">
        <v>6</v>
      </c>
      <c r="D341" s="11" t="s">
        <v>7</v>
      </c>
      <c r="E341" s="102" t="s">
        <v>8</v>
      </c>
      <c r="F341" s="2" t="s">
        <v>9</v>
      </c>
      <c r="G341" s="103" t="s">
        <v>10</v>
      </c>
      <c r="I341" s="9" t="s">
        <v>31</v>
      </c>
      <c r="J341" s="12"/>
    </row>
    <row r="342" customFormat="false" ht="14.9" hidden="false" customHeight="false" outlineLevel="0" collapsed="false">
      <c r="A342" s="13" t="s">
        <v>313</v>
      </c>
      <c r="B342" s="14" t="str">
        <f aca="false" t="array" ref="B342:B350">IFERROR(VLOOKUP(I342:I350,Lectures_1!A2:F534,2,FALSE()),0)</f>
        <v>PROPERTIES OF MATTER</v>
      </c>
      <c r="C342" s="18" t="str">
        <f aca="false" t="array" ref="C342:C350">IFERROR(VLOOKUP(I342:I350,Lectures_1!A2:F534,3,FALSE()),0)</f>
        <v>Reginald Mensah Noye</v>
      </c>
      <c r="D342" s="13" t="s">
        <v>130</v>
      </c>
      <c r="E342" s="104" t="n">
        <f aca="false" t="array" ref="E342:E350">IFERROR(VLOOKUP(I342:I350,Lectures_1!A2:F534,4,FALSE()),0)</f>
        <v>136</v>
      </c>
      <c r="F342" s="19" t="s">
        <v>710</v>
      </c>
      <c r="G342" s="105" t="n">
        <f aca="false">E342*1.1</f>
        <v>149.6</v>
      </c>
      <c r="H342" s="5" t="s">
        <v>784</v>
      </c>
      <c r="I342" s="6" t="str">
        <f aca="false">CONCATENATE(A342,",",D342)</f>
        <v>PHY 154,ED1-BME</v>
      </c>
      <c r="J342" s="12"/>
    </row>
    <row r="343" customFormat="false" ht="14.9" hidden="false" customHeight="false" outlineLevel="0" collapsed="false">
      <c r="A343" s="13" t="s">
        <v>314</v>
      </c>
      <c r="B343" s="14" t="str">
        <v>INTRODUCTION TO INFORMATION TECHNOLOGY</v>
      </c>
      <c r="C343" s="18" t="str">
        <v>Bessah Enoch</v>
      </c>
      <c r="D343" s="13" t="s">
        <v>131</v>
      </c>
      <c r="E343" s="104" t="n">
        <v>128</v>
      </c>
      <c r="F343" s="19" t="s">
        <v>533</v>
      </c>
      <c r="G343" s="105" t="n">
        <f aca="false">E343*1.1</f>
        <v>140.8</v>
      </c>
      <c r="H343" s="5" t="s">
        <v>785</v>
      </c>
      <c r="I343" s="6" t="str">
        <f aca="false">CONCATENATE(A343,",",D343)</f>
        <v>AE 158,ED1-AE</v>
      </c>
      <c r="J343" s="12"/>
    </row>
    <row r="344" customFormat="false" ht="14.9" hidden="false" customHeight="false" outlineLevel="0" collapsed="false">
      <c r="A344" s="13" t="s">
        <v>315</v>
      </c>
      <c r="B344" s="14" t="str">
        <v>NUMERICAL METHODS FOR CHEMICAL ENGINEERS</v>
      </c>
      <c r="C344" s="18" t="str">
        <v>Mensah Mary</v>
      </c>
      <c r="D344" s="13" t="s">
        <v>63</v>
      </c>
      <c r="E344" s="104" t="n">
        <v>53</v>
      </c>
      <c r="F344" s="19" t="s">
        <v>786</v>
      </c>
      <c r="G344" s="105" t="n">
        <f aca="false">E344*1.1</f>
        <v>58.3</v>
      </c>
      <c r="H344" s="5" t="s">
        <v>787</v>
      </c>
      <c r="I344" s="6" t="str">
        <f aca="false">CONCATENATE(A344,",",D344)</f>
        <v>CHE 358,ED3-PCE</v>
      </c>
      <c r="J344" s="12"/>
    </row>
    <row r="345" customFormat="false" ht="14.9" hidden="false" customHeight="false" outlineLevel="0" collapsed="false">
      <c r="A345" s="13" t="s">
        <v>315</v>
      </c>
      <c r="B345" s="14" t="str">
        <v>NUMERICAL METHODS FOR CHEMICAL ENGINEERS</v>
      </c>
      <c r="C345" s="18" t="str">
        <v>Mensah Mary</v>
      </c>
      <c r="D345" s="13" t="s">
        <v>73</v>
      </c>
      <c r="E345" s="104" t="n">
        <v>105</v>
      </c>
      <c r="F345" s="19" t="s">
        <v>603</v>
      </c>
      <c r="G345" s="105" t="n">
        <f aca="false">E345*1.1</f>
        <v>115.5</v>
      </c>
      <c r="H345" s="5" t="s">
        <v>788</v>
      </c>
      <c r="I345" s="6" t="str">
        <f aca="false">CONCATENATE(A345,",",D345)</f>
        <v>CHE 358,ED3-CHE</v>
      </c>
      <c r="J345" s="12"/>
    </row>
    <row r="346" customFormat="false" ht="14.9" hidden="false" customHeight="false" outlineLevel="0" collapsed="false">
      <c r="A346" s="13" t="s">
        <v>317</v>
      </c>
      <c r="B346" s="14" t="str">
        <v>ENVIRONMENTAL GEOLLOGY</v>
      </c>
      <c r="C346" s="14" t="str">
        <v>Foli Gordon</v>
      </c>
      <c r="D346" s="13" t="s">
        <v>177</v>
      </c>
      <c r="E346" s="104" t="n">
        <v>95</v>
      </c>
      <c r="F346" s="19" t="s">
        <v>749</v>
      </c>
      <c r="G346" s="105" t="n">
        <f aca="false">E346*1.1</f>
        <v>104.5</v>
      </c>
      <c r="H346" s="5" t="s">
        <v>789</v>
      </c>
      <c r="I346" s="6" t="str">
        <f aca="false">CONCATENATE(A346,",",D346)</f>
        <v>GED 454,ED4-GEOL</v>
      </c>
      <c r="J346" s="12"/>
    </row>
    <row r="347" s="108" customFormat="true" ht="14.9" hidden="false" customHeight="false" outlineLevel="0" collapsed="false">
      <c r="A347" s="13" t="s">
        <v>259</v>
      </c>
      <c r="B347" s="14" t="str">
        <v>EMBEDDED SYSTEMS</v>
      </c>
      <c r="C347" s="18" t="str">
        <v>Kommey Benjamin</v>
      </c>
      <c r="D347" s="13" t="s">
        <v>16</v>
      </c>
      <c r="E347" s="104" t="n">
        <v>265</v>
      </c>
      <c r="F347" s="19" t="s">
        <v>531</v>
      </c>
      <c r="G347" s="105" t="n">
        <f aca="false">E347*1.1</f>
        <v>291.5</v>
      </c>
      <c r="H347" s="5" t="s">
        <v>790</v>
      </c>
      <c r="I347" s="106" t="str">
        <f aca="false">CONCATENATE(A347,",",D347)</f>
        <v>COE 358,ED3-COE</v>
      </c>
      <c r="J347" s="107"/>
    </row>
    <row r="348" s="108" customFormat="true" ht="14.9" hidden="false" customHeight="false" outlineLevel="0" collapsed="false">
      <c r="A348" s="13" t="s">
        <v>259</v>
      </c>
      <c r="B348" s="14" t="str">
        <v>EMBEDDED SYSTEMS</v>
      </c>
      <c r="C348" s="18" t="str">
        <v>Kommey Benjamin</v>
      </c>
      <c r="D348" s="13" t="s">
        <v>65</v>
      </c>
      <c r="E348" s="104" t="n">
        <v>90</v>
      </c>
      <c r="F348" s="19" t="s">
        <v>791</v>
      </c>
      <c r="G348" s="105" t="n">
        <f aca="false">E348*1.1</f>
        <v>99</v>
      </c>
      <c r="H348" s="5" t="s">
        <v>709</v>
      </c>
      <c r="I348" s="106" t="str">
        <f aca="false">CONCATENATE(A348,",",D348)</f>
        <v>COE 358,ED3-BME</v>
      </c>
      <c r="J348" s="107"/>
    </row>
    <row r="349" customFormat="false" ht="14.9" hidden="false" customHeight="false" outlineLevel="0" collapsed="false">
      <c r="A349" s="13" t="s">
        <v>208</v>
      </c>
      <c r="B349" s="18" t="str">
        <v>PHYSICAL METALLURGY OF FERROUS METALS</v>
      </c>
      <c r="C349" s="18" t="str">
        <v>Kwofie Samuel</v>
      </c>
      <c r="D349" s="13" t="s">
        <v>142</v>
      </c>
      <c r="E349" s="104" t="n">
        <v>87</v>
      </c>
      <c r="F349" s="19" t="s">
        <v>792</v>
      </c>
      <c r="G349" s="105" t="n">
        <f aca="false">E349*1.1</f>
        <v>95.7</v>
      </c>
      <c r="H349" s="41" t="s">
        <v>793</v>
      </c>
      <c r="I349" s="6" t="str">
        <f aca="false">CONCATENATE(A349,",",D349)</f>
        <v>METE 362,ED3-METE</v>
      </c>
      <c r="J349" s="12"/>
    </row>
    <row r="350" customFormat="false" ht="14.9" hidden="false" customHeight="false" outlineLevel="0" collapsed="false">
      <c r="A350" s="13" t="s">
        <v>207</v>
      </c>
      <c r="B350" s="18" t="str">
        <v>PHYSICAL METALLURGY OF FERROUS METALS</v>
      </c>
      <c r="C350" s="14" t="str">
        <v>Kwofie Samuel</v>
      </c>
      <c r="D350" s="13" t="s">
        <v>140</v>
      </c>
      <c r="E350" s="104" t="n">
        <v>85</v>
      </c>
      <c r="F350" s="19" t="s">
        <v>582</v>
      </c>
      <c r="G350" s="105" t="n">
        <f aca="false">E350*1.1</f>
        <v>93.5</v>
      </c>
      <c r="H350" s="5" t="s">
        <v>794</v>
      </c>
      <c r="I350" s="6" t="str">
        <f aca="false">CONCATENATE(A350,",",D350)</f>
        <v>MSE 354,ED3-MSE</v>
      </c>
      <c r="J350" s="12"/>
    </row>
    <row r="351" customFormat="false" ht="14.9" hidden="false" customHeight="false" outlineLevel="0" collapsed="false">
      <c r="A351" s="22"/>
      <c r="B351" s="22"/>
      <c r="D351" s="14" t="s">
        <v>322</v>
      </c>
      <c r="E351" s="117" t="n">
        <f aca="false">SUM(E342:E350)</f>
        <v>1044</v>
      </c>
      <c r="F351" s="23"/>
      <c r="G351" s="118"/>
      <c r="I351" s="9" t="s">
        <v>323</v>
      </c>
      <c r="J351" s="12"/>
    </row>
    <row r="352" customFormat="false" ht="14.9" hidden="false" customHeight="false" outlineLevel="0" collapsed="false">
      <c r="A352" s="22"/>
      <c r="B352" s="22"/>
      <c r="D352" s="22"/>
      <c r="E352" s="117"/>
      <c r="F352" s="23"/>
      <c r="G352" s="118"/>
      <c r="I352" s="9" t="s">
        <v>106</v>
      </c>
      <c r="J352" s="12"/>
    </row>
    <row r="353" customFormat="false" ht="14.9" hidden="false" customHeight="false" outlineLevel="0" collapsed="false">
      <c r="A353" s="22"/>
      <c r="B353" s="22"/>
      <c r="D353" s="22"/>
      <c r="E353" s="117"/>
      <c r="F353" s="23"/>
      <c r="G353" s="118"/>
      <c r="I353" s="9" t="s">
        <v>106</v>
      </c>
      <c r="J353" s="12"/>
    </row>
    <row r="354" customFormat="false" ht="14.9" hidden="false" customHeight="false" outlineLevel="0" collapsed="false">
      <c r="A354" s="8" t="s">
        <v>300</v>
      </c>
      <c r="B354" s="8"/>
      <c r="C354" s="8"/>
      <c r="D354" s="8"/>
      <c r="E354" s="8"/>
      <c r="F354" s="8"/>
      <c r="G354" s="8"/>
      <c r="I354" s="9" t="str">
        <f aca="false">A354</f>
        <v>Wednesday, 26 August 2026</v>
      </c>
      <c r="J354" s="12"/>
    </row>
    <row r="355" customFormat="false" ht="14.9" hidden="false" customHeight="false" outlineLevel="0" collapsed="false">
      <c r="A355" s="8" t="s">
        <v>59</v>
      </c>
      <c r="B355" s="8"/>
      <c r="C355" s="8"/>
      <c r="D355" s="8"/>
      <c r="E355" s="8"/>
      <c r="F355" s="8"/>
      <c r="G355" s="8"/>
      <c r="I355" s="9" t="str">
        <f aca="false">A355</f>
        <v>Session, 3 (3:00 PM - 5:00 PM)</v>
      </c>
      <c r="J355" s="12"/>
    </row>
    <row r="356" customFormat="false" ht="14.9" hidden="false" customHeight="false" outlineLevel="0" collapsed="false">
      <c r="A356" s="11" t="s">
        <v>4</v>
      </c>
      <c r="B356" s="11" t="s">
        <v>5</v>
      </c>
      <c r="C356" s="2" t="s">
        <v>6</v>
      </c>
      <c r="D356" s="11" t="s">
        <v>7</v>
      </c>
      <c r="E356" s="102" t="s">
        <v>8</v>
      </c>
      <c r="F356" s="2" t="s">
        <v>9</v>
      </c>
      <c r="G356" s="103" t="s">
        <v>10</v>
      </c>
      <c r="I356" s="9" t="s">
        <v>31</v>
      </c>
      <c r="J356" s="12"/>
    </row>
    <row r="357" s="45" customFormat="true" ht="14.9" hidden="false" customHeight="false" outlineLevel="0" collapsed="false">
      <c r="A357" s="13" t="s">
        <v>324</v>
      </c>
      <c r="B357" s="18" t="str">
        <f aca="false" t="array" ref="B357:B365">IFERROR(VLOOKUP(I357:I365,Lectures_1!A2:F534,2,FALSE()),0)</f>
        <v>RESERVOIR RECOVERY TECHNIQUES</v>
      </c>
      <c r="C357" s="18" t="str">
        <f aca="false" t="array" ref="C357:C365">IFERROR(VLOOKUP(I357:I365,Lectures_1!A2:F534,3,FALSE()),0)</f>
        <v>Adenutsi Caspar Daniel</v>
      </c>
      <c r="D357" s="13" t="s">
        <v>46</v>
      </c>
      <c r="E357" s="104" t="n">
        <f aca="false" t="array" ref="E357:E365">IFERROR(VLOOKUP(I357:I365,Lectures_1!A2:F534,4,FALSE()),0)</f>
        <v>99</v>
      </c>
      <c r="F357" s="19" t="s">
        <v>795</v>
      </c>
      <c r="G357" s="105" t="n">
        <f aca="false">E357*1.1</f>
        <v>108.9</v>
      </c>
      <c r="H357" s="5" t="s">
        <v>796</v>
      </c>
      <c r="I357" s="43" t="str">
        <f aca="false">CONCATENATE(A357,",",D357)</f>
        <v>PE 450,ED4-PE</v>
      </c>
      <c r="J357" s="44"/>
    </row>
    <row r="358" customFormat="false" ht="14.9" hidden="false" customHeight="false" outlineLevel="0" collapsed="false">
      <c r="A358" s="13" t="s">
        <v>325</v>
      </c>
      <c r="B358" s="18" t="str">
        <v>MAINTENANCE AND REPAIRS OF AGRIC. MACHINERY</v>
      </c>
      <c r="C358" s="14" t="str">
        <v>Bobobee Emmanuel Yaovi Hunnuor</v>
      </c>
      <c r="D358" s="13" t="s">
        <v>50</v>
      </c>
      <c r="E358" s="104" t="n">
        <v>103</v>
      </c>
      <c r="F358" s="19" t="s">
        <v>797</v>
      </c>
      <c r="G358" s="105" t="n">
        <f aca="false">E358*1.1</f>
        <v>113.3</v>
      </c>
      <c r="H358" s="5" t="s">
        <v>798</v>
      </c>
      <c r="I358" s="6" t="str">
        <f aca="false">CONCATENATE(A358,",",D358)</f>
        <v>AE 460,ED4-AE</v>
      </c>
      <c r="J358" s="12"/>
    </row>
    <row r="359" customFormat="false" ht="14.9" hidden="false" customHeight="false" outlineLevel="0" collapsed="false">
      <c r="A359" s="13" t="s">
        <v>327</v>
      </c>
      <c r="B359" s="18" t="str">
        <v>MACHINE SHOP AND FACTORY DESIGN</v>
      </c>
      <c r="C359" s="18" t="str">
        <v>Obeng George Yaw</v>
      </c>
      <c r="D359" s="13" t="s">
        <v>67</v>
      </c>
      <c r="E359" s="104" t="n">
        <v>54</v>
      </c>
      <c r="F359" s="19" t="s">
        <v>574</v>
      </c>
      <c r="G359" s="105" t="n">
        <f aca="false">E359*1.1</f>
        <v>59.4</v>
      </c>
      <c r="H359" s="5" t="s">
        <v>799</v>
      </c>
      <c r="I359" s="6" t="str">
        <f aca="false">CONCATENATE(A359,",",D359)</f>
        <v>ME 472,ED4-ME</v>
      </c>
      <c r="J359" s="12"/>
    </row>
    <row r="360" customFormat="false" ht="14.9" hidden="false" customHeight="false" outlineLevel="0" collapsed="false">
      <c r="A360" s="13" t="s">
        <v>327</v>
      </c>
      <c r="B360" s="18" t="str">
        <v>MACHINE SHOP AND FACTORY DESIGN</v>
      </c>
      <c r="C360" s="18" t="str">
        <v>Obeng George Yaw</v>
      </c>
      <c r="D360" s="13" t="s">
        <v>99</v>
      </c>
      <c r="E360" s="104" t="n">
        <v>52</v>
      </c>
      <c r="F360" s="19" t="s">
        <v>786</v>
      </c>
      <c r="G360" s="105" t="n">
        <f aca="false">E360*1.1</f>
        <v>57.2</v>
      </c>
      <c r="H360" s="5" t="s">
        <v>800</v>
      </c>
      <c r="I360" s="6" t="str">
        <f aca="false">CONCATENATE(A360,",",D360)</f>
        <v>ME 472,ED4-AERO</v>
      </c>
      <c r="J360" s="12"/>
    </row>
    <row r="361" customFormat="false" ht="14.9" hidden="false" customHeight="false" outlineLevel="0" collapsed="false">
      <c r="A361" s="13" t="s">
        <v>328</v>
      </c>
      <c r="B361" s="18" t="str">
        <v>COMPUTER APPLICATIONS IN CIVIL ENGINEERING</v>
      </c>
      <c r="C361" s="14" t="str">
        <v>Ayeh Felix Jojo Fianko</v>
      </c>
      <c r="D361" s="13" t="s">
        <v>103</v>
      </c>
      <c r="E361" s="104" t="n">
        <v>240</v>
      </c>
      <c r="F361" s="19" t="s">
        <v>556</v>
      </c>
      <c r="G361" s="105" t="n">
        <f aca="false">E361*1.1</f>
        <v>264</v>
      </c>
      <c r="H361" s="5" t="s">
        <v>752</v>
      </c>
      <c r="I361" s="6" t="str">
        <f aca="false">CONCATENATE(A361,",",D361)</f>
        <v>CE 452,ED4-CE</v>
      </c>
      <c r="J361" s="12"/>
    </row>
    <row r="362" customFormat="false" ht="14.9" hidden="false" customHeight="false" outlineLevel="0" collapsed="false">
      <c r="A362" s="13" t="s">
        <v>341</v>
      </c>
      <c r="B362" s="14" t="str">
        <v>PROFESSIONAL STUDIES AND DEVELOPMENT</v>
      </c>
      <c r="C362" s="18" t="str">
        <v>Akrofi Emmanuel Offei</v>
      </c>
      <c r="D362" s="13" t="s">
        <v>194</v>
      </c>
      <c r="E362" s="104" t="n">
        <v>93</v>
      </c>
      <c r="F362" s="19" t="s">
        <v>582</v>
      </c>
      <c r="G362" s="105" t="n">
        <f aca="false">E362*1.1</f>
        <v>102.3</v>
      </c>
      <c r="H362" s="5" t="s">
        <v>801</v>
      </c>
      <c r="I362" s="6" t="str">
        <f aca="false">CONCATENATE(A362,",",D362)</f>
        <v>GE 476,ED4-GEOM</v>
      </c>
      <c r="J362" s="12"/>
    </row>
    <row r="363" s="10" customFormat="true" ht="15" hidden="false" customHeight="true" outlineLevel="0" collapsed="false">
      <c r="A363" s="13" t="s">
        <v>320</v>
      </c>
      <c r="B363" s="14" t="str">
        <v>MEDICAL DEVICE REGULATION</v>
      </c>
      <c r="C363" s="14" t="str">
        <v>Acquah Isaac</v>
      </c>
      <c r="D363" s="13" t="s">
        <v>252</v>
      </c>
      <c r="E363" s="104" t="n">
        <v>87</v>
      </c>
      <c r="F363" s="13" t="s">
        <v>792</v>
      </c>
      <c r="G363" s="105" t="n">
        <f aca="false">E363*1.1</f>
        <v>95.7</v>
      </c>
      <c r="H363" s="5" t="s">
        <v>802</v>
      </c>
      <c r="I363" s="6" t="str">
        <f aca="false">CONCATENATE(A363,",",D363)</f>
        <v>BME 454,ED4-BME</v>
      </c>
      <c r="J363" s="12"/>
    </row>
    <row r="364" s="116" customFormat="true" ht="14.9" hidden="false" customHeight="false" outlineLevel="0" collapsed="false">
      <c r="A364" s="109" t="s">
        <v>465</v>
      </c>
      <c r="B364" s="110" t="str">
        <v>DIGITAL COMMUNICATION SYSTEMS</v>
      </c>
      <c r="C364" s="114" t="str">
        <v>Charles Mawutor Adrah</v>
      </c>
      <c r="D364" s="109" t="s">
        <v>71</v>
      </c>
      <c r="E364" s="111" t="n">
        <v>240</v>
      </c>
      <c r="F364" s="158" t="s">
        <v>954</v>
      </c>
      <c r="G364" s="112" t="n">
        <f aca="false">E364*1.1</f>
        <v>264</v>
      </c>
      <c r="H364" s="113" t="s">
        <v>775</v>
      </c>
      <c r="I364" s="127" t="str">
        <f aca="false">CONCATENATE(A364,",",D364)</f>
        <v>TE 386,ED3-EE</v>
      </c>
      <c r="J364" s="115"/>
    </row>
    <row r="365" customFormat="false" ht="14.9" hidden="false" customHeight="false" outlineLevel="0" collapsed="false">
      <c r="A365" s="13" t="s">
        <v>309</v>
      </c>
      <c r="B365" s="14" t="str">
        <v>PRINCIPLES OF GIS</v>
      </c>
      <c r="C365" s="18" t="str">
        <v>Forkuo Eric Kwabena</v>
      </c>
      <c r="D365" s="13" t="s">
        <v>77</v>
      </c>
      <c r="E365" s="104" t="n">
        <v>122</v>
      </c>
      <c r="F365" s="30" t="s">
        <v>803</v>
      </c>
      <c r="G365" s="105" t="n">
        <f aca="false">E365*1.1</f>
        <v>134.2</v>
      </c>
      <c r="H365" s="5" t="s">
        <v>804</v>
      </c>
      <c r="I365" s="29" t="str">
        <f aca="false">CONCATENATE(A365,",",D365)</f>
        <v>GE 362,ED3-GEOM</v>
      </c>
      <c r="J365" s="12"/>
    </row>
    <row r="366" customFormat="false" ht="14.9" hidden="false" customHeight="false" outlineLevel="0" collapsed="false">
      <c r="A366" s="22"/>
      <c r="B366" s="22"/>
      <c r="D366" s="14" t="s">
        <v>331</v>
      </c>
      <c r="E366" s="117" t="n">
        <f aca="false">SUM(E357:E365)</f>
        <v>1090</v>
      </c>
      <c r="F366" s="23"/>
      <c r="G366" s="118"/>
      <c r="I366" s="9" t="s">
        <v>332</v>
      </c>
      <c r="J366" s="12"/>
    </row>
    <row r="367" customFormat="false" ht="14.9" hidden="false" customHeight="false" outlineLevel="0" collapsed="false">
      <c r="A367" s="8" t="s">
        <v>333</v>
      </c>
      <c r="B367" s="8"/>
      <c r="C367" s="8"/>
      <c r="D367" s="8"/>
      <c r="E367" s="8"/>
      <c r="F367" s="8"/>
      <c r="G367" s="8"/>
      <c r="I367" s="9" t="str">
        <f aca="false">A367</f>
        <v>Thursday, 27 August 2025</v>
      </c>
      <c r="J367" s="12"/>
    </row>
    <row r="368" customFormat="false" ht="14.9" hidden="false" customHeight="false" outlineLevel="0" collapsed="false">
      <c r="A368" s="8" t="s">
        <v>2</v>
      </c>
      <c r="B368" s="8"/>
      <c r="C368" s="8"/>
      <c r="D368" s="8"/>
      <c r="E368" s="8"/>
      <c r="F368" s="8"/>
      <c r="G368" s="8"/>
      <c r="I368" s="9" t="str">
        <f aca="false">A368</f>
        <v>Session, 1 (8:30 AM - 10:30 AM)</v>
      </c>
      <c r="J368" s="12"/>
    </row>
    <row r="369" customFormat="false" ht="14.9" hidden="false" customHeight="false" outlineLevel="0" collapsed="false">
      <c r="A369" s="11" t="s">
        <v>4</v>
      </c>
      <c r="B369" s="11" t="s">
        <v>5</v>
      </c>
      <c r="C369" s="2" t="s">
        <v>6</v>
      </c>
      <c r="D369" s="11" t="s">
        <v>7</v>
      </c>
      <c r="E369" s="102" t="s">
        <v>8</v>
      </c>
      <c r="F369" s="2" t="s">
        <v>9</v>
      </c>
      <c r="G369" s="103" t="s">
        <v>10</v>
      </c>
      <c r="I369" s="9" t="s">
        <v>31</v>
      </c>
      <c r="J369" s="12"/>
    </row>
    <row r="370" customFormat="false" ht="14.9" hidden="false" customHeight="false" outlineLevel="0" collapsed="false">
      <c r="A370" s="13" t="s">
        <v>335</v>
      </c>
      <c r="B370" s="14" t="str">
        <f aca="false" t="array" ref="B370:B377">IFERROR(VLOOKUP(I370:I377,Lectures_1!A2:F534,2,FALSE()),0)</f>
        <v>FOUNDATION ENGINEERING</v>
      </c>
      <c r="C370" s="14" t="str">
        <f aca="false" t="array" ref="C370:C377">IFERROR(VLOOKUP(I370:I377,Lectures_1!A2:F534,3,FALSE()),0)</f>
        <v>Amenuvor Andrew Cudzo</v>
      </c>
      <c r="D370" s="13" t="s">
        <v>154</v>
      </c>
      <c r="E370" s="104" t="n">
        <f aca="false" t="array" ref="E370:E377">IFERROR(VLOOKUP(I370:I377,Lectures_1!A2:F534,4,FALSE()),0)</f>
        <v>154</v>
      </c>
      <c r="F370" s="19" t="s">
        <v>805</v>
      </c>
      <c r="G370" s="105" t="n">
        <f aca="false">E370*1.1</f>
        <v>169.4</v>
      </c>
      <c r="H370" s="5" t="s">
        <v>806</v>
      </c>
      <c r="I370" s="6" t="str">
        <f aca="false">CONCATENATE(A370,",",D370)</f>
        <v>GED 370,ED3-GEOL</v>
      </c>
      <c r="J370" s="12"/>
    </row>
    <row r="371" customFormat="false" ht="14.9" hidden="false" customHeight="false" outlineLevel="0" collapsed="false">
      <c r="A371" s="13" t="s">
        <v>336</v>
      </c>
      <c r="B371" s="14" t="str">
        <v>FOUNDATION ENGINEERING</v>
      </c>
      <c r="C371" s="18" t="str">
        <v>Acquaah Vincent Kofi Abaka</v>
      </c>
      <c r="D371" s="13" t="s">
        <v>157</v>
      </c>
      <c r="E371" s="104" t="n">
        <v>230</v>
      </c>
      <c r="F371" s="19" t="s">
        <v>556</v>
      </c>
      <c r="G371" s="105" t="n">
        <f aca="false">E371*1.1</f>
        <v>253</v>
      </c>
      <c r="H371" s="5" t="s">
        <v>807</v>
      </c>
      <c r="I371" s="6" t="str">
        <f aca="false">CONCATENATE(A371,",",D371)</f>
        <v>CE 360,ED3-CE</v>
      </c>
      <c r="J371" s="12"/>
    </row>
    <row r="372" customFormat="false" ht="14.9" hidden="false" customHeight="false" outlineLevel="0" collapsed="false">
      <c r="A372" s="13" t="s">
        <v>337</v>
      </c>
      <c r="B372" s="14" t="str">
        <v>MANUFACTURING TECHNOLOGY</v>
      </c>
      <c r="C372" s="18" t="str">
        <v>Boahen Samuel</v>
      </c>
      <c r="D372" s="13" t="s">
        <v>38</v>
      </c>
      <c r="E372" s="104" t="n">
        <v>80</v>
      </c>
      <c r="F372" s="19" t="s">
        <v>574</v>
      </c>
      <c r="G372" s="105" t="n">
        <f aca="false">E372*1.1</f>
        <v>88</v>
      </c>
      <c r="H372" s="5" t="s">
        <v>661</v>
      </c>
      <c r="I372" s="6" t="str">
        <f aca="false">CONCATENATE(A372,",",D372)</f>
        <v>ME 270,ED2-IND</v>
      </c>
      <c r="J372" s="12"/>
    </row>
    <row r="373" customFormat="false" ht="14.9" hidden="false" customHeight="false" outlineLevel="0" collapsed="false">
      <c r="A373" s="13" t="s">
        <v>337</v>
      </c>
      <c r="B373" s="18" t="str">
        <v>MANUFACTURING TECHNOLOGY</v>
      </c>
      <c r="C373" s="18" t="str">
        <v>Boahen Samuel</v>
      </c>
      <c r="D373" s="13" t="s">
        <v>42</v>
      </c>
      <c r="E373" s="104" t="n">
        <v>37</v>
      </c>
      <c r="F373" s="19" t="s">
        <v>808</v>
      </c>
      <c r="G373" s="105" t="n">
        <f aca="false">E373*1.1</f>
        <v>40.7</v>
      </c>
      <c r="H373" s="5" t="n">
        <v>37</v>
      </c>
      <c r="I373" s="6" t="str">
        <f aca="false">CONCATENATE(A373,",",D373)</f>
        <v>ME 270,ED2-MARI</v>
      </c>
      <c r="J373" s="12"/>
    </row>
    <row r="374" customFormat="false" ht="14.9" hidden="false" customHeight="false" outlineLevel="0" collapsed="false">
      <c r="A374" s="13" t="s">
        <v>337</v>
      </c>
      <c r="B374" s="18" t="str">
        <v>MANUFACTURING TECHNOLOGY</v>
      </c>
      <c r="C374" s="18" t="str">
        <v>Boahen Samuel</v>
      </c>
      <c r="D374" s="13" t="s">
        <v>40</v>
      </c>
      <c r="E374" s="104" t="n">
        <v>82</v>
      </c>
      <c r="F374" s="19" t="s">
        <v>571</v>
      </c>
      <c r="G374" s="105" t="n">
        <f aca="false">E374*1.1</f>
        <v>90.2</v>
      </c>
      <c r="H374" s="5" t="s">
        <v>809</v>
      </c>
      <c r="I374" s="6" t="str">
        <f aca="false">CONCATENATE(A374,",",D374)</f>
        <v>ME 270,ED2-AUTO</v>
      </c>
      <c r="J374" s="12"/>
    </row>
    <row r="375" customFormat="false" ht="14.9" hidden="false" customHeight="false" outlineLevel="0" collapsed="false">
      <c r="A375" s="13" t="s">
        <v>338</v>
      </c>
      <c r="B375" s="14" t="str">
        <v>STRENGTH OF MATERIALS FOR CHEMICAL ENGINEERS</v>
      </c>
      <c r="C375" s="18" t="str">
        <v>Anang Daniel Adjah</v>
      </c>
      <c r="D375" s="13" t="s">
        <v>13</v>
      </c>
      <c r="E375" s="104" t="n">
        <v>160</v>
      </c>
      <c r="F375" s="19" t="s">
        <v>745</v>
      </c>
      <c r="G375" s="105" t="n">
        <f aca="false">E375*1.1</f>
        <v>176</v>
      </c>
      <c r="H375" s="5" t="s">
        <v>810</v>
      </c>
      <c r="I375" s="6" t="str">
        <f aca="false">CONCATENATE(A375,",",D375)</f>
        <v>CHE 250,ED2-CHE</v>
      </c>
      <c r="J375" s="12"/>
    </row>
    <row r="376" s="116" customFormat="true" ht="14.9" hidden="false" customHeight="false" outlineLevel="0" collapsed="false">
      <c r="A376" s="109" t="s">
        <v>329</v>
      </c>
      <c r="B376" s="114" t="str">
        <v>INTRO TO PYTHON &amp; COMPUTER NETWORKING</v>
      </c>
      <c r="C376" s="110" t="str">
        <v>Charles Mawutor Adrah</v>
      </c>
      <c r="D376" s="109" t="s">
        <v>51</v>
      </c>
      <c r="E376" s="111" t="n">
        <v>340</v>
      </c>
      <c r="F376" s="158" t="s">
        <v>954</v>
      </c>
      <c r="G376" s="112" t="n">
        <f aca="false">E376*1.1</f>
        <v>374</v>
      </c>
      <c r="H376" s="113" t="s">
        <v>778</v>
      </c>
      <c r="I376" s="127" t="str">
        <f aca="false">CONCATENATE(A376,",",D376)</f>
        <v>EE 158,ED1-EE</v>
      </c>
      <c r="J376" s="115"/>
    </row>
    <row r="377" customFormat="false" ht="14.9" hidden="false" customHeight="false" outlineLevel="0" collapsed="false">
      <c r="A377" s="13" t="s">
        <v>340</v>
      </c>
      <c r="B377" s="14" t="str">
        <v>ADVANCED MANUFACTURING TECHNOLOGY I</v>
      </c>
      <c r="C377" s="18" t="str">
        <v>Takyi Gabriel</v>
      </c>
      <c r="D377" s="13" t="s">
        <v>121</v>
      </c>
      <c r="E377" s="104" t="n">
        <v>70</v>
      </c>
      <c r="F377" s="19" t="s">
        <v>529</v>
      </c>
      <c r="G377" s="105" t="n">
        <f aca="false">E377*1.1</f>
        <v>77</v>
      </c>
      <c r="H377" s="5" t="s">
        <v>649</v>
      </c>
      <c r="I377" s="6" t="str">
        <f aca="false">CONCATENATE(A377,",",D377)</f>
        <v>IE 366,ED3-IND</v>
      </c>
      <c r="J377" s="12"/>
    </row>
    <row r="378" customFormat="false" ht="14.9" hidden="false" customHeight="false" outlineLevel="0" collapsed="false">
      <c r="A378" s="22"/>
      <c r="B378" s="22"/>
      <c r="D378" s="14" t="s">
        <v>342</v>
      </c>
      <c r="E378" s="117" t="n">
        <f aca="false">SUM(E370:E377)</f>
        <v>1153</v>
      </c>
      <c r="F378" s="23"/>
      <c r="G378" s="118"/>
      <c r="I378" s="9" t="s">
        <v>343</v>
      </c>
      <c r="J378" s="12"/>
    </row>
    <row r="379" customFormat="false" ht="14.9" hidden="false" customHeight="false" outlineLevel="0" collapsed="false">
      <c r="A379" s="8" t="s">
        <v>333</v>
      </c>
      <c r="B379" s="8"/>
      <c r="C379" s="8"/>
      <c r="D379" s="8"/>
      <c r="E379" s="8"/>
      <c r="F379" s="8"/>
      <c r="G379" s="8"/>
      <c r="I379" s="9" t="str">
        <f aca="false">A379</f>
        <v>Thursday, 27 August 2025</v>
      </c>
      <c r="J379" s="12"/>
    </row>
    <row r="380" customFormat="false" ht="14.9" hidden="false" customHeight="false" outlineLevel="0" collapsed="false">
      <c r="A380" s="8" t="s">
        <v>29</v>
      </c>
      <c r="B380" s="8"/>
      <c r="C380" s="8"/>
      <c r="D380" s="8"/>
      <c r="E380" s="8"/>
      <c r="F380" s="8"/>
      <c r="G380" s="8"/>
      <c r="I380" s="9" t="str">
        <f aca="false">A380</f>
        <v>Session, 2 (12:00 PM - 2:00 PM)</v>
      </c>
      <c r="J380" s="12"/>
    </row>
    <row r="381" customFormat="false" ht="14.9" hidden="false" customHeight="false" outlineLevel="0" collapsed="false">
      <c r="A381" s="11" t="s">
        <v>4</v>
      </c>
      <c r="B381" s="11" t="s">
        <v>5</v>
      </c>
      <c r="C381" s="2" t="s">
        <v>6</v>
      </c>
      <c r="D381" s="11" t="s">
        <v>7</v>
      </c>
      <c r="E381" s="102" t="s">
        <v>8</v>
      </c>
      <c r="F381" s="2" t="s">
        <v>9</v>
      </c>
      <c r="G381" s="103" t="s">
        <v>10</v>
      </c>
      <c r="I381" s="9" t="s">
        <v>31</v>
      </c>
      <c r="J381" s="12"/>
    </row>
    <row r="382" customFormat="false" ht="14.9" hidden="false" customHeight="false" outlineLevel="0" collapsed="false">
      <c r="A382" s="13" t="s">
        <v>137</v>
      </c>
      <c r="B382" s="14" t="str">
        <f aca="false" t="array" ref="B382:B393">IFERROR(VLOOKUP(I382:I393,Lectures_1!A2:F534,2,FALSE()),0)</f>
        <v>ELECTRICAL MEASUREMENT AND INSTRUMENTATION</v>
      </c>
      <c r="C382" s="18" t="str">
        <f aca="false" t="array" ref="C382:C393">IFERROR(VLOOKUP(I382:I393,Lectures_1!A2:F534,3,FALSE()),0)</f>
        <v>Obeng Kwakye Kingsford Sarkodie</v>
      </c>
      <c r="D382" s="13" t="s">
        <v>91</v>
      </c>
      <c r="E382" s="104" t="n">
        <f aca="false" t="array" ref="E382:E393">IFERROR(VLOOKUP(I382:I393,Lectures_1!A2:F534,4,FALSE()),0)</f>
        <v>130</v>
      </c>
      <c r="F382" s="19" t="s">
        <v>731</v>
      </c>
      <c r="G382" s="105" t="n">
        <f aca="false">E382*1.1</f>
        <v>143</v>
      </c>
      <c r="H382" s="5" t="s">
        <v>658</v>
      </c>
      <c r="I382" s="29" t="str">
        <f aca="false">CONCATENATE(A382,",",D382)</f>
        <v>EE 188,ED1-TEL</v>
      </c>
      <c r="J382" s="31"/>
      <c r="K382" s="32"/>
      <c r="L382" s="32"/>
      <c r="M382" s="32"/>
    </row>
    <row r="383" customFormat="false" ht="14.9" hidden="false" customHeight="false" outlineLevel="0" collapsed="false">
      <c r="A383" s="13" t="s">
        <v>345</v>
      </c>
      <c r="B383" s="14" t="str">
        <v>ENTREPRENEURSHIP AND BUSINESS DEVELOPMENT</v>
      </c>
      <c r="C383" s="18" t="str">
        <v>Asamoah Boateng Kenneth</v>
      </c>
      <c r="D383" s="13" t="s">
        <v>48</v>
      </c>
      <c r="E383" s="104" t="n">
        <v>114</v>
      </c>
      <c r="F383" s="30" t="s">
        <v>811</v>
      </c>
      <c r="G383" s="105" t="n">
        <f aca="false">E383*1.1</f>
        <v>125.4</v>
      </c>
      <c r="H383" s="5" t="s">
        <v>812</v>
      </c>
      <c r="I383" s="29" t="str">
        <f aca="false">CONCATENATE(A383,",",D383)</f>
        <v>CHE 458,ED4-CHE</v>
      </c>
      <c r="J383" s="31"/>
      <c r="K383" s="32"/>
      <c r="L383" s="32"/>
      <c r="M383" s="32"/>
    </row>
    <row r="384" customFormat="false" ht="14.9" hidden="false" customHeight="false" outlineLevel="0" collapsed="false">
      <c r="A384" s="13" t="s">
        <v>345</v>
      </c>
      <c r="B384" s="14" t="str">
        <v>ENTREPRENEURSHIP AND BUSINESS DEVELOPMENT</v>
      </c>
      <c r="C384" s="18" t="str">
        <v>Asamoah Boateng Kenneth</v>
      </c>
      <c r="D384" s="13" t="s">
        <v>44</v>
      </c>
      <c r="E384" s="104" t="n">
        <v>55</v>
      </c>
      <c r="F384" s="19" t="s">
        <v>545</v>
      </c>
      <c r="G384" s="105" t="n">
        <f aca="false">E384*1.1</f>
        <v>60.5</v>
      </c>
      <c r="H384" s="5" t="n">
        <v>55</v>
      </c>
      <c r="I384" s="29" t="str">
        <f aca="false">CONCATENATE(A384,",",D384)</f>
        <v>CHE 458,ED4-PCE</v>
      </c>
      <c r="J384" s="31"/>
      <c r="K384" s="32"/>
      <c r="L384" s="32"/>
      <c r="M384" s="32"/>
    </row>
    <row r="385" s="108" customFormat="true" ht="14.9" hidden="false" customHeight="false" outlineLevel="0" collapsed="false">
      <c r="A385" s="13" t="s">
        <v>346</v>
      </c>
      <c r="B385" s="18" t="str">
        <v>SYSTEM ENGINEERING II</v>
      </c>
      <c r="C385" s="14" t="str">
        <v>Osei Jack Banahene</v>
      </c>
      <c r="D385" s="13" t="s">
        <v>103</v>
      </c>
      <c r="E385" s="104" t="n">
        <v>115</v>
      </c>
      <c r="F385" s="19" t="s">
        <v>813</v>
      </c>
      <c r="G385" s="105" t="n">
        <f aca="false">E385*1.1</f>
        <v>126.5</v>
      </c>
      <c r="H385" s="5" t="s">
        <v>814</v>
      </c>
      <c r="I385" s="106" t="str">
        <f aca="false">CONCATENATE(A385,",",D385)</f>
        <v>CE 476,ED4-CE</v>
      </c>
      <c r="J385" s="107"/>
    </row>
    <row r="386" customFormat="false" ht="14.9" hidden="false" customHeight="false" outlineLevel="0" collapsed="false">
      <c r="A386" s="13" t="s">
        <v>347</v>
      </c>
      <c r="B386" s="14" t="str">
        <v>HEAT TRANSFER</v>
      </c>
      <c r="C386" s="18" t="str">
        <v>Forson Francis Kofi</v>
      </c>
      <c r="D386" s="13" t="s">
        <v>61</v>
      </c>
      <c r="E386" s="104" t="n">
        <v>222</v>
      </c>
      <c r="F386" s="30" t="s">
        <v>556</v>
      </c>
      <c r="G386" s="105" t="n">
        <f aca="false">E386*1.1</f>
        <v>244.2</v>
      </c>
      <c r="H386" s="5" t="s">
        <v>815</v>
      </c>
      <c r="I386" s="6" t="str">
        <f aca="false">CONCATENATE(A386,",",D386)</f>
        <v>ME 366,ED3-ME</v>
      </c>
      <c r="J386" s="12"/>
    </row>
    <row r="387" customFormat="false" ht="14.9" hidden="false" customHeight="false" outlineLevel="0" collapsed="false">
      <c r="A387" s="13" t="s">
        <v>347</v>
      </c>
      <c r="B387" s="14" t="str">
        <v>HEAT TRANSFER</v>
      </c>
      <c r="C387" s="18" t="str">
        <v>Forson Francis Kofi</v>
      </c>
      <c r="D387" s="13" t="s">
        <v>133</v>
      </c>
      <c r="E387" s="104" t="n">
        <v>76</v>
      </c>
      <c r="F387" s="19" t="s">
        <v>574</v>
      </c>
      <c r="G387" s="105" t="n">
        <f aca="false">E387*1.1</f>
        <v>83.6</v>
      </c>
      <c r="H387" s="5" t="s">
        <v>536</v>
      </c>
      <c r="I387" s="6" t="str">
        <f aca="false">CONCATENATE(A387,",",D387)</f>
        <v>ME 366,ED3-AERO</v>
      </c>
      <c r="J387" s="12"/>
    </row>
    <row r="388" customFormat="false" ht="14.9" hidden="false" customHeight="false" outlineLevel="0" collapsed="false">
      <c r="A388" s="13" t="s">
        <v>347</v>
      </c>
      <c r="B388" s="14" t="str">
        <v>HEAT TRANSFER</v>
      </c>
      <c r="C388" s="18" t="str">
        <v>Forson Francis Kofi</v>
      </c>
      <c r="D388" s="13" t="s">
        <v>88</v>
      </c>
      <c r="E388" s="104" t="n">
        <v>101</v>
      </c>
      <c r="F388" s="30" t="s">
        <v>603</v>
      </c>
      <c r="G388" s="105" t="n">
        <f aca="false">E388*1.1</f>
        <v>111.1</v>
      </c>
      <c r="H388" s="5" t="s">
        <v>644</v>
      </c>
      <c r="I388" s="6" t="str">
        <f aca="false">CONCATENATE(A388,",",D388)</f>
        <v>ME 366,ED3-AE</v>
      </c>
      <c r="J388" s="12"/>
    </row>
    <row r="389" customFormat="false" ht="14.9" hidden="false" customHeight="false" outlineLevel="0" collapsed="false">
      <c r="A389" s="13" t="s">
        <v>347</v>
      </c>
      <c r="B389" s="14" t="str">
        <v>HEAT TRANSFER</v>
      </c>
      <c r="C389" s="18" t="str">
        <v>Forson Francis Kofi</v>
      </c>
      <c r="D389" s="13" t="s">
        <v>86</v>
      </c>
      <c r="E389" s="104" t="n">
        <v>40</v>
      </c>
      <c r="F389" s="19" t="s">
        <v>560</v>
      </c>
      <c r="G389" s="105" t="n">
        <f aca="false">E389*1.1</f>
        <v>44</v>
      </c>
      <c r="H389" s="5" t="n">
        <v>40</v>
      </c>
      <c r="I389" s="6" t="str">
        <f aca="false">CONCATENATE(A389,",",D389)</f>
        <v>ME 366,ED3-MARI</v>
      </c>
      <c r="J389" s="12"/>
    </row>
    <row r="390" s="108" customFormat="true" ht="14.9" hidden="false" customHeight="false" outlineLevel="0" collapsed="false">
      <c r="A390" s="13" t="s">
        <v>348</v>
      </c>
      <c r="B390" s="14" t="str">
        <v>ROBOTICS AND COMPUTER VISION</v>
      </c>
      <c r="C390" s="14" t="str">
        <v>Klogo Griffith Selorm</v>
      </c>
      <c r="D390" s="13" t="s">
        <v>251</v>
      </c>
      <c r="E390" s="104" t="n">
        <v>45</v>
      </c>
      <c r="F390" s="19" t="s">
        <v>541</v>
      </c>
      <c r="G390" s="105" t="n">
        <f aca="false">E390*1.1</f>
        <v>49.5</v>
      </c>
      <c r="H390" s="5" t="n">
        <v>45</v>
      </c>
      <c r="I390" s="106" t="str">
        <f aca="false">CONCATENATE(A390,",",D390)</f>
        <v>COE 458,ED4-COE</v>
      </c>
      <c r="J390" s="107"/>
    </row>
    <row r="391" customFormat="false" ht="14.9" hidden="false" customHeight="false" outlineLevel="0" collapsed="false">
      <c r="A391" s="13" t="s">
        <v>355</v>
      </c>
      <c r="B391" s="18" t="str">
        <v>INTRODUCTORY GEOLOGY</v>
      </c>
      <c r="C391" s="18" t="str">
        <v>Gawu Simon Kafui Yawo</v>
      </c>
      <c r="D391" s="13" t="s">
        <v>114</v>
      </c>
      <c r="E391" s="104" t="n">
        <v>75</v>
      </c>
      <c r="F391" s="19" t="s">
        <v>546</v>
      </c>
      <c r="G391" s="105" t="n">
        <f aca="false">E391*1.1</f>
        <v>82.5</v>
      </c>
      <c r="H391" s="5" t="n">
        <v>75</v>
      </c>
      <c r="I391" s="6" t="str">
        <f aca="false">CONCATENATE(A391,",",D391)</f>
        <v>GED 162,ED1-METE</v>
      </c>
      <c r="J391" s="12"/>
    </row>
    <row r="392" s="116" customFormat="true" ht="14.9" hidden="false" customHeight="false" outlineLevel="0" collapsed="false">
      <c r="A392" s="109" t="s">
        <v>374</v>
      </c>
      <c r="B392" s="114" t="str">
        <v>PETROLEUM BUSINESS: STRUCTURES, LOGISTICS</v>
      </c>
      <c r="C392" s="114" t="str">
        <v>Quaye Jonathan Atuquaye</v>
      </c>
      <c r="D392" s="109" t="s">
        <v>46</v>
      </c>
      <c r="E392" s="111" t="n">
        <v>77</v>
      </c>
      <c r="F392" s="109" t="s">
        <v>956</v>
      </c>
      <c r="G392" s="112" t="n">
        <f aca="false">E392*1.1</f>
        <v>84.7</v>
      </c>
      <c r="H392" s="113" t="n">
        <v>77</v>
      </c>
      <c r="I392" s="127" t="str">
        <f aca="false">CONCATENATE(A392,",",D392)</f>
        <v>PE 468,ED4-PE</v>
      </c>
      <c r="J392" s="115"/>
    </row>
    <row r="393" s="116" customFormat="true" ht="14.9" hidden="false" customHeight="false" outlineLevel="0" collapsed="false">
      <c r="A393" s="109" t="s">
        <v>349</v>
      </c>
      <c r="B393" s="110" t="str">
        <v>OIL &amp; GAS GEOLPHYSICS</v>
      </c>
      <c r="C393" s="114" t="str">
        <v>Quaye Jonathan Atuquaye</v>
      </c>
      <c r="D393" s="109" t="s">
        <v>18</v>
      </c>
      <c r="E393" s="111" t="n">
        <v>80</v>
      </c>
      <c r="F393" s="109" t="s">
        <v>955</v>
      </c>
      <c r="G393" s="112" t="n">
        <f aca="false">E393*1.1</f>
        <v>88</v>
      </c>
      <c r="H393" s="113" t="n">
        <v>80</v>
      </c>
      <c r="I393" s="127" t="str">
        <f aca="false">CONCATENATE(A393,",",D393)</f>
        <v>PE 364,ED3-PE</v>
      </c>
      <c r="J393" s="115"/>
    </row>
    <row r="394" customFormat="false" ht="14.9" hidden="false" customHeight="false" outlineLevel="0" collapsed="false">
      <c r="A394" s="22"/>
      <c r="B394" s="22"/>
      <c r="D394" s="14" t="s">
        <v>350</v>
      </c>
      <c r="E394" s="117" t="n">
        <f aca="false">SUM(E382:E393)</f>
        <v>1130</v>
      </c>
      <c r="F394" s="23"/>
      <c r="G394" s="118"/>
      <c r="I394" s="9" t="s">
        <v>351</v>
      </c>
      <c r="J394" s="12"/>
    </row>
    <row r="395" customFormat="false" ht="14.9" hidden="false" customHeight="false" outlineLevel="0" collapsed="false">
      <c r="A395" s="8" t="s">
        <v>333</v>
      </c>
      <c r="B395" s="8"/>
      <c r="C395" s="8"/>
      <c r="D395" s="8"/>
      <c r="E395" s="8"/>
      <c r="F395" s="8"/>
      <c r="G395" s="8"/>
      <c r="I395" s="9" t="str">
        <f aca="false">A395</f>
        <v>Thursday, 27 August 2025</v>
      </c>
      <c r="J395" s="12"/>
    </row>
    <row r="396" customFormat="false" ht="14.9" hidden="false" customHeight="false" outlineLevel="0" collapsed="false">
      <c r="A396" s="8" t="s">
        <v>59</v>
      </c>
      <c r="B396" s="8"/>
      <c r="C396" s="8"/>
      <c r="D396" s="8"/>
      <c r="E396" s="8"/>
      <c r="F396" s="8"/>
      <c r="G396" s="8"/>
      <c r="I396" s="9" t="str">
        <f aca="false">A396</f>
        <v>Session, 3 (3:00 PM - 5:00 PM)</v>
      </c>
      <c r="J396" s="12"/>
    </row>
    <row r="397" customFormat="false" ht="14.9" hidden="false" customHeight="false" outlineLevel="0" collapsed="false">
      <c r="A397" s="11" t="s">
        <v>4</v>
      </c>
      <c r="B397" s="11" t="s">
        <v>5</v>
      </c>
      <c r="C397" s="2" t="s">
        <v>6</v>
      </c>
      <c r="D397" s="11" t="s">
        <v>7</v>
      </c>
      <c r="E397" s="102" t="s">
        <v>8</v>
      </c>
      <c r="F397" s="2" t="s">
        <v>9</v>
      </c>
      <c r="G397" s="103" t="s">
        <v>10</v>
      </c>
      <c r="I397" s="9" t="s">
        <v>31</v>
      </c>
      <c r="J397" s="12"/>
    </row>
    <row r="398" s="116" customFormat="true" ht="14.9" hidden="false" customHeight="false" outlineLevel="0" collapsed="false">
      <c r="A398" s="109" t="s">
        <v>352</v>
      </c>
      <c r="B398" s="110" t="str">
        <f aca="false" t="array" ref="B398:B408">IFERROR(VLOOKUP(I398:I408,Lectures_1!A2:F534,2,FALSE()),0)</f>
        <v>MICROPROCESSORS</v>
      </c>
      <c r="C398" s="114" t="str">
        <f aca="false" t="array" ref="C398:C408">IFERROR(VLOOKUP(I398:I408,Lectures_1!A2:F534,3,FALSE()),0)</f>
        <v>Agyemang Justice Owusu</v>
      </c>
      <c r="D398" s="109" t="s">
        <v>172</v>
      </c>
      <c r="E398" s="111" t="n">
        <f aca="false" t="array" ref="E398:E408">IFERROR(VLOOKUP(I398:I408,Lectures_1!A2:F534,4,FALSE()),0)</f>
        <v>175</v>
      </c>
      <c r="F398" s="109" t="s">
        <v>962</v>
      </c>
      <c r="G398" s="112" t="n">
        <f aca="false">E398*1.1</f>
        <v>192.5</v>
      </c>
      <c r="H398" s="113" t="s">
        <v>816</v>
      </c>
      <c r="I398" s="127" t="str">
        <f aca="false">CONCATENATE(A398,",",D398)</f>
        <v>TE 258,ED2-TEL</v>
      </c>
      <c r="J398" s="115"/>
    </row>
    <row r="399" s="116" customFormat="true" ht="14.9" hidden="false" customHeight="false" outlineLevel="0" collapsed="false">
      <c r="A399" s="109" t="s">
        <v>338</v>
      </c>
      <c r="B399" s="110" t="str">
        <v>STRENGTH OF MATERIALS FOR CHEMICAL ENGINEERS</v>
      </c>
      <c r="C399" s="114" t="str">
        <v>Baidoo Martina Francisca</v>
      </c>
      <c r="D399" s="109" t="s">
        <v>14</v>
      </c>
      <c r="E399" s="111" t="n">
        <v>65</v>
      </c>
      <c r="F399" s="109" t="s">
        <v>956</v>
      </c>
      <c r="G399" s="112" t="n">
        <f aca="false">E399*1.1</f>
        <v>71.5</v>
      </c>
      <c r="H399" s="113" t="n">
        <v>65</v>
      </c>
      <c r="I399" s="127" t="str">
        <f aca="false">CONCATENATE(A399,",",D399)</f>
        <v>CHE 250,ED2-PCE</v>
      </c>
      <c r="J399" s="115"/>
    </row>
    <row r="400" s="1" customFormat="true" ht="14.9" hidden="false" customHeight="false" outlineLevel="0" collapsed="false">
      <c r="A400" s="13" t="s">
        <v>353</v>
      </c>
      <c r="B400" s="18" t="str">
        <v>POWER SYSTEMS PLANNING AND OPTIMIZATION</v>
      </c>
      <c r="C400" s="18" t="str">
        <v>Antoh Emmanuel Kwaku</v>
      </c>
      <c r="D400" s="13" t="s">
        <v>144</v>
      </c>
      <c r="E400" s="104" t="n">
        <v>165</v>
      </c>
      <c r="F400" s="19" t="s">
        <v>706</v>
      </c>
      <c r="G400" s="105" t="n">
        <f aca="false">E400*1.1</f>
        <v>181.5</v>
      </c>
      <c r="H400" s="5" t="s">
        <v>817</v>
      </c>
      <c r="I400" s="47" t="str">
        <f aca="false">CONCATENATE(A400,",",D400)</f>
        <v>EE 466,ED4-EE</v>
      </c>
      <c r="J400" s="48"/>
    </row>
    <row r="401" customFormat="false" ht="14.9" hidden="false" customHeight="false" outlineLevel="0" collapsed="false">
      <c r="A401" s="13" t="s">
        <v>354</v>
      </c>
      <c r="B401" s="18" t="str">
        <v>BASIC MINERAL SCIENCE</v>
      </c>
      <c r="C401" s="18" t="str">
        <v>Appiah-Adjei Emmanuel Kwame</v>
      </c>
      <c r="D401" s="13" t="s">
        <v>126</v>
      </c>
      <c r="E401" s="104" t="n">
        <v>125</v>
      </c>
      <c r="F401" s="19" t="s">
        <v>818</v>
      </c>
      <c r="G401" s="105" t="n">
        <f aca="false">E401*1.1</f>
        <v>137.5</v>
      </c>
      <c r="H401" s="5" t="s">
        <v>819</v>
      </c>
      <c r="I401" s="6" t="str">
        <f aca="false">CONCATENATE(A401,",",D401)</f>
        <v>GED 152,ED1-GEOL</v>
      </c>
      <c r="J401" s="12"/>
    </row>
    <row r="402" s="1" customFormat="true" ht="14.9" hidden="false" customHeight="false" outlineLevel="0" collapsed="false">
      <c r="A402" s="13" t="s">
        <v>356</v>
      </c>
      <c r="B402" s="14" t="str">
        <v>AEROSPACE STRUCTURES</v>
      </c>
      <c r="C402" s="18" t="str">
        <v>Agyei Agyemang Anthony</v>
      </c>
      <c r="D402" s="38" t="s">
        <v>36</v>
      </c>
      <c r="E402" s="104" t="n">
        <v>75</v>
      </c>
      <c r="F402" s="19" t="s">
        <v>574</v>
      </c>
      <c r="G402" s="105" t="n">
        <f aca="false">E402*1.1</f>
        <v>82.5</v>
      </c>
      <c r="H402" s="5" t="s">
        <v>820</v>
      </c>
      <c r="I402" s="29" t="str">
        <f aca="false">CONCATENATE(A402,",",D402)</f>
        <v>AERO 256,ED2-AERO</v>
      </c>
      <c r="J402" s="31"/>
      <c r="K402" s="32"/>
      <c r="L402" s="32"/>
      <c r="M402" s="32"/>
    </row>
    <row r="403" s="45" customFormat="true" ht="14.9" hidden="false" customHeight="false" outlineLevel="0" collapsed="false">
      <c r="A403" s="13" t="s">
        <v>383</v>
      </c>
      <c r="B403" s="18" t="str">
        <v>MECHANICS OF MATERIALS</v>
      </c>
      <c r="C403" s="18" t="str">
        <v>Mensah-Darkwa Kwadwo</v>
      </c>
      <c r="D403" s="13" t="s">
        <v>140</v>
      </c>
      <c r="E403" s="104" t="n">
        <v>85</v>
      </c>
      <c r="F403" s="39" t="s">
        <v>791</v>
      </c>
      <c r="G403" s="105" t="n">
        <f aca="false">E403*1.1</f>
        <v>93.5</v>
      </c>
      <c r="H403" s="27" t="s">
        <v>821</v>
      </c>
      <c r="I403" s="43" t="str">
        <f aca="false">CONCATENATE(A403,",",D403)</f>
        <v>MSE 360,ED3-MSE</v>
      </c>
      <c r="J403" s="44"/>
    </row>
    <row r="404" customFormat="false" ht="14.9" hidden="false" customHeight="false" outlineLevel="0" collapsed="false">
      <c r="A404" s="13" t="s">
        <v>366</v>
      </c>
      <c r="B404" s="14" t="str">
        <v>HEAT AND MASS TRANSPORT</v>
      </c>
      <c r="C404" s="18" t="str">
        <v>Agyemang Frank Ofori</v>
      </c>
      <c r="D404" s="13" t="s">
        <v>210</v>
      </c>
      <c r="E404" s="104" t="n">
        <v>83</v>
      </c>
      <c r="F404" s="19" t="s">
        <v>822</v>
      </c>
      <c r="G404" s="105" t="n">
        <f aca="false">E404*1.1</f>
        <v>91.3</v>
      </c>
      <c r="H404" s="5" t="s">
        <v>823</v>
      </c>
      <c r="I404" s="29" t="str">
        <f aca="false">CONCATENATE(A404,",",D404)</f>
        <v>MSE 252,ED2-MSE</v>
      </c>
      <c r="J404" s="12"/>
    </row>
    <row r="405" customFormat="false" ht="14.9" hidden="false" customHeight="false" outlineLevel="0" collapsed="false">
      <c r="A405" s="13" t="s">
        <v>366</v>
      </c>
      <c r="B405" s="14" t="str">
        <v>HEAT AND MASS TRANSPORT</v>
      </c>
      <c r="C405" s="18" t="str">
        <v>Agyemang Frank Ofori</v>
      </c>
      <c r="D405" s="13" t="s">
        <v>101</v>
      </c>
      <c r="E405" s="104" t="n">
        <v>57</v>
      </c>
      <c r="F405" s="19" t="s">
        <v>529</v>
      </c>
      <c r="G405" s="105" t="n">
        <f aca="false">E405*1.1</f>
        <v>62.7</v>
      </c>
      <c r="H405" s="5" t="s">
        <v>824</v>
      </c>
      <c r="I405" s="29" t="str">
        <f aca="false">CONCATENATE(A405,",",D405)</f>
        <v>MSE 252,ED2-METE</v>
      </c>
      <c r="J405" s="12"/>
    </row>
    <row r="406" customFormat="false" ht="14.9" hidden="false" customHeight="false" outlineLevel="0" collapsed="false">
      <c r="A406" s="13" t="s">
        <v>382</v>
      </c>
      <c r="B406" s="14" t="str">
        <v>RENEWABLE ENERGY RESOURCES</v>
      </c>
      <c r="C406" s="18" t="str">
        <v>Baah-Ennumh Emmanuel Kwaku</v>
      </c>
      <c r="D406" s="13" t="s">
        <v>63</v>
      </c>
      <c r="E406" s="104" t="n">
        <v>20</v>
      </c>
      <c r="F406" s="5" t="s">
        <v>716</v>
      </c>
      <c r="G406" s="105" t="n">
        <f aca="false">E406*1.1</f>
        <v>22</v>
      </c>
      <c r="H406" s="5" t="n">
        <v>20</v>
      </c>
      <c r="I406" s="6" t="str">
        <f aca="false">CONCATENATE(A406,",",D406)</f>
        <v>CHE 366,ED3-PCE</v>
      </c>
      <c r="J406" s="12"/>
    </row>
    <row r="407" customFormat="false" ht="14.9" hidden="false" customHeight="false" outlineLevel="0" collapsed="false">
      <c r="A407" s="13" t="s">
        <v>339</v>
      </c>
      <c r="B407" s="14" t="str">
        <v>ANTENNA THEORY AND DESIGN</v>
      </c>
      <c r="C407" s="18" t="str">
        <v>Ellis Sani Mubarak</v>
      </c>
      <c r="D407" s="13" t="s">
        <v>119</v>
      </c>
      <c r="E407" s="104" t="n">
        <v>140</v>
      </c>
      <c r="F407" s="19" t="s">
        <v>706</v>
      </c>
      <c r="G407" s="105" t="n">
        <f aca="false">E407*1.1</f>
        <v>154</v>
      </c>
      <c r="H407" s="5" t="s">
        <v>825</v>
      </c>
      <c r="I407" s="6" t="str">
        <f aca="false">CONCATENATE(A407,",",D407)</f>
        <v>TE 354,ED3-TEL</v>
      </c>
      <c r="J407" s="12"/>
    </row>
    <row r="408" customFormat="false" ht="14.9" hidden="false" customHeight="false" outlineLevel="0" collapsed="false">
      <c r="A408" s="13" t="s">
        <v>359</v>
      </c>
      <c r="B408" s="18" t="str">
        <v>PRINCIPLES OF LAND SURVEYING AND HYDROGRAPHIC SCIENCE</v>
      </c>
      <c r="C408" s="18" t="str">
        <v>Asante Cosmas Yaw</v>
      </c>
      <c r="D408" s="19" t="s">
        <v>93</v>
      </c>
      <c r="E408" s="104" t="n">
        <v>95</v>
      </c>
      <c r="F408" s="19" t="s">
        <v>571</v>
      </c>
      <c r="G408" s="105" t="n">
        <f aca="false">E408*1.1</f>
        <v>104.5</v>
      </c>
      <c r="H408" s="5" t="s">
        <v>826</v>
      </c>
      <c r="I408" s="6" t="str">
        <f aca="false">CONCATENATE(A408,",",D408)</f>
        <v>PE 264,ED2-PE</v>
      </c>
      <c r="J408" s="12"/>
    </row>
    <row r="409" customFormat="false" ht="14.9" hidden="false" customHeight="false" outlineLevel="0" collapsed="false">
      <c r="A409" s="22"/>
      <c r="B409" s="23"/>
      <c r="D409" s="14" t="s">
        <v>360</v>
      </c>
      <c r="E409" s="117" t="n">
        <f aca="false">SUM(E398:E408)</f>
        <v>1085</v>
      </c>
      <c r="F409" s="23"/>
      <c r="G409" s="118"/>
      <c r="I409" s="9" t="s">
        <v>361</v>
      </c>
      <c r="J409" s="12"/>
    </row>
    <row r="410" customFormat="false" ht="14.9" hidden="false" customHeight="false" outlineLevel="0" collapsed="false">
      <c r="A410" s="8" t="s">
        <v>362</v>
      </c>
      <c r="B410" s="8"/>
      <c r="C410" s="8"/>
      <c r="D410" s="8"/>
      <c r="E410" s="8"/>
      <c r="F410" s="8"/>
      <c r="G410" s="8"/>
      <c r="I410" s="9" t="str">
        <f aca="false">A410</f>
        <v>Friday, 28 August 2026</v>
      </c>
      <c r="J410" s="12"/>
    </row>
    <row r="411" customFormat="false" ht="14.9" hidden="false" customHeight="false" outlineLevel="0" collapsed="false">
      <c r="A411" s="8" t="s">
        <v>2</v>
      </c>
      <c r="B411" s="8"/>
      <c r="C411" s="8"/>
      <c r="D411" s="8"/>
      <c r="E411" s="8"/>
      <c r="F411" s="8"/>
      <c r="G411" s="8"/>
      <c r="I411" s="9" t="str">
        <f aca="false">A411</f>
        <v>Session, 1 (8:30 AM - 10:30 AM)</v>
      </c>
      <c r="J411" s="12"/>
    </row>
    <row r="412" customFormat="false" ht="14.9" hidden="false" customHeight="false" outlineLevel="0" collapsed="false">
      <c r="A412" s="11" t="s">
        <v>4</v>
      </c>
      <c r="B412" s="11" t="s">
        <v>5</v>
      </c>
      <c r="C412" s="2" t="s">
        <v>6</v>
      </c>
      <c r="D412" s="11" t="s">
        <v>7</v>
      </c>
      <c r="E412" s="102" t="s">
        <v>8</v>
      </c>
      <c r="F412" s="2" t="s">
        <v>9</v>
      </c>
      <c r="G412" s="103" t="s">
        <v>10</v>
      </c>
      <c r="I412" s="9" t="s">
        <v>31</v>
      </c>
      <c r="J412" s="12"/>
    </row>
    <row r="413" s="108" customFormat="true" ht="14.9" hidden="false" customHeight="false" outlineLevel="0" collapsed="false">
      <c r="A413" s="119" t="s">
        <v>364</v>
      </c>
      <c r="B413" s="120" t="str">
        <f aca="false" t="array" ref="B413:B425">IFERROR(VLOOKUP(I413:I425,Lectures_1!A2:F534,2,FALSE()),0)</f>
        <v>COMMUNICATION SKILLS II</v>
      </c>
      <c r="C413" s="120" t="str">
        <f aca="false" t="array" ref="C413:C425">IFERROR(VLOOKUP(I413:I425,Lectures_1!A2:F534,3,FALSE()),0)</f>
        <v>Yeboah Philomena Ama Okyeso</v>
      </c>
      <c r="D413" s="119" t="s">
        <v>191</v>
      </c>
      <c r="E413" s="125" t="n">
        <f aca="false" t="array" ref="E413:E425">IFERROR(VLOOKUP(I413:I425,Lectures_1!A2:F534,4,FALSE()),0)</f>
        <v>70</v>
      </c>
      <c r="F413" s="130" t="s">
        <v>34</v>
      </c>
      <c r="G413" s="122" t="n">
        <f aca="false">E413*1.1</f>
        <v>77</v>
      </c>
      <c r="H413" s="123"/>
      <c r="I413" s="106" t="str">
        <f aca="false">CONCATENATE(A413,",",D413)</f>
        <v>ENGL 158,ED1-AERO</v>
      </c>
      <c r="J413" s="107"/>
    </row>
    <row r="414" s="108" customFormat="true" ht="14.9" hidden="false" customHeight="false" outlineLevel="0" collapsed="false">
      <c r="A414" s="119" t="s">
        <v>364</v>
      </c>
      <c r="B414" s="120" t="str">
        <v>COMMUNICATION SKILLS II</v>
      </c>
      <c r="C414" s="120" t="str">
        <v>Yeboah Philomena Ama Okyeso</v>
      </c>
      <c r="D414" s="119" t="s">
        <v>131</v>
      </c>
      <c r="E414" s="125" t="n">
        <v>128</v>
      </c>
      <c r="F414" s="130"/>
      <c r="G414" s="122" t="n">
        <f aca="false">E414*1.1</f>
        <v>140.8</v>
      </c>
      <c r="H414" s="123"/>
      <c r="I414" s="106" t="str">
        <f aca="false">CONCATENATE(A414,",",D414)</f>
        <v>ENGL 158,ED1-AE</v>
      </c>
      <c r="J414" s="107"/>
    </row>
    <row r="415" s="108" customFormat="true" ht="14.9" hidden="false" customHeight="false" outlineLevel="0" collapsed="false">
      <c r="A415" s="119" t="s">
        <v>364</v>
      </c>
      <c r="B415" s="120" t="str">
        <v>COMMUNICATION SKILLS II</v>
      </c>
      <c r="C415" s="120" t="str">
        <v>Yeboah Philomena Ama Okyeso</v>
      </c>
      <c r="D415" s="119" t="s">
        <v>130</v>
      </c>
      <c r="E415" s="125" t="n">
        <v>136</v>
      </c>
      <c r="F415" s="130"/>
      <c r="G415" s="122" t="n">
        <f aca="false">E415*1.1</f>
        <v>149.6</v>
      </c>
      <c r="H415" s="123"/>
      <c r="I415" s="106" t="str">
        <f aca="false">CONCATENATE(A415,",",D415)</f>
        <v>ENGL 158,ED1-BME</v>
      </c>
      <c r="J415" s="107"/>
    </row>
    <row r="416" s="108" customFormat="true" ht="14.9" hidden="false" customHeight="false" outlineLevel="0" collapsed="false">
      <c r="A416" s="119" t="s">
        <v>364</v>
      </c>
      <c r="B416" s="120" t="str">
        <v>COMMUNICATION SKILLS II</v>
      </c>
      <c r="C416" s="124" t="str">
        <v>Patricia Gustafson-Asamoah</v>
      </c>
      <c r="D416" s="119" t="s">
        <v>75</v>
      </c>
      <c r="E416" s="125" t="n">
        <v>245</v>
      </c>
      <c r="F416" s="130"/>
      <c r="G416" s="122" t="n">
        <f aca="false">E416*1.1</f>
        <v>269.5</v>
      </c>
      <c r="H416" s="123"/>
      <c r="I416" s="106" t="str">
        <f aca="false">CONCATENATE(A416,",",D416)</f>
        <v>ENGL 158,ED1-CE</v>
      </c>
      <c r="J416" s="107"/>
    </row>
    <row r="417" s="108" customFormat="true" ht="14.9" hidden="false" customHeight="false" outlineLevel="0" collapsed="false">
      <c r="A417" s="119" t="s">
        <v>364</v>
      </c>
      <c r="B417" s="120" t="str">
        <v>COMMUNICATION  SKILLS II</v>
      </c>
      <c r="C417" s="120" t="str">
        <v>Yeboah Philomena Ama Okyeso</v>
      </c>
      <c r="D417" s="119" t="s">
        <v>80</v>
      </c>
      <c r="E417" s="125" t="n">
        <v>120</v>
      </c>
      <c r="F417" s="130"/>
      <c r="G417" s="122" t="n">
        <f aca="false">E417*1.1</f>
        <v>132</v>
      </c>
      <c r="H417" s="123"/>
      <c r="I417" s="106" t="str">
        <f aca="false">CONCATENATE(A417,",",D417)</f>
        <v>ENGL 158,ED1-CHE</v>
      </c>
      <c r="J417" s="107"/>
    </row>
    <row r="418" s="108" customFormat="true" ht="14.9" hidden="false" customHeight="false" outlineLevel="0" collapsed="false">
      <c r="A418" s="119" t="s">
        <v>364</v>
      </c>
      <c r="B418" s="120" t="str">
        <v>COMMUNICATION SKILLS II</v>
      </c>
      <c r="C418" s="120" t="str">
        <v>Bernard Ampong</v>
      </c>
      <c r="D418" s="119" t="s">
        <v>20</v>
      </c>
      <c r="E418" s="125" t="n">
        <v>262</v>
      </c>
      <c r="F418" s="130"/>
      <c r="G418" s="122" t="n">
        <f aca="false">E418*1.1</f>
        <v>288.2</v>
      </c>
      <c r="H418" s="123"/>
      <c r="I418" s="106" t="str">
        <f aca="false">CONCATENATE(A418,",",D418)</f>
        <v>ENGL 158,ED1-COE</v>
      </c>
      <c r="J418" s="107"/>
    </row>
    <row r="419" s="116" customFormat="true" ht="14.9" hidden="false" customHeight="false" outlineLevel="0" collapsed="false">
      <c r="A419" s="109" t="s">
        <v>365</v>
      </c>
      <c r="B419" s="110" t="str">
        <v>AC MACHINES</v>
      </c>
      <c r="C419" s="114" t="str">
        <v>Asigri Peter</v>
      </c>
      <c r="D419" s="109" t="s">
        <v>25</v>
      </c>
      <c r="E419" s="111" t="n">
        <v>340</v>
      </c>
      <c r="F419" s="178" t="s">
        <v>954</v>
      </c>
      <c r="G419" s="112" t="n">
        <f aca="false">E419*1.1</f>
        <v>374</v>
      </c>
      <c r="H419" s="113" t="s">
        <v>778</v>
      </c>
      <c r="I419" s="127" t="str">
        <f aca="false">CONCATENATE(A419,",",D419)</f>
        <v>EE 262,ED2-EE</v>
      </c>
      <c r="J419" s="115"/>
    </row>
    <row r="420" customFormat="false" ht="14.9" hidden="false" customHeight="false" outlineLevel="0" collapsed="false">
      <c r="A420" s="13" t="s">
        <v>367</v>
      </c>
      <c r="B420" s="11" t="str">
        <v>SOIL AND ROCK MECHANICS</v>
      </c>
      <c r="C420" s="18" t="str">
        <v>Frederick Owusu-Nimo</v>
      </c>
      <c r="D420" s="13" t="s">
        <v>56</v>
      </c>
      <c r="E420" s="161" t="n">
        <v>250</v>
      </c>
      <c r="F420" s="19" t="s">
        <v>531</v>
      </c>
      <c r="G420" s="105" t="n">
        <f aca="false">E420*1.1</f>
        <v>275</v>
      </c>
      <c r="H420" s="5" t="s">
        <v>827</v>
      </c>
      <c r="I420" s="6" t="str">
        <f aca="false">CONCATENATE(A420,",",D420)</f>
        <v>CE 260,ED2-CE</v>
      </c>
      <c r="J420" s="12"/>
    </row>
    <row r="421" customFormat="false" ht="14.9" hidden="false" customHeight="false" outlineLevel="0" collapsed="false">
      <c r="A421" s="13" t="s">
        <v>367</v>
      </c>
      <c r="B421" s="11" t="str">
        <v>SOIL AND ROCK MECHANICS</v>
      </c>
      <c r="C421" s="18" t="str">
        <v>Owusu-Nimo Frederick</v>
      </c>
      <c r="D421" s="13" t="s">
        <v>170</v>
      </c>
      <c r="E421" s="161" t="n">
        <v>132</v>
      </c>
      <c r="F421" s="30" t="s">
        <v>731</v>
      </c>
      <c r="G421" s="105" t="n">
        <f aca="false">E421*1.1</f>
        <v>145.2</v>
      </c>
      <c r="H421" s="5" t="s">
        <v>828</v>
      </c>
      <c r="I421" s="6" t="str">
        <f aca="false">CONCATENATE(A421,",",D421)</f>
        <v>CE 260,ED2-GEOM</v>
      </c>
      <c r="J421" s="12"/>
    </row>
    <row r="422" customFormat="false" ht="14.9" hidden="false" customHeight="false" outlineLevel="0" collapsed="false">
      <c r="A422" s="13" t="s">
        <v>368</v>
      </c>
      <c r="B422" s="18" t="str">
        <v>BIOSIGNAL PROCESSES AND ANALYSIS</v>
      </c>
      <c r="C422" s="18" t="str">
        <v>Adjei Prince Ebenezer</v>
      </c>
      <c r="D422" s="13" t="s">
        <v>65</v>
      </c>
      <c r="E422" s="104" t="n">
        <v>90</v>
      </c>
      <c r="F422" s="19" t="s">
        <v>571</v>
      </c>
      <c r="G422" s="105" t="n">
        <f aca="false">E422*1.1</f>
        <v>99</v>
      </c>
      <c r="H422" s="5" t="s">
        <v>709</v>
      </c>
      <c r="I422" s="6" t="str">
        <f aca="false">CONCATENATE(A422,",",D422)</f>
        <v>BME 366,ED3-BME</v>
      </c>
      <c r="J422" s="12"/>
    </row>
    <row r="423" customFormat="false" ht="14.9" hidden="false" customHeight="false" outlineLevel="0" collapsed="false">
      <c r="A423" s="13" t="s">
        <v>369</v>
      </c>
      <c r="B423" s="14" t="str">
        <v>OPTICAL MINERALOGY</v>
      </c>
      <c r="C423" s="18" t="str">
        <v>Wilson Matthew Coffie</v>
      </c>
      <c r="D423" s="13" t="s">
        <v>55</v>
      </c>
      <c r="E423" s="104" t="n">
        <v>150</v>
      </c>
      <c r="F423" s="30" t="s">
        <v>829</v>
      </c>
      <c r="G423" s="105" t="n">
        <f aca="false">E423*1.1</f>
        <v>165</v>
      </c>
      <c r="H423" s="5" t="s">
        <v>830</v>
      </c>
      <c r="I423" s="6" t="str">
        <f aca="false">CONCATENATE(A423,",",D423)</f>
        <v>GED 258,ED2-GEOL</v>
      </c>
      <c r="J423" s="12"/>
    </row>
    <row r="424" customFormat="false" ht="14.9" hidden="false" customHeight="false" outlineLevel="0" collapsed="false">
      <c r="A424" s="13" t="s">
        <v>344</v>
      </c>
      <c r="B424" s="14" t="str">
        <v>THEORY OF MACHINES</v>
      </c>
      <c r="C424" s="18" t="str">
        <v>Adam Faisal Wahib</v>
      </c>
      <c r="D424" s="13" t="s">
        <v>53</v>
      </c>
      <c r="E424" s="104" t="n">
        <v>155</v>
      </c>
      <c r="F424" s="30" t="s">
        <v>831</v>
      </c>
      <c r="G424" s="105" t="n">
        <f aca="false">E424*1.1</f>
        <v>170.5</v>
      </c>
      <c r="H424" s="5" t="s">
        <v>832</v>
      </c>
      <c r="I424" s="6" t="str">
        <f aca="false">CONCATENATE(A424,",",D424)</f>
        <v>ME 262,ED2-AE</v>
      </c>
      <c r="J424" s="12"/>
    </row>
    <row r="425" customFormat="false" ht="14.9" hidden="false" customHeight="false" outlineLevel="0" collapsed="false">
      <c r="A425" s="13" t="s">
        <v>370</v>
      </c>
      <c r="B425" s="14" t="str">
        <v>PACKAGING TECHNOLOGY</v>
      </c>
      <c r="C425" s="18" t="str">
        <v>Baah-Ennumh Emmanuel Kwaku</v>
      </c>
      <c r="D425" s="13" t="s">
        <v>73</v>
      </c>
      <c r="E425" s="104" t="n">
        <v>45</v>
      </c>
      <c r="F425" s="19" t="s">
        <v>539</v>
      </c>
      <c r="G425" s="105" t="n">
        <f aca="false">E425*1.1</f>
        <v>49.5</v>
      </c>
      <c r="H425" s="5" t="s">
        <v>833</v>
      </c>
      <c r="I425" s="6" t="str">
        <f aca="false">CONCATENATE(A425,",",D425)</f>
        <v>CHE 364,ED3-CHE</v>
      </c>
      <c r="J425" s="12"/>
    </row>
    <row r="426" customFormat="false" ht="13.8" hidden="false" customHeight="false" outlineLevel="0" collapsed="false">
      <c r="A426" s="22"/>
      <c r="B426" s="22"/>
      <c r="D426" s="14" t="s">
        <v>371</v>
      </c>
      <c r="E426" s="117" t="n">
        <f aca="false">SUM(E419:E425)</f>
        <v>1162</v>
      </c>
      <c r="F426" s="23"/>
      <c r="G426" s="118"/>
      <c r="I426" s="9"/>
      <c r="J426" s="12"/>
    </row>
    <row r="427" customFormat="false" ht="14.9" hidden="false" customHeight="false" outlineLevel="0" collapsed="false">
      <c r="A427" s="8" t="s">
        <v>362</v>
      </c>
      <c r="B427" s="8"/>
      <c r="C427" s="8"/>
      <c r="D427" s="8"/>
      <c r="E427" s="8"/>
      <c r="F427" s="8"/>
      <c r="G427" s="8"/>
      <c r="I427" s="9" t="str">
        <f aca="false">A427</f>
        <v>Friday, 28 August 2026</v>
      </c>
      <c r="J427" s="12"/>
    </row>
    <row r="428" customFormat="false" ht="14.9" hidden="false" customHeight="false" outlineLevel="0" collapsed="false">
      <c r="A428" s="8" t="s">
        <v>29</v>
      </c>
      <c r="B428" s="8"/>
      <c r="C428" s="8"/>
      <c r="D428" s="8"/>
      <c r="E428" s="8"/>
      <c r="F428" s="8"/>
      <c r="G428" s="8"/>
      <c r="I428" s="9" t="str">
        <f aca="false">A428</f>
        <v>Session, 2 (12:00 PM - 2:00 PM)</v>
      </c>
      <c r="J428" s="12"/>
    </row>
    <row r="429" customFormat="false" ht="14.9" hidden="false" customHeight="false" outlineLevel="0" collapsed="false">
      <c r="A429" s="11" t="s">
        <v>4</v>
      </c>
      <c r="B429" s="11" t="s">
        <v>5</v>
      </c>
      <c r="C429" s="2" t="s">
        <v>6</v>
      </c>
      <c r="D429" s="11" t="s">
        <v>7</v>
      </c>
      <c r="E429" s="102" t="s">
        <v>8</v>
      </c>
      <c r="F429" s="2" t="s">
        <v>9</v>
      </c>
      <c r="G429" s="103" t="s">
        <v>10</v>
      </c>
      <c r="I429" s="9" t="s">
        <v>31</v>
      </c>
      <c r="J429" s="12"/>
    </row>
    <row r="430" s="108" customFormat="true" ht="14.9" hidden="false" customHeight="false" outlineLevel="0" collapsed="false">
      <c r="A430" s="119" t="s">
        <v>364</v>
      </c>
      <c r="B430" s="120" t="str">
        <f aca="false" t="array" ref="B430:B447">IFERROR(VLOOKUP(I430:I447,Lectures_1!A2:F534,2,FALSE()),0)</f>
        <v>COMMUNICATION SKILLS II</v>
      </c>
      <c r="C430" s="120" t="str">
        <f aca="false" t="array" ref="C430:C447">IFERROR(VLOOKUP(I430:I447,Lectures_1!A2:F534,3,FALSE()),0)</f>
        <v>Yeboah Philomena Ama Okyeso</v>
      </c>
      <c r="D430" s="119" t="s">
        <v>81</v>
      </c>
      <c r="E430" s="125" t="n">
        <f aca="false" t="array" ref="E430:E447">IFERROR(VLOOKUP(I430:I447,Lectures_1!A2:F534,4,FALSE()),0)</f>
        <v>56</v>
      </c>
      <c r="F430" s="130" t="s">
        <v>372</v>
      </c>
      <c r="G430" s="122" t="n">
        <f aca="false">E430*1.1</f>
        <v>61.6</v>
      </c>
      <c r="H430" s="123"/>
      <c r="I430" s="106" t="str">
        <f aca="false">CONCATENATE(A430,",",D430)</f>
        <v>ENGL 158,ED1-PCE</v>
      </c>
      <c r="J430" s="107"/>
    </row>
    <row r="431" s="108" customFormat="true" ht="14.9" hidden="false" customHeight="false" outlineLevel="0" collapsed="false">
      <c r="A431" s="119" t="s">
        <v>364</v>
      </c>
      <c r="B431" s="120" t="str">
        <v>COMMUNICATION SKILLS II</v>
      </c>
      <c r="C431" s="120" t="str">
        <v>Sarfo-Adu Kwasi</v>
      </c>
      <c r="D431" s="119" t="s">
        <v>162</v>
      </c>
      <c r="E431" s="125" t="n">
        <v>85</v>
      </c>
      <c r="F431" s="130"/>
      <c r="G431" s="122" t="n">
        <f aca="false">E431*1.1</f>
        <v>93.5</v>
      </c>
      <c r="H431" s="123"/>
      <c r="I431" s="106" t="str">
        <f aca="false">CONCATENATE(A431,",",D431)</f>
        <v>ENGL 158,ED1-AUTO</v>
      </c>
      <c r="J431" s="107"/>
    </row>
    <row r="432" s="108" customFormat="true" ht="14.9" hidden="false" customHeight="false" outlineLevel="0" collapsed="false">
      <c r="A432" s="119" t="s">
        <v>364</v>
      </c>
      <c r="B432" s="120" t="str">
        <v>COMMUNICATION SKILLS II</v>
      </c>
      <c r="C432" s="124" t="str">
        <v>Yeboah Philomena Ama Okyeso</v>
      </c>
      <c r="D432" s="119" t="s">
        <v>51</v>
      </c>
      <c r="E432" s="125" t="n">
        <v>295</v>
      </c>
      <c r="F432" s="130"/>
      <c r="G432" s="122" t="n">
        <f aca="false">E432*1.1</f>
        <v>324.5</v>
      </c>
      <c r="H432" s="123"/>
      <c r="I432" s="106" t="str">
        <f aca="false">CONCATENATE(A432,",",D432)</f>
        <v>ENGL 158,ED1-EE</v>
      </c>
      <c r="J432" s="107"/>
    </row>
    <row r="433" s="108" customFormat="true" ht="14.9" hidden="false" customHeight="false" outlineLevel="0" collapsed="false">
      <c r="A433" s="119" t="s">
        <v>364</v>
      </c>
      <c r="B433" s="120" t="str">
        <v>COMMUNICATION SKILLS II</v>
      </c>
      <c r="C433" s="179" t="str">
        <v>Yeboah Philomena Ama Okyeso</v>
      </c>
      <c r="D433" s="119" t="s">
        <v>111</v>
      </c>
      <c r="E433" s="125" t="n">
        <v>83</v>
      </c>
      <c r="F433" s="130"/>
      <c r="G433" s="122" t="n">
        <f aca="false">E433*1.1</f>
        <v>91.3</v>
      </c>
      <c r="H433" s="123"/>
      <c r="I433" s="106" t="str">
        <f aca="false">CONCATENATE(A433,",",D433)</f>
        <v>ENGL 158,ED1-IND</v>
      </c>
      <c r="J433" s="107"/>
    </row>
    <row r="434" s="108" customFormat="true" ht="14.9" hidden="false" customHeight="false" outlineLevel="0" collapsed="false">
      <c r="A434" s="119" t="s">
        <v>364</v>
      </c>
      <c r="B434" s="120" t="str">
        <v>COMMUNICATION SKILLS II</v>
      </c>
      <c r="C434" s="124" t="str">
        <v>Yeboah Philomena Ama Okyeso</v>
      </c>
      <c r="D434" s="119" t="s">
        <v>126</v>
      </c>
      <c r="E434" s="125" t="n">
        <v>125</v>
      </c>
      <c r="F434" s="130"/>
      <c r="G434" s="122" t="n">
        <f aca="false">E434*1.1</f>
        <v>137.5</v>
      </c>
      <c r="H434" s="123"/>
      <c r="I434" s="106" t="str">
        <f aca="false">CONCATENATE(A434,",",D434)</f>
        <v>ENGL 158,ED1-GEOL</v>
      </c>
      <c r="J434" s="107"/>
    </row>
    <row r="435" s="108" customFormat="true" ht="14.9" hidden="false" customHeight="false" outlineLevel="0" collapsed="false">
      <c r="A435" s="119" t="s">
        <v>364</v>
      </c>
      <c r="B435" s="179" t="str">
        <v>COMMUNICATION SKILLS II</v>
      </c>
      <c r="C435" s="179" t="str">
        <v>Alhassan Yakubu</v>
      </c>
      <c r="D435" s="119" t="s">
        <v>115</v>
      </c>
      <c r="E435" s="180" t="n">
        <v>100</v>
      </c>
      <c r="F435" s="130"/>
      <c r="G435" s="122" t="n">
        <f aca="false">E435*1.1</f>
        <v>110</v>
      </c>
      <c r="H435" s="123"/>
      <c r="I435" s="106" t="str">
        <f aca="false">CONCATENATE(A435,",",D435)</f>
        <v>ENGL 158,ED1-MSE</v>
      </c>
      <c r="J435" s="107"/>
    </row>
    <row r="436" s="108" customFormat="true" ht="14.9" hidden="false" customHeight="false" outlineLevel="0" collapsed="false">
      <c r="A436" s="119" t="s">
        <v>364</v>
      </c>
      <c r="B436" s="179" t="str">
        <v>COMMUNICATION SKILLS II</v>
      </c>
      <c r="C436" s="179" t="str">
        <v>Yeboah Philomena Ama Okyeso</v>
      </c>
      <c r="D436" s="119" t="s">
        <v>95</v>
      </c>
      <c r="E436" s="180" t="n">
        <v>103</v>
      </c>
      <c r="F436" s="130"/>
      <c r="G436" s="122" t="n">
        <f aca="false">E436*1.1</f>
        <v>113.3</v>
      </c>
      <c r="H436" s="123"/>
      <c r="I436" s="106" t="str">
        <f aca="false">CONCATENATE(A436,",",D436)</f>
        <v>ENGL 158,ED1-GEOM</v>
      </c>
      <c r="J436" s="107"/>
    </row>
    <row r="437" customFormat="false" ht="14.9" hidden="false" customHeight="false" outlineLevel="0" collapsed="false">
      <c r="A437" s="13" t="s">
        <v>373</v>
      </c>
      <c r="B437" s="18" t="str">
        <v>MANAGEMENT AND ENTREPRENEURSHIP DEVELOPMENT</v>
      </c>
      <c r="C437" s="18" t="str">
        <v>Aikins Stephen Hill Mends</v>
      </c>
      <c r="D437" s="13" t="s">
        <v>251</v>
      </c>
      <c r="E437" s="104" t="n">
        <v>160</v>
      </c>
      <c r="F437" s="19" t="s">
        <v>617</v>
      </c>
      <c r="G437" s="105" t="n">
        <f aca="false">E437*1.1</f>
        <v>176</v>
      </c>
      <c r="H437" s="5" t="s">
        <v>774</v>
      </c>
      <c r="I437" s="6" t="str">
        <f aca="false">CONCATENATE(A437,",",D437)</f>
        <v>ME 492,ED4-COE</v>
      </c>
      <c r="J437" s="12"/>
    </row>
    <row r="438" customFormat="false" ht="14.9" hidden="false" customHeight="false" outlineLevel="0" collapsed="false">
      <c r="A438" s="13" t="s">
        <v>373</v>
      </c>
      <c r="B438" s="18" t="str">
        <v>ENTREPRENEURSHIP DEVELOPMENT AND MANAGEMENT</v>
      </c>
      <c r="C438" s="18" t="str">
        <v>Mensah Lena Dzifa</v>
      </c>
      <c r="D438" s="13" t="s">
        <v>144</v>
      </c>
      <c r="E438" s="104" t="n">
        <v>205</v>
      </c>
      <c r="F438" s="39" t="s">
        <v>834</v>
      </c>
      <c r="G438" s="105" t="n">
        <f aca="false">E438*1.1</f>
        <v>225.5</v>
      </c>
      <c r="H438" s="5" t="s">
        <v>610</v>
      </c>
      <c r="I438" s="6" t="str">
        <f aca="false">CONCATENATE(A438,",",D438)</f>
        <v>ME 492,ED4-EE</v>
      </c>
      <c r="J438" s="12"/>
    </row>
    <row r="439" customFormat="false" ht="14.9" hidden="false" customHeight="false" outlineLevel="0" collapsed="false">
      <c r="A439" s="13" t="s">
        <v>373</v>
      </c>
      <c r="B439" s="18" t="str">
        <v>ENTREPRENEURSHIP MANAGEMENT </v>
      </c>
      <c r="C439" s="18" t="str">
        <v>Asiedu Charlotte</v>
      </c>
      <c r="D439" s="13" t="s">
        <v>124</v>
      </c>
      <c r="E439" s="104" t="n">
        <v>69</v>
      </c>
      <c r="F439" s="19" t="s">
        <v>545</v>
      </c>
      <c r="G439" s="105" t="n">
        <f aca="false">E439*1.1</f>
        <v>75.9</v>
      </c>
      <c r="H439" s="5" t="n">
        <v>69</v>
      </c>
      <c r="I439" s="6" t="str">
        <f aca="false">CONCATENATE(A439,",",D439)</f>
        <v>ME 492,ED4-IND</v>
      </c>
      <c r="J439" s="12"/>
    </row>
    <row r="440" customFormat="false" ht="14.9" hidden="false" customHeight="false" outlineLevel="0" collapsed="false">
      <c r="A440" s="13" t="s">
        <v>373</v>
      </c>
      <c r="B440" s="18" t="str">
        <v>MANAGEMENT AND ENTREPRENEURSHIP DEVELOPMENT</v>
      </c>
      <c r="C440" s="18" t="str">
        <v>Mensah Lena Dzifa</v>
      </c>
      <c r="D440" s="13" t="s">
        <v>67</v>
      </c>
      <c r="E440" s="104" t="n">
        <v>135</v>
      </c>
      <c r="F440" s="39" t="s">
        <v>835</v>
      </c>
      <c r="G440" s="105" t="n">
        <f aca="false">E440*1.1</f>
        <v>148.5</v>
      </c>
      <c r="H440" s="5" t="s">
        <v>836</v>
      </c>
      <c r="I440" s="6" t="str">
        <f aca="false">CONCATENATE(A440,",",D440)</f>
        <v>ME 492,ED4-ME</v>
      </c>
      <c r="J440" s="12"/>
    </row>
    <row r="441" customFormat="false" ht="14.9" hidden="false" customHeight="false" outlineLevel="0" collapsed="false">
      <c r="A441" s="13" t="s">
        <v>373</v>
      </c>
      <c r="B441" s="18" t="str">
        <v>MANAGEMENT AND ENTREPRENEURSHIP DEVELOPMENT</v>
      </c>
      <c r="C441" s="18" t="str">
        <v>Mensah Lena Dzifa</v>
      </c>
      <c r="D441" s="13" t="s">
        <v>136</v>
      </c>
      <c r="E441" s="104" t="n">
        <v>55</v>
      </c>
      <c r="F441" s="19" t="s">
        <v>837</v>
      </c>
      <c r="G441" s="105" t="n">
        <f aca="false">E441*1.1</f>
        <v>60.5</v>
      </c>
      <c r="H441" s="5" t="s">
        <v>767</v>
      </c>
      <c r="I441" s="6" t="str">
        <f aca="false">CONCATENATE(A441,",",D441)</f>
        <v>ME 492,ED4-METE</v>
      </c>
      <c r="J441" s="12"/>
    </row>
    <row r="442" customFormat="false" ht="14.9" hidden="false" customHeight="false" outlineLevel="0" collapsed="false">
      <c r="A442" s="13" t="s">
        <v>373</v>
      </c>
      <c r="B442" s="18" t="str">
        <v>MANAGEMENT AND ENTREPRENEURSHIP DEVELOPMENT</v>
      </c>
      <c r="C442" s="18" t="str">
        <v>Mensah Lena Dzifa</v>
      </c>
      <c r="D442" s="13" t="s">
        <v>99</v>
      </c>
      <c r="E442" s="104" t="n">
        <v>61</v>
      </c>
      <c r="F442" s="19" t="s">
        <v>624</v>
      </c>
      <c r="G442" s="105" t="n">
        <f aca="false">E442*1.1</f>
        <v>67.1</v>
      </c>
      <c r="H442" s="5" t="s">
        <v>588</v>
      </c>
      <c r="I442" s="6" t="str">
        <f aca="false">CONCATENATE(A442,",",D442)</f>
        <v>ME 492,ED4-AERO</v>
      </c>
      <c r="J442" s="12"/>
    </row>
    <row r="443" customFormat="false" ht="14.9" hidden="false" customHeight="false" outlineLevel="0" collapsed="false">
      <c r="A443" s="13" t="s">
        <v>373</v>
      </c>
      <c r="B443" s="18" t="str">
        <v>MANAGEMENT AND ENTREPRENEURSHIP DEVELOPMENT</v>
      </c>
      <c r="C443" s="18" t="str">
        <v>Mensah Lena Dzifa</v>
      </c>
      <c r="D443" s="13" t="s">
        <v>97</v>
      </c>
      <c r="E443" s="104" t="n">
        <v>32</v>
      </c>
      <c r="F443" s="19" t="s">
        <v>541</v>
      </c>
      <c r="G443" s="105" t="n">
        <f aca="false">E443*1.1</f>
        <v>35.2</v>
      </c>
      <c r="H443" s="5" t="n">
        <v>32</v>
      </c>
      <c r="I443" s="6" t="str">
        <f aca="false">CONCATENATE(A443,",",D443)</f>
        <v>ME 492,ED4-AUTO</v>
      </c>
      <c r="J443" s="12"/>
    </row>
    <row r="444" customFormat="false" ht="14.9" hidden="false" customHeight="false" outlineLevel="0" collapsed="false">
      <c r="A444" s="13" t="s">
        <v>373</v>
      </c>
      <c r="B444" s="18" t="str">
        <v>ENTREPRENEURSHIP DEVELOPMENT</v>
      </c>
      <c r="C444" s="18" t="str">
        <v>Aikins Stephen Hill Mends</v>
      </c>
      <c r="D444" s="13" t="s">
        <v>252</v>
      </c>
      <c r="E444" s="104" t="n">
        <v>87</v>
      </c>
      <c r="F444" s="19" t="s">
        <v>582</v>
      </c>
      <c r="G444" s="105" t="n">
        <f aca="false">E444*1.1</f>
        <v>95.7</v>
      </c>
      <c r="H444" s="5" t="s">
        <v>838</v>
      </c>
      <c r="I444" s="6" t="str">
        <f aca="false">CONCATENATE(A444,",",D444)</f>
        <v>ME 492,ED4-BME</v>
      </c>
      <c r="J444" s="12"/>
    </row>
    <row r="445" customFormat="false" ht="14.9" hidden="false" customHeight="false" outlineLevel="0" collapsed="false">
      <c r="A445" s="13" t="s">
        <v>373</v>
      </c>
      <c r="B445" s="18" t="str">
        <v>MANAGEMENT AND ENTREPRENEURSHIP DEVELOPMENT</v>
      </c>
      <c r="C445" s="18" t="str">
        <v>Aikins Stephen Hill Mends</v>
      </c>
      <c r="D445" s="13" t="s">
        <v>50</v>
      </c>
      <c r="E445" s="104" t="n">
        <v>103</v>
      </c>
      <c r="F445" s="19" t="s">
        <v>571</v>
      </c>
      <c r="G445" s="105" t="n">
        <f aca="false">E445*1.1</f>
        <v>113.3</v>
      </c>
      <c r="H445" s="5" t="s">
        <v>572</v>
      </c>
      <c r="I445" s="6" t="str">
        <f aca="false">CONCATENATE(A445,",",D445)</f>
        <v>ME 492,ED4-AE</v>
      </c>
      <c r="J445" s="12"/>
    </row>
    <row r="446" customFormat="false" ht="14.9" hidden="false" customHeight="false" outlineLevel="0" collapsed="false">
      <c r="A446" s="13" t="s">
        <v>373</v>
      </c>
      <c r="B446" s="18" t="str">
        <v>MANAGEMENT AND ENTREPRENEURSHIP DEVELOPMENT</v>
      </c>
      <c r="C446" s="18" t="str">
        <v>Mensah Lena Dzifa</v>
      </c>
      <c r="D446" s="13" t="s">
        <v>135</v>
      </c>
      <c r="E446" s="104" t="n">
        <v>60</v>
      </c>
      <c r="F446" s="19" t="s">
        <v>546</v>
      </c>
      <c r="G446" s="105" t="n">
        <f aca="false">E446*1.1</f>
        <v>66</v>
      </c>
      <c r="H446" s="5" t="n">
        <v>60</v>
      </c>
      <c r="I446" s="6" t="str">
        <f aca="false">CONCATENATE(A446,",",D446)</f>
        <v>ME 492,ED4-MSE</v>
      </c>
      <c r="J446" s="12"/>
    </row>
    <row r="447" customFormat="false" ht="14.9" hidden="false" customHeight="false" outlineLevel="0" collapsed="false">
      <c r="A447" s="13" t="s">
        <v>373</v>
      </c>
      <c r="B447" s="18" t="str">
        <v>MANAGEMENT AND ENTREPRENEURSHIP DEVELOPMENT</v>
      </c>
      <c r="C447" s="18" t="str">
        <v>Intsiful Araba Kwegyirba</v>
      </c>
      <c r="D447" s="13" t="s">
        <v>227</v>
      </c>
      <c r="E447" s="104" t="n">
        <v>138</v>
      </c>
      <c r="F447" s="19" t="s">
        <v>839</v>
      </c>
      <c r="G447" s="105" t="n">
        <f aca="false">E447*1.1</f>
        <v>151.8</v>
      </c>
      <c r="H447" s="5" t="s">
        <v>840</v>
      </c>
      <c r="I447" s="6" t="str">
        <f aca="false">CONCATENATE(A447,",",D447)</f>
        <v>ME 492,ED4-TEL</v>
      </c>
      <c r="J447" s="12"/>
    </row>
    <row r="448" customFormat="false" ht="14.9" hidden="false" customHeight="false" outlineLevel="0" collapsed="false">
      <c r="A448" s="22"/>
      <c r="B448" s="22"/>
      <c r="D448" s="14" t="s">
        <v>375</v>
      </c>
      <c r="E448" s="117" t="n">
        <f aca="false">SUM(E437:E447)</f>
        <v>1105</v>
      </c>
      <c r="F448" s="23"/>
      <c r="G448" s="118"/>
      <c r="I448" s="9" t="s">
        <v>376</v>
      </c>
      <c r="J448" s="12"/>
    </row>
    <row r="449" customFormat="false" ht="13.8" hidden="false" customHeight="false" outlineLevel="0" collapsed="false">
      <c r="G449" s="181"/>
      <c r="J449" s="42"/>
    </row>
    <row r="450" customFormat="false" ht="13.8" hidden="false" customHeight="false" outlineLevel="0" collapsed="false">
      <c r="G450" s="181"/>
      <c r="J450" s="42"/>
    </row>
    <row r="451" customFormat="false" ht="14.9" hidden="false" customHeight="false" outlineLevel="0" collapsed="false">
      <c r="A451" s="8" t="s">
        <v>362</v>
      </c>
      <c r="B451" s="8"/>
      <c r="C451" s="8"/>
      <c r="D451" s="8"/>
      <c r="E451" s="8"/>
      <c r="F451" s="8"/>
      <c r="G451" s="8"/>
      <c r="I451" s="9" t="str">
        <f aca="false">A451</f>
        <v>Friday, 28 August 2026</v>
      </c>
      <c r="J451" s="12"/>
    </row>
    <row r="452" customFormat="false" ht="14.9" hidden="false" customHeight="false" outlineLevel="0" collapsed="false">
      <c r="A452" s="8" t="s">
        <v>59</v>
      </c>
      <c r="B452" s="8"/>
      <c r="C452" s="8"/>
      <c r="D452" s="8"/>
      <c r="E452" s="8"/>
      <c r="F452" s="8"/>
      <c r="G452" s="8"/>
      <c r="I452" s="9" t="str">
        <f aca="false">A452</f>
        <v>Session, 3 (3:00 PM - 5:00 PM)</v>
      </c>
      <c r="J452" s="12"/>
    </row>
    <row r="453" customFormat="false" ht="14.9" hidden="false" customHeight="false" outlineLevel="0" collapsed="false">
      <c r="A453" s="11" t="s">
        <v>4</v>
      </c>
      <c r="B453" s="11" t="s">
        <v>5</v>
      </c>
      <c r="C453" s="2" t="s">
        <v>6</v>
      </c>
      <c r="D453" s="11" t="s">
        <v>7</v>
      </c>
      <c r="E453" s="102" t="s">
        <v>8</v>
      </c>
      <c r="F453" s="2" t="s">
        <v>9</v>
      </c>
      <c r="G453" s="103" t="s">
        <v>10</v>
      </c>
      <c r="I453" s="9" t="s">
        <v>31</v>
      </c>
      <c r="J453" s="12"/>
    </row>
    <row r="454" s="108" customFormat="true" ht="14.9" hidden="false" customHeight="false" outlineLevel="0" collapsed="false">
      <c r="A454" s="119" t="s">
        <v>364</v>
      </c>
      <c r="B454" s="179" t="str">
        <f aca="false" t="array" ref="B454:B466">IFERROR(VLOOKUP(I454:I466,Lectures_1!A2:F534,2,FALSE()),0)</f>
        <v>COMMUNICATION SKILLS II</v>
      </c>
      <c r="C454" s="179" t="str">
        <f aca="false" t="array" ref="C454:C466">IFERROR(VLOOKUP(I454:I466,Lectures_1!A2:F534,3,FALSE()),0)</f>
        <v>Yeboah Philomena Ama Okyeso</v>
      </c>
      <c r="D454" s="119" t="s">
        <v>112</v>
      </c>
      <c r="E454" s="180" t="n">
        <f aca="false" t="array" ref="E454:E466">IFERROR(VLOOKUP(I454:I466,Lectures_1!A2:F534,4,FALSE()),0)</f>
        <v>46</v>
      </c>
      <c r="F454" s="130" t="s">
        <v>34</v>
      </c>
      <c r="G454" s="122" t="n">
        <f aca="false">E454*1.1</f>
        <v>50.6</v>
      </c>
      <c r="H454" s="123"/>
      <c r="I454" s="106" t="str">
        <f aca="false">CONCATENATE(A454,",",D454)</f>
        <v>ENGL 158,ED1-MARI</v>
      </c>
      <c r="J454" s="107"/>
    </row>
    <row r="455" s="108" customFormat="true" ht="14.9" hidden="false" customHeight="false" outlineLevel="0" collapsed="false">
      <c r="A455" s="119" t="s">
        <v>364</v>
      </c>
      <c r="B455" s="179" t="str">
        <v>COMMUNICATION SKILLS II</v>
      </c>
      <c r="C455" s="179" t="str">
        <v>Yeboah Philomena Ama Okyeso</v>
      </c>
      <c r="D455" s="119" t="s">
        <v>161</v>
      </c>
      <c r="E455" s="180" t="n">
        <v>225</v>
      </c>
      <c r="F455" s="130"/>
      <c r="G455" s="122" t="n">
        <f aca="false">E455*1.1</f>
        <v>247.5</v>
      </c>
      <c r="H455" s="123"/>
      <c r="I455" s="106" t="str">
        <f aca="false">CONCATENATE(A455,",",D455)</f>
        <v>ENGL 158,ED1-ME</v>
      </c>
      <c r="J455" s="107"/>
    </row>
    <row r="456" s="108" customFormat="true" ht="14.9" hidden="false" customHeight="false" outlineLevel="0" collapsed="false">
      <c r="A456" s="119" t="s">
        <v>364</v>
      </c>
      <c r="B456" s="120" t="str">
        <v>COMMUNICATION SKILLS II</v>
      </c>
      <c r="C456" s="179" t="str">
        <v>Alhassan Yakubu</v>
      </c>
      <c r="D456" s="119" t="s">
        <v>82</v>
      </c>
      <c r="E456" s="125" t="n">
        <v>130</v>
      </c>
      <c r="F456" s="130"/>
      <c r="G456" s="122" t="n">
        <f aca="false">E456*1.1</f>
        <v>143</v>
      </c>
      <c r="H456" s="123"/>
      <c r="I456" s="106" t="str">
        <f aca="false">CONCATENATE(A456,",",D456)</f>
        <v>ENGL 158,ED1-PE</v>
      </c>
      <c r="J456" s="107"/>
    </row>
    <row r="457" s="108" customFormat="true" ht="14.9" hidden="false" customHeight="false" outlineLevel="0" collapsed="false">
      <c r="A457" s="119" t="s">
        <v>364</v>
      </c>
      <c r="B457" s="120" t="str">
        <v>COMMUNICATION SKILLS II</v>
      </c>
      <c r="C457" s="179" t="str">
        <v>Alhassan Yakubu</v>
      </c>
      <c r="D457" s="119" t="s">
        <v>91</v>
      </c>
      <c r="E457" s="125" t="n">
        <v>130</v>
      </c>
      <c r="F457" s="130"/>
      <c r="G457" s="122" t="n">
        <f aca="false">E457*1.1</f>
        <v>143</v>
      </c>
      <c r="H457" s="123"/>
      <c r="I457" s="106" t="str">
        <f aca="false">CONCATENATE(A457,",",D457)</f>
        <v>ENGL 158,ED1-TEL</v>
      </c>
      <c r="J457" s="107"/>
    </row>
    <row r="458" s="108" customFormat="true" ht="14.9" hidden="false" customHeight="false" outlineLevel="0" collapsed="false">
      <c r="A458" s="119" t="s">
        <v>364</v>
      </c>
      <c r="B458" s="120" t="str">
        <v>COMMUNICATION SKILLS II</v>
      </c>
      <c r="C458" s="124" t="str">
        <v>Alhassan Yakubu</v>
      </c>
      <c r="D458" s="119" t="s">
        <v>114</v>
      </c>
      <c r="E458" s="125" t="n">
        <v>75</v>
      </c>
      <c r="F458" s="130"/>
      <c r="G458" s="122" t="n">
        <f aca="false">E458*1.1</f>
        <v>82.5</v>
      </c>
      <c r="H458" s="123"/>
      <c r="I458" s="106" t="str">
        <f aca="false">CONCATENATE(A458,",",D458)</f>
        <v>ENGL 158,ED1-METE</v>
      </c>
      <c r="J458" s="107"/>
    </row>
    <row r="459" customFormat="false" ht="14.9" hidden="false" customHeight="false" outlineLevel="0" collapsed="false">
      <c r="A459" s="13" t="s">
        <v>377</v>
      </c>
      <c r="B459" s="14" t="str">
        <v>DIGITAL SYSTEMS DESIGN I</v>
      </c>
      <c r="C459" s="18" t="str">
        <v>Nunoo-Mensah Henry</v>
      </c>
      <c r="D459" s="13" t="s">
        <v>109</v>
      </c>
      <c r="E459" s="104" t="n">
        <v>80</v>
      </c>
      <c r="F459" s="19" t="s">
        <v>529</v>
      </c>
      <c r="G459" s="105" t="n">
        <f aca="false">E459*1.1</f>
        <v>88</v>
      </c>
      <c r="H459" s="5" t="s">
        <v>841</v>
      </c>
      <c r="I459" s="6" t="str">
        <f aca="false">CONCATENATE(A459,",",D459)</f>
        <v>COE 272,ED2-BME</v>
      </c>
      <c r="J459" s="12"/>
    </row>
    <row r="460" customFormat="false" ht="14.9" hidden="false" customHeight="false" outlineLevel="0" collapsed="false">
      <c r="A460" s="13" t="s">
        <v>377</v>
      </c>
      <c r="B460" s="14" t="str">
        <v>DIGITAL SYSTEMS DESIGN I</v>
      </c>
      <c r="C460" s="18" t="str">
        <v>Nunoo-Mensah Henry</v>
      </c>
      <c r="D460" s="13" t="s">
        <v>108</v>
      </c>
      <c r="E460" s="104" t="n">
        <v>255</v>
      </c>
      <c r="F460" s="19" t="s">
        <v>531</v>
      </c>
      <c r="G460" s="105" t="n">
        <f aca="false">E460*1.1</f>
        <v>280.5</v>
      </c>
      <c r="H460" s="5" t="s">
        <v>662</v>
      </c>
      <c r="I460" s="6" t="str">
        <f aca="false">CONCATENATE(A460,",",D460)</f>
        <v>COE 272,ED2-COE</v>
      </c>
      <c r="J460" s="12"/>
    </row>
    <row r="461" customFormat="false" ht="14.9" hidden="false" customHeight="false" outlineLevel="0" collapsed="false">
      <c r="A461" s="13" t="s">
        <v>378</v>
      </c>
      <c r="B461" s="14" t="str">
        <v>HIGHWAY ENGINEERING</v>
      </c>
      <c r="C461" s="14" t="str">
        <v>Tutu Kenneth Adomako</v>
      </c>
      <c r="D461" s="13" t="s">
        <v>157</v>
      </c>
      <c r="E461" s="104" t="n">
        <v>230</v>
      </c>
      <c r="F461" s="19" t="s">
        <v>556</v>
      </c>
      <c r="G461" s="105" t="n">
        <f aca="false">E461*1.1</f>
        <v>253</v>
      </c>
      <c r="H461" s="5" t="s">
        <v>807</v>
      </c>
      <c r="I461" s="6" t="str">
        <f aca="false">CONCATENATE(A461,",",D461)</f>
        <v>CE 368,ED3-CE</v>
      </c>
      <c r="J461" s="12"/>
    </row>
    <row r="462" customFormat="false" ht="14.9" hidden="false" customHeight="false" outlineLevel="0" collapsed="false">
      <c r="A462" s="13" t="s">
        <v>379</v>
      </c>
      <c r="B462" s="18" t="str">
        <v>MINERAL ECONOMICS AND EVALUATION</v>
      </c>
      <c r="C462" s="18" t="str">
        <v>Foli Gordon</v>
      </c>
      <c r="D462" s="13" t="s">
        <v>154</v>
      </c>
      <c r="E462" s="104" t="n">
        <v>154</v>
      </c>
      <c r="F462" s="19" t="s">
        <v>842</v>
      </c>
      <c r="G462" s="105" t="n">
        <f aca="false">E462*1.1</f>
        <v>169.4</v>
      </c>
      <c r="H462" s="5" t="s">
        <v>843</v>
      </c>
      <c r="I462" s="6" t="str">
        <f aca="false">CONCATENATE(A462,",",D462)</f>
        <v>GED 366,ED3-GEOL</v>
      </c>
      <c r="J462" s="12"/>
    </row>
    <row r="463" customFormat="false" ht="14.9" hidden="false" customHeight="false" outlineLevel="0" collapsed="false">
      <c r="A463" s="13" t="s">
        <v>380</v>
      </c>
      <c r="B463" s="11" t="str">
        <v>STRENGTH OF MARINE MATERIALS II</v>
      </c>
      <c r="C463" s="18" t="str">
        <v>Adam Faisal Wahib</v>
      </c>
      <c r="D463" s="19" t="s">
        <v>86</v>
      </c>
      <c r="E463" s="161" t="n">
        <v>40</v>
      </c>
      <c r="F463" s="30" t="s">
        <v>633</v>
      </c>
      <c r="G463" s="105" t="n">
        <f aca="false">E463*1.1</f>
        <v>44</v>
      </c>
      <c r="H463" s="5" t="n">
        <v>40</v>
      </c>
      <c r="I463" s="6" t="str">
        <f aca="false">CONCATENATE(A463,",",D463)</f>
        <v>MME 356,ED3-MARI</v>
      </c>
      <c r="J463" s="12"/>
    </row>
    <row r="464" s="116" customFormat="true" ht="14.9" hidden="false" customHeight="false" outlineLevel="0" collapsed="false">
      <c r="A464" s="109" t="s">
        <v>381</v>
      </c>
      <c r="B464" s="110" t="str">
        <v>HIGH VOLTAGE ENGINEERING</v>
      </c>
      <c r="C464" s="114" t="str">
        <v>Asigri Peter</v>
      </c>
      <c r="D464" s="109" t="s">
        <v>71</v>
      </c>
      <c r="E464" s="111" t="n">
        <v>185</v>
      </c>
      <c r="F464" s="158" t="s">
        <v>962</v>
      </c>
      <c r="G464" s="112" t="n">
        <f aca="false">E464*1.1</f>
        <v>203.5</v>
      </c>
      <c r="H464" s="113" t="s">
        <v>844</v>
      </c>
      <c r="I464" s="127" t="str">
        <f aca="false">CONCATENATE(A464,",",D464)</f>
        <v>EE 360,ED3-EE</v>
      </c>
      <c r="J464" s="115"/>
    </row>
    <row r="465" customFormat="false" ht="14.9" hidden="false" customHeight="false" outlineLevel="0" collapsed="false">
      <c r="A465" s="13" t="s">
        <v>358</v>
      </c>
      <c r="B465" s="14" t="str">
        <v>ECONOMIC GEOLLOGY</v>
      </c>
      <c r="C465" s="18" t="str">
        <v>Mensah Emmanuel</v>
      </c>
      <c r="D465" s="38" t="s">
        <v>177</v>
      </c>
      <c r="E465" s="104" t="n">
        <v>95</v>
      </c>
      <c r="F465" s="19" t="s">
        <v>582</v>
      </c>
      <c r="G465" s="105" t="n">
        <f aca="false">E465*1.1</f>
        <v>104.5</v>
      </c>
      <c r="H465" s="5" t="s">
        <v>698</v>
      </c>
      <c r="I465" s="29" t="str">
        <f aca="false">CONCATENATE(A465,",",D465)</f>
        <v>GED 462,ED4-GEOL</v>
      </c>
      <c r="J465" s="31"/>
      <c r="K465" s="32"/>
      <c r="L465" s="32"/>
      <c r="M465" s="32"/>
    </row>
    <row r="466" customFormat="false" ht="14.9" hidden="false" customHeight="false" outlineLevel="0" collapsed="false">
      <c r="A466" s="13" t="s">
        <v>384</v>
      </c>
      <c r="B466" s="14" t="str">
        <v>WATER RESOURCES ENGINEERING II</v>
      </c>
      <c r="C466" s="18" t="str">
        <v>Anornu Geophrey Kwame</v>
      </c>
      <c r="D466" s="13" t="s">
        <v>103</v>
      </c>
      <c r="E466" s="104" t="n">
        <v>105</v>
      </c>
      <c r="F466" s="19" t="s">
        <v>571</v>
      </c>
      <c r="G466" s="105" t="n">
        <f aca="false">E466*1.1</f>
        <v>115.5</v>
      </c>
      <c r="H466" s="5" t="s">
        <v>788</v>
      </c>
      <c r="I466" s="6" t="str">
        <f aca="false">CONCATENATE(A466,",",D466)</f>
        <v>CE 458,ED4-CE</v>
      </c>
      <c r="J466" s="12"/>
    </row>
    <row r="467" customFormat="false" ht="14.9" hidden="false" customHeight="false" outlineLevel="0" collapsed="false">
      <c r="A467" s="22"/>
      <c r="B467" s="22"/>
      <c r="D467" s="14" t="s">
        <v>385</v>
      </c>
      <c r="E467" s="117" t="n">
        <f aca="false">SUM(E459:E466)</f>
        <v>1144</v>
      </c>
      <c r="F467" s="23"/>
      <c r="G467" s="118"/>
      <c r="I467" s="9" t="s">
        <v>386</v>
      </c>
      <c r="J467" s="12"/>
    </row>
    <row r="468" customFormat="false" ht="14.9" hidden="false" customHeight="false" outlineLevel="0" collapsed="false">
      <c r="A468" s="8" t="s">
        <v>387</v>
      </c>
      <c r="B468" s="8"/>
      <c r="C468" s="8"/>
      <c r="D468" s="8"/>
      <c r="E468" s="8"/>
      <c r="F468" s="8"/>
      <c r="G468" s="8"/>
      <c r="I468" s="9" t="str">
        <f aca="false">A468</f>
        <v>Monday, 31  August 2026</v>
      </c>
      <c r="J468" s="12"/>
    </row>
    <row r="469" customFormat="false" ht="14.9" hidden="false" customHeight="false" outlineLevel="0" collapsed="false">
      <c r="A469" s="8" t="s">
        <v>2</v>
      </c>
      <c r="B469" s="8"/>
      <c r="C469" s="8"/>
      <c r="D469" s="8"/>
      <c r="E469" s="8"/>
      <c r="F469" s="8"/>
      <c r="G469" s="8"/>
      <c r="I469" s="9" t="str">
        <f aca="false">A469</f>
        <v>Session, 1 (8:30 AM - 10:30 AM)</v>
      </c>
      <c r="J469" s="12"/>
    </row>
    <row r="470" customFormat="false" ht="14.9" hidden="false" customHeight="false" outlineLevel="0" collapsed="false">
      <c r="A470" s="11" t="s">
        <v>4</v>
      </c>
      <c r="B470" s="11" t="s">
        <v>5</v>
      </c>
      <c r="C470" s="2" t="s">
        <v>6</v>
      </c>
      <c r="D470" s="11" t="s">
        <v>7</v>
      </c>
      <c r="E470" s="102" t="s">
        <v>8</v>
      </c>
      <c r="F470" s="2" t="s">
        <v>9</v>
      </c>
      <c r="G470" s="103" t="s">
        <v>10</v>
      </c>
      <c r="I470" s="9" t="s">
        <v>31</v>
      </c>
      <c r="J470" s="12"/>
    </row>
    <row r="471" customFormat="false" ht="14.9" hidden="false" customHeight="false" outlineLevel="0" collapsed="false">
      <c r="A471" s="13" t="s">
        <v>389</v>
      </c>
      <c r="B471" s="18" t="str">
        <f aca="false" t="array" ref="B471:B480">IFERROR(VLOOKUP(I471:I480,Lectures_1!A2:F534,2,FALSE()),0)</f>
        <v>STRENGTH OF MATERIALS II</v>
      </c>
      <c r="C471" s="14" t="str">
        <f aca="false" t="array" ref="C471:C480">IFERROR(VLOOKUP(I471:I480,Lectures_1!A2:F534,3,FALSE()),0)</f>
        <v>Tay Godwin Fabiola Kwaku</v>
      </c>
      <c r="D471" s="13" t="s">
        <v>61</v>
      </c>
      <c r="E471" s="104" t="n">
        <f aca="false" t="array" ref="E471:E480">IFERROR(VLOOKUP(I471:I480,Lectures_1!A2:F534,4,FALSE()),0)</f>
        <v>222</v>
      </c>
      <c r="F471" s="19" t="s">
        <v>619</v>
      </c>
      <c r="G471" s="105" t="n">
        <f aca="false">E471*1.1</f>
        <v>244.2</v>
      </c>
      <c r="H471" s="5" t="s">
        <v>845</v>
      </c>
      <c r="I471" s="6" t="str">
        <f aca="false">CONCATENATE(A471,",",D471)</f>
        <v>ME 356,ED3-ME</v>
      </c>
      <c r="J471" s="12"/>
    </row>
    <row r="472" customFormat="false" ht="14.9" hidden="false" customHeight="false" outlineLevel="0" collapsed="false">
      <c r="A472" s="13" t="s">
        <v>390</v>
      </c>
      <c r="B472" s="14" t="str">
        <v>PHYSICAL METALLURGY OF NON-FERROUS METALS</v>
      </c>
      <c r="C472" s="18" t="str">
        <v>Agyemang Frank Ofori</v>
      </c>
      <c r="D472" s="13" t="s">
        <v>142</v>
      </c>
      <c r="E472" s="104" t="n">
        <v>87</v>
      </c>
      <c r="F472" s="19" t="s">
        <v>564</v>
      </c>
      <c r="G472" s="105" t="n">
        <f aca="false">E472*1.1</f>
        <v>95.7</v>
      </c>
      <c r="H472" s="5" t="s">
        <v>846</v>
      </c>
      <c r="I472" s="6" t="str">
        <f aca="false">CONCATENATE(A472,",",D472)</f>
        <v>METE 354,ED3-METE</v>
      </c>
      <c r="J472" s="12"/>
    </row>
    <row r="473" customFormat="false" ht="14.9" hidden="false" customHeight="false" outlineLevel="0" collapsed="false">
      <c r="A473" s="13" t="s">
        <v>391</v>
      </c>
      <c r="B473" s="14" t="str">
        <v>COMPUTER NETWORKING</v>
      </c>
      <c r="C473" s="18" t="str">
        <v>Kwasi Adu-Boahen Opare</v>
      </c>
      <c r="D473" s="13" t="s">
        <v>119</v>
      </c>
      <c r="E473" s="104" t="n">
        <v>140</v>
      </c>
      <c r="F473" s="19" t="s">
        <v>693</v>
      </c>
      <c r="G473" s="105" t="n">
        <f aca="false">E473*1.1</f>
        <v>154</v>
      </c>
      <c r="H473" s="5" t="s">
        <v>847</v>
      </c>
      <c r="I473" s="6" t="str">
        <f aca="false">CONCATENATE(A473,",",D473)</f>
        <v>TE 374,ED3-TEL</v>
      </c>
      <c r="J473" s="12"/>
    </row>
    <row r="474" customFormat="false" ht="18" hidden="false" customHeight="true" outlineLevel="0" collapsed="false">
      <c r="A474" s="13" t="s">
        <v>392</v>
      </c>
      <c r="B474" s="14" t="str">
        <v>BASIC MECHANICS</v>
      </c>
      <c r="C474" s="18" t="str">
        <v>Oppong David Kofi</v>
      </c>
      <c r="D474" s="13" t="s">
        <v>131</v>
      </c>
      <c r="E474" s="104" t="n">
        <v>128</v>
      </c>
      <c r="F474" s="19" t="s">
        <v>611</v>
      </c>
      <c r="G474" s="105" t="n">
        <f aca="false">E474*1.1</f>
        <v>140.8</v>
      </c>
      <c r="H474" s="5" t="s">
        <v>848</v>
      </c>
      <c r="I474" s="6" t="str">
        <f aca="false">CONCATENATE(A474,",",D474)</f>
        <v>ME 162,ED1-AE</v>
      </c>
      <c r="J474" s="12"/>
    </row>
    <row r="475" customFormat="false" ht="14.9" hidden="false" customHeight="false" outlineLevel="0" collapsed="false">
      <c r="A475" s="13" t="s">
        <v>392</v>
      </c>
      <c r="B475" s="18" t="str">
        <v>BASIC MECHANICS</v>
      </c>
      <c r="C475" s="14" t="str">
        <v>Oppong David Kofi</v>
      </c>
      <c r="D475" s="13" t="s">
        <v>80</v>
      </c>
      <c r="E475" s="104" t="n">
        <v>120</v>
      </c>
      <c r="F475" s="19" t="s">
        <v>533</v>
      </c>
      <c r="G475" s="105" t="n">
        <f aca="false">E475*1.1</f>
        <v>132</v>
      </c>
      <c r="H475" s="41" t="s">
        <v>849</v>
      </c>
      <c r="I475" s="6" t="str">
        <f aca="false">CONCATENATE(A475,",",D475)</f>
        <v>ME 162,ED1-CHE</v>
      </c>
      <c r="J475" s="12"/>
    </row>
    <row r="476" customFormat="false" ht="14.9" hidden="false" customHeight="false" outlineLevel="0" collapsed="false">
      <c r="A476" s="13" t="s">
        <v>268</v>
      </c>
      <c r="B476" s="18" t="str">
        <v>STATICS OF SOLID MECHANICS</v>
      </c>
      <c r="C476" s="14" t="str">
        <v>Oppong David Kofi</v>
      </c>
      <c r="D476" s="13" t="s">
        <v>162</v>
      </c>
      <c r="E476" s="104" t="n">
        <v>85</v>
      </c>
      <c r="F476" s="19" t="s">
        <v>850</v>
      </c>
      <c r="G476" s="105" t="n">
        <f aca="false">E476*1.1</f>
        <v>93.5</v>
      </c>
      <c r="H476" s="41" t="s">
        <v>851</v>
      </c>
      <c r="I476" s="6" t="str">
        <f aca="false">CONCATENATE(A476,",",D476)</f>
        <v>ME 164,ED1-AUTO</v>
      </c>
      <c r="J476" s="12"/>
    </row>
    <row r="477" customFormat="false" ht="14.9" hidden="false" customHeight="false" outlineLevel="0" collapsed="false">
      <c r="A477" s="13" t="s">
        <v>393</v>
      </c>
      <c r="B477" s="14" t="str">
        <v>NATURAL GAS ENGINEERING</v>
      </c>
      <c r="C477" s="14" t="str">
        <v>Ankudey Emmanuel Godwin</v>
      </c>
      <c r="D477" s="13" t="s">
        <v>63</v>
      </c>
      <c r="E477" s="104" t="n">
        <v>53</v>
      </c>
      <c r="F477" s="19" t="s">
        <v>852</v>
      </c>
      <c r="G477" s="105" t="n">
        <f aca="false">E477*1.1</f>
        <v>58.3</v>
      </c>
      <c r="H477" s="46" t="s">
        <v>853</v>
      </c>
      <c r="I477" s="6" t="str">
        <f aca="false">CONCATENATE(A477,",",D477)</f>
        <v>PETE 450,ED3-PCE</v>
      </c>
      <c r="J477" s="12"/>
    </row>
    <row r="478" customFormat="false" ht="14.9" hidden="false" customHeight="false" outlineLevel="0" collapsed="false">
      <c r="A478" s="13" t="s">
        <v>394</v>
      </c>
      <c r="B478" s="18" t="str">
        <v>FLUID DYNAMICS I</v>
      </c>
      <c r="C478" s="18" t="str">
        <v>Fiagbe Yesuenyeagbe Atsu Kwabla</v>
      </c>
      <c r="D478" s="13" t="s">
        <v>38</v>
      </c>
      <c r="E478" s="104" t="n">
        <v>80</v>
      </c>
      <c r="F478" s="19" t="s">
        <v>574</v>
      </c>
      <c r="G478" s="105" t="n">
        <f aca="false">E478*1.1</f>
        <v>88</v>
      </c>
      <c r="H478" s="5" t="s">
        <v>661</v>
      </c>
      <c r="I478" s="6" t="str">
        <f aca="false">CONCATENATE(A478,",",D478)</f>
        <v>ME 252,ED2-IND</v>
      </c>
      <c r="J478" s="12"/>
    </row>
    <row r="479" customFormat="false" ht="14.9" hidden="false" customHeight="false" outlineLevel="0" collapsed="false">
      <c r="A479" s="13" t="s">
        <v>394</v>
      </c>
      <c r="B479" s="18" t="str">
        <v>FLUID DYNAMICS I</v>
      </c>
      <c r="C479" s="18" t="str">
        <v>Fiagbe Yesuenyeagbe Atsu Kwabla</v>
      </c>
      <c r="D479" s="13" t="s">
        <v>42</v>
      </c>
      <c r="E479" s="104" t="n">
        <v>37</v>
      </c>
      <c r="F479" s="19" t="s">
        <v>616</v>
      </c>
      <c r="G479" s="105" t="n">
        <f aca="false">E479*1.1</f>
        <v>40.7</v>
      </c>
      <c r="H479" s="5" t="n">
        <v>37</v>
      </c>
      <c r="I479" s="6" t="str">
        <f aca="false">CONCATENATE(A479,",",D479)</f>
        <v>ME 252,ED2-MARI</v>
      </c>
      <c r="J479" s="12"/>
    </row>
    <row r="480" customFormat="false" ht="14.9" hidden="false" customHeight="false" outlineLevel="0" collapsed="false">
      <c r="A480" s="13" t="s">
        <v>394</v>
      </c>
      <c r="B480" s="18" t="str">
        <v>FLUID DYNAMICS I</v>
      </c>
      <c r="C480" s="18" t="str">
        <v>Fiagbe Yesuenyeagbe Atsu Kwabla</v>
      </c>
      <c r="D480" s="13" t="s">
        <v>33</v>
      </c>
      <c r="E480" s="104" t="n">
        <v>240</v>
      </c>
      <c r="F480" s="19" t="s">
        <v>854</v>
      </c>
      <c r="G480" s="105" t="n">
        <f aca="false">E480*1.1</f>
        <v>264</v>
      </c>
      <c r="H480" s="5" t="s">
        <v>855</v>
      </c>
      <c r="I480" s="6" t="str">
        <f aca="false">CONCATENATE(A480,",",D480)</f>
        <v>ME 252,ED2-ME</v>
      </c>
      <c r="J480" s="12"/>
    </row>
    <row r="481" customFormat="false" ht="14.9" hidden="false" customHeight="false" outlineLevel="0" collapsed="false">
      <c r="A481" s="22"/>
      <c r="B481" s="22"/>
      <c r="D481" s="14" t="s">
        <v>395</v>
      </c>
      <c r="E481" s="117" t="n">
        <f aca="false">SUM(E471:E480)</f>
        <v>1192</v>
      </c>
      <c r="F481" s="23"/>
      <c r="G481" s="118"/>
      <c r="I481" s="9" t="s">
        <v>396</v>
      </c>
      <c r="J481" s="12"/>
    </row>
    <row r="482" customFormat="false" ht="13.8" hidden="false" customHeight="false" outlineLevel="0" collapsed="false">
      <c r="G482" s="181"/>
      <c r="J482" s="42"/>
    </row>
    <row r="483" customFormat="false" ht="15" hidden="false" customHeight="true" outlineLevel="0" collapsed="false">
      <c r="G483" s="181"/>
    </row>
    <row r="484" customFormat="false" ht="14.9" hidden="false" customHeight="false" outlineLevel="0" collapsed="false">
      <c r="A484" s="8" t="s">
        <v>387</v>
      </c>
      <c r="B484" s="8"/>
      <c r="C484" s="8"/>
      <c r="D484" s="8"/>
      <c r="E484" s="8"/>
      <c r="F484" s="8"/>
      <c r="G484" s="8"/>
      <c r="I484" s="9" t="str">
        <f aca="false">A484</f>
        <v>Monday, 31  August 2026</v>
      </c>
      <c r="J484" s="12"/>
    </row>
    <row r="485" customFormat="false" ht="14.9" hidden="false" customHeight="false" outlineLevel="0" collapsed="false">
      <c r="A485" s="8" t="s">
        <v>29</v>
      </c>
      <c r="B485" s="8"/>
      <c r="C485" s="8"/>
      <c r="D485" s="8"/>
      <c r="E485" s="8"/>
      <c r="F485" s="8"/>
      <c r="G485" s="8"/>
      <c r="I485" s="9" t="str">
        <f aca="false">A485</f>
        <v>Session, 2 (12:00 PM - 2:00 PM)</v>
      </c>
      <c r="J485" s="12"/>
    </row>
    <row r="486" customFormat="false" ht="14.9" hidden="false" customHeight="false" outlineLevel="0" collapsed="false">
      <c r="A486" s="11" t="s">
        <v>4</v>
      </c>
      <c r="B486" s="11" t="s">
        <v>5</v>
      </c>
      <c r="C486" s="2" t="s">
        <v>6</v>
      </c>
      <c r="D486" s="11" t="s">
        <v>7</v>
      </c>
      <c r="E486" s="102" t="s">
        <v>8</v>
      </c>
      <c r="F486" s="2" t="s">
        <v>9</v>
      </c>
      <c r="G486" s="103" t="s">
        <v>10</v>
      </c>
      <c r="I486" s="9" t="s">
        <v>31</v>
      </c>
      <c r="J486" s="12"/>
    </row>
    <row r="487" customFormat="false" ht="14.9" hidden="false" customHeight="false" outlineLevel="0" collapsed="false">
      <c r="A487" s="13" t="s">
        <v>397</v>
      </c>
      <c r="B487" s="14" t="str">
        <f aca="false" t="array" ref="B487:B496">IFERROR(VLOOKUP(I487:I496,Lectures_1!A2:F534,2,FALSE()),0)</f>
        <v>CHEMICAL ENGINEERING THERMODYNAMICS II</v>
      </c>
      <c r="C487" s="14" t="str">
        <f aca="false" t="array" ref="C487:C496">IFERROR(VLOOKUP(I487:I496,Lectures_1!A2:F534,3,FALSE()),0)</f>
        <v>Eunice Sefakor Aku Dogbe</v>
      </c>
      <c r="D487" s="13" t="s">
        <v>14</v>
      </c>
      <c r="E487" s="104" t="n">
        <f aca="false" t="array" ref="E487:E496">IFERROR(VLOOKUP(I487:I496,Lectures_1!A2:F534,4,FALSE()),0)</f>
        <v>65</v>
      </c>
      <c r="F487" s="19" t="s">
        <v>546</v>
      </c>
      <c r="G487" s="105" t="n">
        <f aca="false">E487*1.1</f>
        <v>71.5</v>
      </c>
      <c r="H487" s="46" t="n">
        <v>65</v>
      </c>
      <c r="I487" s="6" t="str">
        <f aca="false">CONCATENATE(A487,",",D487)</f>
        <v>CHE 254,ED2-PCE</v>
      </c>
      <c r="J487" s="12"/>
    </row>
    <row r="488" customFormat="false" ht="14.9" hidden="false" customHeight="false" outlineLevel="0" collapsed="false">
      <c r="A488" s="13" t="s">
        <v>398</v>
      </c>
      <c r="B488" s="18" t="str">
        <v>PETROLEUM ENGINEERING THERMODYNAMICS II</v>
      </c>
      <c r="C488" s="18" t="str">
        <v>Sokama-Neuyam Yen Adams</v>
      </c>
      <c r="D488" s="13" t="s">
        <v>93</v>
      </c>
      <c r="E488" s="104" t="n">
        <v>95</v>
      </c>
      <c r="F488" s="13" t="s">
        <v>571</v>
      </c>
      <c r="G488" s="105" t="n">
        <f aca="false">E488*1.1</f>
        <v>104.5</v>
      </c>
      <c r="H488" s="5" t="s">
        <v>856</v>
      </c>
      <c r="I488" s="6" t="str">
        <f aca="false">CONCATENATE(A488,",",D488)</f>
        <v>PE 258,ED2-PE</v>
      </c>
      <c r="J488" s="12"/>
    </row>
    <row r="489" customFormat="false" ht="14.9" hidden="false" customHeight="false" outlineLevel="0" collapsed="false">
      <c r="A489" s="13" t="s">
        <v>399</v>
      </c>
      <c r="B489" s="14" t="str">
        <v>ROCK ENGINEERING</v>
      </c>
      <c r="C489" s="18" t="str">
        <v>Gidigasu Solomon Senyo Robert</v>
      </c>
      <c r="D489" s="13" t="s">
        <v>55</v>
      </c>
      <c r="E489" s="104" t="n">
        <v>150</v>
      </c>
      <c r="F489" s="49" t="s">
        <v>693</v>
      </c>
      <c r="G489" s="105" t="n">
        <f aca="false">E489*1.1</f>
        <v>165</v>
      </c>
      <c r="H489" s="50" t="s">
        <v>857</v>
      </c>
      <c r="I489" s="6" t="str">
        <f aca="false">CONCATENATE(A489,",",D489)</f>
        <v>GED 254,ED2-GEOL</v>
      </c>
      <c r="J489" s="12"/>
    </row>
    <row r="490" customFormat="false" ht="14.9" hidden="false" customHeight="false" outlineLevel="0" collapsed="false">
      <c r="A490" s="13" t="s">
        <v>392</v>
      </c>
      <c r="B490" s="14" t="str">
        <v>BASIC MECHANICS</v>
      </c>
      <c r="C490" s="14" t="str">
        <v>Quansah David Ato</v>
      </c>
      <c r="D490" s="13" t="s">
        <v>82</v>
      </c>
      <c r="E490" s="104" t="n">
        <v>130</v>
      </c>
      <c r="F490" s="19" t="s">
        <v>533</v>
      </c>
      <c r="G490" s="105" t="n">
        <f aca="false">E490*1.1</f>
        <v>143</v>
      </c>
      <c r="H490" s="5" t="s">
        <v>858</v>
      </c>
      <c r="I490" s="6" t="str">
        <f aca="false">CONCATENATE(A490,",",D490)</f>
        <v>ME 162,ED1-PE</v>
      </c>
      <c r="J490" s="12"/>
    </row>
    <row r="491" customFormat="false" ht="14.9" hidden="false" customHeight="false" outlineLevel="0" collapsed="false">
      <c r="A491" s="13" t="s">
        <v>392</v>
      </c>
      <c r="B491" s="14" t="str">
        <v>BASIC MECHANICS</v>
      </c>
      <c r="C491" s="14" t="str">
        <v>Quansah David Ato</v>
      </c>
      <c r="D491" s="13" t="s">
        <v>115</v>
      </c>
      <c r="E491" s="104" t="n">
        <v>100</v>
      </c>
      <c r="F491" s="19" t="s">
        <v>859</v>
      </c>
      <c r="G491" s="105" t="n">
        <f aca="false">E491*1.1</f>
        <v>110</v>
      </c>
      <c r="H491" s="5" t="s">
        <v>860</v>
      </c>
      <c r="I491" s="6" t="str">
        <f aca="false">CONCATENATE(A491,",",D491)</f>
        <v>ME 162,ED1-MSE</v>
      </c>
      <c r="J491" s="12"/>
    </row>
    <row r="492" customFormat="false" ht="14.9" hidden="false" customHeight="false" outlineLevel="0" collapsed="false">
      <c r="A492" s="13" t="s">
        <v>400</v>
      </c>
      <c r="B492" s="18" t="str">
        <v>STEEL AND TIMBER DESIGN</v>
      </c>
      <c r="C492" s="18" t="str">
        <v>Mark Adom-Asamoah</v>
      </c>
      <c r="D492" s="13" t="s">
        <v>157</v>
      </c>
      <c r="E492" s="104" t="n">
        <v>230</v>
      </c>
      <c r="F492" s="39" t="s">
        <v>854</v>
      </c>
      <c r="G492" s="105" t="n">
        <f aca="false">E492*1.1</f>
        <v>253</v>
      </c>
      <c r="H492" s="3" t="s">
        <v>861</v>
      </c>
      <c r="I492" s="6" t="str">
        <f aca="false">CONCATENATE(A492,",",D492)</f>
        <v>CE 352,ED3-CE</v>
      </c>
      <c r="J492" s="12"/>
    </row>
    <row r="493" customFormat="false" ht="14.9" hidden="false" customHeight="false" outlineLevel="0" collapsed="false">
      <c r="A493" s="13" t="s">
        <v>401</v>
      </c>
      <c r="B493" s="14" t="str">
        <v>MILLIMETERWAVE TECHNOLOGY</v>
      </c>
      <c r="C493" s="14" t="str">
        <v>Abdul-Rahman Ahmed</v>
      </c>
      <c r="D493" s="13" t="s">
        <v>227</v>
      </c>
      <c r="E493" s="104" t="n">
        <v>33</v>
      </c>
      <c r="F493" s="19" t="s">
        <v>770</v>
      </c>
      <c r="G493" s="105" t="n">
        <f aca="false">E493*1.1</f>
        <v>36.3</v>
      </c>
      <c r="H493" s="5" t="n">
        <v>33</v>
      </c>
      <c r="I493" s="6" t="str">
        <f aca="false">CONCATENATE(A493,",",D493)</f>
        <v>TE 468,ED4-TEL</v>
      </c>
      <c r="J493" s="12"/>
    </row>
    <row r="494" customFormat="false" ht="14.9" hidden="false" customHeight="false" outlineLevel="0" collapsed="false">
      <c r="A494" s="13" t="s">
        <v>402</v>
      </c>
      <c r="B494" s="14" t="str">
        <v>QUALITY ASSURANCE</v>
      </c>
      <c r="C494" s="14" t="str">
        <v>Sackey Samuel Mensah</v>
      </c>
      <c r="D494" s="13" t="s">
        <v>121</v>
      </c>
      <c r="E494" s="104" t="n">
        <v>70</v>
      </c>
      <c r="F494" s="19" t="s">
        <v>545</v>
      </c>
      <c r="G494" s="105" t="n">
        <f aca="false">E494*1.1</f>
        <v>77</v>
      </c>
      <c r="H494" s="5" t="n">
        <v>70</v>
      </c>
      <c r="I494" s="6" t="str">
        <f aca="false">CONCATENATE(A494,",",D494)</f>
        <v>IE 360,ED3-IND</v>
      </c>
      <c r="J494" s="12"/>
    </row>
    <row r="495" customFormat="false" ht="14.9" hidden="false" customHeight="false" outlineLevel="0" collapsed="false">
      <c r="A495" s="13" t="s">
        <v>403</v>
      </c>
      <c r="B495" s="14" t="str">
        <v>METALLURGICAL RATE PROCESSES/SURFACE PHENOMENA</v>
      </c>
      <c r="C495" s="14" t="str">
        <v>Patrick Aggrey</v>
      </c>
      <c r="D495" s="13" t="s">
        <v>101</v>
      </c>
      <c r="E495" s="104" t="n">
        <v>57</v>
      </c>
      <c r="F495" s="19" t="s">
        <v>566</v>
      </c>
      <c r="G495" s="105" t="n">
        <f aca="false">E495*1.1</f>
        <v>62.7</v>
      </c>
      <c r="H495" s="5" t="s">
        <v>669</v>
      </c>
      <c r="I495" s="6" t="str">
        <f aca="false">CONCATENATE(A495,",",D495)</f>
        <v>METE 252,ED2-METE</v>
      </c>
      <c r="J495" s="12"/>
    </row>
    <row r="496" customFormat="false" ht="14.9" hidden="false" customHeight="false" outlineLevel="0" collapsed="false">
      <c r="A496" s="13" t="s">
        <v>404</v>
      </c>
      <c r="B496" s="14" t="str">
        <v>CONSTRUCTION MANAGEMENT</v>
      </c>
      <c r="C496" s="14" t="str">
        <v>Obeng Daniel Atuah</v>
      </c>
      <c r="D496" s="13" t="s">
        <v>103</v>
      </c>
      <c r="E496" s="104" t="n">
        <v>240</v>
      </c>
      <c r="F496" s="39" t="s">
        <v>854</v>
      </c>
      <c r="G496" s="105" t="n">
        <f aca="false">E496*1.1</f>
        <v>264</v>
      </c>
      <c r="H496" s="5" t="s">
        <v>855</v>
      </c>
      <c r="I496" s="6" t="str">
        <f aca="false">CONCATENATE(A496,",",D496)</f>
        <v>CE 462,ED4-CE</v>
      </c>
      <c r="J496" s="12"/>
    </row>
    <row r="497" customFormat="false" ht="13.8" hidden="false" customHeight="false" outlineLevel="0" collapsed="false">
      <c r="A497" s="22"/>
      <c r="B497" s="22"/>
      <c r="D497" s="14" t="s">
        <v>405</v>
      </c>
      <c r="E497" s="117" t="n">
        <f aca="false">SUM(E487:E496)</f>
        <v>1170</v>
      </c>
      <c r="F497" s="23"/>
      <c r="G497" s="118"/>
      <c r="I497" s="9"/>
      <c r="J497" s="12"/>
    </row>
    <row r="498" customFormat="false" ht="14.9" hidden="false" customHeight="false" outlineLevel="0" collapsed="false">
      <c r="A498" s="8" t="s">
        <v>387</v>
      </c>
      <c r="B498" s="8"/>
      <c r="C498" s="8"/>
      <c r="D498" s="8"/>
      <c r="E498" s="8"/>
      <c r="F498" s="8"/>
      <c r="G498" s="8"/>
      <c r="I498" s="9" t="str">
        <f aca="false">A498</f>
        <v>Monday, 31  August 2026</v>
      </c>
      <c r="J498" s="12"/>
    </row>
    <row r="499" customFormat="false" ht="14.9" hidden="false" customHeight="false" outlineLevel="0" collapsed="false">
      <c r="A499" s="8" t="s">
        <v>59</v>
      </c>
      <c r="B499" s="8"/>
      <c r="C499" s="8"/>
      <c r="D499" s="8"/>
      <c r="E499" s="8"/>
      <c r="F499" s="8"/>
      <c r="G499" s="8"/>
      <c r="I499" s="9" t="str">
        <f aca="false">A499</f>
        <v>Session, 3 (3:00 PM - 5:00 PM)</v>
      </c>
      <c r="J499" s="12"/>
    </row>
    <row r="500" customFormat="false" ht="16.5" hidden="false" customHeight="true" outlineLevel="0" collapsed="false">
      <c r="A500" s="11" t="s">
        <v>4</v>
      </c>
      <c r="B500" s="11" t="s">
        <v>5</v>
      </c>
      <c r="C500" s="2" t="s">
        <v>6</v>
      </c>
      <c r="D500" s="11" t="s">
        <v>7</v>
      </c>
      <c r="E500" s="102" t="s">
        <v>8</v>
      </c>
      <c r="F500" s="2" t="s">
        <v>9</v>
      </c>
      <c r="G500" s="103" t="s">
        <v>10</v>
      </c>
      <c r="I500" s="9" t="s">
        <v>31</v>
      </c>
      <c r="J500" s="12"/>
    </row>
    <row r="501" s="108" customFormat="true" ht="14.9" hidden="false" customHeight="false" outlineLevel="0" collapsed="false">
      <c r="A501" s="119" t="s">
        <v>406</v>
      </c>
      <c r="B501" s="120" t="str">
        <f aca="false" t="array" ref="B501:B517">IFERROR(VLOOKUP(I501:I517,Lectures_1!A2:F534,2,FALSE()),0)</f>
        <v>INTRODUCTORY ECONOMICS II</v>
      </c>
      <c r="C501" s="120" t="str">
        <f aca="false" t="array" ref="C501:C517">IFERROR(VLOOKUP(I501:I517,Lectures_1!A2:F534,3,FALSE()),0)</f>
        <v>Takyi Paul Owusu</v>
      </c>
      <c r="D501" s="119" t="s">
        <v>25</v>
      </c>
      <c r="E501" s="125" t="n">
        <f aca="false" t="array" ref="E501:E517">IFERROR(VLOOKUP(I501:I517,Lectures_1!A2:F534,4,FALSE()),0)</f>
        <v>150</v>
      </c>
      <c r="F501" s="129" t="s">
        <v>693</v>
      </c>
      <c r="G501" s="122" t="n">
        <f aca="false">E501*1.1</f>
        <v>165</v>
      </c>
      <c r="H501" s="123" t="s">
        <v>857</v>
      </c>
      <c r="I501" s="106" t="str">
        <f aca="false">CONCATENATE(A501,",",D501)</f>
        <v>ECON 152,ED2-EE</v>
      </c>
      <c r="J501" s="107"/>
    </row>
    <row r="502" s="108" customFormat="true" ht="14.9" hidden="false" customHeight="false" outlineLevel="0" collapsed="false">
      <c r="A502" s="119" t="s">
        <v>406</v>
      </c>
      <c r="B502" s="124" t="str">
        <v>ELEMENTS OF ECONOMICS II</v>
      </c>
      <c r="C502" s="124" t="str">
        <v>Edward Yeboah</v>
      </c>
      <c r="D502" s="119" t="s">
        <v>77</v>
      </c>
      <c r="E502" s="125" t="n">
        <v>15</v>
      </c>
      <c r="F502" s="129" t="s">
        <v>862</v>
      </c>
      <c r="G502" s="122" t="n">
        <f aca="false">E502*1.1</f>
        <v>16.5</v>
      </c>
      <c r="H502" s="126" t="n">
        <v>15</v>
      </c>
      <c r="I502" s="106" t="str">
        <f aca="false">CONCATENATE(A502,",",D502)</f>
        <v>ECON 152,ED3-GEOM</v>
      </c>
      <c r="J502" s="107"/>
    </row>
    <row r="503" s="108" customFormat="true" ht="14.9" hidden="false" customHeight="false" outlineLevel="0" collapsed="false">
      <c r="A503" s="119" t="s">
        <v>406</v>
      </c>
      <c r="B503" s="124" t="str">
        <v>INTRODUCTION TO ECONOMICS II</v>
      </c>
      <c r="C503" s="124" t="str">
        <v>Takyi Paul Owusu</v>
      </c>
      <c r="D503" s="119" t="s">
        <v>75</v>
      </c>
      <c r="E503" s="125" t="n">
        <v>32</v>
      </c>
      <c r="F503" s="129" t="s">
        <v>632</v>
      </c>
      <c r="G503" s="122" t="n">
        <f aca="false">E503*1.1</f>
        <v>35.2</v>
      </c>
      <c r="H503" s="126" t="n">
        <v>32</v>
      </c>
      <c r="I503" s="106" t="str">
        <f aca="false">CONCATENATE(A503,",",D503)</f>
        <v>ECON 152,ED1-CE</v>
      </c>
      <c r="J503" s="107"/>
    </row>
    <row r="504" s="108" customFormat="true" ht="14.9" hidden="false" customHeight="false" outlineLevel="0" collapsed="false">
      <c r="A504" s="119" t="s">
        <v>406</v>
      </c>
      <c r="B504" s="124" t="str">
        <v>INTRODUCTORY ECONOMICS II</v>
      </c>
      <c r="C504" s="124" t="str">
        <v>Beatrice Sarpong-Danquah</v>
      </c>
      <c r="D504" s="119" t="s">
        <v>126</v>
      </c>
      <c r="E504" s="125" t="n">
        <v>30</v>
      </c>
      <c r="F504" s="123" t="s">
        <v>863</v>
      </c>
      <c r="G504" s="122" t="n">
        <f aca="false">E504*1.1</f>
        <v>33</v>
      </c>
      <c r="H504" s="126" t="n">
        <v>30</v>
      </c>
      <c r="I504" s="106" t="str">
        <f aca="false">CONCATENATE(A504,",",D504)</f>
        <v>ECON 152,ED1-GEOL</v>
      </c>
      <c r="J504" s="107"/>
    </row>
    <row r="505" s="108" customFormat="true" ht="14.9" hidden="false" customHeight="false" outlineLevel="0" collapsed="false">
      <c r="A505" s="119" t="s">
        <v>406</v>
      </c>
      <c r="B505" s="124" t="str">
        <v>ELEMENTS OF ECONOMICS II</v>
      </c>
      <c r="C505" s="124" t="str">
        <v>Paul Owusu Takyi</v>
      </c>
      <c r="D505" s="119" t="s">
        <v>109</v>
      </c>
      <c r="E505" s="125" t="n">
        <v>20</v>
      </c>
      <c r="F505" s="123" t="s">
        <v>544</v>
      </c>
      <c r="G505" s="122" t="n">
        <f aca="false">E505*1.1</f>
        <v>22</v>
      </c>
      <c r="H505" s="126" t="n">
        <v>20</v>
      </c>
      <c r="I505" s="106" t="str">
        <f aca="false">CONCATENATE(A505,",",D505)</f>
        <v>ECON 152,ED2-BME</v>
      </c>
      <c r="J505" s="107"/>
    </row>
    <row r="506" s="108" customFormat="true" ht="14.9" hidden="false" customHeight="false" outlineLevel="0" collapsed="false">
      <c r="A506" s="119" t="s">
        <v>406</v>
      </c>
      <c r="B506" s="124" t="str">
        <v>INTRODUCTION TO ECONOMICS II</v>
      </c>
      <c r="C506" s="124" t="str">
        <v>Takyi Paul Owusu</v>
      </c>
      <c r="D506" s="119" t="s">
        <v>108</v>
      </c>
      <c r="E506" s="125" t="n">
        <v>40</v>
      </c>
      <c r="F506" s="123" t="s">
        <v>633</v>
      </c>
      <c r="G506" s="122" t="n">
        <f aca="false">E506*1.1</f>
        <v>44</v>
      </c>
      <c r="H506" s="126" t="n">
        <v>40</v>
      </c>
      <c r="I506" s="106" t="str">
        <f aca="false">CONCATENATE(A506,",",D506)</f>
        <v>ECON 152,ED2-COE</v>
      </c>
      <c r="J506" s="107"/>
    </row>
    <row r="507" s="108" customFormat="true" ht="14.9" hidden="false" customHeight="false" outlineLevel="0" collapsed="false">
      <c r="A507" s="119" t="s">
        <v>406</v>
      </c>
      <c r="B507" s="124" t="str">
        <v>INTRODUCTORY ECONOMICS II</v>
      </c>
      <c r="C507" s="124" t="str">
        <v>Takyi Paul Owusu</v>
      </c>
      <c r="D507" s="119" t="s">
        <v>172</v>
      </c>
      <c r="E507" s="125" t="n">
        <v>30</v>
      </c>
      <c r="F507" s="129" t="s">
        <v>864</v>
      </c>
      <c r="G507" s="122" t="n">
        <f aca="false">E507*1.1</f>
        <v>33</v>
      </c>
      <c r="H507" s="126" t="n">
        <v>30</v>
      </c>
      <c r="I507" s="106" t="str">
        <f aca="false">CONCATENATE(A507,",",D507)</f>
        <v>ECON 152,ED2-TEL</v>
      </c>
      <c r="J507" s="107"/>
    </row>
    <row r="508" s="108" customFormat="true" ht="14.9" hidden="false" customHeight="false" outlineLevel="0" collapsed="false">
      <c r="A508" s="119" t="s">
        <v>406</v>
      </c>
      <c r="B508" s="124" t="str">
        <v>INTRODUCTORY ECONOMICS II</v>
      </c>
      <c r="C508" s="124" t="str">
        <v>Takyi Paul Owusu</v>
      </c>
      <c r="D508" s="119" t="s">
        <v>73</v>
      </c>
      <c r="E508" s="125" t="n">
        <v>80</v>
      </c>
      <c r="F508" s="182" t="s">
        <v>545</v>
      </c>
      <c r="G508" s="122" t="n">
        <f aca="false">E508*1.1</f>
        <v>88</v>
      </c>
      <c r="H508" s="126" t="n">
        <v>80</v>
      </c>
      <c r="I508" s="106" t="str">
        <f aca="false">CONCATENATE(A508,",",D508)</f>
        <v>ECON 152,ED3-CHE</v>
      </c>
      <c r="J508" s="107"/>
    </row>
    <row r="509" customFormat="false" ht="14.9" hidden="false" customHeight="false" outlineLevel="0" collapsed="false">
      <c r="A509" s="13" t="s">
        <v>407</v>
      </c>
      <c r="B509" s="18" t="str">
        <v>INTERNAL COMBUSTION ENGINES</v>
      </c>
      <c r="C509" s="18" t="str">
        <v>Forson Francis Kofi</v>
      </c>
      <c r="D509" s="13" t="s">
        <v>99</v>
      </c>
      <c r="E509" s="104" t="n">
        <v>5</v>
      </c>
      <c r="F509" s="19" t="s">
        <v>663</v>
      </c>
      <c r="G509" s="105" t="n">
        <f aca="false">E509*1.1</f>
        <v>5.5</v>
      </c>
      <c r="H509" s="3" t="n">
        <v>5</v>
      </c>
      <c r="I509" s="6" t="str">
        <f aca="false">CONCATENATE(A509,",",D509)</f>
        <v>ME 468,ED4-AERO</v>
      </c>
      <c r="J509" s="12"/>
    </row>
    <row r="510" customFormat="false" ht="14.9" hidden="false" customHeight="false" outlineLevel="0" collapsed="false">
      <c r="A510" s="13" t="s">
        <v>407</v>
      </c>
      <c r="B510" s="18" t="str">
        <v>INTERNAL COMBUSTION ENGINES</v>
      </c>
      <c r="C510" s="18" t="str">
        <v>Forson Francis Kofi</v>
      </c>
      <c r="D510" s="13" t="s">
        <v>67</v>
      </c>
      <c r="E510" s="104" t="n">
        <v>40</v>
      </c>
      <c r="F510" s="19" t="s">
        <v>781</v>
      </c>
      <c r="G510" s="105" t="n">
        <f aca="false">E510*1.1</f>
        <v>44</v>
      </c>
      <c r="H510" s="3" t="n">
        <v>40</v>
      </c>
      <c r="I510" s="6" t="str">
        <f aca="false">CONCATENATE(A510,",",D510)</f>
        <v>ME 468,ED4-ME</v>
      </c>
      <c r="J510" s="12"/>
    </row>
    <row r="511" customFormat="false" ht="14.9" hidden="false" customHeight="false" outlineLevel="0" collapsed="false">
      <c r="A511" s="13" t="s">
        <v>408</v>
      </c>
      <c r="B511" s="14" t="str">
        <v>DRILLING ENGINEERING II</v>
      </c>
      <c r="C511" s="18" t="str">
        <v>Erzuah Samuel</v>
      </c>
      <c r="D511" s="13" t="s">
        <v>18</v>
      </c>
      <c r="E511" s="104" t="n">
        <v>80</v>
      </c>
      <c r="F511" s="19" t="s">
        <v>545</v>
      </c>
      <c r="G511" s="105" t="n">
        <f aca="false">E511*1.1</f>
        <v>88</v>
      </c>
      <c r="H511" s="3" t="n">
        <v>80</v>
      </c>
      <c r="I511" s="6" t="str">
        <f aca="false">CONCATENATE(A511,",",D511)</f>
        <v>PE 354,ED3-PE</v>
      </c>
      <c r="J511" s="12"/>
    </row>
    <row r="512" s="116" customFormat="true" ht="14.9" hidden="false" customHeight="false" outlineLevel="0" collapsed="false">
      <c r="A512" s="109" t="s">
        <v>409</v>
      </c>
      <c r="B512" s="114" t="str">
        <v>PIPELINE ENGINEERING</v>
      </c>
      <c r="C512" s="114" t="str">
        <v>Adjei Stephen</v>
      </c>
      <c r="D512" s="109" t="s">
        <v>46</v>
      </c>
      <c r="E512" s="111" t="n">
        <v>99</v>
      </c>
      <c r="F512" s="158" t="s">
        <v>956</v>
      </c>
      <c r="G512" s="112" t="n">
        <f aca="false">E512*1.1</f>
        <v>108.9</v>
      </c>
      <c r="H512" s="159" t="n">
        <v>99</v>
      </c>
      <c r="I512" s="127" t="str">
        <f aca="false">CONCATENATE(A512,",",D512)</f>
        <v>PE 474,ED4-PE</v>
      </c>
      <c r="J512" s="115"/>
    </row>
    <row r="513" customFormat="false" ht="14.9" hidden="false" customHeight="false" outlineLevel="0" collapsed="false">
      <c r="A513" s="13" t="s">
        <v>410</v>
      </c>
      <c r="B513" s="14" t="str">
        <v>PETROLEUM GEOLOGY</v>
      </c>
      <c r="C513" s="14" t="str">
        <v>Foli Gordon</v>
      </c>
      <c r="D513" s="38" t="s">
        <v>177</v>
      </c>
      <c r="E513" s="104" t="n">
        <v>35</v>
      </c>
      <c r="F513" s="19" t="s">
        <v>560</v>
      </c>
      <c r="G513" s="105" t="n">
        <f aca="false">E513*1.1</f>
        <v>38.5</v>
      </c>
      <c r="H513" s="5" t="n">
        <v>35</v>
      </c>
      <c r="I513" s="6" t="str">
        <f aca="false">CONCATENATE(A513,",",D513)</f>
        <v>GED 466,ED4-GEOL</v>
      </c>
      <c r="J513" s="12"/>
    </row>
    <row r="514" customFormat="false" ht="14.9" hidden="false" customHeight="false" outlineLevel="0" collapsed="false">
      <c r="A514" s="13" t="s">
        <v>411</v>
      </c>
      <c r="B514" s="18" t="str">
        <v>BIOMECHANICS II</v>
      </c>
      <c r="C514" s="14" t="str">
        <v>Odame Prince</v>
      </c>
      <c r="D514" s="13" t="s">
        <v>252</v>
      </c>
      <c r="E514" s="104" t="n">
        <v>87</v>
      </c>
      <c r="F514" s="19" t="s">
        <v>571</v>
      </c>
      <c r="G514" s="105" t="n">
        <f aca="false">E514*1.1</f>
        <v>95.7</v>
      </c>
      <c r="H514" s="3" t="s">
        <v>865</v>
      </c>
      <c r="I514" s="6" t="str">
        <f aca="false">CONCATENATE(A514,",",D514)</f>
        <v>BME 462,ED4-BME</v>
      </c>
      <c r="J514" s="12"/>
    </row>
    <row r="515" s="108" customFormat="true" ht="14.9" hidden="false" customHeight="false" outlineLevel="0" collapsed="false">
      <c r="A515" s="13" t="s">
        <v>412</v>
      </c>
      <c r="B515" s="14" t="str">
        <v>DIGITAL COMPUTER DESIGN</v>
      </c>
      <c r="C515" s="14" t="str">
        <v>Boateng Kwame Osei</v>
      </c>
      <c r="D515" s="13" t="s">
        <v>71</v>
      </c>
      <c r="E515" s="104" t="n">
        <v>29</v>
      </c>
      <c r="F515" s="19" t="n">
        <v>303</v>
      </c>
      <c r="G515" s="105" t="n">
        <f aca="false">E515*1.1</f>
        <v>31.9</v>
      </c>
      <c r="H515" s="126" t="n">
        <v>29</v>
      </c>
      <c r="I515" s="106" t="str">
        <f aca="false">CONCATENATE(A515,",",D515)</f>
        <v>COE 382,ED3-EE</v>
      </c>
      <c r="J515" s="107"/>
    </row>
    <row r="516" s="108" customFormat="true" ht="14.9" hidden="false" customHeight="false" outlineLevel="0" collapsed="false">
      <c r="A516" s="13" t="s">
        <v>413</v>
      </c>
      <c r="B516" s="14" t="str">
        <v>DIGITAL SYSTEMS DESIGN II</v>
      </c>
      <c r="C516" s="14" t="str">
        <v>Boateng Kwame Osei</v>
      </c>
      <c r="D516" s="13" t="s">
        <v>16</v>
      </c>
      <c r="E516" s="104" t="n">
        <v>265</v>
      </c>
      <c r="F516" s="19" t="s">
        <v>854</v>
      </c>
      <c r="G516" s="105" t="n">
        <f aca="false">E516*1.1</f>
        <v>291.5</v>
      </c>
      <c r="H516" s="126" t="s">
        <v>866</v>
      </c>
      <c r="I516" s="106" t="str">
        <f aca="false">CONCATENATE(A516,",",D516)</f>
        <v>COE 372,ED3-COE</v>
      </c>
      <c r="J516" s="107"/>
    </row>
    <row r="517" customFormat="false" ht="14.9" hidden="false" customHeight="false" outlineLevel="0" collapsed="false">
      <c r="A517" s="13" t="s">
        <v>414</v>
      </c>
      <c r="B517" s="18" t="str">
        <v>GLASS AND CEMENT TECHNOLOGIES</v>
      </c>
      <c r="C517" s="18" t="str">
        <v>Andrews Anthony</v>
      </c>
      <c r="D517" s="13" t="s">
        <v>140</v>
      </c>
      <c r="E517" s="104" t="n">
        <v>85</v>
      </c>
      <c r="F517" s="19" t="s">
        <v>571</v>
      </c>
      <c r="G517" s="105" t="n">
        <f aca="false">E517*1.1</f>
        <v>93.5</v>
      </c>
      <c r="H517" s="3" t="s">
        <v>867</v>
      </c>
      <c r="I517" s="6" t="str">
        <f aca="false">CONCATENATE(A517,",",D517)</f>
        <v>MSE 352,ED3-MSE</v>
      </c>
      <c r="J517" s="12"/>
    </row>
    <row r="518" customFormat="false" ht="14.9" hidden="false" customHeight="false" outlineLevel="0" collapsed="false">
      <c r="A518" s="22"/>
      <c r="B518" s="22"/>
      <c r="D518" s="14" t="s">
        <v>416</v>
      </c>
      <c r="E518" s="117" t="n">
        <f aca="false">SUM(E501:E517)</f>
        <v>1122</v>
      </c>
      <c r="F518" s="23"/>
      <c r="G518" s="118"/>
      <c r="I518" s="9" t="s">
        <v>417</v>
      </c>
      <c r="J518" s="12"/>
    </row>
    <row r="519" customFormat="false" ht="14.9" hidden="false" customHeight="false" outlineLevel="0" collapsed="false">
      <c r="A519" s="8" t="s">
        <v>418</v>
      </c>
      <c r="B519" s="8"/>
      <c r="C519" s="8"/>
      <c r="D519" s="8"/>
      <c r="E519" s="8"/>
      <c r="F519" s="8"/>
      <c r="G519" s="8"/>
      <c r="I519" s="9" t="str">
        <f aca="false">A519</f>
        <v>Tuesday, 1 September 2026</v>
      </c>
      <c r="J519" s="12"/>
    </row>
    <row r="520" customFormat="false" ht="14.9" hidden="false" customHeight="false" outlineLevel="0" collapsed="false">
      <c r="A520" s="8" t="s">
        <v>2</v>
      </c>
      <c r="B520" s="8"/>
      <c r="C520" s="8"/>
      <c r="D520" s="8"/>
      <c r="E520" s="8"/>
      <c r="F520" s="8"/>
      <c r="G520" s="8"/>
      <c r="I520" s="9" t="str">
        <f aca="false">A520</f>
        <v>Session, 1 (8:30 AM - 10:30 AM)</v>
      </c>
      <c r="J520" s="12"/>
    </row>
    <row r="521" customFormat="false" ht="14.9" hidden="false" customHeight="false" outlineLevel="0" collapsed="false">
      <c r="A521" s="11" t="s">
        <v>4</v>
      </c>
      <c r="B521" s="11" t="s">
        <v>5</v>
      </c>
      <c r="C521" s="2" t="s">
        <v>6</v>
      </c>
      <c r="D521" s="11" t="s">
        <v>7</v>
      </c>
      <c r="E521" s="102" t="s">
        <v>8</v>
      </c>
      <c r="F521" s="2" t="s">
        <v>9</v>
      </c>
      <c r="G521" s="103" t="s">
        <v>10</v>
      </c>
      <c r="I521" s="9" t="s">
        <v>31</v>
      </c>
      <c r="J521" s="12"/>
    </row>
    <row r="522" s="108" customFormat="true" ht="14.9" hidden="false" customHeight="false" outlineLevel="0" collapsed="false">
      <c r="A522" s="13" t="s">
        <v>420</v>
      </c>
      <c r="B522" s="18" t="str">
        <f aca="false" t="array" ref="B522:B533">IFERROR(VLOOKUP(I522:I533,Lectures_1!A2:F534,2,FALSE()),0)</f>
        <v>THERMODYNAMICS I</v>
      </c>
      <c r="C522" s="14" t="str">
        <f aca="false" t="array" ref="C522:C533">IFERROR(VLOOKUP(I522:I533,Lectures_1!A2:F534,3,FALSE()),0)</f>
        <v>Amoabeng Kofi Owura</v>
      </c>
      <c r="D522" s="13" t="s">
        <v>38</v>
      </c>
      <c r="E522" s="104" t="n">
        <f aca="false" t="array" ref="E522:E533">IFERROR(VLOOKUP(I522:I533,Lectures_1!A2:F534,4,FALSE()),0)</f>
        <v>80</v>
      </c>
      <c r="F522" s="19" t="s">
        <v>673</v>
      </c>
      <c r="G522" s="105" t="n">
        <f aca="false">E522*1.1</f>
        <v>88</v>
      </c>
      <c r="H522" s="126" t="s">
        <v>631</v>
      </c>
      <c r="I522" s="106" t="str">
        <f aca="false">CONCATENATE(A522,",",D522)</f>
        <v>ME 266,ED2-IND</v>
      </c>
      <c r="J522" s="107"/>
    </row>
    <row r="523" s="108" customFormat="true" ht="14.9" hidden="false" customHeight="false" outlineLevel="0" collapsed="false">
      <c r="A523" s="13" t="s">
        <v>420</v>
      </c>
      <c r="B523" s="18" t="str">
        <v>THERMODYNAMICS I</v>
      </c>
      <c r="C523" s="14" t="str">
        <v>Amoabeng Kofi Owura</v>
      </c>
      <c r="D523" s="13" t="s">
        <v>33</v>
      </c>
      <c r="E523" s="104" t="n">
        <v>240</v>
      </c>
      <c r="F523" s="19" t="s">
        <v>619</v>
      </c>
      <c r="G523" s="105" t="n">
        <f aca="false">E523*1.1</f>
        <v>264</v>
      </c>
      <c r="H523" s="126" t="s">
        <v>868</v>
      </c>
      <c r="I523" s="106" t="str">
        <f aca="false">CONCATENATE(A523,",",D523)</f>
        <v>ME 266,ED2-ME</v>
      </c>
      <c r="J523" s="107"/>
    </row>
    <row r="524" s="108" customFormat="true" ht="14.9" hidden="false" customHeight="false" outlineLevel="0" collapsed="false">
      <c r="A524" s="13" t="s">
        <v>421</v>
      </c>
      <c r="B524" s="14" t="str">
        <v>APPLIED THERMODYNAMICS </v>
      </c>
      <c r="C524" s="18" t="str">
        <v>Amoabeng Kofi Owura</v>
      </c>
      <c r="D524" s="19" t="s">
        <v>130</v>
      </c>
      <c r="E524" s="104" t="n">
        <v>136</v>
      </c>
      <c r="F524" s="30" t="s">
        <v>693</v>
      </c>
      <c r="G524" s="105" t="n">
        <f aca="false">E524*1.1</f>
        <v>149.6</v>
      </c>
      <c r="H524" s="30" t="s">
        <v>869</v>
      </c>
      <c r="I524" s="106" t="str">
        <f aca="false">CONCATENATE(A524,",",D524)</f>
        <v>ME 166,ED1-BME</v>
      </c>
      <c r="J524" s="107"/>
    </row>
    <row r="525" customFormat="false" ht="14.9" hidden="false" customHeight="false" outlineLevel="0" collapsed="false">
      <c r="A525" s="13" t="s">
        <v>422</v>
      </c>
      <c r="B525" s="14" t="str">
        <v>BASIC THERMODYNAMICS</v>
      </c>
      <c r="C525" s="18" t="str">
        <v>Samuel Boahen</v>
      </c>
      <c r="D525" s="13" t="s">
        <v>162</v>
      </c>
      <c r="E525" s="104" t="n">
        <v>85</v>
      </c>
      <c r="F525" s="30" t="s">
        <v>582</v>
      </c>
      <c r="G525" s="105" t="n">
        <f aca="false">E525*1.1</f>
        <v>93.5</v>
      </c>
      <c r="H525" s="3" t="s">
        <v>870</v>
      </c>
      <c r="I525" s="29" t="str">
        <f aca="false">CONCATENATE(A525,",",D525)</f>
        <v>AME 156,ED1-AUTO</v>
      </c>
      <c r="J525" s="12"/>
    </row>
    <row r="526" customFormat="false" ht="14.9" hidden="false" customHeight="false" outlineLevel="0" collapsed="false">
      <c r="A526" s="13" t="s">
        <v>420</v>
      </c>
      <c r="B526" s="18" t="str">
        <v>THERMODYNAMICS I</v>
      </c>
      <c r="C526" s="14" t="str">
        <v>Boahen Samuel</v>
      </c>
      <c r="D526" s="13" t="s">
        <v>36</v>
      </c>
      <c r="E526" s="104" t="n">
        <v>75</v>
      </c>
      <c r="F526" s="19" t="s">
        <v>545</v>
      </c>
      <c r="G526" s="105" t="n">
        <f aca="false">E526*1.1</f>
        <v>82.5</v>
      </c>
      <c r="H526" s="3" t="n">
        <v>75</v>
      </c>
      <c r="I526" s="6" t="str">
        <f aca="false">CONCATENATE(A526,",",D526)</f>
        <v>ME 266,ED2-AERO</v>
      </c>
      <c r="J526" s="12"/>
    </row>
    <row r="527" customFormat="false" ht="14.9" hidden="false" customHeight="false" outlineLevel="0" collapsed="false">
      <c r="A527" s="13" t="s">
        <v>421</v>
      </c>
      <c r="B527" s="18" t="str">
        <v>APPLIED THERMODYNAMICS I</v>
      </c>
      <c r="C527" s="14" t="str">
        <v>Quansah David Ato</v>
      </c>
      <c r="D527" s="13" t="s">
        <v>51</v>
      </c>
      <c r="E527" s="104" t="n">
        <v>295</v>
      </c>
      <c r="F527" s="49" t="s">
        <v>871</v>
      </c>
      <c r="G527" s="105" t="n">
        <f aca="false">E527*1.1</f>
        <v>324.5</v>
      </c>
      <c r="H527" s="50" t="s">
        <v>872</v>
      </c>
      <c r="I527" s="6" t="str">
        <f aca="false">CONCATENATE(A527,",",D527)</f>
        <v>ME 166,ED1-EE</v>
      </c>
      <c r="J527" s="12"/>
    </row>
    <row r="528" customFormat="false" ht="14.9" hidden="false" customHeight="false" outlineLevel="0" collapsed="false">
      <c r="A528" s="13" t="s">
        <v>423</v>
      </c>
      <c r="B528" s="18" t="str">
        <v>ENGINEERING RESEARCH AND TECHNICAL REPORT WRITING</v>
      </c>
      <c r="C528" s="14" t="str">
        <v>Obeng Kwakye Kingsford Sarkodie</v>
      </c>
      <c r="D528" s="13" t="s">
        <v>91</v>
      </c>
      <c r="E528" s="104" t="n">
        <v>130</v>
      </c>
      <c r="F528" s="19" t="s">
        <v>873</v>
      </c>
      <c r="G528" s="105" t="n">
        <f aca="false">E528*1.1</f>
        <v>143</v>
      </c>
      <c r="H528" s="3" t="s">
        <v>658</v>
      </c>
      <c r="I528" s="6" t="str">
        <f aca="false">CONCATENATE(A528,",",D528)</f>
        <v>TE 152,ED1-TEL</v>
      </c>
      <c r="J528" s="12"/>
    </row>
    <row r="529" s="108" customFormat="true" ht="14.9" hidden="false" customHeight="false" outlineLevel="0" collapsed="false">
      <c r="A529" s="119" t="s">
        <v>424</v>
      </c>
      <c r="B529" s="120" t="str">
        <v>FINANCIAL ACCOUNTING II</v>
      </c>
      <c r="C529" s="120" t="str">
        <v>Yeboah Edward</v>
      </c>
      <c r="D529" s="119" t="s">
        <v>108</v>
      </c>
      <c r="E529" s="125" t="n">
        <v>65</v>
      </c>
      <c r="F529" s="129" t="s">
        <v>546</v>
      </c>
      <c r="G529" s="122" t="n">
        <f aca="false">E529*1.1</f>
        <v>71.5</v>
      </c>
      <c r="H529" s="126" t="n">
        <v>65</v>
      </c>
      <c r="I529" s="106" t="str">
        <f aca="false">CONCATENATE(A529,",",D529)</f>
        <v>ACF 256,ED2-COE</v>
      </c>
      <c r="J529" s="107"/>
    </row>
    <row r="530" s="108" customFormat="true" ht="14.9" hidden="false" customHeight="false" outlineLevel="0" collapsed="false">
      <c r="A530" s="119" t="s">
        <v>424</v>
      </c>
      <c r="B530" s="120" t="str">
        <v>FINANCIAL ACCOUNTING II</v>
      </c>
      <c r="C530" s="120" t="str">
        <v>Yeboah Edward</v>
      </c>
      <c r="D530" s="119" t="s">
        <v>109</v>
      </c>
      <c r="E530" s="125" t="n">
        <v>18</v>
      </c>
      <c r="F530" s="129" t="s">
        <v>781</v>
      </c>
      <c r="G530" s="122" t="n">
        <f aca="false">E530*1.1</f>
        <v>19.8</v>
      </c>
      <c r="H530" s="126" t="n">
        <v>18</v>
      </c>
      <c r="I530" s="106" t="str">
        <f aca="false">CONCATENATE(A530,",",D530)</f>
        <v>ACF 256,ED2-BME</v>
      </c>
      <c r="J530" s="107"/>
    </row>
    <row r="531" s="108" customFormat="true" ht="14.9" hidden="false" customHeight="false" outlineLevel="0" collapsed="false">
      <c r="A531" s="119" t="s">
        <v>424</v>
      </c>
      <c r="B531" s="120" t="str">
        <v>FINANCIAL ACCOUNTING II</v>
      </c>
      <c r="C531" s="120" t="str">
        <v>Yeboah Edward</v>
      </c>
      <c r="D531" s="119" t="s">
        <v>172</v>
      </c>
      <c r="E531" s="125" t="n">
        <v>40</v>
      </c>
      <c r="F531" s="129" t="s">
        <v>616</v>
      </c>
      <c r="G531" s="122" t="n">
        <f aca="false">E531*1.1</f>
        <v>44</v>
      </c>
      <c r="H531" s="126" t="n">
        <v>40</v>
      </c>
      <c r="I531" s="106" t="str">
        <f aca="false">CONCATENATE(A531,",",D531)</f>
        <v>ACF 256,ED2-TEL</v>
      </c>
      <c r="J531" s="107"/>
    </row>
    <row r="532" s="108" customFormat="true" ht="14.9" hidden="false" customHeight="false" outlineLevel="0" collapsed="false">
      <c r="A532" s="119" t="s">
        <v>424</v>
      </c>
      <c r="B532" s="124" t="str">
        <v>PRINCIPLES OF ACCOUNTING II</v>
      </c>
      <c r="C532" s="120" t="str">
        <v>John Bosco Dramani</v>
      </c>
      <c r="D532" s="119" t="s">
        <v>126</v>
      </c>
      <c r="E532" s="125" t="n">
        <v>5</v>
      </c>
      <c r="F532" s="129" t="s">
        <v>874</v>
      </c>
      <c r="G532" s="122" t="n">
        <f aca="false">E532*1.1</f>
        <v>5.5</v>
      </c>
      <c r="H532" s="126" t="n">
        <v>5</v>
      </c>
      <c r="I532" s="106" t="str">
        <f aca="false">CONCATENATE(A532,",",D532)</f>
        <v>ACF 256,ED1-GEOL</v>
      </c>
      <c r="J532" s="107"/>
    </row>
    <row r="533" s="108" customFormat="true" ht="14.9" hidden="false" customHeight="false" outlineLevel="0" collapsed="false">
      <c r="A533" s="119" t="s">
        <v>424</v>
      </c>
      <c r="B533" s="120" t="str">
        <v>PRINCIPLES OF ACCOUNTING II</v>
      </c>
      <c r="C533" s="120" t="str">
        <v>Beatrice Sarpong-Danquah</v>
      </c>
      <c r="D533" s="119" t="s">
        <v>77</v>
      </c>
      <c r="E533" s="125" t="n">
        <v>35</v>
      </c>
      <c r="F533" s="129" t="s">
        <v>863</v>
      </c>
      <c r="G533" s="122" t="n">
        <f aca="false">E533*1.1</f>
        <v>38.5</v>
      </c>
      <c r="H533" s="126" t="n">
        <v>35</v>
      </c>
      <c r="I533" s="106" t="str">
        <f aca="false">CONCATENATE(A533,",",D533)</f>
        <v>ACF 256,ED3-GEOM</v>
      </c>
      <c r="J533" s="107"/>
    </row>
    <row r="534" customFormat="false" ht="14.9" hidden="false" customHeight="false" outlineLevel="0" collapsed="false">
      <c r="A534" s="22"/>
      <c r="B534" s="22"/>
      <c r="D534" s="14" t="s">
        <v>425</v>
      </c>
      <c r="E534" s="117" t="n">
        <f aca="false">SUM(E522:E533)</f>
        <v>1204</v>
      </c>
      <c r="F534" s="23"/>
      <c r="G534" s="118"/>
      <c r="I534" s="9" t="s">
        <v>426</v>
      </c>
      <c r="J534" s="12"/>
    </row>
    <row r="535" customFormat="false" ht="14.9" hidden="false" customHeight="false" outlineLevel="0" collapsed="false">
      <c r="A535" s="8" t="s">
        <v>418</v>
      </c>
      <c r="B535" s="8"/>
      <c r="C535" s="8"/>
      <c r="D535" s="8"/>
      <c r="E535" s="8"/>
      <c r="F535" s="8"/>
      <c r="G535" s="8"/>
      <c r="I535" s="9" t="str">
        <f aca="false">A535</f>
        <v>Tuesday, 1 September 2026</v>
      </c>
      <c r="J535" s="12"/>
    </row>
    <row r="536" customFormat="false" ht="14.9" hidden="false" customHeight="false" outlineLevel="0" collapsed="false">
      <c r="A536" s="8" t="s">
        <v>29</v>
      </c>
      <c r="B536" s="8"/>
      <c r="C536" s="8"/>
      <c r="D536" s="8"/>
      <c r="E536" s="8"/>
      <c r="F536" s="8"/>
      <c r="G536" s="8"/>
      <c r="I536" s="9" t="str">
        <f aca="false">A536</f>
        <v>Session, 2 (12:00 PM - 2:00 PM)</v>
      </c>
      <c r="J536" s="12"/>
    </row>
    <row r="537" customFormat="false" ht="14.9" hidden="false" customHeight="false" outlineLevel="0" collapsed="false">
      <c r="A537" s="11" t="s">
        <v>4</v>
      </c>
      <c r="B537" s="11" t="s">
        <v>5</v>
      </c>
      <c r="C537" s="2" t="s">
        <v>6</v>
      </c>
      <c r="D537" s="11" t="s">
        <v>7</v>
      </c>
      <c r="E537" s="102" t="s">
        <v>8</v>
      </c>
      <c r="F537" s="2" t="s">
        <v>9</v>
      </c>
      <c r="G537" s="103" t="s">
        <v>10</v>
      </c>
      <c r="I537" s="9" t="s">
        <v>31</v>
      </c>
      <c r="J537" s="12"/>
    </row>
    <row r="538" customFormat="false" ht="14.9" hidden="false" customHeight="false" outlineLevel="0" collapsed="false">
      <c r="A538" s="13" t="s">
        <v>427</v>
      </c>
      <c r="B538" s="14" t="str">
        <f aca="false" t="array" ref="B538:B550">IFERROR(VLOOKUP(I538:I550,Lectures_1!A2:F534,2,FALSE()),0)</f>
        <v>HUMAN FACTORS AND ERGONOMICS</v>
      </c>
      <c r="C538" s="18" t="str">
        <f aca="false" t="array" ref="C538:C550">IFERROR(VLOOKUP(I538:I550,Lectures_1!A2:F534,3,FALSE()),0)</f>
        <v>Sackey Samuel Mensah</v>
      </c>
      <c r="D538" s="13" t="s">
        <v>124</v>
      </c>
      <c r="E538" s="104" t="n">
        <f aca="false" t="array" ref="E538:E550">IFERROR(VLOOKUP(I538:I550,Lectures_1!A2:F534,4,FALSE()),0)</f>
        <v>69</v>
      </c>
      <c r="F538" s="19" t="s">
        <v>574</v>
      </c>
      <c r="G538" s="105" t="n">
        <f aca="false">E538*1.1</f>
        <v>75.9</v>
      </c>
      <c r="H538" s="3" t="s">
        <v>875</v>
      </c>
      <c r="I538" s="6" t="str">
        <f aca="false">CONCATENATE(A538,",",D538)</f>
        <v>IE 458,ED4-IND</v>
      </c>
      <c r="J538" s="12"/>
    </row>
    <row r="539" customFormat="false" ht="14.9" hidden="false" customHeight="false" outlineLevel="0" collapsed="false">
      <c r="A539" s="13" t="s">
        <v>427</v>
      </c>
      <c r="B539" s="14" t="str">
        <v>HUMAN FACTORS AND ERGONOMICS</v>
      </c>
      <c r="C539" s="18" t="str">
        <v>Sackey Samuel Mensah</v>
      </c>
      <c r="D539" s="13" t="s">
        <v>99</v>
      </c>
      <c r="E539" s="104" t="n">
        <v>5</v>
      </c>
      <c r="F539" s="19" t="s">
        <v>864</v>
      </c>
      <c r="G539" s="105" t="n">
        <f aca="false">E539*1.1</f>
        <v>5.5</v>
      </c>
      <c r="H539" s="3" t="n">
        <v>5</v>
      </c>
      <c r="I539" s="6" t="str">
        <f aca="false">CONCATENATE(A539,",",D539)</f>
        <v>IE 458,ED4-AERO</v>
      </c>
      <c r="J539" s="12"/>
    </row>
    <row r="540" customFormat="false" ht="14.9" hidden="false" customHeight="false" outlineLevel="0" collapsed="false">
      <c r="A540" s="13" t="s">
        <v>110</v>
      </c>
      <c r="B540" s="14" t="str">
        <v>COMPUTER PROGRAMMING FOR ENGINEERS</v>
      </c>
      <c r="C540" s="18" t="str">
        <v>Tay Godwin Fabiola Kwaku</v>
      </c>
      <c r="D540" s="13" t="s">
        <v>191</v>
      </c>
      <c r="E540" s="104" t="n">
        <v>70</v>
      </c>
      <c r="F540" s="19" t="s">
        <v>574</v>
      </c>
      <c r="G540" s="105" t="n">
        <f aca="false">E540*1.1</f>
        <v>77</v>
      </c>
      <c r="H540" s="3" t="s">
        <v>671</v>
      </c>
      <c r="I540" s="6" t="str">
        <f aca="false">CONCATENATE(A540,",",D540)</f>
        <v>ME 168,ED1-AERO</v>
      </c>
      <c r="J540" s="12"/>
    </row>
    <row r="541" customFormat="false" ht="14.9" hidden="false" customHeight="false" outlineLevel="0" collapsed="false">
      <c r="A541" s="13" t="s">
        <v>110</v>
      </c>
      <c r="B541" s="14" t="str">
        <v>COMPUTER PROGRAMMING FOR ENGINEERS</v>
      </c>
      <c r="C541" s="18" t="str">
        <v>Tay Godwin Fabiola Kwaku</v>
      </c>
      <c r="D541" s="13" t="s">
        <v>161</v>
      </c>
      <c r="E541" s="104" t="n">
        <v>225</v>
      </c>
      <c r="F541" s="19" t="s">
        <v>687</v>
      </c>
      <c r="G541" s="105" t="n">
        <f aca="false">E541*1.1</f>
        <v>247.5</v>
      </c>
      <c r="H541" s="3" t="s">
        <v>876</v>
      </c>
      <c r="I541" s="6" t="str">
        <f aca="false">CONCATENATE(A541,",",D541)</f>
        <v>ME 168,ED1-ME</v>
      </c>
      <c r="J541" s="12"/>
    </row>
    <row r="542" customFormat="false" ht="14.9" hidden="false" customHeight="false" outlineLevel="0" collapsed="false">
      <c r="A542" s="13" t="s">
        <v>428</v>
      </c>
      <c r="B542" s="14" t="str">
        <v>BIOMATERIALS I</v>
      </c>
      <c r="C542" s="18" t="str">
        <v>Odame Prince</v>
      </c>
      <c r="D542" s="13" t="s">
        <v>65</v>
      </c>
      <c r="E542" s="104" t="n">
        <v>90</v>
      </c>
      <c r="F542" s="19" t="s">
        <v>571</v>
      </c>
      <c r="G542" s="105" t="n">
        <f aca="false">E542*1.1</f>
        <v>99</v>
      </c>
      <c r="H542" s="3" t="s">
        <v>877</v>
      </c>
      <c r="I542" s="6" t="str">
        <f aca="false">CONCATENATE(A542,",",D542)</f>
        <v>BME 362,ED3-BME</v>
      </c>
      <c r="J542" s="12"/>
    </row>
    <row r="543" s="108" customFormat="true" ht="14.9" hidden="false" customHeight="false" outlineLevel="0" collapsed="false">
      <c r="A543" s="13" t="s">
        <v>268</v>
      </c>
      <c r="B543" s="18" t="str">
        <v>ENGINEERING MECHANICS I:STATICS</v>
      </c>
      <c r="C543" s="18" t="str">
        <v>Amoabeng Kofi Owura</v>
      </c>
      <c r="D543" s="13" t="s">
        <v>111</v>
      </c>
      <c r="E543" s="104" t="n">
        <v>83</v>
      </c>
      <c r="F543" s="5" t="s">
        <v>667</v>
      </c>
      <c r="G543" s="105" t="n">
        <f aca="false">E543*1.1</f>
        <v>91.3</v>
      </c>
      <c r="H543" s="126" t="s">
        <v>878</v>
      </c>
      <c r="I543" s="106" t="str">
        <f aca="false">CONCATENATE(A543,",",D543)</f>
        <v>ME 164,ED1-IND</v>
      </c>
      <c r="J543" s="107"/>
    </row>
    <row r="544" s="108" customFormat="true" ht="14.9" hidden="false" customHeight="false" outlineLevel="0" collapsed="false">
      <c r="A544" s="13" t="s">
        <v>268</v>
      </c>
      <c r="B544" s="14" t="str">
        <v>ENGINEERING MECHANICS I:STATICS</v>
      </c>
      <c r="C544" s="18" t="str">
        <v>Amoabeng Kofi Owura</v>
      </c>
      <c r="D544" s="13" t="s">
        <v>112</v>
      </c>
      <c r="E544" s="104" t="n">
        <v>46</v>
      </c>
      <c r="F544" s="13" t="s">
        <v>879</v>
      </c>
      <c r="G544" s="105" t="n">
        <f aca="false">E544*1.1</f>
        <v>50.6</v>
      </c>
      <c r="H544" s="126" t="s">
        <v>623</v>
      </c>
      <c r="I544" s="106" t="str">
        <f aca="false">CONCATENATE(A544,",",D544)</f>
        <v>ME 164,ED1-MARI</v>
      </c>
      <c r="J544" s="107"/>
    </row>
    <row r="545" customFormat="false" ht="14.9" hidden="false" customHeight="false" outlineLevel="0" collapsed="false">
      <c r="A545" s="30" t="s">
        <v>429</v>
      </c>
      <c r="B545" s="11" t="str">
        <v>FARM MACHINERY DESIGN</v>
      </c>
      <c r="C545" s="14" t="str">
        <v>Aveyire Joseph</v>
      </c>
      <c r="D545" s="30" t="s">
        <v>50</v>
      </c>
      <c r="E545" s="161" t="n">
        <v>103</v>
      </c>
      <c r="F545" s="30" t="s">
        <v>859</v>
      </c>
      <c r="G545" s="105" t="n">
        <f aca="false">E545*1.1</f>
        <v>113.3</v>
      </c>
      <c r="H545" s="3" t="s">
        <v>880</v>
      </c>
      <c r="I545" s="6" t="str">
        <f aca="false">CONCATENATE(A545,",",D545)</f>
        <v>AE 482,ED4-AE</v>
      </c>
      <c r="J545" s="12"/>
    </row>
    <row r="546" customFormat="false" ht="14.9" hidden="false" customHeight="false" outlineLevel="0" collapsed="false">
      <c r="A546" s="13" t="s">
        <v>430</v>
      </c>
      <c r="B546" s="18" t="str">
        <v>INTRODUCTION TO INFORMATION TECHNOLOGY</v>
      </c>
      <c r="C546" s="14" t="str">
        <v>Titus Tienaah</v>
      </c>
      <c r="D546" s="13" t="s">
        <v>95</v>
      </c>
      <c r="E546" s="104" t="n">
        <v>103</v>
      </c>
      <c r="F546" s="19" t="s">
        <v>881</v>
      </c>
      <c r="G546" s="105" t="n">
        <f aca="false">E546*1.1</f>
        <v>113.3</v>
      </c>
      <c r="H546" s="3" t="s">
        <v>882</v>
      </c>
      <c r="I546" s="6" t="str">
        <f aca="false">CONCATENATE(A546,",",D546)</f>
        <v>GE 158,ED1-GEOM</v>
      </c>
      <c r="J546" s="12"/>
    </row>
    <row r="547" customFormat="false" ht="14.9" hidden="false" customHeight="false" outlineLevel="0" collapsed="false">
      <c r="A547" s="13" t="s">
        <v>432</v>
      </c>
      <c r="B547" s="18" t="str">
        <v>SECURE NETWORK SYSTEMS</v>
      </c>
      <c r="C547" s="14" t="str">
        <v>Tchao Eric Tutu</v>
      </c>
      <c r="D547" s="13" t="s">
        <v>251</v>
      </c>
      <c r="E547" s="161" t="n">
        <v>90</v>
      </c>
      <c r="F547" s="19" t="s">
        <v>571</v>
      </c>
      <c r="G547" s="105" t="n">
        <f aca="false">E547*1.1</f>
        <v>99</v>
      </c>
      <c r="H547" s="3" t="s">
        <v>877</v>
      </c>
      <c r="I547" s="6" t="str">
        <f aca="false">CONCATENATE(A547,",",D547)</f>
        <v>COE 456,ED4-COE</v>
      </c>
      <c r="J547" s="12"/>
    </row>
    <row r="548" s="116" customFormat="true" ht="14.9" hidden="false" customHeight="false" outlineLevel="0" collapsed="false">
      <c r="A548" s="109" t="s">
        <v>22</v>
      </c>
      <c r="B548" s="110" t="str">
        <v>AUTOMOTIVE CHASSIS</v>
      </c>
      <c r="C548" s="110" t="str">
        <v>Ayetor Godwin Kafui Kwesi</v>
      </c>
      <c r="D548" s="109" t="s">
        <v>23</v>
      </c>
      <c r="E548" s="111" t="n">
        <v>40</v>
      </c>
      <c r="F548" s="109" t="s">
        <v>955</v>
      </c>
      <c r="G548" s="112" t="n">
        <f aca="false">E548*1.1</f>
        <v>44</v>
      </c>
      <c r="H548" s="113" t="n">
        <v>40</v>
      </c>
      <c r="I548" s="127" t="str">
        <f aca="false">CONCATENATE(A548,",",D548)</f>
        <v>AME 376,ED3-AUTO</v>
      </c>
      <c r="J548" s="115"/>
    </row>
    <row r="549" s="116" customFormat="true" ht="14.9" hidden="false" customHeight="false" outlineLevel="0" collapsed="false">
      <c r="A549" s="109" t="s">
        <v>433</v>
      </c>
      <c r="B549" s="110" t="str">
        <v>AUTOMOTIVE CHASSIS</v>
      </c>
      <c r="C549" s="114" t="str">
        <v>Ayetor Godwin Kafui Kwesi</v>
      </c>
      <c r="D549" s="109" t="s">
        <v>40</v>
      </c>
      <c r="E549" s="111" t="n">
        <v>82</v>
      </c>
      <c r="F549" s="109" t="s">
        <v>956</v>
      </c>
      <c r="G549" s="112" t="n">
        <f aca="false">E549*1.1</f>
        <v>90.2</v>
      </c>
      <c r="H549" s="159" t="n">
        <v>82</v>
      </c>
      <c r="I549" s="127" t="str">
        <f aca="false">CONCATENATE(A549,",",D549)</f>
        <v>AME 256,ED2-AUTO</v>
      </c>
      <c r="J549" s="115"/>
    </row>
    <row r="550" s="116" customFormat="true" ht="14.9" hidden="false" customHeight="false" outlineLevel="0" collapsed="false">
      <c r="A550" s="109" t="s">
        <v>434</v>
      </c>
      <c r="B550" s="110" t="str">
        <v>SATELLITE COMMUNICATION AND NAVIGATION SYSTEMS</v>
      </c>
      <c r="C550" s="110" t="str">
        <v>Gadze James Dzisi</v>
      </c>
      <c r="D550" s="158" t="s">
        <v>227</v>
      </c>
      <c r="E550" s="111" t="n">
        <v>138</v>
      </c>
      <c r="F550" s="109" t="s">
        <v>954</v>
      </c>
      <c r="G550" s="112" t="n">
        <f aca="false">E550*1.1</f>
        <v>151.8</v>
      </c>
      <c r="H550" s="159" t="s">
        <v>883</v>
      </c>
      <c r="I550" s="127" t="str">
        <f aca="false">CONCATENATE(A550,",",D550)</f>
        <v>TE 456,ED4-TEL</v>
      </c>
      <c r="J550" s="115"/>
    </row>
    <row r="551" customFormat="false" ht="13.8" hidden="false" customHeight="false" outlineLevel="0" collapsed="false">
      <c r="A551" s="22"/>
      <c r="B551" s="22"/>
      <c r="D551" s="14" t="s">
        <v>435</v>
      </c>
      <c r="E551" s="117" t="e">
        <f aca="false">SUM(_xlfn.anchorarray(E538))</f>
        <v>#NAME?</v>
      </c>
      <c r="F551" s="23"/>
      <c r="G551" s="118"/>
      <c r="I551" s="9"/>
      <c r="J551" s="12"/>
    </row>
    <row r="552" customFormat="false" ht="14.9" hidden="false" customHeight="false" outlineLevel="0" collapsed="false">
      <c r="A552" s="8" t="s">
        <v>418</v>
      </c>
      <c r="B552" s="8"/>
      <c r="C552" s="8"/>
      <c r="D552" s="8"/>
      <c r="E552" s="8"/>
      <c r="F552" s="8"/>
      <c r="G552" s="8"/>
      <c r="I552" s="9" t="str">
        <f aca="false">A552</f>
        <v>Tuesday, 1 September 2026</v>
      </c>
      <c r="J552" s="12"/>
    </row>
    <row r="553" customFormat="false" ht="14.9" hidden="false" customHeight="false" outlineLevel="0" collapsed="false">
      <c r="A553" s="8" t="s">
        <v>59</v>
      </c>
      <c r="B553" s="8"/>
      <c r="C553" s="8"/>
      <c r="D553" s="8"/>
      <c r="E553" s="8"/>
      <c r="F553" s="8"/>
      <c r="G553" s="8"/>
      <c r="I553" s="9" t="str">
        <f aca="false">A553</f>
        <v>Session, 3 (3:00 PM - 5:00 PM)</v>
      </c>
      <c r="J553" s="12"/>
    </row>
    <row r="554" customFormat="false" ht="14.9" hidden="false" customHeight="false" outlineLevel="0" collapsed="false">
      <c r="A554" s="11" t="s">
        <v>4</v>
      </c>
      <c r="B554" s="11" t="s">
        <v>5</v>
      </c>
      <c r="C554" s="2" t="s">
        <v>6</v>
      </c>
      <c r="D554" s="11" t="s">
        <v>7</v>
      </c>
      <c r="E554" s="102" t="s">
        <v>8</v>
      </c>
      <c r="F554" s="2" t="s">
        <v>9</v>
      </c>
      <c r="G554" s="103" t="s">
        <v>10</v>
      </c>
      <c r="I554" s="9" t="s">
        <v>31</v>
      </c>
      <c r="J554" s="12"/>
    </row>
    <row r="555" customFormat="false" ht="14.9" hidden="false" customHeight="false" outlineLevel="0" collapsed="false">
      <c r="A555" s="13" t="s">
        <v>436</v>
      </c>
      <c r="B555" s="18" t="str">
        <f aca="false" t="array" ref="B555:B569">IFERROR(VLOOKUP(I555:I569,Lectures_1!A2:F534,2,FALSE()),0)</f>
        <v>AIRCRAFT PERFORMANCE AND DESIGN</v>
      </c>
      <c r="C555" s="18" t="str">
        <f aca="false" t="array" ref="C555:C569">IFERROR(VLOOKUP(I555:I569,Lectures_1!A2:F534,3,FALSE()),0)</f>
        <v>Agyei Agyemang Anthony</v>
      </c>
      <c r="D555" s="13" t="s">
        <v>133</v>
      </c>
      <c r="E555" s="104" t="n">
        <f aca="false" t="array" ref="E555:E569">IFERROR(VLOOKUP(I555:I569,Lectures_1!A2:F534,4,FALSE()),0)</f>
        <v>76</v>
      </c>
      <c r="F555" s="19" t="s">
        <v>850</v>
      </c>
      <c r="G555" s="105" t="n">
        <f aca="false">E555*1.1</f>
        <v>83.6</v>
      </c>
      <c r="H555" s="3" t="s">
        <v>884</v>
      </c>
      <c r="I555" s="6" t="str">
        <f aca="false">CONCATENATE(A555,",",D555)</f>
        <v>AERO 374,ED3-AERO</v>
      </c>
      <c r="J555" s="12"/>
    </row>
    <row r="556" customFormat="false" ht="14.9" hidden="false" customHeight="false" outlineLevel="0" collapsed="false">
      <c r="A556" s="13" t="s">
        <v>437</v>
      </c>
      <c r="B556" s="18" t="str">
        <v>STRUCTURAL GEOLOGY</v>
      </c>
      <c r="C556" s="18" t="str">
        <v>Wilson Matthew Coffie</v>
      </c>
      <c r="D556" s="13" t="s">
        <v>154</v>
      </c>
      <c r="E556" s="104" t="n">
        <v>154</v>
      </c>
      <c r="F556" s="19" t="s">
        <v>693</v>
      </c>
      <c r="G556" s="105" t="n">
        <f aca="false">E556*1.1</f>
        <v>169.4</v>
      </c>
      <c r="H556" s="3" t="s">
        <v>885</v>
      </c>
      <c r="I556" s="6" t="str">
        <f aca="false">CONCATENATE(A556,",",D556)</f>
        <v>GED 364,ED3-GEOL</v>
      </c>
      <c r="J556" s="12"/>
    </row>
    <row r="557" customFormat="false" ht="14.9" hidden="false" customHeight="false" outlineLevel="0" collapsed="false">
      <c r="A557" s="13" t="s">
        <v>438</v>
      </c>
      <c r="B557" s="18" t="str">
        <v>ENERGY AND CLIMATE CHANGE</v>
      </c>
      <c r="C557" s="18" t="str">
        <v>Sokama-Neuyam Yen Adams</v>
      </c>
      <c r="D557" s="13" t="s">
        <v>46</v>
      </c>
      <c r="E557" s="104" t="n">
        <v>22</v>
      </c>
      <c r="F557" s="19" t="s">
        <v>886</v>
      </c>
      <c r="G557" s="105" t="n">
        <f aca="false">E557*1.1</f>
        <v>24.2</v>
      </c>
      <c r="H557" s="3" t="n">
        <v>22</v>
      </c>
      <c r="I557" s="6" t="str">
        <f aca="false">CONCATENATE(A557,",",D557)</f>
        <v>PE 476,ED4-PE</v>
      </c>
      <c r="J557" s="12"/>
    </row>
    <row r="558" s="116" customFormat="true" ht="14.9" hidden="false" customHeight="false" outlineLevel="0" collapsed="false">
      <c r="A558" s="109" t="s">
        <v>439</v>
      </c>
      <c r="B558" s="114" t="str">
        <v>REGIONAL GEOLOGY</v>
      </c>
      <c r="C558" s="114" t="str">
        <v>Quaye Jonathan Atuquaye</v>
      </c>
      <c r="D558" s="109" t="s">
        <v>93</v>
      </c>
      <c r="E558" s="111" t="n">
        <v>95</v>
      </c>
      <c r="F558" s="158" t="s">
        <v>956</v>
      </c>
      <c r="G558" s="112" t="n">
        <f aca="false">E558*1.1</f>
        <v>104.5</v>
      </c>
      <c r="H558" s="159" t="n">
        <v>95</v>
      </c>
      <c r="I558" s="127" t="str">
        <f aca="false">CONCATENATE(A558,",",D558)</f>
        <v>PE 256,ED2-PE</v>
      </c>
      <c r="J558" s="115"/>
    </row>
    <row r="559" customFormat="false" ht="14.9" hidden="false" customHeight="false" outlineLevel="0" collapsed="false">
      <c r="A559" s="13" t="s">
        <v>440</v>
      </c>
      <c r="B559" s="18" t="str">
        <v>MARINE ELECTRICAL TECHNOLOGY AND ELECTRICAL MEASUREMENTS</v>
      </c>
      <c r="C559" s="18" t="str">
        <v>Frimpong Emmanuel Asuming</v>
      </c>
      <c r="D559" s="13" t="s">
        <v>86</v>
      </c>
      <c r="E559" s="104" t="n">
        <v>40</v>
      </c>
      <c r="F559" s="19" t="s">
        <v>864</v>
      </c>
      <c r="G559" s="105" t="n">
        <f aca="false">E559*1.1</f>
        <v>44</v>
      </c>
      <c r="H559" s="3" t="n">
        <v>40</v>
      </c>
      <c r="I559" s="6" t="str">
        <f aca="false">CONCATENATE(A559,",",D559)</f>
        <v>MME 386,ED3-MARI</v>
      </c>
      <c r="J559" s="12"/>
    </row>
    <row r="560" customFormat="false" ht="14.9" hidden="false" customHeight="false" outlineLevel="0" collapsed="false">
      <c r="A560" s="13" t="s">
        <v>441</v>
      </c>
      <c r="B560" s="18" t="str">
        <v>SURFACE TREATMENT OF MATERIALS</v>
      </c>
      <c r="C560" s="18" t="str">
        <v>Andrews Anthony</v>
      </c>
      <c r="D560" s="13" t="s">
        <v>135</v>
      </c>
      <c r="E560" s="104" t="n">
        <v>60</v>
      </c>
      <c r="F560" s="13" t="s">
        <v>545</v>
      </c>
      <c r="G560" s="105" t="n">
        <f aca="false">E560*1.1</f>
        <v>66</v>
      </c>
      <c r="H560" s="3" t="n">
        <v>60</v>
      </c>
      <c r="I560" s="6" t="str">
        <f aca="false">CONCATENATE(A560,",",D560)</f>
        <v>MSE 454,ED4-MSE</v>
      </c>
      <c r="J560" s="12"/>
    </row>
    <row r="561" customFormat="false" ht="14.9" hidden="false" customHeight="false" outlineLevel="0" collapsed="false">
      <c r="A561" s="13" t="s">
        <v>442</v>
      </c>
      <c r="B561" s="14" t="str">
        <v>ELECTROMETALLURGY</v>
      </c>
      <c r="C561" s="14" t="str">
        <v>Agbe Henry</v>
      </c>
      <c r="D561" s="13" t="s">
        <v>136</v>
      </c>
      <c r="E561" s="104" t="n">
        <v>55</v>
      </c>
      <c r="F561" s="19" t="s">
        <v>650</v>
      </c>
      <c r="G561" s="105" t="n">
        <f aca="false">E561*1.1</f>
        <v>60.5</v>
      </c>
      <c r="H561" s="3" t="s">
        <v>540</v>
      </c>
      <c r="I561" s="6" t="str">
        <f aca="false">CONCATENATE(A561,",",D561)</f>
        <v>METE 452,ED4-METE</v>
      </c>
      <c r="J561" s="12"/>
    </row>
    <row r="562" s="108" customFormat="true" ht="14.9" hidden="false" customHeight="false" outlineLevel="0" collapsed="false">
      <c r="A562" s="13" t="s">
        <v>392</v>
      </c>
      <c r="B562" s="14" t="str">
        <v>BASIC MECHANICS</v>
      </c>
      <c r="C562" s="18" t="str">
        <v>Opoku Richard</v>
      </c>
      <c r="D562" s="13" t="s">
        <v>114</v>
      </c>
      <c r="E562" s="104" t="n">
        <v>75</v>
      </c>
      <c r="F562" s="19" t="s">
        <v>571</v>
      </c>
      <c r="G562" s="105" t="n">
        <f aca="false">E562*1.1</f>
        <v>82.5</v>
      </c>
      <c r="H562" s="126" t="s">
        <v>887</v>
      </c>
      <c r="I562" s="106" t="str">
        <f aca="false">CONCATENATE(A562,",",D562)</f>
        <v>ME 162,ED1-METE</v>
      </c>
      <c r="J562" s="107"/>
    </row>
    <row r="563" s="108" customFormat="true" ht="14.9" hidden="false" customHeight="false" outlineLevel="0" collapsed="false">
      <c r="A563" s="13" t="s">
        <v>392</v>
      </c>
      <c r="B563" s="14" t="str">
        <v>BASIC MECHANICS</v>
      </c>
      <c r="C563" s="18" t="str">
        <v>Boahen Samuel</v>
      </c>
      <c r="D563" s="13" t="s">
        <v>81</v>
      </c>
      <c r="E563" s="104" t="n">
        <v>56</v>
      </c>
      <c r="F563" s="30" t="s">
        <v>574</v>
      </c>
      <c r="G563" s="105" t="n">
        <f aca="false">E563*1.1</f>
        <v>61.6</v>
      </c>
      <c r="H563" s="126" t="s">
        <v>888</v>
      </c>
      <c r="I563" s="106" t="str">
        <f aca="false">CONCATENATE(A563,",",D563)</f>
        <v>ME 162,ED1-PCE</v>
      </c>
      <c r="J563" s="107"/>
    </row>
    <row r="564" customFormat="false" ht="14.9" hidden="false" customHeight="false" outlineLevel="0" collapsed="false">
      <c r="A564" s="13" t="s">
        <v>444</v>
      </c>
      <c r="B564" s="14" t="str">
        <v>RELIABILITY ENGINEERING</v>
      </c>
      <c r="C564" s="14" t="str">
        <v>Takyi Gabriel</v>
      </c>
      <c r="D564" s="13" t="s">
        <v>121</v>
      </c>
      <c r="E564" s="104" t="n">
        <v>70</v>
      </c>
      <c r="F564" s="19" t="s">
        <v>545</v>
      </c>
      <c r="G564" s="105" t="n">
        <f aca="false">E564*1.1</f>
        <v>77</v>
      </c>
      <c r="H564" s="3" t="n">
        <v>70</v>
      </c>
      <c r="I564" s="6" t="str">
        <f aca="false">CONCATENATE(A564,",",D564)</f>
        <v>IE 356,ED3-IND</v>
      </c>
      <c r="J564" s="12"/>
    </row>
    <row r="565" customFormat="false" ht="14.9" hidden="false" customHeight="false" outlineLevel="0" collapsed="false">
      <c r="A565" s="13" t="s">
        <v>445</v>
      </c>
      <c r="B565" s="14" t="str">
        <v>GROUNDWATER DEVELOPMENT</v>
      </c>
      <c r="C565" s="18" t="str">
        <v>Ali Bukari</v>
      </c>
      <c r="D565" s="13" t="s">
        <v>177</v>
      </c>
      <c r="E565" s="104" t="n">
        <v>95</v>
      </c>
      <c r="F565" s="19" t="s">
        <v>571</v>
      </c>
      <c r="G565" s="105" t="n">
        <f aca="false">E565*1.1</f>
        <v>104.5</v>
      </c>
      <c r="H565" s="3" t="s">
        <v>856</v>
      </c>
      <c r="I565" s="6" t="str">
        <f aca="false">CONCATENATE(A565,",",D565)</f>
        <v>GED 476,ED4-GEOL</v>
      </c>
      <c r="J565" s="12"/>
    </row>
    <row r="566" customFormat="false" ht="14.9" hidden="false" customHeight="false" outlineLevel="0" collapsed="false">
      <c r="A566" s="13" t="s">
        <v>446</v>
      </c>
      <c r="B566" s="11" t="str">
        <v>VEHICLE MAINTENANCE AND REGULATION</v>
      </c>
      <c r="C566" s="18" t="str">
        <v>Abu Frimpong Solomon</v>
      </c>
      <c r="D566" s="13" t="s">
        <v>97</v>
      </c>
      <c r="E566" s="161" t="n">
        <v>32</v>
      </c>
      <c r="F566" s="19" t="s">
        <v>632</v>
      </c>
      <c r="G566" s="105" t="n">
        <f aca="false">E566*1.1</f>
        <v>35.2</v>
      </c>
      <c r="H566" s="3" t="n">
        <v>32</v>
      </c>
      <c r="I566" s="6" t="str">
        <f aca="false">CONCATENATE(A566,",",D566)</f>
        <v>AME 496,ED4-AUTO</v>
      </c>
      <c r="J566" s="12"/>
    </row>
    <row r="567" customFormat="false" ht="14.9" hidden="false" customHeight="false" outlineLevel="0" collapsed="false">
      <c r="A567" s="13" t="s">
        <v>447</v>
      </c>
      <c r="B567" s="18" t="str">
        <v>INDUSTRIAL AUTOMATIC CONTROL</v>
      </c>
      <c r="C567" s="14" t="str">
        <v>Opoku Daniel</v>
      </c>
      <c r="D567" s="13" t="s">
        <v>144</v>
      </c>
      <c r="E567" s="104" t="n">
        <v>205</v>
      </c>
      <c r="F567" s="19" t="s">
        <v>889</v>
      </c>
      <c r="G567" s="105" t="n">
        <f aca="false">E567*1.1</f>
        <v>225.5</v>
      </c>
      <c r="H567" s="3" t="s">
        <v>890</v>
      </c>
      <c r="I567" s="6" t="str">
        <f aca="false">CONCATENATE(A567,",",D567)</f>
        <v>EE 484,ED4-EE</v>
      </c>
      <c r="J567" s="12"/>
    </row>
    <row r="568" customFormat="false" ht="14.9" hidden="false" customHeight="false" outlineLevel="0" collapsed="false">
      <c r="A568" s="13" t="s">
        <v>448</v>
      </c>
      <c r="B568" s="14" t="str">
        <v>PETROLEUM PRODUCTION ENGINEERING</v>
      </c>
      <c r="C568" s="18" t="str">
        <v>Ankudey Emmanuel Godwin</v>
      </c>
      <c r="D568" s="13" t="s">
        <v>63</v>
      </c>
      <c r="E568" s="104" t="n">
        <v>53</v>
      </c>
      <c r="F568" s="19" t="s">
        <v>574</v>
      </c>
      <c r="G568" s="105" t="n">
        <f aca="false">E568*1.1</f>
        <v>58.3</v>
      </c>
      <c r="H568" s="3" t="s">
        <v>891</v>
      </c>
      <c r="I568" s="6" t="str">
        <f aca="false">CONCATENATE(A568,",",D568)</f>
        <v>PETE 354,ED3-PCE</v>
      </c>
      <c r="J568" s="12"/>
    </row>
    <row r="569" customFormat="false" ht="14.9" hidden="false" customHeight="false" outlineLevel="0" collapsed="false">
      <c r="A569" s="13" t="s">
        <v>449</v>
      </c>
      <c r="B569" s="18" t="str">
        <v>SHIP CONSTRUCTION</v>
      </c>
      <c r="C569" s="14" t="str">
        <v>Jehoshaphat Eyram Deh</v>
      </c>
      <c r="D569" s="13" t="s">
        <v>69</v>
      </c>
      <c r="E569" s="104" t="n">
        <v>23</v>
      </c>
      <c r="F569" s="19" t="n">
        <v>303</v>
      </c>
      <c r="G569" s="105" t="n">
        <f aca="false">E569*1.1</f>
        <v>25.3</v>
      </c>
      <c r="H569" s="3" t="n">
        <v>23</v>
      </c>
      <c r="I569" s="6" t="str">
        <f aca="false">CONCATENATE(A569,",",D569)</f>
        <v>MME 476,ED4-MARI</v>
      </c>
      <c r="J569" s="12"/>
    </row>
    <row r="570" customFormat="false" ht="14.9" hidden="false" customHeight="false" outlineLevel="0" collapsed="false">
      <c r="A570" s="22"/>
      <c r="B570" s="22"/>
      <c r="D570" s="14" t="s">
        <v>450</v>
      </c>
      <c r="E570" s="117" t="n">
        <f aca="false">SUM(E555:E569)</f>
        <v>1111</v>
      </c>
      <c r="F570" s="23"/>
      <c r="G570" s="118"/>
      <c r="I570" s="9" t="s">
        <v>451</v>
      </c>
      <c r="J570" s="12"/>
    </row>
    <row r="571" customFormat="false" ht="14.9" hidden="false" customHeight="false" outlineLevel="0" collapsed="false">
      <c r="A571" s="8" t="s">
        <v>452</v>
      </c>
      <c r="B571" s="8"/>
      <c r="C571" s="8"/>
      <c r="D571" s="8"/>
      <c r="E571" s="8"/>
      <c r="F571" s="8"/>
      <c r="G571" s="8"/>
      <c r="I571" s="9" t="str">
        <f aca="false">A571</f>
        <v>Wednesday, 2 September 2026</v>
      </c>
      <c r="J571" s="12"/>
    </row>
    <row r="572" customFormat="false" ht="14.9" hidden="false" customHeight="false" outlineLevel="0" collapsed="false">
      <c r="A572" s="8" t="s">
        <v>2</v>
      </c>
      <c r="B572" s="8"/>
      <c r="C572" s="8"/>
      <c r="D572" s="8"/>
      <c r="E572" s="8"/>
      <c r="F572" s="8"/>
      <c r="G572" s="8"/>
      <c r="I572" s="9" t="str">
        <f aca="false">A572</f>
        <v>Session, 1 (8:30 AM - 10:30 AM)</v>
      </c>
      <c r="J572" s="12"/>
    </row>
    <row r="573" customFormat="false" ht="14.9" hidden="false" customHeight="false" outlineLevel="0" collapsed="false">
      <c r="A573" s="11" t="s">
        <v>4</v>
      </c>
      <c r="B573" s="11" t="s">
        <v>5</v>
      </c>
      <c r="C573" s="2" t="s">
        <v>6</v>
      </c>
      <c r="D573" s="11" t="s">
        <v>7</v>
      </c>
      <c r="E573" s="102" t="s">
        <v>8</v>
      </c>
      <c r="F573" s="2" t="s">
        <v>9</v>
      </c>
      <c r="G573" s="103" t="s">
        <v>10</v>
      </c>
      <c r="I573" s="9" t="s">
        <v>31</v>
      </c>
      <c r="J573" s="12"/>
    </row>
    <row r="574" customFormat="false" ht="14.9" hidden="false" customHeight="false" outlineLevel="0" collapsed="false">
      <c r="A574" s="13" t="s">
        <v>454</v>
      </c>
      <c r="B574" s="18" t="str">
        <f aca="false" t="array" ref="B574:B582">IFERROR(VLOOKUP(I574:I582,Lectures_1!A2:F534,2,FALSE()),0)</f>
        <v>ENGINEERING WORKSHOP PRACTICE</v>
      </c>
      <c r="C574" s="18" t="str">
        <f aca="false" t="array" ref="C574:C582">IFERROR(VLOOKUP(I574:I582,Lectures_1!A2:F534,3,FALSE()),0)</f>
        <v>Michael Adusei-Bonsu</v>
      </c>
      <c r="D574" s="13" t="s">
        <v>131</v>
      </c>
      <c r="E574" s="104" t="n">
        <f aca="false" t="array" ref="E574:E582">IFERROR(VLOOKUP(I574:I582,Lectures_1!A2:F534,4,FALSE()),0)</f>
        <v>128</v>
      </c>
      <c r="F574" s="19" t="s">
        <v>611</v>
      </c>
      <c r="G574" s="105" t="n">
        <f aca="false">E574*1.1</f>
        <v>140.8</v>
      </c>
      <c r="H574" s="3" t="s">
        <v>848</v>
      </c>
      <c r="I574" s="6" t="str">
        <f aca="false">CONCATENATE(A574,",",D574)</f>
        <v>AE 196,ED1-AE</v>
      </c>
      <c r="J574" s="12"/>
    </row>
    <row r="575" customFormat="false" ht="14.9" hidden="false" customHeight="false" outlineLevel="0" collapsed="false">
      <c r="A575" s="13" t="s">
        <v>455</v>
      </c>
      <c r="B575" s="18" t="str">
        <v>SOIL MECHANICS APPLICATION TO MECHANISATION</v>
      </c>
      <c r="C575" s="18" t="str">
        <v>Agodzo Sampson Kwaku</v>
      </c>
      <c r="D575" s="13" t="s">
        <v>88</v>
      </c>
      <c r="E575" s="104" t="n">
        <v>101</v>
      </c>
      <c r="F575" s="19" t="s">
        <v>859</v>
      </c>
      <c r="G575" s="105" t="n">
        <f aca="false">E575*1.1</f>
        <v>111.1</v>
      </c>
      <c r="H575" s="3" t="s">
        <v>892</v>
      </c>
      <c r="I575" s="6" t="str">
        <f aca="false">CONCATENATE(A575,",",D575)</f>
        <v>AE 352,ED3-AE</v>
      </c>
      <c r="J575" s="12"/>
    </row>
    <row r="576" customFormat="false" ht="14.9" hidden="false" customHeight="false" outlineLevel="0" collapsed="false">
      <c r="A576" s="13" t="s">
        <v>456</v>
      </c>
      <c r="B576" s="14" t="str">
        <v>AQUATIC STROKES DEVELOPMENT AND REFINEMENT</v>
      </c>
      <c r="C576" s="14" t="str">
        <v>Afrifa Daniel</v>
      </c>
      <c r="D576" s="13" t="s">
        <v>42</v>
      </c>
      <c r="E576" s="104" t="n">
        <v>37</v>
      </c>
      <c r="F576" s="19" t="s">
        <v>541</v>
      </c>
      <c r="G576" s="105" t="n">
        <f aca="false">E576*1.1</f>
        <v>40.7</v>
      </c>
      <c r="H576" s="5" t="n">
        <v>37</v>
      </c>
      <c r="I576" s="6" t="str">
        <f aca="false">CONCATENATE(A576,",",D576)</f>
        <v>SES 172,ED2-MARI</v>
      </c>
      <c r="J576" s="12"/>
    </row>
    <row r="577" customFormat="false" ht="14.9" hidden="false" customHeight="false" outlineLevel="0" collapsed="false">
      <c r="A577" s="13" t="s">
        <v>458</v>
      </c>
      <c r="B577" s="14" t="str">
        <v>FLUID MACHINERY</v>
      </c>
      <c r="C577" s="18" t="str">
        <v>Opoku Richard</v>
      </c>
      <c r="D577" s="13" t="s">
        <v>67</v>
      </c>
      <c r="E577" s="104" t="n">
        <v>80</v>
      </c>
      <c r="F577" s="19" t="s">
        <v>893</v>
      </c>
      <c r="G577" s="105" t="n">
        <f aca="false">E577*1.1</f>
        <v>88</v>
      </c>
      <c r="H577" s="3" t="s">
        <v>692</v>
      </c>
      <c r="I577" s="6" t="str">
        <f aca="false">CONCATENATE(A577,",",D577)</f>
        <v>ME 452,ED4-ME</v>
      </c>
      <c r="J577" s="12"/>
    </row>
    <row r="578" customFormat="false" ht="14.9" hidden="false" customHeight="false" outlineLevel="0" collapsed="false">
      <c r="A578" s="13" t="s">
        <v>459</v>
      </c>
      <c r="B578" s="18" t="str">
        <v>PRINCIPLE OF DESIGN</v>
      </c>
      <c r="C578" s="14" t="str">
        <v>Ayeh Felix Jojo Fianko</v>
      </c>
      <c r="D578" s="13" t="s">
        <v>56</v>
      </c>
      <c r="E578" s="104" t="n">
        <v>250</v>
      </c>
      <c r="F578" s="49" t="s">
        <v>854</v>
      </c>
      <c r="G578" s="105" t="n">
        <f aca="false">E578*1.1</f>
        <v>275</v>
      </c>
      <c r="H578" s="50" t="s">
        <v>894</v>
      </c>
      <c r="I578" s="6" t="str">
        <f aca="false">CONCATENATE(A578,",",D578)</f>
        <v>CE 272,ED2-CE</v>
      </c>
      <c r="J578" s="12"/>
    </row>
    <row r="579" customFormat="false" ht="14.9" hidden="false" customHeight="false" outlineLevel="0" collapsed="false">
      <c r="A579" s="13" t="s">
        <v>472</v>
      </c>
      <c r="B579" s="14" t="str">
        <v>AEROSPACE SAFETY AND AIR SECURITY</v>
      </c>
      <c r="C579" s="18" t="str">
        <v>Peter Oppong Tawiah </v>
      </c>
      <c r="D579" s="13" t="s">
        <v>99</v>
      </c>
      <c r="E579" s="104" t="n">
        <v>61</v>
      </c>
      <c r="F579" s="13" t="s">
        <v>685</v>
      </c>
      <c r="G579" s="105" t="n">
        <f aca="false">E579*1.1</f>
        <v>67.1</v>
      </c>
      <c r="H579" s="3" t="s">
        <v>588</v>
      </c>
      <c r="I579" s="6" t="str">
        <f aca="false">CONCATENATE(A579,",",D579)</f>
        <v>AERO 492,ED4-AERO</v>
      </c>
      <c r="J579" s="12"/>
    </row>
    <row r="580" s="116" customFormat="true" ht="14.9" hidden="false" customHeight="false" outlineLevel="0" collapsed="false">
      <c r="A580" s="109" t="s">
        <v>460</v>
      </c>
      <c r="B580" s="110" t="str">
        <v>FUNDAMENTALS OF DATA SCIENCE</v>
      </c>
      <c r="C580" s="110" t="str">
        <v>Obour Agyekum Kwame Opuni-Boachie</v>
      </c>
      <c r="D580" s="109" t="s">
        <v>172</v>
      </c>
      <c r="E580" s="111" t="n">
        <v>175</v>
      </c>
      <c r="F580" s="183" t="s">
        <v>954</v>
      </c>
      <c r="G580" s="112" t="n">
        <f aca="false">E580*1.1</f>
        <v>192.5</v>
      </c>
      <c r="H580" s="113" t="s">
        <v>895</v>
      </c>
      <c r="I580" s="127" t="str">
        <f aca="false">CONCATENATE(A580,",",D580)</f>
        <v>TE 252,ED2-TEL</v>
      </c>
      <c r="J580" s="115"/>
    </row>
    <row r="581" s="45" customFormat="true" ht="14.9" hidden="false" customHeight="false" outlineLevel="0" collapsed="false">
      <c r="A581" s="13" t="s">
        <v>461</v>
      </c>
      <c r="B581" s="18" t="str">
        <v>ELEMENTARY FLUIDS MECHANICS</v>
      </c>
      <c r="C581" s="18" t="str">
        <v>Gyamfi Charles</v>
      </c>
      <c r="D581" s="13" t="s">
        <v>75</v>
      </c>
      <c r="E581" s="104" t="n">
        <v>245</v>
      </c>
      <c r="F581" s="53" t="s">
        <v>854</v>
      </c>
      <c r="G581" s="105" t="n">
        <f aca="false">E581*1.1</f>
        <v>269.5</v>
      </c>
      <c r="H581" s="3" t="s">
        <v>547</v>
      </c>
      <c r="I581" s="43" t="str">
        <f aca="false">CONCATENATE(A581,",",D581)</f>
        <v>CE 156,ED1-CE</v>
      </c>
      <c r="J581" s="44"/>
    </row>
    <row r="582" customFormat="false" ht="14.9" hidden="false" customHeight="false" outlineLevel="0" collapsed="false">
      <c r="A582" s="13" t="s">
        <v>461</v>
      </c>
      <c r="B582" s="14" t="str">
        <v>ELEMENTARY FLUIDS MECHANICS</v>
      </c>
      <c r="C582" s="14" t="str">
        <v>Gyamfi Charles</v>
      </c>
      <c r="D582" s="13" t="s">
        <v>126</v>
      </c>
      <c r="E582" s="104" t="n">
        <v>125</v>
      </c>
      <c r="F582" s="19" t="s">
        <v>611</v>
      </c>
      <c r="G582" s="105" t="n">
        <f aca="false">E582*1.1</f>
        <v>137.5</v>
      </c>
      <c r="H582" s="3" t="s">
        <v>896</v>
      </c>
      <c r="I582" s="6" t="str">
        <f aca="false">CONCATENATE(A582,",",D582)</f>
        <v>CE 156,ED1-GEOL</v>
      </c>
      <c r="J582" s="12"/>
    </row>
    <row r="583" customFormat="false" ht="14.9" hidden="false" customHeight="false" outlineLevel="0" collapsed="false">
      <c r="A583" s="22"/>
      <c r="B583" s="22"/>
      <c r="D583" s="14" t="s">
        <v>462</v>
      </c>
      <c r="E583" s="117" t="n">
        <f aca="false">SUM(E574:E582)</f>
        <v>1202</v>
      </c>
      <c r="F583" s="23"/>
      <c r="G583" s="118"/>
      <c r="I583" s="9" t="s">
        <v>463</v>
      </c>
      <c r="J583" s="12"/>
    </row>
    <row r="584" customFormat="false" ht="14.9" hidden="false" customHeight="false" outlineLevel="0" collapsed="false">
      <c r="A584" s="8" t="s">
        <v>452</v>
      </c>
      <c r="B584" s="8"/>
      <c r="C584" s="8"/>
      <c r="D584" s="8"/>
      <c r="E584" s="8"/>
      <c r="F584" s="8"/>
      <c r="G584" s="8"/>
      <c r="I584" s="9" t="str">
        <f aca="false">A584</f>
        <v>Wednesday, 2 September 2026</v>
      </c>
      <c r="J584" s="12"/>
    </row>
    <row r="585" customFormat="false" ht="14.9" hidden="false" customHeight="false" outlineLevel="0" collapsed="false">
      <c r="A585" s="8" t="s">
        <v>29</v>
      </c>
      <c r="B585" s="8"/>
      <c r="C585" s="8"/>
      <c r="D585" s="8"/>
      <c r="E585" s="8"/>
      <c r="F585" s="8"/>
      <c r="G585" s="8"/>
      <c r="I585" s="9" t="str">
        <f aca="false">A585</f>
        <v>Session, 2 (12:00 PM - 2:00 PM)</v>
      </c>
      <c r="J585" s="12"/>
    </row>
    <row r="586" customFormat="false" ht="14.9" hidden="false" customHeight="false" outlineLevel="0" collapsed="false">
      <c r="A586" s="11" t="s">
        <v>4</v>
      </c>
      <c r="B586" s="11" t="s">
        <v>5</v>
      </c>
      <c r="C586" s="2" t="s">
        <v>6</v>
      </c>
      <c r="D586" s="11" t="s">
        <v>7</v>
      </c>
      <c r="E586" s="102" t="s">
        <v>8</v>
      </c>
      <c r="F586" s="2" t="s">
        <v>9</v>
      </c>
      <c r="G586" s="103" t="s">
        <v>10</v>
      </c>
      <c r="I586" s="9" t="s">
        <v>31</v>
      </c>
      <c r="J586" s="12"/>
    </row>
    <row r="587" customFormat="false" ht="14.9" hidden="false" customHeight="false" outlineLevel="0" collapsed="false">
      <c r="A587" s="13" t="s">
        <v>464</v>
      </c>
      <c r="B587" s="18" t="str">
        <f aca="false" t="array" ref="B587:B593">IFERROR(VLOOKUP(I587:I593,Lectures_1!A2:F534,2,FALSE()),0)</f>
        <v>DIGITAL COMMUNICATION SYSTEMS</v>
      </c>
      <c r="C587" s="18" t="str">
        <f aca="false" t="array" ref="C587:C593">IFERROR(VLOOKUP(I587:I593,Lectures_1!A2:F534,3,FALSE()),0)</f>
        <v>Affum Emmanuel Ampoma</v>
      </c>
      <c r="D587" s="13" t="s">
        <v>119</v>
      </c>
      <c r="E587" s="104" t="n">
        <f aca="false" t="array" ref="E587:E593">IFERROR(VLOOKUP(I587:I593,Lectures_1!A2:F534,4,FALSE()),0)</f>
        <v>140</v>
      </c>
      <c r="F587" s="19" t="s">
        <v>897</v>
      </c>
      <c r="G587" s="105" t="n">
        <f aca="false">E587*1.1</f>
        <v>154</v>
      </c>
      <c r="H587" s="3" t="s">
        <v>898</v>
      </c>
      <c r="I587" s="6" t="str">
        <f aca="false">CONCATENATE(A587,",",D587)</f>
        <v>TE 358,ED3-TEL</v>
      </c>
      <c r="J587" s="12"/>
    </row>
    <row r="588" customFormat="false" ht="14.9" hidden="false" customHeight="false" outlineLevel="0" collapsed="false">
      <c r="A588" s="13" t="s">
        <v>308</v>
      </c>
      <c r="B588" s="18" t="str">
        <v>ANTENNAS AND PROPAGATION</v>
      </c>
      <c r="C588" s="18" t="str">
        <v>Ellis Sani Mubarak</v>
      </c>
      <c r="D588" s="13" t="s">
        <v>71</v>
      </c>
      <c r="E588" s="104" t="n">
        <v>170</v>
      </c>
      <c r="F588" s="19" t="s">
        <v>706</v>
      </c>
      <c r="G588" s="105" t="n">
        <f aca="false">E588*1.1</f>
        <v>187</v>
      </c>
      <c r="H588" s="3" t="s">
        <v>899</v>
      </c>
      <c r="I588" s="6" t="str">
        <f aca="false">CONCATENATE(A588,",",D588)</f>
        <v>TE 372,ED3-EE</v>
      </c>
      <c r="J588" s="12"/>
    </row>
    <row r="589" s="171" customFormat="true" ht="14.9" hidden="false" customHeight="false" outlineLevel="0" collapsed="false">
      <c r="A589" s="162" t="s">
        <v>466</v>
      </c>
      <c r="B589" s="163" t="str">
        <v>COMPUTER-AIDED DESIGN AND MODELLING</v>
      </c>
      <c r="C589" s="164" t="str">
        <v>Sackey Michael Nii</v>
      </c>
      <c r="D589" s="162" t="s">
        <v>36</v>
      </c>
      <c r="E589" s="165" t="n">
        <v>75</v>
      </c>
      <c r="F589" s="166" t="s">
        <v>963</v>
      </c>
      <c r="G589" s="167" t="n">
        <f aca="false">E589*1.1</f>
        <v>82.5</v>
      </c>
      <c r="H589" s="184" t="n">
        <v>75</v>
      </c>
      <c r="I589" s="169" t="str">
        <f aca="false">CONCATENATE(A589,",",D589)</f>
        <v>ME 258,ED2-AERO</v>
      </c>
      <c r="J589" s="170"/>
    </row>
    <row r="590" customFormat="false" ht="14.9" hidden="false" customHeight="false" outlineLevel="0" collapsed="false">
      <c r="A590" s="13" t="s">
        <v>467</v>
      </c>
      <c r="B590" s="14" t="str">
        <v>NUMERICAL METHODS FOR PETROLEUM ENGINEERS</v>
      </c>
      <c r="C590" s="14" t="str">
        <v>Sokama-Neuyam Yen Adams</v>
      </c>
      <c r="D590" s="13" t="s">
        <v>18</v>
      </c>
      <c r="E590" s="104" t="n">
        <v>80</v>
      </c>
      <c r="F590" s="19" t="s">
        <v>571</v>
      </c>
      <c r="G590" s="105" t="n">
        <f aca="false">E590*1.1</f>
        <v>88</v>
      </c>
      <c r="H590" s="3" t="s">
        <v>692</v>
      </c>
      <c r="I590" s="6" t="str">
        <f aca="false">CONCATENATE(A590,",",D590)</f>
        <v>PE 350,ED3-PE</v>
      </c>
      <c r="J590" s="12"/>
    </row>
    <row r="591" customFormat="false" ht="14.9" hidden="false" customHeight="false" outlineLevel="0" collapsed="false">
      <c r="A591" s="13" t="s">
        <v>475</v>
      </c>
      <c r="B591" s="18" t="str">
        <v>HYDROGRAPHIC SURVEYING AND MARINE SCIENCE</v>
      </c>
      <c r="C591" s="14" t="str">
        <v>Asante Cosmas Yaw</v>
      </c>
      <c r="D591" s="13" t="s">
        <v>170</v>
      </c>
      <c r="E591" s="104" t="n">
        <v>132</v>
      </c>
      <c r="F591" s="19" t="s">
        <v>897</v>
      </c>
      <c r="G591" s="105" t="n">
        <f aca="false">E591*1.1</f>
        <v>145.2</v>
      </c>
      <c r="H591" s="3" t="s">
        <v>900</v>
      </c>
      <c r="I591" s="6" t="str">
        <f aca="false">CONCATENATE(A591,",",D591)</f>
        <v>GE 284,ED2-GEOM</v>
      </c>
      <c r="J591" s="12"/>
    </row>
    <row r="592" s="45" customFormat="true" ht="14.9" hidden="false" customHeight="false" outlineLevel="0" collapsed="false">
      <c r="A592" s="13" t="s">
        <v>281</v>
      </c>
      <c r="B592" s="18" t="str">
        <v>CALCULUS WITH SEVERAL VARIABLES</v>
      </c>
      <c r="C592" s="14" t="str">
        <v>Emmanuel Kpeglo</v>
      </c>
      <c r="D592" s="13" t="s">
        <v>25</v>
      </c>
      <c r="E592" s="104" t="n">
        <v>340</v>
      </c>
      <c r="F592" s="53" t="s">
        <v>901</v>
      </c>
      <c r="G592" s="105" t="n">
        <f aca="false">E592*1.1</f>
        <v>374</v>
      </c>
      <c r="H592" s="50" t="s">
        <v>902</v>
      </c>
      <c r="I592" s="43" t="str">
        <f aca="false">CONCATENATE(A592,",",D592)</f>
        <v>MATH 252,ED2-EE</v>
      </c>
      <c r="J592" s="44"/>
    </row>
    <row r="593" s="45" customFormat="true" ht="14.9" hidden="false" customHeight="false" outlineLevel="0" collapsed="false">
      <c r="A593" s="13" t="s">
        <v>281</v>
      </c>
      <c r="B593" s="18" t="str">
        <v>CALCULUS OF SEVERAL VARIABLES</v>
      </c>
      <c r="C593" s="14" t="str">
        <v>Benedict Barnes</v>
      </c>
      <c r="D593" s="13" t="s">
        <v>13</v>
      </c>
      <c r="E593" s="104" t="n">
        <v>160</v>
      </c>
      <c r="F593" s="19" t="s">
        <v>747</v>
      </c>
      <c r="G593" s="105" t="n">
        <f aca="false">E593*1.1</f>
        <v>176</v>
      </c>
      <c r="H593" s="3" t="s">
        <v>903</v>
      </c>
      <c r="I593" s="43" t="str">
        <f aca="false">CONCATENATE(A593,",",D593)</f>
        <v>MATH 252,ED2-CHE</v>
      </c>
      <c r="J593" s="44"/>
    </row>
    <row r="594" customFormat="false" ht="13.8" hidden="false" customHeight="false" outlineLevel="0" collapsed="false">
      <c r="A594" s="22"/>
      <c r="B594" s="22"/>
      <c r="D594" s="14" t="s">
        <v>470</v>
      </c>
      <c r="E594" s="117" t="n">
        <f aca="false">SUM(E587:E593)</f>
        <v>1097</v>
      </c>
      <c r="F594" s="23"/>
      <c r="G594" s="118"/>
      <c r="I594" s="9"/>
      <c r="J594" s="12"/>
    </row>
    <row r="595" customFormat="false" ht="14.9" hidden="false" customHeight="false" outlineLevel="0" collapsed="false">
      <c r="A595" s="8" t="s">
        <v>452</v>
      </c>
      <c r="B595" s="8"/>
      <c r="C595" s="8"/>
      <c r="D595" s="8"/>
      <c r="E595" s="8"/>
      <c r="F595" s="8"/>
      <c r="G595" s="8"/>
      <c r="I595" s="9" t="str">
        <f aca="false">A595</f>
        <v>Wednesday, 2 September 2026</v>
      </c>
      <c r="J595" s="12"/>
    </row>
    <row r="596" customFormat="false" ht="14.9" hidden="false" customHeight="false" outlineLevel="0" collapsed="false">
      <c r="A596" s="8" t="s">
        <v>59</v>
      </c>
      <c r="B596" s="8"/>
      <c r="C596" s="8"/>
      <c r="D596" s="8"/>
      <c r="E596" s="8"/>
      <c r="F596" s="8"/>
      <c r="G596" s="8"/>
      <c r="I596" s="9" t="str">
        <f aca="false">A596</f>
        <v>Session, 3 (3:00 PM - 5:00 PM)</v>
      </c>
      <c r="J596" s="12"/>
    </row>
    <row r="597" customFormat="false" ht="14.9" hidden="false" customHeight="false" outlineLevel="0" collapsed="false">
      <c r="A597" s="11" t="s">
        <v>4</v>
      </c>
      <c r="B597" s="11" t="s">
        <v>5</v>
      </c>
      <c r="C597" s="2" t="s">
        <v>6</v>
      </c>
      <c r="D597" s="11" t="s">
        <v>7</v>
      </c>
      <c r="E597" s="102" t="s">
        <v>8</v>
      </c>
      <c r="F597" s="2" t="s">
        <v>9</v>
      </c>
      <c r="G597" s="103" t="s">
        <v>10</v>
      </c>
      <c r="I597" s="9" t="s">
        <v>31</v>
      </c>
      <c r="J597" s="12"/>
    </row>
    <row r="598" customFormat="false" ht="14.9" hidden="false" customHeight="false" outlineLevel="0" collapsed="false">
      <c r="A598" s="13" t="s">
        <v>471</v>
      </c>
      <c r="B598" s="18" t="str">
        <f aca="false" t="array" ref="B598:B606">IFERROR(VLOOKUP(I598:I606,Lectures_1!A2:F534,2,FALSE()),0)</f>
        <v>PRINCIPLES OF VALUATION OF LAND AND BUILDING</v>
      </c>
      <c r="C598" s="18" t="str">
        <f aca="false" t="array" ref="C598:C606">IFERROR(VLOOKUP(I598:I606,Lectures_1!A2:F534,3,FALSE()),0)</f>
        <v>Ayitey Jonathan</v>
      </c>
      <c r="D598" s="13" t="s">
        <v>194</v>
      </c>
      <c r="E598" s="104" t="n">
        <f aca="false" t="array" ref="E598:E606">IFERROR(VLOOKUP(I598:I606,Lectures_1!A2:F534,4,FALSE()),0)</f>
        <v>93</v>
      </c>
      <c r="F598" s="19" t="s">
        <v>571</v>
      </c>
      <c r="G598" s="105" t="n">
        <f aca="false">E598*1.1</f>
        <v>102.3</v>
      </c>
      <c r="H598" s="3" t="s">
        <v>904</v>
      </c>
      <c r="I598" s="6" t="str">
        <f aca="false">CONCATENATE(A598,",",D598)</f>
        <v>GE 474,ED4-GEOM</v>
      </c>
      <c r="J598" s="12"/>
    </row>
    <row r="599" customFormat="false" ht="14.9" hidden="false" customHeight="false" outlineLevel="0" collapsed="false">
      <c r="A599" s="13" t="s">
        <v>473</v>
      </c>
      <c r="B599" s="11" t="str">
        <v>ELECTRICAL ENGINEERING MACHINES</v>
      </c>
      <c r="C599" s="14" t="str">
        <v>Yaw Opoku Mensah Sekyere</v>
      </c>
      <c r="D599" s="13" t="s">
        <v>61</v>
      </c>
      <c r="E599" s="104" t="n">
        <v>222</v>
      </c>
      <c r="F599" s="19" t="s">
        <v>687</v>
      </c>
      <c r="G599" s="105" t="n">
        <f aca="false">E599*1.1</f>
        <v>244.2</v>
      </c>
      <c r="H599" s="3" t="s">
        <v>905</v>
      </c>
      <c r="I599" s="6" t="str">
        <f aca="false">CONCATENATE(A599,",",D599)</f>
        <v>EE 252,ED3-ME</v>
      </c>
      <c r="J599" s="12"/>
    </row>
    <row r="600" customFormat="false" ht="14.9" hidden="false" customHeight="false" outlineLevel="0" collapsed="false">
      <c r="A600" s="13" t="s">
        <v>473</v>
      </c>
      <c r="B600" s="11" t="str">
        <v>ELECTRICAL ENGINEERING MACHINES</v>
      </c>
      <c r="C600" s="14" t="str">
        <v>Yaw Opoku Mensah Sekyere</v>
      </c>
      <c r="D600" s="13" t="s">
        <v>53</v>
      </c>
      <c r="E600" s="104" t="n">
        <v>155</v>
      </c>
      <c r="F600" s="19" t="s">
        <v>693</v>
      </c>
      <c r="G600" s="105" t="n">
        <f aca="false">E600*1.1</f>
        <v>170.5</v>
      </c>
      <c r="H600" s="3" t="s">
        <v>906</v>
      </c>
      <c r="I600" s="6" t="str">
        <f aca="false">CONCATENATE(A600,",",D600)</f>
        <v>EE 252,ED2-AE</v>
      </c>
      <c r="J600" s="12"/>
    </row>
    <row r="601" s="116" customFormat="true" ht="14.9" hidden="false" customHeight="false" outlineLevel="0" collapsed="false">
      <c r="A601" s="109" t="s">
        <v>474</v>
      </c>
      <c r="B601" s="110" t="str">
        <v>ELECTRICAL MACHINES</v>
      </c>
      <c r="C601" s="110" t="str">
        <v>Asigri Peter</v>
      </c>
      <c r="D601" s="109" t="s">
        <v>20</v>
      </c>
      <c r="E601" s="111" t="n">
        <v>262</v>
      </c>
      <c r="F601" s="183" t="s">
        <v>954</v>
      </c>
      <c r="G601" s="112" t="n">
        <f aca="false">E601*1.1</f>
        <v>288.2</v>
      </c>
      <c r="H601" s="185" t="s">
        <v>534</v>
      </c>
      <c r="I601" s="127" t="str">
        <f aca="false">CONCATENATE(A601,",",D601)</f>
        <v>EE 172,ED1-COE</v>
      </c>
      <c r="J601" s="115"/>
    </row>
    <row r="602" customFormat="false" ht="14.9" hidden="false" customHeight="false" outlineLevel="0" collapsed="false">
      <c r="A602" s="13" t="s">
        <v>476</v>
      </c>
      <c r="B602" s="18" t="str">
        <v>SIMULTANEOUS HEAT/MASS TRANSFER</v>
      </c>
      <c r="C602" s="14" t="str">
        <v>Dogbe Eunice Sefakor Aku</v>
      </c>
      <c r="D602" s="13" t="s">
        <v>73</v>
      </c>
      <c r="E602" s="104" t="n">
        <v>105</v>
      </c>
      <c r="F602" s="19" t="s">
        <v>859</v>
      </c>
      <c r="G602" s="105" t="n">
        <f aca="false">E602*1.1</f>
        <v>115.5</v>
      </c>
      <c r="H602" s="3" t="s">
        <v>907</v>
      </c>
      <c r="I602" s="6" t="str">
        <f aca="false">CONCATENATE(A602,",",D602)</f>
        <v>CHE 354,ED3-CHE</v>
      </c>
      <c r="J602" s="12"/>
    </row>
    <row r="603" s="108" customFormat="true" ht="14.9" hidden="false" customHeight="false" outlineLevel="0" collapsed="false">
      <c r="A603" s="13" t="s">
        <v>469</v>
      </c>
      <c r="B603" s="14" t="str">
        <v>STRUCTURAL DYNAMICS</v>
      </c>
      <c r="C603" s="18" t="str">
        <v>Mark Adom-Asamoah</v>
      </c>
      <c r="D603" s="13" t="s">
        <v>103</v>
      </c>
      <c r="E603" s="104" t="n">
        <v>95</v>
      </c>
      <c r="F603" s="19" t="s">
        <v>659</v>
      </c>
      <c r="G603" s="105" t="n">
        <f aca="false">E603*1.1</f>
        <v>104.5</v>
      </c>
      <c r="H603" s="126" t="s">
        <v>908</v>
      </c>
      <c r="I603" s="186" t="str">
        <f aca="false">CONCATENATE(A603,",",D603)</f>
        <v>CE 456,ED4-CE</v>
      </c>
      <c r="J603" s="107"/>
    </row>
    <row r="604" customFormat="false" ht="14.9" hidden="false" customHeight="false" outlineLevel="0" collapsed="false">
      <c r="A604" s="13" t="s">
        <v>525</v>
      </c>
      <c r="B604" s="14" t="str">
        <v>PROCESS CONTROL AND SIMULATION</v>
      </c>
      <c r="C604" s="14" t="str">
        <v>Baah-Ennumh Emmanuel Kwaku</v>
      </c>
      <c r="D604" s="13" t="s">
        <v>48</v>
      </c>
      <c r="E604" s="104" t="n">
        <v>114</v>
      </c>
      <c r="F604" s="26" t="s">
        <v>909</v>
      </c>
      <c r="G604" s="105" t="n">
        <f aca="false">E604*1.1</f>
        <v>125.4</v>
      </c>
      <c r="H604" s="26" t="s">
        <v>910</v>
      </c>
      <c r="I604" s="6" t="str">
        <f aca="false">CONCATENATE(A604,",",D604)</f>
        <v>CHE 456,ED4-CHE</v>
      </c>
      <c r="J604" s="12"/>
    </row>
    <row r="605" customFormat="false" ht="14.9" hidden="false" customHeight="false" outlineLevel="0" collapsed="false">
      <c r="A605" s="13" t="s">
        <v>525</v>
      </c>
      <c r="B605" s="14" t="str">
        <v>PROCESS CONTROL AND SIMULATION</v>
      </c>
      <c r="C605" s="14" t="str">
        <v>Baidoo Martina Francisca</v>
      </c>
      <c r="D605" s="13" t="s">
        <v>44</v>
      </c>
      <c r="E605" s="104" t="n">
        <v>55</v>
      </c>
      <c r="F605" s="26" t="s">
        <v>541</v>
      </c>
      <c r="G605" s="105" t="n">
        <f aca="false">E605*1.1</f>
        <v>60.5</v>
      </c>
      <c r="H605" s="98" t="n">
        <v>55</v>
      </c>
      <c r="I605" s="6" t="str">
        <f aca="false">CONCATENATE(A605,",",D605)</f>
        <v>CHE 456,ED4-PCE</v>
      </c>
      <c r="J605" s="12"/>
    </row>
    <row r="606" customFormat="false" ht="14.9" hidden="false" customHeight="false" outlineLevel="0" collapsed="false">
      <c r="A606" s="13" t="s">
        <v>477</v>
      </c>
      <c r="B606" s="14" t="str">
        <v>CROP STORAGE AND STORAGE STRUCTURES</v>
      </c>
      <c r="C606" s="14" t="str">
        <v>Bart Plange Ato</v>
      </c>
      <c r="D606" s="13" t="s">
        <v>50</v>
      </c>
      <c r="E606" s="104" t="n">
        <v>103</v>
      </c>
      <c r="F606" s="19" t="s">
        <v>665</v>
      </c>
      <c r="G606" s="105" t="n">
        <f aca="false">E606*1.1</f>
        <v>113.3</v>
      </c>
      <c r="H606" s="3" t="s">
        <v>911</v>
      </c>
      <c r="I606" s="6" t="str">
        <f aca="false">CONCATENATE(A606,",",D606)</f>
        <v>AE 464,ED4-AE</v>
      </c>
      <c r="J606" s="12"/>
    </row>
    <row r="607" customFormat="false" ht="14.9" hidden="false" customHeight="false" outlineLevel="0" collapsed="false">
      <c r="A607" s="22"/>
      <c r="B607" s="22"/>
      <c r="D607" s="14" t="s">
        <v>478</v>
      </c>
      <c r="E607" s="117" t="n">
        <f aca="false">SUM(E598:E606)</f>
        <v>1204</v>
      </c>
      <c r="F607" s="23"/>
      <c r="G607" s="118"/>
      <c r="I607" s="9" t="s">
        <v>479</v>
      </c>
      <c r="J607" s="12"/>
    </row>
    <row r="608" customFormat="false" ht="14.9" hidden="false" customHeight="false" outlineLevel="0" collapsed="false">
      <c r="A608" s="8" t="s">
        <v>480</v>
      </c>
      <c r="B608" s="8"/>
      <c r="C608" s="8"/>
      <c r="D608" s="8"/>
      <c r="E608" s="8"/>
      <c r="F608" s="8"/>
      <c r="G608" s="8"/>
      <c r="I608" s="9" t="str">
        <f aca="false">A608</f>
        <v>Thursday, 3 September 2026</v>
      </c>
      <c r="J608" s="12"/>
    </row>
    <row r="609" customFormat="false" ht="14.9" hidden="false" customHeight="false" outlineLevel="0" collapsed="false">
      <c r="A609" s="8" t="s">
        <v>2</v>
      </c>
      <c r="B609" s="8"/>
      <c r="C609" s="8"/>
      <c r="D609" s="8"/>
      <c r="E609" s="8"/>
      <c r="F609" s="8"/>
      <c r="G609" s="8"/>
      <c r="I609" s="9" t="str">
        <f aca="false">A609</f>
        <v>Session, 1 (8:30 AM - 10:30 AM)</v>
      </c>
      <c r="J609" s="12"/>
    </row>
    <row r="610" customFormat="false" ht="14.9" hidden="false" customHeight="false" outlineLevel="0" collapsed="false">
      <c r="A610" s="11" t="s">
        <v>4</v>
      </c>
      <c r="B610" s="11" t="s">
        <v>5</v>
      </c>
      <c r="C610" s="2" t="s">
        <v>6</v>
      </c>
      <c r="D610" s="11" t="s">
        <v>7</v>
      </c>
      <c r="E610" s="102" t="s">
        <v>8</v>
      </c>
      <c r="F610" s="2" t="s">
        <v>9</v>
      </c>
      <c r="G610" s="103" t="s">
        <v>10</v>
      </c>
      <c r="I610" s="9" t="s">
        <v>31</v>
      </c>
      <c r="J610" s="12"/>
    </row>
    <row r="611" customFormat="false" ht="14.9" hidden="false" customHeight="false" outlineLevel="0" collapsed="false">
      <c r="A611" s="13" t="s">
        <v>482</v>
      </c>
      <c r="B611" s="18" t="str">
        <f aca="false" t="array" ref="B611:B620">IFERROR(VLOOKUP(I611:I620,Lectures_1!A2:F534,2,FALSE()),0)</f>
        <v>LOGISTICS AND SUPPLY CHAIN ENGINEERING</v>
      </c>
      <c r="C611" s="14" t="str">
        <f aca="false" t="array" ref="C611:C620">IFERROR(VLOOKUP(I611:I620,Lectures_1!A2:F534,3,FALSE()),0)</f>
        <v>Asiedu Charlotte</v>
      </c>
      <c r="D611" s="13" t="s">
        <v>121</v>
      </c>
      <c r="E611" s="104" t="n">
        <f aca="false" t="array" ref="E611:E620">IFERROR(VLOOKUP(I611:I620,Lectures_1!A2:F534,4,FALSE()),0)</f>
        <v>70</v>
      </c>
      <c r="F611" s="13" t="s">
        <v>603</v>
      </c>
      <c r="G611" s="105" t="n">
        <f aca="false">E611*1.1</f>
        <v>77</v>
      </c>
      <c r="H611" s="3" t="s">
        <v>912</v>
      </c>
      <c r="I611" s="6" t="str">
        <f aca="false">CONCATENATE(A611,",",D611)</f>
        <v>IE 354,ED3-IND</v>
      </c>
      <c r="J611" s="12"/>
    </row>
    <row r="612" s="190" customFormat="true" ht="14.9" hidden="false" customHeight="false" outlineLevel="0" collapsed="false">
      <c r="A612" s="13" t="s">
        <v>483</v>
      </c>
      <c r="B612" s="14" t="str">
        <v>AEROSPACE DESIGN PROJECT I</v>
      </c>
      <c r="C612" s="18" t="str">
        <v>Afriyie Nyarko Frank Kwabena</v>
      </c>
      <c r="D612" s="13" t="s">
        <v>191</v>
      </c>
      <c r="E612" s="104" t="n">
        <v>70</v>
      </c>
      <c r="F612" s="19" t="s">
        <v>571</v>
      </c>
      <c r="G612" s="105" t="n">
        <f aca="false">E612*1.1</f>
        <v>77</v>
      </c>
      <c r="H612" s="187" t="s">
        <v>912</v>
      </c>
      <c r="I612" s="188" t="str">
        <f aca="false">CONCATENATE(A612,",",D612)</f>
        <v>AERO 174,ED1-AERO</v>
      </c>
      <c r="J612" s="189"/>
    </row>
    <row r="613" s="190" customFormat="true" ht="14.9" hidden="false" customHeight="false" outlineLevel="0" collapsed="false">
      <c r="A613" s="13" t="s">
        <v>484</v>
      </c>
      <c r="B613" s="18" t="str">
        <v>FIRST YEAR DESIGN PROJECT</v>
      </c>
      <c r="C613" s="14" t="str">
        <v>Afriyie Nyarko Frank Kwabena</v>
      </c>
      <c r="D613" s="13" t="s">
        <v>111</v>
      </c>
      <c r="E613" s="104" t="n">
        <v>83</v>
      </c>
      <c r="F613" s="19" t="s">
        <v>850</v>
      </c>
      <c r="G613" s="105" t="n">
        <f aca="false">E613*1.1</f>
        <v>91.3</v>
      </c>
      <c r="H613" s="187" t="s">
        <v>913</v>
      </c>
      <c r="I613" s="188" t="str">
        <f aca="false">CONCATENATE(A613,",",D613)</f>
        <v>IE 174,ED1-IND</v>
      </c>
      <c r="J613" s="189"/>
    </row>
    <row r="614" s="190" customFormat="true" ht="14.9" hidden="false" customHeight="false" outlineLevel="0" collapsed="false">
      <c r="A614" s="13" t="s">
        <v>485</v>
      </c>
      <c r="B614" s="18" t="str">
        <v>MARINE ENGINEERING DESIGN PROJECT I</v>
      </c>
      <c r="C614" s="14" t="str">
        <v>Afriyie Nyarko Frank Kwabena</v>
      </c>
      <c r="D614" s="13" t="s">
        <v>112</v>
      </c>
      <c r="E614" s="161" t="n">
        <v>46</v>
      </c>
      <c r="F614" s="19" t="s">
        <v>622</v>
      </c>
      <c r="G614" s="105" t="n">
        <f aca="false">E614*1.1</f>
        <v>50.6</v>
      </c>
      <c r="H614" s="187" t="s">
        <v>914</v>
      </c>
      <c r="I614" s="188" t="str">
        <f aca="false">CONCATENATE(A614,",",D614)</f>
        <v>MME 174,ED1-MARI</v>
      </c>
      <c r="J614" s="189"/>
    </row>
    <row r="615" s="190" customFormat="true" ht="14.9" hidden="false" customHeight="false" outlineLevel="0" collapsed="false">
      <c r="A615" s="13" t="s">
        <v>486</v>
      </c>
      <c r="B615" s="18" t="str">
        <v>PRODUCT DESIGN AND MANUFACTURING</v>
      </c>
      <c r="C615" s="18" t="str">
        <v>Afriyie Nyarko Frank Kwabena</v>
      </c>
      <c r="D615" s="13" t="s">
        <v>161</v>
      </c>
      <c r="E615" s="104" t="n">
        <v>225</v>
      </c>
      <c r="F615" s="55" t="s">
        <v>687</v>
      </c>
      <c r="G615" s="105" t="n">
        <f aca="false">E615*1.1</f>
        <v>247.5</v>
      </c>
      <c r="H615" s="187" t="s">
        <v>876</v>
      </c>
      <c r="I615" s="188" t="str">
        <f aca="false">CONCATENATE(A615,",",D615)</f>
        <v>ME 174,ED1-ME</v>
      </c>
      <c r="J615" s="189"/>
    </row>
    <row r="616" s="190" customFormat="true" ht="14.9" hidden="false" customHeight="false" outlineLevel="0" collapsed="false">
      <c r="A616" s="13" t="s">
        <v>486</v>
      </c>
      <c r="B616" s="18" t="str">
        <v>PRODUCT DESIGN AND MANUFACTURING</v>
      </c>
      <c r="C616" s="18" t="str">
        <v>Afriyie Nyarko Frank Kwabena</v>
      </c>
      <c r="D616" s="13" t="s">
        <v>162</v>
      </c>
      <c r="E616" s="104" t="n">
        <v>85</v>
      </c>
      <c r="F616" s="19" t="s">
        <v>850</v>
      </c>
      <c r="G616" s="105" t="n">
        <f aca="false">E616*1.1</f>
        <v>93.5</v>
      </c>
      <c r="H616" s="187" t="s">
        <v>851</v>
      </c>
      <c r="I616" s="188" t="str">
        <f aca="false">CONCATENATE(A616,",",D616)</f>
        <v>ME 174,ED1-AUTO</v>
      </c>
      <c r="J616" s="189"/>
    </row>
    <row r="617" customFormat="false" ht="14.9" hidden="false" customHeight="false" outlineLevel="0" collapsed="false">
      <c r="A617" s="13" t="s">
        <v>488</v>
      </c>
      <c r="B617" s="14" t="str">
        <v>PHYSICAL CHEMISTRY FOR ENGINEERS</v>
      </c>
      <c r="C617" s="18" t="str">
        <v>Boakye Patrick</v>
      </c>
      <c r="D617" s="13" t="s">
        <v>82</v>
      </c>
      <c r="E617" s="104" t="n">
        <v>130</v>
      </c>
      <c r="F617" s="19" t="s">
        <v>533</v>
      </c>
      <c r="G617" s="105" t="n">
        <f aca="false">E617*1.1</f>
        <v>143</v>
      </c>
      <c r="H617" s="3" t="s">
        <v>858</v>
      </c>
      <c r="I617" s="6" t="str">
        <f aca="false">CONCATENATE(A617,",",D617)</f>
        <v>PE 156,ED1-PE</v>
      </c>
      <c r="J617" s="12"/>
    </row>
    <row r="618" customFormat="false" ht="14.9" hidden="false" customHeight="false" outlineLevel="0" collapsed="false">
      <c r="A618" s="13" t="s">
        <v>302</v>
      </c>
      <c r="B618" s="14" t="str">
        <v>PHYSICAL CHEMISTRY FOR ENGINEERS</v>
      </c>
      <c r="C618" s="14" t="str">
        <v>Boakye Patrick</v>
      </c>
      <c r="D618" s="13" t="s">
        <v>81</v>
      </c>
      <c r="E618" s="104" t="n">
        <v>56</v>
      </c>
      <c r="F618" s="19" t="s">
        <v>915</v>
      </c>
      <c r="G618" s="105" t="n">
        <f aca="false">E618*1.1</f>
        <v>61.6</v>
      </c>
      <c r="H618" s="3" t="s">
        <v>916</v>
      </c>
      <c r="I618" s="6" t="str">
        <f aca="false">CONCATENATE(A618,",",D618)</f>
        <v>CHE 156,ED1-PCE</v>
      </c>
      <c r="J618" s="12"/>
    </row>
    <row r="619" customFormat="false" ht="14.9" hidden="false" customHeight="false" outlineLevel="0" collapsed="false">
      <c r="A619" s="13" t="s">
        <v>489</v>
      </c>
      <c r="B619" s="14" t="str">
        <v>LARGE SCALE SURVEYING</v>
      </c>
      <c r="C619" s="14" t="str">
        <v>Dadzie Isaac</v>
      </c>
      <c r="D619" s="13" t="s">
        <v>56</v>
      </c>
      <c r="E619" s="104" t="n">
        <v>250</v>
      </c>
      <c r="F619" s="19" t="s">
        <v>854</v>
      </c>
      <c r="G619" s="105" t="n">
        <f aca="false">E619*1.1</f>
        <v>275</v>
      </c>
      <c r="H619" s="3" t="s">
        <v>894</v>
      </c>
      <c r="I619" s="6" t="str">
        <f aca="false">CONCATENATE(A619,",",D619)</f>
        <v>GE 282,ED2-CE</v>
      </c>
      <c r="J619" s="12"/>
    </row>
    <row r="620" customFormat="false" ht="14.9" hidden="false" customHeight="false" outlineLevel="0" collapsed="false">
      <c r="A620" s="13" t="s">
        <v>489</v>
      </c>
      <c r="B620" s="14" t="str">
        <v>LARGE SCALE SURVEYING</v>
      </c>
      <c r="C620" s="14" t="str">
        <v>Dadzie Isaac</v>
      </c>
      <c r="D620" s="13" t="s">
        <v>55</v>
      </c>
      <c r="E620" s="104" t="n">
        <v>150</v>
      </c>
      <c r="F620" s="19" t="s">
        <v>533</v>
      </c>
      <c r="G620" s="105" t="n">
        <f aca="false">E620*1.1</f>
        <v>165</v>
      </c>
      <c r="H620" s="3" t="s">
        <v>681</v>
      </c>
      <c r="I620" s="6" t="str">
        <f aca="false">CONCATENATE(A620,",",D620)</f>
        <v>GE 282,ED2-GEOL</v>
      </c>
      <c r="J620" s="12"/>
    </row>
    <row r="621" customFormat="false" ht="14.9" hidden="false" customHeight="false" outlineLevel="0" collapsed="false">
      <c r="A621" s="22"/>
      <c r="B621" s="22"/>
      <c r="D621" s="14" t="s">
        <v>490</v>
      </c>
      <c r="E621" s="117" t="n">
        <f aca="false">SUM(E611:E620)</f>
        <v>1165</v>
      </c>
      <c r="F621" s="23"/>
      <c r="G621" s="118"/>
      <c r="I621" s="9" t="s">
        <v>491</v>
      </c>
      <c r="J621" s="12"/>
    </row>
    <row r="622" customFormat="false" ht="13.8" hidden="false" customHeight="false" outlineLevel="0" collapsed="false">
      <c r="G622" s="181"/>
      <c r="J622" s="42"/>
    </row>
    <row r="623" customFormat="false" ht="12.75" hidden="false" customHeight="false" outlineLevel="0" collapsed="false">
      <c r="G623" s="181"/>
    </row>
    <row r="624" customFormat="false" ht="14.9" hidden="false" customHeight="false" outlineLevel="0" collapsed="false">
      <c r="A624" s="8" t="s">
        <v>480</v>
      </c>
      <c r="B624" s="8"/>
      <c r="C624" s="8"/>
      <c r="D624" s="8"/>
      <c r="E624" s="8"/>
      <c r="F624" s="8"/>
      <c r="G624" s="8"/>
      <c r="I624" s="9" t="str">
        <f aca="false">A624</f>
        <v>Thursday, 3 September 2026</v>
      </c>
      <c r="J624" s="12"/>
    </row>
    <row r="625" customFormat="false" ht="14.9" hidden="false" customHeight="false" outlineLevel="0" collapsed="false">
      <c r="A625" s="8" t="s">
        <v>29</v>
      </c>
      <c r="B625" s="8"/>
      <c r="C625" s="8"/>
      <c r="D625" s="8"/>
      <c r="E625" s="8"/>
      <c r="F625" s="8"/>
      <c r="G625" s="8"/>
      <c r="I625" s="9" t="str">
        <f aca="false">A625</f>
        <v>Session, 2 (12:00 PM - 2:00 PM)</v>
      </c>
      <c r="J625" s="12"/>
    </row>
    <row r="626" customFormat="false" ht="14.9" hidden="false" customHeight="false" outlineLevel="0" collapsed="false">
      <c r="A626" s="11" t="s">
        <v>4</v>
      </c>
      <c r="B626" s="11" t="s">
        <v>5</v>
      </c>
      <c r="C626" s="2" t="s">
        <v>6</v>
      </c>
      <c r="D626" s="11" t="s">
        <v>7</v>
      </c>
      <c r="E626" s="102" t="s">
        <v>8</v>
      </c>
      <c r="F626" s="2" t="s">
        <v>9</v>
      </c>
      <c r="G626" s="103" t="s">
        <v>10</v>
      </c>
      <c r="I626" s="9" t="s">
        <v>31</v>
      </c>
      <c r="J626" s="12"/>
    </row>
    <row r="627" s="116" customFormat="true" ht="14.9" hidden="false" customHeight="false" outlineLevel="0" collapsed="false">
      <c r="A627" s="109" t="s">
        <v>492</v>
      </c>
      <c r="B627" s="110" t="str">
        <f aca="false" t="array" ref="B627:B639">IFERROR(VLOOKUP(I627:I639,Lectures_1!A2:F534,2,FALSE()),0)</f>
        <v>INTRODUCTION TO PROGRAMMING - I</v>
      </c>
      <c r="C627" s="110" t="str">
        <f aca="false" t="array" ref="C627:C639">IFERROR(VLOOKUP(I627:I639,Lectures_1!A2:F534,3,FALSE()),0)</f>
        <v>Agyemang Justice Owusu</v>
      </c>
      <c r="D627" s="109" t="s">
        <v>91</v>
      </c>
      <c r="E627" s="111" t="n">
        <f aca="false" t="array" ref="E627:E639">IFERROR(VLOOKUP(I627:I639,Lectures_1!A2:F534,4,FALSE()),0)</f>
        <v>130</v>
      </c>
      <c r="F627" s="191" t="s">
        <v>954</v>
      </c>
      <c r="G627" s="112" t="n">
        <f aca="false">E627*1.1</f>
        <v>143</v>
      </c>
      <c r="H627" s="185" t="s">
        <v>917</v>
      </c>
      <c r="I627" s="127" t="str">
        <f aca="false">CONCATENATE(A627,",",D627)</f>
        <v>TE 158,ED1-TEL</v>
      </c>
      <c r="J627" s="115"/>
    </row>
    <row r="628" s="116" customFormat="true" ht="14.9" hidden="false" customHeight="false" outlineLevel="0" collapsed="false">
      <c r="A628" s="109" t="s">
        <v>493</v>
      </c>
      <c r="B628" s="114" t="str">
        <v>AUTOMOTIVE ELECTRICAL SYSTEMS AND ELECTRONICS</v>
      </c>
      <c r="C628" s="114" t="str">
        <v>Ayetor Godwin Kafui Kwesi</v>
      </c>
      <c r="D628" s="109" t="s">
        <v>40</v>
      </c>
      <c r="E628" s="111" t="n">
        <v>82</v>
      </c>
      <c r="F628" s="109" t="s">
        <v>956</v>
      </c>
      <c r="G628" s="112" t="n">
        <f aca="false">E628*1.1</f>
        <v>90.2</v>
      </c>
      <c r="H628" s="159" t="n">
        <v>82</v>
      </c>
      <c r="I628" s="127" t="str">
        <f aca="false">CONCATENATE(A628,",",D628)</f>
        <v>AME 252,ED2-AUTO</v>
      </c>
      <c r="J628" s="115"/>
    </row>
    <row r="629" customFormat="false" ht="14.9" hidden="false" customHeight="false" outlineLevel="0" collapsed="false">
      <c r="A629" s="13" t="s">
        <v>494</v>
      </c>
      <c r="B629" s="14" t="str">
        <v>RESERVOIR FLUID PROPERTIES</v>
      </c>
      <c r="C629" s="14" t="str">
        <v>Casper Daniel Adenutsi</v>
      </c>
      <c r="D629" s="13" t="s">
        <v>93</v>
      </c>
      <c r="E629" s="104" t="n">
        <v>95</v>
      </c>
      <c r="F629" s="19" t="s">
        <v>571</v>
      </c>
      <c r="G629" s="105" t="n">
        <f aca="false">E629*1.1</f>
        <v>104.5</v>
      </c>
      <c r="H629" s="3" t="s">
        <v>856</v>
      </c>
      <c r="I629" s="6" t="str">
        <f aca="false">CONCATENATE(A629,",",D629)</f>
        <v>PE 260,ED2-PE</v>
      </c>
      <c r="J629" s="12"/>
    </row>
    <row r="630" customFormat="false" ht="14.9" hidden="false" customHeight="false" outlineLevel="0" collapsed="false">
      <c r="A630" s="13" t="s">
        <v>496</v>
      </c>
      <c r="B630" s="11" t="str">
        <v>KINETICS AND REACTIONS ENGINEERING</v>
      </c>
      <c r="C630" s="14" t="str">
        <v>Augustine Ntiamoah</v>
      </c>
      <c r="D630" s="13" t="s">
        <v>63</v>
      </c>
      <c r="E630" s="104" t="n">
        <v>53</v>
      </c>
      <c r="F630" s="26" t="s">
        <v>541</v>
      </c>
      <c r="G630" s="105" t="n">
        <f aca="false">E630*1.1</f>
        <v>58.3</v>
      </c>
      <c r="H630" s="27" t="n">
        <v>53</v>
      </c>
      <c r="I630" s="6" t="str">
        <f aca="false">CONCATENATE(A630,",",D630)</f>
        <v>PCE 350,ED3-PCE</v>
      </c>
      <c r="J630" s="12"/>
    </row>
    <row r="631" customFormat="false" ht="14.9" hidden="false" customHeight="false" outlineLevel="0" collapsed="false">
      <c r="A631" s="13" t="s">
        <v>497</v>
      </c>
      <c r="B631" s="14" t="str">
        <v>MINING PRINCIPLES AND SYSTEMS</v>
      </c>
      <c r="C631" s="14" t="str">
        <v>Owusu-Sarpong Seth</v>
      </c>
      <c r="D631" s="13" t="s">
        <v>154</v>
      </c>
      <c r="E631" s="104" t="n">
        <v>154</v>
      </c>
      <c r="F631" s="19" t="s">
        <v>693</v>
      </c>
      <c r="G631" s="105" t="n">
        <f aca="false">E631*1.1</f>
        <v>169.4</v>
      </c>
      <c r="H631" s="3" t="s">
        <v>918</v>
      </c>
      <c r="I631" s="6" t="str">
        <f aca="false">CONCATENATE(A631,",",D631)</f>
        <v>GED 342,ED3-GEOL</v>
      </c>
      <c r="J631" s="12"/>
    </row>
    <row r="632" customFormat="false" ht="14.9" hidden="false" customHeight="false" outlineLevel="0" collapsed="false">
      <c r="A632" s="13" t="s">
        <v>498</v>
      </c>
      <c r="B632" s="18" t="str">
        <v>RESEARCH METHODS FOR ENGINEERS</v>
      </c>
      <c r="C632" s="14" t="str">
        <v>Amponsah William</v>
      </c>
      <c r="D632" s="13" t="s">
        <v>88</v>
      </c>
      <c r="E632" s="104" t="n">
        <v>101</v>
      </c>
      <c r="F632" s="19" t="s">
        <v>582</v>
      </c>
      <c r="G632" s="105" t="n">
        <f aca="false">E632*1.1</f>
        <v>111.1</v>
      </c>
      <c r="H632" s="3" t="s">
        <v>737</v>
      </c>
      <c r="I632" s="6" t="str">
        <f aca="false">CONCATENATE(A632,",",D632)</f>
        <v>AE 362,ED3-AE</v>
      </c>
      <c r="J632" s="12"/>
    </row>
    <row r="633" customFormat="false" ht="14.9" hidden="false" customHeight="false" outlineLevel="0" collapsed="false">
      <c r="A633" s="13" t="s">
        <v>499</v>
      </c>
      <c r="B633" s="18" t="str">
        <v>NUMERICAL METHODS FOR ENGINEERS</v>
      </c>
      <c r="C633" s="18" t="str">
        <v>Nartey Martinson Addo</v>
      </c>
      <c r="D633" s="13" t="s">
        <v>142</v>
      </c>
      <c r="E633" s="104" t="n">
        <v>87</v>
      </c>
      <c r="F633" s="13" t="s">
        <v>919</v>
      </c>
      <c r="G633" s="105" t="n">
        <f aca="false">E633*1.1</f>
        <v>95.7</v>
      </c>
      <c r="H633" s="3" t="s">
        <v>920</v>
      </c>
      <c r="I633" s="6" t="str">
        <f aca="false">CONCATENATE(A633,",",D633)</f>
        <v>MSE 358,ED3-METE</v>
      </c>
      <c r="J633" s="12"/>
    </row>
    <row r="634" customFormat="false" ht="14.9" hidden="false" customHeight="false" outlineLevel="0" collapsed="false">
      <c r="A634" s="13" t="s">
        <v>499</v>
      </c>
      <c r="B634" s="18" t="str">
        <v>NUMERICAL METHODS FOR ENGINEERS</v>
      </c>
      <c r="C634" s="18" t="str">
        <v>Nartey Martinson Addo</v>
      </c>
      <c r="D634" s="13" t="s">
        <v>140</v>
      </c>
      <c r="E634" s="104" t="n">
        <v>85</v>
      </c>
      <c r="F634" s="13" t="s">
        <v>921</v>
      </c>
      <c r="G634" s="105" t="n">
        <f aca="false">E634*1.1</f>
        <v>93.5</v>
      </c>
      <c r="H634" s="3" t="s">
        <v>922</v>
      </c>
      <c r="I634" s="6" t="str">
        <f aca="false">CONCATENATE(A634,",",D634)</f>
        <v>MSE 358,ED3-MSE</v>
      </c>
      <c r="J634" s="12"/>
    </row>
    <row r="635" customFormat="false" ht="14.9" hidden="false" customHeight="false" outlineLevel="0" collapsed="false">
      <c r="A635" s="13" t="s">
        <v>511</v>
      </c>
      <c r="B635" s="18" t="str">
        <v>INTRODUCTION TO POLYMERIC MATERIALS</v>
      </c>
      <c r="C635" s="14" t="str">
        <v>Asare Eric Kwame Anokye</v>
      </c>
      <c r="D635" s="13" t="s">
        <v>210</v>
      </c>
      <c r="E635" s="104" t="n">
        <v>83</v>
      </c>
      <c r="F635" s="19" t="s">
        <v>567</v>
      </c>
      <c r="G635" s="105" t="n">
        <f aca="false">E635*1.1</f>
        <v>91.3</v>
      </c>
      <c r="H635" s="3" t="s">
        <v>923</v>
      </c>
      <c r="I635" s="6" t="str">
        <f aca="false">CONCATENATE(A635,",",D635)</f>
        <v>MSE 256,ED2-MSE</v>
      </c>
      <c r="J635" s="12"/>
    </row>
    <row r="636" s="143" customFormat="true" ht="14.9" hidden="false" customHeight="false" outlineLevel="0" collapsed="false">
      <c r="A636" s="13" t="s">
        <v>509</v>
      </c>
      <c r="B636" s="14" t="str">
        <v>GEOSTATISTICS</v>
      </c>
      <c r="C636" s="14" t="str">
        <v>Mustapha Hameed</v>
      </c>
      <c r="D636" s="13" t="s">
        <v>18</v>
      </c>
      <c r="E636" s="104" t="n">
        <v>80</v>
      </c>
      <c r="F636" s="19" t="s">
        <v>685</v>
      </c>
      <c r="G636" s="105" t="n">
        <f aca="false">E636*1.1</f>
        <v>88</v>
      </c>
      <c r="H636" s="3" t="s">
        <v>561</v>
      </c>
      <c r="I636" s="6" t="str">
        <f aca="false">CONCATENATE(A636,",",D636)</f>
        <v>PE 362,ED3-PE</v>
      </c>
      <c r="J636" s="12"/>
    </row>
    <row r="637" customFormat="false" ht="14.9" hidden="false" customHeight="false" outlineLevel="0" collapsed="false">
      <c r="A637" s="13" t="s">
        <v>487</v>
      </c>
      <c r="B637" s="18" t="str">
        <v>ORE BENEFICIATION</v>
      </c>
      <c r="C637" s="18" t="str">
        <v>Koomson Bennetta</v>
      </c>
      <c r="D637" s="13" t="s">
        <v>101</v>
      </c>
      <c r="E637" s="104" t="n">
        <v>57</v>
      </c>
      <c r="F637" s="26" t="s">
        <v>924</v>
      </c>
      <c r="G637" s="105" t="n">
        <f aca="false">E637*1.1</f>
        <v>62.7</v>
      </c>
      <c r="H637" s="26" t="s">
        <v>925</v>
      </c>
      <c r="I637" s="6" t="str">
        <f aca="false">CONCATENATE(A637,",",D637)</f>
        <v>METE 254,ED2-METE</v>
      </c>
      <c r="J637" s="12"/>
    </row>
    <row r="638" customFormat="false" ht="14.25" hidden="false" customHeight="true" outlineLevel="0" collapsed="false">
      <c r="A638" s="13" t="s">
        <v>500</v>
      </c>
      <c r="B638" s="18" t="str">
        <v>ENVIRONMENTAL SCIENCE</v>
      </c>
      <c r="C638" s="14" t="str">
        <v>Koomson Bennetta</v>
      </c>
      <c r="D638" s="13" t="s">
        <v>114</v>
      </c>
      <c r="E638" s="104" t="n">
        <v>75</v>
      </c>
      <c r="F638" s="19" t="s">
        <v>926</v>
      </c>
      <c r="G638" s="105" t="n">
        <f aca="false">E638*1.1</f>
        <v>82.5</v>
      </c>
      <c r="H638" s="3" t="s">
        <v>927</v>
      </c>
      <c r="I638" s="6" t="str">
        <f aca="false">CONCATENATE(A638,",",D638)</f>
        <v>METE 154,ED1-METE</v>
      </c>
      <c r="J638" s="12"/>
    </row>
    <row r="639" customFormat="false" ht="14.9" hidden="false" customHeight="false" outlineLevel="0" collapsed="false">
      <c r="A639" s="13" t="s">
        <v>500</v>
      </c>
      <c r="B639" s="18" t="str">
        <v>ENVIRONMENTAL SCIENCE</v>
      </c>
      <c r="C639" s="14" t="str">
        <v>Koomson Bennetta</v>
      </c>
      <c r="D639" s="13" t="s">
        <v>115</v>
      </c>
      <c r="E639" s="104" t="n">
        <v>100</v>
      </c>
      <c r="F639" s="19" t="s">
        <v>928</v>
      </c>
      <c r="G639" s="105" t="n">
        <f aca="false">E639*1.1</f>
        <v>110</v>
      </c>
      <c r="H639" s="3" t="s">
        <v>929</v>
      </c>
      <c r="I639" s="6" t="str">
        <f aca="false">CONCATENATE(A639,",",D639)</f>
        <v>METE 154,ED1-MSE</v>
      </c>
      <c r="J639" s="12"/>
    </row>
    <row r="640" customFormat="false" ht="13.8" hidden="false" customHeight="false" outlineLevel="0" collapsed="false">
      <c r="A640" s="22"/>
      <c r="B640" s="22"/>
      <c r="D640" s="14" t="s">
        <v>501</v>
      </c>
      <c r="E640" s="117" t="n">
        <f aca="false">SUM(E627:E639)</f>
        <v>1182</v>
      </c>
      <c r="F640" s="23"/>
      <c r="G640" s="118"/>
      <c r="I640" s="9"/>
      <c r="J640" s="12"/>
    </row>
    <row r="641" customFormat="false" ht="12.75" hidden="false" customHeight="false" outlineLevel="0" collapsed="false">
      <c r="G641" s="181"/>
    </row>
    <row r="642" customFormat="false" ht="14.9" hidden="false" customHeight="false" outlineLevel="0" collapsed="false">
      <c r="A642" s="8" t="s">
        <v>480</v>
      </c>
      <c r="B642" s="8"/>
      <c r="C642" s="8"/>
      <c r="D642" s="8"/>
      <c r="E642" s="8"/>
      <c r="F642" s="8"/>
      <c r="G642" s="8"/>
      <c r="I642" s="9" t="str">
        <f aca="false">A642</f>
        <v>Thursday, 3 September 2026</v>
      </c>
      <c r="J642" s="12"/>
    </row>
    <row r="643" customFormat="false" ht="14.9" hidden="false" customHeight="false" outlineLevel="0" collapsed="false">
      <c r="A643" s="8" t="s">
        <v>59</v>
      </c>
      <c r="B643" s="8"/>
      <c r="C643" s="8"/>
      <c r="D643" s="8"/>
      <c r="E643" s="8"/>
      <c r="F643" s="8"/>
      <c r="G643" s="8"/>
      <c r="I643" s="9" t="str">
        <f aca="false">A643</f>
        <v>Session, 3 (3:00 PM - 5:00 PM)</v>
      </c>
      <c r="J643" s="12"/>
    </row>
    <row r="644" customFormat="false" ht="14.9" hidden="false" customHeight="false" outlineLevel="0" collapsed="false">
      <c r="A644" s="11" t="s">
        <v>4</v>
      </c>
      <c r="B644" s="11" t="s">
        <v>5</v>
      </c>
      <c r="C644" s="2" t="s">
        <v>6</v>
      </c>
      <c r="D644" s="11" t="s">
        <v>7</v>
      </c>
      <c r="E644" s="102" t="s">
        <v>8</v>
      </c>
      <c r="F644" s="2" t="s">
        <v>9</v>
      </c>
      <c r="G644" s="103" t="s">
        <v>10</v>
      </c>
      <c r="H644" s="27"/>
      <c r="I644" s="9" t="s">
        <v>31</v>
      </c>
      <c r="J644" s="12"/>
    </row>
    <row r="645" customFormat="false" ht="14.9" hidden="false" customHeight="false" outlineLevel="0" collapsed="false">
      <c r="A645" s="13" t="s">
        <v>502</v>
      </c>
      <c r="B645" s="14" t="str">
        <f aca="false" t="array" ref="B645:B657">IFERROR(VLOOKUP(I645:I657,Lectures_1!A2:F534,2,FALSE()),0)</f>
        <v>WELL COMPLETION AND STIMULATION</v>
      </c>
      <c r="C645" s="14" t="str">
        <f aca="false" t="array" ref="C645:C657">IFERROR(VLOOKUP(I645:I657,Lectures_1!A2:F534,3,FALSE()),0)</f>
        <v>Erzuah Samuel</v>
      </c>
      <c r="D645" s="13" t="s">
        <v>46</v>
      </c>
      <c r="E645" s="104" t="n">
        <f aca="false" t="array" ref="E645:E657">IFERROR(VLOOKUP(I645:I657,Lectures_1!A2:F534,4,FALSE()),0)</f>
        <v>99</v>
      </c>
      <c r="F645" s="26" t="s">
        <v>582</v>
      </c>
      <c r="G645" s="105" t="n">
        <f aca="false">E645*1.1</f>
        <v>108.9</v>
      </c>
      <c r="H645" s="26" t="s">
        <v>930</v>
      </c>
      <c r="I645" s="6" t="str">
        <f aca="false">CONCATENATE(A645,",",D645)</f>
        <v>PE 456,ED4-PE</v>
      </c>
      <c r="J645" s="12"/>
    </row>
    <row r="646" customFormat="false" ht="14.9" hidden="false" customHeight="false" outlineLevel="0" collapsed="false">
      <c r="A646" s="13" t="s">
        <v>503</v>
      </c>
      <c r="B646" s="14" t="str">
        <v>BIOMEDICAL OPTICS</v>
      </c>
      <c r="C646" s="14" t="str">
        <v>Kotei Addison Eric Clement</v>
      </c>
      <c r="D646" s="13" t="s">
        <v>65</v>
      </c>
      <c r="E646" s="104" t="n">
        <v>90</v>
      </c>
      <c r="F646" s="26" t="s">
        <v>919</v>
      </c>
      <c r="G646" s="105" t="n">
        <f aca="false">E646*1.1</f>
        <v>99</v>
      </c>
      <c r="H646" s="26" t="s">
        <v>931</v>
      </c>
      <c r="I646" s="6" t="str">
        <f aca="false">CONCATENATE(A646,",",D646)</f>
        <v>BME 374,ED3-BME</v>
      </c>
      <c r="J646" s="12"/>
    </row>
    <row r="647" customFormat="false" ht="14.9" hidden="false" customHeight="false" outlineLevel="0" collapsed="false">
      <c r="A647" s="13" t="s">
        <v>504</v>
      </c>
      <c r="B647" s="14" t="str">
        <v>INTRODUCTION TO VLSI</v>
      </c>
      <c r="C647" s="18" t="str">
        <v>Agbemenu Andrew Selasi</v>
      </c>
      <c r="D647" s="13" t="s">
        <v>144</v>
      </c>
      <c r="E647" s="104" t="n">
        <v>15</v>
      </c>
      <c r="F647" s="19" t="s">
        <v>932</v>
      </c>
      <c r="G647" s="105" t="n">
        <f aca="false">E647*1.1</f>
        <v>16.5</v>
      </c>
      <c r="H647" s="3" t="n">
        <v>15</v>
      </c>
      <c r="I647" s="6" t="str">
        <f aca="false">CONCATENATE(A647,",",D647)</f>
        <v>COE 486,ED4-EE</v>
      </c>
      <c r="J647" s="12"/>
    </row>
    <row r="648" s="108" customFormat="true" ht="14.9" hidden="false" customHeight="false" outlineLevel="0" collapsed="false">
      <c r="A648" s="13" t="s">
        <v>504</v>
      </c>
      <c r="B648" s="14" t="str">
        <v>VLSI CIRCUIT DESIGN</v>
      </c>
      <c r="C648" s="18" t="str">
        <v>Agbemenu Andrew Selasi</v>
      </c>
      <c r="D648" s="192" t="s">
        <v>251</v>
      </c>
      <c r="E648" s="104" t="n">
        <v>20</v>
      </c>
      <c r="F648" s="19" t="s">
        <v>632</v>
      </c>
      <c r="G648" s="105" t="n">
        <f aca="false">E648*1.1</f>
        <v>22</v>
      </c>
      <c r="H648" s="3" t="n">
        <v>20</v>
      </c>
      <c r="I648" s="106" t="str">
        <f aca="false">CONCATENATE(A648,",",D648)</f>
        <v>COE 486,ED4-COE</v>
      </c>
      <c r="J648" s="107"/>
    </row>
    <row r="649" customFormat="false" ht="14.9" hidden="false" customHeight="false" outlineLevel="0" collapsed="false">
      <c r="A649" s="13" t="s">
        <v>506</v>
      </c>
      <c r="B649" s="14" t="str">
        <v>SHIP OPERATION, REGULATION AND MANAGEMENT</v>
      </c>
      <c r="C649" s="18" t="str">
        <v>Sackey Michael Nii</v>
      </c>
      <c r="D649" s="13" t="s">
        <v>69</v>
      </c>
      <c r="E649" s="104" t="n">
        <v>23</v>
      </c>
      <c r="F649" s="26" t="s">
        <v>863</v>
      </c>
      <c r="G649" s="105" t="n">
        <f aca="false">E649*1.1</f>
        <v>25.3</v>
      </c>
      <c r="H649" s="27" t="n">
        <v>23</v>
      </c>
      <c r="I649" s="6" t="str">
        <f aca="false">CONCATENATE(A649,",",D649)</f>
        <v>MME 492,ED4-MARI</v>
      </c>
      <c r="J649" s="12"/>
    </row>
    <row r="650" customFormat="false" ht="14.9" hidden="false" customHeight="false" outlineLevel="0" collapsed="false">
      <c r="A650" s="13" t="s">
        <v>326</v>
      </c>
      <c r="B650" s="14" t="str">
        <v>TELECOMMUNICATION POLICY AND REGULATION</v>
      </c>
      <c r="C650" s="18" t="str">
        <v>Kingsford Sarkodie Obeng Kwakye</v>
      </c>
      <c r="D650" s="13" t="s">
        <v>227</v>
      </c>
      <c r="E650" s="104" t="n">
        <v>138</v>
      </c>
      <c r="F650" s="26" t="s">
        <v>533</v>
      </c>
      <c r="G650" s="105" t="n">
        <f aca="false">E650*1.1</f>
        <v>151.8</v>
      </c>
      <c r="H650" s="27" t="s">
        <v>883</v>
      </c>
      <c r="I650" s="6" t="str">
        <f aca="false">CONCATENATE(A650,",",D650)</f>
        <v>TE 452,ED4-TEL</v>
      </c>
      <c r="J650" s="12"/>
    </row>
    <row r="651" customFormat="false" ht="14.9" hidden="false" customHeight="false" outlineLevel="0" collapsed="false">
      <c r="A651" s="13" t="s">
        <v>508</v>
      </c>
      <c r="B651" s="14" t="str">
        <v>PRODUCTION PLANNING AND CONTROL</v>
      </c>
      <c r="C651" s="18" t="str">
        <v>Dzebre Denis Edem Kwame</v>
      </c>
      <c r="D651" s="13" t="s">
        <v>124</v>
      </c>
      <c r="E651" s="104" t="n">
        <v>69</v>
      </c>
      <c r="F651" s="19" t="s">
        <v>933</v>
      </c>
      <c r="G651" s="105" t="n">
        <f aca="false">E651*1.1</f>
        <v>75.9</v>
      </c>
      <c r="H651" s="3" t="s">
        <v>934</v>
      </c>
      <c r="I651" s="6" t="str">
        <f aca="false">CONCATENATE(A651,",",D651)</f>
        <v>IE 454,ED4-IND</v>
      </c>
      <c r="J651" s="12"/>
    </row>
    <row r="652" s="108" customFormat="true" ht="14.9" hidden="false" customHeight="false" outlineLevel="0" collapsed="false">
      <c r="A652" s="13" t="s">
        <v>176</v>
      </c>
      <c r="B652" s="18" t="str">
        <v>ENGINEERING MANAGEMENT</v>
      </c>
      <c r="C652" s="18" t="str">
        <v>Takyi Gabriel</v>
      </c>
      <c r="D652" s="13" t="s">
        <v>177</v>
      </c>
      <c r="E652" s="104" t="n">
        <v>95</v>
      </c>
      <c r="F652" s="19" t="s">
        <v>919</v>
      </c>
      <c r="G652" s="105" t="n">
        <f aca="false">E652*1.1</f>
        <v>104.5</v>
      </c>
      <c r="H652" s="126" t="s">
        <v>935</v>
      </c>
      <c r="I652" s="106" t="str">
        <f aca="false">CONCATENATE(A652,",",D652)</f>
        <v>GED 464,ED4-GEOL</v>
      </c>
      <c r="J652" s="107"/>
    </row>
    <row r="653" customFormat="false" ht="14.9" hidden="false" customHeight="false" outlineLevel="0" collapsed="false">
      <c r="A653" s="13" t="s">
        <v>378</v>
      </c>
      <c r="B653" s="18" t="str">
        <v> HIGHWAY ENGINEERING</v>
      </c>
      <c r="C653" s="14" t="str">
        <v>Ababio-Donkor Augustus</v>
      </c>
      <c r="D653" s="13" t="s">
        <v>77</v>
      </c>
      <c r="E653" s="104" t="n">
        <v>122</v>
      </c>
      <c r="F653" s="19" t="s">
        <v>936</v>
      </c>
      <c r="G653" s="105" t="n">
        <f aca="false">E653*1.1</f>
        <v>134.2</v>
      </c>
      <c r="H653" s="3" t="s">
        <v>937</v>
      </c>
      <c r="I653" s="6" t="str">
        <f aca="false">CONCATENATE(A653,",",D653)</f>
        <v>CE 368,ED3-GEOM</v>
      </c>
      <c r="J653" s="12"/>
    </row>
    <row r="654" customFormat="false" ht="14.9" hidden="false" customHeight="false" outlineLevel="0" collapsed="false">
      <c r="A654" s="13" t="s">
        <v>83</v>
      </c>
      <c r="B654" s="14" t="str">
        <v>HEAT TRANSPORT PROCESSES</v>
      </c>
      <c r="C654" s="18" t="str">
        <v>Ohemeng-Boahen Godfred</v>
      </c>
      <c r="D654" s="19" t="s">
        <v>14</v>
      </c>
      <c r="E654" s="104" t="n">
        <v>65</v>
      </c>
      <c r="F654" s="19" t="s">
        <v>624</v>
      </c>
      <c r="G654" s="105" t="n">
        <f aca="false">E654*1.1</f>
        <v>71.5</v>
      </c>
      <c r="H654" s="5" t="s">
        <v>938</v>
      </c>
      <c r="I654" s="6" t="str">
        <f aca="false">CONCATENATE(A654,",",D654)</f>
        <v>CHE 256,ED2-PCE</v>
      </c>
      <c r="J654" s="12"/>
    </row>
    <row r="655" s="108" customFormat="true" ht="14.9" hidden="false" customHeight="false" outlineLevel="0" collapsed="false">
      <c r="A655" s="13" t="s">
        <v>83</v>
      </c>
      <c r="B655" s="14" t="str">
        <v>HEAT TRANSPORT PROCESSES</v>
      </c>
      <c r="C655" s="18" t="str">
        <v>Momade Zsuzsanna Gál</v>
      </c>
      <c r="D655" s="13" t="s">
        <v>13</v>
      </c>
      <c r="E655" s="104" t="n">
        <v>160</v>
      </c>
      <c r="F655" s="19" t="s">
        <v>710</v>
      </c>
      <c r="G655" s="105" t="n">
        <f aca="false">E655*1.1</f>
        <v>176</v>
      </c>
      <c r="H655" s="5" t="s">
        <v>711</v>
      </c>
      <c r="I655" s="106" t="str">
        <f aca="false">CONCATENATE(A655,",",D655)</f>
        <v>CHE 256,ED2-CHE</v>
      </c>
      <c r="J655" s="107"/>
    </row>
    <row r="656" customFormat="false" ht="14.9" hidden="false" customHeight="false" outlineLevel="0" collapsed="false">
      <c r="A656" s="13" t="s">
        <v>125</v>
      </c>
      <c r="B656" s="18" t="str">
        <v>COMPUTER APPLICATIONS</v>
      </c>
      <c r="C656" s="18" t="str">
        <v>Albert Kwame Kwaw</v>
      </c>
      <c r="D656" s="13" t="s">
        <v>126</v>
      </c>
      <c r="E656" s="104" t="n">
        <v>125</v>
      </c>
      <c r="F656" s="26" t="s">
        <v>939</v>
      </c>
      <c r="G656" s="105" t="n">
        <f aca="false">E656*1.1</f>
        <v>137.5</v>
      </c>
      <c r="H656" s="26" t="s">
        <v>940</v>
      </c>
      <c r="I656" s="6" t="str">
        <f aca="false">CONCATENATE(A656,",",D656)</f>
        <v>GED 164,ED1-GEOL</v>
      </c>
      <c r="J656" s="12"/>
    </row>
    <row r="657" customFormat="false" ht="14.9" hidden="false" customHeight="false" outlineLevel="0" collapsed="false">
      <c r="A657" s="13" t="s">
        <v>94</v>
      </c>
      <c r="B657" s="18" t="str">
        <v>LARGE SCALE SURVEYING</v>
      </c>
      <c r="C657" s="18" t="str">
        <v>Ayer John Wise Divine</v>
      </c>
      <c r="D657" s="13" t="s">
        <v>95</v>
      </c>
      <c r="E657" s="104" t="n">
        <v>103</v>
      </c>
      <c r="F657" s="26" t="s">
        <v>611</v>
      </c>
      <c r="G657" s="105" t="n">
        <f aca="false">E657*1.1</f>
        <v>113.3</v>
      </c>
      <c r="H657" s="26" t="s">
        <v>941</v>
      </c>
      <c r="I657" s="6" t="str">
        <f aca="false">CONCATENATE(A657,",",D657)</f>
        <v>GE 162,ED1-GEOM</v>
      </c>
      <c r="J657" s="12"/>
    </row>
    <row r="658" customFormat="false" ht="14.9" hidden="false" customHeight="false" outlineLevel="0" collapsed="false">
      <c r="A658" s="22"/>
      <c r="B658" s="22"/>
      <c r="D658" s="14" t="s">
        <v>512</v>
      </c>
      <c r="E658" s="117" t="n">
        <f aca="false">SUM(E645:E657)</f>
        <v>1124</v>
      </c>
      <c r="F658" s="23"/>
      <c r="G658" s="118"/>
      <c r="I658" s="9" t="s">
        <v>513</v>
      </c>
      <c r="J658" s="12"/>
    </row>
    <row r="659" customFormat="false" ht="13.8" hidden="false" customHeight="false" outlineLevel="0" collapsed="false">
      <c r="A659" s="22"/>
      <c r="B659" s="22"/>
      <c r="D659" s="14"/>
      <c r="E659" s="117"/>
      <c r="F659" s="23"/>
      <c r="G659" s="118"/>
      <c r="I659" s="9"/>
      <c r="J659" s="12"/>
    </row>
    <row r="660" customFormat="false" ht="14.9" hidden="false" customHeight="false" outlineLevel="0" collapsed="false">
      <c r="A660" s="8" t="s">
        <v>514</v>
      </c>
      <c r="B660" s="8"/>
      <c r="C660" s="8"/>
      <c r="D660" s="8"/>
      <c r="E660" s="8"/>
      <c r="F660" s="8"/>
      <c r="G660" s="8"/>
      <c r="I660" s="9" t="str">
        <f aca="false">A660</f>
        <v>Friday, 4 September 2026</v>
      </c>
      <c r="J660" s="12"/>
    </row>
    <row r="661" customFormat="false" ht="14.9" hidden="false" customHeight="false" outlineLevel="0" collapsed="false">
      <c r="A661" s="8" t="s">
        <v>2</v>
      </c>
      <c r="B661" s="8"/>
      <c r="C661" s="8"/>
      <c r="D661" s="8"/>
      <c r="E661" s="8"/>
      <c r="F661" s="8"/>
      <c r="G661" s="8"/>
      <c r="I661" s="9" t="str">
        <f aca="false">A661</f>
        <v>Session, 1 (8:30 AM - 10:30 AM)</v>
      </c>
      <c r="J661" s="12"/>
    </row>
    <row r="662" customFormat="false" ht="14.9" hidden="false" customHeight="false" outlineLevel="0" collapsed="false">
      <c r="A662" s="11" t="s">
        <v>4</v>
      </c>
      <c r="B662" s="11" t="s">
        <v>5</v>
      </c>
      <c r="C662" s="2" t="s">
        <v>6</v>
      </c>
      <c r="D662" s="11" t="s">
        <v>7</v>
      </c>
      <c r="E662" s="102" t="s">
        <v>8</v>
      </c>
      <c r="F662" s="2" t="s">
        <v>9</v>
      </c>
      <c r="G662" s="103" t="s">
        <v>10</v>
      </c>
      <c r="H662" s="27"/>
      <c r="I662" s="9" t="s">
        <v>31</v>
      </c>
      <c r="J662" s="12"/>
    </row>
    <row r="663" s="108" customFormat="true" ht="14.9" hidden="false" customHeight="false" outlineLevel="0" collapsed="false">
      <c r="A663" s="119" t="s">
        <v>129</v>
      </c>
      <c r="B663" s="120" t="str">
        <f aca="false" t="array" ref="B663:B671">IFERROR(VLOOKUP(I663:I671,Lectures_1!A2:F534,2,FALSE()),0)</f>
        <v>CALCULUS WITH ANALYSIS</v>
      </c>
      <c r="C663" s="124" t="str">
        <f aca="false" t="array" ref="C663:C671">IFERROR(VLOOKUP(I663:I671,Lectures_1!A2:F534,3,FALSE()),0)</f>
        <v>Kwabi Prince Amponsah</v>
      </c>
      <c r="D663" s="129" t="s">
        <v>82</v>
      </c>
      <c r="E663" s="125" t="n">
        <f aca="false" t="array" ref="E663:E671">IFERROR(VLOOKUP(I663:I671,Lectures_1!A2:F534,4,FALSE()),0)</f>
        <v>130</v>
      </c>
      <c r="F663" s="193" t="s">
        <v>533</v>
      </c>
      <c r="G663" s="122" t="n">
        <f aca="false">E663*1.1</f>
        <v>143</v>
      </c>
      <c r="H663" s="193" t="s">
        <v>917</v>
      </c>
      <c r="I663" s="106" t="str">
        <f aca="false">CONCATENATE(A663,",",D663)</f>
        <v>MATH 152,ED1-PE</v>
      </c>
      <c r="J663" s="107"/>
    </row>
    <row r="664" s="108" customFormat="true" ht="14.9" hidden="false" customHeight="false" outlineLevel="0" collapsed="false">
      <c r="A664" s="119" t="s">
        <v>129</v>
      </c>
      <c r="B664" s="120" t="str">
        <v>CALCULUS WITH ANALYSIS</v>
      </c>
      <c r="C664" s="120" t="str">
        <v>Kwabi Prince Amponsah</v>
      </c>
      <c r="D664" s="119" t="s">
        <v>126</v>
      </c>
      <c r="E664" s="125" t="n">
        <v>125</v>
      </c>
      <c r="F664" s="193" t="s">
        <v>942</v>
      </c>
      <c r="G664" s="122" t="n">
        <f aca="false">E664*1.1</f>
        <v>137.5</v>
      </c>
      <c r="H664" s="193" t="s">
        <v>943</v>
      </c>
      <c r="I664" s="106" t="str">
        <f aca="false">CONCATENATE(A664,",",D664)</f>
        <v>MATH 152,ED1-GEOL</v>
      </c>
      <c r="J664" s="107"/>
    </row>
    <row r="665" s="108" customFormat="true" ht="14.9" hidden="false" customHeight="false" outlineLevel="0" collapsed="false">
      <c r="A665" s="119" t="s">
        <v>129</v>
      </c>
      <c r="B665" s="120" t="str">
        <v>CALCULUS WITH ANALYSIS</v>
      </c>
      <c r="C665" s="120" t="str">
        <v>Ezearn Jeffery</v>
      </c>
      <c r="D665" s="119" t="s">
        <v>131</v>
      </c>
      <c r="E665" s="125" t="n">
        <v>128</v>
      </c>
      <c r="F665" s="119" t="s">
        <v>936</v>
      </c>
      <c r="G665" s="122" t="n">
        <f aca="false">E665*1.1</f>
        <v>140.8</v>
      </c>
      <c r="H665" s="147" t="s">
        <v>944</v>
      </c>
      <c r="I665" s="106" t="str">
        <f aca="false">CONCATENATE(A665,",",D665)</f>
        <v>MATH 152,ED1-AE</v>
      </c>
      <c r="J665" s="107"/>
    </row>
    <row r="666" s="108" customFormat="true" ht="14.9" hidden="false" customHeight="false" outlineLevel="0" collapsed="false">
      <c r="A666" s="119" t="s">
        <v>129</v>
      </c>
      <c r="B666" s="120" t="str">
        <v>CALCULUS WITH ANALYSIS</v>
      </c>
      <c r="C666" s="120" t="str">
        <v>Ezearn Jeffery</v>
      </c>
      <c r="D666" s="119" t="s">
        <v>130</v>
      </c>
      <c r="E666" s="125" t="n">
        <v>136</v>
      </c>
      <c r="F666" s="119" t="s">
        <v>710</v>
      </c>
      <c r="G666" s="122" t="n">
        <f aca="false">E666*1.1</f>
        <v>149.6</v>
      </c>
      <c r="H666" s="147" t="s">
        <v>784</v>
      </c>
      <c r="I666" s="106" t="str">
        <f aca="false">CONCATENATE(A666,",",D666)</f>
        <v>MATH 152,ED1-BME</v>
      </c>
      <c r="J666" s="107"/>
    </row>
    <row r="667" s="108" customFormat="true" ht="14.9" hidden="false" customHeight="false" outlineLevel="0" collapsed="false">
      <c r="A667" s="119" t="s">
        <v>129</v>
      </c>
      <c r="B667" s="124" t="str">
        <v>CALCULUS WITH ANALYSIS</v>
      </c>
      <c r="C667" s="120" t="str">
        <v>Ezearn Jeffery</v>
      </c>
      <c r="D667" s="119" t="s">
        <v>191</v>
      </c>
      <c r="E667" s="125" t="n">
        <v>70</v>
      </c>
      <c r="F667" s="193" t="s">
        <v>945</v>
      </c>
      <c r="G667" s="122" t="n">
        <f aca="false">E667*1.1</f>
        <v>77</v>
      </c>
      <c r="H667" s="147" t="s">
        <v>946</v>
      </c>
      <c r="I667" s="106" t="str">
        <f aca="false">CONCATENATE(A667,",",D667)</f>
        <v>MATH 152,ED1-AERO</v>
      </c>
      <c r="J667" s="107"/>
    </row>
    <row r="668" s="108" customFormat="true" ht="14.9" hidden="false" customHeight="false" outlineLevel="0" collapsed="false">
      <c r="A668" s="119" t="s">
        <v>129</v>
      </c>
      <c r="B668" s="124" t="str">
        <v>CALCULUS WITH ANALYSIS</v>
      </c>
      <c r="C668" s="120" t="str">
        <v>Ezearn Jeffery</v>
      </c>
      <c r="D668" s="119" t="s">
        <v>111</v>
      </c>
      <c r="E668" s="125" t="n">
        <v>83</v>
      </c>
      <c r="F668" s="193" t="s">
        <v>571</v>
      </c>
      <c r="G668" s="122" t="n">
        <f aca="false">E668*1.1</f>
        <v>91.3</v>
      </c>
      <c r="H668" s="147" t="s">
        <v>572</v>
      </c>
      <c r="I668" s="106" t="str">
        <f aca="false">CONCATENATE(A668,",",D668)</f>
        <v>MATH 152,ED1-IND</v>
      </c>
      <c r="J668" s="107"/>
    </row>
    <row r="669" s="108" customFormat="true" ht="14.9" hidden="false" customHeight="false" outlineLevel="0" collapsed="false">
      <c r="A669" s="119" t="s">
        <v>129</v>
      </c>
      <c r="B669" s="124" t="str">
        <v>CALCULUS WITH ANALYSIS</v>
      </c>
      <c r="C669" s="120" t="str">
        <v>Ezearn Jeffery</v>
      </c>
      <c r="D669" s="119" t="s">
        <v>75</v>
      </c>
      <c r="E669" s="125" t="n">
        <v>245</v>
      </c>
      <c r="F669" s="119" t="s">
        <v>854</v>
      </c>
      <c r="G669" s="122" t="n">
        <f aca="false">E669*1.1</f>
        <v>269.5</v>
      </c>
      <c r="H669" s="147" t="s">
        <v>547</v>
      </c>
      <c r="I669" s="106" t="str">
        <f aca="false">CONCATENATE(A669,",",D669)</f>
        <v>MATH 152,ED1-CE</v>
      </c>
      <c r="J669" s="107"/>
    </row>
    <row r="670" s="108" customFormat="true" ht="14.9" hidden="false" customHeight="false" outlineLevel="0" collapsed="false">
      <c r="A670" s="119" t="s">
        <v>129</v>
      </c>
      <c r="B670" s="124" t="str">
        <v>CALCULUS WITH ANALYSIS</v>
      </c>
      <c r="C670" s="120" t="str">
        <v>Ezearn Jeffery</v>
      </c>
      <c r="D670" s="119" t="s">
        <v>112</v>
      </c>
      <c r="E670" s="125" t="n">
        <v>46</v>
      </c>
      <c r="F670" s="193" t="s">
        <v>541</v>
      </c>
      <c r="G670" s="122" t="n">
        <f aca="false">E670*1.1</f>
        <v>50.6</v>
      </c>
      <c r="H670" s="123" t="n">
        <v>46</v>
      </c>
      <c r="I670" s="106" t="str">
        <f aca="false">CONCATENATE(A670,",",D670)</f>
        <v>MATH 152,ED1-MARI</v>
      </c>
      <c r="J670" s="107"/>
    </row>
    <row r="671" s="108" customFormat="true" ht="14.9" hidden="false" customHeight="false" outlineLevel="0" collapsed="false">
      <c r="A671" s="119" t="s">
        <v>129</v>
      </c>
      <c r="B671" s="120" t="str">
        <v>CALCULUS WITH ANALYSIS</v>
      </c>
      <c r="C671" s="124" t="str">
        <v>Ezearn Jeffery</v>
      </c>
      <c r="D671" s="119" t="s">
        <v>20</v>
      </c>
      <c r="E671" s="125" t="n">
        <v>262</v>
      </c>
      <c r="F671" s="119" t="s">
        <v>854</v>
      </c>
      <c r="G671" s="122" t="n">
        <f aca="false">E671*1.1</f>
        <v>288.2</v>
      </c>
      <c r="H671" s="126" t="s">
        <v>947</v>
      </c>
      <c r="I671" s="106" t="str">
        <f aca="false">CONCATENATE(A671,",",D671)</f>
        <v>MATH 152,ED1-COE</v>
      </c>
      <c r="J671" s="107"/>
    </row>
    <row r="672" customFormat="false" ht="14.9" hidden="false" customHeight="false" outlineLevel="0" collapsed="false">
      <c r="A672" s="22"/>
      <c r="B672" s="22"/>
      <c r="D672" s="14" t="s">
        <v>523</v>
      </c>
      <c r="E672" s="117" t="n">
        <f aca="false">SUM(E663:E671)</f>
        <v>1225</v>
      </c>
      <c r="F672" s="23"/>
      <c r="G672" s="118"/>
      <c r="I672" s="9" t="s">
        <v>524</v>
      </c>
      <c r="J672" s="12"/>
    </row>
    <row r="673" customFormat="false" ht="13.8" hidden="false" customHeight="false" outlineLevel="0" collapsed="false">
      <c r="A673" s="22"/>
      <c r="B673" s="22"/>
      <c r="D673" s="14"/>
      <c r="E673" s="117"/>
      <c r="F673" s="23"/>
      <c r="G673" s="118"/>
      <c r="I673" s="9"/>
      <c r="J673" s="12"/>
    </row>
    <row r="674" customFormat="false" ht="14.9" hidden="false" customHeight="false" outlineLevel="0" collapsed="false">
      <c r="A674" s="8" t="s">
        <v>514</v>
      </c>
      <c r="B674" s="8"/>
      <c r="C674" s="8"/>
      <c r="D674" s="8"/>
      <c r="E674" s="8"/>
      <c r="F674" s="8"/>
      <c r="G674" s="8"/>
      <c r="I674" s="9" t="str">
        <f aca="false">A674</f>
        <v>Friday, 4 September 2026</v>
      </c>
      <c r="J674" s="12"/>
    </row>
    <row r="675" customFormat="false" ht="14.9" hidden="false" customHeight="false" outlineLevel="0" collapsed="false">
      <c r="A675" s="8" t="s">
        <v>29</v>
      </c>
      <c r="B675" s="8"/>
      <c r="C675" s="8"/>
      <c r="D675" s="8"/>
      <c r="E675" s="8"/>
      <c r="F675" s="8"/>
      <c r="G675" s="8"/>
      <c r="I675" s="9" t="str">
        <f aca="false">A675</f>
        <v>Session, 2 (12:00 PM - 2:00 PM)</v>
      </c>
      <c r="J675" s="12"/>
    </row>
    <row r="676" customFormat="false" ht="14.9" hidden="false" customHeight="false" outlineLevel="0" collapsed="false">
      <c r="A676" s="11" t="s">
        <v>4</v>
      </c>
      <c r="B676" s="11" t="s">
        <v>5</v>
      </c>
      <c r="C676" s="2" t="s">
        <v>6</v>
      </c>
      <c r="D676" s="11" t="s">
        <v>7</v>
      </c>
      <c r="E676" s="102" t="s">
        <v>8</v>
      </c>
      <c r="F676" s="2" t="s">
        <v>9</v>
      </c>
      <c r="G676" s="103" t="s">
        <v>10</v>
      </c>
      <c r="H676" s="27"/>
      <c r="I676" s="9" t="s">
        <v>31</v>
      </c>
      <c r="J676" s="12"/>
    </row>
    <row r="677" s="108" customFormat="true" ht="14.9" hidden="false" customHeight="false" outlineLevel="0" collapsed="false">
      <c r="A677" s="119" t="s">
        <v>129</v>
      </c>
      <c r="B677" s="120" t="str">
        <f aca="false" t="array" ref="B677:B685">IFERROR(VLOOKUP(I677:I685,Lectures_1!A2:F534,2,FALSE()),0)</f>
        <v>CALCULUS WITH ANALYSIS</v>
      </c>
      <c r="C677" s="120" t="str">
        <f aca="false" t="array" ref="C677:C685">IFERROR(VLOOKUP(I677:I685,Lectures_1!A2:F534,3,FALSE()),0)</f>
        <v>Ayekple Yao Elikem</v>
      </c>
      <c r="D677" s="119" t="s">
        <v>51</v>
      </c>
      <c r="E677" s="125" t="n">
        <f aca="false" t="array" ref="E677:E685">IFERROR(VLOOKUP(I677:I685,Lectures_1!A2:F534,4,FALSE()),0)</f>
        <v>295</v>
      </c>
      <c r="F677" s="193" t="s">
        <v>948</v>
      </c>
      <c r="G677" s="122" t="n">
        <f aca="false">E677*1.1</f>
        <v>324.5</v>
      </c>
      <c r="H677" s="193" t="s">
        <v>600</v>
      </c>
      <c r="I677" s="106" t="str">
        <f aca="false">CONCATENATE(A677,",",D677)</f>
        <v>MATH 152,ED1-EE</v>
      </c>
      <c r="J677" s="107"/>
    </row>
    <row r="678" s="108" customFormat="true" ht="14.9" hidden="false" customHeight="false" outlineLevel="0" collapsed="false">
      <c r="A678" s="119" t="s">
        <v>129</v>
      </c>
      <c r="B678" s="124" t="str">
        <v>CALCULUS WITH ANALYSIS</v>
      </c>
      <c r="C678" s="120" t="str">
        <v>Lawton Adu-Ansah</v>
      </c>
      <c r="D678" s="119" t="s">
        <v>162</v>
      </c>
      <c r="E678" s="125" t="n">
        <v>85</v>
      </c>
      <c r="F678" s="119" t="s">
        <v>571</v>
      </c>
      <c r="G678" s="122" t="n">
        <f aca="false">E678*1.1</f>
        <v>93.5</v>
      </c>
      <c r="H678" s="194" t="s">
        <v>757</v>
      </c>
      <c r="I678" s="106" t="str">
        <f aca="false">CONCATENATE(A678,",",D678)</f>
        <v>MATH 152,ED1-AUTO</v>
      </c>
      <c r="J678" s="107"/>
    </row>
    <row r="679" s="108" customFormat="true" ht="14.9" hidden="false" customHeight="false" outlineLevel="0" collapsed="false">
      <c r="A679" s="119" t="s">
        <v>129</v>
      </c>
      <c r="B679" s="120" t="str">
        <v>CALCULUS WITH ANALYSIS</v>
      </c>
      <c r="C679" s="120" t="str">
        <v>Lawton Adu-Ansah</v>
      </c>
      <c r="D679" s="119" t="s">
        <v>161</v>
      </c>
      <c r="E679" s="125" t="n">
        <v>225</v>
      </c>
      <c r="F679" s="119" t="s">
        <v>687</v>
      </c>
      <c r="G679" s="122" t="n">
        <f aca="false">E679*1.1</f>
        <v>247.5</v>
      </c>
      <c r="H679" s="123" t="s">
        <v>876</v>
      </c>
      <c r="I679" s="106" t="str">
        <f aca="false">CONCATENATE(A679,",",D679)</f>
        <v>MATH 152,ED1-ME</v>
      </c>
      <c r="J679" s="107"/>
    </row>
    <row r="680" s="108" customFormat="true" ht="14.9" hidden="false" customHeight="false" outlineLevel="0" collapsed="false">
      <c r="A680" s="119" t="s">
        <v>129</v>
      </c>
      <c r="B680" s="124" t="str">
        <v>CALCULUS WITH ANALYSIS</v>
      </c>
      <c r="C680" s="120" t="str">
        <v>Lawton Adu-Ansah</v>
      </c>
      <c r="D680" s="119" t="s">
        <v>91</v>
      </c>
      <c r="E680" s="125" t="n">
        <v>130</v>
      </c>
      <c r="F680" s="129" t="s">
        <v>533</v>
      </c>
      <c r="G680" s="122" t="n">
        <f aca="false">E680*1.1</f>
        <v>143</v>
      </c>
      <c r="H680" s="123" t="s">
        <v>917</v>
      </c>
      <c r="I680" s="106" t="str">
        <f aca="false">CONCATENATE(A680,",",D680)</f>
        <v>MATH 152,ED1-TEL</v>
      </c>
      <c r="J680" s="107"/>
    </row>
    <row r="681" s="108" customFormat="true" ht="14.9" hidden="false" customHeight="false" outlineLevel="0" collapsed="false">
      <c r="A681" s="119" t="s">
        <v>129</v>
      </c>
      <c r="B681" s="124" t="str">
        <v>CALCULUS WITH ANALYSIS</v>
      </c>
      <c r="C681" s="120" t="str">
        <v>Lawton Adu-Ansah</v>
      </c>
      <c r="D681" s="119" t="s">
        <v>95</v>
      </c>
      <c r="E681" s="125" t="n">
        <v>103</v>
      </c>
      <c r="F681" s="119" t="s">
        <v>569</v>
      </c>
      <c r="G681" s="122" t="n">
        <f aca="false">E681*1.1</f>
        <v>113.3</v>
      </c>
      <c r="H681" s="123" t="s">
        <v>949</v>
      </c>
      <c r="I681" s="106" t="str">
        <f aca="false">CONCATENATE(A681,",",D681)</f>
        <v>MATH 152,ED1-GEOM</v>
      </c>
      <c r="J681" s="107"/>
    </row>
    <row r="682" s="108" customFormat="true" ht="14.9" hidden="false" customHeight="false" outlineLevel="0" collapsed="false">
      <c r="A682" s="119" t="s">
        <v>129</v>
      </c>
      <c r="B682" s="124" t="str">
        <v>CALCULUS WITH ANALYSIS</v>
      </c>
      <c r="C682" s="120" t="str">
        <v>Emmanuel Kpeglo</v>
      </c>
      <c r="D682" s="119" t="s">
        <v>115</v>
      </c>
      <c r="E682" s="125" t="n">
        <v>100</v>
      </c>
      <c r="F682" s="119" t="s">
        <v>582</v>
      </c>
      <c r="G682" s="122" t="n">
        <f aca="false">E682*1.1</f>
        <v>110</v>
      </c>
      <c r="H682" s="123" t="s">
        <v>583</v>
      </c>
      <c r="I682" s="106" t="str">
        <f aca="false">CONCATENATE(A682,",",D682)</f>
        <v>MATH 152,ED1-MSE</v>
      </c>
      <c r="J682" s="107"/>
    </row>
    <row r="683" s="108" customFormat="true" ht="14.9" hidden="false" customHeight="false" outlineLevel="0" collapsed="false">
      <c r="A683" s="119" t="s">
        <v>129</v>
      </c>
      <c r="B683" s="124" t="str">
        <v>CALCULUS WITH ANALYSIS</v>
      </c>
      <c r="C683" s="120" t="str">
        <v>Emmanuel Kpeglo</v>
      </c>
      <c r="D683" s="119" t="s">
        <v>114</v>
      </c>
      <c r="E683" s="125" t="n">
        <v>75</v>
      </c>
      <c r="F683" s="119" t="s">
        <v>545</v>
      </c>
      <c r="G683" s="122" t="n">
        <f aca="false">E683*1.1</f>
        <v>82.5</v>
      </c>
      <c r="H683" s="123" t="n">
        <v>75</v>
      </c>
      <c r="I683" s="106" t="str">
        <f aca="false">CONCATENATE(A683,",",D683)</f>
        <v>MATH 152,ED1-METE</v>
      </c>
      <c r="J683" s="107"/>
    </row>
    <row r="684" s="108" customFormat="true" ht="14.9" hidden="false" customHeight="false" outlineLevel="0" collapsed="false">
      <c r="A684" s="119" t="s">
        <v>129</v>
      </c>
      <c r="B684" s="124" t="str">
        <v>CALCULUS WITH ANALYSIS</v>
      </c>
      <c r="C684" s="120" t="str">
        <v>Isaac Azure</v>
      </c>
      <c r="D684" s="119" t="s">
        <v>80</v>
      </c>
      <c r="E684" s="125" t="n">
        <v>120</v>
      </c>
      <c r="F684" s="119" t="s">
        <v>950</v>
      </c>
      <c r="G684" s="122" t="n">
        <f aca="false">E684*1.1</f>
        <v>132</v>
      </c>
      <c r="H684" s="123" t="s">
        <v>951</v>
      </c>
      <c r="I684" s="106" t="str">
        <f aca="false">CONCATENATE(A684,",",D684)</f>
        <v>MATH 152,ED1-CHE</v>
      </c>
      <c r="J684" s="107"/>
    </row>
    <row r="685" s="108" customFormat="true" ht="14.9" hidden="false" customHeight="false" outlineLevel="0" collapsed="false">
      <c r="A685" s="119" t="s">
        <v>129</v>
      </c>
      <c r="B685" s="120" t="str">
        <v>CALCULUS WITH ANALYSIS</v>
      </c>
      <c r="C685" s="120" t="str">
        <v>Isaac Azure</v>
      </c>
      <c r="D685" s="119" t="s">
        <v>81</v>
      </c>
      <c r="E685" s="125" t="n">
        <v>56</v>
      </c>
      <c r="F685" s="129" t="s">
        <v>546</v>
      </c>
      <c r="G685" s="122" t="n">
        <f aca="false">E685*1.1</f>
        <v>61.6</v>
      </c>
      <c r="H685" s="126" t="n">
        <v>56</v>
      </c>
      <c r="I685" s="106" t="str">
        <f aca="false">CONCATENATE(A685,",",D685)</f>
        <v>MATH 152,ED1-PCE</v>
      </c>
      <c r="J685" s="107"/>
    </row>
    <row r="686" customFormat="false" ht="14.9" hidden="false" customHeight="false" outlineLevel="0" collapsed="false">
      <c r="A686" s="22"/>
      <c r="B686" s="22"/>
      <c r="D686" s="14" t="s">
        <v>523</v>
      </c>
      <c r="E686" s="117" t="e">
        <f aca="false">SUM(_xlfn.anchorarray(E677))</f>
        <v>#NAME?</v>
      </c>
      <c r="F686" s="23"/>
      <c r="G686" s="118"/>
      <c r="H686" s="58"/>
      <c r="I686" s="9" t="s">
        <v>524</v>
      </c>
      <c r="J686" s="12"/>
    </row>
    <row r="687" customFormat="false" ht="14.9" hidden="false" customHeight="false" outlineLevel="0" collapsed="false">
      <c r="A687" s="8" t="s">
        <v>514</v>
      </c>
      <c r="B687" s="8"/>
      <c r="C687" s="8"/>
      <c r="D687" s="8"/>
      <c r="E687" s="8"/>
      <c r="F687" s="8"/>
      <c r="G687" s="8"/>
      <c r="I687" s="9" t="str">
        <f aca="false">A687</f>
        <v>Friday, 4 September 2026</v>
      </c>
      <c r="J687" s="12"/>
    </row>
    <row r="688" customFormat="false" ht="14.9" hidden="false" customHeight="false" outlineLevel="0" collapsed="false">
      <c r="A688" s="8" t="s">
        <v>59</v>
      </c>
      <c r="B688" s="8"/>
      <c r="C688" s="8"/>
      <c r="D688" s="8"/>
      <c r="E688" s="8"/>
      <c r="F688" s="8"/>
      <c r="G688" s="8"/>
      <c r="I688" s="9" t="str">
        <f aca="false">A688</f>
        <v>Session, 3 (3:00 PM - 5:00 PM)</v>
      </c>
      <c r="J688" s="12"/>
    </row>
    <row r="689" customFormat="false" ht="14.9" hidden="false" customHeight="false" outlineLevel="0" collapsed="false">
      <c r="A689" s="11" t="s">
        <v>4</v>
      </c>
      <c r="B689" s="11" t="s">
        <v>5</v>
      </c>
      <c r="C689" s="2" t="s">
        <v>6</v>
      </c>
      <c r="D689" s="11" t="s">
        <v>7</v>
      </c>
      <c r="E689" s="102" t="s">
        <v>8</v>
      </c>
      <c r="F689" s="2" t="s">
        <v>9</v>
      </c>
      <c r="G689" s="103" t="s">
        <v>10</v>
      </c>
      <c r="H689" s="27"/>
      <c r="I689" s="9" t="s">
        <v>31</v>
      </c>
      <c r="J689" s="12"/>
    </row>
    <row r="690" s="108" customFormat="true" ht="14.9" hidden="false" customHeight="false" outlineLevel="0" collapsed="false">
      <c r="A690" s="119" t="s">
        <v>505</v>
      </c>
      <c r="B690" s="120" t="str">
        <f aca="false" t="array" ref="B690:B698">IFERROR(VLOOKUP(I690:I698,Lectures_1!A2:F534,2,FALSE()),0)</f>
        <v>SOFTWARE ENGINEERING</v>
      </c>
      <c r="C690" s="120" t="str">
        <f aca="false" t="array" ref="C690:C698">IFERROR(VLOOKUP(I690:I698,Lectures_1!A2:F534,3,FALSE()),0)</f>
        <v>Keelson Eliel</v>
      </c>
      <c r="D690" s="119" t="s">
        <v>251</v>
      </c>
      <c r="E690" s="125" t="n">
        <f aca="false" t="array" ref="E690:E698">IFERROR(VLOOKUP(I690:I698,Lectures_1!A2:F534,4,FALSE()),0)</f>
        <v>115</v>
      </c>
      <c r="F690" s="193" t="s">
        <v>541</v>
      </c>
      <c r="G690" s="122" t="n">
        <f aca="false">E690*1.1</f>
        <v>126.5</v>
      </c>
      <c r="H690" s="195" t="n">
        <v>115</v>
      </c>
      <c r="I690" s="106" t="str">
        <f aca="false">CONCATENATE(A690,",",D690)</f>
        <v>COE 454,ED4-COE</v>
      </c>
      <c r="J690" s="107"/>
    </row>
    <row r="691" customFormat="false" ht="14.9" hidden="false" customHeight="false" outlineLevel="0" collapsed="false">
      <c r="A691" s="13" t="s">
        <v>516</v>
      </c>
      <c r="B691" s="14" t="str">
        <v>CHEMICAL REACTION ENGINEERING</v>
      </c>
      <c r="C691" s="14" t="str">
        <v>Bonsu Jude Kwaku</v>
      </c>
      <c r="D691" s="13" t="s">
        <v>73</v>
      </c>
      <c r="E691" s="104" t="n">
        <v>105</v>
      </c>
      <c r="F691" s="19" t="s">
        <v>571</v>
      </c>
      <c r="G691" s="105" t="n">
        <f aca="false">E691*1.1</f>
        <v>115.5</v>
      </c>
      <c r="H691" s="3" t="s">
        <v>788</v>
      </c>
      <c r="I691" s="6" t="str">
        <f aca="false">CONCATENATE(A691,",",D691)</f>
        <v>CHE 352,ED3-CHE</v>
      </c>
      <c r="J691" s="12"/>
    </row>
    <row r="692" customFormat="false" ht="14.9" hidden="false" customHeight="false" outlineLevel="0" collapsed="false">
      <c r="A692" s="13" t="s">
        <v>517</v>
      </c>
      <c r="B692" s="14" t="str">
        <v>POWER SYSTEMS ANALYSIS</v>
      </c>
      <c r="C692" s="14" t="str">
        <v>Twumasi Elvis</v>
      </c>
      <c r="D692" s="13" t="s">
        <v>71</v>
      </c>
      <c r="E692" s="104" t="n">
        <v>240</v>
      </c>
      <c r="F692" s="19" t="s">
        <v>854</v>
      </c>
      <c r="G692" s="105" t="n">
        <f aca="false">E692*1.1</f>
        <v>264</v>
      </c>
      <c r="H692" s="3" t="s">
        <v>855</v>
      </c>
      <c r="I692" s="6" t="str">
        <f aca="false">CONCATENATE(A692,",",D692)</f>
        <v>EE 368,ED3-EE</v>
      </c>
      <c r="J692" s="12"/>
    </row>
    <row r="693" s="116" customFormat="true" ht="14.9" hidden="false" customHeight="false" outlineLevel="0" collapsed="false">
      <c r="A693" s="109" t="s">
        <v>518</v>
      </c>
      <c r="B693" s="110" t="str">
        <v>ELECTRICAL MEASUREMENT AND INSTRUMENTATION</v>
      </c>
      <c r="C693" s="114" t="str">
        <v>Klogo Griffith Selorm</v>
      </c>
      <c r="D693" s="109" t="s">
        <v>108</v>
      </c>
      <c r="E693" s="111" t="n">
        <v>255</v>
      </c>
      <c r="F693" s="191" t="s">
        <v>954</v>
      </c>
      <c r="G693" s="112" t="n">
        <f aca="false">E693*1.1</f>
        <v>280.5</v>
      </c>
      <c r="H693" s="185" t="s">
        <v>952</v>
      </c>
      <c r="I693" s="127" t="str">
        <f aca="false">CONCATENATE(A693,",",D693)</f>
        <v>EE 288,ED2-COE</v>
      </c>
      <c r="J693" s="115"/>
    </row>
    <row r="694" customFormat="false" ht="14.9" hidden="false" customHeight="false" outlineLevel="0" collapsed="false">
      <c r="A694" s="13" t="s">
        <v>519</v>
      </c>
      <c r="B694" s="14" t="str">
        <v>VIBRATIONS I</v>
      </c>
      <c r="C694" s="14" t="str">
        <v>Adam Faisal Wahib</v>
      </c>
      <c r="D694" s="13" t="s">
        <v>133</v>
      </c>
      <c r="E694" s="104" t="n">
        <v>76</v>
      </c>
      <c r="F694" s="19" t="s">
        <v>850</v>
      </c>
      <c r="G694" s="105" t="n">
        <f aca="false">E694*1.1</f>
        <v>83.6</v>
      </c>
      <c r="H694" s="3" t="s">
        <v>884</v>
      </c>
      <c r="I694" s="6" t="str">
        <f aca="false">CONCATENATE(A694,",",D694)</f>
        <v>ME 362,ED3-AERO</v>
      </c>
      <c r="J694" s="12"/>
    </row>
    <row r="695" customFormat="false" ht="14.9" hidden="false" customHeight="false" outlineLevel="0" collapsed="false">
      <c r="A695" s="13" t="s">
        <v>519</v>
      </c>
      <c r="B695" s="14" t="str">
        <v>VIBRATIONS I</v>
      </c>
      <c r="C695" s="14" t="str">
        <v>Adam Faisal Wahib</v>
      </c>
      <c r="D695" s="13" t="s">
        <v>61</v>
      </c>
      <c r="E695" s="104" t="n">
        <v>222</v>
      </c>
      <c r="F695" s="19" t="s">
        <v>687</v>
      </c>
      <c r="G695" s="105" t="n">
        <f aca="false">E695*1.1</f>
        <v>244.2</v>
      </c>
      <c r="H695" s="3" t="s">
        <v>905</v>
      </c>
      <c r="I695" s="6" t="str">
        <f aca="false">CONCATENATE(A695,",",D695)</f>
        <v>ME 362,ED3-ME</v>
      </c>
      <c r="J695" s="12"/>
    </row>
    <row r="696" customFormat="false" ht="14.9" hidden="false" customHeight="false" outlineLevel="0" collapsed="false">
      <c r="A696" s="13" t="s">
        <v>519</v>
      </c>
      <c r="B696" s="14" t="str">
        <v>VIBRATIONS I</v>
      </c>
      <c r="C696" s="14" t="str">
        <v>Adam Faisal Wahib</v>
      </c>
      <c r="D696" s="13" t="s">
        <v>86</v>
      </c>
      <c r="E696" s="104" t="n">
        <v>40</v>
      </c>
      <c r="F696" s="19" t="s">
        <v>616</v>
      </c>
      <c r="G696" s="105" t="n">
        <f aca="false">E696*1.1</f>
        <v>44</v>
      </c>
      <c r="H696" s="3" t="n">
        <v>40</v>
      </c>
      <c r="I696" s="6" t="str">
        <f aca="false">CONCATENATE(A696,",",D696)</f>
        <v>ME 362,ED3-MARI</v>
      </c>
      <c r="J696" s="12"/>
    </row>
    <row r="697" customFormat="false" ht="14.9" hidden="false" customHeight="false" outlineLevel="0" collapsed="false">
      <c r="A697" s="13" t="s">
        <v>521</v>
      </c>
      <c r="B697" s="14" t="str">
        <v>VIBRATIONS FOR AUTOMOBILE ENGINEERS</v>
      </c>
      <c r="C697" s="14" t="str">
        <v>Adam Faisal Wahib</v>
      </c>
      <c r="D697" s="13" t="s">
        <v>23</v>
      </c>
      <c r="E697" s="104" t="n">
        <v>40</v>
      </c>
      <c r="F697" s="19" t="s">
        <v>766</v>
      </c>
      <c r="G697" s="105" t="n">
        <f aca="false">E697*1.1</f>
        <v>44</v>
      </c>
      <c r="H697" s="3" t="s">
        <v>559</v>
      </c>
      <c r="I697" s="6" t="str">
        <f aca="false">CONCATENATE(A697,",",D697)</f>
        <v>AME 362,ED3-AUTO</v>
      </c>
      <c r="J697" s="12"/>
    </row>
    <row r="698" customFormat="false" ht="14.9" hidden="false" customHeight="false" outlineLevel="0" collapsed="false">
      <c r="A698" s="13" t="s">
        <v>522</v>
      </c>
      <c r="B698" s="14" t="str">
        <v>ANATOMY AND PHYSIOLOGY FOR ENGINEERS II</v>
      </c>
      <c r="C698" s="14" t="str">
        <v>Agyapong Dorothy Araba Yakoba</v>
      </c>
      <c r="D698" s="13" t="s">
        <v>109</v>
      </c>
      <c r="E698" s="104" t="n">
        <v>80</v>
      </c>
      <c r="F698" s="19" t="s">
        <v>953</v>
      </c>
      <c r="G698" s="105" t="n">
        <f aca="false">E698*1.1</f>
        <v>88</v>
      </c>
      <c r="H698" s="3" t="s">
        <v>692</v>
      </c>
      <c r="I698" s="6" t="str">
        <f aca="false">CONCATENATE(A698,",",D698)</f>
        <v>BME 286,ED2-BME</v>
      </c>
      <c r="J698" s="12"/>
    </row>
    <row r="699" customFormat="false" ht="14.9" hidden="false" customHeight="false" outlineLevel="0" collapsed="false">
      <c r="A699" s="22"/>
      <c r="B699" s="22"/>
      <c r="D699" s="14" t="s">
        <v>523</v>
      </c>
      <c r="E699" s="117" t="e">
        <f aca="false">SUM(_xlfn.anchorarray(E690))</f>
        <v>#NAME?</v>
      </c>
      <c r="F699" s="23"/>
      <c r="G699" s="118"/>
      <c r="H699" s="58"/>
      <c r="I699" s="9" t="s">
        <v>524</v>
      </c>
      <c r="J699" s="12"/>
    </row>
    <row r="700" s="61" customFormat="true" ht="13.8" hidden="false" customHeight="false" outlineLevel="0" collapsed="false">
      <c r="A700" s="59"/>
      <c r="B700" s="59"/>
      <c r="C700" s="59"/>
      <c r="D700" s="59"/>
      <c r="E700" s="60"/>
      <c r="F700" s="62"/>
      <c r="G700" s="100"/>
      <c r="H700" s="58"/>
    </row>
    <row r="701" s="61" customFormat="true" ht="15" hidden="false" customHeight="false" outlineLevel="0" collapsed="false">
      <c r="A701" s="62"/>
      <c r="B701" s="62"/>
      <c r="C701" s="62"/>
      <c r="D701" s="62"/>
      <c r="E701" s="63"/>
      <c r="F701" s="62"/>
      <c r="G701" s="101"/>
      <c r="H701" s="58"/>
    </row>
    <row r="702" s="61" customFormat="true" ht="15" hidden="false" customHeight="false" outlineLevel="0" collapsed="false">
      <c r="A702" s="62"/>
      <c r="B702" s="62"/>
      <c r="C702" s="62"/>
      <c r="D702" s="62"/>
      <c r="E702" s="63"/>
      <c r="F702" s="62"/>
      <c r="G702" s="101"/>
      <c r="H702" s="58"/>
    </row>
    <row r="703" s="61" customFormat="true" ht="15" hidden="false" customHeight="false" outlineLevel="0" collapsed="false">
      <c r="A703" s="62"/>
      <c r="B703" s="62"/>
      <c r="C703" s="62"/>
      <c r="D703" s="62"/>
      <c r="E703" s="63"/>
      <c r="F703" s="62"/>
      <c r="G703" s="101"/>
      <c r="H703" s="58"/>
    </row>
    <row r="704" s="61" customFormat="true" ht="14.25" hidden="false" customHeight="false" outlineLevel="0" collapsed="false">
      <c r="A704" s="62"/>
      <c r="B704" s="62"/>
      <c r="C704" s="62"/>
      <c r="D704" s="62"/>
      <c r="E704" s="63"/>
      <c r="F704" s="62"/>
      <c r="G704" s="101"/>
      <c r="H704" s="5"/>
    </row>
  </sheetData>
  <mergeCells count="97">
    <mergeCell ref="A1:G1"/>
    <mergeCell ref="A2:G2"/>
    <mergeCell ref="A12:G12"/>
    <mergeCell ref="A13:G13"/>
    <mergeCell ref="F15:F19"/>
    <mergeCell ref="A31:G31"/>
    <mergeCell ref="A32:G32"/>
    <mergeCell ref="A44:G44"/>
    <mergeCell ref="A45:G45"/>
    <mergeCell ref="F47:F49"/>
    <mergeCell ref="A63:G63"/>
    <mergeCell ref="A64:G64"/>
    <mergeCell ref="A81:G81"/>
    <mergeCell ref="A82:G82"/>
    <mergeCell ref="A95:G95"/>
    <mergeCell ref="A96:G96"/>
    <mergeCell ref="A108:G108"/>
    <mergeCell ref="A109:G109"/>
    <mergeCell ref="A123:G123"/>
    <mergeCell ref="A124:G124"/>
    <mergeCell ref="A136:G136"/>
    <mergeCell ref="A137:G137"/>
    <mergeCell ref="F139:F140"/>
    <mergeCell ref="A153:G153"/>
    <mergeCell ref="A154:G154"/>
    <mergeCell ref="A166:G166"/>
    <mergeCell ref="A167:G167"/>
    <mergeCell ref="A182:G182"/>
    <mergeCell ref="A183:G183"/>
    <mergeCell ref="A199:G199"/>
    <mergeCell ref="A200:G200"/>
    <mergeCell ref="A210:G210"/>
    <mergeCell ref="A211:G211"/>
    <mergeCell ref="A222:G222"/>
    <mergeCell ref="A223:G223"/>
    <mergeCell ref="A241:G241"/>
    <mergeCell ref="A242:G242"/>
    <mergeCell ref="A256:G256"/>
    <mergeCell ref="A257:G257"/>
    <mergeCell ref="A270:G270"/>
    <mergeCell ref="A271:G271"/>
    <mergeCell ref="A284:G284"/>
    <mergeCell ref="A285:G285"/>
    <mergeCell ref="A300:G300"/>
    <mergeCell ref="A301:G301"/>
    <mergeCell ref="A313:G313"/>
    <mergeCell ref="A314:G314"/>
    <mergeCell ref="F316:F329"/>
    <mergeCell ref="A339:G339"/>
    <mergeCell ref="A340:G340"/>
    <mergeCell ref="A354:G354"/>
    <mergeCell ref="A355:G355"/>
    <mergeCell ref="A367:G367"/>
    <mergeCell ref="A368:G368"/>
    <mergeCell ref="A379:G379"/>
    <mergeCell ref="A380:G380"/>
    <mergeCell ref="A395:G395"/>
    <mergeCell ref="A396:G396"/>
    <mergeCell ref="A410:G410"/>
    <mergeCell ref="A411:G411"/>
    <mergeCell ref="F413:F418"/>
    <mergeCell ref="A427:G427"/>
    <mergeCell ref="A428:G428"/>
    <mergeCell ref="F430:F436"/>
    <mergeCell ref="A451:G451"/>
    <mergeCell ref="A452:G452"/>
    <mergeCell ref="F454:F458"/>
    <mergeCell ref="A468:G468"/>
    <mergeCell ref="A469:G469"/>
    <mergeCell ref="A484:G484"/>
    <mergeCell ref="A485:G485"/>
    <mergeCell ref="A498:G498"/>
    <mergeCell ref="A499:G499"/>
    <mergeCell ref="A519:G519"/>
    <mergeCell ref="A520:G520"/>
    <mergeCell ref="A535:G535"/>
    <mergeCell ref="A536:G536"/>
    <mergeCell ref="A552:G552"/>
    <mergeCell ref="A553:G553"/>
    <mergeCell ref="A571:G571"/>
    <mergeCell ref="A572:G572"/>
    <mergeCell ref="A584:G584"/>
    <mergeCell ref="A585:G585"/>
    <mergeCell ref="A595:G595"/>
    <mergeCell ref="A596:G596"/>
    <mergeCell ref="A608:G608"/>
    <mergeCell ref="A609:G609"/>
    <mergeCell ref="A624:G624"/>
    <mergeCell ref="A625:G625"/>
    <mergeCell ref="A642:G642"/>
    <mergeCell ref="A643:G643"/>
    <mergeCell ref="A660:G660"/>
    <mergeCell ref="A661:G661"/>
    <mergeCell ref="A674:G674"/>
    <mergeCell ref="A675:G675"/>
    <mergeCell ref="A687:G687"/>
    <mergeCell ref="A688:G688"/>
  </mergeCells>
  <conditionalFormatting sqref="I132">
    <cfRule type="duplicateValues" priority="2" aboveAverage="0" equalAverage="0" bottom="0" percent="0" rank="0" text="" dxfId="286"/>
    <cfRule type="duplicateValues" priority="3" aboveAverage="0" equalAverage="0" bottom="0" percent="0" rank="0" text="" dxfId="287"/>
  </conditionalFormatting>
  <conditionalFormatting sqref="I264">
    <cfRule type="duplicateValues" priority="4" aboveAverage="0" equalAverage="0" bottom="0" percent="0" rank="0" text="" dxfId="288"/>
    <cfRule type="duplicateValues" priority="5" aboveAverage="0" equalAverage="0" bottom="0" percent="0" rank="0" text="" dxfId="289"/>
  </conditionalFormatting>
  <conditionalFormatting sqref="I22">
    <cfRule type="duplicateValues" priority="6" aboveAverage="0" equalAverage="0" bottom="0" percent="0" rank="0" text="" dxfId="290"/>
    <cfRule type="duplicateValues" priority="7" aboveAverage="0" equalAverage="0" bottom="0" percent="0" rank="0" text="" dxfId="291"/>
  </conditionalFormatting>
  <conditionalFormatting sqref="I149">
    <cfRule type="duplicateValues" priority="8" aboveAverage="0" equalAverage="0" bottom="0" percent="0" rank="0" text="" dxfId="292"/>
    <cfRule type="duplicateValues" priority="9" aboveAverage="0" equalAverage="0" bottom="0" percent="0" rank="0" text="" dxfId="293"/>
  </conditionalFormatting>
  <conditionalFormatting sqref="I362">
    <cfRule type="duplicateValues" priority="10" aboveAverage="0" equalAverage="0" bottom="0" percent="0" rank="0" text="" dxfId="294"/>
    <cfRule type="duplicateValues" priority="11" aboveAverage="0" equalAverage="0" bottom="0" percent="0" rank="0" text="" dxfId="295"/>
  </conditionalFormatting>
  <conditionalFormatting sqref="I78">
    <cfRule type="duplicateValues" priority="12" aboveAverage="0" equalAverage="0" bottom="0" percent="0" rank="0" text="" dxfId="296"/>
    <cfRule type="duplicateValues" priority="13" aboveAverage="0" equalAverage="0" bottom="0" percent="0" rank="0" text="" dxfId="297"/>
  </conditionalFormatting>
  <conditionalFormatting sqref="I604">
    <cfRule type="duplicateValues" priority="14" aboveAverage="0" equalAverage="0" bottom="0" percent="0" rank="0" text="" dxfId="298"/>
    <cfRule type="duplicateValues" priority="15" aboveAverage="0" equalAverage="0" bottom="0" percent="0" rank="0" text="" dxfId="299"/>
  </conditionalFormatting>
  <conditionalFormatting sqref="I236">
    <cfRule type="duplicateValues" priority="16" aboveAverage="0" equalAverage="0" bottom="0" percent="0" rank="0" text="" dxfId="300"/>
    <cfRule type="duplicateValues" priority="17" aboveAverage="0" equalAverage="0" bottom="0" percent="0" rank="0" text="" dxfId="301"/>
  </conditionalFormatting>
  <conditionalFormatting sqref="I89">
    <cfRule type="duplicateValues" priority="18" aboveAverage="0" equalAverage="0" bottom="0" percent="0" rank="0" text="" dxfId="302"/>
    <cfRule type="duplicateValues" priority="19" aboveAverage="0" equalAverage="0" bottom="0" percent="0" rank="0" text="" dxfId="303"/>
  </conditionalFormatting>
  <conditionalFormatting sqref="I691">
    <cfRule type="duplicateValues" priority="20" aboveAverage="0" equalAverage="0" bottom="0" percent="0" rank="0" text="" dxfId="304"/>
    <cfRule type="duplicateValues" priority="21" aboveAverage="0" equalAverage="0" bottom="0" percent="0" rank="0" text="" dxfId="305"/>
  </conditionalFormatting>
  <conditionalFormatting sqref="I249">
    <cfRule type="duplicateValues" priority="22" aboveAverage="0" equalAverage="0" bottom="0" percent="0" rank="0" text="" dxfId="306"/>
    <cfRule type="duplicateValues" priority="23" aboveAverage="0" equalAverage="0" bottom="0" percent="0" rank="0" text="" dxfId="307"/>
  </conditionalFormatting>
  <conditionalFormatting sqref="I665">
    <cfRule type="duplicateValues" priority="24" aboveAverage="0" equalAverage="0" bottom="0" percent="0" rank="0" text="" dxfId="308"/>
    <cfRule type="duplicateValues" priority="25" aboveAverage="0" equalAverage="0" bottom="0" percent="0" rank="0" text="" dxfId="309"/>
  </conditionalFormatting>
  <conditionalFormatting sqref="I310">
    <cfRule type="duplicateValues" priority="26" aboveAverage="0" equalAverage="0" bottom="0" percent="0" rank="0" text="" dxfId="310"/>
    <cfRule type="duplicateValues" priority="27" aboveAverage="0" equalAverage="0" bottom="0" percent="0" rank="0" text="" dxfId="311"/>
  </conditionalFormatting>
  <conditionalFormatting sqref="I24">
    <cfRule type="duplicateValues" priority="28" aboveAverage="0" equalAverage="0" bottom="0" percent="0" rank="0" text="" dxfId="312"/>
    <cfRule type="duplicateValues" priority="29" aboveAverage="0" equalAverage="0" bottom="0" percent="0" rank="0" text="" dxfId="313"/>
  </conditionalFormatting>
  <conditionalFormatting sqref="I25">
    <cfRule type="duplicateValues" priority="30" aboveAverage="0" equalAverage="0" bottom="0" percent="0" rank="0" text="" dxfId="314"/>
    <cfRule type="duplicateValues" priority="31" aboveAverage="0" equalAverage="0" bottom="0" percent="0" rank="0" text="" dxfId="315"/>
  </conditionalFormatting>
  <conditionalFormatting sqref="I246">
    <cfRule type="duplicateValues" priority="32" aboveAverage="0" equalAverage="0" bottom="0" percent="0" rank="0" text="" dxfId="316"/>
    <cfRule type="duplicateValues" priority="33" aboveAverage="0" equalAverage="0" bottom="0" percent="0" rank="0" text="" dxfId="317"/>
  </conditionalFormatting>
  <conditionalFormatting sqref="I392">
    <cfRule type="duplicateValues" priority="34" aboveAverage="0" equalAverage="0" bottom="0" percent="0" rank="0" text="" dxfId="318"/>
    <cfRule type="duplicateValues" priority="35" aboveAverage="0" equalAverage="0" bottom="0" percent="0" rank="0" text="" dxfId="319"/>
  </conditionalFormatting>
  <conditionalFormatting sqref="I253">
    <cfRule type="duplicateValues" priority="36" aboveAverage="0" equalAverage="0" bottom="0" percent="0" rank="0" text="" dxfId="320"/>
    <cfRule type="duplicateValues" priority="37" aboveAverage="0" equalAverage="0" bottom="0" percent="0" rank="0" text="" dxfId="321"/>
  </conditionalFormatting>
  <conditionalFormatting sqref="I295">
    <cfRule type="duplicateValues" priority="38" aboveAverage="0" equalAverage="0" bottom="0" percent="0" rank="0" text="" dxfId="322"/>
    <cfRule type="duplicateValues" priority="39" aboveAverage="0" equalAverage="0" bottom="0" percent="0" rank="0" text="" dxfId="323"/>
  </conditionalFormatting>
  <conditionalFormatting sqref="I251">
    <cfRule type="duplicateValues" priority="40" aboveAverage="0" equalAverage="0" bottom="0" percent="0" rank="0" text="" dxfId="324"/>
    <cfRule type="duplicateValues" priority="41" aboveAverage="0" equalAverage="0" bottom="0" percent="0" rank="0" text="" dxfId="325"/>
  </conditionalFormatting>
  <conditionalFormatting sqref="I423">
    <cfRule type="duplicateValues" priority="42" aboveAverage="0" equalAverage="0" bottom="0" percent="0" rank="0" text="" dxfId="326"/>
    <cfRule type="duplicateValues" priority="43" aboveAverage="0" equalAverage="0" bottom="0" percent="0" rank="0" text="" dxfId="327"/>
  </conditionalFormatting>
  <conditionalFormatting sqref="I23">
    <cfRule type="duplicateValues" priority="44" aboveAverage="0" equalAverage="0" bottom="0" percent="0" rank="0" text="" dxfId="328"/>
    <cfRule type="duplicateValues" priority="45" aboveAverage="0" equalAverage="0" bottom="0" percent="0" rank="0" text="" dxfId="329"/>
  </conditionalFormatting>
  <conditionalFormatting sqref="I193">
    <cfRule type="duplicateValues" priority="46" aboveAverage="0" equalAverage="0" bottom="0" percent="0" rank="0" text="" dxfId="330"/>
    <cfRule type="duplicateValues" priority="47" aboveAverage="0" equalAverage="0" bottom="0" percent="0" rank="0" text="" dxfId="331"/>
  </conditionalFormatting>
  <conditionalFormatting sqref="I128">
    <cfRule type="duplicateValues" priority="48" aboveAverage="0" equalAverage="0" bottom="0" percent="0" rank="0" text="" dxfId="332"/>
    <cfRule type="duplicateValues" priority="49" aboveAverage="0" equalAverage="0" bottom="0" percent="0" rank="0" text="" dxfId="333"/>
  </conditionalFormatting>
  <conditionalFormatting sqref="I493">
    <cfRule type="duplicateValues" priority="50" aboveAverage="0" equalAverage="0" bottom="0" percent="0" rank="0" text="" dxfId="334"/>
    <cfRule type="duplicateValues" priority="51" aboveAverage="0" equalAverage="0" bottom="0" percent="0" rank="0" text="" dxfId="335"/>
  </conditionalFormatting>
  <conditionalFormatting sqref="I196">
    <cfRule type="duplicateValues" priority="52" aboveAverage="0" equalAverage="0" bottom="0" percent="0" rank="0" text="" dxfId="336"/>
    <cfRule type="duplicateValues" priority="53" aboveAverage="0" equalAverage="0" bottom="0" percent="0" rank="0" text="" dxfId="337"/>
  </conditionalFormatting>
  <conditionalFormatting sqref="I129">
    <cfRule type="duplicateValues" priority="54" aboveAverage="0" equalAverage="0" bottom="0" percent="0" rank="0" text="" dxfId="338"/>
    <cfRule type="duplicateValues" priority="55" aboveAverage="0" equalAverage="0" bottom="0" percent="0" rank="0" text="" dxfId="339"/>
  </conditionalFormatting>
  <conditionalFormatting sqref="I37">
    <cfRule type="duplicateValues" priority="56" aboveAverage="0" equalAverage="0" bottom="0" percent="0" rank="0" text="" dxfId="340"/>
    <cfRule type="duplicateValues" priority="57" aboveAverage="0" equalAverage="0" bottom="0" percent="0" rank="0" text="" dxfId="341"/>
  </conditionalFormatting>
  <conditionalFormatting sqref="I278">
    <cfRule type="duplicateValues" priority="58" aboveAverage="0" equalAverage="0" bottom="0" percent="0" rank="0" text="" dxfId="342"/>
    <cfRule type="duplicateValues" priority="59" aboveAverage="0" equalAverage="0" bottom="0" percent="0" rank="0" text="" dxfId="343"/>
  </conditionalFormatting>
  <conditionalFormatting sqref="I148">
    <cfRule type="duplicateValues" priority="60" aboveAverage="0" equalAverage="0" bottom="0" percent="0" rank="0" text="" dxfId="344"/>
    <cfRule type="duplicateValues" priority="61" aboveAverage="0" equalAverage="0" bottom="0" percent="0" rank="0" text="" dxfId="345"/>
  </conditionalFormatting>
  <conditionalFormatting sqref="I143">
    <cfRule type="duplicateValues" priority="62" aboveAverage="0" equalAverage="0" bottom="0" percent="0" rank="0" text="" dxfId="346"/>
    <cfRule type="duplicateValues" priority="63" aboveAverage="0" equalAverage="0" bottom="0" percent="0" rank="0" text="" dxfId="347"/>
  </conditionalFormatting>
  <conditionalFormatting sqref="I144">
    <cfRule type="duplicateValues" priority="64" aboveAverage="0" equalAverage="0" bottom="0" percent="0" rank="0" text="" dxfId="348"/>
    <cfRule type="duplicateValues" priority="65" aboveAverage="0" equalAverage="0" bottom="0" percent="0" rank="0" text="" dxfId="349"/>
  </conditionalFormatting>
  <conditionalFormatting sqref="I628">
    <cfRule type="duplicateValues" priority="66" aboveAverage="0" equalAverage="0" bottom="0" percent="0" rank="0" text="" dxfId="350"/>
    <cfRule type="duplicateValues" priority="67" aboveAverage="0" equalAverage="0" bottom="0" percent="0" rank="0" text="" dxfId="351"/>
  </conditionalFormatting>
  <conditionalFormatting sqref="I549">
    <cfRule type="duplicateValues" priority="68" aboveAverage="0" equalAverage="0" bottom="0" percent="0" rank="0" text="" dxfId="352"/>
    <cfRule type="duplicateValues" priority="69" aboveAverage="0" equalAverage="0" bottom="0" percent="0" rank="0" text="" dxfId="353"/>
  </conditionalFormatting>
  <conditionalFormatting sqref="I332">
    <cfRule type="duplicateValues" priority="70" aboveAverage="0" equalAverage="0" bottom="0" percent="0" rank="0" text="" dxfId="354"/>
    <cfRule type="duplicateValues" priority="71" aboveAverage="0" equalAverage="0" bottom="0" percent="0" rank="0" text="" dxfId="355"/>
  </conditionalFormatting>
  <conditionalFormatting sqref="I567">
    <cfRule type="duplicateValues" priority="72" aboveAverage="0" equalAverage="0" bottom="0" percent="0" rank="0" text="" dxfId="356"/>
    <cfRule type="duplicateValues" priority="73" aboveAverage="0" equalAverage="0" bottom="0" percent="0" rank="0" text="" dxfId="357"/>
  </conditionalFormatting>
  <conditionalFormatting sqref="I195">
    <cfRule type="duplicateValues" priority="74" aboveAverage="0" equalAverage="0" bottom="0" percent="0" rank="0" text="" dxfId="358"/>
    <cfRule type="duplicateValues" priority="75" aboveAverage="0" equalAverage="0" bottom="0" percent="0" rank="0" text="" dxfId="359"/>
  </conditionalFormatting>
  <conditionalFormatting sqref="I204">
    <cfRule type="duplicateValues" priority="76" aboveAverage="0" equalAverage="0" bottom="0" percent="0" rank="0" text="" dxfId="360"/>
    <cfRule type="duplicateValues" priority="77" aboveAverage="0" equalAverage="0" bottom="0" percent="0" rank="0" text="" dxfId="361"/>
  </conditionalFormatting>
  <conditionalFormatting sqref="I333">
    <cfRule type="duplicateValues" priority="78" aboveAverage="0" equalAverage="0" bottom="0" percent="0" rank="0" text="" dxfId="362"/>
    <cfRule type="duplicateValues" priority="79" aboveAverage="0" equalAverage="0" bottom="0" percent="0" rank="0" text="" dxfId="363"/>
  </conditionalFormatting>
  <conditionalFormatting sqref="I90">
    <cfRule type="duplicateValues" priority="80" aboveAverage="0" equalAverage="0" bottom="0" percent="0" rank="0" text="" dxfId="364"/>
    <cfRule type="duplicateValues" priority="81" aboveAverage="0" equalAverage="0" bottom="0" percent="0" rank="0" text="" dxfId="365"/>
  </conditionalFormatting>
  <conditionalFormatting sqref="I361">
    <cfRule type="duplicateValues" priority="82" aboveAverage="0" equalAverage="0" bottom="0" percent="0" rank="0" text="" dxfId="366"/>
    <cfRule type="duplicateValues" priority="83" aboveAverage="0" equalAverage="0" bottom="0" percent="0" rank="0" text="" dxfId="367"/>
  </conditionalFormatting>
  <conditionalFormatting sqref="I527">
    <cfRule type="duplicateValues" priority="84" aboveAverage="0" equalAverage="0" bottom="0" percent="0" rank="0" text="" dxfId="368"/>
    <cfRule type="duplicateValues" priority="85" aboveAverage="0" equalAverage="0" bottom="0" percent="0" rank="0" text="" dxfId="369"/>
  </conditionalFormatting>
  <conditionalFormatting sqref="I280">
    <cfRule type="duplicateValues" priority="86" aboveAverage="0" equalAverage="0" bottom="0" percent="0" rank="0" text="" dxfId="370"/>
    <cfRule type="duplicateValues" priority="87" aboveAverage="0" equalAverage="0" bottom="0" percent="0" rank="0" text="" dxfId="371"/>
  </conditionalFormatting>
  <conditionalFormatting sqref="I207">
    <cfRule type="duplicateValues" priority="88" aboveAverage="0" equalAverage="0" bottom="0" percent="0" rank="0" text="" dxfId="372"/>
    <cfRule type="duplicateValues" priority="89" aboveAverage="0" equalAverage="0" bottom="0" percent="0" rank="0" text="" dxfId="373"/>
  </conditionalFormatting>
  <conditionalFormatting sqref="I163">
    <cfRule type="duplicateValues" priority="90" aboveAverage="0" equalAverage="0" bottom="0" percent="0" rank="0" text="" dxfId="374"/>
    <cfRule type="duplicateValues" priority="91" aboveAverage="0" equalAverage="0" bottom="0" percent="0" rank="0" text="" dxfId="375"/>
  </conditionalFormatting>
  <conditionalFormatting sqref="I539">
    <cfRule type="duplicateValues" priority="92" aboveAverage="0" equalAverage="0" bottom="0" percent="0" rank="0" text="" dxfId="376"/>
    <cfRule type="duplicateValues" priority="93" aboveAverage="0" equalAverage="0" bottom="0" percent="0" rank="0" text="" dxfId="377"/>
  </conditionalFormatting>
  <conditionalFormatting sqref="I147">
    <cfRule type="duplicateValues" priority="94" aboveAverage="0" equalAverage="0" bottom="0" percent="0" rank="0" text="" dxfId="378"/>
    <cfRule type="duplicateValues" priority="95" aboveAverage="0" equalAverage="0" bottom="0" percent="0" rank="0" text="" dxfId="379"/>
  </conditionalFormatting>
  <conditionalFormatting sqref="I293">
    <cfRule type="duplicateValues" priority="96" aboveAverage="0" equalAverage="0" bottom="0" percent="0" rank="0" text="" dxfId="380"/>
    <cfRule type="duplicateValues" priority="97" aboveAverage="0" equalAverage="0" bottom="0" percent="0" rank="0" text="" dxfId="381"/>
  </conditionalFormatting>
  <conditionalFormatting sqref="I540">
    <cfRule type="duplicateValues" priority="98" aboveAverage="0" equalAverage="0" bottom="0" percent="0" rank="0" text="" dxfId="382"/>
    <cfRule type="duplicateValues" priority="99" aboveAverage="0" equalAverage="0" bottom="0" percent="0" rank="0" text="" dxfId="383"/>
  </conditionalFormatting>
  <conditionalFormatting sqref="I635">
    <cfRule type="duplicateValues" priority="100" aboveAverage="0" equalAverage="0" bottom="0" percent="0" rank="0" text="" dxfId="384"/>
    <cfRule type="duplicateValues" priority="101" aboveAverage="0" equalAverage="0" bottom="0" percent="0" rank="0" text="" dxfId="385"/>
  </conditionalFormatting>
  <conditionalFormatting sqref="I446">
    <cfRule type="duplicateValues" priority="102" aboveAverage="0" equalAverage="0" bottom="0" percent="0" rank="0" text="" dxfId="386"/>
    <cfRule type="duplicateValues" priority="103" aboveAverage="0" equalAverage="0" bottom="0" percent="0" rank="0" text="" dxfId="387"/>
  </conditionalFormatting>
  <conditionalFormatting sqref="I294">
    <cfRule type="duplicateValues" priority="104" aboveAverage="0" equalAverage="0" bottom="0" percent="0" rank="0" text="" dxfId="388"/>
    <cfRule type="duplicateValues" priority="105" aboveAverage="0" equalAverage="0" bottom="0" percent="0" rank="0" text="" dxfId="389"/>
  </conditionalFormatting>
  <conditionalFormatting sqref="I252">
    <cfRule type="duplicateValues" priority="106" aboveAverage="0" equalAverage="0" bottom="0" percent="0" rank="0" text="" dxfId="390"/>
    <cfRule type="duplicateValues" priority="107" aboveAverage="0" equalAverage="0" bottom="0" percent="0" rank="0" text="" dxfId="391"/>
  </conditionalFormatting>
  <conditionalFormatting sqref="I76">
    <cfRule type="duplicateValues" priority="108" aboveAverage="0" equalAverage="0" bottom="0" percent="0" rank="0" text="" dxfId="392"/>
    <cfRule type="duplicateValues" priority="109" aboveAverage="0" equalAverage="0" bottom="0" percent="0" rank="0" text="" dxfId="393"/>
  </conditionalFormatting>
  <conditionalFormatting sqref="I162">
    <cfRule type="duplicateValues" priority="110" aboveAverage="0" equalAverage="0" bottom="0" percent="0" rank="0" text="" dxfId="394"/>
    <cfRule type="duplicateValues" priority="111" aboveAverage="0" equalAverage="0" bottom="0" percent="0" rank="0" text="" dxfId="395"/>
  </conditionalFormatting>
  <conditionalFormatting sqref="I697">
    <cfRule type="duplicateValues" priority="112" aboveAverage="0" equalAverage="0" bottom="0" percent="0" rank="0" text="" dxfId="396"/>
    <cfRule type="duplicateValues" priority="113" aboveAverage="0" equalAverage="0" bottom="0" percent="0" rank="0" text="" dxfId="397"/>
  </conditionalFormatting>
  <conditionalFormatting sqref="I436">
    <cfRule type="duplicateValues" priority="114" aboveAverage="0" equalAverage="0" bottom="0" percent="0" rank="0" text="" dxfId="398"/>
    <cfRule type="duplicateValues" priority="115" aboveAverage="0" equalAverage="0" bottom="0" percent="0" rank="0" text="" dxfId="399"/>
  </conditionalFormatting>
  <conditionalFormatting sqref="I189">
    <cfRule type="duplicateValues" priority="116" aboveAverage="0" equalAverage="0" bottom="0" percent="0" rank="0" text="" dxfId="400"/>
    <cfRule type="duplicateValues" priority="117" aboveAverage="0" equalAverage="0" bottom="0" percent="0" rank="0" text="" dxfId="401"/>
  </conditionalFormatting>
  <conditionalFormatting sqref="I670">
    <cfRule type="duplicateValues" priority="118" aboveAverage="0" equalAverage="0" bottom="0" percent="0" rank="0" text="" dxfId="402"/>
    <cfRule type="duplicateValues" priority="119" aboveAverage="0" equalAverage="0" bottom="0" percent="0" rank="0" text="" dxfId="403"/>
  </conditionalFormatting>
  <conditionalFormatting sqref="I682">
    <cfRule type="duplicateValues" priority="120" aboveAverage="0" equalAverage="0" bottom="0" percent="0" rank="0" text="" dxfId="404"/>
    <cfRule type="duplicateValues" priority="121" aboveAverage="0" equalAverage="0" bottom="0" percent="0" rank="0" text="" dxfId="405"/>
  </conditionalFormatting>
  <conditionalFormatting sqref="I666">
    <cfRule type="duplicateValues" priority="122" aboveAverage="0" equalAverage="0" bottom="0" percent="0" rank="0" text="" dxfId="406"/>
    <cfRule type="duplicateValues" priority="123" aboveAverage="0" equalAverage="0" bottom="0" percent="0" rank="0" text="" dxfId="407"/>
  </conditionalFormatting>
  <conditionalFormatting sqref="I530">
    <cfRule type="duplicateValues" priority="124" aboveAverage="0" equalAverage="0" bottom="0" percent="0" rank="0" text="" dxfId="408"/>
    <cfRule type="duplicateValues" priority="125" aboveAverage="0" equalAverage="0" bottom="0" percent="0" rank="0" text="" dxfId="409"/>
  </conditionalFormatting>
  <conditionalFormatting sqref="I649">
    <cfRule type="duplicateValues" priority="126" aboveAverage="0" equalAverage="0" bottom="0" percent="0" rank="0" text="" dxfId="410"/>
    <cfRule type="duplicateValues" priority="127" aboveAverage="0" equalAverage="0" bottom="0" percent="0" rank="0" text="" dxfId="411"/>
  </conditionalFormatting>
  <conditionalFormatting sqref="I465">
    <cfRule type="duplicateValues" priority="128" aboveAverage="0" equalAverage="0" bottom="0" percent="0" rank="0" text="" dxfId="412"/>
    <cfRule type="duplicateValues" priority="129" aboveAverage="0" equalAverage="0" bottom="0" percent="0" rank="0" text="" dxfId="413"/>
  </conditionalFormatting>
  <conditionalFormatting sqref="I676">
    <cfRule type="duplicateValues" priority="130" aboveAverage="0" equalAverage="0" bottom="0" percent="0" rank="0" text="" dxfId="414"/>
    <cfRule type="duplicateValues" priority="131" aboveAverage="0" equalAverage="0" bottom="0" percent="0" rank="0" text="" dxfId="415"/>
  </conditionalFormatting>
  <conditionalFormatting sqref="I675">
    <cfRule type="duplicateValues" priority="132" aboveAverage="0" equalAverage="0" bottom="0" percent="0" rank="0" text="" dxfId="416"/>
    <cfRule type="duplicateValues" priority="133" aboveAverage="0" equalAverage="0" bottom="0" percent="0" rank="0" text="" dxfId="417"/>
  </conditionalFormatting>
  <conditionalFormatting sqref="I686">
    <cfRule type="duplicateValues" priority="134" aboveAverage="0" equalAverage="0" bottom="0" percent="0" rank="0" text="" dxfId="418"/>
    <cfRule type="duplicateValues" priority="135" aboveAverage="0" equalAverage="0" bottom="0" percent="0" rank="0" text="" dxfId="419"/>
  </conditionalFormatting>
  <conditionalFormatting sqref="I674">
    <cfRule type="duplicateValues" priority="136" aboveAverage="0" equalAverage="0" bottom="0" percent="0" rank="0" text="" dxfId="420"/>
    <cfRule type="duplicateValues" priority="137" aboveAverage="0" equalAverage="0" bottom="0" percent="0" rank="0" text="" dxfId="421"/>
  </conditionalFormatting>
  <conditionalFormatting sqref="I689">
    <cfRule type="duplicateValues" priority="138" aboveAverage="0" equalAverage="0" bottom="0" percent="0" rank="0" text="" dxfId="422"/>
    <cfRule type="duplicateValues" priority="139" aboveAverage="0" equalAverage="0" bottom="0" percent="0" rank="0" text="" dxfId="423"/>
  </conditionalFormatting>
  <conditionalFormatting sqref="I688">
    <cfRule type="duplicateValues" priority="140" aboveAverage="0" equalAverage="0" bottom="0" percent="0" rank="0" text="" dxfId="424"/>
    <cfRule type="duplicateValues" priority="141" aboveAverage="0" equalAverage="0" bottom="0" percent="0" rank="0" text="" dxfId="425"/>
  </conditionalFormatting>
  <conditionalFormatting sqref="I699">
    <cfRule type="duplicateValues" priority="142" aboveAverage="0" equalAverage="0" bottom="0" percent="0" rank="0" text="" dxfId="426"/>
    <cfRule type="duplicateValues" priority="143" aboveAverage="0" equalAverage="0" bottom="0" percent="0" rank="0" text="" dxfId="427"/>
  </conditionalFormatting>
  <conditionalFormatting sqref="I433">
    <cfRule type="duplicateValues" priority="144" aboveAverage="0" equalAverage="0" bottom="0" percent="0" rank="0" text="" dxfId="428"/>
    <cfRule type="duplicateValues" priority="145" aboveAverage="0" equalAverage="0" bottom="0" percent="0" rank="0" text="" dxfId="429"/>
  </conditionalFormatting>
  <conditionalFormatting sqref="D34">
    <cfRule type="duplicateValues" priority="146" aboveAverage="0" equalAverage="0" bottom="0" percent="0" rank="0" text="" dxfId="430"/>
  </conditionalFormatting>
  <conditionalFormatting sqref="I687">
    <cfRule type="duplicateValues" priority="147" aboveAverage="0" equalAverage="0" bottom="0" percent="0" rank="0" text="" dxfId="431"/>
    <cfRule type="duplicateValues" priority="148" aboveAverage="0" equalAverage="0" bottom="0" percent="0" rank="0" text="" dxfId="432"/>
  </conditionalFormatting>
  <conditionalFormatting sqref="I42:I43 I31:I33">
    <cfRule type="duplicateValues" priority="149" aboveAverage="0" equalAverage="0" bottom="0" percent="0" rank="0" text="" dxfId="433"/>
    <cfRule type="duplicateValues" priority="150" aboveAverage="0" equalAverage="0" bottom="0" percent="0" rank="0" text="" dxfId="434"/>
  </conditionalFormatting>
  <conditionalFormatting sqref="D550">
    <cfRule type="duplicateValues" priority="151" aboveAverage="0" equalAverage="0" bottom="0" percent="0" rank="0" text="" dxfId="435"/>
  </conditionalFormatting>
  <conditionalFormatting sqref="I678:I679 I681 I683:I684 I199:I202 I192 I208:I209">
    <cfRule type="duplicateValues" priority="152" aboveAverage="0" equalAverage="0" bottom="0" percent="0" rank="0" text="" dxfId="436"/>
    <cfRule type="duplicateValues" priority="153" aboveAverage="0" equalAverage="0" bottom="0" percent="0" rank="0" text="" dxfId="437"/>
  </conditionalFormatting>
  <conditionalFormatting sqref="I685 I664 I677">
    <cfRule type="duplicateValues" priority="154" aboveAverage="0" equalAverage="0" bottom="0" percent="0" rank="0" text="" dxfId="438"/>
    <cfRule type="duplicateValues" priority="155" aboveAverage="0" equalAverage="0" bottom="0" percent="0" rank="0" text="" dxfId="439"/>
  </conditionalFormatting>
  <conditionalFormatting sqref="D663 D524">
    <cfRule type="duplicateValues" priority="156" aboveAverage="0" equalAverage="0" bottom="0" percent="0" rank="0" text="" dxfId="440"/>
  </conditionalFormatting>
  <conditionalFormatting sqref="I700:I1048576 I667:I669 I680 I434:I435 I166:I170 I437:I445 I203 I671:I673 I161 I150:I152 I190:I191 I447:I464 I466:I492 I494:I526 I531:I538 I281:I292 I279 I296:I309 I205:I206 I528:I529 I550:I566 I629:I634 I650:I663 I636:I648 I197:I198 I541:I548 I34:I36 I77 I690 I698 I38:I41 I424:I432 I334:I360 I393:I422 I363:I391 I194 I247:I248 I26:I30 I311:I331 I250 I210:I235 I568:I603 I605:I627 I237:I245 I692:I696 I91:I127 I254:I263 I79:I88 I44:I75 I130:I131 I145:I146 I173:I188 I1:I21 I265:I277 I133:I142">
    <cfRule type="duplicateValues" priority="157" aboveAverage="0" equalAverage="0" bottom="0" percent="0" rank="0" text="" dxfId="441"/>
    <cfRule type="duplicateValues" priority="158" aboveAverage="0" equalAverage="0" bottom="0" percent="0" rank="0" text="" dxfId="442"/>
  </conditionalFormatting>
  <conditionalFormatting sqref="I171:I172 I153:I160 I164:I165">
    <cfRule type="duplicateValues" priority="159" aboveAverage="0" equalAverage="0" bottom="0" percent="0" rank="0" text="" dxfId="443"/>
    <cfRule type="duplicateValues" priority="160" aboveAverage="0" equalAverage="0" bottom="0" percent="0" rank="0" text="" dxfId="444"/>
  </conditionalFormatting>
  <printOptions headings="false" gridLines="fals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&amp;C&amp;"Times New Roman,Bold"&amp;12COLLEGE OF ENGINEERING             
DRAFT EXAMINATION TIMETABLE FOR THE SECOND SEMESTER, 2025/2026 ACADEMIC YEAR</oddHeader>
    <oddFooter>&amp;C&amp;"Times New Roman,Regular"&amp;18&amp;Kff0000For computer based exams, venues will be communicated.</oddFooter>
  </headerFooter>
  <rowBreaks count="44" manualBreakCount="44">
    <brk id="11" man="true" max="16383" min="0"/>
    <brk id="30" man="true" max="16383" min="0"/>
    <brk id="43" man="true" max="16383" min="0"/>
    <brk id="62" man="true" max="16383" min="0"/>
    <brk id="80" man="true" max="16383" min="0"/>
    <brk id="94" man="true" max="16383" min="0"/>
    <brk id="107" man="true" max="16383" min="0"/>
    <brk id="122" man="true" max="16383" min="0"/>
    <brk id="135" man="true" max="16383" min="0"/>
    <brk id="152" man="true" max="16383" min="0"/>
    <brk id="165" man="true" max="16383" min="0"/>
    <brk id="181" man="true" max="16383" min="0"/>
    <brk id="198" man="true" max="16383" min="0"/>
    <brk id="209" man="true" max="16383" min="0"/>
    <brk id="221" man="true" max="16383" min="0"/>
    <brk id="240" man="true" max="16383" min="0"/>
    <brk id="255" man="true" max="16383" min="0"/>
    <brk id="269" man="true" max="16383" min="0"/>
    <brk id="283" man="true" max="16383" min="0"/>
    <brk id="299" man="true" max="16383" min="0"/>
    <brk id="312" man="true" max="16383" min="0"/>
    <brk id="338" man="true" max="16383" min="0"/>
    <brk id="353" man="true" max="16383" min="0"/>
    <brk id="366" man="true" max="16383" min="0"/>
    <brk id="378" man="true" max="16383" min="0"/>
    <brk id="394" man="true" max="16383" min="0"/>
    <brk id="409" man="true" max="16383" min="0"/>
    <brk id="426" man="true" max="16383" min="0"/>
    <brk id="450" man="true" max="16383" min="0"/>
    <brk id="467" man="true" max="16383" min="0"/>
    <brk id="483" man="true" max="16383" min="0"/>
    <brk id="497" man="true" max="16383" min="0"/>
    <brk id="518" man="true" max="16383" min="0"/>
    <brk id="534" man="true" max="16383" min="0"/>
    <brk id="551" man="true" max="16383" min="0"/>
    <brk id="570" man="true" max="16383" min="0"/>
    <brk id="583" man="true" max="16383" min="0"/>
    <brk id="594" man="true" max="16383" min="0"/>
    <brk id="607" man="true" max="16383" min="0"/>
    <brk id="623" man="true" max="16383" min="0"/>
    <brk id="641" man="true" max="16383" min="0"/>
    <brk id="659" man="true" max="16383" min="0"/>
    <brk id="672" man="true" max="16383" min="0"/>
    <brk id="686" man="true" max="16383" min="0"/>
  </rowBreaks>
  <colBreaks count="1" manualBreakCount="1">
    <brk id="8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7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26" activeCellId="0" sqref="A26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96" width="9.63"/>
    <col collapsed="false" customWidth="true" hidden="false" outlineLevel="0" max="4" min="2" style="197" width="2.75"/>
    <col collapsed="false" customWidth="true" hidden="false" outlineLevel="0" max="7" min="5" style="196" width="2.75"/>
    <col collapsed="false" customWidth="true" hidden="false" outlineLevel="0" max="10" min="8" style="198" width="2.75"/>
    <col collapsed="false" customWidth="true" hidden="false" outlineLevel="0" max="13" min="11" style="196" width="2.75"/>
    <col collapsed="false" customWidth="true" hidden="false" outlineLevel="0" max="16" min="14" style="198" width="2.75"/>
    <col collapsed="false" customWidth="true" hidden="false" outlineLevel="0" max="19" min="17" style="197" width="2.75"/>
    <col collapsed="false" customWidth="true" hidden="false" outlineLevel="0" max="22" min="20" style="198" width="2.75"/>
    <col collapsed="false" customWidth="true" hidden="false" outlineLevel="0" max="25" min="23" style="196" width="2.75"/>
    <col collapsed="false" customWidth="true" hidden="false" outlineLevel="0" max="28" min="26" style="198" width="2.75"/>
    <col collapsed="false" customWidth="true" hidden="false" outlineLevel="0" max="30" min="29" style="196" width="2.75"/>
    <col collapsed="false" customWidth="true" hidden="false" outlineLevel="0" max="31" min="31" style="196" width="2.5"/>
    <col collapsed="false" customWidth="true" hidden="false" outlineLevel="0" max="34" min="32" style="197" width="2.75"/>
    <col collapsed="false" customWidth="true" hidden="false" outlineLevel="0" max="37" min="35" style="196" width="2.75"/>
    <col collapsed="false" customWidth="true" hidden="false" outlineLevel="0" max="40" min="38" style="198" width="2.75"/>
    <col collapsed="false" customWidth="true" hidden="false" outlineLevel="0" max="43" min="41" style="196" width="2.75"/>
    <col collapsed="false" customWidth="true" hidden="false" outlineLevel="0" max="46" min="44" style="198" width="2.75"/>
    <col collapsed="false" customWidth="true" hidden="false" outlineLevel="0" max="47" min="47" style="196" width="9"/>
    <col collapsed="false" customWidth="true" hidden="false" outlineLevel="0" max="48" min="48" style="196" width="3.63"/>
    <col collapsed="false" customWidth="true" hidden="false" outlineLevel="0" max="49" min="49" style="196" width="3.25"/>
    <col collapsed="false" customWidth="true" hidden="false" outlineLevel="0" max="50" min="50" style="196" width="3.13"/>
    <col collapsed="false" customWidth="true" hidden="false" outlineLevel="0" max="51" min="51" style="196" width="3.75"/>
    <col collapsed="false" customWidth="true" hidden="false" outlineLevel="0" max="52" min="52" style="196" width="3"/>
    <col collapsed="false" customWidth="true" hidden="false" outlineLevel="0" max="53" min="53" style="196" width="3.63"/>
    <col collapsed="false" customWidth="true" hidden="false" outlineLevel="0" max="54" min="54" style="196" width="3.25"/>
    <col collapsed="false" customWidth="true" hidden="false" outlineLevel="0" max="55" min="55" style="196" width="3.13"/>
    <col collapsed="false" customWidth="true" hidden="false" outlineLevel="0" max="56" min="56" style="196" width="3.75"/>
    <col collapsed="false" customWidth="true" hidden="false" outlineLevel="0" max="57" min="57" style="196" width="3"/>
    <col collapsed="false" customWidth="true" hidden="false" outlineLevel="0" max="58" min="58" style="196" width="3.63"/>
    <col collapsed="false" customWidth="true" hidden="false" outlineLevel="0" max="59" min="59" style="196" width="3.25"/>
    <col collapsed="false" customWidth="true" hidden="false" outlineLevel="0" max="60" min="60" style="196" width="3.13"/>
    <col collapsed="false" customWidth="true" hidden="false" outlineLevel="0" max="61" min="61" style="196" width="3.75"/>
    <col collapsed="false" customWidth="true" hidden="false" outlineLevel="0" max="62" min="62" style="196" width="3"/>
  </cols>
  <sheetData>
    <row r="1" customFormat="false" ht="14.25" hidden="false" customHeight="false" outlineLevel="0" collapsed="false">
      <c r="B1" s="199" t="s">
        <v>964</v>
      </c>
      <c r="C1" s="199"/>
      <c r="D1" s="199"/>
      <c r="E1" s="200" t="s">
        <v>965</v>
      </c>
      <c r="F1" s="200"/>
      <c r="G1" s="200"/>
      <c r="H1" s="201" t="s">
        <v>966</v>
      </c>
      <c r="I1" s="201"/>
      <c r="J1" s="201"/>
      <c r="K1" s="200" t="s">
        <v>967</v>
      </c>
      <c r="L1" s="200"/>
      <c r="M1" s="200"/>
      <c r="N1" s="201" t="s">
        <v>968</v>
      </c>
      <c r="O1" s="201"/>
      <c r="P1" s="201"/>
      <c r="Q1" s="199" t="s">
        <v>969</v>
      </c>
      <c r="R1" s="199"/>
      <c r="S1" s="199"/>
      <c r="T1" s="201" t="s">
        <v>970</v>
      </c>
      <c r="U1" s="201"/>
      <c r="V1" s="201"/>
      <c r="W1" s="200" t="s">
        <v>971</v>
      </c>
      <c r="X1" s="200"/>
      <c r="Y1" s="200"/>
      <c r="Z1" s="201" t="s">
        <v>972</v>
      </c>
      <c r="AA1" s="201"/>
      <c r="AB1" s="201"/>
      <c r="AC1" s="200" t="s">
        <v>973</v>
      </c>
      <c r="AD1" s="200"/>
      <c r="AE1" s="200"/>
      <c r="AF1" s="199" t="s">
        <v>974</v>
      </c>
      <c r="AG1" s="199"/>
      <c r="AH1" s="199"/>
      <c r="AI1" s="200" t="s">
        <v>975</v>
      </c>
      <c r="AJ1" s="200"/>
      <c r="AK1" s="200"/>
      <c r="AL1" s="201" t="s">
        <v>976</v>
      </c>
      <c r="AM1" s="201"/>
      <c r="AN1" s="201"/>
      <c r="AO1" s="200" t="s">
        <v>977</v>
      </c>
      <c r="AP1" s="200"/>
      <c r="AQ1" s="200"/>
      <c r="AR1" s="201" t="s">
        <v>978</v>
      </c>
      <c r="AS1" s="201"/>
      <c r="AT1" s="201"/>
    </row>
    <row r="2" customFormat="false" ht="14.25" hidden="false" customHeight="false" outlineLevel="0" collapsed="false">
      <c r="B2" s="202" t="s">
        <v>979</v>
      </c>
      <c r="C2" s="202" t="s">
        <v>980</v>
      </c>
      <c r="D2" s="202" t="s">
        <v>981</v>
      </c>
      <c r="E2" s="203" t="s">
        <v>979</v>
      </c>
      <c r="F2" s="203" t="s">
        <v>980</v>
      </c>
      <c r="G2" s="203" t="s">
        <v>981</v>
      </c>
      <c r="H2" s="204" t="s">
        <v>979</v>
      </c>
      <c r="I2" s="204" t="s">
        <v>980</v>
      </c>
      <c r="J2" s="204" t="s">
        <v>981</v>
      </c>
      <c r="K2" s="203" t="s">
        <v>979</v>
      </c>
      <c r="L2" s="203" t="s">
        <v>980</v>
      </c>
      <c r="M2" s="203" t="s">
        <v>981</v>
      </c>
      <c r="N2" s="204" t="s">
        <v>979</v>
      </c>
      <c r="O2" s="204" t="s">
        <v>980</v>
      </c>
      <c r="P2" s="204" t="s">
        <v>981</v>
      </c>
      <c r="Q2" s="202" t="s">
        <v>979</v>
      </c>
      <c r="R2" s="202" t="s">
        <v>980</v>
      </c>
      <c r="S2" s="202" t="s">
        <v>981</v>
      </c>
      <c r="T2" s="204" t="s">
        <v>979</v>
      </c>
      <c r="U2" s="204" t="s">
        <v>980</v>
      </c>
      <c r="V2" s="204" t="s">
        <v>981</v>
      </c>
      <c r="W2" s="203" t="s">
        <v>979</v>
      </c>
      <c r="X2" s="203" t="s">
        <v>980</v>
      </c>
      <c r="Y2" s="203" t="s">
        <v>981</v>
      </c>
      <c r="Z2" s="204" t="s">
        <v>979</v>
      </c>
      <c r="AA2" s="204" t="s">
        <v>980</v>
      </c>
      <c r="AB2" s="204" t="s">
        <v>981</v>
      </c>
      <c r="AC2" s="203" t="s">
        <v>979</v>
      </c>
      <c r="AD2" s="203" t="s">
        <v>980</v>
      </c>
      <c r="AE2" s="203" t="s">
        <v>981</v>
      </c>
      <c r="AF2" s="202" t="s">
        <v>979</v>
      </c>
      <c r="AG2" s="202" t="s">
        <v>980</v>
      </c>
      <c r="AH2" s="202" t="s">
        <v>981</v>
      </c>
      <c r="AI2" s="203" t="s">
        <v>979</v>
      </c>
      <c r="AJ2" s="203" t="s">
        <v>980</v>
      </c>
      <c r="AK2" s="203" t="s">
        <v>981</v>
      </c>
      <c r="AL2" s="204" t="s">
        <v>979</v>
      </c>
      <c r="AM2" s="204" t="s">
        <v>980</v>
      </c>
      <c r="AN2" s="204" t="s">
        <v>981</v>
      </c>
      <c r="AO2" s="203" t="s">
        <v>979</v>
      </c>
      <c r="AP2" s="203" t="s">
        <v>980</v>
      </c>
      <c r="AQ2" s="203" t="s">
        <v>981</v>
      </c>
      <c r="AR2" s="204" t="s">
        <v>979</v>
      </c>
      <c r="AS2" s="204" t="s">
        <v>980</v>
      </c>
      <c r="AT2" s="204" t="s">
        <v>981</v>
      </c>
      <c r="AV2" s="205" t="s">
        <v>964</v>
      </c>
      <c r="AW2" s="205" t="s">
        <v>965</v>
      </c>
      <c r="AX2" s="205" t="s">
        <v>966</v>
      </c>
      <c r="AY2" s="205" t="s">
        <v>967</v>
      </c>
      <c r="AZ2" s="205" t="s">
        <v>968</v>
      </c>
      <c r="BA2" s="205" t="s">
        <v>969</v>
      </c>
      <c r="BB2" s="205" t="s">
        <v>970</v>
      </c>
      <c r="BC2" s="205" t="s">
        <v>971</v>
      </c>
      <c r="BD2" s="205" t="s">
        <v>972</v>
      </c>
      <c r="BE2" s="205" t="s">
        <v>973</v>
      </c>
      <c r="BF2" s="205" t="s">
        <v>974</v>
      </c>
      <c r="BG2" s="205" t="s">
        <v>975</v>
      </c>
      <c r="BH2" s="205" t="s">
        <v>976</v>
      </c>
      <c r="BI2" s="205" t="s">
        <v>977</v>
      </c>
      <c r="BJ2" s="205" t="s">
        <v>978</v>
      </c>
    </row>
    <row r="3" customFormat="false" ht="16.4" hidden="false" customHeight="false" outlineLevel="0" collapsed="false">
      <c r="A3" s="206" t="s">
        <v>131</v>
      </c>
      <c r="B3" s="207" t="n">
        <f aca="false">COUNTIF(TT!$D$4:$D$9,TALLY!A3)</f>
        <v>0</v>
      </c>
      <c r="C3" s="207" t="n">
        <f aca="false">COUNTIF(TT!$D$15:$D$28,TALLY!A3)</f>
        <v>0</v>
      </c>
      <c r="D3" s="207" t="n">
        <f aca="false">COUNTIF(TT!$D$34:$D$41,TALLY!A3)</f>
        <v>0</v>
      </c>
      <c r="E3" s="208" t="n">
        <f aca="false">COUNTIF(TT!$D$47:$D$60,TALLY!A3)</f>
        <v>0</v>
      </c>
      <c r="F3" s="208" t="n">
        <f aca="false">COUNTIF(TT!$D$66:$D$79,TALLY!A3)</f>
        <v>0</v>
      </c>
      <c r="G3" s="208" t="n">
        <f aca="false">COUNTIF(TT!$D$84:$D$93,TALLY!A3)</f>
        <v>0</v>
      </c>
      <c r="H3" s="209" t="n">
        <f aca="false">COUNTIF(TT!$D$98:$D$106,TALLY!A3)</f>
        <v>0</v>
      </c>
      <c r="I3" s="209" t="n">
        <f aca="false">COUNTIF(TT!$D$111:$D$121,TALLY!A3)</f>
        <v>1</v>
      </c>
      <c r="J3" s="209" t="n">
        <f aca="false">COUNTIF(TT!$D$126:$D$134,TALLY!A3)</f>
        <v>0</v>
      </c>
      <c r="K3" s="208" t="n">
        <f aca="false">COUNTIF(TT!$D$139:$D$151,TALLY!A3)</f>
        <v>0</v>
      </c>
      <c r="L3" s="208" t="n">
        <f aca="false">COUNTIF(TT!$D$156:$D$164,TALLY!A3)</f>
        <v>0</v>
      </c>
      <c r="M3" s="208" t="n">
        <f aca="false">COUNTIF(TT!$D$169:$D$180,TALLY!A3)</f>
        <v>0</v>
      </c>
      <c r="N3" s="209" t="n">
        <f aca="false">COUNTIF(TT!$D$185:$D$197,TALLY!A3)</f>
        <v>1</v>
      </c>
      <c r="O3" s="209" t="n">
        <f aca="false">COUNTIF(TT!$D$202:$D$208,TALLY!A3)</f>
        <v>0</v>
      </c>
      <c r="P3" s="209" t="n">
        <f aca="false">COUNTIF(TT!$D$213:$D$220,TALLY!A3)</f>
        <v>0</v>
      </c>
      <c r="Q3" s="207" t="n">
        <f aca="false">COUNTIF(TT!$D$225:$D$239,TALLY!A3)</f>
        <v>0</v>
      </c>
      <c r="R3" s="207" t="n">
        <f aca="false">COUNTIF(TT!$D$244:$D$254,TALLY!A3)</f>
        <v>0</v>
      </c>
      <c r="S3" s="207" t="n">
        <f aca="false">COUNTIF(TT!$D$259:$D$268,TALLY!A3)</f>
        <v>0</v>
      </c>
      <c r="T3" s="209" t="n">
        <f aca="false">COUNTIF(TT!$D$271:$D$282,TALLY!A3)</f>
        <v>0</v>
      </c>
      <c r="U3" s="209" t="n">
        <f aca="false">COUNTIF(TT!$D$287:$D$298,TALLY!A3)</f>
        <v>1</v>
      </c>
      <c r="V3" s="209" t="n">
        <f aca="false">COUNTIF(TT!$D$303:$D$311,TALLY!A3)</f>
        <v>0</v>
      </c>
      <c r="W3" s="208" t="n">
        <f aca="false">COUNTIF(TT!$D$316:$D$337,TALLY!A3)</f>
        <v>0</v>
      </c>
      <c r="X3" s="208" t="n">
        <f aca="false">COUNTIF(TT!$D$342:$D$350,TALLY!A3)</f>
        <v>1</v>
      </c>
      <c r="Y3" s="208" t="n">
        <f aca="false">COUNTIF(TT!$D$357:$D$365,TALLY!A3)</f>
        <v>0</v>
      </c>
      <c r="Z3" s="209" t="n">
        <f aca="false">COUNTIF(TT!$D$370:$D$377,TALLY!A3)</f>
        <v>0</v>
      </c>
      <c r="AA3" s="209" t="n">
        <f aca="false">COUNTIF(TT!$D$382:$D$393,TALLY!A3)</f>
        <v>0</v>
      </c>
      <c r="AB3" s="209" t="n">
        <f aca="false">COUNTIF(TT!$D$398:$D$408,TALLY!A3)</f>
        <v>0</v>
      </c>
      <c r="AC3" s="208" t="n">
        <f aca="false">COUNTIF(TT!$D$413:$D$425,TALLY!A3)</f>
        <v>1</v>
      </c>
      <c r="AD3" s="208" t="n">
        <f aca="false">COUNTIF(TT!$D$430:$D$433,TALLY!A3)</f>
        <v>0</v>
      </c>
      <c r="AE3" s="208" t="n">
        <f aca="false">COUNTIF(TT!$D$454:$D$466,TALLY!A3)</f>
        <v>0</v>
      </c>
      <c r="AF3" s="207" t="n">
        <f aca="false">COUNTIF(TT!$D$471:$D$480,TALLY!A3)</f>
        <v>1</v>
      </c>
      <c r="AG3" s="207" t="n">
        <f aca="false">COUNTIF(TT!$D$487:$D$496,TALLY!A3)</f>
        <v>0</v>
      </c>
      <c r="AH3" s="207" t="n">
        <f aca="false">COUNTIF(TT!$D$501:$D$517,TALLY!A3)</f>
        <v>0</v>
      </c>
      <c r="AI3" s="208" t="n">
        <f aca="false">COUNTIF(TT!$D$522:$D$533,TALLY!A3)</f>
        <v>0</v>
      </c>
      <c r="AJ3" s="208" t="n">
        <f aca="false">COUNTIF(TT!$D$538:$D$550,TALLY!A3)</f>
        <v>0</v>
      </c>
      <c r="AK3" s="208" t="n">
        <f aca="false">COUNTIF(TT!$D$555:$D$569,TALLY!A3)</f>
        <v>0</v>
      </c>
      <c r="AL3" s="209" t="n">
        <f aca="false">COUNTIF(TT!$D$574:$D$582,TALLY!A3)</f>
        <v>1</v>
      </c>
      <c r="AM3" s="209" t="n">
        <f aca="false">COUNTIF(TT!$D$587:$D$593,TALLY!A3)</f>
        <v>0</v>
      </c>
      <c r="AN3" s="209" t="n">
        <f aca="false">COUNTIF(TT!$D$598:$D$606,TALLY!A3)</f>
        <v>0</v>
      </c>
      <c r="AO3" s="208" t="n">
        <f aca="false">COUNTIF(TT!$D$611:$D$620,TALLY!A3)</f>
        <v>0</v>
      </c>
      <c r="AP3" s="208" t="n">
        <f aca="false">COUNTIF(TT!$D$627:$D$639,TALLY!A3)</f>
        <v>0</v>
      </c>
      <c r="AQ3" s="208" t="n">
        <f aca="false">COUNTIF(TT!$D$645:$D$657,TALLY!A3)</f>
        <v>0</v>
      </c>
      <c r="AR3" s="209" t="n">
        <f aca="false">COUNTIF(TT!$D$663:$D$671,TALLY!A3)</f>
        <v>1</v>
      </c>
      <c r="AS3" s="209" t="n">
        <f aca="false">COUNTIF(TT!$D$677:$D$685,TALLY!A3)</f>
        <v>0</v>
      </c>
      <c r="AT3" s="209" t="n">
        <f aca="false">COUNTIF(TT!$D$689:$D$698,TALLY!A3)</f>
        <v>0</v>
      </c>
      <c r="AU3" s="210" t="s">
        <v>131</v>
      </c>
      <c r="AV3" s="208" t="n">
        <f aca="false">SUM($B3:$D3)</f>
        <v>0</v>
      </c>
      <c r="AW3" s="208" t="n">
        <f aca="false">SUM($E3:$G3)</f>
        <v>0</v>
      </c>
      <c r="AX3" s="208" t="n">
        <f aca="false">SUM($H3:$J3)</f>
        <v>1</v>
      </c>
      <c r="AY3" s="208" t="n">
        <f aca="false">SUM($K3:$M3)</f>
        <v>0</v>
      </c>
      <c r="AZ3" s="208" t="n">
        <f aca="false">SUM($N3:$P3)</f>
        <v>1</v>
      </c>
      <c r="BA3" s="208" t="n">
        <f aca="false">SUM($Q3:$S3)</f>
        <v>0</v>
      </c>
      <c r="BB3" s="208" t="n">
        <f aca="false">SUM($T3:$V3)</f>
        <v>1</v>
      </c>
      <c r="BC3" s="208" t="n">
        <f aca="false">SUM($W3:$Y3)</f>
        <v>1</v>
      </c>
      <c r="BD3" s="208" t="n">
        <f aca="false">SUM($Z3:$AB3)</f>
        <v>0</v>
      </c>
      <c r="BE3" s="208" t="n">
        <f aca="false">SUM($AC3:$AE3)</f>
        <v>1</v>
      </c>
      <c r="BF3" s="208" t="n">
        <f aca="false">SUM($AF3:$AH3)</f>
        <v>1</v>
      </c>
      <c r="BG3" s="208" t="n">
        <f aca="false">SUM($AI3:$AK3)</f>
        <v>0</v>
      </c>
      <c r="BH3" s="208" t="n">
        <f aca="false">SUM($AL3:$AN3)</f>
        <v>1</v>
      </c>
      <c r="BI3" s="208" t="n">
        <f aca="false">SUM($AO3:$AQ3)</f>
        <v>0</v>
      </c>
      <c r="BJ3" s="208" t="n">
        <f aca="false">SUM($AR3:$AT3)</f>
        <v>1</v>
      </c>
      <c r="BK3" s="196" t="n">
        <f aca="false">SUM(AV3:BJ3)</f>
        <v>8</v>
      </c>
    </row>
    <row r="4" s="196" customFormat="true" ht="16.4" hidden="false" customHeight="false" outlineLevel="0" collapsed="false">
      <c r="A4" s="206" t="s">
        <v>191</v>
      </c>
      <c r="B4" s="207" t="n">
        <f aca="false">COUNTIF(TT!$D$4:$D$9,TALLY!A4)</f>
        <v>0</v>
      </c>
      <c r="C4" s="207" t="n">
        <f aca="false">COUNTIF(TT!$D$15:$D$28,TALLY!A4)</f>
        <v>0</v>
      </c>
      <c r="D4" s="207" t="n">
        <f aca="false">COUNTIF(TT!$D$34:$D$41,TALLY!A4)</f>
        <v>0</v>
      </c>
      <c r="E4" s="208" t="n">
        <f aca="false">COUNTIF(TT!$D$47:$D$60,TALLY!A4)</f>
        <v>0</v>
      </c>
      <c r="F4" s="208" t="n">
        <f aca="false">COUNTIF(TT!$D$66:$D$79,TALLY!A4)</f>
        <v>0</v>
      </c>
      <c r="G4" s="208" t="n">
        <f aca="false">COUNTIF(TT!$D$84:$D$93,TALLY!A4)</f>
        <v>0</v>
      </c>
      <c r="H4" s="209" t="n">
        <f aca="false">COUNTIF(TT!$D$98:$D$106,TALLY!A4)</f>
        <v>0</v>
      </c>
      <c r="I4" s="209" t="n">
        <f aca="false">COUNTIF(TT!$D$111:$D$121,TALLY!A4)</f>
        <v>0</v>
      </c>
      <c r="J4" s="209" t="n">
        <f aca="false">COUNTIF(TT!$D$126:$D$134,TALLY!A4)</f>
        <v>0</v>
      </c>
      <c r="K4" s="208" t="n">
        <f aca="false">COUNTIF(TT!$D$139:$D$151,TALLY!A4)</f>
        <v>1</v>
      </c>
      <c r="L4" s="208" t="n">
        <f aca="false">COUNTIF(TT!$D$156:$D$164,TALLY!A4)</f>
        <v>0</v>
      </c>
      <c r="M4" s="208" t="n">
        <f aca="false">COUNTIF(TT!$D$169:$D$180,TALLY!A4)</f>
        <v>0</v>
      </c>
      <c r="N4" s="209" t="n">
        <f aca="false">COUNTIF(TT!$D$185:$D$197,TALLY!A4)</f>
        <v>0</v>
      </c>
      <c r="O4" s="209" t="n">
        <f aca="false">COUNTIF(TT!$D$202:$D$208,TALLY!A4)</f>
        <v>0</v>
      </c>
      <c r="P4" s="209" t="n">
        <f aca="false">COUNTIF(TT!$D$213:$D$220,TALLY!A4)</f>
        <v>0</v>
      </c>
      <c r="Q4" s="207" t="n">
        <f aca="false">COUNTIF(TT!$D$225:$D$239,TALLY!A4)</f>
        <v>0</v>
      </c>
      <c r="R4" s="207" t="n">
        <f aca="false">COUNTIF(TT!$D$244:$D$254,TALLY!A4)</f>
        <v>0</v>
      </c>
      <c r="S4" s="207" t="n">
        <f aca="false">COUNTIF(TT!$D$259:$D$268,TALLY!A4)</f>
        <v>1</v>
      </c>
      <c r="T4" s="209" t="n">
        <f aca="false">COUNTIF(TT!$D$271:$D$282,TALLY!A4)</f>
        <v>0</v>
      </c>
      <c r="U4" s="209" t="n">
        <f aca="false">COUNTIF(TT!$D$287:$D$298,TALLY!A4)</f>
        <v>1</v>
      </c>
      <c r="V4" s="209" t="n">
        <f aca="false">COUNTIF(TT!$D$303:$D$311,TALLY!A4)</f>
        <v>0</v>
      </c>
      <c r="W4" s="208" t="n">
        <f aca="false">COUNTIF(TT!$D$316:$D$337,TALLY!A4)</f>
        <v>0</v>
      </c>
      <c r="X4" s="208" t="n">
        <f aca="false">COUNTIF(TT!$D$342:$D$350,TALLY!A4)</f>
        <v>0</v>
      </c>
      <c r="Y4" s="208" t="n">
        <f aca="false">COUNTIF(TT!$D$357:$D$365,TALLY!A4)</f>
        <v>0</v>
      </c>
      <c r="Z4" s="209" t="n">
        <f aca="false">COUNTIF(TT!$D$370:$D$377,TALLY!A4)</f>
        <v>0</v>
      </c>
      <c r="AA4" s="209" t="n">
        <f aca="false">COUNTIF(TT!$D$382:$D$393,TALLY!A4)</f>
        <v>0</v>
      </c>
      <c r="AB4" s="209" t="n">
        <f aca="false">COUNTIF(TT!$D$398:$D$408,TALLY!A4)</f>
        <v>0</v>
      </c>
      <c r="AC4" s="208" t="n">
        <f aca="false">COUNTIF(TT!$D$413:$D$425,TALLY!A4)</f>
        <v>1</v>
      </c>
      <c r="AD4" s="208" t="n">
        <f aca="false">COUNTIF(TT!$D$430:$D$433,TALLY!A4)</f>
        <v>0</v>
      </c>
      <c r="AE4" s="208" t="n">
        <f aca="false">COUNTIF(TT!$D$454:$D$466,TALLY!A4)</f>
        <v>0</v>
      </c>
      <c r="AF4" s="207" t="n">
        <f aca="false">COUNTIF(TT!$D$471:$D$480,TALLY!A4)</f>
        <v>0</v>
      </c>
      <c r="AG4" s="207" t="n">
        <f aca="false">COUNTIF(TT!$D$487:$D$496,TALLY!A4)</f>
        <v>0</v>
      </c>
      <c r="AH4" s="207" t="n">
        <f aca="false">COUNTIF(TT!$D$501:$D$517,TALLY!A4)</f>
        <v>0</v>
      </c>
      <c r="AI4" s="208" t="n">
        <f aca="false">COUNTIF(TT!$D$522:$D$533,TALLY!A4)</f>
        <v>0</v>
      </c>
      <c r="AJ4" s="208" t="n">
        <f aca="false">COUNTIF(TT!$D$538:$D$550,TALLY!A4)</f>
        <v>1</v>
      </c>
      <c r="AK4" s="208" t="n">
        <f aca="false">COUNTIF(TT!$D$555:$D$569,TALLY!A4)</f>
        <v>0</v>
      </c>
      <c r="AL4" s="209" t="n">
        <f aca="false">COUNTIF(TT!$D$574:$D$582,TALLY!A4)</f>
        <v>0</v>
      </c>
      <c r="AM4" s="209" t="n">
        <f aca="false">COUNTIF(TT!$D$587:$D$593,TALLY!A4)</f>
        <v>0</v>
      </c>
      <c r="AN4" s="209" t="n">
        <f aca="false">COUNTIF(TT!$D$598:$D$606,TALLY!A4)</f>
        <v>0</v>
      </c>
      <c r="AO4" s="208" t="n">
        <f aca="false">COUNTIF(TT!$D$611:$D$620,TALLY!A4)</f>
        <v>1</v>
      </c>
      <c r="AP4" s="208" t="n">
        <f aca="false">COUNTIF(TT!$D$627:$D$639,TALLY!A4)</f>
        <v>0</v>
      </c>
      <c r="AQ4" s="208" t="n">
        <f aca="false">COUNTIF(TT!$D$645:$D$657,TALLY!A4)</f>
        <v>0</v>
      </c>
      <c r="AR4" s="209" t="n">
        <f aca="false">COUNTIF(TT!$D$663:$D$671,TALLY!A4)</f>
        <v>1</v>
      </c>
      <c r="AS4" s="209" t="n">
        <f aca="false">COUNTIF(TT!$D$677:$D$685,TALLY!A4)</f>
        <v>0</v>
      </c>
      <c r="AT4" s="209" t="n">
        <f aca="false">COUNTIF(TT!$D$689:$D$698,TALLY!A4)</f>
        <v>0</v>
      </c>
      <c r="AU4" s="206" t="s">
        <v>191</v>
      </c>
      <c r="AV4" s="208" t="n">
        <f aca="false">SUM($B4:$D4)</f>
        <v>0</v>
      </c>
      <c r="AW4" s="208" t="n">
        <f aca="false">SUM($E4:$G4)</f>
        <v>0</v>
      </c>
      <c r="AX4" s="208" t="n">
        <f aca="false">SUM($H4:$J4)</f>
        <v>0</v>
      </c>
      <c r="AY4" s="208" t="n">
        <f aca="false">SUM($K4:$M4)</f>
        <v>1</v>
      </c>
      <c r="AZ4" s="208" t="n">
        <f aca="false">SUM($N4:$P4)</f>
        <v>0</v>
      </c>
      <c r="BA4" s="208" t="n">
        <f aca="false">SUM($Q4:$S4)</f>
        <v>1</v>
      </c>
      <c r="BB4" s="208" t="n">
        <f aca="false">SUM($T4:$V4)</f>
        <v>1</v>
      </c>
      <c r="BC4" s="208" t="n">
        <f aca="false">SUM($W4:$Y4)</f>
        <v>0</v>
      </c>
      <c r="BD4" s="208" t="n">
        <v>0</v>
      </c>
      <c r="BE4" s="208" t="n">
        <f aca="false">SUM($AC4:$AE4)</f>
        <v>1</v>
      </c>
      <c r="BF4" s="208" t="n">
        <f aca="false">SUM($AF4:$AH4)</f>
        <v>0</v>
      </c>
      <c r="BG4" s="208" t="n">
        <f aca="false">SUM($AI4:$AK4)</f>
        <v>1</v>
      </c>
      <c r="BH4" s="208" t="n">
        <f aca="false">SUM($AL4:$AN4)</f>
        <v>0</v>
      </c>
      <c r="BI4" s="208" t="n">
        <f aca="false">SUM($AO4:$AQ4)</f>
        <v>1</v>
      </c>
      <c r="BJ4" s="208" t="n">
        <f aca="false">SUM($AR4:$AT4)</f>
        <v>1</v>
      </c>
      <c r="BK4" s="196" t="n">
        <f aca="false">SUM(AV4:BJ4)</f>
        <v>7</v>
      </c>
    </row>
    <row r="5" s="196" customFormat="true" ht="16.4" hidden="false" customHeight="false" outlineLevel="0" collapsed="false">
      <c r="A5" s="206" t="s">
        <v>162</v>
      </c>
      <c r="B5" s="207" t="n">
        <f aca="false">COUNTIF(TT!$D$4:$D$9,TALLY!A5)</f>
        <v>0</v>
      </c>
      <c r="C5" s="207" t="n">
        <f aca="false">COUNTIF(TT!$D$15:$D$28,TALLY!A5)</f>
        <v>0</v>
      </c>
      <c r="D5" s="207" t="n">
        <f aca="false">COUNTIF(TT!$D$34:$D$41,TALLY!A5)</f>
        <v>0</v>
      </c>
      <c r="E5" s="208" t="n">
        <f aca="false">COUNTIF(TT!$D$47:$D$60,TALLY!A5)</f>
        <v>0</v>
      </c>
      <c r="F5" s="208" t="n">
        <f aca="false">COUNTIF(TT!$D$66:$D$79,TALLY!A5)</f>
        <v>0</v>
      </c>
      <c r="G5" s="208" t="n">
        <f aca="false">COUNTIF(TT!$D$84:$D$93,TALLY!A5)</f>
        <v>0</v>
      </c>
      <c r="H5" s="209" t="n">
        <f aca="false">COUNTIF(TT!$D$98:$D$106,TALLY!A5)</f>
        <v>0</v>
      </c>
      <c r="I5" s="209" t="n">
        <f aca="false">COUNTIF(TT!$D$111:$D$121,TALLY!A5)</f>
        <v>1</v>
      </c>
      <c r="J5" s="209" t="n">
        <f aca="false">COUNTIF(TT!$D$126:$D$134,TALLY!A5)</f>
        <v>0</v>
      </c>
      <c r="K5" s="208" t="n">
        <f aca="false">COUNTIF(TT!$D$139:$D$151,TALLY!A5)</f>
        <v>0</v>
      </c>
      <c r="L5" s="208" t="n">
        <f aca="false">COUNTIF(TT!$D$156:$D$164,TALLY!A5)</f>
        <v>0</v>
      </c>
      <c r="M5" s="208" t="n">
        <f aca="false">COUNTIF(TT!$D$169:$D$180,TALLY!A5)</f>
        <v>0</v>
      </c>
      <c r="N5" s="209" t="n">
        <f aca="false">COUNTIF(TT!$D$185:$D$197,TALLY!A5)</f>
        <v>0</v>
      </c>
      <c r="O5" s="209" t="n">
        <f aca="false">COUNTIF(TT!$D$202:$D$208,TALLY!A5)</f>
        <v>0</v>
      </c>
      <c r="P5" s="209" t="n">
        <f aca="false">COUNTIF(TT!$D$213:$D$220,TALLY!A5)</f>
        <v>0</v>
      </c>
      <c r="Q5" s="207" t="n">
        <f aca="false">COUNTIF(TT!$D$225:$D$239,TALLY!A5)</f>
        <v>0</v>
      </c>
      <c r="R5" s="207" t="n">
        <f aca="false">COUNTIF(TT!$D$244:$D$254,TALLY!A5)</f>
        <v>0</v>
      </c>
      <c r="S5" s="207" t="n">
        <f aca="false">COUNTIF(TT!$D$259:$D$268,TALLY!A5)</f>
        <v>0</v>
      </c>
      <c r="T5" s="209" t="n">
        <f aca="false">COUNTIF(TT!$D$271:$D$282,TALLY!A5)</f>
        <v>0</v>
      </c>
      <c r="U5" s="209" t="n">
        <f aca="false">COUNTIF(TT!$D$287:$D$298,TALLY!A5)</f>
        <v>1</v>
      </c>
      <c r="V5" s="209" t="n">
        <f aca="false">COUNTIF(TT!$D$303:$D$311,TALLY!A5)</f>
        <v>0</v>
      </c>
      <c r="W5" s="208" t="n">
        <f aca="false">COUNTIF(TT!$D$316:$D$337,TALLY!A5)</f>
        <v>0</v>
      </c>
      <c r="X5" s="208" t="n">
        <f aca="false">COUNTIF(TT!$D$342:$D$350,TALLY!A5)</f>
        <v>0</v>
      </c>
      <c r="Y5" s="208" t="n">
        <f aca="false">COUNTIF(TT!$D$357:$D$365,TALLY!A5)</f>
        <v>0</v>
      </c>
      <c r="Z5" s="209" t="n">
        <f aca="false">COUNTIF(TT!$D$370:$D$377,TALLY!A5)</f>
        <v>0</v>
      </c>
      <c r="AA5" s="209" t="n">
        <f aca="false">COUNTIF(TT!$D$382:$D$393,TALLY!A5)</f>
        <v>0</v>
      </c>
      <c r="AB5" s="209" t="n">
        <f aca="false">COUNTIF(TT!$D$398:$D$408,TALLY!A5)</f>
        <v>0</v>
      </c>
      <c r="AC5" s="208" t="n">
        <f aca="false">COUNTIF(TT!$D$413:$D$425,TALLY!A5)</f>
        <v>0</v>
      </c>
      <c r="AD5" s="208" t="n">
        <f aca="false">COUNTIF(TT!$D$430:$D$433,TALLY!A5)</f>
        <v>1</v>
      </c>
      <c r="AE5" s="208" t="n">
        <f aca="false">COUNTIF(TT!$D$454:$D$466,TALLY!A5)</f>
        <v>0</v>
      </c>
      <c r="AF5" s="207" t="n">
        <f aca="false">COUNTIF(TT!$D$471:$D$480,TALLY!A5)</f>
        <v>1</v>
      </c>
      <c r="AG5" s="207" t="n">
        <f aca="false">COUNTIF(TT!$D$487:$D$496,TALLY!A5)</f>
        <v>0</v>
      </c>
      <c r="AH5" s="207" t="n">
        <f aca="false">COUNTIF(TT!$D$501:$D$517,TALLY!A5)</f>
        <v>0</v>
      </c>
      <c r="AI5" s="208" t="n">
        <f aca="false">COUNTIF(TT!$D$522:$D$533,TALLY!A5)</f>
        <v>1</v>
      </c>
      <c r="AJ5" s="208" t="n">
        <f aca="false">COUNTIF(TT!$D$538:$D$550,TALLY!A5)</f>
        <v>0</v>
      </c>
      <c r="AK5" s="208" t="n">
        <f aca="false">COUNTIF(TT!$D$555:$D$569,TALLY!A5)</f>
        <v>0</v>
      </c>
      <c r="AL5" s="209" t="n">
        <f aca="false">COUNTIF(TT!$D$574:$D$582,TALLY!A5)</f>
        <v>0</v>
      </c>
      <c r="AM5" s="209" t="n">
        <f aca="false">COUNTIF(TT!$D$587:$D$593,TALLY!A5)</f>
        <v>0</v>
      </c>
      <c r="AN5" s="209" t="n">
        <f aca="false">COUNTIF(TT!$D$598:$D$606,TALLY!A5)</f>
        <v>0</v>
      </c>
      <c r="AO5" s="208" t="n">
        <f aca="false">COUNTIF(TT!$D$611:$D$620,TALLY!A5)</f>
        <v>1</v>
      </c>
      <c r="AP5" s="208" t="n">
        <f aca="false">COUNTIF(TT!$D$627:$D$639,TALLY!A5)</f>
        <v>0</v>
      </c>
      <c r="AQ5" s="208" t="n">
        <f aca="false">COUNTIF(TT!$D$645:$D$657,TALLY!A5)</f>
        <v>0</v>
      </c>
      <c r="AR5" s="209" t="n">
        <f aca="false">COUNTIF(TT!$D$663:$D$671,TALLY!A5)</f>
        <v>0</v>
      </c>
      <c r="AS5" s="209" t="n">
        <f aca="false">COUNTIF(TT!$D$677:$D$685,TALLY!A5)</f>
        <v>1</v>
      </c>
      <c r="AT5" s="209" t="n">
        <f aca="false">COUNTIF(TT!$D$689:$D$698,TALLY!A5)</f>
        <v>0</v>
      </c>
      <c r="AU5" s="206" t="s">
        <v>162</v>
      </c>
      <c r="AV5" s="208" t="n">
        <f aca="false">SUM($B5:$D5)</f>
        <v>0</v>
      </c>
      <c r="AW5" s="208" t="n">
        <f aca="false">SUM($E5:$G5)</f>
        <v>0</v>
      </c>
      <c r="AX5" s="208" t="n">
        <f aca="false">SUM($H5:$J5)</f>
        <v>1</v>
      </c>
      <c r="AY5" s="208" t="n">
        <f aca="false">SUM($K5:$M5)</f>
        <v>0</v>
      </c>
      <c r="AZ5" s="208" t="n">
        <f aca="false">SUM($N5:$P5)</f>
        <v>0</v>
      </c>
      <c r="BA5" s="208" t="n">
        <f aca="false">SUM($Q5:$S5)</f>
        <v>0</v>
      </c>
      <c r="BB5" s="208" t="n">
        <f aca="false">SUM($T5:$V5)</f>
        <v>1</v>
      </c>
      <c r="BC5" s="208" t="n">
        <f aca="false">SUM($W5:$Y5)</f>
        <v>0</v>
      </c>
      <c r="BD5" s="208" t="n">
        <f aca="false">SUM($Z5:$AB5)</f>
        <v>0</v>
      </c>
      <c r="BE5" s="208" t="n">
        <f aca="false">SUM($AC5:$AE5)</f>
        <v>1</v>
      </c>
      <c r="BF5" s="208" t="n">
        <f aca="false">SUM($AF5:$AH5)</f>
        <v>1</v>
      </c>
      <c r="BG5" s="208" t="n">
        <f aca="false">SUM($AI5:$AK5)</f>
        <v>1</v>
      </c>
      <c r="BH5" s="208" t="n">
        <f aca="false">SUM($AL5:$AN5)</f>
        <v>0</v>
      </c>
      <c r="BI5" s="208" t="n">
        <f aca="false">SUM($AO5:$AQ5)</f>
        <v>1</v>
      </c>
      <c r="BJ5" s="208" t="n">
        <f aca="false">SUM($AR5:$AT5)</f>
        <v>1</v>
      </c>
      <c r="BK5" s="196" t="n">
        <f aca="false">SUM(AV5:BJ5)</f>
        <v>7</v>
      </c>
    </row>
    <row r="6" customFormat="false" ht="16.4" hidden="false" customHeight="false" outlineLevel="0" collapsed="false">
      <c r="A6" s="206" t="s">
        <v>130</v>
      </c>
      <c r="B6" s="207" t="n">
        <f aca="false">COUNTIF(TT!$D$4:$D$9,TALLY!A6)</f>
        <v>0</v>
      </c>
      <c r="C6" s="207" t="n">
        <f aca="false">COUNTIF(TT!$D$15:$D$28,TALLY!A6)</f>
        <v>0</v>
      </c>
      <c r="D6" s="207" t="n">
        <f aca="false">COUNTIF(TT!$D$34:$D$41,TALLY!A6)</f>
        <v>0</v>
      </c>
      <c r="E6" s="208" t="n">
        <f aca="false">COUNTIF(TT!$D$47:$D$60,TALLY!A6)</f>
        <v>0</v>
      </c>
      <c r="F6" s="208" t="n">
        <f aca="false">COUNTIF(TT!$D$66:$D$79,TALLY!A6)</f>
        <v>0</v>
      </c>
      <c r="G6" s="208" t="n">
        <f aca="false">COUNTIF(TT!$D$84:$D$93,TALLY!A6)</f>
        <v>1</v>
      </c>
      <c r="H6" s="209" t="n">
        <f aca="false">COUNTIF(TT!$D$98:$D$106,TALLY!A6)</f>
        <v>0</v>
      </c>
      <c r="I6" s="209" t="n">
        <f aca="false">COUNTIF(TT!$D$111:$D$121,TALLY!A6)</f>
        <v>0</v>
      </c>
      <c r="J6" s="209" t="n">
        <f aca="false">COUNTIF(TT!$D$126:$D$134,TALLY!A6)</f>
        <v>0</v>
      </c>
      <c r="K6" s="208" t="n">
        <f aca="false">COUNTIF(TT!$D$139:$D$151,TALLY!A6)</f>
        <v>0</v>
      </c>
      <c r="L6" s="208" t="n">
        <f aca="false">COUNTIF(TT!$D$156:$D$164,TALLY!A6)</f>
        <v>1</v>
      </c>
      <c r="M6" s="208" t="n">
        <f aca="false">COUNTIF(TT!$D$169:$D$180,TALLY!A6)</f>
        <v>0</v>
      </c>
      <c r="N6" s="209" t="n">
        <f aca="false">COUNTIF(TT!$D$185:$D$197,TALLY!A6)</f>
        <v>0</v>
      </c>
      <c r="O6" s="209" t="n">
        <f aca="false">COUNTIF(TT!$D$202:$D$208,TALLY!A6)</f>
        <v>0</v>
      </c>
      <c r="P6" s="209" t="n">
        <f aca="false">COUNTIF(TT!$D$213:$D$220,TALLY!A6)</f>
        <v>0</v>
      </c>
      <c r="Q6" s="207" t="n">
        <f aca="false">COUNTIF(TT!$D$225:$D$239,TALLY!A6)</f>
        <v>0</v>
      </c>
      <c r="R6" s="207" t="n">
        <f aca="false">COUNTIF(TT!$D$244:$D$254,TALLY!A6)</f>
        <v>1</v>
      </c>
      <c r="S6" s="207" t="n">
        <f aca="false">COUNTIF(TT!$D$259:$D$268,TALLY!A6)</f>
        <v>0</v>
      </c>
      <c r="T6" s="209" t="n">
        <f aca="false">COUNTIF(TT!$D$271:$D$282,TALLY!A6)</f>
        <v>0</v>
      </c>
      <c r="U6" s="209" t="n">
        <f aca="false">COUNTIF(TT!$D$287:$D$298,TALLY!A6)</f>
        <v>0</v>
      </c>
      <c r="V6" s="209" t="n">
        <f aca="false">COUNTIF(TT!$D$303:$D$311,TALLY!A6)</f>
        <v>0</v>
      </c>
      <c r="W6" s="208" t="n">
        <f aca="false">COUNTIF(TT!$D$316:$D$337,TALLY!A6)</f>
        <v>0</v>
      </c>
      <c r="X6" s="208" t="n">
        <f aca="false">COUNTIF(TT!$D$342:$D$350,TALLY!A6)</f>
        <v>1</v>
      </c>
      <c r="Y6" s="208" t="n">
        <f aca="false">COUNTIF(TT!$D$357:$D$365,TALLY!A6)</f>
        <v>0</v>
      </c>
      <c r="Z6" s="209" t="n">
        <f aca="false">COUNTIF(TT!$D$370:$D$377,TALLY!A6)</f>
        <v>0</v>
      </c>
      <c r="AA6" s="209" t="n">
        <f aca="false">COUNTIF(TT!$D$382:$D$393,TALLY!A6)</f>
        <v>0</v>
      </c>
      <c r="AB6" s="209" t="n">
        <f aca="false">COUNTIF(TT!$D$398:$D$408,TALLY!A6)</f>
        <v>0</v>
      </c>
      <c r="AC6" s="208" t="n">
        <f aca="false">COUNTIF(TT!$D$413:$D$425,TALLY!A6)</f>
        <v>1</v>
      </c>
      <c r="AD6" s="208" t="n">
        <f aca="false">COUNTIF(TT!$D$430:$D$433,TALLY!A6)</f>
        <v>0</v>
      </c>
      <c r="AE6" s="208" t="n">
        <f aca="false">COUNTIF(TT!$D$454:$D$466,TALLY!A6)</f>
        <v>0</v>
      </c>
      <c r="AF6" s="207" t="n">
        <f aca="false">COUNTIF(TT!$D$471:$D$480,TALLY!A6)</f>
        <v>0</v>
      </c>
      <c r="AG6" s="207" t="n">
        <f aca="false">COUNTIF(TT!$D$487:$D$496,TALLY!A6)</f>
        <v>0</v>
      </c>
      <c r="AH6" s="207" t="n">
        <f aca="false">COUNTIF(TT!$D$501:$D$517,TALLY!A6)</f>
        <v>0</v>
      </c>
      <c r="AI6" s="208" t="n">
        <f aca="false">COUNTIF(TT!$D$522:$D$533,TALLY!A6)</f>
        <v>1</v>
      </c>
      <c r="AJ6" s="208" t="n">
        <f aca="false">COUNTIF(TT!$D$538:$D$550,TALLY!A6)</f>
        <v>0</v>
      </c>
      <c r="AK6" s="208" t="n">
        <f aca="false">COUNTIF(TT!$D$555:$D$569,TALLY!A6)</f>
        <v>0</v>
      </c>
      <c r="AL6" s="209" t="n">
        <f aca="false">COUNTIF(TT!$D$574:$D$582,TALLY!A6)</f>
        <v>0</v>
      </c>
      <c r="AM6" s="209" t="n">
        <f aca="false">COUNTIF(TT!$D$587:$D$593,TALLY!A6)</f>
        <v>0</v>
      </c>
      <c r="AN6" s="209" t="n">
        <f aca="false">COUNTIF(TT!$D$598:$D$606,TALLY!A6)</f>
        <v>0</v>
      </c>
      <c r="AO6" s="208" t="n">
        <f aca="false">COUNTIF(TT!$D$611:$D$620,TALLY!A6)</f>
        <v>0</v>
      </c>
      <c r="AP6" s="208" t="n">
        <f aca="false">COUNTIF(TT!$D$627:$D$639,TALLY!A6)</f>
        <v>0</v>
      </c>
      <c r="AQ6" s="208" t="n">
        <f aca="false">COUNTIF(TT!$D$645:$D$657,TALLY!A6)</f>
        <v>0</v>
      </c>
      <c r="AR6" s="209" t="n">
        <f aca="false">COUNTIF(TT!$D$663:$D$671,TALLY!A6)</f>
        <v>1</v>
      </c>
      <c r="AS6" s="209" t="n">
        <f aca="false">COUNTIF(TT!$D$677:$D$685,TALLY!A6)</f>
        <v>0</v>
      </c>
      <c r="AT6" s="209" t="n">
        <f aca="false">COUNTIF(TT!$D$689:$D$698,TALLY!A6)</f>
        <v>0</v>
      </c>
      <c r="AU6" s="206" t="s">
        <v>130</v>
      </c>
      <c r="AV6" s="208" t="n">
        <f aca="false">SUM($B6:$D6)</f>
        <v>0</v>
      </c>
      <c r="AW6" s="208" t="n">
        <f aca="false">SUM($E6:$G6)</f>
        <v>1</v>
      </c>
      <c r="AX6" s="208" t="n">
        <f aca="false">SUM($H6:$J6)</f>
        <v>0</v>
      </c>
      <c r="AY6" s="208" t="n">
        <f aca="false">SUM($K6:$M6)</f>
        <v>1</v>
      </c>
      <c r="AZ6" s="208" t="n">
        <f aca="false">SUM($N6:$P6)</f>
        <v>0</v>
      </c>
      <c r="BA6" s="208" t="n">
        <f aca="false">SUM($Q6:$S6)</f>
        <v>1</v>
      </c>
      <c r="BB6" s="208" t="n">
        <f aca="false">SUM($T6:$V6)</f>
        <v>0</v>
      </c>
      <c r="BC6" s="208" t="n">
        <f aca="false">SUM($W6:$Y6)</f>
        <v>1</v>
      </c>
      <c r="BD6" s="208" t="n">
        <f aca="false">SUM($Z6:$AB6)</f>
        <v>0</v>
      </c>
      <c r="BE6" s="208" t="n">
        <f aca="false">SUM($AC6:$AE6)</f>
        <v>1</v>
      </c>
      <c r="BF6" s="208" t="n">
        <f aca="false">SUM($AF6:$AH6)</f>
        <v>0</v>
      </c>
      <c r="BG6" s="208" t="n">
        <f aca="false">SUM($AI6:$AK6)</f>
        <v>1</v>
      </c>
      <c r="BH6" s="208" t="n">
        <f aca="false">SUM($AL6:$AN6)</f>
        <v>0</v>
      </c>
      <c r="BI6" s="208" t="n">
        <f aca="false">SUM($AO6:$AQ6)</f>
        <v>0</v>
      </c>
      <c r="BJ6" s="208" t="n">
        <f aca="false">SUM($AR6:$AT6)</f>
        <v>1</v>
      </c>
      <c r="BK6" s="196" t="n">
        <f aca="false">SUM(AV6:BJ6)</f>
        <v>7</v>
      </c>
    </row>
    <row r="7" customFormat="false" ht="16.4" hidden="false" customHeight="false" outlineLevel="0" collapsed="false">
      <c r="A7" s="206" t="s">
        <v>75</v>
      </c>
      <c r="B7" s="207" t="n">
        <f aca="false">COUNTIF(TT!$D$4:$D$9,TALLY!A7)</f>
        <v>0</v>
      </c>
      <c r="C7" s="207" t="n">
        <f aca="false">COUNTIF(TT!$D$15:$D$28,TALLY!A7)</f>
        <v>1</v>
      </c>
      <c r="D7" s="207" t="n">
        <f aca="false">COUNTIF(TT!$D$34:$D$41,TALLY!A7)</f>
        <v>0</v>
      </c>
      <c r="E7" s="208" t="n">
        <f aca="false">COUNTIF(TT!$D$47:$D$60,TALLY!A7)</f>
        <v>1</v>
      </c>
      <c r="F7" s="208" t="n">
        <f aca="false">COUNTIF(TT!$D$66:$D$79,TALLY!A7)</f>
        <v>0</v>
      </c>
      <c r="G7" s="208" t="n">
        <f aca="false">COUNTIF(TT!$D$84:$D$93,TALLY!A7)</f>
        <v>0</v>
      </c>
      <c r="H7" s="209" t="n">
        <f aca="false">COUNTIF(TT!$D$98:$D$106,TALLY!A7)</f>
        <v>0</v>
      </c>
      <c r="I7" s="209" t="n">
        <f aca="false">COUNTIF(TT!$D$111:$D$121,TALLY!A7)</f>
        <v>0</v>
      </c>
      <c r="J7" s="209" t="n">
        <f aca="false">COUNTIF(TT!$D$126:$D$134,TALLY!A7)</f>
        <v>0</v>
      </c>
      <c r="K7" s="208" t="n">
        <f aca="false">COUNTIF(TT!$D$139:$D$151,TALLY!A7)</f>
        <v>0</v>
      </c>
      <c r="L7" s="208" t="n">
        <f aca="false">COUNTIF(TT!$D$156:$D$164,TALLY!A7)</f>
        <v>1</v>
      </c>
      <c r="M7" s="208" t="n">
        <f aca="false">COUNTIF(TT!$D$169:$D$180,TALLY!A7)</f>
        <v>0</v>
      </c>
      <c r="N7" s="209" t="n">
        <f aca="false">COUNTIF(TT!$D$185:$D$197,TALLY!A7)</f>
        <v>0</v>
      </c>
      <c r="O7" s="209" t="n">
        <f aca="false">COUNTIF(TT!$D$202:$D$208,TALLY!A7)</f>
        <v>1</v>
      </c>
      <c r="P7" s="209" t="n">
        <f aca="false">COUNTIF(TT!$D$213:$D$220,TALLY!A7)</f>
        <v>0</v>
      </c>
      <c r="Q7" s="207" t="n">
        <f aca="false">COUNTIF(TT!$D$225:$D$239,TALLY!A7)</f>
        <v>1</v>
      </c>
      <c r="R7" s="207" t="n">
        <f aca="false">COUNTIF(TT!$D$244:$D$254,TALLY!A7)</f>
        <v>0</v>
      </c>
      <c r="S7" s="207" t="n">
        <f aca="false">COUNTIF(TT!$D$259:$D$268,TALLY!A7)</f>
        <v>0</v>
      </c>
      <c r="T7" s="209" t="n">
        <f aca="false">COUNTIF(TT!$D$271:$D$282,TALLY!A7)</f>
        <v>0</v>
      </c>
      <c r="U7" s="209" t="n">
        <f aca="false">COUNTIF(TT!$D$287:$D$298,TALLY!A7)</f>
        <v>0</v>
      </c>
      <c r="V7" s="209" t="n">
        <f aca="false">COUNTIF(TT!$D$303:$D$311,TALLY!A7)</f>
        <v>0</v>
      </c>
      <c r="W7" s="208" t="n">
        <f aca="false">COUNTIF(TT!$D$316:$D$337,TALLY!A7)</f>
        <v>0</v>
      </c>
      <c r="X7" s="208" t="n">
        <f aca="false">COUNTIF(TT!$D$342:$D$350,TALLY!A7)</f>
        <v>0</v>
      </c>
      <c r="Y7" s="208" t="n">
        <f aca="false">COUNTIF(TT!$D$357:$D$365,TALLY!A7)</f>
        <v>0</v>
      </c>
      <c r="Z7" s="209" t="n">
        <f aca="false">COUNTIF(TT!$D$370:$D$377,TALLY!A7)</f>
        <v>0</v>
      </c>
      <c r="AA7" s="209" t="n">
        <f aca="false">COUNTIF(TT!$D$382:$D$393,TALLY!A7)</f>
        <v>0</v>
      </c>
      <c r="AB7" s="209" t="n">
        <f aca="false">COUNTIF(TT!$D$398:$D$408,TALLY!A7)</f>
        <v>0</v>
      </c>
      <c r="AC7" s="208" t="n">
        <f aca="false">COUNTIF(TT!$D$413:$D$425,TALLY!A7)</f>
        <v>1</v>
      </c>
      <c r="AD7" s="208" t="n">
        <f aca="false">COUNTIF(TT!$D$430:$D$433,TALLY!A7)</f>
        <v>0</v>
      </c>
      <c r="AE7" s="208" t="n">
        <f aca="false">COUNTIF(TT!$D$454:$D$466,TALLY!A7)</f>
        <v>0</v>
      </c>
      <c r="AF7" s="207" t="n">
        <f aca="false">COUNTIF(TT!$D$471:$D$480,TALLY!A7)</f>
        <v>0</v>
      </c>
      <c r="AG7" s="207" t="n">
        <f aca="false">COUNTIF(TT!$D$487:$D$496,TALLY!A7)</f>
        <v>0</v>
      </c>
      <c r="AH7" s="207" t="n">
        <f aca="false">COUNTIF(TT!$D$501:$D$517,TALLY!A7)</f>
        <v>1</v>
      </c>
      <c r="AI7" s="208" t="n">
        <f aca="false">COUNTIF(TT!$D$522:$D$533,TALLY!A7)</f>
        <v>0</v>
      </c>
      <c r="AJ7" s="208" t="n">
        <f aca="false">COUNTIF(TT!$D$538:$D$550,TALLY!A7)</f>
        <v>0</v>
      </c>
      <c r="AK7" s="208" t="n">
        <f aca="false">COUNTIF(TT!$D$555:$D$569,TALLY!A7)</f>
        <v>0</v>
      </c>
      <c r="AL7" s="209" t="n">
        <f aca="false">COUNTIF(TT!$D$574:$D$582,TALLY!A7)</f>
        <v>1</v>
      </c>
      <c r="AM7" s="209" t="n">
        <f aca="false">COUNTIF(TT!$D$587:$D$593,TALLY!A7)</f>
        <v>0</v>
      </c>
      <c r="AN7" s="209" t="n">
        <f aca="false">COUNTIF(TT!$D$598:$D$606,TALLY!A7)</f>
        <v>0</v>
      </c>
      <c r="AO7" s="208" t="n">
        <f aca="false">COUNTIF(TT!$D$611:$D$620,TALLY!A7)</f>
        <v>0</v>
      </c>
      <c r="AP7" s="208" t="n">
        <f aca="false">COUNTIF(TT!$D$627:$D$639,TALLY!A7)</f>
        <v>0</v>
      </c>
      <c r="AQ7" s="208" t="n">
        <f aca="false">COUNTIF(TT!$D$645:$D$657,TALLY!A7)</f>
        <v>0</v>
      </c>
      <c r="AR7" s="209" t="n">
        <f aca="false">COUNTIF(TT!$D$663:$D$671,TALLY!A7)</f>
        <v>1</v>
      </c>
      <c r="AS7" s="209" t="n">
        <f aca="false">COUNTIF(TT!$D$677:$D$685,TALLY!A7)</f>
        <v>0</v>
      </c>
      <c r="AT7" s="209" t="n">
        <f aca="false">COUNTIF(TT!$D$689:$D$698,TALLY!A7)</f>
        <v>0</v>
      </c>
      <c r="AU7" s="206" t="s">
        <v>75</v>
      </c>
      <c r="AV7" s="208" t="n">
        <f aca="false">SUM($B7:$D7)</f>
        <v>1</v>
      </c>
      <c r="AW7" s="208" t="n">
        <f aca="false">SUM($E7:$G7)</f>
        <v>1</v>
      </c>
      <c r="AX7" s="208" t="n">
        <f aca="false">SUM($H7:$J7)</f>
        <v>0</v>
      </c>
      <c r="AY7" s="208" t="n">
        <f aca="false">SUM($K7:$M7)</f>
        <v>1</v>
      </c>
      <c r="AZ7" s="208" t="n">
        <f aca="false">SUM($N7:$P7)</f>
        <v>1</v>
      </c>
      <c r="BA7" s="208" t="n">
        <f aca="false">SUM($Q7:$S7)</f>
        <v>1</v>
      </c>
      <c r="BB7" s="208" t="n">
        <f aca="false">SUM($T7:$V7)</f>
        <v>0</v>
      </c>
      <c r="BC7" s="208" t="n">
        <f aca="false">SUM($W7:$Y7)</f>
        <v>0</v>
      </c>
      <c r="BD7" s="208" t="n">
        <f aca="false">SUM($Z7:$AB7)</f>
        <v>0</v>
      </c>
      <c r="BE7" s="208" t="n">
        <f aca="false">SUM($AC7:$AE7)</f>
        <v>1</v>
      </c>
      <c r="BF7" s="208" t="n">
        <f aca="false">SUM($AF7:$AH7)</f>
        <v>1</v>
      </c>
      <c r="BG7" s="208" t="n">
        <f aca="false">SUM($AI7:$AK7)</f>
        <v>0</v>
      </c>
      <c r="BH7" s="208" t="n">
        <f aca="false">SUM($AL7:$AN7)</f>
        <v>1</v>
      </c>
      <c r="BI7" s="208" t="n">
        <f aca="false">SUM($AO7:$AQ7)</f>
        <v>0</v>
      </c>
      <c r="BJ7" s="208" t="n">
        <f aca="false">SUM($AR7:$AT7)</f>
        <v>1</v>
      </c>
      <c r="BK7" s="196" t="n">
        <f aca="false">SUM(AV7:BJ7)</f>
        <v>9</v>
      </c>
    </row>
    <row r="8" customFormat="false" ht="16.4" hidden="false" customHeight="false" outlineLevel="0" collapsed="false">
      <c r="A8" s="206" t="s">
        <v>80</v>
      </c>
      <c r="B8" s="207" t="n">
        <f aca="false">COUNTIF(TT!$D$4:$D$9,TALLY!A8)</f>
        <v>0</v>
      </c>
      <c r="C8" s="207" t="n">
        <f aca="false">COUNTIF(TT!$D$15:$D$28,TALLY!A8)</f>
        <v>0</v>
      </c>
      <c r="D8" s="207" t="n">
        <f aca="false">COUNTIF(TT!$D$34:$D$41,TALLY!A8)</f>
        <v>0</v>
      </c>
      <c r="E8" s="208" t="n">
        <f aca="false">COUNTIF(TT!$D$47:$D$60,TALLY!A8)</f>
        <v>1</v>
      </c>
      <c r="F8" s="208" t="n">
        <f aca="false">COUNTIF(TT!$D$66:$D$79,TALLY!A8)</f>
        <v>0</v>
      </c>
      <c r="G8" s="208" t="n">
        <f aca="false">COUNTIF(TT!$D$84:$D$93,TALLY!A8)</f>
        <v>0</v>
      </c>
      <c r="H8" s="209" t="n">
        <f aca="false">COUNTIF(TT!$D$98:$D$106,TALLY!A8)</f>
        <v>0</v>
      </c>
      <c r="I8" s="209" t="n">
        <f aca="false">COUNTIF(TT!$D$111:$D$121,TALLY!A8)</f>
        <v>0</v>
      </c>
      <c r="J8" s="209" t="n">
        <f aca="false">COUNTIF(TT!$D$126:$D$134,TALLY!A8)</f>
        <v>0</v>
      </c>
      <c r="K8" s="208" t="n">
        <f aca="false">COUNTIF(TT!$D$139:$D$151,TALLY!A8)</f>
        <v>1</v>
      </c>
      <c r="L8" s="208" t="n">
        <f aca="false">COUNTIF(TT!$D$156:$D$164,TALLY!A8)</f>
        <v>0</v>
      </c>
      <c r="M8" s="208" t="n">
        <f aca="false">COUNTIF(TT!$D$169:$D$180,TALLY!A8)</f>
        <v>0</v>
      </c>
      <c r="N8" s="209" t="n">
        <f aca="false">COUNTIF(TT!$D$185:$D$197,TALLY!A8)</f>
        <v>0</v>
      </c>
      <c r="O8" s="209" t="n">
        <f aca="false">COUNTIF(TT!$D$202:$D$208,TALLY!A8)</f>
        <v>0</v>
      </c>
      <c r="P8" s="209" t="n">
        <f aca="false">COUNTIF(TT!$D$213:$D$220,TALLY!A8)</f>
        <v>1</v>
      </c>
      <c r="Q8" s="207" t="n">
        <f aca="false">COUNTIF(TT!$D$225:$D$239,TALLY!A8)</f>
        <v>0</v>
      </c>
      <c r="R8" s="207" t="n">
        <f aca="false">COUNTIF(TT!$D$244:$D$254,TALLY!A8)</f>
        <v>0</v>
      </c>
      <c r="S8" s="207" t="n">
        <f aca="false">COUNTIF(TT!$D$259:$D$268,TALLY!A8)</f>
        <v>0</v>
      </c>
      <c r="T8" s="209" t="n">
        <f aca="false">COUNTIF(TT!$D$271:$D$282,TALLY!A8)</f>
        <v>0</v>
      </c>
      <c r="U8" s="209" t="n">
        <f aca="false">COUNTIF(TT!$D$287:$D$298,TALLY!A8)</f>
        <v>0</v>
      </c>
      <c r="V8" s="209" t="n">
        <f aca="false">COUNTIF(TT!$D$303:$D$311,TALLY!A8)</f>
        <v>0</v>
      </c>
      <c r="W8" s="208" t="n">
        <f aca="false">COUNTIF(TT!$D$316:$D$337,TALLY!A8)</f>
        <v>1</v>
      </c>
      <c r="X8" s="208" t="n">
        <f aca="false">COUNTIF(TT!$D$342:$D$350,TALLY!A8)</f>
        <v>0</v>
      </c>
      <c r="Y8" s="208" t="n">
        <f aca="false">COUNTIF(TT!$D$357:$D$365,TALLY!A8)</f>
        <v>0</v>
      </c>
      <c r="Z8" s="209" t="n">
        <f aca="false">COUNTIF(TT!$D$370:$D$377,TALLY!A8)</f>
        <v>0</v>
      </c>
      <c r="AA8" s="209" t="n">
        <f aca="false">COUNTIF(TT!$D$382:$D$393,TALLY!A8)</f>
        <v>0</v>
      </c>
      <c r="AB8" s="209" t="n">
        <f aca="false">COUNTIF(TT!$D$398:$D$408,TALLY!A8)</f>
        <v>0</v>
      </c>
      <c r="AC8" s="208" t="n">
        <f aca="false">COUNTIF(TT!$D$413:$D$425,TALLY!A8)</f>
        <v>1</v>
      </c>
      <c r="AD8" s="208" t="n">
        <f aca="false">COUNTIF(TT!$D$430:$D$433,TALLY!A8)</f>
        <v>0</v>
      </c>
      <c r="AE8" s="208" t="n">
        <f aca="false">COUNTIF(TT!$D$454:$D$466,TALLY!A8)</f>
        <v>0</v>
      </c>
      <c r="AF8" s="207" t="n">
        <f aca="false">COUNTIF(TT!$D$471:$D$480,TALLY!A8)</f>
        <v>1</v>
      </c>
      <c r="AG8" s="207" t="n">
        <f aca="false">COUNTIF(TT!$D$487:$D$496,TALLY!A8)</f>
        <v>0</v>
      </c>
      <c r="AH8" s="207" t="n">
        <f aca="false">COUNTIF(TT!$D$501:$D$517,TALLY!A8)</f>
        <v>0</v>
      </c>
      <c r="AI8" s="208" t="n">
        <f aca="false">COUNTIF(TT!$D$522:$D$533,TALLY!A8)</f>
        <v>0</v>
      </c>
      <c r="AJ8" s="208" t="n">
        <f aca="false">COUNTIF(TT!$D$538:$D$550,TALLY!A8)</f>
        <v>0</v>
      </c>
      <c r="AK8" s="208" t="n">
        <f aca="false">COUNTIF(TT!$D$555:$D$569,TALLY!A8)</f>
        <v>0</v>
      </c>
      <c r="AL8" s="209" t="n">
        <f aca="false">COUNTIF(TT!$D$574:$D$582,TALLY!A8)</f>
        <v>0</v>
      </c>
      <c r="AM8" s="209" t="n">
        <f aca="false">COUNTIF(TT!$D$587:$D$593,TALLY!A8)</f>
        <v>0</v>
      </c>
      <c r="AN8" s="209" t="n">
        <f aca="false">COUNTIF(TT!$D$598:$D$606,TALLY!A8)</f>
        <v>0</v>
      </c>
      <c r="AO8" s="208" t="n">
        <f aca="false">COUNTIF(TT!$D$611:$D$620,TALLY!A8)</f>
        <v>0</v>
      </c>
      <c r="AP8" s="208" t="n">
        <f aca="false">COUNTIF(TT!$D$627:$D$639,TALLY!A8)</f>
        <v>0</v>
      </c>
      <c r="AQ8" s="208" t="n">
        <f aca="false">COUNTIF(TT!$D$645:$D$657,TALLY!A8)</f>
        <v>0</v>
      </c>
      <c r="AR8" s="209" t="n">
        <f aca="false">COUNTIF(TT!$D$663:$D$671,TALLY!A8)</f>
        <v>0</v>
      </c>
      <c r="AS8" s="209" t="n">
        <f aca="false">COUNTIF(TT!$D$677:$D$685,TALLY!A8)</f>
        <v>1</v>
      </c>
      <c r="AT8" s="209" t="n">
        <f aca="false">COUNTIF(TT!$D$689:$D$698,TALLY!A8)</f>
        <v>0</v>
      </c>
      <c r="AU8" s="206" t="s">
        <v>80</v>
      </c>
      <c r="AV8" s="208" t="n">
        <f aca="false">SUM($B8:$D8)</f>
        <v>0</v>
      </c>
      <c r="AW8" s="208" t="n">
        <f aca="false">SUM($E8:$G8)</f>
        <v>1</v>
      </c>
      <c r="AX8" s="208" t="n">
        <f aca="false">SUM($H8:$J8)</f>
        <v>0</v>
      </c>
      <c r="AY8" s="208" t="n">
        <f aca="false">SUM($K8:$M8)</f>
        <v>1</v>
      </c>
      <c r="AZ8" s="208" t="n">
        <f aca="false">SUM($N8:$P8)</f>
        <v>1</v>
      </c>
      <c r="BA8" s="208" t="n">
        <f aca="false">SUM($Q8:$S8)</f>
        <v>0</v>
      </c>
      <c r="BB8" s="208" t="n">
        <f aca="false">SUM($T8:$V8)</f>
        <v>0</v>
      </c>
      <c r="BC8" s="208" t="n">
        <f aca="false">SUM($W8:$Y8)</f>
        <v>1</v>
      </c>
      <c r="BD8" s="208" t="n">
        <f aca="false">SUM($Z8:$AB8)</f>
        <v>0</v>
      </c>
      <c r="BE8" s="208" t="n">
        <f aca="false">SUM($AC8:$AE8)</f>
        <v>1</v>
      </c>
      <c r="BF8" s="208" t="n">
        <f aca="false">SUM($AF8:$AH8)</f>
        <v>1</v>
      </c>
      <c r="BG8" s="208" t="n">
        <f aca="false">SUM($AI8:$AK8)</f>
        <v>0</v>
      </c>
      <c r="BH8" s="208" t="n">
        <f aca="false">SUM($AL8:$AN8)</f>
        <v>0</v>
      </c>
      <c r="BI8" s="208" t="n">
        <f aca="false">SUM($AO8:$AQ8)</f>
        <v>0</v>
      </c>
      <c r="BJ8" s="208" t="n">
        <f aca="false">SUM($AR8:$AT8)</f>
        <v>1</v>
      </c>
      <c r="BK8" s="196" t="n">
        <f aca="false">SUM(AV8:BJ8)</f>
        <v>7</v>
      </c>
    </row>
    <row r="9" customFormat="false" ht="16.4" hidden="false" customHeight="false" outlineLevel="0" collapsed="false">
      <c r="A9" s="206" t="s">
        <v>20</v>
      </c>
      <c r="B9" s="207" t="n">
        <f aca="false">COUNTIF(TT!$D$4:$D$9,TALLY!A9)</f>
        <v>1</v>
      </c>
      <c r="C9" s="207" t="n">
        <f aca="false">COUNTIF(TT!$D$15:$D$28,TALLY!A9)</f>
        <v>0</v>
      </c>
      <c r="D9" s="207" t="n">
        <f aca="false">COUNTIF(TT!$D$34:$D$41,TALLY!A9)</f>
        <v>0</v>
      </c>
      <c r="E9" s="208" t="n">
        <f aca="false">COUNTIF(TT!$D$47:$D$60,TALLY!A9)</f>
        <v>0</v>
      </c>
      <c r="F9" s="208" t="n">
        <f aca="false">COUNTIF(TT!$D$66:$D$79,TALLY!A9)</f>
        <v>0</v>
      </c>
      <c r="G9" s="208" t="n">
        <f aca="false">COUNTIF(TT!$D$84:$D$93,TALLY!A9)</f>
        <v>0</v>
      </c>
      <c r="H9" s="209" t="n">
        <f aca="false">COUNTIF(TT!$D$98:$D$106,TALLY!A9)</f>
        <v>0</v>
      </c>
      <c r="I9" s="209" t="n">
        <f aca="false">COUNTIF(TT!$D$111:$D$121,TALLY!A9)</f>
        <v>0</v>
      </c>
      <c r="J9" s="209" t="n">
        <f aca="false">COUNTIF(TT!$D$126:$D$134,TALLY!A9)</f>
        <v>1</v>
      </c>
      <c r="K9" s="208" t="n">
        <f aca="false">COUNTIF(TT!$D$139:$D$151,TALLY!A9)</f>
        <v>0</v>
      </c>
      <c r="L9" s="208" t="n">
        <f aca="false">COUNTIF(TT!$D$156:$D$164,TALLY!A9)</f>
        <v>0</v>
      </c>
      <c r="M9" s="208" t="n">
        <f aca="false">COUNTIF(TT!$D$169:$D$180,TALLY!A9)</f>
        <v>0</v>
      </c>
      <c r="N9" s="209" t="n">
        <f aca="false">COUNTIF(TT!$D$185:$D$197,TALLY!A9)</f>
        <v>0</v>
      </c>
      <c r="O9" s="209" t="n">
        <f aca="false">COUNTIF(TT!$D$202:$D$208,TALLY!A9)</f>
        <v>0</v>
      </c>
      <c r="P9" s="209" t="n">
        <f aca="false">COUNTIF(TT!$D$213:$D$220,TALLY!A9)</f>
        <v>0</v>
      </c>
      <c r="Q9" s="207" t="n">
        <f aca="false">COUNTIF(TT!$D$225:$D$239,TALLY!A9)</f>
        <v>0</v>
      </c>
      <c r="R9" s="207" t="n">
        <f aca="false">COUNTIF(TT!$D$244:$D$254,TALLY!A9)</f>
        <v>0</v>
      </c>
      <c r="S9" s="207" t="n">
        <f aca="false">COUNTIF(TT!$D$259:$D$268,TALLY!A9)</f>
        <v>0</v>
      </c>
      <c r="T9" s="209" t="n">
        <f aca="false">COUNTIF(TT!$D$271:$D$282,TALLY!A9)</f>
        <v>0</v>
      </c>
      <c r="U9" s="209" t="n">
        <f aca="false">COUNTIF(TT!$D$287:$D$298,TALLY!A9)</f>
        <v>1</v>
      </c>
      <c r="V9" s="209" t="n">
        <f aca="false">COUNTIF(TT!$D$303:$D$311,TALLY!A9)</f>
        <v>0</v>
      </c>
      <c r="W9" s="208" t="n">
        <f aca="false">COUNTIF(TT!$D$316:$D$337,TALLY!A9)</f>
        <v>0</v>
      </c>
      <c r="X9" s="208" t="n">
        <f aca="false">COUNTIF(TT!$D$342:$D$350,TALLY!A9)</f>
        <v>0</v>
      </c>
      <c r="Y9" s="208" t="n">
        <f aca="false">COUNTIF(TT!$D$357:$D$365,TALLY!A9)</f>
        <v>0</v>
      </c>
      <c r="Z9" s="209" t="n">
        <f aca="false">COUNTIF(TT!$D$370:$D$377,TALLY!A9)</f>
        <v>0</v>
      </c>
      <c r="AA9" s="209" t="n">
        <f aca="false">COUNTIF(TT!$D$382:$D$393,TALLY!A9)</f>
        <v>0</v>
      </c>
      <c r="AB9" s="209" t="n">
        <f aca="false">COUNTIF(TT!$D$398:$D$408,TALLY!A9)</f>
        <v>0</v>
      </c>
      <c r="AC9" s="208" t="n">
        <f aca="false">COUNTIF(TT!$D$413:$D$425,TALLY!A9)</f>
        <v>1</v>
      </c>
      <c r="AD9" s="208" t="n">
        <f aca="false">COUNTIF(TT!$D$430:$D$433,TALLY!A9)</f>
        <v>0</v>
      </c>
      <c r="AE9" s="208" t="n">
        <f aca="false">COUNTIF(TT!$D$454:$D$466,TALLY!A9)</f>
        <v>0</v>
      </c>
      <c r="AF9" s="207" t="n">
        <f aca="false">COUNTIF(TT!$D$471:$D$480,TALLY!A9)</f>
        <v>0</v>
      </c>
      <c r="AG9" s="207" t="n">
        <f aca="false">COUNTIF(TT!$D$487:$D$496,TALLY!A9)</f>
        <v>0</v>
      </c>
      <c r="AH9" s="207" t="n">
        <f aca="false">COUNTIF(TT!$D$501:$D$517,TALLY!A9)</f>
        <v>0</v>
      </c>
      <c r="AI9" s="208" t="n">
        <f aca="false">COUNTIF(TT!$D$522:$D$533,TALLY!A9)</f>
        <v>0</v>
      </c>
      <c r="AJ9" s="208" t="n">
        <f aca="false">COUNTIF(TT!$D$538:$D$550,TALLY!A9)</f>
        <v>0</v>
      </c>
      <c r="AK9" s="208" t="n">
        <f aca="false">COUNTIF(TT!$D$555:$D$569,TALLY!A9)</f>
        <v>0</v>
      </c>
      <c r="AL9" s="209" t="n">
        <f aca="false">COUNTIF(TT!$D$574:$D$582,TALLY!A9)</f>
        <v>0</v>
      </c>
      <c r="AM9" s="209" t="n">
        <f aca="false">COUNTIF(TT!$D$587:$D$593,TALLY!A9)</f>
        <v>0</v>
      </c>
      <c r="AN9" s="209" t="n">
        <f aca="false">COUNTIF(TT!$D$598:$D$606,TALLY!A9)</f>
        <v>1</v>
      </c>
      <c r="AO9" s="208" t="n">
        <f aca="false">COUNTIF(TT!$D$611:$D$620,TALLY!A9)</f>
        <v>0</v>
      </c>
      <c r="AP9" s="208" t="n">
        <f aca="false">COUNTIF(TT!$D$627:$D$639,TALLY!A9)</f>
        <v>0</v>
      </c>
      <c r="AQ9" s="208" t="n">
        <f aca="false">COUNTIF(TT!$D$645:$D$657,TALLY!A9)</f>
        <v>0</v>
      </c>
      <c r="AR9" s="209" t="n">
        <f aca="false">COUNTIF(TT!$D$663:$D$671,TALLY!A9)</f>
        <v>1</v>
      </c>
      <c r="AS9" s="209" t="n">
        <f aca="false">COUNTIF(TT!$D$677:$D$685,TALLY!A9)</f>
        <v>0</v>
      </c>
      <c r="AT9" s="209" t="n">
        <f aca="false">COUNTIF(TT!$D$689:$D$698,TALLY!A9)</f>
        <v>0</v>
      </c>
      <c r="AU9" s="206" t="s">
        <v>20</v>
      </c>
      <c r="AV9" s="208" t="n">
        <f aca="false">SUM($B9:$D9)</f>
        <v>1</v>
      </c>
      <c r="AW9" s="208" t="n">
        <f aca="false">SUM($E9:$G9)</f>
        <v>0</v>
      </c>
      <c r="AX9" s="208" t="n">
        <f aca="false">SUM($H9:$J9)</f>
        <v>1</v>
      </c>
      <c r="AY9" s="208" t="n">
        <f aca="false">SUM($K9:$M9)</f>
        <v>0</v>
      </c>
      <c r="AZ9" s="208" t="n">
        <f aca="false">SUM($N9:$P9)</f>
        <v>0</v>
      </c>
      <c r="BA9" s="208" t="n">
        <f aca="false">SUM($Q9:$S9)</f>
        <v>0</v>
      </c>
      <c r="BB9" s="208" t="n">
        <f aca="false">SUM($T9:$V9)</f>
        <v>1</v>
      </c>
      <c r="BC9" s="208" t="n">
        <f aca="false">SUM($W9:$Y9)</f>
        <v>0</v>
      </c>
      <c r="BD9" s="208" t="n">
        <f aca="false">SUM($Z9:$AB9)</f>
        <v>0</v>
      </c>
      <c r="BE9" s="208" t="n">
        <f aca="false">SUM($AC9:$AE9)</f>
        <v>1</v>
      </c>
      <c r="BF9" s="208" t="n">
        <f aca="false">SUM($AF9:$AH9)</f>
        <v>0</v>
      </c>
      <c r="BG9" s="208" t="n">
        <f aca="false">SUM($AI9:$AK9)</f>
        <v>0</v>
      </c>
      <c r="BH9" s="208" t="n">
        <f aca="false">SUM($AL9:$AN9)</f>
        <v>1</v>
      </c>
      <c r="BI9" s="208" t="n">
        <f aca="false">SUM($AO9:$AQ9)</f>
        <v>0</v>
      </c>
      <c r="BJ9" s="208" t="n">
        <f aca="false">SUM($AR9:$AT9)</f>
        <v>1</v>
      </c>
      <c r="BK9" s="196" t="n">
        <f aca="false">SUM(AV9:BJ9)</f>
        <v>6</v>
      </c>
    </row>
    <row r="10" customFormat="false" ht="16.4" hidden="false" customHeight="false" outlineLevel="0" collapsed="false">
      <c r="A10" s="206" t="s">
        <v>51</v>
      </c>
      <c r="B10" s="207" t="n">
        <f aca="false">COUNTIF(TT!$D$4:$D$9,TALLY!A10)</f>
        <v>0</v>
      </c>
      <c r="C10" s="207" t="n">
        <f aca="false">COUNTIF(TT!$D$15:$D$28,TALLY!A10)</f>
        <v>0</v>
      </c>
      <c r="D10" s="207" t="n">
        <f aca="false">COUNTIF(TT!$D$34:$D$41,TALLY!A10)</f>
        <v>0</v>
      </c>
      <c r="E10" s="208" t="n">
        <f aca="false">COUNTIF(TT!$D$47:$D$60,TALLY!A10)</f>
        <v>0</v>
      </c>
      <c r="F10" s="208" t="n">
        <f aca="false">COUNTIF(TT!$D$66:$D$79,TALLY!A10)</f>
        <v>0</v>
      </c>
      <c r="G10" s="208" t="n">
        <f aca="false">COUNTIF(TT!$D$84:$D$93,TALLY!A10)</f>
        <v>1</v>
      </c>
      <c r="H10" s="209" t="n">
        <f aca="false">COUNTIF(TT!$D$98:$D$106,TALLY!A10)</f>
        <v>0</v>
      </c>
      <c r="I10" s="209" t="n">
        <f aca="false">COUNTIF(TT!$D$111:$D$121,TALLY!A10)</f>
        <v>0</v>
      </c>
      <c r="J10" s="209" t="n">
        <f aca="false">COUNTIF(TT!$D$126:$D$134,TALLY!A10)</f>
        <v>0</v>
      </c>
      <c r="K10" s="208" t="n">
        <f aca="false">COUNTIF(TT!$D$139:$D$151,TALLY!A10)</f>
        <v>1</v>
      </c>
      <c r="L10" s="208" t="n">
        <f aca="false">COUNTIF(TT!$D$156:$D$164,TALLY!A10)</f>
        <v>0</v>
      </c>
      <c r="M10" s="208" t="n">
        <f aca="false">COUNTIF(TT!$D$169:$D$180,TALLY!A10)</f>
        <v>0</v>
      </c>
      <c r="N10" s="209" t="n">
        <f aca="false">COUNTIF(TT!$D$185:$D$197,TALLY!A10)</f>
        <v>0</v>
      </c>
      <c r="O10" s="209" t="n">
        <f aca="false">COUNTIF(TT!$D$202:$D$208,TALLY!A10)</f>
        <v>0</v>
      </c>
      <c r="P10" s="209" t="n">
        <f aca="false">COUNTIF(TT!$D$213:$D$220,TALLY!A10)</f>
        <v>1</v>
      </c>
      <c r="Q10" s="207" t="n">
        <f aca="false">COUNTIF(TT!$D$225:$D$239,TALLY!A10)</f>
        <v>0</v>
      </c>
      <c r="R10" s="207" t="n">
        <f aca="false">COUNTIF(TT!$D$244:$D$254,TALLY!A10)</f>
        <v>1</v>
      </c>
      <c r="S10" s="207" t="n">
        <f aca="false">COUNTIF(TT!$D$259:$D$268,TALLY!A10)</f>
        <v>0</v>
      </c>
      <c r="T10" s="209" t="n">
        <f aca="false">COUNTIF(TT!$D$271:$D$282,TALLY!A10)</f>
        <v>0</v>
      </c>
      <c r="U10" s="209" t="n">
        <f aca="false">COUNTIF(TT!$D$287:$D$298,TALLY!A10)</f>
        <v>0</v>
      </c>
      <c r="V10" s="209" t="n">
        <f aca="false">COUNTIF(TT!$D$303:$D$311,TALLY!A10)</f>
        <v>0</v>
      </c>
      <c r="W10" s="208" t="n">
        <f aca="false">COUNTIF(TT!$D$316:$D$337,TALLY!A10)</f>
        <v>0</v>
      </c>
      <c r="X10" s="208" t="n">
        <f aca="false">COUNTIF(TT!$D$342:$D$350,TALLY!A10)</f>
        <v>0</v>
      </c>
      <c r="Y10" s="208" t="n">
        <f aca="false">COUNTIF(TT!$D$357:$D$365,TALLY!A10)</f>
        <v>0</v>
      </c>
      <c r="Z10" s="209" t="n">
        <f aca="false">COUNTIF(TT!$D$370:$D$377,TALLY!A10)</f>
        <v>1</v>
      </c>
      <c r="AA10" s="209" t="n">
        <f aca="false">COUNTIF(TT!$D$382:$D$393,TALLY!A10)</f>
        <v>0</v>
      </c>
      <c r="AB10" s="209" t="n">
        <f aca="false">COUNTIF(TT!$D$398:$D$408,TALLY!A10)</f>
        <v>0</v>
      </c>
      <c r="AC10" s="208" t="n">
        <f aca="false">COUNTIF(TT!$D$413:$D$425,TALLY!A10)</f>
        <v>0</v>
      </c>
      <c r="AD10" s="208" t="n">
        <f aca="false">COUNTIF(TT!$D$430:$D$433,TALLY!A10)</f>
        <v>1</v>
      </c>
      <c r="AE10" s="208" t="n">
        <f aca="false">COUNTIF(TT!$D$454:$D$466,TALLY!A10)</f>
        <v>0</v>
      </c>
      <c r="AF10" s="207" t="n">
        <f aca="false">COUNTIF(TT!$D$471:$D$480,TALLY!A10)</f>
        <v>0</v>
      </c>
      <c r="AG10" s="207" t="n">
        <f aca="false">COUNTIF(TT!$D$487:$D$496,TALLY!A10)</f>
        <v>0</v>
      </c>
      <c r="AH10" s="207" t="n">
        <f aca="false">COUNTIF(TT!$D$501:$D$517,TALLY!A10)</f>
        <v>0</v>
      </c>
      <c r="AI10" s="208" t="n">
        <f aca="false">COUNTIF(TT!$D$522:$D$533,TALLY!A10)</f>
        <v>1</v>
      </c>
      <c r="AJ10" s="208" t="n">
        <f aca="false">COUNTIF(TT!$D$538:$D$550,TALLY!A10)</f>
        <v>0</v>
      </c>
      <c r="AK10" s="208" t="n">
        <f aca="false">COUNTIF(TT!$D$555:$D$569,TALLY!A10)</f>
        <v>0</v>
      </c>
      <c r="AL10" s="209" t="n">
        <f aca="false">COUNTIF(TT!$D$574:$D$582,TALLY!A10)</f>
        <v>0</v>
      </c>
      <c r="AM10" s="209" t="n">
        <f aca="false">COUNTIF(TT!$D$587:$D$593,TALLY!A10)</f>
        <v>0</v>
      </c>
      <c r="AN10" s="209" t="n">
        <f aca="false">COUNTIF(TT!$D$598:$D$606,TALLY!A10)</f>
        <v>0</v>
      </c>
      <c r="AO10" s="208" t="n">
        <f aca="false">COUNTIF(TT!$D$611:$D$620,TALLY!A10)</f>
        <v>0</v>
      </c>
      <c r="AP10" s="208" t="n">
        <f aca="false">COUNTIF(TT!$D$627:$D$639,TALLY!A10)</f>
        <v>0</v>
      </c>
      <c r="AQ10" s="208" t="n">
        <f aca="false">COUNTIF(TT!$D$645:$D$657,TALLY!A10)</f>
        <v>0</v>
      </c>
      <c r="AR10" s="209" t="n">
        <f aca="false">COUNTIF(TT!$D$663:$D$671,TALLY!A10)</f>
        <v>0</v>
      </c>
      <c r="AS10" s="209" t="n">
        <f aca="false">COUNTIF(TT!$D$677:$D$685,TALLY!A10)</f>
        <v>1</v>
      </c>
      <c r="AT10" s="209" t="n">
        <f aca="false">COUNTIF(TT!$D$689:$D$698,TALLY!A10)</f>
        <v>0</v>
      </c>
      <c r="AU10" s="206" t="s">
        <v>51</v>
      </c>
      <c r="AV10" s="208" t="n">
        <f aca="false">SUM($B10:$D10)</f>
        <v>0</v>
      </c>
      <c r="AW10" s="208" t="n">
        <f aca="false">SUM($E10:$G10)</f>
        <v>1</v>
      </c>
      <c r="AX10" s="208" t="n">
        <f aca="false">SUM($H10:$J10)</f>
        <v>0</v>
      </c>
      <c r="AY10" s="208" t="n">
        <f aca="false">SUM($K10:$M10)</f>
        <v>1</v>
      </c>
      <c r="AZ10" s="208" t="n">
        <f aca="false">SUM($N10:$P10)</f>
        <v>1</v>
      </c>
      <c r="BA10" s="208" t="n">
        <f aca="false">SUM($Q10:$S10)</f>
        <v>1</v>
      </c>
      <c r="BB10" s="208" t="n">
        <f aca="false">SUM($T10:$V10)</f>
        <v>0</v>
      </c>
      <c r="BC10" s="208" t="n">
        <f aca="false">SUM($W10:$Y10)</f>
        <v>0</v>
      </c>
      <c r="BD10" s="208" t="n">
        <f aca="false">SUM($Z10:$AB10)</f>
        <v>1</v>
      </c>
      <c r="BE10" s="208" t="n">
        <f aca="false">SUM($AC10:$AE10)</f>
        <v>1</v>
      </c>
      <c r="BF10" s="208" t="n">
        <f aca="false">SUM($AF10:$AH10)</f>
        <v>0</v>
      </c>
      <c r="BG10" s="208" t="n">
        <f aca="false">SUM($AI10:$AK10)</f>
        <v>1</v>
      </c>
      <c r="BH10" s="208" t="n">
        <f aca="false">SUM($AL10:$AN10)</f>
        <v>0</v>
      </c>
      <c r="BI10" s="208" t="n">
        <f aca="false">SUM($AO10:$AQ10)</f>
        <v>0</v>
      </c>
      <c r="BJ10" s="208" t="n">
        <f aca="false">SUM($AR10:$AT10)</f>
        <v>1</v>
      </c>
      <c r="BK10" s="196" t="n">
        <f aca="false">SUM(AV10:BJ10)</f>
        <v>8</v>
      </c>
    </row>
    <row r="11" customFormat="false" ht="16.4" hidden="false" customHeight="false" outlineLevel="0" collapsed="false">
      <c r="A11" s="206" t="s">
        <v>126</v>
      </c>
      <c r="B11" s="207" t="n">
        <f aca="false">COUNTIF(TT!$D$4:$D$9,TALLY!A11)</f>
        <v>0</v>
      </c>
      <c r="C11" s="207" t="n">
        <f aca="false">COUNTIF(TT!$D$15:$D$28,TALLY!A11)</f>
        <v>1</v>
      </c>
      <c r="D11" s="207" t="n">
        <f aca="false">COUNTIF(TT!$D$34:$D$41,TALLY!A11)</f>
        <v>0</v>
      </c>
      <c r="E11" s="208" t="n">
        <f aca="false">COUNTIF(TT!$D$47:$D$60,TALLY!A11)</f>
        <v>0</v>
      </c>
      <c r="F11" s="208" t="n">
        <f aca="false">COUNTIF(TT!$D$66:$D$79,TALLY!A11)</f>
        <v>0</v>
      </c>
      <c r="G11" s="208" t="n">
        <f aca="false">COUNTIF(TT!$D$84:$D$93,TALLY!A11)</f>
        <v>0</v>
      </c>
      <c r="H11" s="209" t="n">
        <f aca="false">COUNTIF(TT!$D$98:$D$106,TALLY!A11)</f>
        <v>0</v>
      </c>
      <c r="I11" s="209" t="n">
        <f aca="false">COUNTIF(TT!$D$111:$D$121,TALLY!A11)</f>
        <v>0</v>
      </c>
      <c r="J11" s="209" t="n">
        <f aca="false">COUNTIF(TT!$D$126:$D$134,TALLY!A11)</f>
        <v>0</v>
      </c>
      <c r="K11" s="208" t="n">
        <f aca="false">COUNTIF(TT!$D$139:$D$151,TALLY!A11)</f>
        <v>1</v>
      </c>
      <c r="L11" s="208" t="n">
        <f aca="false">COUNTIF(TT!$D$156:$D$164,TALLY!A11)</f>
        <v>0</v>
      </c>
      <c r="M11" s="208" t="n">
        <f aca="false">COUNTIF(TT!$D$169:$D$180,TALLY!A11)</f>
        <v>0</v>
      </c>
      <c r="N11" s="209" t="n">
        <f aca="false">COUNTIF(TT!$D$185:$D$197,TALLY!A11)</f>
        <v>0</v>
      </c>
      <c r="O11" s="209" t="n">
        <f aca="false">COUNTIF(TT!$D$202:$D$208,TALLY!A11)</f>
        <v>0</v>
      </c>
      <c r="P11" s="209" t="n">
        <f aca="false">COUNTIF(TT!$D$213:$D$220,TALLY!A11)</f>
        <v>0</v>
      </c>
      <c r="Q11" s="207" t="n">
        <f aca="false">COUNTIF(TT!$D$225:$D$239,TALLY!A11)</f>
        <v>1</v>
      </c>
      <c r="R11" s="207" t="n">
        <f aca="false">COUNTIF(TT!$D$244:$D$254,TALLY!A11)</f>
        <v>0</v>
      </c>
      <c r="S11" s="207" t="n">
        <f aca="false">COUNTIF(TT!$D$259:$D$268,TALLY!A11)</f>
        <v>0</v>
      </c>
      <c r="T11" s="209" t="n">
        <f aca="false">COUNTIF(TT!$D$271:$D$282,TALLY!A11)</f>
        <v>0</v>
      </c>
      <c r="U11" s="209" t="n">
        <f aca="false">COUNTIF(TT!$D$287:$D$298,TALLY!A11)</f>
        <v>0</v>
      </c>
      <c r="V11" s="209" t="n">
        <f aca="false">COUNTIF(TT!$D$303:$D$311,TALLY!A11)</f>
        <v>0</v>
      </c>
      <c r="W11" s="208" t="n">
        <f aca="false">COUNTIF(TT!$D$316:$D$337,TALLY!A11)</f>
        <v>0</v>
      </c>
      <c r="X11" s="208" t="n">
        <f aca="false">COUNTIF(TT!$D$342:$D$350,TALLY!A11)</f>
        <v>0</v>
      </c>
      <c r="Y11" s="208" t="n">
        <f aca="false">COUNTIF(TT!$D$357:$D$365,TALLY!A11)</f>
        <v>0</v>
      </c>
      <c r="Z11" s="209" t="n">
        <f aca="false">COUNTIF(TT!$D$370:$D$377,TALLY!A11)</f>
        <v>0</v>
      </c>
      <c r="AA11" s="209" t="n">
        <f aca="false">COUNTIF(TT!$D$382:$D$393,TALLY!A11)</f>
        <v>0</v>
      </c>
      <c r="AB11" s="209" t="n">
        <f aca="false">COUNTIF(TT!$D$398:$D$408,TALLY!A11)</f>
        <v>1</v>
      </c>
      <c r="AC11" s="208" t="n">
        <f aca="false">COUNTIF(TT!$D$413:$D$425,TALLY!A11)</f>
        <v>0</v>
      </c>
      <c r="AD11" s="208" t="n">
        <f aca="false">COUNTIF(TT!$D$430:$D$433,TALLY!A11)</f>
        <v>0</v>
      </c>
      <c r="AE11" s="208" t="n">
        <f aca="false">COUNTIF(TT!$D$454:$D$466,TALLY!A11)</f>
        <v>0</v>
      </c>
      <c r="AF11" s="207" t="n">
        <f aca="false">COUNTIF(TT!$D$471:$D$480,TALLY!A11)</f>
        <v>0</v>
      </c>
      <c r="AG11" s="207" t="n">
        <f aca="false">COUNTIF(TT!$D$487:$D$496,TALLY!A11)</f>
        <v>0</v>
      </c>
      <c r="AH11" s="207" t="n">
        <f aca="false">COUNTIF(TT!$D$501:$D$517,TALLY!A11)</f>
        <v>1</v>
      </c>
      <c r="AI11" s="208" t="n">
        <f aca="false">COUNTIF(TT!$D$522:$D$533,TALLY!A11)</f>
        <v>1</v>
      </c>
      <c r="AJ11" s="208" t="n">
        <f aca="false">COUNTIF(TT!$D$538:$D$550,TALLY!A11)</f>
        <v>0</v>
      </c>
      <c r="AK11" s="208" t="n">
        <f aca="false">COUNTIF(TT!$D$555:$D$569,TALLY!A11)</f>
        <v>0</v>
      </c>
      <c r="AL11" s="209" t="n">
        <f aca="false">COUNTIF(TT!$D$574:$D$582,TALLY!A11)</f>
        <v>1</v>
      </c>
      <c r="AM11" s="209" t="n">
        <f aca="false">COUNTIF(TT!$D$587:$D$593,TALLY!A11)</f>
        <v>0</v>
      </c>
      <c r="AN11" s="209" t="n">
        <f aca="false">COUNTIF(TT!$D$598:$D$606,TALLY!A11)</f>
        <v>0</v>
      </c>
      <c r="AO11" s="208" t="n">
        <f aca="false">COUNTIF(TT!$D$611:$D$620,TALLY!A11)</f>
        <v>0</v>
      </c>
      <c r="AP11" s="208" t="n">
        <f aca="false">COUNTIF(TT!$D$627:$D$639,TALLY!A11)</f>
        <v>0</v>
      </c>
      <c r="AQ11" s="208" t="n">
        <f aca="false">COUNTIF(TT!$D$645:$D$657,TALLY!A11)</f>
        <v>1</v>
      </c>
      <c r="AR11" s="209" t="n">
        <f aca="false">COUNTIF(TT!$D$663:$D$671,TALLY!A11)</f>
        <v>1</v>
      </c>
      <c r="AS11" s="209" t="n">
        <f aca="false">COUNTIF(TT!$D$677:$D$685,TALLY!A11)</f>
        <v>0</v>
      </c>
      <c r="AT11" s="209" t="n">
        <f aca="false">COUNTIF(TT!$D$689:$D$698,TALLY!A11)</f>
        <v>0</v>
      </c>
      <c r="AU11" s="206" t="s">
        <v>126</v>
      </c>
      <c r="AV11" s="208" t="n">
        <f aca="false">SUM($B11:$D11)</f>
        <v>1</v>
      </c>
      <c r="AW11" s="208" t="n">
        <f aca="false">SUM($E11:$G11)</f>
        <v>0</v>
      </c>
      <c r="AX11" s="208" t="n">
        <f aca="false">SUM($H11:$J11)</f>
        <v>0</v>
      </c>
      <c r="AY11" s="208" t="n">
        <f aca="false">SUM($K11:$M11)</f>
        <v>1</v>
      </c>
      <c r="AZ11" s="208" t="n">
        <f aca="false">SUM($N11:$P11)</f>
        <v>0</v>
      </c>
      <c r="BA11" s="208" t="n">
        <f aca="false">SUM($Q11:$S11)</f>
        <v>1</v>
      </c>
      <c r="BB11" s="208" t="n">
        <f aca="false">SUM($T11:$V11)</f>
        <v>0</v>
      </c>
      <c r="BC11" s="208" t="n">
        <f aca="false">SUM($W11:$Y11)</f>
        <v>0</v>
      </c>
      <c r="BD11" s="208" t="n">
        <f aca="false">SUM($Z11:$AB11)</f>
        <v>1</v>
      </c>
      <c r="BE11" s="208" t="n">
        <f aca="false">SUM($AC11:$AE11)</f>
        <v>0</v>
      </c>
      <c r="BF11" s="208" t="n">
        <f aca="false">SUM($AF11:$AH11)</f>
        <v>1</v>
      </c>
      <c r="BG11" s="208" t="n">
        <f aca="false">SUM($AI11:$AK11)</f>
        <v>1</v>
      </c>
      <c r="BH11" s="208" t="n">
        <f aca="false">SUM($AL11:$AN11)</f>
        <v>1</v>
      </c>
      <c r="BI11" s="208" t="n">
        <f aca="false">SUM($AO11:$AQ11)</f>
        <v>1</v>
      </c>
      <c r="BJ11" s="208" t="n">
        <f aca="false">SUM($AR11:$AT11)</f>
        <v>1</v>
      </c>
      <c r="BK11" s="196" t="n">
        <f aca="false">SUM(AV11:BJ11)</f>
        <v>9</v>
      </c>
    </row>
    <row r="12" customFormat="false" ht="16.4" hidden="false" customHeight="false" outlineLevel="0" collapsed="false">
      <c r="A12" s="206" t="s">
        <v>95</v>
      </c>
      <c r="B12" s="207" t="n">
        <f aca="false">COUNTIF(TT!$D$4:$D$9,TALLY!A12)</f>
        <v>0</v>
      </c>
      <c r="C12" s="207" t="n">
        <f aca="false">COUNTIF(TT!$D$15:$D$28,TALLY!A12)</f>
        <v>1</v>
      </c>
      <c r="D12" s="207" t="n">
        <f aca="false">COUNTIF(TT!$D$34:$D$41,TALLY!A12)</f>
        <v>0</v>
      </c>
      <c r="E12" s="208" t="n">
        <f aca="false">COUNTIF(TT!$D$47:$D$60,TALLY!A12)</f>
        <v>0</v>
      </c>
      <c r="F12" s="208" t="n">
        <f aca="false">COUNTIF(TT!$D$66:$D$79,TALLY!A12)</f>
        <v>0</v>
      </c>
      <c r="G12" s="208" t="n">
        <f aca="false">COUNTIF(TT!$D$84:$D$93,TALLY!A12)</f>
        <v>0</v>
      </c>
      <c r="H12" s="209" t="n">
        <f aca="false">COUNTIF(TT!$D$98:$D$106,TALLY!A12)</f>
        <v>0</v>
      </c>
      <c r="I12" s="209" t="n">
        <f aca="false">COUNTIF(TT!$D$111:$D$121,TALLY!A12)</f>
        <v>0</v>
      </c>
      <c r="J12" s="209" t="n">
        <f aca="false">COUNTIF(TT!$D$126:$D$134,TALLY!A12)</f>
        <v>0</v>
      </c>
      <c r="K12" s="208" t="n">
        <f aca="false">COUNTIF(TT!$D$139:$D$151,TALLY!A12)</f>
        <v>0</v>
      </c>
      <c r="L12" s="208" t="n">
        <f aca="false">COUNTIF(TT!$D$156:$D$164,TALLY!A12)</f>
        <v>1</v>
      </c>
      <c r="M12" s="208" t="n">
        <f aca="false">COUNTIF(TT!$D$169:$D$180,TALLY!A12)</f>
        <v>0</v>
      </c>
      <c r="N12" s="209" t="n">
        <f aca="false">COUNTIF(TT!$D$185:$D$197,TALLY!A12)</f>
        <v>0</v>
      </c>
      <c r="O12" s="209" t="n">
        <f aca="false">COUNTIF(TT!$D$202:$D$208,TALLY!A12)</f>
        <v>0</v>
      </c>
      <c r="P12" s="209" t="n">
        <f aca="false">COUNTIF(TT!$D$213:$D$220,TALLY!A12)</f>
        <v>0</v>
      </c>
      <c r="Q12" s="207" t="n">
        <f aca="false">COUNTIF(TT!$D$225:$D$239,TALLY!A12)</f>
        <v>0</v>
      </c>
      <c r="R12" s="207" t="n">
        <f aca="false">COUNTIF(TT!$D$244:$D$254,TALLY!A12)</f>
        <v>0</v>
      </c>
      <c r="S12" s="207" t="n">
        <f aca="false">COUNTIF(TT!$D$259:$D$268,TALLY!A12)</f>
        <v>0</v>
      </c>
      <c r="T12" s="209" t="n">
        <f aca="false">COUNTIF(TT!$D$271:$D$282,TALLY!A12)</f>
        <v>0</v>
      </c>
      <c r="U12" s="209" t="n">
        <f aca="false">COUNTIF(TT!$D$287:$D$298,TALLY!A12)</f>
        <v>0</v>
      </c>
      <c r="V12" s="209" t="n">
        <f aca="false">COUNTIF(TT!$D$303:$D$311,TALLY!A12)</f>
        <v>0</v>
      </c>
      <c r="W12" s="208" t="n">
        <f aca="false">COUNTIF(TT!$D$316:$D$337,TALLY!A12)</f>
        <v>0</v>
      </c>
      <c r="X12" s="208" t="n">
        <f aca="false">COUNTIF(TT!$D$342:$D$350,TALLY!A12)</f>
        <v>0</v>
      </c>
      <c r="Y12" s="208" t="n">
        <f aca="false">COUNTIF(TT!$D$357:$D$365,TALLY!A12)</f>
        <v>0</v>
      </c>
      <c r="Z12" s="209" t="n">
        <f aca="false">COUNTIF(TT!$D$370:$D$377,TALLY!A12)</f>
        <v>0</v>
      </c>
      <c r="AA12" s="209" t="n">
        <f aca="false">COUNTIF(TT!$D$382:$D$393,TALLY!A12)</f>
        <v>0</v>
      </c>
      <c r="AB12" s="209" t="n">
        <f aca="false">COUNTIF(TT!$D$398:$D$408,TALLY!A12)</f>
        <v>0</v>
      </c>
      <c r="AC12" s="208" t="n">
        <f aca="false">COUNTIF(TT!$D$413:$D$425,TALLY!A12)</f>
        <v>0</v>
      </c>
      <c r="AD12" s="208" t="n">
        <f aca="false">COUNTIF(TT!$D$430:$D$433,TALLY!A12)</f>
        <v>0</v>
      </c>
      <c r="AE12" s="208" t="n">
        <f aca="false">COUNTIF(TT!$D$454:$D$466,TALLY!A12)</f>
        <v>0</v>
      </c>
      <c r="AF12" s="207" t="n">
        <f aca="false">COUNTIF(TT!$D$471:$D$480,TALLY!A12)</f>
        <v>0</v>
      </c>
      <c r="AG12" s="207" t="n">
        <f aca="false">COUNTIF(TT!$D$487:$D$496,TALLY!A12)</f>
        <v>0</v>
      </c>
      <c r="AH12" s="207" t="n">
        <f aca="false">COUNTIF(TT!$D$501:$D$517,TALLY!A12)</f>
        <v>0</v>
      </c>
      <c r="AI12" s="208" t="n">
        <f aca="false">COUNTIF(TT!$D$522:$D$533,TALLY!A12)</f>
        <v>0</v>
      </c>
      <c r="AJ12" s="208" t="n">
        <f aca="false">COUNTIF(TT!$D$538:$D$550,TALLY!A12)</f>
        <v>1</v>
      </c>
      <c r="AK12" s="208" t="n">
        <f aca="false">COUNTIF(TT!$D$555:$D$569,TALLY!A12)</f>
        <v>0</v>
      </c>
      <c r="AL12" s="209" t="n">
        <f aca="false">COUNTIF(TT!$D$574:$D$582,TALLY!A12)</f>
        <v>0</v>
      </c>
      <c r="AM12" s="209" t="n">
        <f aca="false">COUNTIF(TT!$D$587:$D$593,TALLY!A12)</f>
        <v>0</v>
      </c>
      <c r="AN12" s="209" t="n">
        <f aca="false">COUNTIF(TT!$D$598:$D$606,TALLY!A12)</f>
        <v>0</v>
      </c>
      <c r="AO12" s="208" t="n">
        <f aca="false">COUNTIF(TT!$D$611:$D$620,TALLY!A12)</f>
        <v>0</v>
      </c>
      <c r="AP12" s="208" t="n">
        <f aca="false">COUNTIF(TT!$D$627:$D$639,TALLY!A12)</f>
        <v>0</v>
      </c>
      <c r="AQ12" s="208" t="n">
        <f aca="false">COUNTIF(TT!$D$645:$D$657,TALLY!A12)</f>
        <v>1</v>
      </c>
      <c r="AR12" s="209" t="n">
        <f aca="false">COUNTIF(TT!$D$663:$D$671,TALLY!A12)</f>
        <v>0</v>
      </c>
      <c r="AS12" s="209" t="n">
        <f aca="false">COUNTIF(TT!$D$677:$D$685,TALLY!A12)</f>
        <v>1</v>
      </c>
      <c r="AT12" s="209" t="n">
        <f aca="false">COUNTIF(TT!$D$689:$D$698,TALLY!A12)</f>
        <v>0</v>
      </c>
      <c r="AU12" s="206" t="s">
        <v>95</v>
      </c>
      <c r="AV12" s="208" t="n">
        <f aca="false">SUM($B12:$D12)</f>
        <v>1</v>
      </c>
      <c r="AW12" s="208" t="n">
        <f aca="false">SUM($E12:$G12)</f>
        <v>0</v>
      </c>
      <c r="AX12" s="208" t="n">
        <f aca="false">SUM($H12:$J12)</f>
        <v>0</v>
      </c>
      <c r="AY12" s="208" t="n">
        <f aca="false">SUM($K12:$M12)</f>
        <v>1</v>
      </c>
      <c r="AZ12" s="208" t="n">
        <f aca="false">SUM($N12:$P12)</f>
        <v>0</v>
      </c>
      <c r="BA12" s="208" t="n">
        <f aca="false">SUM($Q12:$S12)</f>
        <v>0</v>
      </c>
      <c r="BB12" s="208" t="n">
        <f aca="false">SUM($T12:$V12)</f>
        <v>0</v>
      </c>
      <c r="BC12" s="208" t="n">
        <f aca="false">SUM($W12:$Y12)</f>
        <v>0</v>
      </c>
      <c r="BD12" s="208" t="n">
        <f aca="false">SUM($Z12:$AB12)</f>
        <v>0</v>
      </c>
      <c r="BE12" s="208" t="n">
        <f aca="false">SUM($AC12:$AE12)</f>
        <v>0</v>
      </c>
      <c r="BF12" s="208" t="n">
        <f aca="false">SUM($AF12:$AH12)</f>
        <v>0</v>
      </c>
      <c r="BG12" s="208" t="n">
        <f aca="false">SUM($AI12:$AK12)</f>
        <v>1</v>
      </c>
      <c r="BH12" s="208" t="n">
        <f aca="false">SUM($AL12:$AN12)</f>
        <v>0</v>
      </c>
      <c r="BI12" s="208" t="n">
        <f aca="false">SUM($AO12:$AQ12)</f>
        <v>1</v>
      </c>
      <c r="BJ12" s="208" t="n">
        <f aca="false">SUM($AR12:$AT12)</f>
        <v>1</v>
      </c>
      <c r="BK12" s="196" t="n">
        <f aca="false">SUM(AV12:BJ12)</f>
        <v>5</v>
      </c>
    </row>
    <row r="13" s="196" customFormat="true" ht="16.4" hidden="false" customHeight="false" outlineLevel="0" collapsed="false">
      <c r="A13" s="206" t="s">
        <v>111</v>
      </c>
      <c r="B13" s="207" t="n">
        <f aca="false">COUNTIF(TT!$D$4:$D$9,TALLY!A13)</f>
        <v>0</v>
      </c>
      <c r="C13" s="207" t="n">
        <f aca="false">COUNTIF(TT!$D$15:$D$28,TALLY!A13)</f>
        <v>0</v>
      </c>
      <c r="D13" s="207" t="n">
        <f aca="false">COUNTIF(TT!$D$34:$D$41,TALLY!A13)</f>
        <v>0</v>
      </c>
      <c r="E13" s="208" t="n">
        <f aca="false">COUNTIF(TT!$D$47:$D$60,TALLY!A13)</f>
        <v>0</v>
      </c>
      <c r="F13" s="208" t="n">
        <f aca="false">COUNTIF(TT!$D$66:$D$79,TALLY!A13)</f>
        <v>1</v>
      </c>
      <c r="G13" s="208" t="n">
        <f aca="false">COUNTIF(TT!$D$84:$D$93,TALLY!A13)</f>
        <v>0</v>
      </c>
      <c r="H13" s="209" t="n">
        <f aca="false">COUNTIF(TT!$D$98:$D$106,TALLY!A13)</f>
        <v>0</v>
      </c>
      <c r="I13" s="209" t="n">
        <f aca="false">COUNTIF(TT!$D$111:$D$121,TALLY!A13)</f>
        <v>1</v>
      </c>
      <c r="J13" s="209" t="n">
        <f aca="false">COUNTIF(TT!$D$126:$D$134,TALLY!A13)</f>
        <v>0</v>
      </c>
      <c r="K13" s="208" t="n">
        <f aca="false">COUNTIF(TT!$D$139:$D$151,TALLY!A13)</f>
        <v>0</v>
      </c>
      <c r="L13" s="208" t="n">
        <f aca="false">COUNTIF(TT!$D$156:$D$164,TALLY!A13)</f>
        <v>0</v>
      </c>
      <c r="M13" s="208" t="n">
        <f aca="false">COUNTIF(TT!$D$169:$D$180,TALLY!A13)</f>
        <v>0</v>
      </c>
      <c r="N13" s="209" t="n">
        <f aca="false">COUNTIF(TT!$D$185:$D$197,TALLY!A13)</f>
        <v>0</v>
      </c>
      <c r="O13" s="209" t="n">
        <f aca="false">COUNTIF(TT!$D$202:$D$208,TALLY!A13)</f>
        <v>0</v>
      </c>
      <c r="P13" s="209" t="n">
        <f aca="false">COUNTIF(TT!$D$213:$D$220,TALLY!A13)</f>
        <v>0</v>
      </c>
      <c r="Q13" s="207" t="n">
        <f aca="false">COUNTIF(TT!$D$225:$D$239,TALLY!A13)</f>
        <v>0</v>
      </c>
      <c r="R13" s="207" t="n">
        <f aca="false">COUNTIF(TT!$D$244:$D$254,TALLY!A13)</f>
        <v>0</v>
      </c>
      <c r="S13" s="207" t="n">
        <f aca="false">COUNTIF(TT!$D$259:$D$268,TALLY!A13)</f>
        <v>0</v>
      </c>
      <c r="T13" s="209" t="n">
        <f aca="false">COUNTIF(TT!$D$271:$D$282,TALLY!A13)</f>
        <v>0</v>
      </c>
      <c r="U13" s="209" t="n">
        <f aca="false">COUNTIF(TT!$D$287:$D$298,TALLY!A13)</f>
        <v>1</v>
      </c>
      <c r="V13" s="209" t="n">
        <f aca="false">COUNTIF(TT!$D$303:$D$311,TALLY!A13)</f>
        <v>0</v>
      </c>
      <c r="W13" s="208" t="n">
        <f aca="false">COUNTIF(TT!$D$316:$D$337,TALLY!A13)</f>
        <v>0</v>
      </c>
      <c r="X13" s="208" t="n">
        <f aca="false">COUNTIF(TT!$D$342:$D$350,TALLY!A13)</f>
        <v>0</v>
      </c>
      <c r="Y13" s="208" t="n">
        <f aca="false">COUNTIF(TT!$D$357:$D$365,TALLY!A13)</f>
        <v>0</v>
      </c>
      <c r="Z13" s="209" t="n">
        <f aca="false">COUNTIF(TT!$D$370:$D$377,TALLY!A13)</f>
        <v>0</v>
      </c>
      <c r="AA13" s="209" t="n">
        <f aca="false">COUNTIF(TT!$D$382:$D$393,TALLY!A13)</f>
        <v>0</v>
      </c>
      <c r="AB13" s="209" t="n">
        <f aca="false">COUNTIF(TT!$D$398:$D$408,TALLY!A13)</f>
        <v>0</v>
      </c>
      <c r="AC13" s="208" t="n">
        <f aca="false">COUNTIF(TT!$D$413:$D$425,TALLY!A13)</f>
        <v>0</v>
      </c>
      <c r="AD13" s="208" t="n">
        <f aca="false">COUNTIF(TT!$D$430:$D$433,TALLY!A13)</f>
        <v>1</v>
      </c>
      <c r="AE13" s="208" t="n">
        <f aca="false">COUNTIF(TT!$D$454:$D$466,TALLY!A13)</f>
        <v>0</v>
      </c>
      <c r="AF13" s="207" t="n">
        <f aca="false">COUNTIF(TT!$D$471:$D$480,TALLY!A13)</f>
        <v>0</v>
      </c>
      <c r="AG13" s="207" t="n">
        <f aca="false">COUNTIF(TT!$D$487:$D$496,TALLY!A13)</f>
        <v>0</v>
      </c>
      <c r="AH13" s="207" t="n">
        <f aca="false">COUNTIF(TT!$D$501:$D$517,TALLY!A13)</f>
        <v>0</v>
      </c>
      <c r="AI13" s="208" t="n">
        <f aca="false">COUNTIF(TT!$D$522:$D$533,TALLY!A13)</f>
        <v>0</v>
      </c>
      <c r="AJ13" s="208" t="n">
        <f aca="false">COUNTIF(TT!$D$538:$D$550,TALLY!A13)</f>
        <v>1</v>
      </c>
      <c r="AK13" s="208" t="n">
        <f aca="false">COUNTIF(TT!$D$555:$D$569,TALLY!A13)</f>
        <v>0</v>
      </c>
      <c r="AL13" s="209" t="n">
        <f aca="false">COUNTIF(TT!$D$574:$D$582,TALLY!A13)</f>
        <v>0</v>
      </c>
      <c r="AM13" s="209" t="n">
        <f aca="false">COUNTIF(TT!$D$587:$D$593,TALLY!A13)</f>
        <v>0</v>
      </c>
      <c r="AN13" s="209" t="n">
        <f aca="false">COUNTIF(TT!$D$598:$D$606,TALLY!A13)</f>
        <v>0</v>
      </c>
      <c r="AO13" s="208" t="n">
        <f aca="false">COUNTIF(TT!$D$611:$D$620,TALLY!A13)</f>
        <v>1</v>
      </c>
      <c r="AP13" s="208" t="n">
        <f aca="false">COUNTIF(TT!$D$627:$D$639,TALLY!A13)</f>
        <v>0</v>
      </c>
      <c r="AQ13" s="208" t="n">
        <f aca="false">COUNTIF(TT!$D$645:$D$657,TALLY!A13)</f>
        <v>0</v>
      </c>
      <c r="AR13" s="209" t="n">
        <f aca="false">COUNTIF(TT!$D$663:$D$671,TALLY!A13)</f>
        <v>1</v>
      </c>
      <c r="AS13" s="209" t="n">
        <f aca="false">COUNTIF(TT!$D$677:$D$685,TALLY!A13)</f>
        <v>0</v>
      </c>
      <c r="AT13" s="209" t="n">
        <f aca="false">COUNTIF(TT!$D$689:$D$698,TALLY!A13)</f>
        <v>0</v>
      </c>
      <c r="AU13" s="206" t="s">
        <v>111</v>
      </c>
      <c r="AV13" s="208" t="n">
        <f aca="false">SUM($B13:$D13)</f>
        <v>0</v>
      </c>
      <c r="AW13" s="208" t="n">
        <f aca="false">SUM($E13:$G13)</f>
        <v>1</v>
      </c>
      <c r="AX13" s="208" t="n">
        <f aca="false">SUM($H13:$J13)</f>
        <v>1</v>
      </c>
      <c r="AY13" s="208" t="n">
        <f aca="false">SUM($K13:$M13)</f>
        <v>0</v>
      </c>
      <c r="AZ13" s="208" t="n">
        <f aca="false">SUM($N13:$P13)</f>
        <v>0</v>
      </c>
      <c r="BA13" s="208" t="n">
        <f aca="false">SUM($Q13:$S13)</f>
        <v>0</v>
      </c>
      <c r="BB13" s="208" t="n">
        <f aca="false">SUM($T13:$V13)</f>
        <v>1</v>
      </c>
      <c r="BC13" s="208" t="n">
        <f aca="false">SUM($W13:$Y13)</f>
        <v>0</v>
      </c>
      <c r="BD13" s="208" t="n">
        <f aca="false">SUM($Z13:$AB13)</f>
        <v>0</v>
      </c>
      <c r="BE13" s="208" t="n">
        <f aca="false">SUM($AC13:$AE13)</f>
        <v>1</v>
      </c>
      <c r="BF13" s="208" t="n">
        <f aca="false">SUM($AF13:$AH13)</f>
        <v>0</v>
      </c>
      <c r="BG13" s="208" t="n">
        <f aca="false">SUM($AI13:$AK13)</f>
        <v>1</v>
      </c>
      <c r="BH13" s="208" t="n">
        <f aca="false">SUM($AL13:$AN13)</f>
        <v>0</v>
      </c>
      <c r="BI13" s="208" t="n">
        <f aca="false">SUM($AO13:$AQ13)</f>
        <v>1</v>
      </c>
      <c r="BJ13" s="208" t="n">
        <f aca="false">SUM($AR13:$AT13)</f>
        <v>1</v>
      </c>
      <c r="BK13" s="196" t="n">
        <f aca="false">SUM(AV13:BJ13)</f>
        <v>7</v>
      </c>
    </row>
    <row r="14" s="196" customFormat="true" ht="13.5" hidden="false" customHeight="true" outlineLevel="0" collapsed="false">
      <c r="A14" s="206" t="s">
        <v>112</v>
      </c>
      <c r="B14" s="207" t="n">
        <f aca="false">COUNTIF(TT!$D$4:$D$9,TALLY!A14)</f>
        <v>0</v>
      </c>
      <c r="C14" s="207" t="n">
        <f aca="false">COUNTIF(TT!$D$15:$D$28,TALLY!A14)</f>
        <v>0</v>
      </c>
      <c r="D14" s="207" t="n">
        <f aca="false">COUNTIF(TT!$D$34:$D$41,TALLY!A14)</f>
        <v>0</v>
      </c>
      <c r="E14" s="208" t="n">
        <f aca="false">COUNTIF(TT!$D$47:$D$60,TALLY!A14)</f>
        <v>0</v>
      </c>
      <c r="F14" s="208" t="n">
        <f aca="false">COUNTIF(TT!$D$66:$D$79,TALLY!A14)</f>
        <v>1</v>
      </c>
      <c r="G14" s="208" t="n">
        <f aca="false">COUNTIF(TT!$D$84:$D$93,TALLY!A14)</f>
        <v>0</v>
      </c>
      <c r="H14" s="209" t="n">
        <f aca="false">COUNTIF(TT!$D$98:$D$106,TALLY!A14)</f>
        <v>0</v>
      </c>
      <c r="I14" s="209" t="n">
        <f aca="false">COUNTIF(TT!$D$111:$D$121,TALLY!A14)</f>
        <v>1</v>
      </c>
      <c r="J14" s="209" t="n">
        <f aca="false">COUNTIF(TT!$D$126:$D$134,TALLY!A14)</f>
        <v>0</v>
      </c>
      <c r="K14" s="208" t="n">
        <f aca="false">COUNTIF(TT!$D$139:$D$151,TALLY!A14)</f>
        <v>0</v>
      </c>
      <c r="L14" s="208" t="n">
        <f aca="false">COUNTIF(TT!$D$156:$D$164,TALLY!A14)</f>
        <v>0</v>
      </c>
      <c r="M14" s="208" t="n">
        <f aca="false">COUNTIF(TT!$D$169:$D$180,TALLY!A14)</f>
        <v>0</v>
      </c>
      <c r="N14" s="209" t="n">
        <f aca="false">COUNTIF(TT!$D$185:$D$197,TALLY!A14)</f>
        <v>0</v>
      </c>
      <c r="O14" s="209" t="n">
        <f aca="false">COUNTIF(TT!$D$202:$D$208,TALLY!A14)</f>
        <v>0</v>
      </c>
      <c r="P14" s="209" t="n">
        <f aca="false">COUNTIF(TT!$D$213:$D$220,TALLY!A14)</f>
        <v>0</v>
      </c>
      <c r="Q14" s="207" t="n">
        <f aca="false">COUNTIF(TT!$D$225:$D$239,TALLY!A14)</f>
        <v>1</v>
      </c>
      <c r="R14" s="207" t="n">
        <f aca="false">COUNTIF(TT!$D$244:$D$254,TALLY!A14)</f>
        <v>0</v>
      </c>
      <c r="S14" s="207" t="n">
        <f aca="false">COUNTIF(TT!$D$259:$D$268,TALLY!A14)</f>
        <v>0</v>
      </c>
      <c r="T14" s="209" t="n">
        <f aca="false">COUNTIF(TT!$D$271:$D$282,TALLY!A14)</f>
        <v>0</v>
      </c>
      <c r="U14" s="209" t="n">
        <f aca="false">COUNTIF(TT!$D$287:$D$298,TALLY!A14)</f>
        <v>1</v>
      </c>
      <c r="V14" s="209" t="n">
        <f aca="false">COUNTIF(TT!$D$303:$D$311,TALLY!A14)</f>
        <v>0</v>
      </c>
      <c r="W14" s="208" t="n">
        <f aca="false">COUNTIF(TT!$D$316:$D$337,TALLY!A14)</f>
        <v>0</v>
      </c>
      <c r="X14" s="208" t="n">
        <f aca="false">COUNTIF(TT!$D$342:$D$350,TALLY!A14)</f>
        <v>0</v>
      </c>
      <c r="Y14" s="208" t="n">
        <f aca="false">COUNTIF(TT!$D$357:$D$365,TALLY!A14)</f>
        <v>0</v>
      </c>
      <c r="Z14" s="209" t="n">
        <f aca="false">COUNTIF(TT!$D$370:$D$377,TALLY!A14)</f>
        <v>0</v>
      </c>
      <c r="AA14" s="209" t="n">
        <f aca="false">COUNTIF(TT!$D$382:$D$393,TALLY!A14)</f>
        <v>0</v>
      </c>
      <c r="AB14" s="209" t="n">
        <f aca="false">COUNTIF(TT!$D$398:$D$408,TALLY!A14)</f>
        <v>0</v>
      </c>
      <c r="AC14" s="208" t="n">
        <f aca="false">COUNTIF(TT!$D$413:$D$425,TALLY!A14)</f>
        <v>0</v>
      </c>
      <c r="AD14" s="208" t="n">
        <f aca="false">COUNTIF(TT!$D$430:$D$433,TALLY!A14)</f>
        <v>0</v>
      </c>
      <c r="AE14" s="208" t="n">
        <f aca="false">COUNTIF(TT!$D$454:$D$466,TALLY!A14)</f>
        <v>1</v>
      </c>
      <c r="AF14" s="207" t="n">
        <f aca="false">COUNTIF(TT!$D$471:$D$480,TALLY!A14)</f>
        <v>0</v>
      </c>
      <c r="AG14" s="207" t="n">
        <f aca="false">COUNTIF(TT!$D$487:$D$496,TALLY!A14)</f>
        <v>0</v>
      </c>
      <c r="AH14" s="207" t="n">
        <f aca="false">COUNTIF(TT!$D$501:$D$517,TALLY!A14)</f>
        <v>0</v>
      </c>
      <c r="AI14" s="208" t="n">
        <f aca="false">COUNTIF(TT!$D$522:$D$533,TALLY!A14)</f>
        <v>0</v>
      </c>
      <c r="AJ14" s="208" t="n">
        <f aca="false">COUNTIF(TT!$D$538:$D$550,TALLY!A14)</f>
        <v>1</v>
      </c>
      <c r="AK14" s="208" t="n">
        <f aca="false">COUNTIF(TT!$D$555:$D$569,TALLY!A14)</f>
        <v>0</v>
      </c>
      <c r="AL14" s="209" t="n">
        <f aca="false">COUNTIF(TT!$D$574:$D$582,TALLY!A14)</f>
        <v>0</v>
      </c>
      <c r="AM14" s="209" t="n">
        <f aca="false">COUNTIF(TT!$D$587:$D$593,TALLY!A14)</f>
        <v>0</v>
      </c>
      <c r="AN14" s="209" t="n">
        <f aca="false">COUNTIF(TT!$D$598:$D$606,TALLY!A14)</f>
        <v>0</v>
      </c>
      <c r="AO14" s="208" t="n">
        <f aca="false">COUNTIF(TT!$D$611:$D$620,TALLY!A14)</f>
        <v>1</v>
      </c>
      <c r="AP14" s="208" t="n">
        <f aca="false">COUNTIF(TT!$D$627:$D$639,TALLY!A14)</f>
        <v>0</v>
      </c>
      <c r="AQ14" s="208" t="n">
        <f aca="false">COUNTIF(TT!$D$645:$D$657,TALLY!A14)</f>
        <v>0</v>
      </c>
      <c r="AR14" s="209" t="n">
        <f aca="false">COUNTIF(TT!$D$663:$D$671,TALLY!A14)</f>
        <v>1</v>
      </c>
      <c r="AS14" s="209" t="n">
        <f aca="false">COUNTIF(TT!$D$677:$D$685,TALLY!A14)</f>
        <v>0</v>
      </c>
      <c r="AT14" s="209" t="n">
        <f aca="false">COUNTIF(TT!$D$689:$D$698,TALLY!A14)</f>
        <v>0</v>
      </c>
      <c r="AU14" s="206" t="s">
        <v>112</v>
      </c>
      <c r="AV14" s="208" t="n">
        <f aca="false">SUM($B14:$D14)</f>
        <v>0</v>
      </c>
      <c r="AW14" s="208" t="n">
        <f aca="false">SUM($E14:$G14)</f>
        <v>1</v>
      </c>
      <c r="AX14" s="208" t="n">
        <f aca="false">SUM($H14:$J14)</f>
        <v>1</v>
      </c>
      <c r="AY14" s="208" t="n">
        <f aca="false">SUM($K14:$M14)</f>
        <v>0</v>
      </c>
      <c r="AZ14" s="208" t="n">
        <f aca="false">SUM($N14:$P14)</f>
        <v>0</v>
      </c>
      <c r="BA14" s="208" t="n">
        <f aca="false">SUM($Q14:$S14)</f>
        <v>1</v>
      </c>
      <c r="BB14" s="208" t="n">
        <f aca="false">SUM($T14:$V14)</f>
        <v>1</v>
      </c>
      <c r="BC14" s="208" t="n">
        <f aca="false">SUM($W14:$Y14)</f>
        <v>0</v>
      </c>
      <c r="BD14" s="208" t="n">
        <f aca="false">SUM($Z14:$AB14)</f>
        <v>0</v>
      </c>
      <c r="BE14" s="208" t="n">
        <f aca="false">SUM($AC14:$AE14)</f>
        <v>1</v>
      </c>
      <c r="BF14" s="208" t="n">
        <f aca="false">SUM($AF14:$AH14)</f>
        <v>0</v>
      </c>
      <c r="BG14" s="208" t="n">
        <f aca="false">SUM($AI14:$AK14)</f>
        <v>1</v>
      </c>
      <c r="BH14" s="208" t="n">
        <f aca="false">SUM($AL14:$AN14)</f>
        <v>0</v>
      </c>
      <c r="BI14" s="208" t="n">
        <f aca="false">SUM($AO14:$AQ14)</f>
        <v>1</v>
      </c>
      <c r="BJ14" s="208" t="n">
        <f aca="false">SUM($AR14:$AT14)</f>
        <v>1</v>
      </c>
      <c r="BK14" s="196" t="n">
        <f aca="false">SUM(AV14:BJ14)</f>
        <v>8</v>
      </c>
    </row>
    <row r="15" s="196" customFormat="true" ht="16.4" hidden="false" customHeight="false" outlineLevel="0" collapsed="false">
      <c r="A15" s="206" t="s">
        <v>161</v>
      </c>
      <c r="B15" s="207" t="n">
        <f aca="false">COUNTIF(TT!$D$4:$D$9,TALLY!A15)</f>
        <v>0</v>
      </c>
      <c r="C15" s="207" t="n">
        <f aca="false">COUNTIF(TT!$D$15:$D$28,TALLY!A15)</f>
        <v>0</v>
      </c>
      <c r="D15" s="207" t="n">
        <f aca="false">COUNTIF(TT!$D$34:$D$41,TALLY!A15)</f>
        <v>0</v>
      </c>
      <c r="E15" s="208" t="n">
        <f aca="false">COUNTIF(TT!$D$47:$D$60,TALLY!A15)</f>
        <v>0</v>
      </c>
      <c r="F15" s="208" t="n">
        <f aca="false">COUNTIF(TT!$D$66:$D$79,TALLY!A15)</f>
        <v>0</v>
      </c>
      <c r="G15" s="208" t="n">
        <f aca="false">COUNTIF(TT!$D$84:$D$93,TALLY!A15)</f>
        <v>0</v>
      </c>
      <c r="H15" s="209" t="n">
        <f aca="false">COUNTIF(TT!$D$98:$D$106,TALLY!A15)</f>
        <v>0</v>
      </c>
      <c r="I15" s="209" t="n">
        <f aca="false">COUNTIF(TT!$D$111:$D$121,TALLY!A15)</f>
        <v>1</v>
      </c>
      <c r="J15" s="209" t="n">
        <f aca="false">COUNTIF(TT!$D$126:$D$134,TALLY!A15)</f>
        <v>0</v>
      </c>
      <c r="K15" s="208" t="n">
        <f aca="false">COUNTIF(TT!$D$139:$D$151,TALLY!A15)</f>
        <v>0</v>
      </c>
      <c r="L15" s="208" t="n">
        <f aca="false">COUNTIF(TT!$D$156:$D$164,TALLY!A15)</f>
        <v>0</v>
      </c>
      <c r="M15" s="208" t="n">
        <f aca="false">COUNTIF(TT!$D$169:$D$180,TALLY!A15)</f>
        <v>0</v>
      </c>
      <c r="N15" s="209" t="n">
        <f aca="false">COUNTIF(TT!$D$185:$D$197,TALLY!A15)</f>
        <v>0</v>
      </c>
      <c r="O15" s="209" t="n">
        <f aca="false">COUNTIF(TT!$D$202:$D$208,TALLY!A15)</f>
        <v>0</v>
      </c>
      <c r="P15" s="209" t="n">
        <f aca="false">COUNTIF(TT!$D$213:$D$220,TALLY!A15)</f>
        <v>1</v>
      </c>
      <c r="Q15" s="207" t="n">
        <f aca="false">COUNTIF(TT!$D$225:$D$239,TALLY!A15)</f>
        <v>0</v>
      </c>
      <c r="R15" s="207" t="n">
        <f aca="false">COUNTIF(TT!$D$244:$D$254,TALLY!A15)</f>
        <v>0</v>
      </c>
      <c r="S15" s="207" t="n">
        <f aca="false">COUNTIF(TT!$D$259:$D$268,TALLY!A15)</f>
        <v>1</v>
      </c>
      <c r="T15" s="209" t="n">
        <f aca="false">COUNTIF(TT!$D$271:$D$282,TALLY!A15)</f>
        <v>0</v>
      </c>
      <c r="U15" s="209" t="n">
        <f aca="false">COUNTIF(TT!$D$287:$D$298,TALLY!A15)</f>
        <v>0</v>
      </c>
      <c r="V15" s="209" t="n">
        <f aca="false">COUNTIF(TT!$D$303:$D$311,TALLY!A15)</f>
        <v>0</v>
      </c>
      <c r="W15" s="208" t="n">
        <f aca="false">COUNTIF(TT!$D$316:$D$337,TALLY!A15)</f>
        <v>0</v>
      </c>
      <c r="X15" s="208" t="n">
        <f aca="false">COUNTIF(TT!$D$342:$D$350,TALLY!A15)</f>
        <v>0</v>
      </c>
      <c r="Y15" s="208" t="n">
        <f aca="false">COUNTIF(TT!$D$357:$D$365,TALLY!A15)</f>
        <v>0</v>
      </c>
      <c r="Z15" s="209" t="n">
        <f aca="false">COUNTIF(TT!$D$370:$D$377,TALLY!A15)</f>
        <v>0</v>
      </c>
      <c r="AA15" s="209" t="n">
        <f aca="false">COUNTIF(TT!$D$382:$D$393,TALLY!A15)</f>
        <v>0</v>
      </c>
      <c r="AB15" s="209" t="n">
        <f aca="false">COUNTIF(TT!$D$398:$D$408,TALLY!A15)</f>
        <v>0</v>
      </c>
      <c r="AC15" s="208" t="n">
        <f aca="false">COUNTIF(TT!$D$413:$D$425,TALLY!A15)</f>
        <v>0</v>
      </c>
      <c r="AD15" s="208" t="n">
        <f aca="false">COUNTIF(TT!$D$430:$D$433,TALLY!A15)</f>
        <v>0</v>
      </c>
      <c r="AE15" s="208" t="n">
        <f aca="false">COUNTIF(TT!$D$454:$D$466,TALLY!A15)</f>
        <v>1</v>
      </c>
      <c r="AF15" s="207" t="n">
        <f aca="false">COUNTIF(TT!$D$471:$D$480,TALLY!A15)</f>
        <v>0</v>
      </c>
      <c r="AG15" s="207" t="n">
        <f aca="false">COUNTIF(TT!$D$487:$D$496,TALLY!A15)</f>
        <v>0</v>
      </c>
      <c r="AH15" s="207" t="n">
        <f aca="false">COUNTIF(TT!$D$501:$D$517,TALLY!A15)</f>
        <v>0</v>
      </c>
      <c r="AI15" s="208" t="n">
        <f aca="false">COUNTIF(TT!$D$522:$D$533,TALLY!A15)</f>
        <v>0</v>
      </c>
      <c r="AJ15" s="208" t="n">
        <f aca="false">COUNTIF(TT!$D$538:$D$550,TALLY!A15)</f>
        <v>1</v>
      </c>
      <c r="AK15" s="208" t="n">
        <f aca="false">COUNTIF(TT!$D$555:$D$569,TALLY!A15)</f>
        <v>0</v>
      </c>
      <c r="AL15" s="209" t="n">
        <f aca="false">COUNTIF(TT!$D$574:$D$582,TALLY!A15)</f>
        <v>0</v>
      </c>
      <c r="AM15" s="209" t="n">
        <f aca="false">COUNTIF(TT!$D$587:$D$593,TALLY!A15)</f>
        <v>0</v>
      </c>
      <c r="AN15" s="209" t="n">
        <f aca="false">COUNTIF(TT!$D$598:$D$606,TALLY!A15)</f>
        <v>0</v>
      </c>
      <c r="AO15" s="208" t="n">
        <f aca="false">COUNTIF(TT!$D$611:$D$620,TALLY!A15)</f>
        <v>1</v>
      </c>
      <c r="AP15" s="208" t="n">
        <f aca="false">COUNTIF(TT!$D$627:$D$639,TALLY!A15)</f>
        <v>0</v>
      </c>
      <c r="AQ15" s="208" t="n">
        <f aca="false">COUNTIF(TT!$D$645:$D$657,TALLY!A15)</f>
        <v>0</v>
      </c>
      <c r="AR15" s="209" t="n">
        <f aca="false">COUNTIF(TT!$D$663:$D$671,TALLY!A15)</f>
        <v>0</v>
      </c>
      <c r="AS15" s="209" t="n">
        <f aca="false">COUNTIF(TT!$D$677:$D$685,TALLY!A15)</f>
        <v>1</v>
      </c>
      <c r="AT15" s="209" t="n">
        <f aca="false">COUNTIF(TT!$D$689:$D$698,TALLY!A15)</f>
        <v>0</v>
      </c>
      <c r="AU15" s="206" t="s">
        <v>161</v>
      </c>
      <c r="AV15" s="208" t="n">
        <f aca="false">SUM($B15:$D15)</f>
        <v>0</v>
      </c>
      <c r="AW15" s="208" t="n">
        <f aca="false">SUM($E15:$G15)</f>
        <v>0</v>
      </c>
      <c r="AX15" s="208" t="n">
        <f aca="false">SUM($H15:$J15)</f>
        <v>1</v>
      </c>
      <c r="AY15" s="208" t="n">
        <f aca="false">SUM($K15:$M15)</f>
        <v>0</v>
      </c>
      <c r="AZ15" s="208" t="n">
        <f aca="false">SUM($N15:$P15)</f>
        <v>1</v>
      </c>
      <c r="BA15" s="208" t="n">
        <f aca="false">SUM($Q15:$S15)</f>
        <v>1</v>
      </c>
      <c r="BB15" s="208" t="n">
        <f aca="false">SUM($T15:$V15)</f>
        <v>0</v>
      </c>
      <c r="BC15" s="208" t="n">
        <f aca="false">SUM($W15:$Y15)</f>
        <v>0</v>
      </c>
      <c r="BD15" s="208" t="n">
        <f aca="false">SUM($Z15:$AB15)</f>
        <v>0</v>
      </c>
      <c r="BE15" s="208" t="n">
        <f aca="false">SUM($AC15:$AE15)</f>
        <v>1</v>
      </c>
      <c r="BF15" s="208" t="n">
        <f aca="false">SUM($AF15:$AH15)</f>
        <v>0</v>
      </c>
      <c r="BG15" s="208" t="n">
        <f aca="false">SUM($AI15:$AK15)</f>
        <v>1</v>
      </c>
      <c r="BH15" s="208" t="n">
        <f aca="false">SUM($AL15:$AN15)</f>
        <v>0</v>
      </c>
      <c r="BI15" s="208" t="n">
        <f aca="false">SUM($AO15:$AQ15)</f>
        <v>1</v>
      </c>
      <c r="BJ15" s="208" t="n">
        <f aca="false">SUM($AR15:$AT15)</f>
        <v>1</v>
      </c>
      <c r="BK15" s="196" t="n">
        <f aca="false">SUM(AV15:BJ15)</f>
        <v>7</v>
      </c>
    </row>
    <row r="16" customFormat="false" ht="16.4" hidden="false" customHeight="false" outlineLevel="0" collapsed="false">
      <c r="A16" s="206" t="s">
        <v>114</v>
      </c>
      <c r="B16" s="207" t="n">
        <f aca="false">COUNTIF(TT!$D$4:$D$9,TALLY!A16)</f>
        <v>0</v>
      </c>
      <c r="C16" s="207" t="n">
        <f aca="false">COUNTIF(TT!$D$15:$D$28,TALLY!A16)</f>
        <v>0</v>
      </c>
      <c r="D16" s="207" t="n">
        <f aca="false">COUNTIF(TT!$D$34:$D$41,TALLY!A16)</f>
        <v>0</v>
      </c>
      <c r="E16" s="208" t="n">
        <f aca="false">COUNTIF(TT!$D$47:$D$60,TALLY!A16)</f>
        <v>0</v>
      </c>
      <c r="F16" s="208" t="n">
        <f aca="false">COUNTIF(TT!$D$66:$D$79,TALLY!A16)</f>
        <v>1</v>
      </c>
      <c r="G16" s="208" t="n">
        <f aca="false">COUNTIF(TT!$D$84:$D$93,TALLY!A16)</f>
        <v>0</v>
      </c>
      <c r="H16" s="209" t="n">
        <f aca="false">COUNTIF(TT!$D$98:$D$106,TALLY!A16)</f>
        <v>0</v>
      </c>
      <c r="I16" s="209" t="n">
        <f aca="false">COUNTIF(TT!$D$111:$D$121,TALLY!A16)</f>
        <v>1</v>
      </c>
      <c r="J16" s="209" t="n">
        <f aca="false">COUNTIF(TT!$D$126:$D$134,TALLY!A16)</f>
        <v>0</v>
      </c>
      <c r="K16" s="208" t="n">
        <f aca="false">COUNTIF(TT!$D$139:$D$151,TALLY!A16)</f>
        <v>0</v>
      </c>
      <c r="L16" s="208" t="n">
        <f aca="false">COUNTIF(TT!$D$156:$D$164,TALLY!A16)</f>
        <v>0</v>
      </c>
      <c r="M16" s="208" t="n">
        <f aca="false">COUNTIF(TT!$D$169:$D$180,TALLY!A16)</f>
        <v>0</v>
      </c>
      <c r="N16" s="209" t="n">
        <f aca="false">COUNTIF(TT!$D$185:$D$197,TALLY!A16)</f>
        <v>0</v>
      </c>
      <c r="O16" s="209" t="n">
        <f aca="false">COUNTIF(TT!$D$202:$D$208,TALLY!A16)</f>
        <v>0</v>
      </c>
      <c r="P16" s="209" t="n">
        <f aca="false">COUNTIF(TT!$D$213:$D$220,TALLY!A16)</f>
        <v>0</v>
      </c>
      <c r="Q16" s="207" t="n">
        <f aca="false">COUNTIF(TT!$D$225:$D$239,TALLY!A16)</f>
        <v>0</v>
      </c>
      <c r="R16" s="207" t="n">
        <f aca="false">COUNTIF(TT!$D$244:$D$254,TALLY!A16)</f>
        <v>0</v>
      </c>
      <c r="S16" s="207" t="n">
        <f aca="false">COUNTIF(TT!$D$259:$D$268,TALLY!A16)</f>
        <v>0</v>
      </c>
      <c r="T16" s="209" t="n">
        <f aca="false">COUNTIF(TT!$D$271:$D$282,TALLY!A16)</f>
        <v>0</v>
      </c>
      <c r="U16" s="209" t="n">
        <f aca="false">COUNTIF(TT!$D$287:$D$298,TALLY!A16)</f>
        <v>0</v>
      </c>
      <c r="V16" s="209" t="n">
        <f aca="false">COUNTIF(TT!$D$303:$D$311,TALLY!A16)</f>
        <v>1</v>
      </c>
      <c r="W16" s="208" t="n">
        <f aca="false">COUNTIF(TT!$D$316:$D$337,TALLY!A16)</f>
        <v>0</v>
      </c>
      <c r="X16" s="208" t="n">
        <f aca="false">COUNTIF(TT!$D$342:$D$350,TALLY!A16)</f>
        <v>0</v>
      </c>
      <c r="Y16" s="208" t="n">
        <f aca="false">COUNTIF(TT!$D$357:$D$365,TALLY!A16)</f>
        <v>0</v>
      </c>
      <c r="Z16" s="209" t="n">
        <f aca="false">COUNTIF(TT!$D$370:$D$377,TALLY!A16)</f>
        <v>0</v>
      </c>
      <c r="AA16" s="209" t="n">
        <f aca="false">COUNTIF(TT!$D$382:$D$393,TALLY!A16)</f>
        <v>1</v>
      </c>
      <c r="AB16" s="209" t="n">
        <f aca="false">COUNTIF(TT!$D$398:$D$408,TALLY!A16)</f>
        <v>0</v>
      </c>
      <c r="AC16" s="208" t="n">
        <f aca="false">COUNTIF(TT!$D$413:$D$425,TALLY!A16)</f>
        <v>0</v>
      </c>
      <c r="AD16" s="208" t="n">
        <f aca="false">COUNTIF(TT!$D$430:$D$433,TALLY!A16)</f>
        <v>0</v>
      </c>
      <c r="AE16" s="208" t="n">
        <f aca="false">COUNTIF(TT!$D$454:$D$466,TALLY!A16)</f>
        <v>1</v>
      </c>
      <c r="AF16" s="207" t="n">
        <f aca="false">COUNTIF(TT!$D$471:$D$480,TALLY!A16)</f>
        <v>0</v>
      </c>
      <c r="AG16" s="207" t="n">
        <f aca="false">COUNTIF(TT!$D$487:$D$496,TALLY!A16)</f>
        <v>0</v>
      </c>
      <c r="AH16" s="207" t="n">
        <f aca="false">COUNTIF(TT!$D$501:$D$517,TALLY!A16)</f>
        <v>0</v>
      </c>
      <c r="AI16" s="208" t="n">
        <f aca="false">COUNTIF(TT!$D$522:$D$533,TALLY!A16)</f>
        <v>0</v>
      </c>
      <c r="AJ16" s="208" t="n">
        <f aca="false">COUNTIF(TT!$D$538:$D$550,TALLY!A16)</f>
        <v>0</v>
      </c>
      <c r="AK16" s="208" t="n">
        <f aca="false">COUNTIF(TT!$D$555:$D$569,TALLY!A16)</f>
        <v>1</v>
      </c>
      <c r="AL16" s="209" t="n">
        <f aca="false">COUNTIF(TT!$D$574:$D$582,TALLY!A16)</f>
        <v>0</v>
      </c>
      <c r="AM16" s="209" t="n">
        <f aca="false">COUNTIF(TT!$D$587:$D$593,TALLY!A16)</f>
        <v>0</v>
      </c>
      <c r="AN16" s="209" t="n">
        <f aca="false">COUNTIF(TT!$D$598:$D$606,TALLY!A16)</f>
        <v>0</v>
      </c>
      <c r="AO16" s="208" t="n">
        <f aca="false">COUNTIF(TT!$D$611:$D$620,TALLY!A16)</f>
        <v>0</v>
      </c>
      <c r="AP16" s="208" t="n">
        <f aca="false">COUNTIF(TT!$D$627:$D$639,TALLY!A16)</f>
        <v>1</v>
      </c>
      <c r="AQ16" s="208" t="n">
        <f aca="false">COUNTIF(TT!$D$645:$D$657,TALLY!A16)</f>
        <v>0</v>
      </c>
      <c r="AR16" s="209" t="n">
        <f aca="false">COUNTIF(TT!$D$663:$D$671,TALLY!A16)</f>
        <v>0</v>
      </c>
      <c r="AS16" s="209" t="n">
        <f aca="false">COUNTIF(TT!$D$677:$D$685,TALLY!A16)</f>
        <v>1</v>
      </c>
      <c r="AT16" s="209" t="n">
        <f aca="false">COUNTIF(TT!$D$689:$D$698,TALLY!A16)</f>
        <v>0</v>
      </c>
      <c r="AU16" s="206" t="s">
        <v>114</v>
      </c>
      <c r="AV16" s="208" t="n">
        <f aca="false">SUM($B16:$D16)</f>
        <v>0</v>
      </c>
      <c r="AW16" s="208" t="n">
        <f aca="false">SUM($E16:$G16)</f>
        <v>1</v>
      </c>
      <c r="AX16" s="208" t="n">
        <f aca="false">SUM($H16:$J16)</f>
        <v>1</v>
      </c>
      <c r="AY16" s="208" t="n">
        <f aca="false">SUM($K16:$M16)</f>
        <v>0</v>
      </c>
      <c r="AZ16" s="208" t="n">
        <f aca="false">SUM($N16:$P16)</f>
        <v>0</v>
      </c>
      <c r="BA16" s="208" t="n">
        <f aca="false">SUM($Q16:$S16)</f>
        <v>0</v>
      </c>
      <c r="BB16" s="208" t="n">
        <f aca="false">SUM($T16:$V16)</f>
        <v>1</v>
      </c>
      <c r="BC16" s="208" t="n">
        <f aca="false">SUM($W16:$Y16)</f>
        <v>0</v>
      </c>
      <c r="BD16" s="208" t="n">
        <f aca="false">SUM($Z16:$AB16)</f>
        <v>1</v>
      </c>
      <c r="BE16" s="208" t="n">
        <f aca="false">SUM($AC16:$AE16)</f>
        <v>1</v>
      </c>
      <c r="BF16" s="208" t="n">
        <f aca="false">SUM($AF16:$AH16)</f>
        <v>0</v>
      </c>
      <c r="BG16" s="208" t="n">
        <f aca="false">SUM($AI16:$AK16)</f>
        <v>1</v>
      </c>
      <c r="BH16" s="208" t="n">
        <f aca="false">SUM($AL16:$AN16)</f>
        <v>0</v>
      </c>
      <c r="BI16" s="208" t="n">
        <f aca="false">SUM($AO16:$AQ16)</f>
        <v>1</v>
      </c>
      <c r="BJ16" s="208" t="n">
        <f aca="false">SUM($AR16:$AT16)</f>
        <v>1</v>
      </c>
      <c r="BK16" s="196" t="n">
        <f aca="false">SUM(AV16:BJ16)</f>
        <v>8</v>
      </c>
    </row>
    <row r="17" customFormat="false" ht="16.4" hidden="false" customHeight="false" outlineLevel="0" collapsed="false">
      <c r="A17" s="206" t="s">
        <v>115</v>
      </c>
      <c r="B17" s="207" t="n">
        <f aca="false">COUNTIF(TT!$D$4:$D$9,TALLY!A17)</f>
        <v>0</v>
      </c>
      <c r="C17" s="207" t="n">
        <f aca="false">COUNTIF(TT!$D$15:$D$28,TALLY!A17)</f>
        <v>0</v>
      </c>
      <c r="D17" s="207" t="n">
        <f aca="false">COUNTIF(TT!$D$34:$D$41,TALLY!A17)</f>
        <v>0</v>
      </c>
      <c r="E17" s="208" t="n">
        <f aca="false">COUNTIF(TT!$D$47:$D$60,TALLY!A17)</f>
        <v>0</v>
      </c>
      <c r="F17" s="208" t="n">
        <f aca="false">COUNTIF(TT!$D$66:$D$79,TALLY!A17)</f>
        <v>1</v>
      </c>
      <c r="G17" s="208" t="n">
        <f aca="false">COUNTIF(TT!$D$84:$D$93,TALLY!A17)</f>
        <v>0</v>
      </c>
      <c r="H17" s="209" t="n">
        <f aca="false">COUNTIF(TT!$D$98:$D$106,TALLY!A17)</f>
        <v>0</v>
      </c>
      <c r="I17" s="209" t="n">
        <f aca="false">COUNTIF(TT!$D$111:$D$121,TALLY!A17)</f>
        <v>1</v>
      </c>
      <c r="J17" s="209" t="n">
        <f aca="false">COUNTIF(TT!$D$126:$D$134,TALLY!A17)</f>
        <v>0</v>
      </c>
      <c r="K17" s="208" t="n">
        <f aca="false">COUNTIF(TT!$D$139:$D$151,TALLY!A17)</f>
        <v>0</v>
      </c>
      <c r="L17" s="208" t="n">
        <f aca="false">COUNTIF(TT!$D$156:$D$164,TALLY!A17)</f>
        <v>0</v>
      </c>
      <c r="M17" s="208" t="n">
        <f aca="false">COUNTIF(TT!$D$169:$D$180,TALLY!A17)</f>
        <v>0</v>
      </c>
      <c r="N17" s="209" t="n">
        <f aca="false">COUNTIF(TT!$D$185:$D$197,TALLY!A17)</f>
        <v>0</v>
      </c>
      <c r="O17" s="209" t="n">
        <f aca="false">COUNTIF(TT!$D$202:$D$208,TALLY!A17)</f>
        <v>0</v>
      </c>
      <c r="P17" s="209" t="n">
        <f aca="false">COUNTIF(TT!$D$213:$D$220,TALLY!A17)</f>
        <v>0</v>
      </c>
      <c r="Q17" s="207" t="n">
        <f aca="false">COUNTIF(TT!$D$225:$D$239,TALLY!A17)</f>
        <v>0</v>
      </c>
      <c r="R17" s="207" t="n">
        <f aca="false">COUNTIF(TT!$D$244:$D$254,TALLY!A17)</f>
        <v>0</v>
      </c>
      <c r="S17" s="207" t="n">
        <f aca="false">COUNTIF(TT!$D$259:$D$268,TALLY!A17)</f>
        <v>0</v>
      </c>
      <c r="T17" s="209" t="n">
        <f aca="false">COUNTIF(TT!$D$271:$D$282,TALLY!A17)</f>
        <v>0</v>
      </c>
      <c r="U17" s="209" t="n">
        <f aca="false">COUNTIF(TT!$D$287:$D$298,TALLY!A17)</f>
        <v>0</v>
      </c>
      <c r="V17" s="209" t="n">
        <f aca="false">COUNTIF(TT!$D$303:$D$311,TALLY!A17)</f>
        <v>1</v>
      </c>
      <c r="W17" s="208" t="n">
        <f aca="false">COUNTIF(TT!$D$316:$D$337,TALLY!A17)</f>
        <v>0</v>
      </c>
      <c r="X17" s="208" t="n">
        <f aca="false">COUNTIF(TT!$D$342:$D$350,TALLY!A17)</f>
        <v>0</v>
      </c>
      <c r="Y17" s="208" t="n">
        <f aca="false">COUNTIF(TT!$D$357:$D$365,TALLY!A17)</f>
        <v>0</v>
      </c>
      <c r="Z17" s="209" t="n">
        <f aca="false">COUNTIF(TT!$D$370:$D$377,TALLY!A17)</f>
        <v>0</v>
      </c>
      <c r="AA17" s="209" t="n">
        <f aca="false">COUNTIF(TT!$D$382:$D$393,TALLY!A17)</f>
        <v>0</v>
      </c>
      <c r="AB17" s="209" t="n">
        <f aca="false">COUNTIF(TT!$D$398:$D$408,TALLY!A17)</f>
        <v>0</v>
      </c>
      <c r="AC17" s="208" t="n">
        <f aca="false">COUNTIF(TT!$D$413:$D$425,TALLY!A17)</f>
        <v>0</v>
      </c>
      <c r="AD17" s="208" t="n">
        <f aca="false">COUNTIF(TT!$D$430:$D$433,TALLY!A17)</f>
        <v>0</v>
      </c>
      <c r="AE17" s="208" t="n">
        <f aca="false">COUNTIF(TT!$D$454:$D$466,TALLY!A17)</f>
        <v>0</v>
      </c>
      <c r="AF17" s="207" t="n">
        <f aca="false">COUNTIF(TT!$D$471:$D$480,TALLY!A17)</f>
        <v>0</v>
      </c>
      <c r="AG17" s="207" t="n">
        <f aca="false">COUNTIF(TT!$D$487:$D$496,TALLY!A17)</f>
        <v>1</v>
      </c>
      <c r="AH17" s="207" t="n">
        <f aca="false">COUNTIF(TT!$D$501:$D$517,TALLY!A17)</f>
        <v>0</v>
      </c>
      <c r="AI17" s="208" t="n">
        <f aca="false">COUNTIF(TT!$D$522:$D$533,TALLY!A17)</f>
        <v>0</v>
      </c>
      <c r="AJ17" s="208" t="n">
        <f aca="false">COUNTIF(TT!$D$538:$D$550,TALLY!A17)</f>
        <v>0</v>
      </c>
      <c r="AK17" s="208" t="n">
        <f aca="false">COUNTIF(TT!$D$555:$D$569,TALLY!A17)</f>
        <v>0</v>
      </c>
      <c r="AL17" s="209" t="n">
        <f aca="false">COUNTIF(TT!$D$574:$D$582,TALLY!A17)</f>
        <v>0</v>
      </c>
      <c r="AM17" s="209" t="n">
        <f aca="false">COUNTIF(TT!$D$587:$D$593,TALLY!A17)</f>
        <v>0</v>
      </c>
      <c r="AN17" s="209" t="n">
        <f aca="false">COUNTIF(TT!$D$598:$D$606,TALLY!A17)</f>
        <v>0</v>
      </c>
      <c r="AO17" s="208" t="n">
        <f aca="false">COUNTIF(TT!$D$611:$D$620,TALLY!A17)</f>
        <v>0</v>
      </c>
      <c r="AP17" s="208" t="n">
        <f aca="false">COUNTIF(TT!$D$627:$D$639,TALLY!A17)</f>
        <v>1</v>
      </c>
      <c r="AQ17" s="208" t="n">
        <f aca="false">COUNTIF(TT!$D$645:$D$657,TALLY!A17)</f>
        <v>0</v>
      </c>
      <c r="AR17" s="209" t="n">
        <f aca="false">COUNTIF(TT!$D$663:$D$671,TALLY!A17)</f>
        <v>0</v>
      </c>
      <c r="AS17" s="209" t="n">
        <f aca="false">COUNTIF(TT!$D$677:$D$685,TALLY!A17)</f>
        <v>1</v>
      </c>
      <c r="AT17" s="209" t="n">
        <f aca="false">COUNTIF(TT!$D$689:$D$698,TALLY!A17)</f>
        <v>0</v>
      </c>
      <c r="AU17" s="206" t="s">
        <v>115</v>
      </c>
      <c r="AV17" s="208" t="n">
        <f aca="false">SUM($B17:$D17)</f>
        <v>0</v>
      </c>
      <c r="AW17" s="208" t="n">
        <f aca="false">SUM($E17:$G17)</f>
        <v>1</v>
      </c>
      <c r="AX17" s="208" t="n">
        <f aca="false">SUM($H17:$J17)</f>
        <v>1</v>
      </c>
      <c r="AY17" s="208" t="n">
        <f aca="false">SUM($K17:$M17)</f>
        <v>0</v>
      </c>
      <c r="AZ17" s="208" t="n">
        <f aca="false">SUM($N17:$P17)</f>
        <v>0</v>
      </c>
      <c r="BA17" s="208" t="n">
        <f aca="false">SUM($Q17:$S17)</f>
        <v>0</v>
      </c>
      <c r="BB17" s="208" t="n">
        <f aca="false">SUM($T17:$V17)</f>
        <v>1</v>
      </c>
      <c r="BC17" s="208" t="n">
        <f aca="false">SUM($W17:$Y17)</f>
        <v>0</v>
      </c>
      <c r="BD17" s="208" t="n">
        <f aca="false">SUM($Z17:$AB17)</f>
        <v>0</v>
      </c>
      <c r="BE17" s="208" t="n">
        <f aca="false">SUM($AC17:$AE17)</f>
        <v>0</v>
      </c>
      <c r="BF17" s="208" t="n">
        <f aca="false">SUM($AF17:$AH17)</f>
        <v>1</v>
      </c>
      <c r="BG17" s="208" t="n">
        <f aca="false">SUM($AI17:$AK17)</f>
        <v>0</v>
      </c>
      <c r="BH17" s="208" t="n">
        <f aca="false">SUM($AL17:$AN17)</f>
        <v>0</v>
      </c>
      <c r="BI17" s="208" t="n">
        <f aca="false">SUM($AO17:$AQ17)</f>
        <v>1</v>
      </c>
      <c r="BJ17" s="208" t="n">
        <f aca="false">SUM($AR17:$AT17)</f>
        <v>1</v>
      </c>
      <c r="BK17" s="196" t="n">
        <f aca="false">SUM(AV17:BJ17)</f>
        <v>6</v>
      </c>
    </row>
    <row r="18" customFormat="false" ht="16.4" hidden="false" customHeight="false" outlineLevel="0" collapsed="false">
      <c r="A18" s="206" t="s">
        <v>81</v>
      </c>
      <c r="B18" s="207" t="n">
        <f aca="false">COUNTIF(TT!$D$4:$D$9,TALLY!A18)</f>
        <v>0</v>
      </c>
      <c r="C18" s="207" t="n">
        <f aca="false">COUNTIF(TT!$D$15:$D$28,TALLY!A18)</f>
        <v>0</v>
      </c>
      <c r="D18" s="207" t="n">
        <f aca="false">COUNTIF(TT!$D$34:$D$41,TALLY!A18)</f>
        <v>0</v>
      </c>
      <c r="E18" s="208" t="n">
        <f aca="false">COUNTIF(TT!$D$47:$D$60,TALLY!A18)</f>
        <v>1</v>
      </c>
      <c r="F18" s="208" t="n">
        <f aca="false">COUNTIF(TT!$D$66:$D$79,TALLY!A18)</f>
        <v>0</v>
      </c>
      <c r="G18" s="208" t="n">
        <f aca="false">COUNTIF(TT!$D$84:$D$93,TALLY!A18)</f>
        <v>0</v>
      </c>
      <c r="H18" s="209" t="n">
        <f aca="false">COUNTIF(TT!$D$98:$D$106,TALLY!A18)</f>
        <v>0</v>
      </c>
      <c r="I18" s="209" t="n">
        <f aca="false">COUNTIF(TT!$D$111:$D$121,TALLY!A18)</f>
        <v>0</v>
      </c>
      <c r="J18" s="209" t="n">
        <f aca="false">COUNTIF(TT!$D$126:$D$134,TALLY!A18)</f>
        <v>0</v>
      </c>
      <c r="K18" s="208" t="n">
        <f aca="false">COUNTIF(TT!$D$139:$D$151,TALLY!A18)</f>
        <v>1</v>
      </c>
      <c r="L18" s="208" t="n">
        <f aca="false">COUNTIF(TT!$D$156:$D$164,TALLY!A18)</f>
        <v>0</v>
      </c>
      <c r="M18" s="208" t="n">
        <f aca="false">COUNTIF(TT!$D$169:$D$180,TALLY!A18)</f>
        <v>0</v>
      </c>
      <c r="N18" s="209" t="n">
        <f aca="false">COUNTIF(TT!$D$185:$D$197,TALLY!A18)</f>
        <v>0</v>
      </c>
      <c r="O18" s="209" t="n">
        <f aca="false">COUNTIF(TT!$D$202:$D$208,TALLY!A18)</f>
        <v>0</v>
      </c>
      <c r="P18" s="209" t="n">
        <f aca="false">COUNTIF(TT!$D$213:$D$220,TALLY!A18)</f>
        <v>0</v>
      </c>
      <c r="Q18" s="207" t="n">
        <f aca="false">COUNTIF(TT!$D$225:$D$239,TALLY!A18)</f>
        <v>0</v>
      </c>
      <c r="R18" s="207" t="n">
        <f aca="false">COUNTIF(TT!$D$244:$D$254,TALLY!A18)</f>
        <v>0</v>
      </c>
      <c r="S18" s="207" t="n">
        <f aca="false">COUNTIF(TT!$D$259:$D$268,TALLY!A18)</f>
        <v>0</v>
      </c>
      <c r="T18" s="209" t="n">
        <f aca="false">COUNTIF(TT!$D$271:$D$282,TALLY!A18)</f>
        <v>0</v>
      </c>
      <c r="U18" s="209" t="n">
        <f aca="false">COUNTIF(TT!$D$287:$D$298,TALLY!A18)</f>
        <v>1</v>
      </c>
      <c r="V18" s="209" t="n">
        <f aca="false">COUNTIF(TT!$D$303:$D$311,TALLY!A18)</f>
        <v>0</v>
      </c>
      <c r="W18" s="208" t="n">
        <f aca="false">COUNTIF(TT!$D$316:$D$337,TALLY!A18)</f>
        <v>0</v>
      </c>
      <c r="X18" s="208" t="n">
        <f aca="false">COUNTIF(TT!$D$342:$D$350,TALLY!A18)</f>
        <v>0</v>
      </c>
      <c r="Y18" s="208" t="n">
        <f aca="false">COUNTIF(TT!$D$357:$D$365,TALLY!A18)</f>
        <v>0</v>
      </c>
      <c r="Z18" s="209" t="n">
        <f aca="false">COUNTIF(TT!$D$370:$D$377,TALLY!A18)</f>
        <v>0</v>
      </c>
      <c r="AA18" s="209" t="n">
        <f aca="false">COUNTIF(TT!$D$382:$D$393,TALLY!A18)</f>
        <v>0</v>
      </c>
      <c r="AB18" s="209" t="n">
        <f aca="false">COUNTIF(TT!$D$398:$D$408,TALLY!A18)</f>
        <v>0</v>
      </c>
      <c r="AC18" s="208" t="n">
        <f aca="false">COUNTIF(TT!$D$413:$D$425,TALLY!A18)</f>
        <v>0</v>
      </c>
      <c r="AD18" s="208" t="n">
        <f aca="false">COUNTIF(TT!$D$430:$D$433,TALLY!A18)</f>
        <v>1</v>
      </c>
      <c r="AE18" s="208" t="n">
        <f aca="false">COUNTIF(TT!$D$454:$D$466,TALLY!A18)</f>
        <v>0</v>
      </c>
      <c r="AF18" s="207" t="n">
        <f aca="false">COUNTIF(TT!$D$471:$D$480,TALLY!A18)</f>
        <v>0</v>
      </c>
      <c r="AG18" s="207" t="n">
        <f aca="false">COUNTIF(TT!$D$487:$D$496,TALLY!A18)</f>
        <v>0</v>
      </c>
      <c r="AH18" s="207" t="n">
        <f aca="false">COUNTIF(TT!$D$501:$D$517,TALLY!A18)</f>
        <v>0</v>
      </c>
      <c r="AI18" s="208" t="n">
        <f aca="false">COUNTIF(TT!$D$522:$D$533,TALLY!A18)</f>
        <v>0</v>
      </c>
      <c r="AJ18" s="208" t="n">
        <f aca="false">COUNTIF(TT!$D$538:$D$550,TALLY!A18)</f>
        <v>0</v>
      </c>
      <c r="AK18" s="208" t="n">
        <f aca="false">COUNTIF(TT!$D$555:$D$569,TALLY!A18)</f>
        <v>1</v>
      </c>
      <c r="AL18" s="209" t="n">
        <f aca="false">COUNTIF(TT!$D$574:$D$582,TALLY!A18)</f>
        <v>0</v>
      </c>
      <c r="AM18" s="209" t="n">
        <f aca="false">COUNTIF(TT!$D$587:$D$593,TALLY!A18)</f>
        <v>0</v>
      </c>
      <c r="AN18" s="209" t="n">
        <f aca="false">COUNTIF(TT!$D$598:$D$606,TALLY!A18)</f>
        <v>0</v>
      </c>
      <c r="AO18" s="208" t="n">
        <f aca="false">COUNTIF(TT!$D$611:$D$620,TALLY!A18)</f>
        <v>1</v>
      </c>
      <c r="AP18" s="208" t="n">
        <f aca="false">COUNTIF(TT!$D$627:$D$639,TALLY!A18)</f>
        <v>0</v>
      </c>
      <c r="AQ18" s="208" t="n">
        <f aca="false">COUNTIF(TT!$D$645:$D$657,TALLY!A18)</f>
        <v>0</v>
      </c>
      <c r="AR18" s="209" t="n">
        <f aca="false">COUNTIF(TT!$D$663:$D$671,TALLY!A18)</f>
        <v>0</v>
      </c>
      <c r="AS18" s="209" t="n">
        <f aca="false">COUNTIF(TT!$D$677:$D$685,TALLY!A18)</f>
        <v>1</v>
      </c>
      <c r="AT18" s="209" t="n">
        <f aca="false">COUNTIF(TT!$D$689:$D$698,TALLY!A18)</f>
        <v>0</v>
      </c>
      <c r="AU18" s="206" t="s">
        <v>81</v>
      </c>
      <c r="AV18" s="208" t="n">
        <f aca="false">SUM($B18:$D18)</f>
        <v>0</v>
      </c>
      <c r="AW18" s="208" t="n">
        <f aca="false">SUM($E18:$G18)</f>
        <v>1</v>
      </c>
      <c r="AX18" s="208" t="n">
        <f aca="false">SUM($H18:$J18)</f>
        <v>0</v>
      </c>
      <c r="AY18" s="208" t="n">
        <f aca="false">SUM($K18:$M18)</f>
        <v>1</v>
      </c>
      <c r="AZ18" s="208" t="n">
        <f aca="false">SUM($N18:$P18)</f>
        <v>0</v>
      </c>
      <c r="BA18" s="208" t="n">
        <f aca="false">SUM($Q18:$S18)</f>
        <v>0</v>
      </c>
      <c r="BB18" s="208" t="n">
        <f aca="false">SUM($T18:$V18)</f>
        <v>1</v>
      </c>
      <c r="BC18" s="208" t="n">
        <f aca="false">SUM($W18:$Y18)</f>
        <v>0</v>
      </c>
      <c r="BD18" s="208" t="n">
        <f aca="false">SUM($Z18:$AB18)</f>
        <v>0</v>
      </c>
      <c r="BE18" s="208" t="n">
        <f aca="false">SUM($AC18:$AE18)</f>
        <v>1</v>
      </c>
      <c r="BF18" s="208" t="n">
        <f aca="false">SUM($AF18:$AH18)</f>
        <v>0</v>
      </c>
      <c r="BG18" s="208" t="n">
        <f aca="false">SUM($AI18:$AK18)</f>
        <v>1</v>
      </c>
      <c r="BH18" s="208" t="n">
        <f aca="false">SUM($AL18:$AN18)</f>
        <v>0</v>
      </c>
      <c r="BI18" s="208" t="n">
        <f aca="false">SUM($AO18:$AQ18)</f>
        <v>1</v>
      </c>
      <c r="BJ18" s="208" t="n">
        <f aca="false">SUM($AR18:$AT18)</f>
        <v>1</v>
      </c>
      <c r="BK18" s="196" t="n">
        <f aca="false">SUM(AV18:BJ18)</f>
        <v>7</v>
      </c>
    </row>
    <row r="19" customFormat="false" ht="16.4" hidden="false" customHeight="false" outlineLevel="0" collapsed="false">
      <c r="A19" s="206" t="s">
        <v>82</v>
      </c>
      <c r="B19" s="207" t="n">
        <f aca="false">COUNTIF(TT!$D$4:$D$9,TALLY!A19)</f>
        <v>0</v>
      </c>
      <c r="C19" s="207" t="n">
        <f aca="false">COUNTIF(TT!$D$15:$D$28,TALLY!A19)</f>
        <v>0</v>
      </c>
      <c r="D19" s="207" t="n">
        <f aca="false">COUNTIF(TT!$D$34:$D$41,TALLY!A19)</f>
        <v>0</v>
      </c>
      <c r="E19" s="208" t="n">
        <f aca="false">COUNTIF(TT!$D$47:$D$60,TALLY!A19)</f>
        <v>1</v>
      </c>
      <c r="F19" s="208" t="n">
        <f aca="false">COUNTIF(TT!$D$66:$D$79,TALLY!A19)</f>
        <v>0</v>
      </c>
      <c r="G19" s="208" t="n">
        <f aca="false">COUNTIF(TT!$D$84:$D$93,TALLY!A19)</f>
        <v>0</v>
      </c>
      <c r="H19" s="209" t="n">
        <f aca="false">COUNTIF(TT!$D$98:$D$106,TALLY!A19)</f>
        <v>0</v>
      </c>
      <c r="I19" s="209" t="n">
        <f aca="false">COUNTIF(TT!$D$111:$D$121,TALLY!A19)</f>
        <v>0</v>
      </c>
      <c r="J19" s="209" t="n">
        <f aca="false">COUNTIF(TT!$D$126:$D$134,TALLY!A19)</f>
        <v>0</v>
      </c>
      <c r="K19" s="208" t="n">
        <f aca="false">COUNTIF(TT!$D$139:$D$151,TALLY!A19)</f>
        <v>1</v>
      </c>
      <c r="L19" s="208" t="n">
        <f aca="false">COUNTIF(TT!$D$156:$D$164,TALLY!A19)</f>
        <v>0</v>
      </c>
      <c r="M19" s="208" t="n">
        <f aca="false">COUNTIF(TT!$D$169:$D$180,TALLY!A19)</f>
        <v>0</v>
      </c>
      <c r="N19" s="209" t="n">
        <f aca="false">COUNTIF(TT!$D$185:$D$197,TALLY!A19)</f>
        <v>0</v>
      </c>
      <c r="O19" s="209" t="n">
        <f aca="false">COUNTIF(TT!$D$202:$D$208,TALLY!A19)</f>
        <v>0</v>
      </c>
      <c r="P19" s="209" t="n">
        <f aca="false">COUNTIF(TT!$D$213:$D$220,TALLY!A19)</f>
        <v>0</v>
      </c>
      <c r="Q19" s="207" t="n">
        <f aca="false">COUNTIF(TT!$D$225:$D$239,TALLY!A19)</f>
        <v>0</v>
      </c>
      <c r="R19" s="207" t="n">
        <f aca="false">COUNTIF(TT!$D$244:$D$254,TALLY!A19)</f>
        <v>0</v>
      </c>
      <c r="S19" s="207" t="n">
        <f aca="false">COUNTIF(TT!$D$259:$D$268,TALLY!A19)</f>
        <v>0</v>
      </c>
      <c r="T19" s="209" t="n">
        <f aca="false">COUNTIF(TT!$D$271:$D$282,TALLY!A19)</f>
        <v>0</v>
      </c>
      <c r="U19" s="209" t="n">
        <f aca="false">COUNTIF(TT!$D$287:$D$298,TALLY!A19)</f>
        <v>1</v>
      </c>
      <c r="V19" s="209" t="n">
        <f aca="false">COUNTIF(TT!$D$303:$D$311,TALLY!A19)</f>
        <v>0</v>
      </c>
      <c r="W19" s="208" t="n">
        <f aca="false">COUNTIF(TT!$D$316:$D$337,TALLY!A19)</f>
        <v>0</v>
      </c>
      <c r="X19" s="208" t="n">
        <f aca="false">COUNTIF(TT!$D$342:$D$350,TALLY!A19)</f>
        <v>0</v>
      </c>
      <c r="Y19" s="208" t="n">
        <f aca="false">COUNTIF(TT!$D$357:$D$365,TALLY!A19)</f>
        <v>0</v>
      </c>
      <c r="Z19" s="209" t="n">
        <f aca="false">COUNTIF(TT!$D$370:$D$377,TALLY!A19)</f>
        <v>0</v>
      </c>
      <c r="AA19" s="209" t="n">
        <f aca="false">COUNTIF(TT!$D$382:$D$393,TALLY!A19)</f>
        <v>0</v>
      </c>
      <c r="AB19" s="209" t="n">
        <f aca="false">COUNTIF(TT!$D$398:$D$408,TALLY!A19)</f>
        <v>0</v>
      </c>
      <c r="AC19" s="208" t="n">
        <f aca="false">COUNTIF(TT!$D$413:$D$425,TALLY!A19)</f>
        <v>0</v>
      </c>
      <c r="AD19" s="208" t="n">
        <f aca="false">COUNTIF(TT!$D$430:$D$433,TALLY!A19)</f>
        <v>0</v>
      </c>
      <c r="AE19" s="208" t="n">
        <f aca="false">COUNTIF(TT!$D$454:$D$466,TALLY!A19)</f>
        <v>1</v>
      </c>
      <c r="AF19" s="207" t="n">
        <f aca="false">COUNTIF(TT!$D$471:$D$480,TALLY!A19)</f>
        <v>0</v>
      </c>
      <c r="AG19" s="207" t="n">
        <f aca="false">COUNTIF(TT!$D$487:$D$496,TALLY!A19)</f>
        <v>1</v>
      </c>
      <c r="AH19" s="207" t="n">
        <f aca="false">COUNTIF(TT!$D$501:$D$517,TALLY!A19)</f>
        <v>0</v>
      </c>
      <c r="AI19" s="208" t="n">
        <f aca="false">COUNTIF(TT!$D$522:$D$533,TALLY!A19)</f>
        <v>0</v>
      </c>
      <c r="AJ19" s="208" t="n">
        <f aca="false">COUNTIF(TT!$D$538:$D$550,TALLY!A19)</f>
        <v>0</v>
      </c>
      <c r="AK19" s="208" t="n">
        <f aca="false">COUNTIF(TT!$D$555:$D$569,TALLY!A19)</f>
        <v>0</v>
      </c>
      <c r="AL19" s="209" t="n">
        <f aca="false">COUNTIF(TT!$D$574:$D$582,TALLY!A19)</f>
        <v>0</v>
      </c>
      <c r="AM19" s="209" t="n">
        <f aca="false">COUNTIF(TT!$D$587:$D$593,TALLY!A19)</f>
        <v>0</v>
      </c>
      <c r="AN19" s="209" t="n">
        <f aca="false">COUNTIF(TT!$D$598:$D$606,TALLY!A19)</f>
        <v>0</v>
      </c>
      <c r="AO19" s="208" t="n">
        <f aca="false">COUNTIF(TT!$D$611:$D$620,TALLY!A19)</f>
        <v>1</v>
      </c>
      <c r="AP19" s="208" t="n">
        <f aca="false">COUNTIF(TT!$D$627:$D$639,TALLY!A19)</f>
        <v>0</v>
      </c>
      <c r="AQ19" s="208" t="n">
        <f aca="false">COUNTIF(TT!$D$645:$D$657,TALLY!A19)</f>
        <v>0</v>
      </c>
      <c r="AR19" s="209" t="n">
        <f aca="false">COUNTIF(TT!$D$663:$D$671,TALLY!A19)</f>
        <v>1</v>
      </c>
      <c r="AS19" s="209" t="n">
        <f aca="false">COUNTIF(TT!$D$677:$D$685,TALLY!A19)</f>
        <v>0</v>
      </c>
      <c r="AT19" s="209" t="n">
        <f aca="false">COUNTIF(TT!$D$689:$D$698,TALLY!A19)</f>
        <v>0</v>
      </c>
      <c r="AU19" s="206" t="s">
        <v>82</v>
      </c>
      <c r="AV19" s="208" t="n">
        <f aca="false">SUM($B19:$D19)</f>
        <v>0</v>
      </c>
      <c r="AW19" s="208" t="n">
        <f aca="false">SUM($E19:$G19)</f>
        <v>1</v>
      </c>
      <c r="AX19" s="208" t="n">
        <f aca="false">SUM($H19:$J19)</f>
        <v>0</v>
      </c>
      <c r="AY19" s="208" t="n">
        <f aca="false">SUM($K19:$M19)</f>
        <v>1</v>
      </c>
      <c r="AZ19" s="208" t="n">
        <f aca="false">SUM($N19:$P19)</f>
        <v>0</v>
      </c>
      <c r="BA19" s="208" t="n">
        <f aca="false">SUM($Q19:$S19)</f>
        <v>0</v>
      </c>
      <c r="BB19" s="208" t="n">
        <f aca="false">SUM($T19:$V19)</f>
        <v>1</v>
      </c>
      <c r="BC19" s="208" t="n">
        <f aca="false">SUM($W19:$Y19)</f>
        <v>0</v>
      </c>
      <c r="BD19" s="208" t="n">
        <f aca="false">SUM($Z19:$AB19)</f>
        <v>0</v>
      </c>
      <c r="BE19" s="208" t="n">
        <f aca="false">SUM($AC19:$AE19)</f>
        <v>1</v>
      </c>
      <c r="BF19" s="208" t="n">
        <f aca="false">SUM($AF19:$AH19)</f>
        <v>1</v>
      </c>
      <c r="BG19" s="208" t="n">
        <f aca="false">SUM($AI19:$AK19)</f>
        <v>0</v>
      </c>
      <c r="BH19" s="208" t="n">
        <f aca="false">SUM($AL19:$AN19)</f>
        <v>0</v>
      </c>
      <c r="BI19" s="208" t="n">
        <f aca="false">SUM($AO19:$AQ19)</f>
        <v>1</v>
      </c>
      <c r="BJ19" s="208" t="n">
        <f aca="false">SUM($AR19:$AT19)</f>
        <v>1</v>
      </c>
      <c r="BK19" s="196" t="n">
        <f aca="false">SUM(AV19:BJ19)</f>
        <v>7</v>
      </c>
    </row>
    <row r="20" customFormat="false" ht="16.4" hidden="false" customHeight="false" outlineLevel="0" collapsed="false">
      <c r="A20" s="206" t="s">
        <v>91</v>
      </c>
      <c r="B20" s="207" t="n">
        <f aca="false">COUNTIF(TT!$D$4:$D$9,TALLY!A20)</f>
        <v>0</v>
      </c>
      <c r="C20" s="207" t="n">
        <f aca="false">COUNTIF(TT!$D$15:$D$28,TALLY!A20)</f>
        <v>0</v>
      </c>
      <c r="D20" s="207" t="n">
        <f aca="false">COUNTIF(TT!$D$34:$D$41,TALLY!A20)</f>
        <v>0</v>
      </c>
      <c r="E20" s="208" t="n">
        <f aca="false">COUNTIF(TT!$D$47:$D$60,TALLY!A20)</f>
        <v>1</v>
      </c>
      <c r="F20" s="208" t="n">
        <f aca="false">COUNTIF(TT!$D$66:$D$79,TALLY!A20)</f>
        <v>0</v>
      </c>
      <c r="G20" s="208" t="n">
        <f aca="false">COUNTIF(TT!$D$84:$D$93,TALLY!A20)</f>
        <v>0</v>
      </c>
      <c r="H20" s="209" t="n">
        <f aca="false">COUNTIF(TT!$D$98:$D$106,TALLY!A20)</f>
        <v>0</v>
      </c>
      <c r="I20" s="209" t="n">
        <f aca="false">COUNTIF(TT!$D$111:$D$121,TALLY!A20)</f>
        <v>0</v>
      </c>
      <c r="J20" s="209" t="n">
        <f aca="false">COUNTIF(TT!$D$126:$D$134,TALLY!A20)</f>
        <v>0</v>
      </c>
      <c r="K20" s="208" t="n">
        <f aca="false">COUNTIF(TT!$D$139:$D$151,TALLY!A20)</f>
        <v>0</v>
      </c>
      <c r="L20" s="208" t="n">
        <f aca="false">COUNTIF(TT!$D$156:$D$164,TALLY!A20)</f>
        <v>1</v>
      </c>
      <c r="M20" s="208" t="n">
        <f aca="false">COUNTIF(TT!$D$169:$D$180,TALLY!A20)</f>
        <v>0</v>
      </c>
      <c r="N20" s="209" t="n">
        <f aca="false">COUNTIF(TT!$D$185:$D$197,TALLY!A20)</f>
        <v>0</v>
      </c>
      <c r="O20" s="209" t="n">
        <f aca="false">COUNTIF(TT!$D$202:$D$208,TALLY!A20)</f>
        <v>0</v>
      </c>
      <c r="P20" s="209" t="n">
        <f aca="false">COUNTIF(TT!$D$213:$D$220,TALLY!A20)</f>
        <v>0</v>
      </c>
      <c r="Q20" s="207" t="n">
        <f aca="false">COUNTIF(TT!$D$225:$D$239,TALLY!A20)</f>
        <v>0</v>
      </c>
      <c r="R20" s="207" t="n">
        <f aca="false">COUNTIF(TT!$D$244:$D$254,TALLY!A20)</f>
        <v>0</v>
      </c>
      <c r="S20" s="207" t="n">
        <f aca="false">COUNTIF(TT!$D$259:$D$268,TALLY!A20)</f>
        <v>0</v>
      </c>
      <c r="T20" s="209" t="n">
        <f aca="false">COUNTIF(TT!$D$271:$D$282,TALLY!A20)</f>
        <v>0</v>
      </c>
      <c r="U20" s="209" t="n">
        <f aca="false">COUNTIF(TT!$D$287:$D$298,TALLY!A20)</f>
        <v>1</v>
      </c>
      <c r="V20" s="209" t="n">
        <f aca="false">COUNTIF(TT!$D$303:$D$311,TALLY!A20)</f>
        <v>0</v>
      </c>
      <c r="W20" s="208" t="n">
        <f aca="false">COUNTIF(TT!$D$316:$D$337,TALLY!A20)</f>
        <v>0</v>
      </c>
      <c r="X20" s="208" t="n">
        <f aca="false">COUNTIF(TT!$D$342:$D$350,TALLY!A20)</f>
        <v>0</v>
      </c>
      <c r="Y20" s="208" t="n">
        <f aca="false">COUNTIF(TT!$D$357:$D$365,TALLY!A20)</f>
        <v>0</v>
      </c>
      <c r="Z20" s="209" t="n">
        <f aca="false">COUNTIF(TT!$D$370:$D$377,TALLY!A20)</f>
        <v>0</v>
      </c>
      <c r="AA20" s="209" t="n">
        <f aca="false">COUNTIF(TT!$D$382:$D$393,TALLY!A20)</f>
        <v>1</v>
      </c>
      <c r="AB20" s="209" t="n">
        <f aca="false">COUNTIF(TT!$D$398:$D$408,TALLY!A20)</f>
        <v>0</v>
      </c>
      <c r="AC20" s="208" t="n">
        <f aca="false">COUNTIF(TT!$D$413:$D$425,TALLY!A20)</f>
        <v>0</v>
      </c>
      <c r="AD20" s="208" t="n">
        <f aca="false">COUNTIF(TT!$D$430:$D$433,TALLY!A20)</f>
        <v>0</v>
      </c>
      <c r="AE20" s="208" t="n">
        <f aca="false">COUNTIF(TT!$D$454:$D$466,TALLY!A20)</f>
        <v>1</v>
      </c>
      <c r="AF20" s="207" t="n">
        <f aca="false">COUNTIF(TT!$D$471:$D$480,TALLY!A20)</f>
        <v>0</v>
      </c>
      <c r="AG20" s="207" t="n">
        <f aca="false">COUNTIF(TT!$D$487:$D$496,TALLY!A20)</f>
        <v>0</v>
      </c>
      <c r="AH20" s="207" t="n">
        <f aca="false">COUNTIF(TT!$D$501:$D$517,TALLY!A20)</f>
        <v>0</v>
      </c>
      <c r="AI20" s="208" t="n">
        <f aca="false">COUNTIF(TT!$D$522:$D$533,TALLY!A20)</f>
        <v>1</v>
      </c>
      <c r="AJ20" s="208" t="n">
        <f aca="false">COUNTIF(TT!$D$538:$D$550,TALLY!A20)</f>
        <v>0</v>
      </c>
      <c r="AK20" s="208" t="n">
        <f aca="false">COUNTIF(TT!$D$555:$D$569,TALLY!A20)</f>
        <v>0</v>
      </c>
      <c r="AL20" s="209" t="n">
        <f aca="false">COUNTIF(TT!$D$574:$D$582,TALLY!A20)</f>
        <v>0</v>
      </c>
      <c r="AM20" s="209" t="n">
        <f aca="false">COUNTIF(TT!$D$587:$D$593,TALLY!A20)</f>
        <v>0</v>
      </c>
      <c r="AN20" s="209" t="n">
        <f aca="false">COUNTIF(TT!$D$598:$D$606,TALLY!A20)</f>
        <v>0</v>
      </c>
      <c r="AO20" s="208" t="n">
        <f aca="false">COUNTIF(TT!$D$611:$D$620,TALLY!A20)</f>
        <v>0</v>
      </c>
      <c r="AP20" s="208" t="n">
        <f aca="false">COUNTIF(TT!$D$627:$D$639,TALLY!A20)</f>
        <v>1</v>
      </c>
      <c r="AQ20" s="208" t="n">
        <f aca="false">COUNTIF(TT!$D$645:$D$657,TALLY!A20)</f>
        <v>0</v>
      </c>
      <c r="AR20" s="209" t="n">
        <f aca="false">COUNTIF(TT!$D$663:$D$671,TALLY!A20)</f>
        <v>0</v>
      </c>
      <c r="AS20" s="209" t="n">
        <f aca="false">COUNTIF(TT!$D$677:$D$685,TALLY!A20)</f>
        <v>1</v>
      </c>
      <c r="AT20" s="209" t="n">
        <f aca="false">COUNTIF(TT!$D$689:$D$698,TALLY!A20)</f>
        <v>0</v>
      </c>
      <c r="AU20" s="206" t="s">
        <v>91</v>
      </c>
      <c r="AV20" s="208" t="n">
        <f aca="false">SUM($B20:$D20)</f>
        <v>0</v>
      </c>
      <c r="AW20" s="208" t="n">
        <f aca="false">SUM($E20:$G20)</f>
        <v>1</v>
      </c>
      <c r="AX20" s="208" t="n">
        <f aca="false">SUM($H20:$J20)</f>
        <v>0</v>
      </c>
      <c r="AY20" s="208" t="n">
        <f aca="false">SUM($K20:$M20)</f>
        <v>1</v>
      </c>
      <c r="AZ20" s="208" t="n">
        <f aca="false">SUM($N20:$P20)</f>
        <v>0</v>
      </c>
      <c r="BA20" s="208" t="n">
        <f aca="false">SUM($Q20:$S20)</f>
        <v>0</v>
      </c>
      <c r="BB20" s="208" t="n">
        <f aca="false">SUM($T20:$V20)</f>
        <v>1</v>
      </c>
      <c r="BC20" s="208" t="n">
        <f aca="false">SUM($W20:$Y20)</f>
        <v>0</v>
      </c>
      <c r="BD20" s="208" t="n">
        <f aca="false">SUM($Z20:$AB20)</f>
        <v>1</v>
      </c>
      <c r="BE20" s="208" t="n">
        <f aca="false">SUM($AC20:$AE20)</f>
        <v>1</v>
      </c>
      <c r="BF20" s="208" t="n">
        <f aca="false">SUM($AF20:$AH20)</f>
        <v>0</v>
      </c>
      <c r="BG20" s="208" t="n">
        <f aca="false">SUM($AI20:$AK20)</f>
        <v>1</v>
      </c>
      <c r="BH20" s="208" t="n">
        <f aca="false">SUM($AL20:$AN20)</f>
        <v>0</v>
      </c>
      <c r="BI20" s="208" t="n">
        <f aca="false">SUM($AO20:$AQ20)</f>
        <v>1</v>
      </c>
      <c r="BJ20" s="208" t="n">
        <f aca="false">SUM($AR20:$AT20)</f>
        <v>1</v>
      </c>
      <c r="BK20" s="196" t="n">
        <f aca="false">SUM(AV20:BJ20)</f>
        <v>8</v>
      </c>
    </row>
    <row r="21" customFormat="false" ht="16.4" hidden="false" customHeight="false" outlineLevel="0" collapsed="false">
      <c r="A21" s="211" t="s">
        <v>53</v>
      </c>
      <c r="B21" s="207" t="n">
        <f aca="false">COUNTIF(TT!$D$4:$D$9,TALLY!A21)</f>
        <v>0</v>
      </c>
      <c r="C21" s="207" t="n">
        <f aca="false">COUNTIF(TT!$D$15:$D$28,TALLY!A21)</f>
        <v>1</v>
      </c>
      <c r="D21" s="207" t="n">
        <f aca="false">COUNTIF(TT!$D$34:$D$41,TALLY!A21)</f>
        <v>0</v>
      </c>
      <c r="E21" s="208" t="n">
        <f aca="false">COUNTIF(TT!$D$47:$D$60,TALLY!A21)</f>
        <v>0</v>
      </c>
      <c r="F21" s="208" t="n">
        <f aca="false">COUNTIF(TT!$D$66:$D$79,TALLY!A21)</f>
        <v>0</v>
      </c>
      <c r="G21" s="208" t="n">
        <f aca="false">COUNTIF(TT!$D$84:$D$93,TALLY!A21)</f>
        <v>1</v>
      </c>
      <c r="H21" s="209" t="n">
        <f aca="false">COUNTIF(TT!$D$98:$D$106,TALLY!A21)</f>
        <v>0</v>
      </c>
      <c r="I21" s="209" t="n">
        <f aca="false">COUNTIF(TT!$D$111:$D$121,TALLY!A21)</f>
        <v>0</v>
      </c>
      <c r="J21" s="209" t="n">
        <f aca="false">COUNTIF(TT!$D$126:$D$134,TALLY!A21)</f>
        <v>0</v>
      </c>
      <c r="K21" s="208" t="n">
        <f aca="false">COUNTIF(TT!$D$139:$D$151,TALLY!A21)</f>
        <v>0</v>
      </c>
      <c r="L21" s="208" t="n">
        <f aca="false">COUNTIF(TT!$D$156:$D$164,TALLY!A21)</f>
        <v>0</v>
      </c>
      <c r="M21" s="208" t="n">
        <f aca="false">COUNTIF(TT!$D$169:$D$180,TALLY!A21)</f>
        <v>0</v>
      </c>
      <c r="N21" s="209" t="n">
        <f aca="false">COUNTIF(TT!$D$185:$D$197,TALLY!A21)</f>
        <v>0</v>
      </c>
      <c r="O21" s="209" t="n">
        <f aca="false">COUNTIF(TT!$D$202:$D$208,TALLY!A21)</f>
        <v>1</v>
      </c>
      <c r="P21" s="209" t="n">
        <f aca="false">COUNTIF(TT!$D$213:$D$220,TALLY!A21)</f>
        <v>0</v>
      </c>
      <c r="Q21" s="207" t="n">
        <f aca="false">COUNTIF(TT!$D$225:$D$239,TALLY!A21)</f>
        <v>0</v>
      </c>
      <c r="R21" s="207" t="n">
        <f aca="false">COUNTIF(TT!$D$244:$D$254,TALLY!A21)</f>
        <v>0</v>
      </c>
      <c r="S21" s="207" t="n">
        <f aca="false">COUNTIF(TT!$D$259:$D$268,TALLY!A21)</f>
        <v>0</v>
      </c>
      <c r="T21" s="209" t="n">
        <f aca="false">COUNTIF(TT!$D$271:$D$282,TALLY!A21)</f>
        <v>1</v>
      </c>
      <c r="U21" s="209" t="n">
        <f aca="false">COUNTIF(TT!$D$287:$D$298,TALLY!A21)</f>
        <v>0</v>
      </c>
      <c r="V21" s="209" t="n">
        <f aca="false">COUNTIF(TT!$D$303:$D$311,TALLY!A21)</f>
        <v>0</v>
      </c>
      <c r="W21" s="208" t="n">
        <f aca="false">COUNTIF(TT!$D$316:$D$337,TALLY!A21)</f>
        <v>1</v>
      </c>
      <c r="X21" s="208" t="n">
        <f aca="false">COUNTIF(TT!$D$342:$D$350,TALLY!A21)</f>
        <v>0</v>
      </c>
      <c r="Y21" s="208" t="n">
        <f aca="false">COUNTIF(TT!$D$357:$D$365,TALLY!A21)</f>
        <v>0</v>
      </c>
      <c r="Z21" s="209" t="n">
        <f aca="false">COUNTIF(TT!$D$370:$D$377,TALLY!A21)</f>
        <v>0</v>
      </c>
      <c r="AA21" s="209" t="n">
        <f aca="false">COUNTIF(TT!$D$382:$D$393,TALLY!A21)</f>
        <v>0</v>
      </c>
      <c r="AB21" s="209" t="n">
        <f aca="false">COUNTIF(TT!$D$398:$D$408,TALLY!A21)</f>
        <v>0</v>
      </c>
      <c r="AC21" s="208" t="n">
        <f aca="false">COUNTIF(TT!$D$413:$D$425,TALLY!A21)</f>
        <v>1</v>
      </c>
      <c r="AD21" s="208" t="n">
        <f aca="false">COUNTIF(TT!$D$430:$D$433,TALLY!A21)</f>
        <v>0</v>
      </c>
      <c r="AE21" s="208" t="n">
        <f aca="false">COUNTIF(TT!$D$454:$D$466,TALLY!A21)</f>
        <v>0</v>
      </c>
      <c r="AF21" s="207" t="n">
        <f aca="false">COUNTIF(TT!$D$471:$D$480,TALLY!A21)</f>
        <v>0</v>
      </c>
      <c r="AG21" s="207" t="n">
        <f aca="false">COUNTIF(TT!$D$487:$D$496,TALLY!A21)</f>
        <v>0</v>
      </c>
      <c r="AH21" s="207" t="n">
        <f aca="false">COUNTIF(TT!$D$501:$D$517,TALLY!A21)</f>
        <v>0</v>
      </c>
      <c r="AI21" s="208" t="n">
        <f aca="false">COUNTIF(TT!$D$522:$D$533,TALLY!A21)</f>
        <v>0</v>
      </c>
      <c r="AJ21" s="208" t="n">
        <f aca="false">COUNTIF(TT!$D$538:$D$550,TALLY!A21)</f>
        <v>0</v>
      </c>
      <c r="AK21" s="208" t="n">
        <f aca="false">COUNTIF(TT!$D$555:$D$569,TALLY!A21)</f>
        <v>0</v>
      </c>
      <c r="AL21" s="209" t="n">
        <f aca="false">COUNTIF(TT!$D$574:$D$582,TALLY!A21)</f>
        <v>0</v>
      </c>
      <c r="AM21" s="209" t="n">
        <f aca="false">COUNTIF(TT!$D$587:$D$593,TALLY!A21)</f>
        <v>0</v>
      </c>
      <c r="AN21" s="209" t="n">
        <f aca="false">COUNTIF(TT!$D$598:$D$606,TALLY!A21)</f>
        <v>1</v>
      </c>
      <c r="AO21" s="208" t="n">
        <f aca="false">COUNTIF(TT!$D$611:$D$620,TALLY!A21)</f>
        <v>0</v>
      </c>
      <c r="AP21" s="208" t="n">
        <f aca="false">COUNTIF(TT!$D$627:$D$639,TALLY!A21)</f>
        <v>0</v>
      </c>
      <c r="AQ21" s="208" t="n">
        <f aca="false">COUNTIF(TT!$D$645:$D$657,TALLY!A21)</f>
        <v>0</v>
      </c>
      <c r="AR21" s="209" t="n">
        <f aca="false">COUNTIF(TT!$D$663:$D$671,TALLY!A21)</f>
        <v>0</v>
      </c>
      <c r="AS21" s="209" t="n">
        <f aca="false">COUNTIF(TT!$D$677:$D$685,TALLY!A21)</f>
        <v>0</v>
      </c>
      <c r="AT21" s="209" t="n">
        <f aca="false">COUNTIF(TT!$D$689:$D$698,TALLY!A21)</f>
        <v>0</v>
      </c>
      <c r="AU21" s="211" t="s">
        <v>53</v>
      </c>
      <c r="AV21" s="208" t="n">
        <f aca="false">SUM($B21:$D21)</f>
        <v>1</v>
      </c>
      <c r="AW21" s="208" t="n">
        <f aca="false">SUM($E21:$G21)</f>
        <v>1</v>
      </c>
      <c r="AX21" s="208" t="n">
        <f aca="false">SUM($H21:$J21)</f>
        <v>0</v>
      </c>
      <c r="AY21" s="208" t="n">
        <f aca="false">SUM($K21:$M21)</f>
        <v>0</v>
      </c>
      <c r="AZ21" s="208" t="n">
        <f aca="false">SUM($N21:$P21)</f>
        <v>1</v>
      </c>
      <c r="BA21" s="208" t="n">
        <f aca="false">SUM($Q21:$S21)</f>
        <v>0</v>
      </c>
      <c r="BB21" s="208" t="n">
        <f aca="false">SUM($T21:$V21)</f>
        <v>1</v>
      </c>
      <c r="BC21" s="208" t="n">
        <f aca="false">SUM($W21:$Y21)</f>
        <v>1</v>
      </c>
      <c r="BD21" s="208" t="n">
        <f aca="false">SUM($Z21:$AB21)</f>
        <v>0</v>
      </c>
      <c r="BE21" s="208" t="n">
        <f aca="false">SUM($AC21:$AE21)</f>
        <v>1</v>
      </c>
      <c r="BF21" s="208" t="n">
        <f aca="false">SUM($AF21:$AH21)</f>
        <v>0</v>
      </c>
      <c r="BG21" s="208" t="n">
        <f aca="false">SUM($AI21:$AK21)</f>
        <v>0</v>
      </c>
      <c r="BH21" s="208" t="n">
        <f aca="false">SUM($AL21:$AN21)</f>
        <v>1</v>
      </c>
      <c r="BI21" s="208" t="n">
        <f aca="false">SUM($AO21:$AQ21)</f>
        <v>0</v>
      </c>
      <c r="BJ21" s="208" t="n">
        <f aca="false">SUM($AR21:$AT21)</f>
        <v>0</v>
      </c>
      <c r="BK21" s="196" t="n">
        <f aca="false">SUM(AV21:BJ21)</f>
        <v>7</v>
      </c>
    </row>
    <row r="22" customFormat="false" ht="16.4" hidden="false" customHeight="false" outlineLevel="0" collapsed="false">
      <c r="A22" s="211" t="s">
        <v>36</v>
      </c>
      <c r="B22" s="207" t="n">
        <f aca="false">COUNTIF(TT!$D$4:$D$9,TALLY!A22)</f>
        <v>0</v>
      </c>
      <c r="C22" s="207" t="n">
        <f aca="false">COUNTIF(TT!$D$15:$D$28,TALLY!A22)</f>
        <v>1</v>
      </c>
      <c r="D22" s="207" t="n">
        <f aca="false">COUNTIF(TT!$D$34:$D$41,TALLY!A22)</f>
        <v>0</v>
      </c>
      <c r="E22" s="208" t="n">
        <f aca="false">COUNTIF(TT!$D$47:$D$60,TALLY!A22)</f>
        <v>0</v>
      </c>
      <c r="F22" s="208" t="n">
        <f aca="false">COUNTIF(TT!$D$66:$D$79,TALLY!A22)</f>
        <v>0</v>
      </c>
      <c r="G22" s="208" t="n">
        <f aca="false">COUNTIF(TT!$D$84:$D$93,TALLY!A22)</f>
        <v>0</v>
      </c>
      <c r="H22" s="209" t="n">
        <f aca="false">COUNTIF(TT!$D$98:$D$106,TALLY!A22)</f>
        <v>1</v>
      </c>
      <c r="I22" s="209" t="n">
        <f aca="false">COUNTIF(TT!$D$111:$D$121,TALLY!A22)</f>
        <v>0</v>
      </c>
      <c r="J22" s="209" t="n">
        <f aca="false">COUNTIF(TT!$D$126:$D$134,TALLY!A22)</f>
        <v>0</v>
      </c>
      <c r="K22" s="208" t="n">
        <f aca="false">COUNTIF(TT!$D$139:$D$151,TALLY!A22)</f>
        <v>0</v>
      </c>
      <c r="L22" s="208" t="n">
        <f aca="false">COUNTIF(TT!$D$156:$D$164,TALLY!A22)</f>
        <v>0</v>
      </c>
      <c r="M22" s="208" t="n">
        <f aca="false">COUNTIF(TT!$D$169:$D$180,TALLY!A22)</f>
        <v>0</v>
      </c>
      <c r="N22" s="209" t="n">
        <f aca="false">COUNTIF(TT!$D$185:$D$197,TALLY!A22)</f>
        <v>0</v>
      </c>
      <c r="O22" s="209" t="n">
        <f aca="false">COUNTIF(TT!$D$202:$D$208,TALLY!A22)</f>
        <v>0</v>
      </c>
      <c r="P22" s="209" t="n">
        <f aca="false">COUNTIF(TT!$D$213:$D$220,TALLY!A22)</f>
        <v>0</v>
      </c>
      <c r="Q22" s="207" t="n">
        <f aca="false">COUNTIF(TT!$D$225:$D$239,TALLY!A22)</f>
        <v>0</v>
      </c>
      <c r="R22" s="207" t="n">
        <f aca="false">COUNTIF(TT!$D$244:$D$254,TALLY!A22)</f>
        <v>0</v>
      </c>
      <c r="S22" s="207" t="n">
        <f aca="false">COUNTIF(TT!$D$259:$D$268,TALLY!A22)</f>
        <v>0</v>
      </c>
      <c r="T22" s="209" t="n">
        <f aca="false">COUNTIF(TT!$D$271:$D$282,TALLY!A22)</f>
        <v>1</v>
      </c>
      <c r="U22" s="209" t="n">
        <f aca="false">COUNTIF(TT!$D$287:$D$298,TALLY!A22)</f>
        <v>0</v>
      </c>
      <c r="V22" s="209" t="n">
        <f aca="false">COUNTIF(TT!$D$303:$D$311,TALLY!A22)</f>
        <v>0</v>
      </c>
      <c r="W22" s="208" t="n">
        <f aca="false">COUNTIF(TT!$D$316:$D$337,TALLY!A22)</f>
        <v>1</v>
      </c>
      <c r="X22" s="208" t="n">
        <f aca="false">COUNTIF(TT!$D$342:$D$350,TALLY!A22)</f>
        <v>0</v>
      </c>
      <c r="Y22" s="208" t="n">
        <f aca="false">COUNTIF(TT!$D$357:$D$365,TALLY!A22)</f>
        <v>0</v>
      </c>
      <c r="Z22" s="209" t="n">
        <f aca="false">COUNTIF(TT!$D$370:$D$377,TALLY!A22)</f>
        <v>0</v>
      </c>
      <c r="AA22" s="209" t="n">
        <f aca="false">COUNTIF(TT!$D$382:$D$393,TALLY!A22)</f>
        <v>0</v>
      </c>
      <c r="AB22" s="209" t="n">
        <f aca="false">COUNTIF(TT!$D$398:$D$408,TALLY!A22)</f>
        <v>1</v>
      </c>
      <c r="AC22" s="208" t="n">
        <f aca="false">COUNTIF(TT!$D$413:$D$425,TALLY!A22)</f>
        <v>0</v>
      </c>
      <c r="AD22" s="208" t="n">
        <f aca="false">COUNTIF(TT!$D$430:$D$433,TALLY!A22)</f>
        <v>0</v>
      </c>
      <c r="AE22" s="208" t="n">
        <f aca="false">COUNTIF(TT!$D$454:$D$466,TALLY!A22)</f>
        <v>0</v>
      </c>
      <c r="AF22" s="207" t="n">
        <f aca="false">COUNTIF(TT!$D$471:$D$480,TALLY!A22)</f>
        <v>0</v>
      </c>
      <c r="AG22" s="207" t="n">
        <f aca="false">COUNTIF(TT!$D$487:$D$496,TALLY!A22)</f>
        <v>0</v>
      </c>
      <c r="AH22" s="207" t="n">
        <f aca="false">COUNTIF(TT!$D$501:$D$517,TALLY!A22)</f>
        <v>0</v>
      </c>
      <c r="AI22" s="208" t="n">
        <f aca="false">COUNTIF(TT!$D$522:$D$533,TALLY!A22)</f>
        <v>1</v>
      </c>
      <c r="AJ22" s="208" t="n">
        <f aca="false">COUNTIF(TT!$D$538:$D$550,TALLY!A22)</f>
        <v>0</v>
      </c>
      <c r="AK22" s="208" t="n">
        <f aca="false">COUNTIF(TT!$D$555:$D$569,TALLY!A22)</f>
        <v>0</v>
      </c>
      <c r="AL22" s="209" t="n">
        <f aca="false">COUNTIF(TT!$D$574:$D$582,TALLY!A22)</f>
        <v>0</v>
      </c>
      <c r="AM22" s="209" t="n">
        <f aca="false">COUNTIF(TT!$D$587:$D$593,TALLY!A22)</f>
        <v>1</v>
      </c>
      <c r="AN22" s="209" t="n">
        <f aca="false">COUNTIF(TT!$D$598:$D$606,TALLY!A22)</f>
        <v>0</v>
      </c>
      <c r="AO22" s="208" t="n">
        <f aca="false">COUNTIF(TT!$D$611:$D$620,TALLY!A22)</f>
        <v>0</v>
      </c>
      <c r="AP22" s="208" t="n">
        <f aca="false">COUNTIF(TT!$D$627:$D$639,TALLY!A22)</f>
        <v>0</v>
      </c>
      <c r="AQ22" s="208" t="n">
        <f aca="false">COUNTIF(TT!$D$645:$D$657,TALLY!A22)</f>
        <v>0</v>
      </c>
      <c r="AR22" s="209" t="n">
        <f aca="false">COUNTIF(TT!$D$663:$D$671,TALLY!A22)</f>
        <v>0</v>
      </c>
      <c r="AS22" s="209" t="n">
        <f aca="false">COUNTIF(TT!$D$677:$D$685,TALLY!A22)</f>
        <v>0</v>
      </c>
      <c r="AT22" s="209" t="n">
        <f aca="false">COUNTIF(TT!$D$689:$D$698,TALLY!A22)</f>
        <v>0</v>
      </c>
      <c r="AU22" s="211" t="s">
        <v>36</v>
      </c>
      <c r="AV22" s="208" t="n">
        <f aca="false">SUM($B22:$D22)</f>
        <v>1</v>
      </c>
      <c r="AW22" s="208" t="n">
        <f aca="false">SUM($E22:$G22)</f>
        <v>0</v>
      </c>
      <c r="AX22" s="208" t="n">
        <f aca="false">SUM($H22:$J22)</f>
        <v>1</v>
      </c>
      <c r="AY22" s="208" t="n">
        <f aca="false">SUM($K22:$M22)</f>
        <v>0</v>
      </c>
      <c r="AZ22" s="208" t="n">
        <f aca="false">SUM($N22:$P22)</f>
        <v>0</v>
      </c>
      <c r="BA22" s="208" t="n">
        <f aca="false">SUM($Q22:$S22)</f>
        <v>0</v>
      </c>
      <c r="BB22" s="208" t="n">
        <f aca="false">SUM($T22:$V22)</f>
        <v>1</v>
      </c>
      <c r="BC22" s="208" t="n">
        <f aca="false">SUM($W22:$Y22)</f>
        <v>1</v>
      </c>
      <c r="BD22" s="208" t="n">
        <f aca="false">SUM($Z22:$AB22)</f>
        <v>1</v>
      </c>
      <c r="BE22" s="208" t="n">
        <f aca="false">SUM($AC22:$AE22)</f>
        <v>0</v>
      </c>
      <c r="BF22" s="208" t="n">
        <f aca="false">SUM($AF22:$AH22)</f>
        <v>0</v>
      </c>
      <c r="BG22" s="208" t="n">
        <f aca="false">SUM($AI22:$AK22)</f>
        <v>1</v>
      </c>
      <c r="BH22" s="208" t="n">
        <f aca="false">SUM($AL22:$AN22)</f>
        <v>1</v>
      </c>
      <c r="BI22" s="208" t="n">
        <f aca="false">SUM($AO22:$AQ22)</f>
        <v>0</v>
      </c>
      <c r="BJ22" s="208" t="n">
        <f aca="false">SUM($AR22:$AT22)</f>
        <v>0</v>
      </c>
      <c r="BK22" s="196" t="n">
        <f aca="false">SUM(AV22:BJ22)</f>
        <v>7</v>
      </c>
    </row>
    <row r="23" customFormat="false" ht="16.4" hidden="false" customHeight="false" outlineLevel="0" collapsed="false">
      <c r="A23" s="211" t="s">
        <v>40</v>
      </c>
      <c r="B23" s="207" t="n">
        <f aca="false">COUNTIF(TT!$D$4:$D$9,TALLY!A23)</f>
        <v>0</v>
      </c>
      <c r="C23" s="207" t="n">
        <f aca="false">COUNTIF(TT!$D$15:$D$28,TALLY!A23)</f>
        <v>1</v>
      </c>
      <c r="D23" s="207" t="n">
        <f aca="false">COUNTIF(TT!$D$34:$D$41,TALLY!A23)</f>
        <v>0</v>
      </c>
      <c r="E23" s="208" t="n">
        <f aca="false">COUNTIF(TT!$D$47:$D$60,TALLY!A23)</f>
        <v>0</v>
      </c>
      <c r="F23" s="208" t="n">
        <f aca="false">COUNTIF(TT!$D$66:$D$79,TALLY!A23)</f>
        <v>0</v>
      </c>
      <c r="G23" s="208" t="n">
        <f aca="false">COUNTIF(TT!$D$84:$D$93,TALLY!A23)</f>
        <v>0</v>
      </c>
      <c r="H23" s="209" t="n">
        <f aca="false">COUNTIF(TT!$D$98:$D$106,TALLY!A23)</f>
        <v>1</v>
      </c>
      <c r="I23" s="209" t="n">
        <f aca="false">COUNTIF(TT!$D$111:$D$121,TALLY!A23)</f>
        <v>0</v>
      </c>
      <c r="J23" s="209" t="n">
        <f aca="false">COUNTIF(TT!$D$126:$D$134,TALLY!A23)</f>
        <v>0</v>
      </c>
      <c r="K23" s="208" t="n">
        <f aca="false">COUNTIF(TT!$D$139:$D$151,TALLY!A23)</f>
        <v>0</v>
      </c>
      <c r="L23" s="208" t="n">
        <f aca="false">COUNTIF(TT!$D$156:$D$164,TALLY!A23)</f>
        <v>0</v>
      </c>
      <c r="M23" s="208" t="n">
        <f aca="false">COUNTIF(TT!$D$169:$D$180,TALLY!A23)</f>
        <v>0</v>
      </c>
      <c r="N23" s="209" t="n">
        <f aca="false">COUNTIF(TT!$D$185:$D$197,TALLY!A23)</f>
        <v>0</v>
      </c>
      <c r="O23" s="209" t="n">
        <f aca="false">COUNTIF(TT!$D$202:$D$208,TALLY!A23)</f>
        <v>0</v>
      </c>
      <c r="P23" s="209" t="n">
        <f aca="false">COUNTIF(TT!$D$213:$D$220,TALLY!A23)</f>
        <v>0</v>
      </c>
      <c r="Q23" s="207" t="n">
        <f aca="false">COUNTIF(TT!$D$225:$D$239,TALLY!A23)</f>
        <v>0</v>
      </c>
      <c r="R23" s="207" t="n">
        <f aca="false">COUNTIF(TT!$D$244:$D$254,TALLY!A23)</f>
        <v>0</v>
      </c>
      <c r="S23" s="207" t="n">
        <f aca="false">COUNTIF(TT!$D$259:$D$268,TALLY!A23)</f>
        <v>0</v>
      </c>
      <c r="T23" s="209" t="n">
        <f aca="false">COUNTIF(TT!$D$271:$D$282,TALLY!A23)</f>
        <v>0</v>
      </c>
      <c r="U23" s="209" t="n">
        <f aca="false">COUNTIF(TT!$D$287:$D$298,TALLY!A23)</f>
        <v>0</v>
      </c>
      <c r="V23" s="209" t="n">
        <f aca="false">COUNTIF(TT!$D$303:$D$311,TALLY!A23)</f>
        <v>0</v>
      </c>
      <c r="W23" s="208" t="n">
        <f aca="false">COUNTIF(TT!$D$316:$D$337,TALLY!A23)</f>
        <v>1</v>
      </c>
      <c r="X23" s="208" t="n">
        <f aca="false">COUNTIF(TT!$D$342:$D$350,TALLY!A23)</f>
        <v>0</v>
      </c>
      <c r="Y23" s="208" t="n">
        <f aca="false">COUNTIF(TT!$D$357:$D$365,TALLY!A23)</f>
        <v>0</v>
      </c>
      <c r="Z23" s="209" t="n">
        <f aca="false">COUNTIF(TT!$D$370:$D$377,TALLY!A23)</f>
        <v>1</v>
      </c>
      <c r="AA23" s="209" t="n">
        <f aca="false">COUNTIF(TT!$D$382:$D$393,TALLY!A23)</f>
        <v>0</v>
      </c>
      <c r="AB23" s="209" t="n">
        <f aca="false">COUNTIF(TT!$D$398:$D$408,TALLY!A23)</f>
        <v>0</v>
      </c>
      <c r="AC23" s="208" t="n">
        <f aca="false">COUNTIF(TT!$D$413:$D$425,TALLY!A23)</f>
        <v>0</v>
      </c>
      <c r="AD23" s="208" t="n">
        <f aca="false">COUNTIF(TT!$D$430:$D$433,TALLY!A23)</f>
        <v>0</v>
      </c>
      <c r="AE23" s="208" t="n">
        <f aca="false">COUNTIF(TT!$D$454:$D$466,TALLY!A23)</f>
        <v>0</v>
      </c>
      <c r="AF23" s="207" t="n">
        <f aca="false">COUNTIF(TT!$D$471:$D$480,TALLY!A23)</f>
        <v>0</v>
      </c>
      <c r="AG23" s="207" t="n">
        <f aca="false">COUNTIF(TT!$D$487:$D$496,TALLY!A23)</f>
        <v>0</v>
      </c>
      <c r="AH23" s="207" t="n">
        <f aca="false">COUNTIF(TT!$D$501:$D$517,TALLY!A23)</f>
        <v>0</v>
      </c>
      <c r="AI23" s="208" t="n">
        <f aca="false">COUNTIF(TT!$D$522:$D$533,TALLY!A23)</f>
        <v>0</v>
      </c>
      <c r="AJ23" s="208" t="n">
        <f aca="false">COUNTIF(TT!$D$538:$D$550,TALLY!A23)</f>
        <v>1</v>
      </c>
      <c r="AK23" s="208" t="n">
        <f aca="false">COUNTIF(TT!$D$555:$D$569,TALLY!A23)</f>
        <v>0</v>
      </c>
      <c r="AL23" s="209" t="n">
        <f aca="false">COUNTIF(TT!$D$574:$D$582,TALLY!A23)</f>
        <v>0</v>
      </c>
      <c r="AM23" s="209" t="n">
        <f aca="false">COUNTIF(TT!$D$587:$D$593,TALLY!A23)</f>
        <v>0</v>
      </c>
      <c r="AN23" s="209" t="n">
        <f aca="false">COUNTIF(TT!$D$598:$D$606,TALLY!A23)</f>
        <v>0</v>
      </c>
      <c r="AO23" s="208" t="n">
        <f aca="false">COUNTIF(TT!$D$611:$D$620,TALLY!A23)</f>
        <v>0</v>
      </c>
      <c r="AP23" s="208" t="n">
        <f aca="false">COUNTIF(TT!$D$627:$D$639,TALLY!A23)</f>
        <v>1</v>
      </c>
      <c r="AQ23" s="208" t="n">
        <f aca="false">COUNTIF(TT!$D$645:$D$657,TALLY!A23)</f>
        <v>0</v>
      </c>
      <c r="AR23" s="209" t="n">
        <f aca="false">COUNTIF(TT!$D$663:$D$671,TALLY!A23)</f>
        <v>0</v>
      </c>
      <c r="AS23" s="209" t="n">
        <f aca="false">COUNTIF(TT!$D$677:$D$685,TALLY!A23)</f>
        <v>0</v>
      </c>
      <c r="AT23" s="209" t="n">
        <f aca="false">COUNTIF(TT!$D$689:$D$698,TALLY!A23)</f>
        <v>0</v>
      </c>
      <c r="AU23" s="211" t="s">
        <v>40</v>
      </c>
      <c r="AV23" s="208" t="n">
        <f aca="false">SUM($B23:$D23)</f>
        <v>1</v>
      </c>
      <c r="AW23" s="208" t="n">
        <f aca="false">SUM($E23:$G23)</f>
        <v>0</v>
      </c>
      <c r="AX23" s="208" t="n">
        <f aca="false">SUM($H23:$J23)</f>
        <v>1</v>
      </c>
      <c r="AY23" s="208" t="n">
        <f aca="false">SUM($K23:$M23)</f>
        <v>0</v>
      </c>
      <c r="AZ23" s="208" t="n">
        <f aca="false">SUM($N23:$P23)</f>
        <v>0</v>
      </c>
      <c r="BA23" s="208" t="n">
        <f aca="false">SUM($Q23:$S23)</f>
        <v>0</v>
      </c>
      <c r="BB23" s="208" t="n">
        <f aca="false">SUM($T23:$V23)</f>
        <v>0</v>
      </c>
      <c r="BC23" s="208" t="n">
        <f aca="false">SUM($W23:$Y23)</f>
        <v>1</v>
      </c>
      <c r="BD23" s="208" t="n">
        <f aca="false">SUM($Z23:$AB23)</f>
        <v>1</v>
      </c>
      <c r="BE23" s="208" t="n">
        <f aca="false">SUM($AC23:$AE23)</f>
        <v>0</v>
      </c>
      <c r="BF23" s="208" t="n">
        <f aca="false">SUM($AF23:$AH23)</f>
        <v>0</v>
      </c>
      <c r="BG23" s="208" t="n">
        <f aca="false">SUM($AI23:$AK23)</f>
        <v>1</v>
      </c>
      <c r="BH23" s="208" t="n">
        <f aca="false">SUM($AL23:$AN23)</f>
        <v>0</v>
      </c>
      <c r="BI23" s="208" t="n">
        <f aca="false">SUM($AO23:$AQ23)</f>
        <v>1</v>
      </c>
      <c r="BJ23" s="208" t="n">
        <f aca="false">SUM($AR23:$AT23)</f>
        <v>0</v>
      </c>
      <c r="BK23" s="196" t="n">
        <f aca="false">SUM(AV23:BJ23)</f>
        <v>6</v>
      </c>
    </row>
    <row r="24" customFormat="false" ht="16.4" hidden="false" customHeight="false" outlineLevel="0" collapsed="false">
      <c r="A24" s="211" t="s">
        <v>109</v>
      </c>
      <c r="B24" s="207" t="n">
        <f aca="false">COUNTIF(TT!$D$4:$D$9,TALLY!A24)</f>
        <v>0</v>
      </c>
      <c r="C24" s="207" t="n">
        <f aca="false">COUNTIF(TT!$D$15:$D$28,TALLY!A24)</f>
        <v>0</v>
      </c>
      <c r="D24" s="207" t="n">
        <f aca="false">COUNTIF(TT!$D$34:$D$41,TALLY!A24)</f>
        <v>0</v>
      </c>
      <c r="E24" s="208" t="n">
        <f aca="false">COUNTIF(TT!$D$47:$D$60,TALLY!A24)</f>
        <v>0</v>
      </c>
      <c r="F24" s="208" t="n">
        <f aca="false">COUNTIF(TT!$D$66:$D$79,TALLY!A24)</f>
        <v>1</v>
      </c>
      <c r="G24" s="208" t="n">
        <f aca="false">COUNTIF(TT!$D$84:$D$93,TALLY!A24)</f>
        <v>0</v>
      </c>
      <c r="H24" s="209" t="n">
        <f aca="false">COUNTIF(TT!$D$98:$D$106,TALLY!A24)</f>
        <v>0</v>
      </c>
      <c r="I24" s="209" t="n">
        <f aca="false">COUNTIF(TT!$D$111:$D$121,TALLY!A24)</f>
        <v>0</v>
      </c>
      <c r="J24" s="209" t="n">
        <f aca="false">COUNTIF(TT!$D$126:$D$134,TALLY!A24)</f>
        <v>0</v>
      </c>
      <c r="K24" s="208" t="n">
        <f aca="false">COUNTIF(TT!$D$139:$D$151,TALLY!A24)</f>
        <v>0</v>
      </c>
      <c r="L24" s="208" t="n">
        <f aca="false">COUNTIF(TT!$D$156:$D$164,TALLY!A24)</f>
        <v>1</v>
      </c>
      <c r="M24" s="208" t="n">
        <f aca="false">COUNTIF(TT!$D$169:$D$180,TALLY!A24)</f>
        <v>0</v>
      </c>
      <c r="N24" s="209" t="n">
        <f aca="false">COUNTIF(TT!$D$185:$D$197,TALLY!A24)</f>
        <v>0</v>
      </c>
      <c r="O24" s="209" t="n">
        <f aca="false">COUNTIF(TT!$D$202:$D$208,TALLY!A24)</f>
        <v>1</v>
      </c>
      <c r="P24" s="209" t="n">
        <f aca="false">COUNTIF(TT!$D$213:$D$220,TALLY!A24)</f>
        <v>0</v>
      </c>
      <c r="Q24" s="207" t="n">
        <f aca="false">COUNTIF(TT!$D$225:$D$239,TALLY!A24)</f>
        <v>1</v>
      </c>
      <c r="R24" s="207" t="n">
        <f aca="false">COUNTIF(TT!$D$244:$D$254,TALLY!A24)</f>
        <v>0</v>
      </c>
      <c r="S24" s="207" t="n">
        <f aca="false">COUNTIF(TT!$D$259:$D$268,TALLY!A24)</f>
        <v>0</v>
      </c>
      <c r="T24" s="209" t="n">
        <f aca="false">COUNTIF(TT!$D$271:$D$282,TALLY!A24)</f>
        <v>0</v>
      </c>
      <c r="U24" s="209" t="n">
        <f aca="false">COUNTIF(TT!$D$287:$D$298,TALLY!A24)</f>
        <v>0</v>
      </c>
      <c r="V24" s="209" t="n">
        <f aca="false">COUNTIF(TT!$D$303:$D$311,TALLY!A24)</f>
        <v>0</v>
      </c>
      <c r="W24" s="208" t="n">
        <f aca="false">COUNTIF(TT!$D$316:$D$337,TALLY!A24)</f>
        <v>1</v>
      </c>
      <c r="X24" s="208" t="n">
        <f aca="false">COUNTIF(TT!$D$342:$D$350,TALLY!A24)</f>
        <v>0</v>
      </c>
      <c r="Y24" s="208" t="n">
        <f aca="false">COUNTIF(TT!$D$357:$D$365,TALLY!A24)</f>
        <v>0</v>
      </c>
      <c r="Z24" s="209" t="n">
        <f aca="false">COUNTIF(TT!$D$370:$D$377,TALLY!A24)</f>
        <v>0</v>
      </c>
      <c r="AA24" s="209" t="n">
        <f aca="false">COUNTIF(TT!$D$382:$D$393,TALLY!A24)</f>
        <v>0</v>
      </c>
      <c r="AB24" s="209" t="n">
        <f aca="false">COUNTIF(TT!$D$398:$D$408,TALLY!A24)</f>
        <v>0</v>
      </c>
      <c r="AC24" s="208" t="n">
        <f aca="false">COUNTIF(TT!$D$413:$D$425,TALLY!A24)</f>
        <v>0</v>
      </c>
      <c r="AD24" s="208" t="n">
        <f aca="false">COUNTIF(TT!$D$430:$D$433,TALLY!A24)</f>
        <v>0</v>
      </c>
      <c r="AE24" s="208" t="n">
        <f aca="false">COUNTIF(TT!$D$454:$D$466,TALLY!A24)</f>
        <v>1</v>
      </c>
      <c r="AF24" s="207" t="n">
        <f aca="false">COUNTIF(TT!$D$471:$D$480,TALLY!A24)</f>
        <v>0</v>
      </c>
      <c r="AG24" s="207" t="n">
        <f aca="false">COUNTIF(TT!$D$487:$D$496,TALLY!A24)</f>
        <v>0</v>
      </c>
      <c r="AH24" s="207" t="n">
        <f aca="false">COUNTIF(TT!$D$501:$D$517,TALLY!A24)</f>
        <v>1</v>
      </c>
      <c r="AI24" s="208" t="n">
        <f aca="false">COUNTIF(TT!$D$522:$D$533,TALLY!A24)</f>
        <v>1</v>
      </c>
      <c r="AJ24" s="208" t="n">
        <f aca="false">COUNTIF(TT!$D$538:$D$550,TALLY!A24)</f>
        <v>0</v>
      </c>
      <c r="AK24" s="208" t="n">
        <f aca="false">COUNTIF(TT!$D$555:$D$569,TALLY!A24)</f>
        <v>0</v>
      </c>
      <c r="AL24" s="209" t="n">
        <f aca="false">COUNTIF(TT!$D$574:$D$582,TALLY!A24)</f>
        <v>0</v>
      </c>
      <c r="AM24" s="209" t="n">
        <f aca="false">COUNTIF(TT!$D$587:$D$593,TALLY!A24)</f>
        <v>0</v>
      </c>
      <c r="AN24" s="209" t="n">
        <f aca="false">COUNTIF(TT!$D$598:$D$606,TALLY!A24)</f>
        <v>0</v>
      </c>
      <c r="AO24" s="208" t="n">
        <f aca="false">COUNTIF(TT!$D$611:$D$620,TALLY!A24)</f>
        <v>0</v>
      </c>
      <c r="AP24" s="208" t="n">
        <f aca="false">COUNTIF(TT!$D$627:$D$639,TALLY!A24)</f>
        <v>0</v>
      </c>
      <c r="AQ24" s="208" t="n">
        <f aca="false">COUNTIF(TT!$D$645:$D$657,TALLY!A24)</f>
        <v>0</v>
      </c>
      <c r="AR24" s="209" t="n">
        <f aca="false">COUNTIF(TT!$D$663:$D$671,TALLY!A24)</f>
        <v>0</v>
      </c>
      <c r="AS24" s="209" t="n">
        <f aca="false">COUNTIF(TT!$D$677:$D$685,TALLY!A24)</f>
        <v>0</v>
      </c>
      <c r="AT24" s="209" t="n">
        <f aca="false">COUNTIF(TT!$D$689:$D$698,TALLY!A24)</f>
        <v>1</v>
      </c>
      <c r="AU24" s="211" t="s">
        <v>109</v>
      </c>
      <c r="AV24" s="208" t="n">
        <f aca="false">SUM($B24:$D24)</f>
        <v>0</v>
      </c>
      <c r="AW24" s="208" t="n">
        <f aca="false">SUM($E24:$G24)</f>
        <v>1</v>
      </c>
      <c r="AX24" s="208" t="n">
        <f aca="false">SUM($H24:$J24)</f>
        <v>0</v>
      </c>
      <c r="AY24" s="208" t="n">
        <f aca="false">SUM($K24:$M24)</f>
        <v>1</v>
      </c>
      <c r="AZ24" s="208" t="n">
        <f aca="false">SUM($N24:$P24)</f>
        <v>1</v>
      </c>
      <c r="BA24" s="208" t="n">
        <f aca="false">SUM($Q24:$S24)</f>
        <v>1</v>
      </c>
      <c r="BB24" s="208" t="n">
        <f aca="false">SUM($T24:$V24)</f>
        <v>0</v>
      </c>
      <c r="BC24" s="208" t="n">
        <f aca="false">SUM($W24:$Y24)</f>
        <v>1</v>
      </c>
      <c r="BD24" s="208" t="n">
        <f aca="false">SUM($Z24:$AB24)</f>
        <v>0</v>
      </c>
      <c r="BE24" s="208" t="n">
        <f aca="false">SUM($AC24:$AE24)</f>
        <v>1</v>
      </c>
      <c r="BF24" s="208" t="n">
        <f aca="false">SUM($AF24:$AH24)</f>
        <v>1</v>
      </c>
      <c r="BG24" s="208" t="n">
        <f aca="false">SUM($AI24:$AK24)</f>
        <v>1</v>
      </c>
      <c r="BH24" s="208" t="n">
        <f aca="false">SUM($AL24:$AN24)</f>
        <v>0</v>
      </c>
      <c r="BI24" s="208" t="n">
        <f aca="false">SUM($AO24:$AQ24)</f>
        <v>0</v>
      </c>
      <c r="BJ24" s="208" t="n">
        <f aca="false">SUM($AR24:$AT24)</f>
        <v>1</v>
      </c>
      <c r="BK24" s="196" t="n">
        <f aca="false">SUM(AV24:BJ24)</f>
        <v>9</v>
      </c>
    </row>
    <row r="25" customFormat="false" ht="16.4" hidden="false" customHeight="false" outlineLevel="0" collapsed="false">
      <c r="A25" s="211" t="s">
        <v>56</v>
      </c>
      <c r="B25" s="207" t="n">
        <f aca="false">COUNTIF(TT!$D$4:$D$9,TALLY!A25)</f>
        <v>0</v>
      </c>
      <c r="C25" s="207" t="n">
        <f aca="false">COUNTIF(TT!$D$15:$D$28,TALLY!A25)</f>
        <v>1</v>
      </c>
      <c r="D25" s="207" t="n">
        <f aca="false">COUNTIF(TT!$D$34:$D$41,TALLY!A25)</f>
        <v>0</v>
      </c>
      <c r="E25" s="208" t="n">
        <f aca="false">COUNTIF(TT!$D$47:$D$60,TALLY!A25)</f>
        <v>0</v>
      </c>
      <c r="F25" s="208" t="n">
        <f aca="false">COUNTIF(TT!$D$66:$D$79,TALLY!A25)</f>
        <v>0</v>
      </c>
      <c r="G25" s="208" t="n">
        <f aca="false">COUNTIF(TT!$D$84:$D$93,TALLY!A25)</f>
        <v>0</v>
      </c>
      <c r="H25" s="209" t="n">
        <f aca="false">COUNTIF(TT!$D$98:$D$106,TALLY!A25)</f>
        <v>0</v>
      </c>
      <c r="I25" s="209" t="n">
        <f aca="false">COUNTIF(TT!$D$111:$D$121,TALLY!A25)</f>
        <v>0</v>
      </c>
      <c r="J25" s="209" t="n">
        <f aca="false">COUNTIF(TT!$D$126:$D$134,TALLY!A25)</f>
        <v>0</v>
      </c>
      <c r="K25" s="208" t="n">
        <f aca="false">COUNTIF(TT!$D$139:$D$151,TALLY!A25)</f>
        <v>0</v>
      </c>
      <c r="L25" s="208" t="n">
        <f aca="false">COUNTIF(TT!$D$156:$D$164,TALLY!A25)</f>
        <v>0</v>
      </c>
      <c r="M25" s="208" t="n">
        <f aca="false">COUNTIF(TT!$D$169:$D$180,TALLY!A25)</f>
        <v>1</v>
      </c>
      <c r="N25" s="209" t="n">
        <f aca="false">COUNTIF(TT!$D$185:$D$197,TALLY!A25)</f>
        <v>0</v>
      </c>
      <c r="O25" s="209" t="n">
        <f aca="false">COUNTIF(TT!$D$202:$D$208,TALLY!A25)</f>
        <v>0</v>
      </c>
      <c r="P25" s="209" t="n">
        <f aca="false">COUNTIF(TT!$D$213:$D$220,TALLY!A25)</f>
        <v>0</v>
      </c>
      <c r="Q25" s="207" t="n">
        <f aca="false">COUNTIF(TT!$D$225:$D$239,TALLY!A25)</f>
        <v>0</v>
      </c>
      <c r="R25" s="207" t="n">
        <f aca="false">COUNTIF(TT!$D$244:$D$254,TALLY!A25)</f>
        <v>0</v>
      </c>
      <c r="S25" s="207" t="n">
        <f aca="false">COUNTIF(TT!$D$259:$D$268,TALLY!A25)</f>
        <v>0</v>
      </c>
      <c r="T25" s="209" t="n">
        <f aca="false">COUNTIF(TT!$D$271:$D$282,TALLY!A25)</f>
        <v>1</v>
      </c>
      <c r="U25" s="209" t="n">
        <f aca="false">COUNTIF(TT!$D$287:$D$298,TALLY!A25)</f>
        <v>0</v>
      </c>
      <c r="V25" s="209" t="n">
        <f aca="false">COUNTIF(TT!$D$303:$D$311,TALLY!A25)</f>
        <v>0</v>
      </c>
      <c r="W25" s="208" t="n">
        <f aca="false">COUNTIF(TT!$D$316:$D$337,TALLY!A25)</f>
        <v>1</v>
      </c>
      <c r="X25" s="208" t="n">
        <f aca="false">COUNTIF(TT!$D$342:$D$350,TALLY!A25)</f>
        <v>0</v>
      </c>
      <c r="Y25" s="208" t="n">
        <f aca="false">COUNTIF(TT!$D$357:$D$365,TALLY!A25)</f>
        <v>0</v>
      </c>
      <c r="Z25" s="209" t="n">
        <f aca="false">COUNTIF(TT!$D$370:$D$377,TALLY!A25)</f>
        <v>0</v>
      </c>
      <c r="AA25" s="209" t="n">
        <f aca="false">COUNTIF(TT!$D$382:$D$393,TALLY!A25)</f>
        <v>0</v>
      </c>
      <c r="AB25" s="209" t="n">
        <f aca="false">COUNTIF(TT!$D$398:$D$408,TALLY!A25)</f>
        <v>0</v>
      </c>
      <c r="AC25" s="208" t="n">
        <f aca="false">COUNTIF(TT!$D$413:$D$425,TALLY!A25)</f>
        <v>1</v>
      </c>
      <c r="AD25" s="208" t="n">
        <f aca="false">COUNTIF(TT!$D$430:$D$433,TALLY!A25)</f>
        <v>0</v>
      </c>
      <c r="AE25" s="208" t="n">
        <f aca="false">COUNTIF(TT!$D$454:$D$466,TALLY!A25)</f>
        <v>0</v>
      </c>
      <c r="AF25" s="207" t="n">
        <f aca="false">COUNTIF(TT!$D$471:$D$480,TALLY!A25)</f>
        <v>0</v>
      </c>
      <c r="AG25" s="207" t="n">
        <f aca="false">COUNTIF(TT!$D$487:$D$496,TALLY!A25)</f>
        <v>0</v>
      </c>
      <c r="AH25" s="207" t="n">
        <f aca="false">COUNTIF(TT!$D$501:$D$517,TALLY!A25)</f>
        <v>0</v>
      </c>
      <c r="AI25" s="208" t="n">
        <f aca="false">COUNTIF(TT!$D$522:$D$533,TALLY!A25)</f>
        <v>0</v>
      </c>
      <c r="AJ25" s="208" t="n">
        <f aca="false">COUNTIF(TT!$D$538:$D$550,TALLY!A25)</f>
        <v>0</v>
      </c>
      <c r="AK25" s="208" t="n">
        <f aca="false">COUNTIF(TT!$D$555:$D$569,TALLY!A25)</f>
        <v>0</v>
      </c>
      <c r="AL25" s="209" t="n">
        <f aca="false">COUNTIF(TT!$D$574:$D$582,TALLY!A25)</f>
        <v>1</v>
      </c>
      <c r="AM25" s="209" t="n">
        <f aca="false">COUNTIF(TT!$D$587:$D$593,TALLY!A25)</f>
        <v>0</v>
      </c>
      <c r="AN25" s="209" t="n">
        <f aca="false">COUNTIF(TT!$D$598:$D$606,TALLY!A25)</f>
        <v>0</v>
      </c>
      <c r="AO25" s="208" t="n">
        <f aca="false">COUNTIF(TT!$D$611:$D$620,TALLY!A25)</f>
        <v>1</v>
      </c>
      <c r="AP25" s="208" t="n">
        <f aca="false">COUNTIF(TT!$D$627:$D$639,TALLY!A25)</f>
        <v>0</v>
      </c>
      <c r="AQ25" s="208" t="n">
        <f aca="false">COUNTIF(TT!$D$645:$D$657,TALLY!A25)</f>
        <v>0</v>
      </c>
      <c r="AR25" s="209" t="n">
        <f aca="false">COUNTIF(TT!$D$663:$D$671,TALLY!A25)</f>
        <v>0</v>
      </c>
      <c r="AS25" s="209" t="n">
        <f aca="false">COUNTIF(TT!$D$677:$D$685,TALLY!A25)</f>
        <v>0</v>
      </c>
      <c r="AT25" s="209" t="n">
        <f aca="false">COUNTIF(TT!$D$689:$D$698,TALLY!A25)</f>
        <v>0</v>
      </c>
      <c r="AU25" s="211" t="s">
        <v>56</v>
      </c>
      <c r="AV25" s="208" t="n">
        <f aca="false">SUM($B25:$D25)</f>
        <v>1</v>
      </c>
      <c r="AW25" s="208" t="n">
        <f aca="false">SUM($E25:$G25)</f>
        <v>0</v>
      </c>
      <c r="AX25" s="208" t="n">
        <f aca="false">SUM($H25:$J25)</f>
        <v>0</v>
      </c>
      <c r="AY25" s="208" t="n">
        <f aca="false">SUM($K25:$M25)</f>
        <v>1</v>
      </c>
      <c r="AZ25" s="208" t="n">
        <f aca="false">SUM($N25:$P25)</f>
        <v>0</v>
      </c>
      <c r="BA25" s="208" t="n">
        <f aca="false">SUM($Q25:$S25)</f>
        <v>0</v>
      </c>
      <c r="BB25" s="208" t="n">
        <f aca="false">SUM($T25:$V25)</f>
        <v>1</v>
      </c>
      <c r="BC25" s="208" t="n">
        <f aca="false">SUM($W25:$Y25)</f>
        <v>1</v>
      </c>
      <c r="BD25" s="208" t="n">
        <f aca="false">SUM($Z25:$AB25)</f>
        <v>0</v>
      </c>
      <c r="BE25" s="208" t="n">
        <f aca="false">SUM($AC25:$AE25)</f>
        <v>1</v>
      </c>
      <c r="BF25" s="208" t="n">
        <f aca="false">SUM($AF25:$AH25)</f>
        <v>0</v>
      </c>
      <c r="BG25" s="208" t="n">
        <f aca="false">SUM($AI25:$AK25)</f>
        <v>0</v>
      </c>
      <c r="BH25" s="208" t="n">
        <f aca="false">SUM($AL25:$AN25)</f>
        <v>1</v>
      </c>
      <c r="BI25" s="208" t="n">
        <f aca="false">SUM($AO25:$AQ25)</f>
        <v>1</v>
      </c>
      <c r="BJ25" s="208" t="n">
        <f aca="false">SUM($AR25:$AT25)</f>
        <v>0</v>
      </c>
      <c r="BK25" s="196" t="n">
        <f aca="false">SUM(AV25:BJ25)</f>
        <v>7</v>
      </c>
    </row>
    <row r="26" customFormat="false" ht="16.4" hidden="false" customHeight="false" outlineLevel="0" collapsed="false">
      <c r="A26" s="211" t="s">
        <v>13</v>
      </c>
      <c r="B26" s="207" t="n">
        <f aca="false">COUNTIF(TT!$D$4:$D$9,TALLY!A26)</f>
        <v>1</v>
      </c>
      <c r="C26" s="207" t="n">
        <f aca="false">COUNTIF(TT!$D$15:$D$28,TALLY!A26)</f>
        <v>0</v>
      </c>
      <c r="D26" s="207" t="n">
        <f aca="false">COUNTIF(TT!$D$34:$D$41,TALLY!A26)</f>
        <v>0</v>
      </c>
      <c r="E26" s="208" t="n">
        <f aca="false">COUNTIF(TT!$D$47:$D$60,TALLY!A26)</f>
        <v>0</v>
      </c>
      <c r="F26" s="208" t="n">
        <f aca="false">COUNTIF(TT!$D$66:$D$79,TALLY!A26)</f>
        <v>0</v>
      </c>
      <c r="G26" s="208" t="n">
        <f aca="false">COUNTIF(TT!$D$84:$D$93,TALLY!A26)</f>
        <v>0</v>
      </c>
      <c r="H26" s="209" t="n">
        <f aca="false">COUNTIF(TT!$D$98:$D$106,TALLY!A26)</f>
        <v>0</v>
      </c>
      <c r="I26" s="209" t="n">
        <f aca="false">COUNTIF(TT!$D$111:$D$121,TALLY!A26)</f>
        <v>0</v>
      </c>
      <c r="J26" s="209" t="n">
        <f aca="false">COUNTIF(TT!$D$126:$D$134,TALLY!A26)</f>
        <v>1</v>
      </c>
      <c r="K26" s="208" t="n">
        <f aca="false">COUNTIF(TT!$D$139:$D$151,TALLY!A26)</f>
        <v>0</v>
      </c>
      <c r="L26" s="208" t="n">
        <f aca="false">COUNTIF(TT!$D$156:$D$164,TALLY!A26)</f>
        <v>0</v>
      </c>
      <c r="M26" s="208" t="n">
        <f aca="false">COUNTIF(TT!$D$169:$D$180,TALLY!A26)</f>
        <v>0</v>
      </c>
      <c r="N26" s="209" t="n">
        <f aca="false">COUNTIF(TT!$D$185:$D$197,TALLY!A26)</f>
        <v>0</v>
      </c>
      <c r="O26" s="209" t="n">
        <f aca="false">COUNTIF(TT!$D$202:$D$208,TALLY!A26)</f>
        <v>0</v>
      </c>
      <c r="P26" s="209" t="n">
        <f aca="false">COUNTIF(TT!$D$213:$D$220,TALLY!A26)</f>
        <v>0</v>
      </c>
      <c r="Q26" s="207" t="n">
        <f aca="false">COUNTIF(TT!$D$225:$D$239,TALLY!A26)</f>
        <v>0</v>
      </c>
      <c r="R26" s="207" t="n">
        <f aca="false">COUNTIF(TT!$D$244:$D$254,TALLY!A26)</f>
        <v>1</v>
      </c>
      <c r="S26" s="207" t="n">
        <f aca="false">COUNTIF(TT!$D$259:$D$268,TALLY!A26)</f>
        <v>0</v>
      </c>
      <c r="T26" s="209" t="n">
        <f aca="false">COUNTIF(TT!$D$271:$D$282,TALLY!A26)</f>
        <v>0</v>
      </c>
      <c r="U26" s="209" t="n">
        <f aca="false">COUNTIF(TT!$D$287:$D$298,TALLY!A26)</f>
        <v>0</v>
      </c>
      <c r="V26" s="209" t="n">
        <f aca="false">COUNTIF(TT!$D$303:$D$311,TALLY!A26)</f>
        <v>1</v>
      </c>
      <c r="W26" s="208" t="n">
        <f aca="false">COUNTIF(TT!$D$316:$D$337,TALLY!A26)</f>
        <v>0</v>
      </c>
      <c r="X26" s="208" t="n">
        <f aca="false">COUNTIF(TT!$D$342:$D$350,TALLY!A26)</f>
        <v>0</v>
      </c>
      <c r="Y26" s="208" t="n">
        <f aca="false">COUNTIF(TT!$D$357:$D$365,TALLY!A26)</f>
        <v>0</v>
      </c>
      <c r="Z26" s="209" t="n">
        <f aca="false">COUNTIF(TT!$D$370:$D$377,TALLY!A26)</f>
        <v>1</v>
      </c>
      <c r="AA26" s="209" t="n">
        <f aca="false">COUNTIF(TT!$D$382:$D$393,TALLY!A26)</f>
        <v>0</v>
      </c>
      <c r="AB26" s="209" t="n">
        <f aca="false">COUNTIF(TT!$D$398:$D$408,TALLY!A26)</f>
        <v>0</v>
      </c>
      <c r="AC26" s="208" t="n">
        <f aca="false">COUNTIF(TT!$D$413:$D$425,TALLY!A26)</f>
        <v>0</v>
      </c>
      <c r="AD26" s="208" t="n">
        <f aca="false">COUNTIF(TT!$D$430:$D$433,TALLY!A26)</f>
        <v>0</v>
      </c>
      <c r="AE26" s="208" t="n">
        <f aca="false">COUNTIF(TT!$D$454:$D$466,TALLY!A26)</f>
        <v>0</v>
      </c>
      <c r="AF26" s="207" t="n">
        <f aca="false">COUNTIF(TT!$D$471:$D$480,TALLY!A26)</f>
        <v>0</v>
      </c>
      <c r="AG26" s="207" t="n">
        <f aca="false">COUNTIF(TT!$D$487:$D$496,TALLY!A26)</f>
        <v>0</v>
      </c>
      <c r="AH26" s="207" t="n">
        <f aca="false">COUNTIF(TT!$D$501:$D$517,TALLY!A26)</f>
        <v>0</v>
      </c>
      <c r="AI26" s="208" t="n">
        <f aca="false">COUNTIF(TT!$D$522:$D$533,TALLY!A26)</f>
        <v>0</v>
      </c>
      <c r="AJ26" s="208" t="n">
        <f aca="false">COUNTIF(TT!$D$538:$D$550,TALLY!A26)</f>
        <v>0</v>
      </c>
      <c r="AK26" s="208" t="n">
        <f aca="false">COUNTIF(TT!$D$555:$D$569,TALLY!A26)</f>
        <v>0</v>
      </c>
      <c r="AL26" s="209" t="n">
        <f aca="false">COUNTIF(TT!$D$574:$D$582,TALLY!A26)</f>
        <v>0</v>
      </c>
      <c r="AM26" s="209" t="n">
        <f aca="false">COUNTIF(TT!$D$587:$D$593,TALLY!A26)</f>
        <v>1</v>
      </c>
      <c r="AN26" s="209" t="n">
        <f aca="false">COUNTIF(TT!$D$598:$D$606,TALLY!A26)</f>
        <v>0</v>
      </c>
      <c r="AO26" s="208" t="n">
        <f aca="false">COUNTIF(TT!$D$611:$D$620,TALLY!A26)</f>
        <v>0</v>
      </c>
      <c r="AP26" s="208" t="n">
        <f aca="false">COUNTIF(TT!$D$627:$D$639,TALLY!A26)</f>
        <v>0</v>
      </c>
      <c r="AQ26" s="208" t="n">
        <f aca="false">COUNTIF(TT!$D$645:$D$657,TALLY!A26)</f>
        <v>1</v>
      </c>
      <c r="AR26" s="209" t="n">
        <f aca="false">COUNTIF(TT!$D$663:$D$671,TALLY!A26)</f>
        <v>0</v>
      </c>
      <c r="AS26" s="209" t="n">
        <f aca="false">COUNTIF(TT!$D$677:$D$685,TALLY!A26)</f>
        <v>0</v>
      </c>
      <c r="AT26" s="209" t="n">
        <f aca="false">COUNTIF(TT!$D$689:$D$698,TALLY!A26)</f>
        <v>0</v>
      </c>
      <c r="AU26" s="211" t="s">
        <v>13</v>
      </c>
      <c r="AV26" s="208" t="n">
        <f aca="false">SUM($B26:$D26)</f>
        <v>1</v>
      </c>
      <c r="AW26" s="208" t="n">
        <f aca="false">SUM($E26:$G26)</f>
        <v>0</v>
      </c>
      <c r="AX26" s="208" t="n">
        <f aca="false">SUM($H26:$J26)</f>
        <v>1</v>
      </c>
      <c r="AY26" s="208" t="n">
        <f aca="false">SUM($K26:$M26)</f>
        <v>0</v>
      </c>
      <c r="AZ26" s="208" t="n">
        <f aca="false">SUM($N26:$P26)</f>
        <v>0</v>
      </c>
      <c r="BA26" s="208" t="n">
        <f aca="false">SUM($Q26:$S26)</f>
        <v>1</v>
      </c>
      <c r="BB26" s="208" t="n">
        <f aca="false">SUM($T26:$V26)</f>
        <v>1</v>
      </c>
      <c r="BC26" s="208" t="n">
        <f aca="false">SUM($W26:$Y26)</f>
        <v>0</v>
      </c>
      <c r="BD26" s="208" t="n">
        <f aca="false">SUM($Z26:$AB26)</f>
        <v>1</v>
      </c>
      <c r="BE26" s="208" t="n">
        <f aca="false">SUM($AC26:$AE26)</f>
        <v>0</v>
      </c>
      <c r="BF26" s="208" t="n">
        <f aca="false">SUM($AF26:$AH26)</f>
        <v>0</v>
      </c>
      <c r="BG26" s="208" t="n">
        <f aca="false">SUM($AI26:$AK26)</f>
        <v>0</v>
      </c>
      <c r="BH26" s="208" t="n">
        <f aca="false">SUM($AL26:$AN26)</f>
        <v>1</v>
      </c>
      <c r="BI26" s="208" t="n">
        <f aca="false">SUM($AO26:$AQ26)</f>
        <v>1</v>
      </c>
      <c r="BJ26" s="208" t="n">
        <f aca="false">SUM($AR26:$AT26)</f>
        <v>0</v>
      </c>
      <c r="BK26" s="196" t="n">
        <f aca="false">SUM(AV26:BJ26)</f>
        <v>7</v>
      </c>
    </row>
    <row r="27" customFormat="false" ht="16.4" hidden="false" customHeight="false" outlineLevel="0" collapsed="false">
      <c r="A27" s="211" t="s">
        <v>108</v>
      </c>
      <c r="B27" s="207" t="n">
        <f aca="false">COUNTIF(TT!$D$4:$D$9,TALLY!A27)</f>
        <v>0</v>
      </c>
      <c r="C27" s="207" t="n">
        <f aca="false">COUNTIF(TT!$D$15:$D$28,TALLY!A27)</f>
        <v>0</v>
      </c>
      <c r="D27" s="207" t="n">
        <f aca="false">COUNTIF(TT!$D$34:$D$41,TALLY!A27)</f>
        <v>0</v>
      </c>
      <c r="E27" s="208" t="n">
        <f aca="false">COUNTIF(TT!$D$47:$D$60,TALLY!A27)</f>
        <v>0</v>
      </c>
      <c r="F27" s="208" t="n">
        <f aca="false">COUNTIF(TT!$D$66:$D$79,TALLY!A27)</f>
        <v>1</v>
      </c>
      <c r="G27" s="208" t="n">
        <f aca="false">COUNTIF(TT!$D$84:$D$93,TALLY!A27)</f>
        <v>0</v>
      </c>
      <c r="H27" s="209" t="n">
        <f aca="false">COUNTIF(TT!$D$98:$D$106,TALLY!A27)</f>
        <v>0</v>
      </c>
      <c r="I27" s="209" t="n">
        <f aca="false">COUNTIF(TT!$D$111:$D$121,TALLY!A27)</f>
        <v>1</v>
      </c>
      <c r="J27" s="209" t="n">
        <f aca="false">COUNTIF(TT!$D$126:$D$134,TALLY!A27)</f>
        <v>0</v>
      </c>
      <c r="K27" s="208" t="n">
        <f aca="false">COUNTIF(TT!$D$139:$D$151,TALLY!A27)</f>
        <v>0</v>
      </c>
      <c r="L27" s="208" t="n">
        <f aca="false">COUNTIF(TT!$D$156:$D$164,TALLY!A27)</f>
        <v>1</v>
      </c>
      <c r="M27" s="208" t="n">
        <f aca="false">COUNTIF(TT!$D$169:$D$180,TALLY!A27)</f>
        <v>0</v>
      </c>
      <c r="N27" s="209" t="n">
        <f aca="false">COUNTIF(TT!$D$185:$D$197,TALLY!A27)</f>
        <v>0</v>
      </c>
      <c r="O27" s="209" t="n">
        <f aca="false">COUNTIF(TT!$D$202:$D$208,TALLY!A27)</f>
        <v>0</v>
      </c>
      <c r="P27" s="209" t="n">
        <f aca="false">COUNTIF(TT!$D$213:$D$220,TALLY!A27)</f>
        <v>0</v>
      </c>
      <c r="Q27" s="207" t="n">
        <f aca="false">COUNTIF(TT!$D$225:$D$239,TALLY!A27)</f>
        <v>1</v>
      </c>
      <c r="R27" s="207" t="n">
        <f aca="false">COUNTIF(TT!$D$244:$D$254,TALLY!A27)</f>
        <v>0</v>
      </c>
      <c r="S27" s="207" t="n">
        <f aca="false">COUNTIF(TT!$D$259:$D$268,TALLY!A27)</f>
        <v>0</v>
      </c>
      <c r="T27" s="209" t="n">
        <f aca="false">COUNTIF(TT!$D$271:$D$282,TALLY!A27)</f>
        <v>0</v>
      </c>
      <c r="U27" s="209" t="n">
        <f aca="false">COUNTIF(TT!$D$287:$D$298,TALLY!A27)</f>
        <v>0</v>
      </c>
      <c r="V27" s="209" t="n">
        <f aca="false">COUNTIF(TT!$D$303:$D$311,TALLY!A27)</f>
        <v>0</v>
      </c>
      <c r="W27" s="208" t="n">
        <f aca="false">COUNTIF(TT!$D$316:$D$337,TALLY!A27)</f>
        <v>1</v>
      </c>
      <c r="X27" s="208" t="n">
        <f aca="false">COUNTIF(TT!$D$342:$D$350,TALLY!A27)</f>
        <v>0</v>
      </c>
      <c r="Y27" s="208" t="n">
        <f aca="false">COUNTIF(TT!$D$357:$D$365,TALLY!A27)</f>
        <v>0</v>
      </c>
      <c r="Z27" s="209" t="n">
        <f aca="false">COUNTIF(TT!$D$370:$D$377,TALLY!A27)</f>
        <v>0</v>
      </c>
      <c r="AA27" s="209" t="n">
        <f aca="false">COUNTIF(TT!$D$382:$D$393,TALLY!A27)</f>
        <v>0</v>
      </c>
      <c r="AB27" s="209" t="n">
        <f aca="false">COUNTIF(TT!$D$398:$D$408,TALLY!A27)</f>
        <v>0</v>
      </c>
      <c r="AC27" s="208" t="n">
        <f aca="false">COUNTIF(TT!$D$413:$D$425,TALLY!A27)</f>
        <v>0</v>
      </c>
      <c r="AD27" s="208" t="n">
        <f aca="false">COUNTIF(TT!$D$430:$D$433,TALLY!A27)</f>
        <v>0</v>
      </c>
      <c r="AE27" s="208" t="n">
        <f aca="false">COUNTIF(TT!$D$454:$D$466,TALLY!A27)</f>
        <v>1</v>
      </c>
      <c r="AF27" s="207" t="n">
        <f aca="false">COUNTIF(TT!$D$471:$D$480,TALLY!A27)</f>
        <v>0</v>
      </c>
      <c r="AG27" s="207" t="n">
        <f aca="false">COUNTIF(TT!$D$487:$D$496,TALLY!A27)</f>
        <v>0</v>
      </c>
      <c r="AH27" s="207" t="n">
        <f aca="false">COUNTIF(TT!$D$501:$D$517,TALLY!A27)</f>
        <v>1</v>
      </c>
      <c r="AI27" s="208" t="n">
        <f aca="false">COUNTIF(TT!$D$522:$D$533,TALLY!A27)</f>
        <v>1</v>
      </c>
      <c r="AJ27" s="208" t="n">
        <f aca="false">COUNTIF(TT!$D$538:$D$550,TALLY!A27)</f>
        <v>0</v>
      </c>
      <c r="AK27" s="208" t="n">
        <f aca="false">COUNTIF(TT!$D$555:$D$569,TALLY!A27)</f>
        <v>0</v>
      </c>
      <c r="AL27" s="209" t="n">
        <f aca="false">COUNTIF(TT!$D$574:$D$582,TALLY!A27)</f>
        <v>0</v>
      </c>
      <c r="AM27" s="209" t="n">
        <f aca="false">COUNTIF(TT!$D$587:$D$593,TALLY!A27)</f>
        <v>0</v>
      </c>
      <c r="AN27" s="209" t="n">
        <f aca="false">COUNTIF(TT!$D$598:$D$606,TALLY!A27)</f>
        <v>0</v>
      </c>
      <c r="AO27" s="208" t="n">
        <f aca="false">COUNTIF(TT!$D$611:$D$620,TALLY!A27)</f>
        <v>0</v>
      </c>
      <c r="AP27" s="208" t="n">
        <f aca="false">COUNTIF(TT!$D$627:$D$639,TALLY!A27)</f>
        <v>0</v>
      </c>
      <c r="AQ27" s="208" t="n">
        <f aca="false">COUNTIF(TT!$D$645:$D$657,TALLY!A27)</f>
        <v>0</v>
      </c>
      <c r="AR27" s="209" t="n">
        <f aca="false">COUNTIF(TT!$D$663:$D$671,TALLY!A27)</f>
        <v>0</v>
      </c>
      <c r="AS27" s="209" t="n">
        <f aca="false">COUNTIF(TT!$D$677:$D$685,TALLY!A27)</f>
        <v>0</v>
      </c>
      <c r="AT27" s="209" t="n">
        <f aca="false">COUNTIF(TT!$D$689:$D$698,TALLY!A27)</f>
        <v>1</v>
      </c>
      <c r="AU27" s="211" t="s">
        <v>108</v>
      </c>
      <c r="AV27" s="208" t="n">
        <f aca="false">SUM($B27:$D27)</f>
        <v>0</v>
      </c>
      <c r="AW27" s="208" t="n">
        <f aca="false">SUM($E27:$G27)</f>
        <v>1</v>
      </c>
      <c r="AX27" s="208" t="n">
        <f aca="false">SUM($H27:$J27)</f>
        <v>1</v>
      </c>
      <c r="AY27" s="208" t="n">
        <f aca="false">SUM($K27:$M27)</f>
        <v>1</v>
      </c>
      <c r="AZ27" s="208" t="n">
        <f aca="false">SUM($N27:$P27)</f>
        <v>0</v>
      </c>
      <c r="BA27" s="208" t="n">
        <f aca="false">SUM($Q27:$S27)</f>
        <v>1</v>
      </c>
      <c r="BB27" s="208" t="n">
        <f aca="false">SUM($T27:$V27)</f>
        <v>0</v>
      </c>
      <c r="BC27" s="208" t="n">
        <f aca="false">SUM($W27:$Y27)</f>
        <v>1</v>
      </c>
      <c r="BD27" s="208" t="n">
        <f aca="false">SUM($Z27:$AB27)</f>
        <v>0</v>
      </c>
      <c r="BE27" s="208" t="n">
        <f aca="false">SUM($AC27:$AE27)</f>
        <v>1</v>
      </c>
      <c r="BF27" s="208" t="n">
        <f aca="false">SUM($AF27:$AH27)</f>
        <v>1</v>
      </c>
      <c r="BG27" s="208" t="n">
        <f aca="false">SUM($AI27:$AK27)</f>
        <v>1</v>
      </c>
      <c r="BH27" s="208" t="n">
        <f aca="false">SUM($AL27:$AN27)</f>
        <v>0</v>
      </c>
      <c r="BI27" s="208" t="n">
        <f aca="false">SUM($AO27:$AQ27)</f>
        <v>0</v>
      </c>
      <c r="BJ27" s="208" t="n">
        <f aca="false">SUM($AR27:$AT27)</f>
        <v>1</v>
      </c>
      <c r="BK27" s="196" t="n">
        <f aca="false">SUM(AV27:BJ27)</f>
        <v>9</v>
      </c>
    </row>
    <row r="28" customFormat="false" ht="16.4" hidden="false" customHeight="false" outlineLevel="0" collapsed="false">
      <c r="A28" s="211" t="s">
        <v>25</v>
      </c>
      <c r="B28" s="207" t="n">
        <f aca="false">COUNTIF(TT!$D$4:$D$9,TALLY!A28)</f>
        <v>1</v>
      </c>
      <c r="C28" s="207" t="n">
        <f aca="false">COUNTIF(TT!$D$15:$D$28,TALLY!A28)</f>
        <v>0</v>
      </c>
      <c r="D28" s="207" t="n">
        <f aca="false">COUNTIF(TT!$D$34:$D$41,TALLY!A28)</f>
        <v>0</v>
      </c>
      <c r="E28" s="208" t="n">
        <f aca="false">COUNTIF(TT!$D$47:$D$60,TALLY!A28)</f>
        <v>0</v>
      </c>
      <c r="F28" s="208" t="n">
        <f aca="false">COUNTIF(TT!$D$66:$D$79,TALLY!A28)</f>
        <v>0</v>
      </c>
      <c r="G28" s="208" t="n">
        <f aca="false">COUNTIF(TT!$D$84:$D$93,TALLY!A28)</f>
        <v>0</v>
      </c>
      <c r="H28" s="209" t="n">
        <f aca="false">COUNTIF(TT!$D$98:$D$106,TALLY!A28)</f>
        <v>0</v>
      </c>
      <c r="I28" s="209" t="n">
        <f aca="false">COUNTIF(TT!$D$111:$D$121,TALLY!A28)</f>
        <v>0</v>
      </c>
      <c r="J28" s="209" t="n">
        <f aca="false">COUNTIF(TT!$D$126:$D$134,TALLY!A28)</f>
        <v>0</v>
      </c>
      <c r="K28" s="208" t="n">
        <f aca="false">COUNTIF(TT!$D$139:$D$151,TALLY!A28)</f>
        <v>0</v>
      </c>
      <c r="L28" s="208" t="n">
        <f aca="false">COUNTIF(TT!$D$156:$D$164,TALLY!A28)</f>
        <v>0</v>
      </c>
      <c r="M28" s="208" t="n">
        <f aca="false">COUNTIF(TT!$D$169:$D$180,TALLY!A28)</f>
        <v>0</v>
      </c>
      <c r="N28" s="209" t="n">
        <f aca="false">COUNTIF(TT!$D$185:$D$197,TALLY!A28)</f>
        <v>0</v>
      </c>
      <c r="O28" s="209" t="n">
        <f aca="false">COUNTIF(TT!$D$202:$D$208,TALLY!A28)</f>
        <v>1</v>
      </c>
      <c r="P28" s="209" t="n">
        <f aca="false">COUNTIF(TT!$D$213:$D$220,TALLY!A28)</f>
        <v>0</v>
      </c>
      <c r="Q28" s="207" t="n">
        <f aca="false">COUNTIF(TT!$D$225:$D$239,TALLY!A28)</f>
        <v>1</v>
      </c>
      <c r="R28" s="207" t="n">
        <f aca="false">COUNTIF(TT!$D$244:$D$254,TALLY!A28)</f>
        <v>0</v>
      </c>
      <c r="S28" s="207" t="n">
        <f aca="false">COUNTIF(TT!$D$259:$D$268,TALLY!A28)</f>
        <v>0</v>
      </c>
      <c r="T28" s="209" t="n">
        <f aca="false">COUNTIF(TT!$D$271:$D$282,TALLY!A28)</f>
        <v>0</v>
      </c>
      <c r="U28" s="209" t="n">
        <f aca="false">COUNTIF(TT!$D$287:$D$298,TALLY!A28)</f>
        <v>0</v>
      </c>
      <c r="V28" s="209" t="n">
        <f aca="false">COUNTIF(TT!$D$303:$D$311,TALLY!A28)</f>
        <v>0</v>
      </c>
      <c r="W28" s="208" t="n">
        <f aca="false">COUNTIF(TT!$D$316:$D$337,TALLY!A28)</f>
        <v>1</v>
      </c>
      <c r="X28" s="208" t="n">
        <f aca="false">COUNTIF(TT!$D$342:$D$350,TALLY!A28)</f>
        <v>0</v>
      </c>
      <c r="Y28" s="208" t="n">
        <f aca="false">COUNTIF(TT!$D$357:$D$365,TALLY!A28)</f>
        <v>0</v>
      </c>
      <c r="Z28" s="209" t="n">
        <f aca="false">COUNTIF(TT!$D$370:$D$377,TALLY!A28)</f>
        <v>0</v>
      </c>
      <c r="AA28" s="209" t="n">
        <f aca="false">COUNTIF(TT!$D$382:$D$393,TALLY!A28)</f>
        <v>0</v>
      </c>
      <c r="AB28" s="209" t="n">
        <f aca="false">COUNTIF(TT!$D$398:$D$408,TALLY!A28)</f>
        <v>0</v>
      </c>
      <c r="AC28" s="208" t="n">
        <f aca="false">COUNTIF(TT!$D$413:$D$425,TALLY!A28)</f>
        <v>1</v>
      </c>
      <c r="AD28" s="208" t="n">
        <f aca="false">COUNTIF(TT!$D$430:$D$433,TALLY!A28)</f>
        <v>0</v>
      </c>
      <c r="AE28" s="208" t="n">
        <f aca="false">COUNTIF(TT!$D$454:$D$466,TALLY!A28)</f>
        <v>0</v>
      </c>
      <c r="AF28" s="207" t="n">
        <f aca="false">COUNTIF(TT!$D$471:$D$480,TALLY!A28)</f>
        <v>0</v>
      </c>
      <c r="AG28" s="207" t="n">
        <f aca="false">COUNTIF(TT!$D$487:$D$496,TALLY!A28)</f>
        <v>0</v>
      </c>
      <c r="AH28" s="207" t="n">
        <f aca="false">COUNTIF(TT!$D$501:$D$517,TALLY!A28)</f>
        <v>1</v>
      </c>
      <c r="AI28" s="208" t="n">
        <f aca="false">COUNTIF(TT!$D$522:$D$533,TALLY!A28)</f>
        <v>0</v>
      </c>
      <c r="AJ28" s="208" t="n">
        <f aca="false">COUNTIF(TT!$D$538:$D$550,TALLY!A28)</f>
        <v>0</v>
      </c>
      <c r="AK28" s="208" t="n">
        <f aca="false">COUNTIF(TT!$D$555:$D$569,TALLY!A28)</f>
        <v>0</v>
      </c>
      <c r="AL28" s="209" t="n">
        <f aca="false">COUNTIF(TT!$D$574:$D$582,TALLY!A28)</f>
        <v>0</v>
      </c>
      <c r="AM28" s="209" t="n">
        <f aca="false">COUNTIF(TT!$D$587:$D$593,TALLY!A28)</f>
        <v>1</v>
      </c>
      <c r="AN28" s="209" t="n">
        <f aca="false">COUNTIF(TT!$D$598:$D$606,TALLY!A28)</f>
        <v>0</v>
      </c>
      <c r="AO28" s="208" t="n">
        <f aca="false">COUNTIF(TT!$D$611:$D$620,TALLY!A28)</f>
        <v>0</v>
      </c>
      <c r="AP28" s="208" t="n">
        <f aca="false">COUNTIF(TT!$D$627:$D$639,TALLY!A28)</f>
        <v>0</v>
      </c>
      <c r="AQ28" s="208" t="n">
        <f aca="false">COUNTIF(TT!$D$645:$D$657,TALLY!A28)</f>
        <v>0</v>
      </c>
      <c r="AR28" s="209" t="n">
        <f aca="false">COUNTIF(TT!$D$663:$D$671,TALLY!A28)</f>
        <v>0</v>
      </c>
      <c r="AS28" s="209" t="n">
        <f aca="false">COUNTIF(TT!$D$677:$D$685,TALLY!A28)</f>
        <v>0</v>
      </c>
      <c r="AT28" s="209" t="n">
        <f aca="false">COUNTIF(TT!$D$689:$D$698,TALLY!A28)</f>
        <v>0</v>
      </c>
      <c r="AU28" s="211" t="s">
        <v>25</v>
      </c>
      <c r="AV28" s="208" t="n">
        <f aca="false">SUM($B28:$D28)</f>
        <v>1</v>
      </c>
      <c r="AW28" s="208" t="n">
        <f aca="false">SUM($E28:$G28)</f>
        <v>0</v>
      </c>
      <c r="AX28" s="208" t="n">
        <f aca="false">SUM($H28:$J28)</f>
        <v>0</v>
      </c>
      <c r="AY28" s="208" t="n">
        <f aca="false">SUM($K28:$M28)</f>
        <v>0</v>
      </c>
      <c r="AZ28" s="208" t="n">
        <f aca="false">SUM($N28:$P28)</f>
        <v>1</v>
      </c>
      <c r="BA28" s="208" t="n">
        <f aca="false">SUM($Q28:$S28)</f>
        <v>1</v>
      </c>
      <c r="BB28" s="208" t="n">
        <f aca="false">SUM($T28:$V28)</f>
        <v>0</v>
      </c>
      <c r="BC28" s="208" t="n">
        <f aca="false">SUM($W28:$Y28)</f>
        <v>1</v>
      </c>
      <c r="BD28" s="208" t="n">
        <f aca="false">SUM($Z28:$AB28)</f>
        <v>0</v>
      </c>
      <c r="BE28" s="208" t="n">
        <f aca="false">SUM($AC28:$AE28)</f>
        <v>1</v>
      </c>
      <c r="BF28" s="208" t="n">
        <f aca="false">SUM($AF28:$AH28)</f>
        <v>1</v>
      </c>
      <c r="BG28" s="208" t="n">
        <f aca="false">SUM($AI28:$AK28)</f>
        <v>0</v>
      </c>
      <c r="BH28" s="208" t="n">
        <f aca="false">SUM($AL28:$AN28)</f>
        <v>1</v>
      </c>
      <c r="BI28" s="208" t="n">
        <f aca="false">SUM($AO28:$AQ28)</f>
        <v>0</v>
      </c>
      <c r="BJ28" s="208" t="n">
        <f aca="false">SUM($AR28:$AT28)</f>
        <v>0</v>
      </c>
      <c r="BK28" s="196" t="n">
        <f aca="false">SUM(AV28:BJ28)</f>
        <v>7</v>
      </c>
    </row>
    <row r="29" customFormat="false" ht="16.4" hidden="false" customHeight="false" outlineLevel="0" collapsed="false">
      <c r="A29" s="211" t="s">
        <v>55</v>
      </c>
      <c r="B29" s="207" t="n">
        <f aca="false">COUNTIF(TT!$D$4:$D$9,TALLY!A29)</f>
        <v>0</v>
      </c>
      <c r="C29" s="207" t="n">
        <f aca="false">COUNTIF(TT!$D$15:$D$28,TALLY!A29)</f>
        <v>1</v>
      </c>
      <c r="D29" s="207" t="n">
        <f aca="false">COUNTIF(TT!$D$34:$D$41,TALLY!A29)</f>
        <v>0</v>
      </c>
      <c r="E29" s="208" t="n">
        <f aca="false">COUNTIF(TT!$D$47:$D$60,TALLY!A29)</f>
        <v>0</v>
      </c>
      <c r="F29" s="208" t="n">
        <f aca="false">COUNTIF(TT!$D$66:$D$79,TALLY!A29)</f>
        <v>0</v>
      </c>
      <c r="G29" s="208" t="n">
        <f aca="false">COUNTIF(TT!$D$84:$D$93,TALLY!A29)</f>
        <v>0</v>
      </c>
      <c r="H29" s="209" t="n">
        <f aca="false">COUNTIF(TT!$D$98:$D$106,TALLY!A29)</f>
        <v>0</v>
      </c>
      <c r="I29" s="209" t="n">
        <f aca="false">COUNTIF(TT!$D$111:$D$121,TALLY!A29)</f>
        <v>0</v>
      </c>
      <c r="J29" s="209" t="n">
        <f aca="false">COUNTIF(TT!$D$126:$D$134,TALLY!A29)</f>
        <v>0</v>
      </c>
      <c r="K29" s="208" t="n">
        <f aca="false">COUNTIF(TT!$D$139:$D$151,TALLY!A29)</f>
        <v>0</v>
      </c>
      <c r="L29" s="208" t="n">
        <f aca="false">COUNTIF(TT!$D$156:$D$164,TALLY!A29)</f>
        <v>0</v>
      </c>
      <c r="M29" s="208" t="n">
        <f aca="false">COUNTIF(TT!$D$169:$D$180,TALLY!A29)</f>
        <v>0</v>
      </c>
      <c r="N29" s="209" t="n">
        <f aca="false">COUNTIF(TT!$D$185:$D$197,TALLY!A29)</f>
        <v>1</v>
      </c>
      <c r="O29" s="209" t="n">
        <f aca="false">COUNTIF(TT!$D$202:$D$208,TALLY!A29)</f>
        <v>0</v>
      </c>
      <c r="P29" s="209" t="n">
        <f aca="false">COUNTIF(TT!$D$213:$D$220,TALLY!A29)</f>
        <v>0</v>
      </c>
      <c r="Q29" s="207" t="n">
        <f aca="false">COUNTIF(TT!$D$225:$D$239,TALLY!A29)</f>
        <v>0</v>
      </c>
      <c r="R29" s="207" t="n">
        <f aca="false">COUNTIF(TT!$D$244:$D$254,TALLY!A29)</f>
        <v>1</v>
      </c>
      <c r="S29" s="207" t="n">
        <f aca="false">COUNTIF(TT!$D$259:$D$268,TALLY!A29)</f>
        <v>0</v>
      </c>
      <c r="T29" s="209" t="n">
        <f aca="false">COUNTIF(TT!$D$271:$D$282,TALLY!A29)</f>
        <v>0</v>
      </c>
      <c r="U29" s="209" t="n">
        <f aca="false">COUNTIF(TT!$D$287:$D$298,TALLY!A29)</f>
        <v>0</v>
      </c>
      <c r="V29" s="209" t="n">
        <f aca="false">COUNTIF(TT!$D$303:$D$311,TALLY!A29)</f>
        <v>0</v>
      </c>
      <c r="W29" s="208" t="n">
        <f aca="false">COUNTIF(TT!$D$316:$D$337,TALLY!A29)</f>
        <v>1</v>
      </c>
      <c r="X29" s="208" t="n">
        <f aca="false">COUNTIF(TT!$D$342:$D$350,TALLY!A29)</f>
        <v>0</v>
      </c>
      <c r="Y29" s="208" t="n">
        <f aca="false">COUNTIF(TT!$D$357:$D$365,TALLY!A29)</f>
        <v>0</v>
      </c>
      <c r="Z29" s="209" t="n">
        <f aca="false">COUNTIF(TT!$D$370:$D$377,TALLY!A29)</f>
        <v>0</v>
      </c>
      <c r="AA29" s="209" t="n">
        <f aca="false">COUNTIF(TT!$D$382:$D$393,TALLY!A29)</f>
        <v>0</v>
      </c>
      <c r="AB29" s="209" t="n">
        <f aca="false">COUNTIF(TT!$D$398:$D$408,TALLY!A29)</f>
        <v>0</v>
      </c>
      <c r="AC29" s="208" t="n">
        <f aca="false">COUNTIF(TT!$D$413:$D$425,TALLY!A29)</f>
        <v>1</v>
      </c>
      <c r="AD29" s="208" t="n">
        <f aca="false">COUNTIF(TT!$D$430:$D$433,TALLY!A29)</f>
        <v>0</v>
      </c>
      <c r="AE29" s="208" t="n">
        <f aca="false">COUNTIF(TT!$D$454:$D$466,TALLY!A29)</f>
        <v>0</v>
      </c>
      <c r="AF29" s="207" t="n">
        <f aca="false">COUNTIF(TT!$D$471:$D$480,TALLY!A29)</f>
        <v>0</v>
      </c>
      <c r="AG29" s="207" t="n">
        <f aca="false">COUNTIF(TT!$D$487:$D$496,TALLY!A29)</f>
        <v>1</v>
      </c>
      <c r="AH29" s="207" t="n">
        <f aca="false">COUNTIF(TT!$D$501:$D$517,TALLY!A29)</f>
        <v>0</v>
      </c>
      <c r="AI29" s="208" t="n">
        <f aca="false">COUNTIF(TT!$D$522:$D$533,TALLY!A29)</f>
        <v>0</v>
      </c>
      <c r="AJ29" s="208" t="n">
        <f aca="false">COUNTIF(TT!$D$538:$D$550,TALLY!A29)</f>
        <v>0</v>
      </c>
      <c r="AK29" s="208" t="n">
        <f aca="false">COUNTIF(TT!$D$555:$D$569,TALLY!A29)</f>
        <v>0</v>
      </c>
      <c r="AL29" s="209" t="n">
        <f aca="false">COUNTIF(TT!$D$574:$D$582,TALLY!A29)</f>
        <v>0</v>
      </c>
      <c r="AM29" s="209" t="n">
        <f aca="false">COUNTIF(TT!$D$587:$D$593,TALLY!A29)</f>
        <v>0</v>
      </c>
      <c r="AN29" s="209" t="n">
        <f aca="false">COUNTIF(TT!$D$598:$D$606,TALLY!A29)</f>
        <v>0</v>
      </c>
      <c r="AO29" s="208" t="n">
        <f aca="false">COUNTIF(TT!$D$611:$D$620,TALLY!A29)</f>
        <v>1</v>
      </c>
      <c r="AP29" s="208" t="n">
        <f aca="false">COUNTIF(TT!$D$627:$D$639,TALLY!A29)</f>
        <v>0</v>
      </c>
      <c r="AQ29" s="208" t="n">
        <f aca="false">COUNTIF(TT!$D$645:$D$657,TALLY!A29)</f>
        <v>0</v>
      </c>
      <c r="AR29" s="209" t="n">
        <f aca="false">COUNTIF(TT!$D$663:$D$671,TALLY!A29)</f>
        <v>0</v>
      </c>
      <c r="AS29" s="209" t="n">
        <f aca="false">COUNTIF(TT!$D$677:$D$685,TALLY!A29)</f>
        <v>0</v>
      </c>
      <c r="AT29" s="209" t="n">
        <f aca="false">COUNTIF(TT!$D$689:$D$698,TALLY!A29)</f>
        <v>0</v>
      </c>
      <c r="AU29" s="211" t="s">
        <v>55</v>
      </c>
      <c r="AV29" s="208" t="n">
        <f aca="false">SUM($B29:$D29)</f>
        <v>1</v>
      </c>
      <c r="AW29" s="208" t="n">
        <f aca="false">SUM($E29:$G29)</f>
        <v>0</v>
      </c>
      <c r="AX29" s="208" t="n">
        <f aca="false">SUM($H29:$J29)</f>
        <v>0</v>
      </c>
      <c r="AY29" s="208" t="n">
        <f aca="false">SUM($K29:$M29)</f>
        <v>0</v>
      </c>
      <c r="AZ29" s="208" t="n">
        <f aca="false">SUM($N29:$P29)</f>
        <v>1</v>
      </c>
      <c r="BA29" s="208" t="n">
        <f aca="false">SUM($Q29:$S29)</f>
        <v>1</v>
      </c>
      <c r="BB29" s="208" t="n">
        <f aca="false">SUM($T29:$V29)</f>
        <v>0</v>
      </c>
      <c r="BC29" s="208" t="n">
        <f aca="false">SUM($W29:$Y29)</f>
        <v>1</v>
      </c>
      <c r="BD29" s="208" t="n">
        <f aca="false">SUM($Z29:$AB29)</f>
        <v>0</v>
      </c>
      <c r="BE29" s="208" t="n">
        <f aca="false">SUM($AC29:$AE29)</f>
        <v>1</v>
      </c>
      <c r="BF29" s="208" t="n">
        <f aca="false">SUM($AF29:$AH29)</f>
        <v>1</v>
      </c>
      <c r="BG29" s="208" t="n">
        <f aca="false">SUM($AI29:$AK29)</f>
        <v>0</v>
      </c>
      <c r="BH29" s="208" t="n">
        <f aca="false">SUM($AL29:$AN29)</f>
        <v>0</v>
      </c>
      <c r="BI29" s="208" t="n">
        <f aca="false">SUM($AO29:$AQ29)</f>
        <v>1</v>
      </c>
      <c r="BJ29" s="208" t="n">
        <f aca="false">SUM($AR29:$AT29)</f>
        <v>0</v>
      </c>
      <c r="BK29" s="196" t="n">
        <f aca="false">SUM(AV29:BJ29)</f>
        <v>7</v>
      </c>
    </row>
    <row r="30" customFormat="false" ht="16.4" hidden="false" customHeight="false" outlineLevel="0" collapsed="false">
      <c r="A30" s="211" t="s">
        <v>170</v>
      </c>
      <c r="B30" s="207" t="n">
        <f aca="false">COUNTIF(TT!$D$4:$D$9,TALLY!A30)</f>
        <v>0</v>
      </c>
      <c r="C30" s="207" t="n">
        <f aca="false">COUNTIF(TT!$D$15:$D$28,TALLY!A30)</f>
        <v>0</v>
      </c>
      <c r="D30" s="207" t="n">
        <f aca="false">COUNTIF(TT!$D$34:$D$41,TALLY!A30)</f>
        <v>0</v>
      </c>
      <c r="E30" s="208" t="n">
        <f aca="false">COUNTIF(TT!$D$47:$D$60,TALLY!A30)</f>
        <v>0</v>
      </c>
      <c r="F30" s="208" t="n">
        <f aca="false">COUNTIF(TT!$D$66:$D$79,TALLY!A30)</f>
        <v>0</v>
      </c>
      <c r="G30" s="208" t="n">
        <f aca="false">COUNTIF(TT!$D$84:$D$93,TALLY!A30)</f>
        <v>0</v>
      </c>
      <c r="H30" s="209" t="n">
        <f aca="false">COUNTIF(TT!$D$98:$D$106,TALLY!A30)</f>
        <v>0</v>
      </c>
      <c r="I30" s="209" t="n">
        <f aca="false">COUNTIF(TT!$D$111:$D$121,TALLY!A30)</f>
        <v>0</v>
      </c>
      <c r="J30" s="209" t="n">
        <f aca="false">COUNTIF(TT!$D$126:$D$134,TALLY!A30)</f>
        <v>1</v>
      </c>
      <c r="K30" s="208" t="n">
        <f aca="false">COUNTIF(TT!$D$139:$D$151,TALLY!A30)</f>
        <v>0</v>
      </c>
      <c r="L30" s="208" t="n">
        <f aca="false">COUNTIF(TT!$D$156:$D$164,TALLY!A30)</f>
        <v>0</v>
      </c>
      <c r="M30" s="208" t="n">
        <f aca="false">COUNTIF(TT!$D$169:$D$180,TALLY!A30)</f>
        <v>0</v>
      </c>
      <c r="N30" s="209" t="n">
        <f aca="false">COUNTIF(TT!$D$185:$D$197,TALLY!A30)</f>
        <v>1</v>
      </c>
      <c r="O30" s="209" t="n">
        <f aca="false">COUNTIF(TT!$D$202:$D$208,TALLY!A30)</f>
        <v>0</v>
      </c>
      <c r="P30" s="209" t="n">
        <f aca="false">COUNTIF(TT!$D$213:$D$220,TALLY!A30)</f>
        <v>0</v>
      </c>
      <c r="Q30" s="207" t="n">
        <f aca="false">COUNTIF(TT!$D$225:$D$239,TALLY!A30)</f>
        <v>0</v>
      </c>
      <c r="R30" s="207" t="n">
        <f aca="false">COUNTIF(TT!$D$244:$D$254,TALLY!A30)</f>
        <v>0</v>
      </c>
      <c r="S30" s="207" t="n">
        <f aca="false">COUNTIF(TT!$D$259:$D$268,TALLY!A30)</f>
        <v>0</v>
      </c>
      <c r="T30" s="209" t="n">
        <f aca="false">COUNTIF(TT!$D$271:$D$282,TALLY!A30)</f>
        <v>1</v>
      </c>
      <c r="U30" s="209" t="n">
        <f aca="false">COUNTIF(TT!$D$287:$D$298,TALLY!A30)</f>
        <v>0</v>
      </c>
      <c r="V30" s="209" t="n">
        <f aca="false">COUNTIF(TT!$D$303:$D$311,TALLY!A30)</f>
        <v>0</v>
      </c>
      <c r="W30" s="208" t="n">
        <f aca="false">COUNTIF(TT!$D$316:$D$337,TALLY!A30)</f>
        <v>1</v>
      </c>
      <c r="X30" s="208" t="n">
        <f aca="false">COUNTIF(TT!$D$342:$D$350,TALLY!A30)</f>
        <v>0</v>
      </c>
      <c r="Y30" s="208" t="n">
        <f aca="false">COUNTIF(TT!$D$357:$D$365,TALLY!A30)</f>
        <v>0</v>
      </c>
      <c r="Z30" s="209" t="n">
        <f aca="false">COUNTIF(TT!$D$370:$D$377,TALLY!A30)</f>
        <v>0</v>
      </c>
      <c r="AA30" s="209" t="n">
        <f aca="false">COUNTIF(TT!$D$382:$D$393,TALLY!A30)</f>
        <v>0</v>
      </c>
      <c r="AB30" s="209" t="n">
        <f aca="false">COUNTIF(TT!$D$398:$D$408,TALLY!A30)</f>
        <v>0</v>
      </c>
      <c r="AC30" s="208" t="n">
        <f aca="false">COUNTIF(TT!$D$413:$D$425,TALLY!A30)</f>
        <v>1</v>
      </c>
      <c r="AD30" s="208" t="n">
        <f aca="false">COUNTIF(TT!$D$430:$D$433,TALLY!A30)</f>
        <v>0</v>
      </c>
      <c r="AE30" s="208" t="n">
        <f aca="false">COUNTIF(TT!$D$454:$D$466,TALLY!A30)</f>
        <v>0</v>
      </c>
      <c r="AF30" s="207" t="n">
        <f aca="false">COUNTIF(TT!$D$471:$D$480,TALLY!A30)</f>
        <v>0</v>
      </c>
      <c r="AG30" s="207" t="n">
        <f aca="false">COUNTIF(TT!$D$487:$D$496,TALLY!A30)</f>
        <v>0</v>
      </c>
      <c r="AH30" s="207" t="n">
        <f aca="false">COUNTIF(TT!$D$501:$D$517,TALLY!A30)</f>
        <v>0</v>
      </c>
      <c r="AI30" s="208" t="n">
        <f aca="false">COUNTIF(TT!$D$522:$D$533,TALLY!A30)</f>
        <v>0</v>
      </c>
      <c r="AJ30" s="208" t="n">
        <f aca="false">COUNTIF(TT!$D$538:$D$550,TALLY!A30)</f>
        <v>0</v>
      </c>
      <c r="AK30" s="208" t="n">
        <f aca="false">COUNTIF(TT!$D$555:$D$569,TALLY!A30)</f>
        <v>0</v>
      </c>
      <c r="AL30" s="209" t="n">
        <f aca="false">COUNTIF(TT!$D$574:$D$582,TALLY!A30)</f>
        <v>0</v>
      </c>
      <c r="AM30" s="209" t="n">
        <f aca="false">COUNTIF(TT!$D$587:$D$593,TALLY!A30)</f>
        <v>1</v>
      </c>
      <c r="AN30" s="209" t="n">
        <f aca="false">COUNTIF(TT!$D$598:$D$606,TALLY!A30)</f>
        <v>0</v>
      </c>
      <c r="AO30" s="208" t="n">
        <f aca="false">COUNTIF(TT!$D$611:$D$620,TALLY!A30)</f>
        <v>0</v>
      </c>
      <c r="AP30" s="208" t="n">
        <f aca="false">COUNTIF(TT!$D$627:$D$639,TALLY!A30)</f>
        <v>0</v>
      </c>
      <c r="AQ30" s="208" t="n">
        <f aca="false">COUNTIF(TT!$D$645:$D$657,TALLY!A30)</f>
        <v>0</v>
      </c>
      <c r="AR30" s="209" t="n">
        <f aca="false">COUNTIF(TT!$D$663:$D$671,TALLY!A30)</f>
        <v>0</v>
      </c>
      <c r="AS30" s="209" t="n">
        <f aca="false">COUNTIF(TT!$D$677:$D$685,TALLY!A30)</f>
        <v>0</v>
      </c>
      <c r="AT30" s="209" t="n">
        <f aca="false">COUNTIF(TT!$D$689:$D$698,TALLY!A30)</f>
        <v>0</v>
      </c>
      <c r="AU30" s="211" t="s">
        <v>170</v>
      </c>
      <c r="AV30" s="208" t="n">
        <f aca="false">SUM($B30:$D30)</f>
        <v>0</v>
      </c>
      <c r="AW30" s="208" t="n">
        <f aca="false">SUM($E30:$G30)</f>
        <v>0</v>
      </c>
      <c r="AX30" s="208" t="n">
        <f aca="false">SUM($H30:$J30)</f>
        <v>1</v>
      </c>
      <c r="AY30" s="208" t="n">
        <f aca="false">SUM($K30:$M30)</f>
        <v>0</v>
      </c>
      <c r="AZ30" s="208" t="n">
        <f aca="false">SUM($N30:$P30)</f>
        <v>1</v>
      </c>
      <c r="BA30" s="208" t="n">
        <f aca="false">SUM($Q30:$S30)</f>
        <v>0</v>
      </c>
      <c r="BB30" s="208" t="n">
        <f aca="false">SUM($T30:$V30)</f>
        <v>1</v>
      </c>
      <c r="BC30" s="208" t="n">
        <f aca="false">SUM($W30:$Y30)</f>
        <v>1</v>
      </c>
      <c r="BD30" s="208" t="n">
        <f aca="false">SUM($Z30:$AB30)</f>
        <v>0</v>
      </c>
      <c r="BE30" s="208" t="n">
        <f aca="false">SUM($AC30:$AE30)</f>
        <v>1</v>
      </c>
      <c r="BF30" s="208" t="n">
        <f aca="false">SUM($AF30:$AH30)</f>
        <v>0</v>
      </c>
      <c r="BG30" s="208" t="n">
        <f aca="false">SUM($AI30:$AK30)</f>
        <v>0</v>
      </c>
      <c r="BH30" s="208" t="n">
        <f aca="false">SUM($AL30:$AN30)</f>
        <v>1</v>
      </c>
      <c r="BI30" s="208" t="n">
        <f aca="false">SUM($AO30:$AQ30)</f>
        <v>0</v>
      </c>
      <c r="BJ30" s="208" t="n">
        <f aca="false">SUM($AR30:$AT30)</f>
        <v>0</v>
      </c>
      <c r="BK30" s="196" t="n">
        <f aca="false">SUM(AV30:BJ30)</f>
        <v>6</v>
      </c>
    </row>
    <row r="31" customFormat="false" ht="16.4" hidden="false" customHeight="false" outlineLevel="0" collapsed="false">
      <c r="A31" s="211" t="s">
        <v>38</v>
      </c>
      <c r="B31" s="207" t="n">
        <f aca="false">COUNTIF(TT!$D$4:$D$9,TALLY!A31)</f>
        <v>0</v>
      </c>
      <c r="C31" s="207" t="n">
        <f aca="false">COUNTIF(TT!$D$15:$D$28,TALLY!A31)</f>
        <v>1</v>
      </c>
      <c r="D31" s="207" t="n">
        <f aca="false">COUNTIF(TT!$D$34:$D$41,TALLY!A31)</f>
        <v>0</v>
      </c>
      <c r="E31" s="208" t="n">
        <f aca="false">COUNTIF(TT!$D$47:$D$60,TALLY!A31)</f>
        <v>0</v>
      </c>
      <c r="F31" s="208" t="n">
        <f aca="false">COUNTIF(TT!$D$66:$D$79,TALLY!A31)</f>
        <v>0</v>
      </c>
      <c r="G31" s="208" t="n">
        <f aca="false">COUNTIF(TT!$D$84:$D$93,TALLY!A31)</f>
        <v>0</v>
      </c>
      <c r="H31" s="209" t="n">
        <f aca="false">COUNTIF(TT!$D$98:$D$106,TALLY!A31)</f>
        <v>1</v>
      </c>
      <c r="I31" s="209" t="n">
        <f aca="false">COUNTIF(TT!$D$111:$D$121,TALLY!A31)</f>
        <v>0</v>
      </c>
      <c r="J31" s="209" t="n">
        <f aca="false">COUNTIF(TT!$D$126:$D$134,TALLY!A31)</f>
        <v>0</v>
      </c>
      <c r="K31" s="208" t="n">
        <f aca="false">COUNTIF(TT!$D$139:$D$151,TALLY!A31)</f>
        <v>0</v>
      </c>
      <c r="L31" s="208" t="n">
        <f aca="false">COUNTIF(TT!$D$156:$D$164,TALLY!A31)</f>
        <v>0</v>
      </c>
      <c r="M31" s="208" t="n">
        <f aca="false">COUNTIF(TT!$D$169:$D$180,TALLY!A31)</f>
        <v>0</v>
      </c>
      <c r="N31" s="209" t="n">
        <f aca="false">COUNTIF(TT!$D$185:$D$197,TALLY!A31)</f>
        <v>1</v>
      </c>
      <c r="O31" s="209" t="n">
        <f aca="false">COUNTIF(TT!$D$202:$D$208,TALLY!A31)</f>
        <v>0</v>
      </c>
      <c r="P31" s="209" t="n">
        <f aca="false">COUNTIF(TT!$D$213:$D$220,TALLY!A31)</f>
        <v>0</v>
      </c>
      <c r="Q31" s="207" t="n">
        <f aca="false">COUNTIF(TT!$D$225:$D$239,TALLY!A31)</f>
        <v>0</v>
      </c>
      <c r="R31" s="207" t="n">
        <f aca="false">COUNTIF(TT!$D$244:$D$254,TALLY!A31)</f>
        <v>0</v>
      </c>
      <c r="S31" s="207" t="n">
        <f aca="false">COUNTIF(TT!$D$259:$D$268,TALLY!A31)</f>
        <v>0</v>
      </c>
      <c r="T31" s="209" t="n">
        <f aca="false">COUNTIF(TT!$D$271:$D$282,TALLY!A31)</f>
        <v>1</v>
      </c>
      <c r="U31" s="209" t="n">
        <f aca="false">COUNTIF(TT!$D$287:$D$298,TALLY!A31)</f>
        <v>0</v>
      </c>
      <c r="V31" s="209" t="n">
        <f aca="false">COUNTIF(TT!$D$303:$D$311,TALLY!A31)</f>
        <v>0</v>
      </c>
      <c r="W31" s="208" t="n">
        <f aca="false">COUNTIF(TT!$D$316:$D$337,TALLY!A31)</f>
        <v>1</v>
      </c>
      <c r="X31" s="208" t="n">
        <f aca="false">COUNTIF(TT!$D$342:$D$350,TALLY!A31)</f>
        <v>0</v>
      </c>
      <c r="Y31" s="208" t="n">
        <f aca="false">COUNTIF(TT!$D$357:$D$365,TALLY!A31)</f>
        <v>0</v>
      </c>
      <c r="Z31" s="209" t="n">
        <f aca="false">COUNTIF(TT!$D$370:$D$377,TALLY!A31)</f>
        <v>1</v>
      </c>
      <c r="AA31" s="209" t="n">
        <f aca="false">COUNTIF(TT!$D$382:$D$393,TALLY!A31)</f>
        <v>0</v>
      </c>
      <c r="AB31" s="209" t="n">
        <f aca="false">COUNTIF(TT!$D$398:$D$408,TALLY!A31)</f>
        <v>0</v>
      </c>
      <c r="AC31" s="208" t="n">
        <f aca="false">COUNTIF(TT!$D$413:$D$425,TALLY!A31)</f>
        <v>0</v>
      </c>
      <c r="AD31" s="208" t="n">
        <f aca="false">COUNTIF(TT!$D$430:$D$433,TALLY!A31)</f>
        <v>0</v>
      </c>
      <c r="AE31" s="208" t="n">
        <f aca="false">COUNTIF(TT!$D$454:$D$466,TALLY!A31)</f>
        <v>0</v>
      </c>
      <c r="AF31" s="207" t="n">
        <f aca="false">COUNTIF(TT!$D$471:$D$480,TALLY!A31)</f>
        <v>1</v>
      </c>
      <c r="AG31" s="207" t="n">
        <f aca="false">COUNTIF(TT!$D$487:$D$496,TALLY!A31)</f>
        <v>0</v>
      </c>
      <c r="AH31" s="207" t="n">
        <f aca="false">COUNTIF(TT!$D$501:$D$517,TALLY!A31)</f>
        <v>0</v>
      </c>
      <c r="AI31" s="208" t="n">
        <f aca="false">COUNTIF(TT!$D$522:$D$533,TALLY!A31)</f>
        <v>1</v>
      </c>
      <c r="AJ31" s="208" t="n">
        <f aca="false">COUNTIF(TT!$D$538:$D$550,TALLY!A31)</f>
        <v>0</v>
      </c>
      <c r="AK31" s="208" t="n">
        <f aca="false">COUNTIF(TT!$D$555:$D$569,TALLY!A31)</f>
        <v>0</v>
      </c>
      <c r="AL31" s="209" t="n">
        <f aca="false">COUNTIF(TT!$D$574:$D$582,TALLY!A31)</f>
        <v>0</v>
      </c>
      <c r="AM31" s="209" t="n">
        <f aca="false">COUNTIF(TT!$D$587:$D$593,TALLY!A31)</f>
        <v>0</v>
      </c>
      <c r="AN31" s="209" t="n">
        <f aca="false">COUNTIF(TT!$D$598:$D$606,TALLY!A31)</f>
        <v>0</v>
      </c>
      <c r="AO31" s="208" t="n">
        <f aca="false">COUNTIF(TT!$D$611:$D$620,TALLY!A31)</f>
        <v>0</v>
      </c>
      <c r="AP31" s="208" t="n">
        <f aca="false">COUNTIF(TT!$D$627:$D$639,TALLY!A31)</f>
        <v>0</v>
      </c>
      <c r="AQ31" s="208" t="n">
        <f aca="false">COUNTIF(TT!$D$645:$D$657,TALLY!A31)</f>
        <v>0</v>
      </c>
      <c r="AR31" s="209" t="n">
        <f aca="false">COUNTIF(TT!$D$663:$D$671,TALLY!A31)</f>
        <v>0</v>
      </c>
      <c r="AS31" s="209" t="n">
        <f aca="false">COUNTIF(TT!$D$677:$D$685,TALLY!A31)</f>
        <v>0</v>
      </c>
      <c r="AT31" s="209" t="n">
        <f aca="false">COUNTIF(TT!$D$689:$D$698,TALLY!A31)</f>
        <v>0</v>
      </c>
      <c r="AU31" s="211" t="s">
        <v>38</v>
      </c>
      <c r="AV31" s="208" t="n">
        <f aca="false">SUM($B31:$D31)</f>
        <v>1</v>
      </c>
      <c r="AW31" s="208" t="n">
        <f aca="false">SUM($E31:$G31)</f>
        <v>0</v>
      </c>
      <c r="AX31" s="208" t="n">
        <f aca="false">SUM($H31:$J31)</f>
        <v>1</v>
      </c>
      <c r="AY31" s="208" t="n">
        <f aca="false">SUM($K31:$M31)</f>
        <v>0</v>
      </c>
      <c r="AZ31" s="208" t="n">
        <f aca="false">SUM($N31:$P31)</f>
        <v>1</v>
      </c>
      <c r="BA31" s="208" t="n">
        <f aca="false">SUM($Q31:$S31)</f>
        <v>0</v>
      </c>
      <c r="BB31" s="208" t="n">
        <f aca="false">SUM($T31:$V31)</f>
        <v>1</v>
      </c>
      <c r="BC31" s="208" t="n">
        <f aca="false">SUM($W31:$Y31)</f>
        <v>1</v>
      </c>
      <c r="BD31" s="208" t="n">
        <f aca="false">SUM($Z31:$AB31)</f>
        <v>1</v>
      </c>
      <c r="BE31" s="208" t="n">
        <f aca="false">SUM($AC31:$AE31)</f>
        <v>0</v>
      </c>
      <c r="BF31" s="208" t="n">
        <f aca="false">SUM($AF31:$AH31)</f>
        <v>1</v>
      </c>
      <c r="BG31" s="208" t="n">
        <f aca="false">SUM($AI31:$AK31)</f>
        <v>1</v>
      </c>
      <c r="BH31" s="208" t="n">
        <f aca="false">SUM($AL31:$AN31)</f>
        <v>0</v>
      </c>
      <c r="BI31" s="208" t="n">
        <f aca="false">SUM($AO31:$AQ31)</f>
        <v>0</v>
      </c>
      <c r="BJ31" s="208" t="n">
        <f aca="false">SUM($AR31:$AT31)</f>
        <v>0</v>
      </c>
      <c r="BK31" s="196" t="n">
        <f aca="false">SUM(AV31:BJ31)</f>
        <v>8</v>
      </c>
    </row>
    <row r="32" customFormat="false" ht="16.4" hidden="false" customHeight="false" outlineLevel="0" collapsed="false">
      <c r="A32" s="211" t="s">
        <v>42</v>
      </c>
      <c r="B32" s="207" t="n">
        <f aca="false">COUNTIF(TT!$D$4:$D$9,TALLY!A32)</f>
        <v>0</v>
      </c>
      <c r="C32" s="207" t="n">
        <f aca="false">COUNTIF(TT!$D$15:$D$28,TALLY!A32)</f>
        <v>1</v>
      </c>
      <c r="D32" s="207" t="n">
        <f aca="false">COUNTIF(TT!$D$34:$D$41,TALLY!A32)</f>
        <v>0</v>
      </c>
      <c r="E32" s="208" t="n">
        <f aca="false">COUNTIF(TT!$D$47:$D$60,TALLY!A32)</f>
        <v>1</v>
      </c>
      <c r="F32" s="208" t="n">
        <f aca="false">COUNTIF(TT!$D$66:$D$79,TALLY!A32)</f>
        <v>0</v>
      </c>
      <c r="G32" s="208" t="n">
        <f aca="false">COUNTIF(TT!$D$84:$D$93,TALLY!A32)</f>
        <v>0</v>
      </c>
      <c r="H32" s="209" t="n">
        <f aca="false">COUNTIF(TT!$D$98:$D$106,TALLY!A32)</f>
        <v>1</v>
      </c>
      <c r="I32" s="209" t="n">
        <f aca="false">COUNTIF(TT!$D$111:$D$121,TALLY!A32)</f>
        <v>0</v>
      </c>
      <c r="J32" s="209" t="n">
        <f aca="false">COUNTIF(TT!$D$126:$D$134,TALLY!A32)</f>
        <v>0</v>
      </c>
      <c r="K32" s="208" t="n">
        <f aca="false">COUNTIF(TT!$D$139:$D$151,TALLY!A32)</f>
        <v>0</v>
      </c>
      <c r="L32" s="208" t="n">
        <f aca="false">COUNTIF(TT!$D$156:$D$164,TALLY!A32)</f>
        <v>0</v>
      </c>
      <c r="M32" s="208" t="n">
        <f aca="false">COUNTIF(TT!$D$169:$D$180,TALLY!A32)</f>
        <v>0</v>
      </c>
      <c r="N32" s="209" t="n">
        <f aca="false">COUNTIF(TT!$D$185:$D$197,TALLY!A32)</f>
        <v>1</v>
      </c>
      <c r="O32" s="209" t="n">
        <f aca="false">COUNTIF(TT!$D$202:$D$208,TALLY!A32)</f>
        <v>0</v>
      </c>
      <c r="P32" s="209" t="n">
        <f aca="false">COUNTIF(TT!$D$213:$D$220,TALLY!A32)</f>
        <v>0</v>
      </c>
      <c r="Q32" s="207" t="n">
        <f aca="false">COUNTIF(TT!$D$225:$D$239,TALLY!A32)</f>
        <v>0</v>
      </c>
      <c r="R32" s="207" t="n">
        <f aca="false">COUNTIF(TT!$D$244:$D$254,TALLY!A32)</f>
        <v>0</v>
      </c>
      <c r="S32" s="207" t="n">
        <f aca="false">COUNTIF(TT!$D$259:$D$268,TALLY!A32)</f>
        <v>0</v>
      </c>
      <c r="T32" s="209" t="n">
        <f aca="false">COUNTIF(TT!$D$271:$D$282,TALLY!A32)</f>
        <v>1</v>
      </c>
      <c r="U32" s="209" t="n">
        <f aca="false">COUNTIF(TT!$D$287:$D$298,TALLY!A32)</f>
        <v>0</v>
      </c>
      <c r="V32" s="209" t="n">
        <f aca="false">COUNTIF(TT!$D$303:$D$311,TALLY!A32)</f>
        <v>0</v>
      </c>
      <c r="W32" s="208" t="n">
        <f aca="false">COUNTIF(TT!$D$316:$D$337,TALLY!A32)</f>
        <v>0</v>
      </c>
      <c r="X32" s="208" t="n">
        <f aca="false">COUNTIF(TT!$D$342:$D$350,TALLY!A32)</f>
        <v>0</v>
      </c>
      <c r="Y32" s="208" t="n">
        <f aca="false">COUNTIF(TT!$D$357:$D$365,TALLY!A32)</f>
        <v>0</v>
      </c>
      <c r="Z32" s="209" t="n">
        <f aca="false">COUNTIF(TT!$D$370:$D$377,TALLY!A32)</f>
        <v>1</v>
      </c>
      <c r="AA32" s="209" t="n">
        <f aca="false">COUNTIF(TT!$D$382:$D$393,TALLY!A32)</f>
        <v>0</v>
      </c>
      <c r="AB32" s="209" t="n">
        <f aca="false">COUNTIF(TT!$D$398:$D$408,TALLY!A32)</f>
        <v>0</v>
      </c>
      <c r="AC32" s="208" t="n">
        <f aca="false">COUNTIF(TT!$D$413:$D$425,TALLY!A32)</f>
        <v>0</v>
      </c>
      <c r="AD32" s="208" t="n">
        <f aca="false">COUNTIF(TT!$D$430:$D$433,TALLY!A32)</f>
        <v>0</v>
      </c>
      <c r="AE32" s="208" t="n">
        <f aca="false">COUNTIF(TT!$D$454:$D$466,TALLY!A32)</f>
        <v>0</v>
      </c>
      <c r="AF32" s="207" t="n">
        <f aca="false">COUNTIF(TT!$D$471:$D$480,TALLY!A32)</f>
        <v>1</v>
      </c>
      <c r="AG32" s="207" t="n">
        <f aca="false">COUNTIF(TT!$D$487:$D$496,TALLY!A32)</f>
        <v>0</v>
      </c>
      <c r="AH32" s="207" t="n">
        <f aca="false">COUNTIF(TT!$D$501:$D$517,TALLY!A32)</f>
        <v>0</v>
      </c>
      <c r="AI32" s="208" t="n">
        <f aca="false">COUNTIF(TT!$D$522:$D$533,TALLY!A32)</f>
        <v>0</v>
      </c>
      <c r="AJ32" s="208" t="n">
        <f aca="false">COUNTIF(TT!$D$538:$D$550,TALLY!A32)</f>
        <v>0</v>
      </c>
      <c r="AK32" s="208" t="n">
        <f aca="false">COUNTIF(TT!$D$555:$D$569,TALLY!A32)</f>
        <v>0</v>
      </c>
      <c r="AL32" s="209" t="n">
        <f aca="false">COUNTIF(TT!$D$574:$D$582,TALLY!A32)</f>
        <v>1</v>
      </c>
      <c r="AM32" s="209" t="n">
        <f aca="false">COUNTIF(TT!$D$587:$D$593,TALLY!A32)</f>
        <v>0</v>
      </c>
      <c r="AN32" s="209" t="n">
        <f aca="false">COUNTIF(TT!$D$598:$D$606,TALLY!A32)</f>
        <v>0</v>
      </c>
      <c r="AO32" s="208" t="n">
        <f aca="false">COUNTIF(TT!$D$611:$D$620,TALLY!A32)</f>
        <v>0</v>
      </c>
      <c r="AP32" s="208" t="n">
        <f aca="false">COUNTIF(TT!$D$627:$D$639,TALLY!A32)</f>
        <v>0</v>
      </c>
      <c r="AQ32" s="208" t="n">
        <f aca="false">COUNTIF(TT!$D$645:$D$657,TALLY!A32)</f>
        <v>0</v>
      </c>
      <c r="AR32" s="209" t="n">
        <f aca="false">COUNTIF(TT!$D$663:$D$671,TALLY!A32)</f>
        <v>0</v>
      </c>
      <c r="AS32" s="209" t="n">
        <f aca="false">COUNTIF(TT!$D$677:$D$685,TALLY!A32)</f>
        <v>0</v>
      </c>
      <c r="AT32" s="209" t="n">
        <f aca="false">COUNTIF(TT!$D$689:$D$698,TALLY!A32)</f>
        <v>0</v>
      </c>
      <c r="AU32" s="211" t="s">
        <v>42</v>
      </c>
      <c r="AV32" s="208" t="n">
        <f aca="false">SUM($B32:$D32)</f>
        <v>1</v>
      </c>
      <c r="AW32" s="208" t="n">
        <f aca="false">SUM($E32:$G32)</f>
        <v>1</v>
      </c>
      <c r="AX32" s="208" t="n">
        <f aca="false">SUM($H32:$J32)</f>
        <v>1</v>
      </c>
      <c r="AY32" s="208" t="n">
        <f aca="false">SUM($K32:$M32)</f>
        <v>0</v>
      </c>
      <c r="AZ32" s="208" t="n">
        <f aca="false">SUM($N32:$P32)</f>
        <v>1</v>
      </c>
      <c r="BA32" s="208" t="n">
        <f aca="false">SUM($Q32:$S32)</f>
        <v>0</v>
      </c>
      <c r="BB32" s="208" t="n">
        <f aca="false">SUM($T32:$V32)</f>
        <v>1</v>
      </c>
      <c r="BC32" s="208" t="n">
        <f aca="false">SUM($W32:$Y32)</f>
        <v>0</v>
      </c>
      <c r="BD32" s="208" t="n">
        <f aca="false">SUM($Z32:$AB32)</f>
        <v>1</v>
      </c>
      <c r="BE32" s="208" t="n">
        <f aca="false">SUM($AC32:$AE32)</f>
        <v>0</v>
      </c>
      <c r="BF32" s="208" t="n">
        <f aca="false">SUM($AF32:$AH32)</f>
        <v>1</v>
      </c>
      <c r="BG32" s="208" t="n">
        <f aca="false">SUM($AI32:$AK32)</f>
        <v>0</v>
      </c>
      <c r="BH32" s="208" t="n">
        <f aca="false">SUM($AL32:$AN32)</f>
        <v>1</v>
      </c>
      <c r="BI32" s="208" t="n">
        <f aca="false">SUM($AO32:$AQ32)</f>
        <v>0</v>
      </c>
      <c r="BJ32" s="208" t="n">
        <f aca="false">SUM($AR32:$AT32)</f>
        <v>0</v>
      </c>
      <c r="BK32" s="196" t="n">
        <f aca="false">SUM(AV32:BJ32)</f>
        <v>8</v>
      </c>
    </row>
    <row r="33" customFormat="false" ht="16.4" hidden="false" customHeight="false" outlineLevel="0" collapsed="false">
      <c r="A33" s="211" t="s">
        <v>33</v>
      </c>
      <c r="B33" s="207" t="n">
        <f aca="false">COUNTIF(TT!$D$4:$D$9,TALLY!A33)</f>
        <v>0</v>
      </c>
      <c r="C33" s="207" t="n">
        <f aca="false">COUNTIF(TT!$D$15:$D$28,TALLY!A33)</f>
        <v>1</v>
      </c>
      <c r="D33" s="207" t="n">
        <f aca="false">COUNTIF(TT!$D$34:$D$41,TALLY!A33)</f>
        <v>0</v>
      </c>
      <c r="E33" s="208" t="n">
        <f aca="false">COUNTIF(TT!$D$47:$D$60,TALLY!A33)</f>
        <v>0</v>
      </c>
      <c r="F33" s="208" t="n">
        <f aca="false">COUNTIF(TT!$D$66:$D$79,TALLY!A33)</f>
        <v>0</v>
      </c>
      <c r="G33" s="208" t="n">
        <f aca="false">COUNTIF(TT!$D$84:$D$93,TALLY!A33)</f>
        <v>0</v>
      </c>
      <c r="H33" s="209" t="n">
        <f aca="false">COUNTIF(TT!$D$98:$D$106,TALLY!A33)</f>
        <v>1</v>
      </c>
      <c r="I33" s="209" t="n">
        <f aca="false">COUNTIF(TT!$D$111:$D$121,TALLY!A33)</f>
        <v>0</v>
      </c>
      <c r="J33" s="209" t="n">
        <f aca="false">COUNTIF(TT!$D$126:$D$134,TALLY!A33)</f>
        <v>0</v>
      </c>
      <c r="K33" s="208" t="n">
        <f aca="false">COUNTIF(TT!$D$139:$D$151,TALLY!A33)</f>
        <v>0</v>
      </c>
      <c r="L33" s="208" t="n">
        <f aca="false">COUNTIF(TT!$D$156:$D$164,TALLY!A33)</f>
        <v>0</v>
      </c>
      <c r="M33" s="208" t="n">
        <f aca="false">COUNTIF(TT!$D$169:$D$180,TALLY!A33)</f>
        <v>0</v>
      </c>
      <c r="N33" s="209" t="n">
        <f aca="false">COUNTIF(TT!$D$185:$D$197,TALLY!A33)</f>
        <v>0</v>
      </c>
      <c r="O33" s="209" t="n">
        <f aca="false">COUNTIF(TT!$D$202:$D$208,TALLY!A33)</f>
        <v>0</v>
      </c>
      <c r="P33" s="209" t="n">
        <f aca="false">COUNTIF(TT!$D$213:$D$220,TALLY!A33)</f>
        <v>1</v>
      </c>
      <c r="Q33" s="207" t="n">
        <f aca="false">COUNTIF(TT!$D$225:$D$239,TALLY!A33)</f>
        <v>0</v>
      </c>
      <c r="R33" s="207" t="n">
        <f aca="false">COUNTIF(TT!$D$244:$D$254,TALLY!A33)</f>
        <v>0</v>
      </c>
      <c r="S33" s="207" t="n">
        <f aca="false">COUNTIF(TT!$D$259:$D$268,TALLY!A33)</f>
        <v>0</v>
      </c>
      <c r="T33" s="209" t="n">
        <f aca="false">COUNTIF(TT!$D$271:$D$282,TALLY!A33)</f>
        <v>1</v>
      </c>
      <c r="U33" s="209" t="n">
        <f aca="false">COUNTIF(TT!$D$287:$D$298,TALLY!A33)</f>
        <v>0</v>
      </c>
      <c r="V33" s="209" t="n">
        <f aca="false">COUNTIF(TT!$D$303:$D$311,TALLY!A33)</f>
        <v>0</v>
      </c>
      <c r="W33" s="208" t="n">
        <f aca="false">COUNTIF(TT!$D$316:$D$337,TALLY!A33)</f>
        <v>0</v>
      </c>
      <c r="X33" s="208" t="n">
        <f aca="false">COUNTIF(TT!$D$342:$D$350,TALLY!A33)</f>
        <v>0</v>
      </c>
      <c r="Y33" s="208" t="n">
        <f aca="false">COUNTIF(TT!$D$357:$D$365,TALLY!A33)</f>
        <v>0</v>
      </c>
      <c r="Z33" s="209" t="n">
        <f aca="false">COUNTIF(TT!$D$370:$D$377,TALLY!A33)</f>
        <v>0</v>
      </c>
      <c r="AA33" s="209" t="n">
        <f aca="false">COUNTIF(TT!$D$382:$D$393,TALLY!A33)</f>
        <v>0</v>
      </c>
      <c r="AB33" s="209" t="n">
        <f aca="false">COUNTIF(TT!$D$398:$D$408,TALLY!A33)</f>
        <v>0</v>
      </c>
      <c r="AC33" s="208" t="n">
        <f aca="false">COUNTIF(TT!$D$413:$D$425,TALLY!A33)</f>
        <v>0</v>
      </c>
      <c r="AD33" s="208" t="n">
        <f aca="false">COUNTIF(TT!$D$430:$D$433,TALLY!A33)</f>
        <v>0</v>
      </c>
      <c r="AE33" s="208" t="n">
        <f aca="false">COUNTIF(TT!$D$454:$D$466,TALLY!A33)</f>
        <v>0</v>
      </c>
      <c r="AF33" s="207" t="n">
        <f aca="false">COUNTIF(TT!$D$471:$D$480,TALLY!A33)</f>
        <v>1</v>
      </c>
      <c r="AG33" s="207" t="n">
        <f aca="false">COUNTIF(TT!$D$487:$D$496,TALLY!A33)</f>
        <v>0</v>
      </c>
      <c r="AH33" s="207" t="n">
        <f aca="false">COUNTIF(TT!$D$501:$D$517,TALLY!A33)</f>
        <v>0</v>
      </c>
      <c r="AI33" s="208" t="n">
        <f aca="false">COUNTIF(TT!$D$522:$D$533,TALLY!A33)</f>
        <v>1</v>
      </c>
      <c r="AJ33" s="208" t="n">
        <f aca="false">COUNTIF(TT!$D$538:$D$550,TALLY!A33)</f>
        <v>0</v>
      </c>
      <c r="AK33" s="208" t="n">
        <f aca="false">COUNTIF(TT!$D$555:$D$569,TALLY!A33)</f>
        <v>0</v>
      </c>
      <c r="AL33" s="209" t="n">
        <f aca="false">COUNTIF(TT!$D$574:$D$582,TALLY!A33)</f>
        <v>0</v>
      </c>
      <c r="AM33" s="209" t="n">
        <f aca="false">COUNTIF(TT!$D$587:$D$593,TALLY!A33)</f>
        <v>0</v>
      </c>
      <c r="AN33" s="209" t="n">
        <f aca="false">COUNTIF(TT!$D$598:$D$606,TALLY!A33)</f>
        <v>0</v>
      </c>
      <c r="AO33" s="208" t="n">
        <f aca="false">COUNTIF(TT!$D$611:$D$620,TALLY!A33)</f>
        <v>0</v>
      </c>
      <c r="AP33" s="208" t="n">
        <f aca="false">COUNTIF(TT!$D$627:$D$639,TALLY!A33)</f>
        <v>0</v>
      </c>
      <c r="AQ33" s="208" t="n">
        <f aca="false">COUNTIF(TT!$D$645:$D$657,TALLY!A33)</f>
        <v>0</v>
      </c>
      <c r="AR33" s="209" t="n">
        <f aca="false">COUNTIF(TT!$D$663:$D$671,TALLY!A33)</f>
        <v>0</v>
      </c>
      <c r="AS33" s="209" t="n">
        <f aca="false">COUNTIF(TT!$D$677:$D$685,TALLY!A33)</f>
        <v>0</v>
      </c>
      <c r="AT33" s="209" t="n">
        <f aca="false">COUNTIF(TT!$D$689:$D$698,TALLY!A33)</f>
        <v>0</v>
      </c>
      <c r="AU33" s="211" t="s">
        <v>33</v>
      </c>
      <c r="AV33" s="208" t="n">
        <f aca="false">SUM($B33:$D33)</f>
        <v>1</v>
      </c>
      <c r="AW33" s="208" t="n">
        <f aca="false">SUM($E33:$G33)</f>
        <v>0</v>
      </c>
      <c r="AX33" s="208" t="n">
        <f aca="false">SUM($H33:$J33)</f>
        <v>1</v>
      </c>
      <c r="AY33" s="208" t="n">
        <f aca="false">SUM($K33:$M33)</f>
        <v>0</v>
      </c>
      <c r="AZ33" s="208" t="n">
        <f aca="false">SUM($N33:$P33)</f>
        <v>1</v>
      </c>
      <c r="BA33" s="208" t="n">
        <f aca="false">SUM($Q33:$S33)</f>
        <v>0</v>
      </c>
      <c r="BB33" s="208" t="n">
        <f aca="false">SUM($T33:$V33)</f>
        <v>1</v>
      </c>
      <c r="BC33" s="208" t="n">
        <f aca="false">SUM($W33:$Y33)</f>
        <v>0</v>
      </c>
      <c r="BD33" s="208" t="n">
        <f aca="false">SUM($Z33:$AB33)</f>
        <v>0</v>
      </c>
      <c r="BE33" s="208" t="n">
        <f aca="false">SUM($AC33:$AE33)</f>
        <v>0</v>
      </c>
      <c r="BF33" s="208" t="n">
        <f aca="false">SUM($AF33:$AH33)</f>
        <v>1</v>
      </c>
      <c r="BG33" s="208" t="n">
        <f aca="false">SUM($AI33:$AK33)</f>
        <v>1</v>
      </c>
      <c r="BH33" s="208" t="n">
        <f aca="false">SUM($AL33:$AN33)</f>
        <v>0</v>
      </c>
      <c r="BI33" s="208" t="n">
        <f aca="false">SUM($AO33:$AQ33)</f>
        <v>0</v>
      </c>
      <c r="BJ33" s="208" t="n">
        <f aca="false">SUM($AR33:$AT33)</f>
        <v>0</v>
      </c>
      <c r="BK33" s="196" t="n">
        <f aca="false">SUM(AV33:BJ33)</f>
        <v>6</v>
      </c>
    </row>
    <row r="34" customFormat="false" ht="16.4" hidden="false" customHeight="false" outlineLevel="0" collapsed="false">
      <c r="A34" s="211" t="s">
        <v>101</v>
      </c>
      <c r="B34" s="207" t="n">
        <f aca="false">COUNTIF(TT!$D$4:$D$9,TALLY!A34)</f>
        <v>0</v>
      </c>
      <c r="C34" s="207" t="n">
        <f aca="false">COUNTIF(TT!$D$15:$D$28,TALLY!A34)</f>
        <v>0</v>
      </c>
      <c r="D34" s="207" t="n">
        <f aca="false">COUNTIF(TT!$D$34:$D$41,TALLY!A34)</f>
        <v>0</v>
      </c>
      <c r="E34" s="208" t="n">
        <f aca="false">COUNTIF(TT!$D$47:$D$60,TALLY!A34)</f>
        <v>0</v>
      </c>
      <c r="F34" s="208" t="n">
        <f aca="false">COUNTIF(TT!$D$66:$D$79,TALLY!A34)</f>
        <v>1</v>
      </c>
      <c r="G34" s="208" t="n">
        <f aca="false">COUNTIF(TT!$D$84:$D$93,TALLY!A34)</f>
        <v>0</v>
      </c>
      <c r="H34" s="209" t="n">
        <f aca="false">COUNTIF(TT!$D$98:$D$106,TALLY!A34)</f>
        <v>0</v>
      </c>
      <c r="I34" s="209" t="n">
        <f aca="false">COUNTIF(TT!$D$111:$D$121,TALLY!A34)</f>
        <v>0</v>
      </c>
      <c r="J34" s="209" t="n">
        <f aca="false">COUNTIF(TT!$D$126:$D$134,TALLY!A34)</f>
        <v>0</v>
      </c>
      <c r="K34" s="208" t="n">
        <f aca="false">COUNTIF(TT!$D$139:$D$151,TALLY!A34)</f>
        <v>0</v>
      </c>
      <c r="L34" s="208" t="n">
        <f aca="false">COUNTIF(TT!$D$156:$D$164,TALLY!A34)</f>
        <v>0</v>
      </c>
      <c r="M34" s="208" t="n">
        <f aca="false">COUNTIF(TT!$D$169:$D$180,TALLY!A34)</f>
        <v>1</v>
      </c>
      <c r="N34" s="209" t="n">
        <f aca="false">COUNTIF(TT!$D$185:$D$197,TALLY!A34)</f>
        <v>0</v>
      </c>
      <c r="O34" s="209" t="n">
        <f aca="false">COUNTIF(TT!$D$202:$D$208,TALLY!A34)</f>
        <v>0</v>
      </c>
      <c r="P34" s="209" t="n">
        <f aca="false">COUNTIF(TT!$D$213:$D$220,TALLY!A34)</f>
        <v>0</v>
      </c>
      <c r="Q34" s="207" t="n">
        <f aca="false">COUNTIF(TT!$D$225:$D$239,TALLY!A34)</f>
        <v>0</v>
      </c>
      <c r="R34" s="207" t="n">
        <f aca="false">COUNTIF(TT!$D$244:$D$254,TALLY!A34)</f>
        <v>1</v>
      </c>
      <c r="S34" s="207" t="n">
        <f aca="false">COUNTIF(TT!$D$259:$D$268,TALLY!A34)</f>
        <v>0</v>
      </c>
      <c r="T34" s="209" t="n">
        <f aca="false">COUNTIF(TT!$D$271:$D$282,TALLY!A34)</f>
        <v>0</v>
      </c>
      <c r="U34" s="209" t="n">
        <f aca="false">COUNTIF(TT!$D$287:$D$298,TALLY!A34)</f>
        <v>0</v>
      </c>
      <c r="V34" s="209" t="n">
        <f aca="false">COUNTIF(TT!$D$303:$D$311,TALLY!A34)</f>
        <v>0</v>
      </c>
      <c r="W34" s="208" t="n">
        <f aca="false">COUNTIF(TT!$D$316:$D$337,TALLY!A34)</f>
        <v>1</v>
      </c>
      <c r="X34" s="208" t="n">
        <f aca="false">COUNTIF(TT!$D$342:$D$350,TALLY!A34)</f>
        <v>0</v>
      </c>
      <c r="Y34" s="208" t="n">
        <f aca="false">COUNTIF(TT!$D$357:$D$365,TALLY!A34)</f>
        <v>0</v>
      </c>
      <c r="Z34" s="209" t="n">
        <f aca="false">COUNTIF(TT!$D$370:$D$377,TALLY!A34)</f>
        <v>0</v>
      </c>
      <c r="AA34" s="209" t="n">
        <f aca="false">COUNTIF(TT!$D$382:$D$393,TALLY!A34)</f>
        <v>0</v>
      </c>
      <c r="AB34" s="209" t="n">
        <f aca="false">COUNTIF(TT!$D$398:$D$408,TALLY!A34)</f>
        <v>1</v>
      </c>
      <c r="AC34" s="208" t="n">
        <f aca="false">COUNTIF(TT!$D$413:$D$425,TALLY!A34)</f>
        <v>0</v>
      </c>
      <c r="AD34" s="208" t="n">
        <f aca="false">COUNTIF(TT!$D$430:$D$433,TALLY!A34)</f>
        <v>0</v>
      </c>
      <c r="AE34" s="208" t="n">
        <f aca="false">COUNTIF(TT!$D$454:$D$466,TALLY!A34)</f>
        <v>0</v>
      </c>
      <c r="AF34" s="207" t="n">
        <f aca="false">COUNTIF(TT!$D$471:$D$480,TALLY!A34)</f>
        <v>0</v>
      </c>
      <c r="AG34" s="207" t="n">
        <f aca="false">COUNTIF(TT!$D$487:$D$496,TALLY!A34)</f>
        <v>1</v>
      </c>
      <c r="AH34" s="207" t="n">
        <f aca="false">COUNTIF(TT!$D$501:$D$517,TALLY!A34)</f>
        <v>0</v>
      </c>
      <c r="AI34" s="208" t="n">
        <f aca="false">COUNTIF(TT!$D$522:$D$533,TALLY!A34)</f>
        <v>0</v>
      </c>
      <c r="AJ34" s="208" t="n">
        <f aca="false">COUNTIF(TT!$D$538:$D$550,TALLY!A34)</f>
        <v>0</v>
      </c>
      <c r="AK34" s="208" t="n">
        <f aca="false">COUNTIF(TT!$D$555:$D$569,TALLY!A34)</f>
        <v>0</v>
      </c>
      <c r="AL34" s="209" t="n">
        <f aca="false">COUNTIF(TT!$D$574:$D$582,TALLY!A34)</f>
        <v>0</v>
      </c>
      <c r="AM34" s="209" t="n">
        <f aca="false">COUNTIF(TT!$D$587:$D$593,TALLY!A34)</f>
        <v>0</v>
      </c>
      <c r="AN34" s="209" t="n">
        <f aca="false">COUNTIF(TT!$D$598:$D$606,TALLY!A34)</f>
        <v>0</v>
      </c>
      <c r="AO34" s="208" t="n">
        <f aca="false">COUNTIF(TT!$D$611:$D$620,TALLY!A34)</f>
        <v>0</v>
      </c>
      <c r="AP34" s="208" t="n">
        <f aca="false">COUNTIF(TT!$D$627:$D$639,TALLY!A34)</f>
        <v>1</v>
      </c>
      <c r="AQ34" s="208" t="n">
        <f aca="false">COUNTIF(TT!$D$645:$D$657,TALLY!A34)</f>
        <v>0</v>
      </c>
      <c r="AR34" s="209" t="n">
        <f aca="false">COUNTIF(TT!$D$663:$D$671,TALLY!A34)</f>
        <v>0</v>
      </c>
      <c r="AS34" s="209" t="n">
        <f aca="false">COUNTIF(TT!$D$677:$D$685,TALLY!A34)</f>
        <v>0</v>
      </c>
      <c r="AT34" s="209" t="n">
        <f aca="false">COUNTIF(TT!$D$689:$D$698,TALLY!A34)</f>
        <v>0</v>
      </c>
      <c r="AU34" s="211" t="s">
        <v>101</v>
      </c>
      <c r="AV34" s="208" t="n">
        <f aca="false">SUM($B34:$D34)</f>
        <v>0</v>
      </c>
      <c r="AW34" s="208" t="n">
        <f aca="false">SUM($E34:$G34)</f>
        <v>1</v>
      </c>
      <c r="AX34" s="208" t="n">
        <f aca="false">SUM($H34:$J34)</f>
        <v>0</v>
      </c>
      <c r="AY34" s="208" t="n">
        <f aca="false">SUM($K34:$M34)</f>
        <v>1</v>
      </c>
      <c r="AZ34" s="208" t="n">
        <f aca="false">SUM($N34:$P34)</f>
        <v>0</v>
      </c>
      <c r="BA34" s="208" t="n">
        <f aca="false">SUM($Q34:$S34)</f>
        <v>1</v>
      </c>
      <c r="BB34" s="208" t="n">
        <f aca="false">SUM($T34:$V34)</f>
        <v>0</v>
      </c>
      <c r="BC34" s="208" t="n">
        <f aca="false">SUM($W34:$Y34)</f>
        <v>1</v>
      </c>
      <c r="BD34" s="208" t="n">
        <f aca="false">SUM($Z34:$AB34)</f>
        <v>1</v>
      </c>
      <c r="BE34" s="208" t="n">
        <f aca="false">SUM($AC34:$AE34)</f>
        <v>0</v>
      </c>
      <c r="BF34" s="208" t="n">
        <f aca="false">SUM($AF34:$AH34)</f>
        <v>1</v>
      </c>
      <c r="BG34" s="208" t="n">
        <f aca="false">SUM($AI34:$AK34)</f>
        <v>0</v>
      </c>
      <c r="BH34" s="208" t="n">
        <f aca="false">SUM($AL34:$AN34)</f>
        <v>0</v>
      </c>
      <c r="BI34" s="208" t="n">
        <f aca="false">SUM($AO34:$AQ34)</f>
        <v>1</v>
      </c>
      <c r="BJ34" s="208" t="n">
        <f aca="false">SUM($AR34:$AT34)</f>
        <v>0</v>
      </c>
      <c r="BK34" s="196" t="n">
        <f aca="false">SUM(AV34:BJ34)</f>
        <v>7</v>
      </c>
    </row>
    <row r="35" customFormat="false" ht="16.4" hidden="false" customHeight="false" outlineLevel="0" collapsed="false">
      <c r="A35" s="211" t="s">
        <v>210</v>
      </c>
      <c r="B35" s="207" t="n">
        <f aca="false">COUNTIF(TT!$D$4:$D$9,TALLY!A35)</f>
        <v>0</v>
      </c>
      <c r="C35" s="207" t="n">
        <f aca="false">COUNTIF(TT!$D$15:$D$28,TALLY!A35)</f>
        <v>0</v>
      </c>
      <c r="D35" s="207" t="n">
        <f aca="false">COUNTIF(TT!$D$34:$D$41,TALLY!A35)</f>
        <v>0</v>
      </c>
      <c r="E35" s="208" t="n">
        <f aca="false">COUNTIF(TT!$D$47:$D$60,TALLY!A35)</f>
        <v>0</v>
      </c>
      <c r="F35" s="208" t="n">
        <f aca="false">COUNTIF(TT!$D$66:$D$79,TALLY!A35)</f>
        <v>0</v>
      </c>
      <c r="G35" s="208" t="n">
        <f aca="false">COUNTIF(TT!$D$84:$D$93,TALLY!A35)</f>
        <v>1</v>
      </c>
      <c r="H35" s="209" t="n">
        <f aca="false">COUNTIF(TT!$D$98:$D$106,TALLY!A35)</f>
        <v>0</v>
      </c>
      <c r="I35" s="209" t="n">
        <f aca="false">COUNTIF(TT!$D$111:$D$121,TALLY!A35)</f>
        <v>0</v>
      </c>
      <c r="J35" s="209" t="n">
        <f aca="false">COUNTIF(TT!$D$126:$D$134,TALLY!A35)</f>
        <v>0</v>
      </c>
      <c r="K35" s="208" t="n">
        <f aca="false">COUNTIF(TT!$D$139:$D$151,TALLY!A35)</f>
        <v>0</v>
      </c>
      <c r="L35" s="208" t="n">
        <f aca="false">COUNTIF(TT!$D$156:$D$164,TALLY!A35)</f>
        <v>0</v>
      </c>
      <c r="M35" s="208" t="n">
        <f aca="false">COUNTIF(TT!$D$169:$D$180,TALLY!A35)</f>
        <v>1</v>
      </c>
      <c r="N35" s="209" t="n">
        <f aca="false">COUNTIF(TT!$D$185:$D$197,TALLY!A35)</f>
        <v>0</v>
      </c>
      <c r="O35" s="209" t="n">
        <f aca="false">COUNTIF(TT!$D$202:$D$208,TALLY!A35)</f>
        <v>0</v>
      </c>
      <c r="P35" s="209" t="n">
        <f aca="false">COUNTIF(TT!$D$213:$D$220,TALLY!A35)</f>
        <v>0</v>
      </c>
      <c r="Q35" s="207" t="n">
        <f aca="false">COUNTIF(TT!$D$225:$D$239,TALLY!A35)</f>
        <v>0</v>
      </c>
      <c r="R35" s="207" t="n">
        <f aca="false">COUNTIF(TT!$D$244:$D$254,TALLY!A35)</f>
        <v>1</v>
      </c>
      <c r="S35" s="207" t="n">
        <f aca="false">COUNTIF(TT!$D$259:$D$268,TALLY!A35)</f>
        <v>0</v>
      </c>
      <c r="T35" s="209" t="n">
        <f aca="false">COUNTIF(TT!$D$271:$D$282,TALLY!A35)</f>
        <v>0</v>
      </c>
      <c r="U35" s="209" t="n">
        <f aca="false">COUNTIF(TT!$D$287:$D$298,TALLY!A35)</f>
        <v>0</v>
      </c>
      <c r="V35" s="209" t="n">
        <f aca="false">COUNTIF(TT!$D$303:$D$311,TALLY!A35)</f>
        <v>0</v>
      </c>
      <c r="W35" s="208" t="n">
        <f aca="false">COUNTIF(TT!$D$316:$D$337,TALLY!A35)</f>
        <v>1</v>
      </c>
      <c r="X35" s="208" t="n">
        <f aca="false">COUNTIF(TT!$D$342:$D$350,TALLY!A35)</f>
        <v>0</v>
      </c>
      <c r="Y35" s="208" t="n">
        <f aca="false">COUNTIF(TT!$D$357:$D$365,TALLY!A35)</f>
        <v>0</v>
      </c>
      <c r="Z35" s="209" t="n">
        <f aca="false">COUNTIF(TT!$D$370:$D$377,TALLY!A35)</f>
        <v>0</v>
      </c>
      <c r="AA35" s="209" t="n">
        <f aca="false">COUNTIF(TT!$D$382:$D$393,TALLY!A35)</f>
        <v>0</v>
      </c>
      <c r="AB35" s="209" t="n">
        <f aca="false">COUNTIF(TT!$D$398:$D$408,TALLY!A35)</f>
        <v>1</v>
      </c>
      <c r="AC35" s="208" t="n">
        <f aca="false">COUNTIF(TT!$D$413:$D$425,TALLY!A35)</f>
        <v>0</v>
      </c>
      <c r="AD35" s="208" t="n">
        <f aca="false">COUNTIF(TT!$D$430:$D$433,TALLY!A35)</f>
        <v>0</v>
      </c>
      <c r="AE35" s="208" t="n">
        <f aca="false">COUNTIF(TT!$D$454:$D$466,TALLY!A35)</f>
        <v>0</v>
      </c>
      <c r="AF35" s="207" t="n">
        <f aca="false">COUNTIF(TT!$D$471:$D$480,TALLY!A35)</f>
        <v>0</v>
      </c>
      <c r="AG35" s="207" t="n">
        <f aca="false">COUNTIF(TT!$D$487:$D$496,TALLY!A35)</f>
        <v>0</v>
      </c>
      <c r="AH35" s="207" t="n">
        <f aca="false">COUNTIF(TT!$D$501:$D$517,TALLY!A35)</f>
        <v>0</v>
      </c>
      <c r="AI35" s="208" t="n">
        <f aca="false">COUNTIF(TT!$D$522:$D$533,TALLY!A35)</f>
        <v>0</v>
      </c>
      <c r="AJ35" s="208" t="n">
        <f aca="false">COUNTIF(TT!$D$538:$D$550,TALLY!A35)</f>
        <v>0</v>
      </c>
      <c r="AK35" s="208" t="n">
        <f aca="false">COUNTIF(TT!$D$555:$D$569,TALLY!A35)</f>
        <v>0</v>
      </c>
      <c r="AL35" s="209" t="n">
        <f aca="false">COUNTIF(TT!$D$574:$D$582,TALLY!A35)</f>
        <v>0</v>
      </c>
      <c r="AM35" s="209" t="n">
        <f aca="false">COUNTIF(TT!$D$587:$D$593,TALLY!A35)</f>
        <v>0</v>
      </c>
      <c r="AN35" s="209" t="n">
        <f aca="false">COUNTIF(TT!$D$598:$D$606,TALLY!A35)</f>
        <v>0</v>
      </c>
      <c r="AO35" s="208" t="n">
        <f aca="false">COUNTIF(TT!$D$611:$D$620,TALLY!A35)</f>
        <v>0</v>
      </c>
      <c r="AP35" s="208" t="n">
        <f aca="false">COUNTIF(TT!$D$627:$D$639,TALLY!A35)</f>
        <v>1</v>
      </c>
      <c r="AQ35" s="208" t="n">
        <f aca="false">COUNTIF(TT!$D$645:$D$657,TALLY!A35)</f>
        <v>0</v>
      </c>
      <c r="AR35" s="209" t="n">
        <f aca="false">COUNTIF(TT!$D$663:$D$671,TALLY!A35)</f>
        <v>0</v>
      </c>
      <c r="AS35" s="209" t="n">
        <f aca="false">COUNTIF(TT!$D$677:$D$685,TALLY!A35)</f>
        <v>0</v>
      </c>
      <c r="AT35" s="209" t="n">
        <f aca="false">COUNTIF(TT!$D$689:$D$698,TALLY!A35)</f>
        <v>0</v>
      </c>
      <c r="AU35" s="211" t="s">
        <v>210</v>
      </c>
      <c r="AV35" s="208" t="n">
        <f aca="false">SUM($B35:$D35)</f>
        <v>0</v>
      </c>
      <c r="AW35" s="208" t="n">
        <f aca="false">SUM($E35:$G35)</f>
        <v>1</v>
      </c>
      <c r="AX35" s="208" t="n">
        <f aca="false">SUM($H35:$J35)</f>
        <v>0</v>
      </c>
      <c r="AY35" s="208" t="n">
        <f aca="false">SUM($K35:$M35)</f>
        <v>1</v>
      </c>
      <c r="AZ35" s="208" t="n">
        <f aca="false">SUM($N35:$P35)</f>
        <v>0</v>
      </c>
      <c r="BA35" s="208" t="n">
        <f aca="false">SUM($Q35:$S35)</f>
        <v>1</v>
      </c>
      <c r="BB35" s="208" t="n">
        <f aca="false">SUM($T35:$V35)</f>
        <v>0</v>
      </c>
      <c r="BC35" s="208" t="n">
        <f aca="false">SUM($W35:$Y35)</f>
        <v>1</v>
      </c>
      <c r="BD35" s="208" t="n">
        <f aca="false">SUM($Z35:$AB35)</f>
        <v>1</v>
      </c>
      <c r="BE35" s="208" t="n">
        <f aca="false">SUM($AC35:$AE35)</f>
        <v>0</v>
      </c>
      <c r="BF35" s="208" t="n">
        <f aca="false">SUM($AF35:$AH35)</f>
        <v>0</v>
      </c>
      <c r="BG35" s="208" t="n">
        <f aca="false">SUM($AI35:$AK35)</f>
        <v>0</v>
      </c>
      <c r="BH35" s="208" t="n">
        <f aca="false">SUM($AL35:$AN35)</f>
        <v>0</v>
      </c>
      <c r="BI35" s="208" t="n">
        <f aca="false">SUM($AO35:$AQ35)</f>
        <v>1</v>
      </c>
      <c r="BJ35" s="208" t="n">
        <f aca="false">SUM($AR35:$AT35)</f>
        <v>0</v>
      </c>
      <c r="BK35" s="196" t="n">
        <f aca="false">SUM(AV35:BJ35)</f>
        <v>6</v>
      </c>
    </row>
    <row r="36" customFormat="false" ht="16.4" hidden="false" customHeight="false" outlineLevel="0" collapsed="false">
      <c r="A36" s="211" t="s">
        <v>14</v>
      </c>
      <c r="B36" s="207" t="n">
        <f aca="false">COUNTIF(TT!$D$4:$D$9,TALLY!A36)</f>
        <v>1</v>
      </c>
      <c r="C36" s="207" t="n">
        <f aca="false">COUNTIF(TT!$D$15:$D$28,TALLY!A36)</f>
        <v>0</v>
      </c>
      <c r="D36" s="207" t="n">
        <f aca="false">COUNTIF(TT!$D$34:$D$41,TALLY!A36)</f>
        <v>0</v>
      </c>
      <c r="E36" s="208" t="n">
        <f aca="false">COUNTIF(TT!$D$47:$D$60,TALLY!A36)</f>
        <v>0</v>
      </c>
      <c r="F36" s="208" t="n">
        <f aca="false">COUNTIF(TT!$D$66:$D$79,TALLY!A36)</f>
        <v>0</v>
      </c>
      <c r="G36" s="208" t="n">
        <f aca="false">COUNTIF(TT!$D$84:$D$93,TALLY!A36)</f>
        <v>0</v>
      </c>
      <c r="H36" s="209" t="n">
        <f aca="false">COUNTIF(TT!$D$98:$D$106,TALLY!A36)</f>
        <v>0</v>
      </c>
      <c r="I36" s="209" t="n">
        <f aca="false">COUNTIF(TT!$D$111:$D$121,TALLY!A36)</f>
        <v>0</v>
      </c>
      <c r="J36" s="209" t="n">
        <f aca="false">COUNTIF(TT!$D$126:$D$134,TALLY!A36)</f>
        <v>1</v>
      </c>
      <c r="K36" s="208" t="n">
        <f aca="false">COUNTIF(TT!$D$139:$D$151,TALLY!A36)</f>
        <v>0</v>
      </c>
      <c r="L36" s="208" t="n">
        <f aca="false">COUNTIF(TT!$D$156:$D$164,TALLY!A36)</f>
        <v>0</v>
      </c>
      <c r="M36" s="208" t="n">
        <f aca="false">COUNTIF(TT!$D$169:$D$180,TALLY!A36)</f>
        <v>0</v>
      </c>
      <c r="N36" s="209" t="n">
        <f aca="false">COUNTIF(TT!$D$185:$D$197,TALLY!A36)</f>
        <v>0</v>
      </c>
      <c r="O36" s="209" t="n">
        <f aca="false">COUNTIF(TT!$D$202:$D$208,TALLY!A36)</f>
        <v>0</v>
      </c>
      <c r="P36" s="209" t="n">
        <f aca="false">COUNTIF(TT!$D$213:$D$220,TALLY!A36)</f>
        <v>0</v>
      </c>
      <c r="Q36" s="207" t="n">
        <f aca="false">COUNTIF(TT!$D$225:$D$239,TALLY!A36)</f>
        <v>0</v>
      </c>
      <c r="R36" s="207" t="n">
        <f aca="false">COUNTIF(TT!$D$244:$D$254,TALLY!A36)</f>
        <v>1</v>
      </c>
      <c r="S36" s="207" t="n">
        <f aca="false">COUNTIF(TT!$D$259:$D$268,TALLY!A36)</f>
        <v>0</v>
      </c>
      <c r="T36" s="209" t="n">
        <f aca="false">COUNTIF(TT!$D$271:$D$282,TALLY!A36)</f>
        <v>0</v>
      </c>
      <c r="U36" s="209" t="n">
        <f aca="false">COUNTIF(TT!$D$287:$D$298,TALLY!A36)</f>
        <v>0</v>
      </c>
      <c r="V36" s="209" t="n">
        <f aca="false">COUNTIF(TT!$D$303:$D$311,TALLY!A36)</f>
        <v>0</v>
      </c>
      <c r="W36" s="208" t="n">
        <f aca="false">COUNTIF(TT!$D$316:$D$337,TALLY!A36)</f>
        <v>1</v>
      </c>
      <c r="X36" s="208" t="n">
        <f aca="false">COUNTIF(TT!$D$342:$D$350,TALLY!A36)</f>
        <v>0</v>
      </c>
      <c r="Y36" s="208" t="n">
        <f aca="false">COUNTIF(TT!$D$357:$D$365,TALLY!A36)</f>
        <v>0</v>
      </c>
      <c r="Z36" s="209" t="n">
        <f aca="false">COUNTIF(TT!$D$370:$D$377,TALLY!A36)</f>
        <v>0</v>
      </c>
      <c r="AA36" s="209" t="n">
        <f aca="false">COUNTIF(TT!$D$382:$D$393,TALLY!A36)</f>
        <v>0</v>
      </c>
      <c r="AB36" s="209" t="n">
        <f aca="false">COUNTIF(TT!$D$398:$D$408,TALLY!A36)</f>
        <v>1</v>
      </c>
      <c r="AC36" s="208" t="n">
        <f aca="false">COUNTIF(TT!$D$413:$D$425,TALLY!A36)</f>
        <v>0</v>
      </c>
      <c r="AD36" s="208" t="n">
        <f aca="false">COUNTIF(TT!$D$430:$D$433,TALLY!A36)</f>
        <v>0</v>
      </c>
      <c r="AE36" s="208" t="n">
        <f aca="false">COUNTIF(TT!$D$454:$D$466,TALLY!A36)</f>
        <v>0</v>
      </c>
      <c r="AF36" s="207" t="n">
        <f aca="false">COUNTIF(TT!$D$471:$D$480,TALLY!A36)</f>
        <v>0</v>
      </c>
      <c r="AG36" s="207" t="n">
        <f aca="false">COUNTIF(TT!$D$487:$D$496,TALLY!A36)</f>
        <v>1</v>
      </c>
      <c r="AH36" s="207" t="n">
        <f aca="false">COUNTIF(TT!$D$501:$D$517,TALLY!A36)</f>
        <v>0</v>
      </c>
      <c r="AI36" s="208" t="n">
        <f aca="false">COUNTIF(TT!$D$522:$D$533,TALLY!A36)</f>
        <v>0</v>
      </c>
      <c r="AJ36" s="208" t="n">
        <f aca="false">COUNTIF(TT!$D$538:$D$550,TALLY!A36)</f>
        <v>0</v>
      </c>
      <c r="AK36" s="208" t="n">
        <f aca="false">COUNTIF(TT!$D$555:$D$569,TALLY!A36)</f>
        <v>0</v>
      </c>
      <c r="AL36" s="209" t="n">
        <f aca="false">COUNTIF(TT!$D$574:$D$582,TALLY!A36)</f>
        <v>0</v>
      </c>
      <c r="AM36" s="209" t="n">
        <f aca="false">COUNTIF(TT!$D$587:$D$593,TALLY!A36)</f>
        <v>0</v>
      </c>
      <c r="AN36" s="209" t="n">
        <f aca="false">COUNTIF(TT!$D$598:$D$606,TALLY!A36)</f>
        <v>0</v>
      </c>
      <c r="AO36" s="208" t="n">
        <f aca="false">COUNTIF(TT!$D$611:$D$620,TALLY!A36)</f>
        <v>0</v>
      </c>
      <c r="AP36" s="208" t="n">
        <f aca="false">COUNTIF(TT!$D$627:$D$639,TALLY!A36)</f>
        <v>0</v>
      </c>
      <c r="AQ36" s="208" t="n">
        <f aca="false">COUNTIF(TT!$D$645:$D$657,TALLY!A36)</f>
        <v>1</v>
      </c>
      <c r="AR36" s="209" t="n">
        <f aca="false">COUNTIF(TT!$D$663:$D$671,TALLY!A36)</f>
        <v>0</v>
      </c>
      <c r="AS36" s="209" t="n">
        <f aca="false">COUNTIF(TT!$D$677:$D$685,TALLY!A36)</f>
        <v>0</v>
      </c>
      <c r="AT36" s="209" t="n">
        <f aca="false">COUNTIF(TT!$D$689:$D$698,TALLY!A36)</f>
        <v>0</v>
      </c>
      <c r="AU36" s="211" t="s">
        <v>14</v>
      </c>
      <c r="AV36" s="208" t="n">
        <f aca="false">SUM($B36:$D36)</f>
        <v>1</v>
      </c>
      <c r="AW36" s="208" t="n">
        <f aca="false">SUM($E36:$G36)</f>
        <v>0</v>
      </c>
      <c r="AX36" s="208" t="n">
        <f aca="false">SUM($H36:$J36)</f>
        <v>1</v>
      </c>
      <c r="AY36" s="208" t="n">
        <f aca="false">SUM($K36:$M36)</f>
        <v>0</v>
      </c>
      <c r="AZ36" s="208" t="n">
        <f aca="false">SUM($N36:$P36)</f>
        <v>0</v>
      </c>
      <c r="BA36" s="208" t="n">
        <f aca="false">SUM($Q36:$S36)</f>
        <v>1</v>
      </c>
      <c r="BB36" s="208" t="n">
        <f aca="false">SUM($T36:$V36)</f>
        <v>0</v>
      </c>
      <c r="BC36" s="208" t="n">
        <f aca="false">SUM($W36:$Y36)</f>
        <v>1</v>
      </c>
      <c r="BD36" s="208" t="n">
        <f aca="false">SUM($Z36:$AB36)</f>
        <v>1</v>
      </c>
      <c r="BE36" s="208" t="n">
        <f aca="false">SUM($AC36:$AE36)</f>
        <v>0</v>
      </c>
      <c r="BF36" s="208" t="n">
        <f aca="false">SUM($AF36:$AH36)</f>
        <v>1</v>
      </c>
      <c r="BG36" s="208" t="n">
        <f aca="false">SUM($AI36:$AK36)</f>
        <v>0</v>
      </c>
      <c r="BH36" s="208" t="n">
        <f aca="false">SUM($AL36:$AN36)</f>
        <v>0</v>
      </c>
      <c r="BI36" s="208" t="n">
        <f aca="false">SUM($AO36:$AQ36)</f>
        <v>1</v>
      </c>
      <c r="BJ36" s="208" t="n">
        <f aca="false">SUM($AR36:$AT36)</f>
        <v>0</v>
      </c>
      <c r="BK36" s="196" t="n">
        <f aca="false">SUM(AV36:BJ36)</f>
        <v>7</v>
      </c>
    </row>
    <row r="37" customFormat="false" ht="16.4" hidden="false" customHeight="false" outlineLevel="0" collapsed="false">
      <c r="A37" s="211" t="s">
        <v>93</v>
      </c>
      <c r="B37" s="207" t="n">
        <f aca="false">COUNTIF(TT!$D$4:$D$9,TALLY!A37)</f>
        <v>0</v>
      </c>
      <c r="C37" s="207" t="n">
        <f aca="false">COUNTIF(TT!$D$15:$D$28,TALLY!A37)</f>
        <v>0</v>
      </c>
      <c r="D37" s="207" t="n">
        <f aca="false">COUNTIF(TT!$D$34:$D$41,TALLY!A37)</f>
        <v>0</v>
      </c>
      <c r="E37" s="208" t="n">
        <f aca="false">COUNTIF(TT!$D$47:$D$60,TALLY!A37)</f>
        <v>1</v>
      </c>
      <c r="F37" s="208" t="n">
        <f aca="false">COUNTIF(TT!$D$66:$D$79,TALLY!A37)</f>
        <v>0</v>
      </c>
      <c r="G37" s="208" t="n">
        <f aca="false">COUNTIF(TT!$D$84:$D$93,TALLY!A37)</f>
        <v>0</v>
      </c>
      <c r="H37" s="209" t="n">
        <f aca="false">COUNTIF(TT!$D$98:$D$106,TALLY!A37)</f>
        <v>0</v>
      </c>
      <c r="I37" s="209" t="n">
        <f aca="false">COUNTIF(TT!$D$111:$D$121,TALLY!A37)</f>
        <v>0</v>
      </c>
      <c r="J37" s="209" t="n">
        <f aca="false">COUNTIF(TT!$D$126:$D$134,TALLY!A37)</f>
        <v>0</v>
      </c>
      <c r="K37" s="208" t="n">
        <f aca="false">COUNTIF(TT!$D$139:$D$151,TALLY!A37)</f>
        <v>0</v>
      </c>
      <c r="L37" s="208" t="n">
        <f aca="false">COUNTIF(TT!$D$156:$D$164,TALLY!A37)</f>
        <v>0</v>
      </c>
      <c r="M37" s="208" t="n">
        <f aca="false">COUNTIF(TT!$D$169:$D$180,TALLY!A37)</f>
        <v>1</v>
      </c>
      <c r="N37" s="209" t="n">
        <f aca="false">COUNTIF(TT!$D$185:$D$197,TALLY!A37)</f>
        <v>0</v>
      </c>
      <c r="O37" s="209" t="n">
        <f aca="false">COUNTIF(TT!$D$202:$D$208,TALLY!A37)</f>
        <v>0</v>
      </c>
      <c r="P37" s="209" t="n">
        <f aca="false">COUNTIF(TT!$D$213:$D$220,TALLY!A37)</f>
        <v>0</v>
      </c>
      <c r="Q37" s="207" t="n">
        <f aca="false">COUNTIF(TT!$D$225:$D$239,TALLY!A37)</f>
        <v>0</v>
      </c>
      <c r="R37" s="207" t="n">
        <f aca="false">COUNTIF(TT!$D$244:$D$254,TALLY!A37)</f>
        <v>0</v>
      </c>
      <c r="S37" s="207" t="n">
        <f aca="false">COUNTIF(TT!$D$259:$D$268,TALLY!A37)</f>
        <v>1</v>
      </c>
      <c r="T37" s="209" t="n">
        <f aca="false">COUNTIF(TT!$D$271:$D$282,TALLY!A37)</f>
        <v>0</v>
      </c>
      <c r="U37" s="209" t="n">
        <f aca="false">COUNTIF(TT!$D$287:$D$298,TALLY!A37)</f>
        <v>0</v>
      </c>
      <c r="V37" s="209" t="n">
        <f aca="false">COUNTIF(TT!$D$303:$D$311,TALLY!A37)</f>
        <v>0</v>
      </c>
      <c r="W37" s="208" t="n">
        <f aca="false">COUNTIF(TT!$D$316:$D$337,TALLY!A37)</f>
        <v>1</v>
      </c>
      <c r="X37" s="208" t="n">
        <f aca="false">COUNTIF(TT!$D$342:$D$350,TALLY!A37)</f>
        <v>0</v>
      </c>
      <c r="Y37" s="208" t="n">
        <f aca="false">COUNTIF(TT!$D$357:$D$365,TALLY!A37)</f>
        <v>0</v>
      </c>
      <c r="Z37" s="209" t="n">
        <f aca="false">COUNTIF(TT!$D$370:$D$377,TALLY!A37)</f>
        <v>0</v>
      </c>
      <c r="AA37" s="209" t="n">
        <f aca="false">COUNTIF(TT!$D$382:$D$393,TALLY!A37)</f>
        <v>0</v>
      </c>
      <c r="AB37" s="209" t="n">
        <f aca="false">COUNTIF(TT!$D$398:$D$408,TALLY!A37)</f>
        <v>1</v>
      </c>
      <c r="AC37" s="208" t="n">
        <f aca="false">COUNTIF(TT!$D$413:$D$425,TALLY!A37)</f>
        <v>0</v>
      </c>
      <c r="AD37" s="208" t="n">
        <f aca="false">COUNTIF(TT!$D$430:$D$433,TALLY!A37)</f>
        <v>0</v>
      </c>
      <c r="AE37" s="208" t="n">
        <f aca="false">COUNTIF(TT!$D$454:$D$466,TALLY!A37)</f>
        <v>0</v>
      </c>
      <c r="AF37" s="207" t="n">
        <f aca="false">COUNTIF(TT!$D$471:$D$480,TALLY!A37)</f>
        <v>0</v>
      </c>
      <c r="AG37" s="207" t="n">
        <f aca="false">COUNTIF(TT!$D$487:$D$496,TALLY!A37)</f>
        <v>1</v>
      </c>
      <c r="AH37" s="207" t="n">
        <f aca="false">COUNTIF(TT!$D$501:$D$517,TALLY!A37)</f>
        <v>0</v>
      </c>
      <c r="AI37" s="208" t="n">
        <f aca="false">COUNTIF(TT!$D$522:$D$533,TALLY!A37)</f>
        <v>0</v>
      </c>
      <c r="AJ37" s="208" t="n">
        <f aca="false">COUNTIF(TT!$D$538:$D$550,TALLY!A37)</f>
        <v>0</v>
      </c>
      <c r="AK37" s="208" t="n">
        <f aca="false">COUNTIF(TT!$D$555:$D$569,TALLY!A37)</f>
        <v>1</v>
      </c>
      <c r="AL37" s="209" t="n">
        <f aca="false">COUNTIF(TT!$D$574:$D$582,TALLY!A37)</f>
        <v>0</v>
      </c>
      <c r="AM37" s="209" t="n">
        <f aca="false">COUNTIF(TT!$D$587:$D$593,TALLY!A37)</f>
        <v>0</v>
      </c>
      <c r="AN37" s="209" t="n">
        <f aca="false">COUNTIF(TT!$D$598:$D$606,TALLY!A37)</f>
        <v>0</v>
      </c>
      <c r="AO37" s="208" t="n">
        <f aca="false">COUNTIF(TT!$D$611:$D$620,TALLY!A37)</f>
        <v>0</v>
      </c>
      <c r="AP37" s="208" t="n">
        <f aca="false">COUNTIF(TT!$D$627:$D$639,TALLY!A37)</f>
        <v>1</v>
      </c>
      <c r="AQ37" s="208" t="n">
        <f aca="false">COUNTIF(TT!$D$645:$D$657,TALLY!A37)</f>
        <v>0</v>
      </c>
      <c r="AR37" s="209" t="n">
        <f aca="false">COUNTIF(TT!$D$663:$D$671,TALLY!A37)</f>
        <v>0</v>
      </c>
      <c r="AS37" s="209" t="n">
        <f aca="false">COUNTIF(TT!$D$677:$D$685,TALLY!A37)</f>
        <v>0</v>
      </c>
      <c r="AT37" s="209" t="n">
        <f aca="false">COUNTIF(TT!$D$689:$D$698,TALLY!A37)</f>
        <v>0</v>
      </c>
      <c r="AU37" s="211" t="s">
        <v>93</v>
      </c>
      <c r="AV37" s="208" t="n">
        <f aca="false">SUM($B37:$D37)</f>
        <v>0</v>
      </c>
      <c r="AW37" s="208" t="n">
        <f aca="false">SUM($E37:$G37)</f>
        <v>1</v>
      </c>
      <c r="AX37" s="208" t="n">
        <f aca="false">SUM($H37:$J37)</f>
        <v>0</v>
      </c>
      <c r="AY37" s="208" t="n">
        <f aca="false">SUM($K37:$M37)</f>
        <v>1</v>
      </c>
      <c r="AZ37" s="208" t="n">
        <f aca="false">SUM($N37:$P37)</f>
        <v>0</v>
      </c>
      <c r="BA37" s="208" t="n">
        <f aca="false">SUM($Q37:$S37)</f>
        <v>1</v>
      </c>
      <c r="BB37" s="208" t="n">
        <f aca="false">SUM($T37:$V37)</f>
        <v>0</v>
      </c>
      <c r="BC37" s="208" t="n">
        <f aca="false">SUM($W37:$Y37)</f>
        <v>1</v>
      </c>
      <c r="BD37" s="208" t="n">
        <f aca="false">SUM($Z37:$AB37)</f>
        <v>1</v>
      </c>
      <c r="BE37" s="208" t="n">
        <f aca="false">SUM($AC37:$AE37)</f>
        <v>0</v>
      </c>
      <c r="BF37" s="208" t="n">
        <f aca="false">SUM($AF37:$AH37)</f>
        <v>1</v>
      </c>
      <c r="BG37" s="208" t="n">
        <f aca="false">SUM($AI37:$AK37)</f>
        <v>1</v>
      </c>
      <c r="BH37" s="208" t="n">
        <f aca="false">SUM($AL37:$AN37)</f>
        <v>0</v>
      </c>
      <c r="BI37" s="208" t="n">
        <f aca="false">SUM($AO37:$AQ37)</f>
        <v>1</v>
      </c>
      <c r="BJ37" s="208" t="n">
        <f aca="false">SUM($AR37:$AT37)</f>
        <v>0</v>
      </c>
      <c r="BK37" s="196" t="n">
        <f aca="false">SUM(AV37:BJ37)</f>
        <v>8</v>
      </c>
    </row>
    <row r="38" customFormat="false" ht="16.4" hidden="false" customHeight="false" outlineLevel="0" collapsed="false">
      <c r="A38" s="211" t="s">
        <v>172</v>
      </c>
      <c r="B38" s="207" t="n">
        <f aca="false">COUNTIF(TT!$D$4:$D$9,TALLY!A38)</f>
        <v>0</v>
      </c>
      <c r="C38" s="207" t="n">
        <f aca="false">COUNTIF(TT!$D$15:$D$28,TALLY!A38)</f>
        <v>0</v>
      </c>
      <c r="D38" s="207" t="n">
        <f aca="false">COUNTIF(TT!$D$34:$D$41,TALLY!A38)</f>
        <v>0</v>
      </c>
      <c r="E38" s="208" t="n">
        <f aca="false">COUNTIF(TT!$D$47:$D$60,TALLY!A38)</f>
        <v>0</v>
      </c>
      <c r="F38" s="208" t="n">
        <f aca="false">COUNTIF(TT!$D$66:$D$79,TALLY!A38)</f>
        <v>0</v>
      </c>
      <c r="G38" s="208" t="n">
        <f aca="false">COUNTIF(TT!$D$84:$D$93,TALLY!A38)</f>
        <v>0</v>
      </c>
      <c r="H38" s="209" t="n">
        <f aca="false">COUNTIF(TT!$D$98:$D$106,TALLY!A38)</f>
        <v>0</v>
      </c>
      <c r="I38" s="209" t="n">
        <f aca="false">COUNTIF(TT!$D$111:$D$121,TALLY!A38)</f>
        <v>0</v>
      </c>
      <c r="J38" s="209" t="n">
        <f aca="false">COUNTIF(TT!$D$126:$D$134,TALLY!A38)</f>
        <v>1</v>
      </c>
      <c r="K38" s="208" t="n">
        <f aca="false">COUNTIF(TT!$D$139:$D$151,TALLY!A38)</f>
        <v>0</v>
      </c>
      <c r="L38" s="208" t="n">
        <f aca="false">COUNTIF(TT!$D$156:$D$164,TALLY!A38)</f>
        <v>0</v>
      </c>
      <c r="M38" s="208" t="n">
        <f aca="false">COUNTIF(TT!$D$169:$D$180,TALLY!A38)</f>
        <v>0</v>
      </c>
      <c r="N38" s="209" t="n">
        <f aca="false">COUNTIF(TT!$D$185:$D$197,TALLY!A38)</f>
        <v>0</v>
      </c>
      <c r="O38" s="209" t="n">
        <f aca="false">COUNTIF(TT!$D$202:$D$208,TALLY!A38)</f>
        <v>1</v>
      </c>
      <c r="P38" s="209" t="n">
        <f aca="false">COUNTIF(TT!$D$213:$D$220,TALLY!A38)</f>
        <v>0</v>
      </c>
      <c r="Q38" s="207" t="n">
        <f aca="false">COUNTIF(TT!$D$225:$D$239,TALLY!A38)</f>
        <v>1</v>
      </c>
      <c r="R38" s="207" t="n">
        <f aca="false">COUNTIF(TT!$D$244:$D$254,TALLY!A38)</f>
        <v>0</v>
      </c>
      <c r="S38" s="207" t="n">
        <f aca="false">COUNTIF(TT!$D$259:$D$268,TALLY!A38)</f>
        <v>0</v>
      </c>
      <c r="T38" s="209" t="n">
        <f aca="false">COUNTIF(TT!$D$271:$D$282,TALLY!A38)</f>
        <v>0</v>
      </c>
      <c r="U38" s="209" t="n">
        <f aca="false">COUNTIF(TT!$D$287:$D$298,TALLY!A38)</f>
        <v>0</v>
      </c>
      <c r="V38" s="209" t="n">
        <f aca="false">COUNTIF(TT!$D$303:$D$311,TALLY!A38)</f>
        <v>0</v>
      </c>
      <c r="W38" s="208" t="n">
        <f aca="false">COUNTIF(TT!$D$316:$D$337,TALLY!A38)</f>
        <v>1</v>
      </c>
      <c r="X38" s="208" t="n">
        <f aca="false">COUNTIF(TT!$D$342:$D$350,TALLY!A38)</f>
        <v>0</v>
      </c>
      <c r="Y38" s="208" t="n">
        <f aca="false">COUNTIF(TT!$D$357:$D$365,TALLY!A38)</f>
        <v>0</v>
      </c>
      <c r="Z38" s="209" t="n">
        <f aca="false">COUNTIF(TT!$D$370:$D$377,TALLY!A38)</f>
        <v>0</v>
      </c>
      <c r="AA38" s="209" t="n">
        <f aca="false">COUNTIF(TT!$D$382:$D$393,TALLY!A38)</f>
        <v>0</v>
      </c>
      <c r="AB38" s="209" t="n">
        <f aca="false">COUNTIF(TT!$D$398:$D$408,TALLY!A38)</f>
        <v>1</v>
      </c>
      <c r="AC38" s="208" t="n">
        <f aca="false">COUNTIF(TT!$D$413:$D$425,TALLY!A38)</f>
        <v>0</v>
      </c>
      <c r="AD38" s="208" t="n">
        <f aca="false">COUNTIF(TT!$D$430:$D$433,TALLY!A38)</f>
        <v>0</v>
      </c>
      <c r="AE38" s="208" t="n">
        <f aca="false">COUNTIF(TT!$D$454:$D$466,TALLY!A38)</f>
        <v>0</v>
      </c>
      <c r="AF38" s="207" t="n">
        <f aca="false">COUNTIF(TT!$D$471:$D$480,TALLY!A38)</f>
        <v>0</v>
      </c>
      <c r="AG38" s="207" t="n">
        <f aca="false">COUNTIF(TT!$D$487:$D$496,TALLY!A38)</f>
        <v>0</v>
      </c>
      <c r="AH38" s="207" t="n">
        <f aca="false">COUNTIF(TT!$D$501:$D$517,TALLY!A38)</f>
        <v>1</v>
      </c>
      <c r="AI38" s="208" t="n">
        <f aca="false">COUNTIF(TT!$D$522:$D$533,TALLY!A38)</f>
        <v>1</v>
      </c>
      <c r="AJ38" s="208" t="n">
        <f aca="false">COUNTIF(TT!$D$538:$D$550,TALLY!A38)</f>
        <v>0</v>
      </c>
      <c r="AK38" s="208" t="n">
        <f aca="false">COUNTIF(TT!$D$555:$D$569,TALLY!A38)</f>
        <v>0</v>
      </c>
      <c r="AL38" s="209" t="n">
        <f aca="false">COUNTIF(TT!$D$574:$D$582,TALLY!A38)</f>
        <v>1</v>
      </c>
      <c r="AM38" s="209" t="n">
        <f aca="false">COUNTIF(TT!$D$587:$D$593,TALLY!A38)</f>
        <v>0</v>
      </c>
      <c r="AN38" s="209" t="n">
        <f aca="false">COUNTIF(TT!$D$598:$D$606,TALLY!A38)</f>
        <v>0</v>
      </c>
      <c r="AO38" s="208" t="n">
        <f aca="false">COUNTIF(TT!$D$611:$D$620,TALLY!A38)</f>
        <v>0</v>
      </c>
      <c r="AP38" s="208" t="n">
        <f aca="false">COUNTIF(TT!$D$627:$D$639,TALLY!A38)</f>
        <v>0</v>
      </c>
      <c r="AQ38" s="208" t="n">
        <f aca="false">COUNTIF(TT!$D$645:$D$657,TALLY!A38)</f>
        <v>0</v>
      </c>
      <c r="AR38" s="209" t="n">
        <f aca="false">COUNTIF(TT!$D$663:$D$671,TALLY!A38)</f>
        <v>0</v>
      </c>
      <c r="AS38" s="209" t="n">
        <f aca="false">COUNTIF(TT!$D$677:$D$685,TALLY!A38)</f>
        <v>0</v>
      </c>
      <c r="AT38" s="209" t="n">
        <f aca="false">COUNTIF(TT!$D$689:$D$698,TALLY!A38)</f>
        <v>0</v>
      </c>
      <c r="AU38" s="211" t="s">
        <v>172</v>
      </c>
      <c r="AV38" s="208" t="n">
        <f aca="false">SUM($B38:$D38)</f>
        <v>0</v>
      </c>
      <c r="AW38" s="208" t="n">
        <f aca="false">SUM($E38:$G38)</f>
        <v>0</v>
      </c>
      <c r="AX38" s="208" t="n">
        <f aca="false">SUM($H38:$J38)</f>
        <v>1</v>
      </c>
      <c r="AY38" s="208" t="n">
        <f aca="false">SUM($K38:$M38)</f>
        <v>0</v>
      </c>
      <c r="AZ38" s="208" t="n">
        <f aca="false">SUM($N38:$P38)</f>
        <v>1</v>
      </c>
      <c r="BA38" s="208" t="n">
        <f aca="false">SUM($Q38:$S38)</f>
        <v>1</v>
      </c>
      <c r="BB38" s="208" t="n">
        <f aca="false">SUM($T38:$V38)</f>
        <v>0</v>
      </c>
      <c r="BC38" s="208" t="n">
        <f aca="false">SUM($W38:$Y38)</f>
        <v>1</v>
      </c>
      <c r="BD38" s="208" t="n">
        <f aca="false">SUM($Z38:$AB38)</f>
        <v>1</v>
      </c>
      <c r="BE38" s="208" t="n">
        <f aca="false">SUM($AC38:$AE38)</f>
        <v>0</v>
      </c>
      <c r="BF38" s="208" t="n">
        <f aca="false">SUM($AF38:$AH38)</f>
        <v>1</v>
      </c>
      <c r="BG38" s="208" t="n">
        <f aca="false">SUM($AI38:$AK38)</f>
        <v>1</v>
      </c>
      <c r="BH38" s="208" t="n">
        <f aca="false">SUM($AL38:$AN38)</f>
        <v>1</v>
      </c>
      <c r="BI38" s="208" t="n">
        <f aca="false">SUM($AO38:$AQ38)</f>
        <v>0</v>
      </c>
      <c r="BJ38" s="208" t="n">
        <f aca="false">SUM($AR38:$AT38)</f>
        <v>0</v>
      </c>
      <c r="BK38" s="196" t="n">
        <f aca="false">SUM(AV38:BJ38)</f>
        <v>8</v>
      </c>
    </row>
    <row r="39" s="196" customFormat="true" ht="16.4" hidden="false" customHeight="false" outlineLevel="0" collapsed="false">
      <c r="A39" s="206" t="s">
        <v>88</v>
      </c>
      <c r="B39" s="207" t="n">
        <f aca="false">COUNTIF(TT!$D$4:$D$9,TALLY!A39)</f>
        <v>0</v>
      </c>
      <c r="C39" s="207" t="n">
        <f aca="false">COUNTIF(TT!$D$15:$D$28,TALLY!A39)</f>
        <v>0</v>
      </c>
      <c r="D39" s="207" t="n">
        <f aca="false">COUNTIF(TT!$D$34:$D$41,TALLY!A39)</f>
        <v>0</v>
      </c>
      <c r="E39" s="208" t="n">
        <f aca="false">COUNTIF(TT!$D$47:$D$60,TALLY!A39)</f>
        <v>1</v>
      </c>
      <c r="F39" s="208" t="n">
        <f aca="false">COUNTIF(TT!$D$66:$D$79,TALLY!A39)</f>
        <v>0</v>
      </c>
      <c r="G39" s="208" t="n">
        <f aca="false">COUNTIF(TT!$D$84:$D$93,TALLY!A39)</f>
        <v>0</v>
      </c>
      <c r="H39" s="209" t="n">
        <f aca="false">COUNTIF(TT!$D$98:$D$106,TALLY!A39)</f>
        <v>0</v>
      </c>
      <c r="I39" s="209" t="n">
        <f aca="false">COUNTIF(TT!$D$111:$D$121,TALLY!A39)</f>
        <v>0</v>
      </c>
      <c r="J39" s="209" t="n">
        <f aca="false">COUNTIF(TT!$D$126:$D$134,TALLY!A39)</f>
        <v>0</v>
      </c>
      <c r="K39" s="208" t="n">
        <f aca="false">COUNTIF(TT!$D$139:$D$151,TALLY!A39)</f>
        <v>1</v>
      </c>
      <c r="L39" s="208" t="n">
        <f aca="false">COUNTIF(TT!$D$156:$D$164,TALLY!A39)</f>
        <v>0</v>
      </c>
      <c r="M39" s="208" t="n">
        <f aca="false">COUNTIF(TT!$D$169:$D$180,TALLY!A39)</f>
        <v>0</v>
      </c>
      <c r="N39" s="209" t="n">
        <f aca="false">COUNTIF(TT!$D$185:$D$197,TALLY!A39)</f>
        <v>1</v>
      </c>
      <c r="O39" s="209" t="n">
        <f aca="false">COUNTIF(TT!$D$202:$D$208,TALLY!A39)</f>
        <v>0</v>
      </c>
      <c r="P39" s="209" t="n">
        <f aca="false">COUNTIF(TT!$D$213:$D$220,TALLY!A39)</f>
        <v>0</v>
      </c>
      <c r="Q39" s="207" t="n">
        <f aca="false">COUNTIF(TT!$D$225:$D$239,TALLY!A39)</f>
        <v>0</v>
      </c>
      <c r="R39" s="207" t="n">
        <f aca="false">COUNTIF(TT!$D$244:$D$254,TALLY!A39)</f>
        <v>0</v>
      </c>
      <c r="S39" s="207" t="n">
        <f aca="false">COUNTIF(TT!$D$259:$D$268,TALLY!A39)</f>
        <v>1</v>
      </c>
      <c r="T39" s="209" t="n">
        <f aca="false">COUNTIF(TT!$D$271:$D$282,TALLY!A39)</f>
        <v>0</v>
      </c>
      <c r="U39" s="209" t="n">
        <f aca="false">COUNTIF(TT!$D$287:$D$298,TALLY!A39)</f>
        <v>0</v>
      </c>
      <c r="V39" s="209" t="n">
        <f aca="false">COUNTIF(TT!$D$303:$D$311,TALLY!A39)</f>
        <v>0</v>
      </c>
      <c r="W39" s="208" t="n">
        <f aca="false">COUNTIF(TT!$D$316:$D$337,TALLY!A39)</f>
        <v>1</v>
      </c>
      <c r="X39" s="208" t="n">
        <f aca="false">COUNTIF(TT!$D$342:$D$350,TALLY!A39)</f>
        <v>0</v>
      </c>
      <c r="Y39" s="208" t="n">
        <f aca="false">COUNTIF(TT!$D$357:$D$365,TALLY!A39)</f>
        <v>0</v>
      </c>
      <c r="Z39" s="209" t="n">
        <f aca="false">COUNTIF(TT!$D$370:$D$377,TALLY!A39)</f>
        <v>0</v>
      </c>
      <c r="AA39" s="209" t="n">
        <f aca="false">COUNTIF(TT!$D$382:$D$393,TALLY!A39)</f>
        <v>1</v>
      </c>
      <c r="AB39" s="209" t="n">
        <f aca="false">COUNTIF(TT!$D$398:$D$408,TALLY!A39)</f>
        <v>0</v>
      </c>
      <c r="AC39" s="208" t="n">
        <f aca="false">COUNTIF(TT!$D$413:$D$425,TALLY!A39)</f>
        <v>0</v>
      </c>
      <c r="AD39" s="208" t="n">
        <f aca="false">COUNTIF(TT!$D$430:$D$433,TALLY!A39)</f>
        <v>0</v>
      </c>
      <c r="AE39" s="208" t="n">
        <f aca="false">COUNTIF(TT!$D$454:$D$466,TALLY!A39)</f>
        <v>0</v>
      </c>
      <c r="AF39" s="207" t="n">
        <f aca="false">COUNTIF(TT!$D$471:$D$480,TALLY!A39)</f>
        <v>0</v>
      </c>
      <c r="AG39" s="207" t="n">
        <f aca="false">COUNTIF(TT!$D$487:$D$496,TALLY!A39)</f>
        <v>0</v>
      </c>
      <c r="AH39" s="207" t="n">
        <f aca="false">COUNTIF(TT!$D$501:$D$517,TALLY!A39)</f>
        <v>0</v>
      </c>
      <c r="AI39" s="208" t="n">
        <f aca="false">COUNTIF(TT!$D$522:$D$533,TALLY!A39)</f>
        <v>0</v>
      </c>
      <c r="AJ39" s="208" t="n">
        <f aca="false">COUNTIF(TT!$D$538:$D$550,TALLY!A39)</f>
        <v>0</v>
      </c>
      <c r="AK39" s="208" t="n">
        <f aca="false">COUNTIF(TT!$D$555:$D$569,TALLY!A39)</f>
        <v>0</v>
      </c>
      <c r="AL39" s="209" t="n">
        <f aca="false">COUNTIF(TT!$D$574:$D$582,TALLY!A39)</f>
        <v>1</v>
      </c>
      <c r="AM39" s="209" t="n">
        <f aca="false">COUNTIF(TT!$D$587:$D$593,TALLY!A39)</f>
        <v>0</v>
      </c>
      <c r="AN39" s="209" t="n">
        <f aca="false">COUNTIF(TT!$D$598:$D$606,TALLY!A39)</f>
        <v>0</v>
      </c>
      <c r="AO39" s="208" t="n">
        <f aca="false">COUNTIF(TT!$D$611:$D$620,TALLY!A39)</f>
        <v>0</v>
      </c>
      <c r="AP39" s="208" t="n">
        <f aca="false">COUNTIF(TT!$D$627:$D$639,TALLY!A39)</f>
        <v>1</v>
      </c>
      <c r="AQ39" s="208" t="n">
        <f aca="false">COUNTIF(TT!$D$645:$D$657,TALLY!A39)</f>
        <v>0</v>
      </c>
      <c r="AR39" s="209" t="n">
        <f aca="false">COUNTIF(TT!$D$663:$D$671,TALLY!A39)</f>
        <v>0</v>
      </c>
      <c r="AS39" s="209" t="n">
        <f aca="false">COUNTIF(TT!$D$677:$D$685,TALLY!A39)</f>
        <v>0</v>
      </c>
      <c r="AT39" s="209" t="n">
        <f aca="false">COUNTIF(TT!$D$689:$D$698,TALLY!A39)</f>
        <v>0</v>
      </c>
      <c r="AU39" s="206" t="s">
        <v>88</v>
      </c>
      <c r="AV39" s="208" t="n">
        <f aca="false">SUM($B39:$D39)</f>
        <v>0</v>
      </c>
      <c r="AW39" s="208" t="n">
        <f aca="false">SUM($E39:$G39)</f>
        <v>1</v>
      </c>
      <c r="AX39" s="208" t="n">
        <f aca="false">SUM($H39:$J39)</f>
        <v>0</v>
      </c>
      <c r="AY39" s="208" t="n">
        <f aca="false">SUM($K39:$M39)</f>
        <v>1</v>
      </c>
      <c r="AZ39" s="208" t="n">
        <f aca="false">SUM($N39:$P39)</f>
        <v>1</v>
      </c>
      <c r="BA39" s="208" t="n">
        <f aca="false">SUM($Q39:$S39)</f>
        <v>1</v>
      </c>
      <c r="BB39" s="208" t="n">
        <f aca="false">SUM($T39:$V39)</f>
        <v>0</v>
      </c>
      <c r="BC39" s="208" t="n">
        <f aca="false">SUM($W39:$Y39)</f>
        <v>1</v>
      </c>
      <c r="BD39" s="208" t="n">
        <f aca="false">SUM($Z39:$AB39)</f>
        <v>1</v>
      </c>
      <c r="BE39" s="208" t="n">
        <f aca="false">SUM($AC39:$AE39)</f>
        <v>0</v>
      </c>
      <c r="BF39" s="208" t="n">
        <f aca="false">SUM($AF39:$AH39)</f>
        <v>0</v>
      </c>
      <c r="BG39" s="208" t="n">
        <f aca="false">SUM($AI39:$AK39)</f>
        <v>0</v>
      </c>
      <c r="BH39" s="208" t="n">
        <f aca="false">SUM($AL39:$AN39)</f>
        <v>1</v>
      </c>
      <c r="BI39" s="208" t="n">
        <f aca="false">SUM($AO39:$AQ39)</f>
        <v>1</v>
      </c>
      <c r="BJ39" s="208" t="n">
        <f aca="false">SUM($AR39:$AT39)</f>
        <v>0</v>
      </c>
      <c r="BK39" s="196" t="n">
        <f aca="false">SUM(AV39:BJ39)</f>
        <v>8</v>
      </c>
    </row>
    <row r="40" customFormat="false" ht="16.4" hidden="false" customHeight="false" outlineLevel="0" collapsed="false">
      <c r="A40" s="206" t="s">
        <v>133</v>
      </c>
      <c r="B40" s="207" t="n">
        <f aca="false">COUNTIF(TT!$D$4:$D$9,TALLY!A40)</f>
        <v>1</v>
      </c>
      <c r="C40" s="207" t="n">
        <f aca="false">COUNTIF(TT!$D$15:$D$28,TALLY!A40)</f>
        <v>0</v>
      </c>
      <c r="D40" s="207" t="n">
        <f aca="false">COUNTIF(TT!$D$34:$D$41,TALLY!A40)</f>
        <v>0</v>
      </c>
      <c r="E40" s="208" t="n">
        <f aca="false">COUNTIF(TT!$D$47:$D$60,TALLY!A40)</f>
        <v>1</v>
      </c>
      <c r="F40" s="208" t="n">
        <f aca="false">COUNTIF(TT!$D$66:$D$79,TALLY!A40)</f>
        <v>0</v>
      </c>
      <c r="G40" s="208" t="n">
        <f aca="false">COUNTIF(TT!$D$84:$D$93,TALLY!A40)</f>
        <v>0</v>
      </c>
      <c r="H40" s="209" t="n">
        <f aca="false">COUNTIF(TT!$D$98:$D$106,TALLY!A40)</f>
        <v>0</v>
      </c>
      <c r="I40" s="209" t="n">
        <f aca="false">COUNTIF(TT!$D$111:$D$121,TALLY!A40)</f>
        <v>0</v>
      </c>
      <c r="J40" s="209" t="n">
        <f aca="false">COUNTIF(TT!$D$126:$D$134,TALLY!A40)</f>
        <v>0</v>
      </c>
      <c r="K40" s="208" t="n">
        <f aca="false">COUNTIF(TT!$D$139:$D$151,TALLY!A40)</f>
        <v>0</v>
      </c>
      <c r="L40" s="208" t="n">
        <f aca="false">COUNTIF(TT!$D$156:$D$164,TALLY!A40)</f>
        <v>0</v>
      </c>
      <c r="M40" s="208" t="n">
        <f aca="false">COUNTIF(TT!$D$169:$D$180,TALLY!A40)</f>
        <v>0</v>
      </c>
      <c r="N40" s="209" t="n">
        <f aca="false">COUNTIF(TT!$D$185:$D$197,TALLY!A40)</f>
        <v>0</v>
      </c>
      <c r="O40" s="209" t="n">
        <f aca="false">COUNTIF(TT!$D$202:$D$208,TALLY!A40)</f>
        <v>0</v>
      </c>
      <c r="P40" s="209" t="n">
        <f aca="false">COUNTIF(TT!$D$213:$D$220,TALLY!A40)</f>
        <v>1</v>
      </c>
      <c r="Q40" s="207" t="n">
        <f aca="false">COUNTIF(TT!$D$225:$D$239,TALLY!A40)</f>
        <v>0</v>
      </c>
      <c r="R40" s="207" t="n">
        <f aca="false">COUNTIF(TT!$D$244:$D$254,TALLY!A40)</f>
        <v>0</v>
      </c>
      <c r="S40" s="207" t="n">
        <f aca="false">COUNTIF(TT!$D$259:$D$268,TALLY!A40)</f>
        <v>0</v>
      </c>
      <c r="T40" s="209" t="n">
        <f aca="false">COUNTIF(TT!$D$271:$D$282,TALLY!A40)</f>
        <v>1</v>
      </c>
      <c r="U40" s="209" t="n">
        <f aca="false">COUNTIF(TT!$D$287:$D$298,TALLY!A40)</f>
        <v>0</v>
      </c>
      <c r="V40" s="209" t="n">
        <f aca="false">COUNTIF(TT!$D$303:$D$311,TALLY!A40)</f>
        <v>0</v>
      </c>
      <c r="W40" s="208" t="n">
        <f aca="false">COUNTIF(TT!$D$316:$D$337,TALLY!A40)</f>
        <v>0</v>
      </c>
      <c r="X40" s="208" t="n">
        <f aca="false">COUNTIF(TT!$D$342:$D$350,TALLY!A40)</f>
        <v>0</v>
      </c>
      <c r="Y40" s="208" t="n">
        <f aca="false">COUNTIF(TT!$D$357:$D$365,TALLY!A40)</f>
        <v>0</v>
      </c>
      <c r="Z40" s="209" t="n">
        <f aca="false">COUNTIF(TT!$D$370:$D$377,TALLY!A40)</f>
        <v>0</v>
      </c>
      <c r="AA40" s="209" t="n">
        <f aca="false">COUNTIF(TT!$D$382:$D$393,TALLY!A40)</f>
        <v>1</v>
      </c>
      <c r="AB40" s="209" t="n">
        <f aca="false">COUNTIF(TT!$D$398:$D$408,TALLY!A40)</f>
        <v>0</v>
      </c>
      <c r="AC40" s="208" t="n">
        <f aca="false">COUNTIF(TT!$D$413:$D$425,TALLY!A40)</f>
        <v>0</v>
      </c>
      <c r="AD40" s="208" t="n">
        <f aca="false">COUNTIF(TT!$D$430:$D$433,TALLY!A40)</f>
        <v>0</v>
      </c>
      <c r="AE40" s="208" t="n">
        <f aca="false">COUNTIF(TT!$D$454:$D$466,TALLY!A40)</f>
        <v>0</v>
      </c>
      <c r="AF40" s="207" t="n">
        <f aca="false">COUNTIF(TT!$D$471:$D$480,TALLY!A40)</f>
        <v>0</v>
      </c>
      <c r="AG40" s="207" t="n">
        <f aca="false">COUNTIF(TT!$D$487:$D$496,TALLY!A40)</f>
        <v>0</v>
      </c>
      <c r="AH40" s="207" t="n">
        <f aca="false">COUNTIF(TT!$D$501:$D$517,TALLY!A40)</f>
        <v>0</v>
      </c>
      <c r="AI40" s="208" t="n">
        <f aca="false">COUNTIF(TT!$D$522:$D$533,TALLY!A40)</f>
        <v>0</v>
      </c>
      <c r="AJ40" s="208" t="n">
        <f aca="false">COUNTIF(TT!$D$538:$D$550,TALLY!A40)</f>
        <v>0</v>
      </c>
      <c r="AK40" s="208" t="n">
        <f aca="false">COUNTIF(TT!$D$555:$D$569,TALLY!A40)</f>
        <v>1</v>
      </c>
      <c r="AL40" s="209" t="n">
        <f aca="false">COUNTIF(TT!$D$574:$D$582,TALLY!A40)</f>
        <v>0</v>
      </c>
      <c r="AM40" s="209" t="n">
        <f aca="false">COUNTIF(TT!$D$587:$D$593,TALLY!A40)</f>
        <v>0</v>
      </c>
      <c r="AN40" s="209" t="n">
        <f aca="false">COUNTIF(TT!$D$598:$D$606,TALLY!A40)</f>
        <v>0</v>
      </c>
      <c r="AO40" s="208" t="n">
        <f aca="false">COUNTIF(TT!$D$611:$D$620,TALLY!A40)</f>
        <v>0</v>
      </c>
      <c r="AP40" s="208" t="n">
        <f aca="false">COUNTIF(TT!$D$627:$D$639,TALLY!A40)</f>
        <v>0</v>
      </c>
      <c r="AQ40" s="208" t="n">
        <f aca="false">COUNTIF(TT!$D$645:$D$657,TALLY!A40)</f>
        <v>0</v>
      </c>
      <c r="AR40" s="209" t="n">
        <f aca="false">COUNTIF(TT!$D$663:$D$671,TALLY!A40)</f>
        <v>0</v>
      </c>
      <c r="AS40" s="209" t="n">
        <f aca="false">COUNTIF(TT!$D$677:$D$685,TALLY!A40)</f>
        <v>0</v>
      </c>
      <c r="AT40" s="209" t="n">
        <f aca="false">COUNTIF(TT!$D$689:$D$698,TALLY!A40)</f>
        <v>1</v>
      </c>
      <c r="AU40" s="206" t="s">
        <v>133</v>
      </c>
      <c r="AV40" s="208" t="n">
        <f aca="false">SUM($B40:$D40)</f>
        <v>1</v>
      </c>
      <c r="AW40" s="208" t="n">
        <f aca="false">SUM($E40:$G40)</f>
        <v>1</v>
      </c>
      <c r="AX40" s="208" t="n">
        <f aca="false">SUM($H40:$J40)</f>
        <v>0</v>
      </c>
      <c r="AY40" s="208" t="n">
        <f aca="false">SUM($K40:$M40)</f>
        <v>0</v>
      </c>
      <c r="AZ40" s="208" t="n">
        <f aca="false">SUM($N40:$P40)</f>
        <v>1</v>
      </c>
      <c r="BA40" s="208" t="n">
        <f aca="false">SUM($Q40:$S40)</f>
        <v>0</v>
      </c>
      <c r="BB40" s="208" t="n">
        <f aca="false">SUM($T40:$V40)</f>
        <v>1</v>
      </c>
      <c r="BC40" s="208" t="n">
        <f aca="false">SUM($W40:$Y40)</f>
        <v>0</v>
      </c>
      <c r="BD40" s="208" t="n">
        <f aca="false">SUM($Z40:$AB40)</f>
        <v>1</v>
      </c>
      <c r="BE40" s="208" t="n">
        <f aca="false">SUM($AC40:$AE40)</f>
        <v>0</v>
      </c>
      <c r="BF40" s="208" t="n">
        <f aca="false">SUM($AF40:$AH40)</f>
        <v>0</v>
      </c>
      <c r="BG40" s="208" t="n">
        <f aca="false">SUM($AI40:$AK40)</f>
        <v>1</v>
      </c>
      <c r="BH40" s="208" t="n">
        <f aca="false">SUM($AL40:$AN40)</f>
        <v>0</v>
      </c>
      <c r="BI40" s="208" t="n">
        <f aca="false">SUM($AO40:$AQ40)</f>
        <v>0</v>
      </c>
      <c r="BJ40" s="208" t="n">
        <f aca="false">SUM($AR40:$AT40)</f>
        <v>1</v>
      </c>
      <c r="BK40" s="196" t="n">
        <f aca="false">SUM(AV40:BJ40)</f>
        <v>7</v>
      </c>
    </row>
    <row r="41" customFormat="false" ht="16.4" hidden="false" customHeight="false" outlineLevel="0" collapsed="false">
      <c r="A41" s="206" t="s">
        <v>23</v>
      </c>
      <c r="B41" s="207" t="n">
        <f aca="false">COUNTIF(TT!$D$4:$D$9,TALLY!A41)</f>
        <v>0</v>
      </c>
      <c r="C41" s="207" t="n">
        <f aca="false">COUNTIF(TT!$D$15:$D$28,TALLY!A41)</f>
        <v>0</v>
      </c>
      <c r="D41" s="207" t="n">
        <f aca="false">COUNTIF(TT!$D$34:$D$41,TALLY!A41)</f>
        <v>1</v>
      </c>
      <c r="E41" s="208" t="n">
        <f aca="false">COUNTIF(TT!$D$47:$D$60,TALLY!A41)</f>
        <v>0</v>
      </c>
      <c r="F41" s="208" t="n">
        <f aca="false">COUNTIF(TT!$D$66:$D$79,TALLY!A41)</f>
        <v>0</v>
      </c>
      <c r="G41" s="208" t="n">
        <f aca="false">COUNTIF(TT!$D$84:$D$93,TALLY!A41)</f>
        <v>0</v>
      </c>
      <c r="H41" s="209" t="n">
        <f aca="false">COUNTIF(TT!$D$98:$D$106,TALLY!A41)</f>
        <v>0</v>
      </c>
      <c r="I41" s="209" t="n">
        <f aca="false">COUNTIF(TT!$D$111:$D$121,TALLY!A41)</f>
        <v>1</v>
      </c>
      <c r="J41" s="209" t="n">
        <f aca="false">COUNTIF(TT!$D$126:$D$134,TALLY!A41)</f>
        <v>0</v>
      </c>
      <c r="K41" s="208" t="n">
        <f aca="false">COUNTIF(TT!$D$139:$D$151,TALLY!A41)</f>
        <v>0</v>
      </c>
      <c r="L41" s="208" t="n">
        <f aca="false">COUNTIF(TT!$D$156:$D$164,TALLY!A41)</f>
        <v>0</v>
      </c>
      <c r="M41" s="208" t="n">
        <f aca="false">COUNTIF(TT!$D$169:$D$180,TALLY!A41)</f>
        <v>0</v>
      </c>
      <c r="N41" s="209" t="n">
        <f aca="false">COUNTIF(TT!$D$185:$D$197,TALLY!A41)</f>
        <v>0</v>
      </c>
      <c r="O41" s="209" t="n">
        <f aca="false">COUNTIF(TT!$D$202:$D$208,TALLY!A41)</f>
        <v>0</v>
      </c>
      <c r="P41" s="209" t="n">
        <f aca="false">COUNTIF(TT!$D$213:$D$220,TALLY!A41)</f>
        <v>1</v>
      </c>
      <c r="Q41" s="207" t="n">
        <f aca="false">COUNTIF(TT!$D$225:$D$239,TALLY!A41)</f>
        <v>0</v>
      </c>
      <c r="R41" s="207" t="n">
        <f aca="false">COUNTIF(TT!$D$244:$D$254,TALLY!A41)</f>
        <v>0</v>
      </c>
      <c r="S41" s="207" t="n">
        <f aca="false">COUNTIF(TT!$D$259:$D$268,TALLY!A41)</f>
        <v>0</v>
      </c>
      <c r="T41" s="209" t="n">
        <f aca="false">COUNTIF(TT!$D$271:$D$282,TALLY!A41)</f>
        <v>0</v>
      </c>
      <c r="U41" s="209" t="n">
        <f aca="false">COUNTIF(TT!$D$287:$D$298,TALLY!A41)</f>
        <v>1</v>
      </c>
      <c r="V41" s="209" t="n">
        <f aca="false">COUNTIF(TT!$D$303:$D$311,TALLY!A41)</f>
        <v>0</v>
      </c>
      <c r="W41" s="208" t="n">
        <f aca="false">COUNTIF(TT!$D$316:$D$337,TALLY!A41)</f>
        <v>0</v>
      </c>
      <c r="X41" s="208" t="n">
        <f aca="false">COUNTIF(TT!$D$342:$D$350,TALLY!A41)</f>
        <v>0</v>
      </c>
      <c r="Y41" s="208" t="n">
        <f aca="false">COUNTIF(TT!$D$357:$D$365,TALLY!A41)</f>
        <v>0</v>
      </c>
      <c r="Z41" s="209" t="n">
        <f aca="false">COUNTIF(TT!$D$370:$D$377,TALLY!A41)</f>
        <v>0</v>
      </c>
      <c r="AA41" s="209" t="n">
        <f aca="false">COUNTIF(TT!$D$382:$D$393,TALLY!A41)</f>
        <v>0</v>
      </c>
      <c r="AB41" s="209" t="n">
        <f aca="false">COUNTIF(TT!$D$398:$D$408,TALLY!A41)</f>
        <v>0</v>
      </c>
      <c r="AC41" s="208" t="n">
        <f aca="false">COUNTIF(TT!$D$413:$D$425,TALLY!A41)</f>
        <v>0</v>
      </c>
      <c r="AD41" s="208" t="n">
        <f aca="false">COUNTIF(TT!$D$430:$D$433,TALLY!A41)</f>
        <v>0</v>
      </c>
      <c r="AE41" s="208" t="n">
        <f aca="false">COUNTIF(TT!$D$454:$D$466,TALLY!A41)</f>
        <v>0</v>
      </c>
      <c r="AF41" s="207" t="n">
        <f aca="false">COUNTIF(TT!$D$471:$D$480,TALLY!A41)</f>
        <v>0</v>
      </c>
      <c r="AG41" s="207" t="n">
        <f aca="false">COUNTIF(TT!$D$487:$D$496,TALLY!A41)</f>
        <v>0</v>
      </c>
      <c r="AH41" s="207" t="n">
        <f aca="false">COUNTIF(TT!$D$501:$D$517,TALLY!A41)</f>
        <v>0</v>
      </c>
      <c r="AI41" s="208" t="n">
        <f aca="false">COUNTIF(TT!$D$522:$D$533,TALLY!A41)</f>
        <v>0</v>
      </c>
      <c r="AJ41" s="208" t="n">
        <f aca="false">COUNTIF(TT!$D$538:$D$550,TALLY!A41)</f>
        <v>1</v>
      </c>
      <c r="AK41" s="208" t="n">
        <f aca="false">COUNTIF(TT!$D$555:$D$569,TALLY!A41)</f>
        <v>0</v>
      </c>
      <c r="AL41" s="209" t="n">
        <f aca="false">COUNTIF(TT!$D$574:$D$582,TALLY!A41)</f>
        <v>0</v>
      </c>
      <c r="AM41" s="209" t="n">
        <f aca="false">COUNTIF(TT!$D$587:$D$593,TALLY!A41)</f>
        <v>0</v>
      </c>
      <c r="AN41" s="209" t="n">
        <f aca="false">COUNTIF(TT!$D$598:$D$606,TALLY!A41)</f>
        <v>0</v>
      </c>
      <c r="AO41" s="208" t="n">
        <f aca="false">COUNTIF(TT!$D$611:$D$620,TALLY!A41)</f>
        <v>0</v>
      </c>
      <c r="AP41" s="208" t="n">
        <f aca="false">COUNTIF(TT!$D$627:$D$639,TALLY!A41)</f>
        <v>0</v>
      </c>
      <c r="AQ41" s="208" t="n">
        <f aca="false">COUNTIF(TT!$D$645:$D$657,TALLY!A41)</f>
        <v>0</v>
      </c>
      <c r="AR41" s="209" t="n">
        <f aca="false">COUNTIF(TT!$D$663:$D$671,TALLY!A41)</f>
        <v>0</v>
      </c>
      <c r="AS41" s="209" t="n">
        <f aca="false">COUNTIF(TT!$D$677:$D$685,TALLY!A41)</f>
        <v>0</v>
      </c>
      <c r="AT41" s="209" t="n">
        <f aca="false">COUNTIF(TT!$D$689:$D$698,TALLY!A41)</f>
        <v>1</v>
      </c>
      <c r="AU41" s="206" t="s">
        <v>23</v>
      </c>
      <c r="AV41" s="208" t="n">
        <f aca="false">SUM($B41:$D41)</f>
        <v>1</v>
      </c>
      <c r="AW41" s="208" t="n">
        <f aca="false">SUM($E41:$G41)</f>
        <v>0</v>
      </c>
      <c r="AX41" s="208" t="n">
        <f aca="false">SUM($H41:$J41)</f>
        <v>1</v>
      </c>
      <c r="AY41" s="208" t="n">
        <f aca="false">SUM($K41:$M41)</f>
        <v>0</v>
      </c>
      <c r="AZ41" s="208" t="n">
        <f aca="false">SUM($N41:$P41)</f>
        <v>1</v>
      </c>
      <c r="BA41" s="208" t="n">
        <f aca="false">SUM($Q41:$S41)</f>
        <v>0</v>
      </c>
      <c r="BB41" s="208" t="n">
        <f aca="false">SUM($T41:$V41)</f>
        <v>1</v>
      </c>
      <c r="BC41" s="208" t="n">
        <f aca="false">SUM($W41:$Y41)</f>
        <v>0</v>
      </c>
      <c r="BD41" s="208" t="n">
        <f aca="false">SUM($Z41:$AB41)</f>
        <v>0</v>
      </c>
      <c r="BE41" s="208" t="n">
        <f aca="false">SUM($AC41:$AE41)</f>
        <v>0</v>
      </c>
      <c r="BF41" s="208" t="n">
        <f aca="false">SUM($AF41:$AH41)</f>
        <v>0</v>
      </c>
      <c r="BG41" s="208" t="n">
        <f aca="false">SUM($AI41:$AK41)</f>
        <v>1</v>
      </c>
      <c r="BH41" s="208" t="n">
        <f aca="false">SUM($AL41:$AN41)</f>
        <v>0</v>
      </c>
      <c r="BI41" s="208" t="n">
        <f aca="false">SUM($AO41:$AQ41)</f>
        <v>0</v>
      </c>
      <c r="BJ41" s="208" t="n">
        <f aca="false">SUM($AR41:$AT41)</f>
        <v>1</v>
      </c>
      <c r="BK41" s="196" t="n">
        <f aca="false">SUM(AV41:BJ41)</f>
        <v>6</v>
      </c>
    </row>
    <row r="42" s="196" customFormat="true" ht="16.4" hidden="false" customHeight="false" outlineLevel="0" collapsed="false">
      <c r="A42" s="206" t="s">
        <v>65</v>
      </c>
      <c r="B42" s="207" t="n">
        <f aca="false">COUNTIF(TT!$D$4:$D$9,TALLY!A42)</f>
        <v>0</v>
      </c>
      <c r="C42" s="207" t="n">
        <f aca="false">COUNTIF(TT!$D$15:$D$28,TALLY!A42)</f>
        <v>0</v>
      </c>
      <c r="D42" s="207" t="n">
        <f aca="false">COUNTIF(TT!$D$34:$D$41,TALLY!A42)</f>
        <v>0</v>
      </c>
      <c r="E42" s="208" t="n">
        <f aca="false">COUNTIF(TT!$D$47:$D$60,TALLY!A42)</f>
        <v>1</v>
      </c>
      <c r="F42" s="208" t="n">
        <f aca="false">COUNTIF(TT!$D$66:$D$79,TALLY!A42)</f>
        <v>0</v>
      </c>
      <c r="G42" s="208" t="n">
        <f aca="false">COUNTIF(TT!$D$84:$D$93,TALLY!A42)</f>
        <v>0</v>
      </c>
      <c r="H42" s="209" t="n">
        <f aca="false">COUNTIF(TT!$D$98:$D$106,TALLY!A42)</f>
        <v>0</v>
      </c>
      <c r="I42" s="209" t="n">
        <f aca="false">COUNTIF(TT!$D$111:$D$121,TALLY!A42)</f>
        <v>0</v>
      </c>
      <c r="J42" s="209" t="n">
        <f aca="false">COUNTIF(TT!$D$126:$D$134,TALLY!A42)</f>
        <v>0</v>
      </c>
      <c r="K42" s="208" t="n">
        <f aca="false">COUNTIF(TT!$D$139:$D$151,TALLY!A42)</f>
        <v>0</v>
      </c>
      <c r="L42" s="208" t="n">
        <f aca="false">COUNTIF(TT!$D$156:$D$164,TALLY!A42)</f>
        <v>0</v>
      </c>
      <c r="M42" s="208" t="n">
        <f aca="false">COUNTIF(TT!$D$169:$D$180,TALLY!A42)</f>
        <v>0</v>
      </c>
      <c r="N42" s="209" t="n">
        <f aca="false">COUNTIF(TT!$D$185:$D$197,TALLY!A42)</f>
        <v>1</v>
      </c>
      <c r="O42" s="209" t="n">
        <f aca="false">COUNTIF(TT!$D$202:$D$208,TALLY!A42)</f>
        <v>0</v>
      </c>
      <c r="P42" s="209" t="n">
        <f aca="false">COUNTIF(TT!$D$213:$D$220,TALLY!A42)</f>
        <v>0</v>
      </c>
      <c r="Q42" s="207" t="n">
        <f aca="false">COUNTIF(TT!$D$225:$D$239,TALLY!A42)</f>
        <v>0</v>
      </c>
      <c r="R42" s="207" t="n">
        <f aca="false">COUNTIF(TT!$D$244:$D$254,TALLY!A42)</f>
        <v>0</v>
      </c>
      <c r="S42" s="207" t="n">
        <f aca="false">COUNTIF(TT!$D$259:$D$268,TALLY!A42)</f>
        <v>0</v>
      </c>
      <c r="T42" s="209" t="n">
        <f aca="false">COUNTIF(TT!$D$271:$D$282,TALLY!A42)</f>
        <v>0</v>
      </c>
      <c r="U42" s="209" t="n">
        <f aca="false">COUNTIF(TT!$D$287:$D$298,TALLY!A42)</f>
        <v>0</v>
      </c>
      <c r="V42" s="209" t="n">
        <f aca="false">COUNTIF(TT!$D$303:$D$311,TALLY!A42)</f>
        <v>0</v>
      </c>
      <c r="W42" s="208" t="n">
        <f aca="false">COUNTIF(TT!$D$316:$D$337,TALLY!A42)</f>
        <v>0</v>
      </c>
      <c r="X42" s="208" t="n">
        <f aca="false">COUNTIF(TT!$D$342:$D$350,TALLY!A42)</f>
        <v>1</v>
      </c>
      <c r="Y42" s="208" t="n">
        <f aca="false">COUNTIF(TT!$D$357:$D$365,TALLY!A42)</f>
        <v>0</v>
      </c>
      <c r="Z42" s="209" t="n">
        <f aca="false">COUNTIF(TT!$D$370:$D$377,TALLY!A42)</f>
        <v>0</v>
      </c>
      <c r="AA42" s="209" t="n">
        <f aca="false">COUNTIF(TT!$D$382:$D$393,TALLY!A42)</f>
        <v>0</v>
      </c>
      <c r="AB42" s="209" t="n">
        <f aca="false">COUNTIF(TT!$D$398:$D$408,TALLY!A42)</f>
        <v>0</v>
      </c>
      <c r="AC42" s="208" t="n">
        <f aca="false">COUNTIF(TT!$D$413:$D$425,TALLY!A42)</f>
        <v>1</v>
      </c>
      <c r="AD42" s="208" t="n">
        <f aca="false">COUNTIF(TT!$D$430:$D$433,TALLY!A42)</f>
        <v>0</v>
      </c>
      <c r="AE42" s="208" t="n">
        <f aca="false">COUNTIF(TT!$D$454:$D$466,TALLY!A42)</f>
        <v>0</v>
      </c>
      <c r="AF42" s="207" t="n">
        <f aca="false">COUNTIF(TT!$D$471:$D$480,TALLY!A42)</f>
        <v>0</v>
      </c>
      <c r="AG42" s="207" t="n">
        <f aca="false">COUNTIF(TT!$D$487:$D$496,TALLY!A42)</f>
        <v>0</v>
      </c>
      <c r="AH42" s="207" t="n">
        <f aca="false">COUNTIF(TT!$D$501:$D$517,TALLY!A42)</f>
        <v>0</v>
      </c>
      <c r="AI42" s="208" t="n">
        <f aca="false">COUNTIF(TT!$D$522:$D$533,TALLY!A42)</f>
        <v>0</v>
      </c>
      <c r="AJ42" s="208" t="n">
        <f aca="false">COUNTIF(TT!$D$538:$D$550,TALLY!A42)</f>
        <v>1</v>
      </c>
      <c r="AK42" s="208" t="n">
        <f aca="false">COUNTIF(TT!$D$555:$D$569,TALLY!A42)</f>
        <v>0</v>
      </c>
      <c r="AL42" s="209" t="n">
        <f aca="false">COUNTIF(TT!$D$574:$D$582,TALLY!A42)</f>
        <v>0</v>
      </c>
      <c r="AM42" s="209" t="n">
        <f aca="false">COUNTIF(TT!$D$587:$D$593,TALLY!A42)</f>
        <v>0</v>
      </c>
      <c r="AN42" s="209" t="n">
        <f aca="false">COUNTIF(TT!$D$598:$D$606,TALLY!A42)</f>
        <v>0</v>
      </c>
      <c r="AO42" s="208" t="n">
        <f aca="false">COUNTIF(TT!$D$611:$D$620,TALLY!A42)</f>
        <v>0</v>
      </c>
      <c r="AP42" s="208" t="n">
        <f aca="false">COUNTIF(TT!$D$627:$D$639,TALLY!A42)</f>
        <v>0</v>
      </c>
      <c r="AQ42" s="208" t="n">
        <f aca="false">COUNTIF(TT!$D$645:$D$657,TALLY!A42)</f>
        <v>1</v>
      </c>
      <c r="AR42" s="209" t="n">
        <f aca="false">COUNTIF(TT!$D$663:$D$671,TALLY!A42)</f>
        <v>0</v>
      </c>
      <c r="AS42" s="209" t="n">
        <f aca="false">COUNTIF(TT!$D$677:$D$685,TALLY!A42)</f>
        <v>0</v>
      </c>
      <c r="AT42" s="209" t="n">
        <f aca="false">COUNTIF(TT!$D$689:$D$698,TALLY!A42)</f>
        <v>0</v>
      </c>
      <c r="AU42" s="206" t="s">
        <v>65</v>
      </c>
      <c r="AV42" s="208" t="n">
        <f aca="false">SUM($B42:$D42)</f>
        <v>0</v>
      </c>
      <c r="AW42" s="208" t="n">
        <f aca="false">SUM($E42:$G42)</f>
        <v>1</v>
      </c>
      <c r="AX42" s="208" t="n">
        <f aca="false">SUM($H42:$J42)</f>
        <v>0</v>
      </c>
      <c r="AY42" s="208" t="n">
        <f aca="false">SUM($K42:$M42)</f>
        <v>0</v>
      </c>
      <c r="AZ42" s="208" t="n">
        <f aca="false">SUM($N42:$P42)</f>
        <v>1</v>
      </c>
      <c r="BA42" s="208" t="n">
        <f aca="false">SUM($Q42:$S42)</f>
        <v>0</v>
      </c>
      <c r="BB42" s="208" t="n">
        <f aca="false">SUM($T42:$V42)</f>
        <v>0</v>
      </c>
      <c r="BC42" s="208" t="n">
        <f aca="false">SUM($W42:$Y42)</f>
        <v>1</v>
      </c>
      <c r="BD42" s="208" t="n">
        <f aca="false">SUM($Z42:$AB42)</f>
        <v>0</v>
      </c>
      <c r="BE42" s="208" t="n">
        <f aca="false">SUM($AC42:$AE42)</f>
        <v>1</v>
      </c>
      <c r="BF42" s="208" t="n">
        <f aca="false">SUM($AF42:$AH42)</f>
        <v>0</v>
      </c>
      <c r="BG42" s="208" t="n">
        <f aca="false">SUM($AI42:$AK42)</f>
        <v>1</v>
      </c>
      <c r="BH42" s="208" t="n">
        <f aca="false">SUM($AL42:$AN42)</f>
        <v>0</v>
      </c>
      <c r="BI42" s="208" t="n">
        <f aca="false">SUM($AO42:$AQ42)</f>
        <v>1</v>
      </c>
      <c r="BJ42" s="208" t="n">
        <f aca="false">SUM($AR42:$AT42)</f>
        <v>0</v>
      </c>
      <c r="BK42" s="196" t="n">
        <f aca="false">SUM(AV42:BJ42)</f>
        <v>6</v>
      </c>
    </row>
    <row r="43" customFormat="false" ht="16.4" hidden="false" customHeight="false" outlineLevel="0" collapsed="false">
      <c r="A43" s="206" t="s">
        <v>157</v>
      </c>
      <c r="B43" s="207" t="n">
        <f aca="false">COUNTIF(TT!$D$4:$D$9,TALLY!A43)</f>
        <v>0</v>
      </c>
      <c r="C43" s="207" t="n">
        <f aca="false">COUNTIF(TT!$D$15:$D$28,TALLY!A43)</f>
        <v>0</v>
      </c>
      <c r="D43" s="207" t="n">
        <f aca="false">COUNTIF(TT!$D$34:$D$41,TALLY!A43)</f>
        <v>1</v>
      </c>
      <c r="E43" s="208" t="n">
        <f aca="false">COUNTIF(TT!$D$47:$D$60,TALLY!A43)</f>
        <v>0</v>
      </c>
      <c r="F43" s="208" t="n">
        <f aca="false">COUNTIF(TT!$D$66:$D$79,TALLY!A43)</f>
        <v>0</v>
      </c>
      <c r="G43" s="208" t="n">
        <f aca="false">COUNTIF(TT!$D$84:$D$93,TALLY!A43)</f>
        <v>0</v>
      </c>
      <c r="H43" s="209" t="n">
        <f aca="false">COUNTIF(TT!$D$98:$D$106,TALLY!A43)</f>
        <v>1</v>
      </c>
      <c r="I43" s="209" t="n">
        <f aca="false">COUNTIF(TT!$D$111:$D$121,TALLY!A43)</f>
        <v>0</v>
      </c>
      <c r="J43" s="209" t="n">
        <f aca="false">COUNTIF(TT!$D$126:$D$134,TALLY!A43)</f>
        <v>0</v>
      </c>
      <c r="K43" s="208" t="n">
        <f aca="false">COUNTIF(TT!$D$139:$D$151,TALLY!A43)</f>
        <v>0</v>
      </c>
      <c r="L43" s="208" t="n">
        <f aca="false">COUNTIF(TT!$D$156:$D$164,TALLY!A43)</f>
        <v>0</v>
      </c>
      <c r="M43" s="208" t="n">
        <f aca="false">COUNTIF(TT!$D$169:$D$180,TALLY!A43)</f>
        <v>0</v>
      </c>
      <c r="N43" s="209" t="n">
        <f aca="false">COUNTIF(TT!$D$185:$D$197,TALLY!A43)</f>
        <v>0</v>
      </c>
      <c r="O43" s="209" t="n">
        <f aca="false">COUNTIF(TT!$D$202:$D$208,TALLY!A43)</f>
        <v>0</v>
      </c>
      <c r="P43" s="209" t="n">
        <f aca="false">COUNTIF(TT!$D$213:$D$220,TALLY!A43)</f>
        <v>0</v>
      </c>
      <c r="Q43" s="207" t="n">
        <f aca="false">COUNTIF(TT!$D$225:$D$239,TALLY!A43)</f>
        <v>0</v>
      </c>
      <c r="R43" s="207" t="n">
        <f aca="false">COUNTIF(TT!$D$244:$D$254,TALLY!A43)</f>
        <v>0</v>
      </c>
      <c r="S43" s="207" t="n">
        <f aca="false">COUNTIF(TT!$D$259:$D$268,TALLY!A43)</f>
        <v>0</v>
      </c>
      <c r="T43" s="209" t="n">
        <f aca="false">COUNTIF(TT!$D$271:$D$282,TALLY!A43)</f>
        <v>0</v>
      </c>
      <c r="U43" s="209" t="n">
        <f aca="false">COUNTIF(TT!$D$287:$D$298,TALLY!A43)</f>
        <v>0</v>
      </c>
      <c r="V43" s="209" t="n">
        <f aca="false">COUNTIF(TT!$D$303:$D$311,TALLY!A43)</f>
        <v>1</v>
      </c>
      <c r="W43" s="208" t="n">
        <f aca="false">COUNTIF(TT!$D$316:$D$337,TALLY!A43)</f>
        <v>0</v>
      </c>
      <c r="X43" s="208" t="n">
        <f aca="false">COUNTIF(TT!$D$342:$D$350,TALLY!A43)</f>
        <v>0</v>
      </c>
      <c r="Y43" s="208" t="n">
        <f aca="false">COUNTIF(TT!$D$357:$D$365,TALLY!A43)</f>
        <v>0</v>
      </c>
      <c r="Z43" s="209" t="n">
        <f aca="false">COUNTIF(TT!$D$370:$D$377,TALLY!A43)</f>
        <v>1</v>
      </c>
      <c r="AA43" s="209" t="n">
        <f aca="false">COUNTIF(TT!$D$382:$D$393,TALLY!A43)</f>
        <v>0</v>
      </c>
      <c r="AB43" s="209" t="n">
        <f aca="false">COUNTIF(TT!$D$398:$D$408,TALLY!A43)</f>
        <v>0</v>
      </c>
      <c r="AC43" s="208" t="n">
        <f aca="false">COUNTIF(TT!$D$413:$D$425,TALLY!A43)</f>
        <v>0</v>
      </c>
      <c r="AD43" s="208" t="n">
        <f aca="false">COUNTIF(TT!$D$430:$D$433,TALLY!A43)</f>
        <v>0</v>
      </c>
      <c r="AE43" s="208" t="n">
        <f aca="false">COUNTIF(TT!$D$454:$D$466,TALLY!A43)</f>
        <v>1</v>
      </c>
      <c r="AF43" s="207" t="n">
        <f aca="false">COUNTIF(TT!$D$471:$D$480,TALLY!A43)</f>
        <v>0</v>
      </c>
      <c r="AG43" s="207" t="n">
        <f aca="false">COUNTIF(TT!$D$487:$D$496,TALLY!A43)</f>
        <v>1</v>
      </c>
      <c r="AH43" s="207" t="n">
        <f aca="false">COUNTIF(TT!$D$501:$D$517,TALLY!A43)</f>
        <v>0</v>
      </c>
      <c r="AI43" s="208" t="n">
        <f aca="false">COUNTIF(TT!$D$522:$D$533,TALLY!A43)</f>
        <v>0</v>
      </c>
      <c r="AJ43" s="208" t="n">
        <f aca="false">COUNTIF(TT!$D$538:$D$550,TALLY!A43)</f>
        <v>0</v>
      </c>
      <c r="AK43" s="208" t="n">
        <f aca="false">COUNTIF(TT!$D$555:$D$569,TALLY!A43)</f>
        <v>0</v>
      </c>
      <c r="AL43" s="209" t="n">
        <f aca="false">COUNTIF(TT!$D$574:$D$582,TALLY!A43)</f>
        <v>0</v>
      </c>
      <c r="AM43" s="209" t="n">
        <f aca="false">COUNTIF(TT!$D$587:$D$593,TALLY!A43)</f>
        <v>0</v>
      </c>
      <c r="AN43" s="209" t="n">
        <f aca="false">COUNTIF(TT!$D$598:$D$606,TALLY!A43)</f>
        <v>0</v>
      </c>
      <c r="AO43" s="208" t="n">
        <f aca="false">COUNTIF(TT!$D$611:$D$620,TALLY!A43)</f>
        <v>0</v>
      </c>
      <c r="AP43" s="208" t="n">
        <f aca="false">COUNTIF(TT!$D$627:$D$639,TALLY!A43)</f>
        <v>0</v>
      </c>
      <c r="AQ43" s="208" t="n">
        <f aca="false">COUNTIF(TT!$D$645:$D$657,TALLY!A43)</f>
        <v>0</v>
      </c>
      <c r="AR43" s="209" t="n">
        <f aca="false">COUNTIF(TT!$D$663:$D$671,TALLY!A43)</f>
        <v>0</v>
      </c>
      <c r="AS43" s="209" t="n">
        <f aca="false">COUNTIF(TT!$D$677:$D$685,TALLY!A43)</f>
        <v>0</v>
      </c>
      <c r="AT43" s="209" t="n">
        <f aca="false">COUNTIF(TT!$D$689:$D$698,TALLY!A43)</f>
        <v>0</v>
      </c>
      <c r="AU43" s="206" t="s">
        <v>157</v>
      </c>
      <c r="AV43" s="208" t="n">
        <f aca="false">SUM($B43:$D43)</f>
        <v>1</v>
      </c>
      <c r="AW43" s="208" t="n">
        <f aca="false">SUM($E43:$G43)</f>
        <v>0</v>
      </c>
      <c r="AX43" s="208" t="n">
        <f aca="false">SUM($H43:$J43)</f>
        <v>1</v>
      </c>
      <c r="AY43" s="208" t="n">
        <f aca="false">SUM($K43:$M43)</f>
        <v>0</v>
      </c>
      <c r="AZ43" s="208" t="n">
        <f aca="false">SUM($N43:$P43)</f>
        <v>0</v>
      </c>
      <c r="BA43" s="208" t="n">
        <f aca="false">SUM($Q43:$S43)</f>
        <v>0</v>
      </c>
      <c r="BB43" s="208" t="n">
        <f aca="false">SUM($T43:$V43)</f>
        <v>1</v>
      </c>
      <c r="BC43" s="208" t="n">
        <f aca="false">SUM($W43:$Y43)</f>
        <v>0</v>
      </c>
      <c r="BD43" s="208" t="n">
        <f aca="false">SUM($Z43:$AB43)</f>
        <v>1</v>
      </c>
      <c r="BE43" s="208" t="n">
        <f aca="false">SUM($AC43:$AE43)</f>
        <v>1</v>
      </c>
      <c r="BF43" s="208" t="n">
        <f aca="false">SUM($AF43:$AH43)</f>
        <v>1</v>
      </c>
      <c r="BG43" s="208" t="n">
        <f aca="false">SUM($AI43:$AK43)</f>
        <v>0</v>
      </c>
      <c r="BH43" s="208" t="n">
        <f aca="false">SUM($AL43:$AN43)</f>
        <v>0</v>
      </c>
      <c r="BI43" s="208" t="n">
        <f aca="false">SUM($AO43:$AQ43)</f>
        <v>0</v>
      </c>
      <c r="BJ43" s="208" t="n">
        <f aca="false">SUM($AR43:$AT43)</f>
        <v>0</v>
      </c>
      <c r="BK43" s="196" t="n">
        <f aca="false">SUM(AV43:BJ43)</f>
        <v>6</v>
      </c>
    </row>
    <row r="44" customFormat="false" ht="16.4" hidden="false" customHeight="false" outlineLevel="0" collapsed="false">
      <c r="A44" s="206" t="s">
        <v>73</v>
      </c>
      <c r="B44" s="207" t="n">
        <f aca="false">COUNTIF(TT!$D$4:$D$9,TALLY!A44)</f>
        <v>0</v>
      </c>
      <c r="C44" s="207" t="n">
        <f aca="false">COUNTIF(TT!$D$15:$D$28,TALLY!A44)</f>
        <v>1</v>
      </c>
      <c r="D44" s="207" t="n">
        <f aca="false">COUNTIF(TT!$D$34:$D$41,TALLY!A44)</f>
        <v>0</v>
      </c>
      <c r="E44" s="208" t="n">
        <f aca="false">COUNTIF(TT!$D$47:$D$60,TALLY!A44)</f>
        <v>0</v>
      </c>
      <c r="F44" s="208" t="n">
        <f aca="false">COUNTIF(TT!$D$66:$D$79,TALLY!A44)</f>
        <v>1</v>
      </c>
      <c r="G44" s="208" t="n">
        <f aca="false">COUNTIF(TT!$D$84:$D$93,TALLY!A44)</f>
        <v>0</v>
      </c>
      <c r="H44" s="209" t="n">
        <f aca="false">COUNTIF(TT!$D$98:$D$106,TALLY!A44)</f>
        <v>0</v>
      </c>
      <c r="I44" s="209" t="n">
        <f aca="false">COUNTIF(TT!$D$111:$D$121,TALLY!A44)</f>
        <v>0</v>
      </c>
      <c r="J44" s="209" t="n">
        <f aca="false">COUNTIF(TT!$D$126:$D$134,TALLY!A44)</f>
        <v>0</v>
      </c>
      <c r="K44" s="208" t="n">
        <f aca="false">COUNTIF(TT!$D$139:$D$151,TALLY!A44)</f>
        <v>0</v>
      </c>
      <c r="L44" s="208" t="n">
        <f aca="false">COUNTIF(TT!$D$156:$D$164,TALLY!A44)</f>
        <v>1</v>
      </c>
      <c r="M44" s="208" t="n">
        <f aca="false">COUNTIF(TT!$D$169:$D$180,TALLY!A44)</f>
        <v>0</v>
      </c>
      <c r="N44" s="209" t="n">
        <f aca="false">COUNTIF(TT!$D$185:$D$197,TALLY!A44)</f>
        <v>0</v>
      </c>
      <c r="O44" s="209" t="n">
        <f aca="false">COUNTIF(TT!$D$202:$D$208,TALLY!A44)</f>
        <v>0</v>
      </c>
      <c r="P44" s="209" t="n">
        <f aca="false">COUNTIF(TT!$D$213:$D$220,TALLY!A44)</f>
        <v>0</v>
      </c>
      <c r="Q44" s="207" t="n">
        <f aca="false">COUNTIF(TT!$D$225:$D$239,TALLY!A44)</f>
        <v>1</v>
      </c>
      <c r="R44" s="207" t="n">
        <f aca="false">COUNTIF(TT!$D$244:$D$254,TALLY!A44)</f>
        <v>0</v>
      </c>
      <c r="S44" s="207" t="n">
        <f aca="false">COUNTIF(TT!$D$259:$D$268,TALLY!A44)</f>
        <v>0</v>
      </c>
      <c r="T44" s="209" t="n">
        <f aca="false">COUNTIF(TT!$D$271:$D$282,TALLY!A44)</f>
        <v>0</v>
      </c>
      <c r="U44" s="209" t="n">
        <f aca="false">COUNTIF(TT!$D$287:$D$298,TALLY!A44)</f>
        <v>0</v>
      </c>
      <c r="V44" s="209" t="n">
        <f aca="false">COUNTIF(TT!$D$303:$D$311,TALLY!A44)</f>
        <v>0</v>
      </c>
      <c r="W44" s="208" t="n">
        <f aca="false">COUNTIF(TT!$D$316:$D$337,TALLY!A44)</f>
        <v>0</v>
      </c>
      <c r="X44" s="208" t="n">
        <f aca="false">COUNTIF(TT!$D$342:$D$350,TALLY!A44)</f>
        <v>1</v>
      </c>
      <c r="Y44" s="208" t="n">
        <f aca="false">COUNTIF(TT!$D$357:$D$365,TALLY!A44)</f>
        <v>0</v>
      </c>
      <c r="Z44" s="209" t="n">
        <f aca="false">COUNTIF(TT!$D$370:$D$377,TALLY!A44)</f>
        <v>0</v>
      </c>
      <c r="AA44" s="209" t="n">
        <f aca="false">COUNTIF(TT!$D$382:$D$393,TALLY!A44)</f>
        <v>0</v>
      </c>
      <c r="AB44" s="209" t="n">
        <f aca="false">COUNTIF(TT!$D$398:$D$408,TALLY!A44)</f>
        <v>0</v>
      </c>
      <c r="AC44" s="208" t="n">
        <f aca="false">COUNTIF(TT!$D$413:$D$425,TALLY!A44)</f>
        <v>1</v>
      </c>
      <c r="AD44" s="208" t="n">
        <f aca="false">COUNTIF(TT!$D$430:$D$433,TALLY!A44)</f>
        <v>0</v>
      </c>
      <c r="AE44" s="208" t="n">
        <f aca="false">COUNTIF(TT!$D$454:$D$466,TALLY!A44)</f>
        <v>0</v>
      </c>
      <c r="AF44" s="207" t="n">
        <f aca="false">COUNTIF(TT!$D$471:$D$480,TALLY!A44)</f>
        <v>0</v>
      </c>
      <c r="AG44" s="207" t="n">
        <f aca="false">COUNTIF(TT!$D$487:$D$496,TALLY!A44)</f>
        <v>0</v>
      </c>
      <c r="AH44" s="207" t="n">
        <f aca="false">COUNTIF(TT!$D$501:$D$517,TALLY!A44)</f>
        <v>1</v>
      </c>
      <c r="AI44" s="208" t="n">
        <f aca="false">COUNTIF(TT!$D$522:$D$533,TALLY!A44)</f>
        <v>0</v>
      </c>
      <c r="AJ44" s="208" t="n">
        <f aca="false">COUNTIF(TT!$D$538:$D$550,TALLY!A44)</f>
        <v>0</v>
      </c>
      <c r="AK44" s="208" t="n">
        <f aca="false">COUNTIF(TT!$D$555:$D$569,TALLY!A44)</f>
        <v>0</v>
      </c>
      <c r="AL44" s="209" t="n">
        <f aca="false">COUNTIF(TT!$D$574:$D$582,TALLY!A44)</f>
        <v>0</v>
      </c>
      <c r="AM44" s="209" t="n">
        <f aca="false">COUNTIF(TT!$D$587:$D$593,TALLY!A44)</f>
        <v>0</v>
      </c>
      <c r="AN44" s="209" t="n">
        <f aca="false">COUNTIF(TT!$D$598:$D$606,TALLY!A44)</f>
        <v>1</v>
      </c>
      <c r="AO44" s="208" t="n">
        <f aca="false">COUNTIF(TT!$D$611:$D$620,TALLY!A44)</f>
        <v>0</v>
      </c>
      <c r="AP44" s="208" t="n">
        <f aca="false">COUNTIF(TT!$D$627:$D$639,TALLY!A44)</f>
        <v>0</v>
      </c>
      <c r="AQ44" s="208" t="n">
        <f aca="false">COUNTIF(TT!$D$645:$D$657,TALLY!A44)</f>
        <v>0</v>
      </c>
      <c r="AR44" s="209" t="n">
        <f aca="false">COUNTIF(TT!$D$663:$D$671,TALLY!A44)</f>
        <v>0</v>
      </c>
      <c r="AS44" s="209" t="n">
        <f aca="false">COUNTIF(TT!$D$677:$D$685,TALLY!A44)</f>
        <v>0</v>
      </c>
      <c r="AT44" s="209" t="n">
        <f aca="false">COUNTIF(TT!$D$689:$D$698,TALLY!A44)</f>
        <v>1</v>
      </c>
      <c r="AU44" s="206" t="s">
        <v>73</v>
      </c>
      <c r="AV44" s="208" t="n">
        <f aca="false">SUM($B44:$D44)</f>
        <v>1</v>
      </c>
      <c r="AW44" s="208" t="n">
        <f aca="false">SUM($E44:$G44)</f>
        <v>1</v>
      </c>
      <c r="AX44" s="208" t="n">
        <f aca="false">SUM($H44:$J44)</f>
        <v>0</v>
      </c>
      <c r="AY44" s="208" t="n">
        <f aca="false">SUM($K44:$M44)</f>
        <v>1</v>
      </c>
      <c r="AZ44" s="208" t="n">
        <f aca="false">SUM($N44:$P44)</f>
        <v>0</v>
      </c>
      <c r="BA44" s="208" t="n">
        <f aca="false">SUM($Q44:$S44)</f>
        <v>1</v>
      </c>
      <c r="BB44" s="208" t="n">
        <f aca="false">SUM($T44:$V44)</f>
        <v>0</v>
      </c>
      <c r="BC44" s="208" t="n">
        <f aca="false">SUM($W44:$Y44)</f>
        <v>1</v>
      </c>
      <c r="BD44" s="208" t="n">
        <f aca="false">SUM($Z44:$AB44)</f>
        <v>0</v>
      </c>
      <c r="BE44" s="208" t="n">
        <f aca="false">SUM($AC44:$AE44)</f>
        <v>1</v>
      </c>
      <c r="BF44" s="208" t="n">
        <f aca="false">SUM($AF44:$AH44)</f>
        <v>1</v>
      </c>
      <c r="BG44" s="208" t="n">
        <f aca="false">SUM($AI44:$AK44)</f>
        <v>0</v>
      </c>
      <c r="BH44" s="208" t="n">
        <f aca="false">SUM($AL44:$AN44)</f>
        <v>1</v>
      </c>
      <c r="BI44" s="208" t="n">
        <f aca="false">SUM($AO44:$AQ44)</f>
        <v>0</v>
      </c>
      <c r="BJ44" s="208" t="n">
        <f aca="false">SUM($AR44:$AT44)</f>
        <v>1</v>
      </c>
      <c r="BK44" s="196" t="n">
        <f aca="false">SUM(AV44:BJ44)</f>
        <v>9</v>
      </c>
    </row>
    <row r="45" s="196" customFormat="true" ht="16.4" hidden="false" customHeight="false" outlineLevel="0" collapsed="false">
      <c r="A45" s="206" t="s">
        <v>16</v>
      </c>
      <c r="B45" s="207" t="n">
        <f aca="false">COUNTIF(TT!$D$4:$D$9,TALLY!A45)</f>
        <v>1</v>
      </c>
      <c r="C45" s="207" t="n">
        <f aca="false">COUNTIF(TT!$D$15:$D$28,TALLY!A45)</f>
        <v>0</v>
      </c>
      <c r="D45" s="207" t="n">
        <f aca="false">COUNTIF(TT!$D$34:$D$41,TALLY!A45)</f>
        <v>0</v>
      </c>
      <c r="E45" s="208" t="n">
        <f aca="false">COUNTIF(TT!$D$47:$D$60,TALLY!A45)</f>
        <v>0</v>
      </c>
      <c r="F45" s="208" t="n">
        <f aca="false">COUNTIF(TT!$D$66:$D$79,TALLY!A45)</f>
        <v>0</v>
      </c>
      <c r="G45" s="208" t="n">
        <f aca="false">COUNTIF(TT!$D$84:$D$93,TALLY!A45)</f>
        <v>0</v>
      </c>
      <c r="H45" s="209" t="n">
        <f aca="false">COUNTIF(TT!$D$98:$D$106,TALLY!A45)</f>
        <v>0</v>
      </c>
      <c r="I45" s="209" t="n">
        <f aca="false">COUNTIF(TT!$D$111:$D$121,TALLY!A45)</f>
        <v>0</v>
      </c>
      <c r="J45" s="209" t="n">
        <f aca="false">COUNTIF(TT!$D$126:$D$134,TALLY!A45)</f>
        <v>0</v>
      </c>
      <c r="K45" s="208" t="n">
        <f aca="false">COUNTIF(TT!$D$139:$D$151,TALLY!A45)</f>
        <v>0</v>
      </c>
      <c r="L45" s="208" t="n">
        <f aca="false">COUNTIF(TT!$D$156:$D$164,TALLY!A45)</f>
        <v>1</v>
      </c>
      <c r="M45" s="208" t="n">
        <f aca="false">COUNTIF(TT!$D$169:$D$180,TALLY!A45)</f>
        <v>0</v>
      </c>
      <c r="N45" s="209" t="n">
        <f aca="false">COUNTIF(TT!$D$185:$D$197,TALLY!A45)</f>
        <v>0</v>
      </c>
      <c r="O45" s="209" t="n">
        <f aca="false">COUNTIF(TT!$D$202:$D$208,TALLY!A45)</f>
        <v>0</v>
      </c>
      <c r="P45" s="209" t="n">
        <f aca="false">COUNTIF(TT!$D$213:$D$220,TALLY!A45)</f>
        <v>0</v>
      </c>
      <c r="Q45" s="207" t="n">
        <f aca="false">COUNTIF(TT!$D$225:$D$239,TALLY!A45)</f>
        <v>0</v>
      </c>
      <c r="R45" s="207" t="n">
        <f aca="false">COUNTIF(TT!$D$244:$D$254,TALLY!A45)</f>
        <v>0</v>
      </c>
      <c r="S45" s="207" t="n">
        <f aca="false">COUNTIF(TT!$D$259:$D$268,TALLY!A45)</f>
        <v>0</v>
      </c>
      <c r="T45" s="209" t="n">
        <f aca="false">COUNTIF(TT!$D$271:$D$282,TALLY!A45)</f>
        <v>0</v>
      </c>
      <c r="U45" s="209" t="n">
        <f aca="false">COUNTIF(TT!$D$287:$D$298,TALLY!A45)</f>
        <v>0</v>
      </c>
      <c r="V45" s="209" t="n">
        <f aca="false">COUNTIF(TT!$D$303:$D$311,TALLY!A45)</f>
        <v>0</v>
      </c>
      <c r="W45" s="208" t="n">
        <f aca="false">COUNTIF(TT!$D$316:$D$337,TALLY!A45)</f>
        <v>0</v>
      </c>
      <c r="X45" s="208" t="n">
        <f aca="false">COUNTIF(TT!$D$342:$D$350,TALLY!A45)</f>
        <v>1</v>
      </c>
      <c r="Y45" s="208" t="n">
        <f aca="false">COUNTIF(TT!$D$357:$D$365,TALLY!A45)</f>
        <v>0</v>
      </c>
      <c r="Z45" s="209" t="n">
        <f aca="false">COUNTIF(TT!$D$370:$D$377,TALLY!A45)</f>
        <v>0</v>
      </c>
      <c r="AA45" s="209" t="n">
        <f aca="false">COUNTIF(TT!$D$382:$D$393,TALLY!A45)</f>
        <v>0</v>
      </c>
      <c r="AB45" s="209" t="n">
        <f aca="false">COUNTIF(TT!$D$398:$D$408,TALLY!A45)</f>
        <v>0</v>
      </c>
      <c r="AC45" s="208" t="n">
        <f aca="false">COUNTIF(TT!$D$413:$D$425,TALLY!A45)</f>
        <v>0</v>
      </c>
      <c r="AD45" s="208" t="n">
        <f aca="false">COUNTIF(TT!$D$430:$D$433,TALLY!A45)</f>
        <v>0</v>
      </c>
      <c r="AE45" s="208" t="n">
        <f aca="false">COUNTIF(TT!$D$454:$D$466,TALLY!A45)</f>
        <v>0</v>
      </c>
      <c r="AF45" s="207" t="n">
        <f aca="false">COUNTIF(TT!$D$471:$D$480,TALLY!A45)</f>
        <v>0</v>
      </c>
      <c r="AG45" s="207" t="n">
        <f aca="false">COUNTIF(TT!$D$487:$D$496,TALLY!A45)</f>
        <v>0</v>
      </c>
      <c r="AH45" s="207" t="n">
        <f aca="false">COUNTIF(TT!$D$501:$D$517,TALLY!A45)</f>
        <v>1</v>
      </c>
      <c r="AI45" s="208" t="n">
        <f aca="false">COUNTIF(TT!$D$522:$D$533,TALLY!A45)</f>
        <v>0</v>
      </c>
      <c r="AJ45" s="208" t="n">
        <f aca="false">COUNTIF(TT!$D$538:$D$550,TALLY!A45)</f>
        <v>0</v>
      </c>
      <c r="AK45" s="208" t="n">
        <f aca="false">COUNTIF(TT!$D$555:$D$569,TALLY!A45)</f>
        <v>0</v>
      </c>
      <c r="AL45" s="209" t="n">
        <f aca="false">COUNTIF(TT!$D$574:$D$582,TALLY!A45)</f>
        <v>0</v>
      </c>
      <c r="AM45" s="209" t="n">
        <f aca="false">COUNTIF(TT!$D$587:$D$593,TALLY!A45)</f>
        <v>0</v>
      </c>
      <c r="AN45" s="209" t="n">
        <f aca="false">COUNTIF(TT!$D$598:$D$606,TALLY!A45)</f>
        <v>0</v>
      </c>
      <c r="AO45" s="208" t="n">
        <f aca="false">COUNTIF(TT!$D$611:$D$620,TALLY!A45)</f>
        <v>0</v>
      </c>
      <c r="AP45" s="208" t="n">
        <f aca="false">COUNTIF(TT!$D$627:$D$639,TALLY!A45)</f>
        <v>0</v>
      </c>
      <c r="AQ45" s="208" t="n">
        <f aca="false">COUNTIF(TT!$D$645:$D$657,TALLY!A45)</f>
        <v>0</v>
      </c>
      <c r="AR45" s="209" t="n">
        <f aca="false">COUNTIF(TT!$D$663:$D$671,TALLY!A45)</f>
        <v>0</v>
      </c>
      <c r="AS45" s="209" t="n">
        <f aca="false">COUNTIF(TT!$D$677:$D$685,TALLY!A45)</f>
        <v>0</v>
      </c>
      <c r="AT45" s="209" t="n">
        <f aca="false">COUNTIF(TT!$D$689:$D$698,TALLY!A45)</f>
        <v>0</v>
      </c>
      <c r="AU45" s="206" t="s">
        <v>16</v>
      </c>
      <c r="AV45" s="208" t="n">
        <f aca="false">SUM($B45:$D45)</f>
        <v>1</v>
      </c>
      <c r="AW45" s="208" t="n">
        <f aca="false">SUM($E45:$G45)</f>
        <v>0</v>
      </c>
      <c r="AX45" s="208" t="n">
        <f aca="false">SUM($H45:$J45)</f>
        <v>0</v>
      </c>
      <c r="AY45" s="208" t="n">
        <f aca="false">SUM($K45:$M45)</f>
        <v>1</v>
      </c>
      <c r="AZ45" s="208" t="n">
        <f aca="false">SUM($N45:$P45)</f>
        <v>0</v>
      </c>
      <c r="BA45" s="208" t="n">
        <f aca="false">SUM($Q45:$S45)</f>
        <v>0</v>
      </c>
      <c r="BB45" s="208" t="n">
        <f aca="false">SUM($T45:$V45)</f>
        <v>0</v>
      </c>
      <c r="BC45" s="208" t="n">
        <f aca="false">SUM($W45:$Y45)</f>
        <v>1</v>
      </c>
      <c r="BD45" s="208" t="n">
        <f aca="false">SUM($Z45:$AB45)</f>
        <v>0</v>
      </c>
      <c r="BE45" s="208" t="n">
        <f aca="false">SUM($AC45:$AE45)</f>
        <v>0</v>
      </c>
      <c r="BF45" s="208" t="n">
        <f aca="false">SUM($AF45:$AH45)</f>
        <v>1</v>
      </c>
      <c r="BG45" s="208" t="n">
        <f aca="false">SUM($AI45:$AK45)</f>
        <v>0</v>
      </c>
      <c r="BH45" s="208" t="n">
        <f aca="false">SUM($AL45:$AN45)</f>
        <v>0</v>
      </c>
      <c r="BI45" s="208" t="n">
        <f aca="false">SUM($AO45:$AQ45)</f>
        <v>0</v>
      </c>
      <c r="BJ45" s="208" t="n">
        <f aca="false">SUM($AR45:$AT45)</f>
        <v>0</v>
      </c>
      <c r="BK45" s="196" t="n">
        <f aca="false">SUM(AV45:BJ45)</f>
        <v>4</v>
      </c>
    </row>
    <row r="46" customFormat="false" ht="16.4" hidden="false" customHeight="false" outlineLevel="0" collapsed="false">
      <c r="A46" s="206" t="s">
        <v>71</v>
      </c>
      <c r="B46" s="207" t="n">
        <f aca="false">COUNTIF(TT!$D$4:$D$9,TALLY!A46)</f>
        <v>0</v>
      </c>
      <c r="C46" s="207" t="n">
        <f aca="false">COUNTIF(TT!$D$15:$D$28,TALLY!A46)</f>
        <v>0</v>
      </c>
      <c r="D46" s="207" t="n">
        <f aca="false">COUNTIF(TT!$D$34:$D$41,TALLY!A46)</f>
        <v>1</v>
      </c>
      <c r="E46" s="208" t="n">
        <f aca="false">COUNTIF(TT!$D$47:$D$60,TALLY!A46)</f>
        <v>0</v>
      </c>
      <c r="F46" s="208" t="n">
        <f aca="false">COUNTIF(TT!$D$66:$D$79,TALLY!A46)</f>
        <v>1</v>
      </c>
      <c r="G46" s="208" t="n">
        <f aca="false">COUNTIF(TT!$D$84:$D$93,TALLY!A46)</f>
        <v>0</v>
      </c>
      <c r="H46" s="209" t="n">
        <f aca="false">COUNTIF(TT!$D$98:$D$106,TALLY!A46)</f>
        <v>0</v>
      </c>
      <c r="I46" s="209" t="n">
        <f aca="false">COUNTIF(TT!$D$111:$D$121,TALLY!A46)</f>
        <v>0</v>
      </c>
      <c r="J46" s="209" t="n">
        <f aca="false">COUNTIF(TT!$D$126:$D$134,TALLY!A46)</f>
        <v>0</v>
      </c>
      <c r="K46" s="208" t="n">
        <f aca="false">COUNTIF(TT!$D$139:$D$151,TALLY!A46)</f>
        <v>0</v>
      </c>
      <c r="L46" s="208" t="n">
        <f aca="false">COUNTIF(TT!$D$156:$D$164,TALLY!A46)</f>
        <v>0</v>
      </c>
      <c r="M46" s="208" t="n">
        <f aca="false">COUNTIF(TT!$D$169:$D$180,TALLY!A46)</f>
        <v>0</v>
      </c>
      <c r="N46" s="209" t="n">
        <f aca="false">COUNTIF(TT!$D$185:$D$197,TALLY!A46)</f>
        <v>0</v>
      </c>
      <c r="O46" s="209" t="n">
        <f aca="false">COUNTIF(TT!$D$202:$D$208,TALLY!A46)</f>
        <v>1</v>
      </c>
      <c r="P46" s="209" t="n">
        <f aca="false">COUNTIF(TT!$D$213:$D$220,TALLY!A46)</f>
        <v>0</v>
      </c>
      <c r="Q46" s="207" t="n">
        <f aca="false">COUNTIF(TT!$D$225:$D$239,TALLY!A46)</f>
        <v>0</v>
      </c>
      <c r="R46" s="207" t="n">
        <f aca="false">COUNTIF(TT!$D$244:$D$254,TALLY!A46)</f>
        <v>0</v>
      </c>
      <c r="S46" s="207" t="n">
        <f aca="false">COUNTIF(TT!$D$259:$D$268,TALLY!A46)</f>
        <v>0</v>
      </c>
      <c r="T46" s="209" t="n">
        <f aca="false">COUNTIF(TT!$D$271:$D$282,TALLY!A46)</f>
        <v>0</v>
      </c>
      <c r="U46" s="209" t="n">
        <f aca="false">COUNTIF(TT!$D$287:$D$298,TALLY!A46)</f>
        <v>0</v>
      </c>
      <c r="V46" s="209" t="n">
        <f aca="false">COUNTIF(TT!$D$303:$D$311,TALLY!A46)</f>
        <v>1</v>
      </c>
      <c r="W46" s="208" t="n">
        <f aca="false">COUNTIF(TT!$D$316:$D$337,TALLY!A46)</f>
        <v>0</v>
      </c>
      <c r="X46" s="208" t="n">
        <f aca="false">COUNTIF(TT!$D$342:$D$350,TALLY!A46)</f>
        <v>0</v>
      </c>
      <c r="Y46" s="208" t="n">
        <f aca="false">COUNTIF(TT!$D$357:$D$365,TALLY!A46)</f>
        <v>1</v>
      </c>
      <c r="Z46" s="209" t="n">
        <f aca="false">COUNTIF(TT!$D$370:$D$377,TALLY!A46)</f>
        <v>0</v>
      </c>
      <c r="AA46" s="209" t="n">
        <f aca="false">COUNTIF(TT!$D$382:$D$393,TALLY!A46)</f>
        <v>0</v>
      </c>
      <c r="AB46" s="209" t="n">
        <f aca="false">COUNTIF(TT!$D$398:$D$408,TALLY!A46)</f>
        <v>0</v>
      </c>
      <c r="AC46" s="208" t="n">
        <f aca="false">COUNTIF(TT!$D$413:$D$425,TALLY!A46)</f>
        <v>0</v>
      </c>
      <c r="AD46" s="208" t="n">
        <f aca="false">COUNTIF(TT!$D$430:$D$433,TALLY!A46)</f>
        <v>0</v>
      </c>
      <c r="AE46" s="208" t="n">
        <f aca="false">COUNTIF(TT!$D$454:$D$466,TALLY!A46)</f>
        <v>1</v>
      </c>
      <c r="AF46" s="207" t="n">
        <f aca="false">COUNTIF(TT!$D$471:$D$480,TALLY!A46)</f>
        <v>0</v>
      </c>
      <c r="AG46" s="207" t="n">
        <f aca="false">COUNTIF(TT!$D$487:$D$496,TALLY!A46)</f>
        <v>0</v>
      </c>
      <c r="AH46" s="207" t="n">
        <f aca="false">COUNTIF(TT!$D$501:$D$517,TALLY!A46)</f>
        <v>1</v>
      </c>
      <c r="AI46" s="208" t="n">
        <f aca="false">COUNTIF(TT!$D$522:$D$533,TALLY!A46)</f>
        <v>0</v>
      </c>
      <c r="AJ46" s="208" t="n">
        <f aca="false">COUNTIF(TT!$D$538:$D$550,TALLY!A46)</f>
        <v>0</v>
      </c>
      <c r="AK46" s="208" t="n">
        <f aca="false">COUNTIF(TT!$D$555:$D$569,TALLY!A46)</f>
        <v>0</v>
      </c>
      <c r="AL46" s="209" t="n">
        <f aca="false">COUNTIF(TT!$D$574:$D$582,TALLY!A46)</f>
        <v>0</v>
      </c>
      <c r="AM46" s="209" t="n">
        <f aca="false">COUNTIF(TT!$D$587:$D$593,TALLY!A46)</f>
        <v>1</v>
      </c>
      <c r="AN46" s="209" t="n">
        <f aca="false">COUNTIF(TT!$D$598:$D$606,TALLY!A46)</f>
        <v>0</v>
      </c>
      <c r="AO46" s="208" t="n">
        <f aca="false">COUNTIF(TT!$D$611:$D$620,TALLY!A46)</f>
        <v>0</v>
      </c>
      <c r="AP46" s="208" t="n">
        <f aca="false">COUNTIF(TT!$D$627:$D$639,TALLY!A46)</f>
        <v>0</v>
      </c>
      <c r="AQ46" s="208" t="n">
        <f aca="false">COUNTIF(TT!$D$645:$D$657,TALLY!A46)</f>
        <v>0</v>
      </c>
      <c r="AR46" s="209" t="n">
        <f aca="false">COUNTIF(TT!$D$663:$D$671,TALLY!A46)</f>
        <v>0</v>
      </c>
      <c r="AS46" s="209" t="n">
        <f aca="false">COUNTIF(TT!$D$677:$D$685,TALLY!A46)</f>
        <v>0</v>
      </c>
      <c r="AT46" s="209" t="n">
        <f aca="false">COUNTIF(TT!$D$689:$D$698,TALLY!A46)</f>
        <v>1</v>
      </c>
      <c r="AU46" s="206" t="s">
        <v>71</v>
      </c>
      <c r="AV46" s="208" t="n">
        <f aca="false">SUM($B46:$D46)</f>
        <v>1</v>
      </c>
      <c r="AW46" s="208" t="n">
        <f aca="false">SUM($E46:$G46)</f>
        <v>1</v>
      </c>
      <c r="AX46" s="208" t="n">
        <f aca="false">SUM($H46:$J46)</f>
        <v>0</v>
      </c>
      <c r="AY46" s="208" t="n">
        <f aca="false">SUM($K46:$M46)</f>
        <v>0</v>
      </c>
      <c r="AZ46" s="208" t="n">
        <f aca="false">SUM($N46:$P46)</f>
        <v>1</v>
      </c>
      <c r="BA46" s="208" t="n">
        <f aca="false">SUM($Q46:$S46)</f>
        <v>0</v>
      </c>
      <c r="BB46" s="208" t="n">
        <f aca="false">SUM($T46:$V46)</f>
        <v>1</v>
      </c>
      <c r="BC46" s="208" t="n">
        <f aca="false">SUM($W46:$Y46)</f>
        <v>1</v>
      </c>
      <c r="BD46" s="208" t="n">
        <f aca="false">SUM($Z46:$AB46)</f>
        <v>0</v>
      </c>
      <c r="BE46" s="208" t="n">
        <f aca="false">SUM($AC46:$AE46)</f>
        <v>1</v>
      </c>
      <c r="BF46" s="208" t="n">
        <f aca="false">SUM($AF46:$AH46)</f>
        <v>1</v>
      </c>
      <c r="BG46" s="208" t="n">
        <f aca="false">SUM($AI46:$AK46)</f>
        <v>0</v>
      </c>
      <c r="BH46" s="208" t="n">
        <f aca="false">SUM($AL46:$AN46)</f>
        <v>1</v>
      </c>
      <c r="BI46" s="208" t="n">
        <f aca="false">SUM($AO46:$AQ46)</f>
        <v>0</v>
      </c>
      <c r="BJ46" s="208" t="n">
        <f aca="false">SUM($AR46:$AT46)</f>
        <v>1</v>
      </c>
      <c r="BK46" s="196" t="n">
        <f aca="false">SUM(AV46:BJ46)</f>
        <v>9</v>
      </c>
    </row>
    <row r="47" customFormat="false" ht="16.4" hidden="false" customHeight="false" outlineLevel="0" collapsed="false">
      <c r="A47" s="206" t="s">
        <v>154</v>
      </c>
      <c r="B47" s="207" t="n">
        <f aca="false">COUNTIF(TT!$D$4:$D$9,TALLY!A47)</f>
        <v>0</v>
      </c>
      <c r="C47" s="207" t="n">
        <f aca="false">COUNTIF(TT!$D$15:$D$28,TALLY!A47)</f>
        <v>0</v>
      </c>
      <c r="D47" s="207" t="n">
        <f aca="false">COUNTIF(TT!$D$34:$D$41,TALLY!A47)</f>
        <v>0</v>
      </c>
      <c r="E47" s="208" t="n">
        <f aca="false">COUNTIF(TT!$D$47:$D$60,TALLY!A47)</f>
        <v>0</v>
      </c>
      <c r="F47" s="208" t="n">
        <f aca="false">COUNTIF(TT!$D$66:$D$79,TALLY!A47)</f>
        <v>0</v>
      </c>
      <c r="G47" s="208" t="n">
        <f aca="false">COUNTIF(TT!$D$84:$D$93,TALLY!A47)</f>
        <v>0</v>
      </c>
      <c r="H47" s="209" t="n">
        <f aca="false">COUNTIF(TT!$D$98:$D$106,TALLY!A47)</f>
        <v>1</v>
      </c>
      <c r="I47" s="209" t="n">
        <f aca="false">COUNTIF(TT!$D$111:$D$121,TALLY!A47)</f>
        <v>0</v>
      </c>
      <c r="J47" s="209" t="n">
        <f aca="false">COUNTIF(TT!$D$126:$D$134,TALLY!A47)</f>
        <v>0</v>
      </c>
      <c r="K47" s="208" t="n">
        <f aca="false">COUNTIF(TT!$D$139:$D$151,TALLY!A47)</f>
        <v>0</v>
      </c>
      <c r="L47" s="208" t="n">
        <f aca="false">COUNTIF(TT!$D$156:$D$164,TALLY!A47)</f>
        <v>0</v>
      </c>
      <c r="M47" s="208" t="n">
        <f aca="false">COUNTIF(TT!$D$169:$D$180,TALLY!A47)</f>
        <v>0</v>
      </c>
      <c r="N47" s="209" t="n">
        <f aca="false">COUNTIF(TT!$D$185:$D$197,TALLY!A47)</f>
        <v>1</v>
      </c>
      <c r="O47" s="209" t="n">
        <f aca="false">COUNTIF(TT!$D$202:$D$208,TALLY!A47)</f>
        <v>0</v>
      </c>
      <c r="P47" s="209" t="n">
        <f aca="false">COUNTIF(TT!$D$213:$D$220,TALLY!A47)</f>
        <v>0</v>
      </c>
      <c r="Q47" s="207" t="n">
        <f aca="false">COUNTIF(TT!$D$225:$D$239,TALLY!A47)</f>
        <v>0</v>
      </c>
      <c r="R47" s="207" t="n">
        <f aca="false">COUNTIF(TT!$D$244:$D$254,TALLY!A47)</f>
        <v>0</v>
      </c>
      <c r="S47" s="207" t="n">
        <f aca="false">COUNTIF(TT!$D$259:$D$268,TALLY!A47)</f>
        <v>1</v>
      </c>
      <c r="T47" s="209" t="n">
        <f aca="false">COUNTIF(TT!$D$271:$D$282,TALLY!A47)</f>
        <v>0</v>
      </c>
      <c r="U47" s="209" t="n">
        <f aca="false">COUNTIF(TT!$D$287:$D$298,TALLY!A47)</f>
        <v>0</v>
      </c>
      <c r="V47" s="209" t="n">
        <f aca="false">COUNTIF(TT!$D$303:$D$311,TALLY!A47)</f>
        <v>0</v>
      </c>
      <c r="W47" s="208" t="n">
        <f aca="false">COUNTIF(TT!$D$316:$D$337,TALLY!A47)</f>
        <v>0</v>
      </c>
      <c r="X47" s="208" t="n">
        <f aca="false">COUNTIF(TT!$D$342:$D$350,TALLY!A47)</f>
        <v>0</v>
      </c>
      <c r="Y47" s="208" t="n">
        <f aca="false">COUNTIF(TT!$D$357:$D$365,TALLY!A47)</f>
        <v>0</v>
      </c>
      <c r="Z47" s="209" t="n">
        <f aca="false">COUNTIF(TT!$D$370:$D$377,TALLY!A47)</f>
        <v>1</v>
      </c>
      <c r="AA47" s="209" t="n">
        <f aca="false">COUNTIF(TT!$D$382:$D$393,TALLY!A47)</f>
        <v>0</v>
      </c>
      <c r="AB47" s="209" t="n">
        <f aca="false">COUNTIF(TT!$D$398:$D$408,TALLY!A47)</f>
        <v>0</v>
      </c>
      <c r="AC47" s="208" t="n">
        <f aca="false">COUNTIF(TT!$D$413:$D$425,TALLY!A47)</f>
        <v>0</v>
      </c>
      <c r="AD47" s="208" t="n">
        <f aca="false">COUNTIF(TT!$D$430:$D$433,TALLY!A47)</f>
        <v>0</v>
      </c>
      <c r="AE47" s="208" t="n">
        <f aca="false">COUNTIF(TT!$D$454:$D$466,TALLY!A47)</f>
        <v>1</v>
      </c>
      <c r="AF47" s="207" t="n">
        <f aca="false">COUNTIF(TT!$D$471:$D$480,TALLY!A47)</f>
        <v>0</v>
      </c>
      <c r="AG47" s="207" t="n">
        <f aca="false">COUNTIF(TT!$D$487:$D$496,TALLY!A47)</f>
        <v>0</v>
      </c>
      <c r="AH47" s="207" t="n">
        <f aca="false">COUNTIF(TT!$D$501:$D$517,TALLY!A47)</f>
        <v>0</v>
      </c>
      <c r="AI47" s="208" t="n">
        <f aca="false">COUNTIF(TT!$D$522:$D$533,TALLY!A47)</f>
        <v>0</v>
      </c>
      <c r="AJ47" s="208" t="n">
        <f aca="false">COUNTIF(TT!$D$538:$D$550,TALLY!A47)</f>
        <v>0</v>
      </c>
      <c r="AK47" s="208" t="n">
        <f aca="false">COUNTIF(TT!$D$555:$D$569,TALLY!A47)</f>
        <v>1</v>
      </c>
      <c r="AL47" s="209" t="n">
        <f aca="false">COUNTIF(TT!$D$574:$D$582,TALLY!A47)</f>
        <v>0</v>
      </c>
      <c r="AM47" s="209" t="n">
        <f aca="false">COUNTIF(TT!$D$587:$D$593,TALLY!A47)</f>
        <v>0</v>
      </c>
      <c r="AN47" s="209" t="n">
        <f aca="false">COUNTIF(TT!$D$598:$D$606,TALLY!A47)</f>
        <v>0</v>
      </c>
      <c r="AO47" s="208" t="n">
        <f aca="false">COUNTIF(TT!$D$611:$D$620,TALLY!A47)</f>
        <v>0</v>
      </c>
      <c r="AP47" s="208" t="n">
        <f aca="false">COUNTIF(TT!$D$627:$D$639,TALLY!A47)</f>
        <v>1</v>
      </c>
      <c r="AQ47" s="208" t="n">
        <f aca="false">COUNTIF(TT!$D$645:$D$657,TALLY!A47)</f>
        <v>0</v>
      </c>
      <c r="AR47" s="209" t="n">
        <f aca="false">COUNTIF(TT!$D$663:$D$671,TALLY!A47)</f>
        <v>0</v>
      </c>
      <c r="AS47" s="209" t="n">
        <f aca="false">COUNTIF(TT!$D$677:$D$685,TALLY!A47)</f>
        <v>0</v>
      </c>
      <c r="AT47" s="209" t="n">
        <f aca="false">COUNTIF(TT!$D$689:$D$698,TALLY!A47)</f>
        <v>0</v>
      </c>
      <c r="AU47" s="206" t="s">
        <v>154</v>
      </c>
      <c r="AV47" s="208" t="n">
        <f aca="false">SUM($B47:$D47)</f>
        <v>0</v>
      </c>
      <c r="AW47" s="208" t="n">
        <f aca="false">SUM($E47:$G47)</f>
        <v>0</v>
      </c>
      <c r="AX47" s="208" t="n">
        <f aca="false">SUM($H47:$J47)</f>
        <v>1</v>
      </c>
      <c r="AY47" s="208" t="n">
        <f aca="false">SUM($K47:$M47)</f>
        <v>0</v>
      </c>
      <c r="AZ47" s="208" t="n">
        <f aca="false">SUM($N47:$P47)</f>
        <v>1</v>
      </c>
      <c r="BA47" s="208" t="n">
        <f aca="false">SUM($Q47:$S47)</f>
        <v>1</v>
      </c>
      <c r="BB47" s="208" t="n">
        <f aca="false">SUM($T47:$V47)</f>
        <v>0</v>
      </c>
      <c r="BC47" s="208" t="n">
        <f aca="false">SUM($W47:$Y47)</f>
        <v>0</v>
      </c>
      <c r="BD47" s="208" t="n">
        <f aca="false">SUM($Z47:$AB47)</f>
        <v>1</v>
      </c>
      <c r="BE47" s="208" t="n">
        <f aca="false">SUM($AC47:$AE47)</f>
        <v>1</v>
      </c>
      <c r="BF47" s="208" t="n">
        <f aca="false">SUM($AF47:$AH47)</f>
        <v>0</v>
      </c>
      <c r="BG47" s="208" t="n">
        <f aca="false">SUM($AI47:$AK47)</f>
        <v>1</v>
      </c>
      <c r="BH47" s="208" t="n">
        <f aca="false">SUM($AL47:$AN47)</f>
        <v>0</v>
      </c>
      <c r="BI47" s="208" t="n">
        <f aca="false">SUM($AO47:$AQ47)</f>
        <v>1</v>
      </c>
      <c r="BJ47" s="208" t="n">
        <f aca="false">SUM($AR47:$AT47)</f>
        <v>0</v>
      </c>
      <c r="BK47" s="196" t="n">
        <f aca="false">SUM(AV47:BJ47)</f>
        <v>7</v>
      </c>
    </row>
    <row r="48" customFormat="false" ht="16.4" hidden="false" customHeight="false" outlineLevel="0" collapsed="false">
      <c r="A48" s="206" t="s">
        <v>77</v>
      </c>
      <c r="B48" s="207" t="n">
        <f aca="false">COUNTIF(TT!$D$4:$D$9,TALLY!A48)</f>
        <v>0</v>
      </c>
      <c r="C48" s="207" t="n">
        <f aca="false">COUNTIF(TT!$D$15:$D$28,TALLY!A48)</f>
        <v>0</v>
      </c>
      <c r="D48" s="207" t="n">
        <f aca="false">COUNTIF(TT!$D$34:$D$41,TALLY!A48)</f>
        <v>1</v>
      </c>
      <c r="E48" s="208" t="n">
        <f aca="false">COUNTIF(TT!$D$47:$D$60,TALLY!A48)</f>
        <v>0</v>
      </c>
      <c r="F48" s="208" t="n">
        <f aca="false">COUNTIF(TT!$D$66:$D$79,TALLY!A48)</f>
        <v>0</v>
      </c>
      <c r="G48" s="208" t="n">
        <f aca="false">COUNTIF(TT!$D$84:$D$93,TALLY!A48)</f>
        <v>0</v>
      </c>
      <c r="H48" s="209" t="n">
        <f aca="false">COUNTIF(TT!$D$98:$D$106,TALLY!A48)</f>
        <v>1</v>
      </c>
      <c r="I48" s="209" t="n">
        <f aca="false">COUNTIF(TT!$D$111:$D$121,TALLY!A48)</f>
        <v>0</v>
      </c>
      <c r="J48" s="209" t="n">
        <f aca="false">COUNTIF(TT!$D$126:$D$134,TALLY!A48)</f>
        <v>0</v>
      </c>
      <c r="K48" s="208" t="n">
        <f aca="false">COUNTIF(TT!$D$139:$D$151,TALLY!A48)</f>
        <v>0</v>
      </c>
      <c r="L48" s="208" t="n">
        <f aca="false">COUNTIF(TT!$D$156:$D$164,TALLY!A48)</f>
        <v>0</v>
      </c>
      <c r="M48" s="208" t="n">
        <f aca="false">COUNTIF(TT!$D$169:$D$180,TALLY!A48)</f>
        <v>0</v>
      </c>
      <c r="N48" s="209" t="n">
        <f aca="false">COUNTIF(TT!$D$185:$D$197,TALLY!A48)</f>
        <v>1</v>
      </c>
      <c r="O48" s="209" t="n">
        <f aca="false">COUNTIF(TT!$D$202:$D$208,TALLY!A48)</f>
        <v>0</v>
      </c>
      <c r="P48" s="209" t="n">
        <f aca="false">COUNTIF(TT!$D$213:$D$220,TALLY!A48)</f>
        <v>0</v>
      </c>
      <c r="Q48" s="207" t="n">
        <f aca="false">COUNTIF(TT!$D$225:$D$239,TALLY!A48)</f>
        <v>1</v>
      </c>
      <c r="R48" s="207" t="n">
        <f aca="false">COUNTIF(TT!$D$244:$D$254,TALLY!A48)</f>
        <v>0</v>
      </c>
      <c r="S48" s="207" t="n">
        <f aca="false">COUNTIF(TT!$D$259:$D$268,TALLY!A48)</f>
        <v>0</v>
      </c>
      <c r="T48" s="209" t="n">
        <f aca="false">COUNTIF(TT!$D$271:$D$282,TALLY!A48)</f>
        <v>0</v>
      </c>
      <c r="U48" s="209" t="n">
        <f aca="false">COUNTIF(TT!$D$287:$D$298,TALLY!A48)</f>
        <v>0</v>
      </c>
      <c r="V48" s="209" t="n">
        <f aca="false">COUNTIF(TT!$D$303:$D$311,TALLY!A48)</f>
        <v>0</v>
      </c>
      <c r="W48" s="208" t="n">
        <f aca="false">COUNTIF(TT!$D$316:$D$337,TALLY!A48)</f>
        <v>0</v>
      </c>
      <c r="X48" s="208" t="n">
        <f aca="false">COUNTIF(TT!$D$342:$D$350,TALLY!A48)</f>
        <v>0</v>
      </c>
      <c r="Y48" s="208" t="n">
        <f aca="false">COUNTIF(TT!$D$357:$D$365,TALLY!A48)</f>
        <v>1</v>
      </c>
      <c r="Z48" s="209" t="n">
        <f aca="false">COUNTIF(TT!$D$370:$D$377,TALLY!A48)</f>
        <v>0</v>
      </c>
      <c r="AA48" s="209" t="n">
        <f aca="false">COUNTIF(TT!$D$382:$D$393,TALLY!A48)</f>
        <v>0</v>
      </c>
      <c r="AB48" s="209" t="n">
        <f aca="false">COUNTIF(TT!$D$398:$D$408,TALLY!A48)</f>
        <v>0</v>
      </c>
      <c r="AC48" s="208" t="n">
        <f aca="false">COUNTIF(TT!$D$413:$D$425,TALLY!A48)</f>
        <v>0</v>
      </c>
      <c r="AD48" s="208" t="n">
        <f aca="false">COUNTIF(TT!$D$430:$D$433,TALLY!A48)</f>
        <v>0</v>
      </c>
      <c r="AE48" s="208" t="n">
        <f aca="false">COUNTIF(TT!$D$454:$D$466,TALLY!A48)</f>
        <v>0</v>
      </c>
      <c r="AF48" s="207" t="n">
        <f aca="false">COUNTIF(TT!$D$471:$D$480,TALLY!A48)</f>
        <v>0</v>
      </c>
      <c r="AG48" s="207" t="n">
        <f aca="false">COUNTIF(TT!$D$487:$D$496,TALLY!A48)</f>
        <v>0</v>
      </c>
      <c r="AH48" s="207" t="n">
        <f aca="false">COUNTIF(TT!$D$501:$D$517,TALLY!A48)</f>
        <v>1</v>
      </c>
      <c r="AI48" s="208" t="n">
        <f aca="false">COUNTIF(TT!$D$522:$D$533,TALLY!A48)</f>
        <v>1</v>
      </c>
      <c r="AJ48" s="208" t="n">
        <f aca="false">COUNTIF(TT!$D$538:$D$550,TALLY!A48)</f>
        <v>0</v>
      </c>
      <c r="AK48" s="208" t="n">
        <f aca="false">COUNTIF(TT!$D$555:$D$569,TALLY!A48)</f>
        <v>0</v>
      </c>
      <c r="AL48" s="209" t="n">
        <f aca="false">COUNTIF(TT!$D$574:$D$582,TALLY!A48)</f>
        <v>0</v>
      </c>
      <c r="AM48" s="209" t="n">
        <f aca="false">COUNTIF(TT!$D$587:$D$593,TALLY!A48)</f>
        <v>0</v>
      </c>
      <c r="AN48" s="209" t="n">
        <f aca="false">COUNTIF(TT!$D$598:$D$606,TALLY!A48)</f>
        <v>0</v>
      </c>
      <c r="AO48" s="208" t="n">
        <f aca="false">COUNTIF(TT!$D$611:$D$620,TALLY!A48)</f>
        <v>0</v>
      </c>
      <c r="AP48" s="208" t="n">
        <f aca="false">COUNTIF(TT!$D$627:$D$639,TALLY!A48)</f>
        <v>0</v>
      </c>
      <c r="AQ48" s="208" t="n">
        <f aca="false">COUNTIF(TT!$D$645:$D$657,TALLY!A48)</f>
        <v>1</v>
      </c>
      <c r="AR48" s="209" t="n">
        <f aca="false">COUNTIF(TT!$D$663:$D$671,TALLY!A48)</f>
        <v>0</v>
      </c>
      <c r="AS48" s="209" t="n">
        <f aca="false">COUNTIF(TT!$D$677:$D$685,TALLY!A48)</f>
        <v>0</v>
      </c>
      <c r="AT48" s="209" t="n">
        <f aca="false">COUNTIF(TT!$D$689:$D$698,TALLY!A48)</f>
        <v>0</v>
      </c>
      <c r="AU48" s="206" t="s">
        <v>77</v>
      </c>
      <c r="AV48" s="208" t="n">
        <f aca="false">SUM($B48:$D48)</f>
        <v>1</v>
      </c>
      <c r="AW48" s="208" t="n">
        <f aca="false">SUM($E48:$G48)</f>
        <v>0</v>
      </c>
      <c r="AX48" s="208" t="n">
        <f aca="false">SUM($H48:$J48)</f>
        <v>1</v>
      </c>
      <c r="AY48" s="208" t="n">
        <f aca="false">SUM($K48:$M48)</f>
        <v>0</v>
      </c>
      <c r="AZ48" s="208" t="n">
        <f aca="false">SUM($N48:$P48)</f>
        <v>1</v>
      </c>
      <c r="BA48" s="208" t="n">
        <f aca="false">SUM($Q48:$S48)</f>
        <v>1</v>
      </c>
      <c r="BB48" s="208" t="n">
        <f aca="false">SUM($T48:$V48)</f>
        <v>0</v>
      </c>
      <c r="BC48" s="208" t="n">
        <f aca="false">SUM($W48:$Y48)</f>
        <v>1</v>
      </c>
      <c r="BD48" s="208" t="n">
        <f aca="false">SUM($Z48:$AB48)</f>
        <v>0</v>
      </c>
      <c r="BE48" s="208" t="n">
        <f aca="false">SUM($AC48:$AE48)</f>
        <v>0</v>
      </c>
      <c r="BF48" s="208" t="n">
        <f aca="false">SUM($AF48:$AH48)</f>
        <v>1</v>
      </c>
      <c r="BG48" s="208" t="n">
        <f aca="false">SUM($AI48:$AK48)</f>
        <v>1</v>
      </c>
      <c r="BH48" s="208" t="n">
        <f aca="false">SUM($AL48:$AN48)</f>
        <v>0</v>
      </c>
      <c r="BI48" s="208" t="n">
        <f aca="false">SUM($AO48:$AQ48)</f>
        <v>1</v>
      </c>
      <c r="BJ48" s="208" t="n">
        <f aca="false">SUM($AR48:$AT48)</f>
        <v>0</v>
      </c>
      <c r="BK48" s="196" t="n">
        <f aca="false">SUM(AV48:BJ48)</f>
        <v>8</v>
      </c>
    </row>
    <row r="49" s="196" customFormat="true" ht="16.4" hidden="false" customHeight="false" outlineLevel="0" collapsed="false">
      <c r="A49" s="206" t="s">
        <v>121</v>
      </c>
      <c r="B49" s="207" t="n">
        <f aca="false">COUNTIF(TT!$D$4:$D$9,TALLY!A49)</f>
        <v>0</v>
      </c>
      <c r="C49" s="207" t="n">
        <f aca="false">COUNTIF(TT!$D$15:$D$28,TALLY!A49)</f>
        <v>0</v>
      </c>
      <c r="D49" s="207" t="n">
        <f aca="false">COUNTIF(TT!$D$34:$D$41,TALLY!A49)</f>
        <v>0</v>
      </c>
      <c r="E49" s="208" t="n">
        <f aca="false">COUNTIF(TT!$D$47:$D$60,TALLY!A49)</f>
        <v>0</v>
      </c>
      <c r="F49" s="208" t="n">
        <f aca="false">COUNTIF(TT!$D$66:$D$79,TALLY!A49)</f>
        <v>1</v>
      </c>
      <c r="G49" s="208" t="n">
        <f aca="false">COUNTIF(TT!$D$84:$D$93,TALLY!A49)</f>
        <v>0</v>
      </c>
      <c r="H49" s="209" t="n">
        <f aca="false">COUNTIF(TT!$D$98:$D$106,TALLY!A49)</f>
        <v>0</v>
      </c>
      <c r="I49" s="209" t="n">
        <f aca="false">COUNTIF(TT!$D$111:$D$121,TALLY!A49)</f>
        <v>0</v>
      </c>
      <c r="J49" s="209" t="n">
        <f aca="false">COUNTIF(TT!$D$126:$D$134,TALLY!A49)</f>
        <v>0</v>
      </c>
      <c r="K49" s="208" t="n">
        <f aca="false">COUNTIF(TT!$D$139:$D$151,TALLY!A49)</f>
        <v>0</v>
      </c>
      <c r="L49" s="208" t="n">
        <f aca="false">COUNTIF(TT!$D$156:$D$164,TALLY!A49)</f>
        <v>0</v>
      </c>
      <c r="M49" s="208" t="n">
        <f aca="false">COUNTIF(TT!$D$169:$D$180,TALLY!A49)</f>
        <v>0</v>
      </c>
      <c r="N49" s="209" t="n">
        <f aca="false">COUNTIF(TT!$D$185:$D$197,TALLY!A49)</f>
        <v>1</v>
      </c>
      <c r="O49" s="209" t="n">
        <f aca="false">COUNTIF(TT!$D$202:$D$208,TALLY!A49)</f>
        <v>0</v>
      </c>
      <c r="P49" s="209" t="n">
        <f aca="false">COUNTIF(TT!$D$213:$D$220,TALLY!A49)</f>
        <v>0</v>
      </c>
      <c r="Q49" s="207" t="n">
        <f aca="false">COUNTIF(TT!$D$225:$D$239,TALLY!A49)</f>
        <v>0</v>
      </c>
      <c r="R49" s="207" t="n">
        <f aca="false">COUNTIF(TT!$D$244:$D$254,TALLY!A49)</f>
        <v>0</v>
      </c>
      <c r="S49" s="207" t="n">
        <f aca="false">COUNTIF(TT!$D$259:$D$268,TALLY!A49)</f>
        <v>1</v>
      </c>
      <c r="T49" s="209" t="n">
        <f aca="false">COUNTIF(TT!$D$271:$D$282,TALLY!A49)</f>
        <v>0</v>
      </c>
      <c r="U49" s="209" t="n">
        <f aca="false">COUNTIF(TT!$D$287:$D$298,TALLY!A49)</f>
        <v>0</v>
      </c>
      <c r="V49" s="209" t="n">
        <f aca="false">COUNTIF(TT!$D$303:$D$311,TALLY!A49)</f>
        <v>0</v>
      </c>
      <c r="W49" s="208" t="n">
        <f aca="false">COUNTIF(TT!$D$316:$D$337,TALLY!A49)</f>
        <v>0</v>
      </c>
      <c r="X49" s="208" t="n">
        <f aca="false">COUNTIF(TT!$D$342:$D$350,TALLY!A49)</f>
        <v>0</v>
      </c>
      <c r="Y49" s="208" t="n">
        <f aca="false">COUNTIF(TT!$D$357:$D$365,TALLY!A49)</f>
        <v>0</v>
      </c>
      <c r="Z49" s="209" t="n">
        <f aca="false">COUNTIF(TT!$D$370:$D$377,TALLY!A49)</f>
        <v>1</v>
      </c>
      <c r="AA49" s="209" t="n">
        <f aca="false">COUNTIF(TT!$D$382:$D$393,TALLY!A49)</f>
        <v>0</v>
      </c>
      <c r="AB49" s="209" t="n">
        <f aca="false">COUNTIF(TT!$D$398:$D$408,TALLY!A49)</f>
        <v>0</v>
      </c>
      <c r="AC49" s="208" t="n">
        <f aca="false">COUNTIF(TT!$D$413:$D$425,TALLY!A49)</f>
        <v>0</v>
      </c>
      <c r="AD49" s="208" t="n">
        <f aca="false">COUNTIF(TT!$D$430:$D$433,TALLY!A49)</f>
        <v>0</v>
      </c>
      <c r="AE49" s="208" t="n">
        <f aca="false">COUNTIF(TT!$D$454:$D$466,TALLY!A49)</f>
        <v>0</v>
      </c>
      <c r="AF49" s="207" t="n">
        <f aca="false">COUNTIF(TT!$D$471:$D$480,TALLY!A49)</f>
        <v>0</v>
      </c>
      <c r="AG49" s="207" t="n">
        <f aca="false">COUNTIF(TT!$D$487:$D$496,TALLY!A49)</f>
        <v>1</v>
      </c>
      <c r="AH49" s="207" t="n">
        <f aca="false">COUNTIF(TT!$D$501:$D$517,TALLY!A49)</f>
        <v>0</v>
      </c>
      <c r="AI49" s="208" t="n">
        <f aca="false">COUNTIF(TT!$D$522:$D$533,TALLY!A49)</f>
        <v>0</v>
      </c>
      <c r="AJ49" s="208" t="n">
        <f aca="false">COUNTIF(TT!$D$538:$D$550,TALLY!A49)</f>
        <v>0</v>
      </c>
      <c r="AK49" s="208" t="n">
        <f aca="false">COUNTIF(TT!$D$555:$D$569,TALLY!A49)</f>
        <v>1</v>
      </c>
      <c r="AL49" s="209" t="n">
        <f aca="false">COUNTIF(TT!$D$574:$D$582,TALLY!A49)</f>
        <v>0</v>
      </c>
      <c r="AM49" s="209" t="n">
        <f aca="false">COUNTIF(TT!$D$587:$D$593,TALLY!A49)</f>
        <v>0</v>
      </c>
      <c r="AN49" s="209" t="n">
        <f aca="false">COUNTIF(TT!$D$598:$D$606,TALLY!A49)</f>
        <v>0</v>
      </c>
      <c r="AO49" s="208" t="n">
        <f aca="false">COUNTIF(TT!$D$611:$D$620,TALLY!A49)</f>
        <v>1</v>
      </c>
      <c r="AP49" s="208" t="n">
        <f aca="false">COUNTIF(TT!$D$627:$D$639,TALLY!A49)</f>
        <v>0</v>
      </c>
      <c r="AQ49" s="208" t="n">
        <f aca="false">COUNTIF(TT!$D$645:$D$657,TALLY!A49)</f>
        <v>0</v>
      </c>
      <c r="AR49" s="209" t="n">
        <f aca="false">COUNTIF(TT!$D$663:$D$671,TALLY!A49)</f>
        <v>0</v>
      </c>
      <c r="AS49" s="209" t="n">
        <f aca="false">COUNTIF(TT!$D$677:$D$685,TALLY!A49)</f>
        <v>0</v>
      </c>
      <c r="AT49" s="209" t="n">
        <f aca="false">COUNTIF(TT!$D$689:$D$698,TALLY!A49)</f>
        <v>0</v>
      </c>
      <c r="AU49" s="206" t="s">
        <v>121</v>
      </c>
      <c r="AV49" s="208" t="n">
        <f aca="false">SUM($B49:$D49)</f>
        <v>0</v>
      </c>
      <c r="AW49" s="208" t="n">
        <f aca="false">SUM($E49:$G49)</f>
        <v>1</v>
      </c>
      <c r="AX49" s="208" t="n">
        <f aca="false">SUM($H49:$J49)</f>
        <v>0</v>
      </c>
      <c r="AY49" s="208" t="n">
        <f aca="false">SUM($K49:$M49)</f>
        <v>0</v>
      </c>
      <c r="AZ49" s="208" t="n">
        <f aca="false">SUM($N49:$P49)</f>
        <v>1</v>
      </c>
      <c r="BA49" s="208" t="n">
        <f aca="false">SUM($Q49:$S49)</f>
        <v>1</v>
      </c>
      <c r="BB49" s="208" t="n">
        <f aca="false">SUM($T49:$V49)</f>
        <v>0</v>
      </c>
      <c r="BC49" s="208" t="n">
        <f aca="false">SUM($W49:$Y49)</f>
        <v>0</v>
      </c>
      <c r="BD49" s="208" t="n">
        <f aca="false">SUM($Z49:$AB49)</f>
        <v>1</v>
      </c>
      <c r="BE49" s="208" t="n">
        <f aca="false">SUM($AC49:$AE49)</f>
        <v>0</v>
      </c>
      <c r="BF49" s="208" t="n">
        <f aca="false">SUM($AF49:$AH49)</f>
        <v>1</v>
      </c>
      <c r="BG49" s="208" t="n">
        <f aca="false">SUM($AI49:$AK49)</f>
        <v>1</v>
      </c>
      <c r="BH49" s="208" t="n">
        <f aca="false">SUM($AL49:$AN49)</f>
        <v>0</v>
      </c>
      <c r="BI49" s="208" t="n">
        <f aca="false">SUM($AO49:$AQ49)</f>
        <v>1</v>
      </c>
      <c r="BJ49" s="208" t="n">
        <f aca="false">SUM($AR49:$AT49)</f>
        <v>0</v>
      </c>
      <c r="BK49" s="196" t="n">
        <f aca="false">SUM(AV49:BJ49)</f>
        <v>7</v>
      </c>
    </row>
    <row r="50" customFormat="false" ht="16.4" hidden="false" customHeight="false" outlineLevel="0" collapsed="false">
      <c r="A50" s="206" t="s">
        <v>86</v>
      </c>
      <c r="B50" s="207" t="n">
        <f aca="false">COUNTIF(TT!$D$4:$D$9,TALLY!A50)</f>
        <v>0</v>
      </c>
      <c r="C50" s="207" t="n">
        <f aca="false">COUNTIF(TT!$D$15:$D$28,TALLY!A50)</f>
        <v>0</v>
      </c>
      <c r="D50" s="207" t="n">
        <f aca="false">COUNTIF(TT!$D$34:$D$41,TALLY!A50)</f>
        <v>0</v>
      </c>
      <c r="E50" s="208" t="n">
        <f aca="false">COUNTIF(TT!$D$47:$D$60,TALLY!A50)</f>
        <v>1</v>
      </c>
      <c r="F50" s="208" t="n">
        <f aca="false">COUNTIF(TT!$D$66:$D$79,TALLY!A50)</f>
        <v>0</v>
      </c>
      <c r="G50" s="208" t="n">
        <f aca="false">COUNTIF(TT!$D$84:$D$93,TALLY!A50)</f>
        <v>0</v>
      </c>
      <c r="H50" s="209" t="n">
        <f aca="false">COUNTIF(TT!$D$98:$D$106,TALLY!A50)</f>
        <v>0</v>
      </c>
      <c r="I50" s="209" t="n">
        <f aca="false">COUNTIF(TT!$D$111:$D$121,TALLY!A50)</f>
        <v>0</v>
      </c>
      <c r="J50" s="209" t="n">
        <f aca="false">COUNTIF(TT!$D$126:$D$134,TALLY!A50)</f>
        <v>1</v>
      </c>
      <c r="K50" s="208" t="n">
        <f aca="false">COUNTIF(TT!$D$139:$D$151,TALLY!A50)</f>
        <v>0</v>
      </c>
      <c r="L50" s="208" t="n">
        <f aca="false">COUNTIF(TT!$D$156:$D$164,TALLY!A50)</f>
        <v>0</v>
      </c>
      <c r="M50" s="208" t="n">
        <f aca="false">COUNTIF(TT!$D$169:$D$180,TALLY!A50)</f>
        <v>0</v>
      </c>
      <c r="N50" s="209" t="n">
        <f aca="false">COUNTIF(TT!$D$185:$D$197,TALLY!A50)</f>
        <v>0</v>
      </c>
      <c r="O50" s="209" t="n">
        <f aca="false">COUNTIF(TT!$D$202:$D$208,TALLY!A50)</f>
        <v>0</v>
      </c>
      <c r="P50" s="209" t="n">
        <f aca="false">COUNTIF(TT!$D$213:$D$220,TALLY!A50)</f>
        <v>1</v>
      </c>
      <c r="Q50" s="207" t="n">
        <f aca="false">COUNTIF(TT!$D$225:$D$239,TALLY!A50)</f>
        <v>0</v>
      </c>
      <c r="R50" s="207" t="n">
        <f aca="false">COUNTIF(TT!$D$244:$D$254,TALLY!A50)</f>
        <v>0</v>
      </c>
      <c r="S50" s="207" t="n">
        <f aca="false">COUNTIF(TT!$D$259:$D$268,TALLY!A50)</f>
        <v>0</v>
      </c>
      <c r="T50" s="209" t="n">
        <f aca="false">COUNTIF(TT!$D$271:$D$282,TALLY!A50)</f>
        <v>0</v>
      </c>
      <c r="U50" s="209" t="n">
        <f aca="false">COUNTIF(TT!$D$287:$D$298,TALLY!A50)</f>
        <v>0</v>
      </c>
      <c r="V50" s="209" t="n">
        <f aca="false">COUNTIF(TT!$D$303:$D$311,TALLY!A50)</f>
        <v>0</v>
      </c>
      <c r="W50" s="208" t="n">
        <f aca="false">COUNTIF(TT!$D$316:$D$337,TALLY!A50)</f>
        <v>1</v>
      </c>
      <c r="X50" s="208" t="n">
        <f aca="false">COUNTIF(TT!$D$342:$D$350,TALLY!A50)</f>
        <v>0</v>
      </c>
      <c r="Y50" s="208" t="n">
        <f aca="false">COUNTIF(TT!$D$357:$D$365,TALLY!A50)</f>
        <v>0</v>
      </c>
      <c r="Z50" s="209" t="n">
        <f aca="false">COUNTIF(TT!$D$370:$D$377,TALLY!A50)</f>
        <v>0</v>
      </c>
      <c r="AA50" s="209" t="n">
        <f aca="false">COUNTIF(TT!$D$382:$D$393,TALLY!A50)</f>
        <v>1</v>
      </c>
      <c r="AB50" s="209" t="n">
        <f aca="false">COUNTIF(TT!$D$398:$D$408,TALLY!A50)</f>
        <v>0</v>
      </c>
      <c r="AC50" s="208" t="n">
        <f aca="false">COUNTIF(TT!$D$413:$D$425,TALLY!A50)</f>
        <v>0</v>
      </c>
      <c r="AD50" s="208" t="n">
        <f aca="false">COUNTIF(TT!$D$430:$D$433,TALLY!A50)</f>
        <v>0</v>
      </c>
      <c r="AE50" s="208" t="n">
        <f aca="false">COUNTIF(TT!$D$454:$D$466,TALLY!A50)</f>
        <v>1</v>
      </c>
      <c r="AF50" s="207" t="n">
        <f aca="false">COUNTIF(TT!$D$471:$D$480,TALLY!A50)</f>
        <v>0</v>
      </c>
      <c r="AG50" s="207" t="n">
        <f aca="false">COUNTIF(TT!$D$487:$D$496,TALLY!A50)</f>
        <v>0</v>
      </c>
      <c r="AH50" s="207" t="n">
        <f aca="false">COUNTIF(TT!$D$501:$D$517,TALLY!A50)</f>
        <v>0</v>
      </c>
      <c r="AI50" s="208" t="n">
        <f aca="false">COUNTIF(TT!$D$522:$D$533,TALLY!A50)</f>
        <v>0</v>
      </c>
      <c r="AJ50" s="208" t="n">
        <f aca="false">COUNTIF(TT!$D$538:$D$550,TALLY!A50)</f>
        <v>0</v>
      </c>
      <c r="AK50" s="208" t="n">
        <f aca="false">COUNTIF(TT!$D$555:$D$569,TALLY!A50)</f>
        <v>1</v>
      </c>
      <c r="AL50" s="209" t="n">
        <f aca="false">COUNTIF(TT!$D$574:$D$582,TALLY!A50)</f>
        <v>0</v>
      </c>
      <c r="AM50" s="209" t="n">
        <f aca="false">COUNTIF(TT!$D$587:$D$593,TALLY!A50)</f>
        <v>0</v>
      </c>
      <c r="AN50" s="209" t="n">
        <f aca="false">COUNTIF(TT!$D$598:$D$606,TALLY!A50)</f>
        <v>0</v>
      </c>
      <c r="AO50" s="208" t="n">
        <f aca="false">COUNTIF(TT!$D$611:$D$620,TALLY!A50)</f>
        <v>0</v>
      </c>
      <c r="AP50" s="208" t="n">
        <f aca="false">COUNTIF(TT!$D$627:$D$639,TALLY!A50)</f>
        <v>0</v>
      </c>
      <c r="AQ50" s="208" t="n">
        <f aca="false">COUNTIF(TT!$D$645:$D$657,TALLY!A50)</f>
        <v>0</v>
      </c>
      <c r="AR50" s="209" t="n">
        <f aca="false">COUNTIF(TT!$D$663:$D$671,TALLY!A50)</f>
        <v>0</v>
      </c>
      <c r="AS50" s="209" t="n">
        <f aca="false">COUNTIF(TT!$D$677:$D$685,TALLY!A50)</f>
        <v>0</v>
      </c>
      <c r="AT50" s="209" t="n">
        <f aca="false">COUNTIF(TT!$D$689:$D$698,TALLY!A50)</f>
        <v>1</v>
      </c>
      <c r="AU50" s="206" t="s">
        <v>86</v>
      </c>
      <c r="AV50" s="208" t="n">
        <f aca="false">SUM($B50:$D50)</f>
        <v>0</v>
      </c>
      <c r="AW50" s="208" t="n">
        <f aca="false">SUM($E50:$G50)</f>
        <v>1</v>
      </c>
      <c r="AX50" s="208" t="n">
        <f aca="false">SUM($H50:$J50)</f>
        <v>1</v>
      </c>
      <c r="AY50" s="208" t="n">
        <f aca="false">SUM($K50:$M50)</f>
        <v>0</v>
      </c>
      <c r="AZ50" s="208" t="n">
        <f aca="false">SUM($N50:$P50)</f>
        <v>1</v>
      </c>
      <c r="BA50" s="208" t="n">
        <f aca="false">SUM($Q50:$S50)</f>
        <v>0</v>
      </c>
      <c r="BB50" s="208" t="n">
        <f aca="false">SUM($T50:$V50)</f>
        <v>0</v>
      </c>
      <c r="BC50" s="208" t="n">
        <f aca="false">SUM($W50:$Y50)</f>
        <v>1</v>
      </c>
      <c r="BD50" s="208" t="n">
        <f aca="false">SUM($Z50:$AB50)</f>
        <v>1</v>
      </c>
      <c r="BE50" s="208" t="n">
        <f aca="false">SUM($AC50:$AE50)</f>
        <v>1</v>
      </c>
      <c r="BF50" s="208" t="n">
        <f aca="false">SUM($AF50:$AH50)</f>
        <v>0</v>
      </c>
      <c r="BG50" s="208" t="n">
        <f aca="false">SUM($AI50:$AK50)</f>
        <v>1</v>
      </c>
      <c r="BH50" s="208" t="n">
        <f aca="false">SUM($AL50:$AN50)</f>
        <v>0</v>
      </c>
      <c r="BI50" s="208" t="n">
        <f aca="false">SUM($AO50:$AQ50)</f>
        <v>0</v>
      </c>
      <c r="BJ50" s="208" t="n">
        <f aca="false">SUM($AR50:$AT50)</f>
        <v>1</v>
      </c>
      <c r="BK50" s="196" t="n">
        <f aca="false">SUM(AV50:BJ50)</f>
        <v>8</v>
      </c>
    </row>
    <row r="51" customFormat="false" ht="16.4" hidden="false" customHeight="false" outlineLevel="0" collapsed="false">
      <c r="A51" s="206" t="s">
        <v>61</v>
      </c>
      <c r="B51" s="207" t="n">
        <f aca="false">COUNTIF(TT!$D$4:$D$9,TALLY!A51)</f>
        <v>0</v>
      </c>
      <c r="C51" s="207" t="n">
        <f aca="false">COUNTIF(TT!$D$15:$D$28,TALLY!A51)</f>
        <v>0</v>
      </c>
      <c r="D51" s="207" t="n">
        <f aca="false">COUNTIF(TT!$D$34:$D$41,TALLY!A51)</f>
        <v>1</v>
      </c>
      <c r="E51" s="208" t="n">
        <f aca="false">COUNTIF(TT!$D$47:$D$60,TALLY!A51)</f>
        <v>0</v>
      </c>
      <c r="F51" s="208" t="n">
        <f aca="false">COUNTIF(TT!$D$66:$D$79,TALLY!A51)</f>
        <v>0</v>
      </c>
      <c r="G51" s="208" t="n">
        <f aca="false">COUNTIF(TT!$D$84:$D$93,TALLY!A51)</f>
        <v>0</v>
      </c>
      <c r="H51" s="209" t="n">
        <f aca="false">COUNTIF(TT!$D$98:$D$106,TALLY!A51)</f>
        <v>0</v>
      </c>
      <c r="I51" s="209" t="n">
        <f aca="false">COUNTIF(TT!$D$111:$D$121,TALLY!A51)</f>
        <v>0</v>
      </c>
      <c r="J51" s="209" t="n">
        <f aca="false">COUNTIF(TT!$D$126:$D$134,TALLY!A51)</f>
        <v>1</v>
      </c>
      <c r="K51" s="208" t="n">
        <f aca="false">COUNTIF(TT!$D$139:$D$151,TALLY!A51)</f>
        <v>0</v>
      </c>
      <c r="L51" s="208" t="n">
        <f aca="false">COUNTIF(TT!$D$156:$D$164,TALLY!A51)</f>
        <v>0</v>
      </c>
      <c r="M51" s="208" t="n">
        <f aca="false">COUNTIF(TT!$D$169:$D$180,TALLY!A51)</f>
        <v>0</v>
      </c>
      <c r="N51" s="209" t="n">
        <f aca="false">COUNTIF(TT!$D$185:$D$197,TALLY!A51)</f>
        <v>0</v>
      </c>
      <c r="O51" s="209" t="n">
        <f aca="false">COUNTIF(TT!$D$202:$D$208,TALLY!A51)</f>
        <v>0</v>
      </c>
      <c r="P51" s="209" t="n">
        <f aca="false">COUNTIF(TT!$D$213:$D$220,TALLY!A51)</f>
        <v>0</v>
      </c>
      <c r="Q51" s="207" t="n">
        <f aca="false">COUNTIF(TT!$D$225:$D$239,TALLY!A51)</f>
        <v>0</v>
      </c>
      <c r="R51" s="207" t="n">
        <f aca="false">COUNTIF(TT!$D$244:$D$254,TALLY!A51)</f>
        <v>0</v>
      </c>
      <c r="S51" s="207" t="n">
        <f aca="false">COUNTIF(TT!$D$259:$D$268,TALLY!A51)</f>
        <v>0</v>
      </c>
      <c r="T51" s="209" t="n">
        <f aca="false">COUNTIF(TT!$D$271:$D$282,TALLY!A51)</f>
        <v>0</v>
      </c>
      <c r="U51" s="209" t="n">
        <f aca="false">COUNTIF(TT!$D$287:$D$298,TALLY!A51)</f>
        <v>0</v>
      </c>
      <c r="V51" s="209" t="n">
        <f aca="false">COUNTIF(TT!$D$303:$D$311,TALLY!A51)</f>
        <v>0</v>
      </c>
      <c r="W51" s="208" t="n">
        <f aca="false">COUNTIF(TT!$D$316:$D$337,TALLY!A51)</f>
        <v>1</v>
      </c>
      <c r="X51" s="208" t="n">
        <f aca="false">COUNTIF(TT!$D$342:$D$350,TALLY!A51)</f>
        <v>0</v>
      </c>
      <c r="Y51" s="208" t="n">
        <f aca="false">COUNTIF(TT!$D$357:$D$365,TALLY!A51)</f>
        <v>0</v>
      </c>
      <c r="Z51" s="209" t="n">
        <f aca="false">COUNTIF(TT!$D$370:$D$377,TALLY!A51)</f>
        <v>0</v>
      </c>
      <c r="AA51" s="209" t="n">
        <f aca="false">COUNTIF(TT!$D$382:$D$393,TALLY!A51)</f>
        <v>1</v>
      </c>
      <c r="AB51" s="209" t="n">
        <f aca="false">COUNTIF(TT!$D$398:$D$408,TALLY!A51)</f>
        <v>0</v>
      </c>
      <c r="AC51" s="208" t="n">
        <f aca="false">COUNTIF(TT!$D$413:$D$425,TALLY!A51)</f>
        <v>0</v>
      </c>
      <c r="AD51" s="208" t="n">
        <f aca="false">COUNTIF(TT!$D$430:$D$447,TALLY!A51)</f>
        <v>0</v>
      </c>
      <c r="AE51" s="208" t="n">
        <f aca="false">COUNTIF(TT!$D$454:$D$466,TALLY!A51)</f>
        <v>0</v>
      </c>
      <c r="AF51" s="207" t="n">
        <f aca="false">COUNTIF(TT!$D$471:$D$480,TALLY!A51)</f>
        <v>1</v>
      </c>
      <c r="AG51" s="207" t="n">
        <f aca="false">COUNTIF(TT!$D$487:$D$496,TALLY!A51)</f>
        <v>0</v>
      </c>
      <c r="AH51" s="207" t="n">
        <f aca="false">COUNTIF(TT!$D$501:$D$517,TALLY!A51)</f>
        <v>0</v>
      </c>
      <c r="AI51" s="208" t="n">
        <f aca="false">COUNTIF(TT!$D$522:$D$533,TALLY!A51)</f>
        <v>0</v>
      </c>
      <c r="AJ51" s="208" t="n">
        <f aca="false">COUNTIF(TT!$D$538:$D$550,TALLY!A51)</f>
        <v>0</v>
      </c>
      <c r="AK51" s="208" t="n">
        <f aca="false">COUNTIF(TT!$D$555:$D$569,TALLY!A51)</f>
        <v>0</v>
      </c>
      <c r="AL51" s="209" t="n">
        <f aca="false">COUNTIF(TT!$D$574:$D$582,TALLY!A51)</f>
        <v>0</v>
      </c>
      <c r="AM51" s="209" t="n">
        <f aca="false">COUNTIF(TT!$D$587:$D$593,TALLY!A51)</f>
        <v>0</v>
      </c>
      <c r="AN51" s="209" t="n">
        <f aca="false">COUNTIF(TT!$D$598:$D$606,TALLY!A51)</f>
        <v>1</v>
      </c>
      <c r="AO51" s="208" t="n">
        <f aca="false">COUNTIF(TT!$D$611:$D$620,TALLY!A51)</f>
        <v>0</v>
      </c>
      <c r="AP51" s="208" t="n">
        <f aca="false">COUNTIF(TT!$D$627:$D$639,TALLY!A51)</f>
        <v>0</v>
      </c>
      <c r="AQ51" s="208" t="n">
        <f aca="false">COUNTIF(TT!$D$645:$D$657,TALLY!A51)</f>
        <v>0</v>
      </c>
      <c r="AR51" s="209" t="n">
        <f aca="false">COUNTIF(TT!$D$663:$D$671,TALLY!A51)</f>
        <v>0</v>
      </c>
      <c r="AS51" s="209" t="n">
        <f aca="false">COUNTIF(TT!$D$677:$D$685,TALLY!A51)</f>
        <v>0</v>
      </c>
      <c r="AT51" s="209" t="n">
        <f aca="false">COUNTIF(TT!$D$689:$D$698,TALLY!A51)</f>
        <v>1</v>
      </c>
      <c r="AU51" s="206" t="s">
        <v>61</v>
      </c>
      <c r="AV51" s="208" t="n">
        <f aca="false">SUM($B51:$D51)</f>
        <v>1</v>
      </c>
      <c r="AW51" s="208" t="n">
        <f aca="false">SUM($E51:$G51)</f>
        <v>0</v>
      </c>
      <c r="AX51" s="208" t="n">
        <f aca="false">SUM($H51:$J51)</f>
        <v>1</v>
      </c>
      <c r="AY51" s="208" t="n">
        <f aca="false">SUM($K51:$M51)</f>
        <v>0</v>
      </c>
      <c r="AZ51" s="208" t="n">
        <f aca="false">SUM($N51:$P51)</f>
        <v>0</v>
      </c>
      <c r="BA51" s="208" t="n">
        <f aca="false">SUM($Q51:$S51)</f>
        <v>0</v>
      </c>
      <c r="BB51" s="208" t="n">
        <f aca="false">SUM($T51:$V51)</f>
        <v>0</v>
      </c>
      <c r="BC51" s="208" t="n">
        <f aca="false">SUM($W51:$Y51)</f>
        <v>1</v>
      </c>
      <c r="BD51" s="208" t="n">
        <f aca="false">SUM($Z51:$AB51)</f>
        <v>1</v>
      </c>
      <c r="BE51" s="208" t="n">
        <f aca="false">SUM($AC51:$AE51)</f>
        <v>0</v>
      </c>
      <c r="BF51" s="208" t="n">
        <f aca="false">SUM($AF51:$AH51)</f>
        <v>1</v>
      </c>
      <c r="BG51" s="208" t="n">
        <f aca="false">SUM($AI51:$AK51)</f>
        <v>0</v>
      </c>
      <c r="BH51" s="208" t="n">
        <f aca="false">SUM($AL51:$AN51)</f>
        <v>1</v>
      </c>
      <c r="BI51" s="208" t="n">
        <f aca="false">SUM($AO51:$AQ51)</f>
        <v>0</v>
      </c>
      <c r="BJ51" s="208" t="n">
        <f aca="false">SUM($AR51:$AT51)</f>
        <v>1</v>
      </c>
      <c r="BK51" s="196" t="n">
        <f aca="false">SUM(AV51:BJ51)</f>
        <v>7</v>
      </c>
    </row>
    <row r="52" customFormat="false" ht="16.4" hidden="false" customHeight="false" outlineLevel="0" collapsed="false">
      <c r="A52" s="206" t="s">
        <v>142</v>
      </c>
      <c r="B52" s="207" t="n">
        <f aca="false">COUNTIF(TT!$D$4:$D$9,TALLY!A52)</f>
        <v>0</v>
      </c>
      <c r="C52" s="207" t="n">
        <f aca="false">COUNTIF(TT!$D$15:$D$28,TALLY!A52)</f>
        <v>0</v>
      </c>
      <c r="D52" s="207" t="n">
        <f aca="false">COUNTIF(TT!$D$34:$D$41,TALLY!A52)</f>
        <v>0</v>
      </c>
      <c r="E52" s="208" t="n">
        <f aca="false">COUNTIF(TT!$D$47:$D$60,TALLY!A52)</f>
        <v>0</v>
      </c>
      <c r="F52" s="208" t="n">
        <f aca="false">COUNTIF(TT!$D$66:$D$79,TALLY!A52)</f>
        <v>0</v>
      </c>
      <c r="G52" s="208" t="n">
        <f aca="false">COUNTIF(TT!$D$84:$D$93,TALLY!A52)</f>
        <v>1</v>
      </c>
      <c r="H52" s="209" t="n">
        <f aca="false">COUNTIF(TT!$D$98:$D$106,TALLY!A52)</f>
        <v>0</v>
      </c>
      <c r="I52" s="209" t="n">
        <f aca="false">COUNTIF(TT!$D$111:$D$121,TALLY!A52)</f>
        <v>0</v>
      </c>
      <c r="J52" s="209" t="n">
        <f aca="false">COUNTIF(TT!$D$126:$D$134,TALLY!A52)</f>
        <v>0</v>
      </c>
      <c r="K52" s="208" t="n">
        <f aca="false">COUNTIF(TT!$D$139:$D$151,TALLY!A52)</f>
        <v>0</v>
      </c>
      <c r="L52" s="208" t="n">
        <f aca="false">COUNTIF(TT!$D$156:$D$164,TALLY!A52)</f>
        <v>0</v>
      </c>
      <c r="M52" s="208" t="n">
        <f aca="false">COUNTIF(TT!$D$169:$D$180,TALLY!A52)</f>
        <v>1</v>
      </c>
      <c r="N52" s="209" t="n">
        <f aca="false">COUNTIF(TT!$D$185:$D$197,TALLY!A52)</f>
        <v>0</v>
      </c>
      <c r="O52" s="209" t="n">
        <f aca="false">COUNTIF(TT!$D$202:$D$208,TALLY!A52)</f>
        <v>0</v>
      </c>
      <c r="P52" s="209" t="n">
        <f aca="false">COUNTIF(TT!$D$213:$D$220,TALLY!A52)</f>
        <v>0</v>
      </c>
      <c r="Q52" s="207" t="n">
        <f aca="false">COUNTIF(TT!$D$225:$D$239,TALLY!A52)</f>
        <v>0</v>
      </c>
      <c r="R52" s="207" t="n">
        <f aca="false">COUNTIF(TT!$D$244:$D$254,TALLY!A52)</f>
        <v>0</v>
      </c>
      <c r="S52" s="207" t="n">
        <f aca="false">COUNTIF(TT!$D$259:$D$268,TALLY!A52)</f>
        <v>1</v>
      </c>
      <c r="T52" s="209" t="n">
        <f aca="false">COUNTIF(TT!$D$271:$D$282,TALLY!A52)</f>
        <v>0</v>
      </c>
      <c r="U52" s="209" t="n">
        <f aca="false">COUNTIF(TT!$D$287:$D$298,TALLY!A52)</f>
        <v>0</v>
      </c>
      <c r="V52" s="209" t="n">
        <f aca="false">COUNTIF(TT!$D$303:$D$311,TALLY!A52)</f>
        <v>0</v>
      </c>
      <c r="W52" s="208" t="n">
        <f aca="false">COUNTIF(TT!$D$316:$D$337,TALLY!A52)</f>
        <v>0</v>
      </c>
      <c r="X52" s="208" t="n">
        <f aca="false">COUNTIF(TT!$D$342:$D$350,TALLY!A52)</f>
        <v>1</v>
      </c>
      <c r="Y52" s="208" t="n">
        <f aca="false">COUNTIF(TT!$D$357:$D$365,TALLY!A52)</f>
        <v>0</v>
      </c>
      <c r="Z52" s="209" t="n">
        <f aca="false">COUNTIF(TT!$D$370:$D$377,TALLY!A52)</f>
        <v>0</v>
      </c>
      <c r="AA52" s="209" t="n">
        <f aca="false">COUNTIF(TT!$D$382:$D$393,TALLY!A52)</f>
        <v>0</v>
      </c>
      <c r="AB52" s="209" t="n">
        <f aca="false">COUNTIF(TT!$D$398:$D$408,TALLY!A52)</f>
        <v>0</v>
      </c>
      <c r="AC52" s="208" t="n">
        <f aca="false">COUNTIF(TT!$D$413:$D$425,TALLY!A52)</f>
        <v>0</v>
      </c>
      <c r="AD52" s="208" t="n">
        <f aca="false">COUNTIF(TT!$D$430:$D$447,TALLY!A52)</f>
        <v>0</v>
      </c>
      <c r="AE52" s="208" t="n">
        <f aca="false">COUNTIF(TT!$D$454:$D$466,TALLY!A52)</f>
        <v>0</v>
      </c>
      <c r="AF52" s="207" t="n">
        <f aca="false">COUNTIF(TT!$D$471:$D$480,TALLY!A52)</f>
        <v>1</v>
      </c>
      <c r="AG52" s="207" t="n">
        <f aca="false">COUNTIF(TT!$D$487:$D$496,TALLY!A52)</f>
        <v>0</v>
      </c>
      <c r="AH52" s="207" t="n">
        <f aca="false">COUNTIF(TT!$D$501:$D$517,TALLY!A52)</f>
        <v>0</v>
      </c>
      <c r="AI52" s="208" t="n">
        <f aca="false">COUNTIF(TT!$D$522:$D$533,TALLY!A52)</f>
        <v>0</v>
      </c>
      <c r="AJ52" s="208" t="n">
        <f aca="false">COUNTIF(TT!$D$538:$D$550,TALLY!A52)</f>
        <v>0</v>
      </c>
      <c r="AK52" s="208" t="n">
        <f aca="false">COUNTIF(TT!$D$555:$D$569,TALLY!A52)</f>
        <v>0</v>
      </c>
      <c r="AL52" s="209" t="n">
        <f aca="false">COUNTIF(TT!$D$574:$D$582,TALLY!A52)</f>
        <v>0</v>
      </c>
      <c r="AM52" s="209" t="n">
        <f aca="false">COUNTIF(TT!$D$587:$D$593,TALLY!A52)</f>
        <v>0</v>
      </c>
      <c r="AN52" s="209" t="n">
        <f aca="false">COUNTIF(TT!$D$598:$D$606,TALLY!A52)</f>
        <v>0</v>
      </c>
      <c r="AO52" s="208" t="n">
        <f aca="false">COUNTIF(TT!$D$611:$D$620,TALLY!A52)</f>
        <v>0</v>
      </c>
      <c r="AP52" s="208" t="n">
        <f aca="false">COUNTIF(TT!$D$627:$D$639,TALLY!A52)</f>
        <v>1</v>
      </c>
      <c r="AQ52" s="208" t="n">
        <f aca="false">COUNTIF(TT!$D$645:$D$657,TALLY!A52)</f>
        <v>0</v>
      </c>
      <c r="AR52" s="209" t="n">
        <f aca="false">COUNTIF(TT!$D$663:$D$671,TALLY!A52)</f>
        <v>0</v>
      </c>
      <c r="AS52" s="209" t="n">
        <f aca="false">COUNTIF(TT!$D$677:$D$685,TALLY!A52)</f>
        <v>0</v>
      </c>
      <c r="AT52" s="209" t="n">
        <f aca="false">COUNTIF(TT!$D$689:$D$698,TALLY!A52)</f>
        <v>0</v>
      </c>
      <c r="AU52" s="206" t="s">
        <v>142</v>
      </c>
      <c r="AV52" s="208" t="n">
        <f aca="false">SUM($B52:$D52)</f>
        <v>0</v>
      </c>
      <c r="AW52" s="208" t="n">
        <f aca="false">SUM($E52:$G52)</f>
        <v>1</v>
      </c>
      <c r="AX52" s="208" t="n">
        <f aca="false">SUM($H52:$J52)</f>
        <v>0</v>
      </c>
      <c r="AY52" s="208" t="n">
        <f aca="false">SUM($K52:$M52)</f>
        <v>1</v>
      </c>
      <c r="AZ52" s="208" t="n">
        <f aca="false">SUM($N52:$P52)</f>
        <v>0</v>
      </c>
      <c r="BA52" s="208" t="n">
        <f aca="false">SUM($Q52:$S52)</f>
        <v>1</v>
      </c>
      <c r="BB52" s="208" t="n">
        <f aca="false">SUM($T52:$V52)</f>
        <v>0</v>
      </c>
      <c r="BC52" s="208" t="n">
        <f aca="false">SUM($W52:$Y52)</f>
        <v>1</v>
      </c>
      <c r="BD52" s="208" t="n">
        <f aca="false">SUM($Z52:$AB52)</f>
        <v>0</v>
      </c>
      <c r="BE52" s="208" t="n">
        <f aca="false">SUM($AC52:$AE52)</f>
        <v>0</v>
      </c>
      <c r="BF52" s="208" t="n">
        <f aca="false">SUM($AF52:$AH52)</f>
        <v>1</v>
      </c>
      <c r="BG52" s="208" t="n">
        <f aca="false">SUM($AI52:$AK52)</f>
        <v>0</v>
      </c>
      <c r="BH52" s="208" t="n">
        <f aca="false">SUM($AL52:$AN52)</f>
        <v>0</v>
      </c>
      <c r="BI52" s="208" t="n">
        <f aca="false">SUM($AO52:$AQ52)</f>
        <v>1</v>
      </c>
      <c r="BJ52" s="208" t="n">
        <f aca="false">SUM($AR52:$AT52)</f>
        <v>0</v>
      </c>
      <c r="BK52" s="196" t="n">
        <f aca="false">SUM(AV52:BJ52)</f>
        <v>6</v>
      </c>
    </row>
    <row r="53" customFormat="false" ht="16.4" hidden="false" customHeight="false" outlineLevel="0" collapsed="false">
      <c r="A53" s="206" t="s">
        <v>140</v>
      </c>
      <c r="B53" s="207" t="n">
        <f aca="false">COUNTIF(TT!$D$4:$D$9,TALLY!A53)</f>
        <v>0</v>
      </c>
      <c r="C53" s="207" t="n">
        <f aca="false">COUNTIF(TT!$D$15:$D$28,TALLY!A53)</f>
        <v>0</v>
      </c>
      <c r="D53" s="207" t="n">
        <f aca="false">COUNTIF(TT!$D$34:$D$41,TALLY!A53)</f>
        <v>0</v>
      </c>
      <c r="E53" s="208" t="n">
        <f aca="false">COUNTIF(TT!$D$47:$D$60,TALLY!A53)</f>
        <v>0</v>
      </c>
      <c r="F53" s="208" t="n">
        <f aca="false">COUNTIF(TT!$D$66:$D$79,TALLY!A53)</f>
        <v>0</v>
      </c>
      <c r="G53" s="208" t="n">
        <f aca="false">COUNTIF(TT!$D$84:$D$93,TALLY!A53)</f>
        <v>1</v>
      </c>
      <c r="H53" s="209" t="n">
        <f aca="false">COUNTIF(TT!$D$98:$D$106,TALLY!A53)</f>
        <v>0</v>
      </c>
      <c r="I53" s="209" t="n">
        <f aca="false">COUNTIF(TT!$D$111:$D$121,TALLY!A53)</f>
        <v>0</v>
      </c>
      <c r="J53" s="209" t="n">
        <f aca="false">COUNTIF(TT!$D$126:$D$134,TALLY!A53)</f>
        <v>0</v>
      </c>
      <c r="K53" s="208" t="n">
        <f aca="false">COUNTIF(TT!$D$139:$D$151,TALLY!A53)</f>
        <v>0</v>
      </c>
      <c r="L53" s="208" t="n">
        <f aca="false">COUNTIF(TT!$D$156:$D$164,TALLY!A53)</f>
        <v>0</v>
      </c>
      <c r="M53" s="208" t="n">
        <f aca="false">COUNTIF(TT!$D$169:$D$180,TALLY!A53)</f>
        <v>1</v>
      </c>
      <c r="N53" s="209" t="n">
        <f aca="false">COUNTIF(TT!$D$185:$D$197,TALLY!A53)</f>
        <v>0</v>
      </c>
      <c r="O53" s="209" t="n">
        <f aca="false">COUNTIF(TT!$D$202:$D$208,TALLY!A53)</f>
        <v>0</v>
      </c>
      <c r="P53" s="209" t="n">
        <f aca="false">COUNTIF(TT!$D$213:$D$220,TALLY!A53)</f>
        <v>0</v>
      </c>
      <c r="Q53" s="207" t="n">
        <f aca="false">COUNTIF(TT!$D$225:$D$239,TALLY!A53)</f>
        <v>0</v>
      </c>
      <c r="R53" s="207" t="n">
        <f aca="false">COUNTIF(TT!$D$244:$D$254,TALLY!A53)</f>
        <v>1</v>
      </c>
      <c r="S53" s="207" t="n">
        <f aca="false">COUNTIF(TT!$D$259:$D$268,TALLY!A53)</f>
        <v>0</v>
      </c>
      <c r="T53" s="209" t="n">
        <f aca="false">COUNTIF(TT!$D$271:$D$282,TALLY!A53)</f>
        <v>0</v>
      </c>
      <c r="U53" s="209" t="n">
        <f aca="false">COUNTIF(TT!$D$287:$D$298,TALLY!A53)</f>
        <v>0</v>
      </c>
      <c r="V53" s="209" t="n">
        <f aca="false">COUNTIF(TT!$D$303:$D$311,TALLY!A53)</f>
        <v>0</v>
      </c>
      <c r="W53" s="208" t="n">
        <f aca="false">COUNTIF(TT!$D$316:$D$337,TALLY!A53)</f>
        <v>0</v>
      </c>
      <c r="X53" s="208" t="n">
        <f aca="false">COUNTIF(TT!$D$342:$D$350,TALLY!A53)</f>
        <v>1</v>
      </c>
      <c r="Y53" s="208" t="n">
        <f aca="false">COUNTIF(TT!$D$357:$D$365,TALLY!A53)</f>
        <v>0</v>
      </c>
      <c r="Z53" s="209" t="n">
        <f aca="false">COUNTIF(TT!$D$370:$D$377,TALLY!A53)</f>
        <v>0</v>
      </c>
      <c r="AA53" s="209" t="n">
        <f aca="false">COUNTIF(TT!$D$382:$D$393,TALLY!A53)</f>
        <v>0</v>
      </c>
      <c r="AB53" s="209" t="n">
        <f aca="false">COUNTIF(TT!$D$398:$D$408,TALLY!A53)</f>
        <v>1</v>
      </c>
      <c r="AC53" s="208" t="n">
        <f aca="false">COUNTIF(TT!$D$413:$D$425,TALLY!A53)</f>
        <v>0</v>
      </c>
      <c r="AD53" s="208" t="n">
        <f aca="false">COUNTIF(TT!$D$430:$D$447,TALLY!A53)</f>
        <v>0</v>
      </c>
      <c r="AE53" s="208" t="n">
        <f aca="false">COUNTIF(TT!$D$454:$D$466,TALLY!A53)</f>
        <v>0</v>
      </c>
      <c r="AF53" s="207" t="n">
        <f aca="false">COUNTIF(TT!$D$471:$D$480,TALLY!A53)</f>
        <v>0</v>
      </c>
      <c r="AG53" s="207" t="n">
        <f aca="false">COUNTIF(TT!$D$487:$D$496,TALLY!A53)</f>
        <v>0</v>
      </c>
      <c r="AH53" s="207" t="n">
        <f aca="false">COUNTIF(TT!$D$501:$D$517,TALLY!A53)</f>
        <v>1</v>
      </c>
      <c r="AI53" s="208" t="n">
        <f aca="false">COUNTIF(TT!$D$522:$D$533,TALLY!A53)</f>
        <v>0</v>
      </c>
      <c r="AJ53" s="208" t="n">
        <f aca="false">COUNTIF(TT!$D$538:$D$550,TALLY!A53)</f>
        <v>0</v>
      </c>
      <c r="AK53" s="208" t="n">
        <f aca="false">COUNTIF(TT!$D$555:$D$569,TALLY!A53)</f>
        <v>0</v>
      </c>
      <c r="AL53" s="209" t="n">
        <f aca="false">COUNTIF(TT!$D$574:$D$582,TALLY!A53)</f>
        <v>0</v>
      </c>
      <c r="AM53" s="209" t="n">
        <f aca="false">COUNTIF(TT!$D$587:$D$593,TALLY!A53)</f>
        <v>0</v>
      </c>
      <c r="AN53" s="209" t="n">
        <f aca="false">COUNTIF(TT!$D$598:$D$606,TALLY!A53)</f>
        <v>0</v>
      </c>
      <c r="AO53" s="208" t="n">
        <f aca="false">COUNTIF(TT!$D$611:$D$620,TALLY!A53)</f>
        <v>0</v>
      </c>
      <c r="AP53" s="208" t="n">
        <f aca="false">COUNTIF(TT!$D$627:$D$639,TALLY!A53)</f>
        <v>1</v>
      </c>
      <c r="AQ53" s="208" t="n">
        <f aca="false">COUNTIF(TT!$D$645:$D$657,TALLY!A53)</f>
        <v>0</v>
      </c>
      <c r="AR53" s="209" t="n">
        <f aca="false">COUNTIF(TT!$D$663:$D$671,TALLY!A53)</f>
        <v>0</v>
      </c>
      <c r="AS53" s="209" t="n">
        <f aca="false">COUNTIF(TT!$D$677:$D$685,TALLY!A53)</f>
        <v>0</v>
      </c>
      <c r="AT53" s="209" t="n">
        <f aca="false">COUNTIF(TT!$D$689:$D$698,TALLY!A53)</f>
        <v>0</v>
      </c>
      <c r="AU53" s="206" t="s">
        <v>140</v>
      </c>
      <c r="AV53" s="208" t="n">
        <f aca="false">SUM($B53:$D53)</f>
        <v>0</v>
      </c>
      <c r="AW53" s="208" t="n">
        <f aca="false">SUM($E53:$G53)</f>
        <v>1</v>
      </c>
      <c r="AX53" s="208" t="n">
        <f aca="false">SUM($H53:$J53)</f>
        <v>0</v>
      </c>
      <c r="AY53" s="208" t="n">
        <f aca="false">SUM($K53:$M53)</f>
        <v>1</v>
      </c>
      <c r="AZ53" s="208" t="n">
        <f aca="false">SUM($N53:$P53)</f>
        <v>0</v>
      </c>
      <c r="BA53" s="208" t="n">
        <f aca="false">SUM($Q53:$S53)</f>
        <v>1</v>
      </c>
      <c r="BB53" s="208" t="n">
        <f aca="false">SUM($T53:$V53)</f>
        <v>0</v>
      </c>
      <c r="BC53" s="208" t="n">
        <f aca="false">SUM($W53:$Y53)</f>
        <v>1</v>
      </c>
      <c r="BD53" s="208" t="n">
        <f aca="false">SUM($Z53:$AB53)</f>
        <v>1</v>
      </c>
      <c r="BE53" s="208" t="n">
        <f aca="false">SUM($AC53:$AE53)</f>
        <v>0</v>
      </c>
      <c r="BF53" s="208" t="n">
        <f aca="false">SUM($AF53:$AH53)</f>
        <v>1</v>
      </c>
      <c r="BG53" s="208" t="n">
        <f aca="false">SUM($AI53:$AK53)</f>
        <v>0</v>
      </c>
      <c r="BH53" s="208" t="n">
        <f aca="false">SUM($AL53:$AN53)</f>
        <v>0</v>
      </c>
      <c r="BI53" s="208" t="n">
        <f aca="false">SUM($AO53:$AQ53)</f>
        <v>1</v>
      </c>
      <c r="BJ53" s="208" t="n">
        <f aca="false">SUM($AR53:$AT53)</f>
        <v>0</v>
      </c>
      <c r="BK53" s="196" t="n">
        <f aca="false">SUM(AV53:BJ53)</f>
        <v>7</v>
      </c>
    </row>
    <row r="54" customFormat="false" ht="16.4" hidden="false" customHeight="false" outlineLevel="0" collapsed="false">
      <c r="A54" s="206" t="s">
        <v>63</v>
      </c>
      <c r="B54" s="207" t="n">
        <f aca="false">COUNTIF(TT!$D$4:$D$9,TALLY!A54)</f>
        <v>0</v>
      </c>
      <c r="C54" s="207" t="n">
        <f aca="false">COUNTIF(TT!$D$15:$D$28,TALLY!A54)</f>
        <v>0</v>
      </c>
      <c r="D54" s="207" t="n">
        <f aca="false">COUNTIF(TT!$D$34:$D$41,TALLY!A54)</f>
        <v>0</v>
      </c>
      <c r="E54" s="208" t="n">
        <f aca="false">COUNTIF(TT!$D$47:$D$60,TALLY!A54)</f>
        <v>1</v>
      </c>
      <c r="F54" s="208" t="n">
        <f aca="false">COUNTIF(TT!$D$66:$D$79,TALLY!A54)</f>
        <v>0</v>
      </c>
      <c r="G54" s="208" t="n">
        <f aca="false">COUNTIF(TT!$D$84:$D$93,TALLY!A54)</f>
        <v>0</v>
      </c>
      <c r="H54" s="209" t="n">
        <f aca="false">COUNTIF(TT!$D$98:$D$106,TALLY!A54)</f>
        <v>0</v>
      </c>
      <c r="I54" s="209" t="n">
        <f aca="false">COUNTIF(TT!$D$111:$D$121,TALLY!A54)</f>
        <v>0</v>
      </c>
      <c r="J54" s="209" t="n">
        <f aca="false">COUNTIF(TT!$D$126:$D$134,TALLY!A54)</f>
        <v>0</v>
      </c>
      <c r="K54" s="208" t="n">
        <f aca="false">COUNTIF(TT!$D$139:$D$151,TALLY!A54)</f>
        <v>0</v>
      </c>
      <c r="L54" s="208" t="n">
        <f aca="false">COUNTIF(TT!$D$156:$D$164,TALLY!A54)</f>
        <v>1</v>
      </c>
      <c r="M54" s="208" t="n">
        <f aca="false">COUNTIF(TT!$D$169:$D$180,TALLY!A54)</f>
        <v>0</v>
      </c>
      <c r="N54" s="209" t="n">
        <f aca="false">COUNTIF(TT!$D$185:$D$197,TALLY!A54)</f>
        <v>0</v>
      </c>
      <c r="O54" s="209" t="n">
        <f aca="false">COUNTIF(TT!$D$202:$D$208,TALLY!A54)</f>
        <v>0</v>
      </c>
      <c r="P54" s="209" t="n">
        <f aca="false">COUNTIF(TT!$D$213:$D$220,TALLY!A54)</f>
        <v>0</v>
      </c>
      <c r="Q54" s="207" t="n">
        <f aca="false">COUNTIF(TT!$D$225:$D$239,TALLY!A54)</f>
        <v>1</v>
      </c>
      <c r="R54" s="207" t="n">
        <f aca="false">COUNTIF(TT!$D$244:$D$254,TALLY!A54)</f>
        <v>0</v>
      </c>
      <c r="S54" s="207" t="n">
        <f aca="false">COUNTIF(TT!$D$259:$D$268,TALLY!A54)</f>
        <v>0</v>
      </c>
      <c r="T54" s="209" t="n">
        <f aca="false">COUNTIF(TT!$D$271:$D$282,TALLY!A54)</f>
        <v>0</v>
      </c>
      <c r="U54" s="209" t="n">
        <f aca="false">COUNTIF(TT!$D$287:$D$298,TALLY!A54)</f>
        <v>0</v>
      </c>
      <c r="V54" s="209" t="n">
        <f aca="false">COUNTIF(TT!$D$303:$D$311,TALLY!A54)</f>
        <v>1</v>
      </c>
      <c r="W54" s="208" t="n">
        <f aca="false">COUNTIF(TT!$D$316:$D$337,TALLY!A54)</f>
        <v>0</v>
      </c>
      <c r="X54" s="208" t="n">
        <f aca="false">COUNTIF(TT!$D$342:$D$350,TALLY!A54)</f>
        <v>1</v>
      </c>
      <c r="Y54" s="208" t="n">
        <f aca="false">COUNTIF(TT!$D$357:$D$365,TALLY!A54)</f>
        <v>0</v>
      </c>
      <c r="Z54" s="209" t="n">
        <f aca="false">COUNTIF(TT!$D$370:$D$377,TALLY!A54)</f>
        <v>0</v>
      </c>
      <c r="AA54" s="209" t="n">
        <f aca="false">COUNTIF(TT!$D$382:$D$393,TALLY!A54)</f>
        <v>0</v>
      </c>
      <c r="AB54" s="209" t="n">
        <f aca="false">COUNTIF(TT!$D$398:$D$408,TALLY!A54)</f>
        <v>1</v>
      </c>
      <c r="AC54" s="208" t="n">
        <f aca="false">COUNTIF(TT!$D$413:$D$425,TALLY!A54)</f>
        <v>0</v>
      </c>
      <c r="AD54" s="208" t="n">
        <f aca="false">COUNTIF(TT!$D$430:$D$447,TALLY!A54)</f>
        <v>0</v>
      </c>
      <c r="AE54" s="208" t="n">
        <f aca="false">COUNTIF(TT!$D$454:$D$466,TALLY!A54)</f>
        <v>0</v>
      </c>
      <c r="AF54" s="207" t="n">
        <f aca="false">COUNTIF(TT!$D$471:$D$480,TALLY!A54)</f>
        <v>1</v>
      </c>
      <c r="AG54" s="207" t="n">
        <f aca="false">COUNTIF(TT!$D$487:$D$496,TALLY!A54)</f>
        <v>0</v>
      </c>
      <c r="AH54" s="207" t="n">
        <f aca="false">COUNTIF(TT!$D$501:$D$517,TALLY!A54)</f>
        <v>0</v>
      </c>
      <c r="AI54" s="208" t="n">
        <f aca="false">COUNTIF(TT!$D$522:$D$533,TALLY!A54)</f>
        <v>0</v>
      </c>
      <c r="AJ54" s="208" t="n">
        <f aca="false">COUNTIF(TT!$D$538:$D$550,TALLY!A54)</f>
        <v>0</v>
      </c>
      <c r="AK54" s="208" t="n">
        <f aca="false">COUNTIF(TT!$D$555:$D$569,TALLY!A54)</f>
        <v>1</v>
      </c>
      <c r="AL54" s="209" t="n">
        <f aca="false">COUNTIF(TT!$D$574:$D$582,TALLY!A54)</f>
        <v>0</v>
      </c>
      <c r="AM54" s="209" t="n">
        <f aca="false">COUNTIF(TT!$D$587:$D$593,TALLY!A54)</f>
        <v>0</v>
      </c>
      <c r="AN54" s="209" t="n">
        <f aca="false">COUNTIF(TT!$D$598:$D$606,TALLY!A54)</f>
        <v>0</v>
      </c>
      <c r="AO54" s="208" t="n">
        <f aca="false">COUNTIF(TT!$D$611:$D$620,TALLY!A54)</f>
        <v>0</v>
      </c>
      <c r="AP54" s="208" t="n">
        <f aca="false">COUNTIF(TT!$D$627:$D$639,TALLY!A54)</f>
        <v>1</v>
      </c>
      <c r="AQ54" s="208" t="n">
        <f aca="false">COUNTIF(TT!$D$645:$D$657,TALLY!A54)</f>
        <v>0</v>
      </c>
      <c r="AR54" s="209" t="n">
        <f aca="false">COUNTIF(TT!$D$663:$D$671,TALLY!A54)</f>
        <v>0</v>
      </c>
      <c r="AS54" s="209" t="n">
        <f aca="false">COUNTIF(TT!$D$677:$D$685,TALLY!A54)</f>
        <v>0</v>
      </c>
      <c r="AT54" s="209" t="n">
        <f aca="false">COUNTIF(TT!$D$689:$D$698,TALLY!A54)</f>
        <v>0</v>
      </c>
      <c r="AU54" s="206" t="s">
        <v>63</v>
      </c>
      <c r="AV54" s="208" t="n">
        <f aca="false">SUM($B54:$D54)</f>
        <v>0</v>
      </c>
      <c r="AW54" s="208" t="n">
        <f aca="false">SUM($E54:$G54)</f>
        <v>1</v>
      </c>
      <c r="AX54" s="208" t="n">
        <f aca="false">SUM($H54:$J54)</f>
        <v>0</v>
      </c>
      <c r="AY54" s="208" t="n">
        <f aca="false">SUM($K54:$M54)</f>
        <v>1</v>
      </c>
      <c r="AZ54" s="208" t="n">
        <f aca="false">SUM($N54:$P54)</f>
        <v>0</v>
      </c>
      <c r="BA54" s="208" t="n">
        <f aca="false">SUM($Q54:$S54)</f>
        <v>1</v>
      </c>
      <c r="BB54" s="208" t="n">
        <f aca="false">SUM($T54:$V54)</f>
        <v>1</v>
      </c>
      <c r="BC54" s="208" t="n">
        <f aca="false">SUM($W54:$Y54)</f>
        <v>1</v>
      </c>
      <c r="BD54" s="208" t="n">
        <f aca="false">SUM($Z54:$AB54)</f>
        <v>1</v>
      </c>
      <c r="BE54" s="208" t="n">
        <f aca="false">SUM($AC54:$AE54)</f>
        <v>0</v>
      </c>
      <c r="BF54" s="208" t="n">
        <f aca="false">SUM($AF54:$AH54)</f>
        <v>1</v>
      </c>
      <c r="BG54" s="208" t="n">
        <f aca="false">SUM($AI54:$AK54)</f>
        <v>1</v>
      </c>
      <c r="BH54" s="208" t="n">
        <f aca="false">SUM($AL54:$AN54)</f>
        <v>0</v>
      </c>
      <c r="BI54" s="208" t="n">
        <f aca="false">SUM($AO54:$AQ54)</f>
        <v>1</v>
      </c>
      <c r="BJ54" s="208" t="n">
        <f aca="false">SUM($AR54:$AT54)</f>
        <v>0</v>
      </c>
      <c r="BK54" s="196" t="n">
        <f aca="false">SUM(AV54:BJ54)</f>
        <v>9</v>
      </c>
    </row>
    <row r="55" customFormat="false" ht="16.4" hidden="false" customHeight="false" outlineLevel="0" collapsed="false">
      <c r="A55" s="206" t="s">
        <v>18</v>
      </c>
      <c r="B55" s="207" t="n">
        <f aca="false">COUNTIF(TT!$D$4:$D$9,TALLY!A55)</f>
        <v>0</v>
      </c>
      <c r="C55" s="207" t="n">
        <f aca="false">COUNTIF(TT!$D$15:$D$28,TALLY!A55)</f>
        <v>0</v>
      </c>
      <c r="D55" s="207" t="n">
        <f aca="false">COUNTIF(TT!$D$34:$D$41,TALLY!A55)</f>
        <v>1</v>
      </c>
      <c r="E55" s="208" t="n">
        <f aca="false">COUNTIF(TT!$D$47:$D$60,TALLY!A55)</f>
        <v>0</v>
      </c>
      <c r="F55" s="208" t="n">
        <f aca="false">COUNTIF(TT!$D$66:$D$79,TALLY!A55)</f>
        <v>0</v>
      </c>
      <c r="G55" s="208" t="n">
        <f aca="false">COUNTIF(TT!$D$84:$D$93,TALLY!A55)</f>
        <v>0</v>
      </c>
      <c r="H55" s="209" t="n">
        <f aca="false">COUNTIF(TT!$D$98:$D$106,TALLY!A55)</f>
        <v>0</v>
      </c>
      <c r="I55" s="209" t="n">
        <f aca="false">COUNTIF(TT!$D$111:$D$121,TALLY!A55)</f>
        <v>1</v>
      </c>
      <c r="J55" s="209" t="n">
        <f aca="false">COUNTIF(TT!$D$126:$D$134,TALLY!A55)</f>
        <v>0</v>
      </c>
      <c r="K55" s="208" t="n">
        <f aca="false">COUNTIF(TT!$D$139:$D$151,TALLY!A55)</f>
        <v>0</v>
      </c>
      <c r="L55" s="208" t="n">
        <f aca="false">COUNTIF(TT!$D$156:$D$164,TALLY!A55)</f>
        <v>0</v>
      </c>
      <c r="M55" s="208" t="n">
        <f aca="false">COUNTIF(TT!$D$169:$D$180,TALLY!A55)</f>
        <v>1</v>
      </c>
      <c r="N55" s="209" t="n">
        <f aca="false">COUNTIF(TT!$D$185:$D$197,TALLY!A55)</f>
        <v>0</v>
      </c>
      <c r="O55" s="209" t="n">
        <f aca="false">COUNTIF(TT!$D$202:$D$208,TALLY!A55)</f>
        <v>0</v>
      </c>
      <c r="P55" s="209" t="n">
        <f aca="false">COUNTIF(TT!$D$213:$D$220,TALLY!A55)</f>
        <v>0</v>
      </c>
      <c r="Q55" s="207" t="n">
        <f aca="false">COUNTIF(TT!$D$225:$D$239,TALLY!A55)</f>
        <v>0</v>
      </c>
      <c r="R55" s="207" t="n">
        <f aca="false">COUNTIF(TT!$D$244:$D$254,TALLY!A55)</f>
        <v>0</v>
      </c>
      <c r="S55" s="207" t="n">
        <f aca="false">COUNTIF(TT!$D$259:$D$268,TALLY!A55)</f>
        <v>0</v>
      </c>
      <c r="T55" s="209" t="n">
        <f aca="false">COUNTIF(TT!$D$271:$D$282,TALLY!A55)</f>
        <v>1</v>
      </c>
      <c r="U55" s="209" t="n">
        <f aca="false">COUNTIF(TT!$D$287:$D$298,TALLY!A55)</f>
        <v>0</v>
      </c>
      <c r="V55" s="209" t="n">
        <f aca="false">COUNTIF(TT!$D$303:$D$311,TALLY!A55)</f>
        <v>0</v>
      </c>
      <c r="W55" s="208" t="n">
        <f aca="false">COUNTIF(TT!$D$316:$D$337,TALLY!A55)</f>
        <v>0</v>
      </c>
      <c r="X55" s="208" t="n">
        <f aca="false">COUNTIF(TT!$D$342:$D$350,TALLY!A55)</f>
        <v>0</v>
      </c>
      <c r="Y55" s="208" t="n">
        <f aca="false">COUNTIF(TT!$D$357:$D$365,TALLY!A55)</f>
        <v>0</v>
      </c>
      <c r="Z55" s="209" t="n">
        <f aca="false">COUNTIF(TT!$D$370:$D$377,TALLY!A55)</f>
        <v>0</v>
      </c>
      <c r="AA55" s="209" t="n">
        <f aca="false">COUNTIF(TT!$D$382:$D$393,TALLY!A55)</f>
        <v>1</v>
      </c>
      <c r="AB55" s="209" t="n">
        <f aca="false">COUNTIF(TT!$D$398:$D$408,TALLY!A55)</f>
        <v>0</v>
      </c>
      <c r="AC55" s="208" t="n">
        <f aca="false">COUNTIF(TT!$D$413:$D$425,TALLY!A55)</f>
        <v>0</v>
      </c>
      <c r="AD55" s="208" t="n">
        <f aca="false">COUNTIF(TT!$D$430:$D$447,TALLY!A55)</f>
        <v>0</v>
      </c>
      <c r="AE55" s="208" t="n">
        <f aca="false">COUNTIF(TT!$D$454:$D$466,TALLY!A55)</f>
        <v>0</v>
      </c>
      <c r="AF55" s="207" t="n">
        <f aca="false">COUNTIF(TT!$D$471:$D$480,TALLY!A55)</f>
        <v>0</v>
      </c>
      <c r="AG55" s="207" t="n">
        <f aca="false">COUNTIF(TT!$D$487:$D$496,TALLY!A55)</f>
        <v>0</v>
      </c>
      <c r="AH55" s="207" t="n">
        <f aca="false">COUNTIF(TT!$D$501:$D$517,TALLY!A55)</f>
        <v>1</v>
      </c>
      <c r="AI55" s="208" t="n">
        <f aca="false">COUNTIF(TT!$D$522:$D$533,TALLY!A55)</f>
        <v>0</v>
      </c>
      <c r="AJ55" s="208" t="n">
        <f aca="false">COUNTIF(TT!$D$538:$D$550,TALLY!A55)</f>
        <v>0</v>
      </c>
      <c r="AK55" s="208" t="n">
        <f aca="false">COUNTIF(TT!$D$555:$D$569,TALLY!A55)</f>
        <v>0</v>
      </c>
      <c r="AL55" s="209" t="n">
        <f aca="false">COUNTIF(TT!$D$574:$D$582,TALLY!A55)</f>
        <v>0</v>
      </c>
      <c r="AM55" s="209" t="n">
        <f aca="false">COUNTIF(TT!$D$587:$D$593,TALLY!A55)</f>
        <v>1</v>
      </c>
      <c r="AN55" s="209" t="n">
        <f aca="false">COUNTIF(TT!$D$598:$D$606,TALLY!A55)</f>
        <v>0</v>
      </c>
      <c r="AO55" s="208" t="n">
        <f aca="false">COUNTIF(TT!$D$611:$D$620,TALLY!A55)</f>
        <v>0</v>
      </c>
      <c r="AP55" s="208" t="n">
        <f aca="false">COUNTIF(TT!$D$627:$D$639,TALLY!A55)</f>
        <v>1</v>
      </c>
      <c r="AQ55" s="208" t="n">
        <f aca="false">COUNTIF(TT!$D$645:$D$657,TALLY!A55)</f>
        <v>0</v>
      </c>
      <c r="AR55" s="209" t="n">
        <f aca="false">COUNTIF(TT!$D$663:$D$671,TALLY!A55)</f>
        <v>0</v>
      </c>
      <c r="AS55" s="209" t="n">
        <f aca="false">COUNTIF(TT!$D$677:$D$685,TALLY!A55)</f>
        <v>0</v>
      </c>
      <c r="AT55" s="209" t="n">
        <f aca="false">COUNTIF(TT!$D$689:$D$698,TALLY!A55)</f>
        <v>0</v>
      </c>
      <c r="AU55" s="206" t="s">
        <v>18</v>
      </c>
      <c r="AV55" s="208" t="n">
        <f aca="false">SUM($B55:$D55)</f>
        <v>1</v>
      </c>
      <c r="AW55" s="208" t="n">
        <f aca="false">SUM($E55:$G55)</f>
        <v>0</v>
      </c>
      <c r="AX55" s="208" t="n">
        <f aca="false">SUM($H55:$J55)</f>
        <v>1</v>
      </c>
      <c r="AY55" s="208" t="n">
        <f aca="false">SUM($K55:$M55)</f>
        <v>1</v>
      </c>
      <c r="AZ55" s="208" t="n">
        <f aca="false">SUM($N55:$P55)</f>
        <v>0</v>
      </c>
      <c r="BA55" s="208" t="n">
        <f aca="false">SUM($Q55:$S55)</f>
        <v>0</v>
      </c>
      <c r="BB55" s="208" t="n">
        <f aca="false">SUM($T55:$V55)</f>
        <v>1</v>
      </c>
      <c r="BC55" s="208" t="n">
        <f aca="false">SUM($W55:$Y55)</f>
        <v>0</v>
      </c>
      <c r="BD55" s="208" t="n">
        <f aca="false">SUM($Z55:$AB55)</f>
        <v>1</v>
      </c>
      <c r="BE55" s="208" t="n">
        <f aca="false">SUM($AC55:$AE55)</f>
        <v>0</v>
      </c>
      <c r="BF55" s="208" t="n">
        <f aca="false">SUM($AF55:$AH55)</f>
        <v>1</v>
      </c>
      <c r="BG55" s="208" t="n">
        <f aca="false">SUM($AI55:$AK55)</f>
        <v>0</v>
      </c>
      <c r="BH55" s="208" t="n">
        <f aca="false">SUM($AL55:$AN55)</f>
        <v>1</v>
      </c>
      <c r="BI55" s="208" t="n">
        <f aca="false">SUM($AO55:$AQ55)</f>
        <v>1</v>
      </c>
      <c r="BJ55" s="208" t="n">
        <f aca="false">SUM($AR55:$AT55)</f>
        <v>0</v>
      </c>
      <c r="BK55" s="196" t="n">
        <f aca="false">SUM(AV55:BJ55)</f>
        <v>8</v>
      </c>
    </row>
    <row r="56" customFormat="false" ht="16.4" hidden="false" customHeight="false" outlineLevel="0" collapsed="false">
      <c r="A56" s="206" t="s">
        <v>119</v>
      </c>
      <c r="B56" s="207" t="n">
        <f aca="false">COUNTIF(TT!$D$4:$D$9,TALLY!A56)</f>
        <v>0</v>
      </c>
      <c r="C56" s="207" t="n">
        <f aca="false">COUNTIF(TT!$D$15:$D$28,TALLY!A56)</f>
        <v>0</v>
      </c>
      <c r="D56" s="207" t="n">
        <f aca="false">COUNTIF(TT!$D$34:$D$41,TALLY!A56)</f>
        <v>0</v>
      </c>
      <c r="E56" s="208" t="n">
        <f aca="false">COUNTIF(TT!$D$47:$D$60,TALLY!A56)</f>
        <v>0</v>
      </c>
      <c r="F56" s="208" t="n">
        <f aca="false">COUNTIF(TT!$D$66:$D$79,TALLY!A56)</f>
        <v>1</v>
      </c>
      <c r="G56" s="208" t="n">
        <f aca="false">COUNTIF(TT!$D$84:$D$93,TALLY!A56)</f>
        <v>0</v>
      </c>
      <c r="H56" s="209" t="n">
        <f aca="false">COUNTIF(TT!$D$98:$D$106,TALLY!A56)</f>
        <v>0</v>
      </c>
      <c r="I56" s="209" t="n">
        <f aca="false">COUNTIF(TT!$D$111:$D$121,TALLY!A56)</f>
        <v>0</v>
      </c>
      <c r="J56" s="209" t="n">
        <f aca="false">COUNTIF(TT!$D$126:$D$134,TALLY!A56)</f>
        <v>0</v>
      </c>
      <c r="K56" s="208" t="n">
        <f aca="false">COUNTIF(TT!$D$139:$D$151,TALLY!A56)</f>
        <v>1</v>
      </c>
      <c r="L56" s="208" t="n">
        <f aca="false">COUNTIF(TT!$D$156:$D$164,TALLY!A56)</f>
        <v>0</v>
      </c>
      <c r="M56" s="208" t="n">
        <f aca="false">COUNTIF(TT!$D$169:$D$180,TALLY!A56)</f>
        <v>0</v>
      </c>
      <c r="N56" s="209" t="n">
        <f aca="false">COUNTIF(TT!$D$185:$D$197,TALLY!A56)</f>
        <v>0</v>
      </c>
      <c r="O56" s="209" t="n">
        <f aca="false">COUNTIF(TT!$D$202:$D$208,TALLY!A56)</f>
        <v>0</v>
      </c>
      <c r="P56" s="209" t="n">
        <f aca="false">COUNTIF(TT!$D$213:$D$220,TALLY!A56)</f>
        <v>0</v>
      </c>
      <c r="Q56" s="207" t="n">
        <f aca="false">COUNTIF(TT!$D$225:$D$239,TALLY!A56)</f>
        <v>0</v>
      </c>
      <c r="R56" s="207" t="n">
        <f aca="false">COUNTIF(TT!$D$244:$D$254,TALLY!A56)</f>
        <v>0</v>
      </c>
      <c r="S56" s="207" t="n">
        <f aca="false">COUNTIF(TT!$D$259:$D$268,TALLY!A56)</f>
        <v>0</v>
      </c>
      <c r="T56" s="209" t="n">
        <f aca="false">COUNTIF(TT!$D$271:$D$282,TALLY!A56)</f>
        <v>0</v>
      </c>
      <c r="U56" s="209" t="n">
        <f aca="false">COUNTIF(TT!$D$287:$D$298,TALLY!A56)</f>
        <v>0</v>
      </c>
      <c r="V56" s="209" t="n">
        <f aca="false">COUNTIF(TT!$D$303:$D$311,TALLY!A56)</f>
        <v>0</v>
      </c>
      <c r="W56" s="208" t="n">
        <f aca="false">COUNTIF(TT!$D$316:$D$337,TALLY!A56)</f>
        <v>1</v>
      </c>
      <c r="X56" s="208" t="n">
        <f aca="false">COUNTIF(TT!$D$342:$D$350,TALLY!A56)</f>
        <v>0</v>
      </c>
      <c r="Y56" s="208" t="n">
        <f aca="false">COUNTIF(TT!$D$357:$D$365,TALLY!A56)</f>
        <v>0</v>
      </c>
      <c r="Z56" s="209" t="n">
        <f aca="false">COUNTIF(TT!$D$370:$D$377,TALLY!A56)</f>
        <v>0</v>
      </c>
      <c r="AA56" s="209" t="n">
        <f aca="false">COUNTIF(TT!$D$382:$D$393,TALLY!A56)</f>
        <v>0</v>
      </c>
      <c r="AB56" s="209" t="n">
        <f aca="false">COUNTIF(TT!$D$398:$D$408,TALLY!A56)</f>
        <v>1</v>
      </c>
      <c r="AC56" s="208" t="n">
        <f aca="false">COUNTIF(TT!$D$413:$D$425,TALLY!A56)</f>
        <v>0</v>
      </c>
      <c r="AD56" s="208" t="n">
        <f aca="false">COUNTIF(TT!$D$430:$D$447,TALLY!A56)</f>
        <v>0</v>
      </c>
      <c r="AE56" s="208" t="n">
        <f aca="false">COUNTIF(TT!$D$454:$D$466,TALLY!A56)</f>
        <v>0</v>
      </c>
      <c r="AF56" s="207" t="n">
        <f aca="false">COUNTIF(TT!$D$471:$D$480,TALLY!A56)</f>
        <v>1</v>
      </c>
      <c r="AG56" s="207" t="n">
        <f aca="false">COUNTIF(TT!$D$487:$D$496,TALLY!A56)</f>
        <v>0</v>
      </c>
      <c r="AH56" s="207" t="n">
        <f aca="false">COUNTIF(TT!$D$501:$D$517,TALLY!A56)</f>
        <v>0</v>
      </c>
      <c r="AI56" s="208" t="n">
        <f aca="false">COUNTIF(TT!$D$522:$D$533,TALLY!A56)</f>
        <v>0</v>
      </c>
      <c r="AJ56" s="208" t="n">
        <f aca="false">COUNTIF(TT!$D$538:$D$550,TALLY!A56)</f>
        <v>0</v>
      </c>
      <c r="AK56" s="208" t="n">
        <f aca="false">COUNTIF(TT!$D$555:$D$569,TALLY!A56)</f>
        <v>0</v>
      </c>
      <c r="AL56" s="209" t="n">
        <f aca="false">COUNTIF(TT!$D$574:$D$582,TALLY!A56)</f>
        <v>0</v>
      </c>
      <c r="AM56" s="209" t="n">
        <f aca="false">COUNTIF(TT!$D$587:$D$593,TALLY!A56)</f>
        <v>1</v>
      </c>
      <c r="AN56" s="209" t="n">
        <f aca="false">COUNTIF(TT!$D$598:$D$606,TALLY!A56)</f>
        <v>0</v>
      </c>
      <c r="AO56" s="208" t="n">
        <f aca="false">COUNTIF(TT!$D$611:$D$620,TALLY!A56)</f>
        <v>0</v>
      </c>
      <c r="AP56" s="208" t="n">
        <f aca="false">COUNTIF(TT!$D$627:$D$639,TALLY!A56)</f>
        <v>0</v>
      </c>
      <c r="AQ56" s="208" t="n">
        <f aca="false">COUNTIF(TT!$D$645:$D$657,TALLY!A56)</f>
        <v>0</v>
      </c>
      <c r="AR56" s="209" t="n">
        <f aca="false">COUNTIF(TT!$D$663:$D$671,TALLY!A56)</f>
        <v>0</v>
      </c>
      <c r="AS56" s="209" t="n">
        <f aca="false">COUNTIF(TT!$D$677:$D$685,TALLY!A56)</f>
        <v>0</v>
      </c>
      <c r="AT56" s="209" t="n">
        <f aca="false">COUNTIF(TT!$D$689:$D$698,TALLY!A56)</f>
        <v>0</v>
      </c>
      <c r="AU56" s="206" t="s">
        <v>119</v>
      </c>
      <c r="AV56" s="208" t="n">
        <f aca="false">SUM($B56:$D56)</f>
        <v>0</v>
      </c>
      <c r="AW56" s="208" t="n">
        <f aca="false">SUM($E56:$G56)</f>
        <v>1</v>
      </c>
      <c r="AX56" s="208" t="n">
        <f aca="false">SUM($H56:$J56)</f>
        <v>0</v>
      </c>
      <c r="AY56" s="208" t="n">
        <f aca="false">SUM($K56:$M56)</f>
        <v>1</v>
      </c>
      <c r="AZ56" s="208" t="n">
        <f aca="false">SUM($N56:$P56)</f>
        <v>0</v>
      </c>
      <c r="BA56" s="208" t="n">
        <f aca="false">SUM($Q56:$S56)</f>
        <v>0</v>
      </c>
      <c r="BB56" s="208" t="n">
        <f aca="false">SUM($T56:$V56)</f>
        <v>0</v>
      </c>
      <c r="BC56" s="208" t="n">
        <f aca="false">SUM($W56:$Y56)</f>
        <v>1</v>
      </c>
      <c r="BD56" s="208" t="n">
        <f aca="false">SUM($Z56:$AB56)</f>
        <v>1</v>
      </c>
      <c r="BE56" s="208" t="n">
        <f aca="false">SUM($AC56:$AE56)</f>
        <v>0</v>
      </c>
      <c r="BF56" s="208" t="n">
        <f aca="false">SUM($AF56:$AH56)</f>
        <v>1</v>
      </c>
      <c r="BG56" s="208" t="n">
        <f aca="false">SUM($AI56:$AK56)</f>
        <v>0</v>
      </c>
      <c r="BH56" s="208" t="n">
        <f aca="false">SUM($AL56:$AN56)</f>
        <v>1</v>
      </c>
      <c r="BI56" s="208" t="n">
        <f aca="false">SUM($AO56:$AQ56)</f>
        <v>0</v>
      </c>
      <c r="BJ56" s="208" t="n">
        <f aca="false">SUM($AR56:$AT56)</f>
        <v>0</v>
      </c>
      <c r="BK56" s="196" t="n">
        <f aca="false">SUM(AV56:BJ56)</f>
        <v>6</v>
      </c>
    </row>
    <row r="57" customFormat="false" ht="16.4" hidden="false" customHeight="false" outlineLevel="0" collapsed="false">
      <c r="A57" s="211" t="s">
        <v>50</v>
      </c>
      <c r="B57" s="207" t="n">
        <f aca="false">COUNTIF(TT!$D$4:$D$9,TALLY!A57)</f>
        <v>0</v>
      </c>
      <c r="C57" s="207" t="n">
        <f aca="false">COUNTIF(TT!$D$15:$D$28,TALLY!A57)</f>
        <v>0</v>
      </c>
      <c r="D57" s="207" t="n">
        <f aca="false">COUNTIF(TT!$D$34:$D$41,TALLY!A57)</f>
        <v>0</v>
      </c>
      <c r="E57" s="208" t="n">
        <f aca="false">COUNTIF(TT!$D$47:$D$60,TALLY!A57)</f>
        <v>1</v>
      </c>
      <c r="F57" s="208" t="n">
        <f aca="false">COUNTIF(TT!$D$66:$D$79,TALLY!A57)</f>
        <v>0</v>
      </c>
      <c r="G57" s="208" t="n">
        <f aca="false">COUNTIF(TT!$D$84:$D$93,TALLY!A57)</f>
        <v>0</v>
      </c>
      <c r="H57" s="209" t="n">
        <f aca="false">COUNTIF(TT!$D$98:$D$106,TALLY!A57)</f>
        <v>0</v>
      </c>
      <c r="I57" s="209" t="n">
        <f aca="false">COUNTIF(TT!$D$111:$D$121,TALLY!A57)</f>
        <v>0</v>
      </c>
      <c r="J57" s="209" t="n">
        <f aca="false">COUNTIF(TT!$D$126:$D$134,TALLY!A57)</f>
        <v>0</v>
      </c>
      <c r="K57" s="208" t="n">
        <f aca="false">COUNTIF(TT!$D$139:$D$151,TALLY!A57)</f>
        <v>0</v>
      </c>
      <c r="L57" s="208" t="n">
        <f aca="false">COUNTIF(TT!$D$156:$D$164,TALLY!A57)</f>
        <v>0</v>
      </c>
      <c r="M57" s="208" t="n">
        <f aca="false">COUNTIF(TT!$D$169:$D$180,TALLY!A57)</f>
        <v>1</v>
      </c>
      <c r="N57" s="209" t="n">
        <f aca="false">COUNTIF(TT!$D$185:$D$197,TALLY!A57)</f>
        <v>0</v>
      </c>
      <c r="O57" s="209" t="n">
        <f aca="false">COUNTIF(TT!$D$202:$D$208,TALLY!A57)</f>
        <v>0</v>
      </c>
      <c r="P57" s="209" t="n">
        <f aca="false">COUNTIF(TT!$D$213:$D$220,TALLY!A57)</f>
        <v>0</v>
      </c>
      <c r="Q57" s="207" t="n">
        <f aca="false">COUNTIF(TT!$D$225:$D$239,TALLY!A57)</f>
        <v>0</v>
      </c>
      <c r="R57" s="207" t="n">
        <f aca="false">COUNTIF(TT!$D$244:$D$254,TALLY!A57)</f>
        <v>0</v>
      </c>
      <c r="S57" s="207" t="n">
        <f aca="false">COUNTIF(TT!$D$259:$D$268,TALLY!A57)</f>
        <v>0</v>
      </c>
      <c r="T57" s="209" t="n">
        <f aca="false">COUNTIF(TT!$D$271:$D$282,TALLY!A57)</f>
        <v>0</v>
      </c>
      <c r="U57" s="209" t="n">
        <f aca="false">COUNTIF(TT!$D$287:$D$298,TALLY!A57)</f>
        <v>0</v>
      </c>
      <c r="V57" s="209" t="n">
        <f aca="false">COUNTIF(TT!$D$303:$D$311,TALLY!A57)</f>
        <v>0</v>
      </c>
      <c r="W57" s="208" t="n">
        <f aca="false">COUNTIF(TT!$D$316:$D$337,TALLY!A57)</f>
        <v>0</v>
      </c>
      <c r="X57" s="208" t="n">
        <f aca="false">COUNTIF(TT!$D$342:$D$350,TALLY!A57)</f>
        <v>0</v>
      </c>
      <c r="Y57" s="208" t="n">
        <f aca="false">COUNTIF(TT!$D$357:$D$365,TALLY!A57)</f>
        <v>1</v>
      </c>
      <c r="Z57" s="209" t="n">
        <f aca="false">COUNTIF(TT!$D$370:$D$377,TALLY!A57)</f>
        <v>0</v>
      </c>
      <c r="AA57" s="209" t="n">
        <f aca="false">COUNTIF(TT!$D$382:$D$393,TALLY!A57)</f>
        <v>0</v>
      </c>
      <c r="AB57" s="209" t="n">
        <f aca="false">COUNTIF(TT!$D$398:$D$408,TALLY!A57)</f>
        <v>0</v>
      </c>
      <c r="AC57" s="208" t="n">
        <f aca="false">COUNTIF(TT!$D$413:$D$425,TALLY!A57)</f>
        <v>0</v>
      </c>
      <c r="AD57" s="208" t="n">
        <f aca="false">COUNTIF(TT!$D$430:$D$447,TALLY!A57)</f>
        <v>1</v>
      </c>
      <c r="AE57" s="208" t="n">
        <f aca="false">COUNTIF(TT!$D$454:$D$466,TALLY!A57)</f>
        <v>0</v>
      </c>
      <c r="AF57" s="207" t="n">
        <f aca="false">COUNTIF(TT!$D$471:$D$480,TALLY!A57)</f>
        <v>0</v>
      </c>
      <c r="AG57" s="207" t="n">
        <f aca="false">COUNTIF(TT!$D$487:$D$496,TALLY!A57)</f>
        <v>0</v>
      </c>
      <c r="AH57" s="207" t="n">
        <f aca="false">COUNTIF(TT!$D$501:$D$517,TALLY!A57)</f>
        <v>0</v>
      </c>
      <c r="AI57" s="208" t="n">
        <f aca="false">COUNTIF(TT!$D$522:$D$533,TALLY!A57)</f>
        <v>0</v>
      </c>
      <c r="AJ57" s="208" t="n">
        <f aca="false">COUNTIF(TT!$D$538:$D$550,TALLY!A57)</f>
        <v>1</v>
      </c>
      <c r="AK57" s="208" t="n">
        <f aca="false">COUNTIF(TT!$D$555:$D$569,TALLY!A57)</f>
        <v>0</v>
      </c>
      <c r="AL57" s="209" t="n">
        <f aca="false">COUNTIF(TT!$D$574:$D$582,TALLY!A57)</f>
        <v>0</v>
      </c>
      <c r="AM57" s="209" t="n">
        <f aca="false">COUNTIF(TT!$D$587:$D$593,TALLY!A57)</f>
        <v>0</v>
      </c>
      <c r="AN57" s="209" t="n">
        <f aca="false">COUNTIF(TT!$D$598:$D$606,TALLY!A57)</f>
        <v>1</v>
      </c>
      <c r="AO57" s="208" t="n">
        <f aca="false">COUNTIF(TT!$D$611:$D$620,TALLY!A57)</f>
        <v>0</v>
      </c>
      <c r="AP57" s="208" t="n">
        <f aca="false">COUNTIF(TT!$D$627:$D$639,TALLY!A57)</f>
        <v>0</v>
      </c>
      <c r="AQ57" s="208" t="n">
        <f aca="false">COUNTIF(TT!$D$645:$D$657,TALLY!A57)</f>
        <v>0</v>
      </c>
      <c r="AR57" s="209" t="n">
        <f aca="false">COUNTIF(TT!$D$663:$D$671,TALLY!A57)</f>
        <v>0</v>
      </c>
      <c r="AS57" s="209" t="n">
        <f aca="false">COUNTIF(TT!$D$677:$D$685,TALLY!A57)</f>
        <v>0</v>
      </c>
      <c r="AT57" s="209" t="n">
        <f aca="false">COUNTIF(TT!$D$689:$D$698,TALLY!A57)</f>
        <v>0</v>
      </c>
      <c r="AU57" s="211" t="s">
        <v>50</v>
      </c>
      <c r="AV57" s="208" t="n">
        <f aca="false">SUM($B57:$D57)</f>
        <v>0</v>
      </c>
      <c r="AW57" s="208" t="n">
        <f aca="false">SUM($E57:$G57)</f>
        <v>1</v>
      </c>
      <c r="AX57" s="208" t="n">
        <f aca="false">SUM($H57:$J57)</f>
        <v>0</v>
      </c>
      <c r="AY57" s="208" t="n">
        <f aca="false">SUM($K57:$M57)</f>
        <v>1</v>
      </c>
      <c r="AZ57" s="208" t="n">
        <f aca="false">SUM($N57:$P57)</f>
        <v>0</v>
      </c>
      <c r="BA57" s="208" t="n">
        <f aca="false">SUM($Q57:$S57)</f>
        <v>0</v>
      </c>
      <c r="BB57" s="208" t="n">
        <f aca="false">SUM($T57:$V57)</f>
        <v>0</v>
      </c>
      <c r="BC57" s="208" t="n">
        <f aca="false">SUM($W57:$Y57)</f>
        <v>1</v>
      </c>
      <c r="BD57" s="208" t="n">
        <f aca="false">SUM($Z57:$AB57)</f>
        <v>0</v>
      </c>
      <c r="BE57" s="208" t="n">
        <f aca="false">SUM($AC57:$AE57)</f>
        <v>1</v>
      </c>
      <c r="BF57" s="208" t="n">
        <f aca="false">SUM($AF57:$AH57)</f>
        <v>0</v>
      </c>
      <c r="BG57" s="208" t="n">
        <f aca="false">SUM($AI57:$AK57)</f>
        <v>1</v>
      </c>
      <c r="BH57" s="208" t="n">
        <f aca="false">SUM($AL57:$AN57)</f>
        <v>1</v>
      </c>
      <c r="BI57" s="208" t="n">
        <f aca="false">SUM($AO57:$AQ57)</f>
        <v>0</v>
      </c>
      <c r="BJ57" s="208" t="n">
        <f aca="false">SUM($AR57:$AT57)</f>
        <v>0</v>
      </c>
      <c r="BK57" s="196" t="n">
        <f aca="false">SUM(AV57:BJ57)</f>
        <v>6</v>
      </c>
    </row>
    <row r="58" customFormat="false" ht="16.4" hidden="false" customHeight="false" outlineLevel="0" collapsed="false">
      <c r="A58" s="212" t="s">
        <v>99</v>
      </c>
      <c r="B58" s="207" t="n">
        <f aca="false">COUNTIF(TT!$D$4:$D$9,TALLY!A58)</f>
        <v>0</v>
      </c>
      <c r="C58" s="207" t="n">
        <f aca="false">COUNTIF(TT!$D$15:$D$28,TALLY!A58)</f>
        <v>0</v>
      </c>
      <c r="D58" s="207" t="n">
        <f aca="false">COUNTIF(TT!$D$34:$D$41,TALLY!A58)</f>
        <v>0</v>
      </c>
      <c r="E58" s="208" t="n">
        <f aca="false">COUNTIF(TT!$D$47:$D$60,TALLY!A58)</f>
        <v>0</v>
      </c>
      <c r="F58" s="208" t="n">
        <f aca="false">COUNTIF(TT!$D$66:$D$79,TALLY!A58)</f>
        <v>1</v>
      </c>
      <c r="G58" s="208" t="n">
        <f aca="false">COUNTIF(TT!$D$84:$D$93,TALLY!A58)</f>
        <v>0</v>
      </c>
      <c r="H58" s="209" t="n">
        <f aca="false">COUNTIF(TT!$D$98:$D$106,TALLY!A58)</f>
        <v>0</v>
      </c>
      <c r="I58" s="209" t="n">
        <f aca="false">COUNTIF(TT!$D$111:$D$121,TALLY!A58)</f>
        <v>0</v>
      </c>
      <c r="J58" s="209" t="n">
        <f aca="false">COUNTIF(TT!$D$126:$D$134,TALLY!A58)</f>
        <v>0</v>
      </c>
      <c r="K58" s="208" t="n">
        <f aca="false">COUNTIF(TT!$D$139:$D$151,TALLY!A58)</f>
        <v>1</v>
      </c>
      <c r="L58" s="208" t="n">
        <f aca="false">COUNTIF(TT!$D$156:$D$164,TALLY!A58)</f>
        <v>0</v>
      </c>
      <c r="M58" s="208" t="n">
        <f aca="false">COUNTIF(TT!$D$169:$D$180,TALLY!A58)</f>
        <v>0</v>
      </c>
      <c r="N58" s="209" t="n">
        <f aca="false">COUNTIF(TT!$D$185:$D$197,TALLY!A58)</f>
        <v>0</v>
      </c>
      <c r="O58" s="209" t="n">
        <f aca="false">COUNTIF(TT!$D$202:$D$208,TALLY!A58)</f>
        <v>0</v>
      </c>
      <c r="P58" s="209" t="n">
        <f aca="false">COUNTIF(TT!$D$213:$D$220,TALLY!A58)</f>
        <v>0</v>
      </c>
      <c r="Q58" s="207" t="n">
        <f aca="false">COUNTIF(TT!$D$225:$D$239,TALLY!A58)</f>
        <v>0</v>
      </c>
      <c r="R58" s="207" t="n">
        <f aca="false">COUNTIF(TT!$D$244:$D$254,TALLY!A58)</f>
        <v>1</v>
      </c>
      <c r="S58" s="207" t="n">
        <f aca="false">COUNTIF(TT!$D$259:$D$268,TALLY!A58)</f>
        <v>0</v>
      </c>
      <c r="T58" s="209" t="n">
        <f aca="false">COUNTIF(TT!$D$271:$D$282,TALLY!A58)</f>
        <v>0</v>
      </c>
      <c r="U58" s="209" t="n">
        <f aca="false">COUNTIF(TT!$D$287:$D$298,TALLY!A58)</f>
        <v>0</v>
      </c>
      <c r="V58" s="209" t="n">
        <f aca="false">COUNTIF(TT!$D$303:$D$311,TALLY!A58)</f>
        <v>0</v>
      </c>
      <c r="W58" s="208" t="n">
        <f aca="false">COUNTIF(TT!$D$316:$D$337,TALLY!A58)</f>
        <v>0</v>
      </c>
      <c r="X58" s="208" t="n">
        <f aca="false">COUNTIF(TT!$D$342:$D$350,TALLY!A58)</f>
        <v>0</v>
      </c>
      <c r="Y58" s="208" t="n">
        <f aca="false">COUNTIF(TT!$D$357:$D$365,TALLY!A58)</f>
        <v>1</v>
      </c>
      <c r="Z58" s="209" t="n">
        <f aca="false">COUNTIF(TT!$D$370:$D$377,TALLY!A58)</f>
        <v>0</v>
      </c>
      <c r="AA58" s="209" t="n">
        <f aca="false">COUNTIF(TT!$D$382:$D$393,TALLY!A58)</f>
        <v>0</v>
      </c>
      <c r="AB58" s="209" t="n">
        <f aca="false">COUNTIF(TT!$D$398:$D$408,TALLY!A58)</f>
        <v>0</v>
      </c>
      <c r="AC58" s="208" t="n">
        <f aca="false">COUNTIF(TT!$D$413:$D$425,TALLY!A58)</f>
        <v>0</v>
      </c>
      <c r="AD58" s="208" t="n">
        <f aca="false">COUNTIF(TT!$D$430:$D$447,TALLY!A58)</f>
        <v>1</v>
      </c>
      <c r="AE58" s="208" t="n">
        <f aca="false">COUNTIF(TT!$D$454:$D$466,TALLY!A58)</f>
        <v>0</v>
      </c>
      <c r="AF58" s="207" t="n">
        <f aca="false">COUNTIF(TT!$D$471:$D$480,TALLY!A58)</f>
        <v>0</v>
      </c>
      <c r="AG58" s="207" t="n">
        <f aca="false">COUNTIF(TT!$D$487:$D$496,TALLY!A58)</f>
        <v>0</v>
      </c>
      <c r="AH58" s="207" t="n">
        <f aca="false">COUNTIF(TT!$D$501:$D$517,TALLY!A58)</f>
        <v>1</v>
      </c>
      <c r="AI58" s="208" t="n">
        <f aca="false">COUNTIF(TT!$D$522:$D$533,TALLY!A58)</f>
        <v>0</v>
      </c>
      <c r="AJ58" s="208" t="n">
        <f aca="false">COUNTIF(TT!$D$538:$D$550,TALLY!A58)</f>
        <v>1</v>
      </c>
      <c r="AK58" s="208" t="n">
        <f aca="false">COUNTIF(TT!$D$555:$D$569,TALLY!A58)</f>
        <v>0</v>
      </c>
      <c r="AL58" s="209" t="n">
        <f aca="false">COUNTIF(TT!$D$574:$D$582,TALLY!A58)</f>
        <v>1</v>
      </c>
      <c r="AM58" s="209" t="n">
        <f aca="false">COUNTIF(TT!$D$587:$D$593,TALLY!A58)</f>
        <v>0</v>
      </c>
      <c r="AN58" s="209" t="n">
        <f aca="false">COUNTIF(TT!$D$598:$D$606,TALLY!A58)</f>
        <v>0</v>
      </c>
      <c r="AO58" s="208" t="n">
        <f aca="false">COUNTIF(TT!$D$611:$D$620,TALLY!A58)</f>
        <v>0</v>
      </c>
      <c r="AP58" s="208" t="n">
        <f aca="false">COUNTIF(TT!$D$627:$D$639,TALLY!A58)</f>
        <v>0</v>
      </c>
      <c r="AQ58" s="208" t="n">
        <f aca="false">COUNTIF(TT!$D$645:$D$657,TALLY!A58)</f>
        <v>0</v>
      </c>
      <c r="AR58" s="209" t="n">
        <f aca="false">COUNTIF(TT!$D$663:$D$671,TALLY!A58)</f>
        <v>0</v>
      </c>
      <c r="AS58" s="209" t="n">
        <f aca="false">COUNTIF(TT!$D$677:$D$685,TALLY!A58)</f>
        <v>0</v>
      </c>
      <c r="AT58" s="209" t="n">
        <f aca="false">COUNTIF(TT!$D$689:$D$698,TALLY!A58)</f>
        <v>0</v>
      </c>
      <c r="AU58" s="211" t="s">
        <v>99</v>
      </c>
      <c r="AV58" s="208" t="n">
        <f aca="false">SUM($B58:$D58)</f>
        <v>0</v>
      </c>
      <c r="AW58" s="208" t="n">
        <f aca="false">SUM($E58:$G58)</f>
        <v>1</v>
      </c>
      <c r="AX58" s="208" t="n">
        <f aca="false">SUM($H58:$J58)</f>
        <v>0</v>
      </c>
      <c r="AY58" s="208" t="n">
        <f aca="false">SUM($K58:$M58)</f>
        <v>1</v>
      </c>
      <c r="AZ58" s="208" t="n">
        <f aca="false">SUM($N58:$P58)</f>
        <v>0</v>
      </c>
      <c r="BA58" s="208" t="n">
        <f aca="false">SUM($Q58:$S58)</f>
        <v>1</v>
      </c>
      <c r="BB58" s="208" t="n">
        <f aca="false">SUM($T58:$V58)</f>
        <v>0</v>
      </c>
      <c r="BC58" s="208" t="n">
        <f aca="false">SUM($W58:$Y58)</f>
        <v>1</v>
      </c>
      <c r="BD58" s="208" t="n">
        <f aca="false">SUM($Z58:$AB58)</f>
        <v>0</v>
      </c>
      <c r="BE58" s="208" t="n">
        <f aca="false">SUM($AC58:$AE58)</f>
        <v>1</v>
      </c>
      <c r="BF58" s="208" t="n">
        <f aca="false">SUM($AF58:$AH58)</f>
        <v>1</v>
      </c>
      <c r="BG58" s="208" t="n">
        <f aca="false">SUM($AI58:$AK58)</f>
        <v>1</v>
      </c>
      <c r="BH58" s="208" t="n">
        <f aca="false">SUM($AL58:$AN58)</f>
        <v>1</v>
      </c>
      <c r="BI58" s="208" t="n">
        <f aca="false">SUM($AO58:$AQ58)</f>
        <v>0</v>
      </c>
      <c r="BJ58" s="208" t="n">
        <f aca="false">SUM($AR58:$AT58)</f>
        <v>0</v>
      </c>
      <c r="BK58" s="196" t="n">
        <f aca="false">SUM(AV58:BJ58)</f>
        <v>8</v>
      </c>
    </row>
    <row r="59" customFormat="false" ht="16.4" hidden="false" customHeight="false" outlineLevel="0" collapsed="false">
      <c r="A59" s="211" t="s">
        <v>97</v>
      </c>
      <c r="B59" s="207" t="n">
        <f aca="false">COUNTIF(TT!$D$4:$D$9,TALLY!A59)</f>
        <v>0</v>
      </c>
      <c r="C59" s="207" t="n">
        <f aca="false">COUNTIF(TT!$D$15:$D$28,TALLY!A59)</f>
        <v>0</v>
      </c>
      <c r="D59" s="207" t="n">
        <f aca="false">COUNTIF(TT!$D$34:$D$41,TALLY!A59)</f>
        <v>0</v>
      </c>
      <c r="E59" s="208" t="n">
        <f aca="false">COUNTIF(TT!$D$47:$D$60,TALLY!A59)</f>
        <v>0</v>
      </c>
      <c r="F59" s="208" t="n">
        <f aca="false">COUNTIF(TT!$D$66:$D$79,TALLY!A59)</f>
        <v>0</v>
      </c>
      <c r="G59" s="208" t="n">
        <f aca="false">COUNTIF(TT!$D$84:$D$93,TALLY!A59)</f>
        <v>0</v>
      </c>
      <c r="H59" s="209" t="n">
        <f aca="false">COUNTIF(TT!$D$98:$D$106,TALLY!A59)</f>
        <v>0</v>
      </c>
      <c r="I59" s="209" t="n">
        <f aca="false">COUNTIF(TT!$D$111:$D$121,TALLY!A59)</f>
        <v>0</v>
      </c>
      <c r="J59" s="209" t="n">
        <f aca="false">COUNTIF(TT!$D$126:$D$134,TALLY!A59)</f>
        <v>0</v>
      </c>
      <c r="K59" s="208" t="n">
        <f aca="false">COUNTIF(TT!$D$139:$D$151,TALLY!A59)</f>
        <v>1</v>
      </c>
      <c r="L59" s="208" t="n">
        <f aca="false">COUNTIF(TT!$D$156:$D$164,TALLY!A59)</f>
        <v>0</v>
      </c>
      <c r="M59" s="208" t="n">
        <f aca="false">COUNTIF(TT!$D$169:$D$180,TALLY!A59)</f>
        <v>0</v>
      </c>
      <c r="N59" s="209" t="n">
        <f aca="false">COUNTIF(TT!$D$185:$D$197,TALLY!A59)</f>
        <v>0</v>
      </c>
      <c r="O59" s="209" t="n">
        <f aca="false">COUNTIF(TT!$D$202:$D$208,TALLY!A59)</f>
        <v>0</v>
      </c>
      <c r="P59" s="209" t="n">
        <f aca="false">COUNTIF(TT!$D$213:$D$220,TALLY!A59)</f>
        <v>0</v>
      </c>
      <c r="Q59" s="207" t="n">
        <f aca="false">COUNTIF(TT!$D$225:$D$239,TALLY!A59)</f>
        <v>0</v>
      </c>
      <c r="R59" s="207" t="n">
        <f aca="false">COUNTIF(TT!$D$244:$D$254,TALLY!A59)</f>
        <v>0</v>
      </c>
      <c r="S59" s="207" t="n">
        <f aca="false">COUNTIF(TT!$D$259:$D$268,TALLY!A59)</f>
        <v>0</v>
      </c>
      <c r="T59" s="209" t="n">
        <f aca="false">COUNTIF(TT!$D$271:$D$282,TALLY!A59)</f>
        <v>1</v>
      </c>
      <c r="U59" s="209" t="n">
        <f aca="false">COUNTIF(TT!$D$287:$D$298,TALLY!A59)</f>
        <v>0</v>
      </c>
      <c r="V59" s="209" t="n">
        <f aca="false">COUNTIF(TT!$D$303:$D$311,TALLY!A59)</f>
        <v>0</v>
      </c>
      <c r="W59" s="208" t="n">
        <f aca="false">COUNTIF(TT!$D$316:$D$337,TALLY!A59)</f>
        <v>0</v>
      </c>
      <c r="X59" s="208" t="n">
        <f aca="false">COUNTIF(TT!$D$342:$D$350,TALLY!A59)</f>
        <v>0</v>
      </c>
      <c r="Y59" s="208" t="n">
        <f aca="false">COUNTIF(TT!$D$357:$D$365,TALLY!A59)</f>
        <v>0</v>
      </c>
      <c r="Z59" s="209" t="n">
        <f aca="false">COUNTIF(TT!$D$370:$D$377,TALLY!A59)</f>
        <v>0</v>
      </c>
      <c r="AA59" s="209" t="n">
        <f aca="false">COUNTIF(TT!$D$382:$D$393,TALLY!A59)</f>
        <v>0</v>
      </c>
      <c r="AB59" s="209" t="n">
        <f aca="false">COUNTIF(TT!$D$398:$D$408,TALLY!A59)</f>
        <v>0</v>
      </c>
      <c r="AC59" s="208" t="n">
        <f aca="false">COUNTIF(TT!$D$413:$D$425,TALLY!A59)</f>
        <v>0</v>
      </c>
      <c r="AD59" s="208" t="n">
        <f aca="false">COUNTIF(TT!$D$430:$D$447,TALLY!A59)</f>
        <v>1</v>
      </c>
      <c r="AE59" s="208" t="n">
        <f aca="false">COUNTIF(TT!$D$454:$D$466,TALLY!A59)</f>
        <v>0</v>
      </c>
      <c r="AF59" s="207" t="n">
        <f aca="false">COUNTIF(TT!$D$471:$D$480,TALLY!A59)</f>
        <v>0</v>
      </c>
      <c r="AG59" s="207" t="n">
        <f aca="false">COUNTIF(TT!$D$487:$D$496,TALLY!A59)</f>
        <v>0</v>
      </c>
      <c r="AH59" s="207" t="n">
        <f aca="false">COUNTIF(TT!$D$501:$D$517,TALLY!A59)</f>
        <v>0</v>
      </c>
      <c r="AI59" s="208" t="n">
        <f aca="false">COUNTIF(TT!$D$522:$D$533,TALLY!A59)</f>
        <v>0</v>
      </c>
      <c r="AJ59" s="208" t="n">
        <f aca="false">COUNTIF(TT!$D$538:$D$550,TALLY!A59)</f>
        <v>0</v>
      </c>
      <c r="AK59" s="208" t="n">
        <f aca="false">COUNTIF(TT!$D$555:$D$569,TALLY!A59)</f>
        <v>1</v>
      </c>
      <c r="AL59" s="209" t="n">
        <f aca="false">COUNTIF(TT!$D$574:$D$582,TALLY!A59)</f>
        <v>0</v>
      </c>
      <c r="AM59" s="209" t="n">
        <f aca="false">COUNTIF(TT!$D$587:$D$593,TALLY!A59)</f>
        <v>0</v>
      </c>
      <c r="AN59" s="209" t="n">
        <f aca="false">COUNTIF(TT!$D$598:$D$606,TALLY!A59)</f>
        <v>0</v>
      </c>
      <c r="AO59" s="208" t="n">
        <f aca="false">COUNTIF(TT!$D$611:$D$620,TALLY!A59)</f>
        <v>0</v>
      </c>
      <c r="AP59" s="208" t="n">
        <f aca="false">COUNTIF(TT!$D$627:$D$639,TALLY!A59)</f>
        <v>0</v>
      </c>
      <c r="AQ59" s="208" t="n">
        <f aca="false">COUNTIF(TT!$D$645:$D$657,TALLY!A59)</f>
        <v>0</v>
      </c>
      <c r="AR59" s="209" t="n">
        <f aca="false">COUNTIF(TT!$D$663:$D$671,TALLY!A59)</f>
        <v>0</v>
      </c>
      <c r="AS59" s="209" t="n">
        <f aca="false">COUNTIF(TT!$D$677:$D$685,TALLY!A59)</f>
        <v>0</v>
      </c>
      <c r="AT59" s="209" t="n">
        <f aca="false">COUNTIF(TT!$D$689:$D$698,TALLY!A59)</f>
        <v>0</v>
      </c>
      <c r="AU59" s="211" t="s">
        <v>97</v>
      </c>
      <c r="AV59" s="208" t="n">
        <f aca="false">SUM($B59:$D59)</f>
        <v>0</v>
      </c>
      <c r="AW59" s="208" t="n">
        <f aca="false">SUM($E59:$G59)</f>
        <v>0</v>
      </c>
      <c r="AX59" s="208" t="n">
        <f aca="false">SUM($H59:$J59)</f>
        <v>0</v>
      </c>
      <c r="AY59" s="208" t="n">
        <f aca="false">SUM($K59:$M59)</f>
        <v>1</v>
      </c>
      <c r="AZ59" s="208" t="n">
        <f aca="false">SUM($N59:$P59)</f>
        <v>0</v>
      </c>
      <c r="BA59" s="208" t="n">
        <f aca="false">SUM($Q59:$S59)</f>
        <v>0</v>
      </c>
      <c r="BB59" s="208" t="n">
        <f aca="false">SUM($T59:$V59)</f>
        <v>1</v>
      </c>
      <c r="BC59" s="208" t="n">
        <f aca="false">SUM($W59:$Y59)</f>
        <v>0</v>
      </c>
      <c r="BD59" s="208" t="n">
        <f aca="false">SUM($Z59:$AB59)</f>
        <v>0</v>
      </c>
      <c r="BE59" s="208" t="n">
        <f aca="false">SUM($AC59:$AE59)</f>
        <v>1</v>
      </c>
      <c r="BF59" s="208" t="n">
        <f aca="false">SUM($AF59:$AH59)</f>
        <v>0</v>
      </c>
      <c r="BG59" s="208" t="n">
        <f aca="false">SUM($AI59:$AK59)</f>
        <v>1</v>
      </c>
      <c r="BH59" s="208" t="n">
        <f aca="false">SUM($AL59:$AN59)</f>
        <v>0</v>
      </c>
      <c r="BI59" s="208" t="n">
        <f aca="false">SUM($AO59:$AQ59)</f>
        <v>0</v>
      </c>
      <c r="BJ59" s="208" t="n">
        <f aca="false">SUM($AR59:$AT59)</f>
        <v>0</v>
      </c>
      <c r="BK59" s="196" t="n">
        <f aca="false">SUM(AV59:BJ59)</f>
        <v>4</v>
      </c>
    </row>
    <row r="60" customFormat="false" ht="16.4" hidden="false" customHeight="false" outlineLevel="0" collapsed="false">
      <c r="A60" s="211" t="s">
        <v>252</v>
      </c>
      <c r="B60" s="207" t="n">
        <f aca="false">COUNTIF(TT!$D$4:$D$9,TALLY!A60)</f>
        <v>0</v>
      </c>
      <c r="C60" s="207" t="n">
        <f aca="false">COUNTIF(TT!$D$15:$D$28,TALLY!A60)</f>
        <v>0</v>
      </c>
      <c r="D60" s="207" t="n">
        <f aca="false">COUNTIF(TT!$D$34:$D$41,TALLY!A60)</f>
        <v>0</v>
      </c>
      <c r="E60" s="208" t="n">
        <f aca="false">COUNTIF(TT!$D$47:$D$60,TALLY!A60)</f>
        <v>0</v>
      </c>
      <c r="F60" s="208" t="n">
        <f aca="false">COUNTIF(TT!$D$66:$D$79,TALLY!A60)</f>
        <v>0</v>
      </c>
      <c r="G60" s="208" t="n">
        <f aca="false">COUNTIF(TT!$D$84:$D$93,TALLY!A60)</f>
        <v>0</v>
      </c>
      <c r="H60" s="209" t="n">
        <f aca="false">COUNTIF(TT!$D$98:$D$106,TALLY!A60)</f>
        <v>0</v>
      </c>
      <c r="I60" s="209" t="n">
        <f aca="false">COUNTIF(TT!$D$111:$D$121,TALLY!A60)</f>
        <v>0</v>
      </c>
      <c r="J60" s="209" t="n">
        <f aca="false">COUNTIF(TT!$D$126:$D$134,TALLY!A60)</f>
        <v>0</v>
      </c>
      <c r="K60" s="208" t="n">
        <f aca="false">COUNTIF(TT!$D$139:$D$151,TALLY!A60)</f>
        <v>0</v>
      </c>
      <c r="L60" s="208" t="n">
        <f aca="false">COUNTIF(TT!$D$156:$D$164,TALLY!A60)</f>
        <v>0</v>
      </c>
      <c r="M60" s="208" t="n">
        <f aca="false">COUNTIF(TT!$D$169:$D$180,TALLY!A60)</f>
        <v>0</v>
      </c>
      <c r="N60" s="209" t="n">
        <f aca="false">COUNTIF(TT!$D$185:$D$197,TALLY!A60)</f>
        <v>0</v>
      </c>
      <c r="O60" s="209" t="n">
        <f aca="false">COUNTIF(TT!$D$202:$D$208,TALLY!A60)</f>
        <v>0</v>
      </c>
      <c r="P60" s="209" t="n">
        <f aca="false">COUNTIF(TT!$D$213:$D$220,TALLY!A60)</f>
        <v>0</v>
      </c>
      <c r="Q60" s="207" t="n">
        <f aca="false">COUNTIF(TT!$D$225:$D$239,TALLY!A60)</f>
        <v>0</v>
      </c>
      <c r="R60" s="207" t="n">
        <f aca="false">COUNTIF(TT!$D$244:$D$254,TALLY!A60)</f>
        <v>1</v>
      </c>
      <c r="S60" s="207" t="n">
        <f aca="false">COUNTIF(TT!$D$259:$D$268,TALLY!A60)</f>
        <v>0</v>
      </c>
      <c r="T60" s="209" t="n">
        <f aca="false">COUNTIF(TT!$D$271:$D$282,TALLY!A60)</f>
        <v>0</v>
      </c>
      <c r="U60" s="209" t="n">
        <f aca="false">COUNTIF(TT!$D$287:$D$298,TALLY!A60)</f>
        <v>0</v>
      </c>
      <c r="V60" s="209" t="n">
        <f aca="false">COUNTIF(TT!$D$303:$D$311,TALLY!A60)</f>
        <v>0</v>
      </c>
      <c r="W60" s="208" t="n">
        <f aca="false">COUNTIF(TT!$D$316:$D$337,TALLY!A60)</f>
        <v>0</v>
      </c>
      <c r="X60" s="208" t="n">
        <f aca="false">COUNTIF(TT!$D$342:$D$350,TALLY!A60)</f>
        <v>0</v>
      </c>
      <c r="Y60" s="208" t="n">
        <f aca="false">COUNTIF(TT!$D$357:$D$365,TALLY!A60)</f>
        <v>1</v>
      </c>
      <c r="Z60" s="209" t="n">
        <f aca="false">COUNTIF(TT!$D$370:$D$377,TALLY!A60)</f>
        <v>0</v>
      </c>
      <c r="AA60" s="209" t="n">
        <f aca="false">COUNTIF(TT!$D$382:$D$393,TALLY!A60)</f>
        <v>0</v>
      </c>
      <c r="AB60" s="209" t="n">
        <f aca="false">COUNTIF(TT!$D$398:$D$408,TALLY!A60)</f>
        <v>0</v>
      </c>
      <c r="AC60" s="208" t="n">
        <f aca="false">COUNTIF(TT!$D$413:$D$425,TALLY!A60)</f>
        <v>0</v>
      </c>
      <c r="AD60" s="208" t="n">
        <f aca="false">COUNTIF(TT!$D$430:$D$447,TALLY!A60)</f>
        <v>1</v>
      </c>
      <c r="AE60" s="208" t="n">
        <f aca="false">COUNTIF(TT!$D$454:$D$466,TALLY!A60)</f>
        <v>0</v>
      </c>
      <c r="AF60" s="207" t="n">
        <f aca="false">COUNTIF(TT!$D$471:$D$480,TALLY!A60)</f>
        <v>0</v>
      </c>
      <c r="AG60" s="207" t="n">
        <f aca="false">COUNTIF(TT!$D$487:$D$496,TALLY!A60)</f>
        <v>0</v>
      </c>
      <c r="AH60" s="207" t="n">
        <f aca="false">COUNTIF(TT!$D$501:$D$517,TALLY!A60)</f>
        <v>1</v>
      </c>
      <c r="AI60" s="208" t="n">
        <f aca="false">COUNTIF(TT!$D$522:$D$533,TALLY!A60)</f>
        <v>0</v>
      </c>
      <c r="AJ60" s="208" t="n">
        <f aca="false">COUNTIF(TT!$D$538:$D$550,TALLY!A60)</f>
        <v>0</v>
      </c>
      <c r="AK60" s="208" t="n">
        <f aca="false">COUNTIF(TT!$D$555:$D$569,TALLY!A60)</f>
        <v>0</v>
      </c>
      <c r="AL60" s="209" t="n">
        <f aca="false">COUNTIF(TT!$D$574:$D$582,TALLY!A60)</f>
        <v>0</v>
      </c>
      <c r="AM60" s="209" t="n">
        <f aca="false">COUNTIF(TT!$D$587:$D$593,TALLY!A60)</f>
        <v>0</v>
      </c>
      <c r="AN60" s="209" t="n">
        <f aca="false">COUNTIF(TT!$D$598:$D$606,TALLY!A60)</f>
        <v>0</v>
      </c>
      <c r="AO60" s="208" t="n">
        <f aca="false">COUNTIF(TT!$D$611:$D$620,TALLY!A60)</f>
        <v>0</v>
      </c>
      <c r="AP60" s="208" t="n">
        <f aca="false">COUNTIF(TT!$D$627:$D$639,TALLY!A60)</f>
        <v>0</v>
      </c>
      <c r="AQ60" s="208" t="n">
        <f aca="false">COUNTIF(TT!$D$645:$D$657,TALLY!A60)</f>
        <v>0</v>
      </c>
      <c r="AR60" s="209" t="n">
        <f aca="false">COUNTIF(TT!$D$663:$D$671,TALLY!A60)</f>
        <v>0</v>
      </c>
      <c r="AS60" s="209" t="n">
        <f aca="false">COUNTIF(TT!$D$677:$D$685,TALLY!A60)</f>
        <v>0</v>
      </c>
      <c r="AT60" s="209" t="n">
        <f aca="false">COUNTIF(TT!$D$689:$D$698,TALLY!A60)</f>
        <v>0</v>
      </c>
      <c r="AU60" s="211" t="s">
        <v>252</v>
      </c>
      <c r="AV60" s="208" t="n">
        <f aca="false">SUM($B60:$D60)</f>
        <v>0</v>
      </c>
      <c r="AW60" s="208" t="n">
        <f aca="false">SUM($E60:$G60)</f>
        <v>0</v>
      </c>
      <c r="AX60" s="208" t="n">
        <f aca="false">SUM($H60:$J60)</f>
        <v>0</v>
      </c>
      <c r="AY60" s="208" t="n">
        <f aca="false">SUM($K60:$M60)</f>
        <v>0</v>
      </c>
      <c r="AZ60" s="208" t="n">
        <f aca="false">SUM($N60:$P60)</f>
        <v>0</v>
      </c>
      <c r="BA60" s="208" t="n">
        <f aca="false">SUM($Q60:$S60)</f>
        <v>1</v>
      </c>
      <c r="BB60" s="208" t="n">
        <f aca="false">SUM($T60:$V60)</f>
        <v>0</v>
      </c>
      <c r="BC60" s="208" t="n">
        <f aca="false">SUM($W60:$Y60)</f>
        <v>1</v>
      </c>
      <c r="BD60" s="208" t="n">
        <f aca="false">SUM($Z60:$AB60)</f>
        <v>0</v>
      </c>
      <c r="BE60" s="208" t="n">
        <f aca="false">SUM($AC60:$AE60)</f>
        <v>1</v>
      </c>
      <c r="BF60" s="208" t="n">
        <f aca="false">SUM($AF60:$AH60)</f>
        <v>1</v>
      </c>
      <c r="BG60" s="208" t="n">
        <f aca="false">SUM($AI60:$AK60)</f>
        <v>0</v>
      </c>
      <c r="BH60" s="208" t="n">
        <f aca="false">SUM($AL60:$AN60)</f>
        <v>0</v>
      </c>
      <c r="BI60" s="208" t="n">
        <f aca="false">SUM($AO60:$AQ60)</f>
        <v>0</v>
      </c>
      <c r="BJ60" s="208" t="n">
        <f aca="false">SUM($AR60:$AT60)</f>
        <v>0</v>
      </c>
      <c r="BK60" s="196" t="n">
        <f aca="false">SUM(AV60:BJ60)</f>
        <v>4</v>
      </c>
    </row>
    <row r="61" customFormat="false" ht="16.4" hidden="false" customHeight="false" outlineLevel="0" collapsed="false">
      <c r="A61" s="211" t="s">
        <v>103</v>
      </c>
      <c r="B61" s="207" t="n">
        <f aca="false">COUNTIF(TT!$D$4:$D$9,TALLY!A61)</f>
        <v>0</v>
      </c>
      <c r="C61" s="207" t="n">
        <f aca="false">COUNTIF(TT!$D$15:$D$28,TALLY!A61)</f>
        <v>0</v>
      </c>
      <c r="D61" s="207" t="n">
        <f aca="false">COUNTIF(TT!$D$34:$D$41,TALLY!A61)</f>
        <v>0</v>
      </c>
      <c r="E61" s="208" t="n">
        <f aca="false">COUNTIF(TT!$D$47:$D$60,TALLY!A61)</f>
        <v>1</v>
      </c>
      <c r="F61" s="208" t="n">
        <f aca="false">COUNTIF(TT!$D$66:$D$79,TALLY!A61)</f>
        <v>0</v>
      </c>
      <c r="G61" s="208" t="n">
        <f aca="false">COUNTIF(TT!$D$84:$D$93,TALLY!A61)</f>
        <v>0</v>
      </c>
      <c r="H61" s="209" t="n">
        <f aca="false">COUNTIF(TT!$D$98:$D$106,TALLY!A61)</f>
        <v>1</v>
      </c>
      <c r="I61" s="209" t="n">
        <f aca="false">COUNTIF(TT!$D$111:$D$121,TALLY!A61)</f>
        <v>0</v>
      </c>
      <c r="J61" s="209" t="n">
        <f aca="false">COUNTIF(TT!$D$126:$D$134,TALLY!A61)</f>
        <v>0</v>
      </c>
      <c r="K61" s="208" t="n">
        <f aca="false">COUNTIF(TT!$D$139:$D$151,TALLY!A61)</f>
        <v>0</v>
      </c>
      <c r="L61" s="208" t="n">
        <f aca="false">COUNTIF(TT!$D$156:$D$164,TALLY!A61)</f>
        <v>0</v>
      </c>
      <c r="M61" s="208" t="n">
        <f aca="false">COUNTIF(TT!$D$169:$D$180,TALLY!A61)</f>
        <v>1</v>
      </c>
      <c r="N61" s="209" t="n">
        <f aca="false">COUNTIF(TT!$D$185:$D$197,TALLY!A61)</f>
        <v>0</v>
      </c>
      <c r="O61" s="209" t="n">
        <f aca="false">COUNTIF(TT!$D$202:$D$208,TALLY!A61)</f>
        <v>0</v>
      </c>
      <c r="P61" s="209" t="n">
        <f aca="false">COUNTIF(TT!$D$213:$D$220,TALLY!A61)</f>
        <v>0</v>
      </c>
      <c r="Q61" s="207" t="n">
        <f aca="false">COUNTIF(TT!$D$225:$D$239,TALLY!A61)</f>
        <v>1</v>
      </c>
      <c r="R61" s="207" t="n">
        <f aca="false">COUNTIF(TT!$D$244:$D$254,TALLY!A61)</f>
        <v>0</v>
      </c>
      <c r="S61" s="207" t="n">
        <f aca="false">COUNTIF(TT!$D$259:$D$268,TALLY!A61)</f>
        <v>0</v>
      </c>
      <c r="T61" s="209" t="n">
        <f aca="false">COUNTIF(TT!$D$271:$D$282,TALLY!A61)</f>
        <v>0</v>
      </c>
      <c r="U61" s="209" t="n">
        <f aca="false">COUNTIF(TT!$D$287:$D$298,TALLY!A61)</f>
        <v>0</v>
      </c>
      <c r="V61" s="209" t="n">
        <f aca="false">COUNTIF(TT!$D$303:$D$311,TALLY!A61)</f>
        <v>0</v>
      </c>
      <c r="W61" s="208" t="n">
        <f aca="false">COUNTIF(TT!$D$316:$D$337,TALLY!A61)</f>
        <v>0</v>
      </c>
      <c r="X61" s="208" t="n">
        <f aca="false">COUNTIF(TT!$D$342:$D$350,TALLY!A61)</f>
        <v>0</v>
      </c>
      <c r="Y61" s="208" t="n">
        <f aca="false">COUNTIF(TT!$D$357:$D$365,TALLY!A61)</f>
        <v>1</v>
      </c>
      <c r="Z61" s="209" t="n">
        <f aca="false">COUNTIF(TT!$D$370:$D$377,TALLY!A61)</f>
        <v>0</v>
      </c>
      <c r="AA61" s="209" t="n">
        <f aca="false">COUNTIF(TT!$D$382:$D$393,TALLY!A61)</f>
        <v>1</v>
      </c>
      <c r="AB61" s="209" t="n">
        <f aca="false">COUNTIF(TT!$D$398:$D$408,TALLY!A61)</f>
        <v>0</v>
      </c>
      <c r="AC61" s="208" t="n">
        <f aca="false">COUNTIF(TT!$D$413:$D$425,TALLY!A61)</f>
        <v>0</v>
      </c>
      <c r="AD61" s="208" t="n">
        <f aca="false">COUNTIF(TT!$D$430:$D$447,TALLY!A61)</f>
        <v>0</v>
      </c>
      <c r="AE61" s="208" t="n">
        <f aca="false">COUNTIF(TT!$D$454:$D$466,TALLY!A61)</f>
        <v>1</v>
      </c>
      <c r="AF61" s="207" t="n">
        <f aca="false">COUNTIF(TT!$D$471:$D$480,TALLY!A61)</f>
        <v>0</v>
      </c>
      <c r="AG61" s="207" t="n">
        <f aca="false">COUNTIF(TT!$D$487:$D$496,TALLY!A61)</f>
        <v>1</v>
      </c>
      <c r="AH61" s="207" t="n">
        <f aca="false">COUNTIF(TT!$D$501:$D$517,TALLY!A61)</f>
        <v>0</v>
      </c>
      <c r="AI61" s="208" t="n">
        <f aca="false">COUNTIF(TT!$D$522:$D$533,TALLY!A61)</f>
        <v>0</v>
      </c>
      <c r="AJ61" s="208" t="n">
        <f aca="false">COUNTIF(TT!$D$538:$D$550,TALLY!A61)</f>
        <v>0</v>
      </c>
      <c r="AK61" s="208" t="n">
        <f aca="false">COUNTIF(TT!$D$555:$D$569,TALLY!A61)</f>
        <v>0</v>
      </c>
      <c r="AL61" s="209" t="n">
        <f aca="false">COUNTIF(TT!$D$574:$D$582,TALLY!A61)</f>
        <v>0</v>
      </c>
      <c r="AM61" s="209" t="n">
        <f aca="false">COUNTIF(TT!$D$587:$D$593,TALLY!A61)</f>
        <v>0</v>
      </c>
      <c r="AN61" s="209" t="n">
        <f aca="false">COUNTIF(TT!$D$598:$D$606,TALLY!A61)</f>
        <v>1</v>
      </c>
      <c r="AO61" s="208" t="n">
        <f aca="false">COUNTIF(TT!$D$611:$D$620,TALLY!A61)</f>
        <v>0</v>
      </c>
      <c r="AP61" s="208" t="n">
        <f aca="false">COUNTIF(TT!$D$627:$D$639,TALLY!A61)</f>
        <v>0</v>
      </c>
      <c r="AQ61" s="208" t="n">
        <f aca="false">COUNTIF(TT!$D$645:$D$657,TALLY!A61)</f>
        <v>0</v>
      </c>
      <c r="AR61" s="209" t="n">
        <f aca="false">COUNTIF(TT!$D$663:$D$671,TALLY!A61)</f>
        <v>0</v>
      </c>
      <c r="AS61" s="209" t="n">
        <f aca="false">COUNTIF(TT!$D$677:$D$685,TALLY!A61)</f>
        <v>0</v>
      </c>
      <c r="AT61" s="209" t="n">
        <f aca="false">COUNTIF(TT!$D$689:$D$698,TALLY!A61)</f>
        <v>0</v>
      </c>
      <c r="AU61" s="211" t="s">
        <v>103</v>
      </c>
      <c r="AV61" s="208" t="n">
        <f aca="false">SUM($B61:$D61)</f>
        <v>0</v>
      </c>
      <c r="AW61" s="208" t="n">
        <f aca="false">SUM($E61:$G61)</f>
        <v>1</v>
      </c>
      <c r="AX61" s="208" t="n">
        <f aca="false">SUM($H61:$J61)</f>
        <v>1</v>
      </c>
      <c r="AY61" s="208" t="n">
        <f aca="false">SUM($K61:$M61)</f>
        <v>1</v>
      </c>
      <c r="AZ61" s="208" t="n">
        <f aca="false">SUM($N61:$P61)</f>
        <v>0</v>
      </c>
      <c r="BA61" s="208" t="n">
        <f aca="false">SUM($Q61:$S61)</f>
        <v>1</v>
      </c>
      <c r="BB61" s="208" t="n">
        <f aca="false">SUM($T61:$V61)</f>
        <v>0</v>
      </c>
      <c r="BC61" s="208" t="n">
        <f aca="false">SUM($W61:$Y61)</f>
        <v>1</v>
      </c>
      <c r="BD61" s="208" t="n">
        <f aca="false">SUM($Z61:$AB61)</f>
        <v>1</v>
      </c>
      <c r="BE61" s="208" t="n">
        <f aca="false">SUM($AC61:$AE61)</f>
        <v>1</v>
      </c>
      <c r="BF61" s="208" t="n">
        <f aca="false">SUM($AF61:$AH61)</f>
        <v>1</v>
      </c>
      <c r="BG61" s="208" t="n">
        <f aca="false">SUM($AI61:$AK61)</f>
        <v>0</v>
      </c>
      <c r="BH61" s="208" t="n">
        <f aca="false">SUM($AL61:$AN61)</f>
        <v>1</v>
      </c>
      <c r="BI61" s="208" t="n">
        <f aca="false">SUM($AO61:$AQ61)</f>
        <v>0</v>
      </c>
      <c r="BJ61" s="208" t="n">
        <f aca="false">SUM($AR61:$AT61)</f>
        <v>0</v>
      </c>
      <c r="BK61" s="196" t="n">
        <f aca="false">SUM(AV61:BJ61)</f>
        <v>9</v>
      </c>
    </row>
    <row r="62" customFormat="false" ht="16.4" hidden="false" customHeight="false" outlineLevel="0" collapsed="false">
      <c r="A62" s="211" t="s">
        <v>48</v>
      </c>
      <c r="B62" s="207" t="n">
        <f aca="false">COUNTIF(TT!$D$4:$D$9,TALLY!A62)</f>
        <v>0</v>
      </c>
      <c r="C62" s="207" t="n">
        <f aca="false">COUNTIF(TT!$D$15:$D$28,TALLY!A62)</f>
        <v>1</v>
      </c>
      <c r="D62" s="207" t="n">
        <f aca="false">COUNTIF(TT!$D$34:$D$41,TALLY!A62)</f>
        <v>0</v>
      </c>
      <c r="E62" s="208" t="n">
        <f aca="false">COUNTIF(TT!$D$47:$D$60,TALLY!A62)</f>
        <v>0</v>
      </c>
      <c r="F62" s="208" t="n">
        <f aca="false">COUNTIF(TT!$D$66:$D$79,TALLY!A62)</f>
        <v>0</v>
      </c>
      <c r="G62" s="208" t="n">
        <f aca="false">COUNTIF(TT!$D$84:$D$93,TALLY!A62)</f>
        <v>0</v>
      </c>
      <c r="H62" s="209" t="n">
        <f aca="false">COUNTIF(TT!$D$98:$D$106,TALLY!A62)</f>
        <v>0</v>
      </c>
      <c r="I62" s="209" t="n">
        <f aca="false">COUNTIF(TT!$D$111:$D$121,TALLY!A62)</f>
        <v>0</v>
      </c>
      <c r="J62" s="209" t="n">
        <f aca="false">COUNTIF(TT!$D$126:$D$134,TALLY!A62)</f>
        <v>0</v>
      </c>
      <c r="K62" s="208" t="n">
        <f aca="false">COUNTIF(TT!$D$139:$D$151,TALLY!A62)</f>
        <v>0</v>
      </c>
      <c r="L62" s="208" t="n">
        <f aca="false">COUNTIF(TT!$D$156:$D$164,TALLY!A62)</f>
        <v>0</v>
      </c>
      <c r="M62" s="208" t="n">
        <f aca="false">COUNTIF(TT!$D$169:$D$180,TALLY!A62)</f>
        <v>1</v>
      </c>
      <c r="N62" s="209" t="n">
        <f aca="false">COUNTIF(TT!$D$185:$D$197,TALLY!A62)</f>
        <v>0</v>
      </c>
      <c r="O62" s="209" t="n">
        <f aca="false">COUNTIF(TT!$D$202:$D$208,TALLY!A62)</f>
        <v>0</v>
      </c>
      <c r="P62" s="209" t="n">
        <f aca="false">COUNTIF(TT!$D$213:$D$220,TALLY!A62)</f>
        <v>0</v>
      </c>
      <c r="Q62" s="207" t="n">
        <f aca="false">COUNTIF(TT!$D$225:$D$239,TALLY!A62)</f>
        <v>2</v>
      </c>
      <c r="R62" s="207" t="n">
        <f aca="false">COUNTIF(TT!$D$244:$D$254,TALLY!A62)</f>
        <v>0</v>
      </c>
      <c r="S62" s="207" t="n">
        <f aca="false">COUNTIF(TT!$D$259:$D$268,TALLY!A62)</f>
        <v>0</v>
      </c>
      <c r="T62" s="209" t="n">
        <f aca="false">COUNTIF(TT!$D$271:$D$282,TALLY!A62)</f>
        <v>0</v>
      </c>
      <c r="U62" s="209" t="n">
        <f aca="false">COUNTIF(TT!$D$287:$D$298,TALLY!A62)</f>
        <v>0</v>
      </c>
      <c r="V62" s="209" t="n">
        <f aca="false">COUNTIF(TT!$D$303:$D$311,TALLY!A62)</f>
        <v>0</v>
      </c>
      <c r="W62" s="208" t="n">
        <f aca="false">COUNTIF(TT!$D$316:$D$337,TALLY!A62)</f>
        <v>0</v>
      </c>
      <c r="X62" s="208" t="n">
        <f aca="false">COUNTIF(TT!$D$342:$D$350,TALLY!A62)</f>
        <v>0</v>
      </c>
      <c r="Y62" s="208" t="n">
        <f aca="false">COUNTIF(TT!$D$357:$D$365,TALLY!A62)</f>
        <v>0</v>
      </c>
      <c r="Z62" s="209" t="n">
        <f aca="false">COUNTIF(TT!$D$370:$D$377,TALLY!A62)</f>
        <v>0</v>
      </c>
      <c r="AA62" s="209" t="n">
        <f aca="false">COUNTIF(TT!$D$382:$D$393,TALLY!A62)</f>
        <v>1</v>
      </c>
      <c r="AB62" s="209" t="n">
        <f aca="false">COUNTIF(TT!$D$398:$D$408,TALLY!A62)</f>
        <v>0</v>
      </c>
      <c r="AC62" s="208" t="n">
        <f aca="false">COUNTIF(TT!$D$413:$D$425,TALLY!A62)</f>
        <v>0</v>
      </c>
      <c r="AD62" s="208" t="n">
        <f aca="false">COUNTIF(TT!$D$430:$D$447,TALLY!A62)</f>
        <v>0</v>
      </c>
      <c r="AE62" s="208" t="n">
        <f aca="false">COUNTIF(TT!$D$454:$D$466,TALLY!A62)</f>
        <v>0</v>
      </c>
      <c r="AF62" s="207" t="n">
        <f aca="false">COUNTIF(TT!$D$471:$D$480,TALLY!A62)</f>
        <v>0</v>
      </c>
      <c r="AG62" s="207" t="n">
        <f aca="false">COUNTIF(TT!$D$487:$D$496,TALLY!A62)</f>
        <v>0</v>
      </c>
      <c r="AH62" s="207" t="n">
        <f aca="false">COUNTIF(TT!$D$501:$D$517,TALLY!A62)</f>
        <v>0</v>
      </c>
      <c r="AI62" s="208" t="n">
        <f aca="false">COUNTIF(TT!$D$522:$D$533,TALLY!A62)</f>
        <v>0</v>
      </c>
      <c r="AJ62" s="208" t="n">
        <f aca="false">COUNTIF(TT!$D$538:$D$550,TALLY!A62)</f>
        <v>0</v>
      </c>
      <c r="AK62" s="208" t="n">
        <f aca="false">COUNTIF(TT!$D$555:$D$569,TALLY!A62)</f>
        <v>0</v>
      </c>
      <c r="AL62" s="209" t="n">
        <f aca="false">COUNTIF(TT!$D$574:$D$582,TALLY!A62)</f>
        <v>0</v>
      </c>
      <c r="AM62" s="209" t="n">
        <f aca="false">COUNTIF(TT!$D$587:$D$593,TALLY!A62)</f>
        <v>0</v>
      </c>
      <c r="AN62" s="209" t="n">
        <f aca="false">COUNTIF(TT!$D$598:$D$606,TALLY!A62)</f>
        <v>1</v>
      </c>
      <c r="AO62" s="208" t="n">
        <f aca="false">COUNTIF(TT!$D$611:$D$620,TALLY!A62)</f>
        <v>0</v>
      </c>
      <c r="AP62" s="208" t="n">
        <f aca="false">COUNTIF(TT!$D$627:$D$639,TALLY!A62)</f>
        <v>0</v>
      </c>
      <c r="AQ62" s="208" t="n">
        <f aca="false">COUNTIF(TT!$D$645:$D$657,TALLY!A62)</f>
        <v>0</v>
      </c>
      <c r="AR62" s="209" t="n">
        <f aca="false">COUNTIF(TT!$D$663:$D$671,TALLY!A62)</f>
        <v>0</v>
      </c>
      <c r="AS62" s="209" t="n">
        <f aca="false">COUNTIF(TT!$D$677:$D$685,TALLY!A62)</f>
        <v>0</v>
      </c>
      <c r="AT62" s="209" t="n">
        <f aca="false">COUNTIF(TT!$D$689:$D$698,TALLY!A62)</f>
        <v>0</v>
      </c>
      <c r="AU62" s="211" t="s">
        <v>48</v>
      </c>
      <c r="AV62" s="208" t="n">
        <f aca="false">SUM($B62:$D62)</f>
        <v>1</v>
      </c>
      <c r="AW62" s="208" t="n">
        <f aca="false">SUM($E62:$G62)</f>
        <v>0</v>
      </c>
      <c r="AX62" s="208" t="n">
        <f aca="false">SUM($H62:$J62)</f>
        <v>0</v>
      </c>
      <c r="AY62" s="208" t="n">
        <f aca="false">SUM($K62:$M62)</f>
        <v>1</v>
      </c>
      <c r="AZ62" s="208" t="n">
        <f aca="false">SUM($N62:$P62)</f>
        <v>0</v>
      </c>
      <c r="BA62" s="208" t="n">
        <f aca="false">SUM($Q62:$S62)</f>
        <v>2</v>
      </c>
      <c r="BB62" s="208" t="n">
        <f aca="false">SUM($T62:$V62)</f>
        <v>0</v>
      </c>
      <c r="BC62" s="208" t="n">
        <f aca="false">SUM($W62:$Y62)</f>
        <v>0</v>
      </c>
      <c r="BD62" s="208" t="n">
        <f aca="false">SUM($Z62:$AB62)</f>
        <v>1</v>
      </c>
      <c r="BE62" s="208" t="n">
        <f aca="false">SUM($AC62:$AE62)</f>
        <v>0</v>
      </c>
      <c r="BF62" s="208" t="n">
        <f aca="false">SUM($AF62:$AH62)</f>
        <v>0</v>
      </c>
      <c r="BG62" s="208" t="n">
        <f aca="false">SUM($AI62:$AK62)</f>
        <v>0</v>
      </c>
      <c r="BH62" s="208" t="n">
        <f aca="false">SUM($AL62:$AN62)</f>
        <v>1</v>
      </c>
      <c r="BI62" s="208" t="n">
        <f aca="false">SUM($AO62:$AQ62)</f>
        <v>0</v>
      </c>
      <c r="BJ62" s="208" t="n">
        <f aca="false">SUM($AR62:$AT62)</f>
        <v>0</v>
      </c>
      <c r="BK62" s="196" t="n">
        <f aca="false">SUM(AV62:BJ62)</f>
        <v>6</v>
      </c>
    </row>
    <row r="63" customFormat="false" ht="16.4" hidden="false" customHeight="false" outlineLevel="0" collapsed="false">
      <c r="A63" s="211" t="s">
        <v>251</v>
      </c>
      <c r="B63" s="207" t="n">
        <f aca="false">COUNTIF(TT!$D$4:$D$9,TALLY!A63)</f>
        <v>0</v>
      </c>
      <c r="C63" s="207" t="n">
        <f aca="false">COUNTIF(TT!$D$15:$D$28,TALLY!A63)</f>
        <v>0</v>
      </c>
      <c r="D63" s="207" t="n">
        <f aca="false">COUNTIF(TT!$D$34:$D$41,TALLY!A63)</f>
        <v>0</v>
      </c>
      <c r="E63" s="208" t="n">
        <f aca="false">COUNTIF(TT!$D$47:$D$60,TALLY!A63)</f>
        <v>0</v>
      </c>
      <c r="F63" s="208" t="n">
        <f aca="false">COUNTIF(TT!$D$66:$D$79,TALLY!A63)</f>
        <v>0</v>
      </c>
      <c r="G63" s="208" t="n">
        <f aca="false">COUNTIF(TT!$D$84:$D$93,TALLY!A63)</f>
        <v>0</v>
      </c>
      <c r="H63" s="209" t="n">
        <f aca="false">COUNTIF(TT!$D$98:$D$106,TALLY!A63)</f>
        <v>0</v>
      </c>
      <c r="I63" s="209" t="n">
        <f aca="false">COUNTIF(TT!$D$111:$D$121,TALLY!A63)</f>
        <v>0</v>
      </c>
      <c r="J63" s="209" t="n">
        <f aca="false">COUNTIF(TT!$D$126:$D$134,TALLY!A63)</f>
        <v>1</v>
      </c>
      <c r="K63" s="208" t="n">
        <f aca="false">COUNTIF(TT!$D$139:$D$151,TALLY!A63)</f>
        <v>0</v>
      </c>
      <c r="L63" s="208" t="n">
        <f aca="false">COUNTIF(TT!$D$156:$D$164,TALLY!A63)</f>
        <v>0</v>
      </c>
      <c r="M63" s="208" t="n">
        <f aca="false">COUNTIF(TT!$D$169:$D$180,TALLY!A63)</f>
        <v>0</v>
      </c>
      <c r="N63" s="209" t="n">
        <f aca="false">COUNTIF(TT!$D$185:$D$197,TALLY!A63)</f>
        <v>0</v>
      </c>
      <c r="O63" s="209" t="n">
        <f aca="false">COUNTIF(TT!$D$202:$D$208,TALLY!A63)</f>
        <v>0</v>
      </c>
      <c r="P63" s="209" t="n">
        <f aca="false">COUNTIF(TT!$D$213:$D$220,TALLY!A63)</f>
        <v>0</v>
      </c>
      <c r="Q63" s="207" t="n">
        <f aca="false">COUNTIF(TT!$D$225:$D$239,TALLY!A63)</f>
        <v>0</v>
      </c>
      <c r="R63" s="207" t="n">
        <f aca="false">COUNTIF(TT!$D$244:$D$254,TALLY!A63)</f>
        <v>1</v>
      </c>
      <c r="S63" s="207" t="n">
        <f aca="false">COUNTIF(TT!$D$259:$D$268,TALLY!A63)</f>
        <v>0</v>
      </c>
      <c r="T63" s="209" t="n">
        <f aca="false">COUNTIF(TT!$D$271:$D$282,TALLY!A63)</f>
        <v>0</v>
      </c>
      <c r="U63" s="209" t="n">
        <f aca="false">COUNTIF(TT!$D$287:$D$298,TALLY!A63)</f>
        <v>0</v>
      </c>
      <c r="V63" s="209" t="n">
        <f aca="false">COUNTIF(TT!$D$303:$D$311,TALLY!A63)</f>
        <v>0</v>
      </c>
      <c r="W63" s="208" t="n">
        <f aca="false">COUNTIF(TT!$D$316:$D$337,TALLY!A63)</f>
        <v>0</v>
      </c>
      <c r="X63" s="208" t="n">
        <f aca="false">COUNTIF(TT!$D$342:$D$350,TALLY!A63)</f>
        <v>0</v>
      </c>
      <c r="Y63" s="208" t="n">
        <f aca="false">COUNTIF(TT!$D$357:$D$365,TALLY!A63)</f>
        <v>0</v>
      </c>
      <c r="Z63" s="209" t="n">
        <f aca="false">COUNTIF(TT!$D$370:$D$377,TALLY!A63)</f>
        <v>0</v>
      </c>
      <c r="AA63" s="209" t="n">
        <f aca="false">COUNTIF(TT!$D$382:$D$393,TALLY!A63)</f>
        <v>1</v>
      </c>
      <c r="AB63" s="209" t="n">
        <f aca="false">COUNTIF(TT!$D$398:$D$408,TALLY!A63)</f>
        <v>0</v>
      </c>
      <c r="AC63" s="208" t="n">
        <f aca="false">COUNTIF(TT!$D$413:$D$425,TALLY!A63)</f>
        <v>0</v>
      </c>
      <c r="AD63" s="208" t="n">
        <f aca="false">COUNTIF(TT!$D$430:$D$447,TALLY!A63)</f>
        <v>1</v>
      </c>
      <c r="AE63" s="208" t="n">
        <f aca="false">COUNTIF(TT!$D$454:$D$466,TALLY!A63)</f>
        <v>0</v>
      </c>
      <c r="AF63" s="207" t="n">
        <f aca="false">COUNTIF(TT!$D$471:$D$480,TALLY!A63)</f>
        <v>0</v>
      </c>
      <c r="AG63" s="207" t="n">
        <f aca="false">COUNTIF(TT!$D$487:$D$496,TALLY!A63)</f>
        <v>0</v>
      </c>
      <c r="AH63" s="207" t="n">
        <f aca="false">COUNTIF(TT!$D$501:$D$517,TALLY!A63)</f>
        <v>0</v>
      </c>
      <c r="AI63" s="208" t="n">
        <f aca="false">COUNTIF(TT!$D$522:$D$533,TALLY!A63)</f>
        <v>0</v>
      </c>
      <c r="AJ63" s="208" t="n">
        <f aca="false">COUNTIF(TT!$D$538:$D$550,TALLY!A63)</f>
        <v>1</v>
      </c>
      <c r="AK63" s="208" t="n">
        <f aca="false">COUNTIF(TT!$D$555:$D$569,TALLY!A63)</f>
        <v>0</v>
      </c>
      <c r="AL63" s="209" t="n">
        <f aca="false">COUNTIF(TT!$D$574:$D$582,TALLY!A63)</f>
        <v>0</v>
      </c>
      <c r="AM63" s="209" t="n">
        <f aca="false">COUNTIF(TT!$D$587:$D$593,TALLY!A63)</f>
        <v>0</v>
      </c>
      <c r="AN63" s="209" t="n">
        <f aca="false">COUNTIF(TT!$D$598:$D$606,TALLY!A63)</f>
        <v>0</v>
      </c>
      <c r="AO63" s="208" t="n">
        <f aca="false">COUNTIF(TT!$D$611:$D$620,TALLY!A63)</f>
        <v>0</v>
      </c>
      <c r="AP63" s="208" t="n">
        <f aca="false">COUNTIF(TT!$D$627:$D$639,TALLY!A63)</f>
        <v>0</v>
      </c>
      <c r="AQ63" s="213" t="n">
        <f aca="false">COUNTIF(TT!$D$645:$D$657,TALLY!A63)</f>
        <v>1</v>
      </c>
      <c r="AR63" s="209" t="n">
        <f aca="false">COUNTIF(TT!$D$663:$D$671,TALLY!A63)</f>
        <v>0</v>
      </c>
      <c r="AS63" s="209" t="n">
        <f aca="false">COUNTIF(TT!$D$677:$D$685,TALLY!A63)</f>
        <v>0</v>
      </c>
      <c r="AT63" s="209" t="n">
        <f aca="false">COUNTIF(TT!$D$689:$D$698,TALLY!A63)</f>
        <v>1</v>
      </c>
      <c r="AU63" s="211" t="s">
        <v>251</v>
      </c>
      <c r="AV63" s="208" t="n">
        <f aca="false">SUM($B63:$D63)</f>
        <v>0</v>
      </c>
      <c r="AW63" s="208" t="n">
        <f aca="false">SUM($E63:$G63)</f>
        <v>0</v>
      </c>
      <c r="AX63" s="208" t="n">
        <f aca="false">SUM($H63:$J63)</f>
        <v>1</v>
      </c>
      <c r="AY63" s="208" t="n">
        <f aca="false">SUM($K63:$M63)</f>
        <v>0</v>
      </c>
      <c r="AZ63" s="208" t="n">
        <f aca="false">SUM($N63:$P63)</f>
        <v>0</v>
      </c>
      <c r="BA63" s="208" t="n">
        <f aca="false">SUM($Q63:$S63)</f>
        <v>1</v>
      </c>
      <c r="BB63" s="208" t="n">
        <f aca="false">SUM($T63:$V63)</f>
        <v>0</v>
      </c>
      <c r="BC63" s="208" t="n">
        <f aca="false">SUM($W63:$Y63)</f>
        <v>0</v>
      </c>
      <c r="BD63" s="208" t="n">
        <f aca="false">SUM($Z63:$AB63)</f>
        <v>1</v>
      </c>
      <c r="BE63" s="208" t="n">
        <f aca="false">SUM($AC63:$AE63)</f>
        <v>1</v>
      </c>
      <c r="BF63" s="208" t="n">
        <f aca="false">SUM($AF63:$AH63)</f>
        <v>0</v>
      </c>
      <c r="BG63" s="208" t="n">
        <f aca="false">SUM($AI63:$AK63)</f>
        <v>1</v>
      </c>
      <c r="BH63" s="208" t="n">
        <f aca="false">SUM($AL63:$AN63)</f>
        <v>0</v>
      </c>
      <c r="BI63" s="213" t="n">
        <f aca="false">SUM($AO63:$AQ63)</f>
        <v>1</v>
      </c>
      <c r="BJ63" s="208" t="n">
        <f aca="false">SUM($AR63:$AT63)</f>
        <v>1</v>
      </c>
      <c r="BK63" s="196" t="n">
        <f aca="false">SUM(AV63:BJ63)</f>
        <v>7</v>
      </c>
    </row>
    <row r="64" customFormat="false" ht="16.4" hidden="false" customHeight="false" outlineLevel="0" collapsed="false">
      <c r="A64" s="211" t="s">
        <v>144</v>
      </c>
      <c r="B64" s="207" t="n">
        <f aca="false">COUNTIF(TT!$D$4:$D$9,TALLY!A64)</f>
        <v>0</v>
      </c>
      <c r="C64" s="207" t="n">
        <f aca="false">COUNTIF(TT!$D$15:$D$28,TALLY!A64)</f>
        <v>0</v>
      </c>
      <c r="D64" s="207" t="n">
        <f aca="false">COUNTIF(TT!$D$34:$D$41,TALLY!A64)</f>
        <v>0</v>
      </c>
      <c r="E64" s="208" t="n">
        <f aca="false">COUNTIF(TT!$D$47:$D$60,TALLY!A64)</f>
        <v>0</v>
      </c>
      <c r="F64" s="208" t="n">
        <f aca="false">COUNTIF(TT!$D$66:$D$79,TALLY!A64)</f>
        <v>0</v>
      </c>
      <c r="G64" s="208" t="n">
        <f aca="false">COUNTIF(TT!$D$84:$D$93,TALLY!A64)</f>
        <v>1</v>
      </c>
      <c r="H64" s="209" t="n">
        <f aca="false">COUNTIF(TT!$D$98:$D$106,TALLY!A64)</f>
        <v>0</v>
      </c>
      <c r="I64" s="209" t="n">
        <f aca="false">COUNTIF(TT!$D$111:$D$121,TALLY!A64)</f>
        <v>0</v>
      </c>
      <c r="J64" s="209" t="n">
        <f aca="false">COUNTIF(TT!$D$126:$D$134,TALLY!A64)</f>
        <v>0</v>
      </c>
      <c r="K64" s="208" t="n">
        <f aca="false">COUNTIF(TT!$D$139:$D$151,TALLY!A64)</f>
        <v>0</v>
      </c>
      <c r="L64" s="208" t="n">
        <f aca="false">COUNTIF(TT!$D$156:$D$164,TALLY!A64)</f>
        <v>0</v>
      </c>
      <c r="M64" s="208" t="n">
        <f aca="false">COUNTIF(TT!$D$169:$D$180,TALLY!A64)</f>
        <v>0</v>
      </c>
      <c r="N64" s="209" t="n">
        <f aca="false">COUNTIF(TT!$D$185:$D$197,TALLY!A64)</f>
        <v>0</v>
      </c>
      <c r="O64" s="209" t="n">
        <f aca="false">COUNTIF(TT!$D$202:$D$208,TALLY!A64)</f>
        <v>0</v>
      </c>
      <c r="P64" s="209" t="n">
        <f aca="false">COUNTIF(TT!$D$213:$D$220,TALLY!A64)</f>
        <v>0</v>
      </c>
      <c r="Q64" s="207" t="n">
        <f aca="false">COUNTIF(TT!$D$225:$D$239,TALLY!A64)</f>
        <v>0</v>
      </c>
      <c r="R64" s="207" t="n">
        <f aca="false">COUNTIF(TT!$D$244:$D$254,TALLY!A64)</f>
        <v>0</v>
      </c>
      <c r="S64" s="207" t="n">
        <f aca="false">COUNTIF(TT!$D$259:$D$268,TALLY!A64)</f>
        <v>1</v>
      </c>
      <c r="T64" s="209" t="n">
        <f aca="false">COUNTIF(TT!$D$271:$D$282,TALLY!A64)</f>
        <v>0</v>
      </c>
      <c r="U64" s="209" t="n">
        <f aca="false">COUNTIF(TT!$D$287:$D$298,TALLY!A64)</f>
        <v>0</v>
      </c>
      <c r="V64" s="209" t="n">
        <f aca="false">COUNTIF(TT!$D$303:$D$311,TALLY!A64)</f>
        <v>0</v>
      </c>
      <c r="W64" s="208" t="n">
        <f aca="false">COUNTIF(TT!$D$316:$D$337,TALLY!A64)</f>
        <v>1</v>
      </c>
      <c r="X64" s="208" t="n">
        <f aca="false">COUNTIF(TT!$D$342:$D$350,TALLY!A64)</f>
        <v>0</v>
      </c>
      <c r="Y64" s="208" t="n">
        <f aca="false">COUNTIF(TT!$D$357:$D$365,TALLY!A64)</f>
        <v>0</v>
      </c>
      <c r="Z64" s="209" t="n">
        <f aca="false">COUNTIF(TT!$D$370:$D$377,TALLY!A64)</f>
        <v>0</v>
      </c>
      <c r="AA64" s="209" t="n">
        <f aca="false">COUNTIF(TT!$D$382:$D$393,TALLY!A64)</f>
        <v>0</v>
      </c>
      <c r="AB64" s="209" t="n">
        <f aca="false">COUNTIF(TT!$D$398:$D$408,TALLY!A64)</f>
        <v>1</v>
      </c>
      <c r="AC64" s="208" t="n">
        <f aca="false">COUNTIF(TT!$D$413:$D$425,TALLY!A64)</f>
        <v>0</v>
      </c>
      <c r="AD64" s="208" t="n">
        <f aca="false">COUNTIF(TT!$D$430:$D$447,TALLY!A64)</f>
        <v>1</v>
      </c>
      <c r="AE64" s="208" t="n">
        <f aca="false">COUNTIF(TT!$D$454:$D$466,TALLY!A64)</f>
        <v>0</v>
      </c>
      <c r="AF64" s="207" t="n">
        <f aca="false">COUNTIF(TT!$D$471:$D$480,TALLY!A64)</f>
        <v>0</v>
      </c>
      <c r="AG64" s="207" t="n">
        <f aca="false">COUNTIF(TT!$D$487:$D$496,TALLY!A64)</f>
        <v>0</v>
      </c>
      <c r="AH64" s="207" t="n">
        <f aca="false">COUNTIF(TT!$D$501:$D$517,TALLY!A64)</f>
        <v>0</v>
      </c>
      <c r="AI64" s="208" t="n">
        <f aca="false">COUNTIF(TT!$D$522:$D$533,TALLY!A64)</f>
        <v>0</v>
      </c>
      <c r="AJ64" s="208" t="n">
        <f aca="false">COUNTIF(TT!$D$538:$D$550,TALLY!A64)</f>
        <v>0</v>
      </c>
      <c r="AK64" s="208" t="n">
        <f aca="false">COUNTIF(TT!$D$555:$D$569,TALLY!A64)</f>
        <v>1</v>
      </c>
      <c r="AL64" s="209" t="n">
        <f aca="false">COUNTIF(TT!$D$574:$D$582,TALLY!A64)</f>
        <v>0</v>
      </c>
      <c r="AM64" s="209" t="n">
        <f aca="false">COUNTIF(TT!$D$587:$D$593,TALLY!A64)</f>
        <v>0</v>
      </c>
      <c r="AN64" s="209" t="n">
        <f aca="false">COUNTIF(TT!$D$598:$D$606,TALLY!A64)</f>
        <v>0</v>
      </c>
      <c r="AO64" s="208" t="n">
        <f aca="false">COUNTIF(TT!$D$611:$D$620,TALLY!A64)</f>
        <v>0</v>
      </c>
      <c r="AP64" s="208" t="n">
        <f aca="false">COUNTIF(TT!$D$627:$D$639,TALLY!A64)</f>
        <v>0</v>
      </c>
      <c r="AQ64" s="208" t="n">
        <f aca="false">COUNTIF(TT!$D$645:$D$657,TALLY!A64)</f>
        <v>1</v>
      </c>
      <c r="AR64" s="209" t="n">
        <f aca="false">COUNTIF(TT!$D$663:$D$671,TALLY!A64)</f>
        <v>0</v>
      </c>
      <c r="AS64" s="209" t="n">
        <f aca="false">COUNTIF(TT!$D$677:$D$685,TALLY!A64)</f>
        <v>0</v>
      </c>
      <c r="AT64" s="209" t="n">
        <f aca="false">COUNTIF(TT!$D$689:$D$698,TALLY!A64)</f>
        <v>0</v>
      </c>
      <c r="AU64" s="211" t="s">
        <v>144</v>
      </c>
      <c r="AV64" s="208" t="n">
        <f aca="false">SUM($B64:$D64)</f>
        <v>0</v>
      </c>
      <c r="AW64" s="208" t="n">
        <f aca="false">SUM($E64:$G64)</f>
        <v>1</v>
      </c>
      <c r="AX64" s="208" t="n">
        <f aca="false">SUM($H64:$J64)</f>
        <v>0</v>
      </c>
      <c r="AY64" s="208" t="n">
        <f aca="false">SUM($K64:$M64)</f>
        <v>0</v>
      </c>
      <c r="AZ64" s="208" t="n">
        <f aca="false">SUM($N64:$P64)</f>
        <v>0</v>
      </c>
      <c r="BA64" s="208" t="n">
        <f aca="false">SUM($Q64:$S64)</f>
        <v>1</v>
      </c>
      <c r="BB64" s="208" t="n">
        <f aca="false">SUM($T64:$V64)</f>
        <v>0</v>
      </c>
      <c r="BC64" s="208" t="n">
        <f aca="false">SUM($W64:$Y64)</f>
        <v>1</v>
      </c>
      <c r="BD64" s="208" t="n">
        <f aca="false">SUM($Z64:$AB64)</f>
        <v>1</v>
      </c>
      <c r="BE64" s="208" t="n">
        <f aca="false">SUM($AC64:$AE64)</f>
        <v>1</v>
      </c>
      <c r="BF64" s="208" t="n">
        <f aca="false">SUM($AF64:$AH64)</f>
        <v>0</v>
      </c>
      <c r="BG64" s="208" t="n">
        <f aca="false">SUM($AI64:$AK64)</f>
        <v>1</v>
      </c>
      <c r="BH64" s="208" t="n">
        <f aca="false">SUM($AL64:$AN64)</f>
        <v>0</v>
      </c>
      <c r="BI64" s="208" t="n">
        <f aca="false">SUM($AO64:$AQ64)</f>
        <v>1</v>
      </c>
      <c r="BJ64" s="208" t="n">
        <f aca="false">SUM($AR64:$AT64)</f>
        <v>0</v>
      </c>
      <c r="BK64" s="196" t="n">
        <f aca="false">SUM(AV64:BJ64)</f>
        <v>7</v>
      </c>
    </row>
    <row r="65" customFormat="false" ht="16.4" hidden="false" customHeight="false" outlineLevel="0" collapsed="false">
      <c r="A65" s="211" t="s">
        <v>177</v>
      </c>
      <c r="B65" s="207" t="n">
        <f aca="false">COUNTIF(TT!$D$4:$D$9,TALLY!A65)</f>
        <v>0</v>
      </c>
      <c r="C65" s="207" t="n">
        <f aca="false">COUNTIF(TT!$D$15:$D$28,TALLY!A65)</f>
        <v>0</v>
      </c>
      <c r="D65" s="207" t="n">
        <f aca="false">COUNTIF(TT!$D$34:$D$41,TALLY!A65)</f>
        <v>0</v>
      </c>
      <c r="E65" s="208" t="n">
        <f aca="false">COUNTIF(TT!$D$47:$D$60,TALLY!A65)</f>
        <v>0</v>
      </c>
      <c r="F65" s="208" t="n">
        <f aca="false">COUNTIF(TT!$D$66:$D$79,TALLY!A65)</f>
        <v>0</v>
      </c>
      <c r="G65" s="208" t="n">
        <f aca="false">COUNTIF(TT!$D$84:$D$93,TALLY!A65)</f>
        <v>0</v>
      </c>
      <c r="H65" s="209" t="n">
        <f aca="false">COUNTIF(TT!$D$98:$D$106,TALLY!A65)</f>
        <v>0</v>
      </c>
      <c r="I65" s="209" t="n">
        <f aca="false">COUNTIF(TT!$D$111:$D$121,TALLY!A65)</f>
        <v>0</v>
      </c>
      <c r="J65" s="209" t="n">
        <f aca="false">COUNTIF(TT!$D$126:$D$134,TALLY!A65)</f>
        <v>1</v>
      </c>
      <c r="K65" s="208" t="n">
        <f aca="false">COUNTIF(TT!$D$139:$D$151,TALLY!A65)</f>
        <v>0</v>
      </c>
      <c r="L65" s="208" t="n">
        <f aca="false">COUNTIF(TT!$D$156:$D$164,TALLY!A65)</f>
        <v>0</v>
      </c>
      <c r="M65" s="208" t="n">
        <f aca="false">COUNTIF(TT!$D$169:$D$180,TALLY!A65)</f>
        <v>0</v>
      </c>
      <c r="N65" s="209" t="n">
        <f aca="false">COUNTIF(TT!$D$185:$D$197,TALLY!A65)</f>
        <v>0</v>
      </c>
      <c r="O65" s="209" t="n">
        <f aca="false">COUNTIF(TT!$D$202:$D$208,TALLY!A65)</f>
        <v>0</v>
      </c>
      <c r="P65" s="209" t="n">
        <f aca="false">COUNTIF(TT!$D$213:$D$220,TALLY!A65)</f>
        <v>1</v>
      </c>
      <c r="Q65" s="207" t="n">
        <f aca="false">COUNTIF(TT!$D$225:$D$239,TALLY!A65)</f>
        <v>1</v>
      </c>
      <c r="R65" s="207" t="n">
        <f aca="false">COUNTIF(TT!$D$244:$D$254,TALLY!A65)</f>
        <v>0</v>
      </c>
      <c r="S65" s="207" t="n">
        <f aca="false">COUNTIF(TT!$D$259:$D$268,TALLY!A65)</f>
        <v>0</v>
      </c>
      <c r="T65" s="209" t="n">
        <f aca="false">COUNTIF(TT!$D$271:$D$282,TALLY!A65)</f>
        <v>0</v>
      </c>
      <c r="U65" s="209" t="n">
        <f aca="false">COUNTIF(TT!$D$287:$D$298,TALLY!A65)</f>
        <v>0</v>
      </c>
      <c r="V65" s="209" t="n">
        <f aca="false">COUNTIF(TT!$D$303:$D$311,TALLY!A65)</f>
        <v>0</v>
      </c>
      <c r="W65" s="208" t="n">
        <f aca="false">COUNTIF(TT!$D$316:$D$337,TALLY!A65)</f>
        <v>0</v>
      </c>
      <c r="X65" s="208" t="n">
        <f aca="false">COUNTIF(TT!$D$342:$D$350,TALLY!A65)</f>
        <v>1</v>
      </c>
      <c r="Y65" s="208" t="n">
        <f aca="false">COUNTIF(TT!$D$357:$D$365,TALLY!A65)</f>
        <v>0</v>
      </c>
      <c r="Z65" s="209" t="n">
        <f aca="false">COUNTIF(TT!$D$370:$D$377,TALLY!A65)</f>
        <v>0</v>
      </c>
      <c r="AA65" s="209" t="n">
        <f aca="false">COUNTIF(TT!$D$382:$D$393,TALLY!A65)</f>
        <v>0</v>
      </c>
      <c r="AB65" s="209" t="n">
        <f aca="false">COUNTIF(TT!$D$398:$D$408,TALLY!A65)</f>
        <v>0</v>
      </c>
      <c r="AC65" s="208" t="n">
        <f aca="false">COUNTIF(TT!$D$413:$D$425,TALLY!A65)</f>
        <v>0</v>
      </c>
      <c r="AD65" s="208" t="n">
        <f aca="false">COUNTIF(TT!$D$430:$D$447,TALLY!A65)</f>
        <v>0</v>
      </c>
      <c r="AE65" s="208" t="n">
        <f aca="false">COUNTIF(TT!$D$454:$D$466,TALLY!A65)</f>
        <v>1</v>
      </c>
      <c r="AF65" s="207" t="n">
        <f aca="false">COUNTIF(TT!$D$471:$D$480,TALLY!A65)</f>
        <v>0</v>
      </c>
      <c r="AG65" s="207" t="n">
        <f aca="false">COUNTIF(TT!$D$487:$D$496,TALLY!A65)</f>
        <v>0</v>
      </c>
      <c r="AH65" s="207" t="n">
        <f aca="false">COUNTIF(TT!$D$501:$D$517,TALLY!A65)</f>
        <v>1</v>
      </c>
      <c r="AI65" s="208" t="n">
        <f aca="false">COUNTIF(TT!$D$522:$D$533,TALLY!A65)</f>
        <v>0</v>
      </c>
      <c r="AJ65" s="208" t="n">
        <f aca="false">COUNTIF(TT!$D$538:$D$550,TALLY!A65)</f>
        <v>0</v>
      </c>
      <c r="AK65" s="208" t="n">
        <f aca="false">COUNTIF(TT!$D$555:$D$569,TALLY!A65)</f>
        <v>1</v>
      </c>
      <c r="AL65" s="209" t="n">
        <f aca="false">COUNTIF(TT!$D$574:$D$582,TALLY!A65)</f>
        <v>0</v>
      </c>
      <c r="AM65" s="209" t="n">
        <f aca="false">COUNTIF(TT!$D$587:$D$593,TALLY!A65)</f>
        <v>0</v>
      </c>
      <c r="AN65" s="209" t="n">
        <f aca="false">COUNTIF(TT!$D$598:$D$606,TALLY!A65)</f>
        <v>0</v>
      </c>
      <c r="AO65" s="208" t="n">
        <f aca="false">COUNTIF(TT!$D$611:$D$620,TALLY!A65)</f>
        <v>0</v>
      </c>
      <c r="AP65" s="208" t="n">
        <f aca="false">COUNTIF(TT!$D$627:$D$639,TALLY!A65)</f>
        <v>0</v>
      </c>
      <c r="AQ65" s="208" t="n">
        <f aca="false">COUNTIF(TT!$D$645:$D$657,TALLY!A65)</f>
        <v>1</v>
      </c>
      <c r="AR65" s="209" t="n">
        <f aca="false">COUNTIF(TT!$D$663:$D$671,TALLY!A65)</f>
        <v>0</v>
      </c>
      <c r="AS65" s="209" t="n">
        <f aca="false">COUNTIF(TT!$D$677:$D$685,TALLY!A65)</f>
        <v>0</v>
      </c>
      <c r="AT65" s="209" t="n">
        <f aca="false">COUNTIF(TT!$D$689:$D$698,TALLY!A65)</f>
        <v>0</v>
      </c>
      <c r="AU65" s="211" t="s">
        <v>177</v>
      </c>
      <c r="AV65" s="208" t="n">
        <f aca="false">SUM($B65:$D65)</f>
        <v>0</v>
      </c>
      <c r="AW65" s="208" t="n">
        <f aca="false">SUM($E65:$G65)</f>
        <v>0</v>
      </c>
      <c r="AX65" s="208" t="n">
        <f aca="false">SUM($H65:$J65)</f>
        <v>1</v>
      </c>
      <c r="AY65" s="208" t="n">
        <f aca="false">SUM($K65:$M65)</f>
        <v>0</v>
      </c>
      <c r="AZ65" s="208" t="n">
        <f aca="false">SUM($N65:$P65)</f>
        <v>1</v>
      </c>
      <c r="BA65" s="208" t="n">
        <f aca="false">SUM($Q65:$S65)</f>
        <v>1</v>
      </c>
      <c r="BB65" s="208" t="n">
        <f aca="false">SUM($T65:$V65)</f>
        <v>0</v>
      </c>
      <c r="BC65" s="208" t="n">
        <f aca="false">SUM($W65:$Y65)</f>
        <v>1</v>
      </c>
      <c r="BD65" s="208" t="n">
        <f aca="false">SUM($Z65:$AB65)</f>
        <v>0</v>
      </c>
      <c r="BE65" s="208" t="n">
        <f aca="false">SUM($AC65:$AE65)</f>
        <v>1</v>
      </c>
      <c r="BF65" s="208" t="n">
        <f aca="false">SUM($AF65:$AH65)</f>
        <v>1</v>
      </c>
      <c r="BG65" s="208" t="n">
        <f aca="false">SUM($AI65:$AK65)</f>
        <v>1</v>
      </c>
      <c r="BH65" s="208" t="n">
        <f aca="false">SUM($AL65:$AN65)</f>
        <v>0</v>
      </c>
      <c r="BI65" s="208" t="n">
        <f aca="false">SUM($AO65:$AQ65)</f>
        <v>1</v>
      </c>
      <c r="BJ65" s="208" t="n">
        <f aca="false">SUM($AR65:$AT65)</f>
        <v>0</v>
      </c>
      <c r="BK65" s="196" t="n">
        <f aca="false">SUM(AV65:BJ65)</f>
        <v>8</v>
      </c>
    </row>
    <row r="66" customFormat="false" ht="16.4" hidden="false" customHeight="false" outlineLevel="0" collapsed="false">
      <c r="A66" s="211" t="s">
        <v>194</v>
      </c>
      <c r="B66" s="207" t="n">
        <f aca="false">COUNTIF(TT!$D$4:$D$9,TALLY!A66)</f>
        <v>0</v>
      </c>
      <c r="C66" s="207" t="n">
        <f aca="false">COUNTIF(TT!$D$15:$D$28,TALLY!A66)</f>
        <v>0</v>
      </c>
      <c r="D66" s="207" t="n">
        <f aca="false">COUNTIF(TT!$D$34:$D$41,TALLY!A66)</f>
        <v>0</v>
      </c>
      <c r="E66" s="208" t="n">
        <f aca="false">COUNTIF(TT!$D$47:$D$60,TALLY!A66)</f>
        <v>0</v>
      </c>
      <c r="F66" s="208" t="n">
        <f aca="false">COUNTIF(TT!$D$66:$D$79,TALLY!A66)</f>
        <v>0</v>
      </c>
      <c r="G66" s="208" t="n">
        <f aca="false">COUNTIF(TT!$D$84:$D$93,TALLY!A66)</f>
        <v>0</v>
      </c>
      <c r="H66" s="209" t="n">
        <f aca="false">COUNTIF(TT!$D$98:$D$106,TALLY!A66)</f>
        <v>0</v>
      </c>
      <c r="I66" s="209" t="n">
        <f aca="false">COUNTIF(TT!$D$111:$D$121,TALLY!A66)</f>
        <v>0</v>
      </c>
      <c r="J66" s="209" t="n">
        <f aca="false">COUNTIF(TT!$D$126:$D$134,TALLY!A66)</f>
        <v>0</v>
      </c>
      <c r="K66" s="208" t="n">
        <f aca="false">COUNTIF(TT!$D$139:$D$151,TALLY!A66)</f>
        <v>1</v>
      </c>
      <c r="L66" s="208" t="n">
        <f aca="false">COUNTIF(TT!$D$156:$D$164,TALLY!A66)</f>
        <v>0</v>
      </c>
      <c r="M66" s="208" t="n">
        <f aca="false">COUNTIF(TT!$D$169:$D$180,TALLY!A66)</f>
        <v>0</v>
      </c>
      <c r="N66" s="209" t="n">
        <f aca="false">COUNTIF(TT!$D$185:$D$197,TALLY!A66)</f>
        <v>0</v>
      </c>
      <c r="O66" s="209" t="n">
        <f aca="false">COUNTIF(TT!$D$202:$D$208,TALLY!A66)</f>
        <v>1</v>
      </c>
      <c r="P66" s="209" t="n">
        <f aca="false">COUNTIF(TT!$D$213:$D$220,TALLY!A66)</f>
        <v>0</v>
      </c>
      <c r="Q66" s="207" t="n">
        <f aca="false">COUNTIF(TT!$D$225:$D$239,TALLY!A66)</f>
        <v>0</v>
      </c>
      <c r="R66" s="207" t="n">
        <f aca="false">COUNTIF(TT!$D$244:$D$254,TALLY!A66)</f>
        <v>0</v>
      </c>
      <c r="S66" s="207" t="n">
        <f aca="false">COUNTIF(TT!$D$259:$D$268,TALLY!A66)</f>
        <v>0</v>
      </c>
      <c r="T66" s="209" t="n">
        <f aca="false">COUNTIF(TT!$D$271:$D$282,TALLY!A66)</f>
        <v>0</v>
      </c>
      <c r="U66" s="209" t="n">
        <f aca="false">COUNTIF(TT!$D$287:$D$298,TALLY!A66)</f>
        <v>0</v>
      </c>
      <c r="V66" s="209" t="n">
        <f aca="false">COUNTIF(TT!$D$303:$D$311,TALLY!A66)</f>
        <v>0</v>
      </c>
      <c r="W66" s="208" t="n">
        <f aca="false">COUNTIF(TT!$D$316:$D$337,TALLY!A66)</f>
        <v>0</v>
      </c>
      <c r="X66" s="208" t="n">
        <f aca="false">COUNTIF(TT!$D$342:$D$350,TALLY!A66)</f>
        <v>0</v>
      </c>
      <c r="Y66" s="208" t="n">
        <f aca="false">COUNTIF(TT!$D$357:$D$365,TALLY!A66)</f>
        <v>1</v>
      </c>
      <c r="Z66" s="209" t="n">
        <f aca="false">COUNTIF(TT!$D$370:$D$377,TALLY!A66)</f>
        <v>0</v>
      </c>
      <c r="AA66" s="209" t="n">
        <f aca="false">COUNTIF(TT!$D$382:$D$393,TALLY!A66)</f>
        <v>0</v>
      </c>
      <c r="AB66" s="209" t="n">
        <f aca="false">COUNTIF(TT!$D$398:$D$408,TALLY!A66)</f>
        <v>0</v>
      </c>
      <c r="AC66" s="208" t="n">
        <f aca="false">COUNTIF(TT!$D$413:$D$425,TALLY!A66)</f>
        <v>0</v>
      </c>
      <c r="AD66" s="208" t="n">
        <f aca="false">COUNTIF(TT!$D$430:$D$447,TALLY!A66)</f>
        <v>0</v>
      </c>
      <c r="AE66" s="208" t="n">
        <f aca="false">COUNTIF(TT!$D$454:$D$466,TALLY!A66)</f>
        <v>0</v>
      </c>
      <c r="AF66" s="207" t="n">
        <f aca="false">COUNTIF(TT!$D$471:$D$480,TALLY!A66)</f>
        <v>0</v>
      </c>
      <c r="AG66" s="207" t="n">
        <f aca="false">COUNTIF(TT!$D$487:$D$496,TALLY!A66)</f>
        <v>0</v>
      </c>
      <c r="AH66" s="207" t="n">
        <f aca="false">COUNTIF(TT!$D$501:$D$517,TALLY!A66)</f>
        <v>0</v>
      </c>
      <c r="AI66" s="208" t="n">
        <f aca="false">COUNTIF(TT!$D$522:$D$533,TALLY!A66)</f>
        <v>0</v>
      </c>
      <c r="AJ66" s="208" t="n">
        <f aca="false">COUNTIF(TT!$D$538:$D$550,TALLY!A66)</f>
        <v>0</v>
      </c>
      <c r="AK66" s="208" t="n">
        <f aca="false">COUNTIF(TT!$D$555:$D$569,TALLY!A66)</f>
        <v>0</v>
      </c>
      <c r="AL66" s="209" t="n">
        <f aca="false">COUNTIF(TT!$D$574:$D$582,TALLY!A66)</f>
        <v>0</v>
      </c>
      <c r="AM66" s="209" t="n">
        <f aca="false">COUNTIF(TT!$D$587:$D$593,TALLY!A66)</f>
        <v>0</v>
      </c>
      <c r="AN66" s="209" t="n">
        <f aca="false">COUNTIF(TT!$D$598:$D$606,TALLY!A66)</f>
        <v>1</v>
      </c>
      <c r="AO66" s="208" t="n">
        <f aca="false">COUNTIF(TT!$D$611:$D$620,TALLY!A66)</f>
        <v>0</v>
      </c>
      <c r="AP66" s="208" t="n">
        <f aca="false">COUNTIF(TT!$D$627:$D$639,TALLY!A66)</f>
        <v>0</v>
      </c>
      <c r="AQ66" s="208" t="n">
        <f aca="false">COUNTIF(TT!$D$645:$D$657,TALLY!A66)</f>
        <v>0</v>
      </c>
      <c r="AR66" s="209" t="n">
        <f aca="false">COUNTIF(TT!$D$663:$D$671,TALLY!A66)</f>
        <v>0</v>
      </c>
      <c r="AS66" s="209" t="n">
        <f aca="false">COUNTIF(TT!$D$677:$D$685,TALLY!A66)</f>
        <v>0</v>
      </c>
      <c r="AT66" s="209" t="n">
        <f aca="false">COUNTIF(TT!$D$689:$D$698,TALLY!A66)</f>
        <v>0</v>
      </c>
      <c r="AU66" s="211" t="s">
        <v>194</v>
      </c>
      <c r="AV66" s="208" t="n">
        <f aca="false">SUM($B66:$D66)</f>
        <v>0</v>
      </c>
      <c r="AW66" s="208" t="n">
        <f aca="false">SUM($E66:$G66)</f>
        <v>0</v>
      </c>
      <c r="AX66" s="208" t="n">
        <f aca="false">SUM($H66:$J66)</f>
        <v>0</v>
      </c>
      <c r="AY66" s="208" t="n">
        <f aca="false">SUM($K66:$M66)</f>
        <v>1</v>
      </c>
      <c r="AZ66" s="208" t="n">
        <f aca="false">SUM($N66:$P66)</f>
        <v>1</v>
      </c>
      <c r="BA66" s="208" t="n">
        <f aca="false">SUM($Q66:$S66)</f>
        <v>0</v>
      </c>
      <c r="BB66" s="208" t="n">
        <f aca="false">SUM($T66:$V66)</f>
        <v>0</v>
      </c>
      <c r="BC66" s="208" t="n">
        <f aca="false">SUM($W66:$Y66)</f>
        <v>1</v>
      </c>
      <c r="BD66" s="208" t="n">
        <f aca="false">SUM($Z66:$AB66)</f>
        <v>0</v>
      </c>
      <c r="BE66" s="208" t="n">
        <f aca="false">SUM($AC66:$AE66)</f>
        <v>0</v>
      </c>
      <c r="BF66" s="208" t="n">
        <f aca="false">SUM($AF66:$AH66)</f>
        <v>0</v>
      </c>
      <c r="BG66" s="208" t="n">
        <f aca="false">SUM($AI66:$AK66)</f>
        <v>0</v>
      </c>
      <c r="BH66" s="208" t="n">
        <f aca="false">SUM($AL66:$AN66)</f>
        <v>1</v>
      </c>
      <c r="BI66" s="208" t="n">
        <f aca="false">SUM($AO66:$AQ66)</f>
        <v>0</v>
      </c>
      <c r="BJ66" s="208" t="n">
        <f aca="false">SUM($AR66:$AT66)</f>
        <v>0</v>
      </c>
      <c r="BK66" s="196" t="n">
        <f aca="false">SUM(AV66:BJ66)</f>
        <v>4</v>
      </c>
    </row>
    <row r="67" customFormat="false" ht="16.4" hidden="false" customHeight="false" outlineLevel="0" collapsed="false">
      <c r="A67" s="211" t="s">
        <v>124</v>
      </c>
      <c r="B67" s="207" t="n">
        <f aca="false">COUNTIF(TT!$D$4:$D$9,TALLY!A67)</f>
        <v>0</v>
      </c>
      <c r="C67" s="207" t="n">
        <f aca="false">COUNTIF(TT!$D$15:$D$28,TALLY!A67)</f>
        <v>0</v>
      </c>
      <c r="D67" s="207" t="n">
        <f aca="false">COUNTIF(TT!$D$34:$D$41,TALLY!A67)</f>
        <v>0</v>
      </c>
      <c r="E67" s="208" t="n">
        <f aca="false">COUNTIF(TT!$D$47:$D$60,TALLY!A67)</f>
        <v>0</v>
      </c>
      <c r="F67" s="208" t="n">
        <f aca="false">COUNTIF(TT!$D$66:$D$79,TALLY!A67)</f>
        <v>1</v>
      </c>
      <c r="G67" s="208" t="n">
        <f aca="false">COUNTIF(TT!$D$84:$D$93,TALLY!A67)</f>
        <v>0</v>
      </c>
      <c r="H67" s="209" t="n">
        <f aca="false">COUNTIF(TT!$D$98:$D$106,TALLY!A67)</f>
        <v>0</v>
      </c>
      <c r="I67" s="209" t="n">
        <f aca="false">COUNTIF(TT!$D$111:$D$121,TALLY!A67)</f>
        <v>0</v>
      </c>
      <c r="J67" s="209" t="n">
        <f aca="false">COUNTIF(TT!$D$126:$D$134,TALLY!A67)</f>
        <v>0</v>
      </c>
      <c r="K67" s="208" t="n">
        <f aca="false">COUNTIF(TT!$D$139:$D$151,TALLY!A67)</f>
        <v>1</v>
      </c>
      <c r="L67" s="208" t="n">
        <f aca="false">COUNTIF(TT!$D$156:$D$164,TALLY!A67)</f>
        <v>0</v>
      </c>
      <c r="M67" s="208" t="n">
        <f aca="false">COUNTIF(TT!$D$169:$D$180,TALLY!A67)</f>
        <v>0</v>
      </c>
      <c r="N67" s="209" t="n">
        <f aca="false">COUNTIF(TT!$D$185:$D$197,TALLY!A67)</f>
        <v>0</v>
      </c>
      <c r="O67" s="209" t="n">
        <f aca="false">COUNTIF(TT!$D$202:$D$208,TALLY!A67)</f>
        <v>0</v>
      </c>
      <c r="P67" s="209" t="n">
        <f aca="false">COUNTIF(TT!$D$213:$D$220,TALLY!A67)</f>
        <v>0</v>
      </c>
      <c r="Q67" s="207" t="n">
        <f aca="false">COUNTIF(TT!$D$225:$D$239,TALLY!A67)</f>
        <v>0</v>
      </c>
      <c r="R67" s="207" t="n">
        <f aca="false">COUNTIF(TT!$D$244:$D$254,TALLY!A67)</f>
        <v>0</v>
      </c>
      <c r="S67" s="207" t="n">
        <f aca="false">COUNTIF(TT!$D$259:$D$268,TALLY!A67)</f>
        <v>0</v>
      </c>
      <c r="T67" s="209" t="n">
        <f aca="false">COUNTIF(TT!$D$271:$D$282,TALLY!A67)</f>
        <v>0</v>
      </c>
      <c r="U67" s="209" t="n">
        <f aca="false">COUNTIF(TT!$D$287:$D$298,TALLY!A67)</f>
        <v>0</v>
      </c>
      <c r="V67" s="209" t="n">
        <f aca="false">COUNTIF(TT!$D$303:$D$311,TALLY!A67)</f>
        <v>1</v>
      </c>
      <c r="W67" s="208" t="n">
        <f aca="false">COUNTIF(TT!$D$316:$D$337,TALLY!A67)</f>
        <v>0</v>
      </c>
      <c r="X67" s="208" t="n">
        <f aca="false">COUNTIF(TT!$D$342:$D$350,TALLY!A67)</f>
        <v>0</v>
      </c>
      <c r="Y67" s="208" t="n">
        <f aca="false">COUNTIF(TT!$D$357:$D$365,TALLY!A67)</f>
        <v>0</v>
      </c>
      <c r="Z67" s="209" t="n">
        <f aca="false">COUNTIF(TT!$D$370:$D$377,TALLY!A67)</f>
        <v>0</v>
      </c>
      <c r="AA67" s="209" t="n">
        <f aca="false">COUNTIF(TT!$D$382:$D$393,TALLY!A67)</f>
        <v>0</v>
      </c>
      <c r="AB67" s="209" t="n">
        <f aca="false">COUNTIF(TT!$D$398:$D$408,TALLY!A67)</f>
        <v>0</v>
      </c>
      <c r="AC67" s="208" t="n">
        <f aca="false">COUNTIF(TT!$D$413:$D$425,TALLY!A67)</f>
        <v>0</v>
      </c>
      <c r="AD67" s="208" t="n">
        <f aca="false">COUNTIF(TT!$D$430:$D$447,TALLY!A67)</f>
        <v>1</v>
      </c>
      <c r="AE67" s="208" t="n">
        <f aca="false">COUNTIF(TT!$D$454:$D$466,TALLY!A67)</f>
        <v>0</v>
      </c>
      <c r="AF67" s="207" t="n">
        <f aca="false">COUNTIF(TT!$D$471:$D$480,TALLY!A67)</f>
        <v>0</v>
      </c>
      <c r="AG67" s="207" t="n">
        <f aca="false">COUNTIF(TT!$D$487:$D$496,TALLY!A67)</f>
        <v>0</v>
      </c>
      <c r="AH67" s="207" t="n">
        <f aca="false">COUNTIF(TT!$D$501:$D$517,TALLY!A67)</f>
        <v>0</v>
      </c>
      <c r="AI67" s="208" t="n">
        <f aca="false">COUNTIF(TT!$D$522:$D$533,TALLY!A67)</f>
        <v>0</v>
      </c>
      <c r="AJ67" s="208" t="n">
        <f aca="false">COUNTIF(TT!$D$538:$D$550,TALLY!A67)</f>
        <v>1</v>
      </c>
      <c r="AK67" s="208" t="n">
        <f aca="false">COUNTIF(TT!$D$555:$D$569,TALLY!A67)</f>
        <v>0</v>
      </c>
      <c r="AL67" s="209" t="n">
        <f aca="false">COUNTIF(TT!$D$574:$D$582,TALLY!A67)</f>
        <v>0</v>
      </c>
      <c r="AM67" s="209" t="n">
        <f aca="false">COUNTIF(TT!$D$587:$D$593,TALLY!A67)</f>
        <v>0</v>
      </c>
      <c r="AN67" s="209" t="n">
        <f aca="false">COUNTIF(TT!$D$598:$D$606,TALLY!A67)</f>
        <v>0</v>
      </c>
      <c r="AO67" s="208" t="n">
        <f aca="false">COUNTIF(TT!$D$611:$D$620,TALLY!A67)</f>
        <v>0</v>
      </c>
      <c r="AP67" s="208" t="n">
        <f aca="false">COUNTIF(TT!$D$627:$D$639,TALLY!A67)</f>
        <v>0</v>
      </c>
      <c r="AQ67" s="208" t="n">
        <f aca="false">COUNTIF(TT!$D$645:$D$657,TALLY!A67)</f>
        <v>1</v>
      </c>
      <c r="AR67" s="209" t="n">
        <f aca="false">COUNTIF(TT!$D$663:$D$671,TALLY!A67)</f>
        <v>0</v>
      </c>
      <c r="AS67" s="209" t="n">
        <f aca="false">COUNTIF(TT!$D$677:$D$685,TALLY!A67)</f>
        <v>0</v>
      </c>
      <c r="AT67" s="209" t="n">
        <f aca="false">COUNTIF(TT!$D$689:$D$698,TALLY!A67)</f>
        <v>0</v>
      </c>
      <c r="AU67" s="211" t="s">
        <v>124</v>
      </c>
      <c r="AV67" s="208" t="n">
        <f aca="false">SUM($B67:$D67)</f>
        <v>0</v>
      </c>
      <c r="AW67" s="208" t="n">
        <f aca="false">SUM($E67:$G67)</f>
        <v>1</v>
      </c>
      <c r="AX67" s="208" t="n">
        <f aca="false">SUM($H67:$J67)</f>
        <v>0</v>
      </c>
      <c r="AY67" s="208" t="n">
        <f aca="false">SUM($K67:$M67)</f>
        <v>1</v>
      </c>
      <c r="AZ67" s="208" t="n">
        <f aca="false">SUM($N67:$P67)</f>
        <v>0</v>
      </c>
      <c r="BA67" s="208" t="n">
        <f aca="false">SUM($Q67:$S67)</f>
        <v>0</v>
      </c>
      <c r="BB67" s="208" t="n">
        <f aca="false">SUM($T67:$V67)</f>
        <v>1</v>
      </c>
      <c r="BC67" s="208" t="n">
        <f aca="false">SUM($W67:$Y67)</f>
        <v>0</v>
      </c>
      <c r="BD67" s="208" t="n">
        <f aca="false">SUM($Z67:$AB67)</f>
        <v>0</v>
      </c>
      <c r="BE67" s="208" t="n">
        <f aca="false">SUM($AC67:$AE67)</f>
        <v>1</v>
      </c>
      <c r="BF67" s="208" t="n">
        <f aca="false">SUM($AF67:$AH67)</f>
        <v>0</v>
      </c>
      <c r="BG67" s="208" t="n">
        <f aca="false">SUM($AI67:$AK67)</f>
        <v>1</v>
      </c>
      <c r="BH67" s="208" t="n">
        <f aca="false">SUM($AL67:$AN67)</f>
        <v>0</v>
      </c>
      <c r="BI67" s="208" t="n">
        <f aca="false">SUM($AO67:$AQ67)</f>
        <v>1</v>
      </c>
      <c r="BJ67" s="208" t="n">
        <f aca="false">SUM($AR67:$AT67)</f>
        <v>0</v>
      </c>
      <c r="BK67" s="196" t="n">
        <f aca="false">SUM(AV67:BJ67)</f>
        <v>6</v>
      </c>
    </row>
    <row r="68" customFormat="false" ht="16.4" hidden="false" customHeight="false" outlineLevel="0" collapsed="false">
      <c r="A68" s="211" t="s">
        <v>69</v>
      </c>
      <c r="B68" s="207" t="n">
        <f aca="false">COUNTIF(TT!$D$4:$D$9,TALLY!A68)</f>
        <v>0</v>
      </c>
      <c r="C68" s="207" t="n">
        <f aca="false">COUNTIF(TT!$D$15:$D$28,TALLY!A68)</f>
        <v>0</v>
      </c>
      <c r="D68" s="207" t="n">
        <f aca="false">COUNTIF(TT!$D$34:$D$41,TALLY!A68)</f>
        <v>1</v>
      </c>
      <c r="E68" s="208" t="n">
        <f aca="false">COUNTIF(TT!$D$47:$D$60,TALLY!A68)</f>
        <v>0</v>
      </c>
      <c r="F68" s="208" t="n">
        <f aca="false">COUNTIF(TT!$D$66:$D$79,TALLY!A68)</f>
        <v>0</v>
      </c>
      <c r="G68" s="208" t="n">
        <f aca="false">COUNTIF(TT!$D$84:$D$93,TALLY!A68)</f>
        <v>0</v>
      </c>
      <c r="H68" s="209" t="n">
        <f aca="false">COUNTIF(TT!$D$98:$D$106,TALLY!A68)</f>
        <v>0</v>
      </c>
      <c r="I68" s="209" t="n">
        <f aca="false">COUNTIF(TT!$D$111:$D$121,TALLY!A68)</f>
        <v>1</v>
      </c>
      <c r="J68" s="209" t="n">
        <f aca="false">COUNTIF(TT!$D$126:$D$134,TALLY!A68)</f>
        <v>0</v>
      </c>
      <c r="K68" s="208" t="n">
        <f aca="false">COUNTIF(TT!$D$139:$D$151,TALLY!A68)</f>
        <v>0</v>
      </c>
      <c r="L68" s="208" t="n">
        <f aca="false">COUNTIF(TT!$D$156:$D$164,TALLY!A68)</f>
        <v>0</v>
      </c>
      <c r="M68" s="208" t="n">
        <f aca="false">COUNTIF(TT!$D$169:$D$180,TALLY!A68)</f>
        <v>0</v>
      </c>
      <c r="N68" s="209" t="n">
        <f aca="false">COUNTIF(TT!$D$185:$D$197,TALLY!A68)</f>
        <v>1</v>
      </c>
      <c r="O68" s="209" t="n">
        <f aca="false">COUNTIF(TT!$D$202:$D$208,TALLY!A68)</f>
        <v>0</v>
      </c>
      <c r="P68" s="209" t="n">
        <f aca="false">COUNTIF(TT!$D$213:$D$220,TALLY!A68)</f>
        <v>0</v>
      </c>
      <c r="Q68" s="207" t="n">
        <f aca="false">COUNTIF(TT!$D$225:$D$239,TALLY!A68)</f>
        <v>0</v>
      </c>
      <c r="R68" s="207" t="n">
        <f aca="false">COUNTIF(TT!$D$244:$D$254,TALLY!A68)</f>
        <v>0</v>
      </c>
      <c r="S68" s="207" t="n">
        <f aca="false">COUNTIF(TT!$D$259:$D$268,TALLY!A68)</f>
        <v>0</v>
      </c>
      <c r="T68" s="209" t="n">
        <f aca="false">COUNTIF(TT!$D$271:$D$282,TALLY!A68)</f>
        <v>0</v>
      </c>
      <c r="U68" s="209" t="n">
        <f aca="false">COUNTIF(TT!$D$287:$D$298,TALLY!A68)</f>
        <v>0</v>
      </c>
      <c r="V68" s="209" t="n">
        <f aca="false">COUNTIF(TT!$D$303:$D$311,TALLY!A68)</f>
        <v>1</v>
      </c>
      <c r="W68" s="208" t="n">
        <f aca="false">COUNTIF(TT!$D$316:$D$337,TALLY!A68)</f>
        <v>0</v>
      </c>
      <c r="X68" s="208" t="n">
        <f aca="false">COUNTIF(TT!$D$342:$D$350,TALLY!A68)</f>
        <v>0</v>
      </c>
      <c r="Y68" s="208" t="n">
        <f aca="false">COUNTIF(TT!$D$357:$D$365,TALLY!A68)</f>
        <v>0</v>
      </c>
      <c r="Z68" s="209" t="n">
        <f aca="false">COUNTIF(TT!$D$370:$D$377,TALLY!A68)</f>
        <v>0</v>
      </c>
      <c r="AA68" s="209" t="n">
        <f aca="false">COUNTIF(TT!$D$382:$D$393,TALLY!A68)</f>
        <v>0</v>
      </c>
      <c r="AB68" s="209" t="n">
        <f aca="false">COUNTIF(TT!$D$398:$D$408,TALLY!A68)</f>
        <v>0</v>
      </c>
      <c r="AC68" s="208" t="n">
        <f aca="false">COUNTIF(TT!$D$413:$D$425,TALLY!A68)</f>
        <v>0</v>
      </c>
      <c r="AD68" s="208" t="n">
        <f aca="false">COUNTIF(TT!$D$430:$D$447,TALLY!A68)</f>
        <v>0</v>
      </c>
      <c r="AE68" s="208" t="n">
        <f aca="false">COUNTIF(TT!$D$454:$D$466,TALLY!A68)</f>
        <v>0</v>
      </c>
      <c r="AF68" s="207" t="n">
        <f aca="false">COUNTIF(TT!$D$471:$D$480,TALLY!A68)</f>
        <v>0</v>
      </c>
      <c r="AG68" s="207" t="n">
        <f aca="false">COUNTIF(TT!$D$487:$D$496,TALLY!A68)</f>
        <v>0</v>
      </c>
      <c r="AH68" s="207" t="n">
        <f aca="false">COUNTIF(TT!$D$501:$D$517,TALLY!A68)</f>
        <v>0</v>
      </c>
      <c r="AI68" s="208" t="n">
        <f aca="false">COUNTIF(TT!$D$522:$D$533,TALLY!A68)</f>
        <v>0</v>
      </c>
      <c r="AJ68" s="208" t="n">
        <f aca="false">COUNTIF(TT!$D$538:$D$550,TALLY!A68)</f>
        <v>0</v>
      </c>
      <c r="AK68" s="208" t="n">
        <f aca="false">COUNTIF(TT!$D$555:$D$569,TALLY!A68)</f>
        <v>1</v>
      </c>
      <c r="AL68" s="209" t="n">
        <f aca="false">COUNTIF(TT!$D$574:$D$582,TALLY!A68)</f>
        <v>0</v>
      </c>
      <c r="AM68" s="209" t="n">
        <f aca="false">COUNTIF(TT!$D$587:$D$593,TALLY!A68)</f>
        <v>0</v>
      </c>
      <c r="AN68" s="209" t="n">
        <f aca="false">COUNTIF(TT!$D$598:$D$606,TALLY!A68)</f>
        <v>0</v>
      </c>
      <c r="AO68" s="208" t="n">
        <f aca="false">COUNTIF(TT!$D$611:$D$620,TALLY!A68)</f>
        <v>0</v>
      </c>
      <c r="AP68" s="208" t="n">
        <f aca="false">COUNTIF(TT!$D$627:$D$639,TALLY!A68)</f>
        <v>0</v>
      </c>
      <c r="AQ68" s="208" t="n">
        <f aca="false">COUNTIF(TT!$D$645:$D$657,TALLY!A68)</f>
        <v>1</v>
      </c>
      <c r="AR68" s="209" t="n">
        <f aca="false">COUNTIF(TT!$D$663:$D$671,TALLY!A68)</f>
        <v>0</v>
      </c>
      <c r="AS68" s="209" t="n">
        <f aca="false">COUNTIF(TT!$D$677:$D$685,TALLY!A68)</f>
        <v>0</v>
      </c>
      <c r="AT68" s="209" t="n">
        <f aca="false">COUNTIF(TT!$D$689:$D$698,TALLY!A68)</f>
        <v>0</v>
      </c>
      <c r="AU68" s="211" t="s">
        <v>69</v>
      </c>
      <c r="AV68" s="208" t="n">
        <f aca="false">SUM($B68:$D68)</f>
        <v>1</v>
      </c>
      <c r="AW68" s="208" t="n">
        <f aca="false">SUM($E68:$G68)</f>
        <v>0</v>
      </c>
      <c r="AX68" s="208" t="n">
        <f aca="false">SUM($H68:$J68)</f>
        <v>1</v>
      </c>
      <c r="AY68" s="208" t="n">
        <f aca="false">SUM($K68:$M68)</f>
        <v>0</v>
      </c>
      <c r="AZ68" s="208" t="n">
        <f aca="false">SUM($N68:$P68)</f>
        <v>1</v>
      </c>
      <c r="BA68" s="208" t="n">
        <f aca="false">SUM($Q68:$S68)</f>
        <v>0</v>
      </c>
      <c r="BB68" s="208" t="n">
        <f aca="false">SUM($T68:$V68)</f>
        <v>1</v>
      </c>
      <c r="BC68" s="208" t="n">
        <f aca="false">SUM($W68:$Y68)</f>
        <v>0</v>
      </c>
      <c r="BD68" s="208" t="n">
        <f aca="false">SUM($Z68:$AB68)</f>
        <v>0</v>
      </c>
      <c r="BE68" s="208" t="n">
        <f aca="false">SUM($AC68:$AE68)</f>
        <v>0</v>
      </c>
      <c r="BF68" s="208" t="n">
        <f aca="false">SUM($AF68:$AH68)</f>
        <v>0</v>
      </c>
      <c r="BG68" s="208" t="n">
        <f aca="false">SUM($AI68:$AK68)</f>
        <v>1</v>
      </c>
      <c r="BH68" s="208" t="n">
        <f aca="false">SUM($AL68:$AN68)</f>
        <v>0</v>
      </c>
      <c r="BI68" s="208" t="n">
        <f aca="false">SUM($AO68:$AQ68)</f>
        <v>1</v>
      </c>
      <c r="BJ68" s="208" t="n">
        <f aca="false">SUM($AR68:$AT68)</f>
        <v>0</v>
      </c>
      <c r="BK68" s="196" t="n">
        <f aca="false">SUM(AV68:BJ68)</f>
        <v>6</v>
      </c>
    </row>
    <row r="69" customFormat="false" ht="16.4" hidden="false" customHeight="false" outlineLevel="0" collapsed="false">
      <c r="A69" s="212" t="s">
        <v>67</v>
      </c>
      <c r="B69" s="207" t="n">
        <f aca="false">COUNTIF(TT!$D$4:$D$9,TALLY!A69)</f>
        <v>0</v>
      </c>
      <c r="C69" s="207" t="n">
        <f aca="false">COUNTIF(TT!$D$15:$D$28,TALLY!A69)</f>
        <v>0</v>
      </c>
      <c r="D69" s="207" t="n">
        <f aca="false">COUNTIF(TT!$D$34:$D$41,TALLY!A69)</f>
        <v>1</v>
      </c>
      <c r="E69" s="208" t="n">
        <f aca="false">COUNTIF(TT!$D$47:$D$60,TALLY!A69)</f>
        <v>0</v>
      </c>
      <c r="F69" s="208" t="n">
        <f aca="false">COUNTIF(TT!$D$66:$D$79,TALLY!A69)</f>
        <v>1</v>
      </c>
      <c r="G69" s="208" t="n">
        <f aca="false">COUNTIF(TT!$D$84:$D$93,TALLY!A69)</f>
        <v>0</v>
      </c>
      <c r="H69" s="209" t="n">
        <f aca="false">COUNTIF(TT!$D$98:$D$106,TALLY!A69)</f>
        <v>0</v>
      </c>
      <c r="I69" s="209" t="n">
        <f aca="false">COUNTIF(TT!$D$111:$D$121,TALLY!A69)</f>
        <v>0</v>
      </c>
      <c r="J69" s="209" t="n">
        <f aca="false">COUNTIF(TT!$D$126:$D$134,TALLY!A69)</f>
        <v>0</v>
      </c>
      <c r="K69" s="208" t="n">
        <f aca="false">COUNTIF(TT!$D$139:$D$151,TALLY!A69)</f>
        <v>1</v>
      </c>
      <c r="L69" s="208" t="n">
        <f aca="false">COUNTIF(TT!$D$156:$D$164,TALLY!A69)</f>
        <v>0</v>
      </c>
      <c r="M69" s="208" t="n">
        <f aca="false">COUNTIF(TT!$D$169:$D$180,TALLY!A69)</f>
        <v>0</v>
      </c>
      <c r="N69" s="209" t="n">
        <f aca="false">COUNTIF(TT!$D$185:$D$197,TALLY!A69)</f>
        <v>0</v>
      </c>
      <c r="O69" s="209" t="n">
        <f aca="false">COUNTIF(TT!$D$202:$D$208,TALLY!A69)</f>
        <v>0</v>
      </c>
      <c r="P69" s="209" t="n">
        <f aca="false">COUNTIF(TT!$D$213:$D$220,TALLY!A69)</f>
        <v>0</v>
      </c>
      <c r="Q69" s="207" t="n">
        <f aca="false">COUNTIF(TT!$D$225:$D$239,TALLY!A69)</f>
        <v>0</v>
      </c>
      <c r="R69" s="207" t="n">
        <f aca="false">COUNTIF(TT!$D$244:$D$254,TALLY!A69)</f>
        <v>0</v>
      </c>
      <c r="S69" s="207" t="n">
        <f aca="false">COUNTIF(TT!$D$259:$D$268,TALLY!A69)</f>
        <v>0</v>
      </c>
      <c r="T69" s="209" t="n">
        <f aca="false">COUNTIF(TT!$D$271:$D$282,TALLY!A69)</f>
        <v>0</v>
      </c>
      <c r="U69" s="209" t="n">
        <f aca="false">COUNTIF(TT!$D$287:$D$298,TALLY!A69)</f>
        <v>0</v>
      </c>
      <c r="V69" s="209" t="n">
        <f aca="false">COUNTIF(TT!$D$303:$D$311,TALLY!A69)</f>
        <v>1</v>
      </c>
      <c r="W69" s="208" t="n">
        <f aca="false">COUNTIF(TT!$D$316:$D$337,TALLY!A69)</f>
        <v>0</v>
      </c>
      <c r="X69" s="208" t="n">
        <f aca="false">COUNTIF(TT!$D$342:$D$350,TALLY!A69)</f>
        <v>0</v>
      </c>
      <c r="Y69" s="208" t="n">
        <f aca="false">COUNTIF(TT!$D$357:$D$365,TALLY!A69)</f>
        <v>1</v>
      </c>
      <c r="Z69" s="209" t="n">
        <f aca="false">COUNTIF(TT!$D$370:$D$377,TALLY!A69)</f>
        <v>0</v>
      </c>
      <c r="AA69" s="209" t="n">
        <f aca="false">COUNTIF(TT!$D$382:$D$393,TALLY!A69)</f>
        <v>0</v>
      </c>
      <c r="AB69" s="209" t="n">
        <f aca="false">COUNTIF(TT!$D$398:$D$408,TALLY!A69)</f>
        <v>0</v>
      </c>
      <c r="AC69" s="208" t="n">
        <f aca="false">COUNTIF(TT!$D$413:$D$425,TALLY!A69)</f>
        <v>0</v>
      </c>
      <c r="AD69" s="208" t="n">
        <f aca="false">COUNTIF(TT!$D$430:$D$447,TALLY!A69)</f>
        <v>1</v>
      </c>
      <c r="AE69" s="208" t="n">
        <f aca="false">COUNTIF(TT!$D$454:$D$466,TALLY!A69)</f>
        <v>0</v>
      </c>
      <c r="AF69" s="207" t="n">
        <f aca="false">COUNTIF(TT!$D$471:$D$480,TALLY!A69)</f>
        <v>0</v>
      </c>
      <c r="AG69" s="207" t="n">
        <f aca="false">COUNTIF(TT!$D$487:$D$496,TALLY!A69)</f>
        <v>0</v>
      </c>
      <c r="AH69" s="207" t="n">
        <f aca="false">COUNTIF(TT!$D$501:$D$517,TALLY!A69)</f>
        <v>1</v>
      </c>
      <c r="AI69" s="208" t="n">
        <f aca="false">COUNTIF(TT!$D$522:$D$533,TALLY!A69)</f>
        <v>0</v>
      </c>
      <c r="AJ69" s="208" t="n">
        <f aca="false">COUNTIF(TT!$D$538:$D$550,TALLY!A69)</f>
        <v>0</v>
      </c>
      <c r="AK69" s="208" t="n">
        <f aca="false">COUNTIF(TT!$D$555:$D$569,TALLY!A69)</f>
        <v>0</v>
      </c>
      <c r="AL69" s="209" t="n">
        <f aca="false">COUNTIF(TT!$D$574:$D$582,TALLY!A69)</f>
        <v>1</v>
      </c>
      <c r="AM69" s="209" t="n">
        <f aca="false">COUNTIF(TT!$D$587:$D$593,TALLY!A69)</f>
        <v>0</v>
      </c>
      <c r="AN69" s="209" t="n">
        <f aca="false">COUNTIF(TT!$D$598:$D$606,TALLY!A69)</f>
        <v>0</v>
      </c>
      <c r="AO69" s="208" t="n">
        <f aca="false">COUNTIF(TT!$D$611:$D$620,TALLY!A69)</f>
        <v>0</v>
      </c>
      <c r="AP69" s="208" t="n">
        <f aca="false">COUNTIF(TT!$D$627:$D$639,TALLY!A69)</f>
        <v>0</v>
      </c>
      <c r="AQ69" s="208" t="n">
        <f aca="false">COUNTIF(TT!$D$645:$D$657,TALLY!A69)</f>
        <v>0</v>
      </c>
      <c r="AR69" s="209" t="n">
        <f aca="false">COUNTIF(TT!$D$663:$D$671,TALLY!A69)</f>
        <v>0</v>
      </c>
      <c r="AS69" s="209" t="n">
        <f aca="false">COUNTIF(TT!$D$677:$D$685,TALLY!A69)</f>
        <v>0</v>
      </c>
      <c r="AT69" s="209" t="n">
        <f aca="false">COUNTIF(TT!$D$689:$D$698,TALLY!A69)</f>
        <v>0</v>
      </c>
      <c r="AU69" s="211" t="s">
        <v>67</v>
      </c>
      <c r="AV69" s="208" t="n">
        <f aca="false">SUM($B69:$D69)</f>
        <v>1</v>
      </c>
      <c r="AW69" s="208" t="n">
        <f aca="false">SUM($E69:$G69)</f>
        <v>1</v>
      </c>
      <c r="AX69" s="208" t="n">
        <f aca="false">SUM($H69:$J69)</f>
        <v>0</v>
      </c>
      <c r="AY69" s="208" t="n">
        <f aca="false">SUM($K69:$M69)</f>
        <v>1</v>
      </c>
      <c r="AZ69" s="208" t="n">
        <f aca="false">SUM($N69:$P69)</f>
        <v>0</v>
      </c>
      <c r="BA69" s="208" t="n">
        <f aca="false">SUM($Q69:$S69)</f>
        <v>0</v>
      </c>
      <c r="BB69" s="208" t="n">
        <f aca="false">SUM($T69:$V69)</f>
        <v>1</v>
      </c>
      <c r="BC69" s="208" t="n">
        <f aca="false">SUM($W69:$Y69)</f>
        <v>1</v>
      </c>
      <c r="BD69" s="208" t="n">
        <f aca="false">SUM($Z69:$AB69)</f>
        <v>0</v>
      </c>
      <c r="BE69" s="208" t="n">
        <f aca="false">SUM($AC69:$AE69)</f>
        <v>1</v>
      </c>
      <c r="BF69" s="208" t="n">
        <f aca="false">SUM($AF69:$AH69)</f>
        <v>1</v>
      </c>
      <c r="BG69" s="208" t="n">
        <f aca="false">SUM($AI69:$AK69)</f>
        <v>0</v>
      </c>
      <c r="BH69" s="208" t="n">
        <f aca="false">SUM($AL69:$AN69)</f>
        <v>1</v>
      </c>
      <c r="BI69" s="208" t="n">
        <f aca="false">SUM($AO69:$AQ69)</f>
        <v>0</v>
      </c>
      <c r="BJ69" s="208" t="n">
        <f aca="false">SUM($AR69:$AT69)</f>
        <v>0</v>
      </c>
      <c r="BK69" s="196" t="n">
        <f aca="false">SUM(AV69:BJ69)</f>
        <v>8</v>
      </c>
    </row>
    <row r="70" customFormat="false" ht="16.4" hidden="false" customHeight="false" outlineLevel="0" collapsed="false">
      <c r="A70" s="211" t="s">
        <v>136</v>
      </c>
      <c r="B70" s="207" t="n">
        <f aca="false">COUNTIF(TT!$D$4:$D$9,TALLY!A70)</f>
        <v>0</v>
      </c>
      <c r="C70" s="207" t="n">
        <f aca="false">COUNTIF(TT!$D$15:$D$28,TALLY!A70)</f>
        <v>0</v>
      </c>
      <c r="D70" s="207" t="n">
        <f aca="false">COUNTIF(TT!$D$34:$D$41,TALLY!A70)</f>
        <v>0</v>
      </c>
      <c r="E70" s="208" t="n">
        <f aca="false">COUNTIF(TT!$D$47:$D$60,TALLY!A70)</f>
        <v>0</v>
      </c>
      <c r="F70" s="208" t="n">
        <f aca="false">COUNTIF(TT!$D$66:$D$79,TALLY!A70)</f>
        <v>0</v>
      </c>
      <c r="G70" s="208" t="n">
        <f aca="false">COUNTIF(TT!$D$84:$D$93,TALLY!A70)</f>
        <v>1</v>
      </c>
      <c r="H70" s="209" t="n">
        <f aca="false">COUNTIF(TT!$D$98:$D$106,TALLY!A70)</f>
        <v>0</v>
      </c>
      <c r="I70" s="209" t="n">
        <f aca="false">COUNTIF(TT!$D$111:$D$121,TALLY!A70)</f>
        <v>0</v>
      </c>
      <c r="J70" s="209" t="n">
        <f aca="false">COUNTIF(TT!$D$126:$D$134,TALLY!A70)</f>
        <v>0</v>
      </c>
      <c r="K70" s="208" t="n">
        <f aca="false">COUNTIF(TT!$D$139:$D$151,TALLY!A70)</f>
        <v>0</v>
      </c>
      <c r="L70" s="208" t="n">
        <f aca="false">COUNTIF(TT!$D$156:$D$164,TALLY!A70)</f>
        <v>0</v>
      </c>
      <c r="M70" s="208" t="n">
        <f aca="false">COUNTIF(TT!$D$169:$D$180,TALLY!A70)</f>
        <v>0</v>
      </c>
      <c r="N70" s="209" t="n">
        <f aca="false">COUNTIF(TT!$D$185:$D$197,TALLY!A70)</f>
        <v>1</v>
      </c>
      <c r="O70" s="209" t="n">
        <f aca="false">COUNTIF(TT!$D$202:$D$208,TALLY!A70)</f>
        <v>0</v>
      </c>
      <c r="P70" s="209" t="n">
        <f aca="false">COUNTIF(TT!$D$213:$D$220,TALLY!A70)</f>
        <v>0</v>
      </c>
      <c r="Q70" s="207" t="n">
        <f aca="false">COUNTIF(TT!$D$225:$D$239,TALLY!A70)</f>
        <v>0</v>
      </c>
      <c r="R70" s="207" t="n">
        <f aca="false">COUNTIF(TT!$D$244:$D$254,TALLY!A70)</f>
        <v>0</v>
      </c>
      <c r="S70" s="207" t="n">
        <f aca="false">COUNTIF(TT!$D$259:$D$268,TALLY!A70)</f>
        <v>0</v>
      </c>
      <c r="T70" s="209" t="n">
        <f aca="false">COUNTIF(TT!$D$271:$D$282,TALLY!A70)</f>
        <v>0</v>
      </c>
      <c r="U70" s="209" t="n">
        <f aca="false">COUNTIF(TT!$D$287:$D$298,TALLY!A70)</f>
        <v>1</v>
      </c>
      <c r="V70" s="209" t="n">
        <f aca="false">COUNTIF(TT!$D$303:$D$311,TALLY!A70)</f>
        <v>0</v>
      </c>
      <c r="W70" s="208" t="n">
        <f aca="false">COUNTIF(TT!$D$316:$D$337,TALLY!A70)</f>
        <v>0</v>
      </c>
      <c r="X70" s="208" t="n">
        <f aca="false">COUNTIF(TT!$D$342:$D$350,TALLY!A70)</f>
        <v>0</v>
      </c>
      <c r="Y70" s="208" t="n">
        <f aca="false">COUNTIF(TT!$D$357:$D$365,TALLY!A70)</f>
        <v>0</v>
      </c>
      <c r="Z70" s="209" t="n">
        <f aca="false">COUNTIF(TT!$D$370:$D$377,TALLY!A70)</f>
        <v>0</v>
      </c>
      <c r="AA70" s="209" t="n">
        <f aca="false">COUNTIF(TT!$D$382:$D$393,TALLY!A70)</f>
        <v>0</v>
      </c>
      <c r="AB70" s="209" t="n">
        <f aca="false">COUNTIF(TT!$D$398:$D$408,TALLY!A70)</f>
        <v>0</v>
      </c>
      <c r="AC70" s="208" t="n">
        <f aca="false">COUNTIF(TT!$D$413:$D$425,TALLY!A70)</f>
        <v>0</v>
      </c>
      <c r="AD70" s="208" t="n">
        <f aca="false">COUNTIF(TT!$D$430:$D$447,TALLY!A70)</f>
        <v>1</v>
      </c>
      <c r="AE70" s="208" t="n">
        <f aca="false">COUNTIF(TT!$D$454:$D$466,TALLY!A70)</f>
        <v>0</v>
      </c>
      <c r="AF70" s="207" t="n">
        <f aca="false">COUNTIF(TT!$D$471:$D$480,TALLY!A70)</f>
        <v>0</v>
      </c>
      <c r="AG70" s="207" t="n">
        <f aca="false">COUNTIF(TT!$D$487:$D$496,TALLY!A70)</f>
        <v>0</v>
      </c>
      <c r="AH70" s="207" t="n">
        <f aca="false">COUNTIF(TT!$D$501:$D$517,TALLY!A70)</f>
        <v>0</v>
      </c>
      <c r="AI70" s="208" t="n">
        <f aca="false">COUNTIF(TT!$D$522:$D$533,TALLY!A70)</f>
        <v>0</v>
      </c>
      <c r="AJ70" s="208" t="n">
        <f aca="false">COUNTIF(TT!$D$538:$D$550,TALLY!A70)</f>
        <v>0</v>
      </c>
      <c r="AK70" s="208" t="n">
        <f aca="false">COUNTIF(TT!$D$555:$D$569,TALLY!A70)</f>
        <v>1</v>
      </c>
      <c r="AL70" s="209" t="n">
        <f aca="false">COUNTIF(TT!$D$574:$D$582,TALLY!A70)</f>
        <v>0</v>
      </c>
      <c r="AM70" s="209" t="n">
        <f aca="false">COUNTIF(TT!$D$587:$D$593,TALLY!A70)</f>
        <v>0</v>
      </c>
      <c r="AN70" s="209" t="n">
        <f aca="false">COUNTIF(TT!$D$598:$D$606,TALLY!A70)</f>
        <v>0</v>
      </c>
      <c r="AO70" s="208" t="n">
        <f aca="false">COUNTIF(TT!$D$611:$D$620,TALLY!A70)</f>
        <v>0</v>
      </c>
      <c r="AP70" s="208" t="n">
        <f aca="false">COUNTIF(TT!$D$627:$D$639,TALLY!A70)</f>
        <v>0</v>
      </c>
      <c r="AQ70" s="208" t="n">
        <f aca="false">COUNTIF(TT!$D$645:$D$657,TALLY!A70)</f>
        <v>0</v>
      </c>
      <c r="AR70" s="209" t="n">
        <f aca="false">COUNTIF(TT!$D$663:$D$671,TALLY!A70)</f>
        <v>0</v>
      </c>
      <c r="AS70" s="209" t="n">
        <f aca="false">COUNTIF(TT!$D$677:$D$685,TALLY!A70)</f>
        <v>0</v>
      </c>
      <c r="AT70" s="209" t="n">
        <f aca="false">COUNTIF(TT!$D$689:$D$698,TALLY!A70)</f>
        <v>0</v>
      </c>
      <c r="AU70" s="211" t="s">
        <v>136</v>
      </c>
      <c r="AV70" s="208" t="n">
        <f aca="false">SUM($B70:$D70)</f>
        <v>0</v>
      </c>
      <c r="AW70" s="208" t="n">
        <f aca="false">SUM($E70:$G70)</f>
        <v>1</v>
      </c>
      <c r="AX70" s="208" t="n">
        <f aca="false">SUM($H70:$J70)</f>
        <v>0</v>
      </c>
      <c r="AY70" s="208" t="n">
        <f aca="false">SUM($K70:$M70)</f>
        <v>0</v>
      </c>
      <c r="AZ70" s="208" t="n">
        <f aca="false">SUM($N70:$P70)</f>
        <v>1</v>
      </c>
      <c r="BA70" s="208" t="n">
        <f aca="false">SUM($Q70:$S70)</f>
        <v>0</v>
      </c>
      <c r="BB70" s="208" t="n">
        <f aca="false">SUM($T70:$V70)</f>
        <v>1</v>
      </c>
      <c r="BC70" s="208" t="n">
        <f aca="false">SUM($W70:$Y70)</f>
        <v>0</v>
      </c>
      <c r="BD70" s="208" t="n">
        <f aca="false">SUM($Z70:$AB70)</f>
        <v>0</v>
      </c>
      <c r="BE70" s="208" t="n">
        <f aca="false">SUM($AC70:$AE70)</f>
        <v>1</v>
      </c>
      <c r="BF70" s="208" t="n">
        <f aca="false">SUM($AF70:$AH70)</f>
        <v>0</v>
      </c>
      <c r="BG70" s="208" t="n">
        <f aca="false">SUM($AI70:$AK70)</f>
        <v>1</v>
      </c>
      <c r="BH70" s="208" t="n">
        <f aca="false">SUM($AL70:$AN70)</f>
        <v>0</v>
      </c>
      <c r="BI70" s="208" t="n">
        <f aca="false">SUM($AO70:$AQ70)</f>
        <v>0</v>
      </c>
      <c r="BJ70" s="208" t="n">
        <f aca="false">SUM($AR70:$AT70)</f>
        <v>0</v>
      </c>
      <c r="BK70" s="196" t="n">
        <f aca="false">SUM(AV70:BJ70)</f>
        <v>5</v>
      </c>
    </row>
    <row r="71" customFormat="false" ht="16.4" hidden="false" customHeight="false" outlineLevel="0" collapsed="false">
      <c r="A71" s="211" t="s">
        <v>135</v>
      </c>
      <c r="B71" s="207" t="n">
        <f aca="false">COUNTIF(TT!$D$4:$D$9,TALLY!A71)</f>
        <v>0</v>
      </c>
      <c r="C71" s="207" t="n">
        <f aca="false">COUNTIF(TT!$D$15:$D$28,TALLY!A71)</f>
        <v>0</v>
      </c>
      <c r="D71" s="207" t="n">
        <f aca="false">COUNTIF(TT!$D$34:$D$41,TALLY!A71)</f>
        <v>0</v>
      </c>
      <c r="E71" s="208" t="n">
        <f aca="false">COUNTIF(TT!$D$47:$D$60,TALLY!A71)</f>
        <v>0</v>
      </c>
      <c r="F71" s="208" t="n">
        <f aca="false">COUNTIF(TT!$D$66:$D$79,TALLY!A71)</f>
        <v>0</v>
      </c>
      <c r="G71" s="208" t="n">
        <f aca="false">COUNTIF(TT!$D$84:$D$93,TALLY!A71)</f>
        <v>1</v>
      </c>
      <c r="H71" s="209" t="n">
        <f aca="false">COUNTIF(TT!$D$98:$D$106,TALLY!A71)</f>
        <v>0</v>
      </c>
      <c r="I71" s="209" t="n">
        <f aca="false">COUNTIF(TT!$D$111:$D$121,TALLY!A71)</f>
        <v>0</v>
      </c>
      <c r="J71" s="209" t="n">
        <f aca="false">COUNTIF(TT!$D$126:$D$134,TALLY!A71)</f>
        <v>0</v>
      </c>
      <c r="K71" s="208" t="n">
        <f aca="false">COUNTIF(TT!$D$139:$D$151,TALLY!A71)</f>
        <v>0</v>
      </c>
      <c r="L71" s="208" t="n">
        <f aca="false">COUNTIF(TT!$D$156:$D$164,TALLY!A71)</f>
        <v>0</v>
      </c>
      <c r="M71" s="208" t="n">
        <f aca="false">COUNTIF(TT!$D$169:$D$180,TALLY!A71)</f>
        <v>0</v>
      </c>
      <c r="N71" s="209" t="n">
        <f aca="false">COUNTIF(TT!$D$185:$D$197,TALLY!A71)</f>
        <v>1</v>
      </c>
      <c r="O71" s="209" t="n">
        <f aca="false">COUNTIF(TT!$D$202:$D$208,TALLY!A71)</f>
        <v>0</v>
      </c>
      <c r="P71" s="209" t="n">
        <f aca="false">COUNTIF(TT!$D$213:$D$220,TALLY!A71)</f>
        <v>0</v>
      </c>
      <c r="Q71" s="207" t="n">
        <f aca="false">COUNTIF(TT!$D$225:$D$239,TALLY!A71)</f>
        <v>0</v>
      </c>
      <c r="R71" s="207" t="n">
        <f aca="false">COUNTIF(TT!$D$244:$D$254,TALLY!A71)</f>
        <v>0</v>
      </c>
      <c r="S71" s="207" t="n">
        <f aca="false">COUNTIF(TT!$D$259:$D$268,TALLY!A71)</f>
        <v>0</v>
      </c>
      <c r="T71" s="209" t="n">
        <f aca="false">COUNTIF(TT!$D$271:$D$282,TALLY!A71)</f>
        <v>0</v>
      </c>
      <c r="U71" s="209" t="n">
        <f aca="false">COUNTIF(TT!$D$287:$D$298,TALLY!A71)</f>
        <v>1</v>
      </c>
      <c r="V71" s="209" t="n">
        <f aca="false">COUNTIF(TT!$D$303:$D$311,TALLY!A71)</f>
        <v>0</v>
      </c>
      <c r="W71" s="208" t="n">
        <f aca="false">COUNTIF(TT!$D$316:$D$337,TALLY!A71)</f>
        <v>0</v>
      </c>
      <c r="X71" s="208" t="n">
        <f aca="false">COUNTIF(TT!$D$342:$D$350,TALLY!A71)</f>
        <v>0</v>
      </c>
      <c r="Y71" s="208" t="n">
        <f aca="false">COUNTIF(TT!$D$357:$D$365,TALLY!A71)</f>
        <v>0</v>
      </c>
      <c r="Z71" s="209" t="n">
        <f aca="false">COUNTIF(TT!$D$370:$D$377,TALLY!A71)</f>
        <v>0</v>
      </c>
      <c r="AA71" s="209" t="n">
        <f aca="false">COUNTIF(TT!$D$382:$D$393,TALLY!A71)</f>
        <v>0</v>
      </c>
      <c r="AB71" s="209" t="n">
        <f aca="false">COUNTIF(TT!$D$398:$D$408,TALLY!A71)</f>
        <v>0</v>
      </c>
      <c r="AC71" s="208" t="n">
        <f aca="false">COUNTIF(TT!$D$413:$D$425,TALLY!A71)</f>
        <v>0</v>
      </c>
      <c r="AD71" s="208" t="n">
        <f aca="false">COUNTIF(TT!$D$430:$D$447,TALLY!A71)</f>
        <v>1</v>
      </c>
      <c r="AE71" s="208" t="n">
        <f aca="false">COUNTIF(TT!$D$454:$D$466,TALLY!A71)</f>
        <v>0</v>
      </c>
      <c r="AF71" s="207" t="n">
        <f aca="false">COUNTIF(TT!$D$471:$D$480,TALLY!A71)</f>
        <v>0</v>
      </c>
      <c r="AG71" s="207" t="n">
        <f aca="false">COUNTIF(TT!$D$487:$D$496,TALLY!A71)</f>
        <v>0</v>
      </c>
      <c r="AH71" s="207" t="n">
        <f aca="false">COUNTIF(TT!$D$501:$D$517,TALLY!A71)</f>
        <v>0</v>
      </c>
      <c r="AI71" s="208" t="n">
        <f aca="false">COUNTIF(TT!$D$522:$D$533,TALLY!A71)</f>
        <v>0</v>
      </c>
      <c r="AJ71" s="208" t="n">
        <f aca="false">COUNTIF(TT!$D$538:$D$550,TALLY!A71)</f>
        <v>0</v>
      </c>
      <c r="AK71" s="208" t="n">
        <f aca="false">COUNTIF(TT!$D$555:$D$569,TALLY!A71)</f>
        <v>1</v>
      </c>
      <c r="AL71" s="209" t="n">
        <f aca="false">COUNTIF(TT!$D$574:$D$582,TALLY!A71)</f>
        <v>0</v>
      </c>
      <c r="AM71" s="209" t="n">
        <f aca="false">COUNTIF(TT!$D$587:$D$593,TALLY!A71)</f>
        <v>0</v>
      </c>
      <c r="AN71" s="209" t="n">
        <f aca="false">COUNTIF(TT!$D$598:$D$606,TALLY!A71)</f>
        <v>0</v>
      </c>
      <c r="AO71" s="208" t="n">
        <f aca="false">COUNTIF(TT!$D$611:$D$620,TALLY!A71)</f>
        <v>0</v>
      </c>
      <c r="AP71" s="208" t="n">
        <f aca="false">COUNTIF(TT!$D$627:$D$639,TALLY!A71)</f>
        <v>0</v>
      </c>
      <c r="AQ71" s="208" t="n">
        <f aca="false">COUNTIF(TT!$D$645:$D$657,TALLY!A71)</f>
        <v>0</v>
      </c>
      <c r="AR71" s="209" t="n">
        <f aca="false">COUNTIF(TT!$D$663:$D$671,TALLY!A71)</f>
        <v>0</v>
      </c>
      <c r="AS71" s="209" t="n">
        <f aca="false">COUNTIF(TT!$D$677:$D$685,TALLY!A71)</f>
        <v>0</v>
      </c>
      <c r="AT71" s="209" t="n">
        <f aca="false">COUNTIF(TT!$D$689:$D$698,TALLY!A71)</f>
        <v>0</v>
      </c>
      <c r="AU71" s="211" t="s">
        <v>135</v>
      </c>
      <c r="AV71" s="208" t="n">
        <f aca="false">SUM($B71:$D71)</f>
        <v>0</v>
      </c>
      <c r="AW71" s="208" t="n">
        <f aca="false">SUM($E71:$G71)</f>
        <v>1</v>
      </c>
      <c r="AX71" s="208" t="n">
        <f aca="false">SUM($H71:$J71)</f>
        <v>0</v>
      </c>
      <c r="AY71" s="208" t="n">
        <f aca="false">SUM($K71:$M71)</f>
        <v>0</v>
      </c>
      <c r="AZ71" s="208" t="n">
        <f aca="false">SUM($N71:$P71)</f>
        <v>1</v>
      </c>
      <c r="BA71" s="208" t="n">
        <f aca="false">SUM($Q71:$S71)</f>
        <v>0</v>
      </c>
      <c r="BB71" s="208" t="n">
        <f aca="false">SUM($T71:$V71)</f>
        <v>1</v>
      </c>
      <c r="BC71" s="208" t="n">
        <f aca="false">SUM($W71:$Y71)</f>
        <v>0</v>
      </c>
      <c r="BD71" s="208" t="n">
        <f aca="false">SUM($Z71:$AB71)</f>
        <v>0</v>
      </c>
      <c r="BE71" s="208" t="n">
        <f aca="false">SUM($AC71:$AE71)</f>
        <v>1</v>
      </c>
      <c r="BF71" s="208" t="n">
        <f aca="false">SUM($AF71:$AH71)</f>
        <v>0</v>
      </c>
      <c r="BG71" s="208" t="n">
        <f aca="false">SUM($AI71:$AK71)</f>
        <v>1</v>
      </c>
      <c r="BH71" s="208" t="n">
        <f aca="false">SUM($AL71:$AN71)</f>
        <v>0</v>
      </c>
      <c r="BI71" s="208" t="n">
        <f aca="false">SUM($AO71:$AQ71)</f>
        <v>0</v>
      </c>
      <c r="BJ71" s="208" t="n">
        <f aca="false">SUM($AR71:$AT71)</f>
        <v>0</v>
      </c>
      <c r="BK71" s="196" t="n">
        <f aca="false">SUM(AV71:BJ71)</f>
        <v>5</v>
      </c>
    </row>
    <row r="72" customFormat="false" ht="16.4" hidden="false" customHeight="false" outlineLevel="0" collapsed="false">
      <c r="A72" s="211" t="s">
        <v>44</v>
      </c>
      <c r="B72" s="207" t="n">
        <f aca="false">COUNTIF(TT!$D$4:$D$9,TALLY!A72)</f>
        <v>0</v>
      </c>
      <c r="C72" s="207" t="n">
        <f aca="false">COUNTIF(TT!$D$15:$D$28,TALLY!A72)</f>
        <v>1</v>
      </c>
      <c r="D72" s="207" t="n">
        <f aca="false">COUNTIF(TT!$D$34:$D$41,TALLY!A72)</f>
        <v>0</v>
      </c>
      <c r="E72" s="208" t="n">
        <f aca="false">COUNTIF(TT!$D$47:$D$60,TALLY!A72)</f>
        <v>0</v>
      </c>
      <c r="F72" s="208" t="n">
        <f aca="false">COUNTIF(TT!$D$66:$D$79,TALLY!A72)</f>
        <v>0</v>
      </c>
      <c r="G72" s="208" t="n">
        <f aca="false">COUNTIF(TT!$D$84:$D$93,TALLY!A72)</f>
        <v>0</v>
      </c>
      <c r="H72" s="209" t="n">
        <f aca="false">COUNTIF(TT!$D$98:$D$106,TALLY!A72)</f>
        <v>0</v>
      </c>
      <c r="I72" s="209" t="n">
        <f aca="false">COUNTIF(TT!$D$111:$D$121,TALLY!A72)</f>
        <v>0</v>
      </c>
      <c r="J72" s="209" t="n">
        <f aca="false">COUNTIF(TT!$D$126:$D$134,TALLY!A72)</f>
        <v>0</v>
      </c>
      <c r="K72" s="208" t="n">
        <f aca="false">COUNTIF(TT!$D$139:$D$151,TALLY!A72)</f>
        <v>0</v>
      </c>
      <c r="L72" s="208" t="n">
        <f aca="false">COUNTIF(TT!$D$156:$D$164,TALLY!A72)</f>
        <v>0</v>
      </c>
      <c r="M72" s="208" t="n">
        <f aca="false">COUNTIF(TT!$D$169:$D$180,TALLY!A72)</f>
        <v>0</v>
      </c>
      <c r="N72" s="209" t="n">
        <f aca="false">COUNTIF(TT!$D$185:$D$197,TALLY!A72)</f>
        <v>0</v>
      </c>
      <c r="O72" s="209" t="n">
        <f aca="false">COUNTIF(TT!$D$202:$D$208,TALLY!A72)</f>
        <v>0</v>
      </c>
      <c r="P72" s="209" t="n">
        <f aca="false">COUNTIF(TT!$D$213:$D$220,TALLY!A72)</f>
        <v>0</v>
      </c>
      <c r="Q72" s="207" t="n">
        <f aca="false">COUNTIF(TT!$D$225:$D$239,TALLY!A72)</f>
        <v>1</v>
      </c>
      <c r="R72" s="207" t="n">
        <f aca="false">COUNTIF(TT!$D$244:$D$254,TALLY!A72)</f>
        <v>0</v>
      </c>
      <c r="S72" s="207" t="n">
        <f aca="false">COUNTIF(TT!$D$259:$D$268,TALLY!A72)</f>
        <v>0</v>
      </c>
      <c r="T72" s="209" t="n">
        <f aca="false">COUNTIF(TT!$D$271:$D$282,TALLY!A72)</f>
        <v>0</v>
      </c>
      <c r="U72" s="209" t="n">
        <f aca="false">COUNTIF(TT!$D$287:$D$298,TALLY!A72)</f>
        <v>0</v>
      </c>
      <c r="V72" s="209" t="n">
        <f aca="false">COUNTIF(TT!$D$303:$D$311,TALLY!A72)</f>
        <v>0</v>
      </c>
      <c r="W72" s="208" t="n">
        <f aca="false">COUNTIF(TT!$D$316:$D$337,TALLY!A72)</f>
        <v>0</v>
      </c>
      <c r="X72" s="208" t="n">
        <f aca="false">COUNTIF(TT!$D$342:$D$350,TALLY!A72)</f>
        <v>0</v>
      </c>
      <c r="Y72" s="208" t="n">
        <f aca="false">COUNTIF(TT!$D$357:$D$365,TALLY!A72)</f>
        <v>0</v>
      </c>
      <c r="Z72" s="209" t="n">
        <f aca="false">COUNTIF(TT!$D$370:$D$377,TALLY!A72)</f>
        <v>0</v>
      </c>
      <c r="AA72" s="209" t="n">
        <f aca="false">COUNTIF(TT!$D$382:$D$393,TALLY!A72)</f>
        <v>1</v>
      </c>
      <c r="AB72" s="209" t="n">
        <f aca="false">COUNTIF(TT!$D$398:$D$408,TALLY!A72)</f>
        <v>0</v>
      </c>
      <c r="AC72" s="208" t="n">
        <f aca="false">COUNTIF(TT!$D$413:$D$425,TALLY!A72)</f>
        <v>0</v>
      </c>
      <c r="AD72" s="208" t="n">
        <f aca="false">COUNTIF(TT!$D$430:$D$447,TALLY!A72)</f>
        <v>0</v>
      </c>
      <c r="AE72" s="208" t="n">
        <f aca="false">COUNTIF(TT!$D$454:$D$466,TALLY!A72)</f>
        <v>0</v>
      </c>
      <c r="AF72" s="207" t="n">
        <f aca="false">COUNTIF(TT!$D$471:$D$480,TALLY!A72)</f>
        <v>0</v>
      </c>
      <c r="AG72" s="207" t="n">
        <f aca="false">COUNTIF(TT!$D$487:$D$496,TALLY!A72)</f>
        <v>0</v>
      </c>
      <c r="AH72" s="207" t="n">
        <f aca="false">COUNTIF(TT!$D$501:$D$517,TALLY!A72)</f>
        <v>0</v>
      </c>
      <c r="AI72" s="208" t="n">
        <f aca="false">COUNTIF(TT!$D$522:$D$533,TALLY!A72)</f>
        <v>0</v>
      </c>
      <c r="AJ72" s="208" t="n">
        <f aca="false">COUNTIF(TT!$D$538:$D$550,TALLY!A72)</f>
        <v>0</v>
      </c>
      <c r="AK72" s="208" t="n">
        <f aca="false">COUNTIF(TT!$D$555:$D$569,TALLY!A72)</f>
        <v>0</v>
      </c>
      <c r="AL72" s="209" t="n">
        <f aca="false">COUNTIF(TT!$D$574:$D$582,TALLY!A72)</f>
        <v>0</v>
      </c>
      <c r="AM72" s="209" t="n">
        <f aca="false">COUNTIF(TT!$D$587:$D$593,TALLY!A72)</f>
        <v>0</v>
      </c>
      <c r="AN72" s="209" t="n">
        <f aca="false">COUNTIF(TT!$D$598:$D$606,TALLY!A72)</f>
        <v>1</v>
      </c>
      <c r="AO72" s="208" t="n">
        <f aca="false">COUNTIF(TT!$D$611:$D$620,TALLY!A72)</f>
        <v>0</v>
      </c>
      <c r="AP72" s="208" t="n">
        <f aca="false">COUNTIF(TT!$D$627:$D$639,TALLY!A72)</f>
        <v>0</v>
      </c>
      <c r="AQ72" s="208" t="n">
        <f aca="false">COUNTIF(TT!$D$645:$D$657,TALLY!A72)</f>
        <v>0</v>
      </c>
      <c r="AR72" s="209" t="n">
        <f aca="false">COUNTIF(TT!$D$663:$D$671,TALLY!A72)</f>
        <v>0</v>
      </c>
      <c r="AS72" s="209" t="n">
        <f aca="false">COUNTIF(TT!$D$677:$D$685,TALLY!A72)</f>
        <v>0</v>
      </c>
      <c r="AT72" s="209" t="n">
        <f aca="false">COUNTIF(TT!$D$689:$D$698,TALLY!A72)</f>
        <v>0</v>
      </c>
      <c r="AU72" s="211" t="s">
        <v>44</v>
      </c>
      <c r="AV72" s="208" t="n">
        <f aca="false">SUM($B72:$D72)</f>
        <v>1</v>
      </c>
      <c r="AW72" s="208" t="n">
        <f aca="false">SUM($E72:$G72)</f>
        <v>0</v>
      </c>
      <c r="AX72" s="208" t="n">
        <f aca="false">SUM($H72:$J72)</f>
        <v>0</v>
      </c>
      <c r="AY72" s="208" t="n">
        <f aca="false">SUM($K72:$M72)</f>
        <v>0</v>
      </c>
      <c r="AZ72" s="208" t="n">
        <f aca="false">SUM($N72:$P72)</f>
        <v>0</v>
      </c>
      <c r="BA72" s="208" t="n">
        <f aca="false">SUM($Q72:$S72)</f>
        <v>1</v>
      </c>
      <c r="BB72" s="208" t="n">
        <f aca="false">SUM($T72:$V72)</f>
        <v>0</v>
      </c>
      <c r="BC72" s="208" t="n">
        <f aca="false">SUM($W72:$Y72)</f>
        <v>0</v>
      </c>
      <c r="BD72" s="208" t="n">
        <f aca="false">SUM($Z72:$AB72)</f>
        <v>1</v>
      </c>
      <c r="BE72" s="208" t="n">
        <f aca="false">SUM($AC72:$AE72)</f>
        <v>0</v>
      </c>
      <c r="BF72" s="208" t="n">
        <f aca="false">SUM($AF72:$AH72)</f>
        <v>0</v>
      </c>
      <c r="BG72" s="208" t="n">
        <f aca="false">SUM($AI72:$AK72)</f>
        <v>0</v>
      </c>
      <c r="BH72" s="208" t="n">
        <f aca="false">SUM($AL72:$AN72)</f>
        <v>1</v>
      </c>
      <c r="BI72" s="208" t="n">
        <f aca="false">SUM($AO72:$AQ72)</f>
        <v>0</v>
      </c>
      <c r="BJ72" s="208" t="n">
        <f aca="false">SUM($AR72:$AT72)</f>
        <v>0</v>
      </c>
      <c r="BK72" s="196" t="n">
        <f aca="false">SUM(AV72:BJ72)</f>
        <v>4</v>
      </c>
    </row>
    <row r="73" customFormat="false" ht="16.4" hidden="false" customHeight="false" outlineLevel="0" collapsed="false">
      <c r="A73" s="211" t="s">
        <v>46</v>
      </c>
      <c r="B73" s="207" t="n">
        <f aca="false">COUNTIF(TT!$D$4:$D$9,TALLY!A73)</f>
        <v>0</v>
      </c>
      <c r="C73" s="207" t="n">
        <f aca="false">COUNTIF(TT!$D$15:$D$28,TALLY!A73)</f>
        <v>0</v>
      </c>
      <c r="D73" s="207" t="n">
        <f aca="false">COUNTIF(TT!$D$34:$D$41,TALLY!A73)</f>
        <v>0</v>
      </c>
      <c r="E73" s="208" t="n">
        <f aca="false">COUNTIF(TT!$D$47:$D$60,TALLY!A73)</f>
        <v>0</v>
      </c>
      <c r="F73" s="208" t="n">
        <f aca="false">COUNTIF(TT!$D$66:$D$79,TALLY!A73)</f>
        <v>0</v>
      </c>
      <c r="G73" s="208" t="n">
        <f aca="false">COUNTIF(TT!$D$84:$D$93,TALLY!A73)</f>
        <v>1</v>
      </c>
      <c r="H73" s="209" t="n">
        <f aca="false">COUNTIF(TT!$D$98:$D$106,TALLY!A73)</f>
        <v>0</v>
      </c>
      <c r="I73" s="209" t="n">
        <f aca="false">COUNTIF(TT!$D$111:$D$121,TALLY!A73)</f>
        <v>0</v>
      </c>
      <c r="J73" s="209" t="n">
        <f aca="false">COUNTIF(TT!$D$126:$D$134,TALLY!A73)</f>
        <v>0</v>
      </c>
      <c r="K73" s="208" t="n">
        <f aca="false">COUNTIF(TT!$D$139:$D$151,TALLY!A73)</f>
        <v>0</v>
      </c>
      <c r="L73" s="208" t="n">
        <f aca="false">COUNTIF(TT!$D$156:$D$164,TALLY!A73)</f>
        <v>0</v>
      </c>
      <c r="M73" s="208" t="n">
        <f aca="false">COUNTIF(TT!$D$169:$D$180,TALLY!A73)</f>
        <v>1</v>
      </c>
      <c r="N73" s="209" t="n">
        <f aca="false">COUNTIF(TT!$D$185:$D$197,TALLY!A73)</f>
        <v>0</v>
      </c>
      <c r="O73" s="209" t="n">
        <f aca="false">COUNTIF(TT!$D$202:$D$208,TALLY!A73)</f>
        <v>0</v>
      </c>
      <c r="P73" s="209" t="n">
        <f aca="false">COUNTIF(TT!$D$213:$D$220,TALLY!A73)</f>
        <v>0</v>
      </c>
      <c r="Q73" s="207" t="n">
        <f aca="false">COUNTIF(TT!$D$225:$D$239,TALLY!A73)</f>
        <v>0</v>
      </c>
      <c r="R73" s="207" t="n">
        <f aca="false">COUNTIF(TT!$D$244:$D$254,TALLY!A73)</f>
        <v>0</v>
      </c>
      <c r="S73" s="207" t="n">
        <f aca="false">COUNTIF(TT!$D$259:$D$268,TALLY!A73)</f>
        <v>1</v>
      </c>
      <c r="T73" s="209" t="n">
        <f aca="false">COUNTIF(TT!$D$271:$D$282,TALLY!A73)</f>
        <v>0</v>
      </c>
      <c r="U73" s="209" t="n">
        <f aca="false">COUNTIF(TT!$D$287:$D$298,TALLY!A73)</f>
        <v>0</v>
      </c>
      <c r="V73" s="209" t="n">
        <f aca="false">COUNTIF(TT!$D$303:$D$311,TALLY!A73)</f>
        <v>0</v>
      </c>
      <c r="W73" s="208" t="n">
        <f aca="false">COUNTIF(TT!$D$316:$D$337,TALLY!A73)</f>
        <v>0</v>
      </c>
      <c r="X73" s="208" t="n">
        <f aca="false">COUNTIF(TT!$D$342:$D$350,TALLY!A73)</f>
        <v>0</v>
      </c>
      <c r="Y73" s="208" t="n">
        <f aca="false">COUNTIF(TT!$D$357:$D$365,TALLY!A73)</f>
        <v>1</v>
      </c>
      <c r="Z73" s="209" t="n">
        <f aca="false">COUNTIF(TT!$D$370:$D$377,TALLY!A73)</f>
        <v>0</v>
      </c>
      <c r="AA73" s="209" t="n">
        <f aca="false">COUNTIF(TT!$D$382:$D$393,TALLY!A73)</f>
        <v>1</v>
      </c>
      <c r="AB73" s="209" t="n">
        <f aca="false">COUNTIF(TT!$D$398:$D$408,TALLY!A73)</f>
        <v>0</v>
      </c>
      <c r="AC73" s="208" t="n">
        <f aca="false">COUNTIF(TT!$D$413:$D$425,TALLY!A73)</f>
        <v>0</v>
      </c>
      <c r="AD73" s="208" t="n">
        <f aca="false">COUNTIF(TT!$D$430:$D$447,TALLY!A73)</f>
        <v>0</v>
      </c>
      <c r="AE73" s="208" t="n">
        <f aca="false">COUNTIF(TT!$D$454:$D$466,TALLY!A73)</f>
        <v>0</v>
      </c>
      <c r="AF73" s="207" t="n">
        <f aca="false">COUNTIF(TT!$D$471:$D$480,TALLY!A73)</f>
        <v>0</v>
      </c>
      <c r="AG73" s="207" t="n">
        <f aca="false">COUNTIF(TT!$D$487:$D$496,TALLY!A73)</f>
        <v>0</v>
      </c>
      <c r="AH73" s="207" t="n">
        <f aca="false">COUNTIF(TT!$D$501:$D$517,TALLY!A73)</f>
        <v>1</v>
      </c>
      <c r="AI73" s="208" t="n">
        <f aca="false">COUNTIF(TT!$D$522:$D$533,TALLY!A73)</f>
        <v>0</v>
      </c>
      <c r="AJ73" s="208" t="n">
        <f aca="false">COUNTIF(TT!$D$538:$D$550,TALLY!A73)</f>
        <v>0</v>
      </c>
      <c r="AK73" s="208" t="n">
        <f aca="false">COUNTIF(TT!$D$555:$D$569,TALLY!A73)</f>
        <v>1</v>
      </c>
      <c r="AL73" s="209" t="n">
        <f aca="false">COUNTIF(TT!$D$574:$D$582,TALLY!A73)</f>
        <v>0</v>
      </c>
      <c r="AM73" s="209" t="n">
        <f aca="false">COUNTIF(TT!$D$587:$D$593,TALLY!A73)</f>
        <v>0</v>
      </c>
      <c r="AN73" s="209" t="n">
        <f aca="false">COUNTIF(TT!$D$598:$D$606,TALLY!A73)</f>
        <v>0</v>
      </c>
      <c r="AO73" s="208" t="n">
        <f aca="false">COUNTIF(TT!$D$611:$D$620,TALLY!A73)</f>
        <v>0</v>
      </c>
      <c r="AP73" s="208" t="n">
        <f aca="false">COUNTIF(TT!$D$627:$D$639,TALLY!A73)</f>
        <v>0</v>
      </c>
      <c r="AQ73" s="208" t="n">
        <f aca="false">COUNTIF(TT!$D$645:$D$657,TALLY!A73)</f>
        <v>1</v>
      </c>
      <c r="AR73" s="209" t="n">
        <f aca="false">COUNTIF(TT!$D$663:$D$671,TALLY!A73)</f>
        <v>0</v>
      </c>
      <c r="AS73" s="209" t="n">
        <f aca="false">COUNTIF(TT!$D$677:$D$685,TALLY!A73)</f>
        <v>0</v>
      </c>
      <c r="AT73" s="209" t="n">
        <f aca="false">COUNTIF(TT!$D$689:$D$698,TALLY!A73)</f>
        <v>0</v>
      </c>
      <c r="AU73" s="211" t="s">
        <v>46</v>
      </c>
      <c r="AV73" s="208" t="n">
        <f aca="false">SUM($B73:$D73)</f>
        <v>0</v>
      </c>
      <c r="AW73" s="208" t="n">
        <f aca="false">SUM($E73:$G73)</f>
        <v>1</v>
      </c>
      <c r="AX73" s="208" t="n">
        <f aca="false">SUM($H73:$J73)</f>
        <v>0</v>
      </c>
      <c r="AY73" s="208" t="n">
        <f aca="false">SUM($K73:$M73)</f>
        <v>1</v>
      </c>
      <c r="AZ73" s="208" t="n">
        <f aca="false">SUM($N73:$P73)</f>
        <v>0</v>
      </c>
      <c r="BA73" s="208" t="n">
        <f aca="false">SUM($Q73:$S73)</f>
        <v>1</v>
      </c>
      <c r="BB73" s="208" t="n">
        <f aca="false">SUM($T73:$V73)</f>
        <v>0</v>
      </c>
      <c r="BC73" s="208" t="n">
        <f aca="false">SUM($W73:$Y73)</f>
        <v>1</v>
      </c>
      <c r="BD73" s="208" t="n">
        <f aca="false">SUM($Z73:$AB73)</f>
        <v>1</v>
      </c>
      <c r="BE73" s="208" t="n">
        <f aca="false">SUM($AC73:$AE73)</f>
        <v>0</v>
      </c>
      <c r="BF73" s="208" t="n">
        <f aca="false">SUM($AF73:$AH73)</f>
        <v>1</v>
      </c>
      <c r="BG73" s="208" t="n">
        <f aca="false">SUM($AI73:$AK73)</f>
        <v>1</v>
      </c>
      <c r="BH73" s="208" t="n">
        <f aca="false">SUM($AL73:$AN73)</f>
        <v>0</v>
      </c>
      <c r="BI73" s="208" t="n">
        <f aca="false">SUM($AO73:$AQ73)</f>
        <v>1</v>
      </c>
      <c r="BJ73" s="208" t="n">
        <f aca="false">SUM($AR73:$AT73)</f>
        <v>0</v>
      </c>
      <c r="BK73" s="196" t="n">
        <f aca="false">SUM(AV73:BJ73)</f>
        <v>8</v>
      </c>
    </row>
    <row r="74" customFormat="false" ht="16.4" hidden="false" customHeight="false" outlineLevel="0" collapsed="false">
      <c r="A74" s="211" t="s">
        <v>227</v>
      </c>
      <c r="B74" s="207" t="n">
        <f aca="false">COUNTIF(TT!$D$4:$D$9,TALLY!A74)</f>
        <v>0</v>
      </c>
      <c r="C74" s="207" t="n">
        <f aca="false">COUNTIF(TT!$D$15:$D$28,TALLY!A74)</f>
        <v>0</v>
      </c>
      <c r="D74" s="207" t="n">
        <f aca="false">COUNTIF(TT!$D$34:$D$41,TALLY!A74)</f>
        <v>0</v>
      </c>
      <c r="E74" s="208" t="n">
        <f aca="false">COUNTIF(TT!$D$47:$D$60,TALLY!A74)</f>
        <v>0</v>
      </c>
      <c r="F74" s="208" t="n">
        <f aca="false">COUNTIF(TT!$D$66:$D$79,TALLY!A74)</f>
        <v>0</v>
      </c>
      <c r="G74" s="208" t="n">
        <f aca="false">COUNTIF(TT!$D$84:$D$93,TALLY!A74)</f>
        <v>0</v>
      </c>
      <c r="H74" s="209" t="n">
        <f aca="false">COUNTIF(TT!$D$98:$D$106,TALLY!A74)</f>
        <v>0</v>
      </c>
      <c r="I74" s="209" t="n">
        <f aca="false">COUNTIF(TT!$D$111:$D$121,TALLY!A74)</f>
        <v>0</v>
      </c>
      <c r="J74" s="209" t="n">
        <f aca="false">COUNTIF(TT!$D$126:$D$134,TALLY!A74)</f>
        <v>0</v>
      </c>
      <c r="K74" s="208" t="n">
        <f aca="false">COUNTIF(TT!$D$139:$D$151,TALLY!A74)</f>
        <v>0</v>
      </c>
      <c r="L74" s="208" t="n">
        <f aca="false">COUNTIF(TT!$D$156:$D$164,TALLY!A74)</f>
        <v>0</v>
      </c>
      <c r="M74" s="208" t="n">
        <f aca="false">COUNTIF(TT!$D$169:$D$180,TALLY!A74)</f>
        <v>1</v>
      </c>
      <c r="N74" s="209" t="n">
        <f aca="false">COUNTIF(TT!$D$185:$D$197,TALLY!A74)</f>
        <v>0</v>
      </c>
      <c r="O74" s="209" t="n">
        <f aca="false">COUNTIF(TT!$D$202:$D$208,TALLY!A74)</f>
        <v>0</v>
      </c>
      <c r="P74" s="209" t="n">
        <f aca="false">COUNTIF(TT!$D$213:$D$220,TALLY!A74)</f>
        <v>0</v>
      </c>
      <c r="Q74" s="207" t="n">
        <f aca="false">COUNTIF(TT!$D$225:$D$239,TALLY!A74)</f>
        <v>0</v>
      </c>
      <c r="R74" s="207" t="n">
        <f aca="false">COUNTIF(TT!$D$244:$D$254,TALLY!A74)</f>
        <v>0</v>
      </c>
      <c r="S74" s="207" t="n">
        <f aca="false">COUNTIF(TT!$D$259:$D$268,TALLY!A74)</f>
        <v>1</v>
      </c>
      <c r="T74" s="209" t="n">
        <f aca="false">COUNTIF(TT!$D$271:$D$282,TALLY!A74)</f>
        <v>0</v>
      </c>
      <c r="U74" s="209" t="n">
        <f aca="false">COUNTIF(TT!$D$287:$D$298,TALLY!A74)</f>
        <v>0</v>
      </c>
      <c r="V74" s="209" t="n">
        <f aca="false">COUNTIF(TT!$D$303:$D$311,TALLY!A74)</f>
        <v>0</v>
      </c>
      <c r="W74" s="208" t="n">
        <f aca="false">COUNTIF(TT!$D$316:$D$337,TALLY!A74)</f>
        <v>1</v>
      </c>
      <c r="X74" s="208" t="n">
        <f aca="false">COUNTIF(TT!$D$342:$D$350,TALLY!A74)</f>
        <v>0</v>
      </c>
      <c r="Y74" s="208" t="n">
        <f aca="false">COUNTIF(TT!$D$357:$D$365,TALLY!A74)</f>
        <v>0</v>
      </c>
      <c r="Z74" s="209" t="n">
        <f aca="false">COUNTIF(TT!$D$370:$D$377,TALLY!A74)</f>
        <v>0</v>
      </c>
      <c r="AA74" s="209" t="n">
        <f aca="false">COUNTIF(TT!$D$382:$D$393,TALLY!A74)</f>
        <v>0</v>
      </c>
      <c r="AB74" s="209" t="n">
        <f aca="false">COUNTIF(TT!$D$398:$D$408,TALLY!A74)</f>
        <v>0</v>
      </c>
      <c r="AC74" s="208" t="n">
        <f aca="false">COUNTIF(TT!$D$413:$D$425,TALLY!A74)</f>
        <v>0</v>
      </c>
      <c r="AD74" s="208" t="n">
        <f aca="false">COUNTIF(TT!$D$430:$D$447,TALLY!A74)</f>
        <v>1</v>
      </c>
      <c r="AE74" s="208" t="n">
        <f aca="false">COUNTIF(TT!$D$454:$D$466,TALLY!A74)</f>
        <v>0</v>
      </c>
      <c r="AF74" s="207" t="n">
        <f aca="false">COUNTIF(TT!$D$471:$D$480,TALLY!A74)</f>
        <v>0</v>
      </c>
      <c r="AG74" s="207" t="n">
        <f aca="false">COUNTIF(TT!$D$487:$D$496,TALLY!A74)</f>
        <v>1</v>
      </c>
      <c r="AH74" s="207" t="n">
        <f aca="false">COUNTIF(TT!$D$501:$D$517,TALLY!A74)</f>
        <v>0</v>
      </c>
      <c r="AI74" s="208" t="n">
        <f aca="false">COUNTIF(TT!$D$522:$D$533,TALLY!A74)</f>
        <v>0</v>
      </c>
      <c r="AJ74" s="208" t="n">
        <f aca="false">COUNTIF(TT!$D$538:$D$550,TALLY!A74)</f>
        <v>1</v>
      </c>
      <c r="AK74" s="208" t="n">
        <f aca="false">COUNTIF(TT!$D$555:$D$569,TALLY!A74)</f>
        <v>0</v>
      </c>
      <c r="AL74" s="209" t="n">
        <f aca="false">COUNTIF(TT!$D$574:$D$582,TALLY!A74)</f>
        <v>0</v>
      </c>
      <c r="AM74" s="209" t="n">
        <f aca="false">COUNTIF(TT!$D$587:$D$593,TALLY!A74)</f>
        <v>0</v>
      </c>
      <c r="AN74" s="209" t="n">
        <f aca="false">COUNTIF(TT!$D$598:$D$606,TALLY!A74)</f>
        <v>0</v>
      </c>
      <c r="AO74" s="208" t="n">
        <f aca="false">COUNTIF(TT!$D$611:$D$620,TALLY!A74)</f>
        <v>0</v>
      </c>
      <c r="AP74" s="208" t="n">
        <f aca="false">COUNTIF(TT!$D$627:$D$639,TALLY!A74)</f>
        <v>0</v>
      </c>
      <c r="AQ74" s="208" t="n">
        <f aca="false">COUNTIF(TT!$D$645:$D$657,TALLY!A74)</f>
        <v>1</v>
      </c>
      <c r="AR74" s="209" t="n">
        <f aca="false">COUNTIF(TT!$D$663:$D$671,TALLY!A74)</f>
        <v>0</v>
      </c>
      <c r="AS74" s="209" t="n">
        <f aca="false">COUNTIF(TT!$D$677:$D$685,TALLY!A74)</f>
        <v>0</v>
      </c>
      <c r="AT74" s="209" t="n">
        <f aca="false">COUNTIF(TT!$D$689:$D$698,TALLY!A74)</f>
        <v>0</v>
      </c>
      <c r="AU74" s="211" t="s">
        <v>227</v>
      </c>
      <c r="AV74" s="208" t="n">
        <f aca="false">SUM($B74:$D74)</f>
        <v>0</v>
      </c>
      <c r="AW74" s="208" t="n">
        <f aca="false">SUM($E74:$G74)</f>
        <v>0</v>
      </c>
      <c r="AX74" s="208" t="n">
        <f aca="false">SUM($H74:$J74)</f>
        <v>0</v>
      </c>
      <c r="AY74" s="208" t="n">
        <f aca="false">SUM($K74:$M74)</f>
        <v>1</v>
      </c>
      <c r="AZ74" s="208" t="n">
        <f aca="false">SUM($N74:$P74)</f>
        <v>0</v>
      </c>
      <c r="BA74" s="208" t="n">
        <f aca="false">SUM($Q74:$S74)</f>
        <v>1</v>
      </c>
      <c r="BB74" s="208" t="n">
        <f aca="false">SUM($T74:$V74)</f>
        <v>0</v>
      </c>
      <c r="BC74" s="208" t="n">
        <f aca="false">SUM($W74:$Y74)</f>
        <v>1</v>
      </c>
      <c r="BD74" s="208" t="n">
        <f aca="false">SUM($Z74:$AB74)</f>
        <v>0</v>
      </c>
      <c r="BE74" s="208" t="n">
        <f aca="false">SUM($AC74:$AE74)</f>
        <v>1</v>
      </c>
      <c r="BF74" s="208" t="n">
        <f aca="false">SUM($AF74:$AH74)</f>
        <v>1</v>
      </c>
      <c r="BG74" s="208" t="n">
        <f aca="false">SUM($AI74:$AK74)</f>
        <v>1</v>
      </c>
      <c r="BH74" s="208" t="n">
        <f aca="false">SUM($AL74:$AN74)</f>
        <v>0</v>
      </c>
      <c r="BI74" s="208" t="n">
        <f aca="false">SUM($AO74:$AQ74)</f>
        <v>1</v>
      </c>
      <c r="BJ74" s="208" t="n">
        <f aca="false">SUM($AR74:$AT74)</f>
        <v>0</v>
      </c>
      <c r="BK74" s="196" t="n">
        <f aca="false">SUM(AV74:BJ74)</f>
        <v>7</v>
      </c>
    </row>
    <row r="75" customFormat="false" ht="16.4" hidden="false" customHeight="false" outlineLevel="0" collapsed="false">
      <c r="B75" s="197" t="n">
        <f aca="false">SUM(B3:B74)</f>
        <v>6</v>
      </c>
      <c r="C75" s="197" t="n">
        <f aca="false">SUM(C3:C74)</f>
        <v>14</v>
      </c>
      <c r="D75" s="197" t="n">
        <f aca="false">SUM(D3:D74)</f>
        <v>8</v>
      </c>
      <c r="E75" s="196" t="n">
        <f aca="false">SUM(E3:E74)</f>
        <v>14</v>
      </c>
      <c r="F75" s="196" t="n">
        <f aca="false">SUM(F3:F74)</f>
        <v>14</v>
      </c>
      <c r="G75" s="208" t="n">
        <f aca="false">COUNTIF(TT!$D$84:$D$93,TALLY!A75)</f>
        <v>0</v>
      </c>
      <c r="H75" s="209" t="n">
        <f aca="false">COUNTIF(TT!$D$98:$D$106,TALLY!A75)</f>
        <v>0</v>
      </c>
      <c r="I75" s="198" t="n">
        <f aca="false">SUM(I3:I74)</f>
        <v>11</v>
      </c>
      <c r="J75" s="198" t="n">
        <f aca="false">SUM(J3:J74)</f>
        <v>9</v>
      </c>
      <c r="K75" s="196" t="n">
        <f aca="false">SUM(K3:K74)</f>
        <v>13</v>
      </c>
      <c r="L75" s="208" t="n">
        <f aca="false">COUNTIF(TT!$D$156:$D$164,TALLY!A75)</f>
        <v>0</v>
      </c>
      <c r="M75" s="208" t="n">
        <f aca="false">COUNTIF(TT!$D$169:$D$180,TALLY!A75)</f>
        <v>0</v>
      </c>
      <c r="N75" s="198" t="n">
        <f aca="false">SUM(N3:N74)</f>
        <v>13</v>
      </c>
      <c r="O75" s="209" t="n">
        <f aca="false">COUNTIF(TT!$D$202:$D$208,TALLY!A75)</f>
        <v>0</v>
      </c>
      <c r="P75" s="209" t="n">
        <f aca="false">COUNTIF(TT!$D$213:$D$220,TALLY!A75)</f>
        <v>0</v>
      </c>
      <c r="Q75" s="197" t="n">
        <f aca="false">SUM(Q3:Q74)</f>
        <v>15</v>
      </c>
      <c r="R75" s="197" t="n">
        <f aca="false">SUM(R3:R74)</f>
        <v>11</v>
      </c>
      <c r="S75" s="197" t="n">
        <f aca="false">SUM(S3:S74)</f>
        <v>10</v>
      </c>
      <c r="T75" s="198" t="n">
        <f aca="false">SUM(T3:T74)</f>
        <v>10</v>
      </c>
      <c r="U75" s="198" t="n">
        <f aca="false">SUM(U3:U74)</f>
        <v>12</v>
      </c>
      <c r="V75" s="198" t="n">
        <f aca="false">SUM(V3:V74)</f>
        <v>9</v>
      </c>
      <c r="W75" s="196" t="n">
        <f aca="false">SUM(W3:W74)</f>
        <v>22</v>
      </c>
      <c r="X75" s="208" t="n">
        <f aca="false">COUNTIF(TT!$D$342:$D$350,TALLY!A75)</f>
        <v>0</v>
      </c>
      <c r="Y75" s="208" t="n">
        <f aca="false">COUNTIF(TT!$D$357:$D$365,TALLY!A75)</f>
        <v>0</v>
      </c>
      <c r="Z75" s="198" t="n">
        <f aca="false">SUM(Z3:Z74)</f>
        <v>8</v>
      </c>
      <c r="AA75" s="198" t="n">
        <f aca="false">SUM(AA3:AA74)</f>
        <v>12</v>
      </c>
      <c r="AB75" s="209" t="n">
        <f aca="false">COUNTIF(TT!$D$398:$D$408,TALLY!A75)</f>
        <v>0</v>
      </c>
      <c r="AC75" s="196" t="n">
        <f aca="false">SUM(AC3:AC74)</f>
        <v>13</v>
      </c>
      <c r="AD75" s="196" t="n">
        <f aca="false">SUM(AD3:AD74)</f>
        <v>15</v>
      </c>
      <c r="AE75" s="196" t="n">
        <f aca="false">SUM(AE3:AE74)</f>
        <v>13</v>
      </c>
      <c r="AF75" s="197" t="n">
        <f aca="false">SUM(AF3:AF74)</f>
        <v>10</v>
      </c>
      <c r="AG75" s="197" t="n">
        <f aca="false">SUM(AG3:AG74)</f>
        <v>10</v>
      </c>
      <c r="AH75" s="197" t="n">
        <f aca="false">SUM(AH3:AH74)</f>
        <v>17</v>
      </c>
      <c r="AI75" s="196" t="n">
        <f aca="false">SUM(AI3:AI74)</f>
        <v>12</v>
      </c>
      <c r="AJ75" s="196" t="n">
        <f aca="false">SUM(AJ3:AJ74)</f>
        <v>13</v>
      </c>
      <c r="AK75" s="196" t="n">
        <f aca="false">SUM(AK3:AK74)</f>
        <v>15</v>
      </c>
      <c r="AL75" s="198" t="n">
        <f aca="false">SUM(AL3:AL74)</f>
        <v>9</v>
      </c>
      <c r="AM75" s="198" t="n">
        <f aca="false">SUM(AM3:AM74)</f>
        <v>7</v>
      </c>
      <c r="AN75" s="209" t="n">
        <f aca="false">COUNTIF(TT!$D$598:$D$606,TALLY!A75)</f>
        <v>0</v>
      </c>
      <c r="AO75" s="196" t="n">
        <f aca="false">SUM(AO3:AO74)</f>
        <v>10</v>
      </c>
      <c r="AP75" s="196" t="n">
        <f aca="false">SUM(AP3:AP74)</f>
        <v>13</v>
      </c>
      <c r="AQ75" s="196" t="n">
        <f aca="false">SUM(AQ3:AQ74)</f>
        <v>13</v>
      </c>
      <c r="AR75" s="198" t="n">
        <f aca="false">SUM(AR3:AR74)</f>
        <v>9</v>
      </c>
      <c r="AS75" s="209" t="n">
        <f aca="false">COUNTIF(TT!$D$677:$D$685,TALLY!A75)</f>
        <v>0</v>
      </c>
      <c r="AT75" s="209" t="n">
        <f aca="false">COUNTIF(TT!$D$689:$D$698,TALLY!A75)</f>
        <v>0</v>
      </c>
    </row>
  </sheetData>
  <mergeCells count="15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  <mergeCell ref="AO1:AQ1"/>
    <mergeCell ref="AR1:AT1"/>
  </mergeCells>
  <conditionalFormatting sqref="AV3:BJ74 B3:AT3 B4:F74 O4:P75 AS4:AT75 N4:N74 L4:M75 I4:K74 G4:H75 Q4:AA36 AO11:AR74 AN11:AN75 AC11:AM74 AC4:AR10 AB4:AB75 Q37:W74 Z37:AA74 X37:Y75">
    <cfRule type="cellIs" priority="2" operator="greaterThan" aboveAverage="0" equalAverage="0" bottom="0" percent="0" rank="0" text="" dxfId="445">
      <formula>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9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8" man="true" max="16383" min="0"/>
  </rowBreaks>
  <colBreaks count="1" manualBreakCount="1">
    <brk id="46" man="true" max="65535" min="0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39" activeCellId="0" sqref="B39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96" width="22.25"/>
    <col collapsed="false" customWidth="true" hidden="false" outlineLevel="0" max="2" min="2" style="196" width="68.76"/>
    <col collapsed="false" customWidth="true" hidden="false" outlineLevel="0" max="3" min="3" style="196" width="42.13"/>
    <col collapsed="false" customWidth="true" hidden="false" outlineLevel="0" max="4" min="4" style="196" width="13"/>
    <col collapsed="false" customWidth="true" hidden="false" outlineLevel="0" max="5" min="5" style="196" width="18.75"/>
    <col collapsed="false" customWidth="true" hidden="false" outlineLevel="0" max="6" min="6" style="196" width="13.75"/>
  </cols>
  <sheetData>
    <row r="1" customFormat="false" ht="14.25" hidden="false" customHeight="false" outlineLevel="0" collapsed="false">
      <c r="B1" s="196" t="s">
        <v>982</v>
      </c>
      <c r="C1" s="196" t="s">
        <v>983</v>
      </c>
      <c r="D1" s="196" t="s">
        <v>984</v>
      </c>
      <c r="E1" s="196" t="s">
        <v>985</v>
      </c>
      <c r="F1" s="196" t="s">
        <v>986</v>
      </c>
    </row>
    <row r="2" customFormat="false" ht="14.25" hidden="false" customHeight="false" outlineLevel="0" collapsed="false">
      <c r="A2" s="196" t="str">
        <f aca="false">CONCATENATE(F2,",",E2)</f>
        <v>AE 158,ED1-AE</v>
      </c>
      <c r="B2" s="196" t="s">
        <v>987</v>
      </c>
      <c r="C2" s="196" t="str">
        <f aca="false" t="array" ref="C2:C545">VLOOKUP(A2:A545,'Combined Data'!A1:C548,2,FALSE())</f>
        <v>Introduction To Information Technology</v>
      </c>
      <c r="D2" s="196" t="n">
        <v>154</v>
      </c>
      <c r="E2" s="196" t="s">
        <v>131</v>
      </c>
      <c r="F2" s="196" t="s">
        <v>314</v>
      </c>
    </row>
    <row r="3" customFormat="false" ht="14.25" hidden="false" customHeight="false" outlineLevel="0" collapsed="false">
      <c r="A3" s="196" t="str">
        <f aca="false">CONCATENATE(F3,",",E3)</f>
        <v>AE 162,ED1-AE</v>
      </c>
      <c r="B3" s="196" t="s">
        <v>988</v>
      </c>
      <c r="C3" s="196" t="str">
        <v>Basic Agriculture</v>
      </c>
      <c r="D3" s="196" t="n">
        <v>154</v>
      </c>
      <c r="E3" s="196" t="s">
        <v>131</v>
      </c>
      <c r="F3" s="196" t="s">
        <v>242</v>
      </c>
    </row>
    <row r="4" customFormat="false" ht="14.25" hidden="false" customHeight="false" outlineLevel="0" collapsed="false">
      <c r="A4" s="196" t="str">
        <f aca="false">CONCATENATE(F4,",",E4)</f>
        <v>AE 196,ED1-AE</v>
      </c>
      <c r="B4" s="196" t="s">
        <v>989</v>
      </c>
      <c r="C4" s="196" t="str">
        <v>Engineering Workshop Practice</v>
      </c>
      <c r="D4" s="196" t="n">
        <v>154</v>
      </c>
      <c r="E4" s="196" t="s">
        <v>131</v>
      </c>
      <c r="F4" s="196" t="s">
        <v>454</v>
      </c>
    </row>
    <row r="5" customFormat="false" ht="14.25" hidden="false" customHeight="false" outlineLevel="0" collapsed="false">
      <c r="A5" s="196" t="str">
        <f aca="false">CONCATENATE(F5,",",E5)</f>
        <v>EE 152,ED1-AE</v>
      </c>
      <c r="B5" s="196" t="s">
        <v>990</v>
      </c>
      <c r="C5" s="196" t="str">
        <v>Basic Electronics</v>
      </c>
      <c r="D5" s="196" t="n">
        <v>154</v>
      </c>
      <c r="E5" s="196" t="s">
        <v>131</v>
      </c>
      <c r="F5" s="196" t="s">
        <v>234</v>
      </c>
    </row>
    <row r="6" customFormat="false" ht="14.25" hidden="false" customHeight="false" outlineLevel="0" collapsed="false">
      <c r="A6" s="196" t="str">
        <f aca="false">CONCATENATE(F6,",",E6)</f>
        <v>ENGL 158,ED1-AE</v>
      </c>
      <c r="B6" s="196" t="s">
        <v>991</v>
      </c>
      <c r="C6" s="196" t="str">
        <v>Communication Skills II</v>
      </c>
      <c r="D6" s="196" t="n">
        <v>154</v>
      </c>
      <c r="E6" s="196" t="s">
        <v>131</v>
      </c>
      <c r="F6" s="196" t="s">
        <v>364</v>
      </c>
    </row>
    <row r="7" customFormat="false" ht="14.25" hidden="false" customHeight="false" outlineLevel="0" collapsed="false">
      <c r="A7" s="196" t="str">
        <f aca="false">CONCATENATE(F7,",",E7)</f>
        <v>MATH 152,ED1-AE</v>
      </c>
      <c r="B7" s="196" t="s">
        <v>992</v>
      </c>
      <c r="C7" s="196" t="str">
        <v>Calculus With Analysis</v>
      </c>
      <c r="D7" s="196" t="n">
        <v>154</v>
      </c>
      <c r="E7" s="196" t="s">
        <v>131</v>
      </c>
      <c r="F7" s="196" t="s">
        <v>129</v>
      </c>
    </row>
    <row r="8" customFormat="false" ht="14.25" hidden="false" customHeight="false" outlineLevel="0" collapsed="false">
      <c r="A8" s="196" t="str">
        <f aca="false">CONCATENATE(F8,",",E8)</f>
        <v>ME 160,ED1-AE</v>
      </c>
      <c r="B8" s="196" t="s">
        <v>993</v>
      </c>
      <c r="C8" s="196" t="str">
        <v>Engineering Drawing</v>
      </c>
      <c r="D8" s="196" t="n">
        <v>154</v>
      </c>
      <c r="E8" s="196" t="s">
        <v>131</v>
      </c>
      <c r="F8" s="196" t="s">
        <v>160</v>
      </c>
    </row>
    <row r="9" customFormat="false" ht="14.25" hidden="false" customHeight="false" outlineLevel="0" collapsed="false">
      <c r="A9" s="196" t="str">
        <f aca="false">CONCATENATE(F9,",",E9)</f>
        <v>ME 162,ED1-AE</v>
      </c>
      <c r="B9" s="196" t="s">
        <v>994</v>
      </c>
      <c r="C9" s="196" t="str">
        <v>Basic Mechanics</v>
      </c>
      <c r="D9" s="196" t="n">
        <v>154</v>
      </c>
      <c r="E9" s="196" t="s">
        <v>131</v>
      </c>
      <c r="F9" s="196" t="s">
        <v>392</v>
      </c>
    </row>
    <row r="10" customFormat="false" ht="14.25" hidden="false" customHeight="false" outlineLevel="0" collapsed="false">
      <c r="A10" s="196" t="str">
        <f aca="false">CONCATENATE(F10,",",E10)</f>
        <v>EE 252,ED2-AE</v>
      </c>
      <c r="B10" s="196" t="s">
        <v>995</v>
      </c>
      <c r="C10" s="196" t="str">
        <v>Electrical Engineering Machines</v>
      </c>
      <c r="D10" s="196" t="n">
        <v>107</v>
      </c>
      <c r="E10" s="196" t="s">
        <v>53</v>
      </c>
      <c r="F10" s="196" t="s">
        <v>473</v>
      </c>
    </row>
    <row r="11" customFormat="false" ht="14.25" hidden="false" customHeight="false" outlineLevel="0" collapsed="false">
      <c r="A11" s="196" t="str">
        <f aca="false">CONCATENATE(F11,",",E11)</f>
        <v>ENGL 264,ED2-AE</v>
      </c>
      <c r="B11" s="196" t="s">
        <v>996</v>
      </c>
      <c r="C11" s="196" t="str">
        <v>Literature In English II</v>
      </c>
      <c r="D11" s="196" t="n">
        <v>107</v>
      </c>
      <c r="E11" s="196" t="s">
        <v>53</v>
      </c>
      <c r="F11" s="196" t="s">
        <v>276</v>
      </c>
    </row>
    <row r="12" customFormat="false" ht="14.25" hidden="false" customHeight="false" outlineLevel="0" collapsed="false">
      <c r="A12" s="196" t="str">
        <f aca="false">CONCATENATE(F12,",",E12)</f>
        <v>GE 286,ED2-AE</v>
      </c>
      <c r="B12" s="196" t="s">
        <v>997</v>
      </c>
      <c r="C12" s="196" t="str">
        <v>Principles Of Surveying</v>
      </c>
      <c r="D12" s="196" t="n">
        <v>107</v>
      </c>
      <c r="E12" s="196" t="s">
        <v>53</v>
      </c>
      <c r="F12" s="196" t="s">
        <v>52</v>
      </c>
    </row>
    <row r="13" customFormat="false" ht="14.25" hidden="false" customHeight="false" outlineLevel="0" collapsed="false">
      <c r="A13" s="196" t="str">
        <f aca="false">CONCATENATE(F13,",",E13)</f>
        <v>MATH 252,ED2-AE</v>
      </c>
      <c r="B13" s="196" t="s">
        <v>998</v>
      </c>
      <c r="C13" s="196" t="str">
        <v>Calculus With Several Variables</v>
      </c>
      <c r="D13" s="196" t="n">
        <v>107</v>
      </c>
      <c r="E13" s="196" t="s">
        <v>53</v>
      </c>
      <c r="F13" s="196" t="s">
        <v>281</v>
      </c>
    </row>
    <row r="14" customFormat="false" ht="14.25" hidden="false" customHeight="false" outlineLevel="0" collapsed="false">
      <c r="A14" s="196" t="str">
        <f aca="false">CONCATENATE(F14,",",E14)</f>
        <v>ME 262,ED2-AE</v>
      </c>
      <c r="B14" s="196" t="s">
        <v>999</v>
      </c>
      <c r="C14" s="196" t="str">
        <v>Theory Of Machines</v>
      </c>
      <c r="D14" s="196" t="n">
        <v>107</v>
      </c>
      <c r="E14" s="196" t="s">
        <v>53</v>
      </c>
      <c r="F14" s="196" t="s">
        <v>344</v>
      </c>
    </row>
    <row r="15" customFormat="false" ht="14.25" hidden="false" customHeight="false" outlineLevel="0" collapsed="false">
      <c r="A15" s="196" t="str">
        <f aca="false">CONCATENATE(F15,",",E15)</f>
        <v>ME 282,ED2-AE</v>
      </c>
      <c r="B15" s="196" t="s">
        <v>1000</v>
      </c>
      <c r="C15" s="196" t="str">
        <v>Mechanical Engineering Materials II</v>
      </c>
      <c r="D15" s="196" t="n">
        <v>107</v>
      </c>
      <c r="E15" s="196" t="s">
        <v>53</v>
      </c>
      <c r="F15" s="196" t="s">
        <v>236</v>
      </c>
    </row>
    <row r="16" customFormat="false" ht="14.25" hidden="false" customHeight="false" outlineLevel="0" collapsed="false">
      <c r="A16" s="196" t="str">
        <f aca="false">CONCATENATE(F16,",",E16)</f>
        <v>ME 296,ED2-AE</v>
      </c>
      <c r="B16" s="196" t="s">
        <v>1001</v>
      </c>
      <c r="C16" s="196" t="str">
        <v>Mechanical Engineering Lab. II</v>
      </c>
      <c r="D16" s="196" t="n">
        <v>107</v>
      </c>
      <c r="E16" s="196" t="s">
        <v>53</v>
      </c>
      <c r="F16" s="196" t="s">
        <v>542</v>
      </c>
    </row>
    <row r="17" customFormat="false" ht="14.25" hidden="false" customHeight="false" outlineLevel="0" collapsed="false">
      <c r="A17" s="196" t="str">
        <f aca="false">CONCATENATE(F17,",",E17)</f>
        <v>AE 352,ED3-AE</v>
      </c>
      <c r="B17" s="196" t="s">
        <v>1002</v>
      </c>
      <c r="C17" s="196" t="str">
        <v>Soil Mechanics Application To Mechanisation</v>
      </c>
      <c r="D17" s="196" t="n">
        <v>109</v>
      </c>
      <c r="E17" s="196" t="s">
        <v>88</v>
      </c>
      <c r="F17" s="196" t="s">
        <v>455</v>
      </c>
    </row>
    <row r="18" customFormat="false" ht="14.25" hidden="false" customHeight="false" outlineLevel="0" collapsed="false">
      <c r="A18" s="196" t="str">
        <f aca="false">CONCATENATE(F18,",",E18)</f>
        <v>AE 356,ED3-AE</v>
      </c>
      <c r="B18" s="196" t="s">
        <v>1003</v>
      </c>
      <c r="C18" s="196" t="str">
        <v>Farm Power And Machinery</v>
      </c>
      <c r="D18" s="196" t="n">
        <v>109</v>
      </c>
      <c r="E18" s="196" t="s">
        <v>88</v>
      </c>
      <c r="F18" s="196" t="s">
        <v>303</v>
      </c>
    </row>
    <row r="19" customFormat="false" ht="14.25" hidden="false" customHeight="false" outlineLevel="0" collapsed="false">
      <c r="A19" s="196" t="str">
        <f aca="false">CONCATENATE(F19,",",E19)</f>
        <v>AE 358,ED3-AE</v>
      </c>
      <c r="B19" s="196" t="s">
        <v>1004</v>
      </c>
      <c r="C19" s="196" t="str">
        <v>Renewable Energy Systems And Management</v>
      </c>
      <c r="D19" s="196" t="n">
        <v>109</v>
      </c>
      <c r="E19" s="196" t="s">
        <v>88</v>
      </c>
      <c r="F19" s="196" t="s">
        <v>87</v>
      </c>
    </row>
    <row r="20" customFormat="false" ht="14.25" hidden="false" customHeight="false" outlineLevel="0" collapsed="false">
      <c r="A20" s="196" t="str">
        <f aca="false">CONCATENATE(F20,",",E20)</f>
        <v>AE 360,ED3-AE</v>
      </c>
      <c r="B20" s="196" t="s">
        <v>1005</v>
      </c>
      <c r="C20" s="196" t="str">
        <v>Rural Engineering</v>
      </c>
      <c r="D20" s="196" t="n">
        <v>109</v>
      </c>
      <c r="E20" s="196" t="s">
        <v>88</v>
      </c>
      <c r="F20" s="196" t="s">
        <v>220</v>
      </c>
    </row>
    <row r="21" customFormat="false" ht="14.25" hidden="false" customHeight="false" outlineLevel="0" collapsed="false">
      <c r="A21" s="196" t="str">
        <f aca="false">CONCATENATE(F21,",",E21)</f>
        <v>AE 362,ED3-AE</v>
      </c>
      <c r="B21" s="196" t="s">
        <v>1006</v>
      </c>
      <c r="C21" s="196" t="str">
        <v>Research Methods For Engineers</v>
      </c>
      <c r="D21" s="196" t="n">
        <v>109</v>
      </c>
      <c r="E21" s="196" t="s">
        <v>88</v>
      </c>
      <c r="F21" s="196" t="s">
        <v>498</v>
      </c>
    </row>
    <row r="22" customFormat="false" ht="14.25" hidden="false" customHeight="false" outlineLevel="0" collapsed="false">
      <c r="A22" s="196" t="str">
        <f aca="false">CONCATENATE(F22,",",E22)</f>
        <v>ME 366,ED3-AE</v>
      </c>
      <c r="B22" s="196" t="s">
        <v>1007</v>
      </c>
      <c r="C22" s="196" t="str">
        <v>Heat Transfer</v>
      </c>
      <c r="D22" s="196" t="n">
        <v>109</v>
      </c>
      <c r="E22" s="196" t="s">
        <v>88</v>
      </c>
      <c r="F22" s="196" t="s">
        <v>347</v>
      </c>
    </row>
    <row r="23" customFormat="false" ht="14.25" hidden="false" customHeight="false" outlineLevel="0" collapsed="false">
      <c r="A23" s="196" t="str">
        <f aca="false">CONCATENATE(F23,",",E23)</f>
        <v>ME 374,ED3-AE</v>
      </c>
      <c r="B23" s="196" t="s">
        <v>1008</v>
      </c>
      <c r="C23" s="196" t="str">
        <v>Machine Design II</v>
      </c>
      <c r="D23" s="196" t="n">
        <v>109</v>
      </c>
      <c r="E23" s="196" t="s">
        <v>88</v>
      </c>
      <c r="F23" s="196" t="s">
        <v>60</v>
      </c>
    </row>
    <row r="24" customFormat="false" ht="14.25" hidden="false" customHeight="false" outlineLevel="0" collapsed="false">
      <c r="A24" s="196" t="str">
        <f aca="false">CONCATENATE(F24,",",E24)</f>
        <v>ME 376,ED3-AE</v>
      </c>
      <c r="B24" s="196" t="s">
        <v>1009</v>
      </c>
      <c r="C24" s="196" t="str">
        <v>Introduction To Cad/Cam</v>
      </c>
      <c r="D24" s="196" t="n">
        <v>109</v>
      </c>
      <c r="E24" s="196" t="s">
        <v>88</v>
      </c>
      <c r="F24" s="196" t="s">
        <v>266</v>
      </c>
    </row>
    <row r="25" customFormat="false" ht="14.25" hidden="false" customHeight="false" outlineLevel="0" collapsed="false">
      <c r="A25" s="196" t="str">
        <f aca="false">CONCATENATE(F25,",",E25)</f>
        <v>AE 452,ED4-AE</v>
      </c>
      <c r="B25" s="196" t="s">
        <v>1010</v>
      </c>
      <c r="C25" s="196" t="str">
        <v>Soil And Water Engineering II</v>
      </c>
      <c r="D25" s="196" t="n">
        <v>123</v>
      </c>
      <c r="E25" s="196" t="s">
        <v>50</v>
      </c>
      <c r="F25" s="196" t="s">
        <v>213</v>
      </c>
    </row>
    <row r="26" customFormat="false" ht="14.25" hidden="false" customHeight="false" outlineLevel="0" collapsed="false">
      <c r="A26" s="196" t="str">
        <f aca="false">CONCATENATE(F26,",",E26)</f>
        <v>AE 458,ED4-AE</v>
      </c>
      <c r="B26" s="196" t="s">
        <v>1011</v>
      </c>
      <c r="C26" s="196" t="str">
        <v>Crop Losses And Their Control</v>
      </c>
      <c r="D26" s="196" t="n">
        <v>123</v>
      </c>
      <c r="E26" s="196" t="s">
        <v>50</v>
      </c>
      <c r="F26" s="196" t="s">
        <v>49</v>
      </c>
    </row>
    <row r="27" customFormat="false" ht="14.25" hidden="false" customHeight="false" outlineLevel="0" collapsed="false">
      <c r="A27" s="196" t="str">
        <f aca="false">CONCATENATE(F27,",",E27)</f>
        <v>AE 460,ED4-AE</v>
      </c>
      <c r="B27" s="196" t="s">
        <v>1012</v>
      </c>
      <c r="C27" s="196" t="str">
        <v>Maintenance And Repairs Of Agric. Machinery</v>
      </c>
      <c r="D27" s="196" t="n">
        <v>123</v>
      </c>
      <c r="E27" s="196" t="s">
        <v>50</v>
      </c>
      <c r="F27" s="196" t="s">
        <v>325</v>
      </c>
    </row>
    <row r="28" customFormat="false" ht="14.25" hidden="false" customHeight="false" outlineLevel="0" collapsed="false">
      <c r="A28" s="196" t="str">
        <f aca="false">CONCATENATE(F28,",",E28)</f>
        <v>AE 464,ED4-AE</v>
      </c>
      <c r="B28" s="196" t="s">
        <v>1013</v>
      </c>
      <c r="C28" s="196" t="str">
        <v>Crop Storage And Storage Structures</v>
      </c>
      <c r="D28" s="196" t="n">
        <v>123</v>
      </c>
      <c r="E28" s="196" t="s">
        <v>50</v>
      </c>
      <c r="F28" s="196" t="s">
        <v>477</v>
      </c>
    </row>
    <row r="29" customFormat="false" ht="14.25" hidden="false" customHeight="false" outlineLevel="0" collapsed="false">
      <c r="A29" s="196" t="str">
        <f aca="false">CONCATENATE(F29,",",E29)</f>
        <v>AE 482,ED4-AE</v>
      </c>
      <c r="B29" s="196" t="s">
        <v>1014</v>
      </c>
      <c r="C29" s="196" t="str">
        <v>Farm Machinery Design</v>
      </c>
      <c r="D29" s="196" t="n">
        <v>123</v>
      </c>
      <c r="E29" s="196" t="s">
        <v>50</v>
      </c>
      <c r="F29" s="196" t="s">
        <v>429</v>
      </c>
    </row>
    <row r="30" customFormat="false" ht="14.25" hidden="false" customHeight="false" outlineLevel="0" collapsed="false">
      <c r="A30" s="196" t="str">
        <f aca="false">CONCATENATE(F30,",",E30)</f>
        <v>ME 492,ED4-AE</v>
      </c>
      <c r="B30" s="196" t="s">
        <v>1015</v>
      </c>
      <c r="C30" s="196" t="str">
        <v>Management And Entrepreneurship Development</v>
      </c>
      <c r="D30" s="196" t="n">
        <v>123</v>
      </c>
      <c r="E30" s="196" t="s">
        <v>50</v>
      </c>
      <c r="F30" s="196" t="s">
        <v>373</v>
      </c>
    </row>
    <row r="31" customFormat="false" ht="14.25" hidden="false" customHeight="false" outlineLevel="0" collapsed="false">
      <c r="A31" s="196" t="str">
        <f aca="false">CONCATENATE(F31,",",E31)</f>
        <v>AERO 174,ED1-AERO</v>
      </c>
      <c r="B31" s="196" t="s">
        <v>1016</v>
      </c>
      <c r="C31" s="196" t="str">
        <v>Aerospace Design Project I</v>
      </c>
      <c r="D31" s="196" t="n">
        <v>76</v>
      </c>
      <c r="E31" s="196" t="s">
        <v>191</v>
      </c>
      <c r="F31" s="196" t="s">
        <v>483</v>
      </c>
    </row>
    <row r="32" customFormat="false" ht="14.25" hidden="false" customHeight="false" outlineLevel="0" collapsed="false">
      <c r="A32" s="196" t="str">
        <f aca="false">CONCATENATE(F32,",",E32)</f>
        <v>EE 152,ED1-AERO</v>
      </c>
      <c r="B32" s="196" t="s">
        <v>990</v>
      </c>
      <c r="C32" s="196" t="str">
        <v>Basic Electronics</v>
      </c>
      <c r="D32" s="196" t="n">
        <v>76</v>
      </c>
      <c r="E32" s="196" t="s">
        <v>191</v>
      </c>
      <c r="F32" s="196" t="s">
        <v>234</v>
      </c>
    </row>
    <row r="33" customFormat="false" ht="14.25" hidden="false" customHeight="false" outlineLevel="0" collapsed="false">
      <c r="A33" s="196" t="str">
        <f aca="false">CONCATENATE(F33,",",E33)</f>
        <v>ENGL 158,ED1-AERO</v>
      </c>
      <c r="B33" s="196" t="s">
        <v>991</v>
      </c>
      <c r="C33" s="196" t="str">
        <v>Communication Skills II</v>
      </c>
      <c r="D33" s="196" t="n">
        <v>76</v>
      </c>
      <c r="E33" s="196" t="s">
        <v>191</v>
      </c>
      <c r="F33" s="196" t="s">
        <v>364</v>
      </c>
    </row>
    <row r="34" customFormat="false" ht="14.25" hidden="false" customHeight="false" outlineLevel="0" collapsed="false">
      <c r="A34" s="196" t="str">
        <f aca="false">CONCATENATE(F34,",",E34)</f>
        <v>MATH 152,ED1-AERO</v>
      </c>
      <c r="B34" s="196" t="s">
        <v>992</v>
      </c>
      <c r="C34" s="196" t="str">
        <v>Calculus With Analysis</v>
      </c>
      <c r="D34" s="196" t="n">
        <v>76</v>
      </c>
      <c r="E34" s="196" t="s">
        <v>191</v>
      </c>
      <c r="F34" s="196" t="s">
        <v>129</v>
      </c>
    </row>
    <row r="35" customFormat="false" ht="14.25" hidden="false" customHeight="false" outlineLevel="0" collapsed="false">
      <c r="A35" s="196" t="str">
        <f aca="false">CONCATENATE(F35,",",E35)</f>
        <v>ME 158,ED1-AERO</v>
      </c>
      <c r="B35" s="196" t="s">
        <v>1017</v>
      </c>
      <c r="C35" s="196" t="str">
        <v>Engineering Graphics</v>
      </c>
      <c r="D35" s="196" t="n">
        <v>76</v>
      </c>
      <c r="E35" s="196" t="s">
        <v>191</v>
      </c>
      <c r="F35" s="196" t="s">
        <v>190</v>
      </c>
    </row>
    <row r="36" customFormat="false" ht="14.25" hidden="false" customHeight="false" outlineLevel="0" collapsed="false">
      <c r="A36" s="196" t="str">
        <f aca="false">CONCATENATE(F36,",",E36)</f>
        <v>ME 164,ED1-AERO</v>
      </c>
      <c r="B36" s="196" t="s">
        <v>1018</v>
      </c>
      <c r="C36" s="196" t="str">
        <v>Engineering Mechanics I:Statics</v>
      </c>
      <c r="D36" s="196" t="n">
        <v>76</v>
      </c>
      <c r="E36" s="196" t="s">
        <v>191</v>
      </c>
      <c r="F36" s="196" t="s">
        <v>268</v>
      </c>
    </row>
    <row r="37" customFormat="false" ht="14.25" hidden="false" customHeight="false" outlineLevel="0" collapsed="false">
      <c r="A37" s="196" t="str">
        <f aca="false">CONCATENATE(F37,",",E37)</f>
        <v>ME 168,ED1-AERO</v>
      </c>
      <c r="B37" s="196" t="s">
        <v>1019</v>
      </c>
      <c r="C37" s="196" t="str">
        <v>Computer Programming For Engineers</v>
      </c>
      <c r="D37" s="196" t="n">
        <v>76</v>
      </c>
      <c r="E37" s="196" t="s">
        <v>191</v>
      </c>
      <c r="F37" s="196" t="s">
        <v>110</v>
      </c>
    </row>
    <row r="38" customFormat="false" ht="14.25" hidden="false" customHeight="false" outlineLevel="0" collapsed="false">
      <c r="A38" s="196" t="str">
        <f aca="false">CONCATENATE(F38,",",E38)</f>
        <v>AERO 256,ED2-AERO</v>
      </c>
      <c r="B38" s="196" t="s">
        <v>1020</v>
      </c>
      <c r="C38" s="196" t="str">
        <v>Aerospace Structures</v>
      </c>
      <c r="D38" s="196" t="n">
        <v>77</v>
      </c>
      <c r="E38" s="196" t="s">
        <v>36</v>
      </c>
      <c r="F38" s="196" t="s">
        <v>356</v>
      </c>
    </row>
    <row r="39" customFormat="false" ht="14.25" hidden="false" customHeight="false" outlineLevel="0" collapsed="false">
      <c r="A39" s="196" t="str">
        <f aca="false">CONCATENATE(F39,",",E39)</f>
        <v>AERO 274,ED2-AERO</v>
      </c>
      <c r="B39" s="196" t="s">
        <v>1021</v>
      </c>
      <c r="C39" s="196" t="str">
        <v>Aerospace Design Project II</v>
      </c>
      <c r="D39" s="196" t="n">
        <v>77</v>
      </c>
      <c r="E39" s="196" t="s">
        <v>36</v>
      </c>
      <c r="F39" s="196" t="s">
        <v>35</v>
      </c>
    </row>
    <row r="40" customFormat="false" ht="14.25" hidden="false" customHeight="false" outlineLevel="0" collapsed="false">
      <c r="A40" s="196" t="str">
        <f aca="false">CONCATENATE(F40,",",E40)</f>
        <v>ENGL 264,ED2-AERO</v>
      </c>
      <c r="B40" s="196" t="s">
        <v>996</v>
      </c>
      <c r="C40" s="196" t="str">
        <v>Literature In English II</v>
      </c>
      <c r="D40" s="196" t="n">
        <v>77</v>
      </c>
      <c r="E40" s="196" t="s">
        <v>36</v>
      </c>
      <c r="F40" s="196" t="s">
        <v>276</v>
      </c>
    </row>
    <row r="41" customFormat="false" ht="14.25" hidden="false" customHeight="false" outlineLevel="0" collapsed="false">
      <c r="A41" s="196" t="str">
        <f aca="false">CONCATENATE(F41,",",E41)</f>
        <v>MATH 252,ED2-AERO</v>
      </c>
      <c r="B41" s="196" t="s">
        <v>998</v>
      </c>
      <c r="C41" s="196" t="str">
        <v>Calculus With Several Variables</v>
      </c>
      <c r="D41" s="196" t="n">
        <v>77</v>
      </c>
      <c r="E41" s="196" t="s">
        <v>36</v>
      </c>
      <c r="F41" s="196" t="s">
        <v>281</v>
      </c>
    </row>
    <row r="42" customFormat="false" ht="14.25" hidden="false" customHeight="false" outlineLevel="0" collapsed="false">
      <c r="A42" s="196" t="str">
        <f aca="false">CONCATENATE(F42,",",E42)</f>
        <v>ME 258,ED2-AERO</v>
      </c>
      <c r="B42" s="196" t="s">
        <v>1022</v>
      </c>
      <c r="C42" s="196" t="str">
        <v>Computer-Aided Design And Modelling</v>
      </c>
      <c r="D42" s="196" t="n">
        <v>77</v>
      </c>
      <c r="E42" s="196" t="s">
        <v>36</v>
      </c>
      <c r="F42" s="196" t="s">
        <v>466</v>
      </c>
    </row>
    <row r="43" customFormat="false" ht="14.25" hidden="false" customHeight="false" outlineLevel="0" collapsed="false">
      <c r="A43" s="196" t="str">
        <f aca="false">CONCATENATE(F43,",",E43)</f>
        <v>ME 264,ED2-AERO</v>
      </c>
      <c r="B43" s="196" t="s">
        <v>1023</v>
      </c>
      <c r="C43" s="196" t="str">
        <v>Mechanisms Synthesis And Analysis I</v>
      </c>
      <c r="D43" s="196" t="n">
        <v>77</v>
      </c>
      <c r="E43" s="196" t="s">
        <v>36</v>
      </c>
      <c r="F43" s="196" t="s">
        <v>151</v>
      </c>
    </row>
    <row r="44" customFormat="false" ht="14.25" hidden="false" customHeight="false" outlineLevel="0" collapsed="false">
      <c r="A44" s="196" t="str">
        <f aca="false">CONCATENATE(F44,",",E44)</f>
        <v>ME 266,ED2-AERO</v>
      </c>
      <c r="B44" s="196" t="s">
        <v>1024</v>
      </c>
      <c r="C44" s="196" t="str">
        <v>Thermodynamics I</v>
      </c>
      <c r="D44" s="196" t="n">
        <v>77</v>
      </c>
      <c r="E44" s="196" t="s">
        <v>36</v>
      </c>
      <c r="F44" s="196" t="s">
        <v>420</v>
      </c>
    </row>
    <row r="45" customFormat="false" ht="14.25" hidden="false" customHeight="false" outlineLevel="0" collapsed="false">
      <c r="A45" s="196" t="str">
        <f aca="false">CONCATENATE(F45,",",E45)</f>
        <v>AERO 362,ED3-AERO</v>
      </c>
      <c r="B45" s="196" t="s">
        <v>1025</v>
      </c>
      <c r="C45" s="196" t="str">
        <v>Air Vehicle Stability And Control</v>
      </c>
      <c r="D45" s="196" t="n">
        <v>60</v>
      </c>
      <c r="E45" s="196" t="s">
        <v>133</v>
      </c>
      <c r="F45" s="196" t="s">
        <v>277</v>
      </c>
    </row>
    <row r="46" customFormat="false" ht="14.25" hidden="false" customHeight="false" outlineLevel="0" collapsed="false">
      <c r="A46" s="196" t="str">
        <f aca="false">CONCATENATE(F46,",",E46)</f>
        <v>AERO 368,ED3-AERO</v>
      </c>
      <c r="B46" s="196" t="s">
        <v>1026</v>
      </c>
      <c r="C46" s="196" t="str">
        <v>Propulsion</v>
      </c>
      <c r="D46" s="196" t="n">
        <v>60</v>
      </c>
      <c r="E46" s="196" t="s">
        <v>133</v>
      </c>
      <c r="F46" s="196" t="s">
        <v>192</v>
      </c>
    </row>
    <row r="47" customFormat="false" ht="14.25" hidden="false" customHeight="false" outlineLevel="0" collapsed="false">
      <c r="A47" s="196" t="str">
        <f aca="false">CONCATENATE(F47,",",E47)</f>
        <v>AERO 374,ED3-AERO</v>
      </c>
      <c r="B47" s="196" t="s">
        <v>1027</v>
      </c>
      <c r="C47" s="196" t="str">
        <v>Aircraft Performance And Design</v>
      </c>
      <c r="D47" s="196" t="n">
        <v>60</v>
      </c>
      <c r="E47" s="196" t="s">
        <v>133</v>
      </c>
      <c r="F47" s="196" t="s">
        <v>436</v>
      </c>
    </row>
    <row r="48" customFormat="false" ht="12" hidden="false" customHeight="true" outlineLevel="0" collapsed="false">
      <c r="A48" s="196" t="str">
        <f aca="false">CONCATENATE(F48,",",E48)</f>
        <v>AERO 396,ED3-AERO</v>
      </c>
      <c r="B48" s="196" t="s">
        <v>1028</v>
      </c>
      <c r="C48" s="196" t="str">
        <v>Aerospace Engineering Lab II</v>
      </c>
      <c r="D48" s="196" t="n">
        <v>60</v>
      </c>
      <c r="E48" s="196" t="s">
        <v>133</v>
      </c>
      <c r="F48" s="196" t="s">
        <v>132</v>
      </c>
    </row>
    <row r="49" customFormat="false" ht="14.25" hidden="false" customHeight="false" outlineLevel="0" collapsed="false">
      <c r="A49" s="196" t="str">
        <f aca="false">CONCATENATE(F49,",",E49)</f>
        <v>ME 362,ED3-AERO</v>
      </c>
      <c r="B49" s="196" t="s">
        <v>1029</v>
      </c>
      <c r="C49" s="196" t="str">
        <v>Vibrations I</v>
      </c>
      <c r="D49" s="196" t="n">
        <v>60</v>
      </c>
      <c r="E49" s="196" t="s">
        <v>133</v>
      </c>
      <c r="F49" s="196" t="s">
        <v>519</v>
      </c>
    </row>
    <row r="50" customFormat="false" ht="14.25" hidden="false" customHeight="false" outlineLevel="0" collapsed="false">
      <c r="A50" s="196" t="str">
        <f aca="false">CONCATENATE(F50,",",E50)</f>
        <v>ME 366,ED3-AERO</v>
      </c>
      <c r="B50" s="196" t="s">
        <v>1007</v>
      </c>
      <c r="C50" s="196" t="str">
        <v>Heat Transfer</v>
      </c>
      <c r="D50" s="196" t="n">
        <v>60</v>
      </c>
      <c r="E50" s="196" t="s">
        <v>133</v>
      </c>
      <c r="F50" s="196" t="s">
        <v>347</v>
      </c>
    </row>
    <row r="51" customFormat="false" ht="14.25" hidden="false" customHeight="false" outlineLevel="0" collapsed="false">
      <c r="A51" s="196" t="str">
        <f aca="false">CONCATENATE(F51,",",E51)</f>
        <v>ME 392,ED3-AERO</v>
      </c>
      <c r="B51" s="196" t="s">
        <v>1030</v>
      </c>
      <c r="C51" s="196" t="str">
        <v>Industrial Engineering And Ergonomics</v>
      </c>
      <c r="D51" s="196" t="n">
        <v>60</v>
      </c>
      <c r="E51" s="196" t="s">
        <v>133</v>
      </c>
      <c r="F51" s="196" t="s">
        <v>239</v>
      </c>
    </row>
    <row r="52" customFormat="false" ht="14.25" hidden="false" customHeight="false" outlineLevel="0" collapsed="false">
      <c r="A52" s="196" t="str">
        <f aca="false">CONCATENATE(F52,",",E52)</f>
        <v>AERO 452,ED4-AERO</v>
      </c>
      <c r="B52" s="196" t="s">
        <v>1031</v>
      </c>
      <c r="C52" s="196" t="str">
        <v>Aerodynamics II</v>
      </c>
      <c r="D52" s="196" t="n">
        <v>75</v>
      </c>
      <c r="E52" s="196" t="s">
        <v>99</v>
      </c>
      <c r="F52" s="196" t="s">
        <v>526</v>
      </c>
    </row>
    <row r="53" customFormat="false" ht="14.25" hidden="false" customHeight="false" outlineLevel="0" collapsed="false">
      <c r="A53" s="196" t="str">
        <f aca="false">CONCATENATE(F53,",",E53)</f>
        <v>AERO 456,ED4-AERO</v>
      </c>
      <c r="B53" s="196" t="s">
        <v>1032</v>
      </c>
      <c r="C53" s="196" t="str">
        <v>Applied Meteorology</v>
      </c>
      <c r="D53" s="196" t="n">
        <v>75</v>
      </c>
      <c r="E53" s="196" t="s">
        <v>99</v>
      </c>
      <c r="F53" s="196" t="s">
        <v>98</v>
      </c>
    </row>
    <row r="54" customFormat="false" ht="14.25" hidden="false" customHeight="false" outlineLevel="0" collapsed="false">
      <c r="A54" s="196" t="str">
        <f aca="false">CONCATENATE(F54,",",E54)</f>
        <v>AERO 492,ED4-AERO</v>
      </c>
      <c r="B54" s="196" t="s">
        <v>1033</v>
      </c>
      <c r="C54" s="196" t="str">
        <v>Aerospace Safety And Air Security</v>
      </c>
      <c r="D54" s="196" t="n">
        <v>75</v>
      </c>
      <c r="E54" s="196" t="s">
        <v>99</v>
      </c>
      <c r="F54" s="196" t="s">
        <v>472</v>
      </c>
    </row>
    <row r="55" customFormat="false" ht="14.25" hidden="false" customHeight="false" outlineLevel="0" collapsed="false">
      <c r="A55" s="196" t="str">
        <f aca="false">CONCATENATE(F55,",",E55)</f>
        <v>ME 456,ED4-AERO</v>
      </c>
      <c r="B55" s="196" t="s">
        <v>1034</v>
      </c>
      <c r="C55" s="196" t="str">
        <v>Introduction To Finite Element</v>
      </c>
      <c r="D55" s="196" t="n">
        <v>1</v>
      </c>
      <c r="E55" s="196" t="s">
        <v>99</v>
      </c>
      <c r="F55" s="196" t="s">
        <v>183</v>
      </c>
    </row>
    <row r="56" customFormat="false" ht="14.25" hidden="false" customHeight="false" outlineLevel="0" collapsed="false">
      <c r="A56" s="196" t="str">
        <f aca="false">CONCATENATE(F56,",",E56)</f>
        <v>ME 462,ED4-AERO</v>
      </c>
      <c r="B56" s="196" t="s">
        <v>1035</v>
      </c>
      <c r="C56" s="196" t="str">
        <v>Mechanisms Synthesis And Analysis II</v>
      </c>
      <c r="D56" s="196" t="n">
        <v>40</v>
      </c>
      <c r="E56" s="196" t="s">
        <v>99</v>
      </c>
      <c r="F56" s="196" t="s">
        <v>254</v>
      </c>
    </row>
    <row r="57" customFormat="false" ht="14.25" hidden="false" customHeight="false" outlineLevel="0" collapsed="false">
      <c r="A57" s="196" t="str">
        <f aca="false">CONCATENATE(F57,",",E57)</f>
        <v>ME 468,ED4-AERO</v>
      </c>
      <c r="B57" s="196" t="s">
        <v>1036</v>
      </c>
      <c r="C57" s="196" t="str">
        <v>Internal Combustion Engines</v>
      </c>
      <c r="D57" s="196" t="n">
        <v>4</v>
      </c>
      <c r="E57" s="196" t="s">
        <v>99</v>
      </c>
      <c r="F57" s="196" t="s">
        <v>407</v>
      </c>
    </row>
    <row r="58" customFormat="false" ht="14.25" hidden="false" customHeight="false" outlineLevel="0" collapsed="false">
      <c r="A58" s="196" t="str">
        <f aca="false">CONCATENATE(F58,",",E58)</f>
        <v>ME 472,ED4-AERO</v>
      </c>
      <c r="B58" s="196" t="s">
        <v>1037</v>
      </c>
      <c r="C58" s="196" t="str">
        <v>Machine Shop And Factory Design</v>
      </c>
      <c r="D58" s="196" t="n">
        <v>5</v>
      </c>
      <c r="E58" s="196" t="s">
        <v>99</v>
      </c>
      <c r="F58" s="196" t="s">
        <v>327</v>
      </c>
    </row>
    <row r="59" customFormat="false" ht="14.25" hidden="false" customHeight="false" outlineLevel="0" collapsed="false">
      <c r="A59" s="196" t="str">
        <f aca="false">CONCATENATE(F59,",",E59)</f>
        <v>ME 474,ED4-AERO</v>
      </c>
      <c r="B59" s="196" t="s">
        <v>1038</v>
      </c>
      <c r="C59" s="196" t="str">
        <v>Production Planning And Control</v>
      </c>
      <c r="D59" s="196" t="n">
        <v>14</v>
      </c>
      <c r="E59" s="196" t="s">
        <v>99</v>
      </c>
      <c r="F59" s="196" t="s">
        <v>1039</v>
      </c>
    </row>
    <row r="60" customFormat="false" ht="14.25" hidden="false" customHeight="false" outlineLevel="0" collapsed="false">
      <c r="A60" s="196" t="str">
        <f aca="false">CONCATENATE(F60,",",E60)</f>
        <v>ME 492,ED4-AERO</v>
      </c>
      <c r="B60" s="196" t="s">
        <v>1040</v>
      </c>
      <c r="C60" s="196" t="str">
        <v>Management And Entrepreneurship Development</v>
      </c>
      <c r="D60" s="196" t="n">
        <v>75</v>
      </c>
      <c r="E60" s="196" t="s">
        <v>99</v>
      </c>
      <c r="F60" s="196" t="s">
        <v>373</v>
      </c>
    </row>
    <row r="61" customFormat="false" ht="14.25" hidden="false" customHeight="false" outlineLevel="0" collapsed="false">
      <c r="A61" s="196" t="str">
        <f aca="false">CONCATENATE(F61,",",E61)</f>
        <v>ME 496,ED4-AERO</v>
      </c>
      <c r="B61" s="196" t="s">
        <v>1041</v>
      </c>
      <c r="C61" s="196" t="str">
        <v>Human Factors And Ergonomics</v>
      </c>
      <c r="D61" s="196" t="n">
        <v>37</v>
      </c>
      <c r="E61" s="196" t="s">
        <v>99</v>
      </c>
      <c r="F61" s="196" t="s">
        <v>1042</v>
      </c>
    </row>
    <row r="62" customFormat="false" ht="14.25" hidden="false" customHeight="false" outlineLevel="0" collapsed="false">
      <c r="A62" s="196" t="str">
        <f aca="false">CONCATENATE(F62,",",E62)</f>
        <v>EE 152,ED1-AUTO</v>
      </c>
      <c r="B62" s="196" t="s">
        <v>990</v>
      </c>
      <c r="C62" s="196" t="str">
        <v>Basic Electronics</v>
      </c>
      <c r="D62" s="196" t="n">
        <v>78</v>
      </c>
      <c r="E62" s="196" t="s">
        <v>162</v>
      </c>
      <c r="F62" s="196" t="s">
        <v>234</v>
      </c>
    </row>
    <row r="63" customFormat="false" ht="14.25" hidden="false" customHeight="false" outlineLevel="0" collapsed="false">
      <c r="A63" s="196" t="str">
        <f aca="false">CONCATENATE(F63,",",E63)</f>
        <v>ENGL 158,ED1-AUTO</v>
      </c>
      <c r="B63" s="196" t="s">
        <v>991</v>
      </c>
      <c r="C63" s="196" t="str">
        <v>Communication Skills II</v>
      </c>
      <c r="D63" s="196" t="n">
        <v>78</v>
      </c>
      <c r="E63" s="196" t="s">
        <v>162</v>
      </c>
      <c r="F63" s="196" t="s">
        <v>364</v>
      </c>
    </row>
    <row r="64" customFormat="false" ht="14.25" hidden="false" customHeight="false" outlineLevel="0" collapsed="false">
      <c r="A64" s="196" t="str">
        <f aca="false">CONCATENATE(F64,",",E64)</f>
        <v>MATH 152,ED1-AUTO</v>
      </c>
      <c r="B64" s="196" t="s">
        <v>992</v>
      </c>
      <c r="C64" s="196" t="str">
        <v>Calculus With Analysis</v>
      </c>
      <c r="D64" s="196" t="n">
        <v>78</v>
      </c>
      <c r="E64" s="196" t="s">
        <v>162</v>
      </c>
      <c r="F64" s="196" t="s">
        <v>129</v>
      </c>
    </row>
    <row r="65" customFormat="false" ht="14.25" hidden="false" customHeight="false" outlineLevel="0" collapsed="false">
      <c r="A65" s="196" t="str">
        <f aca="false">CONCATENATE(F65,",",E65)</f>
        <v>ME 160,ED1-AUTO</v>
      </c>
      <c r="B65" s="196" t="s">
        <v>993</v>
      </c>
      <c r="C65" s="196" t="str">
        <v>Engineering Drawing</v>
      </c>
      <c r="D65" s="196" t="n">
        <v>78</v>
      </c>
      <c r="E65" s="196" t="s">
        <v>162</v>
      </c>
      <c r="F65" s="196" t="s">
        <v>160</v>
      </c>
    </row>
    <row r="66" customFormat="false" ht="14.25" hidden="false" customHeight="false" outlineLevel="0" collapsed="false">
      <c r="A66" s="196" t="str">
        <f aca="false">CONCATENATE(F66,",",E66)</f>
        <v>ME 164,ED1-AUTO</v>
      </c>
      <c r="B66" s="196" t="s">
        <v>1018</v>
      </c>
      <c r="C66" s="196" t="str">
        <v>Engineering Mechanics I:Statics</v>
      </c>
      <c r="D66" s="196" t="n">
        <v>78</v>
      </c>
      <c r="E66" s="196" t="s">
        <v>162</v>
      </c>
      <c r="F66" s="196" t="s">
        <v>268</v>
      </c>
    </row>
    <row r="67" customFormat="false" ht="14.25" hidden="false" customHeight="false" outlineLevel="0" collapsed="false">
      <c r="A67" s="196" t="str">
        <f aca="false">CONCATENATE(F67,",",E67)</f>
        <v>ME 174,ED1-AUTO</v>
      </c>
      <c r="B67" s="196" t="s">
        <v>1043</v>
      </c>
      <c r="C67" s="196" t="str">
        <v>Product Design And Manufacturing </v>
      </c>
      <c r="D67" s="196" t="n">
        <v>78</v>
      </c>
      <c r="E67" s="196" t="s">
        <v>162</v>
      </c>
      <c r="F67" s="196" t="s">
        <v>486</v>
      </c>
    </row>
    <row r="68" customFormat="false" ht="14.25" hidden="false" customHeight="false" outlineLevel="0" collapsed="false">
      <c r="A68" s="196" t="str">
        <f aca="false">CONCATENATE(F68,",",E68)</f>
        <v>AME 156,ED1-AUTO</v>
      </c>
      <c r="B68" s="196" t="s">
        <v>1044</v>
      </c>
      <c r="C68" s="196" t="str">
        <v>Basic Thermodynamics </v>
      </c>
      <c r="D68" s="196" t="n">
        <v>78</v>
      </c>
      <c r="E68" s="196" t="s">
        <v>162</v>
      </c>
      <c r="F68" s="196" t="s">
        <v>422</v>
      </c>
    </row>
    <row r="69" customFormat="false" ht="14.25" hidden="false" customHeight="false" outlineLevel="0" collapsed="false">
      <c r="A69" s="196" t="str">
        <f aca="false">CONCATENATE(F69,",",E69)</f>
        <v>AME 274,ED2-AUTO</v>
      </c>
      <c r="B69" s="196" t="s">
        <v>1045</v>
      </c>
      <c r="C69" s="196" t="str">
        <v>Design Of Auto Machine Elements</v>
      </c>
      <c r="D69" s="196" t="n">
        <v>48</v>
      </c>
      <c r="E69" s="196" t="s">
        <v>40</v>
      </c>
      <c r="F69" s="196" t="s">
        <v>39</v>
      </c>
    </row>
    <row r="70" customFormat="false" ht="14.25" hidden="false" customHeight="false" outlineLevel="0" collapsed="false">
      <c r="A70" s="196" t="str">
        <f aca="false">CONCATENATE(F70,",",E70)</f>
        <v>AME 284,ED2-AUTO</v>
      </c>
      <c r="B70" s="196" t="s">
        <v>1046</v>
      </c>
      <c r="C70" s="196" t="str">
        <v>AutomotIVe Electrical Systems And Electronics</v>
      </c>
      <c r="D70" s="196" t="n">
        <v>48</v>
      </c>
      <c r="E70" s="196" t="s">
        <v>40</v>
      </c>
      <c r="F70" s="196" t="s">
        <v>1047</v>
      </c>
    </row>
    <row r="71" customFormat="false" ht="14.25" hidden="false" customHeight="false" outlineLevel="0" collapsed="false">
      <c r="A71" s="196" t="str">
        <f aca="false">CONCATENATE(F71,",",E71)</f>
        <v>AME 296,ED2-AUTO</v>
      </c>
      <c r="B71" s="196" t="s">
        <v>1048</v>
      </c>
      <c r="C71" s="196" t="str">
        <v>Automobile Engineering Laboratory II</v>
      </c>
      <c r="D71" s="196" t="n">
        <v>48</v>
      </c>
      <c r="E71" s="196" t="s">
        <v>40</v>
      </c>
      <c r="F71" s="196" t="s">
        <v>1049</v>
      </c>
    </row>
    <row r="72" customFormat="false" ht="14.25" hidden="false" customHeight="false" outlineLevel="0" collapsed="false">
      <c r="A72" s="196" t="str">
        <f aca="false">CONCATENATE(F72,",",E72)</f>
        <v>AME 384,ED3-AUTO</v>
      </c>
      <c r="B72" s="196" t="s">
        <v>1050</v>
      </c>
      <c r="C72" s="196" t="str">
        <v>Microprocessors and Mechatronics Applications</v>
      </c>
      <c r="D72" s="196" t="n">
        <v>26</v>
      </c>
      <c r="E72" s="196" t="s">
        <v>23</v>
      </c>
      <c r="F72" s="196" t="s">
        <v>279</v>
      </c>
    </row>
    <row r="73" customFormat="false" ht="14.25" hidden="false" customHeight="false" outlineLevel="0" collapsed="false">
      <c r="A73" s="196" t="str">
        <f aca="false">CONCATENATE(F73,",",E73)</f>
        <v>MATH 252,ED2-AUTO</v>
      </c>
      <c r="B73" s="196" t="s">
        <v>998</v>
      </c>
      <c r="C73" s="196" t="str">
        <v>Calculus With Several Variables</v>
      </c>
      <c r="D73" s="196" t="n">
        <v>48</v>
      </c>
      <c r="E73" s="196" t="s">
        <v>40</v>
      </c>
      <c r="F73" s="196" t="s">
        <v>281</v>
      </c>
    </row>
    <row r="74" customFormat="false" ht="14.25" hidden="false" customHeight="false" outlineLevel="0" collapsed="false">
      <c r="A74" s="196" t="str">
        <f aca="false">CONCATENATE(F74,",",E74)</f>
        <v>ME 252,ED2-AUTO</v>
      </c>
      <c r="B74" s="196" t="s">
        <v>1051</v>
      </c>
      <c r="C74" s="196" t="str">
        <v>Fluid Dynamics I</v>
      </c>
      <c r="D74" s="196" t="n">
        <v>48</v>
      </c>
      <c r="E74" s="196" t="s">
        <v>40</v>
      </c>
      <c r="F74" s="196" t="s">
        <v>394</v>
      </c>
    </row>
    <row r="75" customFormat="false" ht="14.25" hidden="false" customHeight="false" outlineLevel="0" collapsed="false">
      <c r="A75" s="196" t="str">
        <f aca="false">CONCATENATE(F75,",",E75)</f>
        <v>ME 264,ED2-AUTO</v>
      </c>
      <c r="B75" s="196" t="s">
        <v>1023</v>
      </c>
      <c r="C75" s="196" t="str">
        <v>Mechanisms Synthesis And Analysis I</v>
      </c>
      <c r="D75" s="196" t="n">
        <v>48</v>
      </c>
      <c r="E75" s="196" t="s">
        <v>40</v>
      </c>
      <c r="F75" s="196" t="s">
        <v>151</v>
      </c>
    </row>
    <row r="76" customFormat="false" ht="14.25" hidden="false" customHeight="false" outlineLevel="0" collapsed="false">
      <c r="A76" s="196" t="str">
        <f aca="false">CONCATENATE(F76,",",E76)</f>
        <v>ME 270,ED2-AUTO</v>
      </c>
      <c r="B76" s="196" t="s">
        <v>1052</v>
      </c>
      <c r="C76" s="196" t="str">
        <v>Manufacturing Technology</v>
      </c>
      <c r="D76" s="196" t="n">
        <v>48</v>
      </c>
      <c r="E76" s="196" t="s">
        <v>40</v>
      </c>
      <c r="F76" s="196" t="s">
        <v>337</v>
      </c>
    </row>
    <row r="77" customFormat="false" ht="14.25" hidden="false" customHeight="false" outlineLevel="0" collapsed="false">
      <c r="A77" s="196" t="str">
        <f aca="false">CONCATENATE(F77,",",E77)</f>
        <v>AME 356,ED3-AUTO</v>
      </c>
      <c r="B77" s="196" t="s">
        <v>1053</v>
      </c>
      <c r="C77" s="196" t="str">
        <v>Land Vehicle Structures</v>
      </c>
      <c r="D77" s="196" t="n">
        <v>32</v>
      </c>
      <c r="E77" s="196" t="s">
        <v>23</v>
      </c>
      <c r="F77" s="196" t="s">
        <v>316</v>
      </c>
    </row>
    <row r="78" customFormat="false" ht="14.25" hidden="false" customHeight="false" outlineLevel="0" collapsed="false">
      <c r="A78" s="196" t="str">
        <f aca="false">CONCATENATE(F78,",",E78)</f>
        <v>AME 362,ED3-AUTO</v>
      </c>
      <c r="B78" s="196" t="s">
        <v>1054</v>
      </c>
      <c r="C78" s="196" t="str">
        <v>Vibrations For Automobile Engineers</v>
      </c>
      <c r="D78" s="196" t="n">
        <v>32</v>
      </c>
      <c r="E78" s="196" t="s">
        <v>23</v>
      </c>
      <c r="F78" s="196" t="s">
        <v>521</v>
      </c>
    </row>
    <row r="79" customFormat="false" ht="14.25" hidden="false" customHeight="false" outlineLevel="0" collapsed="false">
      <c r="A79" s="196" t="str">
        <f aca="false">CONCATENATE(F79,",",E79)</f>
        <v>AME 368,ED3-AUTO</v>
      </c>
      <c r="B79" s="196" t="s">
        <v>1055</v>
      </c>
      <c r="C79" s="196" t="str">
        <v>Automotive Spark-Ignition Engines</v>
      </c>
      <c r="D79" s="196" t="n">
        <v>32</v>
      </c>
      <c r="E79" s="196" t="s">
        <v>23</v>
      </c>
      <c r="F79" s="196" t="s">
        <v>165</v>
      </c>
    </row>
    <row r="80" customFormat="false" ht="14.25" hidden="false" customHeight="false" outlineLevel="0" collapsed="false">
      <c r="A80" s="196" t="str">
        <f aca="false">CONCATENATE(F80,",",E80)</f>
        <v>AME 376,ED3-AUTO</v>
      </c>
      <c r="B80" s="196" t="s">
        <v>1056</v>
      </c>
      <c r="C80" s="196" t="str">
        <v>Automotive Chassis</v>
      </c>
      <c r="D80" s="196" t="n">
        <v>32</v>
      </c>
      <c r="E80" s="196" t="s">
        <v>23</v>
      </c>
      <c r="F80" s="196" t="s">
        <v>22</v>
      </c>
    </row>
    <row r="81" customFormat="false" ht="14.25" hidden="false" customHeight="false" outlineLevel="0" collapsed="false">
      <c r="A81" s="196" t="str">
        <f aca="false">CONCATENATE(F81,",",E81)</f>
        <v>AME 386,ED3-AUTO</v>
      </c>
      <c r="B81" s="196" t="s">
        <v>1057</v>
      </c>
      <c r="C81" s="196" t="str">
        <v>Manual Power Train</v>
      </c>
      <c r="D81" s="196" t="n">
        <v>32</v>
      </c>
      <c r="E81" s="196" t="s">
        <v>23</v>
      </c>
      <c r="F81" s="196" t="s">
        <v>443</v>
      </c>
    </row>
    <row r="82" customFormat="false" ht="14.25" hidden="false" customHeight="false" outlineLevel="0" collapsed="false">
      <c r="A82" s="196" t="str">
        <f aca="false">CONCATENATE(F82,",",E82)</f>
        <v>AME 392,ED3-AUTO</v>
      </c>
      <c r="B82" s="196" t="s">
        <v>1030</v>
      </c>
      <c r="C82" s="196" t="str">
        <v>Industrial Engineering And Ergonomics</v>
      </c>
      <c r="D82" s="196" t="n">
        <v>32</v>
      </c>
      <c r="E82" s="196" t="s">
        <v>23</v>
      </c>
      <c r="F82" s="196" t="s">
        <v>241</v>
      </c>
    </row>
    <row r="83" customFormat="false" ht="14.25" hidden="false" customHeight="false" outlineLevel="0" collapsed="false">
      <c r="A83" s="196" t="str">
        <f aca="false">CONCATENATE(F83,",",E83)</f>
        <v>AME 396,ED3-AUTO</v>
      </c>
      <c r="B83" s="196" t="s">
        <v>1058</v>
      </c>
      <c r="C83" s="196" t="str">
        <v>Automobile Engineering Laboratory IV</v>
      </c>
      <c r="D83" s="196" t="n">
        <v>32</v>
      </c>
      <c r="E83" s="196" t="s">
        <v>23</v>
      </c>
      <c r="F83" s="196" t="s">
        <v>1059</v>
      </c>
    </row>
    <row r="84" customFormat="false" ht="14.25" hidden="false" customHeight="false" outlineLevel="0" collapsed="false">
      <c r="A84" s="196" t="str">
        <f aca="false">CONCATENATE(F84,",",E84)</f>
        <v>ME 384,ED3-AUTO</v>
      </c>
      <c r="B84" s="196" t="s">
        <v>1050</v>
      </c>
      <c r="C84" s="196" t="str">
        <v>Microprocessors And Mechatronics Applications</v>
      </c>
      <c r="D84" s="196" t="n">
        <v>32</v>
      </c>
      <c r="E84" s="196" t="s">
        <v>23</v>
      </c>
      <c r="F84" s="196" t="s">
        <v>1060</v>
      </c>
    </row>
    <row r="85" customFormat="false" ht="14.25" hidden="false" customHeight="false" outlineLevel="0" collapsed="false">
      <c r="A85" s="196" t="str">
        <f aca="false">CONCATENATE(F85,",",E85)</f>
        <v>AME 476,ED4-AUTO</v>
      </c>
      <c r="B85" s="196" t="s">
        <v>1061</v>
      </c>
      <c r="C85" s="196" t="str">
        <v>Modern Automobile Technology</v>
      </c>
      <c r="D85" s="196" t="n">
        <v>78</v>
      </c>
      <c r="E85" s="196" t="s">
        <v>97</v>
      </c>
      <c r="F85" s="196" t="s">
        <v>257</v>
      </c>
    </row>
    <row r="86" customFormat="false" ht="14.25" hidden="false" customHeight="false" outlineLevel="0" collapsed="false">
      <c r="A86" s="196" t="str">
        <f aca="false">CONCATENATE(F86,",",E86)</f>
        <v>AME 482,ED4-AUTO</v>
      </c>
      <c r="B86" s="196" t="s">
        <v>1062</v>
      </c>
      <c r="C86" s="196" t="str">
        <v>Special Vehicle Design</v>
      </c>
      <c r="D86" s="196" t="n">
        <v>78</v>
      </c>
      <c r="E86" s="196" t="s">
        <v>97</v>
      </c>
      <c r="F86" s="196" t="s">
        <v>96</v>
      </c>
    </row>
    <row r="87" customFormat="false" ht="14.25" hidden="false" customHeight="false" outlineLevel="0" collapsed="false">
      <c r="A87" s="196" t="str">
        <f aca="false">CONCATENATE(F87,",",E87)</f>
        <v>AME 496,ED4-AUTO</v>
      </c>
      <c r="B87" s="196" t="s">
        <v>1063</v>
      </c>
      <c r="C87" s="196" t="str">
        <v>Vehicle Maintenance And Regulation</v>
      </c>
      <c r="D87" s="196" t="n">
        <v>78</v>
      </c>
      <c r="E87" s="196" t="s">
        <v>97</v>
      </c>
      <c r="F87" s="196" t="s">
        <v>446</v>
      </c>
    </row>
    <row r="88" customFormat="false" ht="14.25" hidden="false" customHeight="false" outlineLevel="0" collapsed="false">
      <c r="A88" s="196" t="str">
        <f aca="false">CONCATENATE(F88,",",E88)</f>
        <v>AME 498,ED4-AUTO</v>
      </c>
      <c r="B88" s="196" t="s">
        <v>1064</v>
      </c>
      <c r="C88" s="196" t="e">
        <v>#N/A</v>
      </c>
      <c r="D88" s="196" t="n">
        <v>78</v>
      </c>
      <c r="E88" s="196" t="s">
        <v>97</v>
      </c>
      <c r="F88" s="196" t="s">
        <v>1065</v>
      </c>
    </row>
    <row r="89" customFormat="false" ht="14.25" hidden="false" customHeight="false" outlineLevel="0" collapsed="false">
      <c r="A89" s="196" t="str">
        <f aca="false">CONCATENATE(F89,",",E89)</f>
        <v>ME 456,ED4-AUTO</v>
      </c>
      <c r="B89" s="196" t="s">
        <v>1034</v>
      </c>
      <c r="C89" s="196" t="str">
        <v>Finite Element Methods</v>
      </c>
      <c r="D89" s="196" t="n">
        <v>78</v>
      </c>
      <c r="E89" s="196" t="s">
        <v>97</v>
      </c>
      <c r="F89" s="196" t="s">
        <v>183</v>
      </c>
    </row>
    <row r="90" customFormat="false" ht="14.25" hidden="false" customHeight="false" outlineLevel="0" collapsed="false">
      <c r="A90" s="196" t="str">
        <f aca="false">CONCATENATE(F90,",",E90)</f>
        <v>ME 492,ED4-AUTO</v>
      </c>
      <c r="B90" s="196" t="s">
        <v>1015</v>
      </c>
      <c r="C90" s="196" t="str">
        <v>Management And Entrepreneurship Development</v>
      </c>
      <c r="D90" s="196" t="n">
        <v>78</v>
      </c>
      <c r="E90" s="196" t="s">
        <v>97</v>
      </c>
      <c r="F90" s="196" t="s">
        <v>373</v>
      </c>
    </row>
    <row r="91" customFormat="false" ht="14.25" hidden="false" customHeight="false" outlineLevel="0" collapsed="false">
      <c r="A91" s="196" t="str">
        <f aca="false">CONCATENATE(F91,",",E91)</f>
        <v>COE 152,ED1-BME</v>
      </c>
      <c r="B91" s="196" t="s">
        <v>990</v>
      </c>
      <c r="C91" s="196" t="str">
        <v>Basic Electronics</v>
      </c>
      <c r="D91" s="196" t="n">
        <v>84</v>
      </c>
      <c r="E91" s="196" t="s">
        <v>130</v>
      </c>
      <c r="F91" s="196" t="s">
        <v>260</v>
      </c>
    </row>
    <row r="92" customFormat="false" ht="14.25" hidden="false" customHeight="false" outlineLevel="0" collapsed="false">
      <c r="A92" s="196" t="str">
        <f aca="false">CONCATENATE(F92,",",E92)</f>
        <v>ENGL 158,ED1-BME</v>
      </c>
      <c r="B92" s="196" t="s">
        <v>991</v>
      </c>
      <c r="C92" s="196" t="str">
        <v>Communication Skills II</v>
      </c>
      <c r="D92" s="196" t="n">
        <v>84</v>
      </c>
      <c r="E92" s="196" t="s">
        <v>130</v>
      </c>
      <c r="F92" s="196" t="s">
        <v>364</v>
      </c>
    </row>
    <row r="93" customFormat="false" ht="14.25" hidden="false" customHeight="false" outlineLevel="0" collapsed="false">
      <c r="A93" s="196" t="str">
        <f aca="false">CONCATENATE(F93,",",E93)</f>
        <v>COE 181,ED1-BME</v>
      </c>
      <c r="B93" s="196" t="s">
        <v>1066</v>
      </c>
      <c r="C93" s="196" t="str">
        <v>Applied Electricity</v>
      </c>
      <c r="D93" s="196" t="n">
        <v>84</v>
      </c>
      <c r="E93" s="196" t="s">
        <v>130</v>
      </c>
      <c r="F93" s="196" t="s">
        <v>1067</v>
      </c>
    </row>
    <row r="94" customFormat="false" ht="14.25" hidden="false" customHeight="false" outlineLevel="0" collapsed="false">
      <c r="A94" s="196" t="str">
        <f aca="false">CONCATENATE(F94,",",E94)</f>
        <v>MATH 152,ED1-BME</v>
      </c>
      <c r="B94" s="196" t="s">
        <v>992</v>
      </c>
      <c r="C94" s="196" t="str">
        <v>Calculus With Analysis</v>
      </c>
      <c r="D94" s="196" t="n">
        <v>84</v>
      </c>
      <c r="E94" s="196" t="s">
        <v>130</v>
      </c>
      <c r="F94" s="196" t="s">
        <v>129</v>
      </c>
    </row>
    <row r="95" customFormat="false" ht="14.25" hidden="false" customHeight="false" outlineLevel="0" collapsed="false">
      <c r="A95" s="196" t="str">
        <f aca="false">CONCATENATE(F95,",",E95)</f>
        <v>PHY 154,ED1-BME</v>
      </c>
      <c r="B95" s="196" t="s">
        <v>1068</v>
      </c>
      <c r="C95" s="196" t="str">
        <v>Properties Of Matter</v>
      </c>
      <c r="D95" s="196" t="n">
        <v>84</v>
      </c>
      <c r="E95" s="196" t="s">
        <v>130</v>
      </c>
      <c r="F95" s="196" t="s">
        <v>313</v>
      </c>
    </row>
    <row r="96" customFormat="false" ht="14.25" hidden="false" customHeight="false" outlineLevel="0" collapsed="false">
      <c r="A96" s="196" t="str">
        <f aca="false">CONCATENATE(F96,",",E96)</f>
        <v>ME 161,ED1-BME</v>
      </c>
      <c r="B96" s="196" t="s">
        <v>1069</v>
      </c>
      <c r="C96" s="196" t="str">
        <v>Basic Mechanics</v>
      </c>
      <c r="D96" s="196" t="n">
        <v>84</v>
      </c>
      <c r="E96" s="196" t="s">
        <v>130</v>
      </c>
      <c r="F96" s="196" t="s">
        <v>1070</v>
      </c>
    </row>
    <row r="97" customFormat="false" ht="14.25" hidden="false" customHeight="false" outlineLevel="0" collapsed="false">
      <c r="A97" s="196" t="str">
        <f aca="false">CONCATENATE(F97,",",E97)</f>
        <v>SOC 152,ED1-BME</v>
      </c>
      <c r="B97" s="196" t="s">
        <v>1071</v>
      </c>
      <c r="C97" s="196" t="str">
        <v>Introduction To Sociology II</v>
      </c>
      <c r="D97" s="196" t="n">
        <v>84</v>
      </c>
      <c r="E97" s="196" t="s">
        <v>130</v>
      </c>
      <c r="F97" s="196" t="s">
        <v>197</v>
      </c>
    </row>
    <row r="98" customFormat="false" ht="14.25" hidden="false" customHeight="false" outlineLevel="0" collapsed="false">
      <c r="A98" s="196" t="str">
        <f aca="false">CONCATENATE(F98,",",E98)</f>
        <v>BME 161,ED1-BME</v>
      </c>
      <c r="B98" s="196" t="s">
        <v>1072</v>
      </c>
      <c r="C98" s="196" t="str">
        <v>Cell Biology</v>
      </c>
      <c r="D98" s="196" t="n">
        <v>84</v>
      </c>
      <c r="E98" s="196" t="s">
        <v>130</v>
      </c>
      <c r="F98" s="196" t="s">
        <v>1073</v>
      </c>
    </row>
    <row r="99" customFormat="false" ht="14.25" hidden="false" customHeight="false" outlineLevel="0" collapsed="false">
      <c r="A99" s="196" t="str">
        <f aca="false">CONCATENATE(F99,",",E99)</f>
        <v>SSN 166,ED1-BME</v>
      </c>
      <c r="B99" s="196" t="s">
        <v>1074</v>
      </c>
      <c r="C99" s="196" t="str">
        <v>Biochemistry</v>
      </c>
      <c r="D99" s="196" t="n">
        <v>84</v>
      </c>
      <c r="E99" s="196" t="s">
        <v>130</v>
      </c>
      <c r="F99" s="196" t="s">
        <v>1075</v>
      </c>
    </row>
    <row r="100" customFormat="false" ht="14.25" hidden="false" customHeight="false" outlineLevel="0" collapsed="false">
      <c r="A100" s="196" t="str">
        <f aca="false">CONCATENATE(F100,",",E100)</f>
        <v>ME 166,ED1-BME</v>
      </c>
      <c r="B100" s="196" t="s">
        <v>1024</v>
      </c>
      <c r="C100" s="196" t="str">
        <v>THERMODYNAMICS I</v>
      </c>
      <c r="D100" s="196" t="n">
        <v>84</v>
      </c>
      <c r="E100" s="196" t="s">
        <v>130</v>
      </c>
      <c r="F100" s="196" t="s">
        <v>421</v>
      </c>
    </row>
    <row r="101" customFormat="false" ht="14.25" hidden="false" customHeight="false" outlineLevel="0" collapsed="false">
      <c r="A101" s="196" t="str">
        <f aca="false">CONCATENATE(F101,",",E101)</f>
        <v>BME 166,ED1-BME</v>
      </c>
      <c r="B101" s="196" t="s">
        <v>1074</v>
      </c>
      <c r="C101" s="196" t="str">
        <v>Biochemistry</v>
      </c>
      <c r="D101" s="196" t="n">
        <v>84</v>
      </c>
      <c r="E101" s="196" t="s">
        <v>130</v>
      </c>
      <c r="F101" s="196" t="s">
        <v>520</v>
      </c>
    </row>
    <row r="102" customFormat="false" ht="14.25" hidden="false" customHeight="false" outlineLevel="0" collapsed="false">
      <c r="A102" s="196" t="str">
        <f aca="false">CONCATENATE(F102,",",E102)</f>
        <v>ACF 256,ED2-BME</v>
      </c>
      <c r="B102" s="196" t="s">
        <v>1076</v>
      </c>
      <c r="C102" s="196" t="str">
        <v>Introduction to Financial Accounting II</v>
      </c>
      <c r="D102" s="196" t="n">
        <v>14</v>
      </c>
      <c r="E102" s="196" t="s">
        <v>109</v>
      </c>
      <c r="F102" s="196" t="s">
        <v>424</v>
      </c>
    </row>
    <row r="103" customFormat="false" ht="14.25" hidden="false" customHeight="false" outlineLevel="0" collapsed="false">
      <c r="A103" s="196" t="str">
        <f aca="false">CONCATENATE(F103,",",E103)</f>
        <v>BME 252,ED2-BME</v>
      </c>
      <c r="B103" s="196" t="s">
        <v>1077</v>
      </c>
      <c r="C103" s="196" t="str">
        <v>Biomedical Engineering Design II</v>
      </c>
      <c r="D103" s="196" t="n">
        <v>92</v>
      </c>
      <c r="E103" s="196" t="s">
        <v>109</v>
      </c>
      <c r="F103" s="196" t="s">
        <v>1078</v>
      </c>
    </row>
    <row r="104" customFormat="false" ht="14.25" hidden="false" customHeight="false" outlineLevel="0" collapsed="false">
      <c r="A104" s="196" t="str">
        <f aca="false">CONCATENATE(F104,",",E104)</f>
        <v>BME 286,ED2-BME</v>
      </c>
      <c r="B104" s="196" t="s">
        <v>1079</v>
      </c>
      <c r="C104" s="196" t="str">
        <v>Anatomy And Physiology For Engineers II</v>
      </c>
      <c r="D104" s="196" t="n">
        <v>92</v>
      </c>
      <c r="E104" s="196" t="s">
        <v>109</v>
      </c>
      <c r="F104" s="196" t="s">
        <v>522</v>
      </c>
    </row>
    <row r="105" customFormat="false" ht="14.25" hidden="false" customHeight="false" outlineLevel="0" collapsed="false">
      <c r="A105" s="196" t="str">
        <f aca="false">CONCATENATE(F105,",",E105)</f>
        <v>BME 288,ED2-BME</v>
      </c>
      <c r="B105" s="196" t="s">
        <v>1080</v>
      </c>
      <c r="C105" s="196" t="str">
        <v>Chemical Pathology</v>
      </c>
      <c r="D105" s="196" t="n">
        <v>92</v>
      </c>
      <c r="E105" s="196" t="s">
        <v>109</v>
      </c>
      <c r="F105" s="196" t="s">
        <v>1081</v>
      </c>
    </row>
    <row r="106" customFormat="false" ht="14.25" hidden="false" customHeight="false" outlineLevel="0" collapsed="false">
      <c r="A106" s="196" t="str">
        <f aca="false">CONCATENATE(F106,",",E106)</f>
        <v>COE 254,ED2-BME</v>
      </c>
      <c r="B106" s="196" t="s">
        <v>1082</v>
      </c>
      <c r="C106" s="196" t="str">
        <v>Object-Oriented Programming</v>
      </c>
      <c r="D106" s="196" t="n">
        <v>92</v>
      </c>
      <c r="E106" s="196" t="s">
        <v>109</v>
      </c>
      <c r="F106" s="196" t="s">
        <v>107</v>
      </c>
    </row>
    <row r="107" customFormat="false" ht="14.25" hidden="false" customHeight="false" outlineLevel="0" collapsed="false">
      <c r="A107" s="196" t="str">
        <f aca="false">CONCATENATE(F107,",",E107)</f>
        <v>COE 272,ED2-BME</v>
      </c>
      <c r="B107" s="196" t="s">
        <v>1083</v>
      </c>
      <c r="C107" s="196" t="str">
        <v>Digital Systems Design I</v>
      </c>
      <c r="D107" s="196" t="n">
        <v>92</v>
      </c>
      <c r="E107" s="196" t="s">
        <v>109</v>
      </c>
      <c r="F107" s="196" t="s">
        <v>377</v>
      </c>
    </row>
    <row r="108" customFormat="false" ht="14.25" hidden="false" customHeight="false" outlineLevel="0" collapsed="false">
      <c r="A108" s="196" t="str">
        <f aca="false">CONCATENATE(F108,",",E108)</f>
        <v>ECON 152,ED2-BME</v>
      </c>
      <c r="B108" s="196" t="s">
        <v>1084</v>
      </c>
      <c r="C108" s="196" t="str">
        <v>Elements Of Economics II</v>
      </c>
      <c r="D108" s="196" t="n">
        <v>12</v>
      </c>
      <c r="E108" s="196" t="s">
        <v>109</v>
      </c>
      <c r="F108" s="196" t="s">
        <v>406</v>
      </c>
    </row>
    <row r="109" customFormat="false" ht="14.25" hidden="false" customHeight="false" outlineLevel="0" collapsed="false">
      <c r="A109" s="196" t="str">
        <f aca="false">CONCATENATE(F109,",",E109)</f>
        <v>FC 182,ED2-BME</v>
      </c>
      <c r="B109" s="196" t="s">
        <v>1085</v>
      </c>
      <c r="C109" s="196" t="str">
        <v>French For Communication II</v>
      </c>
      <c r="D109" s="196" t="n">
        <v>66</v>
      </c>
      <c r="E109" s="196" t="s">
        <v>109</v>
      </c>
      <c r="F109" s="196" t="s">
        <v>245</v>
      </c>
    </row>
    <row r="110" customFormat="false" ht="14.25" hidden="false" customHeight="false" outlineLevel="0" collapsed="false">
      <c r="A110" s="196" t="str">
        <f aca="false">CONCATENATE(F110,",",E110)</f>
        <v>MATH 252,ED2-BME</v>
      </c>
      <c r="B110" s="196" t="s">
        <v>998</v>
      </c>
      <c r="C110" s="196" t="str">
        <v>Calculus With Several Variables</v>
      </c>
      <c r="D110" s="196" t="n">
        <v>92</v>
      </c>
      <c r="E110" s="196" t="s">
        <v>109</v>
      </c>
      <c r="F110" s="196" t="s">
        <v>281</v>
      </c>
    </row>
    <row r="111" customFormat="false" ht="14.25" hidden="false" customHeight="false" outlineLevel="0" collapsed="false">
      <c r="A111" s="196" t="str">
        <f aca="false">CONCATENATE(F111,",",E111)</f>
        <v>BME 362,ED3-BME</v>
      </c>
      <c r="B111" s="196" t="s">
        <v>1086</v>
      </c>
      <c r="C111" s="196" t="str">
        <v>Biomaterials I</v>
      </c>
      <c r="D111" s="196" t="n">
        <v>85</v>
      </c>
      <c r="E111" s="196" t="s">
        <v>65</v>
      </c>
      <c r="F111" s="196" t="s">
        <v>428</v>
      </c>
    </row>
    <row r="112" customFormat="false" ht="14.25" hidden="false" customHeight="false" outlineLevel="0" collapsed="false">
      <c r="A112" s="196" t="str">
        <f aca="false">CONCATENATE(F112,",",E112)</f>
        <v>BME 364,ED3-BME</v>
      </c>
      <c r="B112" s="196" t="s">
        <v>1087</v>
      </c>
      <c r="C112" s="196" t="str">
        <v>Medical Imaging I</v>
      </c>
      <c r="D112" s="196" t="n">
        <v>85</v>
      </c>
      <c r="E112" s="196" t="s">
        <v>65</v>
      </c>
      <c r="F112" s="196" t="s">
        <v>330</v>
      </c>
    </row>
    <row r="113" customFormat="false" ht="14.25" hidden="false" customHeight="false" outlineLevel="0" collapsed="false">
      <c r="A113" s="196" t="str">
        <f aca="false">CONCATENATE(F113,",",E113)</f>
        <v>BME 366,ED3-BME</v>
      </c>
      <c r="B113" s="196" t="s">
        <v>1088</v>
      </c>
      <c r="C113" s="196" t="str">
        <v>Biosignal Processes And Analysis</v>
      </c>
      <c r="D113" s="196" t="n">
        <v>85</v>
      </c>
      <c r="E113" s="196" t="s">
        <v>65</v>
      </c>
      <c r="F113" s="196" t="s">
        <v>368</v>
      </c>
    </row>
    <row r="114" customFormat="false" ht="14.25" hidden="false" customHeight="false" outlineLevel="0" collapsed="false">
      <c r="A114" s="196" t="str">
        <f aca="false">CONCATENATE(F114,",",E114)</f>
        <v>BME 372,ED3-BME</v>
      </c>
      <c r="B114" s="196" t="s">
        <v>1089</v>
      </c>
      <c r="C114" s="196" t="str">
        <v>Bioinstrumentation I</v>
      </c>
      <c r="D114" s="196" t="n">
        <v>85</v>
      </c>
      <c r="E114" s="196" t="s">
        <v>65</v>
      </c>
      <c r="F114" s="196" t="s">
        <v>64</v>
      </c>
    </row>
    <row r="115" customFormat="false" ht="14.25" hidden="false" customHeight="false" outlineLevel="0" collapsed="false">
      <c r="A115" s="196" t="str">
        <f aca="false">CONCATENATE(F115,",",E115)</f>
        <v>BME 374,ED3-BME</v>
      </c>
      <c r="B115" s="196" t="s">
        <v>1090</v>
      </c>
      <c r="C115" s="196" t="str">
        <v>Biomedical Optics</v>
      </c>
      <c r="D115" s="196" t="n">
        <v>85</v>
      </c>
      <c r="E115" s="196" t="s">
        <v>65</v>
      </c>
      <c r="F115" s="196" t="s">
        <v>503</v>
      </c>
    </row>
    <row r="116" customFormat="false" ht="14.25" hidden="false" customHeight="false" outlineLevel="0" collapsed="false">
      <c r="A116" s="196" t="str">
        <f aca="false">CONCATENATE(F116,",",E116)</f>
        <v>COE 358,ED3-BME</v>
      </c>
      <c r="B116" s="196" t="s">
        <v>1091</v>
      </c>
      <c r="C116" s="196" t="str">
        <v>Embedded Systems</v>
      </c>
      <c r="D116" s="196" t="n">
        <v>85</v>
      </c>
      <c r="E116" s="196" t="s">
        <v>65</v>
      </c>
      <c r="F116" s="196" t="s">
        <v>259</v>
      </c>
    </row>
    <row r="117" customFormat="false" ht="14.25" hidden="false" customHeight="false" outlineLevel="0" collapsed="false">
      <c r="A117" s="196" t="str">
        <f aca="false">CONCATENATE(F117,",",E117)</f>
        <v>BME 454,ED4-BME</v>
      </c>
      <c r="B117" s="196" t="s">
        <v>1092</v>
      </c>
      <c r="C117" s="196" t="str">
        <v>Medical Device Regulation</v>
      </c>
      <c r="D117" s="196" t="n">
        <v>61</v>
      </c>
      <c r="E117" s="196" t="s">
        <v>252</v>
      </c>
      <c r="F117" s="196" t="s">
        <v>320</v>
      </c>
    </row>
    <row r="118" customFormat="false" ht="14.25" hidden="false" customHeight="false" outlineLevel="0" collapsed="false">
      <c r="A118" s="196" t="str">
        <f aca="false">CONCATENATE(F118,",",E118)</f>
        <v>BME 462,ED4-BME</v>
      </c>
      <c r="B118" s="196" t="s">
        <v>1093</v>
      </c>
      <c r="C118" s="196" t="str">
        <v>Biomechanics II</v>
      </c>
      <c r="D118" s="196" t="n">
        <v>61</v>
      </c>
      <c r="E118" s="196" t="s">
        <v>252</v>
      </c>
      <c r="F118" s="196" t="s">
        <v>411</v>
      </c>
    </row>
    <row r="119" customFormat="false" ht="14.25" hidden="false" customHeight="false" outlineLevel="0" collapsed="false">
      <c r="A119" s="196" t="str">
        <f aca="false">CONCATENATE(F119,",",E119)</f>
        <v>COE 472,ED4-BME</v>
      </c>
      <c r="B119" s="196" t="s">
        <v>1094</v>
      </c>
      <c r="C119" s="196" t="str">
        <v>Digital Signal Processing</v>
      </c>
      <c r="D119" s="196" t="n">
        <v>61</v>
      </c>
      <c r="E119" s="196" t="s">
        <v>252</v>
      </c>
      <c r="F119" s="196" t="s">
        <v>250</v>
      </c>
    </row>
    <row r="120" customFormat="false" ht="14.25" hidden="false" customHeight="false" outlineLevel="0" collapsed="false">
      <c r="A120" s="196" t="str">
        <f aca="false">CONCATENATE(F120,",",E120)</f>
        <v>ME 492,ED4-BME</v>
      </c>
      <c r="B120" s="196" t="s">
        <v>1095</v>
      </c>
      <c r="C120" s="196" t="str">
        <v>Entrepreneurship Development</v>
      </c>
      <c r="D120" s="196" t="n">
        <v>61</v>
      </c>
      <c r="E120" s="196" t="s">
        <v>252</v>
      </c>
      <c r="F120" s="196" t="s">
        <v>373</v>
      </c>
    </row>
    <row r="121" customFormat="false" ht="14.25" hidden="false" customHeight="false" outlineLevel="0" collapsed="false">
      <c r="A121" s="196" t="str">
        <f aca="false">CONCATENATE(F121,",",E121)</f>
        <v>ARC 156,ED1-CE</v>
      </c>
      <c r="B121" s="196" t="s">
        <v>1096</v>
      </c>
      <c r="C121" s="196" t="str">
        <v>Introduction To Lighting And Acoustics</v>
      </c>
      <c r="D121" s="196" t="n">
        <v>53</v>
      </c>
      <c r="E121" s="196" t="s">
        <v>75</v>
      </c>
      <c r="F121" s="196" t="s">
        <v>89</v>
      </c>
    </row>
    <row r="122" customFormat="false" ht="14.25" hidden="false" customHeight="false" outlineLevel="0" collapsed="false">
      <c r="A122" s="196" t="str">
        <f aca="false">CONCATENATE(F122,",",E122)</f>
        <v>CE 154,ED1-CE</v>
      </c>
      <c r="B122" s="196" t="s">
        <v>1097</v>
      </c>
      <c r="C122" s="196" t="str">
        <v>Properties Of CIVil Engineering Material</v>
      </c>
      <c r="D122" s="196" t="n">
        <v>260</v>
      </c>
      <c r="E122" s="196" t="s">
        <v>75</v>
      </c>
      <c r="F122" s="196" t="s">
        <v>74</v>
      </c>
    </row>
    <row r="123" customFormat="false" ht="14.25" hidden="false" customHeight="false" outlineLevel="0" collapsed="false">
      <c r="A123" s="196" t="str">
        <f aca="false">CONCATENATE(F123,",",E123)</f>
        <v>CE 156,ED1-CE</v>
      </c>
      <c r="B123" s="196" t="s">
        <v>1098</v>
      </c>
      <c r="C123" s="196" t="str">
        <v>Elementary Fluids Mechanics</v>
      </c>
      <c r="D123" s="196" t="n">
        <v>260</v>
      </c>
      <c r="E123" s="196" t="s">
        <v>75</v>
      </c>
      <c r="F123" s="196" t="s">
        <v>461</v>
      </c>
    </row>
    <row r="124" customFormat="false" ht="14.25" hidden="false" customHeight="false" outlineLevel="0" collapsed="false">
      <c r="A124" s="196" t="str">
        <f aca="false">CONCATENATE(F124,",",E124)</f>
        <v>CE 164,ED1-CE</v>
      </c>
      <c r="B124" s="196" t="s">
        <v>1099</v>
      </c>
      <c r="C124" s="196" t="str">
        <v>CIVil Engineering Drawing</v>
      </c>
      <c r="D124" s="196" t="n">
        <v>260</v>
      </c>
      <c r="E124" s="196" t="s">
        <v>75</v>
      </c>
      <c r="F124" s="196" t="s">
        <v>182</v>
      </c>
    </row>
    <row r="125" customFormat="false" ht="14.25" hidden="false" customHeight="false" outlineLevel="0" collapsed="false">
      <c r="A125" s="196" t="str">
        <f aca="false">CONCATENATE(F125,",",E125)</f>
        <v>ECON 152,ED1-CE</v>
      </c>
      <c r="B125" s="196" t="s">
        <v>1100</v>
      </c>
      <c r="C125" s="196" t="str">
        <v>Introduction To Economics II</v>
      </c>
      <c r="D125" s="196" t="n">
        <v>32</v>
      </c>
      <c r="E125" s="196" t="s">
        <v>75</v>
      </c>
      <c r="F125" s="196" t="s">
        <v>406</v>
      </c>
    </row>
    <row r="126" customFormat="false" ht="14.25" hidden="false" customHeight="false" outlineLevel="0" collapsed="false">
      <c r="A126" s="196" t="str">
        <f aca="false">CONCATENATE(F126,",",E126)</f>
        <v>EE 152,ED1-CE</v>
      </c>
      <c r="B126" s="196" t="s">
        <v>990</v>
      </c>
      <c r="C126" s="196" t="str">
        <v>Basic Electronics</v>
      </c>
      <c r="D126" s="196" t="n">
        <v>260</v>
      </c>
      <c r="E126" s="196" t="s">
        <v>75</v>
      </c>
      <c r="F126" s="196" t="s">
        <v>234</v>
      </c>
    </row>
    <row r="127" customFormat="false" ht="14.25" hidden="false" customHeight="false" outlineLevel="0" collapsed="false">
      <c r="A127" s="196" t="str">
        <f aca="false">CONCATENATE(F127,",",E127)</f>
        <v>ENGL 158,ED1-CE</v>
      </c>
      <c r="B127" s="196" t="s">
        <v>991</v>
      </c>
      <c r="C127" s="196" t="str">
        <v>Communication Skills II</v>
      </c>
      <c r="D127" s="196" t="n">
        <v>260</v>
      </c>
      <c r="E127" s="196" t="s">
        <v>75</v>
      </c>
      <c r="F127" s="196" t="s">
        <v>364</v>
      </c>
    </row>
    <row r="128" customFormat="false" ht="14.25" hidden="false" customHeight="false" outlineLevel="0" collapsed="false">
      <c r="A128" s="196" t="str">
        <f aca="false">CONCATENATE(F128,",",E128)</f>
        <v>FC 182,ED1-CE</v>
      </c>
      <c r="B128" s="196" t="s">
        <v>1085</v>
      </c>
      <c r="C128" s="196" t="str">
        <v>French For Communication II</v>
      </c>
      <c r="D128" s="196" t="n">
        <v>175</v>
      </c>
      <c r="E128" s="196" t="s">
        <v>75</v>
      </c>
      <c r="F128" s="196" t="s">
        <v>245</v>
      </c>
    </row>
    <row r="129" customFormat="false" ht="14.25" hidden="false" customHeight="false" outlineLevel="0" collapsed="false">
      <c r="A129" s="196" t="str">
        <f aca="false">CONCATENATE(F129,",",E129)</f>
        <v>MATH 152,ED1-CE</v>
      </c>
      <c r="B129" s="196" t="s">
        <v>998</v>
      </c>
      <c r="C129" s="196" t="str">
        <v>Calculus With Several Variables</v>
      </c>
      <c r="D129" s="196" t="n">
        <v>260</v>
      </c>
      <c r="E129" s="196" t="s">
        <v>75</v>
      </c>
      <c r="F129" s="196" t="s">
        <v>129</v>
      </c>
    </row>
    <row r="130" customFormat="false" ht="14.25" hidden="false" customHeight="false" outlineLevel="0" collapsed="false">
      <c r="A130" s="196" t="str">
        <f aca="false">CONCATENATE(F130,",",E130)</f>
        <v>CE 256,ED2-CE</v>
      </c>
      <c r="B130" s="196" t="s">
        <v>1101</v>
      </c>
      <c r="C130" s="196" t="str">
        <v>Fluid Mechanics</v>
      </c>
      <c r="D130" s="196" t="n">
        <v>227</v>
      </c>
      <c r="E130" s="196" t="s">
        <v>56</v>
      </c>
      <c r="F130" s="196" t="s">
        <v>54</v>
      </c>
    </row>
    <row r="131" customFormat="false" ht="14.25" hidden="false" customHeight="false" outlineLevel="0" collapsed="false">
      <c r="A131" s="196" t="str">
        <f aca="false">CONCATENATE(F131,",",E131)</f>
        <v>CE 258,ED2-CE</v>
      </c>
      <c r="B131" s="196" t="s">
        <v>1102</v>
      </c>
      <c r="C131" s="196" t="str">
        <v>Structural Analysis</v>
      </c>
      <c r="D131" s="196" t="n">
        <v>227</v>
      </c>
      <c r="E131" s="196" t="s">
        <v>56</v>
      </c>
      <c r="F131" s="196" t="s">
        <v>215</v>
      </c>
    </row>
    <row r="132" customFormat="false" ht="14.25" hidden="false" customHeight="false" outlineLevel="0" collapsed="false">
      <c r="A132" s="196" t="str">
        <f aca="false">CONCATENATE(F132,",",E132)</f>
        <v>CE 260,ED2-CE</v>
      </c>
      <c r="B132" s="196" t="s">
        <v>1103</v>
      </c>
      <c r="C132" s="196" t="str">
        <v>Soil And Rock Mechanics</v>
      </c>
      <c r="D132" s="196" t="n">
        <v>227</v>
      </c>
      <c r="E132" s="196" t="s">
        <v>56</v>
      </c>
      <c r="F132" s="196" t="s">
        <v>367</v>
      </c>
    </row>
    <row r="133" customFormat="false" ht="14.25" hidden="false" customHeight="false" outlineLevel="0" collapsed="false">
      <c r="A133" s="196" t="str">
        <f aca="false">CONCATENATE(F133,",",E133)</f>
        <v>CE 262,ED2-CE</v>
      </c>
      <c r="B133" s="196" t="s">
        <v>1104</v>
      </c>
      <c r="C133" s="196" t="str">
        <v>Soil And Rocks Mechanics Laboratory</v>
      </c>
      <c r="D133" s="196" t="n">
        <v>227</v>
      </c>
      <c r="E133" s="196" t="s">
        <v>56</v>
      </c>
      <c r="F133" s="196" t="s">
        <v>138</v>
      </c>
    </row>
    <row r="134" customFormat="false" ht="14.25" hidden="false" customHeight="false" outlineLevel="0" collapsed="false">
      <c r="A134" s="196" t="str">
        <f aca="false">CONCATENATE(F134,",",E134)</f>
        <v>CE 264,ED2-CE</v>
      </c>
      <c r="B134" s="196" t="s">
        <v>1105</v>
      </c>
      <c r="C134" s="196" t="str">
        <v>Intro To Environmental Eng.</v>
      </c>
      <c r="D134" s="196" t="n">
        <v>227</v>
      </c>
      <c r="E134" s="196" t="s">
        <v>56</v>
      </c>
      <c r="F134" s="196" t="s">
        <v>278</v>
      </c>
    </row>
    <row r="135" customFormat="false" ht="14.25" hidden="false" customHeight="false" outlineLevel="0" collapsed="false">
      <c r="A135" s="196" t="str">
        <f aca="false">CONCATENATE(F135,",",E135)</f>
        <v>CE 272,ED2-CE</v>
      </c>
      <c r="B135" s="196" t="s">
        <v>1106</v>
      </c>
      <c r="C135" s="196" t="str">
        <v>Principle Of Design</v>
      </c>
      <c r="D135" s="196" t="n">
        <v>227</v>
      </c>
      <c r="E135" s="196" t="s">
        <v>56</v>
      </c>
      <c r="F135" s="196" t="s">
        <v>459</v>
      </c>
    </row>
    <row r="136" customFormat="false" ht="14.25" hidden="false" customHeight="false" outlineLevel="0" collapsed="false">
      <c r="A136" s="196" t="str">
        <f aca="false">CONCATENATE(F136,",",E136)</f>
        <v>GE 282,ED2-CE</v>
      </c>
      <c r="B136" s="196" t="s">
        <v>1107</v>
      </c>
      <c r="C136" s="196" t="str">
        <v>Large Scale Surveying</v>
      </c>
      <c r="D136" s="196" t="n">
        <v>227</v>
      </c>
      <c r="E136" s="196" t="s">
        <v>56</v>
      </c>
      <c r="F136" s="196" t="s">
        <v>489</v>
      </c>
    </row>
    <row r="137" customFormat="false" ht="14.25" hidden="false" customHeight="false" outlineLevel="0" collapsed="false">
      <c r="A137" s="196" t="str">
        <f aca="false">CONCATENATE(F137,",",E137)</f>
        <v>MATH 252,ED2-CE</v>
      </c>
      <c r="B137" s="196" t="s">
        <v>998</v>
      </c>
      <c r="C137" s="196" t="str">
        <v>Calculus With Several Variables</v>
      </c>
      <c r="D137" s="196" t="n">
        <v>227</v>
      </c>
      <c r="E137" s="196" t="s">
        <v>56</v>
      </c>
      <c r="F137" s="196" t="s">
        <v>281</v>
      </c>
    </row>
    <row r="138" customFormat="false" ht="14.25" hidden="false" customHeight="false" outlineLevel="0" collapsed="false">
      <c r="A138" s="196" t="str">
        <f aca="false">CONCATENATE(F138,",",E138)</f>
        <v>CE 352,ED3-CE</v>
      </c>
      <c r="B138" s="196" t="s">
        <v>1108</v>
      </c>
      <c r="C138" s="196" t="str">
        <v>Steel And Timber Design</v>
      </c>
      <c r="D138" s="196" t="n">
        <v>254</v>
      </c>
      <c r="E138" s="196" t="s">
        <v>157</v>
      </c>
      <c r="F138" s="196" t="s">
        <v>400</v>
      </c>
    </row>
    <row r="139" customFormat="false" ht="14.25" hidden="false" customHeight="false" outlineLevel="0" collapsed="false">
      <c r="A139" s="196" t="str">
        <f aca="false">CONCATENATE(F139,",",E139)</f>
        <v>CE 356,ED3-CE</v>
      </c>
      <c r="B139" s="196" t="s">
        <v>1109</v>
      </c>
      <c r="C139" s="196" t="str">
        <v>Hydraulic Engineering</v>
      </c>
      <c r="D139" s="196" t="n">
        <v>254</v>
      </c>
      <c r="E139" s="196" t="s">
        <v>157</v>
      </c>
      <c r="F139" s="196" t="s">
        <v>291</v>
      </c>
    </row>
    <row r="140" customFormat="false" ht="14.25" hidden="false" customHeight="false" outlineLevel="0" collapsed="false">
      <c r="A140" s="196" t="str">
        <f aca="false">CONCATENATE(F140,",",E140)</f>
        <v>CE 360,ED3-CE</v>
      </c>
      <c r="B140" s="196" t="s">
        <v>1110</v>
      </c>
      <c r="C140" s="196" t="str">
        <v>Foundation Engineering</v>
      </c>
      <c r="D140" s="196" t="n">
        <v>254</v>
      </c>
      <c r="E140" s="196" t="s">
        <v>157</v>
      </c>
      <c r="F140" s="196" t="s">
        <v>336</v>
      </c>
    </row>
    <row r="141" customFormat="false" ht="14.25" hidden="false" customHeight="false" outlineLevel="0" collapsed="false">
      <c r="A141" s="196" t="str">
        <f aca="false">CONCATENATE(F141,",",E141)</f>
        <v>CE 364,ED3-CE</v>
      </c>
      <c r="B141" s="196" t="s">
        <v>1111</v>
      </c>
      <c r="C141" s="196" t="str">
        <v>Environmental Quality Engineering</v>
      </c>
      <c r="D141" s="196" t="n">
        <v>254</v>
      </c>
      <c r="E141" s="196" t="s">
        <v>157</v>
      </c>
      <c r="F141" s="196" t="s">
        <v>156</v>
      </c>
    </row>
    <row r="142" customFormat="false" ht="14.25" hidden="false" customHeight="false" outlineLevel="0" collapsed="false">
      <c r="A142" s="196" t="str">
        <f aca="false">CONCATENATE(F142,",",E142)</f>
        <v>CE 368,ED3-CE</v>
      </c>
      <c r="B142" s="196" t="s">
        <v>1112</v>
      </c>
      <c r="C142" s="196" t="str">
        <v>Highway Engineering</v>
      </c>
      <c r="D142" s="196" t="n">
        <v>254</v>
      </c>
      <c r="E142" s="196" t="s">
        <v>157</v>
      </c>
      <c r="F142" s="196" t="s">
        <v>378</v>
      </c>
    </row>
    <row r="143" customFormat="false" ht="14.25" hidden="false" customHeight="false" outlineLevel="0" collapsed="false">
      <c r="A143" s="196" t="str">
        <f aca="false">CONCATENATE(F143,",",E143)</f>
        <v>CE 376,ED3-CE</v>
      </c>
      <c r="B143" s="196" t="s">
        <v>1113</v>
      </c>
      <c r="C143" s="196" t="str">
        <v>Quantities And Cost Estimation In CIVil Engineering</v>
      </c>
      <c r="D143" s="196" t="n">
        <v>254</v>
      </c>
      <c r="E143" s="196" t="s">
        <v>157</v>
      </c>
      <c r="F143" s="196" t="s">
        <v>495</v>
      </c>
    </row>
    <row r="144" customFormat="false" ht="14.25" hidden="false" customHeight="false" outlineLevel="0" collapsed="false">
      <c r="A144" s="196" t="str">
        <f aca="false">CONCATENATE(F144,",",E144)</f>
        <v>CE 378,ED3-CE</v>
      </c>
      <c r="B144" s="196" t="s">
        <v>1114</v>
      </c>
      <c r="C144" s="196" t="str">
        <v>Integrated Design</v>
      </c>
      <c r="D144" s="196" t="n">
        <v>254</v>
      </c>
      <c r="E144" s="196" t="s">
        <v>157</v>
      </c>
      <c r="F144" s="196" t="s">
        <v>1115</v>
      </c>
    </row>
    <row r="145" customFormat="false" ht="14.25" hidden="false" customHeight="false" outlineLevel="0" collapsed="false">
      <c r="A145" s="196" t="str">
        <f aca="false">CONCATENATE(F145,",",E145)</f>
        <v>CE 390,ED3-CE</v>
      </c>
      <c r="B145" s="196" t="s">
        <v>1116</v>
      </c>
      <c r="C145" s="196" t="str">
        <v>Road Design And Material Evoloution Laboratory</v>
      </c>
      <c r="D145" s="196" t="n">
        <v>254</v>
      </c>
      <c r="E145" s="196" t="s">
        <v>157</v>
      </c>
      <c r="F145" s="196" t="s">
        <v>1117</v>
      </c>
    </row>
    <row r="146" customFormat="false" ht="14.25" hidden="false" customHeight="false" outlineLevel="0" collapsed="false">
      <c r="A146" s="196" t="str">
        <f aca="false">CONCATENATE(F146,",",E146)</f>
        <v>CE 452,ED4-CE</v>
      </c>
      <c r="B146" s="196" t="s">
        <v>1118</v>
      </c>
      <c r="C146" s="196" t="str">
        <v>Computer Applications in Civil Engineering</v>
      </c>
      <c r="D146" s="196" t="n">
        <v>254</v>
      </c>
      <c r="E146" s="196" t="s">
        <v>103</v>
      </c>
      <c r="F146" s="196" t="s">
        <v>328</v>
      </c>
    </row>
    <row r="147" customFormat="false" ht="14.25" hidden="false" customHeight="false" outlineLevel="0" collapsed="false">
      <c r="A147" s="196" t="str">
        <f aca="false">CONCATENATE(F147,",",E147)</f>
        <v>CE 456,ED4-CE</v>
      </c>
      <c r="B147" s="196" t="s">
        <v>1119</v>
      </c>
      <c r="C147" s="196" t="str">
        <v>Structural Dynamics</v>
      </c>
      <c r="D147" s="196" t="n">
        <v>103</v>
      </c>
      <c r="E147" s="196" t="s">
        <v>103</v>
      </c>
      <c r="F147" s="196" t="s">
        <v>469</v>
      </c>
    </row>
    <row r="148" customFormat="false" ht="14.25" hidden="false" customHeight="false" outlineLevel="0" collapsed="false">
      <c r="A148" s="196" t="str">
        <f aca="false">CONCATENATE(F148,",",E148)</f>
        <v>CE 458,ED4-CE</v>
      </c>
      <c r="B148" s="196" t="s">
        <v>1120</v>
      </c>
      <c r="C148" s="196" t="str">
        <v>Water Resources Engineering II</v>
      </c>
      <c r="D148" s="196" t="n">
        <v>139</v>
      </c>
      <c r="E148" s="196" t="s">
        <v>103</v>
      </c>
      <c r="F148" s="196" t="s">
        <v>384</v>
      </c>
    </row>
    <row r="149" customFormat="false" ht="14.25" hidden="false" customHeight="false" outlineLevel="0" collapsed="false">
      <c r="A149" s="196" t="str">
        <f aca="false">CONCATENATE(F149,",",E149)</f>
        <v>CE 462,ED4-CE</v>
      </c>
      <c r="B149" s="196" t="s">
        <v>1121</v>
      </c>
      <c r="C149" s="196" t="str">
        <v>Construction Management</v>
      </c>
      <c r="D149" s="196" t="n">
        <v>255</v>
      </c>
      <c r="E149" s="196" t="s">
        <v>103</v>
      </c>
      <c r="F149" s="196" t="s">
        <v>404</v>
      </c>
    </row>
    <row r="150" customFormat="false" ht="14.25" hidden="false" customHeight="false" outlineLevel="0" collapsed="false">
      <c r="A150" s="196" t="str">
        <f aca="false">CONCATENATE(F150,",",E150)</f>
        <v>CE 464,ED4-CE</v>
      </c>
      <c r="B150" s="196" t="s">
        <v>1122</v>
      </c>
      <c r="C150" s="196" t="str">
        <v>Environmental Quality Engineering II</v>
      </c>
      <c r="D150" s="196" t="n">
        <v>196</v>
      </c>
      <c r="E150" s="196" t="s">
        <v>103</v>
      </c>
      <c r="F150" s="196" t="s">
        <v>102</v>
      </c>
    </row>
    <row r="151" customFormat="false" ht="14.25" hidden="false" customHeight="false" outlineLevel="0" collapsed="false">
      <c r="A151" s="196" t="str">
        <f aca="false">CONCATENATE(F151,",",E151)</f>
        <v>CE 468,ED4-CE</v>
      </c>
      <c r="B151" s="196" t="s">
        <v>1123</v>
      </c>
      <c r="C151" s="196" t="str">
        <v>Transportation Engineering</v>
      </c>
      <c r="D151" s="196" t="n">
        <v>120</v>
      </c>
      <c r="E151" s="196" t="s">
        <v>103</v>
      </c>
      <c r="F151" s="196" t="s">
        <v>155</v>
      </c>
    </row>
    <row r="152" customFormat="false" ht="14.25" hidden="false" customHeight="false" outlineLevel="0" collapsed="false">
      <c r="A152" s="196" t="str">
        <f aca="false">CONCATENATE(F152,",",E152)</f>
        <v>CE 476,ED4-CE</v>
      </c>
      <c r="B152" s="196" t="s">
        <v>1124</v>
      </c>
      <c r="C152" s="196" t="str">
        <v>System Engineering II</v>
      </c>
      <c r="D152" s="196" t="n">
        <v>98</v>
      </c>
      <c r="E152" s="196" t="s">
        <v>103</v>
      </c>
      <c r="F152" s="196" t="s">
        <v>346</v>
      </c>
    </row>
    <row r="153" customFormat="false" ht="14.25" hidden="false" customHeight="false" outlineLevel="0" collapsed="false">
      <c r="A153" s="196" t="str">
        <f aca="false">CONCATENATE(F153,",",E153)</f>
        <v>CE 478,ED4-CE</v>
      </c>
      <c r="B153" s="196" t="s">
        <v>1125</v>
      </c>
      <c r="C153" s="196" t="str">
        <v>Ground Engineering</v>
      </c>
      <c r="D153" s="196" t="n">
        <v>86</v>
      </c>
      <c r="E153" s="196" t="s">
        <v>103</v>
      </c>
      <c r="F153" s="196" t="s">
        <v>270</v>
      </c>
    </row>
    <row r="154" customFormat="false" ht="14.25" hidden="false" customHeight="false" outlineLevel="0" collapsed="false">
      <c r="A154" s="196" t="str">
        <f aca="false">CONCATENATE(F154,",",E154)</f>
        <v>CE 480,ED4-CE</v>
      </c>
      <c r="B154" s="196" t="s">
        <v>1126</v>
      </c>
      <c r="C154" s="196" t="str">
        <v>Finite Element Analysis</v>
      </c>
      <c r="D154" s="196" t="n">
        <v>19</v>
      </c>
      <c r="E154" s="196" t="s">
        <v>103</v>
      </c>
      <c r="F154" s="196" t="s">
        <v>205</v>
      </c>
    </row>
    <row r="155" customFormat="false" ht="14.25" hidden="false" customHeight="false" outlineLevel="0" collapsed="false">
      <c r="A155" s="196" t="str">
        <f aca="false">CONCATENATE(F155,",",E155)</f>
        <v>CHE 156,ED1-CHE</v>
      </c>
      <c r="B155" s="196" t="s">
        <v>1127</v>
      </c>
      <c r="C155" s="196" t="str">
        <v>Physical Chemistry For Engineers</v>
      </c>
      <c r="D155" s="196" t="n">
        <v>152</v>
      </c>
      <c r="E155" s="196" t="s">
        <v>80</v>
      </c>
      <c r="F155" s="196" t="s">
        <v>302</v>
      </c>
    </row>
    <row r="156" customFormat="false" ht="14.25" hidden="false" customHeight="false" outlineLevel="0" collapsed="false">
      <c r="A156" s="196" t="str">
        <f aca="false">CONCATENATE(F156,",",E156)</f>
        <v>CHE 158,ED1-CHE</v>
      </c>
      <c r="B156" s="196" t="s">
        <v>987</v>
      </c>
      <c r="C156" s="196" t="str">
        <v>Introduction To Information Technology</v>
      </c>
      <c r="D156" s="196" t="n">
        <v>152</v>
      </c>
      <c r="E156" s="196" t="s">
        <v>80</v>
      </c>
      <c r="F156" s="196" t="s">
        <v>186</v>
      </c>
    </row>
    <row r="157" customFormat="false" ht="14.25" hidden="false" customHeight="false" outlineLevel="0" collapsed="false">
      <c r="A157" s="196" t="str">
        <f aca="false">CONCATENATE(F157,",",E157)</f>
        <v>EE 152,ED1-CHE</v>
      </c>
      <c r="B157" s="196" t="s">
        <v>990</v>
      </c>
      <c r="C157" s="196" t="str">
        <v>Basic Electronics</v>
      </c>
      <c r="D157" s="196" t="n">
        <v>152</v>
      </c>
      <c r="E157" s="196" t="s">
        <v>80</v>
      </c>
      <c r="F157" s="196" t="s">
        <v>234</v>
      </c>
    </row>
    <row r="158" customFormat="false" ht="14.25" hidden="false" customHeight="false" outlineLevel="0" collapsed="false">
      <c r="A158" s="196" t="str">
        <f aca="false">CONCATENATE(F158,",",E158)</f>
        <v>ENGL 158,ED1-CHE</v>
      </c>
      <c r="B158" s="196" t="s">
        <v>1128</v>
      </c>
      <c r="C158" s="196" t="str">
        <v>Communication Skills II</v>
      </c>
      <c r="D158" s="196" t="n">
        <v>152</v>
      </c>
      <c r="E158" s="196" t="s">
        <v>80</v>
      </c>
      <c r="F158" s="196" t="s">
        <v>364</v>
      </c>
    </row>
    <row r="159" customFormat="false" ht="14.25" hidden="false" customHeight="false" outlineLevel="0" collapsed="false">
      <c r="A159" s="196" t="str">
        <f aca="false">CONCATENATE(F159,",",E159)</f>
        <v>MATH 152,ED1-CHE</v>
      </c>
      <c r="B159" s="196" t="s">
        <v>992</v>
      </c>
      <c r="C159" s="196" t="str">
        <v>Calculus With Analysis</v>
      </c>
      <c r="D159" s="196" t="n">
        <v>152</v>
      </c>
      <c r="E159" s="196" t="s">
        <v>80</v>
      </c>
      <c r="F159" s="196" t="s">
        <v>129</v>
      </c>
    </row>
    <row r="160" customFormat="false" ht="14.25" hidden="false" customHeight="false" outlineLevel="0" collapsed="false">
      <c r="A160" s="196" t="str">
        <f aca="false">CONCATENATE(F160,",",E160)</f>
        <v>ME 162,ED1-CHE</v>
      </c>
      <c r="B160" s="196" t="s">
        <v>994</v>
      </c>
      <c r="C160" s="196" t="str">
        <v>Basic Mechanics</v>
      </c>
      <c r="D160" s="196" t="n">
        <v>152</v>
      </c>
      <c r="E160" s="196" t="s">
        <v>80</v>
      </c>
      <c r="F160" s="196" t="s">
        <v>392</v>
      </c>
    </row>
    <row r="161" customFormat="false" ht="14.25" hidden="false" customHeight="false" outlineLevel="0" collapsed="false">
      <c r="A161" s="196" t="str">
        <f aca="false">CONCATENATE(F161,",",E161)</f>
        <v>PHY 170,ED1-CHE</v>
      </c>
      <c r="B161" s="196" t="s">
        <v>1129</v>
      </c>
      <c r="C161" s="196" t="str">
        <v>General Physics</v>
      </c>
      <c r="D161" s="196" t="n">
        <v>152</v>
      </c>
      <c r="E161" s="196" t="s">
        <v>80</v>
      </c>
      <c r="F161" s="196" t="s">
        <v>79</v>
      </c>
    </row>
    <row r="162" customFormat="false" ht="14.25" hidden="false" customHeight="false" outlineLevel="0" collapsed="false">
      <c r="A162" s="196" t="str">
        <f aca="false">CONCATENATE(F162,",",E162)</f>
        <v>CHE 250,ED2-CHE</v>
      </c>
      <c r="B162" s="196" t="s">
        <v>1130</v>
      </c>
      <c r="C162" s="196" t="str">
        <v>Strength Of Materials For Chemical Engineers</v>
      </c>
      <c r="D162" s="196" t="n">
        <v>117</v>
      </c>
      <c r="E162" s="196" t="s">
        <v>13</v>
      </c>
      <c r="F162" s="196" t="s">
        <v>338</v>
      </c>
    </row>
    <row r="163" customFormat="false" ht="14.25" hidden="false" customHeight="false" outlineLevel="0" collapsed="false">
      <c r="A163" s="196" t="str">
        <f aca="false">CONCATENATE(F163,",",E163)</f>
        <v>CHE 252,ED2-CHE</v>
      </c>
      <c r="B163" s="196" t="s">
        <v>1131</v>
      </c>
      <c r="C163" s="196" t="str">
        <v>Chemical Process Calculations II</v>
      </c>
      <c r="D163" s="196" t="n">
        <v>117</v>
      </c>
      <c r="E163" s="196" t="s">
        <v>13</v>
      </c>
      <c r="F163" s="196" t="s">
        <v>297</v>
      </c>
    </row>
    <row r="164" customFormat="false" ht="14.25" hidden="false" customHeight="false" outlineLevel="0" collapsed="false">
      <c r="A164" s="196" t="str">
        <f aca="false">CONCATENATE(F164,",",E164)</f>
        <v>CHE 254,ED2-CHE</v>
      </c>
      <c r="B164" s="196" t="s">
        <v>1132</v>
      </c>
      <c r="C164" s="196" t="str">
        <v>Chemical Engineering Thermodynamics II</v>
      </c>
      <c r="D164" s="196" t="n">
        <v>117</v>
      </c>
      <c r="E164" s="196" t="s">
        <v>13</v>
      </c>
      <c r="F164" s="196" t="s">
        <v>397</v>
      </c>
    </row>
    <row r="165" customFormat="false" ht="14.25" hidden="false" customHeight="false" outlineLevel="0" collapsed="false">
      <c r="A165" s="196" t="str">
        <f aca="false">CONCATENATE(F165,",",E165)</f>
        <v>CHE 256,ED2-CHE</v>
      </c>
      <c r="B165" s="196" t="s">
        <v>1133</v>
      </c>
      <c r="C165" s="196" t="str">
        <v>Heat Transport Processes</v>
      </c>
      <c r="D165" s="196" t="n">
        <v>117</v>
      </c>
      <c r="E165" s="196" t="s">
        <v>13</v>
      </c>
      <c r="F165" s="196" t="s">
        <v>83</v>
      </c>
    </row>
    <row r="166" customFormat="false" ht="14.25" hidden="false" customHeight="false" outlineLevel="0" collapsed="false">
      <c r="A166" s="196" t="str">
        <f aca="false">CONCATENATE(F166,",",E166)</f>
        <v>CHE 258,ED2-CHE</v>
      </c>
      <c r="B166" s="196" t="s">
        <v>1134</v>
      </c>
      <c r="C166" s="196" t="str">
        <v>Drawing For Engineers</v>
      </c>
      <c r="D166" s="196" t="n">
        <v>117</v>
      </c>
      <c r="E166" s="196" t="s">
        <v>13</v>
      </c>
      <c r="F166" s="196" t="s">
        <v>12</v>
      </c>
    </row>
    <row r="167" customFormat="false" ht="14.25" hidden="false" customHeight="false" outlineLevel="0" collapsed="false">
      <c r="A167" s="196" t="str">
        <f aca="false">CONCATENATE(F167,",",E167)</f>
        <v>CHEM 280,ED2-CHE</v>
      </c>
      <c r="B167" s="196" t="s">
        <v>1135</v>
      </c>
      <c r="C167" s="196" t="str">
        <v>Practical Chemistry II</v>
      </c>
      <c r="D167" s="196" t="n">
        <v>117</v>
      </c>
      <c r="E167" s="196" t="s">
        <v>13</v>
      </c>
      <c r="F167" s="196" t="s">
        <v>173</v>
      </c>
    </row>
    <row r="168" customFormat="false" ht="14.25" hidden="false" customHeight="false" outlineLevel="0" collapsed="false">
      <c r="A168" s="196" t="str">
        <f aca="false">CONCATENATE(F168,",",E168)</f>
        <v>MATH 252,ED2-CHE</v>
      </c>
      <c r="B168" s="196" t="s">
        <v>1136</v>
      </c>
      <c r="C168" s="196" t="str">
        <v>Calculus Of Several Variables</v>
      </c>
      <c r="D168" s="196" t="n">
        <v>117</v>
      </c>
      <c r="E168" s="196" t="s">
        <v>13</v>
      </c>
      <c r="F168" s="196" t="s">
        <v>281</v>
      </c>
    </row>
    <row r="169" customFormat="false" ht="14.25" hidden="false" customHeight="false" outlineLevel="0" collapsed="false">
      <c r="A169" s="196" t="str">
        <f aca="false">CONCATENATE(F169,",",E169)</f>
        <v>CHE 350,ED3-CHE</v>
      </c>
      <c r="B169" s="196" t="s">
        <v>1137</v>
      </c>
      <c r="C169" s="196" t="str">
        <v>Materials Science</v>
      </c>
      <c r="D169" s="196" t="n">
        <v>114</v>
      </c>
      <c r="E169" s="196" t="s">
        <v>73</v>
      </c>
      <c r="F169" s="196" t="s">
        <v>199</v>
      </c>
    </row>
    <row r="170" customFormat="false" ht="14.25" hidden="false" customHeight="false" outlineLevel="0" collapsed="false">
      <c r="A170" s="196" t="str">
        <f aca="false">CONCATENATE(F170,",",E170)</f>
        <v>CHE 352,ED3-CHE</v>
      </c>
      <c r="B170" s="196" t="s">
        <v>1138</v>
      </c>
      <c r="C170" s="196" t="str">
        <v>Chemical Reaction Engineering</v>
      </c>
      <c r="D170" s="196" t="n">
        <v>114</v>
      </c>
      <c r="E170" s="196" t="s">
        <v>73</v>
      </c>
      <c r="F170" s="196" t="s">
        <v>516</v>
      </c>
    </row>
    <row r="171" customFormat="false" ht="14.25" hidden="false" customHeight="false" outlineLevel="0" collapsed="false">
      <c r="A171" s="196" t="str">
        <f aca="false">CONCATENATE(F171,",",E171)</f>
        <v>CHE 354,ED3-CHE</v>
      </c>
      <c r="B171" s="196" t="s">
        <v>1139</v>
      </c>
      <c r="C171" s="196" t="str">
        <v>Simultaneous Heat/Mass Transfer</v>
      </c>
      <c r="D171" s="196" t="n">
        <v>114</v>
      </c>
      <c r="E171" s="196" t="s">
        <v>73</v>
      </c>
      <c r="F171" s="196" t="s">
        <v>476</v>
      </c>
    </row>
    <row r="172" customFormat="false" ht="14.25" hidden="false" customHeight="false" outlineLevel="0" collapsed="false">
      <c r="A172" s="196" t="str">
        <f aca="false">CONCATENATE(F172,",",E172)</f>
        <v>CHE 358,ED3-CHE</v>
      </c>
      <c r="B172" s="196" t="s">
        <v>1140</v>
      </c>
      <c r="C172" s="196" t="str">
        <v>Numerical Methods For Chemical Engineers</v>
      </c>
      <c r="D172" s="196" t="n">
        <v>114</v>
      </c>
      <c r="E172" s="196" t="s">
        <v>73</v>
      </c>
      <c r="F172" s="196" t="s">
        <v>315</v>
      </c>
    </row>
    <row r="173" customFormat="false" ht="14.25" hidden="false" customHeight="false" outlineLevel="0" collapsed="false">
      <c r="A173" s="196" t="str">
        <f aca="false">CONCATENATE(F173,",",E173)</f>
        <v>CHE 362,ED3-CHE</v>
      </c>
      <c r="B173" s="196" t="s">
        <v>1141</v>
      </c>
      <c r="C173" s="196" t="str">
        <v>Silicate Technology II</v>
      </c>
      <c r="D173" s="196" t="n">
        <v>32</v>
      </c>
      <c r="E173" s="196" t="s">
        <v>73</v>
      </c>
      <c r="F173" s="196" t="s">
        <v>72</v>
      </c>
    </row>
    <row r="174" customFormat="false" ht="14.25" hidden="false" customHeight="false" outlineLevel="0" collapsed="false">
      <c r="A174" s="196" t="str">
        <f aca="false">CONCATENATE(F174,",",E174)</f>
        <v>CHE 364,ED3-CHE</v>
      </c>
      <c r="B174" s="196" t="s">
        <v>1142</v>
      </c>
      <c r="C174" s="196" t="str">
        <v>Packaging Technology</v>
      </c>
      <c r="D174" s="196" t="n">
        <v>40</v>
      </c>
      <c r="E174" s="196" t="s">
        <v>73</v>
      </c>
      <c r="F174" s="196" t="s">
        <v>370</v>
      </c>
    </row>
    <row r="175" customFormat="false" ht="14.25" hidden="false" customHeight="false" outlineLevel="0" collapsed="false">
      <c r="A175" s="196" t="str">
        <f aca="false">CONCATENATE(F175,",",E175)</f>
        <v>CHE 368,ED3-CHE</v>
      </c>
      <c r="B175" s="196" t="s">
        <v>1143</v>
      </c>
      <c r="C175" s="196" t="str">
        <v>Food Processing Technology</v>
      </c>
      <c r="D175" s="196" t="n">
        <v>44</v>
      </c>
      <c r="E175" s="196" t="s">
        <v>73</v>
      </c>
      <c r="F175" s="196" t="s">
        <v>122</v>
      </c>
    </row>
    <row r="176" customFormat="false" ht="14.25" hidden="false" customHeight="false" outlineLevel="0" collapsed="false">
      <c r="A176" s="196" t="str">
        <f aca="false">CONCATENATE(F176,",",E176)</f>
        <v>ECON 152,ED3-CHE</v>
      </c>
      <c r="B176" s="196" t="s">
        <v>1144</v>
      </c>
      <c r="C176" s="196" t="str">
        <v>Introductory Economics II</v>
      </c>
      <c r="D176" s="196" t="n">
        <v>49</v>
      </c>
      <c r="E176" s="196" t="s">
        <v>73</v>
      </c>
      <c r="F176" s="196" t="s">
        <v>406</v>
      </c>
    </row>
    <row r="177" customFormat="false" ht="14.25" hidden="false" customHeight="false" outlineLevel="0" collapsed="false">
      <c r="A177" s="196" t="str">
        <f aca="false">CONCATENATE(F177,",",E177)</f>
        <v>FC 182,ED3-CHE</v>
      </c>
      <c r="B177" s="196" t="s">
        <v>1085</v>
      </c>
      <c r="C177" s="196" t="str">
        <v>French For Communication II</v>
      </c>
      <c r="D177" s="196" t="n">
        <v>65</v>
      </c>
      <c r="E177" s="196" t="s">
        <v>73</v>
      </c>
      <c r="F177" s="196" t="s">
        <v>245</v>
      </c>
    </row>
    <row r="178" customFormat="false" ht="14.25" hidden="false" customHeight="false" outlineLevel="0" collapsed="false">
      <c r="A178" s="196" t="str">
        <f aca="false">CONCATENATE(F178,",",E178)</f>
        <v>CHE 456,ED4-CHE</v>
      </c>
      <c r="B178" s="196" t="s">
        <v>1145</v>
      </c>
      <c r="C178" s="196" t="str">
        <v>Process Control And Simulation</v>
      </c>
      <c r="D178" s="196" t="n">
        <v>126</v>
      </c>
      <c r="E178" s="196" t="s">
        <v>48</v>
      </c>
      <c r="F178" s="196" t="s">
        <v>525</v>
      </c>
    </row>
    <row r="179" customFormat="false" ht="14.25" hidden="false" customHeight="false" outlineLevel="0" collapsed="false">
      <c r="A179" s="196" t="str">
        <f aca="false">CONCATENATE(F179,",",E179)</f>
        <v>CHE 458,ED4-CHE</v>
      </c>
      <c r="B179" s="196" t="s">
        <v>1146</v>
      </c>
      <c r="C179" s="196" t="str">
        <v>Entrepreneurship And Business Development</v>
      </c>
      <c r="D179" s="196" t="n">
        <v>126</v>
      </c>
      <c r="E179" s="196" t="s">
        <v>48</v>
      </c>
      <c r="F179" s="196" t="s">
        <v>345</v>
      </c>
    </row>
    <row r="180" customFormat="false" ht="14.25" hidden="false" customHeight="false" outlineLevel="0" collapsed="false">
      <c r="A180" s="196" t="str">
        <f aca="false">CONCATENATE(F180,",",E180)</f>
        <v>CHE 466,ED4-CHE</v>
      </c>
      <c r="B180" s="196" t="s">
        <v>1147</v>
      </c>
      <c r="C180" s="196" t="str">
        <v>Pulp And Paper Technology</v>
      </c>
      <c r="D180" s="196" t="n">
        <v>53</v>
      </c>
      <c r="E180" s="196" t="s">
        <v>48</v>
      </c>
      <c r="F180" s="196" t="s">
        <v>280</v>
      </c>
    </row>
    <row r="181" customFormat="false" ht="14.25" hidden="false" customHeight="false" outlineLevel="0" collapsed="false">
      <c r="A181" s="196" t="str">
        <f aca="false">CONCATENATE(F181,",",E181)</f>
        <v>CHE 468,ED4-CHE</v>
      </c>
      <c r="B181" s="196" t="s">
        <v>1148</v>
      </c>
      <c r="C181" s="196" t="str">
        <v>Environmental Eng. Technology</v>
      </c>
      <c r="D181" s="196" t="n">
        <v>56</v>
      </c>
      <c r="E181" s="196" t="s">
        <v>48</v>
      </c>
      <c r="F181" s="196" t="s">
        <v>431</v>
      </c>
    </row>
    <row r="182" customFormat="false" ht="14.25" hidden="false" customHeight="false" outlineLevel="0" collapsed="false">
      <c r="A182" s="196" t="str">
        <f aca="false">CONCATENATE(F182,",",E182)</f>
        <v>CHE 466,ED4-CHE</v>
      </c>
      <c r="B182" s="196" t="s">
        <v>1147</v>
      </c>
      <c r="C182" s="196" t="str">
        <v>Pulp And Paper Technology</v>
      </c>
      <c r="D182" s="196" t="n">
        <v>55</v>
      </c>
      <c r="E182" s="196" t="s">
        <v>48</v>
      </c>
      <c r="F182" s="196" t="s">
        <v>280</v>
      </c>
    </row>
    <row r="183" customFormat="false" ht="14.25" hidden="false" customHeight="false" outlineLevel="0" collapsed="false">
      <c r="A183" s="196" t="str">
        <f aca="false">CONCATENATE(F183,",",E183)</f>
        <v>CHE 470,ED4-CHE</v>
      </c>
      <c r="B183" s="196" t="s">
        <v>1149</v>
      </c>
      <c r="C183" s="196" t="str">
        <v>Pharmaceutical Technology</v>
      </c>
      <c r="D183" s="196" t="n">
        <v>74</v>
      </c>
      <c r="E183" s="196" t="s">
        <v>48</v>
      </c>
      <c r="F183" s="196" t="s">
        <v>415</v>
      </c>
    </row>
    <row r="184" customFormat="false" ht="14.25" hidden="false" customHeight="false" outlineLevel="0" collapsed="false">
      <c r="A184" s="196" t="str">
        <f aca="false">CONCATENATE(F184,",",E184)</f>
        <v>PCE 464,ED4-CHE</v>
      </c>
      <c r="B184" s="196" t="s">
        <v>1150</v>
      </c>
      <c r="C184" s="196" t="str">
        <v>Refining Processes Technology</v>
      </c>
      <c r="D184" s="196" t="n">
        <v>74</v>
      </c>
      <c r="E184" s="196" t="s">
        <v>48</v>
      </c>
      <c r="F184" s="196" t="s">
        <v>47</v>
      </c>
    </row>
    <row r="185" customFormat="false" ht="14.25" hidden="false" customHeight="false" outlineLevel="0" collapsed="false">
      <c r="A185" s="196" t="str">
        <f aca="false">CONCATENATE(F185,",",E185)</f>
        <v>COE 152,ED1-COE</v>
      </c>
      <c r="B185" s="196" t="s">
        <v>990</v>
      </c>
      <c r="C185" s="196" t="str">
        <v>Basic Electronics</v>
      </c>
      <c r="D185" s="196" t="n">
        <v>255</v>
      </c>
      <c r="E185" s="196" t="s">
        <v>20</v>
      </c>
      <c r="F185" s="196" t="s">
        <v>260</v>
      </c>
    </row>
    <row r="186" customFormat="false" ht="14.25" hidden="false" customHeight="false" outlineLevel="0" collapsed="false">
      <c r="A186" s="196" t="str">
        <f aca="false">CONCATENATE(F186,",",E186)</f>
        <v>COE 158,ED1-COE</v>
      </c>
      <c r="B186" s="196" t="s">
        <v>987</v>
      </c>
      <c r="C186" s="196" t="str">
        <v>Introduction To Information Technology</v>
      </c>
      <c r="D186" s="196" t="n">
        <v>255</v>
      </c>
      <c r="E186" s="196" t="s">
        <v>20</v>
      </c>
      <c r="F186" s="196" t="s">
        <v>175</v>
      </c>
    </row>
    <row r="187" customFormat="false" ht="14.25" hidden="false" customHeight="false" outlineLevel="0" collapsed="false">
      <c r="A187" s="196" t="str">
        <f aca="false">CONCATENATE(F187,",",E187)</f>
        <v>EE 156,ED1-COE</v>
      </c>
      <c r="B187" s="196" t="s">
        <v>1151</v>
      </c>
      <c r="C187" s="196" t="str">
        <v>Electrical Eng. Drawing</v>
      </c>
      <c r="D187" s="196" t="n">
        <v>255</v>
      </c>
      <c r="E187" s="196" t="s">
        <v>20</v>
      </c>
      <c r="F187" s="196" t="s">
        <v>19</v>
      </c>
    </row>
    <row r="188" customFormat="false" ht="14.25" hidden="false" customHeight="false" outlineLevel="0" collapsed="false">
      <c r="A188" s="196" t="str">
        <f aca="false">CONCATENATE(F188,",",E188)</f>
        <v>EE 172,ED1-COE</v>
      </c>
      <c r="B188" s="196" t="s">
        <v>1152</v>
      </c>
      <c r="C188" s="196" t="str">
        <v>Electrical Machines</v>
      </c>
      <c r="D188" s="196" t="n">
        <v>255</v>
      </c>
      <c r="E188" s="196" t="s">
        <v>20</v>
      </c>
      <c r="F188" s="196" t="s">
        <v>474</v>
      </c>
    </row>
    <row r="189" customFormat="false" ht="14.25" hidden="false" customHeight="false" outlineLevel="0" collapsed="false">
      <c r="A189" s="196" t="str">
        <f aca="false">CONCATENATE(F189,",",E189)</f>
        <v>ENGL 158,ED1-COE</v>
      </c>
      <c r="B189" s="196" t="s">
        <v>991</v>
      </c>
      <c r="C189" s="196" t="str">
        <v>Communication Skills II</v>
      </c>
      <c r="D189" s="196" t="n">
        <v>255</v>
      </c>
      <c r="E189" s="196" t="s">
        <v>20</v>
      </c>
      <c r="F189" s="196" t="s">
        <v>364</v>
      </c>
    </row>
    <row r="190" customFormat="false" ht="14.25" hidden="false" customHeight="false" outlineLevel="0" collapsed="false">
      <c r="A190" s="196" t="str">
        <f aca="false">CONCATENATE(F190,",",E190)</f>
        <v>MATH 152,ED1-COE</v>
      </c>
      <c r="B190" s="196" t="s">
        <v>992</v>
      </c>
      <c r="C190" s="196" t="str">
        <v>Calculus With Analysis</v>
      </c>
      <c r="D190" s="196" t="n">
        <v>255</v>
      </c>
      <c r="E190" s="196" t="s">
        <v>20</v>
      </c>
      <c r="F190" s="196" t="s">
        <v>129</v>
      </c>
    </row>
    <row r="191" customFormat="false" ht="14.25" hidden="false" customHeight="false" outlineLevel="0" collapsed="false">
      <c r="A191" s="196" t="str">
        <f aca="false">CONCATENATE(F191,",",E191)</f>
        <v>COE 382,ED1-COE</v>
      </c>
      <c r="B191" s="196" t="s">
        <v>1153</v>
      </c>
      <c r="C191" s="196" t="str">
        <v>Digital System Design II      </v>
      </c>
      <c r="D191" s="196" t="n">
        <v>255</v>
      </c>
      <c r="E191" s="196" t="s">
        <v>20</v>
      </c>
      <c r="F191" s="196" t="s">
        <v>412</v>
      </c>
    </row>
    <row r="192" customFormat="false" ht="14.25" hidden="false" customHeight="false" outlineLevel="0" collapsed="false">
      <c r="A192" s="196" t="str">
        <f aca="false">CONCATENATE(F192,",",E192)</f>
        <v>ACF 256,ED2-COE</v>
      </c>
      <c r="B192" s="196" t="s">
        <v>1076</v>
      </c>
      <c r="C192" s="196" t="str">
        <v>Introduction to Financial Accounting II</v>
      </c>
      <c r="D192" s="196" t="n">
        <v>37</v>
      </c>
      <c r="E192" s="196" t="s">
        <v>108</v>
      </c>
      <c r="F192" s="196" t="s">
        <v>424</v>
      </c>
    </row>
    <row r="193" customFormat="false" ht="14.25" hidden="false" customHeight="false" outlineLevel="0" collapsed="false">
      <c r="A193" s="196" t="str">
        <f aca="false">CONCATENATE(F193,",",E193)</f>
        <v>COE 254,ED2-COE</v>
      </c>
      <c r="B193" s="196" t="s">
        <v>1082</v>
      </c>
      <c r="C193" s="196" t="str">
        <v>Object-Oriented Programming</v>
      </c>
      <c r="D193" s="196" t="n">
        <v>277</v>
      </c>
      <c r="E193" s="196" t="s">
        <v>108</v>
      </c>
      <c r="F193" s="196" t="s">
        <v>107</v>
      </c>
    </row>
    <row r="194" customFormat="false" ht="14.25" hidden="false" customHeight="false" outlineLevel="0" collapsed="false">
      <c r="A194" s="196" t="str">
        <f aca="false">CONCATENATE(F194,",",E194)</f>
        <v>COE 272,ED2-COE</v>
      </c>
      <c r="B194" s="196" t="s">
        <v>1083</v>
      </c>
      <c r="C194" s="196" t="str">
        <v>Digital Systems Design I</v>
      </c>
      <c r="D194" s="196" t="n">
        <v>277</v>
      </c>
      <c r="E194" s="196" t="s">
        <v>108</v>
      </c>
      <c r="F194" s="196" t="s">
        <v>377</v>
      </c>
    </row>
    <row r="195" customFormat="false" ht="14.25" hidden="false" customHeight="false" outlineLevel="0" collapsed="false">
      <c r="A195" s="196" t="str">
        <f aca="false">CONCATENATE(F195,",",E195)</f>
        <v>COE 288,ED2-COE</v>
      </c>
      <c r="B195" s="196" t="s">
        <v>1154</v>
      </c>
      <c r="C195" s="196" t="str">
        <v>Circuit Theory</v>
      </c>
      <c r="D195" s="196" t="n">
        <v>277</v>
      </c>
      <c r="E195" s="196" t="s">
        <v>108</v>
      </c>
      <c r="F195" s="196" t="s">
        <v>202</v>
      </c>
    </row>
    <row r="196" customFormat="false" ht="14.25" hidden="false" customHeight="false" outlineLevel="0" collapsed="false">
      <c r="A196" s="196" t="str">
        <f aca="false">CONCATENATE(F196,",",E196)</f>
        <v>COE 292,ED2-COE</v>
      </c>
      <c r="B196" s="196" t="s">
        <v>1155</v>
      </c>
      <c r="C196" s="196" t="str">
        <v>Computer Engineering Lab II</v>
      </c>
      <c r="D196" s="196" t="n">
        <v>277</v>
      </c>
      <c r="E196" s="196" t="s">
        <v>108</v>
      </c>
      <c r="F196" s="196" t="s">
        <v>1156</v>
      </c>
    </row>
    <row r="197" customFormat="false" ht="14.25" hidden="false" customHeight="false" outlineLevel="0" collapsed="false">
      <c r="A197" s="196" t="str">
        <f aca="false">CONCATENATE(F197,",",E197)</f>
        <v>ECON 152,ED2-COE</v>
      </c>
      <c r="B197" s="196" t="s">
        <v>1100</v>
      </c>
      <c r="C197" s="196" t="str">
        <v>Introduction To Economics II</v>
      </c>
      <c r="D197" s="196" t="n">
        <v>24</v>
      </c>
      <c r="E197" s="196" t="s">
        <v>108</v>
      </c>
      <c r="F197" s="196" t="s">
        <v>406</v>
      </c>
    </row>
    <row r="198" customFormat="false" ht="14.25" hidden="false" customHeight="false" outlineLevel="0" collapsed="false">
      <c r="A198" s="196" t="str">
        <f aca="false">CONCATENATE(F198,",",E198)</f>
        <v>EE 288,ED2-COE</v>
      </c>
      <c r="B198" s="196" t="s">
        <v>1157</v>
      </c>
      <c r="C198" s="196" t="str">
        <v>Electrical Measurement And Instrumentation</v>
      </c>
      <c r="D198" s="196" t="n">
        <v>277</v>
      </c>
      <c r="E198" s="196" t="s">
        <v>108</v>
      </c>
      <c r="F198" s="196" t="s">
        <v>518</v>
      </c>
    </row>
    <row r="199" customFormat="false" ht="14.25" hidden="false" customHeight="false" outlineLevel="0" collapsed="false">
      <c r="A199" s="196" t="str">
        <f aca="false">CONCATENATE(F199,",",E199)</f>
        <v>FC 182,ED2-COE</v>
      </c>
      <c r="B199" s="196" t="s">
        <v>1158</v>
      </c>
      <c r="C199" s="196" t="str">
        <v>French For Communication II</v>
      </c>
      <c r="D199" s="196" t="n">
        <v>210</v>
      </c>
      <c r="E199" s="196" t="s">
        <v>108</v>
      </c>
      <c r="F199" s="196" t="s">
        <v>245</v>
      </c>
    </row>
    <row r="200" customFormat="false" ht="14.25" hidden="false" customHeight="false" outlineLevel="0" collapsed="false">
      <c r="A200" s="196" t="str">
        <f aca="false">CONCATENATE(F200,",",E200)</f>
        <v>MATH 252,ED2-COE</v>
      </c>
      <c r="B200" s="196" t="s">
        <v>998</v>
      </c>
      <c r="C200" s="196" t="str">
        <v>Calculus With Several Variables</v>
      </c>
      <c r="D200" s="196" t="n">
        <v>277</v>
      </c>
      <c r="E200" s="196" t="s">
        <v>108</v>
      </c>
      <c r="F200" s="196" t="s">
        <v>281</v>
      </c>
    </row>
    <row r="201" customFormat="false" ht="14.25" hidden="false" customHeight="false" outlineLevel="0" collapsed="false">
      <c r="A201" s="196" t="str">
        <f aca="false">CONCATENATE(F201,",",E201)</f>
        <v>TE 262,ED2-COE</v>
      </c>
      <c r="B201" s="196" t="s">
        <v>1159</v>
      </c>
      <c r="C201" s="196" t="str">
        <v>Electromagnetic Fields</v>
      </c>
      <c r="D201" s="196" t="n">
        <v>277</v>
      </c>
      <c r="E201" s="196" t="s">
        <v>108</v>
      </c>
      <c r="F201" s="196" t="s">
        <v>166</v>
      </c>
    </row>
    <row r="202" customFormat="false" ht="14.25" hidden="false" customHeight="false" outlineLevel="0" collapsed="false">
      <c r="A202" s="196" t="str">
        <f aca="false">CONCATENATE(F202,",",E202)</f>
        <v>COE 354,ED3-COE</v>
      </c>
      <c r="B202" s="196" t="s">
        <v>1160</v>
      </c>
      <c r="C202" s="196" t="str">
        <v>Operating Systems</v>
      </c>
      <c r="D202" s="196" t="n">
        <v>170</v>
      </c>
      <c r="E202" s="196" t="s">
        <v>16</v>
      </c>
      <c r="F202" s="196" t="s">
        <v>15</v>
      </c>
    </row>
    <row r="203" customFormat="false" ht="14.25" hidden="false" customHeight="false" outlineLevel="0" collapsed="false">
      <c r="A203" s="196" t="str">
        <f aca="false">CONCATENATE(F203,",",E203)</f>
        <v>COE 356,ED3-COE</v>
      </c>
      <c r="B203" s="196" t="s">
        <v>1161</v>
      </c>
      <c r="C203" s="196" t="str">
        <v>Software Engineering I             </v>
      </c>
      <c r="D203" s="196" t="n">
        <v>170</v>
      </c>
      <c r="E203" s="196" t="s">
        <v>16</v>
      </c>
      <c r="F203" s="196" t="s">
        <v>318</v>
      </c>
    </row>
    <row r="204" customFormat="false" ht="14.25" hidden="false" customHeight="false" outlineLevel="0" collapsed="false">
      <c r="A204" s="196" t="str">
        <f aca="false">CONCATENATE(F204,",",E204)</f>
        <v>COE 358,ED3-COE</v>
      </c>
      <c r="B204" s="196" t="s">
        <v>1091</v>
      </c>
      <c r="C204" s="196" t="str">
        <v>Embedded Systems</v>
      </c>
      <c r="D204" s="196" t="n">
        <v>170</v>
      </c>
      <c r="E204" s="196" t="s">
        <v>16</v>
      </c>
      <c r="F204" s="196" t="s">
        <v>259</v>
      </c>
    </row>
    <row r="205" customFormat="false" ht="14.25" hidden="false" customHeight="false" outlineLevel="0" collapsed="false">
      <c r="A205" s="196" t="str">
        <f aca="false">CONCATENATE(F205,",",E205)</f>
        <v>COE 368,ED3-COE</v>
      </c>
      <c r="B205" s="196" t="s">
        <v>1162</v>
      </c>
      <c r="C205" s="196" t="str">
        <v>Database And Information Retrieval</v>
      </c>
      <c r="D205" s="196" t="n">
        <v>170</v>
      </c>
      <c r="E205" s="196" t="s">
        <v>16</v>
      </c>
      <c r="F205" s="196" t="s">
        <v>198</v>
      </c>
    </row>
    <row r="206" customFormat="false" ht="14.25" hidden="false" customHeight="false" outlineLevel="0" collapsed="false">
      <c r="A206" s="196" t="str">
        <f aca="false">CONCATENATE(F206,",",E206)</f>
        <v>COE 372,ED3-COE</v>
      </c>
      <c r="B206" s="196" t="s">
        <v>1163</v>
      </c>
      <c r="C206" s="196" t="str">
        <v>Digital Systems Design II</v>
      </c>
      <c r="D206" s="196" t="n">
        <v>170</v>
      </c>
      <c r="E206" s="196" t="s">
        <v>16</v>
      </c>
      <c r="F206" s="196" t="s">
        <v>413</v>
      </c>
    </row>
    <row r="207" customFormat="false" ht="14.25" hidden="false" customHeight="false" outlineLevel="0" collapsed="false">
      <c r="A207" s="196" t="str">
        <f aca="false">CONCATENATE(F207,",",E207)</f>
        <v>COE 392,ED3-COE</v>
      </c>
      <c r="B207" s="196" t="s">
        <v>1164</v>
      </c>
      <c r="C207" s="196" t="str">
        <v>Autotronic Lab.</v>
      </c>
      <c r="D207" s="196" t="n">
        <v>170</v>
      </c>
      <c r="E207" s="196" t="s">
        <v>16</v>
      </c>
      <c r="F207" s="196" t="s">
        <v>1165</v>
      </c>
    </row>
    <row r="208" customFormat="false" ht="14.25" hidden="false" customHeight="false" outlineLevel="0" collapsed="false">
      <c r="A208" s="196" t="str">
        <f aca="false">CONCATENATE(F208,",",E208)</f>
        <v>COE 454,ED4-COE</v>
      </c>
      <c r="B208" s="196" t="s">
        <v>1166</v>
      </c>
      <c r="C208" s="196" t="str">
        <v>Software Engineering</v>
      </c>
      <c r="D208" s="196" t="n">
        <v>116</v>
      </c>
      <c r="E208" s="196" t="s">
        <v>251</v>
      </c>
      <c r="F208" s="196" t="s">
        <v>505</v>
      </c>
    </row>
    <row r="209" customFormat="false" ht="14.25" hidden="false" customHeight="false" outlineLevel="0" collapsed="false">
      <c r="A209" s="196" t="str">
        <f aca="false">CONCATENATE(F209,",",E209)</f>
        <v>COE 456,ED4-COE</v>
      </c>
      <c r="B209" s="196" t="s">
        <v>1167</v>
      </c>
      <c r="C209" s="196" t="str">
        <v>Secure Network Systems</v>
      </c>
      <c r="D209" s="196" t="n">
        <v>131</v>
      </c>
      <c r="E209" s="196" t="s">
        <v>251</v>
      </c>
      <c r="F209" s="196" t="s">
        <v>432</v>
      </c>
    </row>
    <row r="210" customFormat="false" ht="14.25" hidden="false" customHeight="false" outlineLevel="0" collapsed="false">
      <c r="A210" s="196" t="str">
        <f aca="false">CONCATENATE(F210,",",E210)</f>
        <v>COE 458,ED4-COE</v>
      </c>
      <c r="B210" s="196" t="s">
        <v>1168</v>
      </c>
      <c r="C210" s="196" t="str">
        <v>Robotics And Computer Vision</v>
      </c>
      <c r="D210" s="196" t="n">
        <v>84</v>
      </c>
      <c r="E210" s="196" t="s">
        <v>251</v>
      </c>
      <c r="F210" s="196" t="s">
        <v>348</v>
      </c>
    </row>
    <row r="211" customFormat="false" ht="14.25" hidden="false" customHeight="false" outlineLevel="0" collapsed="false">
      <c r="A211" s="196" t="str">
        <f aca="false">CONCATENATE(F211,",",E211)</f>
        <v>COE 472,ED4-COE</v>
      </c>
      <c r="B211" s="196" t="s">
        <v>1094</v>
      </c>
      <c r="C211" s="196" t="str">
        <v>Digital Signal Processing</v>
      </c>
      <c r="D211" s="196" t="n">
        <v>211</v>
      </c>
      <c r="E211" s="196" t="s">
        <v>251</v>
      </c>
      <c r="F211" s="196" t="s">
        <v>250</v>
      </c>
    </row>
    <row r="212" customFormat="false" ht="14.25" hidden="false" customHeight="false" outlineLevel="0" collapsed="false">
      <c r="A212" s="196" t="str">
        <f aca="false">CONCATENATE(F212,",",E212)</f>
        <v>COE 480,ED4-COE</v>
      </c>
      <c r="B212" s="196" t="s">
        <v>1169</v>
      </c>
      <c r="C212" s="196" t="str">
        <v>Fault Diagnosis And Failure Tolerance</v>
      </c>
      <c r="D212" s="196" t="n">
        <v>90</v>
      </c>
      <c r="E212" s="196" t="s">
        <v>251</v>
      </c>
      <c r="F212" s="196" t="s">
        <v>457</v>
      </c>
    </row>
    <row r="213" customFormat="false" ht="14.25" hidden="false" customHeight="false" outlineLevel="0" collapsed="false">
      <c r="A213" s="196" t="str">
        <f aca="false">CONCATENATE(F213,",",E213)</f>
        <v>COE 486,ED4-COE</v>
      </c>
      <c r="B213" s="196" t="s">
        <v>1170</v>
      </c>
      <c r="C213" s="196" t="str">
        <v>VLSI Circuit Design</v>
      </c>
      <c r="D213" s="196" t="n">
        <v>14</v>
      </c>
      <c r="E213" s="196" t="s">
        <v>251</v>
      </c>
      <c r="F213" s="196" t="s">
        <v>504</v>
      </c>
    </row>
    <row r="214" customFormat="false" ht="14.25" hidden="false" customHeight="false" outlineLevel="0" collapsed="false">
      <c r="A214" s="196" t="str">
        <f aca="false">CONCATENATE(F214,",",E214)</f>
        <v>ME 492,ED4-COE</v>
      </c>
      <c r="B214" s="196" t="s">
        <v>1015</v>
      </c>
      <c r="C214" s="196" t="str">
        <v>Management And Entrepreneurship Development</v>
      </c>
      <c r="D214" s="196" t="n">
        <v>211</v>
      </c>
      <c r="E214" s="196" t="s">
        <v>251</v>
      </c>
      <c r="F214" s="196" t="s">
        <v>373</v>
      </c>
    </row>
    <row r="215" customFormat="false" ht="14.25" hidden="false" customHeight="false" outlineLevel="0" collapsed="false">
      <c r="A215" s="196" t="str">
        <f aca="false">CONCATENATE(F215,",",E215)</f>
        <v>COE 482,ED4-COE</v>
      </c>
      <c r="B215" s="196" t="s">
        <v>1171</v>
      </c>
      <c r="C215" s="196" t="str">
        <v>Digital Control Systems</v>
      </c>
      <c r="D215" s="196" t="n">
        <v>211</v>
      </c>
      <c r="E215" s="196" t="s">
        <v>251</v>
      </c>
      <c r="F215" s="196" t="s">
        <v>1172</v>
      </c>
    </row>
    <row r="216" customFormat="false" ht="14.25" hidden="false" customHeight="false" outlineLevel="0" collapsed="false">
      <c r="A216" s="196" t="str">
        <f aca="false">CONCATENATE(F216,",",E216)</f>
        <v>EE 158,ED1-EE</v>
      </c>
      <c r="B216" s="196" t="s">
        <v>1173</v>
      </c>
      <c r="C216" s="196" t="str">
        <v>Intro to Python &amp; Computer Networking</v>
      </c>
      <c r="D216" s="196" t="n">
        <v>378</v>
      </c>
      <c r="E216" s="196" t="s">
        <v>51</v>
      </c>
      <c r="F216" s="196" t="s">
        <v>329</v>
      </c>
    </row>
    <row r="217" customFormat="false" ht="14.25" hidden="false" customHeight="false" outlineLevel="0" collapsed="false">
      <c r="A217" s="196" t="str">
        <f aca="false">CONCATENATE(F217,",",E217)</f>
        <v>EE 152,ED1-EE</v>
      </c>
      <c r="B217" s="196" t="s">
        <v>990</v>
      </c>
      <c r="C217" s="196" t="str">
        <v>Basic Electronics</v>
      </c>
      <c r="D217" s="196" t="n">
        <v>378</v>
      </c>
      <c r="E217" s="196" t="s">
        <v>51</v>
      </c>
      <c r="F217" s="196" t="s">
        <v>234</v>
      </c>
    </row>
    <row r="218" customFormat="false" ht="14.25" hidden="false" customHeight="false" outlineLevel="0" collapsed="false">
      <c r="A218" s="196" t="str">
        <f aca="false">CONCATENATE(F218,",",E218)</f>
        <v>EE 166,ED1-EE</v>
      </c>
      <c r="B218" s="196" t="s">
        <v>1154</v>
      </c>
      <c r="C218" s="196" t="str">
        <v>CIRCUIT THEORY</v>
      </c>
      <c r="D218" s="196" t="n">
        <v>378</v>
      </c>
      <c r="E218" s="196" t="s">
        <v>51</v>
      </c>
      <c r="F218" s="196" t="s">
        <v>184</v>
      </c>
    </row>
    <row r="219" customFormat="false" ht="14.25" hidden="false" customHeight="false" outlineLevel="0" collapsed="false">
      <c r="A219" s="196" t="str">
        <f aca="false">CONCATENATE(F219,",",E219)</f>
        <v>EE 188,ED1-EE</v>
      </c>
      <c r="B219" s="196" t="s">
        <v>1174</v>
      </c>
      <c r="C219" s="196" t="str">
        <v>ELECTRICAL MEASUREMENTS &amp; INSTRUMENTATION</v>
      </c>
      <c r="D219" s="196" t="n">
        <v>378</v>
      </c>
      <c r="E219" s="196" t="s">
        <v>51</v>
      </c>
      <c r="F219" s="196" t="s">
        <v>137</v>
      </c>
    </row>
    <row r="220" customFormat="false" ht="14.25" hidden="false" customHeight="false" outlineLevel="0" collapsed="false">
      <c r="A220" s="196" t="str">
        <f aca="false">CONCATENATE(F220,",",E220)</f>
        <v>ENGL 158,ED1-EE</v>
      </c>
      <c r="B220" s="196" t="s">
        <v>991</v>
      </c>
      <c r="C220" s="196" t="str">
        <v>Communication Skills II</v>
      </c>
      <c r="D220" s="196" t="n">
        <v>378</v>
      </c>
      <c r="E220" s="196" t="s">
        <v>51</v>
      </c>
      <c r="F220" s="196" t="s">
        <v>364</v>
      </c>
    </row>
    <row r="221" customFormat="false" ht="14.25" hidden="false" customHeight="false" outlineLevel="0" collapsed="false">
      <c r="A221" s="196" t="str">
        <f aca="false">CONCATENATE(F221,",",E221)</f>
        <v>MATH 152,ED1-EE</v>
      </c>
      <c r="B221" s="196" t="s">
        <v>992</v>
      </c>
      <c r="C221" s="196" t="str">
        <v>Calculus With Analysis</v>
      </c>
      <c r="D221" s="196" t="n">
        <v>378</v>
      </c>
      <c r="E221" s="196" t="s">
        <v>51</v>
      </c>
      <c r="F221" s="196" t="s">
        <v>129</v>
      </c>
    </row>
    <row r="222" customFormat="false" ht="14.25" hidden="false" customHeight="false" outlineLevel="0" collapsed="false">
      <c r="A222" s="196" t="str">
        <f aca="false">CONCATENATE(F222,",",E222)</f>
        <v>EE 156,ED1-EE</v>
      </c>
      <c r="B222" s="196" t="s">
        <v>1151</v>
      </c>
      <c r="C222" s="196" t="str">
        <v>Electrical Eng. Drawing</v>
      </c>
      <c r="D222" s="196" t="n">
        <v>378</v>
      </c>
      <c r="E222" s="196" t="s">
        <v>51</v>
      </c>
      <c r="F222" s="196" t="s">
        <v>19</v>
      </c>
    </row>
    <row r="223" customFormat="false" ht="14.25" hidden="false" customHeight="false" outlineLevel="0" collapsed="false">
      <c r="A223" s="196" t="str">
        <f aca="false">CONCATENATE(F223,",",E223)</f>
        <v>ME 166,ED1-EE</v>
      </c>
      <c r="B223" s="196" t="s">
        <v>1175</v>
      </c>
      <c r="C223" s="196" t="str">
        <v>Applied Thermodynamics I</v>
      </c>
      <c r="D223" s="196" t="n">
        <v>378</v>
      </c>
      <c r="E223" s="196" t="s">
        <v>51</v>
      </c>
      <c r="F223" s="196" t="s">
        <v>421</v>
      </c>
    </row>
    <row r="224" customFormat="false" ht="14.25" hidden="false" customHeight="false" outlineLevel="0" collapsed="false">
      <c r="A224" s="196" t="str">
        <f aca="false">CONCATENATE(F224,",",E224)</f>
        <v>ECON 152,ED2-EE</v>
      </c>
      <c r="B224" s="196" t="s">
        <v>1144</v>
      </c>
      <c r="C224" s="196" t="str">
        <v>Introductory Economics II</v>
      </c>
      <c r="D224" s="196" t="n">
        <v>74</v>
      </c>
      <c r="E224" s="196" t="s">
        <v>25</v>
      </c>
      <c r="F224" s="196" t="s">
        <v>406</v>
      </c>
    </row>
    <row r="225" customFormat="false" ht="14.25" hidden="false" customHeight="false" outlineLevel="0" collapsed="false">
      <c r="A225" s="196" t="str">
        <f aca="false">CONCATENATE(F225,",",E225)</f>
        <v>EE 262,ED2-EE</v>
      </c>
      <c r="B225" s="196" t="s">
        <v>1176</v>
      </c>
      <c r="C225" s="196" t="str">
        <v>Synchronous Machines</v>
      </c>
      <c r="D225" s="196" t="n">
        <v>256</v>
      </c>
      <c r="E225" s="196" t="s">
        <v>25</v>
      </c>
      <c r="F225" s="196" t="s">
        <v>365</v>
      </c>
    </row>
    <row r="226" customFormat="false" ht="14.25" hidden="false" customHeight="false" outlineLevel="0" collapsed="false">
      <c r="A226" s="196" t="str">
        <f aca="false">CONCATENATE(F226,",",E226)</f>
        <v>EE 272,ED2-EE</v>
      </c>
      <c r="B226" s="196" t="s">
        <v>1177</v>
      </c>
      <c r="C226" s="196" t="str">
        <v>Digital Systems</v>
      </c>
      <c r="D226" s="196" t="n">
        <v>256</v>
      </c>
      <c r="E226" s="196" t="s">
        <v>25</v>
      </c>
      <c r="F226" s="196" t="s">
        <v>24</v>
      </c>
    </row>
    <row r="227" customFormat="false" ht="14.25" hidden="false" customHeight="false" outlineLevel="0" collapsed="false">
      <c r="A227" s="196" t="str">
        <f aca="false">CONCATENATE(F227,",",E227)</f>
        <v>EE 288,ED2-EE</v>
      </c>
      <c r="B227" s="196" t="s">
        <v>1178</v>
      </c>
      <c r="C227" s="196" t="str">
        <v>Electrical Measurements And Instrumentation</v>
      </c>
      <c r="D227" s="196" t="n">
        <v>256</v>
      </c>
      <c r="E227" s="196" t="s">
        <v>25</v>
      </c>
      <c r="F227" s="196" t="s">
        <v>518</v>
      </c>
    </row>
    <row r="228" customFormat="false" ht="14.25" hidden="false" customHeight="false" outlineLevel="0" collapsed="false">
      <c r="A228" s="196" t="str">
        <f aca="false">CONCATENATE(F228,",",E228)</f>
        <v>EE 292,ED2-EE</v>
      </c>
      <c r="B228" s="196" t="s">
        <v>1179</v>
      </c>
      <c r="C228" s="196" t="str">
        <v>Electrical Engineering Lab. II</v>
      </c>
      <c r="D228" s="196" t="n">
        <v>256</v>
      </c>
      <c r="E228" s="196" t="s">
        <v>25</v>
      </c>
      <c r="F228" s="196" t="s">
        <v>1180</v>
      </c>
    </row>
    <row r="229" customFormat="false" ht="14.25" hidden="false" customHeight="false" outlineLevel="0" collapsed="false">
      <c r="A229" s="196" t="str">
        <f aca="false">CONCATENATE(F229,",",E229)</f>
        <v>FC 182,ED2-EE</v>
      </c>
      <c r="B229" s="196" t="s">
        <v>1085</v>
      </c>
      <c r="C229" s="196" t="str">
        <v>French For Communication II</v>
      </c>
      <c r="D229" s="196" t="n">
        <v>178</v>
      </c>
      <c r="E229" s="196" t="s">
        <v>25</v>
      </c>
      <c r="F229" s="196" t="s">
        <v>245</v>
      </c>
    </row>
    <row r="230" customFormat="false" ht="14.25" hidden="false" customHeight="false" outlineLevel="0" collapsed="false">
      <c r="A230" s="196" t="str">
        <f aca="false">CONCATENATE(F230,",",E230)</f>
        <v>MATH 252,ED2-EE</v>
      </c>
      <c r="B230" s="196" t="s">
        <v>998</v>
      </c>
      <c r="C230" s="196" t="str">
        <v>Calculus With Several Variables</v>
      </c>
      <c r="D230" s="196" t="n">
        <v>256</v>
      </c>
      <c r="E230" s="196" t="s">
        <v>25</v>
      </c>
      <c r="F230" s="196" t="s">
        <v>281</v>
      </c>
    </row>
    <row r="231" customFormat="false" ht="14.25" hidden="false" customHeight="false" outlineLevel="0" collapsed="false">
      <c r="A231" s="196" t="str">
        <f aca="false">CONCATENATE(F231,",",E231)</f>
        <v>TE 262,ED2-EE</v>
      </c>
      <c r="B231" s="196" t="s">
        <v>1159</v>
      </c>
      <c r="C231" s="196" t="str">
        <v>Electromagnetic Field Theory</v>
      </c>
      <c r="D231" s="196" t="n">
        <v>256</v>
      </c>
      <c r="E231" s="196" t="s">
        <v>25</v>
      </c>
      <c r="F231" s="196" t="s">
        <v>166</v>
      </c>
    </row>
    <row r="232" customFormat="false" ht="14.25" hidden="false" customHeight="false" outlineLevel="0" collapsed="false">
      <c r="A232" s="196" t="s">
        <v>1181</v>
      </c>
      <c r="B232" s="196" t="s">
        <v>1182</v>
      </c>
      <c r="C232" s="196" t="str">
        <v>Digital Computer Design</v>
      </c>
      <c r="D232" s="196" t="n">
        <v>30</v>
      </c>
      <c r="E232" s="196" t="s">
        <v>71</v>
      </c>
      <c r="F232" s="196" t="s">
        <v>412</v>
      </c>
    </row>
    <row r="233" customFormat="false" ht="14.25" hidden="false" customHeight="false" outlineLevel="0" collapsed="false">
      <c r="A233" s="196" t="str">
        <f aca="false">CONCATENATE(F233,",",E233)</f>
        <v>EE 360,ED3-EE</v>
      </c>
      <c r="B233" s="196" t="s">
        <v>1183</v>
      </c>
      <c r="C233" s="196" t="str">
        <v>High Voltage Engineering</v>
      </c>
      <c r="D233" s="196" t="n">
        <v>174</v>
      </c>
      <c r="E233" s="196" t="s">
        <v>71</v>
      </c>
      <c r="F233" s="196" t="s">
        <v>381</v>
      </c>
    </row>
    <row r="234" customFormat="false" ht="14.25" hidden="false" customHeight="false" outlineLevel="0" collapsed="false">
      <c r="A234" s="196" t="str">
        <f aca="false">CONCATENATE(F234,",",E234)</f>
        <v>EE 362,ED3-EE</v>
      </c>
      <c r="B234" s="196" t="s">
        <v>1184</v>
      </c>
      <c r="C234" s="196" t="str">
        <v>Substations And Transmission Line Design</v>
      </c>
      <c r="D234" s="196" t="n">
        <v>226</v>
      </c>
      <c r="E234" s="196" t="s">
        <v>71</v>
      </c>
      <c r="F234" s="196" t="s">
        <v>70</v>
      </c>
    </row>
    <row r="235" customFormat="false" ht="14.25" hidden="false" customHeight="false" outlineLevel="0" collapsed="false">
      <c r="A235" s="196" t="str">
        <f aca="false">CONCATENATE(F235,",",E235)</f>
        <v>EE 366,ED3-EE</v>
      </c>
      <c r="B235" s="196" t="s">
        <v>1185</v>
      </c>
      <c r="C235" s="196" t="str">
        <v>Power Electronics</v>
      </c>
      <c r="D235" s="196" t="n">
        <v>226</v>
      </c>
      <c r="E235" s="196" t="s">
        <v>71</v>
      </c>
      <c r="F235" s="196" t="s">
        <v>286</v>
      </c>
    </row>
    <row r="236" customFormat="false" ht="14.25" hidden="false" customHeight="false" outlineLevel="0" collapsed="false">
      <c r="A236" s="196" t="str">
        <f aca="false">CONCATENATE(F236,",",E236)</f>
        <v>EE 368,ED3-EE</v>
      </c>
      <c r="B236" s="196" t="s">
        <v>1186</v>
      </c>
      <c r="C236" s="196" t="str">
        <v>Power Systems Analysis</v>
      </c>
      <c r="D236" s="196" t="n">
        <v>226</v>
      </c>
      <c r="E236" s="196" t="s">
        <v>71</v>
      </c>
      <c r="F236" s="196" t="s">
        <v>517</v>
      </c>
    </row>
    <row r="237" customFormat="false" ht="14.25" hidden="false" customHeight="false" outlineLevel="0" collapsed="false">
      <c r="A237" s="196" t="str">
        <f aca="false">CONCATENATE(F237,",",E237)</f>
        <v>EE 380,ED3-EE</v>
      </c>
      <c r="B237" s="196" t="s">
        <v>1187</v>
      </c>
      <c r="C237" s="196" t="str">
        <v>Digital Control Systems</v>
      </c>
      <c r="D237" s="196" t="n">
        <v>82</v>
      </c>
      <c r="E237" s="196" t="s">
        <v>71</v>
      </c>
      <c r="F237" s="196" t="s">
        <v>233</v>
      </c>
    </row>
    <row r="238" customFormat="false" ht="14.25" hidden="false" customHeight="false" outlineLevel="0" collapsed="false">
      <c r="A238" s="196" t="str">
        <f aca="false">CONCATENATE(F238,",",E238)</f>
        <v>EE 392,ED3-EE</v>
      </c>
      <c r="B238" s="196" t="s">
        <v>1188</v>
      </c>
      <c r="C238" s="196" t="str">
        <v>Electrical Engineering Lab. III</v>
      </c>
      <c r="D238" s="196" t="n">
        <v>226</v>
      </c>
      <c r="E238" s="196" t="s">
        <v>71</v>
      </c>
      <c r="F238" s="196" t="s">
        <v>1189</v>
      </c>
    </row>
    <row r="239" customFormat="false" ht="14.25" hidden="false" customHeight="false" outlineLevel="0" collapsed="false">
      <c r="A239" s="196" t="str">
        <f aca="false">CONCATENATE(F239,",",E239)</f>
        <v>TE 372,ED3-EE</v>
      </c>
      <c r="B239" s="196" t="s">
        <v>1190</v>
      </c>
      <c r="C239" s="196" t="str">
        <v>Antennas And Propagation</v>
      </c>
      <c r="D239" s="196" t="n">
        <v>142</v>
      </c>
      <c r="E239" s="196" t="s">
        <v>71</v>
      </c>
      <c r="F239" s="196" t="s">
        <v>308</v>
      </c>
    </row>
    <row r="240" customFormat="false" ht="14.25" hidden="false" customHeight="false" outlineLevel="0" collapsed="false">
      <c r="A240" s="196" t="str">
        <f aca="false">CONCATENATE(F240,",",E240)</f>
        <v>TE 384,ED3-EE</v>
      </c>
      <c r="B240" s="196" t="s">
        <v>1191</v>
      </c>
      <c r="C240" s="196" t="str">
        <v>Switching Engineering In Communication</v>
      </c>
      <c r="D240" s="196" t="n">
        <v>22</v>
      </c>
      <c r="E240" s="196" t="s">
        <v>71</v>
      </c>
      <c r="F240" s="196" t="s">
        <v>117</v>
      </c>
    </row>
    <row r="241" customFormat="false" ht="14.25" hidden="false" customHeight="false" outlineLevel="0" collapsed="false">
      <c r="A241" s="196" t="str">
        <f aca="false">CONCATENATE(F241,",",E241)</f>
        <v>TE 386,ED3-EE</v>
      </c>
      <c r="B241" s="196" t="s">
        <v>1192</v>
      </c>
      <c r="C241" s="196" t="str">
        <v>Digital Communication Systems</v>
      </c>
      <c r="D241" s="196" t="n">
        <v>230</v>
      </c>
      <c r="E241" s="196" t="s">
        <v>71</v>
      </c>
      <c r="F241" s="196" t="s">
        <v>465</v>
      </c>
    </row>
    <row r="242" customFormat="false" ht="14.25" hidden="false" customHeight="false" outlineLevel="0" collapsed="false">
      <c r="A242" s="196" t="str">
        <f aca="false">CONCATENATE(F242,",",E242)</f>
        <v>COE 484,ED4-EE</v>
      </c>
      <c r="B242" s="196" t="s">
        <v>1193</v>
      </c>
      <c r="C242" s="196" t="str">
        <v>Industrial Automatic Control</v>
      </c>
      <c r="D242" s="196" t="n">
        <v>200</v>
      </c>
      <c r="E242" s="196" t="s">
        <v>144</v>
      </c>
      <c r="F242" s="196" t="s">
        <v>1194</v>
      </c>
    </row>
    <row r="243" customFormat="false" ht="14.25" hidden="false" customHeight="false" outlineLevel="0" collapsed="false">
      <c r="A243" s="196" t="str">
        <f aca="false">CONCATENATE(F243,",",E243)</f>
        <v>COE 486,ED4-EE</v>
      </c>
      <c r="B243" s="196" t="s">
        <v>1195</v>
      </c>
      <c r="C243" s="196" t="str">
        <v>Introduction To VLSI</v>
      </c>
      <c r="D243" s="196" t="n">
        <v>7</v>
      </c>
      <c r="E243" s="196" t="s">
        <v>144</v>
      </c>
      <c r="F243" s="196" t="s">
        <v>504</v>
      </c>
    </row>
    <row r="244" customFormat="false" ht="14.25" hidden="false" customHeight="false" outlineLevel="0" collapsed="false">
      <c r="A244" s="196" t="str">
        <f aca="false">CONCATENATE(F244,",",E244)</f>
        <v>EE 462,ED4-EE</v>
      </c>
      <c r="B244" s="196" t="s">
        <v>1196</v>
      </c>
      <c r="C244" s="196" t="str">
        <v>Electric Drives</v>
      </c>
      <c r="D244" s="196" t="n">
        <v>189</v>
      </c>
      <c r="E244" s="196" t="s">
        <v>144</v>
      </c>
      <c r="F244" s="196" t="s">
        <v>143</v>
      </c>
    </row>
    <row r="245" customFormat="false" ht="14.25" hidden="false" customHeight="false" outlineLevel="0" collapsed="false">
      <c r="A245" s="196" t="str">
        <f aca="false">CONCATENATE(F245,",",E245)</f>
        <v>EE 466,ED4-EE</v>
      </c>
      <c r="B245" s="196" t="s">
        <v>1197</v>
      </c>
      <c r="C245" s="196" t="str">
        <v>Power Systems Planning And Optimization</v>
      </c>
      <c r="D245" s="196" t="n">
        <v>175</v>
      </c>
      <c r="E245" s="196" t="s">
        <v>144</v>
      </c>
      <c r="F245" s="196" t="s">
        <v>353</v>
      </c>
    </row>
    <row r="246" customFormat="false" ht="14.25" hidden="false" customHeight="false" outlineLevel="0" collapsed="false">
      <c r="A246" s="196" t="str">
        <f aca="false">CONCATENATE(F246,",",E246)</f>
        <v>EE 468,ED4-EE</v>
      </c>
      <c r="B246" s="196" t="s">
        <v>1198</v>
      </c>
      <c r="C246" s="196" t="str">
        <v>Power Systems Protection</v>
      </c>
      <c r="D246" s="196" t="n">
        <v>200</v>
      </c>
      <c r="E246" s="196" t="s">
        <v>144</v>
      </c>
      <c r="F246" s="196" t="s">
        <v>267</v>
      </c>
    </row>
    <row r="247" customFormat="false" ht="14.25" hidden="false" customHeight="false" outlineLevel="0" collapsed="false">
      <c r="A247" s="196" t="str">
        <f aca="false">CONCATENATE(F247,",",E247)</f>
        <v>EE 472,ED4-EE</v>
      </c>
      <c r="B247" s="196" t="s">
        <v>1094</v>
      </c>
      <c r="C247" s="196" t="str">
        <v>Digital Signal Processing</v>
      </c>
      <c r="D247" s="196" t="n">
        <v>19</v>
      </c>
      <c r="E247" s="196" t="s">
        <v>144</v>
      </c>
      <c r="F247" s="196" t="s">
        <v>307</v>
      </c>
    </row>
    <row r="248" customFormat="false" ht="14.25" hidden="false" customHeight="false" outlineLevel="0" collapsed="false">
      <c r="A248" s="196" t="str">
        <f aca="false">CONCATENATE(F248,",",E248)</f>
        <v>ME 492,ED4-EE</v>
      </c>
      <c r="B248" s="196" t="s">
        <v>1199</v>
      </c>
      <c r="C248" s="196" t="str">
        <v>Entrepreneurship Development And Management</v>
      </c>
      <c r="D248" s="196" t="n">
        <v>200</v>
      </c>
      <c r="E248" s="196" t="s">
        <v>144</v>
      </c>
      <c r="F248" s="196" t="s">
        <v>373</v>
      </c>
    </row>
    <row r="249" customFormat="false" ht="14.25" hidden="false" customHeight="false" outlineLevel="0" collapsed="false">
      <c r="A249" s="196" t="str">
        <f aca="false">CONCATENATE(F249,",",E249)</f>
        <v>CE 156,ED1-GEOL</v>
      </c>
      <c r="B249" s="196" t="s">
        <v>1098</v>
      </c>
      <c r="C249" s="196" t="str">
        <v>Elementary Fluids Mechanics</v>
      </c>
      <c r="D249" s="196" t="n">
        <v>156</v>
      </c>
      <c r="E249" s="196" t="s">
        <v>126</v>
      </c>
      <c r="F249" s="196" t="s">
        <v>461</v>
      </c>
    </row>
    <row r="250" customFormat="false" ht="14.25" hidden="false" customHeight="false" outlineLevel="0" collapsed="false">
      <c r="A250" s="196" t="str">
        <f aca="false">CONCATENATE(F250,",",E250)</f>
        <v>CE 164,ED1-GEOL</v>
      </c>
      <c r="B250" s="196" t="s">
        <v>1099</v>
      </c>
      <c r="C250" s="196" t="str">
        <v>CIVil Engineering Drawing</v>
      </c>
      <c r="D250" s="196" t="n">
        <v>156</v>
      </c>
      <c r="E250" s="196" t="s">
        <v>126</v>
      </c>
      <c r="F250" s="196" t="s">
        <v>182</v>
      </c>
    </row>
    <row r="251" customFormat="false" ht="14.25" hidden="false" customHeight="false" outlineLevel="0" collapsed="false">
      <c r="A251" s="196" t="str">
        <f aca="false">CONCATENATE(F251,",",E251)</f>
        <v>ACF 256,ED1-GEOL</v>
      </c>
      <c r="B251" s="196" t="s">
        <v>1200</v>
      </c>
      <c r="C251" s="196" t="str">
        <v>Introduction to Financial Accounting II</v>
      </c>
      <c r="D251" s="196" t="n">
        <v>27</v>
      </c>
      <c r="E251" s="196" t="s">
        <v>126</v>
      </c>
      <c r="F251" s="196" t="s">
        <v>424</v>
      </c>
    </row>
    <row r="252" customFormat="false" ht="14.25" hidden="false" customHeight="false" outlineLevel="0" collapsed="false">
      <c r="A252" s="196" t="str">
        <f aca="false">CONCATENATE(F252,",",E252)</f>
        <v>ECON 152,ED1-GEOL</v>
      </c>
      <c r="B252" s="196" t="s">
        <v>1144</v>
      </c>
      <c r="C252" s="196" t="str">
        <v>Introductory Economics II</v>
      </c>
      <c r="D252" s="196" t="n">
        <v>27</v>
      </c>
      <c r="E252" s="196" t="s">
        <v>126</v>
      </c>
      <c r="F252" s="196" t="s">
        <v>406</v>
      </c>
    </row>
    <row r="253" customFormat="false" ht="14.25" hidden="false" customHeight="false" outlineLevel="0" collapsed="false">
      <c r="A253" s="196" t="str">
        <f aca="false">CONCATENATE(F253,",",E253)</f>
        <v>EE 152,ED1-GEOL</v>
      </c>
      <c r="B253" s="196" t="s">
        <v>990</v>
      </c>
      <c r="C253" s="196" t="str">
        <v>Basic Electronics</v>
      </c>
      <c r="D253" s="196" t="n">
        <v>156</v>
      </c>
      <c r="E253" s="196" t="s">
        <v>126</v>
      </c>
      <c r="F253" s="196" t="s">
        <v>234</v>
      </c>
    </row>
    <row r="254" customFormat="false" ht="14.25" hidden="false" customHeight="false" outlineLevel="0" collapsed="false">
      <c r="A254" s="196" t="str">
        <f aca="false">CONCATENATE(F254,",",E254)</f>
        <v>ENGL 158,ED1-GEOL</v>
      </c>
      <c r="B254" s="196" t="s">
        <v>991</v>
      </c>
      <c r="C254" s="196" t="str">
        <v>Communication Skills II</v>
      </c>
      <c r="D254" s="196" t="n">
        <v>156</v>
      </c>
      <c r="E254" s="196" t="s">
        <v>126</v>
      </c>
      <c r="F254" s="196" t="s">
        <v>364</v>
      </c>
    </row>
    <row r="255" customFormat="false" ht="14.25" hidden="false" customHeight="false" outlineLevel="0" collapsed="false">
      <c r="A255" s="196" t="str">
        <f aca="false">CONCATENATE(F255,",",E255)</f>
        <v>FC 182,ED1-GEOL</v>
      </c>
      <c r="B255" s="196" t="s">
        <v>1085</v>
      </c>
      <c r="C255" s="196" t="str">
        <v>French For Communication II</v>
      </c>
      <c r="D255" s="196" t="n">
        <v>102</v>
      </c>
      <c r="E255" s="196" t="s">
        <v>126</v>
      </c>
      <c r="F255" s="196" t="s">
        <v>245</v>
      </c>
    </row>
    <row r="256" customFormat="false" ht="14.25" hidden="false" customHeight="false" outlineLevel="0" collapsed="false">
      <c r="A256" s="196" t="str">
        <f aca="false">CONCATENATE(F256,",",E256)</f>
        <v>GED 152,ED1-GEOL</v>
      </c>
      <c r="B256" s="196" t="s">
        <v>1201</v>
      </c>
      <c r="C256" s="196" t="str">
        <v>Basic Mineral Science</v>
      </c>
      <c r="D256" s="196" t="n">
        <v>156</v>
      </c>
      <c r="E256" s="196" t="s">
        <v>126</v>
      </c>
      <c r="F256" s="196" t="s">
        <v>354</v>
      </c>
    </row>
    <row r="257" customFormat="false" ht="14.25" hidden="false" customHeight="false" outlineLevel="0" collapsed="false">
      <c r="A257" s="196" t="str">
        <f aca="false">CONCATENATE(F257,",",E257)</f>
        <v>GED 164,ED1-GEOL</v>
      </c>
      <c r="B257" s="196" t="s">
        <v>1202</v>
      </c>
      <c r="C257" s="196" t="str">
        <v>Computer Applications</v>
      </c>
      <c r="D257" s="196" t="n">
        <v>156</v>
      </c>
      <c r="E257" s="196" t="s">
        <v>126</v>
      </c>
      <c r="F257" s="196" t="s">
        <v>125</v>
      </c>
    </row>
    <row r="258" customFormat="false" ht="14.25" hidden="false" customHeight="false" outlineLevel="0" collapsed="false">
      <c r="A258" s="196" t="str">
        <f aca="false">CONCATENATE(F258,",",E258)</f>
        <v>MATH 152,ED1-GEOL</v>
      </c>
      <c r="B258" s="196" t="s">
        <v>998</v>
      </c>
      <c r="C258" s="196" t="str">
        <v>Calculus With Several Variables</v>
      </c>
      <c r="D258" s="196" t="n">
        <v>156</v>
      </c>
      <c r="E258" s="196" t="s">
        <v>126</v>
      </c>
      <c r="F258" s="196" t="s">
        <v>129</v>
      </c>
    </row>
    <row r="259" customFormat="false" ht="14.25" hidden="false" customHeight="false" outlineLevel="0" collapsed="false">
      <c r="A259" s="196" t="str">
        <f aca="false">CONCATENATE(F259,",",E259)</f>
        <v>CE 256,ED2-GEOL</v>
      </c>
      <c r="B259" s="196" t="s">
        <v>1101</v>
      </c>
      <c r="C259" s="196" t="str">
        <v>Fluid Mechanics</v>
      </c>
      <c r="D259" s="196" t="n">
        <v>156</v>
      </c>
      <c r="E259" s="196" t="s">
        <v>55</v>
      </c>
      <c r="F259" s="196" t="s">
        <v>54</v>
      </c>
    </row>
    <row r="260" customFormat="false" ht="14.25" hidden="false" customHeight="false" outlineLevel="0" collapsed="false">
      <c r="A260" s="196" t="str">
        <f aca="false">CONCATENATE(F260,",",E260)</f>
        <v>GE 282,ED2-GEOL</v>
      </c>
      <c r="B260" s="196" t="s">
        <v>1107</v>
      </c>
      <c r="C260" s="196" t="str">
        <v>Large Scale Surveying</v>
      </c>
      <c r="D260" s="196" t="n">
        <v>156</v>
      </c>
      <c r="E260" s="196" t="s">
        <v>55</v>
      </c>
      <c r="F260" s="196" t="s">
        <v>489</v>
      </c>
    </row>
    <row r="261" customFormat="false" ht="14.25" hidden="false" customHeight="false" outlineLevel="0" collapsed="false">
      <c r="A261" s="196" t="str">
        <f aca="false">CONCATENATE(F261,",",E261)</f>
        <v>GED 252,ED2-GEOL</v>
      </c>
      <c r="B261" s="196" t="s">
        <v>1203</v>
      </c>
      <c r="C261" s="196" t="str">
        <v>Stratigraphy</v>
      </c>
      <c r="D261" s="196" t="n">
        <v>156</v>
      </c>
      <c r="E261" s="196" t="s">
        <v>55</v>
      </c>
      <c r="F261" s="196" t="s">
        <v>224</v>
      </c>
    </row>
    <row r="262" customFormat="false" ht="14.25" hidden="false" customHeight="false" outlineLevel="0" collapsed="false">
      <c r="A262" s="196" t="str">
        <f aca="false">CONCATENATE(F262,",",E262)</f>
        <v>GED 254,ED2-GEOL</v>
      </c>
      <c r="B262" s="196" t="s">
        <v>1204</v>
      </c>
      <c r="C262" s="196" t="str">
        <v>Rock Engineering</v>
      </c>
      <c r="D262" s="196" t="n">
        <v>156</v>
      </c>
      <c r="E262" s="196" t="s">
        <v>55</v>
      </c>
      <c r="F262" s="196" t="s">
        <v>399</v>
      </c>
    </row>
    <row r="263" customFormat="false" ht="14.25" hidden="false" customHeight="false" outlineLevel="0" collapsed="false">
      <c r="A263" s="196" t="str">
        <f aca="false">CONCATENATE(F263,",",E263)</f>
        <v>GED 258,ED2-GEOL</v>
      </c>
      <c r="B263" s="196" t="s">
        <v>1205</v>
      </c>
      <c r="C263" s="196" t="str">
        <v>Optical Mineralogy</v>
      </c>
      <c r="D263" s="196" t="n">
        <v>156</v>
      </c>
      <c r="E263" s="196" t="s">
        <v>55</v>
      </c>
      <c r="F263" s="196" t="s">
        <v>369</v>
      </c>
    </row>
    <row r="264" customFormat="false" ht="14.25" hidden="false" customHeight="false" outlineLevel="0" collapsed="false">
      <c r="A264" s="196" t="str">
        <f aca="false">CONCATENATE(F264,",",E264)</f>
        <v>GED 262,ED2-GEOL</v>
      </c>
      <c r="B264" s="196" t="s">
        <v>1206</v>
      </c>
      <c r="C264" s="196" t="str">
        <v>Introduction To Soil Mechanics</v>
      </c>
      <c r="D264" s="196" t="n">
        <v>156</v>
      </c>
      <c r="E264" s="196" t="s">
        <v>55</v>
      </c>
      <c r="F264" s="196" t="s">
        <v>247</v>
      </c>
    </row>
    <row r="265" customFormat="false" ht="14.25" hidden="false" customHeight="false" outlineLevel="0" collapsed="false">
      <c r="A265" s="196" t="str">
        <f aca="false">CONCATENATE(F265,",",E265)</f>
        <v>MATH 252,ED2-GEOL</v>
      </c>
      <c r="B265" s="196" t="s">
        <v>1207</v>
      </c>
      <c r="C265" s="196" t="str">
        <v>Analysis IV</v>
      </c>
      <c r="D265" s="196" t="n">
        <v>156</v>
      </c>
      <c r="E265" s="196" t="s">
        <v>55</v>
      </c>
      <c r="F265" s="196" t="s">
        <v>281</v>
      </c>
    </row>
    <row r="266" customFormat="false" ht="14.25" hidden="false" customHeight="false" outlineLevel="0" collapsed="false">
      <c r="A266" s="196" t="str">
        <f aca="false">CONCATENATE(F266,",",E266)</f>
        <v>GED 342,ED3-GEOL</v>
      </c>
      <c r="B266" s="196" t="s">
        <v>1208</v>
      </c>
      <c r="C266" s="196" t="str">
        <v>Mining Principles</v>
      </c>
      <c r="D266" s="196" t="n">
        <v>105</v>
      </c>
      <c r="E266" s="196" t="s">
        <v>154</v>
      </c>
      <c r="F266" s="196" t="s">
        <v>497</v>
      </c>
    </row>
    <row r="267" customFormat="false" ht="14.25" hidden="false" customHeight="false" outlineLevel="0" collapsed="false">
      <c r="A267" s="196" t="str">
        <f aca="false">CONCATENATE(F267,",",E267)</f>
        <v>GED 352,ED3-GEOL</v>
      </c>
      <c r="B267" s="196" t="s">
        <v>1209</v>
      </c>
      <c r="C267" s="196" t="str">
        <v>Principles Of Geochemistry</v>
      </c>
      <c r="D267" s="196" t="n">
        <v>105</v>
      </c>
      <c r="E267" s="196" t="s">
        <v>154</v>
      </c>
      <c r="F267" s="196" t="s">
        <v>153</v>
      </c>
    </row>
    <row r="268" customFormat="false" ht="14.25" hidden="false" customHeight="false" outlineLevel="0" collapsed="false">
      <c r="A268" s="196" t="str">
        <f aca="false">CONCATENATE(F268,",",E268)</f>
        <v>GED 354,ED3-GEOL</v>
      </c>
      <c r="B268" s="196" t="s">
        <v>1210</v>
      </c>
      <c r="C268" s="196" t="str">
        <v>Principles Of Geophysics</v>
      </c>
      <c r="D268" s="196" t="n">
        <v>105</v>
      </c>
      <c r="E268" s="196" t="s">
        <v>154</v>
      </c>
      <c r="F268" s="196" t="s">
        <v>246</v>
      </c>
    </row>
    <row r="269" customFormat="false" ht="14.25" hidden="false" customHeight="false" outlineLevel="0" collapsed="false">
      <c r="A269" s="196" t="str">
        <f aca="false">CONCATENATE(F269,",",E269)</f>
        <v>GED 364,ED3-GEOL</v>
      </c>
      <c r="B269" s="196" t="s">
        <v>1211</v>
      </c>
      <c r="C269" s="196" t="str">
        <v>Structural Geology</v>
      </c>
      <c r="D269" s="196" t="n">
        <v>105</v>
      </c>
      <c r="E269" s="196" t="s">
        <v>154</v>
      </c>
      <c r="F269" s="196" t="s">
        <v>437</v>
      </c>
    </row>
    <row r="270" customFormat="false" ht="14.25" hidden="false" customHeight="false" outlineLevel="0" collapsed="false">
      <c r="A270" s="196" t="str">
        <f aca="false">CONCATENATE(F270,",",E270)</f>
        <v>GED 366,ED3-GEOL</v>
      </c>
      <c r="B270" s="196" t="s">
        <v>1212</v>
      </c>
      <c r="C270" s="196" t="str">
        <v>Mineral Economics And Evaluation</v>
      </c>
      <c r="D270" s="196" t="n">
        <v>105</v>
      </c>
      <c r="E270" s="196" t="s">
        <v>154</v>
      </c>
      <c r="F270" s="196" t="s">
        <v>379</v>
      </c>
    </row>
    <row r="271" customFormat="false" ht="14.25" hidden="false" customHeight="false" outlineLevel="0" collapsed="false">
      <c r="A271" s="196" t="str">
        <f aca="false">CONCATENATE(F271,",",E271)</f>
        <v>GED 368,ED3-GEOL</v>
      </c>
      <c r="B271" s="196" t="s">
        <v>1213</v>
      </c>
      <c r="C271" s="196" t="str">
        <v>Gis Applications</v>
      </c>
      <c r="D271" s="196" t="n">
        <v>105</v>
      </c>
      <c r="E271" s="196" t="s">
        <v>154</v>
      </c>
      <c r="F271" s="196" t="s">
        <v>222</v>
      </c>
    </row>
    <row r="272" customFormat="false" ht="14.25" hidden="false" customHeight="false" outlineLevel="0" collapsed="false">
      <c r="A272" s="196" t="str">
        <f aca="false">CONCATENATE(F272,",",E272)</f>
        <v>GED 370,ED3-GEOL</v>
      </c>
      <c r="B272" s="196" t="s">
        <v>1110</v>
      </c>
      <c r="C272" s="196" t="str">
        <v>Foundation Engineering</v>
      </c>
      <c r="D272" s="196" t="n">
        <v>105</v>
      </c>
      <c r="E272" s="196" t="s">
        <v>154</v>
      </c>
      <c r="F272" s="196" t="s">
        <v>335</v>
      </c>
    </row>
    <row r="273" customFormat="false" ht="14.25" hidden="false" customHeight="false" outlineLevel="0" collapsed="false">
      <c r="A273" s="196" t="str">
        <f aca="false">CONCATENATE(F273,",",E273)</f>
        <v>CE 478,ED4-GEOL</v>
      </c>
      <c r="B273" s="196" t="s">
        <v>1125</v>
      </c>
      <c r="C273" s="196" t="str">
        <v>Ground Engineering</v>
      </c>
      <c r="D273" s="196" t="n">
        <v>2</v>
      </c>
      <c r="E273" s="196" t="s">
        <v>177</v>
      </c>
      <c r="F273" s="196" t="s">
        <v>270</v>
      </c>
    </row>
    <row r="274" customFormat="false" ht="14.25" hidden="false" customHeight="false" outlineLevel="0" collapsed="false">
      <c r="A274" s="196" t="str">
        <f aca="false">CONCATENATE(F274,",",E274)</f>
        <v>GED 452,ED4-GEOL</v>
      </c>
      <c r="B274" s="196" t="s">
        <v>1214</v>
      </c>
      <c r="C274" s="196" t="str">
        <v>Advanced Engineering Geology</v>
      </c>
      <c r="D274" s="196" t="n">
        <v>142</v>
      </c>
      <c r="E274" s="196" t="s">
        <v>177</v>
      </c>
      <c r="F274" s="196" t="s">
        <v>214</v>
      </c>
    </row>
    <row r="275" customFormat="false" ht="14.25" hidden="false" customHeight="false" outlineLevel="0" collapsed="false">
      <c r="A275" s="196" t="str">
        <f aca="false">CONCATENATE(F275,",",E275)</f>
        <v>GED 454,ED4-GEOL</v>
      </c>
      <c r="B275" s="196" t="s">
        <v>1215</v>
      </c>
      <c r="C275" s="196" t="str">
        <v>Environmental Geology</v>
      </c>
      <c r="D275" s="196" t="n">
        <v>142</v>
      </c>
      <c r="E275" s="196" t="s">
        <v>177</v>
      </c>
      <c r="F275" s="196" t="s">
        <v>317</v>
      </c>
    </row>
    <row r="276" customFormat="false" ht="14.25" hidden="false" customHeight="false" outlineLevel="0" collapsed="false">
      <c r="A276" s="196" t="str">
        <f aca="false">CONCATENATE(F276,",",E276)</f>
        <v>GED 462,ED4-GEOL</v>
      </c>
      <c r="B276" s="196" t="s">
        <v>1216</v>
      </c>
      <c r="C276" s="196" t="str">
        <v>Economic Geology</v>
      </c>
      <c r="D276" s="196" t="n">
        <v>142</v>
      </c>
      <c r="E276" s="196" t="s">
        <v>177</v>
      </c>
      <c r="F276" s="196" t="s">
        <v>358</v>
      </c>
    </row>
    <row r="277" customFormat="false" ht="14.25" hidden="false" customHeight="false" outlineLevel="0" collapsed="false">
      <c r="A277" s="196" t="str">
        <f aca="false">CONCATENATE(F277,",",E277)</f>
        <v>GED 464,ED4-GEOL</v>
      </c>
      <c r="B277" s="196" t="s">
        <v>1217</v>
      </c>
      <c r="C277" s="196" t="str">
        <v>Engineering Management</v>
      </c>
      <c r="D277" s="196" t="n">
        <v>142</v>
      </c>
      <c r="E277" s="196" t="s">
        <v>177</v>
      </c>
      <c r="F277" s="196" t="s">
        <v>176</v>
      </c>
    </row>
    <row r="278" customFormat="false" ht="14.25" hidden="false" customHeight="false" outlineLevel="0" collapsed="false">
      <c r="A278" s="196" t="str">
        <f aca="false">CONCATENATE(F278,",",E278)</f>
        <v>GED 466,ED4-GEOL</v>
      </c>
      <c r="B278" s="196" t="s">
        <v>1218</v>
      </c>
      <c r="C278" s="196" t="str">
        <v>Petroleum Geology</v>
      </c>
      <c r="D278" s="196" t="n">
        <v>52</v>
      </c>
      <c r="E278" s="196" t="s">
        <v>177</v>
      </c>
      <c r="F278" s="196" t="s">
        <v>410</v>
      </c>
    </row>
    <row r="279" customFormat="false" ht="14.25" hidden="false" customHeight="false" outlineLevel="0" collapsed="false">
      <c r="A279" s="196" t="str">
        <f aca="false">CONCATENATE(F279,",",E279)</f>
        <v>GED 468,ED4-GEOL</v>
      </c>
      <c r="B279" s="196" t="s">
        <v>1219</v>
      </c>
      <c r="C279" s="196" t="str">
        <v>Geostatistics</v>
      </c>
      <c r="D279" s="196" t="n">
        <v>124</v>
      </c>
      <c r="E279" s="196" t="s">
        <v>177</v>
      </c>
      <c r="F279" s="196" t="s">
        <v>510</v>
      </c>
    </row>
    <row r="280" customFormat="false" ht="14.25" hidden="false" customHeight="false" outlineLevel="0" collapsed="false">
      <c r="A280" s="196" t="str">
        <f aca="false">CONCATENATE(F280,",",E280)</f>
        <v>GED 476,ED4-GEOL</v>
      </c>
      <c r="B280" s="196" t="s">
        <v>1220</v>
      </c>
      <c r="C280" s="196" t="str">
        <v>Groundwater Development</v>
      </c>
      <c r="D280" s="196" t="n">
        <v>142</v>
      </c>
      <c r="E280" s="196" t="s">
        <v>177</v>
      </c>
      <c r="F280" s="196" t="s">
        <v>445</v>
      </c>
    </row>
    <row r="281" customFormat="false" ht="14.25" hidden="false" customHeight="false" outlineLevel="0" collapsed="false">
      <c r="A281" s="196" t="str">
        <f aca="false">CONCATENATE(F281,",",E281)</f>
        <v>EE 152,ED1-GEOM</v>
      </c>
      <c r="B281" s="196" t="s">
        <v>990</v>
      </c>
      <c r="C281" s="196" t="str">
        <v>Basic Electronics</v>
      </c>
      <c r="D281" s="196" t="n">
        <v>139</v>
      </c>
      <c r="E281" s="196" t="s">
        <v>95</v>
      </c>
      <c r="F281" s="196" t="s">
        <v>234</v>
      </c>
    </row>
    <row r="282" customFormat="false" ht="14.25" hidden="false" customHeight="false" outlineLevel="0" collapsed="false">
      <c r="A282" s="196" t="str">
        <f aca="false">CONCATENATE(F282,",",E282)</f>
        <v>ENGL 158,ED1-GEOM</v>
      </c>
      <c r="B282" s="196" t="s">
        <v>991</v>
      </c>
      <c r="C282" s="196" t="str">
        <v>Communication Skills II</v>
      </c>
      <c r="D282" s="196" t="n">
        <v>139</v>
      </c>
      <c r="E282" s="196" t="s">
        <v>95</v>
      </c>
      <c r="F282" s="196" t="s">
        <v>364</v>
      </c>
    </row>
    <row r="283" customFormat="false" ht="14.25" hidden="false" customHeight="false" outlineLevel="0" collapsed="false">
      <c r="A283" s="196" t="str">
        <f aca="false">CONCATENATE(F283,",",E283)</f>
        <v>GE 152,ED1-GEOM</v>
      </c>
      <c r="B283" s="196" t="s">
        <v>1221</v>
      </c>
      <c r="C283" s="196" t="str">
        <v>Reproduction Cartography</v>
      </c>
      <c r="D283" s="196" t="n">
        <v>139</v>
      </c>
      <c r="E283" s="196" t="s">
        <v>95</v>
      </c>
      <c r="F283" s="196" t="s">
        <v>201</v>
      </c>
    </row>
    <row r="284" customFormat="false" ht="14.25" hidden="false" customHeight="false" outlineLevel="0" collapsed="false">
      <c r="A284" s="196" t="str">
        <f aca="false">CONCATENATE(F284,",",E284)</f>
        <v>GE 158,ED1-GEOM</v>
      </c>
      <c r="B284" s="196" t="s">
        <v>987</v>
      </c>
      <c r="C284" s="196" t="str">
        <v>Introduction To Information Technology</v>
      </c>
      <c r="D284" s="196" t="n">
        <v>139</v>
      </c>
      <c r="E284" s="196" t="s">
        <v>95</v>
      </c>
      <c r="F284" s="196" t="s">
        <v>430</v>
      </c>
    </row>
    <row r="285" customFormat="false" ht="14.25" hidden="false" customHeight="false" outlineLevel="0" collapsed="false">
      <c r="A285" s="196" t="str">
        <f aca="false">CONCATENATE(F285,",",E285)</f>
        <v>GE 162,ED1-GEOM</v>
      </c>
      <c r="B285" s="196" t="s">
        <v>1107</v>
      </c>
      <c r="C285" s="196" t="str">
        <v>Large Scale Surveying</v>
      </c>
      <c r="D285" s="196" t="n">
        <v>139</v>
      </c>
      <c r="E285" s="196" t="s">
        <v>95</v>
      </c>
      <c r="F285" s="196" t="s">
        <v>94</v>
      </c>
    </row>
    <row r="286" customFormat="false" ht="14.25" hidden="false" customHeight="false" outlineLevel="0" collapsed="false">
      <c r="A286" s="196" t="str">
        <f aca="false">CONCATENATE(F286,",",E286)</f>
        <v>MATH 152,ED1-GEOM</v>
      </c>
      <c r="B286" s="196" t="s">
        <v>992</v>
      </c>
      <c r="C286" s="196" t="str">
        <v>Calculus With Analysis</v>
      </c>
      <c r="D286" s="196" t="n">
        <v>139</v>
      </c>
      <c r="E286" s="196" t="s">
        <v>95</v>
      </c>
      <c r="F286" s="196" t="s">
        <v>129</v>
      </c>
    </row>
    <row r="287" customFormat="false" ht="14.25" hidden="false" customHeight="false" outlineLevel="0" collapsed="false">
      <c r="A287" s="196" t="str">
        <f aca="false">CONCATENATE(F287,",",E287)</f>
        <v>CE 260,ED2-GEOM</v>
      </c>
      <c r="B287" s="196" t="s">
        <v>1103</v>
      </c>
      <c r="C287" s="196" t="str">
        <v>Soil And Rock Mechanics</v>
      </c>
      <c r="D287" s="196" t="n">
        <v>122</v>
      </c>
      <c r="E287" s="196" t="s">
        <v>170</v>
      </c>
      <c r="F287" s="196" t="s">
        <v>367</v>
      </c>
    </row>
    <row r="288" customFormat="false" ht="14.25" hidden="false" customHeight="false" outlineLevel="0" collapsed="false">
      <c r="A288" s="196" t="str">
        <f aca="false">CONCATENATE(F288,",",E288)</f>
        <v>ENGL 264,ED2-GEOM</v>
      </c>
      <c r="B288" s="196" t="s">
        <v>996</v>
      </c>
      <c r="C288" s="196" t="str">
        <v>Literature In English II</v>
      </c>
      <c r="D288" s="196" t="n">
        <v>122</v>
      </c>
      <c r="E288" s="196" t="s">
        <v>170</v>
      </c>
      <c r="F288" s="196" t="s">
        <v>276</v>
      </c>
    </row>
    <row r="289" customFormat="false" ht="14.25" hidden="false" customHeight="false" outlineLevel="0" collapsed="false">
      <c r="A289" s="196" t="str">
        <f aca="false">CONCATENATE(F289,",",E289)</f>
        <v>GE 262,ED2-GEOM</v>
      </c>
      <c r="B289" s="196" t="s">
        <v>1222</v>
      </c>
      <c r="C289" s="196" t="str">
        <v>Principles Of Remote Sensing</v>
      </c>
      <c r="D289" s="196" t="n">
        <v>122</v>
      </c>
      <c r="E289" s="196" t="s">
        <v>170</v>
      </c>
      <c r="F289" s="196" t="s">
        <v>169</v>
      </c>
    </row>
    <row r="290" customFormat="false" ht="14.25" hidden="false" customHeight="false" outlineLevel="0" collapsed="false">
      <c r="A290" s="196" t="str">
        <f aca="false">CONCATENATE(F290,",",E290)</f>
        <v>GE 272,ED2-GEOM</v>
      </c>
      <c r="B290" s="196" t="s">
        <v>1223</v>
      </c>
      <c r="C290" s="196" t="str">
        <v>Engineering Survey II</v>
      </c>
      <c r="D290" s="196" t="n">
        <v>122</v>
      </c>
      <c r="E290" s="196" t="s">
        <v>170</v>
      </c>
      <c r="F290" s="196" t="s">
        <v>219</v>
      </c>
    </row>
    <row r="291" customFormat="false" ht="14.25" hidden="false" customHeight="false" outlineLevel="0" collapsed="false">
      <c r="A291" s="196" t="str">
        <f aca="false">CONCATENATE(F291,",",E291)</f>
        <v>GE 284,ED2-GEOM</v>
      </c>
      <c r="B291" s="196" t="s">
        <v>1224</v>
      </c>
      <c r="C291" s="196" t="str">
        <v>Hydrographic Surveying </v>
      </c>
      <c r="D291" s="196" t="n">
        <v>122</v>
      </c>
      <c r="E291" s="196" t="s">
        <v>170</v>
      </c>
      <c r="F291" s="196" t="s">
        <v>475</v>
      </c>
    </row>
    <row r="292" customFormat="false" ht="14.25" hidden="false" customHeight="false" outlineLevel="0" collapsed="false">
      <c r="A292" s="196" t="str">
        <f aca="false">CONCATENATE(F292,",",E292)</f>
        <v>MATH 252,ED2-GEOM</v>
      </c>
      <c r="B292" s="196" t="s">
        <v>998</v>
      </c>
      <c r="C292" s="196" t="str">
        <v>Calculus With Several Variables</v>
      </c>
      <c r="D292" s="196" t="n">
        <v>122</v>
      </c>
      <c r="E292" s="196" t="s">
        <v>170</v>
      </c>
      <c r="F292" s="196" t="s">
        <v>281</v>
      </c>
    </row>
    <row r="293" customFormat="false" ht="14.25" hidden="false" customHeight="false" outlineLevel="0" collapsed="false">
      <c r="A293" s="196" t="str">
        <f aca="false">CONCATENATE(F293,",",E293)</f>
        <v>CE 368,ED3-GEOM</v>
      </c>
      <c r="B293" s="196" t="s">
        <v>1225</v>
      </c>
      <c r="C293" s="196" t="str">
        <v>Transportation And Highway II</v>
      </c>
      <c r="D293" s="196" t="n">
        <v>96</v>
      </c>
      <c r="E293" s="196" t="s">
        <v>77</v>
      </c>
      <c r="F293" s="196" t="s">
        <v>378</v>
      </c>
    </row>
    <row r="294" customFormat="false" ht="14.25" hidden="false" customHeight="false" outlineLevel="0" collapsed="false">
      <c r="A294" s="196" t="str">
        <f aca="false">CONCATENATE(F294,",",E294)</f>
        <v>ACF 256,ED3-GEOM</v>
      </c>
      <c r="B294" s="196" t="s">
        <v>1226</v>
      </c>
      <c r="C294" s="196" t="str">
        <v>Introduction to Financial Accounting II</v>
      </c>
      <c r="D294" s="196" t="n">
        <v>19</v>
      </c>
      <c r="E294" s="196" t="s">
        <v>77</v>
      </c>
      <c r="F294" s="196" t="s">
        <v>424</v>
      </c>
    </row>
    <row r="295" customFormat="false" ht="14.25" hidden="false" customHeight="false" outlineLevel="0" collapsed="false">
      <c r="A295" s="196" t="str">
        <f aca="false">CONCATENATE(F295,",",E295)</f>
        <v>ECON 152,ED3-GEOM</v>
      </c>
      <c r="B295" s="196" t="s">
        <v>1084</v>
      </c>
      <c r="C295" s="196" t="str">
        <v>Elements Of Economics II</v>
      </c>
      <c r="D295" s="196" t="n">
        <v>15</v>
      </c>
      <c r="E295" s="196" t="s">
        <v>77</v>
      </c>
      <c r="F295" s="196" t="s">
        <v>406</v>
      </c>
    </row>
    <row r="296" customFormat="false" ht="14.25" hidden="false" customHeight="false" outlineLevel="0" collapsed="false">
      <c r="A296" s="196" t="str">
        <f aca="false">CONCATENATE(F296,",",E296)</f>
        <v>FC 182,ED3-GEOM</v>
      </c>
      <c r="B296" s="196" t="s">
        <v>1227</v>
      </c>
      <c r="C296" s="196" t="str">
        <v>French For Communication  II</v>
      </c>
      <c r="D296" s="196" t="n">
        <v>56</v>
      </c>
      <c r="E296" s="196" t="s">
        <v>77</v>
      </c>
      <c r="F296" s="196" t="s">
        <v>245</v>
      </c>
    </row>
    <row r="297" customFormat="false" ht="14.25" hidden="false" customHeight="false" outlineLevel="0" collapsed="false">
      <c r="A297" s="196" t="str">
        <f aca="false">CONCATENATE(F297,",",E297)</f>
        <v>GE 354,ED3-GEOM</v>
      </c>
      <c r="B297" s="196" t="s">
        <v>1228</v>
      </c>
      <c r="C297" s="196" t="str">
        <v>Satellite Surveying</v>
      </c>
      <c r="D297" s="196" t="n">
        <v>96</v>
      </c>
      <c r="E297" s="196" t="s">
        <v>77</v>
      </c>
      <c r="F297" s="196" t="s">
        <v>221</v>
      </c>
    </row>
    <row r="298" customFormat="false" ht="14.25" hidden="false" customHeight="false" outlineLevel="0" collapsed="false">
      <c r="A298" s="196" t="str">
        <f aca="false">CONCATENATE(F298,",",E298)</f>
        <v>GE 362,ED3-GEOM</v>
      </c>
      <c r="B298" s="196" t="s">
        <v>1229</v>
      </c>
      <c r="C298" s="196" t="str">
        <v>Principles Of Gis</v>
      </c>
      <c r="D298" s="196" t="n">
        <v>96</v>
      </c>
      <c r="E298" s="196" t="s">
        <v>77</v>
      </c>
      <c r="F298" s="196" t="s">
        <v>309</v>
      </c>
    </row>
    <row r="299" customFormat="false" ht="14.25" hidden="false" customHeight="false" outlineLevel="0" collapsed="false">
      <c r="A299" s="196" t="str">
        <f aca="false">CONCATENATE(F299,",",E299)</f>
        <v>GE 372,ED3-GEOM</v>
      </c>
      <c r="B299" s="196" t="s">
        <v>1230</v>
      </c>
      <c r="C299" s="196" t="str">
        <v>Analysis Of Errors</v>
      </c>
      <c r="D299" s="196" t="n">
        <v>96</v>
      </c>
      <c r="E299" s="196" t="s">
        <v>77</v>
      </c>
      <c r="F299" s="196" t="s">
        <v>76</v>
      </c>
    </row>
    <row r="300" customFormat="false" ht="14.25" hidden="false" customHeight="false" outlineLevel="0" collapsed="false">
      <c r="A300" s="196" t="str">
        <f aca="false">CONCATENATE(F300,",",E300)</f>
        <v>PL 251/2,ED3-GEOM</v>
      </c>
      <c r="B300" s="196" t="s">
        <v>1231</v>
      </c>
      <c r="C300" s="196" t="str">
        <v>Planning The Physical Environment</v>
      </c>
      <c r="D300" s="196" t="n">
        <v>96</v>
      </c>
      <c r="E300" s="196" t="s">
        <v>77</v>
      </c>
      <c r="F300" s="196" t="s">
        <v>1232</v>
      </c>
    </row>
    <row r="301" customFormat="false" ht="14.25" hidden="false" customHeight="false" outlineLevel="0" collapsed="false">
      <c r="A301" s="196" t="str">
        <f aca="false">CONCATENATE(F301,",",E301)</f>
        <v>GE 464,ED4-GEOM</v>
      </c>
      <c r="B301" s="196" t="s">
        <v>1233</v>
      </c>
      <c r="C301" s="196" t="str">
        <v>Database Systems</v>
      </c>
      <c r="D301" s="196" t="n">
        <v>107</v>
      </c>
      <c r="E301" s="196" t="s">
        <v>194</v>
      </c>
      <c r="F301" s="196" t="s">
        <v>193</v>
      </c>
    </row>
    <row r="302" customFormat="false" ht="14.25" hidden="false" customHeight="false" outlineLevel="0" collapsed="false">
      <c r="A302" s="196" t="str">
        <f aca="false">CONCATENATE(F302,",",E302)</f>
        <v>GE 472,ED4-GEOM</v>
      </c>
      <c r="B302" s="196" t="s">
        <v>1234</v>
      </c>
      <c r="C302" s="196" t="str">
        <v>Land Law And Registration</v>
      </c>
      <c r="D302" s="196" t="n">
        <v>107</v>
      </c>
      <c r="E302" s="196" t="s">
        <v>194</v>
      </c>
      <c r="F302" s="196" t="s">
        <v>284</v>
      </c>
    </row>
    <row r="303" customFormat="false" ht="14.25" hidden="false" customHeight="false" outlineLevel="0" collapsed="false">
      <c r="A303" s="196" t="str">
        <f aca="false">CONCATENATE(F303,",",E303)</f>
        <v>GE 474,ED4-GEOM</v>
      </c>
      <c r="B303" s="196" t="s">
        <v>1235</v>
      </c>
      <c r="C303" s="196" t="str">
        <v>Principles Of Valuation Of Land And Building</v>
      </c>
      <c r="D303" s="196" t="n">
        <v>107</v>
      </c>
      <c r="E303" s="196" t="s">
        <v>194</v>
      </c>
      <c r="F303" s="196" t="s">
        <v>471</v>
      </c>
    </row>
    <row r="304" customFormat="false" ht="14.25" hidden="false" customHeight="false" outlineLevel="0" collapsed="false">
      <c r="A304" s="196" t="str">
        <f aca="false">CONCATENATE(F304,",",E304)</f>
        <v>GE 476,ED4-GEOM</v>
      </c>
      <c r="B304" s="196" t="s">
        <v>1236</v>
      </c>
      <c r="C304" s="196" t="str">
        <v>Professional Studies And Development</v>
      </c>
      <c r="D304" s="196" t="n">
        <v>107</v>
      </c>
      <c r="E304" s="196" t="s">
        <v>194</v>
      </c>
      <c r="F304" s="196" t="s">
        <v>341</v>
      </c>
    </row>
    <row r="305" customFormat="false" ht="14.25" hidden="false" customHeight="false" outlineLevel="0" collapsed="false">
      <c r="A305" s="196" t="str">
        <f aca="false">CONCATENATE(F305,",",E305)</f>
        <v>EE 152,ED1-IND</v>
      </c>
      <c r="B305" s="196" t="s">
        <v>990</v>
      </c>
      <c r="C305" s="196" t="str">
        <v>Basic Electronics</v>
      </c>
      <c r="D305" s="196" t="n">
        <v>88</v>
      </c>
      <c r="E305" s="196" t="s">
        <v>111</v>
      </c>
      <c r="F305" s="196" t="s">
        <v>234</v>
      </c>
    </row>
    <row r="306" customFormat="false" ht="14.25" hidden="false" customHeight="false" outlineLevel="0" collapsed="false">
      <c r="A306" s="196" t="str">
        <f aca="false">CONCATENATE(F306,",",E306)</f>
        <v>ENGL 158,ED1-IND</v>
      </c>
      <c r="B306" s="196" t="s">
        <v>991</v>
      </c>
      <c r="C306" s="196" t="str">
        <v>Communication Skills II</v>
      </c>
      <c r="D306" s="196" t="n">
        <v>88</v>
      </c>
      <c r="E306" s="196" t="s">
        <v>111</v>
      </c>
      <c r="F306" s="196" t="s">
        <v>364</v>
      </c>
    </row>
    <row r="307" customFormat="false" ht="14.25" hidden="false" customHeight="false" outlineLevel="0" collapsed="false">
      <c r="A307" s="196" t="str">
        <f aca="false">CONCATENATE(F307,",",E307)</f>
        <v>IE 174,ED1-IND</v>
      </c>
      <c r="B307" s="196" t="s">
        <v>1237</v>
      </c>
      <c r="C307" s="196" t="str">
        <v>First Year Design Project</v>
      </c>
      <c r="D307" s="196" t="n">
        <v>88</v>
      </c>
      <c r="E307" s="196" t="s">
        <v>111</v>
      </c>
      <c r="F307" s="196" t="s">
        <v>484</v>
      </c>
    </row>
    <row r="308" customFormat="false" ht="14.25" hidden="false" customHeight="false" outlineLevel="0" collapsed="false">
      <c r="A308" s="196" t="str">
        <f aca="false">CONCATENATE(F308,",",E308)</f>
        <v>MATH 152,ED1-IND</v>
      </c>
      <c r="B308" s="196" t="s">
        <v>992</v>
      </c>
      <c r="C308" s="196" t="str">
        <v>Calculus With Analysis</v>
      </c>
      <c r="D308" s="196" t="n">
        <v>88</v>
      </c>
      <c r="E308" s="196" t="s">
        <v>111</v>
      </c>
      <c r="F308" s="196" t="s">
        <v>129</v>
      </c>
    </row>
    <row r="309" customFormat="false" ht="14.25" hidden="false" customHeight="false" outlineLevel="0" collapsed="false">
      <c r="A309" s="196" t="str">
        <f aca="false">CONCATENATE(F309,",",E309)</f>
        <v>ME 160,ED1-IND</v>
      </c>
      <c r="B309" s="196" t="s">
        <v>993</v>
      </c>
      <c r="C309" s="196" t="str">
        <v>Engineering Drawing</v>
      </c>
      <c r="D309" s="196" t="n">
        <v>88</v>
      </c>
      <c r="E309" s="196" t="s">
        <v>111</v>
      </c>
      <c r="F309" s="196" t="s">
        <v>160</v>
      </c>
    </row>
    <row r="310" customFormat="false" ht="14.25" hidden="false" customHeight="false" outlineLevel="0" collapsed="false">
      <c r="A310" s="196" t="str">
        <f aca="false">CONCATENATE(F310,",",E310)</f>
        <v>ME 164,ED1-IND</v>
      </c>
      <c r="B310" s="196" t="s">
        <v>1238</v>
      </c>
      <c r="C310" s="196" t="str">
        <v>Statics Of Solid Mechanics</v>
      </c>
      <c r="D310" s="196" t="n">
        <v>88</v>
      </c>
      <c r="E310" s="196" t="s">
        <v>111</v>
      </c>
      <c r="F310" s="196" t="s">
        <v>268</v>
      </c>
    </row>
    <row r="311" customFormat="false" ht="14.25" hidden="false" customHeight="false" outlineLevel="0" collapsed="false">
      <c r="A311" s="196" t="str">
        <f aca="false">CONCATENATE(F311,",",E311)</f>
        <v>ME 168,ED1-IND</v>
      </c>
      <c r="B311" s="196" t="s">
        <v>1019</v>
      </c>
      <c r="C311" s="196" t="str">
        <v>Computer Programming For Engineers</v>
      </c>
      <c r="D311" s="196" t="n">
        <v>88</v>
      </c>
      <c r="E311" s="196" t="s">
        <v>111</v>
      </c>
      <c r="F311" s="196" t="s">
        <v>110</v>
      </c>
    </row>
    <row r="312" customFormat="false" ht="14.25" hidden="false" customHeight="false" outlineLevel="0" collapsed="false">
      <c r="A312" s="196" t="str">
        <f aca="false">CONCATENATE(F312,",",E312)</f>
        <v>ENGL 264,ED2-IND</v>
      </c>
      <c r="B312" s="196" t="s">
        <v>996</v>
      </c>
      <c r="C312" s="196" t="str">
        <v>Literature In English II</v>
      </c>
      <c r="D312" s="196" t="n">
        <v>72</v>
      </c>
      <c r="E312" s="196" t="s">
        <v>38</v>
      </c>
      <c r="F312" s="196" t="s">
        <v>276</v>
      </c>
    </row>
    <row r="313" customFormat="false" ht="14.25" hidden="false" customHeight="false" outlineLevel="0" collapsed="false">
      <c r="A313" s="196" t="str">
        <f aca="false">CONCATENATE(F313,",",E313)</f>
        <v>IE 296,ED2-IND</v>
      </c>
      <c r="B313" s="196" t="s">
        <v>1239</v>
      </c>
      <c r="C313" s="196" t="str">
        <v>Industrial Engineeging Laboratory II</v>
      </c>
      <c r="D313" s="196" t="n">
        <v>72</v>
      </c>
      <c r="E313" s="196" t="s">
        <v>38</v>
      </c>
      <c r="F313" s="196" t="s">
        <v>225</v>
      </c>
    </row>
    <row r="314" customFormat="false" ht="14.25" hidden="false" customHeight="false" outlineLevel="0" collapsed="false">
      <c r="A314" s="196" t="str">
        <f aca="false">CONCATENATE(F314,",",E314)</f>
        <v>MATH 252,ED2-IND</v>
      </c>
      <c r="B314" s="196" t="s">
        <v>998</v>
      </c>
      <c r="C314" s="196" t="str">
        <v>Calculus With Several Variables</v>
      </c>
      <c r="D314" s="196" t="n">
        <v>72</v>
      </c>
      <c r="E314" s="196" t="s">
        <v>38</v>
      </c>
      <c r="F314" s="196" t="s">
        <v>281</v>
      </c>
    </row>
    <row r="315" customFormat="false" ht="14.25" hidden="false" customHeight="false" outlineLevel="0" collapsed="false">
      <c r="A315" s="196" t="str">
        <f aca="false">CONCATENATE(F315,",",E315)</f>
        <v>ME 252,ED2-IND</v>
      </c>
      <c r="B315" s="196" t="s">
        <v>1051</v>
      </c>
      <c r="C315" s="196" t="str">
        <v>Fluid Dynamics I</v>
      </c>
      <c r="D315" s="196" t="n">
        <v>72</v>
      </c>
      <c r="E315" s="196" t="s">
        <v>38</v>
      </c>
      <c r="F315" s="196" t="s">
        <v>394</v>
      </c>
    </row>
    <row r="316" customFormat="false" ht="14.25" hidden="false" customHeight="false" outlineLevel="0" collapsed="false">
      <c r="A316" s="196" t="str">
        <f aca="false">CONCATENATE(F316,",",E316)</f>
        <v>ME 264,ED2-IND</v>
      </c>
      <c r="B316" s="196" t="s">
        <v>1023</v>
      </c>
      <c r="C316" s="196" t="str">
        <v>Mechanisms Synthesis And Analysis I</v>
      </c>
      <c r="D316" s="196" t="n">
        <v>72</v>
      </c>
      <c r="E316" s="196" t="s">
        <v>38</v>
      </c>
      <c r="F316" s="196" t="s">
        <v>151</v>
      </c>
    </row>
    <row r="317" customFormat="false" ht="14.25" hidden="false" customHeight="false" outlineLevel="0" collapsed="false">
      <c r="A317" s="196" t="str">
        <f aca="false">CONCATENATE(F317,",",E317)</f>
        <v>ME 266,ED2-IND</v>
      </c>
      <c r="B317" s="196" t="s">
        <v>1024</v>
      </c>
      <c r="C317" s="196" t="str">
        <v>Thermodynamics I</v>
      </c>
      <c r="D317" s="196" t="n">
        <v>72</v>
      </c>
      <c r="E317" s="196" t="s">
        <v>38</v>
      </c>
      <c r="F317" s="196" t="s">
        <v>420</v>
      </c>
    </row>
    <row r="318" customFormat="false" ht="14.25" hidden="false" customHeight="false" outlineLevel="0" collapsed="false">
      <c r="A318" s="196" t="str">
        <f aca="false">CONCATENATE(F318,",",E318)</f>
        <v>IE 274,ED2-IND</v>
      </c>
      <c r="B318" s="196" t="s">
        <v>1240</v>
      </c>
      <c r="C318" s="196" t="str">
        <v>Second Year Design Project</v>
      </c>
      <c r="D318" s="196" t="n">
        <v>72</v>
      </c>
      <c r="E318" s="196" t="s">
        <v>38</v>
      </c>
      <c r="F318" s="196" t="s">
        <v>37</v>
      </c>
    </row>
    <row r="319" customFormat="false" ht="14.25" hidden="false" customHeight="false" outlineLevel="0" collapsed="false">
      <c r="A319" s="196" t="str">
        <f aca="false">CONCATENATE(F319,",",E319)</f>
        <v>ME 270,ED2-IND</v>
      </c>
      <c r="B319" s="196" t="s">
        <v>1052</v>
      </c>
      <c r="C319" s="196" t="str">
        <v>Manufacturing Technology</v>
      </c>
      <c r="D319" s="196" t="n">
        <v>72</v>
      </c>
      <c r="E319" s="196" t="s">
        <v>38</v>
      </c>
      <c r="F319" s="196" t="s">
        <v>337</v>
      </c>
    </row>
    <row r="320" customFormat="false" ht="14.25" hidden="false" customHeight="false" outlineLevel="0" collapsed="false">
      <c r="A320" s="196" t="str">
        <f aca="false">CONCATENATE(F320,",",E320)</f>
        <v>IE 354,ED3-IND</v>
      </c>
      <c r="B320" s="196" t="s">
        <v>1241</v>
      </c>
      <c r="C320" s="196" t="str">
        <v>Logistics And Supply Chain Engineering</v>
      </c>
      <c r="D320" s="196" t="n">
        <v>70</v>
      </c>
      <c r="E320" s="196" t="s">
        <v>121</v>
      </c>
      <c r="F320" s="196" t="s">
        <v>482</v>
      </c>
    </row>
    <row r="321" customFormat="false" ht="14.25" hidden="false" customHeight="false" outlineLevel="0" collapsed="false">
      <c r="A321" s="196" t="str">
        <f aca="false">CONCATENATE(F321,",",E321)</f>
        <v>IE 356,ED3-IND</v>
      </c>
      <c r="B321" s="196" t="s">
        <v>1242</v>
      </c>
      <c r="C321" s="196" t="str">
        <v>Reliability Engineering</v>
      </c>
      <c r="D321" s="196" t="n">
        <v>70</v>
      </c>
      <c r="E321" s="196" t="s">
        <v>121</v>
      </c>
      <c r="F321" s="196" t="s">
        <v>444</v>
      </c>
    </row>
    <row r="322" customFormat="false" ht="14.25" hidden="false" customHeight="false" outlineLevel="0" collapsed="false">
      <c r="A322" s="196" t="str">
        <f aca="false">CONCATENATE(F322,",",E322)</f>
        <v>IE 358,ED3-IND</v>
      </c>
      <c r="B322" s="196" t="s">
        <v>1243</v>
      </c>
      <c r="C322" s="196" t="str">
        <v>Computer-Aided Design And Manufacturing</v>
      </c>
      <c r="D322" s="196" t="n">
        <v>70</v>
      </c>
      <c r="E322" s="196" t="s">
        <v>121</v>
      </c>
      <c r="F322" s="196" t="s">
        <v>265</v>
      </c>
    </row>
    <row r="323" customFormat="false" ht="14.25" hidden="false" customHeight="false" outlineLevel="0" collapsed="false">
      <c r="A323" s="196" t="str">
        <f aca="false">CONCATENATE(F323,",",E323)</f>
        <v>IE 360,ED3-IND</v>
      </c>
      <c r="B323" s="196" t="s">
        <v>1244</v>
      </c>
      <c r="C323" s="196" t="str">
        <v>Quality Assurance</v>
      </c>
      <c r="D323" s="196" t="n">
        <v>70</v>
      </c>
      <c r="E323" s="196" t="s">
        <v>121</v>
      </c>
      <c r="F323" s="196" t="s">
        <v>402</v>
      </c>
    </row>
    <row r="324" customFormat="false" ht="14.25" hidden="false" customHeight="false" outlineLevel="0" collapsed="false">
      <c r="A324" s="196" t="str">
        <f aca="false">CONCATENATE(F324,",",E324)</f>
        <v>IE 362,ED3-IND</v>
      </c>
      <c r="B324" s="196" t="s">
        <v>1245</v>
      </c>
      <c r="C324" s="196" t="str">
        <v>Industrial Engineering Lab III</v>
      </c>
      <c r="D324" s="196" t="n">
        <v>70</v>
      </c>
      <c r="E324" s="196" t="s">
        <v>121</v>
      </c>
      <c r="F324" s="196" t="s">
        <v>229</v>
      </c>
    </row>
    <row r="325" customFormat="false" ht="14.25" hidden="false" customHeight="false" outlineLevel="0" collapsed="false">
      <c r="A325" s="196" t="str">
        <f aca="false">CONCATENATE(F325,",",E325)</f>
        <v>IE 366,ED3-IND</v>
      </c>
      <c r="B325" s="196" t="s">
        <v>1246</v>
      </c>
      <c r="C325" s="196" t="str">
        <v>Advanced Manufacturing Technology I</v>
      </c>
      <c r="D325" s="196" t="n">
        <v>70</v>
      </c>
      <c r="E325" s="196" t="s">
        <v>121</v>
      </c>
      <c r="F325" s="196" t="s">
        <v>340</v>
      </c>
    </row>
    <row r="326" customFormat="false" ht="14.25" hidden="false" customHeight="false" outlineLevel="0" collapsed="false">
      <c r="A326" s="196" t="str">
        <f aca="false">CONCATENATE(F326,",",E326)</f>
        <v>IE 368,ED3-IND</v>
      </c>
      <c r="B326" s="196" t="s">
        <v>1247</v>
      </c>
      <c r="C326" s="196" t="str">
        <v>Operations Research II</v>
      </c>
      <c r="D326" s="196" t="n">
        <v>70</v>
      </c>
      <c r="E326" s="196" t="s">
        <v>121</v>
      </c>
      <c r="F326" s="196" t="s">
        <v>120</v>
      </c>
    </row>
    <row r="327" customFormat="false" ht="14.25" hidden="false" customHeight="false" outlineLevel="0" collapsed="false">
      <c r="A327" s="196" t="str">
        <f aca="false">CONCATENATE(F327,",",E327)</f>
        <v>IE 452,ED4-IND</v>
      </c>
      <c r="B327" s="196" t="s">
        <v>1248</v>
      </c>
      <c r="C327" s="196" t="str">
        <v>Automation And Production System</v>
      </c>
      <c r="D327" s="196" t="n">
        <v>121</v>
      </c>
      <c r="E327" s="196" t="s">
        <v>124</v>
      </c>
      <c r="F327" s="196" t="s">
        <v>123</v>
      </c>
    </row>
    <row r="328" customFormat="false" ht="14.25" hidden="false" customHeight="false" outlineLevel="0" collapsed="false">
      <c r="A328" s="196" t="str">
        <f aca="false">CONCATENATE(F328,",",E328)</f>
        <v>IE 454,ED4-IND</v>
      </c>
      <c r="B328" s="196" t="s">
        <v>1038</v>
      </c>
      <c r="C328" s="196" t="str">
        <v>Production Planning And Control</v>
      </c>
      <c r="D328" s="196" t="n">
        <v>121</v>
      </c>
      <c r="E328" s="196" t="s">
        <v>124</v>
      </c>
      <c r="F328" s="196" t="s">
        <v>508</v>
      </c>
    </row>
    <row r="329" customFormat="false" ht="14.25" hidden="false" customHeight="false" outlineLevel="0" collapsed="false">
      <c r="A329" s="196" t="str">
        <f aca="false">CONCATENATE(F329,",",E329)</f>
        <v>IE 456,ED4-IND</v>
      </c>
      <c r="B329" s="196" t="s">
        <v>1249</v>
      </c>
      <c r="C329" s="196" t="str">
        <v>Systems Integration</v>
      </c>
      <c r="D329" s="196" t="n">
        <v>121</v>
      </c>
      <c r="E329" s="196" t="s">
        <v>124</v>
      </c>
      <c r="F329" s="196" t="s">
        <v>216</v>
      </c>
    </row>
    <row r="330" customFormat="false" ht="14.25" hidden="false" customHeight="false" outlineLevel="0" collapsed="false">
      <c r="A330" s="196" t="str">
        <f aca="false">CONCATENATE(F330,",",E330)</f>
        <v>IE 458,ED4-IND</v>
      </c>
      <c r="B330" s="196" t="s">
        <v>1041</v>
      </c>
      <c r="C330" s="196" t="str">
        <v>Human Factors And Ergonomics</v>
      </c>
      <c r="D330" s="196" t="n">
        <v>121</v>
      </c>
      <c r="E330" s="196" t="s">
        <v>124</v>
      </c>
      <c r="F330" s="196" t="s">
        <v>427</v>
      </c>
    </row>
    <row r="331" customFormat="false" ht="14.25" hidden="false" customHeight="false" outlineLevel="0" collapsed="false">
      <c r="A331" s="196" t="str">
        <f aca="false">CONCATENATE(F331,",",E331)</f>
        <v>ME 492,ED4-IND</v>
      </c>
      <c r="B331" s="196" t="s">
        <v>1250</v>
      </c>
      <c r="C331" s="196" t="str">
        <v>Management And Entrepreneurship Development</v>
      </c>
      <c r="D331" s="196" t="n">
        <v>121</v>
      </c>
      <c r="E331" s="196" t="s">
        <v>124</v>
      </c>
      <c r="F331" s="196" t="s">
        <v>373</v>
      </c>
    </row>
    <row r="332" customFormat="false" ht="14.25" hidden="false" customHeight="false" outlineLevel="0" collapsed="false">
      <c r="A332" s="196" t="str">
        <f aca="false">CONCATENATE(F332,",",E332)</f>
        <v>ME 494,ED4-IND</v>
      </c>
      <c r="B332" s="196" t="s">
        <v>1251</v>
      </c>
      <c r="C332" s="196" t="str">
        <v>Maintenance Engineering </v>
      </c>
      <c r="D332" s="196" t="n">
        <v>121</v>
      </c>
      <c r="E332" s="196" t="s">
        <v>124</v>
      </c>
      <c r="F332" s="196" t="s">
        <v>293</v>
      </c>
    </row>
    <row r="333" customFormat="false" ht="14.25" hidden="false" customHeight="false" outlineLevel="0" collapsed="false">
      <c r="A333" s="196" t="str">
        <f aca="false">CONCATENATE(F333,",",E333)</f>
        <v>EE 152,ED1-MARI</v>
      </c>
      <c r="B333" s="196" t="s">
        <v>990</v>
      </c>
      <c r="C333" s="196" t="str">
        <v>Basic Electronics</v>
      </c>
      <c r="D333" s="196" t="n">
        <v>37</v>
      </c>
      <c r="E333" s="196" t="s">
        <v>112</v>
      </c>
      <c r="F333" s="196" t="s">
        <v>234</v>
      </c>
    </row>
    <row r="334" customFormat="false" ht="14.25" hidden="false" customHeight="false" outlineLevel="0" collapsed="false">
      <c r="A334" s="196" t="str">
        <f aca="false">CONCATENATE(F334,",",E334)</f>
        <v>ENGL 158,ED1-MARI</v>
      </c>
      <c r="B334" s="196" t="s">
        <v>991</v>
      </c>
      <c r="C334" s="196" t="str">
        <v>Communication Skills II</v>
      </c>
      <c r="D334" s="196" t="n">
        <v>37</v>
      </c>
      <c r="E334" s="196" t="s">
        <v>112</v>
      </c>
      <c r="F334" s="196" t="s">
        <v>364</v>
      </c>
    </row>
    <row r="335" customFormat="false" ht="14.25" hidden="false" customHeight="false" outlineLevel="0" collapsed="false">
      <c r="A335" s="196" t="str">
        <f aca="false">CONCATENATE(F335,",",E335)</f>
        <v>FC 182,ED1-MARI</v>
      </c>
      <c r="B335" s="196" t="s">
        <v>1085</v>
      </c>
      <c r="C335" s="196" t="str">
        <v>French For Communication II</v>
      </c>
      <c r="D335" s="196" t="n">
        <v>37</v>
      </c>
      <c r="E335" s="196" t="s">
        <v>112</v>
      </c>
      <c r="F335" s="196" t="s">
        <v>245</v>
      </c>
    </row>
    <row r="336" customFormat="false" ht="14.25" hidden="false" customHeight="false" outlineLevel="0" collapsed="false">
      <c r="A336" s="196" t="str">
        <f aca="false">CONCATENATE(F336,",",E336)</f>
        <v>MATH 152,ED1-MARI</v>
      </c>
      <c r="B336" s="196" t="s">
        <v>992</v>
      </c>
      <c r="C336" s="196" t="str">
        <v>Calculus With Analysis</v>
      </c>
      <c r="D336" s="196" t="n">
        <v>37</v>
      </c>
      <c r="E336" s="196" t="s">
        <v>112</v>
      </c>
      <c r="F336" s="196" t="s">
        <v>129</v>
      </c>
    </row>
    <row r="337" customFormat="false" ht="14.25" hidden="false" customHeight="false" outlineLevel="0" collapsed="false">
      <c r="A337" s="196" t="str">
        <f aca="false">CONCATENATE(F337,",",E337)</f>
        <v>ME 160,ED1-MARI</v>
      </c>
      <c r="B337" s="196" t="s">
        <v>993</v>
      </c>
      <c r="C337" s="196" t="str">
        <v>Engineering Drawing</v>
      </c>
      <c r="D337" s="196" t="n">
        <v>37</v>
      </c>
      <c r="E337" s="196" t="s">
        <v>112</v>
      </c>
      <c r="F337" s="196" t="s">
        <v>160</v>
      </c>
    </row>
    <row r="338" customFormat="false" ht="14.25" hidden="false" customHeight="false" outlineLevel="0" collapsed="false">
      <c r="A338" s="196" t="str">
        <f aca="false">CONCATENATE(F338,",",E338)</f>
        <v>ME 164,ED1-MARI</v>
      </c>
      <c r="B338" s="196" t="s">
        <v>1238</v>
      </c>
      <c r="C338" s="196" t="str">
        <v>Statics Of Solid Mechanics</v>
      </c>
      <c r="D338" s="196" t="n">
        <v>37</v>
      </c>
      <c r="E338" s="196" t="s">
        <v>112</v>
      </c>
      <c r="F338" s="196" t="s">
        <v>268</v>
      </c>
    </row>
    <row r="339" customFormat="false" ht="14.25" hidden="false" customHeight="false" outlineLevel="0" collapsed="false">
      <c r="A339" s="196" t="str">
        <f aca="false">CONCATENATE(F339,",",E339)</f>
        <v>ME 168,ED1-MARI</v>
      </c>
      <c r="B339" s="196" t="s">
        <v>1019</v>
      </c>
      <c r="C339" s="196" t="str">
        <v>Computer Programming For Engineers</v>
      </c>
      <c r="D339" s="196" t="n">
        <v>37</v>
      </c>
      <c r="E339" s="196" t="s">
        <v>112</v>
      </c>
      <c r="F339" s="196" t="s">
        <v>110</v>
      </c>
    </row>
    <row r="340" customFormat="false" ht="14.25" hidden="false" customHeight="false" outlineLevel="0" collapsed="false">
      <c r="A340" s="196" t="str">
        <f aca="false">CONCATENATE(F340,",",E340)</f>
        <v>MME 174,ED1-MARI</v>
      </c>
      <c r="B340" s="196" t="s">
        <v>1252</v>
      </c>
      <c r="C340" s="196" t="str">
        <v>Marine Engineering Design Project I</v>
      </c>
      <c r="D340" s="196" t="n">
        <v>37</v>
      </c>
      <c r="E340" s="196" t="s">
        <v>112</v>
      </c>
      <c r="F340" s="196" t="s">
        <v>485</v>
      </c>
    </row>
    <row r="341" customFormat="false" ht="14.25" hidden="false" customHeight="false" outlineLevel="0" collapsed="false">
      <c r="A341" s="196" t="str">
        <f aca="false">CONCATENATE(F341,",",E341)</f>
        <v>MATH 252,ED2-MARI</v>
      </c>
      <c r="B341" s="196" t="s">
        <v>998</v>
      </c>
      <c r="C341" s="196" t="str">
        <v>Calculus With Several Variables</v>
      </c>
      <c r="D341" s="196" t="n">
        <v>41</v>
      </c>
      <c r="E341" s="196" t="s">
        <v>42</v>
      </c>
      <c r="F341" s="196" t="s">
        <v>281</v>
      </c>
    </row>
    <row r="342" customFormat="false" ht="14.25" hidden="false" customHeight="false" outlineLevel="0" collapsed="false">
      <c r="A342" s="196" t="str">
        <f aca="false">CONCATENATE(F342,",",E342)</f>
        <v>ME 252,ED2-MARI</v>
      </c>
      <c r="B342" s="196" t="s">
        <v>1051</v>
      </c>
      <c r="C342" s="196" t="str">
        <v>Fluid Dynamics I</v>
      </c>
      <c r="D342" s="196" t="n">
        <v>41</v>
      </c>
      <c r="E342" s="196" t="s">
        <v>42</v>
      </c>
      <c r="F342" s="196" t="s">
        <v>394</v>
      </c>
    </row>
    <row r="343" customFormat="false" ht="14.25" hidden="false" customHeight="false" outlineLevel="0" collapsed="false">
      <c r="A343" s="196" t="str">
        <f aca="false">CONCATENATE(F343,",",E343)</f>
        <v>ME 270,ED2-MARI</v>
      </c>
      <c r="B343" s="196" t="s">
        <v>1052</v>
      </c>
      <c r="C343" s="196" t="str">
        <v>Manufacturing Technology</v>
      </c>
      <c r="D343" s="196" t="n">
        <v>41</v>
      </c>
      <c r="E343" s="196" t="s">
        <v>42</v>
      </c>
      <c r="F343" s="196" t="s">
        <v>337</v>
      </c>
    </row>
    <row r="344" customFormat="false" ht="14.25" hidden="false" customHeight="false" outlineLevel="0" collapsed="false">
      <c r="A344" s="196" t="str">
        <f aca="false">CONCATENATE(F344,",",E344)</f>
        <v>MME 264,ED2-MARI</v>
      </c>
      <c r="B344" s="196" t="s">
        <v>1253</v>
      </c>
      <c r="C344" s="196" t="str">
        <v>Marine Mechanisms, Systhesis And Analysis</v>
      </c>
      <c r="D344" s="196" t="n">
        <v>41</v>
      </c>
      <c r="E344" s="196" t="s">
        <v>42</v>
      </c>
      <c r="F344" s="196" t="s">
        <v>152</v>
      </c>
    </row>
    <row r="345" customFormat="false" ht="14.25" hidden="false" customHeight="false" outlineLevel="0" collapsed="false">
      <c r="A345" s="196" t="str">
        <f aca="false">CONCATENATE(F345,",",E345)</f>
        <v>MME 274,ED2-MARI</v>
      </c>
      <c r="B345" s="196" t="s">
        <v>1254</v>
      </c>
      <c r="C345" s="196" t="str">
        <v>Marine Engineering Design Project II</v>
      </c>
      <c r="D345" s="196" t="n">
        <v>41</v>
      </c>
      <c r="E345" s="196" t="s">
        <v>42</v>
      </c>
      <c r="F345" s="196" t="s">
        <v>41</v>
      </c>
    </row>
    <row r="346" customFormat="false" ht="14.25" hidden="false" customHeight="false" outlineLevel="0" collapsed="false">
      <c r="A346" s="196" t="str">
        <f aca="false">CONCATENATE(F346,",",E346)</f>
        <v>MME 292,ED2-MARI</v>
      </c>
      <c r="B346" s="196" t="s">
        <v>1255</v>
      </c>
      <c r="C346" s="196" t="str">
        <v>Seamanship</v>
      </c>
      <c r="D346" s="196" t="n">
        <v>41</v>
      </c>
      <c r="E346" s="196" t="s">
        <v>42</v>
      </c>
      <c r="F346" s="196" t="s">
        <v>84</v>
      </c>
    </row>
    <row r="347" customFormat="false" ht="14.25" hidden="false" customHeight="false" outlineLevel="0" collapsed="false">
      <c r="A347" s="196" t="str">
        <f aca="false">CONCATENATE(F347,",",E347)</f>
        <v>MME 296,ED2-MARI</v>
      </c>
      <c r="B347" s="196" t="s">
        <v>1256</v>
      </c>
      <c r="C347" s="196" t="str">
        <v>Marine Engineering Laboratory II</v>
      </c>
      <c r="D347" s="196" t="n">
        <v>41</v>
      </c>
      <c r="E347" s="196" t="s">
        <v>42</v>
      </c>
      <c r="F347" s="196" t="s">
        <v>230</v>
      </c>
    </row>
    <row r="348" customFormat="false" ht="14.25" hidden="false" customHeight="false" outlineLevel="0" collapsed="false">
      <c r="A348" s="196" t="str">
        <f aca="false">CONCATENATE(F348,",",E348)</f>
        <v>SES 172,ED2-MARI</v>
      </c>
      <c r="B348" s="196" t="s">
        <v>1257</v>
      </c>
      <c r="C348" s="196" t="str">
        <v>Aquatic Strokes Development And Refinement</v>
      </c>
      <c r="D348" s="196" t="n">
        <v>41</v>
      </c>
      <c r="E348" s="196" t="s">
        <v>42</v>
      </c>
      <c r="F348" s="196" t="s">
        <v>456</v>
      </c>
    </row>
    <row r="349" customFormat="false" ht="14.25" hidden="false" customHeight="false" outlineLevel="0" collapsed="false">
      <c r="A349" s="196" t="str">
        <f aca="false">CONCATENATE(F349,",",E349)</f>
        <v>ME 352,ED3-MARI</v>
      </c>
      <c r="B349" s="196" t="s">
        <v>1258</v>
      </c>
      <c r="C349" s="196" t="str">
        <v>Fluid Dynamics II</v>
      </c>
      <c r="D349" s="196" t="n">
        <v>23</v>
      </c>
      <c r="E349" s="196" t="s">
        <v>86</v>
      </c>
      <c r="F349" s="196" t="s">
        <v>174</v>
      </c>
    </row>
    <row r="350" customFormat="false" ht="14.25" hidden="false" customHeight="false" outlineLevel="0" collapsed="false">
      <c r="A350" s="196" t="str">
        <f aca="false">CONCATENATE(F350,",",E350)</f>
        <v>ME 362,ED3-MARI</v>
      </c>
      <c r="B350" s="196" t="s">
        <v>1029</v>
      </c>
      <c r="C350" s="196" t="str">
        <v>Vibrations I</v>
      </c>
      <c r="D350" s="196" t="n">
        <v>23</v>
      </c>
      <c r="E350" s="196" t="s">
        <v>86</v>
      </c>
      <c r="F350" s="196" t="s">
        <v>519</v>
      </c>
    </row>
    <row r="351" customFormat="false" ht="14.25" hidden="false" customHeight="false" outlineLevel="0" collapsed="false">
      <c r="A351" s="196" t="str">
        <f aca="false">CONCATENATE(F351,",",E351)</f>
        <v>ME 366,ED3-MARI</v>
      </c>
      <c r="B351" s="196" t="s">
        <v>1007</v>
      </c>
      <c r="C351" s="196" t="str">
        <v>Heat Transfer</v>
      </c>
      <c r="D351" s="196" t="n">
        <v>23</v>
      </c>
      <c r="E351" s="196" t="s">
        <v>86</v>
      </c>
      <c r="F351" s="196" t="s">
        <v>347</v>
      </c>
    </row>
    <row r="352" customFormat="false" ht="14.25" hidden="false" customHeight="false" outlineLevel="0" collapsed="false">
      <c r="A352" s="196" t="str">
        <f aca="false">CONCATENATE(F352,",",E352)</f>
        <v>MME 356,ED3-MARI</v>
      </c>
      <c r="B352" s="196" t="s">
        <v>1259</v>
      </c>
      <c r="C352" s="196" t="str">
        <v>Strength Of Marine Materials II</v>
      </c>
      <c r="D352" s="196" t="n">
        <v>23</v>
      </c>
      <c r="E352" s="196" t="s">
        <v>86</v>
      </c>
      <c r="F352" s="196" t="s">
        <v>380</v>
      </c>
    </row>
    <row r="353" customFormat="false" ht="14.25" hidden="false" customHeight="false" outlineLevel="0" collapsed="false">
      <c r="A353" s="196" t="str">
        <f aca="false">CONCATENATE(F353,",",E353)</f>
        <v>MME 382,ED3-MARI</v>
      </c>
      <c r="B353" s="196" t="s">
        <v>1260</v>
      </c>
      <c r="C353" s="196" t="str">
        <v>Naval Architecture I</v>
      </c>
      <c r="D353" s="196" t="n">
        <v>23</v>
      </c>
      <c r="E353" s="196" t="s">
        <v>86</v>
      </c>
      <c r="F353" s="196" t="s">
        <v>304</v>
      </c>
    </row>
    <row r="354" customFormat="false" ht="14.25" hidden="false" customHeight="false" outlineLevel="0" collapsed="false">
      <c r="A354" s="196" t="str">
        <f aca="false">CONCATENATE(F354,",",E354)</f>
        <v>MME 386,ED3-MARI</v>
      </c>
      <c r="B354" s="196" t="s">
        <v>1261</v>
      </c>
      <c r="C354" s="196" t="str">
        <v>Marine Electrical Technology And Electrical Measurements</v>
      </c>
      <c r="D354" s="196" t="n">
        <v>23</v>
      </c>
      <c r="E354" s="196" t="s">
        <v>86</v>
      </c>
      <c r="F354" s="196" t="s">
        <v>440</v>
      </c>
    </row>
    <row r="355" customFormat="false" ht="14.25" hidden="false" customHeight="false" outlineLevel="0" collapsed="false">
      <c r="A355" s="196" t="str">
        <f aca="false">CONCATENATE(F355,",",E355)</f>
        <v>MME 392,ED3-MARI</v>
      </c>
      <c r="B355" s="196" t="s">
        <v>1262</v>
      </c>
      <c r="C355" s="196" t="str">
        <v>Marine Industrial Engineering And Ergonomics</v>
      </c>
      <c r="D355" s="196" t="n">
        <v>23</v>
      </c>
      <c r="E355" s="196" t="s">
        <v>86</v>
      </c>
      <c r="F355" s="196" t="s">
        <v>238</v>
      </c>
    </row>
    <row r="356" customFormat="false" ht="14.25" hidden="false" customHeight="false" outlineLevel="0" collapsed="false">
      <c r="A356" s="196" t="str">
        <f aca="false">CONCATENATE(F356,",",E356)</f>
        <v>MME 396,ED3-MARI</v>
      </c>
      <c r="B356" s="196" t="s">
        <v>1263</v>
      </c>
      <c r="C356" s="196" t="str">
        <v>Marine Engineering Laboratory III</v>
      </c>
      <c r="D356" s="196" t="n">
        <v>23</v>
      </c>
      <c r="E356" s="196" t="s">
        <v>86</v>
      </c>
      <c r="F356" s="196" t="s">
        <v>85</v>
      </c>
    </row>
    <row r="357" customFormat="false" ht="14.25" hidden="false" customHeight="false" outlineLevel="0" collapsed="false">
      <c r="A357" s="196" t="str">
        <f aca="false">CONCATENATE(F357,",",E357)</f>
        <v>MME 462,ED4-MARI</v>
      </c>
      <c r="B357" s="196" t="s">
        <v>1264</v>
      </c>
      <c r="C357" s="196" t="str">
        <v>Marine Control Engineering And Automation</v>
      </c>
      <c r="D357" s="196" t="n">
        <v>68</v>
      </c>
      <c r="E357" s="196" t="s">
        <v>69</v>
      </c>
      <c r="F357" s="196" t="s">
        <v>164</v>
      </c>
    </row>
    <row r="358" customFormat="false" ht="14.25" hidden="false" customHeight="false" outlineLevel="0" collapsed="false">
      <c r="A358" s="196" t="str">
        <f aca="false">CONCATENATE(F358,",",E358)</f>
        <v>MME 476,ED4-MARI</v>
      </c>
      <c r="B358" s="196" t="s">
        <v>1265</v>
      </c>
      <c r="C358" s="196" t="str">
        <v>Ship Construction</v>
      </c>
      <c r="D358" s="196" t="n">
        <v>68</v>
      </c>
      <c r="E358" s="196" t="s">
        <v>69</v>
      </c>
      <c r="F358" s="196" t="s">
        <v>449</v>
      </c>
    </row>
    <row r="359" customFormat="false" ht="14.25" hidden="false" customHeight="false" outlineLevel="0" collapsed="false">
      <c r="A359" s="196" t="str">
        <f aca="false">CONCATENATE(F359,",",E359)</f>
        <v>MME 482,ED4-MARI</v>
      </c>
      <c r="B359" s="196" t="s">
        <v>1266</v>
      </c>
      <c r="C359" s="196" t="str">
        <v>Naval Architecture II</v>
      </c>
      <c r="D359" s="196" t="n">
        <v>68</v>
      </c>
      <c r="E359" s="196" t="s">
        <v>69</v>
      </c>
      <c r="F359" s="196" t="s">
        <v>68</v>
      </c>
    </row>
    <row r="360" customFormat="false" ht="14.25" hidden="false" customHeight="false" outlineLevel="0" collapsed="false">
      <c r="A360" s="196" t="str">
        <f aca="false">CONCATENATE(F360,",",E360)</f>
        <v>MME 486,ED4-MARI</v>
      </c>
      <c r="B360" s="196" t="s">
        <v>1267</v>
      </c>
      <c r="C360" s="196" t="str">
        <v>Ship Safety, Environmental Protection And Safe Watch Keeping</v>
      </c>
      <c r="D360" s="196" t="n">
        <v>68</v>
      </c>
      <c r="E360" s="196" t="s">
        <v>69</v>
      </c>
      <c r="F360" s="196" t="s">
        <v>228</v>
      </c>
    </row>
    <row r="361" customFormat="false" ht="14.25" hidden="false" customHeight="false" outlineLevel="0" collapsed="false">
      <c r="A361" s="196" t="str">
        <f aca="false">CONCATENATE(F361,",",E361)</f>
        <v>MME 492,ED4-MARI</v>
      </c>
      <c r="B361" s="196" t="s">
        <v>1268</v>
      </c>
      <c r="C361" s="196" t="str">
        <v>Ship Operation, Regulation And Management</v>
      </c>
      <c r="D361" s="196" t="n">
        <v>68</v>
      </c>
      <c r="E361" s="196" t="s">
        <v>69</v>
      </c>
      <c r="F361" s="196" t="s">
        <v>506</v>
      </c>
    </row>
    <row r="362" customFormat="false" ht="14.25" hidden="false" customHeight="false" outlineLevel="0" collapsed="false">
      <c r="A362" s="196" t="str">
        <f aca="false">CONCATENATE(F362,",",E362)</f>
        <v>MME 494,ED4-MARI</v>
      </c>
      <c r="B362" s="196" t="s">
        <v>1269</v>
      </c>
      <c r="C362" s="196" t="str">
        <v>Marine Maintenance Engineering</v>
      </c>
      <c r="D362" s="196" t="n">
        <v>68</v>
      </c>
      <c r="E362" s="196" t="s">
        <v>69</v>
      </c>
      <c r="F362" s="196" t="s">
        <v>292</v>
      </c>
    </row>
    <row r="363" customFormat="false" ht="14.25" hidden="false" customHeight="false" outlineLevel="0" collapsed="false">
      <c r="A363" s="196" t="str">
        <f aca="false">CONCATENATE(F363,",",E363)</f>
        <v>METE 154,ED1-MSE</v>
      </c>
      <c r="B363" s="196" t="s">
        <v>1270</v>
      </c>
      <c r="C363" s="196" t="str">
        <v>Environmental Science</v>
      </c>
      <c r="D363" s="196" t="n">
        <v>85</v>
      </c>
      <c r="E363" s="196" t="s">
        <v>115</v>
      </c>
      <c r="F363" s="196" t="s">
        <v>500</v>
      </c>
    </row>
    <row r="364" customFormat="false" ht="14.25" hidden="false" customHeight="false" outlineLevel="0" collapsed="false">
      <c r="A364" s="196" t="str">
        <f aca="false">CONCATENATE(F364,",",E364)</f>
        <v>ENGL 158,ED1-MSE</v>
      </c>
      <c r="B364" s="196" t="s">
        <v>991</v>
      </c>
      <c r="C364" s="196" t="str">
        <v>Communication Skills II</v>
      </c>
      <c r="D364" s="196" t="n">
        <v>85</v>
      </c>
      <c r="E364" s="196" t="s">
        <v>115</v>
      </c>
      <c r="F364" s="196" t="s">
        <v>364</v>
      </c>
    </row>
    <row r="365" customFormat="false" ht="14.25" hidden="false" customHeight="false" outlineLevel="0" collapsed="false">
      <c r="A365" s="196" t="str">
        <f aca="false">CONCATENATE(F365,",",E365)</f>
        <v>MATH 152,ED1-MSE</v>
      </c>
      <c r="B365" s="196" t="s">
        <v>992</v>
      </c>
      <c r="C365" s="196" t="str">
        <v>Calculus With Analysis</v>
      </c>
      <c r="D365" s="196" t="n">
        <v>85</v>
      </c>
      <c r="E365" s="196" t="s">
        <v>115</v>
      </c>
      <c r="F365" s="196" t="s">
        <v>129</v>
      </c>
    </row>
    <row r="366" customFormat="false" ht="14.25" hidden="false" customHeight="false" outlineLevel="0" collapsed="false">
      <c r="A366" s="196" t="str">
        <f aca="false">CONCATENATE(F366,",",E366)</f>
        <v>ME 160,ED1-MSE</v>
      </c>
      <c r="B366" s="196" t="s">
        <v>993</v>
      </c>
      <c r="C366" s="196" t="str">
        <v>Engineering Drawing</v>
      </c>
      <c r="D366" s="196" t="n">
        <v>85</v>
      </c>
      <c r="E366" s="196" t="s">
        <v>115</v>
      </c>
      <c r="F366" s="196" t="s">
        <v>160</v>
      </c>
    </row>
    <row r="367" customFormat="false" ht="14.25" hidden="false" customHeight="false" outlineLevel="0" collapsed="false">
      <c r="A367" s="196" t="str">
        <f aca="false">CONCATENATE(F367,",",E367)</f>
        <v>ME 162,ED1-MSE</v>
      </c>
      <c r="B367" s="196" t="s">
        <v>994</v>
      </c>
      <c r="C367" s="196" t="str">
        <v>Basic Mechanics</v>
      </c>
      <c r="D367" s="196" t="n">
        <v>85</v>
      </c>
      <c r="E367" s="196" t="s">
        <v>115</v>
      </c>
      <c r="F367" s="196" t="s">
        <v>392</v>
      </c>
    </row>
    <row r="368" customFormat="false" ht="14.25" hidden="false" customHeight="false" outlineLevel="0" collapsed="false">
      <c r="A368" s="196" t="str">
        <f aca="false">CONCATENATE(F368,",",E368)</f>
        <v>MSE 152,ED1-MSE</v>
      </c>
      <c r="B368" s="196" t="s">
        <v>1271</v>
      </c>
      <c r="C368" s="196" t="str">
        <v>Kinetics Of Chemical Reactions</v>
      </c>
      <c r="D368" s="196" t="n">
        <v>85</v>
      </c>
      <c r="E368" s="196" t="s">
        <v>115</v>
      </c>
      <c r="F368" s="196" t="s">
        <v>294</v>
      </c>
    </row>
    <row r="369" customFormat="false" ht="14.25" hidden="false" customHeight="false" outlineLevel="0" collapsed="false">
      <c r="A369" s="196" t="str">
        <f aca="false">CONCATENATE(F369,",",E369)</f>
        <v>MSE 154,ED1-MSE</v>
      </c>
      <c r="B369" s="196" t="s">
        <v>1272</v>
      </c>
      <c r="C369" s="196" t="str">
        <v>Optical and Thermal Behaviour of Materials</v>
      </c>
      <c r="D369" s="196" t="n">
        <v>85</v>
      </c>
      <c r="E369" s="196" t="s">
        <v>115</v>
      </c>
      <c r="F369" s="196" t="s">
        <v>113</v>
      </c>
    </row>
    <row r="370" customFormat="false" ht="14.25" hidden="false" customHeight="false" outlineLevel="0" collapsed="false">
      <c r="A370" s="196" t="str">
        <f aca="false">CONCATENATE(F370,",",E370)</f>
        <v>MATH 252,ED2-MSE</v>
      </c>
      <c r="B370" s="196" t="s">
        <v>998</v>
      </c>
      <c r="C370" s="196" t="str">
        <v>Calculus With Several Variables</v>
      </c>
      <c r="D370" s="196" t="n">
        <v>90</v>
      </c>
      <c r="E370" s="196" t="s">
        <v>210</v>
      </c>
      <c r="F370" s="196" t="s">
        <v>281</v>
      </c>
    </row>
    <row r="371" customFormat="false" ht="14.25" hidden="false" customHeight="false" outlineLevel="0" collapsed="false">
      <c r="A371" s="196" t="str">
        <f aca="false">CONCATENATE(F371,",",E371)</f>
        <v>MSE 252,ED2-MSE</v>
      </c>
      <c r="B371" s="196" t="s">
        <v>1273</v>
      </c>
      <c r="C371" s="196" t="str">
        <v>Heat And Mass Transport</v>
      </c>
      <c r="D371" s="196" t="n">
        <v>90</v>
      </c>
      <c r="E371" s="196" t="s">
        <v>210</v>
      </c>
      <c r="F371" s="196" t="s">
        <v>366</v>
      </c>
    </row>
    <row r="372" customFormat="false" ht="14.25" hidden="false" customHeight="false" outlineLevel="0" collapsed="false">
      <c r="A372" s="196" t="str">
        <f aca="false">CONCATENATE(F372,",",E372)</f>
        <v>MSE 254,ED2-MSE</v>
      </c>
      <c r="B372" s="196" t="s">
        <v>1274</v>
      </c>
      <c r="C372" s="196" t="str">
        <v>Materials Processing</v>
      </c>
      <c r="D372" s="196" t="n">
        <v>90</v>
      </c>
      <c r="E372" s="196" t="s">
        <v>210</v>
      </c>
      <c r="F372" s="196" t="s">
        <v>468</v>
      </c>
    </row>
    <row r="373" customFormat="false" ht="14.25" hidden="false" customHeight="false" outlineLevel="0" collapsed="false">
      <c r="A373" s="196" t="str">
        <f aca="false">CONCATENATE(F373,",",E373)</f>
        <v>MSE 256,ED2-MSE</v>
      </c>
      <c r="B373" s="196" t="s">
        <v>1270</v>
      </c>
      <c r="C373" s="196" t="str">
        <v>Environmental Science</v>
      </c>
      <c r="D373" s="196" t="n">
        <v>90</v>
      </c>
      <c r="E373" s="196" t="s">
        <v>210</v>
      </c>
      <c r="F373" s="196" t="s">
        <v>511</v>
      </c>
    </row>
    <row r="374" customFormat="false" ht="14.25" hidden="false" customHeight="false" outlineLevel="0" collapsed="false">
      <c r="A374" s="196" t="str">
        <f aca="false">CONCATENATE(F374,",",E374)</f>
        <v>MSE 258,ED2-MSE</v>
      </c>
      <c r="B374" s="196" t="s">
        <v>1275</v>
      </c>
      <c r="C374" s="196" t="str">
        <v>Physical Metallurgy Of Non-Ferrous Metals</v>
      </c>
      <c r="D374" s="196" t="n">
        <v>90</v>
      </c>
      <c r="E374" s="196" t="s">
        <v>210</v>
      </c>
      <c r="F374" s="196" t="s">
        <v>1276</v>
      </c>
    </row>
    <row r="375" customFormat="false" ht="14.25" hidden="false" customHeight="false" outlineLevel="0" collapsed="false">
      <c r="A375" s="196" t="str">
        <f aca="false">CONCATENATE(F375,",",E375)</f>
        <v>MSE 260,ED2-MSE</v>
      </c>
      <c r="B375" s="196" t="s">
        <v>1277</v>
      </c>
      <c r="C375" s="196" t="str">
        <v>Phase Transformations</v>
      </c>
      <c r="D375" s="196" t="n">
        <v>90</v>
      </c>
      <c r="E375" s="196" t="s">
        <v>210</v>
      </c>
      <c r="F375" s="196" t="s">
        <v>253</v>
      </c>
    </row>
    <row r="376" customFormat="false" ht="14.25" hidden="false" customHeight="false" outlineLevel="0" collapsed="false">
      <c r="A376" s="196" t="str">
        <f aca="false">CONCATENATE(F376,",",E376)</f>
        <v>MSE 262,ED2-MSE</v>
      </c>
      <c r="B376" s="196" t="s">
        <v>1278</v>
      </c>
      <c r="C376" s="196" t="str">
        <v>Computer Programming And Application</v>
      </c>
      <c r="D376" s="196" t="n">
        <v>90</v>
      </c>
      <c r="E376" s="196" t="s">
        <v>210</v>
      </c>
      <c r="F376" s="196" t="s">
        <v>209</v>
      </c>
    </row>
    <row r="377" customFormat="false" ht="14.25" hidden="false" customHeight="false" outlineLevel="0" collapsed="false">
      <c r="A377" s="196" t="str">
        <f aca="false">CONCATENATE(F377,",",E377)</f>
        <v>MSE 352,ED3-MSE</v>
      </c>
      <c r="B377" s="196" t="s">
        <v>1279</v>
      </c>
      <c r="C377" s="196" t="str">
        <v>Glass And Cement Technologies</v>
      </c>
      <c r="D377" s="196" t="n">
        <v>65</v>
      </c>
      <c r="E377" s="196" t="s">
        <v>140</v>
      </c>
      <c r="F377" s="196" t="s">
        <v>414</v>
      </c>
    </row>
    <row r="378" customFormat="false" ht="14.25" hidden="false" customHeight="false" outlineLevel="0" collapsed="false">
      <c r="A378" s="196" t="str">
        <f aca="false">CONCATENATE(F378,",",E378)</f>
        <v>MSE 354,ED3-MSE</v>
      </c>
      <c r="B378" s="196" t="s">
        <v>1280</v>
      </c>
      <c r="C378" s="196" t="str">
        <v>Physical Metallurgy Of Ferrous Metals</v>
      </c>
      <c r="D378" s="196" t="n">
        <v>65</v>
      </c>
      <c r="E378" s="196" t="s">
        <v>140</v>
      </c>
      <c r="F378" s="196" t="s">
        <v>207</v>
      </c>
    </row>
    <row r="379" customFormat="false" ht="14.25" hidden="false" customHeight="false" outlineLevel="0" collapsed="false">
      <c r="A379" s="196" t="str">
        <f aca="false">CONCATENATE(F379,",",E379)</f>
        <v>MSE 356,ED3-MSE</v>
      </c>
      <c r="B379" s="196" t="s">
        <v>1281</v>
      </c>
      <c r="C379" s="196" t="str">
        <v>Engineering Properties Of Polymers</v>
      </c>
      <c r="D379" s="196" t="n">
        <v>65</v>
      </c>
      <c r="E379" s="196" t="s">
        <v>140</v>
      </c>
      <c r="F379" s="196" t="s">
        <v>271</v>
      </c>
    </row>
    <row r="380" customFormat="false" ht="14.25" hidden="false" customHeight="false" outlineLevel="0" collapsed="false">
      <c r="A380" s="196" t="str">
        <f aca="false">CONCATENATE(F380,",",E380)</f>
        <v>MSE 358,ED3-MSE</v>
      </c>
      <c r="B380" s="196" t="s">
        <v>1282</v>
      </c>
      <c r="C380" s="196" t="str">
        <v>Numerical Methods For Engineers</v>
      </c>
      <c r="D380" s="196" t="n">
        <v>65</v>
      </c>
      <c r="E380" s="196" t="s">
        <v>140</v>
      </c>
      <c r="F380" s="196" t="s">
        <v>499</v>
      </c>
    </row>
    <row r="381" customFormat="false" ht="14.25" hidden="false" customHeight="false" outlineLevel="0" collapsed="false">
      <c r="A381" s="196" t="str">
        <f aca="false">CONCATENATE(F381,",",E381)</f>
        <v>MSE 360,ED3-MSE</v>
      </c>
      <c r="B381" s="196" t="s">
        <v>1283</v>
      </c>
      <c r="C381" s="196" t="str">
        <v>Mechanics Of Materials</v>
      </c>
      <c r="D381" s="196" t="n">
        <v>65</v>
      </c>
      <c r="E381" s="196" t="s">
        <v>140</v>
      </c>
      <c r="F381" s="196" t="s">
        <v>383</v>
      </c>
    </row>
    <row r="382" customFormat="false" ht="14.25" hidden="false" customHeight="false" outlineLevel="0" collapsed="false">
      <c r="A382" s="196" t="str">
        <f aca="false">CONCATENATE(F382,",",E382)</f>
        <v>MSE 362,ED3-MSE</v>
      </c>
      <c r="B382" s="196" t="s">
        <v>1284</v>
      </c>
      <c r="C382" s="196" t="str">
        <v>Materials Joining Processes</v>
      </c>
      <c r="D382" s="196" t="n">
        <v>65</v>
      </c>
      <c r="E382" s="196" t="s">
        <v>140</v>
      </c>
      <c r="F382" s="196" t="s">
        <v>321</v>
      </c>
    </row>
    <row r="383" customFormat="false" ht="14.25" hidden="false" customHeight="false" outlineLevel="0" collapsed="false">
      <c r="A383" s="196" t="str">
        <f aca="false">CONCATENATE(F383,",",E383)</f>
        <v>MSE 364,ED3-MSE</v>
      </c>
      <c r="B383" s="196" t="s">
        <v>1285</v>
      </c>
      <c r="C383" s="196" t="str">
        <v>Materials Characterization Laboratory</v>
      </c>
      <c r="D383" s="196" t="n">
        <v>65</v>
      </c>
      <c r="E383" s="196" t="s">
        <v>140</v>
      </c>
      <c r="F383" s="196" t="s">
        <v>139</v>
      </c>
    </row>
    <row r="384" customFormat="false" ht="14.25" hidden="false" customHeight="false" outlineLevel="0" collapsed="false">
      <c r="A384" s="196" t="str">
        <f aca="false">CONCATENATE(F384,",",E384)</f>
        <v>MSE 396,ED3-MSE</v>
      </c>
      <c r="B384" s="196" t="s">
        <v>1286</v>
      </c>
      <c r="C384" s="196" t="str">
        <v>Third Year Design Project</v>
      </c>
      <c r="D384" s="196" t="n">
        <v>65</v>
      </c>
      <c r="E384" s="196" t="s">
        <v>140</v>
      </c>
      <c r="F384" s="196" t="s">
        <v>1287</v>
      </c>
    </row>
    <row r="385" customFormat="false" ht="14.25" hidden="false" customHeight="false" outlineLevel="0" collapsed="false">
      <c r="A385" s="196" t="str">
        <f aca="false">CONCATENATE(F385,",",E385)</f>
        <v>ME 492,ED4-MSE</v>
      </c>
      <c r="B385" s="196" t="s">
        <v>1015</v>
      </c>
      <c r="C385" s="196" t="str">
        <v>Management And Entrepreneurship Development</v>
      </c>
      <c r="D385" s="196" t="n">
        <v>115</v>
      </c>
      <c r="E385" s="196" t="s">
        <v>135</v>
      </c>
      <c r="F385" s="196" t="s">
        <v>373</v>
      </c>
    </row>
    <row r="386" customFormat="false" ht="14.25" hidden="false" customHeight="false" outlineLevel="0" collapsed="false">
      <c r="A386" s="196" t="str">
        <f aca="false">CONCATENATE(F386,",",E386)</f>
        <v>MSE 452,ED4-MSE</v>
      </c>
      <c r="B386" s="196" t="s">
        <v>1288</v>
      </c>
      <c r="C386" s="196" t="str">
        <v>Waste Management</v>
      </c>
      <c r="D386" s="196" t="n">
        <v>115</v>
      </c>
      <c r="E386" s="196" t="s">
        <v>135</v>
      </c>
      <c r="F386" s="196" t="s">
        <v>289</v>
      </c>
    </row>
    <row r="387" customFormat="false" ht="14.25" hidden="false" customHeight="false" outlineLevel="0" collapsed="false">
      <c r="A387" s="196" t="str">
        <f aca="false">CONCATENATE(F387,",",E387)</f>
        <v>MSE 454,ED4-MSE</v>
      </c>
      <c r="B387" s="196" t="s">
        <v>1289</v>
      </c>
      <c r="C387" s="196" t="str">
        <v>Surface Treatment Of Materials</v>
      </c>
      <c r="D387" s="196" t="n">
        <v>115</v>
      </c>
      <c r="E387" s="196" t="s">
        <v>135</v>
      </c>
      <c r="F387" s="196" t="s">
        <v>441</v>
      </c>
    </row>
    <row r="388" customFormat="false" ht="14.25" hidden="false" customHeight="false" outlineLevel="0" collapsed="false">
      <c r="A388" s="196" t="str">
        <f aca="false">CONCATENATE(F388,",",E388)</f>
        <v>MSE 456,ED4-MSE</v>
      </c>
      <c r="B388" s="196" t="s">
        <v>1290</v>
      </c>
      <c r="C388" s="196" t="str">
        <v>Materials Quality Control, Assurrance And Selection</v>
      </c>
      <c r="D388" s="196" t="n">
        <v>115</v>
      </c>
      <c r="E388" s="196" t="s">
        <v>135</v>
      </c>
      <c r="F388" s="196" t="s">
        <v>223</v>
      </c>
    </row>
    <row r="389" customFormat="false" ht="14.25" hidden="false" customHeight="false" outlineLevel="0" collapsed="false">
      <c r="A389" s="196" t="str">
        <f aca="false">CONCATENATE(F389,",",E389)</f>
        <v>MSE 458,ED4-MSE</v>
      </c>
      <c r="B389" s="196" t="s">
        <v>1291</v>
      </c>
      <c r="C389" s="196" t="str">
        <v>Process Dynamics And Control</v>
      </c>
      <c r="D389" s="196" t="n">
        <v>115</v>
      </c>
      <c r="E389" s="196" t="s">
        <v>135</v>
      </c>
      <c r="F389" s="196" t="s">
        <v>134</v>
      </c>
    </row>
    <row r="390" customFormat="false" ht="14.25" hidden="false" customHeight="false" outlineLevel="0" collapsed="false">
      <c r="A390" s="196" t="str">
        <f aca="false">CONCATENATE(F390,",",E390)</f>
        <v>EE 152,ED1-ME</v>
      </c>
      <c r="B390" s="196" t="s">
        <v>990</v>
      </c>
      <c r="C390" s="196" t="str">
        <v>Basic Electronics</v>
      </c>
      <c r="D390" s="196" t="n">
        <v>244</v>
      </c>
      <c r="E390" s="196" t="s">
        <v>161</v>
      </c>
      <c r="F390" s="196" t="s">
        <v>234</v>
      </c>
    </row>
    <row r="391" customFormat="false" ht="14.25" hidden="false" customHeight="false" outlineLevel="0" collapsed="false">
      <c r="A391" s="196" t="str">
        <f aca="false">CONCATENATE(F391,",",E391)</f>
        <v>ENGL 158,ED1-ME</v>
      </c>
      <c r="B391" s="196" t="s">
        <v>991</v>
      </c>
      <c r="C391" s="196" t="str">
        <v>Communication Skills II</v>
      </c>
      <c r="D391" s="196" t="n">
        <v>244</v>
      </c>
      <c r="E391" s="196" t="s">
        <v>161</v>
      </c>
      <c r="F391" s="196" t="s">
        <v>364</v>
      </c>
    </row>
    <row r="392" customFormat="false" ht="14.25" hidden="false" customHeight="false" outlineLevel="0" collapsed="false">
      <c r="A392" s="196" t="str">
        <f aca="false">CONCATENATE(F392,",",E392)</f>
        <v>MATH 152,ED1-ME</v>
      </c>
      <c r="B392" s="196" t="s">
        <v>992</v>
      </c>
      <c r="C392" s="196" t="str">
        <v>Calculus With Analysis</v>
      </c>
      <c r="D392" s="196" t="n">
        <v>244</v>
      </c>
      <c r="E392" s="196" t="s">
        <v>161</v>
      </c>
      <c r="F392" s="196" t="s">
        <v>129</v>
      </c>
    </row>
    <row r="393" customFormat="false" ht="14.25" hidden="false" customHeight="false" outlineLevel="0" collapsed="false">
      <c r="A393" s="196" t="str">
        <f aca="false">CONCATENATE(F393,",",E393)</f>
        <v>ME 160,ED1-ME</v>
      </c>
      <c r="B393" s="196" t="s">
        <v>993</v>
      </c>
      <c r="C393" s="196" t="str">
        <v>Engineering Drawing</v>
      </c>
      <c r="D393" s="196" t="n">
        <v>244</v>
      </c>
      <c r="E393" s="196" t="s">
        <v>161</v>
      </c>
      <c r="F393" s="196" t="s">
        <v>160</v>
      </c>
    </row>
    <row r="394" customFormat="false" ht="14.25" hidden="false" customHeight="false" outlineLevel="0" collapsed="false">
      <c r="A394" s="196" t="str">
        <f aca="false">CONCATENATE(F394,",",E394)</f>
        <v>ME 164,ED1-ME</v>
      </c>
      <c r="B394" s="196" t="s">
        <v>1292</v>
      </c>
      <c r="C394" s="196" t="str">
        <v>Engineering Mechanics I: Statics </v>
      </c>
      <c r="D394" s="196" t="n">
        <v>244</v>
      </c>
      <c r="E394" s="196" t="s">
        <v>161</v>
      </c>
      <c r="F394" s="196" t="s">
        <v>268</v>
      </c>
    </row>
    <row r="395" customFormat="false" ht="14.25" hidden="false" customHeight="false" outlineLevel="0" collapsed="false">
      <c r="A395" s="196" t="str">
        <f aca="false">CONCATENATE(F395,",",E395)</f>
        <v>ME 168,ED1-ME</v>
      </c>
      <c r="B395" s="196" t="s">
        <v>1019</v>
      </c>
      <c r="C395" s="196" t="str">
        <v>Computer Programming For Engineers</v>
      </c>
      <c r="D395" s="196" t="n">
        <v>244</v>
      </c>
      <c r="E395" s="196" t="s">
        <v>161</v>
      </c>
      <c r="F395" s="196" t="s">
        <v>110</v>
      </c>
    </row>
    <row r="396" customFormat="false" ht="14.25" hidden="false" customHeight="false" outlineLevel="0" collapsed="false">
      <c r="A396" s="196" t="str">
        <f aca="false">CONCATENATE(F396,",",E396)</f>
        <v>ME 174,ED1-ME</v>
      </c>
      <c r="B396" s="196" t="s">
        <v>1043</v>
      </c>
      <c r="C396" s="196" t="str">
        <v>Product Design And Manufacturing </v>
      </c>
      <c r="D396" s="196" t="n">
        <v>244</v>
      </c>
      <c r="E396" s="196" t="s">
        <v>161</v>
      </c>
      <c r="F396" s="196" t="s">
        <v>486</v>
      </c>
    </row>
    <row r="397" customFormat="false" ht="14.25" hidden="false" customHeight="false" outlineLevel="0" collapsed="false">
      <c r="A397" s="196" t="str">
        <f aca="false">CONCATENATE(F397,",",E397)</f>
        <v>MATH 252,ED2-ME</v>
      </c>
      <c r="B397" s="196" t="s">
        <v>998</v>
      </c>
      <c r="C397" s="196" t="str">
        <v>Calculus With Several Variables</v>
      </c>
      <c r="D397" s="196" t="n">
        <v>237</v>
      </c>
      <c r="E397" s="196" t="s">
        <v>33</v>
      </c>
      <c r="F397" s="196" t="s">
        <v>281</v>
      </c>
    </row>
    <row r="398" customFormat="false" ht="14.25" hidden="false" customHeight="false" outlineLevel="0" collapsed="false">
      <c r="A398" s="196" t="str">
        <f aca="false">CONCATENATE(F398,",",E398)</f>
        <v>ME 252,ED2-ME</v>
      </c>
      <c r="B398" s="196" t="s">
        <v>1051</v>
      </c>
      <c r="C398" s="196" t="str">
        <v>Fluid Dynamics I</v>
      </c>
      <c r="D398" s="196" t="n">
        <v>237</v>
      </c>
      <c r="E398" s="196" t="s">
        <v>33</v>
      </c>
      <c r="F398" s="196" t="s">
        <v>394</v>
      </c>
    </row>
    <row r="399" customFormat="false" ht="14.25" hidden="false" customHeight="false" outlineLevel="0" collapsed="false">
      <c r="A399" s="196" t="str">
        <f aca="false">CONCATENATE(F399,",",E399)</f>
        <v>ME 264,ED2-ME</v>
      </c>
      <c r="B399" s="196" t="s">
        <v>1023</v>
      </c>
      <c r="C399" s="196" t="str">
        <v>Mechanisms Synthesis And Analysis I</v>
      </c>
      <c r="D399" s="196" t="n">
        <v>237</v>
      </c>
      <c r="E399" s="196" t="s">
        <v>33</v>
      </c>
      <c r="F399" s="196" t="s">
        <v>151</v>
      </c>
    </row>
    <row r="400" customFormat="false" ht="14.25" hidden="false" customHeight="false" outlineLevel="0" collapsed="false">
      <c r="A400" s="196" t="str">
        <f aca="false">CONCATENATE(F400,",",E400)</f>
        <v>ME 266,ED2-ME</v>
      </c>
      <c r="B400" s="196" t="s">
        <v>1024</v>
      </c>
      <c r="C400" s="196" t="str">
        <v>Thermodynamics I</v>
      </c>
      <c r="D400" s="196" t="n">
        <v>237</v>
      </c>
      <c r="E400" s="196" t="s">
        <v>33</v>
      </c>
      <c r="F400" s="196" t="s">
        <v>420</v>
      </c>
    </row>
    <row r="401" customFormat="false" ht="14.25" hidden="false" customHeight="false" outlineLevel="0" collapsed="false">
      <c r="A401" s="196" t="str">
        <f aca="false">CONCATENATE(F401,",",E401)</f>
        <v>ME 274,ED2-ME</v>
      </c>
      <c r="B401" s="196" t="s">
        <v>1293</v>
      </c>
      <c r="C401" s="196" t="str">
        <v>Machine Design Project </v>
      </c>
      <c r="D401" s="196" t="n">
        <v>237</v>
      </c>
      <c r="E401" s="196" t="s">
        <v>33</v>
      </c>
      <c r="F401" s="196" t="s">
        <v>32</v>
      </c>
    </row>
    <row r="402" customFormat="false" ht="14.25" hidden="false" customHeight="false" outlineLevel="0" collapsed="false">
      <c r="A402" s="196" t="str">
        <f aca="false">CONCATENATE(F402,",",E402)</f>
        <v>ME 292,ED2-ME</v>
      </c>
      <c r="B402" s="196" t="s">
        <v>1030</v>
      </c>
      <c r="C402" s="196" t="str">
        <v>Industrial Engineering And Ergonomics</v>
      </c>
      <c r="D402" s="196" t="n">
        <v>237</v>
      </c>
      <c r="E402" s="196" t="s">
        <v>33</v>
      </c>
      <c r="F402" s="196" t="s">
        <v>240</v>
      </c>
    </row>
    <row r="403" customFormat="false" ht="14.25" hidden="false" customHeight="false" outlineLevel="0" collapsed="false">
      <c r="A403" s="196" t="str">
        <f aca="false">CONCATENATE(F403,",",E403)</f>
        <v>ME 296,ED2-ME</v>
      </c>
      <c r="B403" s="196" t="s">
        <v>1001</v>
      </c>
      <c r="C403" s="196" t="str">
        <v>Mechanical Engineering Lab. II</v>
      </c>
      <c r="D403" s="196" t="n">
        <v>237</v>
      </c>
      <c r="E403" s="196" t="s">
        <v>33</v>
      </c>
      <c r="F403" s="196" t="s">
        <v>542</v>
      </c>
    </row>
    <row r="404" customFormat="false" ht="14.25" hidden="false" customHeight="false" outlineLevel="0" collapsed="false">
      <c r="A404" s="196" t="str">
        <f aca="false">CONCATENATE(F404,",",E404)</f>
        <v>EE 252,ED3-ME</v>
      </c>
      <c r="B404" s="196" t="s">
        <v>995</v>
      </c>
      <c r="C404" s="196" t="str">
        <v>Electrical Engineering Machines</v>
      </c>
      <c r="D404" s="196" t="n">
        <v>147</v>
      </c>
      <c r="E404" s="196" t="s">
        <v>61</v>
      </c>
      <c r="F404" s="196" t="s">
        <v>473</v>
      </c>
    </row>
    <row r="405" customFormat="false" ht="14.25" hidden="false" customHeight="false" outlineLevel="0" collapsed="false">
      <c r="A405" s="196" t="str">
        <f aca="false">CONCATENATE(F405,",",E405)</f>
        <v>ME 352,ED3-ME</v>
      </c>
      <c r="B405" s="196" t="s">
        <v>1294</v>
      </c>
      <c r="C405" s="196" t="str">
        <v>Fluid Dynamics  II</v>
      </c>
      <c r="D405" s="196" t="n">
        <v>147</v>
      </c>
      <c r="E405" s="196" t="s">
        <v>61</v>
      </c>
      <c r="F405" s="196" t="s">
        <v>174</v>
      </c>
    </row>
    <row r="406" customFormat="false" ht="14.25" hidden="false" customHeight="false" outlineLevel="0" collapsed="false">
      <c r="A406" s="196" t="str">
        <f aca="false">CONCATENATE(F406,",",E406)</f>
        <v>ME 356,ED3-ME</v>
      </c>
      <c r="B406" s="196" t="s">
        <v>1295</v>
      </c>
      <c r="C406" s="196" t="str">
        <v>Strength Of Materials II</v>
      </c>
      <c r="D406" s="196" t="n">
        <v>147</v>
      </c>
      <c r="E406" s="196" t="s">
        <v>61</v>
      </c>
      <c r="F406" s="196" t="s">
        <v>389</v>
      </c>
    </row>
    <row r="407" customFormat="false" ht="14.25" hidden="false" customHeight="false" outlineLevel="0" collapsed="false">
      <c r="A407" s="196" t="str">
        <f aca="false">CONCATENATE(F407,",",E407)</f>
        <v>ME 370,ED3-ME</v>
      </c>
      <c r="B407" s="196" t="s">
        <v>1052</v>
      </c>
      <c r="C407" s="196" t="str">
        <v>Manufacturing Technology</v>
      </c>
      <c r="D407" s="196" t="n">
        <v>147</v>
      </c>
      <c r="E407" s="196" t="s">
        <v>61</v>
      </c>
      <c r="F407" s="196" t="s">
        <v>310</v>
      </c>
    </row>
    <row r="408" customFormat="false" ht="14.25" hidden="false" customHeight="false" outlineLevel="0" collapsed="false">
      <c r="A408" s="196" t="str">
        <f aca="false">CONCATENATE(F408,",",E408)</f>
        <v>ME 362,ED3-ME</v>
      </c>
      <c r="B408" s="196" t="s">
        <v>1029</v>
      </c>
      <c r="C408" s="196" t="str">
        <v>Vibrations I</v>
      </c>
      <c r="D408" s="196" t="n">
        <v>147</v>
      </c>
      <c r="E408" s="196" t="s">
        <v>61</v>
      </c>
      <c r="F408" s="196" t="s">
        <v>519</v>
      </c>
    </row>
    <row r="409" customFormat="false" ht="14.25" hidden="false" customHeight="false" outlineLevel="0" collapsed="false">
      <c r="A409" s="196" t="str">
        <f aca="false">CONCATENATE(F409,",",E409)</f>
        <v>ME 366,ED3-ME</v>
      </c>
      <c r="B409" s="196" t="s">
        <v>1007</v>
      </c>
      <c r="C409" s="196" t="str">
        <v>Heat Transfer</v>
      </c>
      <c r="D409" s="196" t="n">
        <v>147</v>
      </c>
      <c r="E409" s="196" t="s">
        <v>61</v>
      </c>
      <c r="F409" s="196" t="s">
        <v>347</v>
      </c>
    </row>
    <row r="410" customFormat="false" ht="14.25" hidden="false" customHeight="false" outlineLevel="0" collapsed="false">
      <c r="A410" s="196" t="str">
        <f aca="false">CONCATENATE(F410,",",E410)</f>
        <v>ME 374,ED3-ME</v>
      </c>
      <c r="B410" s="196" t="s">
        <v>1296</v>
      </c>
      <c r="C410" s="196" t="str">
        <v>Machine Elements Design II</v>
      </c>
      <c r="D410" s="196" t="n">
        <v>147</v>
      </c>
      <c r="E410" s="196" t="s">
        <v>61</v>
      </c>
      <c r="F410" s="196" t="s">
        <v>60</v>
      </c>
    </row>
    <row r="411" customFormat="false" ht="14.25" hidden="false" customHeight="false" outlineLevel="0" collapsed="false">
      <c r="A411" s="196" t="str">
        <f aca="false">CONCATENATE(F411,",",E411)</f>
        <v>ME 396,ED3-ME</v>
      </c>
      <c r="B411" s="196" t="s">
        <v>1297</v>
      </c>
      <c r="C411" s="196" t="str">
        <v>Mechanical Engineering Laboratory IV</v>
      </c>
      <c r="D411" s="196" t="n">
        <v>147</v>
      </c>
      <c r="E411" s="196" t="s">
        <v>61</v>
      </c>
      <c r="F411" s="196" t="s">
        <v>1298</v>
      </c>
    </row>
    <row r="412" customFormat="false" ht="14.25" hidden="false" customHeight="false" outlineLevel="0" collapsed="false">
      <c r="A412" s="196" t="str">
        <f aca="false">CONCATENATE(F412,",",E412)</f>
        <v>ME 452,ED4-ME</v>
      </c>
      <c r="B412" s="196" t="s">
        <v>1299</v>
      </c>
      <c r="C412" s="196" t="str">
        <v>Fluid Machinery</v>
      </c>
      <c r="D412" s="196" t="n">
        <v>38</v>
      </c>
      <c r="E412" s="196" t="s">
        <v>67</v>
      </c>
      <c r="F412" s="196" t="s">
        <v>458</v>
      </c>
    </row>
    <row r="413" customFormat="false" ht="14.25" hidden="false" customHeight="false" outlineLevel="0" collapsed="false">
      <c r="A413" s="196" t="str">
        <f aca="false">CONCATENATE(F413,",",E413)</f>
        <v>ME 456,ED4-ME</v>
      </c>
      <c r="B413" s="196" t="s">
        <v>1034</v>
      </c>
      <c r="C413" s="196" t="str">
        <v>Introduction To Finite Element</v>
      </c>
      <c r="D413" s="196" t="n">
        <v>6</v>
      </c>
      <c r="E413" s="196" t="s">
        <v>67</v>
      </c>
      <c r="F413" s="196" t="s">
        <v>183</v>
      </c>
    </row>
    <row r="414" customFormat="false" ht="14.25" hidden="false" customHeight="false" outlineLevel="0" collapsed="false">
      <c r="A414" s="196" t="str">
        <f aca="false">CONCATENATE(F414,",",E414)</f>
        <v>ME 462,ED4-ME</v>
      </c>
      <c r="B414" s="196" t="s">
        <v>1035</v>
      </c>
      <c r="C414" s="196" t="str">
        <v>Mechanisms Synthesis And Analysis II</v>
      </c>
      <c r="D414" s="196" t="n">
        <v>5</v>
      </c>
      <c r="E414" s="196" t="s">
        <v>67</v>
      </c>
      <c r="F414" s="196" t="s">
        <v>254</v>
      </c>
    </row>
    <row r="415" customFormat="false" ht="14.25" hidden="false" customHeight="false" outlineLevel="0" collapsed="false">
      <c r="A415" s="196" t="str">
        <f aca="false">CONCATENATE(F415,",",E415)</f>
        <v>ME 464,ED4-ME</v>
      </c>
      <c r="B415" s="196" t="s">
        <v>1300</v>
      </c>
      <c r="C415" s="196" t="str">
        <v>Instrumentation</v>
      </c>
      <c r="D415" s="196" t="n">
        <v>184</v>
      </c>
      <c r="E415" s="196" t="s">
        <v>67</v>
      </c>
      <c r="F415" s="196" t="s">
        <v>66</v>
      </c>
    </row>
    <row r="416" customFormat="false" ht="14.25" hidden="false" customHeight="false" outlineLevel="0" collapsed="false">
      <c r="A416" s="196" t="str">
        <f aca="false">CONCATENATE(F416,",",E416)</f>
        <v>ME 468,ED4-ME</v>
      </c>
      <c r="B416" s="196" t="s">
        <v>1036</v>
      </c>
      <c r="C416" s="196" t="str">
        <v>Internal Combustion Engines</v>
      </c>
      <c r="D416" s="196" t="n">
        <v>99</v>
      </c>
      <c r="E416" s="196" t="s">
        <v>67</v>
      </c>
      <c r="F416" s="196" t="s">
        <v>407</v>
      </c>
    </row>
    <row r="417" customFormat="false" ht="14.25" hidden="false" customHeight="false" outlineLevel="0" collapsed="false">
      <c r="A417" s="196" t="str">
        <f aca="false">CONCATENATE(F417,",",E417)</f>
        <v>ME 472,ED4-ME</v>
      </c>
      <c r="B417" s="196" t="s">
        <v>1037</v>
      </c>
      <c r="C417" s="196" t="str">
        <v>Machine Shop And Factory Design</v>
      </c>
      <c r="D417" s="196" t="n">
        <v>67</v>
      </c>
      <c r="E417" s="196" t="s">
        <v>67</v>
      </c>
      <c r="F417" s="196" t="s">
        <v>327</v>
      </c>
    </row>
    <row r="418" customFormat="false" ht="14.25" hidden="false" customHeight="false" outlineLevel="0" collapsed="false">
      <c r="A418" s="196" t="str">
        <f aca="false">CONCATENATE(F418,",",E418)</f>
        <v>ME 474,ED4-ME</v>
      </c>
      <c r="B418" s="196" t="s">
        <v>1038</v>
      </c>
      <c r="C418" s="196" t="str">
        <v>Production Planning And Control</v>
      </c>
      <c r="D418" s="196" t="n">
        <v>15</v>
      </c>
      <c r="E418" s="196" t="s">
        <v>67</v>
      </c>
      <c r="F418" s="196" t="s">
        <v>1039</v>
      </c>
    </row>
    <row r="419" customFormat="false" ht="14.25" hidden="false" customHeight="false" outlineLevel="0" collapsed="false">
      <c r="A419" s="196" t="str">
        <f aca="false">CONCATENATE(F419,",",E419)</f>
        <v>ME 476,ED4-ME</v>
      </c>
      <c r="B419" s="196" t="s">
        <v>1062</v>
      </c>
      <c r="C419" s="196" t="str">
        <v>Special Vehicle Design (AME 482)</v>
      </c>
      <c r="D419" s="196" t="n">
        <v>63</v>
      </c>
      <c r="E419" s="196" t="s">
        <v>67</v>
      </c>
      <c r="F419" s="196" t="s">
        <v>1301</v>
      </c>
    </row>
    <row r="420" customFormat="false" ht="14.25" hidden="false" customHeight="false" outlineLevel="0" collapsed="false">
      <c r="A420" s="196" t="str">
        <f aca="false">CONCATENATE(F420,",",E420)</f>
        <v>ME 478,ED4-ME</v>
      </c>
      <c r="B420" s="196" t="s">
        <v>1302</v>
      </c>
      <c r="C420" s="196" t="str">
        <v>Production Engineering II</v>
      </c>
      <c r="D420" s="196" t="n">
        <v>72</v>
      </c>
      <c r="E420" s="196" t="s">
        <v>67</v>
      </c>
      <c r="F420" s="196" t="s">
        <v>189</v>
      </c>
    </row>
    <row r="421" customFormat="false" ht="14.25" hidden="false" customHeight="false" outlineLevel="0" collapsed="false">
      <c r="A421" s="196" t="str">
        <f aca="false">CONCATENATE(F421,",",E421)</f>
        <v>ME 482,ED4-ME</v>
      </c>
      <c r="B421" s="196" t="s">
        <v>1303</v>
      </c>
      <c r="C421" s="196" t="str">
        <v>Mechanical Engineering Materials III</v>
      </c>
      <c r="D421" s="196" t="n">
        <v>4</v>
      </c>
      <c r="E421" s="196" t="s">
        <v>67</v>
      </c>
      <c r="F421" s="196" t="s">
        <v>116</v>
      </c>
    </row>
    <row r="422" customFormat="false" ht="14.25" hidden="false" customHeight="false" outlineLevel="0" collapsed="false">
      <c r="A422" s="196" t="str">
        <f aca="false">CONCATENATE(F422,",",E422)</f>
        <v>ME 492,ED4-ME</v>
      </c>
      <c r="B422" s="196" t="s">
        <v>1015</v>
      </c>
      <c r="C422" s="196" t="str">
        <v>Management And Entrepreneurship Development</v>
      </c>
      <c r="D422" s="196" t="n">
        <v>184</v>
      </c>
      <c r="E422" s="196" t="s">
        <v>67</v>
      </c>
      <c r="F422" s="196" t="s">
        <v>373</v>
      </c>
    </row>
    <row r="423" customFormat="false" ht="14.25" hidden="false" customHeight="false" outlineLevel="0" collapsed="false">
      <c r="A423" s="196" t="str">
        <f aca="false">CONCATENATE(F423,",",E423)</f>
        <v>ME 494,ED4-ME</v>
      </c>
      <c r="B423" s="196" t="s">
        <v>1251</v>
      </c>
      <c r="C423" s="196" t="str">
        <v>Maintenance Engineering</v>
      </c>
      <c r="D423" s="196" t="n">
        <v>184</v>
      </c>
      <c r="E423" s="196" t="s">
        <v>67</v>
      </c>
      <c r="F423" s="196" t="s">
        <v>293</v>
      </c>
    </row>
    <row r="424" customFormat="false" ht="14.25" hidden="false" customHeight="false" outlineLevel="0" collapsed="false">
      <c r="A424" s="196" t="str">
        <f aca="false">CONCATENATE(F424,",",E424)</f>
        <v>ME 496,ED4-ME</v>
      </c>
      <c r="B424" s="196" t="s">
        <v>1041</v>
      </c>
      <c r="C424" s="196" t="str">
        <v>Human Factors And Ergonomics</v>
      </c>
      <c r="D424" s="196" t="n">
        <v>14</v>
      </c>
      <c r="E424" s="196" t="s">
        <v>67</v>
      </c>
      <c r="F424" s="196" t="s">
        <v>1042</v>
      </c>
    </row>
    <row r="425" customFormat="false" ht="14.25" hidden="false" customHeight="false" outlineLevel="0" collapsed="false">
      <c r="A425" s="196" t="str">
        <f aca="false">CONCATENATE(F425,",",E425)</f>
        <v>ENGL 158,ED1-METE</v>
      </c>
      <c r="B425" s="196" t="s">
        <v>991</v>
      </c>
      <c r="C425" s="196" t="str">
        <v>Communication Skills II</v>
      </c>
      <c r="D425" s="196" t="n">
        <v>61</v>
      </c>
      <c r="E425" s="196" t="s">
        <v>114</v>
      </c>
      <c r="F425" s="196" t="s">
        <v>364</v>
      </c>
    </row>
    <row r="426" customFormat="false" ht="14.25" hidden="false" customHeight="false" outlineLevel="0" collapsed="false">
      <c r="A426" s="196" t="str">
        <f aca="false">CONCATENATE(F426,",",E426)</f>
        <v>MATH 152,ED1-METE</v>
      </c>
      <c r="B426" s="196" t="s">
        <v>992</v>
      </c>
      <c r="C426" s="196" t="str">
        <v>Calculus With Analysis</v>
      </c>
      <c r="D426" s="196" t="n">
        <v>61</v>
      </c>
      <c r="E426" s="196" t="s">
        <v>114</v>
      </c>
      <c r="F426" s="196" t="s">
        <v>129</v>
      </c>
    </row>
    <row r="427" customFormat="false" ht="14.25" hidden="false" customHeight="false" outlineLevel="0" collapsed="false">
      <c r="A427" s="196" t="str">
        <f aca="false">CONCATENATE(F427,",",E427)</f>
        <v>ME 160,ED1-METE</v>
      </c>
      <c r="B427" s="196" t="s">
        <v>993</v>
      </c>
      <c r="C427" s="196" t="str">
        <v>Engineering Drawing</v>
      </c>
      <c r="D427" s="196" t="n">
        <v>61</v>
      </c>
      <c r="E427" s="196" t="s">
        <v>114</v>
      </c>
      <c r="F427" s="196" t="s">
        <v>160</v>
      </c>
    </row>
    <row r="428" customFormat="false" ht="14.25" hidden="false" customHeight="false" outlineLevel="0" collapsed="false">
      <c r="A428" s="196" t="str">
        <f aca="false">CONCATENATE(F428,",",E428)</f>
        <v>ME 162,ED1-METE</v>
      </c>
      <c r="B428" s="196" t="s">
        <v>994</v>
      </c>
      <c r="C428" s="196" t="str">
        <v>Basic Mechanics</v>
      </c>
      <c r="D428" s="196" t="n">
        <v>61</v>
      </c>
      <c r="E428" s="196" t="s">
        <v>114</v>
      </c>
      <c r="F428" s="196" t="s">
        <v>392</v>
      </c>
    </row>
    <row r="429" customFormat="false" ht="14.25" hidden="false" customHeight="false" outlineLevel="0" collapsed="false">
      <c r="A429" s="196" t="str">
        <f aca="false">CONCATENATE(F429,",",E429)</f>
        <v>METE 152,ED1-METE</v>
      </c>
      <c r="B429" s="196" t="s">
        <v>1304</v>
      </c>
      <c r="C429" s="196" t="str">
        <v>Chemistry For Metallurgical Engineers</v>
      </c>
      <c r="D429" s="196" t="n">
        <v>61</v>
      </c>
      <c r="E429" s="196" t="s">
        <v>114</v>
      </c>
      <c r="F429" s="196" t="s">
        <v>295</v>
      </c>
    </row>
    <row r="430" customFormat="false" ht="14.25" hidden="false" customHeight="false" outlineLevel="0" collapsed="false">
      <c r="A430" s="196" t="str">
        <f aca="false">CONCATENATE(F430,",",E430)</f>
        <v>METE 154,ED1-METE</v>
      </c>
      <c r="B430" s="196" t="s">
        <v>1270</v>
      </c>
      <c r="C430" s="196" t="str">
        <v>Environmental Science</v>
      </c>
      <c r="D430" s="196" t="n">
        <v>61</v>
      </c>
      <c r="E430" s="196" t="s">
        <v>114</v>
      </c>
      <c r="F430" s="196" t="s">
        <v>500</v>
      </c>
    </row>
    <row r="431" customFormat="false" ht="14.25" hidden="false" customHeight="false" outlineLevel="0" collapsed="false">
      <c r="A431" s="196" t="str">
        <f aca="false">CONCATENATE(F431,",",E431)</f>
        <v>MSE 154,ED1-METE</v>
      </c>
      <c r="B431" s="196" t="s">
        <v>1272</v>
      </c>
      <c r="C431" s="196" t="str">
        <v>Optical and Thermal Behaviour of Materials</v>
      </c>
      <c r="D431" s="196" t="n">
        <v>61</v>
      </c>
      <c r="E431" s="196" t="s">
        <v>114</v>
      </c>
      <c r="F431" s="196" t="s">
        <v>113</v>
      </c>
    </row>
    <row r="432" customFormat="false" ht="14.25" hidden="false" customHeight="false" outlineLevel="0" collapsed="false">
      <c r="A432" s="196" t="str">
        <f aca="false">CONCATENATE(F432,",",E432)</f>
        <v>GED 162,ED1-METE</v>
      </c>
      <c r="B432" s="196" t="s">
        <v>1305</v>
      </c>
      <c r="C432" s="196" t="str">
        <v>Introductory Geology</v>
      </c>
      <c r="D432" s="196" t="n">
        <v>61</v>
      </c>
      <c r="E432" s="196" t="s">
        <v>114</v>
      </c>
      <c r="F432" s="196" t="s">
        <v>355</v>
      </c>
    </row>
    <row r="433" customFormat="false" ht="14.25" hidden="false" customHeight="false" outlineLevel="0" collapsed="false">
      <c r="A433" s="196" t="str">
        <f aca="false">CONCATENATE(F433,",",E433)</f>
        <v>MATH 252,ED2-METE</v>
      </c>
      <c r="B433" s="196" t="s">
        <v>998</v>
      </c>
      <c r="C433" s="196" t="str">
        <v>Calculus With Several Variables</v>
      </c>
      <c r="D433" s="196" t="n">
        <v>86</v>
      </c>
      <c r="E433" s="196" t="s">
        <v>101</v>
      </c>
      <c r="F433" s="196" t="s">
        <v>281</v>
      </c>
    </row>
    <row r="434" customFormat="false" ht="14.25" hidden="false" customHeight="false" outlineLevel="0" collapsed="false">
      <c r="A434" s="196" t="str">
        <f aca="false">CONCATENATE(F434,",",E434)</f>
        <v>METE 252,ED2-METE</v>
      </c>
      <c r="B434" s="196" t="s">
        <v>1306</v>
      </c>
      <c r="C434" s="196" t="str">
        <v>Metallurgical Rate Processes/Surface Phenomena</v>
      </c>
      <c r="D434" s="196" t="n">
        <v>86</v>
      </c>
      <c r="E434" s="196" t="s">
        <v>101</v>
      </c>
      <c r="F434" s="196" t="s">
        <v>403</v>
      </c>
    </row>
    <row r="435" customFormat="false" ht="14.25" hidden="false" customHeight="false" outlineLevel="0" collapsed="false">
      <c r="A435" s="196" t="str">
        <f aca="false">CONCATENATE(F435,",",E435)</f>
        <v>METE 254,ED2-METE</v>
      </c>
      <c r="B435" s="196" t="s">
        <v>1307</v>
      </c>
      <c r="C435" s="196" t="str">
        <v>Ore Beneficiation</v>
      </c>
      <c r="D435" s="196" t="n">
        <v>86</v>
      </c>
      <c r="E435" s="196" t="s">
        <v>101</v>
      </c>
      <c r="F435" s="196" t="s">
        <v>487</v>
      </c>
    </row>
    <row r="436" customFormat="false" ht="14.25" hidden="false" customHeight="false" outlineLevel="0" collapsed="false">
      <c r="A436" s="196" t="str">
        <f aca="false">CONCATENATE(F436,",",E436)</f>
        <v>METE 256,ED2-METE</v>
      </c>
      <c r="B436" s="196" t="s">
        <v>1308</v>
      </c>
      <c r="C436" s="196" t="str">
        <v>Assaying</v>
      </c>
      <c r="D436" s="196" t="n">
        <v>86</v>
      </c>
      <c r="E436" s="196" t="s">
        <v>101</v>
      </c>
      <c r="F436" s="196" t="s">
        <v>100</v>
      </c>
    </row>
    <row r="437" customFormat="false" ht="14.25" hidden="false" customHeight="false" outlineLevel="0" collapsed="false">
      <c r="A437" s="196" t="str">
        <f aca="false">CONCATENATE(F437,",",E437)</f>
        <v>METE 258,ED2-METE</v>
      </c>
      <c r="B437" s="196" t="s">
        <v>1309</v>
      </c>
      <c r="C437" s="196" t="str">
        <v>Computer Programming And Applications</v>
      </c>
      <c r="D437" s="196" t="n">
        <v>86</v>
      </c>
      <c r="E437" s="196" t="s">
        <v>101</v>
      </c>
      <c r="F437" s="196" t="s">
        <v>1310</v>
      </c>
    </row>
    <row r="438" customFormat="false" ht="14.25" hidden="false" customHeight="false" outlineLevel="0" collapsed="false">
      <c r="A438" s="196" t="str">
        <f aca="false">CONCATENATE(F438,",",E438)</f>
        <v>MSE 252,ED2-METE</v>
      </c>
      <c r="B438" s="196" t="s">
        <v>1273</v>
      </c>
      <c r="C438" s="196" t="str">
        <v>Heat And Mass Transport</v>
      </c>
      <c r="D438" s="196" t="n">
        <v>86</v>
      </c>
      <c r="E438" s="196" t="s">
        <v>101</v>
      </c>
      <c r="F438" s="196" t="s">
        <v>366</v>
      </c>
    </row>
    <row r="439" customFormat="false" ht="14.25" hidden="false" customHeight="false" outlineLevel="0" collapsed="false">
      <c r="A439" s="196" t="str">
        <f aca="false">CONCATENATE(F439,",",E439)</f>
        <v>MSE 260,ED2-METE</v>
      </c>
      <c r="B439" s="196" t="s">
        <v>1277</v>
      </c>
      <c r="C439" s="196" t="str">
        <v>Phase Transformations</v>
      </c>
      <c r="D439" s="196" t="n">
        <v>86</v>
      </c>
      <c r="E439" s="196" t="s">
        <v>101</v>
      </c>
      <c r="F439" s="196" t="s">
        <v>253</v>
      </c>
    </row>
    <row r="440" customFormat="false" ht="14.25" hidden="false" customHeight="false" outlineLevel="0" collapsed="false">
      <c r="A440" s="196" t="str">
        <f aca="false">CONCATENATE(F440,",",E440)</f>
        <v>METE 352,ED3-METE</v>
      </c>
      <c r="B440" s="196" t="s">
        <v>1311</v>
      </c>
      <c r="C440" s="196" t="str">
        <v>Hydrometallurgical Applications</v>
      </c>
      <c r="D440" s="196" t="n">
        <v>55</v>
      </c>
      <c r="E440" s="196" t="s">
        <v>142</v>
      </c>
      <c r="F440" s="196" t="s">
        <v>256</v>
      </c>
    </row>
    <row r="441" customFormat="false" ht="14.25" hidden="false" customHeight="false" outlineLevel="0" collapsed="false">
      <c r="A441" s="196" t="str">
        <f aca="false">CONCATENATE(F441,",",E441)</f>
        <v>METE 354,ED3-METE</v>
      </c>
      <c r="B441" s="196" t="s">
        <v>1275</v>
      </c>
      <c r="C441" s="196" t="str">
        <v>Physical Metallurgy Of Non-Ferrous Metals</v>
      </c>
      <c r="D441" s="196" t="n">
        <v>55</v>
      </c>
      <c r="E441" s="196" t="s">
        <v>142</v>
      </c>
      <c r="F441" s="196" t="s">
        <v>390</v>
      </c>
    </row>
    <row r="442" customFormat="false" ht="14.25" hidden="false" customHeight="false" outlineLevel="0" collapsed="false">
      <c r="A442" s="196" t="str">
        <f aca="false">CONCATENATE(F442,",",E442)</f>
        <v>METE 356,ED3-METE</v>
      </c>
      <c r="B442" s="196" t="s">
        <v>1286</v>
      </c>
      <c r="C442" s="196" t="str">
        <v>Third Year Design Project</v>
      </c>
      <c r="D442" s="196" t="n">
        <v>55</v>
      </c>
      <c r="E442" s="196" t="s">
        <v>142</v>
      </c>
      <c r="F442" s="196" t="s">
        <v>1312</v>
      </c>
    </row>
    <row r="443" customFormat="false" ht="14.25" hidden="false" customHeight="false" outlineLevel="0" collapsed="false">
      <c r="A443" s="196" t="str">
        <f aca="false">CONCATENATE(F443,",",E443)</f>
        <v>METE 358,ED3-METE</v>
      </c>
      <c r="B443" s="196" t="s">
        <v>1313</v>
      </c>
      <c r="C443" s="196" t="str">
        <v>Metallurgical Characterization Laboratory</v>
      </c>
      <c r="D443" s="196" t="n">
        <v>55</v>
      </c>
      <c r="E443" s="196" t="s">
        <v>142</v>
      </c>
      <c r="F443" s="196" t="s">
        <v>141</v>
      </c>
    </row>
    <row r="444" customFormat="false" ht="14.25" hidden="false" customHeight="false" outlineLevel="0" collapsed="false">
      <c r="A444" s="196" t="str">
        <f aca="false">CONCATENATE(F444,",",E444)</f>
        <v>METE 362,ED3-METE</v>
      </c>
      <c r="B444" s="196" t="s">
        <v>1280</v>
      </c>
      <c r="C444" s="196" t="str">
        <v>Physical Metallurgy Of Ferrous Metals</v>
      </c>
      <c r="D444" s="196" t="n">
        <v>55</v>
      </c>
      <c r="E444" s="196" t="s">
        <v>142</v>
      </c>
      <c r="F444" s="196" t="s">
        <v>208</v>
      </c>
    </row>
    <row r="445" customFormat="false" ht="14.25" hidden="false" customHeight="false" outlineLevel="0" collapsed="false">
      <c r="A445" s="196" t="s">
        <v>1314</v>
      </c>
      <c r="B445" s="196" t="s">
        <v>1286</v>
      </c>
      <c r="C445" s="196" t="str">
        <v>Third Year Design Project</v>
      </c>
      <c r="D445" s="196" t="n">
        <v>55</v>
      </c>
      <c r="E445" s="196" t="s">
        <v>142</v>
      </c>
      <c r="F445" s="196" t="s">
        <v>271</v>
      </c>
    </row>
    <row r="446" customFormat="false" ht="14.25" hidden="false" customHeight="false" outlineLevel="0" collapsed="false">
      <c r="A446" s="196" t="str">
        <f aca="false">CONCATENATE(F446,",",E446)</f>
        <v>MSE 358,ED3-METE</v>
      </c>
      <c r="B446" s="196" t="s">
        <v>1282</v>
      </c>
      <c r="C446" s="196" t="str">
        <v>Numerical Methods For Engineers</v>
      </c>
      <c r="D446" s="196" t="n">
        <v>55</v>
      </c>
      <c r="E446" s="196" t="s">
        <v>142</v>
      </c>
      <c r="F446" s="196" t="s">
        <v>499</v>
      </c>
    </row>
    <row r="447" customFormat="false" ht="14.25" hidden="false" customHeight="false" outlineLevel="0" collapsed="false">
      <c r="A447" s="196" t="str">
        <f aca="false">CONCATENATE(F447,",",E447)</f>
        <v>MSE 362,ED3-METE</v>
      </c>
      <c r="B447" s="196" t="s">
        <v>1284</v>
      </c>
      <c r="C447" s="196" t="str">
        <v>Materials Joining Processes</v>
      </c>
      <c r="D447" s="196" t="n">
        <v>55</v>
      </c>
      <c r="E447" s="196" t="s">
        <v>142</v>
      </c>
      <c r="F447" s="196" t="s">
        <v>321</v>
      </c>
    </row>
    <row r="448" customFormat="false" ht="14.25" hidden="false" customHeight="false" outlineLevel="0" collapsed="false">
      <c r="A448" s="196" t="str">
        <f aca="false">CONCATENATE(F448,",",E448)</f>
        <v>ME 492,ED4-METE</v>
      </c>
      <c r="B448" s="196" t="s">
        <v>1015</v>
      </c>
      <c r="C448" s="196" t="str">
        <v>Management And Entrepreneurship Development</v>
      </c>
      <c r="D448" s="196" t="n">
        <v>65</v>
      </c>
      <c r="E448" s="196" t="s">
        <v>136</v>
      </c>
      <c r="F448" s="196" t="s">
        <v>373</v>
      </c>
    </row>
    <row r="449" customFormat="false" ht="14.25" hidden="false" customHeight="false" outlineLevel="0" collapsed="false">
      <c r="A449" s="196" t="str">
        <f aca="false">CONCATENATE(F449,",",E449)</f>
        <v>METE 452,ED4-METE</v>
      </c>
      <c r="B449" s="196" t="s">
        <v>1315</v>
      </c>
      <c r="C449" s="196" t="str">
        <v>Electrometallurgy</v>
      </c>
      <c r="D449" s="196" t="n">
        <v>65</v>
      </c>
      <c r="E449" s="196" t="s">
        <v>136</v>
      </c>
      <c r="F449" s="196" t="s">
        <v>442</v>
      </c>
    </row>
    <row r="450" customFormat="false" ht="14.25" hidden="false" customHeight="false" outlineLevel="0" collapsed="false">
      <c r="A450" s="196" t="str">
        <f aca="false">CONCATENATE(F450,",",E450)</f>
        <v>METE 454,ED4-METE</v>
      </c>
      <c r="B450" s="196" t="s">
        <v>1316</v>
      </c>
      <c r="C450" s="196" t="str">
        <v>Metallurgical waste Management</v>
      </c>
      <c r="D450" s="196" t="n">
        <v>65</v>
      </c>
      <c r="E450" s="196" t="s">
        <v>136</v>
      </c>
      <c r="F450" s="196" t="s">
        <v>290</v>
      </c>
    </row>
    <row r="451" customFormat="false" ht="14.25" hidden="false" customHeight="false" outlineLevel="0" collapsed="false">
      <c r="A451" s="196" t="str">
        <f aca="false">CONCATENATE(F451,",",E451)</f>
        <v>MSE 456,ED4-METE</v>
      </c>
      <c r="B451" s="196" t="s">
        <v>1290</v>
      </c>
      <c r="C451" s="196" t="str">
        <v>Materials Quality Control, Assurrance And Selection</v>
      </c>
      <c r="D451" s="196" t="n">
        <v>65</v>
      </c>
      <c r="E451" s="196" t="s">
        <v>136</v>
      </c>
      <c r="F451" s="196" t="s">
        <v>223</v>
      </c>
    </row>
    <row r="452" customFormat="false" ht="14.25" hidden="false" customHeight="false" outlineLevel="0" collapsed="false">
      <c r="A452" s="196" t="str">
        <f aca="false">CONCATENATE(F452,",",E452)</f>
        <v>MSE 458,ED4-METE</v>
      </c>
      <c r="B452" s="196" t="s">
        <v>1317</v>
      </c>
      <c r="C452" s="196" t="str">
        <v>Process Dynanics And Control</v>
      </c>
      <c r="D452" s="196" t="n">
        <v>65</v>
      </c>
      <c r="E452" s="196" t="s">
        <v>136</v>
      </c>
      <c r="F452" s="196" t="s">
        <v>134</v>
      </c>
    </row>
    <row r="453" customFormat="false" ht="14.25" hidden="false" customHeight="false" outlineLevel="0" collapsed="false">
      <c r="A453" s="196" t="str">
        <f aca="false">CONCATENATE(F453,",",E453)</f>
        <v>CHE 156,ED1-PCE</v>
      </c>
      <c r="B453" s="196" t="s">
        <v>1127</v>
      </c>
      <c r="C453" s="196" t="str">
        <v>Physical Chemistry For Engineers</v>
      </c>
      <c r="D453" s="196" t="n">
        <v>59</v>
      </c>
      <c r="E453" s="196" t="s">
        <v>81</v>
      </c>
      <c r="F453" s="196" t="s">
        <v>302</v>
      </c>
    </row>
    <row r="454" customFormat="false" ht="14.25" hidden="false" customHeight="false" outlineLevel="0" collapsed="false">
      <c r="A454" s="196" t="str">
        <f aca="false">CONCATENATE(F454,",",E454)</f>
        <v>EE 152,ED1-PCE</v>
      </c>
      <c r="B454" s="196" t="s">
        <v>990</v>
      </c>
      <c r="C454" s="196" t="str">
        <v>Basic Electronics</v>
      </c>
      <c r="D454" s="196" t="n">
        <v>59</v>
      </c>
      <c r="E454" s="196" t="s">
        <v>81</v>
      </c>
      <c r="F454" s="196" t="s">
        <v>234</v>
      </c>
    </row>
    <row r="455" customFormat="false" ht="14.25" hidden="false" customHeight="false" outlineLevel="0" collapsed="false">
      <c r="A455" s="196" t="str">
        <f aca="false">CONCATENATE(F455,",",E455)</f>
        <v>ENGL 158,ED1-PCE</v>
      </c>
      <c r="B455" s="196" t="s">
        <v>991</v>
      </c>
      <c r="C455" s="196" t="str">
        <v>Communication Skills II</v>
      </c>
      <c r="D455" s="196" t="n">
        <v>59</v>
      </c>
      <c r="E455" s="196" t="s">
        <v>81</v>
      </c>
      <c r="F455" s="196" t="s">
        <v>364</v>
      </c>
    </row>
    <row r="456" customFormat="false" ht="14.25" hidden="false" customHeight="false" outlineLevel="0" collapsed="false">
      <c r="A456" s="196" t="str">
        <f aca="false">CONCATENATE(F456,",",E456)</f>
        <v>MATH 152,ED1-PCE</v>
      </c>
      <c r="B456" s="196" t="s">
        <v>1136</v>
      </c>
      <c r="C456" s="196" t="str">
        <v>Calculus With Analysis</v>
      </c>
      <c r="D456" s="196" t="n">
        <v>59</v>
      </c>
      <c r="E456" s="196" t="s">
        <v>81</v>
      </c>
      <c r="F456" s="196" t="s">
        <v>129</v>
      </c>
    </row>
    <row r="457" customFormat="false" ht="14.25" hidden="false" customHeight="false" outlineLevel="0" collapsed="false">
      <c r="A457" s="196" t="str">
        <f aca="false">CONCATENATE(F457,",",E457)</f>
        <v>ME 162,ED1-PCE</v>
      </c>
      <c r="B457" s="196" t="s">
        <v>994</v>
      </c>
      <c r="C457" s="196" t="str">
        <v>Basic Mechanics</v>
      </c>
      <c r="D457" s="196" t="n">
        <v>59</v>
      </c>
      <c r="E457" s="196" t="s">
        <v>81</v>
      </c>
      <c r="F457" s="196" t="s">
        <v>392</v>
      </c>
    </row>
    <row r="458" customFormat="false" ht="14.25" hidden="false" customHeight="false" outlineLevel="0" collapsed="false">
      <c r="A458" s="196" t="str">
        <f aca="false">CONCATENATE(F458,",",E458)</f>
        <v>PCE 158,ED1-PCE</v>
      </c>
      <c r="B458" s="196" t="s">
        <v>987</v>
      </c>
      <c r="C458" s="196" t="str">
        <v>Introduction To Information Technology</v>
      </c>
      <c r="D458" s="196" t="n">
        <v>59</v>
      </c>
      <c r="E458" s="196" t="s">
        <v>81</v>
      </c>
      <c r="F458" s="196" t="s">
        <v>185</v>
      </c>
    </row>
    <row r="459" customFormat="false" ht="14.25" hidden="false" customHeight="false" outlineLevel="0" collapsed="false">
      <c r="A459" s="196" t="str">
        <f aca="false">CONCATENATE(F459,",",E459)</f>
        <v>PHY 170,ED1-PCE</v>
      </c>
      <c r="B459" s="196" t="s">
        <v>1129</v>
      </c>
      <c r="C459" s="196" t="str">
        <v>General Physics</v>
      </c>
      <c r="D459" s="196" t="n">
        <v>59</v>
      </c>
      <c r="E459" s="196" t="s">
        <v>81</v>
      </c>
      <c r="F459" s="196" t="s">
        <v>79</v>
      </c>
    </row>
    <row r="460" customFormat="false" ht="14.25" hidden="false" customHeight="false" outlineLevel="0" collapsed="false">
      <c r="A460" s="196" t="str">
        <f aca="false">CONCATENATE(F460,",",E460)</f>
        <v>CHE 250,ED2-PCE</v>
      </c>
      <c r="B460" s="196" t="s">
        <v>1130</v>
      </c>
      <c r="C460" s="196" t="str">
        <v>Strength Of Materials For Chemical Engineers</v>
      </c>
      <c r="D460" s="196" t="n">
        <v>59</v>
      </c>
      <c r="E460" s="196" t="s">
        <v>14</v>
      </c>
      <c r="F460" s="196" t="s">
        <v>338</v>
      </c>
    </row>
    <row r="461" customFormat="false" ht="14.25" hidden="false" customHeight="false" outlineLevel="0" collapsed="false">
      <c r="A461" s="196" t="str">
        <f aca="false">CONCATENATE(F461,",",E461)</f>
        <v>CHE 252,ED2-PCE</v>
      </c>
      <c r="B461" s="196" t="s">
        <v>1131</v>
      </c>
      <c r="C461" s="196" t="str">
        <v>Chemical Process Calculations II</v>
      </c>
      <c r="D461" s="196" t="n">
        <v>59</v>
      </c>
      <c r="E461" s="196" t="s">
        <v>14</v>
      </c>
      <c r="F461" s="196" t="s">
        <v>297</v>
      </c>
    </row>
    <row r="462" customFormat="false" ht="14.25" hidden="false" customHeight="false" outlineLevel="0" collapsed="false">
      <c r="A462" s="196" t="str">
        <f aca="false">CONCATENATE(F462,",",E462)</f>
        <v>CHE 254,ED2-PCE</v>
      </c>
      <c r="B462" s="196" t="s">
        <v>1132</v>
      </c>
      <c r="C462" s="196" t="str">
        <v>Chemical Engineering Thermodynamics II</v>
      </c>
      <c r="D462" s="196" t="n">
        <v>59</v>
      </c>
      <c r="E462" s="196" t="s">
        <v>14</v>
      </c>
      <c r="F462" s="196" t="s">
        <v>397</v>
      </c>
    </row>
    <row r="463" customFormat="false" ht="14.25" hidden="false" customHeight="false" outlineLevel="0" collapsed="false">
      <c r="A463" s="196" t="str">
        <f aca="false">CONCATENATE(F463,",",E463)</f>
        <v>CHE 256,ED2-PCE</v>
      </c>
      <c r="B463" s="196" t="s">
        <v>1133</v>
      </c>
      <c r="C463" s="196" t="str">
        <v>Heat Transport Processes</v>
      </c>
      <c r="D463" s="196" t="n">
        <v>59</v>
      </c>
      <c r="E463" s="196" t="s">
        <v>14</v>
      </c>
      <c r="F463" s="196" t="s">
        <v>83</v>
      </c>
    </row>
    <row r="464" customFormat="false" ht="14.25" hidden="false" customHeight="false" outlineLevel="0" collapsed="false">
      <c r="A464" s="196" t="str">
        <f aca="false">CONCATENATE(F464,",",E464)</f>
        <v>CHE 258,ED2-PCE</v>
      </c>
      <c r="B464" s="196" t="s">
        <v>1134</v>
      </c>
      <c r="C464" s="196" t="str">
        <v>Drawing For Engineers</v>
      </c>
      <c r="D464" s="196" t="n">
        <v>59</v>
      </c>
      <c r="E464" s="196" t="s">
        <v>14</v>
      </c>
      <c r="F464" s="196" t="s">
        <v>12</v>
      </c>
    </row>
    <row r="465" customFormat="false" ht="14.25" hidden="false" customHeight="false" outlineLevel="0" collapsed="false">
      <c r="A465" s="196" t="str">
        <f aca="false">CONCATENATE(F465,",",E465)</f>
        <v>CHEM 280,ED2-PCE</v>
      </c>
      <c r="B465" s="196" t="s">
        <v>1135</v>
      </c>
      <c r="C465" s="196" t="str">
        <v>Practical Chemistry II</v>
      </c>
      <c r="D465" s="196" t="n">
        <v>59</v>
      </c>
      <c r="E465" s="196" t="s">
        <v>14</v>
      </c>
      <c r="F465" s="196" t="s">
        <v>173</v>
      </c>
    </row>
    <row r="466" customFormat="false" ht="14.25" hidden="false" customHeight="false" outlineLevel="0" collapsed="false">
      <c r="A466" s="196" t="str">
        <f aca="false">CONCATENATE(F466,",",E466)</f>
        <v>MATH 252,ED2-PCE</v>
      </c>
      <c r="B466" s="196" t="s">
        <v>1136</v>
      </c>
      <c r="C466" s="196" t="str">
        <v>Calculus Of Several Variables</v>
      </c>
      <c r="D466" s="196" t="n">
        <v>59</v>
      </c>
      <c r="E466" s="196" t="s">
        <v>14</v>
      </c>
      <c r="F466" s="196" t="s">
        <v>281</v>
      </c>
    </row>
    <row r="467" customFormat="false" ht="14.25" hidden="false" customHeight="false" outlineLevel="0" collapsed="false">
      <c r="A467" s="196" t="str">
        <f aca="false">CONCATENATE(F467,",",E467)</f>
        <v>CHE 350,ED3-PCE</v>
      </c>
      <c r="B467" s="196" t="s">
        <v>1137</v>
      </c>
      <c r="C467" s="196" t="str">
        <v>Materials Science</v>
      </c>
      <c r="D467" s="196" t="n">
        <v>62</v>
      </c>
      <c r="E467" s="196" t="s">
        <v>63</v>
      </c>
      <c r="F467" s="196" t="s">
        <v>199</v>
      </c>
    </row>
    <row r="468" customFormat="false" ht="14.25" hidden="false" customHeight="false" outlineLevel="0" collapsed="false">
      <c r="A468" s="196" t="str">
        <f aca="false">CONCATENATE(F468,",",E468)</f>
        <v>CHE 358,ED3-PCE</v>
      </c>
      <c r="B468" s="196" t="s">
        <v>1140</v>
      </c>
      <c r="C468" s="196" t="str">
        <v>Numerical Methods For Chemical Engineers</v>
      </c>
      <c r="D468" s="196" t="n">
        <v>62</v>
      </c>
      <c r="E468" s="196" t="s">
        <v>63</v>
      </c>
      <c r="F468" s="196" t="s">
        <v>315</v>
      </c>
    </row>
    <row r="469" customFormat="false" ht="14.25" hidden="false" customHeight="false" outlineLevel="0" collapsed="false">
      <c r="A469" s="196" t="str">
        <f aca="false">CONCATENATE(F469,",",E469)</f>
        <v>CHE 366,ED3-PCE</v>
      </c>
      <c r="B469" s="196" t="s">
        <v>1318</v>
      </c>
      <c r="C469" s="196" t="str">
        <v>Renewable Energy Resources</v>
      </c>
      <c r="D469" s="196" t="n">
        <v>17</v>
      </c>
      <c r="E469" s="196" t="s">
        <v>63</v>
      </c>
      <c r="F469" s="196" t="s">
        <v>382</v>
      </c>
    </row>
    <row r="470" customFormat="false" ht="14.25" hidden="false" customHeight="false" outlineLevel="0" collapsed="false">
      <c r="A470" s="196" t="str">
        <f aca="false">CONCATENATE(F470,",",E470)</f>
        <v>CHE 370,ED3-PCE</v>
      </c>
      <c r="B470" s="196" t="s">
        <v>1319</v>
      </c>
      <c r="C470" s="196" t="str">
        <v>Environmental Impact Assessment</v>
      </c>
      <c r="D470" s="196" t="n">
        <v>43</v>
      </c>
      <c r="E470" s="196" t="s">
        <v>63</v>
      </c>
      <c r="F470" s="196" t="s">
        <v>296</v>
      </c>
    </row>
    <row r="471" customFormat="false" ht="14.25" hidden="false" customHeight="false" outlineLevel="0" collapsed="false">
      <c r="A471" s="196" t="str">
        <f aca="false">CONCATENATE(F471,",",E471)</f>
        <v>PCE 350,ED3-PCE</v>
      </c>
      <c r="B471" s="196" t="s">
        <v>1320</v>
      </c>
      <c r="C471" s="196" t="str">
        <v>Kinetics And Reactions Engineering</v>
      </c>
      <c r="D471" s="196" t="n">
        <v>62</v>
      </c>
      <c r="E471" s="196" t="s">
        <v>63</v>
      </c>
      <c r="F471" s="196" t="s">
        <v>496</v>
      </c>
    </row>
    <row r="472" customFormat="false" ht="14.25" hidden="false" customHeight="false" outlineLevel="0" collapsed="false">
      <c r="A472" s="196" t="str">
        <f aca="false">CONCATENATE(F472,",",E472)</f>
        <v>PCE 352,ED3-PCE</v>
      </c>
      <c r="B472" s="196" t="s">
        <v>1321</v>
      </c>
      <c r="C472" s="196" t="str">
        <v>Separation Processes II</v>
      </c>
      <c r="D472" s="196" t="n">
        <v>62</v>
      </c>
      <c r="E472" s="196" t="s">
        <v>63</v>
      </c>
      <c r="F472" s="196" t="s">
        <v>258</v>
      </c>
    </row>
    <row r="473" customFormat="false" ht="14.25" hidden="false" customHeight="false" outlineLevel="0" collapsed="false">
      <c r="A473" s="196" t="str">
        <f aca="false">CONCATENATE(F473,",",E473)</f>
        <v>PCE 354,ED3-PCE</v>
      </c>
      <c r="B473" s="196" t="s">
        <v>1322</v>
      </c>
      <c r="C473" s="196" t="str">
        <v>Petrochemical Engineering Laboratory II</v>
      </c>
      <c r="D473" s="196" t="n">
        <v>62</v>
      </c>
      <c r="E473" s="196" t="s">
        <v>63</v>
      </c>
      <c r="F473" s="196" t="s">
        <v>62</v>
      </c>
    </row>
    <row r="474" customFormat="false" ht="14.25" hidden="false" customHeight="false" outlineLevel="0" collapsed="false">
      <c r="A474" s="196" t="str">
        <f aca="false">CONCATENATE(F474,",",E474)</f>
        <v>PETE 354,ED3-PCE</v>
      </c>
      <c r="B474" s="196" t="s">
        <v>1323</v>
      </c>
      <c r="C474" s="196" t="str">
        <v>Petroleum Production Engineering</v>
      </c>
      <c r="D474" s="196" t="n">
        <v>62</v>
      </c>
      <c r="E474" s="196" t="s">
        <v>63</v>
      </c>
      <c r="F474" s="196" t="s">
        <v>448</v>
      </c>
    </row>
    <row r="475" customFormat="false" ht="14.25" hidden="false" customHeight="false" outlineLevel="0" collapsed="false">
      <c r="A475" s="196" t="str">
        <f aca="false">CONCATENATE(F475,",",E475)</f>
        <v>PETE 450,ED3-PCE</v>
      </c>
      <c r="B475" s="196" t="s">
        <v>1324</v>
      </c>
      <c r="C475" s="196" t="str">
        <v>Natural Gas Engineering</v>
      </c>
      <c r="D475" s="196" t="n">
        <v>62</v>
      </c>
      <c r="E475" s="196" t="s">
        <v>63</v>
      </c>
      <c r="F475" s="196" t="s">
        <v>393</v>
      </c>
    </row>
    <row r="476" customFormat="false" ht="14.25" hidden="false" customHeight="false" outlineLevel="0" collapsed="false">
      <c r="A476" s="196" t="str">
        <f aca="false">CONCATENATE(F476,",",E476)</f>
        <v>CHE 456,ED4-PCE</v>
      </c>
      <c r="B476" s="196" t="s">
        <v>1145</v>
      </c>
      <c r="C476" s="196" t="str">
        <v>Process Control And Simulation</v>
      </c>
      <c r="D476" s="196" t="n">
        <v>104</v>
      </c>
      <c r="E476" s="196" t="s">
        <v>44</v>
      </c>
      <c r="F476" s="196" t="s">
        <v>525</v>
      </c>
    </row>
    <row r="477" customFormat="false" ht="14.25" hidden="false" customHeight="false" outlineLevel="0" collapsed="false">
      <c r="A477" s="196" t="str">
        <f aca="false">CONCATENATE(F477,",",E477)</f>
        <v>CHE 458,ED4-PCE</v>
      </c>
      <c r="B477" s="196" t="s">
        <v>1146</v>
      </c>
      <c r="C477" s="196" t="str">
        <v>Entrepreneurship And Business Development</v>
      </c>
      <c r="D477" s="196" t="n">
        <v>104</v>
      </c>
      <c r="E477" s="196" t="s">
        <v>44</v>
      </c>
      <c r="F477" s="196" t="s">
        <v>345</v>
      </c>
    </row>
    <row r="478" customFormat="false" ht="14.25" hidden="false" customHeight="false" outlineLevel="0" collapsed="false">
      <c r="A478" s="196" t="str">
        <f aca="false">CONCATENATE(F478,",",E478)</f>
        <v>CHE 464,ED4-PCE</v>
      </c>
      <c r="B478" s="196" t="s">
        <v>1325</v>
      </c>
      <c r="C478" s="196" t="str">
        <v>Adsorption Separation Process Technology</v>
      </c>
      <c r="D478" s="196" t="n">
        <v>54</v>
      </c>
      <c r="E478" s="196" t="s">
        <v>44</v>
      </c>
      <c r="F478" s="196" t="s">
        <v>319</v>
      </c>
    </row>
    <row r="479" customFormat="false" ht="14.25" hidden="false" customHeight="false" outlineLevel="0" collapsed="false">
      <c r="A479" s="196" t="str">
        <f aca="false">CONCATENATE(F479,",",E479)</f>
        <v>MSE 356,ED4-PCE</v>
      </c>
      <c r="B479" s="196" t="s">
        <v>1281</v>
      </c>
      <c r="C479" s="196" t="str">
        <v>Engineering Properties Of Polymers</v>
      </c>
      <c r="D479" s="196" t="n">
        <v>50</v>
      </c>
      <c r="E479" s="196" t="s">
        <v>44</v>
      </c>
      <c r="F479" s="196" t="s">
        <v>271</v>
      </c>
    </row>
    <row r="480" customFormat="false" ht="14.25" hidden="false" customHeight="false" outlineLevel="0" collapsed="false">
      <c r="A480" s="196" t="str">
        <f aca="false">CONCATENATE(F480,",",E480)</f>
        <v>PCE 450,ED4-PCE</v>
      </c>
      <c r="B480" s="196" t="s">
        <v>1326</v>
      </c>
      <c r="C480" s="196" t="str">
        <v>Petroleum Refining Engineering</v>
      </c>
      <c r="D480" s="196" t="n">
        <v>104</v>
      </c>
      <c r="E480" s="196" t="s">
        <v>44</v>
      </c>
      <c r="F480" s="196" t="s">
        <v>43</v>
      </c>
    </row>
    <row r="481" customFormat="false" ht="14.25" hidden="false" customHeight="false" outlineLevel="0" collapsed="false">
      <c r="A481" s="196" t="str">
        <f aca="false">CONCATENATE(F481,",",E481)</f>
        <v>EE 152,ED1-PETE</v>
      </c>
      <c r="B481" s="196" t="s">
        <v>990</v>
      </c>
      <c r="C481" s="196" t="str">
        <v>Basic Electronics</v>
      </c>
      <c r="D481" s="196" t="n">
        <v>97</v>
      </c>
      <c r="E481" s="196" t="s">
        <v>1327</v>
      </c>
      <c r="F481" s="196" t="s">
        <v>234</v>
      </c>
    </row>
    <row r="482" customFormat="false" ht="14.25" hidden="false" customHeight="false" outlineLevel="0" collapsed="false">
      <c r="A482" s="196" t="str">
        <f aca="false">CONCATENATE(F482,",",E482)</f>
        <v>ENGL 158,ED1-PETE</v>
      </c>
      <c r="B482" s="196" t="s">
        <v>991</v>
      </c>
      <c r="C482" s="196" t="str">
        <v>Communication Skills II</v>
      </c>
      <c r="D482" s="196" t="n">
        <v>97</v>
      </c>
      <c r="E482" s="196" t="s">
        <v>1327</v>
      </c>
      <c r="F482" s="196" t="s">
        <v>364</v>
      </c>
    </row>
    <row r="483" customFormat="false" ht="14.25" hidden="false" customHeight="false" outlineLevel="0" collapsed="false">
      <c r="A483" s="196" t="str">
        <f aca="false">CONCATENATE(F483,",",E483)</f>
        <v>MATH 152,ED1-PETE</v>
      </c>
      <c r="B483" s="196" t="s">
        <v>992</v>
      </c>
      <c r="C483" s="196" t="str">
        <v>Calculus With Analysis</v>
      </c>
      <c r="D483" s="196" t="n">
        <v>97</v>
      </c>
      <c r="E483" s="196" t="s">
        <v>1327</v>
      </c>
      <c r="F483" s="196" t="s">
        <v>129</v>
      </c>
    </row>
    <row r="484" customFormat="false" ht="14.25" hidden="false" customHeight="false" outlineLevel="0" collapsed="false">
      <c r="A484" s="196" t="str">
        <f aca="false">CONCATENATE(F484,",",E484)</f>
        <v>ME 162,ED1-PETE</v>
      </c>
      <c r="B484" s="196" t="s">
        <v>994</v>
      </c>
      <c r="C484" s="196" t="str">
        <v>Basic Mechanics</v>
      </c>
      <c r="D484" s="196" t="n">
        <v>97</v>
      </c>
      <c r="E484" s="196" t="s">
        <v>1327</v>
      </c>
      <c r="F484" s="196" t="s">
        <v>392</v>
      </c>
    </row>
    <row r="485" customFormat="false" ht="14.25" hidden="false" customHeight="false" outlineLevel="0" collapsed="false">
      <c r="A485" s="196" t="str">
        <f aca="false">CONCATENATE(F485,",",E485)</f>
        <v>PE 154,ED1-PETE</v>
      </c>
      <c r="B485" s="196" t="s">
        <v>1328</v>
      </c>
      <c r="C485" s="196" t="str">
        <v>Introduction To Petroleum Engineering</v>
      </c>
      <c r="D485" s="196" t="n">
        <v>97</v>
      </c>
      <c r="E485" s="196" t="s">
        <v>1327</v>
      </c>
      <c r="F485" s="196" t="s">
        <v>188</v>
      </c>
    </row>
    <row r="486" customFormat="false" ht="14.25" hidden="false" customHeight="false" outlineLevel="0" collapsed="false">
      <c r="A486" s="196" t="str">
        <f aca="false">CONCATENATE(F486,",",E486)</f>
        <v>PE 156,ED1-PETE</v>
      </c>
      <c r="B486" s="196" t="s">
        <v>1127</v>
      </c>
      <c r="C486" s="196" t="str">
        <v>Physical Chemistry For Engineers</v>
      </c>
      <c r="D486" s="196" t="n">
        <v>97</v>
      </c>
      <c r="E486" s="196" t="s">
        <v>1327</v>
      </c>
      <c r="F486" s="196" t="s">
        <v>488</v>
      </c>
    </row>
    <row r="487" customFormat="false" ht="14.25" hidden="false" customHeight="false" outlineLevel="0" collapsed="false">
      <c r="A487" s="196" t="str">
        <f aca="false">CONCATENATE(F487,",",E487)</f>
        <v>PHY 170,ED1-PETE</v>
      </c>
      <c r="B487" s="196" t="s">
        <v>1129</v>
      </c>
      <c r="C487" s="196" t="str">
        <v>General Physics</v>
      </c>
      <c r="D487" s="196" t="n">
        <v>97</v>
      </c>
      <c r="E487" s="196" t="s">
        <v>1327</v>
      </c>
      <c r="F487" s="196" t="s">
        <v>79</v>
      </c>
    </row>
    <row r="488" customFormat="false" ht="14.25" hidden="false" customHeight="false" outlineLevel="0" collapsed="false">
      <c r="A488" s="196" t="str">
        <f aca="false">CONCATENATE(F488,",",E488)</f>
        <v>MATH 252,ED2-PETE</v>
      </c>
      <c r="B488" s="196" t="s">
        <v>1136</v>
      </c>
      <c r="C488" s="196" t="str">
        <v>Calculus Of Several Variables</v>
      </c>
      <c r="D488" s="196" t="n">
        <v>82</v>
      </c>
      <c r="E488" s="196" t="s">
        <v>1329</v>
      </c>
      <c r="F488" s="196" t="s">
        <v>281</v>
      </c>
    </row>
    <row r="489" customFormat="false" ht="14.25" hidden="false" customHeight="false" outlineLevel="0" collapsed="false">
      <c r="A489" s="196" t="str">
        <f aca="false">CONCATENATE(F489,",",E489)</f>
        <v>PE 252,ED2-PETE</v>
      </c>
      <c r="B489" s="196" t="s">
        <v>1133</v>
      </c>
      <c r="C489" s="196" t="str">
        <v>Heat Transport Processes</v>
      </c>
      <c r="D489" s="196" t="n">
        <v>82</v>
      </c>
      <c r="E489" s="196" t="s">
        <v>1329</v>
      </c>
      <c r="F489" s="196" t="s">
        <v>212</v>
      </c>
    </row>
    <row r="490" customFormat="false" ht="14.25" hidden="false" customHeight="false" outlineLevel="0" collapsed="false">
      <c r="A490" s="196" t="str">
        <f aca="false">CONCATENATE(F490,",",E490)</f>
        <v>PE 254,ED2-PETE</v>
      </c>
      <c r="B490" s="196" t="s">
        <v>1134</v>
      </c>
      <c r="C490" s="196" t="str">
        <v>Drawing For Engineers</v>
      </c>
      <c r="D490" s="196" t="n">
        <v>82</v>
      </c>
      <c r="E490" s="196" t="s">
        <v>1329</v>
      </c>
      <c r="F490" s="196" t="s">
        <v>92</v>
      </c>
    </row>
    <row r="491" customFormat="false" ht="14.25" hidden="false" customHeight="false" outlineLevel="0" collapsed="false">
      <c r="A491" s="196" t="str">
        <f aca="false">CONCATENATE(F491,",",E491)</f>
        <v>PE 256,ED2-PETE</v>
      </c>
      <c r="B491" s="196" t="s">
        <v>1330</v>
      </c>
      <c r="C491" s="196" t="str">
        <v>Regional Geology</v>
      </c>
      <c r="D491" s="196" t="n">
        <v>82</v>
      </c>
      <c r="E491" s="196" t="s">
        <v>1329</v>
      </c>
      <c r="F491" s="196" t="s">
        <v>439</v>
      </c>
    </row>
    <row r="492" customFormat="false" ht="14.25" hidden="false" customHeight="false" outlineLevel="0" collapsed="false">
      <c r="A492" s="196" t="str">
        <f aca="false">CONCATENATE(F492,",",E492)</f>
        <v>PE 258,ED2-PETE</v>
      </c>
      <c r="B492" s="196" t="s">
        <v>1331</v>
      </c>
      <c r="C492" s="196" t="str">
        <v>Petroleum Engineering Thermodynamics II</v>
      </c>
      <c r="D492" s="196" t="n">
        <v>82</v>
      </c>
      <c r="E492" s="196" t="s">
        <v>1329</v>
      </c>
      <c r="F492" s="196" t="s">
        <v>398</v>
      </c>
    </row>
    <row r="493" customFormat="false" ht="14.25" hidden="false" customHeight="false" outlineLevel="0" collapsed="false">
      <c r="A493" s="196" t="str">
        <f aca="false">CONCATENATE(F493,",",E493)</f>
        <v>PE 260,ED2-PETE</v>
      </c>
      <c r="B493" s="196" t="s">
        <v>1332</v>
      </c>
      <c r="C493" s="196" t="str">
        <v>Reservoir Fluid Properties</v>
      </c>
      <c r="D493" s="196" t="n">
        <v>82</v>
      </c>
      <c r="E493" s="196" t="s">
        <v>1329</v>
      </c>
      <c r="F493" s="196" t="s">
        <v>494</v>
      </c>
    </row>
    <row r="494" customFormat="false" ht="14.25" hidden="false" customHeight="false" outlineLevel="0" collapsed="false">
      <c r="A494" s="196" t="str">
        <f aca="false">CONCATENATE(F494,",",E494)</f>
        <v>PE 262,ED2-PETE</v>
      </c>
      <c r="B494" s="196" t="s">
        <v>1333</v>
      </c>
      <c r="C494" s="196" t="str">
        <v>Computer Programming In Oil And Gas</v>
      </c>
      <c r="D494" s="196" t="n">
        <v>82</v>
      </c>
      <c r="E494" s="196" t="s">
        <v>1329</v>
      </c>
      <c r="F494" s="196" t="s">
        <v>263</v>
      </c>
    </row>
    <row r="495" customFormat="false" ht="14.25" hidden="false" customHeight="false" outlineLevel="0" collapsed="false">
      <c r="A495" s="196" t="str">
        <f aca="false">CONCATENATE(F495,",",E495)</f>
        <v>PE 264,ED2-PETE</v>
      </c>
      <c r="B495" s="196" t="s">
        <v>1334</v>
      </c>
      <c r="C495" s="196" t="str">
        <v>Principles Of Land Surveying And Hydrographic Science</v>
      </c>
      <c r="D495" s="196" t="n">
        <v>82</v>
      </c>
      <c r="E495" s="196" t="s">
        <v>1329</v>
      </c>
      <c r="F495" s="196" t="s">
        <v>359</v>
      </c>
    </row>
    <row r="496" customFormat="false" ht="14.25" hidden="false" customHeight="false" outlineLevel="0" collapsed="false">
      <c r="A496" s="196" t="str">
        <f aca="false">CONCATENATE(F496,",",E496)</f>
        <v>PE 350,ED3-PETE</v>
      </c>
      <c r="B496" s="196" t="s">
        <v>1335</v>
      </c>
      <c r="C496" s="196" t="str">
        <v>Numerical Methods For Petroleum Engineers</v>
      </c>
      <c r="D496" s="196" t="n">
        <v>103</v>
      </c>
      <c r="E496" s="196" t="s">
        <v>1336</v>
      </c>
      <c r="F496" s="196" t="s">
        <v>467</v>
      </c>
    </row>
    <row r="497" customFormat="false" ht="14.25" hidden="false" customHeight="false" outlineLevel="0" collapsed="false">
      <c r="A497" s="196" t="str">
        <f aca="false">CONCATENATE(F497,",",E497)</f>
        <v>PE 352,ED3-PETE</v>
      </c>
      <c r="B497" s="196" t="s">
        <v>1218</v>
      </c>
      <c r="C497" s="196" t="str">
        <v>Petroleum Geology</v>
      </c>
      <c r="D497" s="196" t="n">
        <v>103</v>
      </c>
      <c r="E497" s="196" t="s">
        <v>1336</v>
      </c>
      <c r="F497" s="196" t="s">
        <v>285</v>
      </c>
    </row>
    <row r="498" customFormat="false" ht="14.25" hidden="false" customHeight="false" outlineLevel="0" collapsed="false">
      <c r="A498" s="196" t="str">
        <f aca="false">CONCATENATE(F498,",",E498)</f>
        <v>PE 354,ED3-PETE</v>
      </c>
      <c r="B498" s="196" t="s">
        <v>1337</v>
      </c>
      <c r="C498" s="196" t="str">
        <v>Drilling Engineering II</v>
      </c>
      <c r="D498" s="196" t="n">
        <v>103</v>
      </c>
      <c r="E498" s="196" t="s">
        <v>1336</v>
      </c>
      <c r="F498" s="196" t="s">
        <v>408</v>
      </c>
    </row>
    <row r="499" customFormat="false" ht="14.25" hidden="false" customHeight="false" outlineLevel="0" collapsed="false">
      <c r="A499" s="196" t="str">
        <f aca="false">CONCATENATE(F499,",",E499)</f>
        <v>PE 356,ED3-PETE</v>
      </c>
      <c r="B499" s="196" t="s">
        <v>1338</v>
      </c>
      <c r="C499" s="196" t="str">
        <v>Petroleum Engineering Lab II</v>
      </c>
      <c r="D499" s="196" t="n">
        <v>103</v>
      </c>
      <c r="E499" s="196" t="s">
        <v>1336</v>
      </c>
      <c r="F499" s="196" t="s">
        <v>163</v>
      </c>
    </row>
    <row r="500" customFormat="false" ht="14.25" hidden="false" customHeight="false" outlineLevel="0" collapsed="false">
      <c r="A500" s="196" t="str">
        <f aca="false">CONCATENATE(F500,",",E500)</f>
        <v>PE 358,ED3-PETE</v>
      </c>
      <c r="B500" s="196" t="s">
        <v>1339</v>
      </c>
      <c r="C500" s="196" t="str">
        <v>Petroleum Production Engineering II</v>
      </c>
      <c r="D500" s="196" t="n">
        <v>103</v>
      </c>
      <c r="E500" s="196" t="s">
        <v>1336</v>
      </c>
      <c r="F500" s="196" t="s">
        <v>255</v>
      </c>
    </row>
    <row r="501" customFormat="false" ht="14.25" hidden="false" customHeight="false" outlineLevel="0" collapsed="false">
      <c r="A501" s="196" t="str">
        <f aca="false">CONCATENATE(F501,",",E501)</f>
        <v>PE 360,ED3-PETE</v>
      </c>
      <c r="B501" s="196" t="s">
        <v>1340</v>
      </c>
      <c r="C501" s="196" t="str">
        <v>Well Testing</v>
      </c>
      <c r="D501" s="196" t="n">
        <v>103</v>
      </c>
      <c r="E501" s="196" t="s">
        <v>1336</v>
      </c>
      <c r="F501" s="196" t="s">
        <v>17</v>
      </c>
    </row>
    <row r="502" customFormat="false" ht="14.25" hidden="false" customHeight="false" outlineLevel="0" collapsed="false">
      <c r="A502" s="196" t="str">
        <f aca="false">CONCATENATE(F502,",",E502)</f>
        <v>PE 362,ED3-PETE</v>
      </c>
      <c r="B502" s="196" t="s">
        <v>1219</v>
      </c>
      <c r="C502" s="196" t="str">
        <v>Geostatistics</v>
      </c>
      <c r="D502" s="196" t="n">
        <v>103</v>
      </c>
      <c r="E502" s="196" t="s">
        <v>1336</v>
      </c>
      <c r="F502" s="196" t="s">
        <v>509</v>
      </c>
    </row>
    <row r="503" customFormat="false" ht="14.25" hidden="false" customHeight="false" outlineLevel="0" collapsed="false">
      <c r="A503" s="196" t="str">
        <f aca="false">CONCATENATE(F503,",",E503)</f>
        <v>PE 364,ED3-PETE</v>
      </c>
      <c r="B503" s="196" t="s">
        <v>1341</v>
      </c>
      <c r="C503" s="196" t="str">
        <v>Oil &amp; Gas Geophysics</v>
      </c>
      <c r="D503" s="196" t="n">
        <v>103</v>
      </c>
      <c r="E503" s="196" t="s">
        <v>1336</v>
      </c>
      <c r="F503" s="196" t="s">
        <v>349</v>
      </c>
    </row>
    <row r="504" customFormat="false" ht="14.25" hidden="false" customHeight="false" outlineLevel="0" collapsed="false">
      <c r="A504" s="196" t="str">
        <f aca="false">CONCATENATE(F504,",",E504)</f>
        <v>PE 366,ED3-PETE</v>
      </c>
      <c r="B504" s="196" t="s">
        <v>1342</v>
      </c>
      <c r="C504" s="196" t="str">
        <v>Health Safety And Environment</v>
      </c>
      <c r="D504" s="196" t="n">
        <v>103</v>
      </c>
      <c r="E504" s="196" t="s">
        <v>1336</v>
      </c>
      <c r="F504" s="196" t="s">
        <v>211</v>
      </c>
    </row>
    <row r="505" customFormat="false" ht="14.25" hidden="false" customHeight="false" outlineLevel="0" collapsed="false">
      <c r="A505" s="196" t="str">
        <f aca="false">CONCATENATE(F505,",",E505)</f>
        <v>PE 450,ED4-PETE</v>
      </c>
      <c r="B505" s="196" t="s">
        <v>1343</v>
      </c>
      <c r="C505" s="196" t="str">
        <v>Reservoir Recovery Techniques</v>
      </c>
      <c r="D505" s="196" t="n">
        <v>160</v>
      </c>
      <c r="E505" s="196" t="s">
        <v>1344</v>
      </c>
      <c r="F505" s="196" t="s">
        <v>324</v>
      </c>
    </row>
    <row r="506" customFormat="false" ht="14.25" hidden="false" customHeight="false" outlineLevel="0" collapsed="false">
      <c r="A506" s="196" t="str">
        <f aca="false">CONCATENATE(F506,",",E506)</f>
        <v>PE 452,ED4-PETE</v>
      </c>
      <c r="B506" s="196" t="s">
        <v>1345</v>
      </c>
      <c r="C506" s="196" t="str">
        <v>Petroleum Project Evaluation</v>
      </c>
      <c r="D506" s="196" t="n">
        <v>160</v>
      </c>
      <c r="E506" s="196" t="s">
        <v>1344</v>
      </c>
      <c r="F506" s="196" t="s">
        <v>264</v>
      </c>
    </row>
    <row r="507" customFormat="false" ht="14.25" hidden="false" customHeight="false" outlineLevel="0" collapsed="false">
      <c r="A507" s="196" t="str">
        <f aca="false">CONCATENATE(F507,",",E507)</f>
        <v>PE 456,ED4-PETE</v>
      </c>
      <c r="B507" s="196" t="s">
        <v>1346</v>
      </c>
      <c r="C507" s="196" t="str">
        <v>Well Completion And Stimulation</v>
      </c>
      <c r="D507" s="196" t="n">
        <v>160</v>
      </c>
      <c r="E507" s="196" t="s">
        <v>1344</v>
      </c>
      <c r="F507" s="196" t="s">
        <v>502</v>
      </c>
    </row>
    <row r="508" customFormat="false" ht="14.25" hidden="false" customHeight="false" outlineLevel="0" collapsed="false">
      <c r="A508" s="196" t="str">
        <f aca="false">CONCATENATE(F508,",",E508)</f>
        <v>PE 458,ED4-PETE</v>
      </c>
      <c r="B508" s="196" t="s">
        <v>1347</v>
      </c>
      <c r="C508" s="196" t="str">
        <v>Oilfield Geochemistry</v>
      </c>
      <c r="D508" s="196" t="n">
        <v>160</v>
      </c>
      <c r="E508" s="196" t="s">
        <v>1344</v>
      </c>
      <c r="F508" s="196" t="s">
        <v>206</v>
      </c>
    </row>
    <row r="509" customFormat="false" ht="14.25" hidden="false" customHeight="false" outlineLevel="0" collapsed="false">
      <c r="A509" s="196" t="str">
        <f aca="false">CONCATENATE(F509,",",E509)</f>
        <v>PE 464,ED4-PETE</v>
      </c>
      <c r="B509" s="196" t="s">
        <v>1348</v>
      </c>
      <c r="C509" s="196" t="str">
        <v>Refining Process Technology</v>
      </c>
      <c r="D509" s="196" t="n">
        <v>122</v>
      </c>
      <c r="E509" s="196" t="s">
        <v>1344</v>
      </c>
      <c r="F509" s="196" t="s">
        <v>45</v>
      </c>
    </row>
    <row r="510" customFormat="false" ht="14.25" hidden="false" customHeight="false" outlineLevel="0" collapsed="false">
      <c r="A510" s="196" t="str">
        <f aca="false">CONCATENATE(F510,",",E510)</f>
        <v>PE 466,ED4-PETE</v>
      </c>
      <c r="B510" s="196" t="s">
        <v>1349</v>
      </c>
      <c r="C510" s="196" t="str">
        <v>Fundamentals Of Petroleum Law</v>
      </c>
      <c r="D510" s="196" t="n">
        <v>160</v>
      </c>
      <c r="E510" s="196" t="s">
        <v>1344</v>
      </c>
      <c r="F510" s="196" t="s">
        <v>104</v>
      </c>
    </row>
    <row r="511" customFormat="false" ht="14.25" hidden="false" customHeight="false" outlineLevel="0" collapsed="false">
      <c r="A511" s="196" t="str">
        <f aca="false">CONCATENATE(F511,",",E511)</f>
        <v>PE 468,ED4-PETE</v>
      </c>
      <c r="B511" s="196" t="s">
        <v>1350</v>
      </c>
      <c r="C511" s="196" t="str">
        <v>Petroleum Business: Structures, Logistics</v>
      </c>
      <c r="D511" s="196" t="n">
        <v>160</v>
      </c>
      <c r="E511" s="196" t="s">
        <v>1344</v>
      </c>
      <c r="F511" s="196" t="s">
        <v>374</v>
      </c>
    </row>
    <row r="512" customFormat="false" ht="14.25" hidden="false" customHeight="false" outlineLevel="0" collapsed="false">
      <c r="A512" s="196" t="str">
        <f aca="false">CONCATENATE(F512,",",E512)</f>
        <v>PE 472,ED4-PETE</v>
      </c>
      <c r="B512" s="196" t="s">
        <v>1351</v>
      </c>
      <c r="C512" s="196" t="str">
        <v>Natural Gas Engineering II</v>
      </c>
      <c r="D512" s="196" t="n">
        <v>160</v>
      </c>
      <c r="E512" s="196" t="s">
        <v>1344</v>
      </c>
      <c r="F512" s="196" t="s">
        <v>357</v>
      </c>
    </row>
    <row r="513" customFormat="false" ht="14.25" hidden="false" customHeight="false" outlineLevel="0" collapsed="false">
      <c r="A513" s="196" t="str">
        <f aca="false">CONCATENATE(F513,",",E513)</f>
        <v>PE 474,ED4-PETE</v>
      </c>
      <c r="B513" s="196" t="s">
        <v>1352</v>
      </c>
      <c r="C513" s="196" t="str">
        <v>Pipeline Engineering</v>
      </c>
      <c r="D513" s="196" t="n">
        <v>4</v>
      </c>
      <c r="E513" s="196" t="s">
        <v>1344</v>
      </c>
      <c r="F513" s="196" t="s">
        <v>409</v>
      </c>
    </row>
    <row r="514" customFormat="false" ht="14.25" hidden="false" customHeight="false" outlineLevel="0" collapsed="false">
      <c r="A514" s="196" t="str">
        <f aca="false">CONCATENATE(F514,",",E514)</f>
        <v>PE 476,ED4-PETE</v>
      </c>
      <c r="B514" s="196" t="s">
        <v>1353</v>
      </c>
      <c r="C514" s="196" t="str">
        <v>Energy And Climate Change</v>
      </c>
      <c r="D514" s="196" t="n">
        <v>38</v>
      </c>
      <c r="E514" s="196" t="s">
        <v>1344</v>
      </c>
      <c r="F514" s="196" t="s">
        <v>438</v>
      </c>
    </row>
    <row r="515" customFormat="false" ht="14.25" hidden="false" customHeight="false" outlineLevel="0" collapsed="false">
      <c r="A515" s="196" t="str">
        <f aca="false">CONCATENATE(F515,",",E515)</f>
        <v>EE 152,ED1-TEL</v>
      </c>
      <c r="B515" s="196" t="s">
        <v>990</v>
      </c>
      <c r="C515" s="196" t="str">
        <v>Basic Electronics</v>
      </c>
      <c r="D515" s="196" t="n">
        <v>180</v>
      </c>
      <c r="E515" s="196" t="s">
        <v>91</v>
      </c>
      <c r="F515" s="196" t="s">
        <v>234</v>
      </c>
    </row>
    <row r="516" customFormat="false" ht="14.25" hidden="false" customHeight="false" outlineLevel="0" collapsed="false">
      <c r="A516" s="196" t="str">
        <f aca="false">CONCATENATE(F516,",",E516)</f>
        <v>EE 188,ED1-TEL</v>
      </c>
      <c r="B516" s="196" t="s">
        <v>1157</v>
      </c>
      <c r="C516" s="196" t="str">
        <v>Electrical Measurement And Instrumentation</v>
      </c>
      <c r="D516" s="196" t="n">
        <v>180</v>
      </c>
      <c r="E516" s="196" t="s">
        <v>91</v>
      </c>
      <c r="F516" s="196" t="s">
        <v>137</v>
      </c>
    </row>
    <row r="517" customFormat="false" ht="14.25" hidden="false" customHeight="false" outlineLevel="0" collapsed="false">
      <c r="A517" s="196" t="str">
        <f aca="false">CONCATENATE(F517,",",E517)</f>
        <v>ENGL 158,ED1-TEL</v>
      </c>
      <c r="B517" s="196" t="s">
        <v>991</v>
      </c>
      <c r="C517" s="196" t="str">
        <v>Communication Skills II</v>
      </c>
      <c r="D517" s="196" t="n">
        <v>180</v>
      </c>
      <c r="E517" s="196" t="s">
        <v>91</v>
      </c>
      <c r="F517" s="196" t="s">
        <v>364</v>
      </c>
    </row>
    <row r="518" customFormat="false" ht="14.25" hidden="false" customHeight="false" outlineLevel="0" collapsed="false">
      <c r="A518" s="196" t="str">
        <f aca="false">CONCATENATE(F518,",",E518)</f>
        <v>MATH 152,ED1-TEL</v>
      </c>
      <c r="B518" s="196" t="s">
        <v>992</v>
      </c>
      <c r="C518" s="196" t="str">
        <v>Calculus With Analysis</v>
      </c>
      <c r="D518" s="196" t="n">
        <v>180</v>
      </c>
      <c r="E518" s="196" t="s">
        <v>91</v>
      </c>
      <c r="F518" s="196" t="s">
        <v>129</v>
      </c>
    </row>
    <row r="519" customFormat="false" ht="14.25" hidden="false" customHeight="false" outlineLevel="0" collapsed="false">
      <c r="A519" s="196" t="str">
        <f aca="false">CONCATENATE(F519,",",E519)</f>
        <v>PSYC 154,ED1-TEL</v>
      </c>
      <c r="B519" s="196" t="s">
        <v>1354</v>
      </c>
      <c r="C519" s="196" t="str">
        <v>Introduction To Psychology</v>
      </c>
      <c r="D519" s="196" t="n">
        <v>180</v>
      </c>
      <c r="E519" s="196" t="s">
        <v>91</v>
      </c>
      <c r="F519" s="196" t="s">
        <v>200</v>
      </c>
    </row>
    <row r="520" customFormat="false" ht="14.25" hidden="false" customHeight="false" outlineLevel="0" collapsed="false">
      <c r="A520" s="196" t="str">
        <f aca="false">CONCATENATE(F520,",",E520)</f>
        <v>TE 152,ED1-TEL</v>
      </c>
      <c r="B520" s="196" t="s">
        <v>1355</v>
      </c>
      <c r="C520" s="196" t="str">
        <v>Engineering Research And Technical Report Writing</v>
      </c>
      <c r="D520" s="196" t="n">
        <v>180</v>
      </c>
      <c r="E520" s="196" t="s">
        <v>91</v>
      </c>
      <c r="F520" s="196" t="s">
        <v>423</v>
      </c>
    </row>
    <row r="521" customFormat="false" ht="14.25" hidden="false" customHeight="false" outlineLevel="0" collapsed="false">
      <c r="A521" s="196" t="str">
        <f aca="false">CONCATENATE(F521,",",E521)</f>
        <v>TE 156,ED1-TEL</v>
      </c>
      <c r="B521" s="196" t="s">
        <v>1356</v>
      </c>
      <c r="C521" s="196" t="str">
        <v>Introduction To Communication Networks</v>
      </c>
      <c r="D521" s="196" t="n">
        <v>180</v>
      </c>
      <c r="E521" s="196" t="s">
        <v>91</v>
      </c>
      <c r="F521" s="196" t="s">
        <v>90</v>
      </c>
    </row>
    <row r="522" customFormat="false" ht="14.25" hidden="false" customHeight="false" outlineLevel="0" collapsed="false">
      <c r="A522" s="196" t="str">
        <f aca="false">CONCATENATE(F522,",",E522)</f>
        <v>TE 158,ED1-TEL</v>
      </c>
      <c r="B522" s="196" t="s">
        <v>1357</v>
      </c>
      <c r="C522" s="196" t="str">
        <v>Introduction To Programming - I</v>
      </c>
      <c r="D522" s="196" t="n">
        <v>180</v>
      </c>
      <c r="E522" s="196" t="s">
        <v>91</v>
      </c>
      <c r="F522" s="196" t="s">
        <v>492</v>
      </c>
    </row>
    <row r="523" customFormat="false" ht="14.25" hidden="false" customHeight="false" outlineLevel="0" collapsed="false">
      <c r="A523" s="196" t="str">
        <f aca="false">CONCATENATE(F523,",",E523)</f>
        <v>ACF 256,ED2-TEL</v>
      </c>
      <c r="B523" s="196" t="s">
        <v>1076</v>
      </c>
      <c r="C523" s="196" t="str">
        <v>Introduction to Financial Accounting II</v>
      </c>
      <c r="D523" s="196" t="n">
        <v>30</v>
      </c>
      <c r="E523" s="196" t="s">
        <v>172</v>
      </c>
      <c r="F523" s="196" t="s">
        <v>424</v>
      </c>
    </row>
    <row r="524" customFormat="false" ht="14.25" hidden="false" customHeight="false" outlineLevel="0" collapsed="false">
      <c r="A524" s="196" t="str">
        <f aca="false">CONCATENATE(F524,",",E524)</f>
        <v>ECON 152,ED2-TEL</v>
      </c>
      <c r="B524" s="196" t="s">
        <v>1144</v>
      </c>
      <c r="C524" s="196" t="str">
        <v>Introductory Economics II</v>
      </c>
      <c r="D524" s="196" t="n">
        <v>7</v>
      </c>
      <c r="E524" s="196" t="s">
        <v>172</v>
      </c>
      <c r="F524" s="196" t="s">
        <v>406</v>
      </c>
    </row>
    <row r="525" customFormat="false" ht="14.25" hidden="false" customHeight="false" outlineLevel="0" collapsed="false">
      <c r="A525" s="196" t="str">
        <f aca="false">CONCATENATE(F525,",",E525)</f>
        <v>FC 182,ED2-TEL</v>
      </c>
      <c r="B525" s="196" t="s">
        <v>1085</v>
      </c>
      <c r="C525" s="196" t="str">
        <v>French For Communication II</v>
      </c>
      <c r="D525" s="196" t="n">
        <v>107</v>
      </c>
      <c r="E525" s="196" t="s">
        <v>172</v>
      </c>
      <c r="F525" s="196" t="s">
        <v>245</v>
      </c>
    </row>
    <row r="526" customFormat="false" ht="14.25" hidden="false" customHeight="false" outlineLevel="0" collapsed="false">
      <c r="A526" s="196" t="str">
        <f aca="false">CONCATENATE(F526,",",E526)</f>
        <v>MATH 252,ED2-TEL</v>
      </c>
      <c r="B526" s="196" t="s">
        <v>998</v>
      </c>
      <c r="C526" s="196" t="str">
        <v>Calculus With Several Variables</v>
      </c>
      <c r="D526" s="196" t="n">
        <v>147</v>
      </c>
      <c r="E526" s="196" t="s">
        <v>172</v>
      </c>
      <c r="F526" s="196" t="s">
        <v>281</v>
      </c>
    </row>
    <row r="527" customFormat="false" ht="14.25" hidden="false" customHeight="false" outlineLevel="0" collapsed="false">
      <c r="A527" s="196" t="str">
        <f aca="false">CONCATENATE(F527,",",E527)</f>
        <v>TE 252,ED2-TEL</v>
      </c>
      <c r="B527" s="196" t="s">
        <v>1358</v>
      </c>
      <c r="C527" s="196" t="str">
        <v>Fundamentals of Data Science</v>
      </c>
      <c r="D527" s="196" t="n">
        <v>147</v>
      </c>
      <c r="E527" s="196" t="s">
        <v>172</v>
      </c>
      <c r="F527" s="196" t="s">
        <v>460</v>
      </c>
    </row>
    <row r="528" customFormat="false" ht="14.25" hidden="false" customHeight="false" outlineLevel="0" collapsed="false">
      <c r="A528" s="196" t="str">
        <f aca="false">CONCATENATE(F528,",",E528)</f>
        <v>TE 254,ED2-TEL</v>
      </c>
      <c r="B528" s="196" t="s">
        <v>1359</v>
      </c>
      <c r="C528" s="196" t="str">
        <v>Electromagnetic Field Theory</v>
      </c>
      <c r="D528" s="196" t="n">
        <v>147</v>
      </c>
      <c r="E528" s="196" t="s">
        <v>172</v>
      </c>
      <c r="F528" s="196" t="s">
        <v>235</v>
      </c>
    </row>
    <row r="529" customFormat="false" ht="14.25" hidden="false" customHeight="false" outlineLevel="0" collapsed="false">
      <c r="A529" s="196" t="str">
        <f aca="false">CONCATENATE(F529,",",E529)</f>
        <v>TE 256,ED2-TEL</v>
      </c>
      <c r="B529" s="196" t="s">
        <v>1360</v>
      </c>
      <c r="C529" s="196" t="str">
        <v>Communication Circuits</v>
      </c>
      <c r="D529" s="196" t="n">
        <v>147</v>
      </c>
      <c r="E529" s="196" t="s">
        <v>172</v>
      </c>
      <c r="F529" s="196" t="s">
        <v>171</v>
      </c>
    </row>
    <row r="530" customFormat="false" ht="14.25" hidden="false" customHeight="false" outlineLevel="0" collapsed="false">
      <c r="A530" s="196" t="str">
        <f aca="false">CONCATENATE(F530,",",E530)</f>
        <v>TE 258,ED2-TEL</v>
      </c>
      <c r="B530" s="196" t="s">
        <v>1361</v>
      </c>
      <c r="C530" s="196" t="str">
        <v>Microprocessors</v>
      </c>
      <c r="D530" s="196" t="n">
        <v>147</v>
      </c>
      <c r="E530" s="196" t="s">
        <v>172</v>
      </c>
      <c r="F530" s="196" t="s">
        <v>352</v>
      </c>
    </row>
    <row r="531" customFormat="false" ht="14.25" hidden="false" customHeight="false" outlineLevel="0" collapsed="false">
      <c r="A531" s="196" t="str">
        <f aca="false">CONCATENATE(F531,",",E531)</f>
        <v>TE 292,ED2-TEL</v>
      </c>
      <c r="B531" s="196" t="s">
        <v>1362</v>
      </c>
      <c r="C531" s="196" t="str">
        <v>Digital Electronics &amp; Microprocessor Lab </v>
      </c>
      <c r="D531" s="196" t="n">
        <v>147</v>
      </c>
      <c r="E531" s="196" t="s">
        <v>172</v>
      </c>
      <c r="F531" s="196" t="s">
        <v>1363</v>
      </c>
    </row>
    <row r="532" customFormat="false" ht="14.25" hidden="false" customHeight="false" outlineLevel="0" collapsed="false">
      <c r="A532" s="196" t="str">
        <f aca="false">CONCATENATE(F532,",",E532)</f>
        <v>TE 374,ED3-TEL</v>
      </c>
      <c r="B532" s="196" t="s">
        <v>1364</v>
      </c>
      <c r="C532" s="196" t="str">
        <v>COMPUTER NETWORKING</v>
      </c>
      <c r="D532" s="196" t="n">
        <v>142</v>
      </c>
      <c r="E532" s="196" t="s">
        <v>119</v>
      </c>
      <c r="F532" s="196" t="s">
        <v>391</v>
      </c>
    </row>
    <row r="533" customFormat="false" ht="14.25" hidden="false" customHeight="false" outlineLevel="0" collapsed="false">
      <c r="A533" s="196" t="str">
        <f aca="false">CONCATENATE(F533,",",E533)</f>
        <v>TE 354,ED3-TEL</v>
      </c>
      <c r="B533" s="196" t="s">
        <v>1360</v>
      </c>
      <c r="C533" s="196" t="str">
        <v>ANTENNA THEORY AND DESIGN</v>
      </c>
      <c r="D533" s="196" t="n">
        <v>142</v>
      </c>
      <c r="E533" s="196" t="s">
        <v>119</v>
      </c>
      <c r="F533" s="196" t="s">
        <v>339</v>
      </c>
    </row>
    <row r="534" customFormat="false" ht="14.25" hidden="false" customHeight="false" outlineLevel="0" collapsed="false">
      <c r="A534" s="196" t="str">
        <f aca="false">CONCATENATE(F534,",",E534)</f>
        <v>TE 372,ED3-TEL</v>
      </c>
      <c r="B534" s="196" t="s">
        <v>1365</v>
      </c>
      <c r="C534" s="196" t="str">
        <v>ENGINEERING PROJECT DESIGN AND MANAGEMENT</v>
      </c>
      <c r="D534" s="196" t="n">
        <v>142</v>
      </c>
      <c r="E534" s="196" t="s">
        <v>119</v>
      </c>
      <c r="F534" s="196" t="s">
        <v>308</v>
      </c>
    </row>
    <row r="535" customFormat="false" ht="14.25" hidden="false" customHeight="false" outlineLevel="0" collapsed="false">
      <c r="A535" s="196" t="str">
        <f aca="false">CONCATENATE(F535,",",E535)</f>
        <v>TE 352,ED3-TEL</v>
      </c>
      <c r="B535" s="196" t="s">
        <v>1366</v>
      </c>
      <c r="C535" s="196" t="str">
        <v>Data Communication Principles</v>
      </c>
      <c r="D535" s="196" t="n">
        <v>142</v>
      </c>
      <c r="E535" s="196" t="s">
        <v>119</v>
      </c>
      <c r="F535" s="196" t="s">
        <v>187</v>
      </c>
    </row>
    <row r="536" customFormat="false" ht="14.25" hidden="false" customHeight="false" outlineLevel="0" collapsed="false">
      <c r="A536" s="196" t="str">
        <f aca="false">CONCATENATE(F536,",",E536)</f>
        <v>TE 356,ED3-TEL</v>
      </c>
      <c r="B536" s="196" t="s">
        <v>1367</v>
      </c>
      <c r="C536" s="196" t="str">
        <v>Switching Engineering In Communication</v>
      </c>
      <c r="D536" s="196" t="n">
        <v>142</v>
      </c>
      <c r="E536" s="196" t="s">
        <v>119</v>
      </c>
      <c r="F536" s="196" t="s">
        <v>118</v>
      </c>
    </row>
    <row r="537" customFormat="false" ht="14.25" hidden="false" customHeight="false" outlineLevel="0" collapsed="false">
      <c r="A537" s="196" t="str">
        <f aca="false">CONCATENATE(F537,",",E537)</f>
        <v>TE 386,ED3-TEL</v>
      </c>
      <c r="B537" s="196" t="s">
        <v>1368</v>
      </c>
      <c r="C537" s="196" t="e">
        <v>#N/A</v>
      </c>
      <c r="D537" s="196" t="n">
        <v>142</v>
      </c>
      <c r="E537" s="196" t="s">
        <v>119</v>
      </c>
      <c r="F537" s="196" t="s">
        <v>465</v>
      </c>
    </row>
    <row r="538" customFormat="false" ht="14.25" hidden="false" customHeight="false" outlineLevel="0" collapsed="false">
      <c r="A538" s="196" t="str">
        <f aca="false">CONCATENATE(F538,",",E538)</f>
        <v>TE 358,ED3-TEL</v>
      </c>
      <c r="B538" s="196" t="s">
        <v>1368</v>
      </c>
      <c r="C538" s="196" t="str">
        <v>Digital Communication Systems</v>
      </c>
      <c r="D538" s="196" t="n">
        <v>142</v>
      </c>
      <c r="E538" s="196" t="s">
        <v>119</v>
      </c>
      <c r="F538" s="196" t="s">
        <v>464</v>
      </c>
    </row>
    <row r="539" customFormat="false" ht="14.25" hidden="false" customHeight="false" outlineLevel="0" collapsed="false">
      <c r="A539" s="196" t="str">
        <f aca="false">CONCATENATE(F539,",",E539)</f>
        <v>TE 392,ED3-TEL</v>
      </c>
      <c r="B539" s="196" t="s">
        <v>1369</v>
      </c>
      <c r="C539" s="196" t="str">
        <v>Telecommunication Lab IV</v>
      </c>
      <c r="D539" s="196" t="n">
        <v>142</v>
      </c>
      <c r="E539" s="196" t="s">
        <v>119</v>
      </c>
      <c r="F539" s="196" t="s">
        <v>1370</v>
      </c>
    </row>
    <row r="540" customFormat="false" ht="14.25" hidden="false" customHeight="false" outlineLevel="0" collapsed="false">
      <c r="A540" s="196" t="str">
        <f aca="false">CONCATENATE(F540,",",E540)</f>
        <v>EE 472,ED4-TEL</v>
      </c>
      <c r="B540" s="196" t="s">
        <v>1094</v>
      </c>
      <c r="C540" s="196" t="str">
        <v>Digital Signal Processing</v>
      </c>
      <c r="D540" s="196" t="n">
        <v>141</v>
      </c>
      <c r="E540" s="196" t="s">
        <v>227</v>
      </c>
      <c r="F540" s="196" t="s">
        <v>307</v>
      </c>
    </row>
    <row r="541" customFormat="false" ht="14.25" hidden="false" customHeight="false" outlineLevel="0" collapsed="false">
      <c r="A541" s="196" t="str">
        <f aca="false">CONCATENATE(F541,",",E541)</f>
        <v>ME 492,ED4-TEL</v>
      </c>
      <c r="B541" s="196" t="s">
        <v>1015</v>
      </c>
      <c r="C541" s="196" t="str">
        <v>Management And Entrepreneurship Development</v>
      </c>
      <c r="D541" s="196" t="n">
        <v>141</v>
      </c>
      <c r="E541" s="196" t="s">
        <v>227</v>
      </c>
      <c r="F541" s="196" t="s">
        <v>373</v>
      </c>
    </row>
    <row r="542" customFormat="false" ht="14.25" hidden="false" customHeight="false" outlineLevel="0" collapsed="false">
      <c r="A542" s="196" t="str">
        <f aca="false">CONCATENATE(F542,",",E542)</f>
        <v>TE 462,ED4-TEL</v>
      </c>
      <c r="B542" s="196" t="s">
        <v>1371</v>
      </c>
      <c r="C542" s="196" t="str">
        <v>Telecommunication Policy</v>
      </c>
      <c r="D542" s="196" t="n">
        <v>141</v>
      </c>
      <c r="E542" s="196" t="s">
        <v>227</v>
      </c>
      <c r="F542" s="196" t="s">
        <v>1372</v>
      </c>
    </row>
    <row r="543" customFormat="false" ht="14.25" hidden="false" customHeight="false" outlineLevel="0" collapsed="false">
      <c r="A543" s="196" t="str">
        <f aca="false">CONCATENATE(F543,",",E543)</f>
        <v>TE 472,ED4-TEL</v>
      </c>
      <c r="B543" s="196" t="s">
        <v>1373</v>
      </c>
      <c r="C543" s="196" t="str">
        <v>Mobile And Satellite Communication System</v>
      </c>
      <c r="D543" s="196" t="n">
        <v>141</v>
      </c>
      <c r="E543" s="196" t="s">
        <v>227</v>
      </c>
      <c r="F543" s="196" t="s">
        <v>306</v>
      </c>
    </row>
    <row r="544" customFormat="false" ht="14.25" hidden="false" customHeight="false" outlineLevel="0" collapsed="false">
      <c r="A544" s="196" t="str">
        <f aca="false">CONCATENATE(F544,",",E544)</f>
        <v>TE 474,ED4-TEL</v>
      </c>
      <c r="B544" s="196" t="s">
        <v>1374</v>
      </c>
      <c r="C544" s="196" t="str">
        <v>Microwave Engineering</v>
      </c>
      <c r="D544" s="196" t="n">
        <v>141</v>
      </c>
      <c r="E544" s="196" t="s">
        <v>227</v>
      </c>
      <c r="F544" s="196" t="s">
        <v>1375</v>
      </c>
    </row>
    <row r="545" customFormat="false" ht="14.25" hidden="false" customHeight="false" outlineLevel="0" collapsed="false">
      <c r="A545" s="196" t="str">
        <f aca="false">CONCATENATE(F545,",",E545)</f>
        <v>TE 484,ED4-TEL</v>
      </c>
      <c r="B545" s="196" t="s">
        <v>1376</v>
      </c>
      <c r="C545" s="196" t="str">
        <v>Network Planning</v>
      </c>
      <c r="D545" s="196" t="n">
        <v>141</v>
      </c>
      <c r="E545" s="196" t="s">
        <v>227</v>
      </c>
      <c r="F545" s="196" t="s">
        <v>1377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8"/>
  <sheetViews>
    <sheetView showFormulas="false" showGridLines="true" showRowColHeaders="true" showZeros="true" rightToLeft="false" tabSelected="false" showOutlineSymbols="true" defaultGridColor="true" view="normal" topLeftCell="A19" colorId="64" zoomScale="130" zoomScaleNormal="130" zoomScalePageLayoutView="100" workbookViewId="0">
      <selection pane="topLeft" activeCell="A340" activeCellId="0" sqref="A340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205" width="28.13"/>
    <col collapsed="false" customWidth="true" hidden="false" outlineLevel="0" max="2" min="2" style="205" width="40.87"/>
    <col collapsed="false" customWidth="true" hidden="false" outlineLevel="0" max="3" min="3" style="205" width="34"/>
    <col collapsed="false" customWidth="true" hidden="false" outlineLevel="0" max="4" min="4" style="205" width="19.75"/>
    <col collapsed="false" customWidth="true" hidden="false" outlineLevel="0" max="5" min="5" style="205" width="14.5"/>
  </cols>
  <sheetData>
    <row r="1" customFormat="false" ht="14.25" hidden="false" customHeight="false" outlineLevel="0" collapsed="false">
      <c r="A1" s="214" t="str">
        <f aca="false">CONCATENATE(E1,",",D1)</f>
        <v>ACF 256,ED2-BME</v>
      </c>
      <c r="B1" s="215" t="s">
        <v>1378</v>
      </c>
      <c r="C1" s="214" t="s">
        <v>1379</v>
      </c>
      <c r="D1" s="216" t="s">
        <v>109</v>
      </c>
      <c r="E1" s="214" t="s">
        <v>424</v>
      </c>
    </row>
    <row r="2" customFormat="false" ht="14.25" hidden="false" customHeight="false" outlineLevel="0" collapsed="false">
      <c r="A2" s="214" t="str">
        <f aca="false">CONCATENATE(E2,",",D2)</f>
        <v>ACF 256,ED2-COE</v>
      </c>
      <c r="B2" s="215" t="s">
        <v>1378</v>
      </c>
      <c r="C2" s="214" t="s">
        <v>1379</v>
      </c>
      <c r="D2" s="216" t="s">
        <v>108</v>
      </c>
      <c r="E2" s="214" t="s">
        <v>424</v>
      </c>
    </row>
    <row r="3" customFormat="false" ht="14.25" hidden="false" customHeight="false" outlineLevel="0" collapsed="false">
      <c r="A3" s="214" t="str">
        <f aca="false">CONCATENATE(E3,",",D3)</f>
        <v>ACF 256,ED2-TEL</v>
      </c>
      <c r="B3" s="215" t="s">
        <v>1378</v>
      </c>
      <c r="C3" s="214" t="s">
        <v>1379</v>
      </c>
      <c r="D3" s="216" t="s">
        <v>172</v>
      </c>
      <c r="E3" s="214" t="s">
        <v>424</v>
      </c>
    </row>
    <row r="4" s="220" customFormat="true" ht="15" hidden="false" customHeight="true" outlineLevel="0" collapsed="false">
      <c r="A4" s="214" t="str">
        <f aca="false">CONCATENATE(E4,",",D4)</f>
        <v>AE 158,ED1-AE</v>
      </c>
      <c r="B4" s="217" t="s">
        <v>1380</v>
      </c>
      <c r="C4" s="218" t="s">
        <v>1381</v>
      </c>
      <c r="D4" s="219" t="s">
        <v>131</v>
      </c>
      <c r="E4" s="218" t="s">
        <v>314</v>
      </c>
    </row>
    <row r="5" s="220" customFormat="true" ht="14.25" hidden="false" customHeight="false" outlineLevel="0" collapsed="false">
      <c r="A5" s="214" t="str">
        <f aca="false">CONCATENATE(E5,",",D5)</f>
        <v>AE 162,ED1-AE</v>
      </c>
      <c r="B5" s="217" t="s">
        <v>1382</v>
      </c>
      <c r="C5" s="218" t="s">
        <v>1381</v>
      </c>
      <c r="D5" s="219" t="s">
        <v>131</v>
      </c>
      <c r="E5" s="218" t="s">
        <v>242</v>
      </c>
    </row>
    <row r="6" s="220" customFormat="true" ht="14.25" hidden="false" customHeight="false" outlineLevel="0" collapsed="false">
      <c r="A6" s="214" t="str">
        <f aca="false">CONCATENATE(E6,",",D6)</f>
        <v>AE 196,ED1-AE</v>
      </c>
      <c r="B6" s="217" t="s">
        <v>1383</v>
      </c>
      <c r="C6" s="218" t="s">
        <v>1384</v>
      </c>
      <c r="D6" s="219" t="s">
        <v>131</v>
      </c>
      <c r="E6" s="218" t="s">
        <v>454</v>
      </c>
    </row>
    <row r="7" s="220" customFormat="true" ht="14.25" hidden="false" customHeight="false" outlineLevel="0" collapsed="false">
      <c r="A7" s="214" t="str">
        <f aca="false">CONCATENATE(E7,",",D7)</f>
        <v>AE 352,ED3-AE</v>
      </c>
      <c r="B7" s="217" t="s">
        <v>1385</v>
      </c>
      <c r="C7" s="218" t="s">
        <v>1386</v>
      </c>
      <c r="D7" s="219" t="s">
        <v>88</v>
      </c>
      <c r="E7" s="218" t="s">
        <v>455</v>
      </c>
    </row>
    <row r="8" s="220" customFormat="true" ht="14.25" hidden="false" customHeight="false" outlineLevel="0" collapsed="false">
      <c r="A8" s="214" t="str">
        <f aca="false">CONCATENATE(E8,",",D8)</f>
        <v>AE 356,ED3-AE</v>
      </c>
      <c r="B8" s="217" t="s">
        <v>1387</v>
      </c>
      <c r="C8" s="218" t="s">
        <v>1388</v>
      </c>
      <c r="D8" s="219" t="s">
        <v>88</v>
      </c>
      <c r="E8" s="218" t="s">
        <v>303</v>
      </c>
    </row>
    <row r="9" s="220" customFormat="true" ht="14.25" hidden="false" customHeight="false" outlineLevel="0" collapsed="false">
      <c r="A9" s="214" t="str">
        <f aca="false">CONCATENATE(E9,",",D9)</f>
        <v>AE 358,ED3-AE</v>
      </c>
      <c r="B9" s="217" t="s">
        <v>1389</v>
      </c>
      <c r="C9" s="218" t="s">
        <v>1390</v>
      </c>
      <c r="D9" s="219" t="s">
        <v>88</v>
      </c>
      <c r="E9" s="218" t="s">
        <v>87</v>
      </c>
    </row>
    <row r="10" s="220" customFormat="true" ht="14.25" hidden="false" customHeight="false" outlineLevel="0" collapsed="false">
      <c r="A10" s="214" t="str">
        <f aca="false">CONCATENATE(E10,",",D10)</f>
        <v>AE 360,ED3-AE</v>
      </c>
      <c r="B10" s="217" t="s">
        <v>1391</v>
      </c>
      <c r="C10" s="218" t="s">
        <v>1392</v>
      </c>
      <c r="D10" s="219" t="s">
        <v>88</v>
      </c>
      <c r="E10" s="218" t="s">
        <v>220</v>
      </c>
    </row>
    <row r="11" s="220" customFormat="true" ht="14.25" hidden="false" customHeight="false" outlineLevel="0" collapsed="false">
      <c r="A11" s="214" t="str">
        <f aca="false">CONCATENATE(E11,",",D11)</f>
        <v>AE 362,ED3-AE</v>
      </c>
      <c r="B11" s="217" t="s">
        <v>1393</v>
      </c>
      <c r="C11" s="218" t="s">
        <v>1394</v>
      </c>
      <c r="D11" s="219" t="s">
        <v>88</v>
      </c>
      <c r="E11" s="218" t="s">
        <v>498</v>
      </c>
    </row>
    <row r="12" s="220" customFormat="true" ht="14.25" hidden="false" customHeight="false" outlineLevel="0" collapsed="false">
      <c r="A12" s="214" t="str">
        <f aca="false">CONCATENATE(E12,",",D12)</f>
        <v>AE 452,ED4-AE</v>
      </c>
      <c r="B12" s="217" t="s">
        <v>1395</v>
      </c>
      <c r="C12" s="218" t="s">
        <v>1396</v>
      </c>
      <c r="D12" s="219" t="s">
        <v>50</v>
      </c>
      <c r="E12" s="218" t="s">
        <v>213</v>
      </c>
    </row>
    <row r="13" s="220" customFormat="true" ht="14.25" hidden="false" customHeight="false" outlineLevel="0" collapsed="false">
      <c r="A13" s="214" t="str">
        <f aca="false">CONCATENATE(E13,",",D13)</f>
        <v>AE 458,ED4-AE</v>
      </c>
      <c r="B13" s="217" t="s">
        <v>1397</v>
      </c>
      <c r="C13" s="218" t="s">
        <v>1398</v>
      </c>
      <c r="D13" s="219" t="s">
        <v>50</v>
      </c>
      <c r="E13" s="218" t="s">
        <v>49</v>
      </c>
    </row>
    <row r="14" s="220" customFormat="true" ht="14.25" hidden="false" customHeight="false" outlineLevel="0" collapsed="false">
      <c r="A14" s="214" t="str">
        <f aca="false">CONCATENATE(E14,",",D14)</f>
        <v>AE 460,ED4-AE</v>
      </c>
      <c r="B14" s="217" t="s">
        <v>1399</v>
      </c>
      <c r="C14" s="218" t="s">
        <v>1400</v>
      </c>
      <c r="D14" s="219" t="s">
        <v>50</v>
      </c>
      <c r="E14" s="218" t="s">
        <v>325</v>
      </c>
    </row>
    <row r="15" s="220" customFormat="true" ht="14.25" hidden="false" customHeight="false" outlineLevel="0" collapsed="false">
      <c r="A15" s="214" t="str">
        <f aca="false">CONCATENATE(E15,",",D15)</f>
        <v>AE 464,ED4-AE</v>
      </c>
      <c r="B15" s="217" t="s">
        <v>1401</v>
      </c>
      <c r="C15" s="218" t="s">
        <v>1402</v>
      </c>
      <c r="D15" s="219" t="s">
        <v>50</v>
      </c>
      <c r="E15" s="218" t="s">
        <v>477</v>
      </c>
    </row>
    <row r="16" s="220" customFormat="true" ht="14.25" hidden="false" customHeight="false" outlineLevel="0" collapsed="false">
      <c r="A16" s="214" t="str">
        <f aca="false">CONCATENATE(E16,",",D16)</f>
        <v>AE 482,ED4-AE</v>
      </c>
      <c r="B16" s="217" t="s">
        <v>1403</v>
      </c>
      <c r="C16" s="218" t="s">
        <v>1404</v>
      </c>
      <c r="D16" s="219" t="s">
        <v>50</v>
      </c>
      <c r="E16" s="218" t="s">
        <v>429</v>
      </c>
    </row>
    <row r="17" s="220" customFormat="true" ht="14.25" hidden="false" customHeight="false" outlineLevel="0" collapsed="false">
      <c r="A17" s="214" t="str">
        <f aca="false">CONCATENATE(E17,",",D17)</f>
        <v>AERO 174,ED1-AERO</v>
      </c>
      <c r="B17" s="217" t="s">
        <v>1405</v>
      </c>
      <c r="C17" s="218" t="s">
        <v>1406</v>
      </c>
      <c r="D17" s="219" t="s">
        <v>191</v>
      </c>
      <c r="E17" s="218" t="s">
        <v>483</v>
      </c>
    </row>
    <row r="18" s="220" customFormat="true" ht="14.25" hidden="false" customHeight="false" outlineLevel="0" collapsed="false">
      <c r="A18" s="214" t="str">
        <f aca="false">CONCATENATE(E18,",",D18)</f>
        <v>AERO 256,ED2-AERO</v>
      </c>
      <c r="B18" s="217" t="s">
        <v>1407</v>
      </c>
      <c r="C18" s="218" t="s">
        <v>1408</v>
      </c>
      <c r="D18" s="219" t="s">
        <v>36</v>
      </c>
      <c r="E18" s="218" t="s">
        <v>356</v>
      </c>
    </row>
    <row r="19" s="220" customFormat="true" ht="14.25" hidden="false" customHeight="false" outlineLevel="0" collapsed="false">
      <c r="A19" s="214" t="str">
        <f aca="false">CONCATENATE(E19,",",D19)</f>
        <v>AERO 274,ED2-AERO</v>
      </c>
      <c r="B19" s="217" t="s">
        <v>1409</v>
      </c>
      <c r="C19" s="218" t="s">
        <v>1410</v>
      </c>
      <c r="D19" s="219" t="s">
        <v>36</v>
      </c>
      <c r="E19" s="218" t="s">
        <v>35</v>
      </c>
    </row>
    <row r="20" s="220" customFormat="true" ht="14.25" hidden="false" customHeight="false" outlineLevel="0" collapsed="false">
      <c r="A20" s="214" t="str">
        <f aca="false">CONCATENATE(E20,",",D20)</f>
        <v>AERO 362,ED3-AERO</v>
      </c>
      <c r="B20" s="217" t="s">
        <v>1411</v>
      </c>
      <c r="C20" s="218" t="s">
        <v>1412</v>
      </c>
      <c r="D20" s="219" t="s">
        <v>133</v>
      </c>
      <c r="E20" s="218" t="s">
        <v>277</v>
      </c>
    </row>
    <row r="21" s="220" customFormat="true" ht="14.25" hidden="false" customHeight="false" outlineLevel="0" collapsed="false">
      <c r="A21" s="214" t="str">
        <f aca="false">CONCATENATE(E21,",",D21)</f>
        <v>AERO 368,ED3-AERO</v>
      </c>
      <c r="B21" s="217" t="s">
        <v>1413</v>
      </c>
      <c r="C21" s="218" t="s">
        <v>1414</v>
      </c>
      <c r="D21" s="219" t="s">
        <v>133</v>
      </c>
      <c r="E21" s="218" t="s">
        <v>192</v>
      </c>
    </row>
    <row r="22" s="220" customFormat="true" ht="14.25" hidden="false" customHeight="false" outlineLevel="0" collapsed="false">
      <c r="A22" s="214" t="str">
        <f aca="false">CONCATENATE(E22,",",D22)</f>
        <v>AERO 374,ED3-AERO</v>
      </c>
      <c r="B22" s="217" t="s">
        <v>1415</v>
      </c>
      <c r="C22" s="218" t="s">
        <v>1408</v>
      </c>
      <c r="D22" s="219" t="s">
        <v>133</v>
      </c>
      <c r="E22" s="218" t="s">
        <v>436</v>
      </c>
    </row>
    <row r="23" s="220" customFormat="true" ht="14.25" hidden="false" customHeight="false" outlineLevel="0" collapsed="false">
      <c r="A23" s="214" t="str">
        <f aca="false">CONCATENATE(E23,",",D23)</f>
        <v>AERO 396,ED3-AERO</v>
      </c>
      <c r="B23" s="217" t="s">
        <v>1416</v>
      </c>
      <c r="C23" s="218" t="s">
        <v>1417</v>
      </c>
      <c r="D23" s="219" t="s">
        <v>133</v>
      </c>
      <c r="E23" s="218" t="s">
        <v>132</v>
      </c>
    </row>
    <row r="24" s="220" customFormat="true" ht="14.25" hidden="false" customHeight="false" outlineLevel="0" collapsed="false">
      <c r="A24" s="214" t="str">
        <f aca="false">CONCATENATE(E24,",",D24)</f>
        <v>AERO 452,ED4-AERO</v>
      </c>
      <c r="B24" s="217" t="s">
        <v>1418</v>
      </c>
      <c r="C24" s="218" t="s">
        <v>1414</v>
      </c>
      <c r="D24" s="219" t="s">
        <v>99</v>
      </c>
      <c r="E24" s="218" t="s">
        <v>526</v>
      </c>
    </row>
    <row r="25" s="220" customFormat="true" ht="14.25" hidden="false" customHeight="false" outlineLevel="0" collapsed="false">
      <c r="A25" s="214" t="str">
        <f aca="false">CONCATENATE(E25,",",D25)</f>
        <v>AERO 456,ED4-AERO</v>
      </c>
      <c r="B25" s="217" t="s">
        <v>1419</v>
      </c>
      <c r="C25" s="218" t="s">
        <v>1420</v>
      </c>
      <c r="D25" s="219" t="s">
        <v>99</v>
      </c>
      <c r="E25" s="218" t="s">
        <v>98</v>
      </c>
    </row>
    <row r="26" s="220" customFormat="true" ht="14.25" hidden="false" customHeight="false" outlineLevel="0" collapsed="false">
      <c r="A26" s="214" t="str">
        <f aca="false">CONCATENATE(E26,",",D26)</f>
        <v>AERO 492,ED4-AERO</v>
      </c>
      <c r="B26" s="217" t="s">
        <v>1421</v>
      </c>
      <c r="C26" s="218" t="s">
        <v>1422</v>
      </c>
      <c r="D26" s="219" t="s">
        <v>99</v>
      </c>
      <c r="E26" s="218" t="s">
        <v>472</v>
      </c>
    </row>
    <row r="27" s="220" customFormat="true" ht="14.25" hidden="false" customHeight="false" outlineLevel="0" collapsed="false">
      <c r="A27" s="214" t="str">
        <f aca="false">CONCATENATE(E27,",",D27)</f>
        <v>AME 274,ED2-AUTO</v>
      </c>
      <c r="B27" s="217" t="s">
        <v>1423</v>
      </c>
      <c r="C27" s="218" t="s">
        <v>1406</v>
      </c>
      <c r="D27" s="219" t="s">
        <v>40</v>
      </c>
      <c r="E27" s="218" t="s">
        <v>39</v>
      </c>
    </row>
    <row r="28" s="220" customFormat="true" ht="14.25" hidden="false" customHeight="false" outlineLevel="0" collapsed="false">
      <c r="A28" s="214" t="str">
        <f aca="false">CONCATENATE(E28,",",D28)</f>
        <v>AME 284,ED2-AUTO</v>
      </c>
      <c r="B28" s="217" t="s">
        <v>1424</v>
      </c>
      <c r="C28" s="218" t="s">
        <v>1425</v>
      </c>
      <c r="D28" s="219" t="s">
        <v>40</v>
      </c>
      <c r="E28" s="218" t="s">
        <v>1047</v>
      </c>
    </row>
    <row r="29" s="220" customFormat="true" ht="14.25" hidden="false" customHeight="false" outlineLevel="0" collapsed="false">
      <c r="A29" s="214" t="str">
        <f aca="false">CONCATENATE(E29,",",D29)</f>
        <v>AME 296,ED2-AUTO</v>
      </c>
      <c r="B29" s="217" t="s">
        <v>1426</v>
      </c>
      <c r="C29" s="218" t="s">
        <v>1425</v>
      </c>
      <c r="D29" s="219" t="s">
        <v>40</v>
      </c>
      <c r="E29" s="218" t="s">
        <v>1049</v>
      </c>
    </row>
    <row r="30" s="220" customFormat="true" ht="14.25" hidden="false" customHeight="false" outlineLevel="0" collapsed="false">
      <c r="A30" s="214" t="str">
        <f aca="false">CONCATENATE(E30,",",D30)</f>
        <v>AME 356,ED3-AUTO</v>
      </c>
      <c r="B30" s="217" t="s">
        <v>1427</v>
      </c>
      <c r="C30" s="218" t="s">
        <v>1425</v>
      </c>
      <c r="D30" s="219" t="s">
        <v>23</v>
      </c>
      <c r="E30" s="218" t="s">
        <v>316</v>
      </c>
    </row>
    <row r="31" s="220" customFormat="true" ht="14.25" hidden="false" customHeight="false" outlineLevel="0" collapsed="false">
      <c r="A31" s="214" t="str">
        <f aca="false">CONCATENATE(E31,",",D31)</f>
        <v>AME 362,ED3-AUTO</v>
      </c>
      <c r="B31" s="217" t="s">
        <v>1428</v>
      </c>
      <c r="C31" s="218" t="s">
        <v>1429</v>
      </c>
      <c r="D31" s="219" t="s">
        <v>23</v>
      </c>
      <c r="E31" s="218" t="s">
        <v>521</v>
      </c>
    </row>
    <row r="32" s="220" customFormat="true" ht="14.25" hidden="false" customHeight="false" outlineLevel="0" collapsed="false">
      <c r="A32" s="214" t="str">
        <f aca="false">CONCATENATE(E32,",",D32)</f>
        <v>AME 368,ED3-AUTO</v>
      </c>
      <c r="B32" s="217" t="s">
        <v>1430</v>
      </c>
      <c r="C32" s="218" t="s">
        <v>1431</v>
      </c>
      <c r="D32" s="219" t="s">
        <v>23</v>
      </c>
      <c r="E32" s="218" t="s">
        <v>165</v>
      </c>
    </row>
    <row r="33" s="220" customFormat="true" ht="14.25" hidden="false" customHeight="false" outlineLevel="0" collapsed="false">
      <c r="A33" s="214" t="str">
        <f aca="false">CONCATENATE(E33,",",D33)</f>
        <v>AME 376,ED3-AUTO</v>
      </c>
      <c r="B33" s="217" t="s">
        <v>1432</v>
      </c>
      <c r="C33" s="218" t="s">
        <v>1425</v>
      </c>
      <c r="D33" s="219" t="s">
        <v>23</v>
      </c>
      <c r="E33" s="218" t="s">
        <v>22</v>
      </c>
    </row>
    <row r="34" s="220" customFormat="true" ht="14.25" hidden="false" customHeight="false" outlineLevel="0" collapsed="false">
      <c r="A34" s="214" t="str">
        <f aca="false">CONCATENATE(E34,",",D34)</f>
        <v>AME 386,ED3-AUTO</v>
      </c>
      <c r="B34" s="217" t="s">
        <v>1433</v>
      </c>
      <c r="C34" s="218" t="s">
        <v>1431</v>
      </c>
      <c r="D34" s="219" t="s">
        <v>23</v>
      </c>
      <c r="E34" s="218" t="s">
        <v>443</v>
      </c>
    </row>
    <row r="35" s="220" customFormat="true" ht="14.25" hidden="false" customHeight="false" outlineLevel="0" collapsed="false">
      <c r="A35" s="214" t="str">
        <f aca="false">CONCATENATE(E35,",",D35)</f>
        <v>AME 392,ED3-AUTO</v>
      </c>
      <c r="B35" s="217" t="s">
        <v>1434</v>
      </c>
      <c r="C35" s="218" t="s">
        <v>1435</v>
      </c>
      <c r="D35" s="219" t="s">
        <v>23</v>
      </c>
      <c r="E35" s="218" t="s">
        <v>241</v>
      </c>
    </row>
    <row r="36" s="220" customFormat="true" ht="15" hidden="false" customHeight="true" outlineLevel="0" collapsed="false">
      <c r="A36" s="214" t="str">
        <f aca="false">CONCATENATE(E36,",",D36)</f>
        <v>AME 396,ED3-AUTO</v>
      </c>
      <c r="B36" s="217" t="s">
        <v>1436</v>
      </c>
      <c r="C36" s="218" t="s">
        <v>1425</v>
      </c>
      <c r="D36" s="219" t="s">
        <v>23</v>
      </c>
      <c r="E36" s="218" t="s">
        <v>1059</v>
      </c>
    </row>
    <row r="37" s="220" customFormat="true" ht="14.25" hidden="false" customHeight="false" outlineLevel="0" collapsed="false">
      <c r="A37" s="214" t="str">
        <f aca="false">CONCATENATE(E37,",",D37)</f>
        <v>AME 384,ED3-AUTO</v>
      </c>
      <c r="B37" s="217" t="s">
        <v>1437</v>
      </c>
      <c r="C37" s="218" t="s">
        <v>1438</v>
      </c>
      <c r="D37" s="219" t="s">
        <v>23</v>
      </c>
      <c r="E37" s="218" t="s">
        <v>279</v>
      </c>
    </row>
    <row r="38" s="220" customFormat="true" ht="14.25" hidden="false" customHeight="false" outlineLevel="0" collapsed="false">
      <c r="A38" s="214" t="str">
        <f aca="false">CONCATENATE(E38,",",D38)</f>
        <v>AME 476,ED4-AUTO</v>
      </c>
      <c r="B38" s="217" t="s">
        <v>1439</v>
      </c>
      <c r="C38" s="218" t="s">
        <v>1425</v>
      </c>
      <c r="D38" s="219" t="s">
        <v>97</v>
      </c>
      <c r="E38" s="218" t="s">
        <v>257</v>
      </c>
    </row>
    <row r="39" s="220" customFormat="true" ht="14.25" hidden="false" customHeight="false" outlineLevel="0" collapsed="false">
      <c r="A39" s="214" t="str">
        <f aca="false">CONCATENATE(E39,",",D39)</f>
        <v>AME 482,ED4-AUTO</v>
      </c>
      <c r="B39" s="217" t="s">
        <v>1440</v>
      </c>
      <c r="C39" s="218" t="s">
        <v>1425</v>
      </c>
      <c r="D39" s="219" t="s">
        <v>97</v>
      </c>
      <c r="E39" s="218" t="s">
        <v>96</v>
      </c>
    </row>
    <row r="40" s="220" customFormat="true" ht="14.25" hidden="false" customHeight="false" outlineLevel="0" collapsed="false">
      <c r="A40" s="214" t="str">
        <f aca="false">CONCATENATE(E40,",",D40)</f>
        <v>AME 496,ED4-AUTO</v>
      </c>
      <c r="B40" s="217" t="s">
        <v>1441</v>
      </c>
      <c r="C40" s="218" t="s">
        <v>1431</v>
      </c>
      <c r="D40" s="219" t="s">
        <v>97</v>
      </c>
      <c r="E40" s="218" t="s">
        <v>446</v>
      </c>
    </row>
    <row r="41" customFormat="false" ht="14.25" hidden="false" customHeight="false" outlineLevel="0" collapsed="false">
      <c r="A41" s="214" t="str">
        <f aca="false">CONCATENATE(E41,",",D41)</f>
        <v>ARC 156,ED1-CE</v>
      </c>
      <c r="B41" s="217" t="s">
        <v>1442</v>
      </c>
      <c r="C41" s="218" t="s">
        <v>1443</v>
      </c>
      <c r="D41" s="219" t="s">
        <v>75</v>
      </c>
      <c r="E41" s="218" t="s">
        <v>89</v>
      </c>
    </row>
    <row r="42" s="220" customFormat="true" ht="14.25" hidden="false" customHeight="false" outlineLevel="0" collapsed="false">
      <c r="A42" s="214" t="str">
        <f aca="false">CONCATENATE(E42,",",D42)</f>
        <v>BME 252,ED2-BME</v>
      </c>
      <c r="B42" s="217" t="s">
        <v>1444</v>
      </c>
      <c r="C42" s="218" t="s">
        <v>1445</v>
      </c>
      <c r="D42" s="219" t="s">
        <v>109</v>
      </c>
      <c r="E42" s="218" t="s">
        <v>1078</v>
      </c>
    </row>
    <row r="43" s="220" customFormat="true" ht="14.25" hidden="false" customHeight="false" outlineLevel="0" collapsed="false">
      <c r="A43" s="214" t="str">
        <f aca="false">CONCATENATE(E43,",",D43)</f>
        <v>BME 286,ED2-BME</v>
      </c>
      <c r="B43" s="217" t="s">
        <v>1446</v>
      </c>
      <c r="C43" s="218" t="s">
        <v>1447</v>
      </c>
      <c r="D43" s="219" t="s">
        <v>109</v>
      </c>
      <c r="E43" s="218" t="s">
        <v>522</v>
      </c>
    </row>
    <row r="44" s="220" customFormat="true" ht="14.25" hidden="false" customHeight="false" outlineLevel="0" collapsed="false">
      <c r="A44" s="214" t="str">
        <f aca="false">CONCATENATE(E44,",",D44)</f>
        <v>BME 288,ED2-BME</v>
      </c>
      <c r="B44" s="217" t="s">
        <v>1448</v>
      </c>
      <c r="C44" s="218" t="s">
        <v>1449</v>
      </c>
      <c r="D44" s="219" t="s">
        <v>109</v>
      </c>
      <c r="E44" s="218" t="s">
        <v>1081</v>
      </c>
    </row>
    <row r="45" s="220" customFormat="true" ht="14.25" hidden="false" customHeight="false" outlineLevel="0" collapsed="false">
      <c r="A45" s="214" t="str">
        <f aca="false">CONCATENATE(E45,",",D45)</f>
        <v>BME 362,ED3-BME</v>
      </c>
      <c r="B45" s="217" t="s">
        <v>1450</v>
      </c>
      <c r="C45" s="218" t="s">
        <v>1451</v>
      </c>
      <c r="D45" s="219" t="s">
        <v>65</v>
      </c>
      <c r="E45" s="218" t="s">
        <v>428</v>
      </c>
    </row>
    <row r="46" s="220" customFormat="true" ht="14.25" hidden="false" customHeight="false" outlineLevel="0" collapsed="false">
      <c r="A46" s="214" t="str">
        <f aca="false">CONCATENATE(E46,",",D46)</f>
        <v>BME 364,ED3-BME</v>
      </c>
      <c r="B46" s="217" t="s">
        <v>1452</v>
      </c>
      <c r="C46" s="218" t="s">
        <v>1453</v>
      </c>
      <c r="D46" s="219" t="s">
        <v>65</v>
      </c>
      <c r="E46" s="218" t="s">
        <v>330</v>
      </c>
    </row>
    <row r="47" s="220" customFormat="true" ht="14.25" hidden="false" customHeight="false" outlineLevel="0" collapsed="false">
      <c r="A47" s="214" t="str">
        <f aca="false">CONCATENATE(E47,",",D47)</f>
        <v>BME 366,ED3-BME</v>
      </c>
      <c r="B47" s="217" t="s">
        <v>1454</v>
      </c>
      <c r="C47" s="218" t="s">
        <v>1455</v>
      </c>
      <c r="D47" s="219" t="s">
        <v>65</v>
      </c>
      <c r="E47" s="218" t="s">
        <v>368</v>
      </c>
    </row>
    <row r="48" s="220" customFormat="true" ht="14.25" hidden="false" customHeight="false" outlineLevel="0" collapsed="false">
      <c r="A48" s="214" t="str">
        <f aca="false">CONCATENATE(E48,",",D48)</f>
        <v>BME 372,ED3-BME</v>
      </c>
      <c r="B48" s="217" t="s">
        <v>1456</v>
      </c>
      <c r="C48" s="218" t="s">
        <v>1457</v>
      </c>
      <c r="D48" s="219" t="s">
        <v>65</v>
      </c>
      <c r="E48" s="218" t="s">
        <v>64</v>
      </c>
    </row>
    <row r="49" s="220" customFormat="true" ht="14.25" hidden="false" customHeight="false" outlineLevel="0" collapsed="false">
      <c r="A49" s="214" t="str">
        <f aca="false">CONCATENATE(E49,",",D49)</f>
        <v>BME 374,ED3-BME</v>
      </c>
      <c r="B49" s="217" t="s">
        <v>1458</v>
      </c>
      <c r="C49" s="218" t="s">
        <v>1453</v>
      </c>
      <c r="D49" s="219" t="s">
        <v>65</v>
      </c>
      <c r="E49" s="218" t="s">
        <v>503</v>
      </c>
    </row>
    <row r="50" s="220" customFormat="true" ht="14.25" hidden="false" customHeight="false" outlineLevel="0" collapsed="false">
      <c r="A50" s="214" t="str">
        <f aca="false">CONCATENATE(E50,",",D50)</f>
        <v>BME 454,ED4-BME</v>
      </c>
      <c r="B50" s="217" t="s">
        <v>1459</v>
      </c>
      <c r="C50" s="218" t="s">
        <v>1457</v>
      </c>
      <c r="D50" s="219" t="s">
        <v>252</v>
      </c>
      <c r="E50" s="218" t="s">
        <v>320</v>
      </c>
    </row>
    <row r="51" s="220" customFormat="true" ht="14.25" hidden="false" customHeight="false" outlineLevel="0" collapsed="false">
      <c r="A51" s="214" t="str">
        <f aca="false">CONCATENATE(E51,",",D51)</f>
        <v>BME 462,ED4-BME</v>
      </c>
      <c r="B51" s="217" t="s">
        <v>1460</v>
      </c>
      <c r="C51" s="218" t="s">
        <v>1451</v>
      </c>
      <c r="D51" s="219" t="s">
        <v>252</v>
      </c>
      <c r="E51" s="218" t="s">
        <v>411</v>
      </c>
    </row>
    <row r="52" s="220" customFormat="true" ht="14.25" hidden="false" customHeight="false" outlineLevel="0" collapsed="false">
      <c r="A52" s="214" t="str">
        <f aca="false">CONCATENATE(E52,",",D52)</f>
        <v>CE 154,ED1-CE</v>
      </c>
      <c r="B52" s="217" t="s">
        <v>1461</v>
      </c>
      <c r="C52" s="218" t="s">
        <v>1462</v>
      </c>
      <c r="D52" s="219" t="s">
        <v>75</v>
      </c>
      <c r="E52" s="218" t="s">
        <v>74</v>
      </c>
    </row>
    <row r="53" s="220" customFormat="true" ht="14.25" hidden="false" customHeight="false" outlineLevel="0" collapsed="false">
      <c r="A53" s="214" t="str">
        <f aca="false">CONCATENATE(E53,",",D53)</f>
        <v>CE 156,ED1-CE</v>
      </c>
      <c r="B53" s="217" t="s">
        <v>1463</v>
      </c>
      <c r="C53" s="218" t="s">
        <v>1464</v>
      </c>
      <c r="D53" s="219" t="s">
        <v>75</v>
      </c>
      <c r="E53" s="218" t="s">
        <v>461</v>
      </c>
    </row>
    <row r="54" s="220" customFormat="true" ht="14.25" hidden="false" customHeight="false" outlineLevel="0" collapsed="false">
      <c r="A54" s="214" t="str">
        <f aca="false">CONCATENATE(E54,",",D54)</f>
        <v>CE 156,ED1-GEOL</v>
      </c>
      <c r="B54" s="217" t="s">
        <v>1463</v>
      </c>
      <c r="C54" s="218" t="s">
        <v>1464</v>
      </c>
      <c r="D54" s="219" t="s">
        <v>126</v>
      </c>
      <c r="E54" s="218" t="s">
        <v>461</v>
      </c>
    </row>
    <row r="55" s="220" customFormat="true" ht="14.25" hidden="false" customHeight="false" outlineLevel="0" collapsed="false">
      <c r="A55" s="214" t="str">
        <f aca="false">CONCATENATE(E55,",",D55)</f>
        <v>CE 164,ED1-CE</v>
      </c>
      <c r="B55" s="217" t="s">
        <v>1465</v>
      </c>
      <c r="C55" s="218" t="s">
        <v>1466</v>
      </c>
      <c r="D55" s="219" t="s">
        <v>75</v>
      </c>
      <c r="E55" s="218" t="s">
        <v>182</v>
      </c>
    </row>
    <row r="56" s="220" customFormat="true" ht="14.25" hidden="false" customHeight="false" outlineLevel="0" collapsed="false">
      <c r="A56" s="214" t="str">
        <f aca="false">CONCATENATE(E56,",",D56)</f>
        <v>CE 164,ED1-GEOL</v>
      </c>
      <c r="B56" s="217" t="s">
        <v>1465</v>
      </c>
      <c r="C56" s="218" t="s">
        <v>1466</v>
      </c>
      <c r="D56" s="219" t="s">
        <v>126</v>
      </c>
      <c r="E56" s="218" t="s">
        <v>182</v>
      </c>
    </row>
    <row r="57" s="220" customFormat="true" ht="14.25" hidden="false" customHeight="false" outlineLevel="0" collapsed="false">
      <c r="A57" s="214" t="str">
        <f aca="false">CONCATENATE(E57,",",D57)</f>
        <v>CE 256,ED2-CE</v>
      </c>
      <c r="B57" s="217" t="s">
        <v>1467</v>
      </c>
      <c r="C57" s="218" t="s">
        <v>1468</v>
      </c>
      <c r="D57" s="219" t="s">
        <v>56</v>
      </c>
      <c r="E57" s="218" t="s">
        <v>54</v>
      </c>
    </row>
    <row r="58" s="220" customFormat="true" ht="14.25" hidden="false" customHeight="false" outlineLevel="0" collapsed="false">
      <c r="A58" s="214" t="str">
        <f aca="false">CONCATENATE(E58,",",D58)</f>
        <v>CE 256,ED2-GEOL</v>
      </c>
      <c r="B58" s="217" t="s">
        <v>1467</v>
      </c>
      <c r="C58" s="218" t="s">
        <v>1468</v>
      </c>
      <c r="D58" s="219" t="s">
        <v>55</v>
      </c>
      <c r="E58" s="218" t="s">
        <v>54</v>
      </c>
    </row>
    <row r="59" s="220" customFormat="true" ht="14.25" hidden="false" customHeight="false" outlineLevel="0" collapsed="false">
      <c r="A59" s="214" t="str">
        <f aca="false">CONCATENATE(E59,",",D59)</f>
        <v>CE 258,ED2-CE</v>
      </c>
      <c r="B59" s="217" t="s">
        <v>1469</v>
      </c>
      <c r="C59" s="218" t="s">
        <v>1470</v>
      </c>
      <c r="D59" s="219" t="s">
        <v>56</v>
      </c>
      <c r="E59" s="218" t="s">
        <v>215</v>
      </c>
    </row>
    <row r="60" s="220" customFormat="true" ht="14.25" hidden="false" customHeight="false" outlineLevel="0" collapsed="false">
      <c r="A60" s="214" t="str">
        <f aca="false">CONCATENATE(E60,",",D60)</f>
        <v>CE 260,ED2-CE</v>
      </c>
      <c r="B60" s="217" t="s">
        <v>1471</v>
      </c>
      <c r="C60" s="218" t="s">
        <v>1472</v>
      </c>
      <c r="D60" s="219" t="s">
        <v>56</v>
      </c>
      <c r="E60" s="218" t="s">
        <v>367</v>
      </c>
    </row>
    <row r="61" s="220" customFormat="true" ht="14.25" hidden="false" customHeight="false" outlineLevel="0" collapsed="false">
      <c r="A61" s="214" t="str">
        <f aca="false">CONCATENATE(E61,",",D61)</f>
        <v>CE 260,ED2-GEOM</v>
      </c>
      <c r="B61" s="217" t="s">
        <v>1471</v>
      </c>
      <c r="C61" s="218" t="s">
        <v>1473</v>
      </c>
      <c r="D61" s="219" t="s">
        <v>170</v>
      </c>
      <c r="E61" s="218" t="s">
        <v>367</v>
      </c>
    </row>
    <row r="62" s="220" customFormat="true" ht="15" hidden="false" customHeight="true" outlineLevel="0" collapsed="false">
      <c r="A62" s="214" t="str">
        <f aca="false">CONCATENATE(E62,",",D62)</f>
        <v>CE 262,ED2-CE</v>
      </c>
      <c r="B62" s="217" t="s">
        <v>1474</v>
      </c>
      <c r="C62" s="218" t="s">
        <v>1475</v>
      </c>
      <c r="D62" s="219" t="s">
        <v>56</v>
      </c>
      <c r="E62" s="218" t="s">
        <v>138</v>
      </c>
    </row>
    <row r="63" s="220" customFormat="true" ht="14.25" hidden="false" customHeight="false" outlineLevel="0" collapsed="false">
      <c r="A63" s="214" t="str">
        <f aca="false">CONCATENATE(E63,",",D63)</f>
        <v>CE 264,ED2-CE</v>
      </c>
      <c r="B63" s="217" t="s">
        <v>1476</v>
      </c>
      <c r="C63" s="218" t="s">
        <v>1477</v>
      </c>
      <c r="D63" s="219" t="s">
        <v>56</v>
      </c>
      <c r="E63" s="218" t="s">
        <v>278</v>
      </c>
    </row>
    <row r="64" s="220" customFormat="true" ht="14.25" hidden="false" customHeight="false" outlineLevel="0" collapsed="false">
      <c r="A64" s="214" t="str">
        <f aca="false">CONCATENATE(E64,",",D64)</f>
        <v>CE 272,ED2-CE</v>
      </c>
      <c r="B64" s="217" t="s">
        <v>1478</v>
      </c>
      <c r="C64" s="218" t="s">
        <v>1479</v>
      </c>
      <c r="D64" s="219" t="s">
        <v>56</v>
      </c>
      <c r="E64" s="218" t="s">
        <v>459</v>
      </c>
    </row>
    <row r="65" s="220" customFormat="true" ht="14.25" hidden="false" customHeight="false" outlineLevel="0" collapsed="false">
      <c r="A65" s="214" t="str">
        <f aca="false">CONCATENATE(E65,",",D65)</f>
        <v>CE 352,ED3-CE</v>
      </c>
      <c r="B65" s="217" t="s">
        <v>1480</v>
      </c>
      <c r="C65" s="218" t="s">
        <v>1481</v>
      </c>
      <c r="D65" s="219" t="s">
        <v>157</v>
      </c>
      <c r="E65" s="218" t="s">
        <v>400</v>
      </c>
    </row>
    <row r="66" s="220" customFormat="true" ht="14.25" hidden="false" customHeight="false" outlineLevel="0" collapsed="false">
      <c r="A66" s="214" t="str">
        <f aca="false">CONCATENATE(E66,",",D66)</f>
        <v>CE 356,ED3-CE</v>
      </c>
      <c r="B66" s="217" t="s">
        <v>1482</v>
      </c>
      <c r="C66" s="218" t="s">
        <v>1483</v>
      </c>
      <c r="D66" s="219" t="s">
        <v>157</v>
      </c>
      <c r="E66" s="218" t="s">
        <v>291</v>
      </c>
    </row>
    <row r="67" s="220" customFormat="true" ht="14.25" hidden="false" customHeight="false" outlineLevel="0" collapsed="false">
      <c r="A67" s="214" t="str">
        <f aca="false">CONCATENATE(E67,",",D67)</f>
        <v>CE 360,ED3-CE</v>
      </c>
      <c r="B67" s="217" t="s">
        <v>1484</v>
      </c>
      <c r="C67" s="218" t="s">
        <v>1485</v>
      </c>
      <c r="D67" s="219" t="s">
        <v>157</v>
      </c>
      <c r="E67" s="218" t="s">
        <v>336</v>
      </c>
    </row>
    <row r="68" s="220" customFormat="true" ht="14.25" hidden="false" customHeight="false" outlineLevel="0" collapsed="false">
      <c r="A68" s="214" t="str">
        <f aca="false">CONCATENATE(E68,",",D68)</f>
        <v>CE 364,ED3-CE</v>
      </c>
      <c r="B68" s="217" t="s">
        <v>1486</v>
      </c>
      <c r="C68" s="218" t="s">
        <v>1487</v>
      </c>
      <c r="D68" s="219" t="s">
        <v>157</v>
      </c>
      <c r="E68" s="218" t="s">
        <v>156</v>
      </c>
    </row>
    <row r="69" s="220" customFormat="true" ht="14.25" hidden="false" customHeight="false" outlineLevel="0" collapsed="false">
      <c r="A69" s="214" t="str">
        <f aca="false">CONCATENATE(E69,",",D69)</f>
        <v>CE 368,ED3-CE</v>
      </c>
      <c r="B69" s="217" t="s">
        <v>1488</v>
      </c>
      <c r="C69" s="218" t="s">
        <v>1489</v>
      </c>
      <c r="D69" s="219" t="s">
        <v>157</v>
      </c>
      <c r="E69" s="218" t="s">
        <v>378</v>
      </c>
    </row>
    <row r="70" s="220" customFormat="true" ht="14.25" hidden="false" customHeight="false" outlineLevel="0" collapsed="false">
      <c r="A70" s="214" t="str">
        <f aca="false">CONCATENATE(E70,",",D70)</f>
        <v>CE 368,ED3-GEOM</v>
      </c>
      <c r="B70" s="217" t="s">
        <v>1490</v>
      </c>
      <c r="C70" s="218" t="s">
        <v>1491</v>
      </c>
      <c r="D70" s="219" t="s">
        <v>77</v>
      </c>
      <c r="E70" s="218" t="s">
        <v>378</v>
      </c>
    </row>
    <row r="71" s="220" customFormat="true" ht="14.25" hidden="false" customHeight="false" outlineLevel="0" collapsed="false">
      <c r="A71" s="214" t="str">
        <f aca="false">CONCATENATE(E71,",",D71)</f>
        <v>CE 376,ED3-CE</v>
      </c>
      <c r="B71" s="217" t="s">
        <v>1492</v>
      </c>
      <c r="C71" s="218" t="s">
        <v>1466</v>
      </c>
      <c r="D71" s="219" t="s">
        <v>157</v>
      </c>
      <c r="E71" s="218" t="s">
        <v>495</v>
      </c>
    </row>
    <row r="72" s="220" customFormat="true" ht="14.25" hidden="false" customHeight="false" outlineLevel="0" collapsed="false">
      <c r="A72" s="214" t="str">
        <f aca="false">CONCATENATE(E72,",",D72)</f>
        <v>CE 378,ED3-CE</v>
      </c>
      <c r="B72" s="217" t="s">
        <v>1493</v>
      </c>
      <c r="C72" s="218" t="s">
        <v>1479</v>
      </c>
      <c r="D72" s="219" t="s">
        <v>157</v>
      </c>
      <c r="E72" s="218" t="s">
        <v>1115</v>
      </c>
    </row>
    <row r="73" s="220" customFormat="true" ht="14.25" hidden="false" customHeight="false" outlineLevel="0" collapsed="false">
      <c r="A73" s="214" t="str">
        <f aca="false">CONCATENATE(E73,",",D73)</f>
        <v>CE 390,ED3-CE</v>
      </c>
      <c r="B73" s="217" t="s">
        <v>1494</v>
      </c>
      <c r="C73" s="218" t="s">
        <v>1489</v>
      </c>
      <c r="D73" s="219" t="s">
        <v>157</v>
      </c>
      <c r="E73" s="218" t="s">
        <v>1117</v>
      </c>
    </row>
    <row r="74" s="220" customFormat="true" ht="14.25" hidden="false" customHeight="false" outlineLevel="0" collapsed="false">
      <c r="A74" s="214" t="str">
        <f aca="false">CONCATENATE(E74,",",D74)</f>
        <v>CE 456,ED4-CE</v>
      </c>
      <c r="B74" s="217" t="s">
        <v>1495</v>
      </c>
      <c r="C74" s="218" t="s">
        <v>1481</v>
      </c>
      <c r="D74" s="219" t="s">
        <v>103</v>
      </c>
      <c r="E74" s="218" t="s">
        <v>469</v>
      </c>
    </row>
    <row r="75" s="220" customFormat="true" ht="14.25" hidden="false" customHeight="false" outlineLevel="0" collapsed="false">
      <c r="A75" s="214" t="str">
        <f aca="false">CONCATENATE(E75,",",D75)</f>
        <v>CE 452,ED4-CE</v>
      </c>
      <c r="B75" s="217" t="s">
        <v>1496</v>
      </c>
      <c r="C75" s="218" t="s">
        <v>1497</v>
      </c>
      <c r="D75" s="219" t="s">
        <v>103</v>
      </c>
      <c r="E75" s="218" t="s">
        <v>328</v>
      </c>
    </row>
    <row r="76" s="220" customFormat="true" ht="14.25" hidden="false" customHeight="false" outlineLevel="0" collapsed="false">
      <c r="A76" s="214" t="str">
        <f aca="false">CONCATENATE(E76,",",D76)</f>
        <v>CE 458,ED4-CE</v>
      </c>
      <c r="B76" s="217" t="s">
        <v>1498</v>
      </c>
      <c r="C76" s="218" t="s">
        <v>1468</v>
      </c>
      <c r="D76" s="219" t="s">
        <v>103</v>
      </c>
      <c r="E76" s="218" t="s">
        <v>384</v>
      </c>
    </row>
    <row r="77" s="220" customFormat="true" ht="14.25" hidden="false" customHeight="false" outlineLevel="0" collapsed="false">
      <c r="A77" s="214" t="str">
        <f aca="false">CONCATENATE(E77,",",D77)</f>
        <v>CE 462,ED4-CE</v>
      </c>
      <c r="B77" s="217" t="s">
        <v>1499</v>
      </c>
      <c r="C77" s="218" t="s">
        <v>1500</v>
      </c>
      <c r="D77" s="219" t="s">
        <v>103</v>
      </c>
      <c r="E77" s="218" t="s">
        <v>404</v>
      </c>
    </row>
    <row r="78" s="220" customFormat="true" ht="14.25" hidden="false" customHeight="false" outlineLevel="0" collapsed="false">
      <c r="A78" s="214" t="str">
        <f aca="false">CONCATENATE(E78,",",D78)</f>
        <v>CE 464,ED4-CE</v>
      </c>
      <c r="B78" s="217" t="s">
        <v>1501</v>
      </c>
      <c r="C78" s="218" t="s">
        <v>1502</v>
      </c>
      <c r="D78" s="219" t="s">
        <v>103</v>
      </c>
      <c r="E78" s="218" t="s">
        <v>102</v>
      </c>
    </row>
    <row r="79" s="220" customFormat="true" ht="14.25" hidden="false" customHeight="false" outlineLevel="0" collapsed="false">
      <c r="A79" s="214" t="str">
        <f aca="false">CONCATENATE(E79,",",D79)</f>
        <v>CE 468,ED4-CE</v>
      </c>
      <c r="B79" s="217" t="s">
        <v>1503</v>
      </c>
      <c r="C79" s="218" t="s">
        <v>1504</v>
      </c>
      <c r="D79" s="219" t="s">
        <v>103</v>
      </c>
      <c r="E79" s="218" t="s">
        <v>155</v>
      </c>
    </row>
    <row r="80" s="220" customFormat="true" ht="14.25" hidden="false" customHeight="false" outlineLevel="0" collapsed="false">
      <c r="A80" s="214" t="str">
        <f aca="false">CONCATENATE(E80,",",D80)</f>
        <v>CE 476,ED4-CE</v>
      </c>
      <c r="B80" s="217" t="s">
        <v>1505</v>
      </c>
      <c r="C80" s="218" t="s">
        <v>1466</v>
      </c>
      <c r="D80" s="219" t="s">
        <v>103</v>
      </c>
      <c r="E80" s="218" t="s">
        <v>346</v>
      </c>
    </row>
    <row r="81" s="220" customFormat="true" ht="14.25" hidden="false" customHeight="false" outlineLevel="0" collapsed="false">
      <c r="A81" s="214" t="str">
        <f aca="false">CONCATENATE(E81,",",D81)</f>
        <v>CE 478,ED4-CE</v>
      </c>
      <c r="B81" s="217" t="s">
        <v>1506</v>
      </c>
      <c r="C81" s="218" t="s">
        <v>1507</v>
      </c>
      <c r="D81" s="219" t="s">
        <v>103</v>
      </c>
      <c r="E81" s="218" t="s">
        <v>270</v>
      </c>
    </row>
    <row r="82" s="220" customFormat="true" ht="14.25" hidden="false" customHeight="false" outlineLevel="0" collapsed="false">
      <c r="A82" s="214" t="str">
        <f aca="false">CONCATENATE(E82,",",D82)</f>
        <v>CE 480,ED4-CE</v>
      </c>
      <c r="B82" s="217" t="s">
        <v>1508</v>
      </c>
      <c r="C82" s="218" t="s">
        <v>1509</v>
      </c>
      <c r="D82" s="219" t="s">
        <v>103</v>
      </c>
      <c r="E82" s="218" t="s">
        <v>205</v>
      </c>
    </row>
    <row r="83" s="220" customFormat="true" ht="14.25" hidden="false" customHeight="false" outlineLevel="0" collapsed="false">
      <c r="A83" s="214" t="str">
        <f aca="false">CONCATENATE(E83,",",D83)</f>
        <v>CE 478,ED4-GEOL</v>
      </c>
      <c r="B83" s="217" t="s">
        <v>1506</v>
      </c>
      <c r="C83" s="218" t="s">
        <v>1507</v>
      </c>
      <c r="D83" s="219" t="s">
        <v>177</v>
      </c>
      <c r="E83" s="218" t="s">
        <v>270</v>
      </c>
    </row>
    <row r="84" s="220" customFormat="true" ht="14.25" hidden="false" customHeight="false" outlineLevel="0" collapsed="false">
      <c r="A84" s="214" t="str">
        <f aca="false">CONCATENATE(E84,",",D84)</f>
        <v>CHE 156,ED1-CHE</v>
      </c>
      <c r="B84" s="217" t="s">
        <v>1510</v>
      </c>
      <c r="C84" s="218" t="s">
        <v>1511</v>
      </c>
      <c r="D84" s="219" t="s">
        <v>80</v>
      </c>
      <c r="E84" s="218" t="s">
        <v>302</v>
      </c>
    </row>
    <row r="85" s="220" customFormat="true" ht="14.25" hidden="false" customHeight="false" outlineLevel="0" collapsed="false">
      <c r="A85" s="214" t="str">
        <f aca="false">CONCATENATE(E85,",",D85)</f>
        <v>CHE 156,ED1-PCE</v>
      </c>
      <c r="B85" s="217" t="s">
        <v>1510</v>
      </c>
      <c r="C85" s="218" t="s">
        <v>1512</v>
      </c>
      <c r="D85" s="219" t="s">
        <v>81</v>
      </c>
      <c r="E85" s="218" t="s">
        <v>302</v>
      </c>
    </row>
    <row r="86" s="220" customFormat="true" ht="14.25" hidden="false" customHeight="false" outlineLevel="0" collapsed="false">
      <c r="A86" s="214" t="str">
        <f aca="false">CONCATENATE(E86,",",D86)</f>
        <v>CHE 158,ED1-CHE</v>
      </c>
      <c r="B86" s="217" t="s">
        <v>1380</v>
      </c>
      <c r="C86" s="218" t="s">
        <v>1513</v>
      </c>
      <c r="D86" s="219" t="s">
        <v>80</v>
      </c>
      <c r="E86" s="218" t="s">
        <v>186</v>
      </c>
    </row>
    <row r="87" s="220" customFormat="true" ht="14.25" hidden="false" customHeight="false" outlineLevel="0" collapsed="false">
      <c r="A87" s="214" t="str">
        <f aca="false">CONCATENATE(E87,",",D87)</f>
        <v>CHE 250,ED2-CHE</v>
      </c>
      <c r="B87" s="217" t="s">
        <v>1514</v>
      </c>
      <c r="C87" s="218" t="s">
        <v>1515</v>
      </c>
      <c r="D87" s="219" t="s">
        <v>13</v>
      </c>
      <c r="E87" s="218" t="s">
        <v>338</v>
      </c>
    </row>
    <row r="88" s="220" customFormat="true" ht="14.25" hidden="false" customHeight="false" outlineLevel="0" collapsed="false">
      <c r="A88" s="214" t="str">
        <f aca="false">CONCATENATE(E88,",",D88)</f>
        <v>CHE 250,ED2-PCE</v>
      </c>
      <c r="B88" s="217" t="s">
        <v>1514</v>
      </c>
      <c r="C88" s="218" t="s">
        <v>1516</v>
      </c>
      <c r="D88" s="219" t="s">
        <v>14</v>
      </c>
      <c r="E88" s="218" t="s">
        <v>338</v>
      </c>
    </row>
    <row r="89" s="220" customFormat="true" ht="14.25" hidden="false" customHeight="false" outlineLevel="0" collapsed="false">
      <c r="A89" s="214" t="str">
        <f aca="false">CONCATENATE(E89,",",D89)</f>
        <v>CHE 252,ED2-CHE</v>
      </c>
      <c r="B89" s="217" t="s">
        <v>1517</v>
      </c>
      <c r="C89" s="218" t="s">
        <v>1518</v>
      </c>
      <c r="D89" s="219" t="s">
        <v>13</v>
      </c>
      <c r="E89" s="218" t="s">
        <v>297</v>
      </c>
    </row>
    <row r="90" s="220" customFormat="true" ht="14.25" hidden="false" customHeight="false" outlineLevel="0" collapsed="false">
      <c r="A90" s="214" t="str">
        <f aca="false">CONCATENATE(E90,",",D90)</f>
        <v>CHE 252,ED2-PCE</v>
      </c>
      <c r="B90" s="217" t="s">
        <v>1517</v>
      </c>
      <c r="C90" s="218" t="s">
        <v>1519</v>
      </c>
      <c r="D90" s="219" t="s">
        <v>14</v>
      </c>
      <c r="E90" s="218" t="s">
        <v>297</v>
      </c>
    </row>
    <row r="91" s="220" customFormat="true" ht="14.25" hidden="false" customHeight="false" outlineLevel="0" collapsed="false">
      <c r="A91" s="214" t="str">
        <f aca="false">CONCATENATE(E91,",",D91)</f>
        <v>CHE 254,ED2-CHE</v>
      </c>
      <c r="B91" s="217" t="s">
        <v>1520</v>
      </c>
      <c r="C91" s="218" t="s">
        <v>1513</v>
      </c>
      <c r="D91" s="219" t="s">
        <v>13</v>
      </c>
      <c r="E91" s="218" t="s">
        <v>397</v>
      </c>
    </row>
    <row r="92" s="220" customFormat="true" ht="14.25" hidden="false" customHeight="false" outlineLevel="0" collapsed="false">
      <c r="A92" s="214" t="str">
        <f aca="false">CONCATENATE(E92,",",D92)</f>
        <v>CHE 254,ED2-PCE</v>
      </c>
      <c r="B92" s="217" t="s">
        <v>1520</v>
      </c>
      <c r="C92" s="218" t="s">
        <v>1521</v>
      </c>
      <c r="D92" s="219" t="s">
        <v>14</v>
      </c>
      <c r="E92" s="218" t="s">
        <v>397</v>
      </c>
    </row>
    <row r="93" s="220" customFormat="true" ht="15" hidden="false" customHeight="true" outlineLevel="0" collapsed="false">
      <c r="A93" s="214" t="str">
        <f aca="false">CONCATENATE(E93,",",D93)</f>
        <v>CHE 256,ED2-CHE</v>
      </c>
      <c r="B93" s="217" t="s">
        <v>1522</v>
      </c>
      <c r="C93" s="218" t="s">
        <v>1523</v>
      </c>
      <c r="D93" s="219" t="s">
        <v>13</v>
      </c>
      <c r="E93" s="218" t="s">
        <v>83</v>
      </c>
    </row>
    <row r="94" s="220" customFormat="true" ht="14.25" hidden="false" customHeight="false" outlineLevel="0" collapsed="false">
      <c r="A94" s="214" t="str">
        <f aca="false">CONCATENATE(E94,",",D94)</f>
        <v>CHE 256,ED2-PCE</v>
      </c>
      <c r="B94" s="217" t="s">
        <v>1522</v>
      </c>
      <c r="C94" s="218" t="s">
        <v>1519</v>
      </c>
      <c r="D94" s="219" t="s">
        <v>14</v>
      </c>
      <c r="E94" s="218" t="s">
        <v>83</v>
      </c>
    </row>
    <row r="95" s="220" customFormat="true" ht="14.25" hidden="false" customHeight="false" outlineLevel="0" collapsed="false">
      <c r="A95" s="214" t="str">
        <f aca="false">CONCATENATE(E95,",",D95)</f>
        <v>CHE 258,ED2-CHE</v>
      </c>
      <c r="B95" s="217" t="s">
        <v>1524</v>
      </c>
      <c r="C95" s="218" t="s">
        <v>1525</v>
      </c>
      <c r="D95" s="219" t="s">
        <v>13</v>
      </c>
      <c r="E95" s="218" t="s">
        <v>12</v>
      </c>
    </row>
    <row r="96" s="220" customFormat="true" ht="14.25" hidden="false" customHeight="false" outlineLevel="0" collapsed="false">
      <c r="A96" s="214" t="str">
        <f aca="false">CONCATENATE(E96,",",D96)</f>
        <v>CHE 258,ED2-PCE</v>
      </c>
      <c r="B96" s="217" t="s">
        <v>1524</v>
      </c>
      <c r="C96" s="218" t="s">
        <v>1525</v>
      </c>
      <c r="D96" s="219" t="s">
        <v>14</v>
      </c>
      <c r="E96" s="218" t="s">
        <v>12</v>
      </c>
    </row>
    <row r="97" s="220" customFormat="true" ht="14.25" hidden="false" customHeight="false" outlineLevel="0" collapsed="false">
      <c r="A97" s="214" t="str">
        <f aca="false">CONCATENATE(E97,",",D97)</f>
        <v>CHE 350,ED3-CHE</v>
      </c>
      <c r="B97" s="217" t="s">
        <v>1526</v>
      </c>
      <c r="C97" s="218" t="s">
        <v>1527</v>
      </c>
      <c r="D97" s="219" t="s">
        <v>73</v>
      </c>
      <c r="E97" s="218" t="s">
        <v>199</v>
      </c>
    </row>
    <row r="98" s="220" customFormat="true" ht="14.25" hidden="false" customHeight="false" outlineLevel="0" collapsed="false">
      <c r="A98" s="214" t="str">
        <f aca="false">CONCATENATE(E98,",",D98)</f>
        <v>CHE 350,ED3-PCE</v>
      </c>
      <c r="B98" s="217" t="s">
        <v>1526</v>
      </c>
      <c r="C98" s="218" t="s">
        <v>1515</v>
      </c>
      <c r="D98" s="219" t="s">
        <v>63</v>
      </c>
      <c r="E98" s="218" t="s">
        <v>199</v>
      </c>
    </row>
    <row r="99" s="220" customFormat="true" ht="14.25" hidden="false" customHeight="false" outlineLevel="0" collapsed="false">
      <c r="A99" s="214" t="str">
        <f aca="false">CONCATENATE(E99,",",D99)</f>
        <v>CHE 352,ED3-CHE</v>
      </c>
      <c r="B99" s="217" t="s">
        <v>1528</v>
      </c>
      <c r="C99" s="218" t="s">
        <v>1513</v>
      </c>
      <c r="D99" s="219" t="s">
        <v>73</v>
      </c>
      <c r="E99" s="218" t="s">
        <v>516</v>
      </c>
    </row>
    <row r="100" s="220" customFormat="true" ht="14.25" hidden="false" customHeight="false" outlineLevel="0" collapsed="false">
      <c r="A100" s="214" t="str">
        <f aca="false">CONCATENATE(E100,",",D100)</f>
        <v>CHE 354,ED3-CHE</v>
      </c>
      <c r="B100" s="217" t="s">
        <v>1529</v>
      </c>
      <c r="C100" s="218" t="s">
        <v>1530</v>
      </c>
      <c r="D100" s="219" t="s">
        <v>73</v>
      </c>
      <c r="E100" s="218" t="s">
        <v>476</v>
      </c>
    </row>
    <row r="101" s="220" customFormat="true" ht="14.25" hidden="false" customHeight="false" outlineLevel="0" collapsed="false">
      <c r="A101" s="214" t="str">
        <f aca="false">CONCATENATE(E101,",",D101)</f>
        <v>CHE 358,ED3-CHE</v>
      </c>
      <c r="B101" s="217" t="s">
        <v>1531</v>
      </c>
      <c r="C101" s="218" t="s">
        <v>1532</v>
      </c>
      <c r="D101" s="219" t="s">
        <v>73</v>
      </c>
      <c r="E101" s="218" t="s">
        <v>315</v>
      </c>
    </row>
    <row r="102" s="220" customFormat="true" ht="14.25" hidden="false" customHeight="false" outlineLevel="0" collapsed="false">
      <c r="A102" s="214" t="str">
        <f aca="false">CONCATENATE(E102,",",D102)</f>
        <v>CHE 358,ED3-PCE</v>
      </c>
      <c r="B102" s="217" t="s">
        <v>1531</v>
      </c>
      <c r="C102" s="218" t="s">
        <v>1532</v>
      </c>
      <c r="D102" s="219" t="s">
        <v>63</v>
      </c>
      <c r="E102" s="218" t="s">
        <v>315</v>
      </c>
    </row>
    <row r="103" s="220" customFormat="true" ht="14.25" hidden="false" customHeight="false" outlineLevel="0" collapsed="false">
      <c r="A103" s="214" t="str">
        <f aca="false">CONCATENATE(E103,",",D103)</f>
        <v>CHE 362,ED3-CHE</v>
      </c>
      <c r="B103" s="217" t="s">
        <v>1533</v>
      </c>
      <c r="C103" s="218" t="s">
        <v>1523</v>
      </c>
      <c r="D103" s="219" t="s">
        <v>73</v>
      </c>
      <c r="E103" s="218" t="s">
        <v>72</v>
      </c>
    </row>
    <row r="104" s="220" customFormat="true" ht="14.25" hidden="false" customHeight="false" outlineLevel="0" collapsed="false">
      <c r="A104" s="214" t="str">
        <f aca="false">CONCATENATE(E104,",",D104)</f>
        <v>CHE 364,ED3-CHE</v>
      </c>
      <c r="B104" s="217" t="s">
        <v>1534</v>
      </c>
      <c r="C104" s="218" t="s">
        <v>1535</v>
      </c>
      <c r="D104" s="219" t="s">
        <v>73</v>
      </c>
      <c r="E104" s="218" t="s">
        <v>370</v>
      </c>
    </row>
    <row r="105" s="220" customFormat="true" ht="14.25" hidden="false" customHeight="false" outlineLevel="0" collapsed="false">
      <c r="A105" s="214" t="str">
        <f aca="false">CONCATENATE(E105,",",D105)</f>
        <v>CHE 366,ED3-PCE</v>
      </c>
      <c r="B105" s="217" t="s">
        <v>1536</v>
      </c>
      <c r="C105" s="218" t="s">
        <v>1535</v>
      </c>
      <c r="D105" s="219" t="s">
        <v>63</v>
      </c>
      <c r="E105" s="218" t="s">
        <v>382</v>
      </c>
    </row>
    <row r="106" s="220" customFormat="true" ht="14.25" hidden="false" customHeight="false" outlineLevel="0" collapsed="false">
      <c r="A106" s="214" t="str">
        <f aca="false">CONCATENATE(E106,",",D106)</f>
        <v>CHE 368,ED3-CHE</v>
      </c>
      <c r="B106" s="217" t="s">
        <v>1537</v>
      </c>
      <c r="C106" s="218" t="s">
        <v>1515</v>
      </c>
      <c r="D106" s="219" t="s">
        <v>73</v>
      </c>
      <c r="E106" s="218" t="s">
        <v>122</v>
      </c>
    </row>
    <row r="107" s="220" customFormat="true" ht="14.25" hidden="false" customHeight="false" outlineLevel="0" collapsed="false">
      <c r="A107" s="214" t="str">
        <f aca="false">CONCATENATE(E107,",",D107)</f>
        <v>CHE 370,ED3-PCE</v>
      </c>
      <c r="B107" s="217" t="s">
        <v>1538</v>
      </c>
      <c r="C107" s="218" t="s">
        <v>1511</v>
      </c>
      <c r="D107" s="219" t="s">
        <v>63</v>
      </c>
      <c r="E107" s="218" t="s">
        <v>296</v>
      </c>
    </row>
    <row r="108" s="220" customFormat="true" ht="14.25" hidden="false" customHeight="false" outlineLevel="0" collapsed="false">
      <c r="A108" s="214" t="str">
        <f aca="false">CONCATENATE(E108,",",D108)</f>
        <v>CHE 456,ED4-CHE</v>
      </c>
      <c r="B108" s="217" t="s">
        <v>1539</v>
      </c>
      <c r="C108" s="218" t="s">
        <v>1535</v>
      </c>
      <c r="D108" s="219" t="s">
        <v>48</v>
      </c>
      <c r="E108" s="218" t="s">
        <v>525</v>
      </c>
    </row>
    <row r="109" s="220" customFormat="true" ht="14.25" hidden="false" customHeight="false" outlineLevel="0" collapsed="false">
      <c r="A109" s="214" t="str">
        <f aca="false">CONCATENATE(E109,",",D109)</f>
        <v>CHE 456,ED4-PCE</v>
      </c>
      <c r="B109" s="217" t="s">
        <v>1539</v>
      </c>
      <c r="C109" s="218" t="s">
        <v>1516</v>
      </c>
      <c r="D109" s="219" t="s">
        <v>44</v>
      </c>
      <c r="E109" s="218" t="s">
        <v>525</v>
      </c>
    </row>
    <row r="110" s="220" customFormat="true" ht="14.25" hidden="false" customHeight="false" outlineLevel="0" collapsed="false">
      <c r="A110" s="214" t="str">
        <f aca="false">CONCATENATE(E110,",",D110)</f>
        <v>CHE 458,ED4-CHE</v>
      </c>
      <c r="B110" s="217" t="s">
        <v>1540</v>
      </c>
      <c r="C110" s="218" t="s">
        <v>1541</v>
      </c>
      <c r="D110" s="219" t="s">
        <v>48</v>
      </c>
      <c r="E110" s="218" t="s">
        <v>345</v>
      </c>
    </row>
    <row r="111" s="220" customFormat="true" ht="14.25" hidden="false" customHeight="false" outlineLevel="0" collapsed="false">
      <c r="A111" s="214" t="str">
        <f aca="false">CONCATENATE(E111,",",D111)</f>
        <v>CHE 458,ED4-PCE</v>
      </c>
      <c r="B111" s="217" t="s">
        <v>1540</v>
      </c>
      <c r="C111" s="218" t="s">
        <v>1541</v>
      </c>
      <c r="D111" s="219" t="s">
        <v>44</v>
      </c>
      <c r="E111" s="218" t="s">
        <v>345</v>
      </c>
    </row>
    <row r="112" s="220" customFormat="true" ht="14.25" hidden="false" customHeight="false" outlineLevel="0" collapsed="false">
      <c r="A112" s="214" t="str">
        <f aca="false">CONCATENATE(E112,",",D112)</f>
        <v>CHE 464,ED4-PCE</v>
      </c>
      <c r="B112" s="217" t="s">
        <v>1542</v>
      </c>
      <c r="C112" s="218" t="s">
        <v>1519</v>
      </c>
      <c r="D112" s="219" t="s">
        <v>44</v>
      </c>
      <c r="E112" s="218" t="s">
        <v>319</v>
      </c>
    </row>
    <row r="113" s="220" customFormat="true" ht="14.25" hidden="false" customHeight="false" outlineLevel="0" collapsed="false">
      <c r="A113" s="214" t="str">
        <f aca="false">CONCATENATE(E113,",",D113)</f>
        <v>CHE 466,ED4-CHE</v>
      </c>
      <c r="B113" s="217" t="s">
        <v>1543</v>
      </c>
      <c r="C113" s="218" t="s">
        <v>1518</v>
      </c>
      <c r="D113" s="219" t="s">
        <v>48</v>
      </c>
      <c r="E113" s="218" t="s">
        <v>280</v>
      </c>
    </row>
    <row r="114" s="220" customFormat="true" ht="15" hidden="false" customHeight="true" outlineLevel="0" collapsed="false">
      <c r="A114" s="214" t="str">
        <f aca="false">CONCATENATE(E114,",",D114)</f>
        <v>CHE 468,ED4-CHE</v>
      </c>
      <c r="B114" s="217" t="s">
        <v>1544</v>
      </c>
      <c r="C114" s="218" t="s">
        <v>1511</v>
      </c>
      <c r="D114" s="219" t="s">
        <v>48</v>
      </c>
      <c r="E114" s="218" t="s">
        <v>431</v>
      </c>
    </row>
    <row r="115" s="220" customFormat="true" ht="14.25" hidden="false" customHeight="false" outlineLevel="0" collapsed="false">
      <c r="A115" s="214" t="str">
        <f aca="false">CONCATENATE(E115,",",D115)</f>
        <v>CHE 470,ED4-CHE</v>
      </c>
      <c r="B115" s="217" t="s">
        <v>1545</v>
      </c>
      <c r="C115" s="218" t="s">
        <v>1546</v>
      </c>
      <c r="D115" s="219" t="s">
        <v>48</v>
      </c>
      <c r="E115" s="218" t="s">
        <v>415</v>
      </c>
    </row>
    <row r="116" s="220" customFormat="true" ht="14.25" hidden="false" customHeight="false" outlineLevel="0" collapsed="false">
      <c r="A116" s="214" t="str">
        <f aca="false">CONCATENATE(E116,",",D116)</f>
        <v>CHEM 280,ED2-CHE</v>
      </c>
      <c r="B116" s="217" t="s">
        <v>1547</v>
      </c>
      <c r="C116" s="218" t="s">
        <v>1548</v>
      </c>
      <c r="D116" s="219" t="s">
        <v>13</v>
      </c>
      <c r="E116" s="218" t="s">
        <v>173</v>
      </c>
    </row>
    <row r="117" s="220" customFormat="true" ht="14.25" hidden="false" customHeight="false" outlineLevel="0" collapsed="false">
      <c r="A117" s="214" t="str">
        <f aca="false">CONCATENATE(E117,",",D117)</f>
        <v>CHEM 280,ED2-PCE</v>
      </c>
      <c r="B117" s="217" t="s">
        <v>1547</v>
      </c>
      <c r="C117" s="218" t="s">
        <v>1548</v>
      </c>
      <c r="D117" s="219" t="s">
        <v>14</v>
      </c>
      <c r="E117" s="218" t="s">
        <v>173</v>
      </c>
    </row>
    <row r="118" s="220" customFormat="true" ht="14.25" hidden="false" customHeight="false" outlineLevel="0" collapsed="false">
      <c r="A118" s="214" t="str">
        <f aca="false">CONCATENATE(E118,",",D118)</f>
        <v>COE 152,ED1-BME</v>
      </c>
      <c r="B118" s="217" t="s">
        <v>1549</v>
      </c>
      <c r="C118" s="218" t="s">
        <v>1445</v>
      </c>
      <c r="D118" s="219" t="s">
        <v>130</v>
      </c>
      <c r="E118" s="218" t="s">
        <v>260</v>
      </c>
    </row>
    <row r="119" s="220" customFormat="true" ht="14.25" hidden="false" customHeight="false" outlineLevel="0" collapsed="false">
      <c r="A119" s="214" t="str">
        <f aca="false">CONCATENATE(E119,",",D119)</f>
        <v>ME 161,ED1-BME</v>
      </c>
      <c r="B119" s="217" t="s">
        <v>1069</v>
      </c>
      <c r="C119" s="218" t="s">
        <v>1550</v>
      </c>
      <c r="D119" s="219" t="s">
        <v>130</v>
      </c>
      <c r="E119" s="218" t="s">
        <v>1070</v>
      </c>
    </row>
    <row r="120" s="220" customFormat="true" ht="14.25" hidden="false" customHeight="false" outlineLevel="0" collapsed="false">
      <c r="A120" s="214" t="str">
        <f aca="false">CONCATENATE(E120,",",D120)</f>
        <v>COE 382,ED1-COE</v>
      </c>
      <c r="B120" s="217" t="s">
        <v>1551</v>
      </c>
      <c r="C120" s="218" t="s">
        <v>1541</v>
      </c>
      <c r="D120" s="219" t="s">
        <v>20</v>
      </c>
      <c r="E120" s="218" t="s">
        <v>412</v>
      </c>
    </row>
    <row r="121" s="220" customFormat="true" ht="14.25" hidden="false" customHeight="false" outlineLevel="0" collapsed="false">
      <c r="A121" s="214" t="str">
        <f aca="false">CONCATENATE(E121,",",D121)</f>
        <v>COE 181,ED1-BME</v>
      </c>
      <c r="B121" s="217" t="s">
        <v>1066</v>
      </c>
      <c r="C121" s="218" t="s">
        <v>1552</v>
      </c>
      <c r="D121" s="219" t="s">
        <v>130</v>
      </c>
      <c r="E121" s="218" t="s">
        <v>1067</v>
      </c>
    </row>
    <row r="122" s="220" customFormat="true" ht="14.25" hidden="false" customHeight="false" outlineLevel="0" collapsed="false">
      <c r="A122" s="214" t="str">
        <f aca="false">CONCATENATE(E122,",",D122)</f>
        <v>BME 161,ED1-BME</v>
      </c>
      <c r="B122" s="217" t="s">
        <v>1553</v>
      </c>
      <c r="C122" s="218" t="s">
        <v>1554</v>
      </c>
      <c r="D122" s="219" t="s">
        <v>130</v>
      </c>
      <c r="E122" s="218" t="s">
        <v>1073</v>
      </c>
    </row>
    <row r="123" s="220" customFormat="true" ht="14.25" hidden="false" customHeight="false" outlineLevel="0" collapsed="false">
      <c r="A123" s="214" t="str">
        <f aca="false">CONCATENATE(E123,",",D123)</f>
        <v>ME 166,ED1-BME</v>
      </c>
      <c r="B123" s="217" t="s">
        <v>1024</v>
      </c>
      <c r="C123" s="218" t="s">
        <v>1550</v>
      </c>
      <c r="D123" s="219" t="s">
        <v>130</v>
      </c>
      <c r="E123" s="218" t="s">
        <v>421</v>
      </c>
    </row>
    <row r="124" s="220" customFormat="true" ht="14.25" hidden="false" customHeight="false" outlineLevel="0" collapsed="false">
      <c r="A124" s="214" t="str">
        <f aca="false">CONCATENATE(E124,",",D124)</f>
        <v>BME 166,ED1-BME</v>
      </c>
      <c r="B124" s="217" t="s">
        <v>1555</v>
      </c>
      <c r="C124" s="218" t="s">
        <v>1556</v>
      </c>
      <c r="D124" s="219" t="s">
        <v>130</v>
      </c>
      <c r="E124" s="218" t="s">
        <v>520</v>
      </c>
    </row>
    <row r="125" s="220" customFormat="true" ht="15" hidden="false" customHeight="true" outlineLevel="0" collapsed="false">
      <c r="A125" s="214" t="str">
        <f aca="false">CONCATENATE(E125,",",D125)</f>
        <v>COE 152,ED1-COE</v>
      </c>
      <c r="B125" s="217" t="s">
        <v>1549</v>
      </c>
      <c r="C125" s="218" t="s">
        <v>1557</v>
      </c>
      <c r="D125" s="219" t="s">
        <v>20</v>
      </c>
      <c r="E125" s="218" t="s">
        <v>260</v>
      </c>
    </row>
    <row r="126" s="220" customFormat="true" ht="14.25" hidden="false" customHeight="false" outlineLevel="0" collapsed="false">
      <c r="A126" s="214" t="str">
        <f aca="false">CONCATENATE(E126,",",D126)</f>
        <v>COE 158,ED1-COE</v>
      </c>
      <c r="B126" s="217" t="s">
        <v>1380</v>
      </c>
      <c r="C126" s="218" t="s">
        <v>1558</v>
      </c>
      <c r="D126" s="219" t="s">
        <v>20</v>
      </c>
      <c r="E126" s="218" t="s">
        <v>175</v>
      </c>
    </row>
    <row r="127" s="220" customFormat="true" ht="14.25" hidden="false" customHeight="false" outlineLevel="0" collapsed="false">
      <c r="A127" s="214" t="str">
        <f aca="false">CONCATENATE(E127,",",D127)</f>
        <v>EE 158,ED1-EE</v>
      </c>
      <c r="B127" s="217" t="s">
        <v>1173</v>
      </c>
      <c r="C127" s="218" t="s">
        <v>1559</v>
      </c>
      <c r="D127" s="219" t="s">
        <v>51</v>
      </c>
      <c r="E127" s="218" t="s">
        <v>329</v>
      </c>
    </row>
    <row r="128" s="220" customFormat="true" ht="14.25" hidden="false" customHeight="false" outlineLevel="0" collapsed="false">
      <c r="A128" s="214" t="str">
        <f aca="false">CONCATENATE(E128,",",D128)</f>
        <v>COE 254,ED2-BME</v>
      </c>
      <c r="B128" s="217" t="s">
        <v>1560</v>
      </c>
      <c r="C128" s="218" t="s">
        <v>1561</v>
      </c>
      <c r="D128" s="219" t="s">
        <v>109</v>
      </c>
      <c r="E128" s="218" t="s">
        <v>107</v>
      </c>
    </row>
    <row r="129" s="220" customFormat="true" ht="14.25" hidden="false" customHeight="false" outlineLevel="0" collapsed="false">
      <c r="A129" s="214" t="str">
        <f aca="false">CONCATENATE(E129,",",D129)</f>
        <v>COE 254,ED2-COE</v>
      </c>
      <c r="B129" s="217" t="s">
        <v>1560</v>
      </c>
      <c r="C129" s="218" t="s">
        <v>1561</v>
      </c>
      <c r="D129" s="219" t="s">
        <v>108</v>
      </c>
      <c r="E129" s="218" t="s">
        <v>107</v>
      </c>
    </row>
    <row r="130" s="220" customFormat="true" ht="14.25" hidden="false" customHeight="false" outlineLevel="0" collapsed="false">
      <c r="A130" s="214" t="str">
        <f aca="false">CONCATENATE(E130,",",D130)</f>
        <v>COE 272,ED2-BME</v>
      </c>
      <c r="B130" s="217" t="s">
        <v>1562</v>
      </c>
      <c r="C130" s="218" t="s">
        <v>1563</v>
      </c>
      <c r="D130" s="219" t="s">
        <v>109</v>
      </c>
      <c r="E130" s="218" t="s">
        <v>377</v>
      </c>
    </row>
    <row r="131" s="220" customFormat="true" ht="14.25" hidden="false" customHeight="false" outlineLevel="0" collapsed="false">
      <c r="A131" s="214" t="str">
        <f aca="false">CONCATENATE(E131,",",D131)</f>
        <v>COE 272,ED2-COE</v>
      </c>
      <c r="B131" s="217" t="s">
        <v>1562</v>
      </c>
      <c r="C131" s="218" t="s">
        <v>1563</v>
      </c>
      <c r="D131" s="219" t="s">
        <v>108</v>
      </c>
      <c r="E131" s="218" t="s">
        <v>377</v>
      </c>
    </row>
    <row r="132" s="220" customFormat="true" ht="14.25" hidden="false" customHeight="false" outlineLevel="0" collapsed="false">
      <c r="A132" s="214" t="str">
        <f aca="false">CONCATENATE(E132,",",D132)</f>
        <v>COE 288,ED2-COE</v>
      </c>
      <c r="B132" s="217" t="s">
        <v>1564</v>
      </c>
      <c r="C132" s="218" t="s">
        <v>1565</v>
      </c>
      <c r="D132" s="219" t="s">
        <v>108</v>
      </c>
      <c r="E132" s="218" t="s">
        <v>202</v>
      </c>
    </row>
    <row r="133" s="220" customFormat="true" ht="14.25" hidden="false" customHeight="false" outlineLevel="0" collapsed="false">
      <c r="A133" s="214" t="str">
        <f aca="false">CONCATENATE(E133,",",D133)</f>
        <v>COE 292,ED2-COE</v>
      </c>
      <c r="B133" s="217" t="s">
        <v>1566</v>
      </c>
      <c r="C133" s="218" t="s">
        <v>1567</v>
      </c>
      <c r="D133" s="219" t="s">
        <v>108</v>
      </c>
      <c r="E133" s="218" t="s">
        <v>1156</v>
      </c>
    </row>
    <row r="134" s="220" customFormat="true" ht="14.25" hidden="false" customHeight="false" outlineLevel="0" collapsed="false">
      <c r="A134" s="214" t="str">
        <f aca="false">CONCATENATE(E134,",",D134)</f>
        <v>COE 354,ED3-COE</v>
      </c>
      <c r="B134" s="217" t="s">
        <v>1568</v>
      </c>
      <c r="C134" s="218" t="s">
        <v>1567</v>
      </c>
      <c r="D134" s="219" t="s">
        <v>16</v>
      </c>
      <c r="E134" s="218" t="s">
        <v>15</v>
      </c>
    </row>
    <row r="135" s="220" customFormat="true" ht="14.25" hidden="false" customHeight="false" outlineLevel="0" collapsed="false">
      <c r="A135" s="214" t="str">
        <f aca="false">CONCATENATE(E135,",",D135)</f>
        <v>COE 356,ED3-COE</v>
      </c>
      <c r="B135" s="217" t="s">
        <v>1569</v>
      </c>
      <c r="C135" s="218" t="s">
        <v>1561</v>
      </c>
      <c r="D135" s="219" t="s">
        <v>16</v>
      </c>
      <c r="E135" s="218" t="s">
        <v>318</v>
      </c>
    </row>
    <row r="136" s="220" customFormat="true" ht="14.25" hidden="false" customHeight="false" outlineLevel="0" collapsed="false">
      <c r="A136" s="214" t="str">
        <f aca="false">CONCATENATE(E136,",",D136)</f>
        <v>COE 358,ED3-BME</v>
      </c>
      <c r="B136" s="217" t="s">
        <v>1570</v>
      </c>
      <c r="C136" s="218" t="s">
        <v>1567</v>
      </c>
      <c r="D136" s="219" t="s">
        <v>65</v>
      </c>
      <c r="E136" s="218" t="s">
        <v>259</v>
      </c>
    </row>
    <row r="137" s="220" customFormat="true" ht="14.25" hidden="false" customHeight="false" outlineLevel="0" collapsed="false">
      <c r="A137" s="214" t="str">
        <f aca="false">CONCATENATE(E137,",",D137)</f>
        <v>COE 358,ED3-COE</v>
      </c>
      <c r="B137" s="217" t="s">
        <v>1570</v>
      </c>
      <c r="C137" s="218" t="s">
        <v>1567</v>
      </c>
      <c r="D137" s="219" t="s">
        <v>16</v>
      </c>
      <c r="E137" s="218" t="s">
        <v>259</v>
      </c>
    </row>
    <row r="138" s="220" customFormat="true" ht="14.25" hidden="false" customHeight="false" outlineLevel="0" collapsed="false">
      <c r="A138" s="214" t="str">
        <f aca="false">CONCATENATE(E138,",",D138)</f>
        <v>COE 368,ED3-COE</v>
      </c>
      <c r="B138" s="217" t="s">
        <v>1571</v>
      </c>
      <c r="C138" s="218" t="s">
        <v>1572</v>
      </c>
      <c r="D138" s="219" t="s">
        <v>16</v>
      </c>
      <c r="E138" s="218" t="s">
        <v>198</v>
      </c>
    </row>
    <row r="139" s="220" customFormat="true" ht="14.25" hidden="false" customHeight="false" outlineLevel="0" collapsed="false">
      <c r="A139" s="214" t="str">
        <f aca="false">CONCATENATE(E139,",",D139)</f>
        <v>COE 372,ED3-COE</v>
      </c>
      <c r="B139" s="217" t="s">
        <v>1573</v>
      </c>
      <c r="C139" s="218" t="s">
        <v>1574</v>
      </c>
      <c r="D139" s="219" t="s">
        <v>16</v>
      </c>
      <c r="E139" s="218" t="s">
        <v>413</v>
      </c>
    </row>
    <row r="140" s="220" customFormat="true" ht="14.25" hidden="false" customHeight="false" outlineLevel="0" collapsed="false">
      <c r="A140" s="214" t="str">
        <f aca="false">CONCATENATE(E140,",",D140)</f>
        <v>COE 382,ED3-EE</v>
      </c>
      <c r="B140" s="217" t="s">
        <v>1575</v>
      </c>
      <c r="C140" s="218" t="s">
        <v>1574</v>
      </c>
      <c r="D140" s="219" t="s">
        <v>71</v>
      </c>
      <c r="E140" s="218" t="s">
        <v>412</v>
      </c>
    </row>
    <row r="141" s="220" customFormat="true" ht="14.25" hidden="false" customHeight="false" outlineLevel="0" collapsed="false">
      <c r="A141" s="214" t="str">
        <f aca="false">CONCATENATE(E141,",",D141)</f>
        <v>COE 392,ED3-COE</v>
      </c>
      <c r="B141" s="217" t="s">
        <v>1576</v>
      </c>
      <c r="C141" s="218" t="s">
        <v>1567</v>
      </c>
      <c r="D141" s="219" t="s">
        <v>16</v>
      </c>
      <c r="E141" s="218" t="s">
        <v>1165</v>
      </c>
    </row>
    <row r="142" s="220" customFormat="true" ht="14.25" hidden="false" customHeight="false" outlineLevel="0" collapsed="false">
      <c r="A142" s="214" t="str">
        <f aca="false">CONCATENATE(E142,",",D142)</f>
        <v>COE 454,ED4-COE</v>
      </c>
      <c r="B142" s="217" t="s">
        <v>1577</v>
      </c>
      <c r="C142" s="218" t="s">
        <v>1572</v>
      </c>
      <c r="D142" s="219" t="s">
        <v>251</v>
      </c>
      <c r="E142" s="218" t="s">
        <v>505</v>
      </c>
    </row>
    <row r="143" s="220" customFormat="true" ht="14.25" hidden="false" customHeight="false" outlineLevel="0" collapsed="false">
      <c r="A143" s="214" t="str">
        <f aca="false">CONCATENATE(E143,",",D143)</f>
        <v>COE 456,ED4-COE</v>
      </c>
      <c r="B143" s="217" t="s">
        <v>1578</v>
      </c>
      <c r="C143" s="218" t="s">
        <v>1579</v>
      </c>
      <c r="D143" s="219" t="s">
        <v>251</v>
      </c>
      <c r="E143" s="218" t="s">
        <v>432</v>
      </c>
    </row>
    <row r="144" s="220" customFormat="true" ht="14.25" hidden="false" customHeight="false" outlineLevel="0" collapsed="false">
      <c r="A144" s="214" t="str">
        <f aca="false">CONCATENATE(E144,",",D144)</f>
        <v>COE 458,ED4-COE</v>
      </c>
      <c r="B144" s="217" t="s">
        <v>1580</v>
      </c>
      <c r="C144" s="218" t="s">
        <v>1558</v>
      </c>
      <c r="D144" s="219" t="s">
        <v>251</v>
      </c>
      <c r="E144" s="218" t="s">
        <v>348</v>
      </c>
    </row>
    <row r="145" s="220" customFormat="true" ht="14.25" hidden="false" customHeight="false" outlineLevel="0" collapsed="false">
      <c r="A145" s="214" t="str">
        <f aca="false">CONCATENATE(E145,",",D145)</f>
        <v>COE 472,ED4-BME</v>
      </c>
      <c r="B145" s="217" t="s">
        <v>1581</v>
      </c>
      <c r="C145" s="218" t="s">
        <v>1554</v>
      </c>
      <c r="D145" s="219" t="s">
        <v>252</v>
      </c>
      <c r="E145" s="218" t="s">
        <v>250</v>
      </c>
    </row>
    <row r="146" s="220" customFormat="true" ht="14.25" hidden="false" customHeight="false" outlineLevel="0" collapsed="false">
      <c r="A146" s="214" t="str">
        <f aca="false">CONCATENATE(E146,",",D146)</f>
        <v>COE 472,ED4-COE</v>
      </c>
      <c r="B146" s="217" t="s">
        <v>1581</v>
      </c>
      <c r="C146" s="218" t="s">
        <v>1582</v>
      </c>
      <c r="D146" s="219" t="s">
        <v>251</v>
      </c>
      <c r="E146" s="218" t="s">
        <v>250</v>
      </c>
    </row>
    <row r="147" s="220" customFormat="true" ht="14.25" hidden="false" customHeight="false" outlineLevel="0" collapsed="false">
      <c r="A147" s="214" t="str">
        <f aca="false">CONCATENATE(E147,",",D147)</f>
        <v>COE 480,ED4-COE</v>
      </c>
      <c r="B147" s="217" t="s">
        <v>1583</v>
      </c>
      <c r="C147" s="218" t="s">
        <v>1584</v>
      </c>
      <c r="D147" s="219" t="s">
        <v>251</v>
      </c>
      <c r="E147" s="218" t="s">
        <v>457</v>
      </c>
    </row>
    <row r="148" s="220" customFormat="true" ht="14.25" hidden="false" customHeight="false" outlineLevel="0" collapsed="false">
      <c r="A148" s="214" t="str">
        <f aca="false">CONCATENATE(E148,",",D148)</f>
        <v>COE 484,ED4-EE</v>
      </c>
      <c r="B148" s="217" t="s">
        <v>1585</v>
      </c>
      <c r="C148" s="218" t="s">
        <v>1586</v>
      </c>
      <c r="D148" s="219" t="s">
        <v>144</v>
      </c>
      <c r="E148" s="218" t="s">
        <v>1194</v>
      </c>
    </row>
    <row r="149" s="220" customFormat="true" ht="14.25" hidden="false" customHeight="false" outlineLevel="0" collapsed="false">
      <c r="A149" s="214" t="str">
        <f aca="false">CONCATENATE(E149,",",D149)</f>
        <v>COE 486,ED4-COE</v>
      </c>
      <c r="B149" s="217" t="s">
        <v>1587</v>
      </c>
      <c r="C149" s="218" t="s">
        <v>1584</v>
      </c>
      <c r="D149" s="219" t="s">
        <v>251</v>
      </c>
      <c r="E149" s="218" t="s">
        <v>504</v>
      </c>
    </row>
    <row r="150" s="220" customFormat="true" ht="14.25" hidden="false" customHeight="false" outlineLevel="0" collapsed="false">
      <c r="A150" s="214" t="str">
        <f aca="false">CONCATENATE(E150,",",D150)</f>
        <v>COE 486,ED4-EE</v>
      </c>
      <c r="B150" s="217" t="s">
        <v>1588</v>
      </c>
      <c r="C150" s="218" t="s">
        <v>1584</v>
      </c>
      <c r="D150" s="219" t="s">
        <v>144</v>
      </c>
      <c r="E150" s="218" t="s">
        <v>504</v>
      </c>
    </row>
    <row r="151" customFormat="false" ht="14.25" hidden="false" customHeight="false" outlineLevel="0" collapsed="false">
      <c r="A151" s="214" t="str">
        <f aca="false">CONCATENATE(E151,",",D151)</f>
        <v>ACF 256,ED1-GEOL</v>
      </c>
      <c r="B151" s="215" t="s">
        <v>1378</v>
      </c>
      <c r="C151" s="214" t="s">
        <v>1589</v>
      </c>
      <c r="D151" s="216" t="s">
        <v>126</v>
      </c>
      <c r="E151" s="214" t="s">
        <v>424</v>
      </c>
    </row>
    <row r="152" customFormat="false" ht="14.25" hidden="false" customHeight="false" outlineLevel="0" collapsed="false">
      <c r="A152" s="214" t="str">
        <f aca="false">CONCATENATE(E152,",",D152)</f>
        <v>ACF 256,ED3-GEOM</v>
      </c>
      <c r="B152" s="215" t="s">
        <v>1378</v>
      </c>
      <c r="C152" s="214" t="s">
        <v>1590</v>
      </c>
      <c r="D152" s="216" t="s">
        <v>77</v>
      </c>
      <c r="E152" s="214" t="s">
        <v>424</v>
      </c>
    </row>
    <row r="153" s="220" customFormat="true" ht="14.25" hidden="false" customHeight="false" outlineLevel="0" collapsed="false">
      <c r="A153" s="214" t="str">
        <f aca="false">CONCATENATE(E153,",",D153)</f>
        <v>ECON 152,ED2-BME</v>
      </c>
      <c r="B153" s="217" t="s">
        <v>1591</v>
      </c>
      <c r="C153" s="218" t="s">
        <v>1592</v>
      </c>
      <c r="D153" s="219" t="s">
        <v>109</v>
      </c>
      <c r="E153" s="218" t="s">
        <v>406</v>
      </c>
    </row>
    <row r="154" s="220" customFormat="true" ht="14.25" hidden="false" customHeight="false" outlineLevel="0" collapsed="false">
      <c r="A154" s="214" t="str">
        <f aca="false">CONCATENATE(E154,",",D154)</f>
        <v>ECON 152,ED3-CHE</v>
      </c>
      <c r="B154" s="217" t="s">
        <v>1593</v>
      </c>
      <c r="C154" s="218" t="s">
        <v>1594</v>
      </c>
      <c r="D154" s="219" t="s">
        <v>73</v>
      </c>
      <c r="E154" s="218" t="s">
        <v>406</v>
      </c>
    </row>
    <row r="155" s="220" customFormat="true" ht="14.25" hidden="false" customHeight="false" outlineLevel="0" collapsed="false">
      <c r="A155" s="214" t="str">
        <f aca="false">CONCATENATE(E155,",",D155)</f>
        <v>ECON 152,ED2-COE</v>
      </c>
      <c r="B155" s="217" t="s">
        <v>1595</v>
      </c>
      <c r="C155" s="218" t="s">
        <v>1594</v>
      </c>
      <c r="D155" s="219" t="s">
        <v>108</v>
      </c>
      <c r="E155" s="218" t="s">
        <v>406</v>
      </c>
    </row>
    <row r="156" s="220" customFormat="true" ht="14.25" hidden="false" customHeight="false" outlineLevel="0" collapsed="false">
      <c r="A156" s="214" t="str">
        <f aca="false">CONCATENATE(E156,",",D156)</f>
        <v>ECON 152,ED2-EE</v>
      </c>
      <c r="B156" s="217" t="s">
        <v>1593</v>
      </c>
      <c r="C156" s="218" t="s">
        <v>1594</v>
      </c>
      <c r="D156" s="219" t="s">
        <v>25</v>
      </c>
      <c r="E156" s="218" t="s">
        <v>406</v>
      </c>
    </row>
    <row r="157" s="220" customFormat="true" ht="14.25" hidden="false" customHeight="false" outlineLevel="0" collapsed="false">
      <c r="A157" s="214" t="str">
        <f aca="false">CONCATENATE(E157,",",D157)</f>
        <v>ECON 152,ED1-GEOL</v>
      </c>
      <c r="B157" s="217" t="s">
        <v>1593</v>
      </c>
      <c r="C157" s="218" t="s">
        <v>1596</v>
      </c>
      <c r="D157" s="219" t="s">
        <v>126</v>
      </c>
      <c r="E157" s="218" t="s">
        <v>406</v>
      </c>
    </row>
    <row r="158" s="220" customFormat="true" ht="14.25" hidden="false" customHeight="false" outlineLevel="0" collapsed="false">
      <c r="A158" s="214" t="str">
        <f aca="false">CONCATENATE(E158,",",D158)</f>
        <v>ECON 152,ED3-GEOM</v>
      </c>
      <c r="B158" s="217" t="s">
        <v>1591</v>
      </c>
      <c r="C158" s="218" t="s">
        <v>1597</v>
      </c>
      <c r="D158" s="219" t="s">
        <v>77</v>
      </c>
      <c r="E158" s="218" t="s">
        <v>406</v>
      </c>
    </row>
    <row r="159" s="220" customFormat="true" ht="14.25" hidden="false" customHeight="false" outlineLevel="0" collapsed="false">
      <c r="A159" s="214" t="str">
        <f aca="false">CONCATENATE(E159,",",D159)</f>
        <v>ECON 152,ED2-TEL</v>
      </c>
      <c r="B159" s="217" t="s">
        <v>1593</v>
      </c>
      <c r="C159" s="218" t="s">
        <v>1594</v>
      </c>
      <c r="D159" s="219" t="s">
        <v>172</v>
      </c>
      <c r="E159" s="218" t="s">
        <v>406</v>
      </c>
    </row>
    <row r="160" s="220" customFormat="true" ht="14.25" hidden="false" customHeight="false" outlineLevel="0" collapsed="false">
      <c r="A160" s="214" t="str">
        <f aca="false">CONCATENATE(E160,",",D160)</f>
        <v>ECON 152,ED1-CE</v>
      </c>
      <c r="B160" s="217" t="s">
        <v>1595</v>
      </c>
      <c r="C160" s="218" t="s">
        <v>1594</v>
      </c>
      <c r="D160" s="219" t="s">
        <v>75</v>
      </c>
      <c r="E160" s="218" t="s">
        <v>406</v>
      </c>
    </row>
    <row r="161" s="220" customFormat="true" ht="14.25" hidden="false" customHeight="false" outlineLevel="0" collapsed="false">
      <c r="A161" s="214" t="str">
        <f aca="false">CONCATENATE(E161,",",D161)</f>
        <v>EE 152,ED1-AERO</v>
      </c>
      <c r="B161" s="217" t="s">
        <v>1549</v>
      </c>
      <c r="C161" s="218" t="s">
        <v>1598</v>
      </c>
      <c r="D161" s="219" t="s">
        <v>191</v>
      </c>
      <c r="E161" s="218" t="s">
        <v>234</v>
      </c>
    </row>
    <row r="162" s="220" customFormat="true" ht="14.25" hidden="false" customHeight="false" outlineLevel="0" collapsed="false">
      <c r="A162" s="214" t="str">
        <f aca="false">CONCATENATE(E162,",",D162)</f>
        <v>EE 152,ED1-AE</v>
      </c>
      <c r="B162" s="217" t="s">
        <v>1549</v>
      </c>
      <c r="C162" s="218" t="s">
        <v>1598</v>
      </c>
      <c r="D162" s="219" t="s">
        <v>131</v>
      </c>
      <c r="E162" s="218" t="s">
        <v>234</v>
      </c>
    </row>
    <row r="163" s="220" customFormat="true" ht="14.25" hidden="false" customHeight="false" outlineLevel="0" collapsed="false">
      <c r="A163" s="214" t="str">
        <f aca="false">CONCATENATE(E163,",",D163)</f>
        <v>EE 152,ED1-CHE</v>
      </c>
      <c r="B163" s="217" t="s">
        <v>1549</v>
      </c>
      <c r="C163" s="218" t="s">
        <v>1599</v>
      </c>
      <c r="D163" s="219" t="s">
        <v>80</v>
      </c>
      <c r="E163" s="218" t="s">
        <v>234</v>
      </c>
    </row>
    <row r="164" s="220" customFormat="true" ht="14.25" hidden="false" customHeight="false" outlineLevel="0" collapsed="false">
      <c r="A164" s="214" t="str">
        <f aca="false">CONCATENATE(E164,",",D164)</f>
        <v>EE 152,ED1-CE</v>
      </c>
      <c r="B164" s="217" t="s">
        <v>1549</v>
      </c>
      <c r="C164" s="218" t="s">
        <v>1599</v>
      </c>
      <c r="D164" s="219" t="s">
        <v>75</v>
      </c>
      <c r="E164" s="218" t="s">
        <v>234</v>
      </c>
    </row>
    <row r="165" s="220" customFormat="true" ht="14.25" hidden="false" customHeight="false" outlineLevel="0" collapsed="false">
      <c r="A165" s="214" t="str">
        <f aca="false">CONCATENATE(E165,",",D165)</f>
        <v>EE 152,ED1-EE</v>
      </c>
      <c r="B165" s="217" t="s">
        <v>1549</v>
      </c>
      <c r="C165" s="218" t="s">
        <v>1600</v>
      </c>
      <c r="D165" s="219" t="s">
        <v>51</v>
      </c>
      <c r="E165" s="218" t="s">
        <v>234</v>
      </c>
    </row>
    <row r="166" s="220" customFormat="true" ht="14.25" hidden="false" customHeight="false" outlineLevel="0" collapsed="false">
      <c r="A166" s="214" t="str">
        <f aca="false">CONCATENATE(E166,",",D166)</f>
        <v>EE 152,ED1-AUTO</v>
      </c>
      <c r="B166" s="217" t="s">
        <v>1549</v>
      </c>
      <c r="C166" s="218" t="s">
        <v>1599</v>
      </c>
      <c r="D166" s="219" t="s">
        <v>162</v>
      </c>
      <c r="E166" s="218" t="s">
        <v>234</v>
      </c>
    </row>
    <row r="167" s="220" customFormat="true" ht="14.25" hidden="false" customHeight="false" outlineLevel="0" collapsed="false">
      <c r="A167" s="214" t="str">
        <f aca="false">CONCATENATE(E167,",",D167)</f>
        <v>EE 152,ED1-GEOL</v>
      </c>
      <c r="B167" s="217" t="s">
        <v>1549</v>
      </c>
      <c r="C167" s="218" t="s">
        <v>1601</v>
      </c>
      <c r="D167" s="219" t="s">
        <v>126</v>
      </c>
      <c r="E167" s="218" t="s">
        <v>234</v>
      </c>
    </row>
    <row r="168" s="220" customFormat="true" ht="14.25" hidden="false" customHeight="false" outlineLevel="0" collapsed="false">
      <c r="A168" s="214" t="str">
        <f aca="false">CONCATENATE(E168,",",D168)</f>
        <v>EE 152,ED1-GEOM</v>
      </c>
      <c r="B168" s="217" t="s">
        <v>1549</v>
      </c>
      <c r="C168" s="218" t="s">
        <v>1601</v>
      </c>
      <c r="D168" s="219" t="s">
        <v>95</v>
      </c>
      <c r="E168" s="218" t="s">
        <v>234</v>
      </c>
    </row>
    <row r="169" s="220" customFormat="true" ht="14.25" hidden="false" customHeight="false" outlineLevel="0" collapsed="false">
      <c r="A169" s="214" t="str">
        <f aca="false">CONCATENATE(E169,",",D169)</f>
        <v>EE 152,ED1-IND</v>
      </c>
      <c r="B169" s="217" t="s">
        <v>1549</v>
      </c>
      <c r="C169" s="218" t="s">
        <v>1598</v>
      </c>
      <c r="D169" s="219" t="s">
        <v>111</v>
      </c>
      <c r="E169" s="218" t="s">
        <v>234</v>
      </c>
    </row>
    <row r="170" s="220" customFormat="true" ht="14.25" hidden="false" customHeight="false" outlineLevel="0" collapsed="false">
      <c r="A170" s="214" t="str">
        <f aca="false">CONCATENATE(E170,",",D170)</f>
        <v>EE 152,ED1-MARI</v>
      </c>
      <c r="B170" s="217" t="s">
        <v>1549</v>
      </c>
      <c r="C170" s="218" t="s">
        <v>1599</v>
      </c>
      <c r="D170" s="219" t="s">
        <v>112</v>
      </c>
      <c r="E170" s="218" t="s">
        <v>234</v>
      </c>
    </row>
    <row r="171" s="220" customFormat="true" ht="14.25" hidden="false" customHeight="false" outlineLevel="0" collapsed="false">
      <c r="A171" s="214" t="str">
        <f aca="false">CONCATENATE(E171,",",D171)</f>
        <v>METE 154,ED1-MSE</v>
      </c>
      <c r="B171" s="217" t="s">
        <v>1602</v>
      </c>
      <c r="C171" s="218" t="s">
        <v>1603</v>
      </c>
      <c r="D171" s="219" t="s">
        <v>115</v>
      </c>
      <c r="E171" s="218" t="s">
        <v>500</v>
      </c>
    </row>
    <row r="172" s="220" customFormat="true" ht="14.25" hidden="false" customHeight="false" outlineLevel="0" collapsed="false">
      <c r="A172" s="214" t="str">
        <f aca="false">CONCATENATE(E172,",",D172)</f>
        <v>EE 152,ED1-ME</v>
      </c>
      <c r="B172" s="217" t="s">
        <v>1549</v>
      </c>
      <c r="C172" s="218" t="s">
        <v>1599</v>
      </c>
      <c r="D172" s="219" t="s">
        <v>161</v>
      </c>
      <c r="E172" s="218" t="s">
        <v>234</v>
      </c>
    </row>
    <row r="173" s="220" customFormat="true" ht="14.25" hidden="false" customHeight="false" outlineLevel="0" collapsed="false">
      <c r="A173" s="214" t="str">
        <f aca="false">CONCATENATE(E173,",",D173)</f>
        <v>EE 152,ED1-PCE</v>
      </c>
      <c r="B173" s="217" t="s">
        <v>1549</v>
      </c>
      <c r="C173" s="218" t="s">
        <v>1598</v>
      </c>
      <c r="D173" s="219" t="s">
        <v>81</v>
      </c>
      <c r="E173" s="218" t="s">
        <v>234</v>
      </c>
    </row>
    <row r="174" s="220" customFormat="true" ht="14.25" hidden="false" customHeight="false" outlineLevel="0" collapsed="false">
      <c r="A174" s="214" t="str">
        <f aca="false">CONCATENATE(E174,",",D174)</f>
        <v>EE 152,ED1-PETE</v>
      </c>
      <c r="B174" s="217" t="s">
        <v>1549</v>
      </c>
      <c r="C174" s="218" t="s">
        <v>1598</v>
      </c>
      <c r="D174" s="219" t="s">
        <v>1327</v>
      </c>
      <c r="E174" s="218" t="s">
        <v>234</v>
      </c>
    </row>
    <row r="175" s="220" customFormat="true" ht="14.25" hidden="false" customHeight="false" outlineLevel="0" collapsed="false">
      <c r="A175" s="214" t="str">
        <f aca="false">CONCATENATE(E175,",",D175)</f>
        <v>EE 152,ED1-TEL</v>
      </c>
      <c r="B175" s="217" t="s">
        <v>1549</v>
      </c>
      <c r="C175" s="218" t="s">
        <v>1604</v>
      </c>
      <c r="D175" s="219" t="s">
        <v>91</v>
      </c>
      <c r="E175" s="218" t="s">
        <v>234</v>
      </c>
    </row>
    <row r="176" s="220" customFormat="true" ht="15" hidden="false" customHeight="true" outlineLevel="0" collapsed="false">
      <c r="A176" s="214" t="str">
        <f aca="false">CONCATENATE(E176,",",D176)</f>
        <v>EE 156,ED1-COE</v>
      </c>
      <c r="B176" s="217" t="s">
        <v>1605</v>
      </c>
      <c r="C176" s="218" t="s">
        <v>1599</v>
      </c>
      <c r="D176" s="219" t="s">
        <v>20</v>
      </c>
      <c r="E176" s="218" t="s">
        <v>19</v>
      </c>
    </row>
    <row r="177" s="220" customFormat="true" ht="15" hidden="false" customHeight="true" outlineLevel="0" collapsed="false">
      <c r="A177" s="214" t="str">
        <f aca="false">CONCATENATE(E177,",",D177)</f>
        <v>EE 156,ED1-EE</v>
      </c>
      <c r="B177" s="217" t="s">
        <v>1605</v>
      </c>
      <c r="C177" s="218" t="s">
        <v>1599</v>
      </c>
      <c r="D177" s="219" t="s">
        <v>51</v>
      </c>
      <c r="E177" s="218" t="s">
        <v>19</v>
      </c>
    </row>
    <row r="178" s="220" customFormat="true" ht="14.25" hidden="false" customHeight="false" outlineLevel="0" collapsed="false">
      <c r="A178" s="214" t="str">
        <f aca="false">CONCATENATE(E178,",",D178)</f>
        <v>EE 166,ED1-EE</v>
      </c>
      <c r="B178" s="217" t="s">
        <v>1154</v>
      </c>
      <c r="C178" s="218" t="s">
        <v>1606</v>
      </c>
      <c r="D178" s="219" t="s">
        <v>51</v>
      </c>
      <c r="E178" s="218" t="s">
        <v>184</v>
      </c>
    </row>
    <row r="179" s="220" customFormat="true" ht="14.25" hidden="false" customHeight="false" outlineLevel="0" collapsed="false">
      <c r="A179" s="214" t="str">
        <f aca="false">CONCATENATE(E179,",",D179)</f>
        <v>EE 188,ED1-EE</v>
      </c>
      <c r="B179" s="217" t="s">
        <v>1174</v>
      </c>
      <c r="C179" s="218" t="s">
        <v>1598</v>
      </c>
      <c r="D179" s="219" t="s">
        <v>51</v>
      </c>
      <c r="E179" s="218" t="s">
        <v>137</v>
      </c>
    </row>
    <row r="180" s="220" customFormat="true" ht="14.25" hidden="false" customHeight="false" outlineLevel="0" collapsed="false">
      <c r="A180" s="214" t="str">
        <f aca="false">CONCATENATE(E180,",",D180)</f>
        <v>EE 172,ED1-COE</v>
      </c>
      <c r="B180" s="217" t="s">
        <v>1607</v>
      </c>
      <c r="C180" s="218" t="s">
        <v>1601</v>
      </c>
      <c r="D180" s="219" t="s">
        <v>20</v>
      </c>
      <c r="E180" s="218" t="s">
        <v>474</v>
      </c>
    </row>
    <row r="181" s="220" customFormat="true" ht="14.25" hidden="false" customHeight="false" outlineLevel="0" collapsed="false">
      <c r="A181" s="214" t="str">
        <f aca="false">CONCATENATE(E181,",",D181)</f>
        <v>EE 188,ED1-TEL</v>
      </c>
      <c r="B181" s="217" t="s">
        <v>1608</v>
      </c>
      <c r="C181" s="218" t="s">
        <v>1552</v>
      </c>
      <c r="D181" s="219" t="s">
        <v>91</v>
      </c>
      <c r="E181" s="218" t="s">
        <v>137</v>
      </c>
    </row>
    <row r="182" s="220" customFormat="true" ht="14.25" hidden="false" customHeight="false" outlineLevel="0" collapsed="false">
      <c r="A182" s="214" t="str">
        <f aca="false">CONCATENATE(E182,",",D182)</f>
        <v>EE 252,ED2-AE</v>
      </c>
      <c r="B182" s="217" t="s">
        <v>1609</v>
      </c>
      <c r="C182" s="218" t="s">
        <v>1601</v>
      </c>
      <c r="D182" s="219" t="s">
        <v>53</v>
      </c>
      <c r="E182" s="218" t="s">
        <v>473</v>
      </c>
    </row>
    <row r="183" s="220" customFormat="true" ht="14.25" hidden="false" customHeight="false" outlineLevel="0" collapsed="false">
      <c r="A183" s="214" t="str">
        <f aca="false">CONCATENATE(E183,",",D183)</f>
        <v>EE 252,ED3-ME</v>
      </c>
      <c r="B183" s="217" t="s">
        <v>1609</v>
      </c>
      <c r="C183" s="218" t="s">
        <v>1601</v>
      </c>
      <c r="D183" s="219" t="s">
        <v>61</v>
      </c>
      <c r="E183" s="218" t="s">
        <v>473</v>
      </c>
    </row>
    <row r="184" s="220" customFormat="true" ht="14.25" hidden="false" customHeight="false" outlineLevel="0" collapsed="false">
      <c r="A184" s="214" t="str">
        <f aca="false">CONCATENATE(E184,",",D184)</f>
        <v>EE 262,ED2-EE</v>
      </c>
      <c r="B184" s="217" t="s">
        <v>1610</v>
      </c>
      <c r="C184" s="218" t="s">
        <v>1611</v>
      </c>
      <c r="D184" s="219" t="s">
        <v>25</v>
      </c>
      <c r="E184" s="218" t="s">
        <v>365</v>
      </c>
    </row>
    <row r="185" s="220" customFormat="true" ht="14.25" hidden="false" customHeight="false" outlineLevel="0" collapsed="false">
      <c r="A185" s="214" t="str">
        <f aca="false">CONCATENATE(E185,",",D185)</f>
        <v>EE 272,ED2-EE</v>
      </c>
      <c r="B185" s="217" t="s">
        <v>1612</v>
      </c>
      <c r="C185" s="218" t="s">
        <v>1586</v>
      </c>
      <c r="D185" s="219" t="s">
        <v>25</v>
      </c>
      <c r="E185" s="218" t="s">
        <v>24</v>
      </c>
    </row>
    <row r="186" s="220" customFormat="true" ht="14.25" hidden="false" customHeight="false" outlineLevel="0" collapsed="false">
      <c r="A186" s="214" t="str">
        <f aca="false">CONCATENATE(E186,",",D186)</f>
        <v>EE 288,ED2-COE</v>
      </c>
      <c r="B186" s="217" t="s">
        <v>1608</v>
      </c>
      <c r="C186" s="218" t="s">
        <v>1558</v>
      </c>
      <c r="D186" s="219" t="s">
        <v>108</v>
      </c>
      <c r="E186" s="218" t="s">
        <v>518</v>
      </c>
    </row>
    <row r="187" s="220" customFormat="true" ht="14.25" hidden="false" customHeight="false" outlineLevel="0" collapsed="false">
      <c r="A187" s="214" t="str">
        <f aca="false">CONCATENATE(E187,",",D187)</f>
        <v>EE 288,ED2-EE</v>
      </c>
      <c r="B187" s="217" t="s">
        <v>1613</v>
      </c>
      <c r="C187" s="218" t="s">
        <v>1586</v>
      </c>
      <c r="D187" s="219" t="s">
        <v>25</v>
      </c>
      <c r="E187" s="218" t="s">
        <v>518</v>
      </c>
    </row>
    <row r="188" s="220" customFormat="true" ht="14.25" hidden="false" customHeight="false" outlineLevel="0" collapsed="false">
      <c r="A188" s="214" t="str">
        <f aca="false">CONCATENATE(E188,",",D188)</f>
        <v>EE 292,ED2-EE</v>
      </c>
      <c r="B188" s="217" t="s">
        <v>1614</v>
      </c>
      <c r="C188" s="218" t="s">
        <v>1615</v>
      </c>
      <c r="D188" s="219" t="s">
        <v>25</v>
      </c>
      <c r="E188" s="218" t="s">
        <v>1180</v>
      </c>
    </row>
    <row r="189" s="220" customFormat="true" ht="14.25" hidden="false" customHeight="false" outlineLevel="0" collapsed="false">
      <c r="A189" s="214" t="str">
        <f aca="false">CONCATENATE(E189,",",D189)</f>
        <v>EE 360,ED3-EE</v>
      </c>
      <c r="B189" s="217" t="s">
        <v>1616</v>
      </c>
      <c r="C189" s="218" t="s">
        <v>1611</v>
      </c>
      <c r="D189" s="219" t="s">
        <v>71</v>
      </c>
      <c r="E189" s="218" t="s">
        <v>381</v>
      </c>
    </row>
    <row r="190" s="220" customFormat="true" ht="14.25" hidden="false" customHeight="false" outlineLevel="0" collapsed="false">
      <c r="A190" s="214" t="str">
        <f aca="false">CONCATENATE(E190,",",D190)</f>
        <v>EE 362,ED3-EE</v>
      </c>
      <c r="B190" s="217" t="s">
        <v>1617</v>
      </c>
      <c r="C190" s="218" t="s">
        <v>1618</v>
      </c>
      <c r="D190" s="219" t="s">
        <v>71</v>
      </c>
      <c r="E190" s="218" t="s">
        <v>70</v>
      </c>
    </row>
    <row r="191" s="220" customFormat="true" ht="14.25" hidden="false" customHeight="false" outlineLevel="0" collapsed="false">
      <c r="A191" s="214" t="str">
        <f aca="false">CONCATENATE(E191,",",D191)</f>
        <v>EE 366,ED3-EE</v>
      </c>
      <c r="B191" s="217" t="s">
        <v>1619</v>
      </c>
      <c r="C191" s="218" t="s">
        <v>1620</v>
      </c>
      <c r="D191" s="219" t="s">
        <v>71</v>
      </c>
      <c r="E191" s="218" t="s">
        <v>286</v>
      </c>
    </row>
    <row r="192" s="220" customFormat="true" ht="14.25" hidden="false" customHeight="false" outlineLevel="0" collapsed="false">
      <c r="A192" s="214" t="str">
        <f aca="false">CONCATENATE(E192,",",D192)</f>
        <v>EE 368,ED3-EE</v>
      </c>
      <c r="B192" s="217" t="s">
        <v>1621</v>
      </c>
      <c r="C192" s="218" t="s">
        <v>1606</v>
      </c>
      <c r="D192" s="219" t="s">
        <v>71</v>
      </c>
      <c r="E192" s="218" t="s">
        <v>517</v>
      </c>
    </row>
    <row r="193" s="220" customFormat="true" ht="14.25" hidden="false" customHeight="false" outlineLevel="0" collapsed="false">
      <c r="A193" s="214" t="str">
        <f aca="false">CONCATENATE(E193,",",D193)</f>
        <v>EE 380,ED3-EE</v>
      </c>
      <c r="B193" s="217" t="s">
        <v>1171</v>
      </c>
      <c r="C193" s="218" t="s">
        <v>1586</v>
      </c>
      <c r="D193" s="219" t="s">
        <v>71</v>
      </c>
      <c r="E193" s="218" t="s">
        <v>233</v>
      </c>
    </row>
    <row r="194" s="220" customFormat="true" ht="14.25" hidden="false" customHeight="false" outlineLevel="0" collapsed="false">
      <c r="A194" s="214" t="str">
        <f aca="false">CONCATENATE(E194,",",D194)</f>
        <v>EE 392,ED3-EE</v>
      </c>
      <c r="B194" s="217" t="s">
        <v>1622</v>
      </c>
      <c r="C194" s="218" t="s">
        <v>1623</v>
      </c>
      <c r="D194" s="219" t="s">
        <v>71</v>
      </c>
      <c r="E194" s="218" t="s">
        <v>1189</v>
      </c>
    </row>
    <row r="195" s="220" customFormat="true" ht="15" hidden="false" customHeight="true" outlineLevel="0" collapsed="false">
      <c r="A195" s="214" t="str">
        <f aca="false">CONCATENATE(E195,",",D195)</f>
        <v>EE 462,ED4-EE</v>
      </c>
      <c r="B195" s="217" t="s">
        <v>1624</v>
      </c>
      <c r="C195" s="218" t="s">
        <v>1620</v>
      </c>
      <c r="D195" s="219" t="s">
        <v>144</v>
      </c>
      <c r="E195" s="218" t="s">
        <v>143</v>
      </c>
    </row>
    <row r="196" s="220" customFormat="true" ht="14.25" hidden="false" customHeight="false" outlineLevel="0" collapsed="false">
      <c r="A196" s="214" t="str">
        <f aca="false">CONCATENATE(E196,",",D196)</f>
        <v>EE 466,ED4-EE</v>
      </c>
      <c r="B196" s="217" t="s">
        <v>1625</v>
      </c>
      <c r="C196" s="218" t="s">
        <v>1618</v>
      </c>
      <c r="D196" s="219" t="s">
        <v>144</v>
      </c>
      <c r="E196" s="218" t="s">
        <v>353</v>
      </c>
    </row>
    <row r="197" s="220" customFormat="true" ht="14.25" hidden="false" customHeight="false" outlineLevel="0" collapsed="false">
      <c r="A197" s="214" t="str">
        <f aca="false">CONCATENATE(E197,",",D197)</f>
        <v>EE 468,ED4-EE</v>
      </c>
      <c r="B197" s="217" t="s">
        <v>1626</v>
      </c>
      <c r="C197" s="218" t="s">
        <v>1615</v>
      </c>
      <c r="D197" s="219" t="s">
        <v>144</v>
      </c>
      <c r="E197" s="218" t="s">
        <v>267</v>
      </c>
    </row>
    <row r="198" s="220" customFormat="true" ht="14.25" hidden="false" customHeight="false" outlineLevel="0" collapsed="false">
      <c r="A198" s="214" t="str">
        <f aca="false">CONCATENATE(E198,",",D198)</f>
        <v>EE 472,ED4-EE</v>
      </c>
      <c r="B198" s="217" t="s">
        <v>1581</v>
      </c>
      <c r="C198" s="218" t="s">
        <v>1627</v>
      </c>
      <c r="D198" s="219" t="s">
        <v>144</v>
      </c>
      <c r="E198" s="218" t="s">
        <v>307</v>
      </c>
    </row>
    <row r="199" s="220" customFormat="true" ht="14.25" hidden="false" customHeight="false" outlineLevel="0" collapsed="false">
      <c r="A199" s="214" t="str">
        <f aca="false">CONCATENATE(E199,",",D199)</f>
        <v>EE 472,ED4-TEL</v>
      </c>
      <c r="B199" s="217" t="s">
        <v>1581</v>
      </c>
      <c r="C199" s="218" t="s">
        <v>1627</v>
      </c>
      <c r="D199" s="219" t="s">
        <v>227</v>
      </c>
      <c r="E199" s="218" t="s">
        <v>307</v>
      </c>
    </row>
    <row r="200" s="220" customFormat="true" ht="14.25" hidden="false" customHeight="false" outlineLevel="0" collapsed="false">
      <c r="A200" s="214" t="str">
        <f aca="false">CONCATENATE(E200,",",D200)</f>
        <v>ENGL 158,ED1-AERO</v>
      </c>
      <c r="B200" s="217" t="s">
        <v>1628</v>
      </c>
      <c r="C200" s="218" t="s">
        <v>1629</v>
      </c>
      <c r="D200" s="219" t="s">
        <v>191</v>
      </c>
      <c r="E200" s="218" t="s">
        <v>364</v>
      </c>
    </row>
    <row r="201" s="220" customFormat="true" ht="14.25" hidden="false" customHeight="false" outlineLevel="0" collapsed="false">
      <c r="A201" s="214" t="str">
        <f aca="false">CONCATENATE(E201,",",D201)</f>
        <v>ENGL 158,ED1-AE</v>
      </c>
      <c r="B201" s="217" t="s">
        <v>1628</v>
      </c>
      <c r="C201" s="218" t="s">
        <v>1629</v>
      </c>
      <c r="D201" s="219" t="s">
        <v>131</v>
      </c>
      <c r="E201" s="218" t="s">
        <v>364</v>
      </c>
    </row>
    <row r="202" s="220" customFormat="true" ht="14.25" hidden="false" customHeight="false" outlineLevel="0" collapsed="false">
      <c r="A202" s="214" t="str">
        <f aca="false">CONCATENATE(E202,",",D202)</f>
        <v>ENGL 158,ED1-AUTO</v>
      </c>
      <c r="B202" s="217" t="s">
        <v>1628</v>
      </c>
      <c r="C202" s="218" t="s">
        <v>1630</v>
      </c>
      <c r="D202" s="219" t="s">
        <v>162</v>
      </c>
      <c r="E202" s="218" t="s">
        <v>364</v>
      </c>
    </row>
    <row r="203" s="220" customFormat="true" ht="14.25" hidden="false" customHeight="false" outlineLevel="0" collapsed="false">
      <c r="A203" s="214" t="str">
        <f aca="false">CONCATENATE(E203,",",D203)</f>
        <v>ENGL 158,ED1-BME</v>
      </c>
      <c r="B203" s="217" t="s">
        <v>1628</v>
      </c>
      <c r="C203" s="218" t="s">
        <v>1631</v>
      </c>
      <c r="D203" s="219" t="s">
        <v>130</v>
      </c>
      <c r="E203" s="218" t="s">
        <v>364</v>
      </c>
    </row>
    <row r="204" customFormat="false" ht="14.25" hidden="false" customHeight="false" outlineLevel="0" collapsed="false">
      <c r="A204" s="214" t="str">
        <f aca="false">CONCATENATE(E204,",",D204)</f>
        <v>ENGL 158,ED1-CE</v>
      </c>
      <c r="B204" s="217" t="s">
        <v>1628</v>
      </c>
      <c r="C204" s="218" t="s">
        <v>1632</v>
      </c>
      <c r="D204" s="219" t="s">
        <v>75</v>
      </c>
      <c r="E204" s="218" t="s">
        <v>364</v>
      </c>
    </row>
    <row r="205" s="220" customFormat="true" ht="14.25" hidden="false" customHeight="false" outlineLevel="0" collapsed="false">
      <c r="A205" s="214" t="str">
        <f aca="false">CONCATENATE(E205,",",D205)</f>
        <v>ENGL 158,ED1-COE</v>
      </c>
      <c r="B205" s="217" t="s">
        <v>1628</v>
      </c>
      <c r="C205" s="218" t="s">
        <v>1633</v>
      </c>
      <c r="D205" s="219" t="s">
        <v>20</v>
      </c>
      <c r="E205" s="218" t="s">
        <v>364</v>
      </c>
    </row>
    <row r="206" s="220" customFormat="true" ht="14.25" hidden="false" customHeight="false" outlineLevel="0" collapsed="false">
      <c r="A206" s="214" t="str">
        <f aca="false">CONCATENATE(E206,",",D206)</f>
        <v>ENGL 158,ED1-CHE</v>
      </c>
      <c r="B206" s="217" t="s">
        <v>1628</v>
      </c>
      <c r="C206" s="218" t="s">
        <v>1629</v>
      </c>
      <c r="D206" s="219" t="s">
        <v>80</v>
      </c>
      <c r="E206" s="218" t="s">
        <v>364</v>
      </c>
    </row>
    <row r="207" s="220" customFormat="true" ht="14.25" hidden="false" customHeight="false" outlineLevel="0" collapsed="false">
      <c r="A207" s="214" t="str">
        <f aca="false">CONCATENATE(E207,",",D207)</f>
        <v>ENGL 158,ED1-EE</v>
      </c>
      <c r="B207" s="217" t="s">
        <v>1628</v>
      </c>
      <c r="C207" s="218" t="s">
        <v>1629</v>
      </c>
      <c r="D207" s="219" t="s">
        <v>51</v>
      </c>
      <c r="E207" s="218" t="s">
        <v>364</v>
      </c>
    </row>
    <row r="208" s="220" customFormat="true" ht="14.25" hidden="false" customHeight="false" outlineLevel="0" collapsed="false">
      <c r="A208" s="214" t="str">
        <f aca="false">CONCATENATE(E208,",",D208)</f>
        <v>ENGL 158,ED1-GEOL</v>
      </c>
      <c r="B208" s="217" t="s">
        <v>1628</v>
      </c>
      <c r="C208" s="218" t="s">
        <v>1629</v>
      </c>
      <c r="D208" s="219" t="s">
        <v>126</v>
      </c>
      <c r="E208" s="218" t="s">
        <v>364</v>
      </c>
    </row>
    <row r="209" s="220" customFormat="true" ht="15" hidden="false" customHeight="true" outlineLevel="0" collapsed="false">
      <c r="A209" s="214" t="str">
        <f aca="false">CONCATENATE(E209,",",D209)</f>
        <v>ENGL 158,ED1-GEOM</v>
      </c>
      <c r="B209" s="217" t="s">
        <v>1628</v>
      </c>
      <c r="C209" s="218" t="s">
        <v>1629</v>
      </c>
      <c r="D209" s="219" t="s">
        <v>95</v>
      </c>
      <c r="E209" s="218" t="s">
        <v>364</v>
      </c>
    </row>
    <row r="210" s="220" customFormat="true" ht="14.25" hidden="false" customHeight="false" outlineLevel="0" collapsed="false">
      <c r="A210" s="214" t="str">
        <f aca="false">CONCATENATE(E210,",",D210)</f>
        <v>ENGL 158,ED1-IND</v>
      </c>
      <c r="B210" s="217" t="s">
        <v>1628</v>
      </c>
      <c r="C210" s="218" t="s">
        <v>1629</v>
      </c>
      <c r="D210" s="219" t="s">
        <v>111</v>
      </c>
      <c r="E210" s="218" t="s">
        <v>364</v>
      </c>
    </row>
    <row r="211" s="220" customFormat="true" ht="14.25" hidden="false" customHeight="false" outlineLevel="0" collapsed="false">
      <c r="A211" s="214" t="str">
        <f aca="false">CONCATENATE(E211,",",D211)</f>
        <v>ENGL 158,ED1-MARI</v>
      </c>
      <c r="B211" s="217" t="s">
        <v>1628</v>
      </c>
      <c r="C211" s="218" t="s">
        <v>1629</v>
      </c>
      <c r="D211" s="219" t="s">
        <v>112</v>
      </c>
      <c r="E211" s="218" t="s">
        <v>364</v>
      </c>
    </row>
    <row r="212" s="220" customFormat="true" ht="14.25" hidden="false" customHeight="false" outlineLevel="0" collapsed="false">
      <c r="A212" s="214" t="str">
        <f aca="false">CONCATENATE(E212,",",D212)</f>
        <v>ENGL 158,ED1-MSE</v>
      </c>
      <c r="B212" s="217" t="s">
        <v>1628</v>
      </c>
      <c r="C212" s="218" t="s">
        <v>1634</v>
      </c>
      <c r="D212" s="219" t="s">
        <v>115</v>
      </c>
      <c r="E212" s="218" t="s">
        <v>364</v>
      </c>
    </row>
    <row r="213" s="220" customFormat="true" ht="14.25" hidden="false" customHeight="false" outlineLevel="0" collapsed="false">
      <c r="A213" s="214" t="str">
        <f aca="false">CONCATENATE(E213,",",D213)</f>
        <v>ENGL 158,ED1-ME</v>
      </c>
      <c r="B213" s="217" t="s">
        <v>1628</v>
      </c>
      <c r="C213" s="218" t="s">
        <v>1629</v>
      </c>
      <c r="D213" s="219" t="s">
        <v>161</v>
      </c>
      <c r="E213" s="218" t="s">
        <v>364</v>
      </c>
    </row>
    <row r="214" s="220" customFormat="true" ht="14.25" hidden="false" customHeight="false" outlineLevel="0" collapsed="false">
      <c r="A214" s="214" t="str">
        <f aca="false">CONCATENATE(E214,",",D214)</f>
        <v>ENGL 158,ED1-METE</v>
      </c>
      <c r="B214" s="217" t="s">
        <v>1628</v>
      </c>
      <c r="C214" s="218" t="s">
        <v>1634</v>
      </c>
      <c r="D214" s="219" t="s">
        <v>114</v>
      </c>
      <c r="E214" s="218" t="s">
        <v>364</v>
      </c>
    </row>
    <row r="215" s="220" customFormat="true" ht="15" hidden="false" customHeight="true" outlineLevel="0" collapsed="false">
      <c r="A215" s="214" t="str">
        <f aca="false">CONCATENATE(E215,",",D215)</f>
        <v>ENGL 158,ED1-PCE</v>
      </c>
      <c r="B215" s="217" t="s">
        <v>1628</v>
      </c>
      <c r="C215" s="218" t="s">
        <v>1629</v>
      </c>
      <c r="D215" s="219" t="s">
        <v>81</v>
      </c>
      <c r="E215" s="218" t="s">
        <v>364</v>
      </c>
    </row>
    <row r="216" s="220" customFormat="true" ht="14.25" hidden="false" customHeight="false" outlineLevel="0" collapsed="false">
      <c r="A216" s="214" t="str">
        <f aca="false">CONCATENATE(E216,",",D216)</f>
        <v>ENGL 158,ED1-PETE</v>
      </c>
      <c r="B216" s="217" t="s">
        <v>1628</v>
      </c>
      <c r="C216" s="218" t="s">
        <v>1634</v>
      </c>
      <c r="D216" s="219" t="s">
        <v>1327</v>
      </c>
      <c r="E216" s="218" t="s">
        <v>364</v>
      </c>
    </row>
    <row r="217" s="220" customFormat="true" ht="14.25" hidden="false" customHeight="false" outlineLevel="0" collapsed="false">
      <c r="A217" s="214" t="str">
        <f aca="false">CONCATENATE(E217,",",D217)</f>
        <v>ENGL 158,ED1-TEL</v>
      </c>
      <c r="B217" s="217" t="s">
        <v>1628</v>
      </c>
      <c r="C217" s="218" t="s">
        <v>1634</v>
      </c>
      <c r="D217" s="219" t="s">
        <v>91</v>
      </c>
      <c r="E217" s="218" t="s">
        <v>364</v>
      </c>
    </row>
    <row r="218" s="220" customFormat="true" ht="14.25" hidden="false" customHeight="false" outlineLevel="0" collapsed="false">
      <c r="A218" s="214" t="str">
        <f aca="false">CONCATENATE(E218,",",D218)</f>
        <v>ENGL 264,ED2-AERO</v>
      </c>
      <c r="B218" s="217" t="s">
        <v>1635</v>
      </c>
      <c r="C218" s="218" t="s">
        <v>1629</v>
      </c>
      <c r="D218" s="219" t="s">
        <v>36</v>
      </c>
      <c r="E218" s="218" t="s">
        <v>276</v>
      </c>
    </row>
    <row r="219" s="220" customFormat="true" ht="14.25" hidden="false" customHeight="false" outlineLevel="0" collapsed="false">
      <c r="A219" s="214" t="str">
        <f aca="false">CONCATENATE(E219,",",D219)</f>
        <v>ENGL 264,ED2-GEOM</v>
      </c>
      <c r="B219" s="217" t="s">
        <v>1635</v>
      </c>
      <c r="C219" s="218" t="s">
        <v>1629</v>
      </c>
      <c r="D219" s="219" t="s">
        <v>170</v>
      </c>
      <c r="E219" s="218" t="s">
        <v>276</v>
      </c>
    </row>
    <row r="220" s="220" customFormat="true" ht="14.25" hidden="false" customHeight="false" outlineLevel="0" collapsed="false">
      <c r="A220" s="214" t="str">
        <f aca="false">CONCATENATE(E220,",",D220)</f>
        <v>ENGL 264,ED2-AE</v>
      </c>
      <c r="B220" s="217" t="s">
        <v>1635</v>
      </c>
      <c r="C220" s="218" t="s">
        <v>1629</v>
      </c>
      <c r="D220" s="219" t="s">
        <v>53</v>
      </c>
      <c r="E220" s="218" t="s">
        <v>276</v>
      </c>
    </row>
    <row r="221" s="220" customFormat="true" ht="14.25" hidden="false" customHeight="false" outlineLevel="0" collapsed="false">
      <c r="A221" s="214" t="str">
        <f aca="false">CONCATENATE(E221,",",D221)</f>
        <v>ENGL 264,ED2-IND</v>
      </c>
      <c r="B221" s="217" t="s">
        <v>1635</v>
      </c>
      <c r="C221" s="218" t="s">
        <v>1629</v>
      </c>
      <c r="D221" s="219" t="s">
        <v>38</v>
      </c>
      <c r="E221" s="218" t="s">
        <v>276</v>
      </c>
    </row>
    <row r="222" s="220" customFormat="true" ht="14.25" hidden="false" customHeight="false" outlineLevel="0" collapsed="false">
      <c r="A222" s="214" t="str">
        <f aca="false">CONCATENATE(E222,",",D222)</f>
        <v>FC 182,ED2-BME</v>
      </c>
      <c r="B222" s="217" t="s">
        <v>1636</v>
      </c>
      <c r="C222" s="218" t="s">
        <v>1637</v>
      </c>
      <c r="D222" s="219" t="s">
        <v>109</v>
      </c>
      <c r="E222" s="218" t="s">
        <v>245</v>
      </c>
    </row>
    <row r="223" customFormat="false" ht="14.25" hidden="false" customHeight="false" outlineLevel="0" collapsed="false">
      <c r="A223" s="214" t="str">
        <f aca="false">CONCATENATE(E223,",",D223)</f>
        <v>FC 182,ED1-CE</v>
      </c>
      <c r="B223" s="217" t="s">
        <v>1636</v>
      </c>
      <c r="C223" s="218" t="s">
        <v>1638</v>
      </c>
      <c r="D223" s="219" t="s">
        <v>75</v>
      </c>
      <c r="E223" s="218" t="s">
        <v>245</v>
      </c>
    </row>
    <row r="224" s="220" customFormat="true" ht="14.25" hidden="false" customHeight="false" outlineLevel="0" collapsed="false">
      <c r="A224" s="214" t="str">
        <f aca="false">CONCATENATE(E224,",",D224)</f>
        <v>FC 182,ED2-EE</v>
      </c>
      <c r="B224" s="217" t="s">
        <v>1636</v>
      </c>
      <c r="C224" s="218" t="s">
        <v>1639</v>
      </c>
      <c r="D224" s="219" t="s">
        <v>25</v>
      </c>
      <c r="E224" s="218" t="s">
        <v>245</v>
      </c>
    </row>
    <row r="225" s="220" customFormat="true" ht="14.25" hidden="false" customHeight="false" outlineLevel="0" collapsed="false">
      <c r="A225" s="214" t="str">
        <f aca="false">CONCATENATE(E225,",",D225)</f>
        <v>FC 182,ED2-COE</v>
      </c>
      <c r="B225" s="217" t="s">
        <v>1636</v>
      </c>
      <c r="C225" s="218" t="s">
        <v>1637</v>
      </c>
      <c r="D225" s="219" t="s">
        <v>108</v>
      </c>
      <c r="E225" s="218" t="s">
        <v>245</v>
      </c>
    </row>
    <row r="226" s="220" customFormat="true" ht="14.25" hidden="false" customHeight="false" outlineLevel="0" collapsed="false">
      <c r="A226" s="214" t="str">
        <f aca="false">CONCATENATE(E226,",",D226)</f>
        <v>FC 182,ED3-CHE</v>
      </c>
      <c r="B226" s="217" t="s">
        <v>1636</v>
      </c>
      <c r="C226" s="218" t="s">
        <v>1639</v>
      </c>
      <c r="D226" s="219" t="s">
        <v>73</v>
      </c>
      <c r="E226" s="218" t="s">
        <v>245</v>
      </c>
    </row>
    <row r="227" s="220" customFormat="true" ht="14.25" hidden="false" customHeight="false" outlineLevel="0" collapsed="false">
      <c r="A227" s="214" t="str">
        <f aca="false">CONCATENATE(E227,",",D227)</f>
        <v>FC 182,ED1-GEOL</v>
      </c>
      <c r="B227" s="217" t="s">
        <v>1636</v>
      </c>
      <c r="C227" s="218" t="s">
        <v>1638</v>
      </c>
      <c r="D227" s="219" t="s">
        <v>126</v>
      </c>
      <c r="E227" s="218" t="s">
        <v>245</v>
      </c>
    </row>
    <row r="228" s="220" customFormat="true" ht="14.25" hidden="false" customHeight="false" outlineLevel="0" collapsed="false">
      <c r="A228" s="214" t="str">
        <f aca="false">CONCATENATE(E228,",",D228)</f>
        <v>FC 182,ED1-MARI</v>
      </c>
      <c r="B228" s="217" t="s">
        <v>1636</v>
      </c>
      <c r="C228" s="218" t="s">
        <v>1638</v>
      </c>
      <c r="D228" s="219" t="s">
        <v>112</v>
      </c>
      <c r="E228" s="218" t="s">
        <v>245</v>
      </c>
    </row>
    <row r="229" s="220" customFormat="true" ht="14.25" hidden="false" customHeight="false" outlineLevel="0" collapsed="false">
      <c r="A229" s="214" t="str">
        <f aca="false">CONCATENATE(E229,",",D229)</f>
        <v>FC 182,ED2-TEL</v>
      </c>
      <c r="B229" s="217" t="s">
        <v>1636</v>
      </c>
      <c r="C229" s="218" t="s">
        <v>1638</v>
      </c>
      <c r="D229" s="219" t="s">
        <v>172</v>
      </c>
      <c r="E229" s="218" t="s">
        <v>245</v>
      </c>
    </row>
    <row r="230" s="220" customFormat="true" ht="14.25" hidden="false" customHeight="false" outlineLevel="0" collapsed="false">
      <c r="A230" s="214" t="str">
        <f aca="false">CONCATENATE(E230,",",D230)</f>
        <v>FC 182,ED3-GEOM</v>
      </c>
      <c r="B230" s="217" t="s">
        <v>1640</v>
      </c>
      <c r="C230" s="218" t="s">
        <v>1637</v>
      </c>
      <c r="D230" s="219" t="s">
        <v>77</v>
      </c>
      <c r="E230" s="218" t="s">
        <v>245</v>
      </c>
    </row>
    <row r="231" s="220" customFormat="true" ht="14.25" hidden="false" customHeight="false" outlineLevel="0" collapsed="false">
      <c r="A231" s="214" t="str">
        <f aca="false">CONCATENATE(E231,",",D231)</f>
        <v>GE 152,ED1-GEOM</v>
      </c>
      <c r="B231" s="217" t="s">
        <v>1641</v>
      </c>
      <c r="C231" s="218" t="s">
        <v>1642</v>
      </c>
      <c r="D231" s="219" t="s">
        <v>95</v>
      </c>
      <c r="E231" s="218" t="s">
        <v>201</v>
      </c>
    </row>
    <row r="232" s="220" customFormat="true" ht="14.25" hidden="false" customHeight="false" outlineLevel="0" collapsed="false">
      <c r="A232" s="214" t="str">
        <f aca="false">CONCATENATE(E232,",",D232)</f>
        <v>GE 158,ED1-GEOM</v>
      </c>
      <c r="B232" s="217" t="s">
        <v>1380</v>
      </c>
      <c r="C232" s="218" t="s">
        <v>1643</v>
      </c>
      <c r="D232" s="219" t="s">
        <v>95</v>
      </c>
      <c r="E232" s="218" t="s">
        <v>430</v>
      </c>
    </row>
    <row r="233" s="220" customFormat="true" ht="14.25" hidden="false" customHeight="false" outlineLevel="0" collapsed="false">
      <c r="A233" s="214" t="str">
        <f aca="false">CONCATENATE(E233,",",D233)</f>
        <v>GE 162,ED1-GEOM</v>
      </c>
      <c r="B233" s="217" t="s">
        <v>1644</v>
      </c>
      <c r="C233" s="218" t="s">
        <v>1645</v>
      </c>
      <c r="D233" s="219" t="s">
        <v>95</v>
      </c>
      <c r="E233" s="218" t="s">
        <v>94</v>
      </c>
    </row>
    <row r="234" s="220" customFormat="true" ht="14.25" hidden="false" customHeight="false" outlineLevel="0" collapsed="false">
      <c r="A234" s="214" t="str">
        <f aca="false">CONCATENATE(E234,",",D234)</f>
        <v>GE 262,ED2-GEOM</v>
      </c>
      <c r="B234" s="217" t="s">
        <v>1646</v>
      </c>
      <c r="C234" s="218" t="s">
        <v>1647</v>
      </c>
      <c r="D234" s="219" t="s">
        <v>170</v>
      </c>
      <c r="E234" s="218" t="s">
        <v>169</v>
      </c>
    </row>
    <row r="235" s="220" customFormat="true" ht="14.25" hidden="false" customHeight="false" outlineLevel="0" collapsed="false">
      <c r="A235" s="214" t="str">
        <f aca="false">CONCATENATE(E235,",",D235)</f>
        <v>GE 272,ED2-GEOM</v>
      </c>
      <c r="B235" s="217" t="s">
        <v>1648</v>
      </c>
      <c r="C235" s="218" t="s">
        <v>1649</v>
      </c>
      <c r="D235" s="219" t="s">
        <v>170</v>
      </c>
      <c r="E235" s="218" t="s">
        <v>219</v>
      </c>
    </row>
    <row r="236" s="220" customFormat="true" ht="14.25" hidden="false" customHeight="false" outlineLevel="0" collapsed="false">
      <c r="A236" s="214" t="str">
        <f aca="false">CONCATENATE(E236,",",D236)</f>
        <v>GE 282,ED2-CE</v>
      </c>
      <c r="B236" s="217" t="s">
        <v>1644</v>
      </c>
      <c r="C236" s="218" t="s">
        <v>1650</v>
      </c>
      <c r="D236" s="219" t="s">
        <v>56</v>
      </c>
      <c r="E236" s="218" t="s">
        <v>489</v>
      </c>
    </row>
    <row r="237" s="220" customFormat="true" ht="14.25" hidden="false" customHeight="false" outlineLevel="0" collapsed="false">
      <c r="A237" s="214" t="str">
        <f aca="false">CONCATENATE(E237,",",D237)</f>
        <v>GE 282,ED2-GEOL</v>
      </c>
      <c r="B237" s="217" t="s">
        <v>1644</v>
      </c>
      <c r="C237" s="218" t="s">
        <v>1650</v>
      </c>
      <c r="D237" s="219" t="s">
        <v>55</v>
      </c>
      <c r="E237" s="218" t="s">
        <v>489</v>
      </c>
    </row>
    <row r="238" s="220" customFormat="true" ht="14.25" hidden="false" customHeight="false" outlineLevel="0" collapsed="false">
      <c r="A238" s="214" t="str">
        <f aca="false">CONCATENATE(E238,",",D238)</f>
        <v>GE 284,ED2-GEOM</v>
      </c>
      <c r="B238" s="217" t="s">
        <v>1651</v>
      </c>
      <c r="C238" s="218" t="s">
        <v>1652</v>
      </c>
      <c r="D238" s="219" t="s">
        <v>170</v>
      </c>
      <c r="E238" s="218" t="s">
        <v>475</v>
      </c>
    </row>
    <row r="239" s="220" customFormat="true" ht="14.25" hidden="false" customHeight="false" outlineLevel="0" collapsed="false">
      <c r="A239" s="214" t="str">
        <f aca="false">CONCATENATE(E239,",",D239)</f>
        <v>GE 286,ED2-AE</v>
      </c>
      <c r="B239" s="217" t="s">
        <v>1653</v>
      </c>
      <c r="C239" s="218" t="s">
        <v>1654</v>
      </c>
      <c r="D239" s="219" t="s">
        <v>53</v>
      </c>
      <c r="E239" s="218" t="s">
        <v>52</v>
      </c>
    </row>
    <row r="240" s="220" customFormat="true" ht="14.25" hidden="false" customHeight="false" outlineLevel="0" collapsed="false">
      <c r="A240" s="214" t="str">
        <f aca="false">CONCATENATE(E240,",",D240)</f>
        <v>GE 354,ED3-GEOM</v>
      </c>
      <c r="B240" s="217" t="s">
        <v>1655</v>
      </c>
      <c r="C240" s="218" t="s">
        <v>1656</v>
      </c>
      <c r="D240" s="219" t="s">
        <v>77</v>
      </c>
      <c r="E240" s="218" t="s">
        <v>221</v>
      </c>
    </row>
    <row r="241" s="220" customFormat="true" ht="14.25" hidden="false" customHeight="false" outlineLevel="0" collapsed="false">
      <c r="A241" s="214" t="str">
        <f aca="false">CONCATENATE(E241,",",D241)</f>
        <v>GE 362,ED3-GEOM</v>
      </c>
      <c r="B241" s="217" t="s">
        <v>1657</v>
      </c>
      <c r="C241" s="218" t="s">
        <v>1658</v>
      </c>
      <c r="D241" s="219" t="s">
        <v>77</v>
      </c>
      <c r="E241" s="218" t="s">
        <v>309</v>
      </c>
    </row>
    <row r="242" s="220" customFormat="true" ht="14.25" hidden="false" customHeight="false" outlineLevel="0" collapsed="false">
      <c r="A242" s="214" t="str">
        <f aca="false">CONCATENATE(E242,",",D242)</f>
        <v>GE 372,ED3-GEOM</v>
      </c>
      <c r="B242" s="217" t="s">
        <v>1659</v>
      </c>
      <c r="C242" s="218" t="s">
        <v>1660</v>
      </c>
      <c r="D242" s="219" t="s">
        <v>77</v>
      </c>
      <c r="E242" s="218" t="s">
        <v>76</v>
      </c>
    </row>
    <row r="243" s="220" customFormat="true" ht="14.25" hidden="false" customHeight="false" outlineLevel="0" collapsed="false">
      <c r="A243" s="214" t="str">
        <f aca="false">CONCATENATE(E243,",",D243)</f>
        <v>GE 464,ED4-GEOM</v>
      </c>
      <c r="B243" s="217" t="s">
        <v>1661</v>
      </c>
      <c r="C243" s="218" t="s">
        <v>1645</v>
      </c>
      <c r="D243" s="219" t="s">
        <v>194</v>
      </c>
      <c r="E243" s="218" t="s">
        <v>193</v>
      </c>
    </row>
    <row r="244" s="220" customFormat="true" ht="14.25" hidden="false" customHeight="false" outlineLevel="0" collapsed="false">
      <c r="A244" s="214" t="str">
        <f aca="false">CONCATENATE(E244,",",D244)</f>
        <v>GE 472,ED4-GEOM</v>
      </c>
      <c r="B244" s="217" t="s">
        <v>1662</v>
      </c>
      <c r="C244" s="218" t="s">
        <v>1649</v>
      </c>
      <c r="D244" s="219" t="s">
        <v>194</v>
      </c>
      <c r="E244" s="218" t="s">
        <v>284</v>
      </c>
    </row>
    <row r="245" s="220" customFormat="true" ht="15" hidden="false" customHeight="true" outlineLevel="0" collapsed="false">
      <c r="A245" s="214" t="str">
        <f aca="false">CONCATENATE(E245,",",D245)</f>
        <v>GE 474,ED4-GEOM</v>
      </c>
      <c r="B245" s="217" t="s">
        <v>1663</v>
      </c>
      <c r="C245" s="218" t="s">
        <v>1664</v>
      </c>
      <c r="D245" s="219" t="s">
        <v>194</v>
      </c>
      <c r="E245" s="218" t="s">
        <v>471</v>
      </c>
    </row>
    <row r="246" s="220" customFormat="true" ht="14.25" hidden="false" customHeight="false" outlineLevel="0" collapsed="false">
      <c r="A246" s="214" t="str">
        <f aca="false">CONCATENATE(E246,",",D246)</f>
        <v>GE 476,ED4-GEOM</v>
      </c>
      <c r="B246" s="217" t="s">
        <v>1665</v>
      </c>
      <c r="C246" s="218" t="s">
        <v>1666</v>
      </c>
      <c r="D246" s="219" t="s">
        <v>194</v>
      </c>
      <c r="E246" s="218" t="s">
        <v>341</v>
      </c>
    </row>
    <row r="247" s="220" customFormat="true" ht="14.25" hidden="false" customHeight="false" outlineLevel="0" collapsed="false">
      <c r="A247" s="214" t="str">
        <f aca="false">CONCATENATE(E247,",",D247)</f>
        <v>GED 152,ED1-GEOL</v>
      </c>
      <c r="B247" s="217" t="s">
        <v>1667</v>
      </c>
      <c r="C247" s="218" t="s">
        <v>1668</v>
      </c>
      <c r="D247" s="219" t="s">
        <v>126</v>
      </c>
      <c r="E247" s="218" t="s">
        <v>354</v>
      </c>
    </row>
    <row r="248" s="220" customFormat="true" ht="14.25" hidden="false" customHeight="false" outlineLevel="0" collapsed="false">
      <c r="A248" s="214" t="str">
        <f aca="false">CONCATENATE(E248,",",D248)</f>
        <v>GED 164,ED1-GEOL</v>
      </c>
      <c r="B248" s="217" t="s">
        <v>1669</v>
      </c>
      <c r="C248" s="218" t="s">
        <v>1670</v>
      </c>
      <c r="D248" s="219" t="s">
        <v>126</v>
      </c>
      <c r="E248" s="218" t="s">
        <v>125</v>
      </c>
    </row>
    <row r="249" s="220" customFormat="true" ht="14.25" hidden="false" customHeight="false" outlineLevel="0" collapsed="false">
      <c r="A249" s="214" t="str">
        <f aca="false">CONCATENATE(E249,",",D249)</f>
        <v>GED 252,ED2-GEOL</v>
      </c>
      <c r="B249" s="217" t="s">
        <v>1671</v>
      </c>
      <c r="C249" s="218" t="s">
        <v>1672</v>
      </c>
      <c r="D249" s="219" t="s">
        <v>55</v>
      </c>
      <c r="E249" s="218" t="s">
        <v>224</v>
      </c>
    </row>
    <row r="250" s="220" customFormat="true" ht="14.25" hidden="false" customHeight="false" outlineLevel="0" collapsed="false">
      <c r="A250" s="214" t="str">
        <f aca="false">CONCATENATE(E250,",",D250)</f>
        <v>GED 254,ED2-GEOL</v>
      </c>
      <c r="B250" s="217" t="s">
        <v>1673</v>
      </c>
      <c r="C250" s="218" t="s">
        <v>1674</v>
      </c>
      <c r="D250" s="219" t="s">
        <v>55</v>
      </c>
      <c r="E250" s="218" t="s">
        <v>399</v>
      </c>
    </row>
    <row r="251" s="220" customFormat="true" ht="14.25" hidden="false" customHeight="false" outlineLevel="0" collapsed="false">
      <c r="A251" s="214" t="str">
        <f aca="false">CONCATENATE(E251,",",D251)</f>
        <v>GED 258,ED2-GEOL</v>
      </c>
      <c r="B251" s="217" t="s">
        <v>1675</v>
      </c>
      <c r="C251" s="218" t="s">
        <v>1676</v>
      </c>
      <c r="D251" s="219" t="s">
        <v>55</v>
      </c>
      <c r="E251" s="218" t="s">
        <v>369</v>
      </c>
    </row>
    <row r="252" s="220" customFormat="true" ht="14.25" hidden="false" customHeight="false" outlineLevel="0" collapsed="false">
      <c r="A252" s="214" t="str">
        <f aca="false">CONCATENATE(E252,",",D252)</f>
        <v>GED 262,ED2-GEOL</v>
      </c>
      <c r="B252" s="217" t="s">
        <v>1677</v>
      </c>
      <c r="C252" s="218" t="s">
        <v>1678</v>
      </c>
      <c r="D252" s="219" t="s">
        <v>55</v>
      </c>
      <c r="E252" s="218" t="s">
        <v>247</v>
      </c>
    </row>
    <row r="253" s="220" customFormat="true" ht="15" hidden="false" customHeight="true" outlineLevel="0" collapsed="false">
      <c r="A253" s="214" t="str">
        <f aca="false">CONCATENATE(E253,",",D253)</f>
        <v>GED 342,ED3-GEOL</v>
      </c>
      <c r="B253" s="217" t="s">
        <v>1679</v>
      </c>
      <c r="C253" s="218" t="s">
        <v>1680</v>
      </c>
      <c r="D253" s="219" t="s">
        <v>154</v>
      </c>
      <c r="E253" s="218" t="s">
        <v>497</v>
      </c>
    </row>
    <row r="254" s="220" customFormat="true" ht="14.25" hidden="false" customHeight="false" outlineLevel="0" collapsed="false">
      <c r="A254" s="214" t="str">
        <f aca="false">CONCATENATE(E254,",",D254)</f>
        <v>GED 352,ED3-GEOL</v>
      </c>
      <c r="B254" s="217" t="s">
        <v>1681</v>
      </c>
      <c r="C254" s="218" t="s">
        <v>1682</v>
      </c>
      <c r="D254" s="219" t="s">
        <v>154</v>
      </c>
      <c r="E254" s="218" t="s">
        <v>153</v>
      </c>
    </row>
    <row r="255" s="220" customFormat="true" ht="14.25" hidden="false" customHeight="false" outlineLevel="0" collapsed="false">
      <c r="A255" s="214" t="str">
        <f aca="false">CONCATENATE(E255,",",D255)</f>
        <v>GED 354,ED3-GEOL</v>
      </c>
      <c r="B255" s="217" t="s">
        <v>1683</v>
      </c>
      <c r="C255" s="218" t="s">
        <v>1684</v>
      </c>
      <c r="D255" s="219" t="s">
        <v>154</v>
      </c>
      <c r="E255" s="218" t="s">
        <v>246</v>
      </c>
    </row>
    <row r="256" s="220" customFormat="true" ht="14.25" hidden="false" customHeight="false" outlineLevel="0" collapsed="false">
      <c r="A256" s="214" t="str">
        <f aca="false">CONCATENATE(E256,",",D256)</f>
        <v>GED 364,ED3-GEOL</v>
      </c>
      <c r="B256" s="217" t="s">
        <v>1685</v>
      </c>
      <c r="C256" s="218" t="s">
        <v>1686</v>
      </c>
      <c r="D256" s="219" t="s">
        <v>154</v>
      </c>
      <c r="E256" s="218" t="s">
        <v>437</v>
      </c>
    </row>
    <row r="257" s="220" customFormat="true" ht="14.25" hidden="false" customHeight="false" outlineLevel="0" collapsed="false">
      <c r="A257" s="214" t="str">
        <f aca="false">CONCATENATE(E257,",",D257)</f>
        <v>GED 366,ED3-GEOL</v>
      </c>
      <c r="B257" s="217" t="s">
        <v>1687</v>
      </c>
      <c r="C257" s="218" t="s">
        <v>1688</v>
      </c>
      <c r="D257" s="219" t="s">
        <v>154</v>
      </c>
      <c r="E257" s="218" t="s">
        <v>379</v>
      </c>
    </row>
    <row r="258" s="220" customFormat="true" ht="14.25" hidden="false" customHeight="false" outlineLevel="0" collapsed="false">
      <c r="A258" s="214" t="str">
        <f aca="false">CONCATENATE(E258,",",D258)</f>
        <v>GED 368,ED3-GEOL</v>
      </c>
      <c r="B258" s="217" t="s">
        <v>1689</v>
      </c>
      <c r="C258" s="218" t="s">
        <v>1668</v>
      </c>
      <c r="D258" s="219" t="s">
        <v>154</v>
      </c>
      <c r="E258" s="218" t="s">
        <v>222</v>
      </c>
    </row>
    <row r="259" s="220" customFormat="true" ht="14.25" hidden="false" customHeight="false" outlineLevel="0" collapsed="false">
      <c r="A259" s="214" t="str">
        <f aca="false">CONCATENATE(E259,",",D259)</f>
        <v>GED 370,ED3-GEOL</v>
      </c>
      <c r="B259" s="217" t="s">
        <v>1484</v>
      </c>
      <c r="C259" s="218" t="s">
        <v>1678</v>
      </c>
      <c r="D259" s="219" t="s">
        <v>154</v>
      </c>
      <c r="E259" s="218" t="s">
        <v>335</v>
      </c>
    </row>
    <row r="260" s="220" customFormat="true" ht="14.25" hidden="false" customHeight="false" outlineLevel="0" collapsed="false">
      <c r="A260" s="214" t="str">
        <f aca="false">CONCATENATE(E260,",",D260)</f>
        <v>GED 452,ED4-GEOL</v>
      </c>
      <c r="B260" s="217" t="s">
        <v>1690</v>
      </c>
      <c r="C260" s="218" t="s">
        <v>1674</v>
      </c>
      <c r="D260" s="219" t="s">
        <v>177</v>
      </c>
      <c r="E260" s="218" t="s">
        <v>214</v>
      </c>
    </row>
    <row r="261" s="220" customFormat="true" ht="14.25" hidden="false" customHeight="false" outlineLevel="0" collapsed="false">
      <c r="A261" s="214" t="str">
        <f aca="false">CONCATENATE(E261,",",D261)</f>
        <v>GED 454,ED4-GEOL</v>
      </c>
      <c r="B261" s="217" t="s">
        <v>1691</v>
      </c>
      <c r="C261" s="218" t="s">
        <v>1688</v>
      </c>
      <c r="D261" s="219" t="s">
        <v>177</v>
      </c>
      <c r="E261" s="218" t="s">
        <v>317</v>
      </c>
    </row>
    <row r="262" s="220" customFormat="true" ht="14.25" hidden="false" customHeight="false" outlineLevel="0" collapsed="false">
      <c r="A262" s="214" t="str">
        <f aca="false">CONCATENATE(E262,",",D262)</f>
        <v>GED 462,ED4-GEOL</v>
      </c>
      <c r="B262" s="217" t="s">
        <v>1692</v>
      </c>
      <c r="C262" s="218" t="s">
        <v>1693</v>
      </c>
      <c r="D262" s="219" t="s">
        <v>177</v>
      </c>
      <c r="E262" s="218" t="s">
        <v>358</v>
      </c>
    </row>
    <row r="263" s="220" customFormat="true" ht="14.25" hidden="false" customHeight="false" outlineLevel="0" collapsed="false">
      <c r="A263" s="214" t="str">
        <f aca="false">CONCATENATE(E263,",",D263)</f>
        <v>GED 464,ED4-GEOL</v>
      </c>
      <c r="B263" s="217" t="s">
        <v>1694</v>
      </c>
      <c r="C263" s="218" t="s">
        <v>1695</v>
      </c>
      <c r="D263" s="219" t="s">
        <v>177</v>
      </c>
      <c r="E263" s="218" t="s">
        <v>176</v>
      </c>
    </row>
    <row r="264" s="220" customFormat="true" ht="14.25" hidden="false" customHeight="false" outlineLevel="0" collapsed="false">
      <c r="A264" s="214" t="str">
        <f aca="false">CONCATENATE(E264,",",D264)</f>
        <v>GED 466,ED4-GEOL</v>
      </c>
      <c r="B264" s="217" t="s">
        <v>1696</v>
      </c>
      <c r="C264" s="218" t="s">
        <v>1688</v>
      </c>
      <c r="D264" s="219" t="s">
        <v>177</v>
      </c>
      <c r="E264" s="218" t="s">
        <v>410</v>
      </c>
    </row>
    <row r="265" s="220" customFormat="true" ht="14.25" hidden="false" customHeight="false" outlineLevel="0" collapsed="false">
      <c r="A265" s="214" t="str">
        <f aca="false">CONCATENATE(E265,",",D265)</f>
        <v>GED 468,ED4-GEOL</v>
      </c>
      <c r="B265" s="217" t="s">
        <v>1697</v>
      </c>
      <c r="C265" s="218" t="s">
        <v>1698</v>
      </c>
      <c r="D265" s="219" t="s">
        <v>177</v>
      </c>
      <c r="E265" s="218" t="s">
        <v>510</v>
      </c>
    </row>
    <row r="266" s="220" customFormat="true" ht="14.25" hidden="false" customHeight="false" outlineLevel="0" collapsed="false">
      <c r="A266" s="214" t="str">
        <f aca="false">CONCATENATE(E266,",",D266)</f>
        <v>GED 476,ED4-GEOL</v>
      </c>
      <c r="B266" s="217" t="s">
        <v>1699</v>
      </c>
      <c r="C266" s="218" t="s">
        <v>1700</v>
      </c>
      <c r="D266" s="219" t="s">
        <v>177</v>
      </c>
      <c r="E266" s="218" t="s">
        <v>445</v>
      </c>
    </row>
    <row r="267" s="220" customFormat="true" ht="14.25" hidden="false" customHeight="false" outlineLevel="0" collapsed="false">
      <c r="A267" s="214" t="str">
        <f aca="false">CONCATENATE(E267,",",D267)</f>
        <v>IE 174,ED1-IND</v>
      </c>
      <c r="B267" s="217" t="s">
        <v>1701</v>
      </c>
      <c r="C267" s="218" t="s">
        <v>1406</v>
      </c>
      <c r="D267" s="219" t="s">
        <v>111</v>
      </c>
      <c r="E267" s="218" t="s">
        <v>484</v>
      </c>
    </row>
    <row r="268" s="220" customFormat="true" ht="14.25" hidden="false" customHeight="false" outlineLevel="0" collapsed="false">
      <c r="A268" s="214" t="str">
        <f aca="false">CONCATENATE(E268,",",D268)</f>
        <v>IE 274,ED2-IND</v>
      </c>
      <c r="B268" s="217" t="s">
        <v>1702</v>
      </c>
      <c r="C268" s="218" t="s">
        <v>1406</v>
      </c>
      <c r="D268" s="219" t="s">
        <v>38</v>
      </c>
      <c r="E268" s="218" t="s">
        <v>37</v>
      </c>
    </row>
    <row r="269" s="220" customFormat="true" ht="14.25" hidden="false" customHeight="false" outlineLevel="0" collapsed="false">
      <c r="A269" s="214" t="str">
        <f aca="false">CONCATENATE(E269,",",D269)</f>
        <v>IE 296,ED2-IND</v>
      </c>
      <c r="B269" s="217" t="s">
        <v>1703</v>
      </c>
      <c r="C269" s="218" t="s">
        <v>1704</v>
      </c>
      <c r="D269" s="219" t="s">
        <v>38</v>
      </c>
      <c r="E269" s="218" t="s">
        <v>225</v>
      </c>
    </row>
    <row r="270" s="220" customFormat="true" ht="14.25" hidden="false" customHeight="false" outlineLevel="0" collapsed="false">
      <c r="A270" s="214" t="str">
        <f aca="false">CONCATENATE(E270,",",D270)</f>
        <v>IE 354,ED3-IND</v>
      </c>
      <c r="B270" s="217" t="s">
        <v>1705</v>
      </c>
      <c r="C270" s="218" t="s">
        <v>1706</v>
      </c>
      <c r="D270" s="219" t="s">
        <v>121</v>
      </c>
      <c r="E270" s="218" t="s">
        <v>482</v>
      </c>
    </row>
    <row r="271" s="220" customFormat="true" ht="14.25" hidden="false" customHeight="false" outlineLevel="0" collapsed="false">
      <c r="A271" s="214" t="str">
        <f aca="false">CONCATENATE(E271,",",D271)</f>
        <v>IE 356,ED3-IND</v>
      </c>
      <c r="B271" s="217" t="s">
        <v>1707</v>
      </c>
      <c r="C271" s="218" t="s">
        <v>1695</v>
      </c>
      <c r="D271" s="219" t="s">
        <v>121</v>
      </c>
      <c r="E271" s="218" t="s">
        <v>444</v>
      </c>
    </row>
    <row r="272" s="220" customFormat="true" ht="15" hidden="false" customHeight="true" outlineLevel="0" collapsed="false">
      <c r="A272" s="214" t="str">
        <f aca="false">CONCATENATE(E272,",",D272)</f>
        <v>IE 358,ED3-IND</v>
      </c>
      <c r="B272" s="217" t="s">
        <v>1708</v>
      </c>
      <c r="C272" s="218" t="s">
        <v>1406</v>
      </c>
      <c r="D272" s="219" t="s">
        <v>121</v>
      </c>
      <c r="E272" s="218" t="s">
        <v>265</v>
      </c>
    </row>
    <row r="273" s="220" customFormat="true" ht="14.25" hidden="false" customHeight="false" outlineLevel="0" collapsed="false">
      <c r="A273" s="214" t="str">
        <f aca="false">CONCATENATE(E273,",",D273)</f>
        <v>IE 360,ED3-IND</v>
      </c>
      <c r="B273" s="217" t="s">
        <v>1709</v>
      </c>
      <c r="C273" s="218" t="s">
        <v>1438</v>
      </c>
      <c r="D273" s="219" t="s">
        <v>121</v>
      </c>
      <c r="E273" s="218" t="s">
        <v>402</v>
      </c>
    </row>
    <row r="274" s="220" customFormat="true" ht="14.25" hidden="false" customHeight="false" outlineLevel="0" collapsed="false">
      <c r="A274" s="214" t="str">
        <f aca="false">CONCATENATE(E274,",",D274)</f>
        <v>IE 362,ED3-IND</v>
      </c>
      <c r="B274" s="217" t="s">
        <v>1710</v>
      </c>
      <c r="C274" s="218" t="s">
        <v>1417</v>
      </c>
      <c r="D274" s="219" t="s">
        <v>121</v>
      </c>
      <c r="E274" s="218" t="s">
        <v>229</v>
      </c>
    </row>
    <row r="275" s="220" customFormat="true" ht="14.25" hidden="false" customHeight="false" outlineLevel="0" collapsed="false">
      <c r="A275" s="214" t="str">
        <f aca="false">CONCATENATE(E275,",",D275)</f>
        <v>IE 366,ED3-IND</v>
      </c>
      <c r="B275" s="217" t="s">
        <v>1711</v>
      </c>
      <c r="C275" s="218" t="s">
        <v>1695</v>
      </c>
      <c r="D275" s="219" t="s">
        <v>121</v>
      </c>
      <c r="E275" s="218" t="s">
        <v>340</v>
      </c>
    </row>
    <row r="276" s="220" customFormat="true" ht="14.25" hidden="false" customHeight="false" outlineLevel="0" collapsed="false">
      <c r="A276" s="214" t="str">
        <f aca="false">CONCATENATE(E276,",",D276)</f>
        <v>IE 368,ED3-IND</v>
      </c>
      <c r="B276" s="217" t="s">
        <v>1712</v>
      </c>
      <c r="C276" s="218" t="s">
        <v>1706</v>
      </c>
      <c r="D276" s="219" t="s">
        <v>121</v>
      </c>
      <c r="E276" s="218" t="s">
        <v>120</v>
      </c>
    </row>
    <row r="277" s="220" customFormat="true" ht="14.25" hidden="false" customHeight="false" outlineLevel="0" collapsed="false">
      <c r="A277" s="214" t="str">
        <f aca="false">CONCATENATE(E277,",",D277)</f>
        <v>IE 452,ED4-IND</v>
      </c>
      <c r="B277" s="217" t="s">
        <v>1713</v>
      </c>
      <c r="C277" s="218" t="s">
        <v>1438</v>
      </c>
      <c r="D277" s="219" t="s">
        <v>124</v>
      </c>
      <c r="E277" s="218" t="s">
        <v>123</v>
      </c>
    </row>
    <row r="278" s="220" customFormat="true" ht="14.25" hidden="false" customHeight="false" outlineLevel="0" collapsed="false">
      <c r="A278" s="214" t="str">
        <f aca="false">CONCATENATE(E278,",",D278)</f>
        <v>IE 454,ED4-IND</v>
      </c>
      <c r="B278" s="217" t="s">
        <v>1714</v>
      </c>
      <c r="C278" s="218" t="s">
        <v>1715</v>
      </c>
      <c r="D278" s="219" t="s">
        <v>124</v>
      </c>
      <c r="E278" s="218" t="s">
        <v>508</v>
      </c>
    </row>
    <row r="279" s="220" customFormat="true" ht="14.25" hidden="false" customHeight="false" outlineLevel="0" collapsed="false">
      <c r="A279" s="214" t="str">
        <f aca="false">CONCATENATE(E279,",",D279)</f>
        <v>IE 456,ED4-IND</v>
      </c>
      <c r="B279" s="217" t="s">
        <v>1716</v>
      </c>
      <c r="C279" s="218" t="s">
        <v>1717</v>
      </c>
      <c r="D279" s="219" t="s">
        <v>124</v>
      </c>
      <c r="E279" s="218" t="s">
        <v>216</v>
      </c>
    </row>
    <row r="280" s="220" customFormat="true" ht="15" hidden="false" customHeight="true" outlineLevel="0" collapsed="false">
      <c r="A280" s="214" t="str">
        <f aca="false">CONCATENATE(E280,",",D280)</f>
        <v>IE 458,ED4-IND</v>
      </c>
      <c r="B280" s="217" t="s">
        <v>1718</v>
      </c>
      <c r="C280" s="218" t="s">
        <v>1438</v>
      </c>
      <c r="D280" s="219" t="s">
        <v>124</v>
      </c>
      <c r="E280" s="218" t="s">
        <v>427</v>
      </c>
    </row>
    <row r="281" customFormat="false" ht="14.25" hidden="false" customHeight="false" outlineLevel="0" collapsed="false">
      <c r="A281" s="214" t="str">
        <f aca="false">CONCATENATE(E281,",",D281)</f>
        <v>MATH 152,ED1-AERO</v>
      </c>
      <c r="B281" s="217" t="s">
        <v>1719</v>
      </c>
      <c r="C281" s="218" t="s">
        <v>1720</v>
      </c>
      <c r="D281" s="219" t="s">
        <v>191</v>
      </c>
      <c r="E281" s="218" t="s">
        <v>129</v>
      </c>
    </row>
    <row r="282" s="220" customFormat="true" ht="14.25" hidden="false" customHeight="false" outlineLevel="0" collapsed="false">
      <c r="A282" s="214" t="str">
        <f aca="false">CONCATENATE(E282,",",D282)</f>
        <v>MATH 152,ED1-AE</v>
      </c>
      <c r="B282" s="217" t="s">
        <v>1719</v>
      </c>
      <c r="C282" s="218" t="s">
        <v>1721</v>
      </c>
      <c r="D282" s="219" t="s">
        <v>131</v>
      </c>
      <c r="E282" s="218" t="s">
        <v>129</v>
      </c>
    </row>
    <row r="283" s="220" customFormat="true" ht="14.25" hidden="false" customHeight="false" outlineLevel="0" collapsed="false">
      <c r="A283" s="214" t="str">
        <f aca="false">CONCATENATE(E283,",",D283)</f>
        <v>MATH 152,ED1-AUTO</v>
      </c>
      <c r="B283" s="217" t="s">
        <v>1719</v>
      </c>
      <c r="C283" s="218" t="s">
        <v>1722</v>
      </c>
      <c r="D283" s="219" t="s">
        <v>162</v>
      </c>
      <c r="E283" s="218" t="s">
        <v>129</v>
      </c>
    </row>
    <row r="284" s="220" customFormat="true" ht="15" hidden="false" customHeight="true" outlineLevel="0" collapsed="false">
      <c r="A284" s="214" t="str">
        <f aca="false">CONCATENATE(E284,",",D284)</f>
        <v>MATH 152,ED1-BME</v>
      </c>
      <c r="B284" s="217" t="s">
        <v>1719</v>
      </c>
      <c r="C284" s="218" t="s">
        <v>1721</v>
      </c>
      <c r="D284" s="219" t="s">
        <v>130</v>
      </c>
      <c r="E284" s="218" t="s">
        <v>129</v>
      </c>
    </row>
    <row r="285" s="220" customFormat="true" ht="14.25" hidden="false" customHeight="false" outlineLevel="0" collapsed="false">
      <c r="A285" s="214" t="str">
        <f aca="false">CONCATENATE(E285,",",D285)</f>
        <v>MATH 152,ED1-CHE</v>
      </c>
      <c r="B285" s="217" t="s">
        <v>1719</v>
      </c>
      <c r="C285" s="218" t="s">
        <v>1722</v>
      </c>
      <c r="D285" s="219" t="s">
        <v>80</v>
      </c>
      <c r="E285" s="218" t="s">
        <v>129</v>
      </c>
    </row>
    <row r="286" customFormat="false" ht="14.25" hidden="false" customHeight="false" outlineLevel="0" collapsed="false">
      <c r="A286" s="214" t="str">
        <f aca="false">CONCATENATE(E286,",",D286)</f>
        <v>MATH 152,ED1-CE</v>
      </c>
      <c r="B286" s="217" t="s">
        <v>1723</v>
      </c>
      <c r="C286" s="218" t="s">
        <v>1720</v>
      </c>
      <c r="D286" s="219" t="s">
        <v>75</v>
      </c>
      <c r="E286" s="218" t="s">
        <v>129</v>
      </c>
    </row>
    <row r="287" s="220" customFormat="true" ht="14.25" hidden="false" customHeight="false" outlineLevel="0" collapsed="false">
      <c r="A287" s="214" t="str">
        <f aca="false">CONCATENATE(E287,",",D287)</f>
        <v>MATH 152,ED1-COE</v>
      </c>
      <c r="B287" s="217" t="s">
        <v>1719</v>
      </c>
      <c r="C287" s="218" t="s">
        <v>1720</v>
      </c>
      <c r="D287" s="219" t="s">
        <v>20</v>
      </c>
      <c r="E287" s="218" t="s">
        <v>129</v>
      </c>
    </row>
    <row r="288" s="220" customFormat="true" ht="14.25" hidden="false" customHeight="false" outlineLevel="0" collapsed="false">
      <c r="A288" s="214" t="str">
        <f aca="false">CONCATENATE(E288,",",D288)</f>
        <v>MATH 152,ED1-EE</v>
      </c>
      <c r="B288" s="217" t="s">
        <v>1719</v>
      </c>
      <c r="C288" s="218" t="s">
        <v>1724</v>
      </c>
      <c r="D288" s="219" t="s">
        <v>51</v>
      </c>
      <c r="E288" s="218" t="s">
        <v>129</v>
      </c>
    </row>
    <row r="289" s="220" customFormat="true" ht="14.25" hidden="false" customHeight="false" outlineLevel="0" collapsed="false">
      <c r="A289" s="214" t="str">
        <f aca="false">CONCATENATE(E289,",",D289)</f>
        <v>MATH 152,ED1-GEOL</v>
      </c>
      <c r="B289" s="217" t="s">
        <v>1723</v>
      </c>
      <c r="C289" s="218" t="s">
        <v>1725</v>
      </c>
      <c r="D289" s="219" t="s">
        <v>126</v>
      </c>
      <c r="E289" s="218" t="s">
        <v>129</v>
      </c>
    </row>
    <row r="290" s="220" customFormat="true" ht="14.25" hidden="false" customHeight="false" outlineLevel="0" collapsed="false">
      <c r="A290" s="214" t="str">
        <f aca="false">CONCATENATE(E290,",",D290)</f>
        <v>MATH 152,ED1-GEOM</v>
      </c>
      <c r="B290" s="217" t="s">
        <v>1719</v>
      </c>
      <c r="C290" s="218" t="s">
        <v>1722</v>
      </c>
      <c r="D290" s="219" t="s">
        <v>95</v>
      </c>
      <c r="E290" s="218" t="s">
        <v>129</v>
      </c>
    </row>
    <row r="291" s="220" customFormat="true" ht="14.25" hidden="false" customHeight="false" outlineLevel="0" collapsed="false">
      <c r="A291" s="214" t="str">
        <f aca="false">CONCATENATE(E291,",",D291)</f>
        <v>MATH 152,ED1-IND</v>
      </c>
      <c r="B291" s="217" t="s">
        <v>1719</v>
      </c>
      <c r="C291" s="218" t="s">
        <v>1720</v>
      </c>
      <c r="D291" s="219" t="s">
        <v>111</v>
      </c>
      <c r="E291" s="218" t="s">
        <v>129</v>
      </c>
    </row>
    <row r="292" s="220" customFormat="true" ht="14.25" hidden="false" customHeight="false" outlineLevel="0" collapsed="false">
      <c r="A292" s="214" t="str">
        <f aca="false">CONCATENATE(E292,",",D292)</f>
        <v>MATH 152,ED1-MARI</v>
      </c>
      <c r="B292" s="217" t="s">
        <v>1719</v>
      </c>
      <c r="C292" s="218" t="s">
        <v>1720</v>
      </c>
      <c r="D292" s="219" t="s">
        <v>112</v>
      </c>
      <c r="E292" s="218" t="s">
        <v>129</v>
      </c>
    </row>
    <row r="293" s="220" customFormat="true" ht="14.25" hidden="false" customHeight="false" outlineLevel="0" collapsed="false">
      <c r="A293" s="214" t="str">
        <f aca="false">CONCATENATE(E293,",",D293)</f>
        <v>MATH 152,ED1-MSE</v>
      </c>
      <c r="B293" s="217" t="s">
        <v>1719</v>
      </c>
      <c r="C293" s="218" t="s">
        <v>1722</v>
      </c>
      <c r="D293" s="219" t="s">
        <v>115</v>
      </c>
      <c r="E293" s="218" t="s">
        <v>129</v>
      </c>
    </row>
    <row r="294" s="220" customFormat="true" ht="14.25" hidden="false" customHeight="false" outlineLevel="0" collapsed="false">
      <c r="A294" s="214" t="str">
        <f aca="false">CONCATENATE(E294,",",D294)</f>
        <v>MATH 152,ED1-ME</v>
      </c>
      <c r="B294" s="217" t="s">
        <v>1719</v>
      </c>
      <c r="C294" s="218" t="s">
        <v>1722</v>
      </c>
      <c r="D294" s="219" t="s">
        <v>161</v>
      </c>
      <c r="E294" s="218" t="s">
        <v>129</v>
      </c>
    </row>
    <row r="295" s="220" customFormat="true" ht="14.25" hidden="false" customHeight="false" outlineLevel="0" collapsed="false">
      <c r="A295" s="214" t="str">
        <f aca="false">CONCATENATE(E295,",",D295)</f>
        <v>MATH 152,ED1-METE</v>
      </c>
      <c r="B295" s="217" t="s">
        <v>1719</v>
      </c>
      <c r="C295" s="218" t="s">
        <v>1722</v>
      </c>
      <c r="D295" s="219" t="s">
        <v>114</v>
      </c>
      <c r="E295" s="218" t="s">
        <v>129</v>
      </c>
    </row>
    <row r="296" s="220" customFormat="true" ht="14.25" hidden="false" customHeight="false" outlineLevel="0" collapsed="false">
      <c r="A296" s="214" t="str">
        <f aca="false">CONCATENATE(E296,",",D296)</f>
        <v>MATH 152,ED1-PCE</v>
      </c>
      <c r="B296" s="217" t="s">
        <v>1719</v>
      </c>
      <c r="C296" s="218" t="s">
        <v>1722</v>
      </c>
      <c r="D296" s="219" t="s">
        <v>81</v>
      </c>
      <c r="E296" s="218" t="s">
        <v>129</v>
      </c>
    </row>
    <row r="297" s="220" customFormat="true" ht="14.25" hidden="false" customHeight="false" outlineLevel="0" collapsed="false">
      <c r="A297" s="214" t="str">
        <f aca="false">CONCATENATE(E297,",",D297)</f>
        <v>MATH 152,ED1-PETE</v>
      </c>
      <c r="B297" s="217" t="s">
        <v>1719</v>
      </c>
      <c r="C297" s="218" t="s">
        <v>1725</v>
      </c>
      <c r="D297" s="219" t="s">
        <v>1327</v>
      </c>
      <c r="E297" s="218" t="s">
        <v>129</v>
      </c>
    </row>
    <row r="298" s="220" customFormat="true" ht="14.25" hidden="false" customHeight="false" outlineLevel="0" collapsed="false">
      <c r="A298" s="214" t="str">
        <f aca="false">CONCATENATE(E298,",",D298)</f>
        <v>MATH 152,ED1-TEL</v>
      </c>
      <c r="B298" s="217" t="s">
        <v>1719</v>
      </c>
      <c r="C298" s="218" t="s">
        <v>1726</v>
      </c>
      <c r="D298" s="219" t="s">
        <v>91</v>
      </c>
      <c r="E298" s="218" t="s">
        <v>129</v>
      </c>
    </row>
    <row r="299" s="220" customFormat="true" ht="14.25" hidden="false" customHeight="false" outlineLevel="0" collapsed="false">
      <c r="A299" s="214" t="str">
        <f aca="false">CONCATENATE(E299,",",D299)</f>
        <v>MATH 252,ED2-AERO</v>
      </c>
      <c r="B299" s="217" t="s">
        <v>1723</v>
      </c>
      <c r="C299" s="218" t="s">
        <v>1727</v>
      </c>
      <c r="D299" s="219" t="s">
        <v>36</v>
      </c>
      <c r="E299" s="218" t="s">
        <v>281</v>
      </c>
    </row>
    <row r="300" s="220" customFormat="true" ht="14.25" hidden="false" customHeight="false" outlineLevel="0" collapsed="false">
      <c r="A300" s="214" t="str">
        <f aca="false">CONCATENATE(E300,",",D300)</f>
        <v>MATH 252,ED2-GEOL</v>
      </c>
      <c r="B300" s="217" t="s">
        <v>1728</v>
      </c>
      <c r="C300" s="218" t="s">
        <v>1727</v>
      </c>
      <c r="D300" s="219" t="s">
        <v>55</v>
      </c>
      <c r="E300" s="218" t="s">
        <v>281</v>
      </c>
    </row>
    <row r="301" s="220" customFormat="true" ht="14.25" hidden="false" customHeight="false" outlineLevel="0" collapsed="false">
      <c r="A301" s="214" t="str">
        <f aca="false">CONCATENATE(E301,",",D301)</f>
        <v>MATH 252,ED2-IND</v>
      </c>
      <c r="B301" s="217" t="s">
        <v>1723</v>
      </c>
      <c r="C301" s="218" t="s">
        <v>1727</v>
      </c>
      <c r="D301" s="219" t="s">
        <v>38</v>
      </c>
      <c r="E301" s="218" t="s">
        <v>281</v>
      </c>
    </row>
    <row r="302" s="220" customFormat="true" ht="14.25" hidden="false" customHeight="false" outlineLevel="0" collapsed="false">
      <c r="A302" s="214" t="str">
        <f aca="false">CONCATENATE(E302,",",D302)</f>
        <v>MATH 252,ED2-TEL</v>
      </c>
      <c r="B302" s="217" t="s">
        <v>1723</v>
      </c>
      <c r="C302" s="218" t="s">
        <v>1727</v>
      </c>
      <c r="D302" s="219" t="s">
        <v>172</v>
      </c>
      <c r="E302" s="218" t="s">
        <v>281</v>
      </c>
    </row>
    <row r="303" s="220" customFormat="true" ht="14.25" hidden="false" customHeight="false" outlineLevel="0" collapsed="false">
      <c r="A303" s="214" t="str">
        <f aca="false">CONCATENATE(E303,",",D303)</f>
        <v>MATH 252,ED2-AE</v>
      </c>
      <c r="B303" s="217" t="s">
        <v>1723</v>
      </c>
      <c r="C303" s="218" t="s">
        <v>1727</v>
      </c>
      <c r="D303" s="219" t="s">
        <v>53</v>
      </c>
      <c r="E303" s="218" t="s">
        <v>281</v>
      </c>
    </row>
    <row r="304" s="220" customFormat="true" ht="14.25" hidden="false" customHeight="false" outlineLevel="0" collapsed="false">
      <c r="A304" s="214" t="str">
        <f aca="false">CONCATENATE(E304,",",D304)</f>
        <v>MATH 252,ED2-COE</v>
      </c>
      <c r="B304" s="217" t="s">
        <v>1723</v>
      </c>
      <c r="C304" s="218" t="s">
        <v>1727</v>
      </c>
      <c r="D304" s="219" t="s">
        <v>108</v>
      </c>
      <c r="E304" s="218" t="s">
        <v>281</v>
      </c>
    </row>
    <row r="305" s="220" customFormat="true" ht="14.25" hidden="false" customHeight="false" outlineLevel="0" collapsed="false">
      <c r="A305" s="214" t="str">
        <f aca="false">CONCATENATE(E305,",",D305)</f>
        <v>MATH 252,ED2-AUTO</v>
      </c>
      <c r="B305" s="217" t="s">
        <v>1723</v>
      </c>
      <c r="C305" s="218" t="s">
        <v>1729</v>
      </c>
      <c r="D305" s="219" t="s">
        <v>40</v>
      </c>
      <c r="E305" s="218" t="s">
        <v>281</v>
      </c>
    </row>
    <row r="306" s="220" customFormat="true" ht="14.25" hidden="false" customHeight="false" outlineLevel="0" collapsed="false">
      <c r="A306" s="214" t="str">
        <f aca="false">CONCATENATE(E306,",",D306)</f>
        <v>MATH 252,ED2-BME</v>
      </c>
      <c r="B306" s="217" t="s">
        <v>1723</v>
      </c>
      <c r="C306" s="218" t="s">
        <v>1729</v>
      </c>
      <c r="D306" s="219" t="s">
        <v>109</v>
      </c>
      <c r="E306" s="218" t="s">
        <v>281</v>
      </c>
    </row>
    <row r="307" s="220" customFormat="true" ht="15" hidden="false" customHeight="true" outlineLevel="0" collapsed="false">
      <c r="A307" s="214" t="str">
        <f aca="false">CONCATENATE(E307,",",D307)</f>
        <v>MATH 252,ED2-CHE</v>
      </c>
      <c r="B307" s="217" t="s">
        <v>1730</v>
      </c>
      <c r="C307" s="218" t="s">
        <v>1731</v>
      </c>
      <c r="D307" s="219" t="s">
        <v>13</v>
      </c>
      <c r="E307" s="218" t="s">
        <v>281</v>
      </c>
    </row>
    <row r="308" customFormat="false" ht="14.25" hidden="false" customHeight="false" outlineLevel="0" collapsed="false">
      <c r="A308" s="214" t="str">
        <f aca="false">CONCATENATE(E308,",",D308)</f>
        <v>MATH 252,ED2-EE</v>
      </c>
      <c r="B308" s="217" t="s">
        <v>1723</v>
      </c>
      <c r="C308" s="218" t="s">
        <v>1732</v>
      </c>
      <c r="D308" s="219" t="s">
        <v>25</v>
      </c>
      <c r="E308" s="218" t="s">
        <v>281</v>
      </c>
    </row>
    <row r="309" s="220" customFormat="true" ht="14.25" hidden="false" customHeight="false" outlineLevel="0" collapsed="false">
      <c r="A309" s="214" t="str">
        <f aca="false">CONCATENATE(E309,",",D309)</f>
        <v>MATH 252,ED2-GEOM</v>
      </c>
      <c r="B309" s="217" t="s">
        <v>1723</v>
      </c>
      <c r="C309" s="218" t="s">
        <v>1733</v>
      </c>
      <c r="D309" s="219" t="s">
        <v>170</v>
      </c>
      <c r="E309" s="218" t="s">
        <v>281</v>
      </c>
    </row>
    <row r="310" s="220" customFormat="true" ht="14.25" hidden="false" customHeight="false" outlineLevel="0" collapsed="false">
      <c r="A310" s="214" t="str">
        <f aca="false">CONCATENATE(E310,",",D310)</f>
        <v>MATH 252,ED2-MARI</v>
      </c>
      <c r="B310" s="217" t="s">
        <v>1723</v>
      </c>
      <c r="C310" s="218" t="s">
        <v>1734</v>
      </c>
      <c r="D310" s="219" t="s">
        <v>42</v>
      </c>
      <c r="E310" s="218" t="s">
        <v>281</v>
      </c>
    </row>
    <row r="311" s="220" customFormat="true" ht="14.25" hidden="false" customHeight="false" outlineLevel="0" collapsed="false">
      <c r="A311" s="214" t="str">
        <f aca="false">CONCATENATE(E311,",",D311)</f>
        <v>MATH 252,ED2-MSE</v>
      </c>
      <c r="B311" s="217" t="s">
        <v>1723</v>
      </c>
      <c r="C311" s="218" t="s">
        <v>1721</v>
      </c>
      <c r="D311" s="219" t="s">
        <v>210</v>
      </c>
      <c r="E311" s="218" t="s">
        <v>281</v>
      </c>
    </row>
    <row r="312" s="220" customFormat="true" ht="14.25" hidden="false" customHeight="false" outlineLevel="0" collapsed="false">
      <c r="A312" s="214" t="str">
        <f aca="false">CONCATENATE(E312,",",D312)</f>
        <v>MATH 252,ED2-ME</v>
      </c>
      <c r="B312" s="217" t="s">
        <v>1723</v>
      </c>
      <c r="C312" s="218" t="s">
        <v>1734</v>
      </c>
      <c r="D312" s="219" t="s">
        <v>33</v>
      </c>
      <c r="E312" s="218" t="s">
        <v>281</v>
      </c>
    </row>
    <row r="313" s="220" customFormat="true" ht="14.25" hidden="false" customHeight="false" outlineLevel="0" collapsed="false">
      <c r="A313" s="214" t="str">
        <f aca="false">CONCATENATE(E313,",",D313)</f>
        <v>MATH 252,ED2-METE</v>
      </c>
      <c r="B313" s="217" t="s">
        <v>1723</v>
      </c>
      <c r="C313" s="218" t="s">
        <v>1721</v>
      </c>
      <c r="D313" s="219" t="s">
        <v>101</v>
      </c>
      <c r="E313" s="218" t="s">
        <v>281</v>
      </c>
    </row>
    <row r="314" s="220" customFormat="true" ht="14.25" hidden="false" customHeight="false" outlineLevel="0" collapsed="false">
      <c r="A314" s="214" t="str">
        <f aca="false">CONCATENATE(E314,",",D314)</f>
        <v>MATH 252,ED2-PCE</v>
      </c>
      <c r="B314" s="217" t="s">
        <v>1730</v>
      </c>
      <c r="C314" s="218" t="s">
        <v>1729</v>
      </c>
      <c r="D314" s="219" t="s">
        <v>14</v>
      </c>
      <c r="E314" s="218" t="s">
        <v>281</v>
      </c>
    </row>
    <row r="315" s="220" customFormat="true" ht="14.25" hidden="false" customHeight="false" outlineLevel="0" collapsed="false">
      <c r="A315" s="214" t="str">
        <f aca="false">CONCATENATE(E315,",",D315)</f>
        <v>MATH 252,ED2-PETE</v>
      </c>
      <c r="B315" s="217" t="s">
        <v>1730</v>
      </c>
      <c r="C315" s="218" t="s">
        <v>1729</v>
      </c>
      <c r="D315" s="219" t="s">
        <v>1329</v>
      </c>
      <c r="E315" s="218" t="s">
        <v>281</v>
      </c>
    </row>
    <row r="316" customFormat="false" ht="14.25" hidden="false" customHeight="false" outlineLevel="0" collapsed="false">
      <c r="A316" s="214" t="str">
        <f aca="false">CONCATENATE(E316,",",D316)</f>
        <v>MATH 252,ED2-CE</v>
      </c>
      <c r="B316" s="217" t="s">
        <v>1723</v>
      </c>
      <c r="C316" s="218" t="s">
        <v>1735</v>
      </c>
      <c r="D316" s="219" t="s">
        <v>56</v>
      </c>
      <c r="E316" s="218" t="s">
        <v>281</v>
      </c>
    </row>
    <row r="317" s="220" customFormat="true" ht="14.25" hidden="false" customHeight="false" outlineLevel="0" collapsed="false">
      <c r="A317" s="214" t="str">
        <f aca="false">CONCATENATE(E317,",",D317)</f>
        <v>ME 158,ED1-AERO</v>
      </c>
      <c r="B317" s="217" t="s">
        <v>1736</v>
      </c>
      <c r="C317" s="218" t="s">
        <v>1737</v>
      </c>
      <c r="D317" s="219" t="s">
        <v>191</v>
      </c>
      <c r="E317" s="218" t="s">
        <v>190</v>
      </c>
    </row>
    <row r="318" s="220" customFormat="true" ht="14.25" hidden="false" customHeight="false" outlineLevel="0" collapsed="false">
      <c r="A318" s="214" t="str">
        <f aca="false">CONCATENATE(E318,",",D318)</f>
        <v>ME 160,ED1-AE</v>
      </c>
      <c r="B318" s="217" t="s">
        <v>1738</v>
      </c>
      <c r="C318" s="218" t="s">
        <v>1404</v>
      </c>
      <c r="D318" s="219" t="s">
        <v>131</v>
      </c>
      <c r="E318" s="218" t="s">
        <v>160</v>
      </c>
    </row>
    <row r="319" s="220" customFormat="true" ht="14.25" hidden="false" customHeight="false" outlineLevel="0" collapsed="false">
      <c r="A319" s="214" t="str">
        <f aca="false">CONCATENATE(E319,",",D319)</f>
        <v>ME 160,ED1-AUTO</v>
      </c>
      <c r="B319" s="217" t="s">
        <v>1738</v>
      </c>
      <c r="C319" s="218" t="s">
        <v>1739</v>
      </c>
      <c r="D319" s="219" t="s">
        <v>162</v>
      </c>
      <c r="E319" s="218" t="s">
        <v>160</v>
      </c>
    </row>
    <row r="320" s="220" customFormat="true" ht="14.25" hidden="false" customHeight="false" outlineLevel="0" collapsed="false">
      <c r="A320" s="214" t="str">
        <f aca="false">CONCATENATE(E320,",",D320)</f>
        <v>ME 160,ED1-IND</v>
      </c>
      <c r="B320" s="217" t="s">
        <v>1738</v>
      </c>
      <c r="C320" s="218" t="s">
        <v>1739</v>
      </c>
      <c r="D320" s="219" t="s">
        <v>111</v>
      </c>
      <c r="E320" s="218" t="s">
        <v>160</v>
      </c>
    </row>
    <row r="321" s="220" customFormat="true" ht="14.25" hidden="false" customHeight="false" outlineLevel="0" collapsed="false">
      <c r="A321" s="214" t="str">
        <f aca="false">CONCATENATE(E321,",",D321)</f>
        <v>ME 160,ED1-MARI</v>
      </c>
      <c r="B321" s="217" t="s">
        <v>1738</v>
      </c>
      <c r="C321" s="218" t="s">
        <v>1739</v>
      </c>
      <c r="D321" s="219" t="s">
        <v>112</v>
      </c>
      <c r="E321" s="218" t="s">
        <v>160</v>
      </c>
    </row>
    <row r="322" s="220" customFormat="true" ht="14.25" hidden="false" customHeight="false" outlineLevel="0" collapsed="false">
      <c r="A322" s="214" t="str">
        <f aca="false">CONCATENATE(E322,",",D322)</f>
        <v>ME 160,ED1-MSE</v>
      </c>
      <c r="B322" s="217" t="s">
        <v>1738</v>
      </c>
      <c r="C322" s="218" t="s">
        <v>1740</v>
      </c>
      <c r="D322" s="219" t="s">
        <v>115</v>
      </c>
      <c r="E322" s="218" t="s">
        <v>160</v>
      </c>
    </row>
    <row r="323" s="220" customFormat="true" ht="14.25" hidden="false" customHeight="false" outlineLevel="0" collapsed="false">
      <c r="A323" s="214" t="str">
        <f aca="false">CONCATENATE(E323,",",D323)</f>
        <v>ME 160,ED1-ME</v>
      </c>
      <c r="B323" s="217" t="s">
        <v>1738</v>
      </c>
      <c r="C323" s="218" t="s">
        <v>1739</v>
      </c>
      <c r="D323" s="219" t="s">
        <v>161</v>
      </c>
      <c r="E323" s="218" t="s">
        <v>160</v>
      </c>
    </row>
    <row r="324" s="220" customFormat="true" ht="14.25" hidden="false" customHeight="false" outlineLevel="0" collapsed="false">
      <c r="A324" s="214" t="str">
        <f aca="false">CONCATENATE(E324,",",D324)</f>
        <v>ME 160,ED1-METE</v>
      </c>
      <c r="B324" s="217" t="s">
        <v>1738</v>
      </c>
      <c r="C324" s="218" t="s">
        <v>1404</v>
      </c>
      <c r="D324" s="219" t="s">
        <v>114</v>
      </c>
      <c r="E324" s="218" t="s">
        <v>160</v>
      </c>
    </row>
    <row r="325" s="220" customFormat="true" ht="15" hidden="false" customHeight="true" outlineLevel="0" collapsed="false">
      <c r="A325" s="214" t="str">
        <f aca="false">CONCATENATE(E325,",",D325)</f>
        <v>ME 162,ED1-AE</v>
      </c>
      <c r="B325" s="217" t="s">
        <v>1069</v>
      </c>
      <c r="C325" s="218" t="s">
        <v>1417</v>
      </c>
      <c r="D325" s="219" t="s">
        <v>131</v>
      </c>
      <c r="E325" s="218" t="s">
        <v>392</v>
      </c>
    </row>
    <row r="326" s="220" customFormat="true" ht="14.25" hidden="false" customHeight="false" outlineLevel="0" collapsed="false">
      <c r="A326" s="214" t="str">
        <f aca="false">CONCATENATE(E326,",",D326)</f>
        <v>ME 162,ED1-CHE</v>
      </c>
      <c r="B326" s="217" t="s">
        <v>1069</v>
      </c>
      <c r="C326" s="218" t="s">
        <v>1417</v>
      </c>
      <c r="D326" s="219" t="s">
        <v>80</v>
      </c>
      <c r="E326" s="218" t="s">
        <v>392</v>
      </c>
    </row>
    <row r="327" s="220" customFormat="true" ht="14.25" hidden="false" customHeight="false" outlineLevel="0" collapsed="false">
      <c r="A327" s="214" t="str">
        <f aca="false">CONCATENATE(E327,",",D327)</f>
        <v>ME 162,ED1-MSE</v>
      </c>
      <c r="B327" s="217" t="s">
        <v>1069</v>
      </c>
      <c r="C327" s="218" t="s">
        <v>1741</v>
      </c>
      <c r="D327" s="219" t="s">
        <v>115</v>
      </c>
      <c r="E327" s="218" t="s">
        <v>392</v>
      </c>
    </row>
    <row r="328" s="220" customFormat="true" ht="14.25" hidden="false" customHeight="false" outlineLevel="0" collapsed="false">
      <c r="A328" s="214" t="str">
        <f aca="false">CONCATENATE(E328,",",D328)</f>
        <v>ME 162,ED1-METE</v>
      </c>
      <c r="B328" s="217" t="s">
        <v>1069</v>
      </c>
      <c r="C328" s="218" t="s">
        <v>1550</v>
      </c>
      <c r="D328" s="219" t="s">
        <v>114</v>
      </c>
      <c r="E328" s="218" t="s">
        <v>392</v>
      </c>
    </row>
    <row r="329" s="220" customFormat="true" ht="14.25" hidden="false" customHeight="false" outlineLevel="0" collapsed="false">
      <c r="A329" s="214" t="str">
        <f aca="false">CONCATENATE(E329,",",D329)</f>
        <v>ME 162,ED1-PCE</v>
      </c>
      <c r="B329" s="217" t="s">
        <v>1069</v>
      </c>
      <c r="C329" s="218" t="s">
        <v>1742</v>
      </c>
      <c r="D329" s="219" t="s">
        <v>81</v>
      </c>
      <c r="E329" s="218" t="s">
        <v>392</v>
      </c>
    </row>
    <row r="330" customFormat="false" ht="14.25" hidden="false" customHeight="false" outlineLevel="0" collapsed="false">
      <c r="A330" s="214" t="str">
        <f aca="false">CONCATENATE(E330,",",D330)</f>
        <v>ME 162,ED1-PETE</v>
      </c>
      <c r="B330" s="217" t="s">
        <v>1069</v>
      </c>
      <c r="C330" s="218" t="s">
        <v>1741</v>
      </c>
      <c r="D330" s="219" t="s">
        <v>1327</v>
      </c>
      <c r="E330" s="218" t="s">
        <v>392</v>
      </c>
    </row>
    <row r="331" s="220" customFormat="true" ht="14.25" hidden="false" customHeight="false" outlineLevel="0" collapsed="false">
      <c r="A331" s="214" t="str">
        <f aca="false">CONCATENATE(E331,",",D331)</f>
        <v>ME 164,ED1-AERO</v>
      </c>
      <c r="B331" s="217" t="s">
        <v>1743</v>
      </c>
      <c r="C331" s="218" t="s">
        <v>1715</v>
      </c>
      <c r="D331" s="219" t="s">
        <v>191</v>
      </c>
      <c r="E331" s="218" t="s">
        <v>268</v>
      </c>
    </row>
    <row r="332" s="220" customFormat="true" ht="15" hidden="false" customHeight="true" outlineLevel="0" collapsed="false">
      <c r="A332" s="214" t="str">
        <f aca="false">CONCATENATE(E332,",",D332)</f>
        <v>ME 164,ED1-AUTO</v>
      </c>
      <c r="B332" s="217" t="s">
        <v>1743</v>
      </c>
      <c r="C332" s="218" t="s">
        <v>1417</v>
      </c>
      <c r="D332" s="219" t="s">
        <v>162</v>
      </c>
      <c r="E332" s="218" t="s">
        <v>268</v>
      </c>
    </row>
    <row r="333" s="220" customFormat="true" ht="15" hidden="false" customHeight="true" outlineLevel="0" collapsed="false">
      <c r="A333" s="214" t="str">
        <f aca="false">CONCATENATE(E333,",",D333)</f>
        <v>AME 156,ED1-AUTO</v>
      </c>
      <c r="B333" s="217" t="s">
        <v>1044</v>
      </c>
      <c r="C333" s="218" t="s">
        <v>1744</v>
      </c>
      <c r="D333" s="219" t="s">
        <v>162</v>
      </c>
      <c r="E333" s="218" t="s">
        <v>422</v>
      </c>
    </row>
    <row r="334" customFormat="false" ht="14.25" hidden="false" customHeight="false" outlineLevel="0" collapsed="false">
      <c r="A334" s="214" t="str">
        <f aca="false">CONCATENATE(E334,",",D334)</f>
        <v>ME 164,ED1-IND</v>
      </c>
      <c r="B334" s="217" t="s">
        <v>1745</v>
      </c>
      <c r="C334" s="218" t="s">
        <v>1746</v>
      </c>
      <c r="D334" s="219" t="s">
        <v>111</v>
      </c>
      <c r="E334" s="218" t="s">
        <v>268</v>
      </c>
    </row>
    <row r="335" s="220" customFormat="true" ht="14.25" hidden="false" customHeight="false" outlineLevel="0" collapsed="false">
      <c r="A335" s="214" t="str">
        <f aca="false">CONCATENATE(E335,",",D335)</f>
        <v>ME 164,ED1-MARI</v>
      </c>
      <c r="B335" s="217" t="s">
        <v>1745</v>
      </c>
      <c r="C335" s="218" t="s">
        <v>1746</v>
      </c>
      <c r="D335" s="219" t="s">
        <v>112</v>
      </c>
      <c r="E335" s="218" t="s">
        <v>268</v>
      </c>
    </row>
    <row r="336" customFormat="false" ht="14.25" hidden="false" customHeight="false" outlineLevel="0" collapsed="false">
      <c r="A336" s="214" t="str">
        <f aca="false">CONCATENATE(E336,",",D336)</f>
        <v>ME 164,ED1-ME</v>
      </c>
      <c r="B336" s="217" t="s">
        <v>1747</v>
      </c>
      <c r="C336" s="218" t="s">
        <v>1715</v>
      </c>
      <c r="D336" s="219" t="s">
        <v>161</v>
      </c>
      <c r="E336" s="218" t="s">
        <v>268</v>
      </c>
    </row>
    <row r="337" s="220" customFormat="true" ht="14.25" hidden="false" customHeight="false" outlineLevel="0" collapsed="false">
      <c r="A337" s="214" t="str">
        <f aca="false">CONCATENATE(E337,",",D337)</f>
        <v>ME 166,ED1-EE</v>
      </c>
      <c r="B337" s="217" t="s">
        <v>1748</v>
      </c>
      <c r="C337" s="218" t="s">
        <v>1741</v>
      </c>
      <c r="D337" s="219" t="s">
        <v>51</v>
      </c>
      <c r="E337" s="218" t="s">
        <v>421</v>
      </c>
    </row>
    <row r="338" customFormat="false" ht="14.25" hidden="false" customHeight="false" outlineLevel="0" collapsed="false">
      <c r="A338" s="214" t="str">
        <f aca="false">CONCATENATE(E338,",",D338)</f>
        <v>ME 168,ED1-AERO</v>
      </c>
      <c r="B338" s="217" t="s">
        <v>1749</v>
      </c>
      <c r="C338" s="218" t="s">
        <v>1717</v>
      </c>
      <c r="D338" s="219" t="s">
        <v>191</v>
      </c>
      <c r="E338" s="218" t="s">
        <v>110</v>
      </c>
    </row>
    <row r="339" customFormat="false" ht="14.25" hidden="false" customHeight="false" outlineLevel="0" collapsed="false">
      <c r="A339" s="214" t="str">
        <f aca="false">CONCATENATE(E339,",",D339)</f>
        <v>ME 168,ED1-IND</v>
      </c>
      <c r="B339" s="217" t="s">
        <v>1749</v>
      </c>
      <c r="C339" s="218" t="s">
        <v>1715</v>
      </c>
      <c r="D339" s="219" t="s">
        <v>111</v>
      </c>
      <c r="E339" s="218" t="s">
        <v>110</v>
      </c>
    </row>
    <row r="340" s="220" customFormat="true" ht="14.25" hidden="false" customHeight="false" outlineLevel="0" collapsed="false">
      <c r="A340" s="214" t="str">
        <f aca="false">CONCATENATE(E340,",",D340)</f>
        <v>ME 168,ED1-MARI</v>
      </c>
      <c r="B340" s="217" t="s">
        <v>1749</v>
      </c>
      <c r="C340" s="218" t="s">
        <v>1715</v>
      </c>
      <c r="D340" s="219" t="s">
        <v>112</v>
      </c>
      <c r="E340" s="218" t="s">
        <v>110</v>
      </c>
    </row>
    <row r="341" s="220" customFormat="true" ht="14.25" hidden="false" customHeight="false" outlineLevel="0" collapsed="false">
      <c r="A341" s="214" t="str">
        <f aca="false">CONCATENATE(E341,",",D341)</f>
        <v>ME 168,ED1-ME</v>
      </c>
      <c r="B341" s="217" t="s">
        <v>1749</v>
      </c>
      <c r="C341" s="218" t="s">
        <v>1717</v>
      </c>
      <c r="D341" s="219" t="s">
        <v>161</v>
      </c>
      <c r="E341" s="218" t="s">
        <v>110</v>
      </c>
    </row>
    <row r="342" s="220" customFormat="true" ht="14.25" hidden="false" customHeight="false" outlineLevel="0" collapsed="false">
      <c r="A342" s="214" t="str">
        <f aca="false">CONCATENATE(E342,",",D342)</f>
        <v>ME 174,ED1-AUTO</v>
      </c>
      <c r="B342" s="217" t="s">
        <v>1750</v>
      </c>
      <c r="C342" s="218" t="s">
        <v>1406</v>
      </c>
      <c r="D342" s="219" t="s">
        <v>162</v>
      </c>
      <c r="E342" s="218" t="s">
        <v>486</v>
      </c>
    </row>
    <row r="343" customFormat="false" ht="14.25" hidden="false" customHeight="false" outlineLevel="0" collapsed="false">
      <c r="A343" s="214" t="str">
        <f aca="false">CONCATENATE(E343,",",D343)</f>
        <v>ME 174,ED1-ME</v>
      </c>
      <c r="B343" s="217" t="s">
        <v>1750</v>
      </c>
      <c r="C343" s="218" t="s">
        <v>1406</v>
      </c>
      <c r="D343" s="219" t="s">
        <v>161</v>
      </c>
      <c r="E343" s="218" t="s">
        <v>486</v>
      </c>
    </row>
    <row r="344" customFormat="false" ht="14.25" hidden="false" customHeight="false" outlineLevel="0" collapsed="false">
      <c r="A344" s="214" t="str">
        <f aca="false">CONCATENATE(E344,",",D344)</f>
        <v>ME 252,ED2-AUTO</v>
      </c>
      <c r="B344" s="217" t="s">
        <v>1751</v>
      </c>
      <c r="C344" s="218" t="s">
        <v>1704</v>
      </c>
      <c r="D344" s="219" t="s">
        <v>40</v>
      </c>
      <c r="E344" s="218" t="s">
        <v>394</v>
      </c>
    </row>
    <row r="345" s="220" customFormat="true" ht="14.25" hidden="false" customHeight="false" outlineLevel="0" collapsed="false">
      <c r="A345" s="214" t="str">
        <f aca="false">CONCATENATE(E345,",",D345)</f>
        <v>ME 252,ED2-IND</v>
      </c>
      <c r="B345" s="217" t="s">
        <v>1751</v>
      </c>
      <c r="C345" s="218" t="s">
        <v>1704</v>
      </c>
      <c r="D345" s="219" t="s">
        <v>38</v>
      </c>
      <c r="E345" s="218" t="s">
        <v>394</v>
      </c>
    </row>
    <row r="346" s="220" customFormat="true" ht="14.25" hidden="false" customHeight="false" outlineLevel="0" collapsed="false">
      <c r="A346" s="214" t="str">
        <f aca="false">CONCATENATE(E346,",",D346)</f>
        <v>ME 252,ED2-MARI</v>
      </c>
      <c r="B346" s="217" t="s">
        <v>1751</v>
      </c>
      <c r="C346" s="218" t="s">
        <v>1704</v>
      </c>
      <c r="D346" s="219" t="s">
        <v>42</v>
      </c>
      <c r="E346" s="218" t="s">
        <v>394</v>
      </c>
    </row>
    <row r="347" s="220" customFormat="true" ht="14.25" hidden="false" customHeight="false" outlineLevel="0" collapsed="false">
      <c r="A347" s="214" t="str">
        <f aca="false">CONCATENATE(E347,",",D347)</f>
        <v>ME 252,ED2-ME</v>
      </c>
      <c r="B347" s="217" t="s">
        <v>1751</v>
      </c>
      <c r="C347" s="218" t="s">
        <v>1704</v>
      </c>
      <c r="D347" s="219" t="s">
        <v>33</v>
      </c>
      <c r="E347" s="218" t="s">
        <v>394</v>
      </c>
    </row>
    <row r="348" s="220" customFormat="true" ht="14.25" hidden="false" customHeight="false" outlineLevel="0" collapsed="false">
      <c r="A348" s="214" t="str">
        <f aca="false">CONCATENATE(E348,",",D348)</f>
        <v>ME 258,ED2-AERO</v>
      </c>
      <c r="B348" s="217" t="s">
        <v>1752</v>
      </c>
      <c r="C348" s="218" t="s">
        <v>1737</v>
      </c>
      <c r="D348" s="219" t="s">
        <v>36</v>
      </c>
      <c r="E348" s="218" t="s">
        <v>466</v>
      </c>
    </row>
    <row r="349" s="220" customFormat="true" ht="14.25" hidden="false" customHeight="false" outlineLevel="0" collapsed="false">
      <c r="A349" s="214" t="str">
        <f aca="false">CONCATENATE(E349,",",D349)</f>
        <v>ME 262,ED2-AE</v>
      </c>
      <c r="B349" s="217" t="s">
        <v>1753</v>
      </c>
      <c r="C349" s="218" t="s">
        <v>1429</v>
      </c>
      <c r="D349" s="219" t="s">
        <v>53</v>
      </c>
      <c r="E349" s="218" t="s">
        <v>344</v>
      </c>
    </row>
    <row r="350" s="220" customFormat="true" ht="14.25" hidden="false" customHeight="false" outlineLevel="0" collapsed="false">
      <c r="A350" s="214" t="str">
        <f aca="false">CONCATENATE(E350,",",D350)</f>
        <v>ME 264,ED2-AERO</v>
      </c>
      <c r="B350" s="217" t="s">
        <v>1754</v>
      </c>
      <c r="C350" s="218" t="s">
        <v>1755</v>
      </c>
      <c r="D350" s="219" t="s">
        <v>36</v>
      </c>
      <c r="E350" s="218" t="s">
        <v>151</v>
      </c>
    </row>
    <row r="351" s="220" customFormat="true" ht="14.25" hidden="false" customHeight="false" outlineLevel="0" collapsed="false">
      <c r="A351" s="214" t="str">
        <f aca="false">CONCATENATE(E351,",",D351)</f>
        <v>ME 264,ED2-AUTO</v>
      </c>
      <c r="B351" s="217" t="s">
        <v>1754</v>
      </c>
      <c r="C351" s="218" t="s">
        <v>1755</v>
      </c>
      <c r="D351" s="219" t="s">
        <v>40</v>
      </c>
      <c r="E351" s="218" t="s">
        <v>151</v>
      </c>
    </row>
    <row r="352" customFormat="false" ht="14.25" hidden="false" customHeight="false" outlineLevel="0" collapsed="false">
      <c r="A352" s="214" t="str">
        <f aca="false">CONCATENATE(E352,",",D352)</f>
        <v>ME 264,ED2-IND</v>
      </c>
      <c r="B352" s="217" t="s">
        <v>1754</v>
      </c>
      <c r="C352" s="218" t="s">
        <v>1755</v>
      </c>
      <c r="D352" s="219" t="s">
        <v>38</v>
      </c>
      <c r="E352" s="218" t="s">
        <v>151</v>
      </c>
    </row>
    <row r="353" s="220" customFormat="true" ht="14.25" hidden="false" customHeight="false" outlineLevel="0" collapsed="false">
      <c r="A353" s="214" t="str">
        <f aca="false">CONCATENATE(E353,",",D353)</f>
        <v>ME 264,ED2-ME</v>
      </c>
      <c r="B353" s="217" t="s">
        <v>1754</v>
      </c>
      <c r="C353" s="218" t="s">
        <v>1755</v>
      </c>
      <c r="D353" s="219" t="s">
        <v>33</v>
      </c>
      <c r="E353" s="218" t="s">
        <v>151</v>
      </c>
    </row>
    <row r="354" s="220" customFormat="true" ht="14.25" hidden="false" customHeight="false" outlineLevel="0" collapsed="false">
      <c r="A354" s="214" t="str">
        <f aca="false">CONCATENATE(E354,",",D354)</f>
        <v>ME 266,ED2-AERO</v>
      </c>
      <c r="B354" s="217" t="s">
        <v>1756</v>
      </c>
      <c r="C354" s="218" t="s">
        <v>1742</v>
      </c>
      <c r="D354" s="219" t="s">
        <v>36</v>
      </c>
      <c r="E354" s="218" t="s">
        <v>420</v>
      </c>
    </row>
    <row r="355" s="220" customFormat="true" ht="14.25" hidden="false" customHeight="false" outlineLevel="0" collapsed="false">
      <c r="A355" s="214" t="str">
        <f aca="false">CONCATENATE(E355,",",D355)</f>
        <v>ME 266,ED2-IND</v>
      </c>
      <c r="B355" s="217" t="s">
        <v>1756</v>
      </c>
      <c r="C355" s="218" t="s">
        <v>1746</v>
      </c>
      <c r="D355" s="219" t="s">
        <v>38</v>
      </c>
      <c r="E355" s="218" t="s">
        <v>420</v>
      </c>
    </row>
    <row r="356" customFormat="false" ht="14.25" hidden="false" customHeight="false" outlineLevel="0" collapsed="false">
      <c r="A356" s="214" t="str">
        <f aca="false">CONCATENATE(E356,",",D356)</f>
        <v>ME 266,ED2-ME</v>
      </c>
      <c r="B356" s="217" t="s">
        <v>1756</v>
      </c>
      <c r="C356" s="218" t="s">
        <v>1746</v>
      </c>
      <c r="D356" s="219" t="s">
        <v>33</v>
      </c>
      <c r="E356" s="218" t="s">
        <v>420</v>
      </c>
    </row>
    <row r="357" s="220" customFormat="true" ht="14.25" hidden="false" customHeight="false" outlineLevel="0" collapsed="false">
      <c r="A357" s="214" t="str">
        <f aca="false">CONCATENATE(E357,",",D357)</f>
        <v>ME 270,ED2-AUTO</v>
      </c>
      <c r="B357" s="217" t="s">
        <v>1757</v>
      </c>
      <c r="C357" s="218" t="s">
        <v>1742</v>
      </c>
      <c r="D357" s="219" t="s">
        <v>40</v>
      </c>
      <c r="E357" s="218" t="s">
        <v>337</v>
      </c>
    </row>
    <row r="358" s="220" customFormat="true" ht="15" hidden="false" customHeight="true" outlineLevel="0" collapsed="false">
      <c r="A358" s="214" t="str">
        <f aca="false">CONCATENATE(E358,",",D358)</f>
        <v>ME 270,ED2-IND</v>
      </c>
      <c r="B358" s="217" t="s">
        <v>1757</v>
      </c>
      <c r="C358" s="218" t="s">
        <v>1742</v>
      </c>
      <c r="D358" s="219" t="s">
        <v>38</v>
      </c>
      <c r="E358" s="218" t="s">
        <v>337</v>
      </c>
    </row>
    <row r="359" customFormat="false" ht="14.25" hidden="false" customHeight="false" outlineLevel="0" collapsed="false">
      <c r="A359" s="214" t="str">
        <f aca="false">CONCATENATE(E359,",",D359)</f>
        <v>ME 270,ED2-MARI</v>
      </c>
      <c r="B359" s="217" t="s">
        <v>1757</v>
      </c>
      <c r="C359" s="218" t="s">
        <v>1742</v>
      </c>
      <c r="D359" s="219" t="s">
        <v>42</v>
      </c>
      <c r="E359" s="218" t="s">
        <v>337</v>
      </c>
    </row>
    <row r="360" customFormat="false" ht="14.25" hidden="false" customHeight="false" outlineLevel="0" collapsed="false">
      <c r="A360" s="214" t="str">
        <f aca="false">CONCATENATE(E360,",",D360)</f>
        <v>ME 370,ED3-ME</v>
      </c>
      <c r="B360" s="217" t="s">
        <v>1757</v>
      </c>
      <c r="C360" s="218" t="s">
        <v>1758</v>
      </c>
      <c r="D360" s="219" t="s">
        <v>61</v>
      </c>
      <c r="E360" s="218" t="s">
        <v>310</v>
      </c>
    </row>
    <row r="361" s="220" customFormat="true" ht="14.25" hidden="false" customHeight="false" outlineLevel="0" collapsed="false">
      <c r="A361" s="214" t="str">
        <f aca="false">CONCATENATE(E361,",",D361)</f>
        <v>ME 274,ED2-ME</v>
      </c>
      <c r="B361" s="217" t="s">
        <v>1759</v>
      </c>
      <c r="C361" s="218" t="s">
        <v>1410</v>
      </c>
      <c r="D361" s="219" t="s">
        <v>33</v>
      </c>
      <c r="E361" s="218" t="s">
        <v>32</v>
      </c>
    </row>
    <row r="362" customFormat="false" ht="14.25" hidden="false" customHeight="false" outlineLevel="0" collapsed="false">
      <c r="A362" s="214" t="str">
        <f aca="false">CONCATENATE(E362,",",D362)</f>
        <v>ME 282,ED2-AE</v>
      </c>
      <c r="B362" s="217" t="s">
        <v>1760</v>
      </c>
      <c r="C362" s="218" t="s">
        <v>1761</v>
      </c>
      <c r="D362" s="219" t="s">
        <v>53</v>
      </c>
      <c r="E362" s="218" t="s">
        <v>236</v>
      </c>
    </row>
    <row r="363" s="220" customFormat="true" ht="14.25" hidden="false" customHeight="false" outlineLevel="0" collapsed="false">
      <c r="A363" s="214" t="str">
        <f aca="false">CONCATENATE(E363,",",D363)</f>
        <v>ME 292,ED2-ME</v>
      </c>
      <c r="B363" s="217" t="s">
        <v>1434</v>
      </c>
      <c r="C363" s="218" t="s">
        <v>1435</v>
      </c>
      <c r="D363" s="219" t="s">
        <v>33</v>
      </c>
      <c r="E363" s="218" t="s">
        <v>240</v>
      </c>
    </row>
    <row r="364" customFormat="false" ht="14.25" hidden="false" customHeight="false" outlineLevel="0" collapsed="false">
      <c r="A364" s="214" t="str">
        <f aca="false">CONCATENATE(E364,",",D364)</f>
        <v>ME 296,ED2-AE</v>
      </c>
      <c r="B364" s="217" t="s">
        <v>1762</v>
      </c>
      <c r="C364" s="218" t="s">
        <v>1742</v>
      </c>
      <c r="D364" s="219" t="s">
        <v>53</v>
      </c>
      <c r="E364" s="218" t="s">
        <v>542</v>
      </c>
    </row>
    <row r="365" s="220" customFormat="true" ht="14.25" hidden="false" customHeight="false" outlineLevel="0" collapsed="false">
      <c r="A365" s="214" t="str">
        <f aca="false">CONCATENATE(E365,",",D365)</f>
        <v>ME 296,ED2-ME</v>
      </c>
      <c r="B365" s="217" t="s">
        <v>1762</v>
      </c>
      <c r="C365" s="218" t="s">
        <v>1746</v>
      </c>
      <c r="D365" s="219" t="s">
        <v>33</v>
      </c>
      <c r="E365" s="218" t="s">
        <v>542</v>
      </c>
    </row>
    <row r="366" customFormat="false" ht="14.25" hidden="false" customHeight="false" outlineLevel="0" collapsed="false">
      <c r="A366" s="214" t="str">
        <f aca="false">CONCATENATE(E366,",",D366)</f>
        <v>ME 352,ED3-MARI</v>
      </c>
      <c r="B366" s="217" t="s">
        <v>1763</v>
      </c>
      <c r="C366" s="218" t="s">
        <v>1717</v>
      </c>
      <c r="D366" s="219" t="s">
        <v>86</v>
      </c>
      <c r="E366" s="218" t="s">
        <v>174</v>
      </c>
    </row>
    <row r="367" s="220" customFormat="true" ht="14.25" hidden="false" customHeight="false" outlineLevel="0" collapsed="false">
      <c r="A367" s="214" t="str">
        <f aca="false">CONCATENATE(E367,",",D367)</f>
        <v>ME 352,ED3-ME</v>
      </c>
      <c r="B367" s="217" t="s">
        <v>1764</v>
      </c>
      <c r="C367" s="218" t="s">
        <v>1717</v>
      </c>
      <c r="D367" s="219" t="s">
        <v>61</v>
      </c>
      <c r="E367" s="218" t="s">
        <v>174</v>
      </c>
    </row>
    <row r="368" s="220" customFormat="true" ht="14.25" hidden="false" customHeight="false" outlineLevel="0" collapsed="false">
      <c r="A368" s="214" t="str">
        <f aca="false">CONCATENATE(E368,",",D368)</f>
        <v>ME 356,ED3-ME</v>
      </c>
      <c r="B368" s="217" t="s">
        <v>1765</v>
      </c>
      <c r="C368" s="218" t="s">
        <v>1717</v>
      </c>
      <c r="D368" s="219" t="s">
        <v>61</v>
      </c>
      <c r="E368" s="218" t="s">
        <v>389</v>
      </c>
    </row>
    <row r="369" s="220" customFormat="true" ht="14.25" hidden="false" customHeight="false" outlineLevel="0" collapsed="false">
      <c r="A369" s="214" t="str">
        <f aca="false">CONCATENATE(E369,",",D369)</f>
        <v>ME 362,ED3-AERO</v>
      </c>
      <c r="B369" s="217" t="s">
        <v>1766</v>
      </c>
      <c r="C369" s="218" t="s">
        <v>1429</v>
      </c>
      <c r="D369" s="219" t="s">
        <v>133</v>
      </c>
      <c r="E369" s="218" t="s">
        <v>519</v>
      </c>
    </row>
    <row r="370" s="220" customFormat="true" ht="14.25" hidden="false" customHeight="false" outlineLevel="0" collapsed="false">
      <c r="A370" s="214" t="str">
        <f aca="false">CONCATENATE(E370,",",D370)</f>
        <v>ME 362,ED3-MARI</v>
      </c>
      <c r="B370" s="217" t="s">
        <v>1766</v>
      </c>
      <c r="C370" s="218" t="s">
        <v>1429</v>
      </c>
      <c r="D370" s="219" t="s">
        <v>86</v>
      </c>
      <c r="E370" s="218" t="s">
        <v>519</v>
      </c>
    </row>
    <row r="371" s="220" customFormat="true" ht="14.25" hidden="false" customHeight="false" outlineLevel="0" collapsed="false">
      <c r="A371" s="214" t="str">
        <f aca="false">CONCATENATE(E371,",",D371)</f>
        <v>ME 362,ED3-ME</v>
      </c>
      <c r="B371" s="217" t="s">
        <v>1766</v>
      </c>
      <c r="C371" s="218" t="s">
        <v>1429</v>
      </c>
      <c r="D371" s="219" t="s">
        <v>61</v>
      </c>
      <c r="E371" s="218" t="s">
        <v>519</v>
      </c>
    </row>
    <row r="372" s="220" customFormat="true" ht="14.25" hidden="false" customHeight="false" outlineLevel="0" collapsed="false">
      <c r="A372" s="214" t="str">
        <f aca="false">CONCATENATE(E372,",",D372)</f>
        <v>ME 366,ED3-AERO</v>
      </c>
      <c r="B372" s="217" t="s">
        <v>1767</v>
      </c>
      <c r="C372" s="218" t="s">
        <v>1768</v>
      </c>
      <c r="D372" s="219" t="s">
        <v>133</v>
      </c>
      <c r="E372" s="218" t="s">
        <v>347</v>
      </c>
    </row>
    <row r="373" s="220" customFormat="true" ht="14.25" hidden="false" customHeight="false" outlineLevel="0" collapsed="false">
      <c r="A373" s="214" t="str">
        <f aca="false">CONCATENATE(E373,",",D373)</f>
        <v>ME 366,ED3-AE</v>
      </c>
      <c r="B373" s="217" t="s">
        <v>1767</v>
      </c>
      <c r="C373" s="218" t="s">
        <v>1768</v>
      </c>
      <c r="D373" s="219" t="s">
        <v>88</v>
      </c>
      <c r="E373" s="218" t="s">
        <v>347</v>
      </c>
    </row>
    <row r="374" s="220" customFormat="true" ht="14.25" hidden="false" customHeight="false" outlineLevel="0" collapsed="false">
      <c r="A374" s="214" t="str">
        <f aca="false">CONCATENATE(E374,",",D374)</f>
        <v>ME 366,ED3-MARI</v>
      </c>
      <c r="B374" s="217" t="s">
        <v>1767</v>
      </c>
      <c r="C374" s="218" t="s">
        <v>1768</v>
      </c>
      <c r="D374" s="219" t="s">
        <v>86</v>
      </c>
      <c r="E374" s="218" t="s">
        <v>347</v>
      </c>
    </row>
    <row r="375" s="220" customFormat="true" ht="14.25" hidden="false" customHeight="false" outlineLevel="0" collapsed="false">
      <c r="A375" s="214" t="str">
        <f aca="false">CONCATENATE(E375,",",D375)</f>
        <v>ME 366,ED3-ME</v>
      </c>
      <c r="B375" s="217" t="s">
        <v>1767</v>
      </c>
      <c r="C375" s="218" t="s">
        <v>1768</v>
      </c>
      <c r="D375" s="219" t="s">
        <v>61</v>
      </c>
      <c r="E375" s="218" t="s">
        <v>347</v>
      </c>
    </row>
    <row r="376" s="220" customFormat="true" ht="14.25" hidden="false" customHeight="false" outlineLevel="0" collapsed="false">
      <c r="A376" s="214" t="str">
        <f aca="false">CONCATENATE(E376,",",D376)</f>
        <v>COE 482,ED4-COE</v>
      </c>
      <c r="B376" s="217" t="s">
        <v>1171</v>
      </c>
      <c r="C376" s="218" t="s">
        <v>1557</v>
      </c>
      <c r="D376" s="219" t="s">
        <v>251</v>
      </c>
      <c r="E376" s="218" t="s">
        <v>1172</v>
      </c>
    </row>
    <row r="377" s="220" customFormat="true" ht="14.25" hidden="false" customHeight="false" outlineLevel="0" collapsed="false">
      <c r="A377" s="214" t="str">
        <f aca="false">CONCATENATE(E377,",",D377)</f>
        <v>ME 366,ED3-ME</v>
      </c>
      <c r="B377" s="217" t="s">
        <v>1767</v>
      </c>
      <c r="C377" s="218" t="s">
        <v>1768</v>
      </c>
      <c r="D377" s="219" t="s">
        <v>61</v>
      </c>
      <c r="E377" s="218" t="s">
        <v>347</v>
      </c>
    </row>
    <row r="378" s="220" customFormat="true" ht="14.25" hidden="false" customHeight="false" outlineLevel="0" collapsed="false">
      <c r="A378" s="214" t="str">
        <f aca="false">CONCATENATE(E378,",",D378)</f>
        <v>ME 374,ED3-AE</v>
      </c>
      <c r="B378" s="217" t="s">
        <v>1769</v>
      </c>
      <c r="C378" s="218" t="s">
        <v>1406</v>
      </c>
      <c r="D378" s="219" t="s">
        <v>88</v>
      </c>
      <c r="E378" s="218" t="s">
        <v>60</v>
      </c>
    </row>
    <row r="379" s="220" customFormat="true" ht="15" hidden="false" customHeight="true" outlineLevel="0" collapsed="false">
      <c r="A379" s="214" t="str">
        <f aca="false">CONCATENATE(E379,",",D379)</f>
        <v>ME 374,ED3-ME</v>
      </c>
      <c r="B379" s="217" t="s">
        <v>1770</v>
      </c>
      <c r="C379" s="218" t="s">
        <v>1410</v>
      </c>
      <c r="D379" s="219" t="s">
        <v>61</v>
      </c>
      <c r="E379" s="218" t="s">
        <v>60</v>
      </c>
    </row>
    <row r="380" s="220" customFormat="true" ht="14.25" hidden="false" customHeight="false" outlineLevel="0" collapsed="false">
      <c r="A380" s="214" t="str">
        <f aca="false">CONCATENATE(E380,",",D380)</f>
        <v>ME 376,ED3-AE</v>
      </c>
      <c r="B380" s="217" t="s">
        <v>1771</v>
      </c>
      <c r="C380" s="218" t="s">
        <v>1406</v>
      </c>
      <c r="D380" s="219" t="s">
        <v>88</v>
      </c>
      <c r="E380" s="218" t="s">
        <v>266</v>
      </c>
    </row>
    <row r="381" s="220" customFormat="true" ht="14.25" hidden="false" customHeight="false" outlineLevel="0" collapsed="false">
      <c r="A381" s="214" t="str">
        <f aca="false">CONCATENATE(E381,",",D381)</f>
        <v>ME 384,ED3-AUTO</v>
      </c>
      <c r="B381" s="217" t="s">
        <v>1772</v>
      </c>
      <c r="C381" s="218" t="s">
        <v>1773</v>
      </c>
      <c r="D381" s="219" t="s">
        <v>23</v>
      </c>
      <c r="E381" s="218" t="s">
        <v>1060</v>
      </c>
    </row>
    <row r="382" s="220" customFormat="true" ht="15" hidden="false" customHeight="true" outlineLevel="0" collapsed="false">
      <c r="A382" s="214" t="str">
        <f aca="false">CONCATENATE(E382,",",D382)</f>
        <v>ME 392,ED3-AERO</v>
      </c>
      <c r="B382" s="217" t="s">
        <v>1434</v>
      </c>
      <c r="C382" s="218" t="s">
        <v>1435</v>
      </c>
      <c r="D382" s="219" t="s">
        <v>133</v>
      </c>
      <c r="E382" s="218" t="s">
        <v>239</v>
      </c>
    </row>
    <row r="383" s="220" customFormat="true" ht="14.25" hidden="false" customHeight="false" outlineLevel="0" collapsed="false">
      <c r="A383" s="214" t="str">
        <f aca="false">CONCATENATE(E383,",",D383)</f>
        <v>ME 392,ED3-ME</v>
      </c>
      <c r="B383" s="217" t="s">
        <v>1774</v>
      </c>
      <c r="C383" s="218" t="s">
        <v>1435</v>
      </c>
      <c r="D383" s="219" t="s">
        <v>61</v>
      </c>
      <c r="E383" s="218" t="s">
        <v>239</v>
      </c>
    </row>
    <row r="384" s="220" customFormat="true" ht="14.25" hidden="false" customHeight="false" outlineLevel="0" collapsed="false">
      <c r="A384" s="214" t="str">
        <f aca="false">CONCATENATE(E384,",",D384)</f>
        <v>ME 396,ED3-ME</v>
      </c>
      <c r="B384" s="217" t="s">
        <v>1775</v>
      </c>
      <c r="C384" s="218" t="s">
        <v>1715</v>
      </c>
      <c r="D384" s="219" t="s">
        <v>61</v>
      </c>
      <c r="E384" s="218" t="s">
        <v>1298</v>
      </c>
    </row>
    <row r="385" s="220" customFormat="true" ht="14.25" hidden="false" customHeight="false" outlineLevel="0" collapsed="false">
      <c r="A385" s="214" t="str">
        <f aca="false">CONCATENATE(E385,",",D385)</f>
        <v>ME 452,ED4-ME</v>
      </c>
      <c r="B385" s="217" t="s">
        <v>1776</v>
      </c>
      <c r="C385" s="218" t="s">
        <v>1777</v>
      </c>
      <c r="D385" s="219" t="s">
        <v>67</v>
      </c>
      <c r="E385" s="218" t="s">
        <v>458</v>
      </c>
    </row>
    <row r="386" s="220" customFormat="true" ht="14.25" hidden="false" customHeight="false" outlineLevel="0" collapsed="false">
      <c r="A386" s="214" t="str">
        <f aca="false">CONCATENATE(E386,",",D386)</f>
        <v>ME 476,ED4-ME</v>
      </c>
      <c r="B386" s="217" t="s">
        <v>1778</v>
      </c>
      <c r="C386" s="218" t="s">
        <v>1779</v>
      </c>
      <c r="D386" s="219" t="s">
        <v>67</v>
      </c>
      <c r="E386" s="218" t="s">
        <v>1301</v>
      </c>
    </row>
    <row r="387" s="220" customFormat="true" ht="14.25" hidden="false" customHeight="false" outlineLevel="0" collapsed="false">
      <c r="A387" s="214" t="str">
        <f aca="false">CONCATENATE(E387,",",D387)</f>
        <v>ME 456,ED4-AERO</v>
      </c>
      <c r="B387" s="217" t="s">
        <v>1780</v>
      </c>
      <c r="C387" s="218" t="s">
        <v>1410</v>
      </c>
      <c r="D387" s="219" t="s">
        <v>99</v>
      </c>
      <c r="E387" s="218" t="s">
        <v>183</v>
      </c>
    </row>
    <row r="388" s="220" customFormat="true" ht="14.25" hidden="false" customHeight="false" outlineLevel="0" collapsed="false">
      <c r="A388" s="214" t="str">
        <f aca="false">CONCATENATE(E388,",",D388)</f>
        <v>ME 456,ED4-AUTO</v>
      </c>
      <c r="B388" s="217" t="s">
        <v>1781</v>
      </c>
      <c r="C388" s="218" t="s">
        <v>1410</v>
      </c>
      <c r="D388" s="219" t="s">
        <v>97</v>
      </c>
      <c r="E388" s="218" t="s">
        <v>183</v>
      </c>
    </row>
    <row r="389" s="220" customFormat="true" ht="14.25" hidden="false" customHeight="false" outlineLevel="0" collapsed="false">
      <c r="A389" s="214" t="str">
        <f aca="false">CONCATENATE(E389,",",D389)</f>
        <v>ME 456,ED4-ME</v>
      </c>
      <c r="B389" s="217" t="s">
        <v>1780</v>
      </c>
      <c r="C389" s="218" t="s">
        <v>1410</v>
      </c>
      <c r="D389" s="219" t="s">
        <v>67</v>
      </c>
      <c r="E389" s="218" t="s">
        <v>183</v>
      </c>
    </row>
    <row r="390" s="220" customFormat="true" ht="14.25" hidden="false" customHeight="false" outlineLevel="0" collapsed="false">
      <c r="A390" s="214" t="str">
        <f aca="false">CONCATENATE(E390,",",D390)</f>
        <v>ME 462,ED4-AERO</v>
      </c>
      <c r="B390" s="217" t="s">
        <v>1782</v>
      </c>
      <c r="C390" s="218" t="s">
        <v>1783</v>
      </c>
      <c r="D390" s="219" t="s">
        <v>99</v>
      </c>
      <c r="E390" s="218" t="s">
        <v>254</v>
      </c>
    </row>
    <row r="391" s="220" customFormat="true" ht="14.25" hidden="false" customHeight="false" outlineLevel="0" collapsed="false">
      <c r="A391" s="214" t="str">
        <f aca="false">CONCATENATE(E391,",",D391)</f>
        <v>ME 462,ED4-ME</v>
      </c>
      <c r="B391" s="217" t="s">
        <v>1782</v>
      </c>
      <c r="C391" s="218" t="s">
        <v>1783</v>
      </c>
      <c r="D391" s="219" t="s">
        <v>67</v>
      </c>
      <c r="E391" s="218" t="s">
        <v>254</v>
      </c>
    </row>
    <row r="392" s="220" customFormat="true" ht="14.25" hidden="false" customHeight="false" outlineLevel="0" collapsed="false">
      <c r="A392" s="214" t="str">
        <f aca="false">CONCATENATE(E392,",",D392)</f>
        <v>ME 464,ED4-ME</v>
      </c>
      <c r="B392" s="217" t="s">
        <v>1784</v>
      </c>
      <c r="C392" s="218" t="s">
        <v>1429</v>
      </c>
      <c r="D392" s="219" t="s">
        <v>67</v>
      </c>
      <c r="E392" s="218" t="s">
        <v>66</v>
      </c>
    </row>
    <row r="393" s="220" customFormat="true" ht="14.25" hidden="false" customHeight="false" outlineLevel="0" collapsed="false">
      <c r="A393" s="214" t="str">
        <f aca="false">CONCATENATE(E393,",",D393)</f>
        <v>ME 468,ED4-AERO</v>
      </c>
      <c r="B393" s="217" t="s">
        <v>1785</v>
      </c>
      <c r="C393" s="218" t="s">
        <v>1768</v>
      </c>
      <c r="D393" s="219" t="s">
        <v>99</v>
      </c>
      <c r="E393" s="218" t="s">
        <v>407</v>
      </c>
    </row>
    <row r="394" s="220" customFormat="true" ht="14.25" hidden="false" customHeight="false" outlineLevel="0" collapsed="false">
      <c r="A394" s="214" t="str">
        <f aca="false">CONCATENATE(E394,",",D394)</f>
        <v>ME 468,ED4-ME</v>
      </c>
      <c r="B394" s="217" t="s">
        <v>1785</v>
      </c>
      <c r="C394" s="218" t="s">
        <v>1768</v>
      </c>
      <c r="D394" s="219" t="s">
        <v>67</v>
      </c>
      <c r="E394" s="218" t="s">
        <v>407</v>
      </c>
    </row>
    <row r="395" s="220" customFormat="true" ht="14.25" hidden="false" customHeight="false" outlineLevel="0" collapsed="false">
      <c r="A395" s="214" t="str">
        <f aca="false">CONCATENATE(E395,",",D395)</f>
        <v>ME 472,ED4-AERO</v>
      </c>
      <c r="B395" s="217" t="s">
        <v>1786</v>
      </c>
      <c r="C395" s="218" t="s">
        <v>1787</v>
      </c>
      <c r="D395" s="219" t="s">
        <v>99</v>
      </c>
      <c r="E395" s="218" t="s">
        <v>327</v>
      </c>
    </row>
    <row r="396" s="220" customFormat="true" ht="14.25" hidden="false" customHeight="false" outlineLevel="0" collapsed="false">
      <c r="A396" s="214" t="str">
        <f aca="false">CONCATENATE(E396,",",D396)</f>
        <v>ME 472,ED4-ME</v>
      </c>
      <c r="B396" s="217" t="s">
        <v>1786</v>
      </c>
      <c r="C396" s="218" t="s">
        <v>1787</v>
      </c>
      <c r="D396" s="219" t="s">
        <v>67</v>
      </c>
      <c r="E396" s="218" t="s">
        <v>327</v>
      </c>
    </row>
    <row r="397" s="220" customFormat="true" ht="14.25" hidden="false" customHeight="false" outlineLevel="0" collapsed="false">
      <c r="A397" s="214" t="str">
        <f aca="false">CONCATENATE(E397,",",D397)</f>
        <v>ME 474,ED4-AERO</v>
      </c>
      <c r="B397" s="217" t="s">
        <v>1714</v>
      </c>
      <c r="C397" s="218" t="s">
        <v>1715</v>
      </c>
      <c r="D397" s="219" t="s">
        <v>99</v>
      </c>
      <c r="E397" s="218" t="s">
        <v>1039</v>
      </c>
    </row>
    <row r="398" s="220" customFormat="true" ht="14.25" hidden="false" customHeight="false" outlineLevel="0" collapsed="false">
      <c r="A398" s="214" t="str">
        <f aca="false">CONCATENATE(E398,",",D398)</f>
        <v>ME 474,ED4-ME</v>
      </c>
      <c r="B398" s="217" t="s">
        <v>1714</v>
      </c>
      <c r="C398" s="218" t="s">
        <v>1715</v>
      </c>
      <c r="D398" s="219" t="s">
        <v>67</v>
      </c>
      <c r="E398" s="218" t="s">
        <v>1039</v>
      </c>
    </row>
    <row r="399" s="220" customFormat="true" ht="14.25" hidden="false" customHeight="false" outlineLevel="0" collapsed="false">
      <c r="A399" s="214" t="str">
        <f aca="false">CONCATENATE(E399,",",D399)</f>
        <v>ME 478,ED4-ME</v>
      </c>
      <c r="B399" s="217" t="s">
        <v>1788</v>
      </c>
      <c r="C399" s="218" t="s">
        <v>1787</v>
      </c>
      <c r="D399" s="219" t="s">
        <v>67</v>
      </c>
      <c r="E399" s="218" t="s">
        <v>189</v>
      </c>
    </row>
    <row r="400" s="220" customFormat="true" ht="14.25" hidden="false" customHeight="false" outlineLevel="0" collapsed="false">
      <c r="A400" s="214" t="str">
        <f aca="false">CONCATENATE(E400,",",D400)</f>
        <v>ME 482,ED4-ME</v>
      </c>
      <c r="B400" s="217" t="s">
        <v>1789</v>
      </c>
      <c r="C400" s="218" t="s">
        <v>1438</v>
      </c>
      <c r="D400" s="219" t="s">
        <v>67</v>
      </c>
      <c r="E400" s="218" t="s">
        <v>116</v>
      </c>
    </row>
    <row r="401" s="220" customFormat="true" ht="14.25" hidden="false" customHeight="false" outlineLevel="0" collapsed="false">
      <c r="A401" s="214" t="str">
        <f aca="false">CONCATENATE(E401,",",D401)</f>
        <v>ME 492,ED4-AERO</v>
      </c>
      <c r="B401" s="217" t="s">
        <v>1790</v>
      </c>
      <c r="C401" s="218" t="s">
        <v>1435</v>
      </c>
      <c r="D401" s="219" t="s">
        <v>99</v>
      </c>
      <c r="E401" s="218" t="s">
        <v>373</v>
      </c>
    </row>
    <row r="402" s="220" customFormat="true" ht="14.25" hidden="false" customHeight="false" outlineLevel="0" collapsed="false">
      <c r="A402" s="214" t="str">
        <f aca="false">CONCATENATE(E402,",",D402)</f>
        <v>ME 492,ED4-AE</v>
      </c>
      <c r="B402" s="217" t="s">
        <v>1790</v>
      </c>
      <c r="C402" s="218" t="s">
        <v>1388</v>
      </c>
      <c r="D402" s="219" t="s">
        <v>50</v>
      </c>
      <c r="E402" s="218" t="s">
        <v>373</v>
      </c>
    </row>
    <row r="403" s="220" customFormat="true" ht="14.25" hidden="false" customHeight="false" outlineLevel="0" collapsed="false">
      <c r="A403" s="214" t="str">
        <f aca="false">CONCATENATE(E403,",",D403)</f>
        <v>ME 492,ED4-AUTO</v>
      </c>
      <c r="B403" s="217" t="s">
        <v>1790</v>
      </c>
      <c r="C403" s="218" t="s">
        <v>1435</v>
      </c>
      <c r="D403" s="219" t="s">
        <v>97</v>
      </c>
      <c r="E403" s="218" t="s">
        <v>373</v>
      </c>
    </row>
    <row r="404" s="220" customFormat="true" ht="14.25" hidden="false" customHeight="false" outlineLevel="0" collapsed="false">
      <c r="A404" s="214" t="str">
        <f aca="false">CONCATENATE(E404,",",D404)</f>
        <v>ME 492,ED4-BME</v>
      </c>
      <c r="B404" s="217" t="s">
        <v>1791</v>
      </c>
      <c r="C404" s="218" t="s">
        <v>1388</v>
      </c>
      <c r="D404" s="219" t="s">
        <v>252</v>
      </c>
      <c r="E404" s="218" t="s">
        <v>373</v>
      </c>
    </row>
    <row r="405" s="220" customFormat="true" ht="14.25" hidden="false" customHeight="false" outlineLevel="0" collapsed="false">
      <c r="A405" s="214" t="str">
        <f aca="false">CONCATENATE(E405,",",D405)</f>
        <v>ME 492,ED4-COE</v>
      </c>
      <c r="B405" s="217" t="s">
        <v>1790</v>
      </c>
      <c r="C405" s="218" t="s">
        <v>1388</v>
      </c>
      <c r="D405" s="219" t="s">
        <v>251</v>
      </c>
      <c r="E405" s="218" t="s">
        <v>373</v>
      </c>
    </row>
    <row r="406" customFormat="false" ht="14.25" hidden="false" customHeight="false" outlineLevel="0" collapsed="false">
      <c r="A406" s="214" t="str">
        <f aca="false">CONCATENATE(E406,",",D406)</f>
        <v>ME 492,ED4-EE</v>
      </c>
      <c r="B406" s="217" t="s">
        <v>1792</v>
      </c>
      <c r="C406" s="218" t="s">
        <v>1435</v>
      </c>
      <c r="D406" s="219" t="s">
        <v>144</v>
      </c>
      <c r="E406" s="218" t="s">
        <v>373</v>
      </c>
    </row>
    <row r="407" s="220" customFormat="true" ht="14.25" hidden="false" customHeight="false" outlineLevel="0" collapsed="false">
      <c r="A407" s="214" t="str">
        <f aca="false">CONCATENATE(E407,",",D407)</f>
        <v>ME 492,ED4-IND</v>
      </c>
      <c r="B407" s="217" t="s">
        <v>1790</v>
      </c>
      <c r="C407" s="218" t="s">
        <v>1793</v>
      </c>
      <c r="D407" s="219" t="s">
        <v>124</v>
      </c>
      <c r="E407" s="218" t="s">
        <v>373</v>
      </c>
    </row>
    <row r="408" customFormat="false" ht="14.25" hidden="false" customHeight="false" outlineLevel="0" collapsed="false">
      <c r="A408" s="214" t="str">
        <f aca="false">CONCATENATE(E408,",",D408)</f>
        <v>ME 492,ED4-MSE</v>
      </c>
      <c r="B408" s="217" t="s">
        <v>1790</v>
      </c>
      <c r="C408" s="218" t="s">
        <v>1435</v>
      </c>
      <c r="D408" s="219" t="s">
        <v>135</v>
      </c>
      <c r="E408" s="218" t="s">
        <v>373</v>
      </c>
    </row>
    <row r="409" s="220" customFormat="true" ht="14.25" hidden="false" customHeight="false" outlineLevel="0" collapsed="false">
      <c r="A409" s="214" t="str">
        <f aca="false">CONCATENATE(E409,",",D409)</f>
        <v>ME 492,ED4-ME</v>
      </c>
      <c r="B409" s="217" t="s">
        <v>1790</v>
      </c>
      <c r="C409" s="218" t="s">
        <v>1435</v>
      </c>
      <c r="D409" s="219" t="s">
        <v>67</v>
      </c>
      <c r="E409" s="218" t="s">
        <v>373</v>
      </c>
    </row>
    <row r="410" s="220" customFormat="true" ht="14.25" hidden="false" customHeight="false" outlineLevel="0" collapsed="false">
      <c r="A410" s="214" t="str">
        <f aca="false">CONCATENATE(E410,",",D410)</f>
        <v>ME 492,ED4-METE</v>
      </c>
      <c r="B410" s="217" t="s">
        <v>1790</v>
      </c>
      <c r="C410" s="218" t="s">
        <v>1435</v>
      </c>
      <c r="D410" s="219" t="s">
        <v>136</v>
      </c>
      <c r="E410" s="218" t="s">
        <v>373</v>
      </c>
    </row>
    <row r="411" s="220" customFormat="true" ht="14.25" hidden="false" customHeight="false" outlineLevel="0" collapsed="false">
      <c r="A411" s="214" t="str">
        <f aca="false">CONCATENATE(E411,",",D411)</f>
        <v>ME 492,ED4-TEL</v>
      </c>
      <c r="B411" s="217" t="s">
        <v>1790</v>
      </c>
      <c r="C411" s="218" t="s">
        <v>1435</v>
      </c>
      <c r="D411" s="219" t="s">
        <v>227</v>
      </c>
      <c r="E411" s="218" t="s">
        <v>373</v>
      </c>
    </row>
    <row r="412" s="220" customFormat="true" ht="14.25" hidden="false" customHeight="false" outlineLevel="0" collapsed="false">
      <c r="A412" s="214" t="str">
        <f aca="false">CONCATENATE(E412,",",D412)</f>
        <v>ME 494,ED4-IND</v>
      </c>
      <c r="B412" s="217" t="s">
        <v>1794</v>
      </c>
      <c r="C412" s="218" t="s">
        <v>1422</v>
      </c>
      <c r="D412" s="219" t="s">
        <v>124</v>
      </c>
      <c r="E412" s="218" t="s">
        <v>293</v>
      </c>
    </row>
    <row r="413" s="220" customFormat="true" ht="14.25" hidden="false" customHeight="false" outlineLevel="0" collapsed="false">
      <c r="A413" s="214" t="str">
        <f aca="false">CONCATENATE(E413,",",D413)</f>
        <v>ME 494,ED4-ME</v>
      </c>
      <c r="B413" s="217" t="s">
        <v>1795</v>
      </c>
      <c r="C413" s="218" t="s">
        <v>1422</v>
      </c>
      <c r="D413" s="219" t="s">
        <v>67</v>
      </c>
      <c r="E413" s="218" t="s">
        <v>293</v>
      </c>
    </row>
    <row r="414" s="220" customFormat="true" ht="14.25" hidden="false" customHeight="false" outlineLevel="0" collapsed="false">
      <c r="A414" s="214" t="str">
        <f aca="false">CONCATENATE(E414,",",D414)</f>
        <v>ME 496,ED4-AERO</v>
      </c>
      <c r="B414" s="217" t="s">
        <v>1718</v>
      </c>
      <c r="C414" s="218" t="s">
        <v>1438</v>
      </c>
      <c r="D414" s="219" t="s">
        <v>99</v>
      </c>
      <c r="E414" s="218" t="s">
        <v>1042</v>
      </c>
    </row>
    <row r="415" s="220" customFormat="true" ht="14.25" hidden="false" customHeight="false" outlineLevel="0" collapsed="false">
      <c r="A415" s="214" t="str">
        <f aca="false">CONCATENATE(E415,",",D415)</f>
        <v>ME 496,ED4-ME</v>
      </c>
      <c r="B415" s="217" t="s">
        <v>1718</v>
      </c>
      <c r="C415" s="218" t="s">
        <v>1438</v>
      </c>
      <c r="D415" s="219" t="s">
        <v>67</v>
      </c>
      <c r="E415" s="218" t="s">
        <v>1042</v>
      </c>
    </row>
    <row r="416" s="220" customFormat="true" ht="14.25" hidden="false" customHeight="false" outlineLevel="0" collapsed="false">
      <c r="A416" s="214" t="str">
        <f aca="false">CONCATENATE(E416,",",D416)</f>
        <v>METE 152,ED1-METE</v>
      </c>
      <c r="B416" s="217" t="s">
        <v>1796</v>
      </c>
      <c r="C416" s="218" t="s">
        <v>1797</v>
      </c>
      <c r="D416" s="219" t="s">
        <v>114</v>
      </c>
      <c r="E416" s="218" t="s">
        <v>295</v>
      </c>
    </row>
    <row r="417" s="220" customFormat="true" ht="14.25" hidden="false" customHeight="false" outlineLevel="0" collapsed="false">
      <c r="A417" s="214" t="str">
        <f aca="false">CONCATENATE(E417,",",D417)</f>
        <v>METE 154,ED1-METE</v>
      </c>
      <c r="B417" s="217" t="s">
        <v>1602</v>
      </c>
      <c r="C417" s="218" t="s">
        <v>1798</v>
      </c>
      <c r="D417" s="219" t="s">
        <v>114</v>
      </c>
      <c r="E417" s="218" t="s">
        <v>500</v>
      </c>
    </row>
    <row r="418" s="220" customFormat="true" ht="14.25" hidden="false" customHeight="false" outlineLevel="0" collapsed="false">
      <c r="A418" s="214" t="str">
        <f aca="false">CONCATENATE(E418,",",D418)</f>
        <v>METE 154,ED1-MSE</v>
      </c>
      <c r="B418" s="217" t="s">
        <v>1602</v>
      </c>
      <c r="C418" s="218" t="s">
        <v>1798</v>
      </c>
      <c r="D418" s="219" t="s">
        <v>115</v>
      </c>
      <c r="E418" s="218" t="s">
        <v>500</v>
      </c>
    </row>
    <row r="419" s="220" customFormat="true" ht="14.25" hidden="false" customHeight="false" outlineLevel="0" collapsed="false">
      <c r="A419" s="214" t="str">
        <f aca="false">CONCATENATE(E419,",",D419)</f>
        <v>METE 252,ED2-METE</v>
      </c>
      <c r="B419" s="217" t="s">
        <v>1799</v>
      </c>
      <c r="C419" s="218" t="s">
        <v>1800</v>
      </c>
      <c r="D419" s="219" t="s">
        <v>101</v>
      </c>
      <c r="E419" s="218" t="s">
        <v>403</v>
      </c>
    </row>
    <row r="420" s="220" customFormat="true" ht="14.25" hidden="false" customHeight="false" outlineLevel="0" collapsed="false">
      <c r="A420" s="214" t="str">
        <f aca="false">CONCATENATE(E420,",",D420)</f>
        <v>METE 254,ED2-METE</v>
      </c>
      <c r="B420" s="217" t="s">
        <v>1801</v>
      </c>
      <c r="C420" s="218" t="s">
        <v>1802</v>
      </c>
      <c r="D420" s="219" t="s">
        <v>101</v>
      </c>
      <c r="E420" s="218" t="s">
        <v>487</v>
      </c>
    </row>
    <row r="421" s="220" customFormat="true" ht="14.25" hidden="false" customHeight="false" outlineLevel="0" collapsed="false">
      <c r="A421" s="214" t="str">
        <f aca="false">CONCATENATE(E421,",",D421)</f>
        <v>METE 256,ED2-METE</v>
      </c>
      <c r="B421" s="217" t="s">
        <v>1803</v>
      </c>
      <c r="C421" s="218" t="s">
        <v>1802</v>
      </c>
      <c r="D421" s="219" t="s">
        <v>101</v>
      </c>
      <c r="E421" s="218" t="s">
        <v>100</v>
      </c>
    </row>
    <row r="422" s="220" customFormat="true" ht="14.25" hidden="false" customHeight="false" outlineLevel="0" collapsed="false">
      <c r="A422" s="214" t="str">
        <f aca="false">CONCATENATE(E422,",",D422)</f>
        <v>METE 258,ED2-METE</v>
      </c>
      <c r="B422" s="217" t="s">
        <v>1804</v>
      </c>
      <c r="C422" s="218" t="s">
        <v>1805</v>
      </c>
      <c r="D422" s="219" t="s">
        <v>101</v>
      </c>
      <c r="E422" s="218" t="s">
        <v>1310</v>
      </c>
    </row>
    <row r="423" s="220" customFormat="true" ht="14.25" hidden="false" customHeight="false" outlineLevel="0" collapsed="false">
      <c r="A423" s="214" t="str">
        <f aca="false">CONCATENATE(E423,",",D423)</f>
        <v>METE 352,ED3-METE</v>
      </c>
      <c r="B423" s="217" t="s">
        <v>1806</v>
      </c>
      <c r="C423" s="218" t="s">
        <v>1807</v>
      </c>
      <c r="D423" s="219" t="s">
        <v>142</v>
      </c>
      <c r="E423" s="218" t="s">
        <v>256</v>
      </c>
    </row>
    <row r="424" s="220" customFormat="true" ht="14.25" hidden="false" customHeight="false" outlineLevel="0" collapsed="false">
      <c r="A424" s="214" t="str">
        <f aca="false">CONCATENATE(E424,",",D424)</f>
        <v>METE 354,ED3-METE</v>
      </c>
      <c r="B424" s="217" t="s">
        <v>1808</v>
      </c>
      <c r="C424" s="218" t="s">
        <v>1809</v>
      </c>
      <c r="D424" s="219" t="s">
        <v>142</v>
      </c>
      <c r="E424" s="218" t="s">
        <v>390</v>
      </c>
    </row>
    <row r="425" s="220" customFormat="true" ht="14.25" hidden="false" customHeight="false" outlineLevel="0" collapsed="false">
      <c r="A425" s="214" t="str">
        <f aca="false">CONCATENATE(E425,",",D425)</f>
        <v>METE 356,ED3-METE</v>
      </c>
      <c r="B425" s="217" t="s">
        <v>1810</v>
      </c>
      <c r="C425" s="218" t="s">
        <v>1811</v>
      </c>
      <c r="D425" s="219" t="s">
        <v>142</v>
      </c>
      <c r="E425" s="218" t="s">
        <v>1312</v>
      </c>
    </row>
    <row r="426" s="220" customFormat="true" ht="14.25" hidden="false" customHeight="false" outlineLevel="0" collapsed="false">
      <c r="A426" s="214" t="str">
        <f aca="false">CONCATENATE(E426,",",D426)</f>
        <v>METE 358,ED3-METE</v>
      </c>
      <c r="B426" s="217" t="s">
        <v>1812</v>
      </c>
      <c r="C426" s="218" t="s">
        <v>1800</v>
      </c>
      <c r="D426" s="219" t="s">
        <v>142</v>
      </c>
      <c r="E426" s="218" t="s">
        <v>141</v>
      </c>
    </row>
    <row r="427" s="220" customFormat="true" ht="14.25" hidden="false" customHeight="false" outlineLevel="0" collapsed="false">
      <c r="A427" s="214" t="str">
        <f aca="false">CONCATENATE(E427,",",D427)</f>
        <v>METE 362,ED3-METE</v>
      </c>
      <c r="B427" s="217" t="s">
        <v>1813</v>
      </c>
      <c r="C427" s="218" t="s">
        <v>1814</v>
      </c>
      <c r="D427" s="219" t="s">
        <v>142</v>
      </c>
      <c r="E427" s="218" t="s">
        <v>208</v>
      </c>
    </row>
    <row r="428" s="220" customFormat="true" ht="15" hidden="false" customHeight="true" outlineLevel="0" collapsed="false">
      <c r="A428" s="214" t="str">
        <f aca="false">CONCATENATE(E428,",",D428)</f>
        <v>METE 452,ED4-METE</v>
      </c>
      <c r="B428" s="217" t="s">
        <v>1815</v>
      </c>
      <c r="C428" s="218" t="s">
        <v>1807</v>
      </c>
      <c r="D428" s="219" t="s">
        <v>136</v>
      </c>
      <c r="E428" s="218" t="s">
        <v>442</v>
      </c>
    </row>
    <row r="429" s="220" customFormat="true" ht="14.25" hidden="false" customHeight="false" outlineLevel="0" collapsed="false">
      <c r="A429" s="214" t="str">
        <f aca="false">CONCATENATE(E429,",",D429)</f>
        <v>MME 174,ED1-MARI</v>
      </c>
      <c r="B429" s="217" t="s">
        <v>1816</v>
      </c>
      <c r="C429" s="218" t="s">
        <v>1406</v>
      </c>
      <c r="D429" s="219" t="s">
        <v>112</v>
      </c>
      <c r="E429" s="218" t="s">
        <v>485</v>
      </c>
    </row>
    <row r="430" s="220" customFormat="true" ht="14.25" hidden="false" customHeight="false" outlineLevel="0" collapsed="false">
      <c r="A430" s="214" t="str">
        <f aca="false">CONCATENATE(E430,",",D430)</f>
        <v>MME 264,ED2-MARI</v>
      </c>
      <c r="B430" s="217" t="s">
        <v>1817</v>
      </c>
      <c r="C430" s="218" t="s">
        <v>1755</v>
      </c>
      <c r="D430" s="219" t="s">
        <v>42</v>
      </c>
      <c r="E430" s="218" t="s">
        <v>152</v>
      </c>
    </row>
    <row r="431" s="220" customFormat="true" ht="14.25" hidden="false" customHeight="false" outlineLevel="0" collapsed="false">
      <c r="A431" s="214" t="str">
        <f aca="false">CONCATENATE(E431,",",D431)</f>
        <v>MME 274,ED2-MARI</v>
      </c>
      <c r="B431" s="217" t="s">
        <v>1818</v>
      </c>
      <c r="C431" s="218" t="s">
        <v>1406</v>
      </c>
      <c r="D431" s="219" t="s">
        <v>42</v>
      </c>
      <c r="E431" s="218" t="s">
        <v>41</v>
      </c>
    </row>
    <row r="432" s="220" customFormat="true" ht="14.25" hidden="false" customHeight="false" outlineLevel="0" collapsed="false">
      <c r="A432" s="214" t="str">
        <f aca="false">CONCATENATE(E432,",",D432)</f>
        <v>MME 292,ED2-MARI</v>
      </c>
      <c r="B432" s="217" t="s">
        <v>1819</v>
      </c>
      <c r="C432" s="218" t="s">
        <v>1820</v>
      </c>
      <c r="D432" s="219" t="s">
        <v>42</v>
      </c>
      <c r="E432" s="218" t="s">
        <v>84</v>
      </c>
    </row>
    <row r="433" s="220" customFormat="true" ht="14.25" hidden="false" customHeight="false" outlineLevel="0" collapsed="false">
      <c r="A433" s="214" t="str">
        <f aca="false">CONCATENATE(E433,",",D433)</f>
        <v>MME 296,ED2-MARI</v>
      </c>
      <c r="B433" s="217" t="s">
        <v>1821</v>
      </c>
      <c r="C433" s="218" t="s">
        <v>1704</v>
      </c>
      <c r="D433" s="219" t="s">
        <v>42</v>
      </c>
      <c r="E433" s="218" t="s">
        <v>230</v>
      </c>
    </row>
    <row r="434" s="220" customFormat="true" ht="14.25" hidden="false" customHeight="false" outlineLevel="0" collapsed="false">
      <c r="A434" s="214" t="str">
        <f aca="false">CONCATENATE(E434,",",D434)</f>
        <v>MME 356,ED3-MARI</v>
      </c>
      <c r="B434" s="217" t="s">
        <v>1822</v>
      </c>
      <c r="C434" s="218" t="s">
        <v>1717</v>
      </c>
      <c r="D434" s="219" t="s">
        <v>86</v>
      </c>
      <c r="E434" s="218" t="s">
        <v>380</v>
      </c>
    </row>
    <row r="435" s="220" customFormat="true" ht="14.25" hidden="false" customHeight="false" outlineLevel="0" collapsed="false">
      <c r="A435" s="214" t="str">
        <f aca="false">CONCATENATE(E435,",",D435)</f>
        <v>MME 382,ED3-MARI</v>
      </c>
      <c r="B435" s="217" t="s">
        <v>1823</v>
      </c>
      <c r="C435" s="218" t="s">
        <v>1824</v>
      </c>
      <c r="D435" s="219" t="s">
        <v>86</v>
      </c>
      <c r="E435" s="218" t="s">
        <v>304</v>
      </c>
    </row>
    <row r="436" s="220" customFormat="true" ht="26.85" hidden="false" customHeight="false" outlineLevel="0" collapsed="false">
      <c r="A436" s="214" t="str">
        <f aca="false">CONCATENATE(E436,",",D436)</f>
        <v>MME 386,ED3-MARI</v>
      </c>
      <c r="B436" s="217" t="s">
        <v>1825</v>
      </c>
      <c r="C436" s="218" t="s">
        <v>1615</v>
      </c>
      <c r="D436" s="219" t="s">
        <v>86</v>
      </c>
      <c r="E436" s="218" t="s">
        <v>440</v>
      </c>
    </row>
    <row r="437" s="220" customFormat="true" ht="14.25" hidden="false" customHeight="false" outlineLevel="0" collapsed="false">
      <c r="A437" s="214" t="str">
        <f aca="false">CONCATENATE(E437,",",D437)</f>
        <v>MME 392,ED3-MARI</v>
      </c>
      <c r="B437" s="217" t="s">
        <v>1826</v>
      </c>
      <c r="C437" s="218" t="s">
        <v>1435</v>
      </c>
      <c r="D437" s="219" t="s">
        <v>86</v>
      </c>
      <c r="E437" s="218" t="s">
        <v>238</v>
      </c>
    </row>
    <row r="438" s="220" customFormat="true" ht="14.25" hidden="false" customHeight="false" outlineLevel="0" collapsed="false">
      <c r="A438" s="214" t="str">
        <f aca="false">CONCATENATE(E438,",",D438)</f>
        <v>MME 396,ED3-MARI</v>
      </c>
      <c r="B438" s="217" t="s">
        <v>1827</v>
      </c>
      <c r="C438" s="218" t="s">
        <v>1717</v>
      </c>
      <c r="D438" s="219" t="s">
        <v>86</v>
      </c>
      <c r="E438" s="218" t="s">
        <v>85</v>
      </c>
    </row>
    <row r="439" s="220" customFormat="true" ht="14.25" hidden="false" customHeight="false" outlineLevel="0" collapsed="false">
      <c r="A439" s="214" t="str">
        <f aca="false">CONCATENATE(E439,",",D439)</f>
        <v>MME 462,ED4-MARI</v>
      </c>
      <c r="B439" s="217" t="s">
        <v>1828</v>
      </c>
      <c r="C439" s="218" t="s">
        <v>1829</v>
      </c>
      <c r="D439" s="219" t="s">
        <v>69</v>
      </c>
      <c r="E439" s="218" t="s">
        <v>164</v>
      </c>
    </row>
    <row r="440" s="220" customFormat="true" ht="14.25" hidden="false" customHeight="false" outlineLevel="0" collapsed="false">
      <c r="A440" s="214" t="str">
        <f aca="false">CONCATENATE(E440,",",D440)</f>
        <v>MME 476,ED4-MARI</v>
      </c>
      <c r="B440" s="217" t="s">
        <v>1830</v>
      </c>
      <c r="C440" s="218" t="s">
        <v>1737</v>
      </c>
      <c r="D440" s="219" t="s">
        <v>69</v>
      </c>
      <c r="E440" s="218" t="s">
        <v>449</v>
      </c>
    </row>
    <row r="441" s="220" customFormat="true" ht="14.25" hidden="false" customHeight="false" outlineLevel="0" collapsed="false">
      <c r="A441" s="214" t="str">
        <f aca="false">CONCATENATE(E441,",",D441)</f>
        <v>MME 482,ED4-MARI</v>
      </c>
      <c r="B441" s="217" t="s">
        <v>1831</v>
      </c>
      <c r="C441" s="218" t="s">
        <v>1824</v>
      </c>
      <c r="D441" s="219" t="s">
        <v>69</v>
      </c>
      <c r="E441" s="218" t="s">
        <v>68</v>
      </c>
    </row>
    <row r="442" s="220" customFormat="true" ht="26.85" hidden="false" customHeight="false" outlineLevel="0" collapsed="false">
      <c r="A442" s="214" t="str">
        <f aca="false">CONCATENATE(E442,",",D442)</f>
        <v>MME 486,ED4-MARI</v>
      </c>
      <c r="B442" s="217" t="s">
        <v>1832</v>
      </c>
      <c r="C442" s="218" t="s">
        <v>1820</v>
      </c>
      <c r="D442" s="219" t="s">
        <v>69</v>
      </c>
      <c r="E442" s="218" t="s">
        <v>228</v>
      </c>
    </row>
    <row r="443" s="220" customFormat="true" ht="14.25" hidden="false" customHeight="false" outlineLevel="0" collapsed="false">
      <c r="A443" s="214" t="str">
        <f aca="false">CONCATENATE(E443,",",D443)</f>
        <v>MME 492,ED4-MARI</v>
      </c>
      <c r="B443" s="217" t="s">
        <v>1833</v>
      </c>
      <c r="C443" s="218" t="s">
        <v>1737</v>
      </c>
      <c r="D443" s="219" t="s">
        <v>69</v>
      </c>
      <c r="E443" s="218" t="s">
        <v>506</v>
      </c>
    </row>
    <row r="444" s="220" customFormat="true" ht="14.25" hidden="false" customHeight="false" outlineLevel="0" collapsed="false">
      <c r="A444" s="214" t="str">
        <f aca="false">CONCATENATE(E444,",",D444)</f>
        <v>MME 494,ED4-MARI</v>
      </c>
      <c r="B444" s="217" t="s">
        <v>1834</v>
      </c>
      <c r="C444" s="218" t="s">
        <v>1422</v>
      </c>
      <c r="D444" s="219" t="s">
        <v>69</v>
      </c>
      <c r="E444" s="218" t="s">
        <v>292</v>
      </c>
    </row>
    <row r="445" s="220" customFormat="true" ht="14.25" hidden="false" customHeight="false" outlineLevel="0" collapsed="false">
      <c r="A445" s="214" t="str">
        <f aca="false">CONCATENATE(E445,",",D445)</f>
        <v>MSE 152,ED1-MSE</v>
      </c>
      <c r="B445" s="217" t="s">
        <v>1835</v>
      </c>
      <c r="C445" s="218" t="s">
        <v>1797</v>
      </c>
      <c r="D445" s="219" t="s">
        <v>115</v>
      </c>
      <c r="E445" s="218" t="s">
        <v>294</v>
      </c>
    </row>
    <row r="446" s="220" customFormat="true" ht="14.25" hidden="false" customHeight="false" outlineLevel="0" collapsed="false">
      <c r="A446" s="214" t="str">
        <f aca="false">CONCATENATE(E446,",",D446)</f>
        <v>MSE 154,ED1-MSE</v>
      </c>
      <c r="B446" s="217" t="s">
        <v>1836</v>
      </c>
      <c r="C446" s="218" t="s">
        <v>1837</v>
      </c>
      <c r="D446" s="219" t="s">
        <v>115</v>
      </c>
      <c r="E446" s="218" t="s">
        <v>113</v>
      </c>
    </row>
    <row r="447" s="220" customFormat="true" ht="14.25" hidden="false" customHeight="false" outlineLevel="0" collapsed="false">
      <c r="A447" s="214" t="str">
        <f aca="false">CONCATENATE(E447,",",D447)</f>
        <v>MSE 154,ED1-METE</v>
      </c>
      <c r="B447" s="217" t="s">
        <v>1836</v>
      </c>
      <c r="C447" s="218" t="s">
        <v>1837</v>
      </c>
      <c r="D447" s="219" t="s">
        <v>114</v>
      </c>
      <c r="E447" s="218" t="s">
        <v>113</v>
      </c>
    </row>
    <row r="448" s="220" customFormat="true" ht="26.85" hidden="false" customHeight="false" outlineLevel="0" collapsed="false">
      <c r="A448" s="214" t="str">
        <f aca="false">CONCATENATE(E448,",",D448)</f>
        <v>GED 162,ED1-METE</v>
      </c>
      <c r="B448" s="217" t="s">
        <v>1838</v>
      </c>
      <c r="C448" s="218" t="s">
        <v>1839</v>
      </c>
      <c r="D448" s="219" t="s">
        <v>114</v>
      </c>
      <c r="E448" s="218" t="s">
        <v>355</v>
      </c>
    </row>
    <row r="449" s="220" customFormat="true" ht="14.25" hidden="false" customHeight="false" outlineLevel="0" collapsed="false">
      <c r="A449" s="214" t="str">
        <f aca="false">CONCATENATE(E449,",",D449)</f>
        <v>MSE 252,ED2-MSE</v>
      </c>
      <c r="B449" s="217" t="s">
        <v>1840</v>
      </c>
      <c r="C449" s="218" t="s">
        <v>1797</v>
      </c>
      <c r="D449" s="219" t="s">
        <v>210</v>
      </c>
      <c r="E449" s="218" t="s">
        <v>366</v>
      </c>
    </row>
    <row r="450" s="220" customFormat="true" ht="14.25" hidden="false" customHeight="false" outlineLevel="0" collapsed="false">
      <c r="A450" s="214" t="str">
        <f aca="false">CONCATENATE(E450,",",D450)</f>
        <v>MSE 252,ED2-METE</v>
      </c>
      <c r="B450" s="217" t="s">
        <v>1840</v>
      </c>
      <c r="C450" s="218" t="s">
        <v>1797</v>
      </c>
      <c r="D450" s="219" t="s">
        <v>101</v>
      </c>
      <c r="E450" s="218" t="s">
        <v>366</v>
      </c>
    </row>
    <row r="451" s="220" customFormat="true" ht="14.25" hidden="false" customHeight="false" outlineLevel="0" collapsed="false">
      <c r="A451" s="214" t="str">
        <f aca="false">CONCATENATE(E451,",",D451)</f>
        <v>MSE 254,ED2-MSE</v>
      </c>
      <c r="B451" s="217" t="s">
        <v>1841</v>
      </c>
      <c r="C451" s="218" t="s">
        <v>1842</v>
      </c>
      <c r="D451" s="219" t="s">
        <v>210</v>
      </c>
      <c r="E451" s="218" t="s">
        <v>468</v>
      </c>
    </row>
    <row r="452" s="220" customFormat="true" ht="14.25" hidden="false" customHeight="false" outlineLevel="0" collapsed="false">
      <c r="A452" s="214" t="str">
        <f aca="false">CONCATENATE(E452,",",D452)</f>
        <v>MSE 256,ED2-MSE</v>
      </c>
      <c r="B452" s="217" t="s">
        <v>1602</v>
      </c>
      <c r="C452" s="218" t="s">
        <v>1798</v>
      </c>
      <c r="D452" s="219" t="s">
        <v>210</v>
      </c>
      <c r="E452" s="218" t="s">
        <v>511</v>
      </c>
    </row>
    <row r="453" s="220" customFormat="true" ht="14.25" hidden="false" customHeight="false" outlineLevel="0" collapsed="false">
      <c r="A453" s="214" t="str">
        <f aca="false">CONCATENATE(E453,",",D453)</f>
        <v>MSE 258,ED2-MSE</v>
      </c>
      <c r="B453" s="217" t="s">
        <v>1808</v>
      </c>
      <c r="C453" s="218" t="s">
        <v>1761</v>
      </c>
      <c r="D453" s="219" t="s">
        <v>210</v>
      </c>
      <c r="E453" s="218" t="s">
        <v>1276</v>
      </c>
    </row>
    <row r="454" s="220" customFormat="true" ht="15" hidden="false" customHeight="true" outlineLevel="0" collapsed="false">
      <c r="A454" s="214" t="str">
        <f aca="false">CONCATENATE(E454,",",D454)</f>
        <v>MSE 260,ED2-MSE</v>
      </c>
      <c r="B454" s="217" t="s">
        <v>1843</v>
      </c>
      <c r="C454" s="218" t="s">
        <v>1800</v>
      </c>
      <c r="D454" s="219" t="s">
        <v>210</v>
      </c>
      <c r="E454" s="218" t="s">
        <v>253</v>
      </c>
    </row>
    <row r="455" s="220" customFormat="true" ht="14.25" hidden="false" customHeight="false" outlineLevel="0" collapsed="false">
      <c r="A455" s="214" t="str">
        <f aca="false">CONCATENATE(E455,",",D455)</f>
        <v>MSE 260,ED2-METE</v>
      </c>
      <c r="B455" s="217" t="s">
        <v>1843</v>
      </c>
      <c r="C455" s="218" t="s">
        <v>1800</v>
      </c>
      <c r="D455" s="219" t="s">
        <v>101</v>
      </c>
      <c r="E455" s="218" t="s">
        <v>253</v>
      </c>
    </row>
    <row r="456" s="220" customFormat="true" ht="15" hidden="false" customHeight="true" outlineLevel="0" collapsed="false">
      <c r="A456" s="214" t="str">
        <f aca="false">CONCATENATE(E456,",",D456)</f>
        <v>MSE 262,ED2-MSE</v>
      </c>
      <c r="B456" s="217" t="s">
        <v>1844</v>
      </c>
      <c r="C456" s="218" t="s">
        <v>1805</v>
      </c>
      <c r="D456" s="219" t="s">
        <v>210</v>
      </c>
      <c r="E456" s="218" t="s">
        <v>209</v>
      </c>
    </row>
    <row r="457" s="220" customFormat="true" ht="14.25" hidden="false" customHeight="false" outlineLevel="0" collapsed="false">
      <c r="A457" s="214" t="str">
        <f aca="false">CONCATENATE(E457,",",D457)</f>
        <v>MSE 352,ED3-MSE</v>
      </c>
      <c r="B457" s="217" t="s">
        <v>1845</v>
      </c>
      <c r="C457" s="218" t="s">
        <v>1846</v>
      </c>
      <c r="D457" s="219" t="s">
        <v>140</v>
      </c>
      <c r="E457" s="218" t="s">
        <v>414</v>
      </c>
    </row>
    <row r="458" s="220" customFormat="true" ht="14.25" hidden="false" customHeight="false" outlineLevel="0" collapsed="false">
      <c r="A458" s="214" t="str">
        <f aca="false">CONCATENATE(E458,",",D458)</f>
        <v>MSE 354,ED3-MSE</v>
      </c>
      <c r="B458" s="217" t="s">
        <v>1813</v>
      </c>
      <c r="C458" s="218" t="s">
        <v>1814</v>
      </c>
      <c r="D458" s="219" t="s">
        <v>140</v>
      </c>
      <c r="E458" s="218" t="s">
        <v>207</v>
      </c>
    </row>
    <row r="459" s="220" customFormat="true" ht="14.25" hidden="false" customHeight="false" outlineLevel="0" collapsed="false">
      <c r="A459" s="214" t="str">
        <f aca="false">CONCATENATE(E459,",",D459)</f>
        <v>MSE 356,ED3-MSE</v>
      </c>
      <c r="B459" s="217" t="s">
        <v>1847</v>
      </c>
      <c r="C459" s="218" t="s">
        <v>1842</v>
      </c>
      <c r="D459" s="219" t="s">
        <v>140</v>
      </c>
      <c r="E459" s="218" t="s">
        <v>271</v>
      </c>
    </row>
    <row r="460" s="220" customFormat="true" ht="14.25" hidden="false" customHeight="false" outlineLevel="0" collapsed="false">
      <c r="A460" s="214" t="str">
        <f aca="false">CONCATENATE(E460,",",D460)</f>
        <v>MSE 356,ED4-PCE</v>
      </c>
      <c r="B460" s="217" t="s">
        <v>1847</v>
      </c>
      <c r="C460" s="218" t="s">
        <v>1842</v>
      </c>
      <c r="D460" s="219" t="s">
        <v>44</v>
      </c>
      <c r="E460" s="218" t="s">
        <v>271</v>
      </c>
    </row>
    <row r="461" s="220" customFormat="true" ht="14.25" hidden="false" customHeight="false" outlineLevel="0" collapsed="false">
      <c r="A461" s="214" t="str">
        <f aca="false">CONCATENATE(E461,",",D461)</f>
        <v>MSE 358,ED3-MSE</v>
      </c>
      <c r="B461" s="217" t="s">
        <v>1848</v>
      </c>
      <c r="C461" s="218" t="s">
        <v>1837</v>
      </c>
      <c r="D461" s="219" t="s">
        <v>140</v>
      </c>
      <c r="E461" s="218" t="s">
        <v>499</v>
      </c>
    </row>
    <row r="462" s="220" customFormat="true" ht="14.25" hidden="false" customHeight="false" outlineLevel="0" collapsed="false">
      <c r="A462" s="214" t="str">
        <f aca="false">CONCATENATE(E462,",",D462)</f>
        <v>MSE 358,ED3-METE</v>
      </c>
      <c r="B462" s="217" t="s">
        <v>1848</v>
      </c>
      <c r="C462" s="218" t="s">
        <v>1837</v>
      </c>
      <c r="D462" s="219" t="s">
        <v>142</v>
      </c>
      <c r="E462" s="218" t="s">
        <v>499</v>
      </c>
    </row>
    <row r="463" s="220" customFormat="true" ht="14.25" hidden="false" customHeight="false" outlineLevel="0" collapsed="false">
      <c r="A463" s="214" t="str">
        <f aca="false">CONCATENATE(E463,",",D463)</f>
        <v>MSE 360,ED3-MSE</v>
      </c>
      <c r="B463" s="217" t="s">
        <v>1849</v>
      </c>
      <c r="C463" s="218" t="s">
        <v>1805</v>
      </c>
      <c r="D463" s="219" t="s">
        <v>140</v>
      </c>
      <c r="E463" s="218" t="s">
        <v>383</v>
      </c>
    </row>
    <row r="464" s="220" customFormat="true" ht="14.25" hidden="false" customHeight="false" outlineLevel="0" collapsed="false">
      <c r="A464" s="214" t="str">
        <f aca="false">CONCATENATE(E464,",",D464)</f>
        <v>MSE 362,ED3-MSE</v>
      </c>
      <c r="B464" s="217" t="s">
        <v>1850</v>
      </c>
      <c r="C464" s="218" t="s">
        <v>1814</v>
      </c>
      <c r="D464" s="219" t="s">
        <v>140</v>
      </c>
      <c r="E464" s="218" t="s">
        <v>321</v>
      </c>
    </row>
    <row r="465" s="220" customFormat="true" ht="14.25" hidden="false" customHeight="false" outlineLevel="0" collapsed="false">
      <c r="A465" s="214" t="str">
        <f aca="false">CONCATENATE(E465,",",D465)</f>
        <v>MSE 362,ED3-METE</v>
      </c>
      <c r="B465" s="217" t="s">
        <v>1850</v>
      </c>
      <c r="C465" s="218" t="s">
        <v>1814</v>
      </c>
      <c r="D465" s="219" t="s">
        <v>142</v>
      </c>
      <c r="E465" s="218" t="s">
        <v>321</v>
      </c>
    </row>
    <row r="466" s="220" customFormat="true" ht="14.25" hidden="false" customHeight="false" outlineLevel="0" collapsed="false">
      <c r="A466" s="214" t="str">
        <f aca="false">CONCATENATE(E466,",",D466)</f>
        <v>MSE 364,ED3-MSE</v>
      </c>
      <c r="B466" s="217" t="s">
        <v>1851</v>
      </c>
      <c r="C466" s="218" t="s">
        <v>1800</v>
      </c>
      <c r="D466" s="219" t="s">
        <v>140</v>
      </c>
      <c r="E466" s="218" t="s">
        <v>139</v>
      </c>
    </row>
    <row r="467" s="220" customFormat="true" ht="14.25" hidden="false" customHeight="false" outlineLevel="0" collapsed="false">
      <c r="A467" s="214" t="s">
        <v>1314</v>
      </c>
      <c r="B467" s="217" t="s">
        <v>1810</v>
      </c>
      <c r="C467" s="218" t="s">
        <v>1811</v>
      </c>
      <c r="D467" s="219" t="s">
        <v>142</v>
      </c>
      <c r="E467" s="218" t="s">
        <v>1287</v>
      </c>
    </row>
    <row r="468" s="220" customFormat="true" ht="14.25" hidden="false" customHeight="false" outlineLevel="0" collapsed="false">
      <c r="A468" s="214" t="str">
        <f aca="false">CONCATENATE(E468,",",D468)</f>
        <v>MSE 396,ED3-MSE</v>
      </c>
      <c r="B468" s="217" t="s">
        <v>1810</v>
      </c>
      <c r="C468" s="218" t="s">
        <v>1811</v>
      </c>
      <c r="D468" s="219" t="s">
        <v>140</v>
      </c>
      <c r="E468" s="218" t="s">
        <v>1287</v>
      </c>
    </row>
    <row r="469" s="220" customFormat="true" ht="14.25" hidden="false" customHeight="false" outlineLevel="0" collapsed="false">
      <c r="A469" s="214" t="str">
        <f aca="false">CONCATENATE(E469,",",D469)</f>
        <v>MSE 452,ED4-MSE</v>
      </c>
      <c r="B469" s="217" t="s">
        <v>1852</v>
      </c>
      <c r="C469" s="218" t="s">
        <v>1802</v>
      </c>
      <c r="D469" s="219" t="s">
        <v>135</v>
      </c>
      <c r="E469" s="218" t="s">
        <v>289</v>
      </c>
    </row>
    <row r="470" s="220" customFormat="true" ht="14.25" hidden="false" customHeight="false" outlineLevel="0" collapsed="false">
      <c r="A470" s="214" t="str">
        <f aca="false">CONCATENATE(E470,",",D470)</f>
        <v>METE 454,ED4-METE</v>
      </c>
      <c r="B470" s="217" t="s">
        <v>1853</v>
      </c>
      <c r="C470" s="218" t="s">
        <v>1802</v>
      </c>
      <c r="D470" s="219" t="s">
        <v>136</v>
      </c>
      <c r="E470" s="218" t="s">
        <v>290</v>
      </c>
    </row>
    <row r="471" s="220" customFormat="true" ht="14.25" hidden="false" customHeight="false" outlineLevel="0" collapsed="false">
      <c r="A471" s="214" t="str">
        <f aca="false">CONCATENATE(E471,",",D471)</f>
        <v>MSE 454,ED4-MSE</v>
      </c>
      <c r="B471" s="217" t="s">
        <v>1854</v>
      </c>
      <c r="C471" s="218" t="s">
        <v>1846</v>
      </c>
      <c r="D471" s="219" t="s">
        <v>135</v>
      </c>
      <c r="E471" s="218" t="s">
        <v>441</v>
      </c>
    </row>
    <row r="472" s="220" customFormat="true" ht="15" hidden="false" customHeight="true" outlineLevel="0" collapsed="false">
      <c r="A472" s="214" t="str">
        <f aca="false">CONCATENATE(E472,",",D472)</f>
        <v>MSE 456,ED4-MSE</v>
      </c>
      <c r="B472" s="217" t="s">
        <v>1855</v>
      </c>
      <c r="C472" s="218" t="s">
        <v>1761</v>
      </c>
      <c r="D472" s="219" t="s">
        <v>135</v>
      </c>
      <c r="E472" s="218" t="s">
        <v>223</v>
      </c>
    </row>
    <row r="473" s="220" customFormat="true" ht="14.25" hidden="false" customHeight="false" outlineLevel="0" collapsed="false">
      <c r="A473" s="214" t="str">
        <f aca="false">CONCATENATE(E473,",",D473)</f>
        <v>MSE 456,ED4-METE</v>
      </c>
      <c r="B473" s="217" t="s">
        <v>1855</v>
      </c>
      <c r="C473" s="218" t="s">
        <v>1761</v>
      </c>
      <c r="D473" s="219" t="s">
        <v>136</v>
      </c>
      <c r="E473" s="218" t="s">
        <v>223</v>
      </c>
    </row>
    <row r="474" s="220" customFormat="true" ht="14.25" hidden="false" customHeight="false" outlineLevel="0" collapsed="false">
      <c r="A474" s="214" t="str">
        <f aca="false">CONCATENATE(E474,",",D474)</f>
        <v>MSE 458,ED4-MSE</v>
      </c>
      <c r="B474" s="217" t="s">
        <v>1856</v>
      </c>
      <c r="C474" s="218" t="s">
        <v>1857</v>
      </c>
      <c r="D474" s="219" t="s">
        <v>135</v>
      </c>
      <c r="E474" s="218" t="s">
        <v>134</v>
      </c>
    </row>
    <row r="475" s="220" customFormat="true" ht="14.25" hidden="false" customHeight="false" outlineLevel="0" collapsed="false">
      <c r="A475" s="214" t="str">
        <f aca="false">CONCATENATE(E475,",",D475)</f>
        <v>MSE 458,ED4-METE</v>
      </c>
      <c r="B475" s="217" t="s">
        <v>1858</v>
      </c>
      <c r="C475" s="218" t="s">
        <v>1857</v>
      </c>
      <c r="D475" s="219" t="s">
        <v>136</v>
      </c>
      <c r="E475" s="218" t="s">
        <v>134</v>
      </c>
    </row>
    <row r="476" s="220" customFormat="true" ht="14.25" hidden="false" customHeight="false" outlineLevel="0" collapsed="false">
      <c r="A476" s="214" t="str">
        <f aca="false">CONCATENATE(E476,",",D476)</f>
        <v>PCE 158,ED1-PCE</v>
      </c>
      <c r="B476" s="217" t="s">
        <v>1380</v>
      </c>
      <c r="C476" s="218" t="s">
        <v>1516</v>
      </c>
      <c r="D476" s="219" t="s">
        <v>81</v>
      </c>
      <c r="E476" s="218" t="s">
        <v>185</v>
      </c>
    </row>
    <row r="477" s="220" customFormat="true" ht="14.25" hidden="false" customHeight="false" outlineLevel="0" collapsed="false">
      <c r="A477" s="214" t="str">
        <f aca="false">CONCATENATE(E477,",",D477)</f>
        <v>PCE 350,ED3-PCE</v>
      </c>
      <c r="B477" s="217" t="s">
        <v>1859</v>
      </c>
      <c r="C477" s="218" t="s">
        <v>1513</v>
      </c>
      <c r="D477" s="219" t="s">
        <v>63</v>
      </c>
      <c r="E477" s="218" t="s">
        <v>496</v>
      </c>
    </row>
    <row r="478" s="220" customFormat="true" ht="14.25" hidden="false" customHeight="false" outlineLevel="0" collapsed="false">
      <c r="A478" s="214" t="str">
        <f aca="false">CONCATENATE(E478,",",D478)</f>
        <v>PCE 352,ED3-PCE</v>
      </c>
      <c r="B478" s="217" t="s">
        <v>1860</v>
      </c>
      <c r="C478" s="218" t="s">
        <v>1530</v>
      </c>
      <c r="D478" s="219" t="s">
        <v>63</v>
      </c>
      <c r="E478" s="218" t="s">
        <v>258</v>
      </c>
    </row>
    <row r="479" s="220" customFormat="true" ht="14.25" hidden="false" customHeight="false" outlineLevel="0" collapsed="false">
      <c r="A479" s="214" t="str">
        <f aca="false">CONCATENATE(E479,",",D479)</f>
        <v>PCE 354,ED3-PCE</v>
      </c>
      <c r="B479" s="217" t="s">
        <v>1861</v>
      </c>
      <c r="C479" s="218" t="s">
        <v>1513</v>
      </c>
      <c r="D479" s="219" t="s">
        <v>63</v>
      </c>
      <c r="E479" s="218" t="s">
        <v>62</v>
      </c>
    </row>
    <row r="480" s="220" customFormat="true" ht="14.25" hidden="false" customHeight="false" outlineLevel="0" collapsed="false">
      <c r="A480" s="214" t="str">
        <f aca="false">CONCATENATE(E480,",",D480)</f>
        <v>PCE 450,ED4-PCE</v>
      </c>
      <c r="B480" s="217" t="s">
        <v>1862</v>
      </c>
      <c r="C480" s="218" t="s">
        <v>1863</v>
      </c>
      <c r="D480" s="219" t="s">
        <v>44</v>
      </c>
      <c r="E480" s="218" t="s">
        <v>43</v>
      </c>
    </row>
    <row r="481" s="220" customFormat="true" ht="16.5" hidden="false" customHeight="true" outlineLevel="0" collapsed="false">
      <c r="A481" s="214" t="str">
        <f aca="false">CONCATENATE(E481,",",D481)</f>
        <v>PCE 464,ED4-CHE</v>
      </c>
      <c r="B481" s="217" t="s">
        <v>1864</v>
      </c>
      <c r="C481" s="218" t="s">
        <v>1863</v>
      </c>
      <c r="D481" s="219" t="s">
        <v>48</v>
      </c>
      <c r="E481" s="218" t="s">
        <v>47</v>
      </c>
    </row>
    <row r="482" s="220" customFormat="true" ht="14.25" hidden="false" customHeight="false" outlineLevel="0" collapsed="false">
      <c r="A482" s="214" t="str">
        <f aca="false">CONCATENATE(E482,",",D482)</f>
        <v>PE 154,ED1-PETE</v>
      </c>
      <c r="B482" s="217" t="s">
        <v>1865</v>
      </c>
      <c r="C482" s="218" t="s">
        <v>1866</v>
      </c>
      <c r="D482" s="219" t="s">
        <v>1327</v>
      </c>
      <c r="E482" s="218" t="s">
        <v>188</v>
      </c>
    </row>
    <row r="483" s="220" customFormat="true" ht="14.25" hidden="false" customHeight="false" outlineLevel="0" collapsed="false">
      <c r="A483" s="214" t="str">
        <f aca="false">CONCATENATE(E483,",",D483)</f>
        <v>PE 156,ED1-PETE</v>
      </c>
      <c r="B483" s="217" t="s">
        <v>1510</v>
      </c>
      <c r="C483" s="218" t="s">
        <v>1512</v>
      </c>
      <c r="D483" s="219" t="s">
        <v>1327</v>
      </c>
      <c r="E483" s="218" t="s">
        <v>488</v>
      </c>
    </row>
    <row r="484" s="220" customFormat="true" ht="14.25" hidden="false" customHeight="false" outlineLevel="0" collapsed="false">
      <c r="A484" s="214" t="str">
        <f aca="false">CONCATENATE(E484,",",D484)</f>
        <v>PE 252,ED2-PETE</v>
      </c>
      <c r="B484" s="217" t="s">
        <v>1522</v>
      </c>
      <c r="C484" s="218" t="s">
        <v>1867</v>
      </c>
      <c r="D484" s="219" t="s">
        <v>1329</v>
      </c>
      <c r="E484" s="218" t="s">
        <v>212</v>
      </c>
    </row>
    <row r="485" s="220" customFormat="true" ht="15" hidden="false" customHeight="true" outlineLevel="0" collapsed="false">
      <c r="A485" s="214" t="str">
        <f aca="false">CONCATENATE(E485,",",D485)</f>
        <v>PE 254,ED2-PETE</v>
      </c>
      <c r="B485" s="217" t="s">
        <v>1524</v>
      </c>
      <c r="C485" s="218" t="s">
        <v>1868</v>
      </c>
      <c r="D485" s="219" t="s">
        <v>1329</v>
      </c>
      <c r="E485" s="218" t="s">
        <v>92</v>
      </c>
    </row>
    <row r="486" s="220" customFormat="true" ht="14.25" hidden="false" customHeight="false" outlineLevel="0" collapsed="false">
      <c r="A486" s="214" t="str">
        <f aca="false">CONCATENATE(E486,",",D486)</f>
        <v>PE 256,ED2-PETE</v>
      </c>
      <c r="B486" s="217" t="s">
        <v>1869</v>
      </c>
      <c r="C486" s="218" t="s">
        <v>1870</v>
      </c>
      <c r="D486" s="219" t="s">
        <v>1329</v>
      </c>
      <c r="E486" s="218" t="s">
        <v>439</v>
      </c>
    </row>
    <row r="487" s="220" customFormat="true" ht="14.25" hidden="false" customHeight="false" outlineLevel="0" collapsed="false">
      <c r="A487" s="214" t="str">
        <f aca="false">CONCATENATE(E487,",",D487)</f>
        <v>PE 258,ED2-PETE</v>
      </c>
      <c r="B487" s="217" t="s">
        <v>1871</v>
      </c>
      <c r="C487" s="218" t="s">
        <v>1872</v>
      </c>
      <c r="D487" s="219" t="s">
        <v>1329</v>
      </c>
      <c r="E487" s="218" t="s">
        <v>398</v>
      </c>
    </row>
    <row r="488" s="220" customFormat="true" ht="14.25" hidden="false" customHeight="false" outlineLevel="0" collapsed="false">
      <c r="A488" s="214" t="str">
        <f aca="false">CONCATENATE(E488,",",D488)</f>
        <v>PE 260,ED2-PETE</v>
      </c>
      <c r="B488" s="217" t="s">
        <v>1873</v>
      </c>
      <c r="C488" s="218" t="s">
        <v>1866</v>
      </c>
      <c r="D488" s="219" t="s">
        <v>1329</v>
      </c>
      <c r="E488" s="218" t="s">
        <v>494</v>
      </c>
    </row>
    <row r="489" s="220" customFormat="true" ht="14.25" hidden="false" customHeight="false" outlineLevel="0" collapsed="false">
      <c r="A489" s="214" t="str">
        <f aca="false">CONCATENATE(E489,",",D489)</f>
        <v>PE 262,ED2-PETE</v>
      </c>
      <c r="B489" s="217" t="s">
        <v>1874</v>
      </c>
      <c r="C489" s="218" t="s">
        <v>1872</v>
      </c>
      <c r="D489" s="219" t="s">
        <v>1329</v>
      </c>
      <c r="E489" s="218" t="s">
        <v>263</v>
      </c>
    </row>
    <row r="490" s="220" customFormat="true" ht="14.25" hidden="false" customHeight="false" outlineLevel="0" collapsed="false">
      <c r="A490" s="214" t="str">
        <f aca="false">CONCATENATE(E490,",",D490)</f>
        <v>PE 264,ED2-PETE</v>
      </c>
      <c r="B490" s="217" t="s">
        <v>1875</v>
      </c>
      <c r="C490" s="218" t="s">
        <v>1652</v>
      </c>
      <c r="D490" s="219" t="s">
        <v>1329</v>
      </c>
      <c r="E490" s="218" t="s">
        <v>359</v>
      </c>
    </row>
    <row r="491" s="220" customFormat="true" ht="14.25" hidden="false" customHeight="false" outlineLevel="0" collapsed="false">
      <c r="A491" s="214" t="str">
        <f aca="false">CONCATENATE(E491,",",D491)</f>
        <v>PE 350,ED3-PETE</v>
      </c>
      <c r="B491" s="217" t="s">
        <v>1876</v>
      </c>
      <c r="C491" s="218" t="s">
        <v>1872</v>
      </c>
      <c r="D491" s="219" t="s">
        <v>1336</v>
      </c>
      <c r="E491" s="218" t="s">
        <v>467</v>
      </c>
    </row>
    <row r="492" s="220" customFormat="true" ht="14.25" hidden="false" customHeight="false" outlineLevel="0" collapsed="false">
      <c r="A492" s="214" t="str">
        <f aca="false">CONCATENATE(E492,",",D492)</f>
        <v>PE 352,ED3-PETE</v>
      </c>
      <c r="B492" s="217" t="s">
        <v>1696</v>
      </c>
      <c r="C492" s="218" t="s">
        <v>1877</v>
      </c>
      <c r="D492" s="219" t="s">
        <v>1336</v>
      </c>
      <c r="E492" s="218" t="s">
        <v>285</v>
      </c>
    </row>
    <row r="493" s="220" customFormat="true" ht="14.25" hidden="false" customHeight="false" outlineLevel="0" collapsed="false">
      <c r="A493" s="214" t="str">
        <f aca="false">CONCATENATE(E493,",",D493)</f>
        <v>PE 354,ED3-PETE</v>
      </c>
      <c r="B493" s="217" t="s">
        <v>1878</v>
      </c>
      <c r="C493" s="218" t="s">
        <v>1866</v>
      </c>
      <c r="D493" s="219" t="s">
        <v>1336</v>
      </c>
      <c r="E493" s="218" t="s">
        <v>408</v>
      </c>
    </row>
    <row r="494" s="220" customFormat="true" ht="14.25" hidden="false" customHeight="false" outlineLevel="0" collapsed="false">
      <c r="A494" s="214" t="str">
        <f aca="false">CONCATENATE(E494,",",D494)</f>
        <v>PE 356,ED3-PETE</v>
      </c>
      <c r="B494" s="217" t="s">
        <v>1879</v>
      </c>
      <c r="C494" s="218" t="s">
        <v>1867</v>
      </c>
      <c r="D494" s="219" t="s">
        <v>1336</v>
      </c>
      <c r="E494" s="218" t="s">
        <v>163</v>
      </c>
    </row>
    <row r="495" s="220" customFormat="true" ht="15" hidden="false" customHeight="true" outlineLevel="0" collapsed="false">
      <c r="A495" s="214" t="str">
        <f aca="false">CONCATENATE(E495,",",D495)</f>
        <v>PE 358,ED3-PETE</v>
      </c>
      <c r="B495" s="217" t="s">
        <v>1880</v>
      </c>
      <c r="C495" s="218" t="s">
        <v>1881</v>
      </c>
      <c r="D495" s="219" t="s">
        <v>1336</v>
      </c>
      <c r="E495" s="218" t="s">
        <v>255</v>
      </c>
    </row>
    <row r="496" s="220" customFormat="true" ht="14.25" hidden="false" customHeight="false" outlineLevel="0" collapsed="false">
      <c r="A496" s="214" t="str">
        <f aca="false">CONCATENATE(E496,",",D496)</f>
        <v>PE 360,ED3-PETE</v>
      </c>
      <c r="B496" s="217" t="s">
        <v>1882</v>
      </c>
      <c r="C496" s="218" t="s">
        <v>1883</v>
      </c>
      <c r="D496" s="219" t="s">
        <v>1336</v>
      </c>
      <c r="E496" s="218" t="s">
        <v>17</v>
      </c>
    </row>
    <row r="497" s="220" customFormat="true" ht="14.25" hidden="false" customHeight="false" outlineLevel="0" collapsed="false">
      <c r="A497" s="214" t="str">
        <f aca="false">CONCATENATE(E497,",",D497)</f>
        <v>PE 362,ED3-PETE</v>
      </c>
      <c r="B497" s="217" t="s">
        <v>1697</v>
      </c>
      <c r="C497" s="218" t="s">
        <v>1884</v>
      </c>
      <c r="D497" s="219" t="s">
        <v>1336</v>
      </c>
      <c r="E497" s="218" t="s">
        <v>509</v>
      </c>
    </row>
    <row r="498" s="220" customFormat="true" ht="14.25" hidden="false" customHeight="false" outlineLevel="0" collapsed="false">
      <c r="A498" s="214" t="str">
        <f aca="false">CONCATENATE(E498,",",D498)</f>
        <v>PE 364,ED3-PETE</v>
      </c>
      <c r="B498" s="217" t="s">
        <v>1885</v>
      </c>
      <c r="C498" s="218" t="s">
        <v>1870</v>
      </c>
      <c r="D498" s="219" t="s">
        <v>1336</v>
      </c>
      <c r="E498" s="218" t="s">
        <v>349</v>
      </c>
    </row>
    <row r="499" s="220" customFormat="true" ht="14.25" hidden="false" customHeight="false" outlineLevel="0" collapsed="false">
      <c r="A499" s="214" t="str">
        <f aca="false">CONCATENATE(E499,",",D499)</f>
        <v>PE 366,ED3-PETE</v>
      </c>
      <c r="B499" s="217" t="s">
        <v>1886</v>
      </c>
      <c r="C499" s="218" t="s">
        <v>1867</v>
      </c>
      <c r="D499" s="219" t="s">
        <v>1336</v>
      </c>
      <c r="E499" s="218" t="s">
        <v>211</v>
      </c>
    </row>
    <row r="500" s="220" customFormat="true" ht="14.25" hidden="false" customHeight="false" outlineLevel="0" collapsed="false">
      <c r="A500" s="214" t="str">
        <f aca="false">CONCATENATE(E500,",",D500)</f>
        <v>PE 450,ED4-PETE</v>
      </c>
      <c r="B500" s="217" t="s">
        <v>1887</v>
      </c>
      <c r="C500" s="218" t="s">
        <v>1883</v>
      </c>
      <c r="D500" s="219" t="s">
        <v>1344</v>
      </c>
      <c r="E500" s="218" t="s">
        <v>324</v>
      </c>
    </row>
    <row r="501" s="220" customFormat="true" ht="14.25" hidden="false" customHeight="false" outlineLevel="0" collapsed="false">
      <c r="A501" s="214" t="str">
        <f aca="false">CONCATENATE(E501,",",D501)</f>
        <v>PE 452,ED4-PETE</v>
      </c>
      <c r="B501" s="217" t="s">
        <v>1888</v>
      </c>
      <c r="C501" s="218" t="s">
        <v>1881</v>
      </c>
      <c r="D501" s="219" t="s">
        <v>1344</v>
      </c>
      <c r="E501" s="218" t="s">
        <v>264</v>
      </c>
    </row>
    <row r="502" s="220" customFormat="true" ht="14.25" hidden="false" customHeight="false" outlineLevel="0" collapsed="false">
      <c r="A502" s="214" t="str">
        <f aca="false">CONCATENATE(E502,",",D502)</f>
        <v>PE 456,ED4-PETE</v>
      </c>
      <c r="B502" s="217" t="s">
        <v>1889</v>
      </c>
      <c r="C502" s="218" t="s">
        <v>1866</v>
      </c>
      <c r="D502" s="219" t="s">
        <v>1344</v>
      </c>
      <c r="E502" s="218" t="s">
        <v>502</v>
      </c>
    </row>
    <row r="503" s="220" customFormat="true" ht="14.25" hidden="false" customHeight="false" outlineLevel="0" collapsed="false">
      <c r="A503" s="214" t="str">
        <f aca="false">CONCATENATE(E503,",",D503)</f>
        <v>PE 458,ED4-PETE</v>
      </c>
      <c r="B503" s="217" t="s">
        <v>1890</v>
      </c>
      <c r="C503" s="218" t="s">
        <v>1883</v>
      </c>
      <c r="D503" s="219" t="s">
        <v>1344</v>
      </c>
      <c r="E503" s="218" t="s">
        <v>206</v>
      </c>
    </row>
    <row r="504" s="220" customFormat="true" ht="14.25" hidden="false" customHeight="false" outlineLevel="0" collapsed="false">
      <c r="A504" s="214" t="str">
        <f aca="false">CONCATENATE(E504,",",D504)</f>
        <v>PE 464,ED4-PETE</v>
      </c>
      <c r="B504" s="217" t="s">
        <v>1891</v>
      </c>
      <c r="C504" s="218" t="s">
        <v>1863</v>
      </c>
      <c r="D504" s="219" t="s">
        <v>1344</v>
      </c>
      <c r="E504" s="218" t="s">
        <v>45</v>
      </c>
    </row>
    <row r="505" s="220" customFormat="true" ht="14.25" hidden="false" customHeight="false" outlineLevel="0" collapsed="false">
      <c r="A505" s="214" t="str">
        <f aca="false">CONCATENATE(E505,",",D505)</f>
        <v>PE 466,ED4-PETE</v>
      </c>
      <c r="B505" s="217" t="s">
        <v>1892</v>
      </c>
      <c r="C505" s="218" t="s">
        <v>1893</v>
      </c>
      <c r="D505" s="219" t="s">
        <v>1344</v>
      </c>
      <c r="E505" s="218" t="s">
        <v>104</v>
      </c>
    </row>
    <row r="506" s="220" customFormat="true" ht="14.25" hidden="false" customHeight="false" outlineLevel="0" collapsed="false">
      <c r="A506" s="214" t="str">
        <f aca="false">CONCATENATE(E506,",",D506)</f>
        <v>PE 468,ED4-PETE</v>
      </c>
      <c r="B506" s="217" t="s">
        <v>1894</v>
      </c>
      <c r="C506" s="218" t="s">
        <v>1870</v>
      </c>
      <c r="D506" s="219" t="s">
        <v>1344</v>
      </c>
      <c r="E506" s="218" t="s">
        <v>374</v>
      </c>
    </row>
    <row r="507" s="220" customFormat="true" ht="14.25" hidden="false" customHeight="false" outlineLevel="0" collapsed="false">
      <c r="A507" s="214" t="str">
        <f aca="false">CONCATENATE(E507,",",D507)</f>
        <v>PE 472,ED4-PETE</v>
      </c>
      <c r="B507" s="217" t="s">
        <v>1895</v>
      </c>
      <c r="C507" s="218" t="s">
        <v>1881</v>
      </c>
      <c r="D507" s="219" t="s">
        <v>1344</v>
      </c>
      <c r="E507" s="218" t="s">
        <v>357</v>
      </c>
    </row>
    <row r="508" s="220" customFormat="true" ht="14.25" hidden="false" customHeight="false" outlineLevel="0" collapsed="false">
      <c r="A508" s="214" t="str">
        <f aca="false">CONCATENATE(E508,",",D508)</f>
        <v>PE 474,ED4-PETE</v>
      </c>
      <c r="B508" s="217" t="s">
        <v>1896</v>
      </c>
      <c r="C508" s="218" t="s">
        <v>1867</v>
      </c>
      <c r="D508" s="219" t="s">
        <v>1344</v>
      </c>
      <c r="E508" s="218" t="s">
        <v>409</v>
      </c>
    </row>
    <row r="509" s="220" customFormat="true" ht="14.25" hidden="false" customHeight="false" outlineLevel="0" collapsed="false">
      <c r="A509" s="214" t="str">
        <f aca="false">CONCATENATE(E509,",",D509)</f>
        <v>PE 476,ED4-PETE</v>
      </c>
      <c r="B509" s="217" t="s">
        <v>1897</v>
      </c>
      <c r="C509" s="218" t="s">
        <v>1872</v>
      </c>
      <c r="D509" s="219" t="s">
        <v>1344</v>
      </c>
      <c r="E509" s="218" t="s">
        <v>438</v>
      </c>
    </row>
    <row r="510" s="220" customFormat="true" ht="14.25" hidden="false" customHeight="false" outlineLevel="0" collapsed="false">
      <c r="A510" s="214" t="str">
        <f aca="false">CONCATENATE(E510,",",D510)</f>
        <v>PETE 354,ED3-PCE</v>
      </c>
      <c r="B510" s="217" t="s">
        <v>1898</v>
      </c>
      <c r="C510" s="218" t="s">
        <v>1899</v>
      </c>
      <c r="D510" s="219" t="s">
        <v>63</v>
      </c>
      <c r="E510" s="218" t="s">
        <v>448</v>
      </c>
    </row>
    <row r="511" s="220" customFormat="true" ht="14.25" hidden="false" customHeight="false" outlineLevel="0" collapsed="false">
      <c r="A511" s="214" t="str">
        <f aca="false">CONCATENATE(E511,",",D511)</f>
        <v>PETE 450,ED3-PCE</v>
      </c>
      <c r="B511" s="217" t="s">
        <v>1900</v>
      </c>
      <c r="C511" s="218" t="s">
        <v>1899</v>
      </c>
      <c r="D511" s="219" t="s">
        <v>63</v>
      </c>
      <c r="E511" s="218" t="s">
        <v>393</v>
      </c>
    </row>
    <row r="512" s="220" customFormat="true" ht="14.25" hidden="false" customHeight="false" outlineLevel="0" collapsed="false">
      <c r="A512" s="214" t="str">
        <f aca="false">CONCATENATE(E512,",",D512)</f>
        <v>PHY 154,ED1-BME</v>
      </c>
      <c r="B512" s="217" t="s">
        <v>1901</v>
      </c>
      <c r="C512" s="218" t="s">
        <v>1902</v>
      </c>
      <c r="D512" s="219" t="s">
        <v>130</v>
      </c>
      <c r="E512" s="218" t="s">
        <v>313</v>
      </c>
    </row>
    <row r="513" s="220" customFormat="true" ht="14.25" hidden="false" customHeight="false" outlineLevel="0" collapsed="false">
      <c r="A513" s="214" t="str">
        <f aca="false">CONCATENATE(E513,",",D513)</f>
        <v>PHY 170,ED1-CHE</v>
      </c>
      <c r="B513" s="217" t="s">
        <v>1903</v>
      </c>
      <c r="C513" s="218" t="s">
        <v>1904</v>
      </c>
      <c r="D513" s="219" t="s">
        <v>80</v>
      </c>
      <c r="E513" s="218" t="s">
        <v>79</v>
      </c>
    </row>
    <row r="514" s="220" customFormat="true" ht="14.25" hidden="false" customHeight="false" outlineLevel="0" collapsed="false">
      <c r="A514" s="214" t="str">
        <f aca="false">CONCATENATE(E514,",",D514)</f>
        <v>PHY 170,ED1-PCE</v>
      </c>
      <c r="B514" s="217" t="s">
        <v>1903</v>
      </c>
      <c r="C514" s="218" t="s">
        <v>1904</v>
      </c>
      <c r="D514" s="219" t="s">
        <v>81</v>
      </c>
      <c r="E514" s="218" t="s">
        <v>79</v>
      </c>
    </row>
    <row r="515" s="220" customFormat="true" ht="14.25" hidden="false" customHeight="false" outlineLevel="0" collapsed="false">
      <c r="A515" s="214" t="str">
        <f aca="false">CONCATENATE(E515,",",D515)</f>
        <v>PHY 170,ED1-PETE</v>
      </c>
      <c r="B515" s="217" t="s">
        <v>1903</v>
      </c>
      <c r="C515" s="218" t="s">
        <v>1905</v>
      </c>
      <c r="D515" s="219" t="s">
        <v>1327</v>
      </c>
      <c r="E515" s="218" t="s">
        <v>79</v>
      </c>
    </row>
    <row r="516" s="220" customFormat="true" ht="14.25" hidden="false" customHeight="false" outlineLevel="0" collapsed="false">
      <c r="A516" s="214" t="str">
        <f aca="false">CONCATENATE(E516,",",D516)</f>
        <v>PL 251/2,ED3-GEOM</v>
      </c>
      <c r="B516" s="217" t="s">
        <v>1906</v>
      </c>
      <c r="C516" s="218" t="s">
        <v>1907</v>
      </c>
      <c r="D516" s="219" t="s">
        <v>77</v>
      </c>
      <c r="E516" s="218" t="s">
        <v>1232</v>
      </c>
    </row>
    <row r="517" s="220" customFormat="true" ht="14.25" hidden="false" customHeight="false" outlineLevel="0" collapsed="false">
      <c r="A517" s="214" t="str">
        <f aca="false">CONCATENATE(E517,",",D517)</f>
        <v>PSYC 154,ED1-TEL</v>
      </c>
      <c r="B517" s="217" t="s">
        <v>1908</v>
      </c>
      <c r="C517" s="218" t="s">
        <v>1909</v>
      </c>
      <c r="D517" s="219" t="s">
        <v>91</v>
      </c>
      <c r="E517" s="218" t="s">
        <v>200</v>
      </c>
    </row>
    <row r="518" s="220" customFormat="true" ht="14.25" hidden="false" customHeight="false" outlineLevel="0" collapsed="false">
      <c r="A518" s="214" t="str">
        <f aca="false">CONCATENATE(E518,",",D518)</f>
        <v>SES 172,ED2-MARI</v>
      </c>
      <c r="B518" s="217" t="s">
        <v>1910</v>
      </c>
      <c r="C518" s="218" t="s">
        <v>1911</v>
      </c>
      <c r="D518" s="219" t="s">
        <v>42</v>
      </c>
      <c r="E518" s="218" t="s">
        <v>456</v>
      </c>
    </row>
    <row r="519" s="220" customFormat="true" ht="14.25" hidden="false" customHeight="false" outlineLevel="0" collapsed="false">
      <c r="A519" s="214" t="str">
        <f aca="false">CONCATENATE(E519,",",D519)</f>
        <v>SOC 152,ED1-BME</v>
      </c>
      <c r="B519" s="217" t="s">
        <v>1912</v>
      </c>
      <c r="C519" s="218" t="s">
        <v>1913</v>
      </c>
      <c r="D519" s="219" t="s">
        <v>130</v>
      </c>
      <c r="E519" s="218" t="s">
        <v>197</v>
      </c>
    </row>
    <row r="520" s="220" customFormat="true" ht="14.25" hidden="false" customHeight="false" outlineLevel="0" collapsed="false">
      <c r="A520" s="214" t="str">
        <f aca="false">CONCATENATE(E520,",",D520)</f>
        <v>SSN 166,ED1-BME</v>
      </c>
      <c r="B520" s="217" t="s">
        <v>1555</v>
      </c>
      <c r="C520" s="218" t="s">
        <v>1556</v>
      </c>
      <c r="D520" s="219" t="s">
        <v>130</v>
      </c>
      <c r="E520" s="218" t="s">
        <v>1075</v>
      </c>
    </row>
    <row r="521" s="220" customFormat="true" ht="14.25" hidden="false" customHeight="false" outlineLevel="0" collapsed="false">
      <c r="A521" s="214" t="str">
        <f aca="false">CONCATENATE(E521,",",D521)</f>
        <v>TE 152,ED1-TEL</v>
      </c>
      <c r="B521" s="217" t="s">
        <v>1914</v>
      </c>
      <c r="C521" s="218" t="s">
        <v>1915</v>
      </c>
      <c r="D521" s="219" t="s">
        <v>91</v>
      </c>
      <c r="E521" s="218" t="s">
        <v>423</v>
      </c>
    </row>
    <row r="522" s="220" customFormat="true" ht="14.25" hidden="false" customHeight="false" outlineLevel="0" collapsed="false">
      <c r="A522" s="214" t="str">
        <f aca="false">CONCATENATE(E522,",",D522)</f>
        <v>TE 156,ED1-TEL</v>
      </c>
      <c r="B522" s="217" t="s">
        <v>1916</v>
      </c>
      <c r="C522" s="218" t="s">
        <v>1917</v>
      </c>
      <c r="D522" s="219" t="s">
        <v>91</v>
      </c>
      <c r="E522" s="218" t="s">
        <v>90</v>
      </c>
    </row>
    <row r="523" s="220" customFormat="true" ht="14.25" hidden="false" customHeight="false" outlineLevel="0" collapsed="false">
      <c r="A523" s="214" t="str">
        <f aca="false">CONCATENATE(E523,",",D523)</f>
        <v>TE 158,ED1-TEL</v>
      </c>
      <c r="B523" s="217" t="s">
        <v>1918</v>
      </c>
      <c r="C523" s="218" t="s">
        <v>1915</v>
      </c>
      <c r="D523" s="219" t="s">
        <v>91</v>
      </c>
      <c r="E523" s="218" t="s">
        <v>492</v>
      </c>
    </row>
    <row r="524" s="220" customFormat="true" ht="14.25" hidden="false" customHeight="false" outlineLevel="0" collapsed="false">
      <c r="A524" s="214" t="str">
        <f aca="false">CONCATENATE(E524,",",D524)</f>
        <v>TE 254,ED2-EE</v>
      </c>
      <c r="B524" s="217" t="s">
        <v>1919</v>
      </c>
      <c r="C524" s="218" t="s">
        <v>1920</v>
      </c>
      <c r="D524" s="219" t="s">
        <v>25</v>
      </c>
      <c r="E524" s="218" t="s">
        <v>235</v>
      </c>
    </row>
    <row r="525" s="220" customFormat="true" ht="14.25" hidden="false" customHeight="false" outlineLevel="0" collapsed="false">
      <c r="A525" s="214" t="str">
        <f aca="false">CONCATENATE(E525,",",D525)</f>
        <v>TE 258,ED2-TEL</v>
      </c>
      <c r="B525" s="217" t="s">
        <v>1921</v>
      </c>
      <c r="C525" s="218" t="s">
        <v>1917</v>
      </c>
      <c r="D525" s="219" t="s">
        <v>172</v>
      </c>
      <c r="E525" s="218" t="s">
        <v>352</v>
      </c>
    </row>
    <row r="526" s="220" customFormat="true" ht="14.25" hidden="false" customHeight="false" outlineLevel="0" collapsed="false">
      <c r="A526" s="214" t="str">
        <f aca="false">CONCATENATE(E526,",",D526)</f>
        <v>TE 252,ED2-TEL</v>
      </c>
      <c r="B526" s="217" t="s">
        <v>1922</v>
      </c>
      <c r="C526" s="218" t="s">
        <v>1915</v>
      </c>
      <c r="D526" s="219" t="s">
        <v>172</v>
      </c>
      <c r="E526" s="218" t="s">
        <v>460</v>
      </c>
    </row>
    <row r="527" s="220" customFormat="true" ht="14.25" hidden="false" customHeight="false" outlineLevel="0" collapsed="false">
      <c r="A527" s="214" t="str">
        <f aca="false">CONCATENATE(E527,",",D527)</f>
        <v>TE 254,ED2-TEL</v>
      </c>
      <c r="B527" s="217" t="s">
        <v>1919</v>
      </c>
      <c r="C527" s="218" t="s">
        <v>1923</v>
      </c>
      <c r="D527" s="219" t="s">
        <v>172</v>
      </c>
      <c r="E527" s="218" t="s">
        <v>235</v>
      </c>
    </row>
    <row r="528" s="220" customFormat="true" ht="14.25" hidden="false" customHeight="false" outlineLevel="0" collapsed="false">
      <c r="A528" s="214" t="str">
        <f aca="false">CONCATENATE(E528,",",D528)</f>
        <v>TE 292,ED2-TEL</v>
      </c>
      <c r="B528" s="217" t="s">
        <v>1924</v>
      </c>
      <c r="C528" s="218" t="s">
        <v>1925</v>
      </c>
      <c r="D528" s="219" t="s">
        <v>172</v>
      </c>
      <c r="E528" s="218" t="s">
        <v>1363</v>
      </c>
    </row>
    <row r="529" s="220" customFormat="true" ht="14.25" hidden="false" customHeight="false" outlineLevel="0" collapsed="false">
      <c r="A529" s="214" t="str">
        <f aca="false">CONCATENATE(E529,",",D529)</f>
        <v>TE 262,ED2-EE</v>
      </c>
      <c r="B529" s="217" t="s">
        <v>1919</v>
      </c>
      <c r="C529" s="218" t="s">
        <v>1923</v>
      </c>
      <c r="D529" s="219" t="s">
        <v>25</v>
      </c>
      <c r="E529" s="218" t="s">
        <v>166</v>
      </c>
    </row>
    <row r="530" s="220" customFormat="true" ht="14.25" hidden="false" customHeight="false" outlineLevel="0" collapsed="false">
      <c r="A530" s="214" t="str">
        <f aca="false">CONCATENATE(E530,",",D530)</f>
        <v>TE 262,ED2-COE</v>
      </c>
      <c r="B530" s="217" t="s">
        <v>1926</v>
      </c>
      <c r="C530" s="218" t="s">
        <v>1565</v>
      </c>
      <c r="D530" s="219" t="s">
        <v>108</v>
      </c>
      <c r="E530" s="218" t="s">
        <v>166</v>
      </c>
    </row>
    <row r="531" s="220" customFormat="true" ht="14.25" hidden="false" customHeight="false" outlineLevel="0" collapsed="false">
      <c r="A531" s="214" t="str">
        <f aca="false">CONCATENATE(E531,",",D531)</f>
        <v>TE 374,ED3-TEL</v>
      </c>
      <c r="B531" s="217" t="s">
        <v>1927</v>
      </c>
      <c r="C531" s="218" t="s">
        <v>1928</v>
      </c>
      <c r="D531" s="219" t="s">
        <v>119</v>
      </c>
      <c r="E531" s="218" t="s">
        <v>391</v>
      </c>
    </row>
    <row r="532" s="220" customFormat="true" ht="14.25" hidden="false" customHeight="false" outlineLevel="0" collapsed="false">
      <c r="A532" s="214" t="str">
        <f aca="false">CONCATENATE(E532,",",D532)</f>
        <v>TE 256,ED2-TEL</v>
      </c>
      <c r="B532" s="217" t="s">
        <v>1929</v>
      </c>
      <c r="C532" s="218" t="s">
        <v>1930</v>
      </c>
      <c r="D532" s="219" t="s">
        <v>172</v>
      </c>
      <c r="E532" s="218" t="s">
        <v>171</v>
      </c>
    </row>
    <row r="533" s="220" customFormat="true" ht="14.25" hidden="false" customHeight="false" outlineLevel="0" collapsed="false">
      <c r="A533" s="214" t="str">
        <f aca="false">CONCATENATE(E533,",",D533)</f>
        <v>TE 356,ED3-TEL</v>
      </c>
      <c r="B533" s="217" t="s">
        <v>1367</v>
      </c>
      <c r="C533" s="218" t="s">
        <v>1931</v>
      </c>
      <c r="D533" s="219" t="s">
        <v>119</v>
      </c>
      <c r="E533" s="218" t="s">
        <v>118</v>
      </c>
    </row>
    <row r="534" s="220" customFormat="true" ht="14.25" hidden="false" customHeight="false" outlineLevel="0" collapsed="false">
      <c r="A534" s="214" t="str">
        <f aca="false">CONCATENATE(E534,",",D534)</f>
        <v>TE 354,ED3-TEL</v>
      </c>
      <c r="B534" s="217" t="s">
        <v>1932</v>
      </c>
      <c r="C534" s="218" t="s">
        <v>1920</v>
      </c>
      <c r="D534" s="219" t="s">
        <v>119</v>
      </c>
      <c r="E534" s="218" t="s">
        <v>339</v>
      </c>
    </row>
    <row r="535" s="220" customFormat="true" ht="14.25" hidden="false" customHeight="false" outlineLevel="0" collapsed="false">
      <c r="A535" s="214" t="str">
        <f aca="false">CONCATENATE(E535,",",D535)</f>
        <v>TE 358,ED3-TEL</v>
      </c>
      <c r="B535" s="217" t="s">
        <v>1368</v>
      </c>
      <c r="C535" s="218" t="s">
        <v>1604</v>
      </c>
      <c r="D535" s="219" t="s">
        <v>119</v>
      </c>
      <c r="E535" s="218" t="s">
        <v>464</v>
      </c>
    </row>
    <row r="536" s="220" customFormat="true" ht="14.25" hidden="false" customHeight="false" outlineLevel="0" collapsed="false">
      <c r="A536" s="214" t="str">
        <f aca="false">CONCATENATE(E536,",",D536)</f>
        <v>TE 372,ED3-EE</v>
      </c>
      <c r="B536" s="217" t="s">
        <v>1933</v>
      </c>
      <c r="C536" s="218" t="s">
        <v>1920</v>
      </c>
      <c r="D536" s="219" t="s">
        <v>71</v>
      </c>
      <c r="E536" s="218" t="s">
        <v>308</v>
      </c>
    </row>
    <row r="537" s="220" customFormat="true" ht="14.25" hidden="false" customHeight="false" outlineLevel="0" collapsed="false">
      <c r="A537" s="214" t="str">
        <f aca="false">CONCATENATE(E537,",",D537)</f>
        <v>TE 372,ED3-TEL</v>
      </c>
      <c r="B537" s="217" t="s">
        <v>1365</v>
      </c>
      <c r="C537" s="218" t="s">
        <v>1931</v>
      </c>
      <c r="D537" s="219" t="s">
        <v>119</v>
      </c>
      <c r="E537" s="218" t="s">
        <v>308</v>
      </c>
    </row>
    <row r="538" s="220" customFormat="true" ht="14.25" hidden="false" customHeight="false" outlineLevel="0" collapsed="false">
      <c r="A538" s="214" t="str">
        <f aca="false">CONCATENATE(E538,",",D538)</f>
        <v>TE 352,ED3-TEL</v>
      </c>
      <c r="B538" s="217" t="s">
        <v>1934</v>
      </c>
      <c r="C538" s="218" t="s">
        <v>1935</v>
      </c>
      <c r="D538" s="219" t="s">
        <v>119</v>
      </c>
      <c r="E538" s="218" t="s">
        <v>187</v>
      </c>
    </row>
    <row r="539" s="220" customFormat="true" ht="14.25" hidden="false" customHeight="false" outlineLevel="0" collapsed="false">
      <c r="A539" s="214" t="str">
        <f aca="false">CONCATENATE(E539,",",D539)</f>
        <v>TE 384,ED3-EE</v>
      </c>
      <c r="B539" s="217" t="s">
        <v>1367</v>
      </c>
      <c r="C539" s="218" t="s">
        <v>1925</v>
      </c>
      <c r="D539" s="219" t="s">
        <v>71</v>
      </c>
      <c r="E539" s="218" t="s">
        <v>117</v>
      </c>
    </row>
    <row r="540" s="220" customFormat="true" ht="14.25" hidden="false" customHeight="false" outlineLevel="0" collapsed="false">
      <c r="A540" s="214" t="str">
        <f aca="false">CONCATENATE(E540,",",D540)</f>
        <v>TE 384,ED3-TEL</v>
      </c>
      <c r="B540" s="217" t="s">
        <v>1367</v>
      </c>
      <c r="C540" s="218" t="s">
        <v>1931</v>
      </c>
      <c r="D540" s="219" t="s">
        <v>119</v>
      </c>
      <c r="E540" s="218" t="s">
        <v>117</v>
      </c>
    </row>
    <row r="541" s="220" customFormat="true" ht="14.25" hidden="false" customHeight="false" outlineLevel="0" collapsed="false">
      <c r="A541" s="214" t="str">
        <f aca="false">CONCATENATE(E541,",",D541)</f>
        <v>TE 386,ED3-EE</v>
      </c>
      <c r="B541" s="217" t="s">
        <v>1368</v>
      </c>
      <c r="C541" s="218" t="s">
        <v>1936</v>
      </c>
      <c r="D541" s="219" t="s">
        <v>71</v>
      </c>
      <c r="E541" s="218" t="s">
        <v>465</v>
      </c>
    </row>
    <row r="542" s="220" customFormat="true" ht="14.25" hidden="false" customHeight="false" outlineLevel="0" collapsed="false">
      <c r="A542" s="214" t="str">
        <f aca="false">CONCATENATE(E542,",",D542)</f>
        <v>TE 358,ED3-TEL</v>
      </c>
      <c r="B542" s="217" t="s">
        <v>1368</v>
      </c>
      <c r="C542" s="218" t="s">
        <v>1604</v>
      </c>
      <c r="D542" s="219" t="s">
        <v>119</v>
      </c>
      <c r="E542" s="218" t="s">
        <v>464</v>
      </c>
    </row>
    <row r="543" s="220" customFormat="true" ht="14.25" hidden="false" customHeight="false" outlineLevel="0" collapsed="false">
      <c r="A543" s="214" t="str">
        <f aca="false">CONCATENATE(E543,",",D543)</f>
        <v>TE 392,ED3-TEL</v>
      </c>
      <c r="B543" s="217" t="s">
        <v>1937</v>
      </c>
      <c r="C543" s="218" t="s">
        <v>1931</v>
      </c>
      <c r="D543" s="219" t="s">
        <v>119</v>
      </c>
      <c r="E543" s="218" t="s">
        <v>1370</v>
      </c>
    </row>
    <row r="544" s="220" customFormat="true" ht="14.25" hidden="false" customHeight="false" outlineLevel="0" collapsed="false">
      <c r="A544" s="214" t="str">
        <f aca="false">CONCATENATE(E544,",",D544)</f>
        <v>TE 462,ED4-TEL</v>
      </c>
      <c r="B544" s="217" t="s">
        <v>1938</v>
      </c>
      <c r="C544" s="218" t="s">
        <v>1939</v>
      </c>
      <c r="D544" s="219" t="s">
        <v>227</v>
      </c>
      <c r="E544" s="218" t="s">
        <v>1372</v>
      </c>
    </row>
    <row r="545" s="220" customFormat="true" ht="15" hidden="false" customHeight="true" outlineLevel="0" collapsed="false">
      <c r="A545" s="214" t="str">
        <f aca="false">CONCATENATE(E545,",",D545)</f>
        <v>TE 472,ED4-EE</v>
      </c>
      <c r="B545" s="217" t="s">
        <v>1940</v>
      </c>
      <c r="C545" s="218" t="s">
        <v>1935</v>
      </c>
      <c r="D545" s="219" t="s">
        <v>144</v>
      </c>
      <c r="E545" s="218" t="s">
        <v>306</v>
      </c>
    </row>
    <row r="546" s="220" customFormat="true" ht="14.25" hidden="false" customHeight="false" outlineLevel="0" collapsed="false">
      <c r="A546" s="214" t="str">
        <f aca="false">CONCATENATE(E546,",",D546)</f>
        <v>TE 472,ED4-TEL</v>
      </c>
      <c r="B546" s="217" t="s">
        <v>1940</v>
      </c>
      <c r="C546" s="218" t="s">
        <v>1935</v>
      </c>
      <c r="D546" s="219" t="s">
        <v>227</v>
      </c>
      <c r="E546" s="218" t="s">
        <v>306</v>
      </c>
    </row>
    <row r="547" s="220" customFormat="true" ht="14.25" hidden="false" customHeight="false" outlineLevel="0" collapsed="false">
      <c r="A547" s="214" t="str">
        <f aca="false">CONCATENATE(E547,",",D547)</f>
        <v>TE 474,ED4-TEL</v>
      </c>
      <c r="B547" s="217" t="s">
        <v>1941</v>
      </c>
      <c r="C547" s="218" t="s">
        <v>1930</v>
      </c>
      <c r="D547" s="219" t="s">
        <v>227</v>
      </c>
      <c r="E547" s="218" t="s">
        <v>1375</v>
      </c>
    </row>
    <row r="548" s="220" customFormat="true" ht="14.25" hidden="false" customHeight="false" outlineLevel="0" collapsed="false">
      <c r="A548" s="214" t="str">
        <f aca="false">CONCATENATE(E548,",",D548)</f>
        <v>TE 484,ED4-TEL</v>
      </c>
      <c r="B548" s="217" t="s">
        <v>1942</v>
      </c>
      <c r="C548" s="218" t="s">
        <v>1943</v>
      </c>
      <c r="D548" s="219" t="s">
        <v>227</v>
      </c>
      <c r="E548" s="218" t="s">
        <v>1377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4"/>
  <sheetViews>
    <sheetView showFormulas="false" showGridLines="true" showRowColHeaders="true" showZeros="true" rightToLeft="false" tabSelected="false" showOutlineSymbols="true" defaultGridColor="true" view="normal" topLeftCell="A401" colorId="64" zoomScale="100" zoomScaleNormal="100" zoomScalePageLayoutView="100" workbookViewId="0">
      <selection pane="topLeft" activeCell="B420" activeCellId="0" sqref="B420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96" width="17.5"/>
    <col collapsed="false" customWidth="true" hidden="false" outlineLevel="0" max="2" min="2" style="196" width="57.75"/>
    <col collapsed="false" customWidth="true" hidden="false" outlineLevel="0" max="3" min="3" style="196" width="38.13"/>
    <col collapsed="false" customWidth="true" hidden="false" outlineLevel="0" max="4" min="4" style="196" width="13"/>
    <col collapsed="false" customWidth="true" hidden="false" outlineLevel="0" max="5" min="5" style="196" width="10.13"/>
    <col collapsed="false" customWidth="true" hidden="false" outlineLevel="0" max="6" min="6" style="196" width="10.63"/>
  </cols>
  <sheetData>
    <row r="1" customFormat="false" ht="14.25" hidden="false" customHeight="false" outlineLevel="0" collapsed="false">
      <c r="B1" s="196" t="s">
        <v>982</v>
      </c>
      <c r="C1" s="196" t="s">
        <v>983</v>
      </c>
      <c r="D1" s="196" t="s">
        <v>984</v>
      </c>
      <c r="E1" s="196" t="s">
        <v>1944</v>
      </c>
      <c r="F1" s="196" t="s">
        <v>986</v>
      </c>
    </row>
    <row r="2" s="220" customFormat="true" ht="14.25" hidden="false" customHeight="false" outlineLevel="0" collapsed="false">
      <c r="A2" s="205" t="str">
        <f aca="false">CONCATENATE(F2,",",E2)</f>
        <v>AE 158,ED1-AE</v>
      </c>
      <c r="B2" s="205" t="s">
        <v>987</v>
      </c>
      <c r="C2" s="205" t="s">
        <v>1381</v>
      </c>
      <c r="D2" s="213" t="n">
        <v>128</v>
      </c>
      <c r="E2" s="205" t="s">
        <v>131</v>
      </c>
      <c r="F2" s="205" t="s">
        <v>314</v>
      </c>
    </row>
    <row r="3" s="220" customFormat="true" ht="14.25" hidden="false" customHeight="false" outlineLevel="0" collapsed="false">
      <c r="A3" s="205" t="str">
        <f aca="false">CONCATENATE(F3,",",E3)</f>
        <v>AE 162,ED1-AE</v>
      </c>
      <c r="B3" s="205" t="s">
        <v>988</v>
      </c>
      <c r="C3" s="205" t="s">
        <v>1381</v>
      </c>
      <c r="D3" s="213" t="n">
        <v>128</v>
      </c>
      <c r="E3" s="205" t="s">
        <v>131</v>
      </c>
      <c r="F3" s="205" t="s">
        <v>242</v>
      </c>
    </row>
    <row r="4" s="220" customFormat="true" ht="14.25" hidden="false" customHeight="false" outlineLevel="0" collapsed="false">
      <c r="A4" s="205" t="str">
        <f aca="false">CONCATENATE(F4,",",E4)</f>
        <v>AE 196,ED1-AE</v>
      </c>
      <c r="B4" s="205" t="s">
        <v>989</v>
      </c>
      <c r="C4" s="205" t="s">
        <v>1945</v>
      </c>
      <c r="D4" s="213" t="n">
        <v>128</v>
      </c>
      <c r="E4" s="205" t="s">
        <v>131</v>
      </c>
      <c r="F4" s="205" t="s">
        <v>454</v>
      </c>
    </row>
    <row r="5" s="220" customFormat="true" ht="14.25" hidden="false" customHeight="false" outlineLevel="0" collapsed="false">
      <c r="A5" s="205" t="str">
        <f aca="false">CONCATENATE(F5,",",E5)</f>
        <v>EE 152,ED1-AE</v>
      </c>
      <c r="B5" s="205" t="s">
        <v>990</v>
      </c>
      <c r="C5" s="205" t="s">
        <v>1946</v>
      </c>
      <c r="D5" s="213" t="n">
        <v>128</v>
      </c>
      <c r="E5" s="205" t="s">
        <v>131</v>
      </c>
      <c r="F5" s="205" t="s">
        <v>234</v>
      </c>
    </row>
    <row r="6" s="220" customFormat="true" ht="14.25" hidden="false" customHeight="false" outlineLevel="0" collapsed="false">
      <c r="A6" s="205" t="str">
        <f aca="false">CONCATENATE(F6,",",E6)</f>
        <v>ENGL 158,ED1-AE</v>
      </c>
      <c r="B6" s="205" t="s">
        <v>991</v>
      </c>
      <c r="C6" s="205" t="s">
        <v>1629</v>
      </c>
      <c r="D6" s="213" t="n">
        <v>128</v>
      </c>
      <c r="E6" s="205" t="s">
        <v>131</v>
      </c>
      <c r="F6" s="205" t="s">
        <v>364</v>
      </c>
    </row>
    <row r="7" s="220" customFormat="true" ht="14.25" hidden="false" customHeight="false" outlineLevel="0" collapsed="false">
      <c r="A7" s="205" t="str">
        <f aca="false">CONCATENATE(F7,",",E7)</f>
        <v>MATH 152,ED1-AE</v>
      </c>
      <c r="B7" s="205" t="s">
        <v>992</v>
      </c>
      <c r="C7" s="205" t="s">
        <v>1720</v>
      </c>
      <c r="D7" s="213" t="n">
        <v>128</v>
      </c>
      <c r="E7" s="205" t="s">
        <v>131</v>
      </c>
      <c r="F7" s="205" t="s">
        <v>129</v>
      </c>
    </row>
    <row r="8" s="220" customFormat="true" ht="14.25" hidden="false" customHeight="false" outlineLevel="0" collapsed="false">
      <c r="A8" s="205" t="str">
        <f aca="false">CONCATENATE(F8,",",E8)</f>
        <v>ME 160,ED1-AE</v>
      </c>
      <c r="B8" s="205" t="s">
        <v>993</v>
      </c>
      <c r="C8" s="205" t="s">
        <v>1404</v>
      </c>
      <c r="D8" s="213" t="n">
        <v>128</v>
      </c>
      <c r="E8" s="205" t="s">
        <v>131</v>
      </c>
      <c r="F8" s="205" t="s">
        <v>160</v>
      </c>
    </row>
    <row r="9" s="220" customFormat="true" ht="14.25" hidden="false" customHeight="false" outlineLevel="0" collapsed="false">
      <c r="A9" s="205" t="str">
        <f aca="false">CONCATENATE(F9,",",E9)</f>
        <v>ME 162,ED1-AE</v>
      </c>
      <c r="B9" s="205" t="s">
        <v>994</v>
      </c>
      <c r="C9" s="205" t="s">
        <v>1417</v>
      </c>
      <c r="D9" s="213" t="n">
        <v>128</v>
      </c>
      <c r="E9" s="205" t="s">
        <v>131</v>
      </c>
      <c r="F9" s="205" t="s">
        <v>392</v>
      </c>
    </row>
    <row r="10" s="220" customFormat="true" ht="14.25" hidden="false" customHeight="false" outlineLevel="0" collapsed="false">
      <c r="A10" s="205" t="str">
        <f aca="false">CONCATENATE(F10,",",E10)</f>
        <v>EE 252,ED2-AE</v>
      </c>
      <c r="B10" s="205" t="s">
        <v>995</v>
      </c>
      <c r="C10" s="205" t="s">
        <v>1947</v>
      </c>
      <c r="D10" s="213" t="n">
        <v>155</v>
      </c>
      <c r="E10" s="205" t="s">
        <v>53</v>
      </c>
      <c r="F10" s="205" t="s">
        <v>473</v>
      </c>
    </row>
    <row r="11" s="220" customFormat="true" ht="14.25" hidden="false" customHeight="false" outlineLevel="0" collapsed="false">
      <c r="A11" s="205" t="str">
        <f aca="false">CONCATENATE(F11,",",E11)</f>
        <v>ENGL 264,ED2-AE</v>
      </c>
      <c r="B11" s="205" t="s">
        <v>996</v>
      </c>
      <c r="C11" s="205" t="s">
        <v>1629</v>
      </c>
      <c r="D11" s="213" t="n">
        <v>155</v>
      </c>
      <c r="E11" s="205" t="s">
        <v>53</v>
      </c>
      <c r="F11" s="205" t="s">
        <v>276</v>
      </c>
    </row>
    <row r="12" s="220" customFormat="true" ht="14.25" hidden="false" customHeight="false" outlineLevel="0" collapsed="false">
      <c r="A12" s="205" t="str">
        <f aca="false">CONCATENATE(F12,",",E12)</f>
        <v>GE 286,ED2-AE</v>
      </c>
      <c r="B12" s="205" t="s">
        <v>997</v>
      </c>
      <c r="C12" s="205" t="s">
        <v>1948</v>
      </c>
      <c r="D12" s="213" t="n">
        <v>155</v>
      </c>
      <c r="E12" s="205" t="s">
        <v>53</v>
      </c>
      <c r="F12" s="205" t="s">
        <v>52</v>
      </c>
    </row>
    <row r="13" s="220" customFormat="true" ht="14.25" hidden="false" customHeight="false" outlineLevel="0" collapsed="false">
      <c r="A13" s="205" t="str">
        <f aca="false">CONCATENATE(F13,",",E13)</f>
        <v>MATH 252,ED2-AE</v>
      </c>
      <c r="B13" s="205" t="s">
        <v>998</v>
      </c>
      <c r="C13" s="205" t="s">
        <v>1727</v>
      </c>
      <c r="D13" s="213" t="n">
        <v>155</v>
      </c>
      <c r="E13" s="205" t="s">
        <v>53</v>
      </c>
      <c r="F13" s="205" t="s">
        <v>281</v>
      </c>
    </row>
    <row r="14" s="220" customFormat="true" ht="14.25" hidden="false" customHeight="false" outlineLevel="0" collapsed="false">
      <c r="A14" s="205" t="str">
        <f aca="false">CONCATENATE(F14,",",E14)</f>
        <v>ME 262,ED2-AE</v>
      </c>
      <c r="B14" s="205" t="s">
        <v>999</v>
      </c>
      <c r="C14" s="205" t="s">
        <v>1429</v>
      </c>
      <c r="D14" s="213" t="n">
        <v>155</v>
      </c>
      <c r="E14" s="205" t="s">
        <v>53</v>
      </c>
      <c r="F14" s="205" t="s">
        <v>344</v>
      </c>
    </row>
    <row r="15" s="220" customFormat="true" ht="14.25" hidden="false" customHeight="false" outlineLevel="0" collapsed="false">
      <c r="A15" s="205" t="str">
        <f aca="false">CONCATENATE(F15,",",E15)</f>
        <v>ME 282,ED2-AE</v>
      </c>
      <c r="B15" s="205" t="s">
        <v>1000</v>
      </c>
      <c r="C15" s="205" t="s">
        <v>1797</v>
      </c>
      <c r="D15" s="213" t="n">
        <v>155</v>
      </c>
      <c r="E15" s="205" t="s">
        <v>53</v>
      </c>
      <c r="F15" s="205" t="s">
        <v>236</v>
      </c>
    </row>
    <row r="16" s="220" customFormat="true" ht="14.25" hidden="false" customHeight="false" outlineLevel="0" collapsed="false">
      <c r="A16" s="205" t="str">
        <f aca="false">CONCATENATE(F16,",",E16)</f>
        <v>ME 296,ED2-AE</v>
      </c>
      <c r="B16" s="205" t="s">
        <v>1001</v>
      </c>
      <c r="C16" s="205" t="s">
        <v>1742</v>
      </c>
      <c r="D16" s="213" t="n">
        <v>155</v>
      </c>
      <c r="E16" s="205" t="s">
        <v>53</v>
      </c>
      <c r="F16" s="205" t="s">
        <v>542</v>
      </c>
    </row>
    <row r="17" s="220" customFormat="true" ht="14.25" hidden="false" customHeight="false" outlineLevel="0" collapsed="false">
      <c r="A17" s="205" t="str">
        <f aca="false">CONCATENATE(F17,",",E17)</f>
        <v>AE 352,ED3-AE</v>
      </c>
      <c r="B17" s="205" t="s">
        <v>1002</v>
      </c>
      <c r="C17" s="205" t="s">
        <v>1386</v>
      </c>
      <c r="D17" s="213" t="n">
        <v>101</v>
      </c>
      <c r="E17" s="205" t="s">
        <v>88</v>
      </c>
      <c r="F17" s="205" t="s">
        <v>455</v>
      </c>
    </row>
    <row r="18" s="220" customFormat="true" ht="14.25" hidden="false" customHeight="false" outlineLevel="0" collapsed="false">
      <c r="A18" s="205" t="str">
        <f aca="false">CONCATENATE(F18,",",E18)</f>
        <v>AE 356,ED3-AE</v>
      </c>
      <c r="B18" s="205" t="s">
        <v>1003</v>
      </c>
      <c r="C18" s="205" t="s">
        <v>1388</v>
      </c>
      <c r="D18" s="213" t="n">
        <v>101</v>
      </c>
      <c r="E18" s="205" t="s">
        <v>88</v>
      </c>
      <c r="F18" s="205" t="s">
        <v>303</v>
      </c>
    </row>
    <row r="19" s="220" customFormat="true" ht="14.25" hidden="false" customHeight="false" outlineLevel="0" collapsed="false">
      <c r="A19" s="205" t="str">
        <f aca="false">CONCATENATE(F19,",",E19)</f>
        <v>AE 358,ED3-AE</v>
      </c>
      <c r="B19" s="205" t="s">
        <v>1004</v>
      </c>
      <c r="C19" s="205" t="s">
        <v>1390</v>
      </c>
      <c r="D19" s="213" t="n">
        <v>101</v>
      </c>
      <c r="E19" s="205" t="s">
        <v>88</v>
      </c>
      <c r="F19" s="205" t="s">
        <v>87</v>
      </c>
    </row>
    <row r="20" s="220" customFormat="true" ht="14.25" hidden="false" customHeight="false" outlineLevel="0" collapsed="false">
      <c r="A20" s="205" t="str">
        <f aca="false">CONCATENATE(F20,",",E20)</f>
        <v>AE 360,ED3-AE</v>
      </c>
      <c r="B20" s="205" t="s">
        <v>1005</v>
      </c>
      <c r="C20" s="205" t="s">
        <v>1392</v>
      </c>
      <c r="D20" s="213" t="n">
        <v>101</v>
      </c>
      <c r="E20" s="205" t="s">
        <v>88</v>
      </c>
      <c r="F20" s="205" t="s">
        <v>220</v>
      </c>
    </row>
    <row r="21" s="220" customFormat="true" ht="14.25" hidden="false" customHeight="false" outlineLevel="0" collapsed="false">
      <c r="A21" s="205" t="str">
        <f aca="false">CONCATENATE(F21,",",E21)</f>
        <v>AE 362,ED3-AE</v>
      </c>
      <c r="B21" s="205" t="s">
        <v>1006</v>
      </c>
      <c r="C21" s="205" t="s">
        <v>1394</v>
      </c>
      <c r="D21" s="213" t="n">
        <v>101</v>
      </c>
      <c r="E21" s="205" t="s">
        <v>88</v>
      </c>
      <c r="F21" s="205" t="s">
        <v>498</v>
      </c>
    </row>
    <row r="22" s="220" customFormat="true" ht="14.25" hidden="false" customHeight="false" outlineLevel="0" collapsed="false">
      <c r="A22" s="205" t="str">
        <f aca="false">CONCATENATE(F22,",",E22)</f>
        <v>ME 366,ED3-AE</v>
      </c>
      <c r="B22" s="205" t="s">
        <v>1007</v>
      </c>
      <c r="C22" s="205" t="s">
        <v>1768</v>
      </c>
      <c r="D22" s="213" t="n">
        <v>101</v>
      </c>
      <c r="E22" s="205" t="s">
        <v>88</v>
      </c>
      <c r="F22" s="205" t="s">
        <v>347</v>
      </c>
    </row>
    <row r="23" s="220" customFormat="true" ht="14.25" hidden="false" customHeight="false" outlineLevel="0" collapsed="false">
      <c r="A23" s="205" t="str">
        <f aca="false">CONCATENATE(F23,",",E23)</f>
        <v>ME 374,ED3-AE</v>
      </c>
      <c r="B23" s="205" t="s">
        <v>1008</v>
      </c>
      <c r="C23" s="205" t="s">
        <v>1406</v>
      </c>
      <c r="D23" s="213" t="n">
        <v>101</v>
      </c>
      <c r="E23" s="205" t="s">
        <v>88</v>
      </c>
      <c r="F23" s="205" t="s">
        <v>60</v>
      </c>
    </row>
    <row r="24" s="220" customFormat="true" ht="14.25" hidden="false" customHeight="false" outlineLevel="0" collapsed="false">
      <c r="A24" s="205" t="str">
        <f aca="false">CONCATENATE(F24,",",E24)</f>
        <v>ME 376,ED3-AE</v>
      </c>
      <c r="B24" s="205" t="s">
        <v>1009</v>
      </c>
      <c r="C24" s="205" t="s">
        <v>1406</v>
      </c>
      <c r="D24" s="213" t="n">
        <v>101</v>
      </c>
      <c r="E24" s="205" t="s">
        <v>88</v>
      </c>
      <c r="F24" s="205" t="s">
        <v>266</v>
      </c>
    </row>
    <row r="25" s="220" customFormat="true" ht="16.5" hidden="false" customHeight="true" outlineLevel="0" collapsed="false">
      <c r="A25" s="205" t="str">
        <f aca="false">CONCATENATE(F25,",",E25)</f>
        <v>AE 452,ED4-AE</v>
      </c>
      <c r="B25" s="205" t="s">
        <v>1010</v>
      </c>
      <c r="C25" s="205" t="s">
        <v>1396</v>
      </c>
      <c r="D25" s="213" t="n">
        <v>103</v>
      </c>
      <c r="E25" s="205" t="s">
        <v>50</v>
      </c>
      <c r="F25" s="205" t="s">
        <v>213</v>
      </c>
    </row>
    <row r="26" s="220" customFormat="true" ht="14.25" hidden="false" customHeight="false" outlineLevel="0" collapsed="false">
      <c r="A26" s="205" t="str">
        <f aca="false">CONCATENATE(F26,",",E26)</f>
        <v>AE 458,ED4-AE</v>
      </c>
      <c r="B26" s="205" t="s">
        <v>1011</v>
      </c>
      <c r="C26" s="205" t="s">
        <v>1398</v>
      </c>
      <c r="D26" s="213" t="n">
        <v>103</v>
      </c>
      <c r="E26" s="205" t="s">
        <v>50</v>
      </c>
      <c r="F26" s="205" t="s">
        <v>49</v>
      </c>
    </row>
    <row r="27" s="220" customFormat="true" ht="14.25" hidden="false" customHeight="false" outlineLevel="0" collapsed="false">
      <c r="A27" s="205" t="str">
        <f aca="false">CONCATENATE(F27,",",E27)</f>
        <v>AE 460,ED4-AE</v>
      </c>
      <c r="B27" s="205" t="s">
        <v>1012</v>
      </c>
      <c r="C27" s="205" t="s">
        <v>1400</v>
      </c>
      <c r="D27" s="213" t="n">
        <v>103</v>
      </c>
      <c r="E27" s="205" t="s">
        <v>50</v>
      </c>
      <c r="F27" s="205" t="s">
        <v>325</v>
      </c>
    </row>
    <row r="28" s="220" customFormat="true" ht="14.25" hidden="false" customHeight="false" outlineLevel="0" collapsed="false">
      <c r="A28" s="205" t="str">
        <f aca="false">CONCATENATE(F28,",",E28)</f>
        <v>AE 464,ED4-AE</v>
      </c>
      <c r="B28" s="205" t="s">
        <v>1013</v>
      </c>
      <c r="C28" s="205" t="s">
        <v>1402</v>
      </c>
      <c r="D28" s="213" t="n">
        <v>103</v>
      </c>
      <c r="E28" s="205" t="s">
        <v>50</v>
      </c>
      <c r="F28" s="205" t="s">
        <v>477</v>
      </c>
    </row>
    <row r="29" s="220" customFormat="true" ht="14.25" hidden="false" customHeight="false" outlineLevel="0" collapsed="false">
      <c r="A29" s="205" t="str">
        <f aca="false">CONCATENATE(F29,",",E29)</f>
        <v>AE 482,ED4-AE</v>
      </c>
      <c r="B29" s="205" t="s">
        <v>1014</v>
      </c>
      <c r="C29" s="205" t="s">
        <v>1404</v>
      </c>
      <c r="D29" s="213" t="n">
        <v>103</v>
      </c>
      <c r="E29" s="205" t="s">
        <v>50</v>
      </c>
      <c r="F29" s="205" t="s">
        <v>429</v>
      </c>
    </row>
    <row r="30" s="220" customFormat="true" ht="14.25" hidden="false" customHeight="false" outlineLevel="0" collapsed="false">
      <c r="A30" s="205" t="str">
        <f aca="false">CONCATENATE(F30,",",E30)</f>
        <v>ME 492,ED4-AE</v>
      </c>
      <c r="B30" s="205" t="s">
        <v>1015</v>
      </c>
      <c r="C30" s="205" t="s">
        <v>1388</v>
      </c>
      <c r="D30" s="213" t="n">
        <v>103</v>
      </c>
      <c r="E30" s="205" t="s">
        <v>50</v>
      </c>
      <c r="F30" s="205" t="s">
        <v>373</v>
      </c>
    </row>
    <row r="31" s="220" customFormat="true" ht="14.25" hidden="false" customHeight="false" outlineLevel="0" collapsed="false">
      <c r="A31" s="205" t="str">
        <f aca="false">CONCATENATE(F31,",",E31)</f>
        <v>AERO 174,ED1-AERO</v>
      </c>
      <c r="B31" s="205" t="s">
        <v>1016</v>
      </c>
      <c r="C31" s="205" t="s">
        <v>1406</v>
      </c>
      <c r="D31" s="213" t="n">
        <v>70</v>
      </c>
      <c r="E31" s="205" t="s">
        <v>191</v>
      </c>
      <c r="F31" s="205" t="s">
        <v>483</v>
      </c>
    </row>
    <row r="32" s="220" customFormat="true" ht="14.25" hidden="false" customHeight="false" outlineLevel="0" collapsed="false">
      <c r="A32" s="205" t="str">
        <f aca="false">CONCATENATE(F32,",",E32)</f>
        <v>EE 152,ED1-AERO</v>
      </c>
      <c r="B32" s="205" t="s">
        <v>990</v>
      </c>
      <c r="C32" s="205" t="s">
        <v>1946</v>
      </c>
      <c r="D32" s="213" t="n">
        <v>70</v>
      </c>
      <c r="E32" s="205" t="s">
        <v>191</v>
      </c>
      <c r="F32" s="205" t="s">
        <v>234</v>
      </c>
    </row>
    <row r="33" s="220" customFormat="true" ht="14.25" hidden="false" customHeight="false" outlineLevel="0" collapsed="false">
      <c r="A33" s="205" t="str">
        <f aca="false">CONCATENATE(F33,",",E33)</f>
        <v>ENGL 158,ED1-AERO</v>
      </c>
      <c r="B33" s="205" t="s">
        <v>991</v>
      </c>
      <c r="C33" s="205" t="s">
        <v>1629</v>
      </c>
      <c r="D33" s="213" t="n">
        <v>70</v>
      </c>
      <c r="E33" s="205" t="s">
        <v>191</v>
      </c>
      <c r="F33" s="205" t="s">
        <v>364</v>
      </c>
    </row>
    <row r="34" s="220" customFormat="true" ht="14.25" hidden="false" customHeight="false" outlineLevel="0" collapsed="false">
      <c r="A34" s="205" t="str">
        <f aca="false">CONCATENATE(F34,",",E34)</f>
        <v>MATH 152,ED1-AERO</v>
      </c>
      <c r="B34" s="205" t="s">
        <v>992</v>
      </c>
      <c r="C34" s="205" t="s">
        <v>1720</v>
      </c>
      <c r="D34" s="213" t="n">
        <v>70</v>
      </c>
      <c r="E34" s="205" t="s">
        <v>191</v>
      </c>
      <c r="F34" s="205" t="s">
        <v>129</v>
      </c>
    </row>
    <row r="35" s="220" customFormat="true" ht="14.25" hidden="false" customHeight="false" outlineLevel="0" collapsed="false">
      <c r="A35" s="205" t="str">
        <f aca="false">CONCATENATE(F35,",",E35)</f>
        <v>ME 158,ED1-AERO</v>
      </c>
      <c r="B35" s="205" t="s">
        <v>1017</v>
      </c>
      <c r="C35" s="205" t="s">
        <v>1737</v>
      </c>
      <c r="D35" s="213" t="n">
        <v>70</v>
      </c>
      <c r="E35" s="205" t="s">
        <v>191</v>
      </c>
      <c r="F35" s="205" t="s">
        <v>190</v>
      </c>
    </row>
    <row r="36" s="220" customFormat="true" ht="14.25" hidden="false" customHeight="false" outlineLevel="0" collapsed="false">
      <c r="A36" s="205" t="str">
        <f aca="false">CONCATENATE(F36,",",E36)</f>
        <v>ME 164,ED1-AERO</v>
      </c>
      <c r="B36" s="205" t="s">
        <v>1018</v>
      </c>
      <c r="C36" s="205" t="s">
        <v>1715</v>
      </c>
      <c r="D36" s="213" t="n">
        <v>70</v>
      </c>
      <c r="E36" s="205" t="s">
        <v>191</v>
      </c>
      <c r="F36" s="205" t="s">
        <v>268</v>
      </c>
    </row>
    <row r="37" s="220" customFormat="true" ht="14.25" hidden="false" customHeight="false" outlineLevel="0" collapsed="false">
      <c r="A37" s="205" t="str">
        <f aca="false">CONCATENATE(F37,",",E37)</f>
        <v>ME 168,ED1-AERO</v>
      </c>
      <c r="B37" s="205" t="s">
        <v>1019</v>
      </c>
      <c r="C37" s="205" t="s">
        <v>1717</v>
      </c>
      <c r="D37" s="213" t="n">
        <v>70</v>
      </c>
      <c r="E37" s="205" t="s">
        <v>191</v>
      </c>
      <c r="F37" s="205" t="s">
        <v>110</v>
      </c>
    </row>
    <row r="38" s="220" customFormat="true" ht="14.25" hidden="false" customHeight="false" outlineLevel="0" collapsed="false">
      <c r="A38" s="205" t="str">
        <f aca="false">CONCATENATE(F38,",",E38)</f>
        <v>AERO 256,ED2-AERO</v>
      </c>
      <c r="B38" s="205" t="s">
        <v>1020</v>
      </c>
      <c r="C38" s="205" t="s">
        <v>1408</v>
      </c>
      <c r="D38" s="213" t="n">
        <v>75</v>
      </c>
      <c r="E38" s="205" t="s">
        <v>36</v>
      </c>
      <c r="F38" s="205" t="s">
        <v>356</v>
      </c>
    </row>
    <row r="39" s="220" customFormat="true" ht="14.25" hidden="false" customHeight="false" outlineLevel="0" collapsed="false">
      <c r="A39" s="205" t="str">
        <f aca="false">CONCATENATE(F39,",",E39)</f>
        <v>AERO 274,ED2-AERO</v>
      </c>
      <c r="B39" s="205" t="s">
        <v>1021</v>
      </c>
      <c r="C39" s="205" t="s">
        <v>1410</v>
      </c>
      <c r="D39" s="213" t="n">
        <v>75</v>
      </c>
      <c r="E39" s="205" t="s">
        <v>36</v>
      </c>
      <c r="F39" s="205" t="s">
        <v>35</v>
      </c>
    </row>
    <row r="40" s="220" customFormat="true" ht="14.25" hidden="false" customHeight="false" outlineLevel="0" collapsed="false">
      <c r="A40" s="205" t="str">
        <f aca="false">CONCATENATE(F40,",",E40)</f>
        <v>ENGL 264,ED2-AERO</v>
      </c>
      <c r="B40" s="205" t="s">
        <v>996</v>
      </c>
      <c r="C40" s="205" t="s">
        <v>1629</v>
      </c>
      <c r="D40" s="213" t="n">
        <v>75</v>
      </c>
      <c r="E40" s="205" t="s">
        <v>36</v>
      </c>
      <c r="F40" s="205" t="s">
        <v>276</v>
      </c>
    </row>
    <row r="41" s="220" customFormat="true" ht="14.25" hidden="false" customHeight="false" outlineLevel="0" collapsed="false">
      <c r="A41" s="205" t="str">
        <f aca="false">CONCATENATE(F41,",",E41)</f>
        <v>MATH 252,ED2-AERO</v>
      </c>
      <c r="B41" s="205" t="s">
        <v>998</v>
      </c>
      <c r="C41" s="205" t="s">
        <v>1727</v>
      </c>
      <c r="D41" s="213" t="n">
        <v>75</v>
      </c>
      <c r="E41" s="205" t="s">
        <v>36</v>
      </c>
      <c r="F41" s="205" t="s">
        <v>281</v>
      </c>
    </row>
    <row r="42" s="220" customFormat="true" ht="14.25" hidden="false" customHeight="false" outlineLevel="0" collapsed="false">
      <c r="A42" s="205" t="str">
        <f aca="false">CONCATENATE(F42,",",E42)</f>
        <v>ME 258,ED2-AERO</v>
      </c>
      <c r="B42" s="205" t="s">
        <v>1022</v>
      </c>
      <c r="C42" s="205" t="s">
        <v>1737</v>
      </c>
      <c r="D42" s="213" t="n">
        <v>75</v>
      </c>
      <c r="E42" s="205" t="s">
        <v>36</v>
      </c>
      <c r="F42" s="205" t="s">
        <v>466</v>
      </c>
    </row>
    <row r="43" s="220" customFormat="true" ht="14.25" hidden="false" customHeight="false" outlineLevel="0" collapsed="false">
      <c r="A43" s="205" t="str">
        <f aca="false">CONCATENATE(F43,",",E43)</f>
        <v>ME 264,ED2-AERO</v>
      </c>
      <c r="B43" s="205" t="s">
        <v>1023</v>
      </c>
      <c r="C43" s="205" t="s">
        <v>1755</v>
      </c>
      <c r="D43" s="213" t="n">
        <v>75</v>
      </c>
      <c r="E43" s="205" t="s">
        <v>36</v>
      </c>
      <c r="F43" s="205" t="s">
        <v>151</v>
      </c>
    </row>
    <row r="44" s="220" customFormat="true" ht="14.25" hidden="false" customHeight="false" outlineLevel="0" collapsed="false">
      <c r="A44" s="205" t="str">
        <f aca="false">CONCATENATE(F44,",",E44)</f>
        <v>ME 266,ED2-AERO</v>
      </c>
      <c r="B44" s="205" t="s">
        <v>1024</v>
      </c>
      <c r="C44" s="205" t="s">
        <v>1742</v>
      </c>
      <c r="D44" s="213" t="n">
        <v>75</v>
      </c>
      <c r="E44" s="205" t="s">
        <v>36</v>
      </c>
      <c r="F44" s="205" t="s">
        <v>420</v>
      </c>
    </row>
    <row r="45" s="220" customFormat="true" ht="14.25" hidden="false" customHeight="false" outlineLevel="0" collapsed="false">
      <c r="A45" s="205" t="str">
        <f aca="false">CONCATENATE(F45,",",E45)</f>
        <v>AERO 362,ED3-AERO</v>
      </c>
      <c r="B45" s="205" t="s">
        <v>1025</v>
      </c>
      <c r="C45" s="205" t="s">
        <v>1417</v>
      </c>
      <c r="D45" s="213" t="n">
        <v>76</v>
      </c>
      <c r="E45" s="205" t="s">
        <v>133</v>
      </c>
      <c r="F45" s="205" t="s">
        <v>277</v>
      </c>
    </row>
    <row r="46" s="220" customFormat="true" ht="14.25" hidden="false" customHeight="false" outlineLevel="0" collapsed="false">
      <c r="A46" s="205" t="str">
        <f aca="false">CONCATENATE(F46,",",E46)</f>
        <v>AERO 368,ED3-AERO</v>
      </c>
      <c r="B46" s="205" t="s">
        <v>1026</v>
      </c>
      <c r="C46" s="205" t="s">
        <v>1414</v>
      </c>
      <c r="D46" s="213" t="n">
        <v>76</v>
      </c>
      <c r="E46" s="205" t="s">
        <v>133</v>
      </c>
      <c r="F46" s="205" t="s">
        <v>192</v>
      </c>
    </row>
    <row r="47" s="220" customFormat="true" ht="14.25" hidden="false" customHeight="false" outlineLevel="0" collapsed="false">
      <c r="A47" s="205" t="str">
        <f aca="false">CONCATENATE(F47,",",E47)</f>
        <v>AERO 374,ED3-AERO</v>
      </c>
      <c r="B47" s="205" t="s">
        <v>1027</v>
      </c>
      <c r="C47" s="205" t="s">
        <v>1408</v>
      </c>
      <c r="D47" s="213" t="n">
        <v>76</v>
      </c>
      <c r="E47" s="205" t="s">
        <v>133</v>
      </c>
      <c r="F47" s="205" t="s">
        <v>436</v>
      </c>
    </row>
    <row r="48" s="220" customFormat="true" ht="14.25" hidden="false" customHeight="false" outlineLevel="0" collapsed="false">
      <c r="A48" s="205" t="str">
        <f aca="false">CONCATENATE(F48,",",E48)</f>
        <v>AERO 396,ED3-AERO</v>
      </c>
      <c r="B48" s="205" t="s">
        <v>1028</v>
      </c>
      <c r="C48" s="205" t="s">
        <v>1417</v>
      </c>
      <c r="D48" s="213" t="n">
        <v>76</v>
      </c>
      <c r="E48" s="205" t="s">
        <v>133</v>
      </c>
      <c r="F48" s="205" t="s">
        <v>132</v>
      </c>
    </row>
    <row r="49" s="220" customFormat="true" ht="14.25" hidden="false" customHeight="false" outlineLevel="0" collapsed="false">
      <c r="A49" s="205" t="str">
        <f aca="false">CONCATENATE(F49,",",E49)</f>
        <v>ME 362,ED3-AERO</v>
      </c>
      <c r="B49" s="205" t="s">
        <v>1029</v>
      </c>
      <c r="C49" s="205" t="s">
        <v>1429</v>
      </c>
      <c r="D49" s="213" t="n">
        <v>76</v>
      </c>
      <c r="E49" s="205" t="s">
        <v>133</v>
      </c>
      <c r="F49" s="205" t="s">
        <v>519</v>
      </c>
    </row>
    <row r="50" s="220" customFormat="true" ht="14.25" hidden="false" customHeight="false" outlineLevel="0" collapsed="false">
      <c r="A50" s="205" t="str">
        <f aca="false">CONCATENATE(F50,",",E50)</f>
        <v>ME 366,ED3-AERO</v>
      </c>
      <c r="B50" s="205" t="s">
        <v>1007</v>
      </c>
      <c r="C50" s="205" t="s">
        <v>1768</v>
      </c>
      <c r="D50" s="213" t="n">
        <v>76</v>
      </c>
      <c r="E50" s="205" t="s">
        <v>133</v>
      </c>
      <c r="F50" s="205" t="s">
        <v>347</v>
      </c>
    </row>
    <row r="51" s="220" customFormat="true" ht="14.25" hidden="false" customHeight="false" outlineLevel="0" collapsed="false">
      <c r="A51" s="205" t="str">
        <f aca="false">CONCATENATE(F51,",",E51)</f>
        <v>ME 392,ED3-AERO</v>
      </c>
      <c r="B51" s="205" t="s">
        <v>1030</v>
      </c>
      <c r="C51" s="205" t="s">
        <v>1435</v>
      </c>
      <c r="D51" s="213" t="n">
        <v>76</v>
      </c>
      <c r="E51" s="205" t="s">
        <v>133</v>
      </c>
      <c r="F51" s="205" t="s">
        <v>239</v>
      </c>
    </row>
    <row r="52" s="220" customFormat="true" ht="14.25" hidden="false" customHeight="false" outlineLevel="0" collapsed="false">
      <c r="A52" s="205" t="str">
        <f aca="false">CONCATENATE(F52,",",E52)</f>
        <v>AERO 452,ED4-AERO</v>
      </c>
      <c r="B52" s="205" t="s">
        <v>1031</v>
      </c>
      <c r="C52" s="205" t="s">
        <v>1414</v>
      </c>
      <c r="D52" s="213" t="n">
        <v>61</v>
      </c>
      <c r="E52" s="205" t="s">
        <v>99</v>
      </c>
      <c r="F52" s="205" t="s">
        <v>526</v>
      </c>
    </row>
    <row r="53" s="220" customFormat="true" ht="14.25" hidden="false" customHeight="false" outlineLevel="0" collapsed="false">
      <c r="A53" s="205" t="str">
        <f aca="false">CONCATENATE(F53,",",E53)</f>
        <v>AERO 456,ED4-AERO</v>
      </c>
      <c r="B53" s="205" t="s">
        <v>1032</v>
      </c>
      <c r="C53" s="205" t="s">
        <v>1420</v>
      </c>
      <c r="D53" s="213" t="n">
        <v>61</v>
      </c>
      <c r="E53" s="205" t="s">
        <v>99</v>
      </c>
      <c r="F53" s="205" t="s">
        <v>98</v>
      </c>
    </row>
    <row r="54" s="220" customFormat="true" ht="14.25" hidden="false" customHeight="false" outlineLevel="0" collapsed="false">
      <c r="A54" s="205" t="str">
        <f aca="false">CONCATENATE(F54,",",E54)</f>
        <v>AERO 492,ED4-AERO</v>
      </c>
      <c r="B54" s="205" t="s">
        <v>1033</v>
      </c>
      <c r="C54" s="205" t="s">
        <v>1949</v>
      </c>
      <c r="D54" s="213" t="n">
        <v>61</v>
      </c>
      <c r="E54" s="205" t="s">
        <v>99</v>
      </c>
      <c r="F54" s="205" t="s">
        <v>472</v>
      </c>
    </row>
    <row r="55" s="220" customFormat="true" ht="14.25" hidden="false" customHeight="false" outlineLevel="0" collapsed="false">
      <c r="A55" s="205" t="str">
        <f aca="false">CONCATENATE(F55,",",E55)</f>
        <v>ME 462,ED4-AERO</v>
      </c>
      <c r="B55" s="205" t="s">
        <v>1035</v>
      </c>
      <c r="C55" s="205" t="s">
        <v>1950</v>
      </c>
      <c r="D55" s="213" t="n">
        <v>17</v>
      </c>
      <c r="E55" s="205" t="s">
        <v>99</v>
      </c>
      <c r="F55" s="205" t="s">
        <v>254</v>
      </c>
    </row>
    <row r="56" s="220" customFormat="true" ht="14.25" hidden="false" customHeight="false" outlineLevel="0" collapsed="false">
      <c r="A56" s="205" t="str">
        <f aca="false">CONCATENATE(F56,",",E56)</f>
        <v>ME 468,ED4-AERO</v>
      </c>
      <c r="B56" s="205" t="s">
        <v>1036</v>
      </c>
      <c r="C56" s="205" t="s">
        <v>1768</v>
      </c>
      <c r="D56" s="213" t="n">
        <v>5</v>
      </c>
      <c r="E56" s="205" t="s">
        <v>99</v>
      </c>
      <c r="F56" s="205" t="s">
        <v>407</v>
      </c>
    </row>
    <row r="57" s="220" customFormat="true" ht="14.25" hidden="false" customHeight="false" outlineLevel="0" collapsed="false">
      <c r="A57" s="205" t="str">
        <f aca="false">CONCATENATE(F57,",",E57)</f>
        <v>ME 472,ED4-AERO</v>
      </c>
      <c r="B57" s="205" t="s">
        <v>1037</v>
      </c>
      <c r="C57" s="205" t="s">
        <v>1787</v>
      </c>
      <c r="D57" s="213" t="n">
        <v>52</v>
      </c>
      <c r="E57" s="205" t="s">
        <v>99</v>
      </c>
      <c r="F57" s="205" t="s">
        <v>327</v>
      </c>
    </row>
    <row r="58" s="220" customFormat="true" ht="14.25" hidden="false" customHeight="false" outlineLevel="0" collapsed="false">
      <c r="A58" s="205" t="str">
        <f aca="false">CONCATENATE(F58,",",E58)</f>
        <v>ME 492,ED4-AERO</v>
      </c>
      <c r="B58" s="205" t="s">
        <v>1015</v>
      </c>
      <c r="C58" s="205" t="s">
        <v>1435</v>
      </c>
      <c r="D58" s="213" t="n">
        <v>61</v>
      </c>
      <c r="E58" s="205" t="s">
        <v>99</v>
      </c>
      <c r="F58" s="205" t="s">
        <v>373</v>
      </c>
    </row>
    <row r="59" s="220" customFormat="true" ht="14.25" hidden="false" customHeight="false" outlineLevel="0" collapsed="false">
      <c r="A59" s="205" t="str">
        <f aca="false">CONCATENATE(F59,",",E59)</f>
        <v>IE 458,ED4-AERO</v>
      </c>
      <c r="B59" s="205" t="s">
        <v>1041</v>
      </c>
      <c r="C59" s="205" t="s">
        <v>1438</v>
      </c>
      <c r="D59" s="213" t="n">
        <v>5</v>
      </c>
      <c r="E59" s="205" t="s">
        <v>99</v>
      </c>
      <c r="F59" s="205" t="s">
        <v>427</v>
      </c>
    </row>
    <row r="60" s="220" customFormat="true" ht="14.25" hidden="false" customHeight="false" outlineLevel="0" collapsed="false">
      <c r="A60" s="205" t="str">
        <f aca="false">CONCATENATE(F60,",",E60)</f>
        <v>EE 152,ED1-AUTO</v>
      </c>
      <c r="B60" s="205" t="s">
        <v>990</v>
      </c>
      <c r="C60" s="205" t="s">
        <v>1946</v>
      </c>
      <c r="D60" s="213" t="n">
        <v>85</v>
      </c>
      <c r="E60" s="205" t="s">
        <v>162</v>
      </c>
      <c r="F60" s="205" t="s">
        <v>234</v>
      </c>
    </row>
    <row r="61" s="220" customFormat="true" ht="14.25" hidden="false" customHeight="false" outlineLevel="0" collapsed="false">
      <c r="A61" s="205" t="str">
        <f aca="false">CONCATENATE(F61,",",E61)</f>
        <v>ENGL 158,ED1-AUTO</v>
      </c>
      <c r="B61" s="205" t="s">
        <v>991</v>
      </c>
      <c r="C61" s="205" t="s">
        <v>1630</v>
      </c>
      <c r="D61" s="213" t="n">
        <v>85</v>
      </c>
      <c r="E61" s="205" t="s">
        <v>162</v>
      </c>
      <c r="F61" s="205" t="s">
        <v>364</v>
      </c>
    </row>
    <row r="62" s="220" customFormat="true" ht="14.25" hidden="false" customHeight="false" outlineLevel="0" collapsed="false">
      <c r="A62" s="205" t="str">
        <f aca="false">CONCATENATE(F62,",",E62)</f>
        <v>MATH 152,ED1-AUTO</v>
      </c>
      <c r="B62" s="205" t="s">
        <v>992</v>
      </c>
      <c r="C62" s="205" t="s">
        <v>1951</v>
      </c>
      <c r="D62" s="213" t="n">
        <v>85</v>
      </c>
      <c r="E62" s="205" t="s">
        <v>162</v>
      </c>
      <c r="F62" s="205" t="s">
        <v>129</v>
      </c>
    </row>
    <row r="63" s="220" customFormat="true" ht="14.25" hidden="false" customHeight="false" outlineLevel="0" collapsed="false">
      <c r="A63" s="205" t="str">
        <f aca="false">CONCATENATE(F63,",",E63)</f>
        <v>ME 160,ED1-AUTO</v>
      </c>
      <c r="B63" s="205" t="s">
        <v>993</v>
      </c>
      <c r="C63" s="205" t="s">
        <v>1739</v>
      </c>
      <c r="D63" s="213" t="n">
        <v>85</v>
      </c>
      <c r="E63" s="205" t="s">
        <v>162</v>
      </c>
      <c r="F63" s="205" t="s">
        <v>160</v>
      </c>
    </row>
    <row r="64" s="220" customFormat="true" ht="14.25" hidden="false" customHeight="false" outlineLevel="0" collapsed="false">
      <c r="A64" s="205" t="str">
        <f aca="false">CONCATENATE(F64,",",E64)</f>
        <v>ME 164,ED1-AUTO</v>
      </c>
      <c r="B64" s="205" t="s">
        <v>1018</v>
      </c>
      <c r="C64" s="205" t="s">
        <v>1417</v>
      </c>
      <c r="D64" s="213" t="n">
        <v>85</v>
      </c>
      <c r="E64" s="205" t="s">
        <v>162</v>
      </c>
      <c r="F64" s="205" t="s">
        <v>268</v>
      </c>
    </row>
    <row r="65" s="220" customFormat="true" ht="14.25" hidden="false" customHeight="false" outlineLevel="0" collapsed="false">
      <c r="A65" s="205" t="str">
        <f aca="false">CONCATENATE(F65,",",E65)</f>
        <v>ME 174,ED1-AUTO</v>
      </c>
      <c r="B65" s="205" t="s">
        <v>1043</v>
      </c>
      <c r="C65" s="205" t="s">
        <v>1406</v>
      </c>
      <c r="D65" s="213" t="n">
        <v>85</v>
      </c>
      <c r="E65" s="205" t="s">
        <v>162</v>
      </c>
      <c r="F65" s="205" t="s">
        <v>486</v>
      </c>
    </row>
    <row r="66" s="220" customFormat="true" ht="14.25" hidden="false" customHeight="false" outlineLevel="0" collapsed="false">
      <c r="A66" s="205" t="str">
        <f aca="false">CONCATENATE(F66,",",E66)</f>
        <v>AME 156,ED1-AUTO</v>
      </c>
      <c r="B66" s="205" t="s">
        <v>1952</v>
      </c>
      <c r="C66" s="205" t="s">
        <v>1744</v>
      </c>
      <c r="D66" s="213" t="n">
        <v>85</v>
      </c>
      <c r="E66" s="205" t="s">
        <v>162</v>
      </c>
      <c r="F66" s="205" t="s">
        <v>422</v>
      </c>
    </row>
    <row r="67" s="220" customFormat="true" ht="14.25" hidden="false" customHeight="false" outlineLevel="0" collapsed="false">
      <c r="A67" s="205" t="str">
        <f aca="false">CONCATENATE(F67,",",E67)</f>
        <v>AME 274,ED2-AUTO</v>
      </c>
      <c r="B67" s="205" t="s">
        <v>1953</v>
      </c>
      <c r="C67" s="205" t="s">
        <v>1410</v>
      </c>
      <c r="D67" s="213" t="n">
        <v>82</v>
      </c>
      <c r="E67" s="205" t="s">
        <v>40</v>
      </c>
      <c r="F67" s="205" t="s">
        <v>39</v>
      </c>
    </row>
    <row r="68" s="220" customFormat="true" ht="14.25" hidden="false" customHeight="false" outlineLevel="0" collapsed="false">
      <c r="A68" s="205" t="str">
        <f aca="false">CONCATENATE(F68,",",E68)</f>
        <v>AME 256,ED2-AUTO</v>
      </c>
      <c r="B68" s="205" t="s">
        <v>1056</v>
      </c>
      <c r="C68" s="205" t="s">
        <v>1425</v>
      </c>
      <c r="D68" s="213" t="n">
        <v>82</v>
      </c>
      <c r="E68" s="205" t="s">
        <v>40</v>
      </c>
      <c r="F68" s="205" t="s">
        <v>433</v>
      </c>
    </row>
    <row r="69" s="220" customFormat="true" ht="14.25" hidden="false" customHeight="false" outlineLevel="0" collapsed="false">
      <c r="A69" s="205" t="str">
        <f aca="false">CONCATENATE(F69,",",E69)</f>
        <v>AME 252,ED2-AUTO</v>
      </c>
      <c r="B69" s="205" t="s">
        <v>1046</v>
      </c>
      <c r="C69" s="205" t="s">
        <v>1425</v>
      </c>
      <c r="D69" s="213" t="n">
        <v>82</v>
      </c>
      <c r="E69" s="205" t="s">
        <v>40</v>
      </c>
      <c r="F69" s="205" t="s">
        <v>493</v>
      </c>
    </row>
    <row r="70" s="220" customFormat="true" ht="14.25" hidden="false" customHeight="false" outlineLevel="0" collapsed="false">
      <c r="A70" s="205" t="str">
        <f aca="false">CONCATENATE(F70,",",E70)</f>
        <v>AME 296,ED2-AUTO</v>
      </c>
      <c r="B70" s="205" t="s">
        <v>1048</v>
      </c>
      <c r="C70" s="205" t="s">
        <v>1425</v>
      </c>
      <c r="D70" s="213" t="n">
        <v>82</v>
      </c>
      <c r="E70" s="205" t="s">
        <v>40</v>
      </c>
      <c r="F70" s="205" t="s">
        <v>1049</v>
      </c>
    </row>
    <row r="71" s="220" customFormat="true" ht="14.25" hidden="false" customHeight="false" outlineLevel="0" collapsed="false">
      <c r="A71" s="205" t="str">
        <f aca="false">CONCATENATE(F71,",",E71)</f>
        <v>MATH 252,ED2-AUTO</v>
      </c>
      <c r="B71" s="205" t="s">
        <v>998</v>
      </c>
      <c r="C71" s="205" t="s">
        <v>1729</v>
      </c>
      <c r="D71" s="213" t="n">
        <v>82</v>
      </c>
      <c r="E71" s="205" t="s">
        <v>40</v>
      </c>
      <c r="F71" s="205" t="s">
        <v>281</v>
      </c>
    </row>
    <row r="72" s="220" customFormat="true" ht="14.25" hidden="false" customHeight="false" outlineLevel="0" collapsed="false">
      <c r="A72" s="205" t="str">
        <f aca="false">CONCATENATE(F72,",",E72)</f>
        <v>ME 264,ED2-AUTO</v>
      </c>
      <c r="B72" s="205" t="s">
        <v>1023</v>
      </c>
      <c r="C72" s="205" t="s">
        <v>1755</v>
      </c>
      <c r="D72" s="213" t="n">
        <v>82</v>
      </c>
      <c r="E72" s="205" t="s">
        <v>40</v>
      </c>
      <c r="F72" s="205" t="s">
        <v>151</v>
      </c>
    </row>
    <row r="73" s="220" customFormat="true" ht="14.25" hidden="false" customHeight="false" outlineLevel="0" collapsed="false">
      <c r="A73" s="205" t="str">
        <f aca="false">CONCATENATE(F73,",",E73)</f>
        <v>ME 270,ED2-AUTO</v>
      </c>
      <c r="B73" s="205" t="s">
        <v>1052</v>
      </c>
      <c r="C73" s="205" t="s">
        <v>1742</v>
      </c>
      <c r="D73" s="213" t="n">
        <v>82</v>
      </c>
      <c r="E73" s="205" t="s">
        <v>40</v>
      </c>
      <c r="F73" s="205" t="s">
        <v>337</v>
      </c>
    </row>
    <row r="74" s="220" customFormat="true" ht="14.25" hidden="false" customHeight="false" outlineLevel="0" collapsed="false">
      <c r="A74" s="205" t="str">
        <f aca="false">CONCATENATE(F74,",",E74)</f>
        <v>AME 356,ED3-AUTO</v>
      </c>
      <c r="B74" s="205" t="s">
        <v>1053</v>
      </c>
      <c r="C74" s="205" t="s">
        <v>1425</v>
      </c>
      <c r="D74" s="213" t="n">
        <v>40</v>
      </c>
      <c r="E74" s="205" t="s">
        <v>23</v>
      </c>
      <c r="F74" s="205" t="s">
        <v>316</v>
      </c>
    </row>
    <row r="75" s="220" customFormat="true" ht="14.25" hidden="false" customHeight="false" outlineLevel="0" collapsed="false">
      <c r="A75" s="205" t="str">
        <f aca="false">CONCATENATE(F75,",",E75)</f>
        <v>AME 362,ED3-AUTO</v>
      </c>
      <c r="B75" s="205" t="s">
        <v>1054</v>
      </c>
      <c r="C75" s="205" t="s">
        <v>1429</v>
      </c>
      <c r="D75" s="213" t="n">
        <v>40</v>
      </c>
      <c r="E75" s="205" t="s">
        <v>23</v>
      </c>
      <c r="F75" s="205" t="s">
        <v>521</v>
      </c>
    </row>
    <row r="76" s="220" customFormat="true" ht="14.25" hidden="false" customHeight="false" outlineLevel="0" collapsed="false">
      <c r="A76" s="205" t="str">
        <f aca="false">CONCATENATE(F76,",",E76)</f>
        <v>AME 368,ED3-AUTO</v>
      </c>
      <c r="B76" s="205" t="s">
        <v>1055</v>
      </c>
      <c r="C76" s="205" t="s">
        <v>1431</v>
      </c>
      <c r="D76" s="213" t="n">
        <v>40</v>
      </c>
      <c r="E76" s="205" t="s">
        <v>23</v>
      </c>
      <c r="F76" s="205" t="s">
        <v>165</v>
      </c>
    </row>
    <row r="77" s="220" customFormat="true" ht="14.25" hidden="false" customHeight="false" outlineLevel="0" collapsed="false">
      <c r="A77" s="205" t="str">
        <f aca="false">CONCATENATE(F77,",",E77)</f>
        <v>AME 376,ED3-AUTO</v>
      </c>
      <c r="B77" s="205" t="s">
        <v>1056</v>
      </c>
      <c r="C77" s="205" t="s">
        <v>1425</v>
      </c>
      <c r="D77" s="213" t="n">
        <v>40</v>
      </c>
      <c r="E77" s="205" t="s">
        <v>23</v>
      </c>
      <c r="F77" s="205" t="s">
        <v>22</v>
      </c>
    </row>
    <row r="78" s="220" customFormat="true" ht="14.25" hidden="false" customHeight="false" outlineLevel="0" collapsed="false">
      <c r="A78" s="205" t="str">
        <f aca="false">CONCATENATE(F78,",",E78)</f>
        <v>AME 384,ED3-AUTO</v>
      </c>
      <c r="B78" s="205" t="s">
        <v>1050</v>
      </c>
      <c r="C78" s="205" t="s">
        <v>1737</v>
      </c>
      <c r="D78" s="213" t="n">
        <v>40</v>
      </c>
      <c r="E78" s="205" t="s">
        <v>23</v>
      </c>
      <c r="F78" s="205" t="s">
        <v>279</v>
      </c>
    </row>
    <row r="79" s="220" customFormat="true" ht="14.25" hidden="false" customHeight="false" outlineLevel="0" collapsed="false">
      <c r="A79" s="205" t="str">
        <f aca="false">CONCATENATE(F79,",",E79)</f>
        <v>AME 386,ED3-AUTO</v>
      </c>
      <c r="B79" s="205" t="s">
        <v>1057</v>
      </c>
      <c r="C79" s="205" t="s">
        <v>1431</v>
      </c>
      <c r="D79" s="213" t="n">
        <v>40</v>
      </c>
      <c r="E79" s="205" t="s">
        <v>23</v>
      </c>
      <c r="F79" s="205" t="s">
        <v>443</v>
      </c>
    </row>
    <row r="80" s="220" customFormat="true" ht="14.25" hidden="false" customHeight="false" outlineLevel="0" collapsed="false">
      <c r="A80" s="205" t="str">
        <f aca="false">CONCATENATE(F80,",",E80)</f>
        <v>AME 392,ED3-AUTO</v>
      </c>
      <c r="B80" s="205" t="s">
        <v>1030</v>
      </c>
      <c r="C80" s="205" t="s">
        <v>1435</v>
      </c>
      <c r="D80" s="213" t="n">
        <v>40</v>
      </c>
      <c r="E80" s="205" t="s">
        <v>23</v>
      </c>
      <c r="F80" s="205" t="s">
        <v>241</v>
      </c>
    </row>
    <row r="81" s="220" customFormat="true" ht="14.25" hidden="false" customHeight="false" outlineLevel="0" collapsed="false">
      <c r="A81" s="205" t="str">
        <f aca="false">CONCATENATE(F81,",",E81)</f>
        <v>AME 396,ED3-AUTO</v>
      </c>
      <c r="B81" s="205" t="s">
        <v>1058</v>
      </c>
      <c r="C81" s="205" t="s">
        <v>1425</v>
      </c>
      <c r="D81" s="213" t="n">
        <v>40</v>
      </c>
      <c r="E81" s="205" t="s">
        <v>23</v>
      </c>
      <c r="F81" s="205" t="s">
        <v>1059</v>
      </c>
    </row>
    <row r="82" s="220" customFormat="true" ht="14.25" hidden="false" customHeight="false" outlineLevel="0" collapsed="false">
      <c r="A82" s="205" t="str">
        <f aca="false">CONCATENATE(F82,",",E82)</f>
        <v>AME 476,ED4-AUTO</v>
      </c>
      <c r="B82" s="205" t="s">
        <v>1061</v>
      </c>
      <c r="C82" s="205" t="s">
        <v>1425</v>
      </c>
      <c r="D82" s="213" t="n">
        <v>32</v>
      </c>
      <c r="E82" s="205" t="s">
        <v>97</v>
      </c>
      <c r="F82" s="205" t="s">
        <v>257</v>
      </c>
    </row>
    <row r="83" s="220" customFormat="true" ht="14.25" hidden="false" customHeight="false" outlineLevel="0" collapsed="false">
      <c r="A83" s="205" t="str">
        <f aca="false">CONCATENATE(F83,",",E83)</f>
        <v>AME 482,ED4-AUTO</v>
      </c>
      <c r="B83" s="205" t="s">
        <v>1062</v>
      </c>
      <c r="C83" s="205" t="s">
        <v>1425</v>
      </c>
      <c r="D83" s="213" t="n">
        <v>32</v>
      </c>
      <c r="E83" s="205" t="s">
        <v>97</v>
      </c>
      <c r="F83" s="205" t="s">
        <v>96</v>
      </c>
    </row>
    <row r="84" s="220" customFormat="true" ht="14.25" hidden="false" customHeight="false" outlineLevel="0" collapsed="false">
      <c r="A84" s="205" t="str">
        <f aca="false">CONCATENATE(F84,",",E84)</f>
        <v>AME 496,ED4-AUTO</v>
      </c>
      <c r="B84" s="205" t="s">
        <v>1063</v>
      </c>
      <c r="C84" s="205" t="s">
        <v>1431</v>
      </c>
      <c r="D84" s="213" t="n">
        <v>32</v>
      </c>
      <c r="E84" s="205" t="s">
        <v>97</v>
      </c>
      <c r="F84" s="205" t="s">
        <v>446</v>
      </c>
    </row>
    <row r="85" s="220" customFormat="true" ht="14.25" hidden="false" customHeight="false" outlineLevel="0" collapsed="false">
      <c r="A85" s="205" t="str">
        <f aca="false">CONCATENATE(F85,",",E85)</f>
        <v>AME 498,ED4-AUTO</v>
      </c>
      <c r="B85" s="205" t="s">
        <v>1064</v>
      </c>
      <c r="C85" s="205"/>
      <c r="D85" s="213" t="n">
        <v>32</v>
      </c>
      <c r="E85" s="205" t="s">
        <v>97</v>
      </c>
      <c r="F85" s="205" t="s">
        <v>1065</v>
      </c>
    </row>
    <row r="86" s="220" customFormat="true" ht="14.25" hidden="false" customHeight="false" outlineLevel="0" collapsed="false">
      <c r="A86" s="205" t="str">
        <f aca="false">CONCATENATE(F86,",",E86)</f>
        <v>ME 456,ED4-AUTO</v>
      </c>
      <c r="B86" s="205" t="s">
        <v>1034</v>
      </c>
      <c r="C86" s="205" t="s">
        <v>1410</v>
      </c>
      <c r="D86" s="213" t="n">
        <v>32</v>
      </c>
      <c r="E86" s="205" t="s">
        <v>97</v>
      </c>
      <c r="F86" s="205" t="s">
        <v>183</v>
      </c>
    </row>
    <row r="87" s="220" customFormat="true" ht="14.25" hidden="false" customHeight="false" outlineLevel="0" collapsed="false">
      <c r="A87" s="205" t="str">
        <f aca="false">CONCATENATE(F87,",",E87)</f>
        <v>ME 492,ED4-AUTO</v>
      </c>
      <c r="B87" s="205" t="s">
        <v>1015</v>
      </c>
      <c r="C87" s="205" t="s">
        <v>1435</v>
      </c>
      <c r="D87" s="213" t="n">
        <v>32</v>
      </c>
      <c r="E87" s="205" t="s">
        <v>97</v>
      </c>
      <c r="F87" s="205" t="s">
        <v>373</v>
      </c>
    </row>
    <row r="88" s="220" customFormat="true" ht="14.25" hidden="false" customHeight="false" outlineLevel="0" collapsed="false">
      <c r="A88" s="205" t="str">
        <f aca="false">CONCATENATE(F88,",",E88)</f>
        <v>COE 152,ED1-BME</v>
      </c>
      <c r="B88" s="205" t="s">
        <v>990</v>
      </c>
      <c r="C88" s="205" t="s">
        <v>1445</v>
      </c>
      <c r="D88" s="213" t="n">
        <v>136</v>
      </c>
      <c r="E88" s="205" t="s">
        <v>130</v>
      </c>
      <c r="F88" s="205" t="s">
        <v>260</v>
      </c>
    </row>
    <row r="89" s="220" customFormat="true" ht="14.25" hidden="false" customHeight="false" outlineLevel="0" collapsed="false">
      <c r="A89" s="205" t="str">
        <f aca="false">CONCATENATE(F89,",",E89)</f>
        <v>ENGL 158,ED1-BME</v>
      </c>
      <c r="B89" s="205" t="s">
        <v>991</v>
      </c>
      <c r="C89" s="205" t="s">
        <v>1629</v>
      </c>
      <c r="D89" s="213" t="n">
        <v>136</v>
      </c>
      <c r="E89" s="205" t="s">
        <v>130</v>
      </c>
      <c r="F89" s="205" t="s">
        <v>364</v>
      </c>
    </row>
    <row r="90" s="220" customFormat="true" ht="14.25" hidden="false" customHeight="false" outlineLevel="0" collapsed="false">
      <c r="A90" s="205" t="str">
        <f aca="false">CONCATENATE(F90,",",E90)</f>
        <v>MATH 152,ED1-BME</v>
      </c>
      <c r="B90" s="205" t="s">
        <v>992</v>
      </c>
      <c r="C90" s="205" t="s">
        <v>1720</v>
      </c>
      <c r="D90" s="213" t="n">
        <v>136</v>
      </c>
      <c r="E90" s="205" t="s">
        <v>130</v>
      </c>
      <c r="F90" s="205" t="s">
        <v>129</v>
      </c>
    </row>
    <row r="91" s="220" customFormat="true" ht="14.25" hidden="false" customHeight="false" outlineLevel="0" collapsed="false">
      <c r="A91" s="205" t="str">
        <f aca="false">CONCATENATE(F91,",",E91)</f>
        <v>PHY 154,ED1-BME</v>
      </c>
      <c r="B91" s="205" t="s">
        <v>1068</v>
      </c>
      <c r="C91" s="205" t="s">
        <v>1954</v>
      </c>
      <c r="D91" s="213" t="n">
        <v>136</v>
      </c>
      <c r="E91" s="205" t="s">
        <v>130</v>
      </c>
      <c r="F91" s="205" t="s">
        <v>313</v>
      </c>
    </row>
    <row r="92" s="220" customFormat="true" ht="14.25" hidden="false" customHeight="false" outlineLevel="0" collapsed="false">
      <c r="A92" s="205" t="str">
        <f aca="false">CONCATENATE(F92,",",E92)</f>
        <v>SOC 152,ED1-BME</v>
      </c>
      <c r="B92" s="205" t="s">
        <v>1071</v>
      </c>
      <c r="C92" s="205" t="s">
        <v>1955</v>
      </c>
      <c r="D92" s="213" t="n">
        <v>136</v>
      </c>
      <c r="E92" s="205" t="s">
        <v>130</v>
      </c>
      <c r="F92" s="205" t="s">
        <v>197</v>
      </c>
    </row>
    <row r="93" s="220" customFormat="true" ht="14.25" hidden="false" customHeight="false" outlineLevel="0" collapsed="false">
      <c r="A93" s="205" t="str">
        <f aca="false">CONCATENATE(F93,",",E93)</f>
        <v>BME 166,ED1-BME</v>
      </c>
      <c r="B93" s="205" t="s">
        <v>1074</v>
      </c>
      <c r="C93" s="205" t="s">
        <v>1556</v>
      </c>
      <c r="D93" s="213" t="n">
        <v>136</v>
      </c>
      <c r="E93" s="205" t="s">
        <v>130</v>
      </c>
      <c r="F93" s="205" t="s">
        <v>520</v>
      </c>
    </row>
    <row r="94" s="220" customFormat="true" ht="14.25" hidden="false" customHeight="false" outlineLevel="0" collapsed="false">
      <c r="A94" s="205" t="str">
        <f aca="false">CONCATENATE(F94,",",E94)</f>
        <v>ME 166,ED1-BME</v>
      </c>
      <c r="B94" s="205" t="s">
        <v>1956</v>
      </c>
      <c r="C94" s="205" t="s">
        <v>1746</v>
      </c>
      <c r="D94" s="213" t="n">
        <v>136</v>
      </c>
      <c r="E94" s="205" t="s">
        <v>130</v>
      </c>
      <c r="F94" s="205" t="s">
        <v>421</v>
      </c>
    </row>
    <row r="95" s="220" customFormat="true" ht="14.25" hidden="false" customHeight="false" outlineLevel="0" collapsed="false">
      <c r="A95" s="205" t="str">
        <f aca="false">CONCATENATE(F95,",",E95)</f>
        <v>ACF 256,ED2-BME</v>
      </c>
      <c r="B95" s="205" t="s">
        <v>1076</v>
      </c>
      <c r="C95" s="205" t="s">
        <v>1379</v>
      </c>
      <c r="D95" s="213" t="n">
        <v>18</v>
      </c>
      <c r="E95" s="205" t="s">
        <v>109</v>
      </c>
      <c r="F95" s="205" t="s">
        <v>424</v>
      </c>
    </row>
    <row r="96" s="220" customFormat="true" ht="14.25" hidden="false" customHeight="false" outlineLevel="0" collapsed="false">
      <c r="A96" s="205" t="str">
        <f aca="false">CONCATENATE(F96,",",E96)</f>
        <v>BME 286,ED2-BME</v>
      </c>
      <c r="B96" s="205" t="s">
        <v>1079</v>
      </c>
      <c r="C96" s="205" t="s">
        <v>1447</v>
      </c>
      <c r="D96" s="213" t="n">
        <v>80</v>
      </c>
      <c r="E96" s="205" t="s">
        <v>109</v>
      </c>
      <c r="F96" s="205" t="s">
        <v>522</v>
      </c>
    </row>
    <row r="97" s="220" customFormat="true" ht="14.25" hidden="false" customHeight="false" outlineLevel="0" collapsed="false">
      <c r="A97" s="205" t="str">
        <f aca="false">CONCATENATE(F97,",",E97)</f>
        <v>COE 288,ED2-BME</v>
      </c>
      <c r="B97" s="205" t="s">
        <v>1154</v>
      </c>
      <c r="C97" s="205" t="s">
        <v>1565</v>
      </c>
      <c r="D97" s="213" t="n">
        <v>80</v>
      </c>
      <c r="E97" s="205" t="s">
        <v>109</v>
      </c>
      <c r="F97" s="205" t="s">
        <v>202</v>
      </c>
    </row>
    <row r="98" s="220" customFormat="true" ht="14.25" hidden="false" customHeight="false" outlineLevel="0" collapsed="false">
      <c r="A98" s="205" t="str">
        <f aca="false">CONCATENATE(F98,",",E98)</f>
        <v>COE 254,ED2-BME</v>
      </c>
      <c r="B98" s="205" t="s">
        <v>1082</v>
      </c>
      <c r="C98" s="205" t="s">
        <v>1561</v>
      </c>
      <c r="D98" s="213" t="n">
        <v>80</v>
      </c>
      <c r="E98" s="205" t="s">
        <v>109</v>
      </c>
      <c r="F98" s="205" t="s">
        <v>107</v>
      </c>
    </row>
    <row r="99" s="220" customFormat="true" ht="14.25" hidden="false" customHeight="false" outlineLevel="0" collapsed="false">
      <c r="A99" s="205" t="str">
        <f aca="false">CONCATENATE(F99,",",E99)</f>
        <v>COE 272,ED2-BME</v>
      </c>
      <c r="B99" s="205" t="s">
        <v>1083</v>
      </c>
      <c r="C99" s="205" t="s">
        <v>1563</v>
      </c>
      <c r="D99" s="213" t="n">
        <v>80</v>
      </c>
      <c r="E99" s="205" t="s">
        <v>109</v>
      </c>
      <c r="F99" s="205" t="s">
        <v>377</v>
      </c>
    </row>
    <row r="100" s="220" customFormat="true" ht="14.25" hidden="false" customHeight="false" outlineLevel="0" collapsed="false">
      <c r="A100" s="205" t="str">
        <f aca="false">CONCATENATE(F100,",",E100)</f>
        <v>ECON 152,ED2-BME</v>
      </c>
      <c r="B100" s="205" t="s">
        <v>1084</v>
      </c>
      <c r="C100" s="205" t="s">
        <v>1957</v>
      </c>
      <c r="D100" s="213" t="n">
        <v>20</v>
      </c>
      <c r="E100" s="205" t="s">
        <v>109</v>
      </c>
      <c r="F100" s="205" t="s">
        <v>406</v>
      </c>
    </row>
    <row r="101" s="220" customFormat="true" ht="14.25" hidden="false" customHeight="false" outlineLevel="0" collapsed="false">
      <c r="A101" s="205" t="str">
        <f aca="false">CONCATENATE(F101,",",E101)</f>
        <v>FC 182,ED2-BME</v>
      </c>
      <c r="B101" s="205" t="s">
        <v>1085</v>
      </c>
      <c r="C101" s="205" t="s">
        <v>1637</v>
      </c>
      <c r="D101" s="213" t="n">
        <v>43</v>
      </c>
      <c r="E101" s="205" t="s">
        <v>109</v>
      </c>
      <c r="F101" s="205" t="s">
        <v>245</v>
      </c>
    </row>
    <row r="102" s="220" customFormat="true" ht="14.25" hidden="false" customHeight="false" outlineLevel="0" collapsed="false">
      <c r="A102" s="205" t="str">
        <f aca="false">CONCATENATE(F102,",",E102)</f>
        <v>MATH 252,ED2-BME</v>
      </c>
      <c r="B102" s="205" t="s">
        <v>998</v>
      </c>
      <c r="C102" s="205" t="s">
        <v>1729</v>
      </c>
      <c r="D102" s="213" t="n">
        <v>80</v>
      </c>
      <c r="E102" s="205" t="s">
        <v>109</v>
      </c>
      <c r="F102" s="205" t="s">
        <v>281</v>
      </c>
    </row>
    <row r="103" s="220" customFormat="true" ht="14.25" hidden="false" customHeight="false" outlineLevel="0" collapsed="false">
      <c r="A103" s="205" t="str">
        <f aca="false">CONCATENATE(F103,",",E103)</f>
        <v>MSE 154,ED2-BME</v>
      </c>
      <c r="B103" s="205" t="s">
        <v>1958</v>
      </c>
      <c r="C103" s="205" t="s">
        <v>1797</v>
      </c>
      <c r="D103" s="213" t="n">
        <v>80</v>
      </c>
      <c r="E103" s="205" t="s">
        <v>109</v>
      </c>
      <c r="F103" s="205" t="s">
        <v>113</v>
      </c>
    </row>
    <row r="104" s="220" customFormat="true" ht="14.25" hidden="false" customHeight="false" outlineLevel="0" collapsed="false">
      <c r="A104" s="205" t="str">
        <f aca="false">CONCATENATE(F104,",",E104)</f>
        <v>BME 362,ED3-BME</v>
      </c>
      <c r="B104" s="205" t="s">
        <v>1086</v>
      </c>
      <c r="C104" s="205" t="s">
        <v>1451</v>
      </c>
      <c r="D104" s="213" t="n">
        <v>90</v>
      </c>
      <c r="E104" s="205" t="s">
        <v>65</v>
      </c>
      <c r="F104" s="205" t="s">
        <v>428</v>
      </c>
    </row>
    <row r="105" s="220" customFormat="true" ht="14.25" hidden="false" customHeight="false" outlineLevel="0" collapsed="false">
      <c r="A105" s="205" t="str">
        <f aca="false">CONCATENATE(F105,",",E105)</f>
        <v>BME 364,ED3-BME</v>
      </c>
      <c r="B105" s="205" t="s">
        <v>1087</v>
      </c>
      <c r="C105" s="205" t="s">
        <v>1453</v>
      </c>
      <c r="D105" s="213" t="n">
        <v>90</v>
      </c>
      <c r="E105" s="205" t="s">
        <v>65</v>
      </c>
      <c r="F105" s="205" t="s">
        <v>330</v>
      </c>
    </row>
    <row r="106" s="220" customFormat="true" ht="14.25" hidden="false" customHeight="false" outlineLevel="0" collapsed="false">
      <c r="A106" s="205" t="str">
        <f aca="false">CONCATENATE(F106,",",E106)</f>
        <v>BME 366,ED3-BME</v>
      </c>
      <c r="B106" s="205" t="s">
        <v>1088</v>
      </c>
      <c r="C106" s="205" t="s">
        <v>1455</v>
      </c>
      <c r="D106" s="213" t="n">
        <v>90</v>
      </c>
      <c r="E106" s="205" t="s">
        <v>65</v>
      </c>
      <c r="F106" s="205" t="s">
        <v>368</v>
      </c>
    </row>
    <row r="107" s="220" customFormat="true" ht="14.25" hidden="false" customHeight="false" outlineLevel="0" collapsed="false">
      <c r="A107" s="205" t="str">
        <f aca="false">CONCATENATE(F107,",",E107)</f>
        <v>BME 372,ED3-BME</v>
      </c>
      <c r="B107" s="205" t="s">
        <v>1089</v>
      </c>
      <c r="C107" s="205" t="s">
        <v>1457</v>
      </c>
      <c r="D107" s="213" t="n">
        <v>90</v>
      </c>
      <c r="E107" s="205" t="s">
        <v>65</v>
      </c>
      <c r="F107" s="205" t="s">
        <v>64</v>
      </c>
    </row>
    <row r="108" s="220" customFormat="true" ht="14.25" hidden="false" customHeight="false" outlineLevel="0" collapsed="false">
      <c r="A108" s="205" t="str">
        <f aca="false">CONCATENATE(F108,",",E108)</f>
        <v>BME 374,ED3-BME</v>
      </c>
      <c r="B108" s="205" t="s">
        <v>1090</v>
      </c>
      <c r="C108" s="205" t="s">
        <v>1453</v>
      </c>
      <c r="D108" s="213" t="n">
        <v>90</v>
      </c>
      <c r="E108" s="205" t="s">
        <v>65</v>
      </c>
      <c r="F108" s="205" t="s">
        <v>503</v>
      </c>
    </row>
    <row r="109" s="220" customFormat="true" ht="14.25" hidden="false" customHeight="false" outlineLevel="0" collapsed="false">
      <c r="A109" s="205" t="str">
        <f aca="false">CONCATENATE(F109,",",E109)</f>
        <v>COE 358,ED3-BME</v>
      </c>
      <c r="B109" s="205" t="s">
        <v>1091</v>
      </c>
      <c r="C109" s="205" t="s">
        <v>1567</v>
      </c>
      <c r="D109" s="213" t="n">
        <v>90</v>
      </c>
      <c r="E109" s="205" t="s">
        <v>65</v>
      </c>
      <c r="F109" s="205" t="s">
        <v>259</v>
      </c>
    </row>
    <row r="110" s="220" customFormat="true" ht="14.25" hidden="false" customHeight="false" outlineLevel="0" collapsed="false">
      <c r="A110" s="205" t="str">
        <f aca="false">CONCATENATE(F110,",",E110)</f>
        <v>BME 454,ED4-BME</v>
      </c>
      <c r="B110" s="205" t="s">
        <v>1092</v>
      </c>
      <c r="C110" s="205" t="s">
        <v>1457</v>
      </c>
      <c r="D110" s="213" t="n">
        <v>87</v>
      </c>
      <c r="E110" s="205" t="s">
        <v>252</v>
      </c>
      <c r="F110" s="205" t="s">
        <v>320</v>
      </c>
    </row>
    <row r="111" s="220" customFormat="true" ht="14.25" hidden="false" customHeight="false" outlineLevel="0" collapsed="false">
      <c r="A111" s="205" t="str">
        <f aca="false">CONCATENATE(F111,",",E111)</f>
        <v>BME 462,ED4-BME</v>
      </c>
      <c r="B111" s="205" t="s">
        <v>1093</v>
      </c>
      <c r="C111" s="205" t="s">
        <v>1451</v>
      </c>
      <c r="D111" s="213" t="n">
        <v>87</v>
      </c>
      <c r="E111" s="205" t="s">
        <v>252</v>
      </c>
      <c r="F111" s="205" t="s">
        <v>411</v>
      </c>
    </row>
    <row r="112" s="220" customFormat="true" ht="14.25" hidden="false" customHeight="false" outlineLevel="0" collapsed="false">
      <c r="A112" s="205" t="str">
        <f aca="false">CONCATENATE(F112,",",E112)</f>
        <v>COE 472,ED4-BME</v>
      </c>
      <c r="B112" s="205" t="s">
        <v>1094</v>
      </c>
      <c r="C112" s="205" t="s">
        <v>1455</v>
      </c>
      <c r="D112" s="213" t="n">
        <v>87</v>
      </c>
      <c r="E112" s="205" t="s">
        <v>252</v>
      </c>
      <c r="F112" s="205" t="s">
        <v>250</v>
      </c>
    </row>
    <row r="113" s="220" customFormat="true" ht="14.25" hidden="false" customHeight="false" outlineLevel="0" collapsed="false">
      <c r="A113" s="205" t="str">
        <f aca="false">CONCATENATE(F113,",",E113)</f>
        <v>ME 492,ED4-BME</v>
      </c>
      <c r="B113" s="205" t="s">
        <v>1095</v>
      </c>
      <c r="C113" s="205" t="s">
        <v>1388</v>
      </c>
      <c r="D113" s="213" t="n">
        <v>87</v>
      </c>
      <c r="E113" s="205" t="s">
        <v>252</v>
      </c>
      <c r="F113" s="205" t="s">
        <v>373</v>
      </c>
    </row>
    <row r="114" s="220" customFormat="true" ht="14.25" hidden="false" customHeight="false" outlineLevel="0" collapsed="false">
      <c r="A114" s="205" t="str">
        <f aca="false">CONCATENATE(F114,",",E114)</f>
        <v>ARC 156,ED1-CE</v>
      </c>
      <c r="B114" s="205" t="s">
        <v>1096</v>
      </c>
      <c r="C114" s="205" t="s">
        <v>1443</v>
      </c>
      <c r="D114" s="213" t="n">
        <v>55</v>
      </c>
      <c r="E114" s="205" t="s">
        <v>75</v>
      </c>
      <c r="F114" s="205" t="s">
        <v>89</v>
      </c>
    </row>
    <row r="115" s="220" customFormat="true" ht="14.25" hidden="false" customHeight="false" outlineLevel="0" collapsed="false">
      <c r="A115" s="205" t="str">
        <f aca="false">CONCATENATE(F115,",",E115)</f>
        <v>CE 154,ED1-CE</v>
      </c>
      <c r="B115" s="205" t="s">
        <v>1097</v>
      </c>
      <c r="C115" s="205" t="s">
        <v>1470</v>
      </c>
      <c r="D115" s="213" t="n">
        <v>245</v>
      </c>
      <c r="E115" s="205" t="s">
        <v>75</v>
      </c>
      <c r="F115" s="205" t="s">
        <v>74</v>
      </c>
    </row>
    <row r="116" s="220" customFormat="true" ht="14.25" hidden="false" customHeight="false" outlineLevel="0" collapsed="false">
      <c r="A116" s="205" t="str">
        <f aca="false">CONCATENATE(F116,",",E116)</f>
        <v>CE 156,ED1-CE</v>
      </c>
      <c r="B116" s="205" t="s">
        <v>1098</v>
      </c>
      <c r="C116" s="205" t="s">
        <v>1464</v>
      </c>
      <c r="D116" s="213" t="n">
        <v>245</v>
      </c>
      <c r="E116" s="205" t="s">
        <v>75</v>
      </c>
      <c r="F116" s="205" t="s">
        <v>461</v>
      </c>
    </row>
    <row r="117" s="220" customFormat="true" ht="14.25" hidden="false" customHeight="false" outlineLevel="0" collapsed="false">
      <c r="A117" s="205" t="str">
        <f aca="false">CONCATENATE(F117,",",E117)</f>
        <v>CE 164,ED1-CE</v>
      </c>
      <c r="B117" s="205" t="s">
        <v>1099</v>
      </c>
      <c r="C117" s="205" t="s">
        <v>1466</v>
      </c>
      <c r="D117" s="213" t="n">
        <v>245</v>
      </c>
      <c r="E117" s="205" t="s">
        <v>75</v>
      </c>
      <c r="F117" s="205" t="s">
        <v>182</v>
      </c>
    </row>
    <row r="118" s="220" customFormat="true" ht="14.25" hidden="false" customHeight="false" outlineLevel="0" collapsed="false">
      <c r="A118" s="205" t="str">
        <f aca="false">CONCATENATE(F118,",",E118)</f>
        <v>ECON 152,ED1-CE</v>
      </c>
      <c r="B118" s="205" t="s">
        <v>1100</v>
      </c>
      <c r="C118" s="205" t="s">
        <v>1594</v>
      </c>
      <c r="D118" s="213" t="n">
        <v>32</v>
      </c>
      <c r="E118" s="205" t="s">
        <v>75</v>
      </c>
      <c r="F118" s="205" t="s">
        <v>406</v>
      </c>
    </row>
    <row r="119" s="220" customFormat="true" ht="14.25" hidden="false" customHeight="false" outlineLevel="0" collapsed="false">
      <c r="A119" s="205" t="str">
        <f aca="false">CONCATENATE(F119,",",E119)</f>
        <v>EE 152,ED1-CE</v>
      </c>
      <c r="B119" s="205" t="s">
        <v>990</v>
      </c>
      <c r="C119" s="205" t="s">
        <v>1599</v>
      </c>
      <c r="D119" s="213" t="n">
        <v>245</v>
      </c>
      <c r="E119" s="205" t="s">
        <v>75</v>
      </c>
      <c r="F119" s="205" t="s">
        <v>234</v>
      </c>
    </row>
    <row r="120" s="220" customFormat="true" ht="14.25" hidden="false" customHeight="false" outlineLevel="0" collapsed="false">
      <c r="A120" s="205" t="str">
        <f aca="false">CONCATENATE(F120,",",E120)</f>
        <v>ENGL 158,ED1-CE</v>
      </c>
      <c r="B120" s="205" t="s">
        <v>991</v>
      </c>
      <c r="C120" s="205" t="s">
        <v>1959</v>
      </c>
      <c r="D120" s="213" t="n">
        <v>245</v>
      </c>
      <c r="E120" s="205" t="s">
        <v>75</v>
      </c>
      <c r="F120" s="205" t="s">
        <v>364</v>
      </c>
    </row>
    <row r="121" s="220" customFormat="true" ht="14.25" hidden="false" customHeight="false" outlineLevel="0" collapsed="false">
      <c r="A121" s="205" t="str">
        <f aca="false">CONCATENATE(F121,",",E121)</f>
        <v>FC 182,ED1-CE</v>
      </c>
      <c r="B121" s="205" t="s">
        <v>1085</v>
      </c>
      <c r="C121" s="205" t="s">
        <v>1638</v>
      </c>
      <c r="D121" s="213" t="n">
        <v>160</v>
      </c>
      <c r="E121" s="205" t="s">
        <v>75</v>
      </c>
      <c r="F121" s="205" t="s">
        <v>245</v>
      </c>
    </row>
    <row r="122" s="220" customFormat="true" ht="14.25" hidden="false" customHeight="false" outlineLevel="0" collapsed="false">
      <c r="A122" s="205" t="str">
        <f aca="false">CONCATENATE(F122,",",E122)</f>
        <v>MATH 152,ED1-CE</v>
      </c>
      <c r="B122" s="205" t="s">
        <v>992</v>
      </c>
      <c r="C122" s="205" t="s">
        <v>1720</v>
      </c>
      <c r="D122" s="213" t="n">
        <v>245</v>
      </c>
      <c r="E122" s="205" t="s">
        <v>75</v>
      </c>
      <c r="F122" s="205" t="s">
        <v>129</v>
      </c>
    </row>
    <row r="123" s="220" customFormat="true" ht="14.25" hidden="false" customHeight="false" outlineLevel="0" collapsed="false">
      <c r="A123" s="205" t="str">
        <f aca="false">CONCATENATE(F123,",",E123)</f>
        <v>CE 256,ED2-CE</v>
      </c>
      <c r="B123" s="205" t="s">
        <v>1101</v>
      </c>
      <c r="C123" s="205" t="s">
        <v>1468</v>
      </c>
      <c r="D123" s="213" t="n">
        <v>250</v>
      </c>
      <c r="E123" s="205" t="s">
        <v>56</v>
      </c>
      <c r="F123" s="205" t="s">
        <v>54</v>
      </c>
    </row>
    <row r="124" s="220" customFormat="true" ht="14.25" hidden="false" customHeight="false" outlineLevel="0" collapsed="false">
      <c r="A124" s="205" t="str">
        <f aca="false">CONCATENATE(F124,",",E124)</f>
        <v>CE 258,ED2-CE</v>
      </c>
      <c r="B124" s="205" t="s">
        <v>1102</v>
      </c>
      <c r="C124" s="205" t="s">
        <v>1470</v>
      </c>
      <c r="D124" s="213" t="n">
        <v>250</v>
      </c>
      <c r="E124" s="205" t="s">
        <v>56</v>
      </c>
      <c r="F124" s="205" t="s">
        <v>215</v>
      </c>
    </row>
    <row r="125" s="220" customFormat="true" ht="14.25" hidden="false" customHeight="false" outlineLevel="0" collapsed="false">
      <c r="A125" s="205" t="str">
        <f aca="false">CONCATENATE(F125,",",E125)</f>
        <v>CE 260,ED2-CE</v>
      </c>
      <c r="B125" s="205" t="s">
        <v>1103</v>
      </c>
      <c r="C125" s="205" t="s">
        <v>1960</v>
      </c>
      <c r="D125" s="213" t="n">
        <v>250</v>
      </c>
      <c r="E125" s="205" t="s">
        <v>56</v>
      </c>
      <c r="F125" s="205" t="s">
        <v>367</v>
      </c>
    </row>
    <row r="126" s="220" customFormat="true" ht="14.25" hidden="false" customHeight="false" outlineLevel="0" collapsed="false">
      <c r="A126" s="205" t="str">
        <f aca="false">CONCATENATE(F126,",",E126)</f>
        <v>CE 262,ED2-CE</v>
      </c>
      <c r="B126" s="205" t="s">
        <v>1104</v>
      </c>
      <c r="C126" s="205" t="s">
        <v>1475</v>
      </c>
      <c r="D126" s="213" t="n">
        <v>250</v>
      </c>
      <c r="E126" s="205" t="s">
        <v>56</v>
      </c>
      <c r="F126" s="205" t="s">
        <v>138</v>
      </c>
    </row>
    <row r="127" s="220" customFormat="true" ht="14.25" hidden="false" customHeight="false" outlineLevel="0" collapsed="false">
      <c r="A127" s="205" t="str">
        <f aca="false">CONCATENATE(F127,",",E127)</f>
        <v>CE 264,ED2-CE</v>
      </c>
      <c r="B127" s="205" t="s">
        <v>1105</v>
      </c>
      <c r="C127" s="205" t="s">
        <v>1477</v>
      </c>
      <c r="D127" s="213" t="n">
        <v>250</v>
      </c>
      <c r="E127" s="205" t="s">
        <v>56</v>
      </c>
      <c r="F127" s="205" t="s">
        <v>278</v>
      </c>
    </row>
    <row r="128" s="220" customFormat="true" ht="14.25" hidden="false" customHeight="false" outlineLevel="0" collapsed="false">
      <c r="A128" s="205" t="str">
        <f aca="false">CONCATENATE(F128,",",E128)</f>
        <v>CE 272,ED2-CE</v>
      </c>
      <c r="B128" s="205" t="s">
        <v>1106</v>
      </c>
      <c r="C128" s="205" t="s">
        <v>1479</v>
      </c>
      <c r="D128" s="213" t="n">
        <v>250</v>
      </c>
      <c r="E128" s="205" t="s">
        <v>56</v>
      </c>
      <c r="F128" s="205" t="s">
        <v>459</v>
      </c>
    </row>
    <row r="129" s="220" customFormat="true" ht="14.25" hidden="false" customHeight="false" outlineLevel="0" collapsed="false">
      <c r="A129" s="205" t="str">
        <f aca="false">CONCATENATE(F129,",",E129)</f>
        <v>GE 282,ED2-CE</v>
      </c>
      <c r="B129" s="205" t="s">
        <v>1107</v>
      </c>
      <c r="C129" s="205" t="s">
        <v>1650</v>
      </c>
      <c r="D129" s="213" t="n">
        <v>250</v>
      </c>
      <c r="E129" s="205" t="s">
        <v>56</v>
      </c>
      <c r="F129" s="205" t="s">
        <v>489</v>
      </c>
    </row>
    <row r="130" s="220" customFormat="true" ht="14.25" hidden="false" customHeight="false" outlineLevel="0" collapsed="false">
      <c r="A130" s="205" t="str">
        <f aca="false">CONCATENATE(F130,",",E130)</f>
        <v>MATH 252,ED2-CE</v>
      </c>
      <c r="B130" s="205" t="s">
        <v>998</v>
      </c>
      <c r="C130" s="205" t="s">
        <v>1961</v>
      </c>
      <c r="D130" s="213" t="n">
        <v>250</v>
      </c>
      <c r="E130" s="205" t="s">
        <v>56</v>
      </c>
      <c r="F130" s="205" t="s">
        <v>281</v>
      </c>
    </row>
    <row r="131" s="220" customFormat="true" ht="14.25" hidden="false" customHeight="false" outlineLevel="0" collapsed="false">
      <c r="A131" s="205" t="str">
        <f aca="false">CONCATENATE(F131,",",E131)</f>
        <v>CE 352,ED3-CE</v>
      </c>
      <c r="B131" s="205" t="s">
        <v>1108</v>
      </c>
      <c r="C131" s="205" t="s">
        <v>1962</v>
      </c>
      <c r="D131" s="213" t="n">
        <v>230</v>
      </c>
      <c r="E131" s="205" t="s">
        <v>157</v>
      </c>
      <c r="F131" s="205" t="s">
        <v>400</v>
      </c>
    </row>
    <row r="132" s="220" customFormat="true" ht="14.25" hidden="false" customHeight="false" outlineLevel="0" collapsed="false">
      <c r="A132" s="205" t="str">
        <f aca="false">CONCATENATE(F132,",",E132)</f>
        <v>CE 356,ED3-CE</v>
      </c>
      <c r="B132" s="205" t="s">
        <v>1109</v>
      </c>
      <c r="C132" s="205" t="s">
        <v>1963</v>
      </c>
      <c r="D132" s="213" t="n">
        <v>230</v>
      </c>
      <c r="E132" s="205" t="s">
        <v>157</v>
      </c>
      <c r="F132" s="205" t="s">
        <v>291</v>
      </c>
    </row>
    <row r="133" s="220" customFormat="true" ht="14.25" hidden="false" customHeight="false" outlineLevel="0" collapsed="false">
      <c r="A133" s="205" t="str">
        <f aca="false">CONCATENATE(F133,",",E133)</f>
        <v>CE 360,ED3-CE</v>
      </c>
      <c r="B133" s="205" t="s">
        <v>1110</v>
      </c>
      <c r="C133" s="205" t="s">
        <v>1485</v>
      </c>
      <c r="D133" s="213" t="n">
        <v>230</v>
      </c>
      <c r="E133" s="205" t="s">
        <v>157</v>
      </c>
      <c r="F133" s="205" t="s">
        <v>336</v>
      </c>
    </row>
    <row r="134" s="220" customFormat="true" ht="14.25" hidden="false" customHeight="false" outlineLevel="0" collapsed="false">
      <c r="A134" s="205" t="str">
        <f aca="false">CONCATENATE(F134,",",E134)</f>
        <v>CE 364,ED3-CE</v>
      </c>
      <c r="B134" s="205" t="s">
        <v>1111</v>
      </c>
      <c r="C134" s="205" t="s">
        <v>1502</v>
      </c>
      <c r="D134" s="213" t="n">
        <v>230</v>
      </c>
      <c r="E134" s="205" t="s">
        <v>157</v>
      </c>
      <c r="F134" s="205" t="s">
        <v>156</v>
      </c>
    </row>
    <row r="135" s="220" customFormat="true" ht="14.25" hidden="false" customHeight="false" outlineLevel="0" collapsed="false">
      <c r="A135" s="205" t="str">
        <f aca="false">CONCATENATE(F135,",",E135)</f>
        <v>CE 368,ED3-CE</v>
      </c>
      <c r="B135" s="205" t="s">
        <v>1112</v>
      </c>
      <c r="C135" s="205" t="s">
        <v>1489</v>
      </c>
      <c r="D135" s="213" t="n">
        <v>230</v>
      </c>
      <c r="E135" s="205" t="s">
        <v>157</v>
      </c>
      <c r="F135" s="205" t="s">
        <v>378</v>
      </c>
    </row>
    <row r="136" s="220" customFormat="true" ht="14.25" hidden="false" customHeight="false" outlineLevel="0" collapsed="false">
      <c r="A136" s="205" t="str">
        <f aca="false">CONCATENATE(F136,",",E136)</f>
        <v>CE 376,ED3-CE</v>
      </c>
      <c r="B136" s="205" t="s">
        <v>1113</v>
      </c>
      <c r="C136" s="205" t="s">
        <v>1466</v>
      </c>
      <c r="D136" s="213" t="n">
        <v>230</v>
      </c>
      <c r="E136" s="205" t="s">
        <v>157</v>
      </c>
      <c r="F136" s="205" t="s">
        <v>495</v>
      </c>
    </row>
    <row r="137" s="220" customFormat="true" ht="14.25" hidden="false" customHeight="false" outlineLevel="0" collapsed="false">
      <c r="A137" s="205" t="str">
        <f aca="false">CONCATENATE(F137,",",E137)</f>
        <v>CE 378,ED3-CE</v>
      </c>
      <c r="B137" s="205" t="s">
        <v>1114</v>
      </c>
      <c r="C137" s="205" t="s">
        <v>1479</v>
      </c>
      <c r="D137" s="213" t="n">
        <v>230</v>
      </c>
      <c r="E137" s="205" t="s">
        <v>157</v>
      </c>
      <c r="F137" s="205" t="s">
        <v>1115</v>
      </c>
    </row>
    <row r="138" s="220" customFormat="true" ht="14.25" hidden="false" customHeight="false" outlineLevel="0" collapsed="false">
      <c r="A138" s="205" t="str">
        <f aca="false">CONCATENATE(F138,",",E138)</f>
        <v>CE 390,ED3-CE</v>
      </c>
      <c r="B138" s="205" t="s">
        <v>1116</v>
      </c>
      <c r="C138" s="205" t="s">
        <v>1489</v>
      </c>
      <c r="D138" s="213" t="n">
        <v>230</v>
      </c>
      <c r="E138" s="205" t="s">
        <v>157</v>
      </c>
      <c r="F138" s="205" t="s">
        <v>1117</v>
      </c>
    </row>
    <row r="139" s="220" customFormat="true" ht="14.25" hidden="false" customHeight="false" outlineLevel="0" collapsed="false">
      <c r="A139" s="205" t="str">
        <f aca="false">CONCATENATE(F139,",",E139)</f>
        <v>CE 452,ED4-CE</v>
      </c>
      <c r="B139" s="205" t="s">
        <v>1118</v>
      </c>
      <c r="C139" s="205" t="s">
        <v>1479</v>
      </c>
      <c r="D139" s="213" t="n">
        <v>240</v>
      </c>
      <c r="E139" s="205" t="s">
        <v>103</v>
      </c>
      <c r="F139" s="205" t="s">
        <v>328</v>
      </c>
    </row>
    <row r="140" s="220" customFormat="true" ht="14.25" hidden="false" customHeight="false" outlineLevel="0" collapsed="false">
      <c r="A140" s="205" t="str">
        <f aca="false">CONCATENATE(F140,",",E140)</f>
        <v>CE 456,ED4-CE</v>
      </c>
      <c r="B140" s="205" t="s">
        <v>1119</v>
      </c>
      <c r="C140" s="205" t="s">
        <v>1962</v>
      </c>
      <c r="D140" s="213" t="n">
        <v>95</v>
      </c>
      <c r="E140" s="205" t="s">
        <v>103</v>
      </c>
      <c r="F140" s="205" t="s">
        <v>469</v>
      </c>
    </row>
    <row r="141" s="220" customFormat="true" ht="14.25" hidden="false" customHeight="false" outlineLevel="0" collapsed="false">
      <c r="A141" s="205" t="str">
        <f aca="false">CONCATENATE(F141,",",E141)</f>
        <v>CE 458,ED4-CE</v>
      </c>
      <c r="B141" s="205" t="s">
        <v>1120</v>
      </c>
      <c r="C141" s="205" t="s">
        <v>1468</v>
      </c>
      <c r="D141" s="213" t="n">
        <v>105</v>
      </c>
      <c r="E141" s="205" t="s">
        <v>103</v>
      </c>
      <c r="F141" s="205" t="s">
        <v>384</v>
      </c>
    </row>
    <row r="142" s="220" customFormat="true" ht="14.25" hidden="false" customHeight="false" outlineLevel="0" collapsed="false">
      <c r="A142" s="205" t="str">
        <f aca="false">CONCATENATE(F142,",",E142)</f>
        <v>CE 462,ED4-CE</v>
      </c>
      <c r="B142" s="205" t="s">
        <v>1121</v>
      </c>
      <c r="C142" s="205" t="s">
        <v>1500</v>
      </c>
      <c r="D142" s="213" t="n">
        <v>240</v>
      </c>
      <c r="E142" s="205" t="s">
        <v>103</v>
      </c>
      <c r="F142" s="205" t="s">
        <v>404</v>
      </c>
    </row>
    <row r="143" s="220" customFormat="true" ht="14.25" hidden="false" customHeight="false" outlineLevel="0" collapsed="false">
      <c r="A143" s="205" t="str">
        <f aca="false">CONCATENATE(F143,",",E143)</f>
        <v>CE 464,ED4-CE</v>
      </c>
      <c r="B143" s="205" t="s">
        <v>1122</v>
      </c>
      <c r="C143" s="205" t="s">
        <v>1502</v>
      </c>
      <c r="D143" s="213" t="n">
        <v>115</v>
      </c>
      <c r="E143" s="205" t="s">
        <v>103</v>
      </c>
      <c r="F143" s="205" t="s">
        <v>102</v>
      </c>
    </row>
    <row r="144" s="220" customFormat="true" ht="14.25" hidden="false" customHeight="false" outlineLevel="0" collapsed="false">
      <c r="A144" s="205" t="str">
        <f aca="false">CONCATENATE(F144,",",E144)</f>
        <v>CE 468,ED4-CE</v>
      </c>
      <c r="B144" s="205" t="s">
        <v>1123</v>
      </c>
      <c r="C144" s="205" t="s">
        <v>1504</v>
      </c>
      <c r="D144" s="213" t="n">
        <v>150</v>
      </c>
      <c r="E144" s="205" t="s">
        <v>103</v>
      </c>
      <c r="F144" s="205" t="s">
        <v>155</v>
      </c>
    </row>
    <row r="145" s="220" customFormat="true" ht="14.25" hidden="false" customHeight="false" outlineLevel="0" collapsed="false">
      <c r="A145" s="205" t="str">
        <f aca="false">CONCATENATE(F145,",",E145)</f>
        <v>CE 476,ED4-CE</v>
      </c>
      <c r="B145" s="205" t="s">
        <v>1124</v>
      </c>
      <c r="C145" s="205" t="s">
        <v>1466</v>
      </c>
      <c r="D145" s="213" t="n">
        <v>115</v>
      </c>
      <c r="E145" s="205" t="s">
        <v>103</v>
      </c>
      <c r="F145" s="205" t="s">
        <v>346</v>
      </c>
    </row>
    <row r="146" s="220" customFormat="true" ht="14.25" hidden="false" customHeight="false" outlineLevel="0" collapsed="false">
      <c r="A146" s="205" t="str">
        <f aca="false">CONCATENATE(F146,",",E146)</f>
        <v>CE 478,ED4-CE</v>
      </c>
      <c r="B146" s="205" t="s">
        <v>1125</v>
      </c>
      <c r="C146" s="205" t="s">
        <v>1964</v>
      </c>
      <c r="D146" s="213" t="n">
        <v>60</v>
      </c>
      <c r="E146" s="205" t="s">
        <v>103</v>
      </c>
      <c r="F146" s="205" t="s">
        <v>270</v>
      </c>
    </row>
    <row r="147" s="220" customFormat="true" ht="14.25" hidden="false" customHeight="false" outlineLevel="0" collapsed="false">
      <c r="A147" s="205" t="str">
        <f aca="false">CONCATENATE(F147,",",E147)</f>
        <v>CE 480,ED4-CE</v>
      </c>
      <c r="B147" s="205" t="s">
        <v>1126</v>
      </c>
      <c r="C147" s="205" t="s">
        <v>1965</v>
      </c>
      <c r="D147" s="213" t="n">
        <v>18</v>
      </c>
      <c r="E147" s="205" t="s">
        <v>103</v>
      </c>
      <c r="F147" s="205" t="s">
        <v>205</v>
      </c>
    </row>
    <row r="148" s="220" customFormat="true" ht="14.25" hidden="false" customHeight="false" outlineLevel="0" collapsed="false">
      <c r="A148" s="205" t="str">
        <f aca="false">CONCATENATE(F148,",",E148)</f>
        <v>CHE 156,ED1-CHE</v>
      </c>
      <c r="B148" s="205" t="s">
        <v>1127</v>
      </c>
      <c r="C148" s="205" t="s">
        <v>1515</v>
      </c>
      <c r="D148" s="213" t="n">
        <v>120</v>
      </c>
      <c r="E148" s="205" t="s">
        <v>80</v>
      </c>
      <c r="F148" s="205" t="s">
        <v>302</v>
      </c>
    </row>
    <row r="149" s="220" customFormat="true" ht="14.25" hidden="false" customHeight="false" outlineLevel="0" collapsed="false">
      <c r="A149" s="205" t="str">
        <f aca="false">CONCATENATE(F149,",",E149)</f>
        <v>CHE 158,ED1-CHE</v>
      </c>
      <c r="B149" s="205" t="s">
        <v>987</v>
      </c>
      <c r="C149" s="205" t="s">
        <v>1516</v>
      </c>
      <c r="D149" s="213" t="n">
        <v>120</v>
      </c>
      <c r="E149" s="205" t="s">
        <v>80</v>
      </c>
      <c r="F149" s="205" t="s">
        <v>186</v>
      </c>
    </row>
    <row r="150" s="220" customFormat="true" ht="14.25" hidden="false" customHeight="false" outlineLevel="0" collapsed="false">
      <c r="A150" s="205" t="str">
        <f aca="false">CONCATENATE(F150,",",E150)</f>
        <v>EE 152,ED1-CHE</v>
      </c>
      <c r="B150" s="205" t="s">
        <v>990</v>
      </c>
      <c r="C150" s="205" t="s">
        <v>1947</v>
      </c>
      <c r="D150" s="213" t="n">
        <v>120</v>
      </c>
      <c r="E150" s="205" t="s">
        <v>80</v>
      </c>
      <c r="F150" s="205" t="s">
        <v>234</v>
      </c>
    </row>
    <row r="151" s="220" customFormat="true" ht="14.25" hidden="false" customHeight="false" outlineLevel="0" collapsed="false">
      <c r="A151" s="205" t="str">
        <f aca="false">CONCATENATE(F151,",",E151)</f>
        <v>ENGL 158,ED1-CHE</v>
      </c>
      <c r="B151" s="205" t="s">
        <v>1128</v>
      </c>
      <c r="C151" s="205" t="s">
        <v>1629</v>
      </c>
      <c r="D151" s="213" t="n">
        <v>120</v>
      </c>
      <c r="E151" s="205" t="s">
        <v>80</v>
      </c>
      <c r="F151" s="205" t="s">
        <v>364</v>
      </c>
    </row>
    <row r="152" s="220" customFormat="true" ht="14.25" hidden="false" customHeight="false" outlineLevel="0" collapsed="false">
      <c r="A152" s="205" t="str">
        <f aca="false">CONCATENATE(F152,",",E152)</f>
        <v>MATH 152,ED1-CHE</v>
      </c>
      <c r="B152" s="205" t="s">
        <v>992</v>
      </c>
      <c r="C152" s="205" t="s">
        <v>1966</v>
      </c>
      <c r="D152" s="213" t="n">
        <v>120</v>
      </c>
      <c r="E152" s="205" t="s">
        <v>80</v>
      </c>
      <c r="F152" s="205" t="s">
        <v>129</v>
      </c>
    </row>
    <row r="153" s="220" customFormat="true" ht="14.25" hidden="false" customHeight="false" outlineLevel="0" collapsed="false">
      <c r="A153" s="205" t="str">
        <f aca="false">CONCATENATE(F153,",",E153)</f>
        <v>ME 162,ED1-CHE</v>
      </c>
      <c r="B153" s="205" t="s">
        <v>994</v>
      </c>
      <c r="C153" s="205" t="s">
        <v>1417</v>
      </c>
      <c r="D153" s="213" t="n">
        <v>120</v>
      </c>
      <c r="E153" s="205" t="s">
        <v>80</v>
      </c>
      <c r="F153" s="205" t="s">
        <v>392</v>
      </c>
    </row>
    <row r="154" s="220" customFormat="true" ht="14.25" hidden="false" customHeight="false" outlineLevel="0" collapsed="false">
      <c r="A154" s="205" t="str">
        <f aca="false">CONCATENATE(F154,",",E154)</f>
        <v>PHY 170,ED1-CHE</v>
      </c>
      <c r="B154" s="205" t="s">
        <v>1129</v>
      </c>
      <c r="C154" s="205" t="s">
        <v>1905</v>
      </c>
      <c r="D154" s="213" t="n">
        <v>120</v>
      </c>
      <c r="E154" s="205" t="s">
        <v>80</v>
      </c>
      <c r="F154" s="205" t="s">
        <v>79</v>
      </c>
    </row>
    <row r="155" s="220" customFormat="true" ht="14.25" hidden="false" customHeight="false" outlineLevel="0" collapsed="false">
      <c r="A155" s="205" t="str">
        <f aca="false">CONCATENATE(F155,",",E155)</f>
        <v>CHE 250,ED2-CHE</v>
      </c>
      <c r="B155" s="205" t="s">
        <v>1130</v>
      </c>
      <c r="C155" s="205" t="s">
        <v>1515</v>
      </c>
      <c r="D155" s="213" t="n">
        <v>160</v>
      </c>
      <c r="E155" s="205" t="s">
        <v>13</v>
      </c>
      <c r="F155" s="205" t="s">
        <v>338</v>
      </c>
    </row>
    <row r="156" s="220" customFormat="true" ht="14.25" hidden="false" customHeight="false" outlineLevel="0" collapsed="false">
      <c r="A156" s="205" t="str">
        <f aca="false">CONCATENATE(F156,",",E156)</f>
        <v>CHE 252,ED2-CHE</v>
      </c>
      <c r="B156" s="205" t="s">
        <v>1131</v>
      </c>
      <c r="C156" s="205" t="s">
        <v>1518</v>
      </c>
      <c r="D156" s="213" t="n">
        <v>160</v>
      </c>
      <c r="E156" s="205" t="s">
        <v>13</v>
      </c>
      <c r="F156" s="205" t="s">
        <v>297</v>
      </c>
    </row>
    <row r="157" s="220" customFormat="true" ht="14.25" hidden="false" customHeight="false" outlineLevel="0" collapsed="false">
      <c r="A157" s="205" t="str">
        <f aca="false">CONCATENATE(F157,",",E157)</f>
        <v>CHE 254,ED2-CHE</v>
      </c>
      <c r="B157" s="205" t="s">
        <v>1132</v>
      </c>
      <c r="C157" s="205" t="s">
        <v>1513</v>
      </c>
      <c r="D157" s="213" t="n">
        <v>160</v>
      </c>
      <c r="E157" s="205" t="s">
        <v>13</v>
      </c>
      <c r="F157" s="205" t="s">
        <v>397</v>
      </c>
    </row>
    <row r="158" s="220" customFormat="true" ht="14.25" hidden="false" customHeight="false" outlineLevel="0" collapsed="false">
      <c r="A158" s="205" t="str">
        <f aca="false">CONCATENATE(F158,",",E158)</f>
        <v>CHE 256,ED2-CHE</v>
      </c>
      <c r="B158" s="205" t="s">
        <v>1133</v>
      </c>
      <c r="C158" s="205" t="s">
        <v>1523</v>
      </c>
      <c r="D158" s="213" t="n">
        <v>160</v>
      </c>
      <c r="E158" s="205" t="s">
        <v>13</v>
      </c>
      <c r="F158" s="205" t="s">
        <v>83</v>
      </c>
    </row>
    <row r="159" s="220" customFormat="true" ht="14.25" hidden="false" customHeight="false" outlineLevel="0" collapsed="false">
      <c r="A159" s="205" t="str">
        <f aca="false">CONCATENATE(F159,",",E159)</f>
        <v>CHE 258,ED2-CHE</v>
      </c>
      <c r="B159" s="205" t="s">
        <v>1134</v>
      </c>
      <c r="C159" s="205" t="s">
        <v>1525</v>
      </c>
      <c r="D159" s="213" t="n">
        <v>160</v>
      </c>
      <c r="E159" s="205" t="s">
        <v>13</v>
      </c>
      <c r="F159" s="205" t="s">
        <v>12</v>
      </c>
    </row>
    <row r="160" s="220" customFormat="true" ht="14.25" hidden="false" customHeight="false" outlineLevel="0" collapsed="false">
      <c r="A160" s="205" t="str">
        <f aca="false">CONCATENATE(F160,",",E160)</f>
        <v>CHEM 280,ED2-CHE</v>
      </c>
      <c r="B160" s="205" t="s">
        <v>1135</v>
      </c>
      <c r="C160" s="205" t="s">
        <v>1548</v>
      </c>
      <c r="D160" s="213" t="n">
        <v>160</v>
      </c>
      <c r="E160" s="205" t="s">
        <v>13</v>
      </c>
      <c r="F160" s="205" t="s">
        <v>173</v>
      </c>
    </row>
    <row r="161" s="220" customFormat="true" ht="14.25" hidden="false" customHeight="false" outlineLevel="0" collapsed="false">
      <c r="A161" s="205" t="str">
        <f aca="false">CONCATENATE(F161,",",E161)</f>
        <v>MATH 252,ED2-CHE</v>
      </c>
      <c r="B161" s="205" t="s">
        <v>1136</v>
      </c>
      <c r="C161" s="205" t="s">
        <v>1967</v>
      </c>
      <c r="D161" s="213" t="n">
        <v>160</v>
      </c>
      <c r="E161" s="205" t="s">
        <v>13</v>
      </c>
      <c r="F161" s="205" t="s">
        <v>281</v>
      </c>
    </row>
    <row r="162" s="220" customFormat="true" ht="14.25" hidden="false" customHeight="false" outlineLevel="0" collapsed="false">
      <c r="A162" s="205" t="str">
        <f aca="false">CONCATENATE(F162,",",E162)</f>
        <v>CHE 350,ED3-CHE</v>
      </c>
      <c r="B162" s="205" t="s">
        <v>1137</v>
      </c>
      <c r="C162" s="205" t="s">
        <v>1968</v>
      </c>
      <c r="D162" s="213" t="n">
        <v>105</v>
      </c>
      <c r="E162" s="205" t="s">
        <v>73</v>
      </c>
      <c r="F162" s="205" t="s">
        <v>199</v>
      </c>
    </row>
    <row r="163" s="220" customFormat="true" ht="14.25" hidden="false" customHeight="false" outlineLevel="0" collapsed="false">
      <c r="A163" s="205" t="str">
        <f aca="false">CONCATENATE(F163,",",E163)</f>
        <v>CHE 352,ED3-CHE</v>
      </c>
      <c r="B163" s="205" t="s">
        <v>1138</v>
      </c>
      <c r="C163" s="205" t="s">
        <v>1513</v>
      </c>
      <c r="D163" s="213" t="n">
        <v>105</v>
      </c>
      <c r="E163" s="205" t="s">
        <v>73</v>
      </c>
      <c r="F163" s="205" t="s">
        <v>516</v>
      </c>
    </row>
    <row r="164" s="220" customFormat="true" ht="14.25" hidden="false" customHeight="false" outlineLevel="0" collapsed="false">
      <c r="A164" s="205" t="str">
        <f aca="false">CONCATENATE(F164,",",E164)</f>
        <v>CHE 354,ED3-CHE</v>
      </c>
      <c r="B164" s="205" t="s">
        <v>1139</v>
      </c>
      <c r="C164" s="205" t="s">
        <v>1530</v>
      </c>
      <c r="D164" s="213" t="n">
        <v>105</v>
      </c>
      <c r="E164" s="205" t="s">
        <v>73</v>
      </c>
      <c r="F164" s="205" t="s">
        <v>476</v>
      </c>
    </row>
    <row r="165" s="220" customFormat="true" ht="14.25" hidden="false" customHeight="false" outlineLevel="0" collapsed="false">
      <c r="A165" s="205" t="str">
        <f aca="false">CONCATENATE(F165,",",E165)</f>
        <v>CHE 358,ED3-CHE</v>
      </c>
      <c r="B165" s="205" t="s">
        <v>1140</v>
      </c>
      <c r="C165" s="205" t="s">
        <v>1532</v>
      </c>
      <c r="D165" s="213" t="n">
        <v>105</v>
      </c>
      <c r="E165" s="205" t="s">
        <v>73</v>
      </c>
      <c r="F165" s="205" t="s">
        <v>315</v>
      </c>
    </row>
    <row r="166" s="220" customFormat="true" ht="14.25" hidden="false" customHeight="false" outlineLevel="0" collapsed="false">
      <c r="A166" s="205" t="str">
        <f aca="false">CONCATENATE(F166,",",E166)</f>
        <v>CHE 362,ED3-CHE</v>
      </c>
      <c r="B166" s="205" t="s">
        <v>1141</v>
      </c>
      <c r="C166" s="205" t="s">
        <v>1523</v>
      </c>
      <c r="D166" s="213" t="n">
        <v>15</v>
      </c>
      <c r="E166" s="205" t="s">
        <v>73</v>
      </c>
      <c r="F166" s="205" t="s">
        <v>72</v>
      </c>
    </row>
    <row r="167" s="220" customFormat="true" ht="14.25" hidden="false" customHeight="false" outlineLevel="0" collapsed="false">
      <c r="A167" s="205" t="str">
        <f aca="false">CONCATENATE(F167,",",E167)</f>
        <v>CHE 364,ED3-CHE</v>
      </c>
      <c r="B167" s="205" t="s">
        <v>1142</v>
      </c>
      <c r="C167" s="205" t="s">
        <v>1535</v>
      </c>
      <c r="D167" s="213" t="n">
        <v>45</v>
      </c>
      <c r="E167" s="205" t="s">
        <v>73</v>
      </c>
      <c r="F167" s="205" t="s">
        <v>370</v>
      </c>
    </row>
    <row r="168" s="220" customFormat="true" ht="14.25" hidden="false" customHeight="false" outlineLevel="0" collapsed="false">
      <c r="A168" s="205" t="str">
        <f aca="false">CONCATENATE(F168,",",E168)</f>
        <v>CHE 368,ED3-CHE</v>
      </c>
      <c r="B168" s="205" t="s">
        <v>1143</v>
      </c>
      <c r="C168" s="205" t="s">
        <v>1515</v>
      </c>
      <c r="D168" s="213" t="n">
        <v>50</v>
      </c>
      <c r="E168" s="205" t="s">
        <v>73</v>
      </c>
      <c r="F168" s="205" t="s">
        <v>122</v>
      </c>
    </row>
    <row r="169" s="220" customFormat="true" ht="14.25" hidden="false" customHeight="false" outlineLevel="0" collapsed="false">
      <c r="A169" s="205" t="str">
        <f aca="false">CONCATENATE(F169,",",E169)</f>
        <v>ECON 152,ED3-CHE</v>
      </c>
      <c r="B169" s="205" t="s">
        <v>1144</v>
      </c>
      <c r="C169" s="205" t="s">
        <v>1594</v>
      </c>
      <c r="D169" s="213" t="n">
        <v>80</v>
      </c>
      <c r="E169" s="205" t="s">
        <v>73</v>
      </c>
      <c r="F169" s="205" t="s">
        <v>406</v>
      </c>
    </row>
    <row r="170" s="220" customFormat="true" ht="14.25" hidden="false" customHeight="false" outlineLevel="0" collapsed="false">
      <c r="A170" s="205" t="str">
        <f aca="false">CONCATENATE(F170,",",E170)</f>
        <v>FC 182,ED3-CHE</v>
      </c>
      <c r="B170" s="205" t="s">
        <v>1085</v>
      </c>
      <c r="C170" s="205" t="s">
        <v>1639</v>
      </c>
      <c r="D170" s="213" t="n">
        <v>55</v>
      </c>
      <c r="E170" s="205" t="s">
        <v>73</v>
      </c>
      <c r="F170" s="205" t="s">
        <v>245</v>
      </c>
    </row>
    <row r="171" s="220" customFormat="true" ht="14.25" hidden="false" customHeight="false" outlineLevel="0" collapsed="false">
      <c r="A171" s="205" t="str">
        <f aca="false">CONCATENATE(F171,",",E171)</f>
        <v>CHE 456,ED4-CHE</v>
      </c>
      <c r="B171" s="205" t="s">
        <v>1145</v>
      </c>
      <c r="C171" s="205" t="s">
        <v>1535</v>
      </c>
      <c r="D171" s="213" t="n">
        <v>114</v>
      </c>
      <c r="E171" s="205" t="s">
        <v>48</v>
      </c>
      <c r="F171" s="205" t="s">
        <v>525</v>
      </c>
    </row>
    <row r="172" s="220" customFormat="true" ht="14.25" hidden="false" customHeight="false" outlineLevel="0" collapsed="false">
      <c r="A172" s="205" t="str">
        <f aca="false">CONCATENATE(F172,",",E172)</f>
        <v>CHE 458,ED4-CHE</v>
      </c>
      <c r="B172" s="205" t="s">
        <v>1146</v>
      </c>
      <c r="C172" s="205" t="s">
        <v>1541</v>
      </c>
      <c r="D172" s="213" t="n">
        <v>114</v>
      </c>
      <c r="E172" s="205" t="s">
        <v>48</v>
      </c>
      <c r="F172" s="205" t="s">
        <v>345</v>
      </c>
    </row>
    <row r="173" s="220" customFormat="true" ht="14.25" hidden="false" customHeight="false" outlineLevel="0" collapsed="false">
      <c r="A173" s="205" t="str">
        <f aca="false">CONCATENATE(F173,",",E173)</f>
        <v>CHE 466,ED4-CHE</v>
      </c>
      <c r="B173" s="205" t="s">
        <v>1147</v>
      </c>
      <c r="C173" s="205" t="s">
        <v>1518</v>
      </c>
      <c r="D173" s="213" t="n">
        <v>70</v>
      </c>
      <c r="E173" s="205" t="s">
        <v>48</v>
      </c>
      <c r="F173" s="205" t="s">
        <v>280</v>
      </c>
    </row>
    <row r="174" s="220" customFormat="true" ht="14.25" hidden="false" customHeight="false" outlineLevel="0" collapsed="false">
      <c r="A174" s="205" t="str">
        <f aca="false">CONCATENATE(F174,",",E174)</f>
        <v>CHE 468,ED4-CHE</v>
      </c>
      <c r="B174" s="205" t="s">
        <v>1148</v>
      </c>
      <c r="C174" s="205" t="s">
        <v>1511</v>
      </c>
      <c r="D174" s="213" t="n">
        <v>54</v>
      </c>
      <c r="E174" s="205" t="s">
        <v>48</v>
      </c>
      <c r="F174" s="205" t="s">
        <v>431</v>
      </c>
    </row>
    <row r="175" s="220" customFormat="true" ht="14.25" hidden="false" customHeight="false" outlineLevel="0" collapsed="false">
      <c r="A175" s="205" t="str">
        <f aca="false">CONCATENATE(F175,",",E175)</f>
        <v>CHE 470,ED4-CHE</v>
      </c>
      <c r="B175" s="205" t="s">
        <v>1149</v>
      </c>
      <c r="C175" s="205" t="s">
        <v>1546</v>
      </c>
      <c r="D175" s="213" t="n">
        <v>71</v>
      </c>
      <c r="E175" s="205" t="s">
        <v>48</v>
      </c>
      <c r="F175" s="205" t="s">
        <v>415</v>
      </c>
    </row>
    <row r="176" s="220" customFormat="true" ht="14.25" hidden="false" customHeight="false" outlineLevel="0" collapsed="false">
      <c r="A176" s="205" t="str">
        <f aca="false">CONCATENATE(F176,",",E176)</f>
        <v>PCE 464,ED4-CHE</v>
      </c>
      <c r="B176" s="205" t="s">
        <v>1150</v>
      </c>
      <c r="C176" s="205" t="s">
        <v>1863</v>
      </c>
      <c r="D176" s="213" t="n">
        <v>50</v>
      </c>
      <c r="E176" s="205" t="s">
        <v>48</v>
      </c>
      <c r="F176" s="205" t="s">
        <v>47</v>
      </c>
    </row>
    <row r="177" s="220" customFormat="true" ht="14.25" hidden="false" customHeight="false" outlineLevel="0" collapsed="false">
      <c r="A177" s="205" t="str">
        <f aca="false">CONCATENATE(F177,",",E177)</f>
        <v>COE 152,ED1-COE</v>
      </c>
      <c r="B177" s="205" t="s">
        <v>990</v>
      </c>
      <c r="C177" s="205" t="s">
        <v>1557</v>
      </c>
      <c r="D177" s="213" t="n">
        <v>262</v>
      </c>
      <c r="E177" s="205" t="s">
        <v>20</v>
      </c>
      <c r="F177" s="205" t="s">
        <v>260</v>
      </c>
    </row>
    <row r="178" s="220" customFormat="true" ht="14.25" hidden="false" customHeight="false" outlineLevel="0" collapsed="false">
      <c r="A178" s="205" t="str">
        <f aca="false">CONCATENATE(F178,",",E178)</f>
        <v>COE 158,ED1-COE</v>
      </c>
      <c r="B178" s="205" t="s">
        <v>987</v>
      </c>
      <c r="C178" s="205" t="s">
        <v>1445</v>
      </c>
      <c r="D178" s="213" t="n">
        <v>262</v>
      </c>
      <c r="E178" s="205" t="s">
        <v>20</v>
      </c>
      <c r="F178" s="205" t="s">
        <v>175</v>
      </c>
    </row>
    <row r="179" s="220" customFormat="true" ht="14.25" hidden="false" customHeight="false" outlineLevel="0" collapsed="false">
      <c r="A179" s="205" t="str">
        <f aca="false">CONCATENATE(F179,",",E179)</f>
        <v>EE 156,ED1-COE</v>
      </c>
      <c r="B179" s="205" t="s">
        <v>1151</v>
      </c>
      <c r="C179" s="205" t="s">
        <v>1599</v>
      </c>
      <c r="D179" s="213" t="n">
        <v>262</v>
      </c>
      <c r="E179" s="205" t="s">
        <v>20</v>
      </c>
      <c r="F179" s="205" t="s">
        <v>19</v>
      </c>
    </row>
    <row r="180" s="220" customFormat="true" ht="14.25" hidden="false" customHeight="false" outlineLevel="0" collapsed="false">
      <c r="A180" s="205" t="str">
        <f aca="false">CONCATENATE(F180,",",E180)</f>
        <v>EE 172,ED1-COE</v>
      </c>
      <c r="B180" s="205" t="s">
        <v>1152</v>
      </c>
      <c r="C180" s="205" t="s">
        <v>1611</v>
      </c>
      <c r="D180" s="213" t="n">
        <v>262</v>
      </c>
      <c r="E180" s="205" t="s">
        <v>20</v>
      </c>
      <c r="F180" s="205" t="s">
        <v>474</v>
      </c>
    </row>
    <row r="181" s="220" customFormat="true" ht="14.25" hidden="false" customHeight="false" outlineLevel="0" collapsed="false">
      <c r="A181" s="205" t="str">
        <f aca="false">CONCATENATE(F181,",",E181)</f>
        <v>ENGL 158,ED1-COE</v>
      </c>
      <c r="B181" s="205" t="s">
        <v>991</v>
      </c>
      <c r="C181" s="205" t="s">
        <v>1969</v>
      </c>
      <c r="D181" s="213" t="n">
        <v>262</v>
      </c>
      <c r="E181" s="205" t="s">
        <v>20</v>
      </c>
      <c r="F181" s="205" t="s">
        <v>364</v>
      </c>
    </row>
    <row r="182" s="220" customFormat="true" ht="14.25" hidden="false" customHeight="false" outlineLevel="0" collapsed="false">
      <c r="A182" s="205" t="str">
        <f aca="false">CONCATENATE(F182,",",E182)</f>
        <v>MATH 152,ED1-COE</v>
      </c>
      <c r="B182" s="205" t="s">
        <v>992</v>
      </c>
      <c r="C182" s="205" t="s">
        <v>1720</v>
      </c>
      <c r="D182" s="213" t="n">
        <v>262</v>
      </c>
      <c r="E182" s="205" t="s">
        <v>20</v>
      </c>
      <c r="F182" s="205" t="s">
        <v>129</v>
      </c>
    </row>
    <row r="183" s="220" customFormat="true" ht="14.25" hidden="false" customHeight="false" outlineLevel="0" collapsed="false">
      <c r="A183" s="205" t="str">
        <f aca="false">CONCATENATE(F183,",",E183)</f>
        <v>ACF 256,ED2-COE</v>
      </c>
      <c r="B183" s="205" t="s">
        <v>1076</v>
      </c>
      <c r="C183" s="205" t="s">
        <v>1379</v>
      </c>
      <c r="D183" s="213" t="n">
        <v>65</v>
      </c>
      <c r="E183" s="205" t="s">
        <v>108</v>
      </c>
      <c r="F183" s="205" t="s">
        <v>424</v>
      </c>
    </row>
    <row r="184" s="220" customFormat="true" ht="14.25" hidden="false" customHeight="false" outlineLevel="0" collapsed="false">
      <c r="A184" s="205" t="str">
        <f aca="false">CONCATENATE(F184,",",E184)</f>
        <v>COE 254,ED2-COE</v>
      </c>
      <c r="B184" s="205" t="s">
        <v>1082</v>
      </c>
      <c r="C184" s="205" t="s">
        <v>1561</v>
      </c>
      <c r="D184" s="213" t="n">
        <v>255</v>
      </c>
      <c r="E184" s="205" t="s">
        <v>108</v>
      </c>
      <c r="F184" s="205" t="s">
        <v>107</v>
      </c>
    </row>
    <row r="185" s="220" customFormat="true" ht="14.25" hidden="false" customHeight="false" outlineLevel="0" collapsed="false">
      <c r="A185" s="205" t="str">
        <f aca="false">CONCATENATE(F185,",",E185)</f>
        <v>COE 272,ED2-COE</v>
      </c>
      <c r="B185" s="205" t="s">
        <v>1083</v>
      </c>
      <c r="C185" s="205" t="s">
        <v>1563</v>
      </c>
      <c r="D185" s="213" t="n">
        <v>255</v>
      </c>
      <c r="E185" s="205" t="s">
        <v>108</v>
      </c>
      <c r="F185" s="205" t="s">
        <v>377</v>
      </c>
    </row>
    <row r="186" s="220" customFormat="true" ht="14.25" hidden="false" customHeight="false" outlineLevel="0" collapsed="false">
      <c r="A186" s="205" t="str">
        <f aca="false">CONCATENATE(F186,",",E186)</f>
        <v>COE 288,ED2-COE</v>
      </c>
      <c r="B186" s="205" t="s">
        <v>1154</v>
      </c>
      <c r="C186" s="205" t="s">
        <v>1565</v>
      </c>
      <c r="D186" s="213" t="n">
        <v>255</v>
      </c>
      <c r="E186" s="205" t="s">
        <v>108</v>
      </c>
      <c r="F186" s="205" t="s">
        <v>202</v>
      </c>
    </row>
    <row r="187" s="220" customFormat="true" ht="14.25" hidden="false" customHeight="false" outlineLevel="0" collapsed="false">
      <c r="A187" s="205" t="str">
        <f aca="false">CONCATENATE(F187,",",E187)</f>
        <v>COE 292,ED2-COE</v>
      </c>
      <c r="B187" s="205" t="s">
        <v>1155</v>
      </c>
      <c r="C187" s="205" t="s">
        <v>1567</v>
      </c>
      <c r="D187" s="213" t="n">
        <v>255</v>
      </c>
      <c r="E187" s="205" t="s">
        <v>108</v>
      </c>
      <c r="F187" s="205" t="s">
        <v>1156</v>
      </c>
    </row>
    <row r="188" s="220" customFormat="true" ht="14.25" hidden="false" customHeight="false" outlineLevel="0" collapsed="false">
      <c r="A188" s="205" t="str">
        <f aca="false">CONCATENATE(F188,",",E188)</f>
        <v>ECON 152,ED2-COE</v>
      </c>
      <c r="B188" s="205" t="s">
        <v>1100</v>
      </c>
      <c r="C188" s="205" t="s">
        <v>1594</v>
      </c>
      <c r="D188" s="213" t="n">
        <v>40</v>
      </c>
      <c r="E188" s="205" t="s">
        <v>108</v>
      </c>
      <c r="F188" s="205" t="s">
        <v>406</v>
      </c>
    </row>
    <row r="189" s="220" customFormat="true" ht="14.25" hidden="false" customHeight="false" outlineLevel="0" collapsed="false">
      <c r="A189" s="205" t="str">
        <f aca="false">CONCATENATE(F189,",",E189)</f>
        <v>EE 288,ED2-COE</v>
      </c>
      <c r="B189" s="205" t="s">
        <v>1157</v>
      </c>
      <c r="C189" s="205" t="s">
        <v>1557</v>
      </c>
      <c r="D189" s="213" t="n">
        <v>255</v>
      </c>
      <c r="E189" s="205" t="s">
        <v>108</v>
      </c>
      <c r="F189" s="205" t="s">
        <v>518</v>
      </c>
    </row>
    <row r="190" s="220" customFormat="true" ht="14.25" hidden="false" customHeight="false" outlineLevel="0" collapsed="false">
      <c r="A190" s="205" t="str">
        <f aca="false">CONCATENATE(F190,",",E190)</f>
        <v>FC 182,ED2-COE</v>
      </c>
      <c r="B190" s="205" t="s">
        <v>1158</v>
      </c>
      <c r="C190" s="205" t="s">
        <v>1637</v>
      </c>
      <c r="D190" s="213" t="n">
        <v>150</v>
      </c>
      <c r="E190" s="205" t="s">
        <v>108</v>
      </c>
      <c r="F190" s="205" t="s">
        <v>245</v>
      </c>
    </row>
    <row r="191" s="220" customFormat="true" ht="14.25" hidden="false" customHeight="false" outlineLevel="0" collapsed="false">
      <c r="A191" s="205" t="str">
        <f aca="false">CONCATENATE(F191,",",E191)</f>
        <v>MATH 252,ED2-COE</v>
      </c>
      <c r="B191" s="205" t="s">
        <v>998</v>
      </c>
      <c r="C191" s="205" t="s">
        <v>1727</v>
      </c>
      <c r="D191" s="213" t="n">
        <v>255</v>
      </c>
      <c r="E191" s="205" t="s">
        <v>108</v>
      </c>
      <c r="F191" s="205" t="s">
        <v>281</v>
      </c>
    </row>
    <row r="192" s="220" customFormat="true" ht="14.25" hidden="false" customHeight="false" outlineLevel="0" collapsed="false">
      <c r="A192" s="205" t="str">
        <f aca="false">CONCATENATE(F192,",",E192)</f>
        <v>TE 262,ED2-COE</v>
      </c>
      <c r="B192" s="205" t="s">
        <v>1159</v>
      </c>
      <c r="C192" s="205" t="s">
        <v>1565</v>
      </c>
      <c r="D192" s="213" t="n">
        <v>255</v>
      </c>
      <c r="E192" s="205" t="s">
        <v>108</v>
      </c>
      <c r="F192" s="205" t="s">
        <v>166</v>
      </c>
    </row>
    <row r="193" s="220" customFormat="true" ht="14.25" hidden="false" customHeight="false" outlineLevel="0" collapsed="false">
      <c r="A193" s="205" t="str">
        <f aca="false">CONCATENATE(F193,",",E193)</f>
        <v>COE 354,ED3-COE</v>
      </c>
      <c r="B193" s="205" t="s">
        <v>1160</v>
      </c>
      <c r="C193" s="205" t="s">
        <v>1567</v>
      </c>
      <c r="D193" s="213" t="n">
        <v>265</v>
      </c>
      <c r="E193" s="205" t="s">
        <v>16</v>
      </c>
      <c r="F193" s="205" t="s">
        <v>15</v>
      </c>
    </row>
    <row r="194" s="220" customFormat="true" ht="14.25" hidden="false" customHeight="false" outlineLevel="0" collapsed="false">
      <c r="A194" s="205" t="str">
        <f aca="false">CONCATENATE(F194,",",E194)</f>
        <v>COE 356,ED3-COE</v>
      </c>
      <c r="B194" s="205" t="s">
        <v>1161</v>
      </c>
      <c r="C194" s="205" t="s">
        <v>1561</v>
      </c>
      <c r="D194" s="213" t="n">
        <v>265</v>
      </c>
      <c r="E194" s="205" t="s">
        <v>16</v>
      </c>
      <c r="F194" s="205" t="s">
        <v>318</v>
      </c>
    </row>
    <row r="195" s="220" customFormat="true" ht="14.25" hidden="false" customHeight="false" outlineLevel="0" collapsed="false">
      <c r="A195" s="205" t="str">
        <f aca="false">CONCATENATE(F195,",",E195)</f>
        <v>COE 358,ED3-COE</v>
      </c>
      <c r="B195" s="205" t="s">
        <v>1091</v>
      </c>
      <c r="C195" s="205" t="s">
        <v>1567</v>
      </c>
      <c r="D195" s="213" t="n">
        <v>265</v>
      </c>
      <c r="E195" s="205" t="s">
        <v>16</v>
      </c>
      <c r="F195" s="205" t="s">
        <v>259</v>
      </c>
    </row>
    <row r="196" s="220" customFormat="true" ht="14.25" hidden="false" customHeight="false" outlineLevel="0" collapsed="false">
      <c r="A196" s="205" t="str">
        <f aca="false">CONCATENATE(F196,",",E196)</f>
        <v>COE 368,ED3-COE</v>
      </c>
      <c r="B196" s="205" t="s">
        <v>1162</v>
      </c>
      <c r="C196" s="205" t="s">
        <v>1572</v>
      </c>
      <c r="D196" s="213" t="n">
        <v>265</v>
      </c>
      <c r="E196" s="205" t="s">
        <v>16</v>
      </c>
      <c r="F196" s="205" t="s">
        <v>198</v>
      </c>
    </row>
    <row r="197" s="220" customFormat="true" ht="14.25" hidden="false" customHeight="false" outlineLevel="0" collapsed="false">
      <c r="A197" s="205" t="str">
        <f aca="false">CONCATENATE(F197,",",E197)</f>
        <v>COE 372,ED3-COE</v>
      </c>
      <c r="B197" s="205" t="s">
        <v>1163</v>
      </c>
      <c r="C197" s="205" t="s">
        <v>1574</v>
      </c>
      <c r="D197" s="213" t="n">
        <v>265</v>
      </c>
      <c r="E197" s="205" t="s">
        <v>16</v>
      </c>
      <c r="F197" s="205" t="s">
        <v>413</v>
      </c>
    </row>
    <row r="198" s="220" customFormat="true" ht="14.25" hidden="false" customHeight="false" outlineLevel="0" collapsed="false">
      <c r="A198" s="205" t="str">
        <f aca="false">CONCATENATE(F198,",",E198)</f>
        <v>COE 392,ED3-COE</v>
      </c>
      <c r="B198" s="205" t="s">
        <v>1164</v>
      </c>
      <c r="C198" s="205" t="s">
        <v>1567</v>
      </c>
      <c r="D198" s="213" t="n">
        <v>265</v>
      </c>
      <c r="E198" s="205" t="s">
        <v>16</v>
      </c>
      <c r="F198" s="205" t="s">
        <v>1165</v>
      </c>
    </row>
    <row r="199" s="220" customFormat="true" ht="14.25" hidden="false" customHeight="false" outlineLevel="0" collapsed="false">
      <c r="A199" s="205" t="str">
        <f aca="false">CONCATENATE(F199,",",E199)</f>
        <v>COE 454,ED4-COE</v>
      </c>
      <c r="B199" s="205" t="s">
        <v>1166</v>
      </c>
      <c r="C199" s="205" t="s">
        <v>1572</v>
      </c>
      <c r="D199" s="213" t="n">
        <v>115</v>
      </c>
      <c r="E199" s="205" t="s">
        <v>251</v>
      </c>
      <c r="F199" s="205" t="s">
        <v>505</v>
      </c>
    </row>
    <row r="200" s="220" customFormat="true" ht="14.25" hidden="false" customHeight="false" outlineLevel="0" collapsed="false">
      <c r="A200" s="205" t="str">
        <f aca="false">CONCATENATE(F200,",",E200)</f>
        <v>COE 456,ED4-COE</v>
      </c>
      <c r="B200" s="205" t="s">
        <v>1167</v>
      </c>
      <c r="C200" s="205" t="s">
        <v>1579</v>
      </c>
      <c r="D200" s="213" t="n">
        <v>90</v>
      </c>
      <c r="E200" s="205" t="s">
        <v>251</v>
      </c>
      <c r="F200" s="205" t="s">
        <v>432</v>
      </c>
    </row>
    <row r="201" s="220" customFormat="true" ht="14.25" hidden="false" customHeight="false" outlineLevel="0" collapsed="false">
      <c r="A201" s="205" t="str">
        <f aca="false">CONCATENATE(F201,",",E201)</f>
        <v>COE 458,ED4-COE</v>
      </c>
      <c r="B201" s="205" t="s">
        <v>1168</v>
      </c>
      <c r="C201" s="205" t="s">
        <v>1557</v>
      </c>
      <c r="D201" s="213" t="n">
        <v>45</v>
      </c>
      <c r="E201" s="205" t="s">
        <v>251</v>
      </c>
      <c r="F201" s="205" t="s">
        <v>348</v>
      </c>
    </row>
    <row r="202" s="220" customFormat="true" ht="14.25" hidden="false" customHeight="false" outlineLevel="0" collapsed="false">
      <c r="A202" s="205" t="str">
        <f aca="false">CONCATENATE(F202,",",E202)</f>
        <v>COE 472,ED4-COE</v>
      </c>
      <c r="B202" s="205" t="s">
        <v>1094</v>
      </c>
      <c r="C202" s="205" t="s">
        <v>1582</v>
      </c>
      <c r="D202" s="213" t="n">
        <v>160</v>
      </c>
      <c r="E202" s="205" t="s">
        <v>251</v>
      </c>
      <c r="F202" s="205" t="s">
        <v>250</v>
      </c>
    </row>
    <row r="203" s="220" customFormat="true" ht="14.25" hidden="false" customHeight="false" outlineLevel="0" collapsed="false">
      <c r="A203" s="205" t="str">
        <f aca="false">CONCATENATE(F203,",",E203)</f>
        <v>COE 480,ED4-COE</v>
      </c>
      <c r="B203" s="205" t="s">
        <v>1169</v>
      </c>
      <c r="C203" s="205" t="s">
        <v>1584</v>
      </c>
      <c r="D203" s="213" t="n">
        <v>70</v>
      </c>
      <c r="E203" s="205" t="s">
        <v>251</v>
      </c>
      <c r="F203" s="205" t="s">
        <v>457</v>
      </c>
    </row>
    <row r="204" s="220" customFormat="true" ht="14.25" hidden="false" customHeight="false" outlineLevel="0" collapsed="false">
      <c r="A204" s="205" t="str">
        <f aca="false">CONCATENATE(F204,",",E204)</f>
        <v>COE 486,ED4-COE</v>
      </c>
      <c r="B204" s="205" t="s">
        <v>1170</v>
      </c>
      <c r="C204" s="205" t="s">
        <v>1584</v>
      </c>
      <c r="D204" s="213" t="n">
        <v>20</v>
      </c>
      <c r="E204" s="205" t="s">
        <v>251</v>
      </c>
      <c r="F204" s="205" t="s">
        <v>504</v>
      </c>
    </row>
    <row r="205" s="220" customFormat="true" ht="14.25" hidden="false" customHeight="false" outlineLevel="0" collapsed="false">
      <c r="A205" s="205" t="str">
        <f aca="false">CONCATENATE(F205,",",E205)</f>
        <v>ME 492,ED4-COE</v>
      </c>
      <c r="B205" s="205" t="s">
        <v>1015</v>
      </c>
      <c r="C205" s="205" t="s">
        <v>1388</v>
      </c>
      <c r="D205" s="213" t="n">
        <v>160</v>
      </c>
      <c r="E205" s="205" t="s">
        <v>251</v>
      </c>
      <c r="F205" s="205" t="s">
        <v>373</v>
      </c>
    </row>
    <row r="206" s="220" customFormat="true" ht="14.25" hidden="false" customHeight="false" outlineLevel="0" collapsed="false">
      <c r="A206" s="205" t="str">
        <f aca="false">CONCATENATE(F206,",",E206)</f>
        <v>COE 482,ED4-COE</v>
      </c>
      <c r="B206" s="205" t="s">
        <v>1187</v>
      </c>
      <c r="C206" s="205" t="s">
        <v>1970</v>
      </c>
      <c r="D206" s="213" t="n">
        <v>76</v>
      </c>
      <c r="E206" s="205" t="s">
        <v>251</v>
      </c>
      <c r="F206" s="205" t="s">
        <v>1172</v>
      </c>
    </row>
    <row r="207" s="220" customFormat="true" ht="14.25" hidden="false" customHeight="false" outlineLevel="0" collapsed="false">
      <c r="A207" s="205" t="str">
        <f aca="false">CONCATENATE(F207,",",E207)</f>
        <v>EE 158,ED1-EE</v>
      </c>
      <c r="B207" s="205" t="s">
        <v>1971</v>
      </c>
      <c r="C207" s="205" t="s">
        <v>1972</v>
      </c>
      <c r="D207" s="213" t="n">
        <v>340</v>
      </c>
      <c r="E207" s="205" t="s">
        <v>51</v>
      </c>
      <c r="F207" s="205" t="s">
        <v>329</v>
      </c>
    </row>
    <row r="208" s="220" customFormat="true" ht="14.25" hidden="false" customHeight="false" outlineLevel="0" collapsed="false">
      <c r="A208" s="205" t="str">
        <f aca="false">CONCATENATE(F208,",",E208)</f>
        <v>EE 152,ED1-EE</v>
      </c>
      <c r="B208" s="205" t="s">
        <v>990</v>
      </c>
      <c r="C208" s="205" t="s">
        <v>1947</v>
      </c>
      <c r="D208" s="213" t="n">
        <v>295</v>
      </c>
      <c r="E208" s="205" t="s">
        <v>51</v>
      </c>
      <c r="F208" s="205" t="s">
        <v>234</v>
      </c>
    </row>
    <row r="209" s="220" customFormat="true" ht="14.25" hidden="false" customHeight="false" outlineLevel="0" collapsed="false">
      <c r="A209" s="205" t="str">
        <f aca="false">CONCATENATE(F209,",",E209)</f>
        <v>EE 166,ED1-EE</v>
      </c>
      <c r="B209" s="205" t="s">
        <v>1154</v>
      </c>
      <c r="C209" s="205" t="s">
        <v>1606</v>
      </c>
      <c r="D209" s="213" t="n">
        <v>295</v>
      </c>
      <c r="E209" s="205" t="s">
        <v>51</v>
      </c>
      <c r="F209" s="205" t="s">
        <v>184</v>
      </c>
    </row>
    <row r="210" s="220" customFormat="true" ht="14.25" hidden="false" customHeight="false" outlineLevel="0" collapsed="false">
      <c r="A210" s="205" t="str">
        <f aca="false">CONCATENATE(F210,",",E210)</f>
        <v>EE 188,ED1-EE</v>
      </c>
      <c r="B210" s="205" t="s">
        <v>1174</v>
      </c>
      <c r="C210" s="205" t="s">
        <v>1946</v>
      </c>
      <c r="D210" s="213" t="n">
        <v>295</v>
      </c>
      <c r="E210" s="205" t="s">
        <v>51</v>
      </c>
      <c r="F210" s="205" t="s">
        <v>137</v>
      </c>
    </row>
    <row r="211" s="220" customFormat="true" ht="14.25" hidden="false" customHeight="false" outlineLevel="0" collapsed="false">
      <c r="A211" s="205" t="str">
        <f aca="false">CONCATENATE(F211,",",E211)</f>
        <v>ENGL 158,ED1-EE</v>
      </c>
      <c r="B211" s="205" t="s">
        <v>991</v>
      </c>
      <c r="C211" s="205" t="s">
        <v>1629</v>
      </c>
      <c r="D211" s="213" t="n">
        <v>295</v>
      </c>
      <c r="E211" s="205" t="s">
        <v>51</v>
      </c>
      <c r="F211" s="205" t="s">
        <v>364</v>
      </c>
    </row>
    <row r="212" s="220" customFormat="true" ht="14.25" hidden="false" customHeight="false" outlineLevel="0" collapsed="false">
      <c r="A212" s="205" t="str">
        <f aca="false">CONCATENATE(F212,",",E212)</f>
        <v>MATH 152,ED1-EE</v>
      </c>
      <c r="B212" s="205" t="s">
        <v>992</v>
      </c>
      <c r="C212" s="205" t="s">
        <v>1724</v>
      </c>
      <c r="D212" s="213" t="n">
        <v>295</v>
      </c>
      <c r="E212" s="205" t="s">
        <v>51</v>
      </c>
      <c r="F212" s="205" t="s">
        <v>129</v>
      </c>
    </row>
    <row r="213" s="220" customFormat="true" ht="14.25" hidden="false" customHeight="false" outlineLevel="0" collapsed="false">
      <c r="A213" s="205" t="str">
        <f aca="false">CONCATENATE(F213,",",E213)</f>
        <v>EE 156,ED1-EE</v>
      </c>
      <c r="B213" s="205" t="s">
        <v>1151</v>
      </c>
      <c r="C213" s="205" t="s">
        <v>1599</v>
      </c>
      <c r="D213" s="213" t="n">
        <v>295</v>
      </c>
      <c r="E213" s="205" t="s">
        <v>51</v>
      </c>
      <c r="F213" s="205" t="s">
        <v>19</v>
      </c>
    </row>
    <row r="214" s="220" customFormat="true" ht="14.25" hidden="false" customHeight="false" outlineLevel="0" collapsed="false">
      <c r="A214" s="205" t="str">
        <f aca="false">CONCATENATE(F214,",",E214)</f>
        <v>ME 166,ED1-EE</v>
      </c>
      <c r="B214" s="205" t="s">
        <v>1175</v>
      </c>
      <c r="C214" s="205" t="s">
        <v>1741</v>
      </c>
      <c r="D214" s="213" t="n">
        <v>295</v>
      </c>
      <c r="E214" s="205" t="s">
        <v>51</v>
      </c>
      <c r="F214" s="205" t="s">
        <v>421</v>
      </c>
    </row>
    <row r="215" s="220" customFormat="true" ht="14.25" hidden="false" customHeight="false" outlineLevel="0" collapsed="false">
      <c r="A215" s="205" t="str">
        <f aca="false">CONCATENATE(F215,",",E215)</f>
        <v>ECON 152,ED2-EE</v>
      </c>
      <c r="B215" s="205" t="s">
        <v>1144</v>
      </c>
      <c r="C215" s="205" t="s">
        <v>1594</v>
      </c>
      <c r="D215" s="213" t="n">
        <v>150</v>
      </c>
      <c r="E215" s="205" t="s">
        <v>25</v>
      </c>
      <c r="F215" s="205" t="s">
        <v>406</v>
      </c>
    </row>
    <row r="216" s="220" customFormat="true" ht="14.25" hidden="false" customHeight="false" outlineLevel="0" collapsed="false">
      <c r="A216" s="205" t="str">
        <f aca="false">CONCATENATE(F216,",",E216)</f>
        <v>EE 258,ED2-EE</v>
      </c>
      <c r="B216" s="205" t="s">
        <v>1973</v>
      </c>
      <c r="C216" s="205" t="s">
        <v>1620</v>
      </c>
      <c r="D216" s="213" t="n">
        <v>340</v>
      </c>
      <c r="E216" s="205" t="s">
        <v>25</v>
      </c>
      <c r="F216" s="205" t="s">
        <v>305</v>
      </c>
    </row>
    <row r="217" s="220" customFormat="true" ht="14.25" hidden="false" customHeight="false" outlineLevel="0" collapsed="false">
      <c r="A217" s="205" t="str">
        <f aca="false">CONCATENATE(F217,",",E217)</f>
        <v>EE 262,ED2-EE</v>
      </c>
      <c r="B217" s="205" t="s">
        <v>1974</v>
      </c>
      <c r="C217" s="205" t="s">
        <v>1611</v>
      </c>
      <c r="D217" s="213" t="n">
        <v>340</v>
      </c>
      <c r="E217" s="205" t="s">
        <v>25</v>
      </c>
      <c r="F217" s="205" t="s">
        <v>365</v>
      </c>
    </row>
    <row r="218" s="220" customFormat="true" ht="14.25" hidden="false" customHeight="false" outlineLevel="0" collapsed="false">
      <c r="A218" s="205" t="str">
        <f aca="false">CONCATENATE(F218,",",E218)</f>
        <v>EE 272,ED2-EE</v>
      </c>
      <c r="B218" s="205" t="s">
        <v>1177</v>
      </c>
      <c r="C218" s="205" t="s">
        <v>1586</v>
      </c>
      <c r="D218" s="213" t="n">
        <v>340</v>
      </c>
      <c r="E218" s="205" t="s">
        <v>25</v>
      </c>
      <c r="F218" s="205" t="s">
        <v>24</v>
      </c>
    </row>
    <row r="219" s="220" customFormat="true" ht="14.25" hidden="false" customHeight="false" outlineLevel="0" collapsed="false">
      <c r="A219" s="205" t="str">
        <f aca="false">CONCATENATE(F219,",",E219)</f>
        <v>EE 292,ED2-EE</v>
      </c>
      <c r="B219" s="205" t="s">
        <v>1179</v>
      </c>
      <c r="C219" s="205" t="s">
        <v>1615</v>
      </c>
      <c r="D219" s="213" t="n">
        <v>340</v>
      </c>
      <c r="E219" s="205" t="s">
        <v>25</v>
      </c>
      <c r="F219" s="205" t="s">
        <v>1180</v>
      </c>
    </row>
    <row r="220" s="220" customFormat="true" ht="14.25" hidden="false" customHeight="false" outlineLevel="0" collapsed="false">
      <c r="A220" s="205" t="str">
        <f aca="false">CONCATENATE(F220,",",E220)</f>
        <v>FC 182,ED2-EE</v>
      </c>
      <c r="B220" s="205" t="s">
        <v>1085</v>
      </c>
      <c r="C220" s="205" t="s">
        <v>1639</v>
      </c>
      <c r="D220" s="213" t="n">
        <v>170</v>
      </c>
      <c r="E220" s="205" t="s">
        <v>25</v>
      </c>
      <c r="F220" s="205" t="s">
        <v>245</v>
      </c>
    </row>
    <row r="221" s="220" customFormat="true" ht="14.25" hidden="false" customHeight="false" outlineLevel="0" collapsed="false">
      <c r="A221" s="205" t="str">
        <f aca="false">CONCATENATE(F221,",",E221)</f>
        <v>MATH 252,ED2-EE</v>
      </c>
      <c r="B221" s="205" t="s">
        <v>998</v>
      </c>
      <c r="C221" s="205" t="s">
        <v>1975</v>
      </c>
      <c r="D221" s="213" t="n">
        <v>340</v>
      </c>
      <c r="E221" s="205" t="s">
        <v>25</v>
      </c>
      <c r="F221" s="205" t="s">
        <v>281</v>
      </c>
    </row>
    <row r="222" s="220" customFormat="true" ht="14.25" hidden="false" customHeight="false" outlineLevel="0" collapsed="false">
      <c r="A222" s="205" t="str">
        <f aca="false">CONCATENATE(F222,",",E222)</f>
        <v>TE 254,ED2-EE</v>
      </c>
      <c r="B222" s="205" t="s">
        <v>1159</v>
      </c>
      <c r="C222" s="205" t="s">
        <v>1923</v>
      </c>
      <c r="D222" s="213" t="n">
        <v>340</v>
      </c>
      <c r="E222" s="205" t="s">
        <v>25</v>
      </c>
      <c r="F222" s="205" t="s">
        <v>235</v>
      </c>
    </row>
    <row r="223" s="221" customFormat="true" ht="14.25" hidden="false" customHeight="false" outlineLevel="0" collapsed="false">
      <c r="A223" s="205" t="str">
        <f aca="false">CONCATENATE(F223,",",E223)</f>
        <v>COE 382,ED3-EE</v>
      </c>
      <c r="B223" s="205" t="s">
        <v>1182</v>
      </c>
      <c r="C223" s="205" t="s">
        <v>1574</v>
      </c>
      <c r="D223" s="213" t="n">
        <v>29</v>
      </c>
      <c r="E223" s="205" t="s">
        <v>71</v>
      </c>
      <c r="F223" s="205" t="s">
        <v>412</v>
      </c>
    </row>
    <row r="224" s="220" customFormat="true" ht="14.25" hidden="false" customHeight="false" outlineLevel="0" collapsed="false">
      <c r="A224" s="205" t="str">
        <f aca="false">CONCATENATE(F224,",",E224)</f>
        <v>EE 360,ED3-EE</v>
      </c>
      <c r="B224" s="205" t="s">
        <v>1183</v>
      </c>
      <c r="C224" s="205" t="s">
        <v>1611</v>
      </c>
      <c r="D224" s="213" t="n">
        <v>185</v>
      </c>
      <c r="E224" s="205" t="s">
        <v>71</v>
      </c>
      <c r="F224" s="205" t="s">
        <v>381</v>
      </c>
    </row>
    <row r="225" s="220" customFormat="true" ht="14.25" hidden="false" customHeight="false" outlineLevel="0" collapsed="false">
      <c r="A225" s="205" t="str">
        <f aca="false">CONCATENATE(F225,",",E225)</f>
        <v>EE 362,ED3-EE</v>
      </c>
      <c r="B225" s="205" t="s">
        <v>1184</v>
      </c>
      <c r="C225" s="205" t="s">
        <v>1618</v>
      </c>
      <c r="D225" s="213" t="n">
        <v>240</v>
      </c>
      <c r="E225" s="205" t="s">
        <v>71</v>
      </c>
      <c r="F225" s="205" t="s">
        <v>70</v>
      </c>
    </row>
    <row r="226" s="220" customFormat="true" ht="14.25" hidden="false" customHeight="false" outlineLevel="0" collapsed="false">
      <c r="A226" s="205" t="str">
        <f aca="false">CONCATENATE(F226,",",E226)</f>
        <v>EE 366,ED3-EE</v>
      </c>
      <c r="B226" s="205" t="s">
        <v>1185</v>
      </c>
      <c r="C226" s="205" t="s">
        <v>1620</v>
      </c>
      <c r="D226" s="213" t="n">
        <v>240</v>
      </c>
      <c r="E226" s="205" t="s">
        <v>71</v>
      </c>
      <c r="F226" s="205" t="s">
        <v>286</v>
      </c>
    </row>
    <row r="227" s="220" customFormat="true" ht="14.25" hidden="false" customHeight="false" outlineLevel="0" collapsed="false">
      <c r="A227" s="205" t="str">
        <f aca="false">CONCATENATE(F227,",",E227)</f>
        <v>EE 368,ED3-EE</v>
      </c>
      <c r="B227" s="205" t="s">
        <v>1186</v>
      </c>
      <c r="C227" s="205" t="s">
        <v>1606</v>
      </c>
      <c r="D227" s="213" t="n">
        <v>240</v>
      </c>
      <c r="E227" s="205" t="s">
        <v>71</v>
      </c>
      <c r="F227" s="205" t="s">
        <v>517</v>
      </c>
    </row>
    <row r="228" s="220" customFormat="true" ht="14.25" hidden="false" customHeight="false" outlineLevel="0" collapsed="false">
      <c r="A228" s="205" t="str">
        <f aca="false">CONCATENATE(F228,",",E228)</f>
        <v>EE 380,ED3-EE</v>
      </c>
      <c r="B228" s="205" t="s">
        <v>1187</v>
      </c>
      <c r="C228" s="205" t="s">
        <v>1586</v>
      </c>
      <c r="D228" s="213" t="n">
        <v>70</v>
      </c>
      <c r="E228" s="205" t="s">
        <v>71</v>
      </c>
      <c r="F228" s="205" t="s">
        <v>233</v>
      </c>
    </row>
    <row r="229" s="220" customFormat="true" ht="14.25" hidden="false" customHeight="false" outlineLevel="0" collapsed="false">
      <c r="A229" s="205" t="str">
        <f aca="false">CONCATENATE(F229,",",E229)</f>
        <v>EE 392,ED3-EE</v>
      </c>
      <c r="B229" s="205" t="s">
        <v>1188</v>
      </c>
      <c r="C229" s="205" t="s">
        <v>1976</v>
      </c>
      <c r="D229" s="213" t="n">
        <v>240</v>
      </c>
      <c r="E229" s="205" t="s">
        <v>71</v>
      </c>
      <c r="F229" s="205" t="s">
        <v>1189</v>
      </c>
    </row>
    <row r="230" s="220" customFormat="true" ht="14.25" hidden="false" customHeight="false" outlineLevel="0" collapsed="false">
      <c r="A230" s="205" t="str">
        <f aca="false">CONCATENATE(F230,",",E230)</f>
        <v>TE 372,ED3-EE</v>
      </c>
      <c r="B230" s="205" t="s">
        <v>1190</v>
      </c>
      <c r="C230" s="205" t="s">
        <v>1920</v>
      </c>
      <c r="D230" s="213" t="n">
        <v>170</v>
      </c>
      <c r="E230" s="205" t="s">
        <v>71</v>
      </c>
      <c r="F230" s="205" t="s">
        <v>308</v>
      </c>
    </row>
    <row r="231" s="220" customFormat="true" ht="14.25" hidden="false" customHeight="false" outlineLevel="0" collapsed="false">
      <c r="A231" s="205" t="str">
        <f aca="false">CONCATENATE(F231,",",E231)</f>
        <v>TE 384,ED3-EE</v>
      </c>
      <c r="B231" s="205" t="s">
        <v>1191</v>
      </c>
      <c r="C231" s="205" t="s">
        <v>1925</v>
      </c>
      <c r="D231" s="213" t="n">
        <v>10</v>
      </c>
      <c r="E231" s="205" t="s">
        <v>71</v>
      </c>
      <c r="F231" s="205" t="s">
        <v>117</v>
      </c>
    </row>
    <row r="232" s="220" customFormat="true" ht="14.25" hidden="false" customHeight="false" outlineLevel="0" collapsed="false">
      <c r="A232" s="205" t="str">
        <f aca="false">CONCATENATE(F232,",",E232)</f>
        <v>TE 386,ED3-EE</v>
      </c>
      <c r="B232" s="205" t="s">
        <v>1192</v>
      </c>
      <c r="C232" s="205" t="s">
        <v>1972</v>
      </c>
      <c r="D232" s="213" t="n">
        <v>240</v>
      </c>
      <c r="E232" s="205" t="s">
        <v>71</v>
      </c>
      <c r="F232" s="205" t="s">
        <v>465</v>
      </c>
    </row>
    <row r="233" s="220" customFormat="true" ht="14.25" hidden="false" customHeight="false" outlineLevel="0" collapsed="false">
      <c r="A233" s="205" t="str">
        <f aca="false">CONCATENATE(F233,",",E233)</f>
        <v>EE 484,ED4-EE</v>
      </c>
      <c r="B233" s="205" t="s">
        <v>1193</v>
      </c>
      <c r="C233" s="205" t="s">
        <v>1586</v>
      </c>
      <c r="D233" s="213" t="n">
        <v>205</v>
      </c>
      <c r="E233" s="205" t="s">
        <v>144</v>
      </c>
      <c r="F233" s="205" t="s">
        <v>447</v>
      </c>
    </row>
    <row r="234" s="220" customFormat="true" ht="14.25" hidden="false" customHeight="false" outlineLevel="0" collapsed="false">
      <c r="A234" s="205" t="str">
        <f aca="false">CONCATENATE(F234,",",E234)</f>
        <v>COE 486,ED4-EE</v>
      </c>
      <c r="B234" s="205" t="s">
        <v>1195</v>
      </c>
      <c r="C234" s="205" t="s">
        <v>1584</v>
      </c>
      <c r="D234" s="213" t="n">
        <v>15</v>
      </c>
      <c r="E234" s="205" t="s">
        <v>144</v>
      </c>
      <c r="F234" s="205" t="s">
        <v>504</v>
      </c>
    </row>
    <row r="235" s="220" customFormat="true" ht="14.25" hidden="false" customHeight="false" outlineLevel="0" collapsed="false">
      <c r="A235" s="205" t="str">
        <f aca="false">CONCATENATE(F235,",",E235)</f>
        <v>EE 462,ED4-EE</v>
      </c>
      <c r="B235" s="205" t="s">
        <v>1196</v>
      </c>
      <c r="C235" s="205" t="s">
        <v>1620</v>
      </c>
      <c r="D235" s="213" t="n">
        <v>189</v>
      </c>
      <c r="E235" s="205" t="s">
        <v>144</v>
      </c>
      <c r="F235" s="205" t="s">
        <v>143</v>
      </c>
    </row>
    <row r="236" s="220" customFormat="true" ht="14.25" hidden="false" customHeight="false" outlineLevel="0" collapsed="false">
      <c r="A236" s="205" t="str">
        <f aca="false">CONCATENATE(F236,",",E236)</f>
        <v>EE 466,ED4-EE</v>
      </c>
      <c r="B236" s="205" t="s">
        <v>1197</v>
      </c>
      <c r="C236" s="205" t="s">
        <v>1618</v>
      </c>
      <c r="D236" s="213" t="n">
        <v>165</v>
      </c>
      <c r="E236" s="205" t="s">
        <v>144</v>
      </c>
      <c r="F236" s="205" t="s">
        <v>353</v>
      </c>
    </row>
    <row r="237" s="220" customFormat="true" ht="14.25" hidden="false" customHeight="false" outlineLevel="0" collapsed="false">
      <c r="A237" s="205" t="str">
        <f aca="false">CONCATENATE(F237,",",E237)</f>
        <v>EE 468,ED4-EE</v>
      </c>
      <c r="B237" s="205" t="s">
        <v>1198</v>
      </c>
      <c r="C237" s="205" t="s">
        <v>1615</v>
      </c>
      <c r="D237" s="213" t="n">
        <v>205</v>
      </c>
      <c r="E237" s="205" t="s">
        <v>144</v>
      </c>
      <c r="F237" s="205" t="s">
        <v>267</v>
      </c>
    </row>
    <row r="238" s="220" customFormat="true" ht="14.25" hidden="false" customHeight="false" outlineLevel="0" collapsed="false">
      <c r="A238" s="205" t="str">
        <f aca="false">CONCATENATE(F238,",",E238)</f>
        <v>EE 472,ED4-EE</v>
      </c>
      <c r="B238" s="205" t="s">
        <v>1094</v>
      </c>
      <c r="C238" s="205" t="s">
        <v>1627</v>
      </c>
      <c r="D238" s="213" t="n">
        <v>12</v>
      </c>
      <c r="E238" s="205" t="s">
        <v>144</v>
      </c>
      <c r="F238" s="205" t="s">
        <v>307</v>
      </c>
    </row>
    <row r="239" s="220" customFormat="true" ht="14.25" hidden="false" customHeight="false" outlineLevel="0" collapsed="false">
      <c r="A239" s="205" t="str">
        <f aca="false">CONCATENATE(F239,",",E239)</f>
        <v>ME 492,ED4-EE</v>
      </c>
      <c r="B239" s="205" t="s">
        <v>1199</v>
      </c>
      <c r="C239" s="205" t="s">
        <v>1435</v>
      </c>
      <c r="D239" s="213" t="n">
        <v>205</v>
      </c>
      <c r="E239" s="205" t="s">
        <v>144</v>
      </c>
      <c r="F239" s="205" t="s">
        <v>373</v>
      </c>
    </row>
    <row r="240" s="220" customFormat="true" ht="14.25" hidden="false" customHeight="false" outlineLevel="0" collapsed="false">
      <c r="A240" s="205" t="str">
        <f aca="false">CONCATENATE(F240,",",E240)</f>
        <v>TE 472,ED4-EE</v>
      </c>
      <c r="B240" s="205" t="s">
        <v>1373</v>
      </c>
      <c r="C240" s="205" t="s">
        <v>1935</v>
      </c>
      <c r="D240" s="213" t="n">
        <v>4</v>
      </c>
      <c r="E240" s="205" t="s">
        <v>144</v>
      </c>
      <c r="F240" s="205" t="s">
        <v>306</v>
      </c>
    </row>
    <row r="241" s="220" customFormat="true" ht="14.25" hidden="false" customHeight="false" outlineLevel="0" collapsed="false">
      <c r="A241" s="205" t="str">
        <f aca="false">CONCATENATE(F241,",",E241)</f>
        <v>CE 156,ED1-GEOL</v>
      </c>
      <c r="B241" s="205" t="s">
        <v>1098</v>
      </c>
      <c r="C241" s="205" t="s">
        <v>1464</v>
      </c>
      <c r="D241" s="213" t="n">
        <v>125</v>
      </c>
      <c r="E241" s="205" t="s">
        <v>126</v>
      </c>
      <c r="F241" s="205" t="s">
        <v>461</v>
      </c>
    </row>
    <row r="242" s="220" customFormat="true" ht="14.25" hidden="false" customHeight="false" outlineLevel="0" collapsed="false">
      <c r="A242" s="205" t="str">
        <f aca="false">CONCATENATE(F242,",",E242)</f>
        <v>CE 164,ED1-GEOL</v>
      </c>
      <c r="B242" s="205" t="s">
        <v>1099</v>
      </c>
      <c r="C242" s="205" t="s">
        <v>1466</v>
      </c>
      <c r="D242" s="213" t="n">
        <v>125</v>
      </c>
      <c r="E242" s="205" t="s">
        <v>126</v>
      </c>
      <c r="F242" s="205" t="s">
        <v>182</v>
      </c>
    </row>
    <row r="243" s="220" customFormat="true" ht="14.25" hidden="false" customHeight="false" outlineLevel="0" collapsed="false">
      <c r="A243" s="205" t="str">
        <f aca="false">CONCATENATE(F243,",",E243)</f>
        <v>ACF 256,ED1-GEOL</v>
      </c>
      <c r="B243" s="205" t="s">
        <v>1200</v>
      </c>
      <c r="C243" s="205" t="s">
        <v>1977</v>
      </c>
      <c r="D243" s="213" t="n">
        <v>5</v>
      </c>
      <c r="E243" s="205" t="s">
        <v>126</v>
      </c>
      <c r="F243" s="205" t="s">
        <v>424</v>
      </c>
    </row>
    <row r="244" s="220" customFormat="true" ht="14.25" hidden="false" customHeight="false" outlineLevel="0" collapsed="false">
      <c r="A244" s="205" t="str">
        <f aca="false">CONCATENATE(F244,",",E244)</f>
        <v>ECON 152,ED1-GEOL</v>
      </c>
      <c r="B244" s="205" t="s">
        <v>1144</v>
      </c>
      <c r="C244" s="205" t="s">
        <v>1978</v>
      </c>
      <c r="D244" s="213" t="n">
        <v>30</v>
      </c>
      <c r="E244" s="205" t="s">
        <v>126</v>
      </c>
      <c r="F244" s="205" t="s">
        <v>406</v>
      </c>
    </row>
    <row r="245" s="220" customFormat="true" ht="14.25" hidden="false" customHeight="false" outlineLevel="0" collapsed="false">
      <c r="A245" s="205" t="str">
        <f aca="false">CONCATENATE(F245,",",E245)</f>
        <v>EE 152,ED1-GEOL</v>
      </c>
      <c r="B245" s="205" t="s">
        <v>990</v>
      </c>
      <c r="C245" s="205" t="s">
        <v>1599</v>
      </c>
      <c r="D245" s="213" t="n">
        <v>125</v>
      </c>
      <c r="E245" s="205" t="s">
        <v>126</v>
      </c>
      <c r="F245" s="205" t="s">
        <v>234</v>
      </c>
    </row>
    <row r="246" s="220" customFormat="true" ht="14.25" hidden="false" customHeight="false" outlineLevel="0" collapsed="false">
      <c r="A246" s="205" t="str">
        <f aca="false">CONCATENATE(F246,",",E246)</f>
        <v>ENGL 158,ED1-GEOL</v>
      </c>
      <c r="B246" s="205" t="s">
        <v>991</v>
      </c>
      <c r="C246" s="205" t="s">
        <v>1629</v>
      </c>
      <c r="D246" s="213" t="n">
        <v>125</v>
      </c>
      <c r="E246" s="205" t="s">
        <v>126</v>
      </c>
      <c r="F246" s="205" t="s">
        <v>364</v>
      </c>
    </row>
    <row r="247" s="220" customFormat="true" ht="14.25" hidden="false" customHeight="false" outlineLevel="0" collapsed="false">
      <c r="A247" s="205" t="str">
        <f aca="false">CONCATENATE(F247,",",E247)</f>
        <v>FC 182,ED1-GEOL</v>
      </c>
      <c r="B247" s="205" t="s">
        <v>1085</v>
      </c>
      <c r="C247" s="205" t="s">
        <v>1638</v>
      </c>
      <c r="D247" s="213" t="n">
        <v>90</v>
      </c>
      <c r="E247" s="205" t="s">
        <v>126</v>
      </c>
      <c r="F247" s="205" t="s">
        <v>245</v>
      </c>
    </row>
    <row r="248" s="220" customFormat="true" ht="14.25" hidden="false" customHeight="false" outlineLevel="0" collapsed="false">
      <c r="A248" s="205" t="str">
        <f aca="false">CONCATENATE(F248,",",E248)</f>
        <v>GED 152,ED1-GEOL</v>
      </c>
      <c r="B248" s="205" t="s">
        <v>1201</v>
      </c>
      <c r="C248" s="205" t="s">
        <v>1668</v>
      </c>
      <c r="D248" s="213" t="n">
        <v>125</v>
      </c>
      <c r="E248" s="205" t="s">
        <v>126</v>
      </c>
      <c r="F248" s="205" t="s">
        <v>354</v>
      </c>
    </row>
    <row r="249" s="220" customFormat="true" ht="14.25" hidden="false" customHeight="false" outlineLevel="0" collapsed="false">
      <c r="A249" s="205" t="str">
        <f aca="false">CONCATENATE(F249,",",E249)</f>
        <v>GED 164,ED1-GEOL</v>
      </c>
      <c r="B249" s="205" t="s">
        <v>1202</v>
      </c>
      <c r="C249" s="205" t="s">
        <v>1979</v>
      </c>
      <c r="D249" s="213" t="n">
        <v>125</v>
      </c>
      <c r="E249" s="205" t="s">
        <v>126</v>
      </c>
      <c r="F249" s="205" t="s">
        <v>125</v>
      </c>
    </row>
    <row r="250" s="220" customFormat="true" ht="14.25" hidden="false" customHeight="false" outlineLevel="0" collapsed="false">
      <c r="A250" s="205" t="str">
        <f aca="false">CONCATENATE(F250,",",E250)</f>
        <v>MATH 152,ED1-GEOL</v>
      </c>
      <c r="B250" s="205" t="s">
        <v>992</v>
      </c>
      <c r="C250" s="205" t="s">
        <v>1725</v>
      </c>
      <c r="D250" s="213" t="n">
        <v>125</v>
      </c>
      <c r="E250" s="205" t="s">
        <v>126</v>
      </c>
      <c r="F250" s="205" t="s">
        <v>129</v>
      </c>
    </row>
    <row r="251" s="220" customFormat="true" ht="14.25" hidden="false" customHeight="false" outlineLevel="0" collapsed="false">
      <c r="A251" s="205" t="str">
        <f aca="false">CONCATENATE(F251,",",E251)</f>
        <v>CE 256,ED2-GEOL</v>
      </c>
      <c r="B251" s="205" t="s">
        <v>1101</v>
      </c>
      <c r="C251" s="205" t="s">
        <v>1468</v>
      </c>
      <c r="D251" s="213" t="n">
        <v>150</v>
      </c>
      <c r="E251" s="205" t="s">
        <v>55</v>
      </c>
      <c r="F251" s="205" t="s">
        <v>54</v>
      </c>
    </row>
    <row r="252" s="220" customFormat="true" ht="14.25" hidden="false" customHeight="false" outlineLevel="0" collapsed="false">
      <c r="A252" s="205" t="str">
        <f aca="false">CONCATENATE(F252,",",E252)</f>
        <v>GE 282,ED2-GEOL</v>
      </c>
      <c r="B252" s="205" t="s">
        <v>1107</v>
      </c>
      <c r="C252" s="205" t="s">
        <v>1650</v>
      </c>
      <c r="D252" s="213" t="n">
        <v>150</v>
      </c>
      <c r="E252" s="205" t="s">
        <v>55</v>
      </c>
      <c r="F252" s="205" t="s">
        <v>489</v>
      </c>
    </row>
    <row r="253" s="220" customFormat="true" ht="14.25" hidden="false" customHeight="false" outlineLevel="0" collapsed="false">
      <c r="A253" s="205" t="str">
        <f aca="false">CONCATENATE(F253,",",E253)</f>
        <v>GED 252,ED2-GEOL</v>
      </c>
      <c r="B253" s="205" t="s">
        <v>1203</v>
      </c>
      <c r="C253" s="205" t="s">
        <v>1672</v>
      </c>
      <c r="D253" s="213" t="n">
        <v>150</v>
      </c>
      <c r="E253" s="205" t="s">
        <v>55</v>
      </c>
      <c r="F253" s="205" t="s">
        <v>224</v>
      </c>
    </row>
    <row r="254" s="220" customFormat="true" ht="14.25" hidden="false" customHeight="false" outlineLevel="0" collapsed="false">
      <c r="A254" s="205" t="str">
        <f aca="false">CONCATENATE(F254,",",E254)</f>
        <v>GED 254,ED2-GEOL</v>
      </c>
      <c r="B254" s="205" t="s">
        <v>1204</v>
      </c>
      <c r="C254" s="205" t="s">
        <v>1674</v>
      </c>
      <c r="D254" s="213" t="n">
        <v>150</v>
      </c>
      <c r="E254" s="205" t="s">
        <v>55</v>
      </c>
      <c r="F254" s="205" t="s">
        <v>399</v>
      </c>
    </row>
    <row r="255" s="220" customFormat="true" ht="14.25" hidden="false" customHeight="false" outlineLevel="0" collapsed="false">
      <c r="A255" s="205" t="str">
        <f aca="false">CONCATENATE(F255,",",E255)</f>
        <v>GED 258,ED2-GEOL</v>
      </c>
      <c r="B255" s="205" t="s">
        <v>1205</v>
      </c>
      <c r="C255" s="205" t="s">
        <v>1686</v>
      </c>
      <c r="D255" s="213" t="n">
        <v>150</v>
      </c>
      <c r="E255" s="205" t="s">
        <v>55</v>
      </c>
      <c r="F255" s="205" t="s">
        <v>369</v>
      </c>
    </row>
    <row r="256" s="220" customFormat="true" ht="14.25" hidden="false" customHeight="false" outlineLevel="0" collapsed="false">
      <c r="A256" s="205" t="str">
        <f aca="false">CONCATENATE(F256,",",E256)</f>
        <v>GED 262,ED2-GEOL</v>
      </c>
      <c r="B256" s="205" t="s">
        <v>1206</v>
      </c>
      <c r="C256" s="205" t="s">
        <v>1678</v>
      </c>
      <c r="D256" s="213" t="n">
        <v>150</v>
      </c>
      <c r="E256" s="205" t="s">
        <v>55</v>
      </c>
      <c r="F256" s="205" t="s">
        <v>247</v>
      </c>
    </row>
    <row r="257" s="220" customFormat="true" ht="14.25" hidden="false" customHeight="false" outlineLevel="0" collapsed="false">
      <c r="A257" s="205" t="str">
        <f aca="false">CONCATENATE(F257,",",E257)</f>
        <v>MATH 252,ED2-GEOL</v>
      </c>
      <c r="B257" s="205" t="s">
        <v>998</v>
      </c>
      <c r="C257" s="205" t="s">
        <v>1727</v>
      </c>
      <c r="D257" s="213" t="n">
        <v>150</v>
      </c>
      <c r="E257" s="205" t="s">
        <v>55</v>
      </c>
      <c r="F257" s="205" t="s">
        <v>281</v>
      </c>
    </row>
    <row r="258" s="220" customFormat="true" ht="14.25" hidden="false" customHeight="false" outlineLevel="0" collapsed="false">
      <c r="A258" s="205" t="str">
        <f aca="false">CONCATENATE(F258,",",E258)</f>
        <v>GED 342,ED3-GEOL</v>
      </c>
      <c r="B258" s="205" t="s">
        <v>1208</v>
      </c>
      <c r="C258" s="205" t="s">
        <v>1680</v>
      </c>
      <c r="D258" s="213" t="n">
        <v>154</v>
      </c>
      <c r="E258" s="205" t="s">
        <v>154</v>
      </c>
      <c r="F258" s="205" t="s">
        <v>497</v>
      </c>
    </row>
    <row r="259" s="220" customFormat="true" ht="14.25" hidden="false" customHeight="false" outlineLevel="0" collapsed="false">
      <c r="A259" s="205" t="str">
        <f aca="false">CONCATENATE(F259,",",E259)</f>
        <v>GED 352,ED3-GEOL</v>
      </c>
      <c r="B259" s="205" t="s">
        <v>1209</v>
      </c>
      <c r="C259" s="205" t="s">
        <v>1682</v>
      </c>
      <c r="D259" s="213" t="n">
        <v>154</v>
      </c>
      <c r="E259" s="205" t="s">
        <v>154</v>
      </c>
      <c r="F259" s="205" t="s">
        <v>153</v>
      </c>
    </row>
    <row r="260" s="220" customFormat="true" ht="14.25" hidden="false" customHeight="false" outlineLevel="0" collapsed="false">
      <c r="A260" s="205" t="str">
        <f aca="false">CONCATENATE(F260,",",E260)</f>
        <v>GED 354,ED3-GEOL</v>
      </c>
      <c r="B260" s="205" t="s">
        <v>1980</v>
      </c>
      <c r="C260" s="205" t="s">
        <v>1700</v>
      </c>
      <c r="D260" s="213" t="n">
        <v>154</v>
      </c>
      <c r="E260" s="205" t="s">
        <v>154</v>
      </c>
      <c r="F260" s="205" t="s">
        <v>246</v>
      </c>
    </row>
    <row r="261" s="220" customFormat="true" ht="14.25" hidden="false" customHeight="false" outlineLevel="0" collapsed="false">
      <c r="A261" s="205" t="str">
        <f aca="false">CONCATENATE(F261,",",E261)</f>
        <v>GED 364,ED3-GEOL</v>
      </c>
      <c r="B261" s="205" t="s">
        <v>1211</v>
      </c>
      <c r="C261" s="205" t="s">
        <v>1686</v>
      </c>
      <c r="D261" s="213" t="n">
        <v>154</v>
      </c>
      <c r="E261" s="205" t="s">
        <v>154</v>
      </c>
      <c r="F261" s="205" t="s">
        <v>437</v>
      </c>
    </row>
    <row r="262" s="220" customFormat="true" ht="14.25" hidden="false" customHeight="false" outlineLevel="0" collapsed="false">
      <c r="A262" s="205" t="str">
        <f aca="false">CONCATENATE(F262,",",E262)</f>
        <v>GED 366,ED3-GEOL</v>
      </c>
      <c r="B262" s="205" t="s">
        <v>1212</v>
      </c>
      <c r="C262" s="205" t="s">
        <v>1688</v>
      </c>
      <c r="D262" s="213" t="n">
        <v>154</v>
      </c>
      <c r="E262" s="205" t="s">
        <v>154</v>
      </c>
      <c r="F262" s="205" t="s">
        <v>379</v>
      </c>
    </row>
    <row r="263" s="220" customFormat="true" ht="14.25" hidden="false" customHeight="false" outlineLevel="0" collapsed="false">
      <c r="A263" s="205" t="str">
        <f aca="false">CONCATENATE(F263,",",E263)</f>
        <v>GED 368,ED3-GEOL</v>
      </c>
      <c r="B263" s="205" t="s">
        <v>1213</v>
      </c>
      <c r="C263" s="205" t="s">
        <v>1668</v>
      </c>
      <c r="D263" s="213" t="n">
        <v>154</v>
      </c>
      <c r="E263" s="205" t="s">
        <v>154</v>
      </c>
      <c r="F263" s="205" t="s">
        <v>222</v>
      </c>
    </row>
    <row r="264" s="220" customFormat="true" ht="14.25" hidden="false" customHeight="false" outlineLevel="0" collapsed="false">
      <c r="A264" s="205" t="str">
        <f aca="false">CONCATENATE(F264,",",E264)</f>
        <v>GED 370,ED3-GEOL</v>
      </c>
      <c r="B264" s="205" t="s">
        <v>1110</v>
      </c>
      <c r="C264" s="205" t="s">
        <v>1678</v>
      </c>
      <c r="D264" s="213" t="n">
        <v>154</v>
      </c>
      <c r="E264" s="205" t="s">
        <v>154</v>
      </c>
      <c r="F264" s="205" t="s">
        <v>335</v>
      </c>
    </row>
    <row r="265" s="220" customFormat="true" ht="14.25" hidden="false" customHeight="false" outlineLevel="0" collapsed="false">
      <c r="A265" s="205" t="str">
        <f aca="false">CONCATENATE(F265,",",E265)</f>
        <v>CE 478,ED4-GEOL</v>
      </c>
      <c r="B265" s="205" t="s">
        <v>1125</v>
      </c>
      <c r="C265" s="205" t="s">
        <v>1964</v>
      </c>
      <c r="D265" s="213" t="n">
        <v>2</v>
      </c>
      <c r="E265" s="205" t="s">
        <v>177</v>
      </c>
      <c r="F265" s="205" t="s">
        <v>270</v>
      </c>
    </row>
    <row r="266" s="220" customFormat="true" ht="14.25" hidden="false" customHeight="false" outlineLevel="0" collapsed="false">
      <c r="A266" s="205" t="str">
        <f aca="false">CONCATENATE(F266,",",E266)</f>
        <v>GED 452,ED4-GEOL</v>
      </c>
      <c r="B266" s="205" t="s">
        <v>1214</v>
      </c>
      <c r="C266" s="205" t="s">
        <v>1674</v>
      </c>
      <c r="D266" s="213" t="n">
        <v>95</v>
      </c>
      <c r="E266" s="205" t="s">
        <v>177</v>
      </c>
      <c r="F266" s="205" t="s">
        <v>214</v>
      </c>
    </row>
    <row r="267" s="220" customFormat="true" ht="14.25" hidden="false" customHeight="false" outlineLevel="0" collapsed="false">
      <c r="A267" s="205" t="str">
        <f aca="false">CONCATENATE(F267,",",E267)</f>
        <v>GED 454,ED4-GEOL</v>
      </c>
      <c r="B267" s="205" t="s">
        <v>1215</v>
      </c>
      <c r="C267" s="205" t="s">
        <v>1688</v>
      </c>
      <c r="D267" s="213" t="n">
        <v>95</v>
      </c>
      <c r="E267" s="205" t="s">
        <v>177</v>
      </c>
      <c r="F267" s="205" t="s">
        <v>317</v>
      </c>
    </row>
    <row r="268" s="220" customFormat="true" ht="14.25" hidden="false" customHeight="false" outlineLevel="0" collapsed="false">
      <c r="A268" s="205" t="str">
        <f aca="false">CONCATENATE(F268,",",E268)</f>
        <v>GED 462,ED4-GEOL</v>
      </c>
      <c r="B268" s="205" t="s">
        <v>1216</v>
      </c>
      <c r="C268" s="205" t="s">
        <v>1693</v>
      </c>
      <c r="D268" s="213" t="n">
        <v>95</v>
      </c>
      <c r="E268" s="205" t="s">
        <v>177</v>
      </c>
      <c r="F268" s="205" t="s">
        <v>358</v>
      </c>
    </row>
    <row r="269" s="220" customFormat="true" ht="14.25" hidden="false" customHeight="false" outlineLevel="0" collapsed="false">
      <c r="A269" s="205" t="str">
        <f aca="false">CONCATENATE(F269,",",E269)</f>
        <v>GED 464,ED4-GEOL</v>
      </c>
      <c r="B269" s="205" t="s">
        <v>1217</v>
      </c>
      <c r="C269" s="205" t="s">
        <v>1695</v>
      </c>
      <c r="D269" s="213" t="n">
        <v>95</v>
      </c>
      <c r="E269" s="205" t="s">
        <v>177</v>
      </c>
      <c r="F269" s="205" t="s">
        <v>176</v>
      </c>
    </row>
    <row r="270" s="220" customFormat="true" ht="14.25" hidden="false" customHeight="false" outlineLevel="0" collapsed="false">
      <c r="A270" s="205" t="str">
        <f aca="false">CONCATENATE(F270,",",E270)</f>
        <v>GED 466,ED4-GEOL</v>
      </c>
      <c r="B270" s="205" t="s">
        <v>1218</v>
      </c>
      <c r="C270" s="205" t="s">
        <v>1688</v>
      </c>
      <c r="D270" s="213" t="n">
        <v>35</v>
      </c>
      <c r="E270" s="205" t="s">
        <v>177</v>
      </c>
      <c r="F270" s="205" t="s">
        <v>410</v>
      </c>
    </row>
    <row r="271" s="220" customFormat="true" ht="14.25" hidden="false" customHeight="false" outlineLevel="0" collapsed="false">
      <c r="A271" s="205" t="str">
        <f aca="false">CONCATENATE(F271,",",E271)</f>
        <v>GED 468,ED4-GEOL</v>
      </c>
      <c r="B271" s="205" t="s">
        <v>1219</v>
      </c>
      <c r="C271" s="205" t="s">
        <v>1698</v>
      </c>
      <c r="D271" s="213" t="n">
        <v>72</v>
      </c>
      <c r="E271" s="205" t="s">
        <v>177</v>
      </c>
      <c r="F271" s="205" t="s">
        <v>510</v>
      </c>
    </row>
    <row r="272" s="220" customFormat="true" ht="14.25" hidden="false" customHeight="false" outlineLevel="0" collapsed="false">
      <c r="A272" s="205" t="str">
        <f aca="false">CONCATENATE(F272,",",E272)</f>
        <v>GED 476,ED4-GEOL</v>
      </c>
      <c r="B272" s="205" t="s">
        <v>1220</v>
      </c>
      <c r="C272" s="205" t="s">
        <v>1700</v>
      </c>
      <c r="D272" s="213" t="n">
        <v>95</v>
      </c>
      <c r="E272" s="205" t="s">
        <v>177</v>
      </c>
      <c r="F272" s="205" t="s">
        <v>445</v>
      </c>
    </row>
    <row r="273" s="220" customFormat="true" ht="14.25" hidden="false" customHeight="false" outlineLevel="0" collapsed="false">
      <c r="A273" s="205" t="str">
        <f aca="false">CONCATENATE(F273,",",E273)</f>
        <v>EE 152,ED1-GEOM</v>
      </c>
      <c r="B273" s="205" t="s">
        <v>990</v>
      </c>
      <c r="C273" s="205" t="s">
        <v>1599</v>
      </c>
      <c r="D273" s="213" t="n">
        <v>103</v>
      </c>
      <c r="E273" s="205" t="s">
        <v>95</v>
      </c>
      <c r="F273" s="205" t="s">
        <v>234</v>
      </c>
    </row>
    <row r="274" s="220" customFormat="true" ht="14.25" hidden="false" customHeight="false" outlineLevel="0" collapsed="false">
      <c r="A274" s="205" t="str">
        <f aca="false">CONCATENATE(F274,",",E274)</f>
        <v>ENGL 158,ED1-GEOM</v>
      </c>
      <c r="B274" s="205" t="s">
        <v>991</v>
      </c>
      <c r="C274" s="205" t="s">
        <v>1629</v>
      </c>
      <c r="D274" s="213" t="n">
        <v>103</v>
      </c>
      <c r="E274" s="205" t="s">
        <v>95</v>
      </c>
      <c r="F274" s="205" t="s">
        <v>364</v>
      </c>
    </row>
    <row r="275" s="220" customFormat="true" ht="14.25" hidden="false" customHeight="false" outlineLevel="0" collapsed="false">
      <c r="A275" s="205" t="str">
        <f aca="false">CONCATENATE(F275,",",E275)</f>
        <v>GE 152,ED1-GEOM</v>
      </c>
      <c r="B275" s="205" t="s">
        <v>1221</v>
      </c>
      <c r="C275" s="205" t="s">
        <v>1642</v>
      </c>
      <c r="D275" s="213" t="n">
        <v>103</v>
      </c>
      <c r="E275" s="205" t="s">
        <v>95</v>
      </c>
      <c r="F275" s="205" t="s">
        <v>201</v>
      </c>
    </row>
    <row r="276" s="220" customFormat="true" ht="14.25" hidden="false" customHeight="false" outlineLevel="0" collapsed="false">
      <c r="A276" s="205" t="str">
        <f aca="false">CONCATENATE(F276,",",E276)</f>
        <v>GE 158,ED1-GEOM</v>
      </c>
      <c r="B276" s="205" t="s">
        <v>987</v>
      </c>
      <c r="C276" s="205" t="s">
        <v>1981</v>
      </c>
      <c r="D276" s="213" t="n">
        <v>103</v>
      </c>
      <c r="E276" s="205" t="s">
        <v>95</v>
      </c>
      <c r="F276" s="205" t="s">
        <v>430</v>
      </c>
    </row>
    <row r="277" s="220" customFormat="true" ht="14.25" hidden="false" customHeight="false" outlineLevel="0" collapsed="false">
      <c r="A277" s="205" t="str">
        <f aca="false">CONCATENATE(F277,",",E277)</f>
        <v>GE 162,ED1-GEOM</v>
      </c>
      <c r="B277" s="205" t="s">
        <v>1107</v>
      </c>
      <c r="C277" s="205" t="s">
        <v>1645</v>
      </c>
      <c r="D277" s="213" t="n">
        <v>103</v>
      </c>
      <c r="E277" s="205" t="s">
        <v>95</v>
      </c>
      <c r="F277" s="205" t="s">
        <v>94</v>
      </c>
    </row>
    <row r="278" s="220" customFormat="true" ht="14.25" hidden="false" customHeight="false" outlineLevel="0" collapsed="false">
      <c r="A278" s="205" t="str">
        <f aca="false">CONCATENATE(F278,",",E278)</f>
        <v>MATH 152,ED1-GEOM</v>
      </c>
      <c r="B278" s="205" t="s">
        <v>992</v>
      </c>
      <c r="C278" s="205" t="s">
        <v>1951</v>
      </c>
      <c r="D278" s="213" t="n">
        <v>103</v>
      </c>
      <c r="E278" s="205" t="s">
        <v>95</v>
      </c>
      <c r="F278" s="205" t="s">
        <v>129</v>
      </c>
    </row>
    <row r="279" s="220" customFormat="true" ht="14.25" hidden="false" customHeight="false" outlineLevel="0" collapsed="false">
      <c r="A279" s="205" t="str">
        <f aca="false">CONCATENATE(F279,",",E279)</f>
        <v>CE 260,ED2-GEOM</v>
      </c>
      <c r="B279" s="205" t="s">
        <v>1103</v>
      </c>
      <c r="C279" s="205" t="s">
        <v>1473</v>
      </c>
      <c r="D279" s="213" t="n">
        <v>132</v>
      </c>
      <c r="E279" s="205" t="s">
        <v>170</v>
      </c>
      <c r="F279" s="205" t="s">
        <v>367</v>
      </c>
    </row>
    <row r="280" s="220" customFormat="true" ht="14.25" hidden="false" customHeight="false" outlineLevel="0" collapsed="false">
      <c r="A280" s="205" t="str">
        <f aca="false">CONCATENATE(F280,",",E280)</f>
        <v>ENGL 264,ED2-GEOM</v>
      </c>
      <c r="B280" s="205" t="s">
        <v>996</v>
      </c>
      <c r="C280" s="205" t="s">
        <v>1629</v>
      </c>
      <c r="D280" s="213" t="n">
        <v>132</v>
      </c>
      <c r="E280" s="205" t="s">
        <v>170</v>
      </c>
      <c r="F280" s="205" t="s">
        <v>276</v>
      </c>
    </row>
    <row r="281" s="220" customFormat="true" ht="14.25" hidden="false" customHeight="false" outlineLevel="0" collapsed="false">
      <c r="A281" s="205" t="str">
        <f aca="false">CONCATENATE(F281,",",E281)</f>
        <v>GE 262,ED2-GEOM</v>
      </c>
      <c r="B281" s="205" t="s">
        <v>1222</v>
      </c>
      <c r="C281" s="205" t="s">
        <v>1982</v>
      </c>
      <c r="D281" s="213" t="n">
        <v>132</v>
      </c>
      <c r="E281" s="205" t="s">
        <v>170</v>
      </c>
      <c r="F281" s="205" t="s">
        <v>169</v>
      </c>
    </row>
    <row r="282" s="220" customFormat="true" ht="14.25" hidden="false" customHeight="false" outlineLevel="0" collapsed="false">
      <c r="A282" s="205" t="str">
        <f aca="false">CONCATENATE(F282,",",E282)</f>
        <v>GE 272,ED2-GEOM</v>
      </c>
      <c r="B282" s="205" t="s">
        <v>1223</v>
      </c>
      <c r="C282" s="205" t="s">
        <v>1649</v>
      </c>
      <c r="D282" s="213" t="n">
        <v>132</v>
      </c>
      <c r="E282" s="205" t="s">
        <v>170</v>
      </c>
      <c r="F282" s="205" t="s">
        <v>219</v>
      </c>
    </row>
    <row r="283" s="220" customFormat="true" ht="14.25" hidden="false" customHeight="false" outlineLevel="0" collapsed="false">
      <c r="A283" s="205" t="str">
        <f aca="false">CONCATENATE(F283,",",E283)</f>
        <v>GE 284,ED2-GEOM</v>
      </c>
      <c r="B283" s="205" t="s">
        <v>1224</v>
      </c>
      <c r="C283" s="205" t="s">
        <v>1652</v>
      </c>
      <c r="D283" s="213" t="n">
        <v>132</v>
      </c>
      <c r="E283" s="205" t="s">
        <v>170</v>
      </c>
      <c r="F283" s="205" t="s">
        <v>475</v>
      </c>
    </row>
    <row r="284" s="220" customFormat="true" ht="14.25" hidden="false" customHeight="false" outlineLevel="0" collapsed="false">
      <c r="A284" s="205" t="str">
        <f aca="false">CONCATENATE(F284,",",E284)</f>
        <v>MATH 252,ED2-GEOM</v>
      </c>
      <c r="B284" s="205" t="s">
        <v>998</v>
      </c>
      <c r="C284" s="205" t="s">
        <v>1721</v>
      </c>
      <c r="D284" s="213" t="n">
        <v>132</v>
      </c>
      <c r="E284" s="205" t="s">
        <v>170</v>
      </c>
      <c r="F284" s="205" t="s">
        <v>281</v>
      </c>
    </row>
    <row r="285" s="220" customFormat="true" ht="14.25" hidden="false" customHeight="false" outlineLevel="0" collapsed="false">
      <c r="A285" s="205" t="str">
        <f aca="false">CONCATENATE(F285,",",E285)</f>
        <v>CE 368,ED3-GEOM</v>
      </c>
      <c r="B285" s="205" t="s">
        <v>1225</v>
      </c>
      <c r="C285" s="205" t="s">
        <v>1491</v>
      </c>
      <c r="D285" s="213" t="n">
        <v>122</v>
      </c>
      <c r="E285" s="205" t="s">
        <v>77</v>
      </c>
      <c r="F285" s="205" t="s">
        <v>378</v>
      </c>
    </row>
    <row r="286" s="220" customFormat="true" ht="14.25" hidden="false" customHeight="false" outlineLevel="0" collapsed="false">
      <c r="A286" s="205" t="str">
        <f aca="false">CONCATENATE(F286,",",E286)</f>
        <v>CE 390,ED3-GEOM</v>
      </c>
      <c r="B286" s="205" t="s">
        <v>1983</v>
      </c>
      <c r="C286" s="205" t="s">
        <v>1491</v>
      </c>
      <c r="D286" s="213" t="n">
        <v>122</v>
      </c>
      <c r="E286" s="205" t="s">
        <v>77</v>
      </c>
      <c r="F286" s="205" t="s">
        <v>1117</v>
      </c>
    </row>
    <row r="287" s="220" customFormat="true" ht="14.25" hidden="false" customHeight="false" outlineLevel="0" collapsed="false">
      <c r="A287" s="205" t="str">
        <f aca="false">CONCATENATE(F287,",",E287)</f>
        <v>ACF 256,ED3-GEOM</v>
      </c>
      <c r="B287" s="205" t="s">
        <v>1200</v>
      </c>
      <c r="C287" s="205" t="s">
        <v>1978</v>
      </c>
      <c r="D287" s="213" t="n">
        <v>35</v>
      </c>
      <c r="E287" s="205" t="s">
        <v>77</v>
      </c>
      <c r="F287" s="205" t="s">
        <v>424</v>
      </c>
    </row>
    <row r="288" s="220" customFormat="true" ht="14.25" hidden="false" customHeight="false" outlineLevel="0" collapsed="false">
      <c r="A288" s="205" t="str">
        <f aca="false">CONCATENATE(F288,",",E288)</f>
        <v>ECON 152,ED3-GEOM</v>
      </c>
      <c r="B288" s="205" t="s">
        <v>1084</v>
      </c>
      <c r="C288" s="205" t="s">
        <v>1984</v>
      </c>
      <c r="D288" s="213" t="n">
        <v>15</v>
      </c>
      <c r="E288" s="205" t="s">
        <v>77</v>
      </c>
      <c r="F288" s="205" t="s">
        <v>406</v>
      </c>
    </row>
    <row r="289" s="220" customFormat="true" ht="14.25" hidden="false" customHeight="false" outlineLevel="0" collapsed="false">
      <c r="A289" s="205" t="str">
        <f aca="false">CONCATENATE(F289,",",E289)</f>
        <v>FC 182,ED3-GEOM</v>
      </c>
      <c r="B289" s="205" t="s">
        <v>1227</v>
      </c>
      <c r="C289" s="205" t="s">
        <v>1637</v>
      </c>
      <c r="D289" s="213" t="n">
        <v>65</v>
      </c>
      <c r="E289" s="205" t="s">
        <v>77</v>
      </c>
      <c r="F289" s="205" t="s">
        <v>245</v>
      </c>
    </row>
    <row r="290" s="220" customFormat="true" ht="14.25" hidden="false" customHeight="false" outlineLevel="0" collapsed="false">
      <c r="A290" s="205" t="str">
        <f aca="false">CONCATENATE(F290,",",E290)</f>
        <v>GE 354,ED3-GEOM</v>
      </c>
      <c r="B290" s="205" t="s">
        <v>1228</v>
      </c>
      <c r="C290" s="205" t="s">
        <v>1656</v>
      </c>
      <c r="D290" s="213" t="n">
        <v>122</v>
      </c>
      <c r="E290" s="205" t="s">
        <v>77</v>
      </c>
      <c r="F290" s="205" t="s">
        <v>221</v>
      </c>
    </row>
    <row r="291" s="220" customFormat="true" ht="14.25" hidden="false" customHeight="false" outlineLevel="0" collapsed="false">
      <c r="A291" s="205" t="str">
        <f aca="false">CONCATENATE(F291,",",E291)</f>
        <v>GE 362,ED3-GEOM</v>
      </c>
      <c r="B291" s="205" t="s">
        <v>1229</v>
      </c>
      <c r="C291" s="205" t="s">
        <v>1658</v>
      </c>
      <c r="D291" s="213" t="n">
        <v>122</v>
      </c>
      <c r="E291" s="205" t="s">
        <v>77</v>
      </c>
      <c r="F291" s="205" t="s">
        <v>309</v>
      </c>
    </row>
    <row r="292" s="220" customFormat="true" ht="14.25" hidden="false" customHeight="false" outlineLevel="0" collapsed="false">
      <c r="A292" s="205" t="str">
        <f aca="false">CONCATENATE(F292,",",E292)</f>
        <v>GE 372,ED3-GEOM</v>
      </c>
      <c r="B292" s="205" t="s">
        <v>1230</v>
      </c>
      <c r="C292" s="205" t="s">
        <v>1985</v>
      </c>
      <c r="D292" s="213" t="n">
        <v>122</v>
      </c>
      <c r="E292" s="205" t="s">
        <v>77</v>
      </c>
      <c r="F292" s="205" t="s">
        <v>76</v>
      </c>
    </row>
    <row r="293" s="220" customFormat="true" ht="14.25" hidden="false" customHeight="false" outlineLevel="0" collapsed="false">
      <c r="A293" s="205" t="str">
        <f aca="false">CONCATENATE(F293,",",E293)</f>
        <v>PL 252,ED3-GEOM</v>
      </c>
      <c r="B293" s="205" t="s">
        <v>1231</v>
      </c>
      <c r="C293" s="205" t="s">
        <v>1907</v>
      </c>
      <c r="D293" s="213" t="n">
        <v>122</v>
      </c>
      <c r="E293" s="205" t="s">
        <v>77</v>
      </c>
      <c r="F293" s="205" t="s">
        <v>150</v>
      </c>
    </row>
    <row r="294" s="220" customFormat="true" ht="14.25" hidden="false" customHeight="false" outlineLevel="0" collapsed="false">
      <c r="A294" s="205" t="str">
        <f aca="false">CONCATENATE(F294,",",E294)</f>
        <v>GE 464,ED4-GEOM</v>
      </c>
      <c r="B294" s="205" t="s">
        <v>1233</v>
      </c>
      <c r="C294" s="205" t="s">
        <v>1645</v>
      </c>
      <c r="D294" s="213" t="n">
        <v>93</v>
      </c>
      <c r="E294" s="205" t="s">
        <v>194</v>
      </c>
      <c r="F294" s="205" t="s">
        <v>193</v>
      </c>
    </row>
    <row r="295" s="220" customFormat="true" ht="14.25" hidden="false" customHeight="false" outlineLevel="0" collapsed="false">
      <c r="A295" s="205" t="str">
        <f aca="false">CONCATENATE(F295,",",E295)</f>
        <v>GE 472,ED4-GEOM</v>
      </c>
      <c r="B295" s="205" t="s">
        <v>1234</v>
      </c>
      <c r="C295" s="205" t="s">
        <v>1649</v>
      </c>
      <c r="D295" s="213" t="n">
        <v>93</v>
      </c>
      <c r="E295" s="205" t="s">
        <v>194</v>
      </c>
      <c r="F295" s="205" t="s">
        <v>284</v>
      </c>
    </row>
    <row r="296" s="220" customFormat="true" ht="14.25" hidden="false" customHeight="false" outlineLevel="0" collapsed="false">
      <c r="A296" s="205" t="str">
        <f aca="false">CONCATENATE(F296,",",E296)</f>
        <v>GE 474,ED4-GEOM</v>
      </c>
      <c r="B296" s="205" t="s">
        <v>1235</v>
      </c>
      <c r="C296" s="205" t="s">
        <v>1664</v>
      </c>
      <c r="D296" s="213" t="n">
        <v>93</v>
      </c>
      <c r="E296" s="205" t="s">
        <v>194</v>
      </c>
      <c r="F296" s="205" t="s">
        <v>471</v>
      </c>
    </row>
    <row r="297" s="220" customFormat="true" ht="14.25" hidden="false" customHeight="false" outlineLevel="0" collapsed="false">
      <c r="A297" s="205" t="str">
        <f aca="false">CONCATENATE(F297,",",E297)</f>
        <v>GE 476,ED4-GEOM</v>
      </c>
      <c r="B297" s="205" t="s">
        <v>1236</v>
      </c>
      <c r="C297" s="205" t="s">
        <v>1666</v>
      </c>
      <c r="D297" s="213" t="n">
        <v>93</v>
      </c>
      <c r="E297" s="205" t="s">
        <v>194</v>
      </c>
      <c r="F297" s="205" t="s">
        <v>341</v>
      </c>
    </row>
    <row r="298" s="220" customFormat="true" ht="14.25" hidden="false" customHeight="false" outlineLevel="0" collapsed="false">
      <c r="A298" s="205" t="str">
        <f aca="false">CONCATENATE(F298,",",E298)</f>
        <v>EE 152,ED1-IND</v>
      </c>
      <c r="B298" s="205" t="s">
        <v>990</v>
      </c>
      <c r="C298" s="205" t="s">
        <v>1946</v>
      </c>
      <c r="D298" s="213" t="n">
        <v>83</v>
      </c>
      <c r="E298" s="205" t="s">
        <v>111</v>
      </c>
      <c r="F298" s="205" t="s">
        <v>234</v>
      </c>
    </row>
    <row r="299" s="220" customFormat="true" ht="14.25" hidden="false" customHeight="false" outlineLevel="0" collapsed="false">
      <c r="A299" s="205" t="str">
        <f aca="false">CONCATENATE(F299,",",E299)</f>
        <v>ENGL 158,ED1-IND</v>
      </c>
      <c r="B299" s="205" t="s">
        <v>991</v>
      </c>
      <c r="C299" s="205" t="s">
        <v>1629</v>
      </c>
      <c r="D299" s="213" t="n">
        <v>83</v>
      </c>
      <c r="E299" s="205" t="s">
        <v>111</v>
      </c>
      <c r="F299" s="205" t="s">
        <v>364</v>
      </c>
    </row>
    <row r="300" s="220" customFormat="true" ht="14.25" hidden="false" customHeight="false" outlineLevel="0" collapsed="false">
      <c r="A300" s="205" t="str">
        <f aca="false">CONCATENATE(F300,",",E300)</f>
        <v>IE 174,ED1-IND</v>
      </c>
      <c r="B300" s="205" t="s">
        <v>1237</v>
      </c>
      <c r="C300" s="205" t="s">
        <v>1406</v>
      </c>
      <c r="D300" s="213" t="n">
        <v>83</v>
      </c>
      <c r="E300" s="205" t="s">
        <v>111</v>
      </c>
      <c r="F300" s="205" t="s">
        <v>484</v>
      </c>
    </row>
    <row r="301" s="220" customFormat="true" ht="14.25" hidden="false" customHeight="false" outlineLevel="0" collapsed="false">
      <c r="A301" s="205" t="str">
        <f aca="false">CONCATENATE(F301,",",E301)</f>
        <v>MATH 152,ED1-IND</v>
      </c>
      <c r="B301" s="205" t="s">
        <v>992</v>
      </c>
      <c r="C301" s="205" t="s">
        <v>1720</v>
      </c>
      <c r="D301" s="213" t="n">
        <v>83</v>
      </c>
      <c r="E301" s="205" t="s">
        <v>111</v>
      </c>
      <c r="F301" s="205" t="s">
        <v>129</v>
      </c>
    </row>
    <row r="302" s="220" customFormat="true" ht="14.25" hidden="false" customHeight="false" outlineLevel="0" collapsed="false">
      <c r="A302" s="205" t="str">
        <f aca="false">CONCATENATE(F302,",",E302)</f>
        <v>ME 160,ED1-IND</v>
      </c>
      <c r="B302" s="205" t="s">
        <v>993</v>
      </c>
      <c r="C302" s="205" t="s">
        <v>1739</v>
      </c>
      <c r="D302" s="213" t="n">
        <v>83</v>
      </c>
      <c r="E302" s="205" t="s">
        <v>111</v>
      </c>
      <c r="F302" s="205" t="s">
        <v>160</v>
      </c>
    </row>
    <row r="303" s="220" customFormat="true" ht="14.25" hidden="false" customHeight="false" outlineLevel="0" collapsed="false">
      <c r="A303" s="205" t="str">
        <f aca="false">CONCATENATE(F303,",",E303)</f>
        <v>ME 164,ED1-IND</v>
      </c>
      <c r="B303" s="205" t="s">
        <v>1238</v>
      </c>
      <c r="C303" s="205" t="s">
        <v>1746</v>
      </c>
      <c r="D303" s="213" t="n">
        <v>83</v>
      </c>
      <c r="E303" s="205" t="s">
        <v>111</v>
      </c>
      <c r="F303" s="205" t="s">
        <v>268</v>
      </c>
    </row>
    <row r="304" s="220" customFormat="true" ht="14.25" hidden="false" customHeight="false" outlineLevel="0" collapsed="false">
      <c r="A304" s="205" t="str">
        <f aca="false">CONCATENATE(F304,",",E304)</f>
        <v>ME 168,ED1-IND</v>
      </c>
      <c r="B304" s="205" t="s">
        <v>1019</v>
      </c>
      <c r="C304" s="205" t="s">
        <v>1715</v>
      </c>
      <c r="D304" s="213" t="n">
        <v>83</v>
      </c>
      <c r="E304" s="205" t="s">
        <v>111</v>
      </c>
      <c r="F304" s="205" t="s">
        <v>110</v>
      </c>
    </row>
    <row r="305" s="220" customFormat="true" ht="14.25" hidden="false" customHeight="false" outlineLevel="0" collapsed="false">
      <c r="A305" s="205" t="str">
        <f aca="false">CONCATENATE(F305,",",E305)</f>
        <v>ENGL 264,ED2-IND</v>
      </c>
      <c r="B305" s="205" t="s">
        <v>996</v>
      </c>
      <c r="C305" s="205" t="s">
        <v>1629</v>
      </c>
      <c r="D305" s="213" t="n">
        <v>80</v>
      </c>
      <c r="E305" s="205" t="s">
        <v>38</v>
      </c>
      <c r="F305" s="205" t="s">
        <v>276</v>
      </c>
    </row>
    <row r="306" s="220" customFormat="true" ht="14.25" hidden="false" customHeight="false" outlineLevel="0" collapsed="false">
      <c r="A306" s="205" t="str">
        <f aca="false">CONCATENATE(F306,",",E306)</f>
        <v>IE 296,ED2-IND</v>
      </c>
      <c r="B306" s="205" t="s">
        <v>1239</v>
      </c>
      <c r="C306" s="205" t="s">
        <v>1704</v>
      </c>
      <c r="D306" s="213" t="n">
        <v>80</v>
      </c>
      <c r="E306" s="205" t="s">
        <v>38</v>
      </c>
      <c r="F306" s="205" t="s">
        <v>225</v>
      </c>
    </row>
    <row r="307" s="220" customFormat="true" ht="14.25" hidden="false" customHeight="false" outlineLevel="0" collapsed="false">
      <c r="A307" s="205" t="str">
        <f aca="false">CONCATENATE(F307,",",E307)</f>
        <v>MATH 252,ED2-IND</v>
      </c>
      <c r="B307" s="205" t="s">
        <v>998</v>
      </c>
      <c r="C307" s="205" t="s">
        <v>1727</v>
      </c>
      <c r="D307" s="213" t="n">
        <v>80</v>
      </c>
      <c r="E307" s="205" t="s">
        <v>38</v>
      </c>
      <c r="F307" s="205" t="s">
        <v>281</v>
      </c>
    </row>
    <row r="308" s="220" customFormat="true" ht="14.25" hidden="false" customHeight="false" outlineLevel="0" collapsed="false">
      <c r="A308" s="205" t="str">
        <f aca="false">CONCATENATE(F308,",",E308)</f>
        <v>ME 252,ED2-IND</v>
      </c>
      <c r="B308" s="205" t="s">
        <v>1051</v>
      </c>
      <c r="C308" s="205" t="s">
        <v>1704</v>
      </c>
      <c r="D308" s="213" t="n">
        <v>80</v>
      </c>
      <c r="E308" s="205" t="s">
        <v>38</v>
      </c>
      <c r="F308" s="205" t="s">
        <v>394</v>
      </c>
    </row>
    <row r="309" s="220" customFormat="true" ht="14.25" hidden="false" customHeight="false" outlineLevel="0" collapsed="false">
      <c r="A309" s="205" t="str">
        <f aca="false">CONCATENATE(F309,",",E309)</f>
        <v>ME 264,ED2-IND</v>
      </c>
      <c r="B309" s="205" t="s">
        <v>1023</v>
      </c>
      <c r="C309" s="205" t="s">
        <v>1755</v>
      </c>
      <c r="D309" s="213" t="n">
        <v>80</v>
      </c>
      <c r="E309" s="205" t="s">
        <v>38</v>
      </c>
      <c r="F309" s="205" t="s">
        <v>151</v>
      </c>
    </row>
    <row r="310" s="220" customFormat="true" ht="14.25" hidden="false" customHeight="false" outlineLevel="0" collapsed="false">
      <c r="A310" s="205" t="str">
        <f aca="false">CONCATENATE(F310,",",E310)</f>
        <v>ME 266,ED2-IND</v>
      </c>
      <c r="B310" s="205" t="s">
        <v>1024</v>
      </c>
      <c r="C310" s="205" t="s">
        <v>1746</v>
      </c>
      <c r="D310" s="213" t="n">
        <v>80</v>
      </c>
      <c r="E310" s="205" t="s">
        <v>38</v>
      </c>
      <c r="F310" s="205" t="s">
        <v>420</v>
      </c>
    </row>
    <row r="311" s="220" customFormat="true" ht="14.25" hidden="false" customHeight="false" outlineLevel="0" collapsed="false">
      <c r="A311" s="205" t="str">
        <f aca="false">CONCATENATE(F311,",",E311)</f>
        <v>IE 274,ED2-IND</v>
      </c>
      <c r="B311" s="205" t="s">
        <v>1240</v>
      </c>
      <c r="C311" s="205" t="s">
        <v>1410</v>
      </c>
      <c r="D311" s="213" t="n">
        <v>80</v>
      </c>
      <c r="E311" s="205" t="s">
        <v>38</v>
      </c>
      <c r="F311" s="205" t="s">
        <v>37</v>
      </c>
    </row>
    <row r="312" s="220" customFormat="true" ht="14.25" hidden="false" customHeight="false" outlineLevel="0" collapsed="false">
      <c r="A312" s="205" t="str">
        <f aca="false">CONCATENATE(F312,",",E312)</f>
        <v>ME 270,ED2-IND</v>
      </c>
      <c r="B312" s="205" t="s">
        <v>1052</v>
      </c>
      <c r="C312" s="205" t="s">
        <v>1742</v>
      </c>
      <c r="D312" s="213" t="n">
        <v>80</v>
      </c>
      <c r="E312" s="205" t="s">
        <v>38</v>
      </c>
      <c r="F312" s="205" t="s">
        <v>337</v>
      </c>
    </row>
    <row r="313" s="220" customFormat="true" ht="14.25" hidden="false" customHeight="false" outlineLevel="0" collapsed="false">
      <c r="A313" s="205" t="str">
        <f aca="false">CONCATENATE(F313,",",E313)</f>
        <v>IE 354,ED3-IND</v>
      </c>
      <c r="B313" s="205" t="s">
        <v>1241</v>
      </c>
      <c r="C313" s="205" t="s">
        <v>1793</v>
      </c>
      <c r="D313" s="213" t="n">
        <v>70</v>
      </c>
      <c r="E313" s="205" t="s">
        <v>121</v>
      </c>
      <c r="F313" s="205" t="s">
        <v>482</v>
      </c>
    </row>
    <row r="314" s="220" customFormat="true" ht="14.25" hidden="false" customHeight="false" outlineLevel="0" collapsed="false">
      <c r="A314" s="205" t="str">
        <f aca="false">CONCATENATE(F314,",",E314)</f>
        <v>IE 356,ED3-IND</v>
      </c>
      <c r="B314" s="205" t="s">
        <v>1242</v>
      </c>
      <c r="C314" s="205" t="s">
        <v>1695</v>
      </c>
      <c r="D314" s="213" t="n">
        <v>70</v>
      </c>
      <c r="E314" s="205" t="s">
        <v>121</v>
      </c>
      <c r="F314" s="205" t="s">
        <v>444</v>
      </c>
    </row>
    <row r="315" s="220" customFormat="true" ht="14.25" hidden="false" customHeight="false" outlineLevel="0" collapsed="false">
      <c r="A315" s="205" t="str">
        <f aca="false">CONCATENATE(F315,",",E315)</f>
        <v>IE 358,ED3-IND</v>
      </c>
      <c r="B315" s="205" t="s">
        <v>1243</v>
      </c>
      <c r="C315" s="205" t="s">
        <v>1406</v>
      </c>
      <c r="D315" s="213" t="n">
        <v>70</v>
      </c>
      <c r="E315" s="205" t="s">
        <v>121</v>
      </c>
      <c r="F315" s="205" t="s">
        <v>265</v>
      </c>
    </row>
    <row r="316" s="220" customFormat="true" ht="14.25" hidden="false" customHeight="false" outlineLevel="0" collapsed="false">
      <c r="A316" s="205" t="str">
        <f aca="false">CONCATENATE(F316,",",E316)</f>
        <v>IE 360,ED3-IND</v>
      </c>
      <c r="B316" s="205" t="s">
        <v>1244</v>
      </c>
      <c r="C316" s="205" t="s">
        <v>1438</v>
      </c>
      <c r="D316" s="213" t="n">
        <v>70</v>
      </c>
      <c r="E316" s="205" t="s">
        <v>121</v>
      </c>
      <c r="F316" s="205" t="s">
        <v>402</v>
      </c>
    </row>
    <row r="317" s="220" customFormat="true" ht="14.25" hidden="false" customHeight="false" outlineLevel="0" collapsed="false">
      <c r="A317" s="205" t="str">
        <f aca="false">CONCATENATE(F317,",",E317)</f>
        <v>IE 362,ED3-IND</v>
      </c>
      <c r="B317" s="205" t="s">
        <v>1245</v>
      </c>
      <c r="C317" s="205" t="s">
        <v>1417</v>
      </c>
      <c r="D317" s="213" t="n">
        <v>70</v>
      </c>
      <c r="E317" s="205" t="s">
        <v>121</v>
      </c>
      <c r="F317" s="205" t="s">
        <v>229</v>
      </c>
    </row>
    <row r="318" s="220" customFormat="true" ht="14.25" hidden="false" customHeight="false" outlineLevel="0" collapsed="false">
      <c r="A318" s="205" t="str">
        <f aca="false">CONCATENATE(F318,",",E318)</f>
        <v>IE 366,ED3-IND</v>
      </c>
      <c r="B318" s="205" t="s">
        <v>1246</v>
      </c>
      <c r="C318" s="205" t="s">
        <v>1695</v>
      </c>
      <c r="D318" s="213" t="n">
        <v>70</v>
      </c>
      <c r="E318" s="205" t="s">
        <v>121</v>
      </c>
      <c r="F318" s="205" t="s">
        <v>340</v>
      </c>
    </row>
    <row r="319" s="220" customFormat="true" ht="14.25" hidden="false" customHeight="false" outlineLevel="0" collapsed="false">
      <c r="A319" s="205" t="str">
        <f aca="false">CONCATENATE(F319,",",E319)</f>
        <v>IE 368,ED3-IND</v>
      </c>
      <c r="B319" s="205" t="s">
        <v>1247</v>
      </c>
      <c r="C319" s="205" t="s">
        <v>1793</v>
      </c>
      <c r="D319" s="213" t="n">
        <v>70</v>
      </c>
      <c r="E319" s="205" t="s">
        <v>121</v>
      </c>
      <c r="F319" s="205" t="s">
        <v>120</v>
      </c>
    </row>
    <row r="320" s="220" customFormat="true" ht="14.25" hidden="false" customHeight="false" outlineLevel="0" collapsed="false">
      <c r="A320" s="205" t="str">
        <f aca="false">CONCATENATE(F320,",",E320)</f>
        <v>IE 452,ED4-IND</v>
      </c>
      <c r="B320" s="205" t="s">
        <v>1248</v>
      </c>
      <c r="C320" s="205" t="s">
        <v>1438</v>
      </c>
      <c r="D320" s="213" t="n">
        <v>69</v>
      </c>
      <c r="E320" s="205" t="s">
        <v>124</v>
      </c>
      <c r="F320" s="205" t="s">
        <v>123</v>
      </c>
    </row>
    <row r="321" s="220" customFormat="true" ht="14.25" hidden="false" customHeight="false" outlineLevel="0" collapsed="false">
      <c r="A321" s="205" t="str">
        <f aca="false">CONCATENATE(F321,",",E321)</f>
        <v>IE 454,ED4-IND</v>
      </c>
      <c r="B321" s="205" t="s">
        <v>1038</v>
      </c>
      <c r="C321" s="205" t="s">
        <v>1715</v>
      </c>
      <c r="D321" s="213" t="n">
        <v>69</v>
      </c>
      <c r="E321" s="205" t="s">
        <v>124</v>
      </c>
      <c r="F321" s="205" t="s">
        <v>508</v>
      </c>
    </row>
    <row r="322" s="220" customFormat="true" ht="14.25" hidden="false" customHeight="false" outlineLevel="0" collapsed="false">
      <c r="A322" s="205" t="str">
        <f aca="false">CONCATENATE(F322,",",E322)</f>
        <v>IE 456,ED4-IND</v>
      </c>
      <c r="B322" s="205" t="s">
        <v>1249</v>
      </c>
      <c r="C322" s="205" t="s">
        <v>1717</v>
      </c>
      <c r="D322" s="213" t="n">
        <v>69</v>
      </c>
      <c r="E322" s="205" t="s">
        <v>124</v>
      </c>
      <c r="F322" s="205" t="s">
        <v>216</v>
      </c>
    </row>
    <row r="323" s="220" customFormat="true" ht="14.25" hidden="false" customHeight="false" outlineLevel="0" collapsed="false">
      <c r="A323" s="205" t="str">
        <f aca="false">CONCATENATE(F323,",",E323)</f>
        <v>IE 458,ED4-IND</v>
      </c>
      <c r="B323" s="205" t="s">
        <v>1041</v>
      </c>
      <c r="C323" s="205" t="s">
        <v>1438</v>
      </c>
      <c r="D323" s="213" t="n">
        <v>69</v>
      </c>
      <c r="E323" s="205" t="s">
        <v>124</v>
      </c>
      <c r="F323" s="205" t="s">
        <v>427</v>
      </c>
    </row>
    <row r="324" s="220" customFormat="true" ht="14.25" hidden="false" customHeight="false" outlineLevel="0" collapsed="false">
      <c r="A324" s="205" t="str">
        <f aca="false">CONCATENATE(F324,",",E324)</f>
        <v>ME 492,ED4-IND</v>
      </c>
      <c r="B324" s="205" t="s">
        <v>1250</v>
      </c>
      <c r="C324" s="205" t="s">
        <v>1793</v>
      </c>
      <c r="D324" s="213" t="n">
        <v>69</v>
      </c>
      <c r="E324" s="205" t="s">
        <v>124</v>
      </c>
      <c r="F324" s="205" t="s">
        <v>373</v>
      </c>
    </row>
    <row r="325" s="220" customFormat="true" ht="14.25" hidden="false" customHeight="false" outlineLevel="0" collapsed="false">
      <c r="A325" s="205" t="str">
        <f aca="false">CONCATENATE(F325,",",E325)</f>
        <v>ME 494,ED4-IND</v>
      </c>
      <c r="B325" s="205" t="s">
        <v>1251</v>
      </c>
      <c r="C325" s="205" t="s">
        <v>1949</v>
      </c>
      <c r="D325" s="213" t="n">
        <v>69</v>
      </c>
      <c r="E325" s="205" t="s">
        <v>124</v>
      </c>
      <c r="F325" s="205" t="s">
        <v>293</v>
      </c>
    </row>
    <row r="326" s="220" customFormat="true" ht="14.25" hidden="false" customHeight="false" outlineLevel="0" collapsed="false">
      <c r="A326" s="205" t="str">
        <f aca="false">CONCATENATE(F326,",",E326)</f>
        <v>EE 152,ED1-MARI</v>
      </c>
      <c r="B326" s="205" t="s">
        <v>990</v>
      </c>
      <c r="C326" s="205" t="s">
        <v>1946</v>
      </c>
      <c r="D326" s="213" t="n">
        <v>46</v>
      </c>
      <c r="E326" s="205" t="s">
        <v>112</v>
      </c>
      <c r="F326" s="205" t="s">
        <v>234</v>
      </c>
    </row>
    <row r="327" s="220" customFormat="true" ht="14.25" hidden="false" customHeight="false" outlineLevel="0" collapsed="false">
      <c r="A327" s="205" t="str">
        <f aca="false">CONCATENATE(F327,",",E327)</f>
        <v>ENGL 158,ED1-MARI</v>
      </c>
      <c r="B327" s="205" t="s">
        <v>991</v>
      </c>
      <c r="C327" s="205" t="s">
        <v>1629</v>
      </c>
      <c r="D327" s="213" t="n">
        <v>46</v>
      </c>
      <c r="E327" s="205" t="s">
        <v>112</v>
      </c>
      <c r="F327" s="205" t="s">
        <v>364</v>
      </c>
    </row>
    <row r="328" s="220" customFormat="true" ht="14.25" hidden="false" customHeight="false" outlineLevel="0" collapsed="false">
      <c r="A328" s="205" t="str">
        <f aca="false">CONCATENATE(F328,",",E328)</f>
        <v>FC 182,ED1-MARI</v>
      </c>
      <c r="B328" s="205" t="s">
        <v>1085</v>
      </c>
      <c r="C328" s="205" t="s">
        <v>1638</v>
      </c>
      <c r="D328" s="213" t="n">
        <v>46</v>
      </c>
      <c r="E328" s="205" t="s">
        <v>112</v>
      </c>
      <c r="F328" s="205" t="s">
        <v>245</v>
      </c>
    </row>
    <row r="329" s="220" customFormat="true" ht="14.25" hidden="false" customHeight="false" outlineLevel="0" collapsed="false">
      <c r="A329" s="205" t="str">
        <f aca="false">CONCATENATE(F329,",",E329)</f>
        <v>MATH 152,ED1-MARI</v>
      </c>
      <c r="B329" s="205" t="s">
        <v>992</v>
      </c>
      <c r="C329" s="205" t="s">
        <v>1720</v>
      </c>
      <c r="D329" s="213" t="n">
        <v>46</v>
      </c>
      <c r="E329" s="205" t="s">
        <v>112</v>
      </c>
      <c r="F329" s="205" t="s">
        <v>129</v>
      </c>
    </row>
    <row r="330" s="220" customFormat="true" ht="14.25" hidden="false" customHeight="false" outlineLevel="0" collapsed="false">
      <c r="A330" s="205" t="str">
        <f aca="false">CONCATENATE(F330,",",E330)</f>
        <v>ME 160,ED1-MARI</v>
      </c>
      <c r="B330" s="205" t="s">
        <v>993</v>
      </c>
      <c r="C330" s="205" t="s">
        <v>1739</v>
      </c>
      <c r="D330" s="213" t="n">
        <v>46</v>
      </c>
      <c r="E330" s="205" t="s">
        <v>112</v>
      </c>
      <c r="F330" s="205" t="s">
        <v>160</v>
      </c>
    </row>
    <row r="331" s="220" customFormat="true" ht="14.25" hidden="false" customHeight="false" outlineLevel="0" collapsed="false">
      <c r="A331" s="205" t="str">
        <f aca="false">CONCATENATE(F331,",",E331)</f>
        <v>ME 164,ED1-MARI</v>
      </c>
      <c r="B331" s="205" t="s">
        <v>1238</v>
      </c>
      <c r="C331" s="205" t="s">
        <v>1746</v>
      </c>
      <c r="D331" s="213" t="n">
        <v>46</v>
      </c>
      <c r="E331" s="205" t="s">
        <v>112</v>
      </c>
      <c r="F331" s="205" t="s">
        <v>268</v>
      </c>
    </row>
    <row r="332" s="220" customFormat="true" ht="14.25" hidden="false" customHeight="false" outlineLevel="0" collapsed="false">
      <c r="A332" s="205" t="str">
        <f aca="false">CONCATENATE(F332,",",E332)</f>
        <v>ME 168,ED1-MARI</v>
      </c>
      <c r="B332" s="205" t="s">
        <v>1019</v>
      </c>
      <c r="C332" s="205" t="s">
        <v>1715</v>
      </c>
      <c r="D332" s="213" t="n">
        <v>46</v>
      </c>
      <c r="E332" s="205" t="s">
        <v>112</v>
      </c>
      <c r="F332" s="205" t="s">
        <v>110</v>
      </c>
    </row>
    <row r="333" s="220" customFormat="true" ht="14.25" hidden="false" customHeight="false" outlineLevel="0" collapsed="false">
      <c r="A333" s="205" t="str">
        <f aca="false">CONCATENATE(F333,",",E333)</f>
        <v>MME 174,ED1-MARI</v>
      </c>
      <c r="B333" s="205" t="s">
        <v>1252</v>
      </c>
      <c r="C333" s="205" t="s">
        <v>1406</v>
      </c>
      <c r="D333" s="213" t="n">
        <v>46</v>
      </c>
      <c r="E333" s="205" t="s">
        <v>112</v>
      </c>
      <c r="F333" s="205" t="s">
        <v>485</v>
      </c>
    </row>
    <row r="334" s="220" customFormat="true" ht="14.25" hidden="false" customHeight="false" outlineLevel="0" collapsed="false">
      <c r="A334" s="205" t="str">
        <f aca="false">CONCATENATE(F334,",",E334)</f>
        <v>MATH 252,ED2-MARI</v>
      </c>
      <c r="B334" s="205" t="s">
        <v>998</v>
      </c>
      <c r="C334" s="205" t="s">
        <v>1734</v>
      </c>
      <c r="D334" s="213" t="n">
        <v>37</v>
      </c>
      <c r="E334" s="205" t="s">
        <v>42</v>
      </c>
      <c r="F334" s="205" t="s">
        <v>281</v>
      </c>
    </row>
    <row r="335" s="220" customFormat="true" ht="14.25" hidden="false" customHeight="false" outlineLevel="0" collapsed="false">
      <c r="A335" s="205" t="str">
        <f aca="false">CONCATENATE(F335,",",E335)</f>
        <v>ME 252,ED2-MARI</v>
      </c>
      <c r="B335" s="205" t="s">
        <v>1051</v>
      </c>
      <c r="C335" s="205" t="s">
        <v>1704</v>
      </c>
      <c r="D335" s="213" t="n">
        <v>37</v>
      </c>
      <c r="E335" s="205" t="s">
        <v>42</v>
      </c>
      <c r="F335" s="205" t="s">
        <v>394</v>
      </c>
    </row>
    <row r="336" s="220" customFormat="true" ht="14.25" hidden="false" customHeight="false" outlineLevel="0" collapsed="false">
      <c r="A336" s="205" t="str">
        <f aca="false">CONCATENATE(F336,",",E336)</f>
        <v>ME 270,ED2-MARI</v>
      </c>
      <c r="B336" s="205" t="s">
        <v>1052</v>
      </c>
      <c r="C336" s="205" t="s">
        <v>1742</v>
      </c>
      <c r="D336" s="213" t="n">
        <v>37</v>
      </c>
      <c r="E336" s="205" t="s">
        <v>42</v>
      </c>
      <c r="F336" s="205" t="s">
        <v>337</v>
      </c>
    </row>
    <row r="337" s="220" customFormat="true" ht="14.25" hidden="false" customHeight="false" outlineLevel="0" collapsed="false">
      <c r="A337" s="205" t="str">
        <f aca="false">CONCATENATE(F337,",",E337)</f>
        <v>MME 264,ED2-MARI</v>
      </c>
      <c r="B337" s="205" t="s">
        <v>1253</v>
      </c>
      <c r="C337" s="205" t="s">
        <v>1755</v>
      </c>
      <c r="D337" s="213" t="n">
        <v>37</v>
      </c>
      <c r="E337" s="205" t="s">
        <v>42</v>
      </c>
      <c r="F337" s="205" t="s">
        <v>152</v>
      </c>
    </row>
    <row r="338" s="220" customFormat="true" ht="14.25" hidden="false" customHeight="false" outlineLevel="0" collapsed="false">
      <c r="A338" s="205" t="str">
        <f aca="false">CONCATENATE(F338,",",E338)</f>
        <v>MME 274,ED2-MARI</v>
      </c>
      <c r="B338" s="205" t="s">
        <v>1254</v>
      </c>
      <c r="C338" s="205" t="s">
        <v>1410</v>
      </c>
      <c r="D338" s="213" t="n">
        <v>37</v>
      </c>
      <c r="E338" s="205" t="s">
        <v>42</v>
      </c>
      <c r="F338" s="205" t="s">
        <v>41</v>
      </c>
    </row>
    <row r="339" s="220" customFormat="true" ht="14.25" hidden="false" customHeight="false" outlineLevel="0" collapsed="false">
      <c r="A339" s="205" t="str">
        <f aca="false">CONCATENATE(F339,",",E339)</f>
        <v>MME 292,ED2-MARI</v>
      </c>
      <c r="B339" s="205" t="s">
        <v>1255</v>
      </c>
      <c r="C339" s="205" t="s">
        <v>1820</v>
      </c>
      <c r="D339" s="213" t="n">
        <v>37</v>
      </c>
      <c r="E339" s="205" t="s">
        <v>42</v>
      </c>
      <c r="F339" s="205" t="s">
        <v>84</v>
      </c>
    </row>
    <row r="340" s="220" customFormat="true" ht="14.25" hidden="false" customHeight="false" outlineLevel="0" collapsed="false">
      <c r="A340" s="205" t="str">
        <f aca="false">CONCATENATE(F340,",",E340)</f>
        <v>MME 296,ED2-MARI</v>
      </c>
      <c r="B340" s="205" t="s">
        <v>1256</v>
      </c>
      <c r="C340" s="205" t="s">
        <v>1704</v>
      </c>
      <c r="D340" s="213" t="n">
        <v>37</v>
      </c>
      <c r="E340" s="205" t="s">
        <v>42</v>
      </c>
      <c r="F340" s="205" t="s">
        <v>230</v>
      </c>
    </row>
    <row r="341" s="220" customFormat="true" ht="14.25" hidden="false" customHeight="false" outlineLevel="0" collapsed="false">
      <c r="A341" s="205" t="str">
        <f aca="false">CONCATENATE(F341,",",E341)</f>
        <v>SES 172,ED2-MARI</v>
      </c>
      <c r="B341" s="205" t="s">
        <v>1257</v>
      </c>
      <c r="C341" s="205" t="s">
        <v>1911</v>
      </c>
      <c r="D341" s="213" t="n">
        <v>37</v>
      </c>
      <c r="E341" s="205" t="s">
        <v>42</v>
      </c>
      <c r="F341" s="205" t="s">
        <v>456</v>
      </c>
    </row>
    <row r="342" s="220" customFormat="true" ht="14.25" hidden="false" customHeight="false" outlineLevel="0" collapsed="false">
      <c r="A342" s="205" t="str">
        <f aca="false">CONCATENATE(F342,",",E342)</f>
        <v>ME 352,ED3-MARI</v>
      </c>
      <c r="B342" s="205" t="s">
        <v>1258</v>
      </c>
      <c r="C342" s="205" t="s">
        <v>1717</v>
      </c>
      <c r="D342" s="213" t="n">
        <v>40</v>
      </c>
      <c r="E342" s="205" t="s">
        <v>86</v>
      </c>
      <c r="F342" s="205" t="s">
        <v>174</v>
      </c>
    </row>
    <row r="343" s="220" customFormat="true" ht="14.25" hidden="false" customHeight="false" outlineLevel="0" collapsed="false">
      <c r="A343" s="205" t="str">
        <f aca="false">CONCATENATE(F343,",",E343)</f>
        <v>ME 362,ED3-MARI</v>
      </c>
      <c r="B343" s="205" t="s">
        <v>1029</v>
      </c>
      <c r="C343" s="205" t="s">
        <v>1429</v>
      </c>
      <c r="D343" s="213" t="n">
        <v>40</v>
      </c>
      <c r="E343" s="205" t="s">
        <v>86</v>
      </c>
      <c r="F343" s="205" t="s">
        <v>519</v>
      </c>
    </row>
    <row r="344" s="220" customFormat="true" ht="14.25" hidden="false" customHeight="false" outlineLevel="0" collapsed="false">
      <c r="A344" s="205" t="str">
        <f aca="false">CONCATENATE(F344,",",E344)</f>
        <v>ME 366,ED3-MARI</v>
      </c>
      <c r="B344" s="205" t="s">
        <v>1007</v>
      </c>
      <c r="C344" s="205" t="s">
        <v>1768</v>
      </c>
      <c r="D344" s="213" t="n">
        <v>40</v>
      </c>
      <c r="E344" s="205" t="s">
        <v>86</v>
      </c>
      <c r="F344" s="205" t="s">
        <v>347</v>
      </c>
    </row>
    <row r="345" s="220" customFormat="true" ht="14.25" hidden="false" customHeight="false" outlineLevel="0" collapsed="false">
      <c r="A345" s="205" t="str">
        <f aca="false">CONCATENATE(F345,",",E345)</f>
        <v>MME 356,ED3-MARI</v>
      </c>
      <c r="B345" s="205" t="s">
        <v>1259</v>
      </c>
      <c r="C345" s="205" t="s">
        <v>1429</v>
      </c>
      <c r="D345" s="213" t="n">
        <v>40</v>
      </c>
      <c r="E345" s="205" t="s">
        <v>86</v>
      </c>
      <c r="F345" s="205" t="s">
        <v>380</v>
      </c>
    </row>
    <row r="346" s="220" customFormat="true" ht="14.25" hidden="false" customHeight="false" outlineLevel="0" collapsed="false">
      <c r="A346" s="205" t="str">
        <f aca="false">CONCATENATE(F346,",",E346)</f>
        <v>MME 382,ED3-MARI</v>
      </c>
      <c r="B346" s="205" t="s">
        <v>1260</v>
      </c>
      <c r="C346" s="205" t="s">
        <v>1824</v>
      </c>
      <c r="D346" s="213" t="n">
        <v>40</v>
      </c>
      <c r="E346" s="205" t="s">
        <v>86</v>
      </c>
      <c r="F346" s="205" t="s">
        <v>304</v>
      </c>
    </row>
    <row r="347" s="220" customFormat="true" ht="14.25" hidden="false" customHeight="false" outlineLevel="0" collapsed="false">
      <c r="A347" s="205" t="str">
        <f aca="false">CONCATENATE(F347,",",E347)</f>
        <v>MME 386,ED3-MARI</v>
      </c>
      <c r="B347" s="205" t="s">
        <v>1261</v>
      </c>
      <c r="C347" s="205" t="s">
        <v>1615</v>
      </c>
      <c r="D347" s="213" t="n">
        <v>40</v>
      </c>
      <c r="E347" s="205" t="s">
        <v>86</v>
      </c>
      <c r="F347" s="205" t="s">
        <v>440</v>
      </c>
    </row>
    <row r="348" s="220" customFormat="true" ht="14.25" hidden="false" customHeight="false" outlineLevel="0" collapsed="false">
      <c r="A348" s="205" t="str">
        <f aca="false">CONCATENATE(F348,",",E348)</f>
        <v>MME 392,ED3-MARI</v>
      </c>
      <c r="B348" s="205" t="s">
        <v>1262</v>
      </c>
      <c r="C348" s="205" t="s">
        <v>1435</v>
      </c>
      <c r="D348" s="213" t="n">
        <v>40</v>
      </c>
      <c r="E348" s="205" t="s">
        <v>86</v>
      </c>
      <c r="F348" s="205" t="s">
        <v>238</v>
      </c>
    </row>
    <row r="349" s="220" customFormat="true" ht="14.25" hidden="false" customHeight="false" outlineLevel="0" collapsed="false">
      <c r="A349" s="205" t="str">
        <f aca="false">CONCATENATE(F349,",",E349)</f>
        <v>MME 396,ED3-MARI</v>
      </c>
      <c r="B349" s="205" t="s">
        <v>1263</v>
      </c>
      <c r="C349" s="205" t="s">
        <v>1717</v>
      </c>
      <c r="D349" s="213" t="n">
        <v>40</v>
      </c>
      <c r="E349" s="205" t="s">
        <v>86</v>
      </c>
      <c r="F349" s="205" t="s">
        <v>85</v>
      </c>
    </row>
    <row r="350" s="220" customFormat="true" ht="14.25" hidden="false" customHeight="false" outlineLevel="0" collapsed="false">
      <c r="A350" s="205" t="str">
        <f aca="false">CONCATENATE(F350,",",E350)</f>
        <v>MME 462,ED4-MARI</v>
      </c>
      <c r="B350" s="205" t="s">
        <v>1264</v>
      </c>
      <c r="C350" s="205" t="s">
        <v>1829</v>
      </c>
      <c r="D350" s="213" t="n">
        <v>23</v>
      </c>
      <c r="E350" s="205" t="s">
        <v>69</v>
      </c>
      <c r="F350" s="205" t="s">
        <v>164</v>
      </c>
    </row>
    <row r="351" s="220" customFormat="true" ht="14.25" hidden="false" customHeight="false" outlineLevel="0" collapsed="false">
      <c r="A351" s="205" t="str">
        <f aca="false">CONCATENATE(F351,",",E351)</f>
        <v>MME 476,ED4-MARI</v>
      </c>
      <c r="B351" s="205" t="s">
        <v>1265</v>
      </c>
      <c r="C351" s="205" t="s">
        <v>1986</v>
      </c>
      <c r="D351" s="213" t="n">
        <v>23</v>
      </c>
      <c r="E351" s="205" t="s">
        <v>69</v>
      </c>
      <c r="F351" s="205" t="s">
        <v>449</v>
      </c>
    </row>
    <row r="352" s="220" customFormat="true" ht="14.25" hidden="false" customHeight="false" outlineLevel="0" collapsed="false">
      <c r="A352" s="205" t="str">
        <f aca="false">CONCATENATE(F352,",",E352)</f>
        <v>MME 482,ED4-MARI</v>
      </c>
      <c r="B352" s="205" t="s">
        <v>1266</v>
      </c>
      <c r="C352" s="205" t="s">
        <v>1824</v>
      </c>
      <c r="D352" s="213" t="n">
        <v>23</v>
      </c>
      <c r="E352" s="205" t="s">
        <v>69</v>
      </c>
      <c r="F352" s="205" t="s">
        <v>68</v>
      </c>
    </row>
    <row r="353" s="220" customFormat="true" ht="14.25" hidden="false" customHeight="false" outlineLevel="0" collapsed="false">
      <c r="A353" s="205" t="str">
        <f aca="false">CONCATENATE(F353,",",E353)</f>
        <v>MME 486,ED4-MARI</v>
      </c>
      <c r="B353" s="205" t="s">
        <v>1267</v>
      </c>
      <c r="C353" s="205" t="s">
        <v>1820</v>
      </c>
      <c r="D353" s="213" t="n">
        <v>23</v>
      </c>
      <c r="E353" s="205" t="s">
        <v>69</v>
      </c>
      <c r="F353" s="205" t="s">
        <v>228</v>
      </c>
    </row>
    <row r="354" s="220" customFormat="true" ht="14.25" hidden="false" customHeight="false" outlineLevel="0" collapsed="false">
      <c r="A354" s="205" t="str">
        <f aca="false">CONCATENATE(F354,",",E354)</f>
        <v>MME 492,ED4-MARI</v>
      </c>
      <c r="B354" s="205" t="s">
        <v>1268</v>
      </c>
      <c r="C354" s="205" t="s">
        <v>1737</v>
      </c>
      <c r="D354" s="213" t="n">
        <v>23</v>
      </c>
      <c r="E354" s="205" t="s">
        <v>69</v>
      </c>
      <c r="F354" s="205" t="s">
        <v>506</v>
      </c>
    </row>
    <row r="355" s="220" customFormat="true" ht="14.25" hidden="false" customHeight="false" outlineLevel="0" collapsed="false">
      <c r="A355" s="205" t="str">
        <f aca="false">CONCATENATE(F355,",",E355)</f>
        <v>MME 494,ED4-MARI</v>
      </c>
      <c r="B355" s="205" t="s">
        <v>1269</v>
      </c>
      <c r="C355" s="205" t="s">
        <v>1949</v>
      </c>
      <c r="D355" s="213" t="n">
        <v>23</v>
      </c>
      <c r="E355" s="205" t="s">
        <v>69</v>
      </c>
      <c r="F355" s="205" t="s">
        <v>292</v>
      </c>
    </row>
    <row r="356" s="220" customFormat="true" ht="14.25" hidden="false" customHeight="false" outlineLevel="0" collapsed="false">
      <c r="A356" s="205" t="str">
        <f aca="false">CONCATENATE(F356,",",E356)</f>
        <v>METE 154,ED1-MSE</v>
      </c>
      <c r="B356" s="205" t="s">
        <v>1270</v>
      </c>
      <c r="C356" s="205" t="s">
        <v>1802</v>
      </c>
      <c r="D356" s="213" t="n">
        <v>100</v>
      </c>
      <c r="E356" s="205" t="s">
        <v>115</v>
      </c>
      <c r="F356" s="205" t="s">
        <v>500</v>
      </c>
    </row>
    <row r="357" s="220" customFormat="true" ht="14.25" hidden="false" customHeight="false" outlineLevel="0" collapsed="false">
      <c r="A357" s="205" t="str">
        <f aca="false">CONCATENATE(F357,",",E357)</f>
        <v>ENGL 158,ED1-MSE</v>
      </c>
      <c r="B357" s="205" t="s">
        <v>991</v>
      </c>
      <c r="C357" s="205" t="s">
        <v>1634</v>
      </c>
      <c r="D357" s="213" t="n">
        <v>100</v>
      </c>
      <c r="E357" s="205" t="s">
        <v>115</v>
      </c>
      <c r="F357" s="205" t="s">
        <v>364</v>
      </c>
    </row>
    <row r="358" s="220" customFormat="true" ht="14.25" hidden="false" customHeight="false" outlineLevel="0" collapsed="false">
      <c r="A358" s="205" t="str">
        <f aca="false">CONCATENATE(F358,",",E358)</f>
        <v>MATH 152,ED1-MSE</v>
      </c>
      <c r="B358" s="205" t="s">
        <v>992</v>
      </c>
      <c r="C358" s="205" t="s">
        <v>1975</v>
      </c>
      <c r="D358" s="213" t="n">
        <v>100</v>
      </c>
      <c r="E358" s="205" t="s">
        <v>115</v>
      </c>
      <c r="F358" s="205" t="s">
        <v>129</v>
      </c>
    </row>
    <row r="359" s="220" customFormat="true" ht="14.25" hidden="false" customHeight="false" outlineLevel="0" collapsed="false">
      <c r="A359" s="205" t="str">
        <f aca="false">CONCATENATE(F359,",",E359)</f>
        <v>ME 160,ED1-MSE</v>
      </c>
      <c r="B359" s="205" t="s">
        <v>993</v>
      </c>
      <c r="C359" s="205" t="s">
        <v>1987</v>
      </c>
      <c r="D359" s="213" t="n">
        <v>100</v>
      </c>
      <c r="E359" s="205" t="s">
        <v>115</v>
      </c>
      <c r="F359" s="205" t="s">
        <v>160</v>
      </c>
    </row>
    <row r="360" s="220" customFormat="true" ht="14.25" hidden="false" customHeight="false" outlineLevel="0" collapsed="false">
      <c r="A360" s="205" t="str">
        <f aca="false">CONCATENATE(F360,",",E360)</f>
        <v>ME 162,ED1-MSE</v>
      </c>
      <c r="B360" s="205" t="s">
        <v>994</v>
      </c>
      <c r="C360" s="205" t="s">
        <v>1741</v>
      </c>
      <c r="D360" s="213" t="n">
        <v>100</v>
      </c>
      <c r="E360" s="205" t="s">
        <v>115</v>
      </c>
      <c r="F360" s="205" t="s">
        <v>392</v>
      </c>
    </row>
    <row r="361" s="220" customFormat="true" ht="14.25" hidden="false" customHeight="false" outlineLevel="0" collapsed="false">
      <c r="A361" s="205" t="str">
        <f aca="false">CONCATENATE(F361,",",E361)</f>
        <v>MSE 152,ED1-MSE</v>
      </c>
      <c r="B361" s="205" t="s">
        <v>1271</v>
      </c>
      <c r="C361" s="205" t="s">
        <v>1988</v>
      </c>
      <c r="D361" s="213" t="n">
        <v>100</v>
      </c>
      <c r="E361" s="205" t="s">
        <v>115</v>
      </c>
      <c r="F361" s="205" t="s">
        <v>294</v>
      </c>
    </row>
    <row r="362" s="220" customFormat="true" ht="14.25" hidden="false" customHeight="false" outlineLevel="0" collapsed="false">
      <c r="A362" s="205" t="str">
        <f aca="false">CONCATENATE(F362,",",E362)</f>
        <v>MSE 154,ED1-MSE</v>
      </c>
      <c r="B362" s="205" t="s">
        <v>1272</v>
      </c>
      <c r="C362" s="205" t="s">
        <v>1837</v>
      </c>
      <c r="D362" s="213" t="n">
        <v>100</v>
      </c>
      <c r="E362" s="205" t="s">
        <v>115</v>
      </c>
      <c r="F362" s="205" t="s">
        <v>113</v>
      </c>
    </row>
    <row r="363" s="220" customFormat="true" ht="14.25" hidden="false" customHeight="false" outlineLevel="0" collapsed="false">
      <c r="A363" s="205" t="str">
        <f aca="false">CONCATENATE(F363,",",E363)</f>
        <v>MATH 252,ED2-MSE</v>
      </c>
      <c r="B363" s="205" t="s">
        <v>998</v>
      </c>
      <c r="C363" s="205" t="s">
        <v>1721</v>
      </c>
      <c r="D363" s="213" t="n">
        <v>83</v>
      </c>
      <c r="E363" s="205" t="s">
        <v>210</v>
      </c>
      <c r="F363" s="205" t="s">
        <v>281</v>
      </c>
    </row>
    <row r="364" s="220" customFormat="true" ht="14.25" hidden="false" customHeight="false" outlineLevel="0" collapsed="false">
      <c r="A364" s="205" t="str">
        <f aca="false">CONCATENATE(F364,",",E364)</f>
        <v>MSE 252,ED2-MSE</v>
      </c>
      <c r="B364" s="205" t="s">
        <v>1273</v>
      </c>
      <c r="C364" s="205" t="s">
        <v>1797</v>
      </c>
      <c r="D364" s="213" t="n">
        <v>83</v>
      </c>
      <c r="E364" s="205" t="s">
        <v>210</v>
      </c>
      <c r="F364" s="205" t="s">
        <v>366</v>
      </c>
    </row>
    <row r="365" s="220" customFormat="true" ht="14.25" hidden="false" customHeight="false" outlineLevel="0" collapsed="false">
      <c r="A365" s="205" t="str">
        <f aca="false">CONCATENATE(F365,",",E365)</f>
        <v>MSE 254,ED2-MSE</v>
      </c>
      <c r="B365" s="205" t="s">
        <v>1989</v>
      </c>
      <c r="C365" s="205" t="s">
        <v>1846</v>
      </c>
      <c r="D365" s="213" t="n">
        <v>83</v>
      </c>
      <c r="E365" s="205" t="s">
        <v>210</v>
      </c>
      <c r="F365" s="205" t="s">
        <v>468</v>
      </c>
    </row>
    <row r="366" s="220" customFormat="true" ht="14.25" hidden="false" customHeight="false" outlineLevel="0" collapsed="false">
      <c r="A366" s="205" t="str">
        <f aca="false">CONCATENATE(F366,",",E366)</f>
        <v>MSE 256,ED2-MSE</v>
      </c>
      <c r="B366" s="205" t="s">
        <v>1990</v>
      </c>
      <c r="C366" s="205" t="s">
        <v>1842</v>
      </c>
      <c r="D366" s="213" t="n">
        <v>83</v>
      </c>
      <c r="E366" s="205" t="s">
        <v>210</v>
      </c>
      <c r="F366" s="205" t="s">
        <v>511</v>
      </c>
    </row>
    <row r="367" s="220" customFormat="true" ht="14.25" hidden="false" customHeight="false" outlineLevel="0" collapsed="false">
      <c r="A367" s="205" t="str">
        <f aca="false">CONCATENATE(F367,",",E367)</f>
        <v>MSE 258,ED2-MSE</v>
      </c>
      <c r="B367" s="205" t="s">
        <v>1275</v>
      </c>
      <c r="C367" s="205" t="s">
        <v>1761</v>
      </c>
      <c r="D367" s="213" t="n">
        <v>83</v>
      </c>
      <c r="E367" s="205" t="s">
        <v>210</v>
      </c>
      <c r="F367" s="205" t="s">
        <v>1276</v>
      </c>
    </row>
    <row r="368" s="220" customFormat="true" ht="14.25" hidden="false" customHeight="false" outlineLevel="0" collapsed="false">
      <c r="A368" s="205" t="str">
        <f aca="false">CONCATENATE(F368,",",E368)</f>
        <v>MSE 260,ED2-MSE</v>
      </c>
      <c r="B368" s="205" t="s">
        <v>1277</v>
      </c>
      <c r="C368" s="205" t="s">
        <v>1800</v>
      </c>
      <c r="D368" s="213" t="n">
        <v>83</v>
      </c>
      <c r="E368" s="205" t="s">
        <v>210</v>
      </c>
      <c r="F368" s="205" t="s">
        <v>253</v>
      </c>
    </row>
    <row r="369" s="220" customFormat="true" ht="14.25" hidden="false" customHeight="false" outlineLevel="0" collapsed="false">
      <c r="A369" s="205" t="str">
        <f aca="false">CONCATENATE(F369,",",E369)</f>
        <v>MSE 262,ED2-MSE</v>
      </c>
      <c r="B369" s="205" t="s">
        <v>1991</v>
      </c>
      <c r="C369" s="205" t="s">
        <v>1805</v>
      </c>
      <c r="D369" s="213" t="n">
        <v>83</v>
      </c>
      <c r="E369" s="205" t="s">
        <v>210</v>
      </c>
      <c r="F369" s="205" t="s">
        <v>209</v>
      </c>
    </row>
    <row r="370" s="220" customFormat="true" ht="14.25" hidden="false" customHeight="false" outlineLevel="0" collapsed="false">
      <c r="A370" s="205" t="str">
        <f aca="false">CONCATENATE(F370,",",E370)</f>
        <v>MSE 352,ED3-MSE</v>
      </c>
      <c r="B370" s="205" t="s">
        <v>1279</v>
      </c>
      <c r="C370" s="205" t="s">
        <v>1846</v>
      </c>
      <c r="D370" s="213" t="n">
        <v>85</v>
      </c>
      <c r="E370" s="205" t="s">
        <v>140</v>
      </c>
      <c r="F370" s="205" t="s">
        <v>414</v>
      </c>
    </row>
    <row r="371" s="220" customFormat="true" ht="14.25" hidden="false" customHeight="false" outlineLevel="0" collapsed="false">
      <c r="A371" s="205" t="str">
        <f aca="false">CONCATENATE(F371,",",E371)</f>
        <v>MSE 354,ED3-MSE</v>
      </c>
      <c r="B371" s="205" t="s">
        <v>1280</v>
      </c>
      <c r="C371" s="205" t="s">
        <v>1814</v>
      </c>
      <c r="D371" s="213" t="n">
        <v>85</v>
      </c>
      <c r="E371" s="205" t="s">
        <v>140</v>
      </c>
      <c r="F371" s="205" t="s">
        <v>207</v>
      </c>
    </row>
    <row r="372" s="220" customFormat="true" ht="14.25" hidden="false" customHeight="false" outlineLevel="0" collapsed="false">
      <c r="A372" s="205" t="str">
        <f aca="false">CONCATENATE(F372,",",E372)</f>
        <v>MSE 356,ED3-MSE</v>
      </c>
      <c r="B372" s="205" t="s">
        <v>1281</v>
      </c>
      <c r="C372" s="205" t="s">
        <v>1842</v>
      </c>
      <c r="D372" s="213" t="n">
        <v>85</v>
      </c>
      <c r="E372" s="205" t="s">
        <v>140</v>
      </c>
      <c r="F372" s="205" t="s">
        <v>271</v>
      </c>
    </row>
    <row r="373" s="220" customFormat="true" ht="14.25" hidden="false" customHeight="false" outlineLevel="0" collapsed="false">
      <c r="A373" s="205" t="str">
        <f aca="false">CONCATENATE(F373,",",E373)</f>
        <v>MSE 358,ED3-MSE</v>
      </c>
      <c r="B373" s="205" t="s">
        <v>1282</v>
      </c>
      <c r="C373" s="205" t="s">
        <v>1837</v>
      </c>
      <c r="D373" s="213" t="n">
        <v>85</v>
      </c>
      <c r="E373" s="205" t="s">
        <v>140</v>
      </c>
      <c r="F373" s="205" t="s">
        <v>499</v>
      </c>
    </row>
    <row r="374" s="220" customFormat="true" ht="14.25" hidden="false" customHeight="false" outlineLevel="0" collapsed="false">
      <c r="A374" s="205" t="str">
        <f aca="false">CONCATENATE(F374,",",E374)</f>
        <v>MSE 360,ED3-MSE</v>
      </c>
      <c r="B374" s="205" t="s">
        <v>1283</v>
      </c>
      <c r="C374" s="205" t="s">
        <v>1805</v>
      </c>
      <c r="D374" s="213" t="n">
        <v>85</v>
      </c>
      <c r="E374" s="205" t="s">
        <v>140</v>
      </c>
      <c r="F374" s="205" t="s">
        <v>383</v>
      </c>
    </row>
    <row r="375" s="220" customFormat="true" ht="14.25" hidden="false" customHeight="false" outlineLevel="0" collapsed="false">
      <c r="A375" s="205" t="str">
        <f aca="false">CONCATENATE(F375,",",E375)</f>
        <v>MSE 362,ED3-MSE</v>
      </c>
      <c r="B375" s="205" t="s">
        <v>1284</v>
      </c>
      <c r="C375" s="205" t="s">
        <v>1814</v>
      </c>
      <c r="D375" s="213" t="n">
        <v>85</v>
      </c>
      <c r="E375" s="205" t="s">
        <v>140</v>
      </c>
      <c r="F375" s="205" t="s">
        <v>321</v>
      </c>
    </row>
    <row r="376" s="220" customFormat="true" ht="14.25" hidden="false" customHeight="false" outlineLevel="0" collapsed="false">
      <c r="A376" s="205" t="str">
        <f aca="false">CONCATENATE(F376,",",E376)</f>
        <v>MSE 364,ED3-MSE</v>
      </c>
      <c r="B376" s="205" t="s">
        <v>1285</v>
      </c>
      <c r="C376" s="205" t="s">
        <v>1761</v>
      </c>
      <c r="D376" s="213" t="n">
        <v>85</v>
      </c>
      <c r="E376" s="205" t="s">
        <v>140</v>
      </c>
      <c r="F376" s="205" t="s">
        <v>139</v>
      </c>
    </row>
    <row r="377" s="220" customFormat="true" ht="14.25" hidden="false" customHeight="false" outlineLevel="0" collapsed="false">
      <c r="A377" s="205" t="str">
        <f aca="false">CONCATENATE(F377,",",E377)</f>
        <v>MSE 396,ED3-MSE</v>
      </c>
      <c r="B377" s="205" t="s">
        <v>1286</v>
      </c>
      <c r="C377" s="205" t="s">
        <v>1811</v>
      </c>
      <c r="D377" s="213" t="n">
        <v>85</v>
      </c>
      <c r="E377" s="205" t="s">
        <v>140</v>
      </c>
      <c r="F377" s="205" t="s">
        <v>1287</v>
      </c>
    </row>
    <row r="378" s="220" customFormat="true" ht="14.25" hidden="false" customHeight="false" outlineLevel="0" collapsed="false">
      <c r="A378" s="205" t="str">
        <f aca="false">CONCATENATE(F378,",",E378)</f>
        <v>ME 492,ED4-MSE</v>
      </c>
      <c r="B378" s="205" t="s">
        <v>1015</v>
      </c>
      <c r="C378" s="205" t="s">
        <v>1435</v>
      </c>
      <c r="D378" s="213" t="n">
        <v>60</v>
      </c>
      <c r="E378" s="205" t="s">
        <v>135</v>
      </c>
      <c r="F378" s="205" t="s">
        <v>373</v>
      </c>
    </row>
    <row r="379" s="220" customFormat="true" ht="14.25" hidden="false" customHeight="false" outlineLevel="0" collapsed="false">
      <c r="A379" s="205" t="str">
        <f aca="false">CONCATENATE(F379,",",E379)</f>
        <v>MSE 452,ED4-MSE</v>
      </c>
      <c r="B379" s="205" t="s">
        <v>1288</v>
      </c>
      <c r="C379" s="205" t="s">
        <v>1802</v>
      </c>
      <c r="D379" s="213" t="n">
        <v>60</v>
      </c>
      <c r="E379" s="205" t="s">
        <v>135</v>
      </c>
      <c r="F379" s="205" t="s">
        <v>289</v>
      </c>
    </row>
    <row r="380" s="220" customFormat="true" ht="14.25" hidden="false" customHeight="false" outlineLevel="0" collapsed="false">
      <c r="A380" s="205" t="str">
        <f aca="false">CONCATENATE(F380,",",E380)</f>
        <v>MSE 454,ED4-MSE</v>
      </c>
      <c r="B380" s="205" t="s">
        <v>1289</v>
      </c>
      <c r="C380" s="205" t="s">
        <v>1846</v>
      </c>
      <c r="D380" s="213" t="n">
        <v>60</v>
      </c>
      <c r="E380" s="205" t="s">
        <v>135</v>
      </c>
      <c r="F380" s="205" t="s">
        <v>441</v>
      </c>
    </row>
    <row r="381" s="220" customFormat="true" ht="14.25" hidden="false" customHeight="false" outlineLevel="0" collapsed="false">
      <c r="A381" s="205" t="str">
        <f aca="false">CONCATENATE(F381,",",E381)</f>
        <v>MSE 456,ED4-MSE</v>
      </c>
      <c r="B381" s="205" t="s">
        <v>1290</v>
      </c>
      <c r="C381" s="205" t="s">
        <v>1761</v>
      </c>
      <c r="D381" s="213" t="n">
        <v>60</v>
      </c>
      <c r="E381" s="205" t="s">
        <v>135</v>
      </c>
      <c r="F381" s="205" t="s">
        <v>223</v>
      </c>
    </row>
    <row r="382" s="220" customFormat="true" ht="14.25" hidden="false" customHeight="false" outlineLevel="0" collapsed="false">
      <c r="A382" s="205" t="str">
        <f aca="false">CONCATENATE(F382,",",E382)</f>
        <v>MSE 458,ED4-MSE</v>
      </c>
      <c r="B382" s="205" t="s">
        <v>1291</v>
      </c>
      <c r="C382" s="205" t="s">
        <v>1857</v>
      </c>
      <c r="D382" s="213" t="n">
        <v>60</v>
      </c>
      <c r="E382" s="205" t="s">
        <v>135</v>
      </c>
      <c r="F382" s="205" t="s">
        <v>134</v>
      </c>
    </row>
    <row r="383" customFormat="false" ht="14.25" hidden="false" customHeight="false" outlineLevel="0" collapsed="false">
      <c r="A383" s="205" t="str">
        <f aca="false">CONCATENATE(F383,",",E383)</f>
        <v>EE 152,ED1-ME</v>
      </c>
      <c r="B383" s="205" t="s">
        <v>990</v>
      </c>
      <c r="C383" s="205" t="s">
        <v>1947</v>
      </c>
      <c r="D383" s="213" t="n">
        <v>225</v>
      </c>
      <c r="E383" s="205" t="s">
        <v>161</v>
      </c>
      <c r="F383" s="205" t="s">
        <v>234</v>
      </c>
    </row>
    <row r="384" customFormat="false" ht="14.25" hidden="false" customHeight="false" outlineLevel="0" collapsed="false">
      <c r="A384" s="205" t="str">
        <f aca="false">CONCATENATE(F384,",",E384)</f>
        <v>ENGL 158,ED1-ME</v>
      </c>
      <c r="B384" s="205" t="s">
        <v>991</v>
      </c>
      <c r="C384" s="205" t="s">
        <v>1629</v>
      </c>
      <c r="D384" s="213" t="n">
        <v>225</v>
      </c>
      <c r="E384" s="205" t="s">
        <v>161</v>
      </c>
      <c r="F384" s="205" t="s">
        <v>364</v>
      </c>
    </row>
    <row r="385" customFormat="false" ht="14.25" hidden="false" customHeight="false" outlineLevel="0" collapsed="false">
      <c r="A385" s="205" t="str">
        <f aca="false">CONCATENATE(F385,",",E385)</f>
        <v>MATH 152,ED1-ME</v>
      </c>
      <c r="B385" s="205" t="s">
        <v>992</v>
      </c>
      <c r="C385" s="205" t="s">
        <v>1951</v>
      </c>
      <c r="D385" s="213" t="n">
        <v>225</v>
      </c>
      <c r="E385" s="205" t="s">
        <v>161</v>
      </c>
      <c r="F385" s="205" t="s">
        <v>129</v>
      </c>
    </row>
    <row r="386" customFormat="false" ht="14.25" hidden="false" customHeight="false" outlineLevel="0" collapsed="false">
      <c r="A386" s="205" t="str">
        <f aca="false">CONCATENATE(F386,",",E386)</f>
        <v>ME 160,ED1-ME</v>
      </c>
      <c r="B386" s="205" t="s">
        <v>993</v>
      </c>
      <c r="C386" s="205" t="s">
        <v>1992</v>
      </c>
      <c r="D386" s="213" t="n">
        <v>225</v>
      </c>
      <c r="E386" s="205" t="s">
        <v>161</v>
      </c>
      <c r="F386" s="205" t="s">
        <v>160</v>
      </c>
    </row>
    <row r="387" customFormat="false" ht="14.25" hidden="false" customHeight="false" outlineLevel="0" collapsed="false">
      <c r="A387" s="205" t="str">
        <f aca="false">CONCATENATE(F387,",",E387)</f>
        <v>ME 164,ED1-ME</v>
      </c>
      <c r="B387" s="205" t="s">
        <v>1292</v>
      </c>
      <c r="C387" s="205" t="s">
        <v>1715</v>
      </c>
      <c r="D387" s="213" t="n">
        <v>225</v>
      </c>
      <c r="E387" s="205" t="s">
        <v>161</v>
      </c>
      <c r="F387" s="205" t="s">
        <v>268</v>
      </c>
    </row>
    <row r="388" customFormat="false" ht="14.25" hidden="false" customHeight="false" outlineLevel="0" collapsed="false">
      <c r="A388" s="205" t="str">
        <f aca="false">CONCATENATE(F388,",",E388)</f>
        <v>ME 168,ED1-ME</v>
      </c>
      <c r="B388" s="205" t="s">
        <v>1019</v>
      </c>
      <c r="C388" s="205" t="s">
        <v>1717</v>
      </c>
      <c r="D388" s="213" t="n">
        <v>225</v>
      </c>
      <c r="E388" s="205" t="s">
        <v>161</v>
      </c>
      <c r="F388" s="205" t="s">
        <v>110</v>
      </c>
    </row>
    <row r="389" customFormat="false" ht="14.25" hidden="false" customHeight="false" outlineLevel="0" collapsed="false">
      <c r="A389" s="205" t="str">
        <f aca="false">CONCATENATE(F389,",",E389)</f>
        <v>ME 174,ED1-ME</v>
      </c>
      <c r="B389" s="205" t="s">
        <v>1043</v>
      </c>
      <c r="C389" s="205" t="s">
        <v>1406</v>
      </c>
      <c r="D389" s="213" t="n">
        <v>225</v>
      </c>
      <c r="E389" s="205" t="s">
        <v>161</v>
      </c>
      <c r="F389" s="205" t="s">
        <v>486</v>
      </c>
    </row>
    <row r="390" s="220" customFormat="true" ht="14.25" hidden="false" customHeight="false" outlineLevel="0" collapsed="false">
      <c r="A390" s="205" t="str">
        <f aca="false">CONCATENATE(F390,",",E390)</f>
        <v>MATH 252,ED2-ME</v>
      </c>
      <c r="B390" s="205" t="s">
        <v>998</v>
      </c>
      <c r="C390" s="205" t="s">
        <v>1734</v>
      </c>
      <c r="D390" s="213" t="n">
        <v>240</v>
      </c>
      <c r="E390" s="205" t="s">
        <v>33</v>
      </c>
      <c r="F390" s="205" t="s">
        <v>281</v>
      </c>
    </row>
    <row r="391" s="220" customFormat="true" ht="14.25" hidden="false" customHeight="false" outlineLevel="0" collapsed="false">
      <c r="A391" s="205" t="str">
        <f aca="false">CONCATENATE(F391,",",E391)</f>
        <v>ME 252,ED2-ME</v>
      </c>
      <c r="B391" s="205" t="s">
        <v>1051</v>
      </c>
      <c r="C391" s="205" t="s">
        <v>1704</v>
      </c>
      <c r="D391" s="213" t="n">
        <v>240</v>
      </c>
      <c r="E391" s="205" t="s">
        <v>33</v>
      </c>
      <c r="F391" s="205" t="s">
        <v>394</v>
      </c>
    </row>
    <row r="392" s="220" customFormat="true" ht="14.25" hidden="false" customHeight="false" outlineLevel="0" collapsed="false">
      <c r="A392" s="205" t="str">
        <f aca="false">CONCATENATE(F392,",",E392)</f>
        <v>ME 264,ED2-ME</v>
      </c>
      <c r="B392" s="205" t="s">
        <v>1023</v>
      </c>
      <c r="C392" s="205" t="s">
        <v>1755</v>
      </c>
      <c r="D392" s="213" t="n">
        <v>240</v>
      </c>
      <c r="E392" s="205" t="s">
        <v>33</v>
      </c>
      <c r="F392" s="205" t="s">
        <v>151</v>
      </c>
    </row>
    <row r="393" s="220" customFormat="true" ht="14.25" hidden="false" customHeight="false" outlineLevel="0" collapsed="false">
      <c r="A393" s="205" t="str">
        <f aca="false">CONCATENATE(F393,",",E393)</f>
        <v>ME 266,ED2-ME</v>
      </c>
      <c r="B393" s="205" t="s">
        <v>1024</v>
      </c>
      <c r="C393" s="205" t="s">
        <v>1746</v>
      </c>
      <c r="D393" s="213" t="n">
        <v>240</v>
      </c>
      <c r="E393" s="205" t="s">
        <v>33</v>
      </c>
      <c r="F393" s="205" t="s">
        <v>420</v>
      </c>
    </row>
    <row r="394" s="220" customFormat="true" ht="14.25" hidden="false" customHeight="false" outlineLevel="0" collapsed="false">
      <c r="A394" s="205" t="str">
        <f aca="false">CONCATENATE(F394,",",E394)</f>
        <v>ME 274,ED2-ME</v>
      </c>
      <c r="B394" s="205" t="s">
        <v>1293</v>
      </c>
      <c r="C394" s="205" t="s">
        <v>1410</v>
      </c>
      <c r="D394" s="213" t="n">
        <v>240</v>
      </c>
      <c r="E394" s="205" t="s">
        <v>33</v>
      </c>
      <c r="F394" s="205" t="s">
        <v>32</v>
      </c>
    </row>
    <row r="395" s="220" customFormat="true" ht="14.25" hidden="false" customHeight="false" outlineLevel="0" collapsed="false">
      <c r="A395" s="205" t="str">
        <f aca="false">CONCATENATE(F395,",",E395)</f>
        <v>ME 292,ED2-ME</v>
      </c>
      <c r="B395" s="205" t="s">
        <v>1030</v>
      </c>
      <c r="C395" s="205" t="s">
        <v>1435</v>
      </c>
      <c r="D395" s="213" t="n">
        <v>240</v>
      </c>
      <c r="E395" s="205" t="s">
        <v>33</v>
      </c>
      <c r="F395" s="205" t="s">
        <v>240</v>
      </c>
    </row>
    <row r="396" s="220" customFormat="true" ht="14.25" hidden="false" customHeight="false" outlineLevel="0" collapsed="false">
      <c r="A396" s="205" t="str">
        <f aca="false">CONCATENATE(F396,",",E396)</f>
        <v>ME 296,ED2-ME</v>
      </c>
      <c r="B396" s="205" t="s">
        <v>1001</v>
      </c>
      <c r="C396" s="205" t="s">
        <v>1746</v>
      </c>
      <c r="D396" s="213" t="n">
        <v>240</v>
      </c>
      <c r="E396" s="205" t="s">
        <v>33</v>
      </c>
      <c r="F396" s="205" t="s">
        <v>542</v>
      </c>
    </row>
    <row r="397" s="220" customFormat="true" ht="14.25" hidden="false" customHeight="false" outlineLevel="0" collapsed="false">
      <c r="A397" s="205" t="str">
        <f aca="false">CONCATENATE(F397,",",E397)</f>
        <v>EE 252,ED3-ME</v>
      </c>
      <c r="B397" s="205" t="s">
        <v>995</v>
      </c>
      <c r="C397" s="205" t="s">
        <v>1947</v>
      </c>
      <c r="D397" s="213" t="n">
        <v>222</v>
      </c>
      <c r="E397" s="205" t="s">
        <v>61</v>
      </c>
      <c r="F397" s="205" t="s">
        <v>473</v>
      </c>
    </row>
    <row r="398" s="220" customFormat="true" ht="14.25" hidden="false" customHeight="false" outlineLevel="0" collapsed="false">
      <c r="A398" s="205" t="str">
        <f aca="false">CONCATENATE(F398,",",E398)</f>
        <v>ME 352,ED3-ME</v>
      </c>
      <c r="B398" s="205" t="s">
        <v>1294</v>
      </c>
      <c r="C398" s="205" t="s">
        <v>1992</v>
      </c>
      <c r="D398" s="213" t="n">
        <v>222</v>
      </c>
      <c r="E398" s="205" t="s">
        <v>61</v>
      </c>
      <c r="F398" s="205" t="s">
        <v>174</v>
      </c>
    </row>
    <row r="399" s="220" customFormat="true" ht="14.25" hidden="false" customHeight="false" outlineLevel="0" collapsed="false">
      <c r="A399" s="205" t="str">
        <f aca="false">CONCATENATE(F399,",",E399)</f>
        <v>ME 356,ED3-ME</v>
      </c>
      <c r="B399" s="205" t="s">
        <v>1295</v>
      </c>
      <c r="C399" s="205" t="s">
        <v>1717</v>
      </c>
      <c r="D399" s="213" t="n">
        <v>222</v>
      </c>
      <c r="E399" s="205" t="s">
        <v>61</v>
      </c>
      <c r="F399" s="205" t="s">
        <v>389</v>
      </c>
    </row>
    <row r="400" s="220" customFormat="true" ht="14.25" hidden="false" customHeight="false" outlineLevel="0" collapsed="false">
      <c r="A400" s="205" t="str">
        <f aca="false">CONCATENATE(F400,",",E400)</f>
        <v>ME 370,ED3-ME</v>
      </c>
      <c r="B400" s="205" t="s">
        <v>1052</v>
      </c>
      <c r="C400" s="205" t="s">
        <v>1758</v>
      </c>
      <c r="D400" s="213" t="n">
        <v>222</v>
      </c>
      <c r="E400" s="205" t="s">
        <v>61</v>
      </c>
      <c r="F400" s="205" t="s">
        <v>310</v>
      </c>
    </row>
    <row r="401" s="220" customFormat="true" ht="14.25" hidden="false" customHeight="false" outlineLevel="0" collapsed="false">
      <c r="A401" s="205" t="str">
        <f aca="false">CONCATENATE(F401,",",E401)</f>
        <v>ME 362,ED3-ME</v>
      </c>
      <c r="B401" s="205" t="s">
        <v>1029</v>
      </c>
      <c r="C401" s="205" t="s">
        <v>1429</v>
      </c>
      <c r="D401" s="213" t="n">
        <v>222</v>
      </c>
      <c r="E401" s="205" t="s">
        <v>61</v>
      </c>
      <c r="F401" s="205" t="s">
        <v>519</v>
      </c>
    </row>
    <row r="402" s="220" customFormat="true" ht="14.25" hidden="false" customHeight="false" outlineLevel="0" collapsed="false">
      <c r="A402" s="205" t="str">
        <f aca="false">CONCATENATE(F402,",",E402)</f>
        <v>ME 366,ED3-ME</v>
      </c>
      <c r="B402" s="205" t="s">
        <v>1007</v>
      </c>
      <c r="C402" s="205" t="s">
        <v>1768</v>
      </c>
      <c r="D402" s="213" t="n">
        <v>222</v>
      </c>
      <c r="E402" s="205" t="s">
        <v>61</v>
      </c>
      <c r="F402" s="205" t="s">
        <v>347</v>
      </c>
    </row>
    <row r="403" s="220" customFormat="true" ht="14.25" hidden="false" customHeight="false" outlineLevel="0" collapsed="false">
      <c r="A403" s="205" t="str">
        <f aca="false">CONCATENATE(F403,",",E403)</f>
        <v>ME 374,ED3-ME</v>
      </c>
      <c r="B403" s="205" t="s">
        <v>1296</v>
      </c>
      <c r="C403" s="205" t="s">
        <v>1410</v>
      </c>
      <c r="D403" s="213" t="n">
        <v>222</v>
      </c>
      <c r="E403" s="205" t="s">
        <v>61</v>
      </c>
      <c r="F403" s="205" t="s">
        <v>60</v>
      </c>
    </row>
    <row r="404" s="220" customFormat="true" ht="14.25" hidden="false" customHeight="false" outlineLevel="0" collapsed="false">
      <c r="A404" s="205" t="str">
        <f aca="false">CONCATENATE(F404,",",E404)</f>
        <v>ME 396,ED3-ME</v>
      </c>
      <c r="B404" s="205" t="s">
        <v>1297</v>
      </c>
      <c r="C404" s="205" t="s">
        <v>1715</v>
      </c>
      <c r="D404" s="213" t="n">
        <v>222</v>
      </c>
      <c r="E404" s="205" t="s">
        <v>61</v>
      </c>
      <c r="F404" s="205" t="s">
        <v>1298</v>
      </c>
    </row>
    <row r="405" s="220" customFormat="true" ht="14.25" hidden="false" customHeight="false" outlineLevel="0" collapsed="false">
      <c r="A405" s="205" t="str">
        <f aca="false">CONCATENATE(F405,",",E405)</f>
        <v>ME 452,ED4-ME</v>
      </c>
      <c r="B405" s="205" t="s">
        <v>1299</v>
      </c>
      <c r="C405" s="205" t="s">
        <v>1777</v>
      </c>
      <c r="D405" s="213" t="n">
        <v>80</v>
      </c>
      <c r="E405" s="205" t="s">
        <v>67</v>
      </c>
      <c r="F405" s="205" t="s">
        <v>458</v>
      </c>
    </row>
    <row r="406" s="220" customFormat="true" ht="14.25" hidden="false" customHeight="false" outlineLevel="0" collapsed="false">
      <c r="A406" s="205" t="str">
        <f aca="false">CONCATENATE(F406,",",E406)</f>
        <v>ME 464,ED4-ME</v>
      </c>
      <c r="B406" s="205" t="s">
        <v>1300</v>
      </c>
      <c r="C406" s="205" t="s">
        <v>1429</v>
      </c>
      <c r="D406" s="213" t="n">
        <v>135</v>
      </c>
      <c r="E406" s="205" t="s">
        <v>67</v>
      </c>
      <c r="F406" s="205" t="s">
        <v>66</v>
      </c>
    </row>
    <row r="407" s="220" customFormat="true" ht="14.25" hidden="false" customHeight="false" outlineLevel="0" collapsed="false">
      <c r="A407" s="205" t="str">
        <f aca="false">CONCATENATE(F407,",",E407)</f>
        <v>ME 468,ED4-ME</v>
      </c>
      <c r="B407" s="205" t="s">
        <v>1036</v>
      </c>
      <c r="C407" s="205" t="s">
        <v>1768</v>
      </c>
      <c r="D407" s="213" t="n">
        <v>40</v>
      </c>
      <c r="E407" s="205" t="s">
        <v>67</v>
      </c>
      <c r="F407" s="205" t="s">
        <v>407</v>
      </c>
    </row>
    <row r="408" s="220" customFormat="true" ht="14.25" hidden="false" customHeight="false" outlineLevel="0" collapsed="false">
      <c r="A408" s="205" t="str">
        <f aca="false">CONCATENATE(F408,",",E408)</f>
        <v>ME 472,ED4-ME</v>
      </c>
      <c r="B408" s="205" t="s">
        <v>1037</v>
      </c>
      <c r="C408" s="205" t="s">
        <v>1787</v>
      </c>
      <c r="D408" s="213" t="n">
        <v>54</v>
      </c>
      <c r="E408" s="205" t="s">
        <v>67</v>
      </c>
      <c r="F408" s="205" t="s">
        <v>327</v>
      </c>
    </row>
    <row r="409" s="220" customFormat="true" ht="14.25" hidden="false" customHeight="false" outlineLevel="0" collapsed="false">
      <c r="A409" s="205" t="str">
        <f aca="false">CONCATENATE(F409,",",E409)</f>
        <v>ME 478,ED4-ME</v>
      </c>
      <c r="B409" s="205" t="s">
        <v>1302</v>
      </c>
      <c r="C409" s="205" t="s">
        <v>1787</v>
      </c>
      <c r="D409" s="213" t="n">
        <v>40</v>
      </c>
      <c r="E409" s="205" t="s">
        <v>67</v>
      </c>
      <c r="F409" s="205" t="s">
        <v>189</v>
      </c>
    </row>
    <row r="410" s="220" customFormat="true" ht="14.25" hidden="false" customHeight="false" outlineLevel="0" collapsed="false">
      <c r="A410" s="205" t="str">
        <f aca="false">CONCATENATE(F410,",",E410)</f>
        <v>ME 482,ED4-ME</v>
      </c>
      <c r="B410" s="205" t="s">
        <v>1303</v>
      </c>
      <c r="C410" s="205" t="s">
        <v>1438</v>
      </c>
      <c r="D410" s="213" t="n">
        <v>55</v>
      </c>
      <c r="E410" s="205" t="s">
        <v>67</v>
      </c>
      <c r="F410" s="205" t="s">
        <v>116</v>
      </c>
    </row>
    <row r="411" s="220" customFormat="true" ht="14.25" hidden="false" customHeight="false" outlineLevel="0" collapsed="false">
      <c r="A411" s="205" t="str">
        <f aca="false">CONCATENATE(F411,",",E411)</f>
        <v>ME 492,ED4-ME</v>
      </c>
      <c r="B411" s="205" t="s">
        <v>1015</v>
      </c>
      <c r="C411" s="205" t="s">
        <v>1435</v>
      </c>
      <c r="D411" s="213" t="n">
        <v>135</v>
      </c>
      <c r="E411" s="205" t="s">
        <v>67</v>
      </c>
      <c r="F411" s="205" t="s">
        <v>373</v>
      </c>
    </row>
    <row r="412" s="220" customFormat="true" ht="14.25" hidden="false" customHeight="false" outlineLevel="0" collapsed="false">
      <c r="A412" s="205" t="str">
        <f aca="false">CONCATENATE(F412,",",E412)</f>
        <v>ME 494,ED4-ME</v>
      </c>
      <c r="B412" s="205" t="s">
        <v>1251</v>
      </c>
      <c r="C412" s="205" t="s">
        <v>1949</v>
      </c>
      <c r="D412" s="213" t="n">
        <v>135</v>
      </c>
      <c r="E412" s="205" t="s">
        <v>67</v>
      </c>
      <c r="F412" s="205" t="s">
        <v>293</v>
      </c>
    </row>
    <row r="413" s="220" customFormat="true" ht="14.25" hidden="false" customHeight="false" outlineLevel="0" collapsed="false">
      <c r="A413" s="205" t="str">
        <f aca="false">CONCATENATE(F413,",",E413)</f>
        <v>ENGL 158,ED1-METE</v>
      </c>
      <c r="B413" s="205" t="s">
        <v>991</v>
      </c>
      <c r="C413" s="205" t="s">
        <v>1634</v>
      </c>
      <c r="D413" s="213" t="n">
        <v>75</v>
      </c>
      <c r="E413" s="205" t="s">
        <v>114</v>
      </c>
      <c r="F413" s="205" t="s">
        <v>364</v>
      </c>
    </row>
    <row r="414" s="220" customFormat="true" ht="14.25" hidden="false" customHeight="false" outlineLevel="0" collapsed="false">
      <c r="A414" s="205" t="str">
        <f aca="false">CONCATENATE(F414,",",E414)</f>
        <v>MATH 152,ED1-METE</v>
      </c>
      <c r="B414" s="205" t="s">
        <v>992</v>
      </c>
      <c r="C414" s="205" t="s">
        <v>1975</v>
      </c>
      <c r="D414" s="213" t="n">
        <v>75</v>
      </c>
      <c r="E414" s="205" t="s">
        <v>114</v>
      </c>
      <c r="F414" s="205" t="s">
        <v>129</v>
      </c>
    </row>
    <row r="415" s="220" customFormat="true" ht="14.25" hidden="false" customHeight="false" outlineLevel="0" collapsed="false">
      <c r="A415" s="205" t="str">
        <f aca="false">CONCATENATE(F415,",",E415)</f>
        <v>ME 160,ED1-METE</v>
      </c>
      <c r="B415" s="205" t="s">
        <v>993</v>
      </c>
      <c r="C415" s="205" t="s">
        <v>1404</v>
      </c>
      <c r="D415" s="213" t="n">
        <v>75</v>
      </c>
      <c r="E415" s="205" t="s">
        <v>114</v>
      </c>
      <c r="F415" s="205" t="s">
        <v>160</v>
      </c>
    </row>
    <row r="416" s="220" customFormat="true" ht="14.25" hidden="false" customHeight="false" outlineLevel="0" collapsed="false">
      <c r="A416" s="205" t="str">
        <f aca="false">CONCATENATE(F416,",",E416)</f>
        <v>ME 162,ED1-METE</v>
      </c>
      <c r="B416" s="205" t="s">
        <v>994</v>
      </c>
      <c r="C416" s="205" t="s">
        <v>1777</v>
      </c>
      <c r="D416" s="213" t="n">
        <v>75</v>
      </c>
      <c r="E416" s="205" t="s">
        <v>114</v>
      </c>
      <c r="F416" s="205" t="s">
        <v>392</v>
      </c>
    </row>
    <row r="417" s="220" customFormat="true" ht="14.25" hidden="false" customHeight="false" outlineLevel="0" collapsed="false">
      <c r="A417" s="205" t="str">
        <f aca="false">CONCATENATE(F417,",",E417)</f>
        <v>METE 152,ED1-METE</v>
      </c>
      <c r="B417" s="205" t="s">
        <v>1304</v>
      </c>
      <c r="C417" s="205" t="s">
        <v>1988</v>
      </c>
      <c r="D417" s="213" t="n">
        <v>75</v>
      </c>
      <c r="E417" s="205" t="s">
        <v>114</v>
      </c>
      <c r="F417" s="205" t="s">
        <v>295</v>
      </c>
    </row>
    <row r="418" s="220" customFormat="true" ht="14.25" hidden="false" customHeight="false" outlineLevel="0" collapsed="false">
      <c r="A418" s="205" t="str">
        <f aca="false">CONCATENATE(F418,",",E418)</f>
        <v>METE 154,ED1-METE</v>
      </c>
      <c r="B418" s="205" t="s">
        <v>1270</v>
      </c>
      <c r="C418" s="205" t="s">
        <v>1802</v>
      </c>
      <c r="D418" s="213" t="n">
        <v>75</v>
      </c>
      <c r="E418" s="205" t="s">
        <v>114</v>
      </c>
      <c r="F418" s="205" t="s">
        <v>500</v>
      </c>
    </row>
    <row r="419" s="220" customFormat="true" ht="14.25" hidden="false" customHeight="false" outlineLevel="0" collapsed="false">
      <c r="A419" s="205" t="str">
        <f aca="false">CONCATENATE(F419,",",E419)</f>
        <v>MSE 154,ED1-METE</v>
      </c>
      <c r="B419" s="205" t="s">
        <v>1272</v>
      </c>
      <c r="C419" s="205" t="s">
        <v>1837</v>
      </c>
      <c r="D419" s="213" t="n">
        <v>75</v>
      </c>
      <c r="E419" s="205" t="s">
        <v>114</v>
      </c>
      <c r="F419" s="205" t="s">
        <v>113</v>
      </c>
    </row>
    <row r="420" s="220" customFormat="true" ht="14.25" hidden="false" customHeight="false" outlineLevel="0" collapsed="false">
      <c r="A420" s="205" t="str">
        <f aca="false">CONCATENATE(F420,",",E420)</f>
        <v>GED 162,ED1-METE</v>
      </c>
      <c r="B420" s="205" t="s">
        <v>1993</v>
      </c>
      <c r="C420" s="205" t="s">
        <v>1682</v>
      </c>
      <c r="D420" s="213" t="n">
        <v>75</v>
      </c>
      <c r="E420" s="205" t="s">
        <v>114</v>
      </c>
      <c r="F420" s="205" t="s">
        <v>355</v>
      </c>
    </row>
    <row r="421" s="220" customFormat="true" ht="14.25" hidden="false" customHeight="false" outlineLevel="0" collapsed="false">
      <c r="A421" s="205" t="str">
        <f aca="false">CONCATENATE(F421,",",E421)</f>
        <v>MATH 252,ED2-METE</v>
      </c>
      <c r="B421" s="205" t="s">
        <v>998</v>
      </c>
      <c r="C421" s="205" t="s">
        <v>1721</v>
      </c>
      <c r="D421" s="213" t="n">
        <v>57</v>
      </c>
      <c r="E421" s="205" t="s">
        <v>101</v>
      </c>
      <c r="F421" s="205" t="s">
        <v>281</v>
      </c>
    </row>
    <row r="422" s="220" customFormat="true" ht="14.25" hidden="false" customHeight="false" outlineLevel="0" collapsed="false">
      <c r="A422" s="205" t="str">
        <f aca="false">CONCATENATE(F422,",",E422)</f>
        <v>METE 252,ED2-METE</v>
      </c>
      <c r="B422" s="205" t="s">
        <v>1306</v>
      </c>
      <c r="C422" s="205" t="s">
        <v>1988</v>
      </c>
      <c r="D422" s="213" t="n">
        <v>57</v>
      </c>
      <c r="E422" s="205" t="s">
        <v>101</v>
      </c>
      <c r="F422" s="205" t="s">
        <v>403</v>
      </c>
    </row>
    <row r="423" s="220" customFormat="true" ht="14.25" hidden="false" customHeight="false" outlineLevel="0" collapsed="false">
      <c r="A423" s="205" t="str">
        <f aca="false">CONCATENATE(F423,",",E423)</f>
        <v>METE 254,ED2-METE</v>
      </c>
      <c r="B423" s="205" t="s">
        <v>1307</v>
      </c>
      <c r="C423" s="205" t="s">
        <v>1802</v>
      </c>
      <c r="D423" s="213" t="n">
        <v>57</v>
      </c>
      <c r="E423" s="205" t="s">
        <v>101</v>
      </c>
      <c r="F423" s="205" t="s">
        <v>487</v>
      </c>
    </row>
    <row r="424" s="220" customFormat="true" ht="14.25" hidden="false" customHeight="false" outlineLevel="0" collapsed="false">
      <c r="A424" s="205" t="str">
        <f aca="false">CONCATENATE(F424,",",E424)</f>
        <v>METE 256,ED2-METE</v>
      </c>
      <c r="B424" s="205" t="s">
        <v>1308</v>
      </c>
      <c r="C424" s="205" t="s">
        <v>1802</v>
      </c>
      <c r="D424" s="213" t="n">
        <v>57</v>
      </c>
      <c r="E424" s="205" t="s">
        <v>101</v>
      </c>
      <c r="F424" s="205" t="s">
        <v>100</v>
      </c>
    </row>
    <row r="425" s="220" customFormat="true" ht="14.25" hidden="false" customHeight="false" outlineLevel="0" collapsed="false">
      <c r="A425" s="205" t="str">
        <f aca="false">CONCATENATE(F425,",",E425)</f>
        <v>MSE 262,ED2-METE</v>
      </c>
      <c r="B425" s="205" t="s">
        <v>1991</v>
      </c>
      <c r="C425" s="205" t="s">
        <v>1805</v>
      </c>
      <c r="D425" s="213" t="n">
        <v>57</v>
      </c>
      <c r="E425" s="205" t="s">
        <v>101</v>
      </c>
      <c r="F425" s="205" t="s">
        <v>209</v>
      </c>
    </row>
    <row r="426" s="220" customFormat="true" ht="14.25" hidden="false" customHeight="false" outlineLevel="0" collapsed="false">
      <c r="A426" s="205" t="str">
        <f aca="false">CONCATENATE(F426,",",E426)</f>
        <v>MSE 252,ED2-METE</v>
      </c>
      <c r="B426" s="205" t="s">
        <v>1273</v>
      </c>
      <c r="C426" s="205" t="s">
        <v>1797</v>
      </c>
      <c r="D426" s="213" t="n">
        <v>57</v>
      </c>
      <c r="E426" s="205" t="s">
        <v>101</v>
      </c>
      <c r="F426" s="205" t="s">
        <v>366</v>
      </c>
    </row>
    <row r="427" s="220" customFormat="true" ht="14.25" hidden="false" customHeight="false" outlineLevel="0" collapsed="false">
      <c r="A427" s="205" t="str">
        <f aca="false">CONCATENATE(F427,",",E427)</f>
        <v>MSE 260,ED2-METE</v>
      </c>
      <c r="B427" s="205" t="s">
        <v>1277</v>
      </c>
      <c r="C427" s="205" t="s">
        <v>1800</v>
      </c>
      <c r="D427" s="213" t="n">
        <v>57</v>
      </c>
      <c r="E427" s="205" t="s">
        <v>101</v>
      </c>
      <c r="F427" s="205" t="s">
        <v>253</v>
      </c>
    </row>
    <row r="428" s="220" customFormat="true" ht="14.25" hidden="false" customHeight="false" outlineLevel="0" collapsed="false">
      <c r="A428" s="205" t="str">
        <f aca="false">CONCATENATE(F428,",",E428)</f>
        <v>MSE 258,ED2-METE</v>
      </c>
      <c r="B428" s="205" t="s">
        <v>1275</v>
      </c>
      <c r="C428" s="205" t="s">
        <v>1761</v>
      </c>
      <c r="D428" s="213" t="n">
        <v>57</v>
      </c>
      <c r="E428" s="205" t="s">
        <v>101</v>
      </c>
      <c r="F428" s="205" t="s">
        <v>1276</v>
      </c>
    </row>
    <row r="429" s="220" customFormat="true" ht="14.25" hidden="false" customHeight="false" outlineLevel="0" collapsed="false">
      <c r="A429" s="205" t="str">
        <f aca="false">CONCATENATE(F429,",",E429)</f>
        <v>METE 352,ED3-METE</v>
      </c>
      <c r="B429" s="205" t="s">
        <v>1311</v>
      </c>
      <c r="C429" s="205" t="s">
        <v>1807</v>
      </c>
      <c r="D429" s="213" t="n">
        <v>87</v>
      </c>
      <c r="E429" s="205" t="s">
        <v>142</v>
      </c>
      <c r="F429" s="205" t="s">
        <v>256</v>
      </c>
    </row>
    <row r="430" s="220" customFormat="true" ht="14.25" hidden="false" customHeight="false" outlineLevel="0" collapsed="false">
      <c r="A430" s="205" t="str">
        <f aca="false">CONCATENATE(F430,",",E430)</f>
        <v>METE 354,ED3-METE</v>
      </c>
      <c r="B430" s="205" t="s">
        <v>1275</v>
      </c>
      <c r="C430" s="205" t="s">
        <v>1797</v>
      </c>
      <c r="D430" s="213" t="n">
        <v>87</v>
      </c>
      <c r="E430" s="205" t="s">
        <v>142</v>
      </c>
      <c r="F430" s="205" t="s">
        <v>390</v>
      </c>
    </row>
    <row r="431" s="220" customFormat="true" ht="14.25" hidden="false" customHeight="false" outlineLevel="0" collapsed="false">
      <c r="A431" s="205" t="str">
        <f aca="false">CONCATENATE(F431,",",E431)</f>
        <v>METE 356,ED3-METE</v>
      </c>
      <c r="B431" s="205" t="s">
        <v>1286</v>
      </c>
      <c r="C431" s="205" t="s">
        <v>1811</v>
      </c>
      <c r="D431" s="213" t="n">
        <v>87</v>
      </c>
      <c r="E431" s="205" t="s">
        <v>142</v>
      </c>
      <c r="F431" s="205" t="s">
        <v>1312</v>
      </c>
    </row>
    <row r="432" s="220" customFormat="true" ht="14.25" hidden="false" customHeight="false" outlineLevel="0" collapsed="false">
      <c r="A432" s="205" t="str">
        <f aca="false">CONCATENATE(F432,",",E432)</f>
        <v>METE 358,ED3-METE</v>
      </c>
      <c r="B432" s="205" t="s">
        <v>1313</v>
      </c>
      <c r="C432" s="205" t="s">
        <v>1761</v>
      </c>
      <c r="D432" s="213" t="n">
        <v>87</v>
      </c>
      <c r="E432" s="205" t="s">
        <v>142</v>
      </c>
      <c r="F432" s="205" t="s">
        <v>141</v>
      </c>
    </row>
    <row r="433" s="220" customFormat="true" ht="14.25" hidden="false" customHeight="false" outlineLevel="0" collapsed="false">
      <c r="A433" s="205" t="str">
        <f aca="false">CONCATENATE(F433,",",E433)</f>
        <v>METE 362,ED3-METE</v>
      </c>
      <c r="B433" s="205" t="s">
        <v>1280</v>
      </c>
      <c r="C433" s="205" t="s">
        <v>1814</v>
      </c>
      <c r="D433" s="213" t="n">
        <v>87</v>
      </c>
      <c r="E433" s="205" t="s">
        <v>142</v>
      </c>
      <c r="F433" s="205" t="s">
        <v>208</v>
      </c>
    </row>
    <row r="434" s="220" customFormat="true" ht="14.25" hidden="false" customHeight="false" outlineLevel="0" collapsed="false">
      <c r="A434" s="205" t="str">
        <f aca="false">CONCATENATE(F434,",",E434)</f>
        <v>MSE 356,ED3-METE</v>
      </c>
      <c r="B434" s="205" t="s">
        <v>1286</v>
      </c>
      <c r="C434" s="205" t="s">
        <v>1811</v>
      </c>
      <c r="D434" s="213" t="n">
        <v>87</v>
      </c>
      <c r="E434" s="205" t="s">
        <v>142</v>
      </c>
      <c r="F434" s="205" t="s">
        <v>271</v>
      </c>
    </row>
    <row r="435" s="220" customFormat="true" ht="14.25" hidden="false" customHeight="false" outlineLevel="0" collapsed="false">
      <c r="A435" s="205" t="str">
        <f aca="false">CONCATENATE(F435,",",E435)</f>
        <v>MSE 358,ED3-METE</v>
      </c>
      <c r="B435" s="205" t="s">
        <v>1282</v>
      </c>
      <c r="C435" s="205" t="s">
        <v>1837</v>
      </c>
      <c r="D435" s="213" t="n">
        <v>87</v>
      </c>
      <c r="E435" s="205" t="s">
        <v>142</v>
      </c>
      <c r="F435" s="205" t="s">
        <v>499</v>
      </c>
    </row>
    <row r="436" s="220" customFormat="true" ht="14.25" hidden="false" customHeight="false" outlineLevel="0" collapsed="false">
      <c r="A436" s="205" t="str">
        <f aca="false">CONCATENATE(F436,",",E436)</f>
        <v>MSE 362,ED3-METE</v>
      </c>
      <c r="B436" s="205" t="s">
        <v>1284</v>
      </c>
      <c r="C436" s="205" t="s">
        <v>1814</v>
      </c>
      <c r="D436" s="213" t="n">
        <v>87</v>
      </c>
      <c r="E436" s="205" t="s">
        <v>142</v>
      </c>
      <c r="F436" s="205" t="s">
        <v>321</v>
      </c>
    </row>
    <row r="437" s="220" customFormat="true" ht="14.25" hidden="false" customHeight="false" outlineLevel="0" collapsed="false">
      <c r="A437" s="205" t="str">
        <f aca="false">CONCATENATE(F437,",",E437)</f>
        <v>ME 492,ED4-METE</v>
      </c>
      <c r="B437" s="205" t="s">
        <v>1015</v>
      </c>
      <c r="C437" s="205" t="s">
        <v>1435</v>
      </c>
      <c r="D437" s="213" t="n">
        <v>55</v>
      </c>
      <c r="E437" s="205" t="s">
        <v>136</v>
      </c>
      <c r="F437" s="205" t="s">
        <v>373</v>
      </c>
    </row>
    <row r="438" s="220" customFormat="true" ht="14.25" hidden="false" customHeight="false" outlineLevel="0" collapsed="false">
      <c r="A438" s="205" t="str">
        <f aca="false">CONCATENATE(F438,",",E438)</f>
        <v>METE 452,ED4-METE</v>
      </c>
      <c r="B438" s="205" t="s">
        <v>1315</v>
      </c>
      <c r="C438" s="205" t="s">
        <v>1807</v>
      </c>
      <c r="D438" s="213" t="n">
        <v>55</v>
      </c>
      <c r="E438" s="205" t="s">
        <v>136</v>
      </c>
      <c r="F438" s="205" t="s">
        <v>442</v>
      </c>
    </row>
    <row r="439" s="220" customFormat="true" ht="14.25" hidden="false" customHeight="false" outlineLevel="0" collapsed="false">
      <c r="A439" s="205" t="str">
        <f aca="false">CONCATENATE(F439,",",E439)</f>
        <v>METE 454,ED4-METE</v>
      </c>
      <c r="B439" s="205" t="s">
        <v>1316</v>
      </c>
      <c r="C439" s="205" t="s">
        <v>1802</v>
      </c>
      <c r="D439" s="213" t="n">
        <v>55</v>
      </c>
      <c r="E439" s="205" t="s">
        <v>136</v>
      </c>
      <c r="F439" s="205" t="s">
        <v>290</v>
      </c>
    </row>
    <row r="440" s="220" customFormat="true" ht="14.25" hidden="false" customHeight="false" outlineLevel="0" collapsed="false">
      <c r="A440" s="205" t="str">
        <f aca="false">CONCATENATE(F440,",",E440)</f>
        <v>MSE 456,ED4-METE</v>
      </c>
      <c r="B440" s="205" t="s">
        <v>1290</v>
      </c>
      <c r="C440" s="205" t="s">
        <v>1761</v>
      </c>
      <c r="D440" s="213" t="n">
        <v>55</v>
      </c>
      <c r="E440" s="205" t="s">
        <v>136</v>
      </c>
      <c r="F440" s="205" t="s">
        <v>223</v>
      </c>
    </row>
    <row r="441" s="220" customFormat="true" ht="14.25" hidden="false" customHeight="false" outlineLevel="0" collapsed="false">
      <c r="A441" s="205" t="str">
        <f aca="false">CONCATENATE(F441,",",E441)</f>
        <v>MSE 458,ED4-METE</v>
      </c>
      <c r="B441" s="205" t="s">
        <v>1317</v>
      </c>
      <c r="C441" s="205" t="s">
        <v>1857</v>
      </c>
      <c r="D441" s="213" t="n">
        <v>55</v>
      </c>
      <c r="E441" s="205" t="s">
        <v>136</v>
      </c>
      <c r="F441" s="205" t="s">
        <v>134</v>
      </c>
    </row>
    <row r="442" s="220" customFormat="true" ht="14.25" hidden="false" customHeight="false" outlineLevel="0" collapsed="false">
      <c r="A442" s="205" t="str">
        <f aca="false">CONCATENATE(F442,",",E442)</f>
        <v>CHE 156,ED1-PCE</v>
      </c>
      <c r="B442" s="205" t="s">
        <v>1127</v>
      </c>
      <c r="C442" s="205" t="s">
        <v>1512</v>
      </c>
      <c r="D442" s="213" t="n">
        <v>56</v>
      </c>
      <c r="E442" s="205" t="s">
        <v>81</v>
      </c>
      <c r="F442" s="205" t="s">
        <v>302</v>
      </c>
    </row>
    <row r="443" s="220" customFormat="true" ht="14.25" hidden="false" customHeight="false" outlineLevel="0" collapsed="false">
      <c r="A443" s="205" t="str">
        <f aca="false">CONCATENATE(F443,",",E443)</f>
        <v>EE 152,ED1-PCE</v>
      </c>
      <c r="B443" s="205" t="s">
        <v>990</v>
      </c>
      <c r="C443" s="205" t="s">
        <v>1606</v>
      </c>
      <c r="D443" s="213" t="n">
        <v>56</v>
      </c>
      <c r="E443" s="205" t="s">
        <v>81</v>
      </c>
      <c r="F443" s="205" t="s">
        <v>234</v>
      </c>
    </row>
    <row r="444" s="220" customFormat="true" ht="14.25" hidden="false" customHeight="false" outlineLevel="0" collapsed="false">
      <c r="A444" s="205" t="str">
        <f aca="false">CONCATENATE(F444,",",E444)</f>
        <v>ENGL 158,ED1-PCE</v>
      </c>
      <c r="B444" s="205" t="s">
        <v>991</v>
      </c>
      <c r="C444" s="205" t="s">
        <v>1629</v>
      </c>
      <c r="D444" s="213" t="n">
        <v>56</v>
      </c>
      <c r="E444" s="205" t="s">
        <v>81</v>
      </c>
      <c r="F444" s="205" t="s">
        <v>364</v>
      </c>
    </row>
    <row r="445" s="220" customFormat="true" ht="14.25" hidden="false" customHeight="false" outlineLevel="0" collapsed="false">
      <c r="A445" s="205" t="str">
        <f aca="false">CONCATENATE(F445,",",E445)</f>
        <v>MATH 152,ED1-PCE</v>
      </c>
      <c r="B445" s="205" t="s">
        <v>992</v>
      </c>
      <c r="C445" s="205" t="s">
        <v>1966</v>
      </c>
      <c r="D445" s="213" t="n">
        <v>56</v>
      </c>
      <c r="E445" s="205" t="s">
        <v>81</v>
      </c>
      <c r="F445" s="205" t="s">
        <v>129</v>
      </c>
    </row>
    <row r="446" s="220" customFormat="true" ht="14.25" hidden="false" customHeight="false" outlineLevel="0" collapsed="false">
      <c r="A446" s="205" t="str">
        <f aca="false">CONCATENATE(F446,",",E446)</f>
        <v>ME 162,ED1-PCE</v>
      </c>
      <c r="B446" s="205" t="s">
        <v>994</v>
      </c>
      <c r="C446" s="205" t="s">
        <v>1742</v>
      </c>
      <c r="D446" s="213" t="n">
        <v>56</v>
      </c>
      <c r="E446" s="205" t="s">
        <v>81</v>
      </c>
      <c r="F446" s="205" t="s">
        <v>392</v>
      </c>
    </row>
    <row r="447" s="220" customFormat="true" ht="14.25" hidden="false" customHeight="false" outlineLevel="0" collapsed="false">
      <c r="A447" s="205" t="str">
        <f aca="false">CONCATENATE(F447,",",E447)</f>
        <v>PCE 158,ED1-PCE</v>
      </c>
      <c r="B447" s="205" t="s">
        <v>987</v>
      </c>
      <c r="C447" s="205" t="s">
        <v>1516</v>
      </c>
      <c r="D447" s="213" t="n">
        <v>56</v>
      </c>
      <c r="E447" s="205" t="s">
        <v>81</v>
      </c>
      <c r="F447" s="205" t="s">
        <v>185</v>
      </c>
    </row>
    <row r="448" s="220" customFormat="true" ht="14.25" hidden="false" customHeight="false" outlineLevel="0" collapsed="false">
      <c r="A448" s="205" t="str">
        <f aca="false">CONCATENATE(F448,",",E448)</f>
        <v>PHY 170,ED1-PCE</v>
      </c>
      <c r="B448" s="205" t="s">
        <v>1129</v>
      </c>
      <c r="C448" s="205" t="s">
        <v>1904</v>
      </c>
      <c r="D448" s="213" t="n">
        <v>56</v>
      </c>
      <c r="E448" s="205" t="s">
        <v>81</v>
      </c>
      <c r="F448" s="205" t="s">
        <v>79</v>
      </c>
    </row>
    <row r="449" s="220" customFormat="true" ht="14.25" hidden="false" customHeight="false" outlineLevel="0" collapsed="false">
      <c r="A449" s="205" t="str">
        <f aca="false">CONCATENATE(F449,",",E449)</f>
        <v>CHE 250,ED2-PCE</v>
      </c>
      <c r="B449" s="205" t="s">
        <v>1130</v>
      </c>
      <c r="C449" s="205" t="s">
        <v>1516</v>
      </c>
      <c r="D449" s="213" t="n">
        <v>65</v>
      </c>
      <c r="E449" s="205" t="s">
        <v>14</v>
      </c>
      <c r="F449" s="205" t="s">
        <v>338</v>
      </c>
    </row>
    <row r="450" s="220" customFormat="true" ht="14.25" hidden="false" customHeight="false" outlineLevel="0" collapsed="false">
      <c r="A450" s="205" t="str">
        <f aca="false">CONCATENATE(F450,",",E450)</f>
        <v>CHE 252,ED2-PCE</v>
      </c>
      <c r="B450" s="205" t="s">
        <v>1131</v>
      </c>
      <c r="C450" s="205" t="s">
        <v>1519</v>
      </c>
      <c r="D450" s="213" t="n">
        <v>65</v>
      </c>
      <c r="E450" s="205" t="s">
        <v>14</v>
      </c>
      <c r="F450" s="205" t="s">
        <v>297</v>
      </c>
    </row>
    <row r="451" s="220" customFormat="true" ht="14.25" hidden="false" customHeight="false" outlineLevel="0" collapsed="false">
      <c r="A451" s="205" t="str">
        <f aca="false">CONCATENATE(F451,",",E451)</f>
        <v>CHE 254,ED2-PCE</v>
      </c>
      <c r="B451" s="205" t="s">
        <v>1132</v>
      </c>
      <c r="C451" s="205" t="s">
        <v>1994</v>
      </c>
      <c r="D451" s="213" t="n">
        <v>65</v>
      </c>
      <c r="E451" s="205" t="s">
        <v>14</v>
      </c>
      <c r="F451" s="205" t="s">
        <v>397</v>
      </c>
    </row>
    <row r="452" s="220" customFormat="true" ht="14.25" hidden="false" customHeight="false" outlineLevel="0" collapsed="false">
      <c r="A452" s="205" t="str">
        <f aca="false">CONCATENATE(F452,",",E452)</f>
        <v>CHE 256,ED2-PCE</v>
      </c>
      <c r="B452" s="205" t="s">
        <v>1133</v>
      </c>
      <c r="C452" s="205" t="s">
        <v>1519</v>
      </c>
      <c r="D452" s="213" t="n">
        <v>65</v>
      </c>
      <c r="E452" s="205" t="s">
        <v>14</v>
      </c>
      <c r="F452" s="205" t="s">
        <v>83</v>
      </c>
    </row>
    <row r="453" s="220" customFormat="true" ht="14.25" hidden="false" customHeight="false" outlineLevel="0" collapsed="false">
      <c r="A453" s="205" t="str">
        <f aca="false">CONCATENATE(F453,",",E453)</f>
        <v>CHE 258,ED2-PCE</v>
      </c>
      <c r="B453" s="205" t="s">
        <v>1134</v>
      </c>
      <c r="C453" s="205" t="s">
        <v>1525</v>
      </c>
      <c r="D453" s="213" t="n">
        <v>65</v>
      </c>
      <c r="E453" s="205" t="s">
        <v>14</v>
      </c>
      <c r="F453" s="205" t="s">
        <v>12</v>
      </c>
    </row>
    <row r="454" s="220" customFormat="true" ht="14.25" hidden="false" customHeight="false" outlineLevel="0" collapsed="false">
      <c r="A454" s="205" t="str">
        <f aca="false">CONCATENATE(F454,",",E454)</f>
        <v>CHEM 280,ED2-PCE</v>
      </c>
      <c r="B454" s="205" t="s">
        <v>1135</v>
      </c>
      <c r="C454" s="205" t="s">
        <v>1548</v>
      </c>
      <c r="D454" s="213" t="n">
        <v>65</v>
      </c>
      <c r="E454" s="205" t="s">
        <v>14</v>
      </c>
      <c r="F454" s="205" t="s">
        <v>173</v>
      </c>
    </row>
    <row r="455" s="220" customFormat="true" ht="14.25" hidden="false" customHeight="false" outlineLevel="0" collapsed="false">
      <c r="A455" s="205" t="str">
        <f aca="false">CONCATENATE(F455,",",E455)</f>
        <v>MATH 252,ED2-PCE</v>
      </c>
      <c r="B455" s="205" t="s">
        <v>1136</v>
      </c>
      <c r="C455" s="205" t="s">
        <v>1729</v>
      </c>
      <c r="D455" s="213" t="n">
        <v>65</v>
      </c>
      <c r="E455" s="205" t="s">
        <v>14</v>
      </c>
      <c r="F455" s="205" t="s">
        <v>281</v>
      </c>
    </row>
    <row r="456" s="220" customFormat="true" ht="14.25" hidden="false" customHeight="false" outlineLevel="0" collapsed="false">
      <c r="A456" s="205" t="str">
        <f aca="false">CONCATENATE(F456,",",E456)</f>
        <v>CHE 350,ED3-PCE</v>
      </c>
      <c r="B456" s="205" t="s">
        <v>1137</v>
      </c>
      <c r="C456" s="205" t="s">
        <v>1515</v>
      </c>
      <c r="D456" s="213" t="n">
        <v>53</v>
      </c>
      <c r="E456" s="205" t="s">
        <v>63</v>
      </c>
      <c r="F456" s="205" t="s">
        <v>199</v>
      </c>
    </row>
    <row r="457" s="220" customFormat="true" ht="14.25" hidden="false" customHeight="false" outlineLevel="0" collapsed="false">
      <c r="A457" s="205" t="str">
        <f aca="false">CONCATENATE(F457,",",E457)</f>
        <v>CHE 358,ED3-PCE</v>
      </c>
      <c r="B457" s="205" t="s">
        <v>1140</v>
      </c>
      <c r="C457" s="205" t="s">
        <v>1532</v>
      </c>
      <c r="D457" s="213" t="n">
        <v>53</v>
      </c>
      <c r="E457" s="205" t="s">
        <v>63</v>
      </c>
      <c r="F457" s="205" t="s">
        <v>315</v>
      </c>
    </row>
    <row r="458" s="220" customFormat="true" ht="14.25" hidden="false" customHeight="false" outlineLevel="0" collapsed="false">
      <c r="A458" s="205" t="str">
        <f aca="false">CONCATENATE(F458,",",E458)</f>
        <v>CHE 366,ED3-PCE</v>
      </c>
      <c r="B458" s="205" t="s">
        <v>1318</v>
      </c>
      <c r="C458" s="205" t="s">
        <v>1535</v>
      </c>
      <c r="D458" s="213" t="n">
        <v>20</v>
      </c>
      <c r="E458" s="205" t="s">
        <v>63</v>
      </c>
      <c r="F458" s="205" t="s">
        <v>382</v>
      </c>
    </row>
    <row r="459" s="220" customFormat="true" ht="14.25" hidden="false" customHeight="false" outlineLevel="0" collapsed="false">
      <c r="A459" s="205" t="str">
        <f aca="false">CONCATENATE(F459,",",E459)</f>
        <v>CHE 370,ED3-PCE</v>
      </c>
      <c r="B459" s="205" t="s">
        <v>1319</v>
      </c>
      <c r="C459" s="205" t="s">
        <v>1511</v>
      </c>
      <c r="D459" s="213" t="n">
        <v>30</v>
      </c>
      <c r="E459" s="205" t="s">
        <v>63</v>
      </c>
      <c r="F459" s="205" t="s">
        <v>296</v>
      </c>
    </row>
    <row r="460" s="220" customFormat="true" ht="14.25" hidden="false" customHeight="false" outlineLevel="0" collapsed="false">
      <c r="A460" s="205" t="str">
        <f aca="false">CONCATENATE(F460,",",E460)</f>
        <v>PCE 350,ED3-PCE</v>
      </c>
      <c r="B460" s="205" t="s">
        <v>1320</v>
      </c>
      <c r="C460" s="205" t="s">
        <v>1995</v>
      </c>
      <c r="D460" s="213" t="n">
        <v>53</v>
      </c>
      <c r="E460" s="205" t="s">
        <v>63</v>
      </c>
      <c r="F460" s="205" t="s">
        <v>496</v>
      </c>
    </row>
    <row r="461" s="220" customFormat="true" ht="14.25" hidden="false" customHeight="false" outlineLevel="0" collapsed="false">
      <c r="A461" s="205" t="str">
        <f aca="false">CONCATENATE(F461,",",E461)</f>
        <v>PCE 352,ED3-PCE</v>
      </c>
      <c r="B461" s="205" t="s">
        <v>1321</v>
      </c>
      <c r="C461" s="205" t="s">
        <v>1995</v>
      </c>
      <c r="D461" s="213" t="n">
        <v>53</v>
      </c>
      <c r="E461" s="205" t="s">
        <v>63</v>
      </c>
      <c r="F461" s="205" t="s">
        <v>258</v>
      </c>
    </row>
    <row r="462" s="220" customFormat="true" ht="14.25" hidden="false" customHeight="false" outlineLevel="0" collapsed="false">
      <c r="A462" s="205" t="str">
        <f aca="false">CONCATENATE(F462,",",E462)</f>
        <v>PCE 354,ED3-PCE</v>
      </c>
      <c r="B462" s="205" t="s">
        <v>1322</v>
      </c>
      <c r="C462" s="205" t="s">
        <v>1513</v>
      </c>
      <c r="D462" s="213" t="n">
        <v>53</v>
      </c>
      <c r="E462" s="205" t="s">
        <v>63</v>
      </c>
      <c r="F462" s="205" t="s">
        <v>62</v>
      </c>
    </row>
    <row r="463" s="220" customFormat="true" ht="14.25" hidden="false" customHeight="false" outlineLevel="0" collapsed="false">
      <c r="A463" s="205" t="str">
        <f aca="false">CONCATENATE(F463,",",E463)</f>
        <v>PETE 354,ED3-PCE</v>
      </c>
      <c r="B463" s="205" t="s">
        <v>1323</v>
      </c>
      <c r="C463" s="205" t="s">
        <v>1899</v>
      </c>
      <c r="D463" s="213" t="n">
        <v>53</v>
      </c>
      <c r="E463" s="205" t="s">
        <v>63</v>
      </c>
      <c r="F463" s="205" t="s">
        <v>448</v>
      </c>
    </row>
    <row r="464" s="220" customFormat="true" ht="14.25" hidden="false" customHeight="false" outlineLevel="0" collapsed="false">
      <c r="A464" s="205" t="str">
        <f aca="false">CONCATENATE(F464,",",E464)</f>
        <v>PETE 450,ED3-PCE</v>
      </c>
      <c r="B464" s="205" t="s">
        <v>1324</v>
      </c>
      <c r="C464" s="205" t="s">
        <v>1899</v>
      </c>
      <c r="D464" s="213" t="n">
        <v>53</v>
      </c>
      <c r="E464" s="205" t="s">
        <v>63</v>
      </c>
      <c r="F464" s="205" t="s">
        <v>393</v>
      </c>
    </row>
    <row r="465" s="220" customFormat="true" ht="14.25" hidden="false" customHeight="false" outlineLevel="0" collapsed="false">
      <c r="A465" s="205" t="str">
        <f aca="false">CONCATENATE(F465,",",E465)</f>
        <v>CHE 456,ED4-PCE</v>
      </c>
      <c r="B465" s="205" t="s">
        <v>1145</v>
      </c>
      <c r="C465" s="205" t="s">
        <v>1516</v>
      </c>
      <c r="D465" s="213" t="n">
        <v>55</v>
      </c>
      <c r="E465" s="205" t="s">
        <v>44</v>
      </c>
      <c r="F465" s="205" t="s">
        <v>525</v>
      </c>
    </row>
    <row r="466" s="220" customFormat="true" ht="14.25" hidden="false" customHeight="false" outlineLevel="0" collapsed="false">
      <c r="A466" s="205" t="str">
        <f aca="false">CONCATENATE(F466,",",E466)</f>
        <v>CHE 458,ED4-PCE</v>
      </c>
      <c r="B466" s="205" t="s">
        <v>1146</v>
      </c>
      <c r="C466" s="205" t="s">
        <v>1541</v>
      </c>
      <c r="D466" s="213" t="n">
        <v>55</v>
      </c>
      <c r="E466" s="205" t="s">
        <v>44</v>
      </c>
      <c r="F466" s="205" t="s">
        <v>345</v>
      </c>
    </row>
    <row r="467" s="220" customFormat="true" ht="14.25" hidden="false" customHeight="false" outlineLevel="0" collapsed="false">
      <c r="A467" s="205" t="str">
        <f aca="false">CONCATENATE(F467,",",E467)</f>
        <v>CHE 464,ED4-PCE</v>
      </c>
      <c r="B467" s="205" t="s">
        <v>1325</v>
      </c>
      <c r="C467" s="205" t="s">
        <v>1519</v>
      </c>
      <c r="D467" s="213" t="n">
        <v>40</v>
      </c>
      <c r="E467" s="205" t="s">
        <v>44</v>
      </c>
      <c r="F467" s="205" t="s">
        <v>319</v>
      </c>
    </row>
    <row r="468" s="220" customFormat="true" ht="14.25" hidden="false" customHeight="false" outlineLevel="0" collapsed="false">
      <c r="A468" s="205" t="str">
        <f aca="false">CONCATENATE(F468,",",E468)</f>
        <v>MSE 356,ED4-PCE</v>
      </c>
      <c r="B468" s="205" t="s">
        <v>1281</v>
      </c>
      <c r="C468" s="205" t="s">
        <v>1842</v>
      </c>
      <c r="D468" s="213" t="n">
        <v>0</v>
      </c>
      <c r="E468" s="205" t="s">
        <v>44</v>
      </c>
      <c r="F468" s="205" t="s">
        <v>271</v>
      </c>
    </row>
    <row r="469" s="220" customFormat="true" ht="14.25" hidden="false" customHeight="false" outlineLevel="0" collapsed="false">
      <c r="A469" s="205" t="str">
        <f aca="false">CONCATENATE(F469,",",E469)</f>
        <v>PCE 450,ED4-PCE</v>
      </c>
      <c r="B469" s="205" t="s">
        <v>1326</v>
      </c>
      <c r="C469" s="205" t="s">
        <v>1863</v>
      </c>
      <c r="D469" s="213" t="n">
        <v>55</v>
      </c>
      <c r="E469" s="205" t="s">
        <v>44</v>
      </c>
      <c r="F469" s="205" t="s">
        <v>43</v>
      </c>
    </row>
    <row r="470" s="220" customFormat="true" ht="14.25" hidden="false" customHeight="false" outlineLevel="0" collapsed="false">
      <c r="A470" s="205" t="str">
        <f aca="false">CONCATENATE(F470,",",E470)</f>
        <v>EE 152,ED1-PE</v>
      </c>
      <c r="B470" s="205" t="s">
        <v>990</v>
      </c>
      <c r="C470" s="205" t="s">
        <v>1606</v>
      </c>
      <c r="D470" s="213" t="n">
        <v>130</v>
      </c>
      <c r="E470" s="205" t="s">
        <v>82</v>
      </c>
      <c r="F470" s="205" t="s">
        <v>234</v>
      </c>
    </row>
    <row r="471" s="220" customFormat="true" ht="14.25" hidden="false" customHeight="false" outlineLevel="0" collapsed="false">
      <c r="A471" s="205" t="str">
        <f aca="false">CONCATENATE(F471,",",E471)</f>
        <v>ENGL 158,ED1-PE</v>
      </c>
      <c r="B471" s="205" t="s">
        <v>991</v>
      </c>
      <c r="C471" s="205" t="s">
        <v>1634</v>
      </c>
      <c r="D471" s="213" t="n">
        <v>130</v>
      </c>
      <c r="E471" s="205" t="s">
        <v>82</v>
      </c>
      <c r="F471" s="205" t="s">
        <v>364</v>
      </c>
    </row>
    <row r="472" s="220" customFormat="true" ht="14.25" hidden="false" customHeight="false" outlineLevel="0" collapsed="false">
      <c r="A472" s="205" t="str">
        <f aca="false">CONCATENATE(F472,",",E472)</f>
        <v>MATH 152,ED1-PE</v>
      </c>
      <c r="B472" s="205" t="s">
        <v>992</v>
      </c>
      <c r="C472" s="205" t="s">
        <v>1725</v>
      </c>
      <c r="D472" s="213" t="n">
        <v>130</v>
      </c>
      <c r="E472" s="205" t="s">
        <v>82</v>
      </c>
      <c r="F472" s="205" t="s">
        <v>129</v>
      </c>
    </row>
    <row r="473" s="220" customFormat="true" ht="14.25" hidden="false" customHeight="false" outlineLevel="0" collapsed="false">
      <c r="A473" s="205" t="str">
        <f aca="false">CONCATENATE(F473,",",E473)</f>
        <v>ME 162,ED1-PE</v>
      </c>
      <c r="B473" s="205" t="s">
        <v>994</v>
      </c>
      <c r="C473" s="205" t="s">
        <v>1741</v>
      </c>
      <c r="D473" s="213" t="n">
        <v>130</v>
      </c>
      <c r="E473" s="205" t="s">
        <v>82</v>
      </c>
      <c r="F473" s="205" t="s">
        <v>392</v>
      </c>
    </row>
    <row r="474" s="220" customFormat="true" ht="14.25" hidden="false" customHeight="false" outlineLevel="0" collapsed="false">
      <c r="A474" s="205" t="str">
        <f aca="false">CONCATENATE(F474,",",E474)</f>
        <v>PE 154,ED1-PE</v>
      </c>
      <c r="B474" s="205" t="s">
        <v>1328</v>
      </c>
      <c r="C474" s="205" t="s">
        <v>1866</v>
      </c>
      <c r="D474" s="213" t="n">
        <v>130</v>
      </c>
      <c r="E474" s="205" t="s">
        <v>82</v>
      </c>
      <c r="F474" s="205" t="s">
        <v>188</v>
      </c>
    </row>
    <row r="475" s="220" customFormat="true" ht="14.25" hidden="false" customHeight="false" outlineLevel="0" collapsed="false">
      <c r="A475" s="205" t="str">
        <f aca="false">CONCATENATE(F475,",",E475)</f>
        <v>PE 156,ED1-PE</v>
      </c>
      <c r="B475" s="205" t="s">
        <v>1127</v>
      </c>
      <c r="C475" s="205" t="s">
        <v>1512</v>
      </c>
      <c r="D475" s="213" t="n">
        <v>130</v>
      </c>
      <c r="E475" s="205" t="s">
        <v>82</v>
      </c>
      <c r="F475" s="205" t="s">
        <v>488</v>
      </c>
    </row>
    <row r="476" s="220" customFormat="true" ht="14.25" hidden="false" customHeight="false" outlineLevel="0" collapsed="false">
      <c r="A476" s="205" t="str">
        <f aca="false">CONCATENATE(F476,",",E476)</f>
        <v>PHY 170,ED1-PE</v>
      </c>
      <c r="B476" s="205" t="s">
        <v>1129</v>
      </c>
      <c r="C476" s="205" t="s">
        <v>1905</v>
      </c>
      <c r="D476" s="213" t="n">
        <v>130</v>
      </c>
      <c r="E476" s="205" t="s">
        <v>82</v>
      </c>
      <c r="F476" s="205" t="s">
        <v>79</v>
      </c>
    </row>
    <row r="477" s="220" customFormat="true" ht="14.25" hidden="false" customHeight="false" outlineLevel="0" collapsed="false">
      <c r="A477" s="205" t="str">
        <f aca="false">CONCATENATE(F477,",",E477)</f>
        <v>MATH 252,ED2-PE</v>
      </c>
      <c r="B477" s="205" t="s">
        <v>1136</v>
      </c>
      <c r="C477" s="205" t="s">
        <v>1729</v>
      </c>
      <c r="D477" s="213" t="n">
        <v>95</v>
      </c>
      <c r="E477" s="205" t="s">
        <v>93</v>
      </c>
      <c r="F477" s="205" t="s">
        <v>281</v>
      </c>
    </row>
    <row r="478" s="220" customFormat="true" ht="14.25" hidden="false" customHeight="false" outlineLevel="0" collapsed="false">
      <c r="A478" s="205" t="str">
        <f aca="false">CONCATENATE(F478,",",E478)</f>
        <v>PE 252,ED2-PE</v>
      </c>
      <c r="B478" s="205" t="s">
        <v>1133</v>
      </c>
      <c r="C478" s="205" t="s">
        <v>1867</v>
      </c>
      <c r="D478" s="213" t="n">
        <v>95</v>
      </c>
      <c r="E478" s="205" t="s">
        <v>93</v>
      </c>
      <c r="F478" s="205" t="s">
        <v>212</v>
      </c>
    </row>
    <row r="479" s="220" customFormat="true" ht="14.25" hidden="false" customHeight="false" outlineLevel="0" collapsed="false">
      <c r="A479" s="205" t="str">
        <f aca="false">CONCATENATE(F479,",",E479)</f>
        <v>PE 254,ED2-PE</v>
      </c>
      <c r="B479" s="205" t="s">
        <v>1134</v>
      </c>
      <c r="C479" s="205" t="s">
        <v>1868</v>
      </c>
      <c r="D479" s="213" t="n">
        <v>95</v>
      </c>
      <c r="E479" s="205" t="s">
        <v>93</v>
      </c>
      <c r="F479" s="205" t="s">
        <v>92</v>
      </c>
    </row>
    <row r="480" s="220" customFormat="true" ht="14.25" hidden="false" customHeight="false" outlineLevel="0" collapsed="false">
      <c r="A480" s="205" t="str">
        <f aca="false">CONCATENATE(F480,",",E480)</f>
        <v>PE 256,ED2-PE</v>
      </c>
      <c r="B480" s="205" t="s">
        <v>1330</v>
      </c>
      <c r="C480" s="205" t="s">
        <v>1870</v>
      </c>
      <c r="D480" s="213" t="n">
        <v>95</v>
      </c>
      <c r="E480" s="205" t="s">
        <v>93</v>
      </c>
      <c r="F480" s="205" t="s">
        <v>439</v>
      </c>
    </row>
    <row r="481" s="220" customFormat="true" ht="14.25" hidden="false" customHeight="false" outlineLevel="0" collapsed="false">
      <c r="A481" s="205" t="str">
        <f aca="false">CONCATENATE(F481,",",E481)</f>
        <v>PE 258,ED2-PE</v>
      </c>
      <c r="B481" s="205" t="s">
        <v>1331</v>
      </c>
      <c r="C481" s="205" t="s">
        <v>1872</v>
      </c>
      <c r="D481" s="213" t="n">
        <v>95</v>
      </c>
      <c r="E481" s="205" t="s">
        <v>93</v>
      </c>
      <c r="F481" s="205" t="s">
        <v>398</v>
      </c>
    </row>
    <row r="482" s="220" customFormat="true" ht="14.25" hidden="false" customHeight="false" outlineLevel="0" collapsed="false">
      <c r="A482" s="205" t="str">
        <f aca="false">CONCATENATE(F482,",",E482)</f>
        <v>PE 260,ED2-PE</v>
      </c>
      <c r="B482" s="205" t="s">
        <v>1332</v>
      </c>
      <c r="C482" s="205" t="s">
        <v>1996</v>
      </c>
      <c r="D482" s="213" t="n">
        <v>95</v>
      </c>
      <c r="E482" s="205" t="s">
        <v>93</v>
      </c>
      <c r="F482" s="205" t="s">
        <v>494</v>
      </c>
    </row>
    <row r="483" s="220" customFormat="true" ht="14.25" hidden="false" customHeight="false" outlineLevel="0" collapsed="false">
      <c r="A483" s="205" t="str">
        <f aca="false">CONCATENATE(F483,",",E483)</f>
        <v>PE 262,ED2-PE</v>
      </c>
      <c r="B483" s="205" t="s">
        <v>1333</v>
      </c>
      <c r="C483" s="205" t="s">
        <v>1872</v>
      </c>
      <c r="D483" s="213" t="n">
        <v>95</v>
      </c>
      <c r="E483" s="205" t="s">
        <v>93</v>
      </c>
      <c r="F483" s="205" t="s">
        <v>263</v>
      </c>
    </row>
    <row r="484" s="220" customFormat="true" ht="14.25" hidden="false" customHeight="false" outlineLevel="0" collapsed="false">
      <c r="A484" s="205" t="str">
        <f aca="false">CONCATENATE(F484,",",E484)</f>
        <v>PE 264,ED2-PE</v>
      </c>
      <c r="B484" s="205" t="s">
        <v>1334</v>
      </c>
      <c r="C484" s="205" t="s">
        <v>1652</v>
      </c>
      <c r="D484" s="213" t="n">
        <v>95</v>
      </c>
      <c r="E484" s="205" t="s">
        <v>93</v>
      </c>
      <c r="F484" s="205" t="s">
        <v>359</v>
      </c>
    </row>
    <row r="485" s="220" customFormat="true" ht="14.25" hidden="false" customHeight="false" outlineLevel="0" collapsed="false">
      <c r="A485" s="205" t="str">
        <f aca="false">CONCATENATE(F485,",",E485)</f>
        <v>PE 350,ED3-PE</v>
      </c>
      <c r="B485" s="205" t="s">
        <v>1335</v>
      </c>
      <c r="C485" s="205" t="s">
        <v>1872</v>
      </c>
      <c r="D485" s="213" t="n">
        <v>80</v>
      </c>
      <c r="E485" s="205" t="s">
        <v>18</v>
      </c>
      <c r="F485" s="205" t="s">
        <v>467</v>
      </c>
    </row>
    <row r="486" s="220" customFormat="true" ht="14.25" hidden="false" customHeight="false" outlineLevel="0" collapsed="false">
      <c r="A486" s="205" t="str">
        <f aca="false">CONCATENATE(F486,",",E486)</f>
        <v>PE 352,ED3-PE</v>
      </c>
      <c r="B486" s="205" t="s">
        <v>1218</v>
      </c>
      <c r="C486" s="205" t="s">
        <v>1877</v>
      </c>
      <c r="D486" s="213" t="n">
        <v>80</v>
      </c>
      <c r="E486" s="205" t="s">
        <v>18</v>
      </c>
      <c r="F486" s="205" t="s">
        <v>285</v>
      </c>
    </row>
    <row r="487" s="220" customFormat="true" ht="14.25" hidden="false" customHeight="false" outlineLevel="0" collapsed="false">
      <c r="A487" s="205" t="str">
        <f aca="false">CONCATENATE(F487,",",E487)</f>
        <v>PE 354,ED3-PE</v>
      </c>
      <c r="B487" s="205" t="s">
        <v>1337</v>
      </c>
      <c r="C487" s="205" t="s">
        <v>1866</v>
      </c>
      <c r="D487" s="213" t="n">
        <v>80</v>
      </c>
      <c r="E487" s="205" t="s">
        <v>18</v>
      </c>
      <c r="F487" s="205" t="s">
        <v>408</v>
      </c>
    </row>
    <row r="488" s="220" customFormat="true" ht="14.25" hidden="false" customHeight="false" outlineLevel="0" collapsed="false">
      <c r="A488" s="205" t="str">
        <f aca="false">CONCATENATE(F488,",",E488)</f>
        <v>PE 356,ED3-PE</v>
      </c>
      <c r="B488" s="205" t="s">
        <v>1338</v>
      </c>
      <c r="C488" s="205" t="s">
        <v>1866</v>
      </c>
      <c r="D488" s="213" t="n">
        <v>80</v>
      </c>
      <c r="E488" s="205" t="s">
        <v>18</v>
      </c>
      <c r="F488" s="205" t="s">
        <v>163</v>
      </c>
    </row>
    <row r="489" s="220" customFormat="true" ht="14.25" hidden="false" customHeight="false" outlineLevel="0" collapsed="false">
      <c r="A489" s="205" t="str">
        <f aca="false">CONCATENATE(F489,",",E489)</f>
        <v>PE 358,ED3-PE</v>
      </c>
      <c r="B489" s="205" t="s">
        <v>1339</v>
      </c>
      <c r="C489" s="205" t="s">
        <v>1881</v>
      </c>
      <c r="D489" s="213" t="n">
        <v>80</v>
      </c>
      <c r="E489" s="205" t="s">
        <v>18</v>
      </c>
      <c r="F489" s="205" t="s">
        <v>255</v>
      </c>
    </row>
    <row r="490" s="220" customFormat="true" ht="14.25" hidden="false" customHeight="false" outlineLevel="0" collapsed="false">
      <c r="A490" s="205" t="str">
        <f aca="false">CONCATENATE(F490,",",E490)</f>
        <v>PE 360,ED3-PE</v>
      </c>
      <c r="B490" s="205" t="s">
        <v>1340</v>
      </c>
      <c r="C490" s="205" t="s">
        <v>1883</v>
      </c>
      <c r="D490" s="213" t="n">
        <v>80</v>
      </c>
      <c r="E490" s="205" t="s">
        <v>18</v>
      </c>
      <c r="F490" s="205" t="s">
        <v>17</v>
      </c>
    </row>
    <row r="491" s="220" customFormat="true" ht="14.25" hidden="false" customHeight="false" outlineLevel="0" collapsed="false">
      <c r="A491" s="205" t="str">
        <f aca="false">CONCATENATE(F491,",",E491)</f>
        <v>PE 362,ED3-PE</v>
      </c>
      <c r="B491" s="205" t="s">
        <v>1219</v>
      </c>
      <c r="C491" s="205" t="s">
        <v>1997</v>
      </c>
      <c r="D491" s="213" t="n">
        <v>80</v>
      </c>
      <c r="E491" s="205" t="s">
        <v>18</v>
      </c>
      <c r="F491" s="205" t="s">
        <v>509</v>
      </c>
    </row>
    <row r="492" s="220" customFormat="true" ht="14.25" hidden="false" customHeight="false" outlineLevel="0" collapsed="false">
      <c r="A492" s="205" t="str">
        <f aca="false">CONCATENATE(F492,",",E492)</f>
        <v>PE 364,ED3-PE</v>
      </c>
      <c r="B492" s="205" t="s">
        <v>1341</v>
      </c>
      <c r="C492" s="205" t="s">
        <v>1870</v>
      </c>
      <c r="D492" s="213" t="n">
        <v>80</v>
      </c>
      <c r="E492" s="205" t="s">
        <v>18</v>
      </c>
      <c r="F492" s="205" t="s">
        <v>349</v>
      </c>
    </row>
    <row r="493" s="220" customFormat="true" ht="14.25" hidden="false" customHeight="false" outlineLevel="0" collapsed="false">
      <c r="A493" s="205" t="str">
        <f aca="false">CONCATENATE(F493,",",E493)</f>
        <v>PE 366,ED3-PE</v>
      </c>
      <c r="B493" s="205" t="s">
        <v>1342</v>
      </c>
      <c r="C493" s="205" t="s">
        <v>1867</v>
      </c>
      <c r="D493" s="213" t="n">
        <v>80</v>
      </c>
      <c r="E493" s="205" t="s">
        <v>18</v>
      </c>
      <c r="F493" s="205" t="s">
        <v>211</v>
      </c>
    </row>
    <row r="494" s="220" customFormat="true" ht="14.25" hidden="false" customHeight="false" outlineLevel="0" collapsed="false">
      <c r="A494" s="205" t="str">
        <f aca="false">CONCATENATE(F494,",",E494)</f>
        <v>PE 450,ED4-PE</v>
      </c>
      <c r="B494" s="205" t="s">
        <v>1343</v>
      </c>
      <c r="C494" s="205" t="s">
        <v>1883</v>
      </c>
      <c r="D494" s="213" t="n">
        <v>99</v>
      </c>
      <c r="E494" s="205" t="s">
        <v>46</v>
      </c>
      <c r="F494" s="205" t="s">
        <v>324</v>
      </c>
    </row>
    <row r="495" s="220" customFormat="true" ht="14.25" hidden="false" customHeight="false" outlineLevel="0" collapsed="false">
      <c r="A495" s="205" t="str">
        <f aca="false">CONCATENATE(F495,",",E495)</f>
        <v>PE 452,ED4-PE</v>
      </c>
      <c r="B495" s="205" t="s">
        <v>1345</v>
      </c>
      <c r="C495" s="205" t="s">
        <v>1881</v>
      </c>
      <c r="D495" s="213" t="n">
        <v>99</v>
      </c>
      <c r="E495" s="205" t="s">
        <v>46</v>
      </c>
      <c r="F495" s="205" t="s">
        <v>264</v>
      </c>
    </row>
    <row r="496" s="220" customFormat="true" ht="14.25" hidden="false" customHeight="false" outlineLevel="0" collapsed="false">
      <c r="A496" s="205" t="str">
        <f aca="false">CONCATENATE(F496,",",E496)</f>
        <v>PE 456,ED4-PE</v>
      </c>
      <c r="B496" s="205" t="s">
        <v>1346</v>
      </c>
      <c r="C496" s="205" t="s">
        <v>1866</v>
      </c>
      <c r="D496" s="213" t="n">
        <v>99</v>
      </c>
      <c r="E496" s="205" t="s">
        <v>46</v>
      </c>
      <c r="F496" s="205" t="s">
        <v>502</v>
      </c>
    </row>
    <row r="497" s="220" customFormat="true" ht="14.25" hidden="false" customHeight="false" outlineLevel="0" collapsed="false">
      <c r="A497" s="205" t="str">
        <f aca="false">CONCATENATE(F497,",",E497)</f>
        <v>PE 458,ED4-PE</v>
      </c>
      <c r="B497" s="205" t="s">
        <v>1347</v>
      </c>
      <c r="C497" s="205" t="s">
        <v>1883</v>
      </c>
      <c r="D497" s="213" t="n">
        <v>99</v>
      </c>
      <c r="E497" s="205" t="s">
        <v>46</v>
      </c>
      <c r="F497" s="205" t="s">
        <v>206</v>
      </c>
    </row>
    <row r="498" s="220" customFormat="true" ht="14.25" hidden="false" customHeight="false" outlineLevel="0" collapsed="false">
      <c r="A498" s="205" t="str">
        <f aca="false">CONCATENATE(F498,",",E498)</f>
        <v>PE 464,ED4-PE</v>
      </c>
      <c r="B498" s="205" t="s">
        <v>1348</v>
      </c>
      <c r="C498" s="205" t="s">
        <v>1863</v>
      </c>
      <c r="D498" s="213" t="n">
        <v>99</v>
      </c>
      <c r="E498" s="205" t="s">
        <v>46</v>
      </c>
      <c r="F498" s="205" t="s">
        <v>45</v>
      </c>
    </row>
    <row r="499" s="220" customFormat="true" ht="14.25" hidden="false" customHeight="false" outlineLevel="0" collapsed="false">
      <c r="A499" s="205" t="str">
        <f aca="false">CONCATENATE(F499,",",E499)</f>
        <v>PE 466,ED4-PE</v>
      </c>
      <c r="B499" s="205" t="s">
        <v>1349</v>
      </c>
      <c r="C499" s="205" t="s">
        <v>1893</v>
      </c>
      <c r="D499" s="213" t="n">
        <v>99</v>
      </c>
      <c r="E499" s="205" t="s">
        <v>46</v>
      </c>
      <c r="F499" s="205" t="s">
        <v>104</v>
      </c>
    </row>
    <row r="500" s="220" customFormat="true" ht="14.25" hidden="false" customHeight="false" outlineLevel="0" collapsed="false">
      <c r="A500" s="205" t="str">
        <f aca="false">CONCATENATE(F500,",",E500)</f>
        <v>PE 468,ED4-PE</v>
      </c>
      <c r="B500" s="205" t="s">
        <v>1350</v>
      </c>
      <c r="C500" s="205" t="s">
        <v>1870</v>
      </c>
      <c r="D500" s="213" t="n">
        <v>77</v>
      </c>
      <c r="E500" s="205" t="s">
        <v>46</v>
      </c>
      <c r="F500" s="205" t="s">
        <v>374</v>
      </c>
    </row>
    <row r="501" s="220" customFormat="true" ht="14.25" hidden="false" customHeight="false" outlineLevel="0" collapsed="false">
      <c r="A501" s="205" t="str">
        <f aca="false">CONCATENATE(F501,",",E501)</f>
        <v>PE 472,ED4-PE</v>
      </c>
      <c r="B501" s="205" t="s">
        <v>1351</v>
      </c>
      <c r="C501" s="205" t="s">
        <v>1881</v>
      </c>
      <c r="D501" s="213" t="n">
        <v>99</v>
      </c>
      <c r="E501" s="205" t="s">
        <v>46</v>
      </c>
      <c r="F501" s="205" t="s">
        <v>357</v>
      </c>
    </row>
    <row r="502" s="220" customFormat="true" ht="14.25" hidden="false" customHeight="false" outlineLevel="0" collapsed="false">
      <c r="A502" s="205" t="str">
        <f aca="false">CONCATENATE(F502,",",E502)</f>
        <v>PE 474,ED4-PE</v>
      </c>
      <c r="B502" s="205" t="s">
        <v>1352</v>
      </c>
      <c r="C502" s="205" t="s">
        <v>1867</v>
      </c>
      <c r="D502" s="213" t="n">
        <v>99</v>
      </c>
      <c r="E502" s="205" t="s">
        <v>46</v>
      </c>
      <c r="F502" s="205" t="s">
        <v>409</v>
      </c>
    </row>
    <row r="503" s="220" customFormat="true" ht="14.25" hidden="false" customHeight="false" outlineLevel="0" collapsed="false">
      <c r="A503" s="205" t="str">
        <f aca="false">CONCATENATE(F503,",",E503)</f>
        <v>PE 476,ED4-PE</v>
      </c>
      <c r="B503" s="205" t="s">
        <v>1353</v>
      </c>
      <c r="C503" s="205" t="s">
        <v>1872</v>
      </c>
      <c r="D503" s="213" t="n">
        <v>22</v>
      </c>
      <c r="E503" s="205" t="s">
        <v>46</v>
      </c>
      <c r="F503" s="205" t="s">
        <v>438</v>
      </c>
    </row>
    <row r="504" s="220" customFormat="true" ht="14.25" hidden="false" customHeight="false" outlineLevel="0" collapsed="false">
      <c r="A504" s="205" t="str">
        <f aca="false">CONCATENATE(F504,",",E504)</f>
        <v>EE 152,ED1-TEL</v>
      </c>
      <c r="B504" s="205" t="s">
        <v>990</v>
      </c>
      <c r="C504" s="205" t="s">
        <v>1604</v>
      </c>
      <c r="D504" s="213" t="n">
        <v>130</v>
      </c>
      <c r="E504" s="205" t="s">
        <v>91</v>
      </c>
      <c r="F504" s="205" t="s">
        <v>234</v>
      </c>
    </row>
    <row r="505" s="220" customFormat="true" ht="14.25" hidden="false" customHeight="false" outlineLevel="0" collapsed="false">
      <c r="A505" s="205" t="str">
        <f aca="false">CONCATENATE(F505,",",E505)</f>
        <v>EE 188,ED1-TEL</v>
      </c>
      <c r="B505" s="205" t="s">
        <v>1157</v>
      </c>
      <c r="C505" s="205" t="s">
        <v>1552</v>
      </c>
      <c r="D505" s="213" t="n">
        <v>130</v>
      </c>
      <c r="E505" s="205" t="s">
        <v>91</v>
      </c>
      <c r="F505" s="205" t="s">
        <v>137</v>
      </c>
    </row>
    <row r="506" s="220" customFormat="true" ht="14.25" hidden="false" customHeight="false" outlineLevel="0" collapsed="false">
      <c r="A506" s="205" t="str">
        <f aca="false">CONCATENATE(F506,",",E506)</f>
        <v>ENGL 158,ED1-TEL</v>
      </c>
      <c r="B506" s="205" t="s">
        <v>991</v>
      </c>
      <c r="C506" s="205" t="s">
        <v>1634</v>
      </c>
      <c r="D506" s="213" t="n">
        <v>130</v>
      </c>
      <c r="E506" s="205" t="s">
        <v>91</v>
      </c>
      <c r="F506" s="205" t="s">
        <v>364</v>
      </c>
    </row>
    <row r="507" s="220" customFormat="true" ht="14.25" hidden="false" customHeight="false" outlineLevel="0" collapsed="false">
      <c r="A507" s="205" t="str">
        <f aca="false">CONCATENATE(F507,",",E507)</f>
        <v>MATH 152,ED1-TEL</v>
      </c>
      <c r="B507" s="205" t="s">
        <v>992</v>
      </c>
      <c r="C507" s="205" t="s">
        <v>1951</v>
      </c>
      <c r="D507" s="213" t="n">
        <v>130</v>
      </c>
      <c r="E507" s="205" t="s">
        <v>91</v>
      </c>
      <c r="F507" s="205" t="s">
        <v>129</v>
      </c>
    </row>
    <row r="508" s="220" customFormat="true" ht="14.25" hidden="false" customHeight="false" outlineLevel="0" collapsed="false">
      <c r="A508" s="205" t="str">
        <f aca="false">CONCATENATE(F508,",",E508)</f>
        <v>PSYC 154,ED1-TEL</v>
      </c>
      <c r="B508" s="205" t="s">
        <v>1354</v>
      </c>
      <c r="C508" s="205" t="s">
        <v>1909</v>
      </c>
      <c r="D508" s="213" t="n">
        <v>130</v>
      </c>
      <c r="E508" s="205" t="s">
        <v>91</v>
      </c>
      <c r="F508" s="205" t="s">
        <v>200</v>
      </c>
    </row>
    <row r="509" s="220" customFormat="true" ht="14.25" hidden="false" customHeight="false" outlineLevel="0" collapsed="false">
      <c r="A509" s="205" t="str">
        <f aca="false">CONCATENATE(F509,",",E509)</f>
        <v>TE 152,ED1-TEL</v>
      </c>
      <c r="B509" s="205" t="s">
        <v>1355</v>
      </c>
      <c r="C509" s="205" t="s">
        <v>1552</v>
      </c>
      <c r="D509" s="213" t="n">
        <v>130</v>
      </c>
      <c r="E509" s="205" t="s">
        <v>91</v>
      </c>
      <c r="F509" s="205" t="s">
        <v>423</v>
      </c>
    </row>
    <row r="510" s="220" customFormat="true" ht="14.25" hidden="false" customHeight="false" outlineLevel="0" collapsed="false">
      <c r="A510" s="205" t="str">
        <f aca="false">CONCATENATE(F510,",",E510)</f>
        <v>TE 156,ED1-TEL</v>
      </c>
      <c r="B510" s="205" t="s">
        <v>1356</v>
      </c>
      <c r="C510" s="205" t="s">
        <v>1917</v>
      </c>
      <c r="D510" s="213" t="n">
        <v>130</v>
      </c>
      <c r="E510" s="205" t="s">
        <v>91</v>
      </c>
      <c r="F510" s="205" t="s">
        <v>90</v>
      </c>
    </row>
    <row r="511" s="220" customFormat="true" ht="14.25" hidden="false" customHeight="false" outlineLevel="0" collapsed="false">
      <c r="A511" s="205" t="str">
        <f aca="false">CONCATENATE(F511,",",E511)</f>
        <v>TE 158,ED1-TEL</v>
      </c>
      <c r="B511" s="205" t="s">
        <v>1357</v>
      </c>
      <c r="C511" s="205" t="s">
        <v>1917</v>
      </c>
      <c r="D511" s="213" t="n">
        <v>130</v>
      </c>
      <c r="E511" s="205" t="s">
        <v>91</v>
      </c>
      <c r="F511" s="205" t="s">
        <v>492</v>
      </c>
    </row>
    <row r="512" s="220" customFormat="true" ht="14.25" hidden="false" customHeight="false" outlineLevel="0" collapsed="false">
      <c r="A512" s="205" t="str">
        <f aca="false">CONCATENATE(F512,",",E512)</f>
        <v>ACF 256,ED2-TEL</v>
      </c>
      <c r="B512" s="205" t="s">
        <v>1076</v>
      </c>
      <c r="C512" s="205" t="s">
        <v>1379</v>
      </c>
      <c r="D512" s="213" t="n">
        <v>40</v>
      </c>
      <c r="E512" s="205" t="s">
        <v>172</v>
      </c>
      <c r="F512" s="205" t="s">
        <v>424</v>
      </c>
    </row>
    <row r="513" s="220" customFormat="true" ht="14.25" hidden="false" customHeight="false" outlineLevel="0" collapsed="false">
      <c r="A513" s="205" t="str">
        <f aca="false">CONCATENATE(F513,",",E513)</f>
        <v>ECON 152,ED2-TEL</v>
      </c>
      <c r="B513" s="205" t="s">
        <v>1144</v>
      </c>
      <c r="C513" s="205" t="s">
        <v>1594</v>
      </c>
      <c r="D513" s="213" t="n">
        <v>30</v>
      </c>
      <c r="E513" s="205" t="s">
        <v>172</v>
      </c>
      <c r="F513" s="205" t="s">
        <v>406</v>
      </c>
    </row>
    <row r="514" s="220" customFormat="true" ht="14.25" hidden="false" customHeight="false" outlineLevel="0" collapsed="false">
      <c r="A514" s="205" t="str">
        <f aca="false">CONCATENATE(F514,",",E514)</f>
        <v>FC 182,ED2-TEL</v>
      </c>
      <c r="B514" s="205" t="s">
        <v>1085</v>
      </c>
      <c r="C514" s="205" t="s">
        <v>1638</v>
      </c>
      <c r="D514" s="213" t="n">
        <v>103</v>
      </c>
      <c r="E514" s="205" t="s">
        <v>172</v>
      </c>
      <c r="F514" s="205" t="s">
        <v>245</v>
      </c>
    </row>
    <row r="515" s="220" customFormat="true" ht="14.25" hidden="false" customHeight="false" outlineLevel="0" collapsed="false">
      <c r="A515" s="205" t="str">
        <f aca="false">CONCATENATE(F515,",",E515)</f>
        <v>MATH 252,ED2-TEL</v>
      </c>
      <c r="B515" s="205" t="s">
        <v>998</v>
      </c>
      <c r="C515" s="205" t="s">
        <v>1727</v>
      </c>
      <c r="D515" s="213" t="n">
        <v>175</v>
      </c>
      <c r="E515" s="205" t="s">
        <v>172</v>
      </c>
      <c r="F515" s="205" t="s">
        <v>281</v>
      </c>
    </row>
    <row r="516" s="220" customFormat="true" ht="14.25" hidden="false" customHeight="false" outlineLevel="0" collapsed="false">
      <c r="A516" s="205" t="str">
        <f aca="false">CONCATENATE(F516,",",E516)</f>
        <v>TE 252,ED2-TEL</v>
      </c>
      <c r="B516" s="205" t="s">
        <v>1358</v>
      </c>
      <c r="C516" s="205" t="s">
        <v>1925</v>
      </c>
      <c r="D516" s="213" t="n">
        <v>175</v>
      </c>
      <c r="E516" s="205" t="s">
        <v>172</v>
      </c>
      <c r="F516" s="205" t="s">
        <v>460</v>
      </c>
    </row>
    <row r="517" s="220" customFormat="true" ht="14.25" hidden="false" customHeight="false" outlineLevel="0" collapsed="false">
      <c r="A517" s="205" t="str">
        <f aca="false">CONCATENATE(F517,",",E517)</f>
        <v>TE 254,ED2-TEL</v>
      </c>
      <c r="B517" s="205" t="s">
        <v>1359</v>
      </c>
      <c r="C517" s="205" t="s">
        <v>1923</v>
      </c>
      <c r="D517" s="213" t="n">
        <v>175</v>
      </c>
      <c r="E517" s="205" t="s">
        <v>172</v>
      </c>
      <c r="F517" s="205" t="s">
        <v>235</v>
      </c>
    </row>
    <row r="518" s="220" customFormat="true" ht="14.25" hidden="false" customHeight="false" outlineLevel="0" collapsed="false">
      <c r="A518" s="205" t="str">
        <f aca="false">CONCATENATE(F518,",",E518)</f>
        <v>TE 256,ED2-TEL</v>
      </c>
      <c r="B518" s="205" t="s">
        <v>1360</v>
      </c>
      <c r="C518" s="205" t="s">
        <v>1930</v>
      </c>
      <c r="D518" s="213" t="n">
        <v>175</v>
      </c>
      <c r="E518" s="205" t="s">
        <v>172</v>
      </c>
      <c r="F518" s="205" t="s">
        <v>171</v>
      </c>
    </row>
    <row r="519" s="220" customFormat="true" ht="14.25" hidden="false" customHeight="false" outlineLevel="0" collapsed="false">
      <c r="A519" s="205" t="str">
        <f aca="false">CONCATENATE(F519,",",E519)</f>
        <v>TE 258,ED2-TEL</v>
      </c>
      <c r="B519" s="205" t="s">
        <v>1361</v>
      </c>
      <c r="C519" s="205" t="s">
        <v>1917</v>
      </c>
      <c r="D519" s="213" t="n">
        <v>175</v>
      </c>
      <c r="E519" s="205" t="s">
        <v>172</v>
      </c>
      <c r="F519" s="205" t="s">
        <v>352</v>
      </c>
    </row>
    <row r="520" s="220" customFormat="true" ht="14.25" hidden="false" customHeight="false" outlineLevel="0" collapsed="false">
      <c r="A520" s="205" t="str">
        <f aca="false">CONCATENATE(F520,",",E520)</f>
        <v>TE 292,ED2-TEL</v>
      </c>
      <c r="B520" s="205" t="s">
        <v>1362</v>
      </c>
      <c r="C520" s="205" t="s">
        <v>1925</v>
      </c>
      <c r="D520" s="213" t="n">
        <v>175</v>
      </c>
      <c r="E520" s="205" t="s">
        <v>172</v>
      </c>
      <c r="F520" s="205" t="s">
        <v>1363</v>
      </c>
    </row>
    <row r="521" s="220" customFormat="true" ht="14.25" hidden="false" customHeight="false" outlineLevel="0" collapsed="false">
      <c r="A521" s="205" t="str">
        <f aca="false">CONCATENATE(F521,",",E521)</f>
        <v>TE 374,ED3-TEL</v>
      </c>
      <c r="B521" s="205" t="s">
        <v>1927</v>
      </c>
      <c r="C521" s="205" t="s">
        <v>1998</v>
      </c>
      <c r="D521" s="213" t="n">
        <v>140</v>
      </c>
      <c r="E521" s="205" t="s">
        <v>119</v>
      </c>
      <c r="F521" s="205" t="s">
        <v>391</v>
      </c>
    </row>
    <row r="522" s="220" customFormat="true" ht="14.25" hidden="false" customHeight="false" outlineLevel="0" collapsed="false">
      <c r="A522" s="205" t="str">
        <f aca="false">CONCATENATE(F522,",",E522)</f>
        <v>TE 354,ED3-TEL</v>
      </c>
      <c r="B522" s="205" t="s">
        <v>1932</v>
      </c>
      <c r="C522" s="205" t="s">
        <v>1920</v>
      </c>
      <c r="D522" s="213" t="n">
        <v>140</v>
      </c>
      <c r="E522" s="205" t="s">
        <v>119</v>
      </c>
      <c r="F522" s="205" t="s">
        <v>339</v>
      </c>
    </row>
    <row r="523" s="220" customFormat="true" ht="14.25" hidden="false" customHeight="false" outlineLevel="0" collapsed="false">
      <c r="A523" s="205" t="str">
        <f aca="false">CONCATENATE(F523,",",E523)</f>
        <v>TE 372,ED3-TEL</v>
      </c>
      <c r="B523" s="205" t="s">
        <v>1365</v>
      </c>
      <c r="C523" s="205" t="s">
        <v>1931</v>
      </c>
      <c r="D523" s="213" t="n">
        <v>140</v>
      </c>
      <c r="E523" s="205" t="s">
        <v>119</v>
      </c>
      <c r="F523" s="205" t="s">
        <v>308</v>
      </c>
    </row>
    <row r="524" s="220" customFormat="true" ht="14.25" hidden="false" customHeight="false" outlineLevel="0" collapsed="false">
      <c r="A524" s="205" t="str">
        <f aca="false">CONCATENATE(F524,",",E524)</f>
        <v>TE 352,ED3-TEL</v>
      </c>
      <c r="B524" s="205" t="s">
        <v>1366</v>
      </c>
      <c r="C524" s="205" t="s">
        <v>1935</v>
      </c>
      <c r="D524" s="213" t="n">
        <v>140</v>
      </c>
      <c r="E524" s="205" t="s">
        <v>119</v>
      </c>
      <c r="F524" s="205" t="s">
        <v>187</v>
      </c>
    </row>
    <row r="525" s="220" customFormat="true" ht="14.25" hidden="false" customHeight="false" outlineLevel="0" collapsed="false">
      <c r="A525" s="205" t="str">
        <f aca="false">CONCATENATE(F525,",",E525)</f>
        <v>TE 356,ED3-TEL</v>
      </c>
      <c r="B525" s="205" t="s">
        <v>1191</v>
      </c>
      <c r="C525" s="205" t="s">
        <v>1931</v>
      </c>
      <c r="D525" s="213" t="n">
        <v>140</v>
      </c>
      <c r="E525" s="205" t="s">
        <v>119</v>
      </c>
      <c r="F525" s="205" t="s">
        <v>118</v>
      </c>
    </row>
    <row r="526" s="220" customFormat="true" ht="14.25" hidden="false" customHeight="false" outlineLevel="0" collapsed="false">
      <c r="A526" s="205" t="str">
        <f aca="false">CONCATENATE(F526,",",E526)</f>
        <v>TE 358,ED3-TEL</v>
      </c>
      <c r="B526" s="205" t="s">
        <v>1192</v>
      </c>
      <c r="C526" s="205" t="s">
        <v>1604</v>
      </c>
      <c r="D526" s="213" t="n">
        <v>140</v>
      </c>
      <c r="E526" s="205" t="s">
        <v>119</v>
      </c>
      <c r="F526" s="205" t="s">
        <v>464</v>
      </c>
    </row>
    <row r="527" s="220" customFormat="true" ht="14.25" hidden="false" customHeight="false" outlineLevel="0" collapsed="false">
      <c r="A527" s="205" t="str">
        <f aca="false">CONCATENATE(F527,",",E527)</f>
        <v>TE 392,ED3-TEL</v>
      </c>
      <c r="B527" s="205" t="s">
        <v>1369</v>
      </c>
      <c r="C527" s="205" t="s">
        <v>1931</v>
      </c>
      <c r="D527" s="213" t="n">
        <v>140</v>
      </c>
      <c r="E527" s="205" t="s">
        <v>119</v>
      </c>
      <c r="F527" s="205" t="s">
        <v>1370</v>
      </c>
    </row>
    <row r="528" s="220" customFormat="true" ht="14.25" hidden="false" customHeight="false" outlineLevel="0" collapsed="false">
      <c r="A528" s="205" t="str">
        <f aca="false">CONCATENATE(F528,",",E528)</f>
        <v>TE 454,ED4-TEL</v>
      </c>
      <c r="B528" s="205" t="s">
        <v>1094</v>
      </c>
      <c r="C528" s="205" t="s">
        <v>1627</v>
      </c>
      <c r="D528" s="213" t="n">
        <v>138</v>
      </c>
      <c r="E528" s="205" t="s">
        <v>227</v>
      </c>
      <c r="F528" s="205" t="s">
        <v>507</v>
      </c>
    </row>
    <row r="529" s="220" customFormat="true" ht="14.25" hidden="false" customHeight="false" outlineLevel="0" collapsed="false">
      <c r="A529" s="205" t="str">
        <f aca="false">CONCATENATE(F529,",",E529)</f>
        <v>ME 492,ED4-TEL</v>
      </c>
      <c r="B529" s="205" t="s">
        <v>1015</v>
      </c>
      <c r="C529" s="205" t="s">
        <v>1999</v>
      </c>
      <c r="D529" s="213" t="n">
        <v>138</v>
      </c>
      <c r="E529" s="205" t="s">
        <v>227</v>
      </c>
      <c r="F529" s="205" t="s">
        <v>373</v>
      </c>
    </row>
    <row r="530" s="220" customFormat="true" ht="14.25" hidden="false" customHeight="false" outlineLevel="0" collapsed="false">
      <c r="A530" s="205" t="str">
        <f aca="false">CONCATENATE(F530,",",E530)</f>
        <v>TE 452,ED4-TEL</v>
      </c>
      <c r="B530" s="205" t="s">
        <v>2000</v>
      </c>
      <c r="C530" s="205" t="s">
        <v>2001</v>
      </c>
      <c r="D530" s="213" t="n">
        <v>138</v>
      </c>
      <c r="E530" s="205" t="s">
        <v>227</v>
      </c>
      <c r="F530" s="205" t="s">
        <v>326</v>
      </c>
    </row>
    <row r="531" s="220" customFormat="true" ht="14.25" hidden="false" customHeight="false" outlineLevel="0" collapsed="false">
      <c r="A531" s="205" t="str">
        <f aca="false">CONCATENATE(F531,",",E531)</f>
        <v>TE 456,ED4-TEL</v>
      </c>
      <c r="B531" s="205" t="s">
        <v>2002</v>
      </c>
      <c r="C531" s="205" t="s">
        <v>1935</v>
      </c>
      <c r="D531" s="213" t="n">
        <v>138</v>
      </c>
      <c r="E531" s="205" t="s">
        <v>227</v>
      </c>
      <c r="F531" s="205" t="s">
        <v>434</v>
      </c>
    </row>
    <row r="532" s="220" customFormat="true" ht="14.25" hidden="false" customHeight="false" outlineLevel="0" collapsed="false">
      <c r="A532" s="205" t="str">
        <f aca="false">CONCATENATE(F532,",",E532)</f>
        <v>TE 458,ED4-TEL</v>
      </c>
      <c r="B532" s="205" t="s">
        <v>2003</v>
      </c>
      <c r="C532" s="205" t="s">
        <v>1998</v>
      </c>
      <c r="D532" s="213" t="n">
        <v>138</v>
      </c>
      <c r="E532" s="205" t="s">
        <v>227</v>
      </c>
      <c r="F532" s="205" t="s">
        <v>269</v>
      </c>
    </row>
    <row r="533" s="220" customFormat="true" ht="14.25" hidden="false" customHeight="false" outlineLevel="0" collapsed="false">
      <c r="A533" s="205" t="str">
        <f aca="false">CONCATENATE(F533,",",E533)</f>
        <v>TE 464,ED4-TEL</v>
      </c>
      <c r="B533" s="205" t="s">
        <v>2004</v>
      </c>
      <c r="C533" s="205" t="s">
        <v>2005</v>
      </c>
      <c r="D533" s="213" t="n">
        <v>105</v>
      </c>
      <c r="E533" s="205" t="s">
        <v>227</v>
      </c>
      <c r="F533" s="205" t="s">
        <v>226</v>
      </c>
    </row>
    <row r="534" s="220" customFormat="true" ht="14.25" hidden="false" customHeight="false" outlineLevel="0" collapsed="false">
      <c r="A534" s="205" t="str">
        <f aca="false">CONCATENATE(F534,",",E534)</f>
        <v>TE 468,ED4-TEL</v>
      </c>
      <c r="B534" s="205" t="s">
        <v>2006</v>
      </c>
      <c r="C534" s="205" t="s">
        <v>1930</v>
      </c>
      <c r="D534" s="213" t="n">
        <v>33</v>
      </c>
      <c r="E534" s="205" t="s">
        <v>227</v>
      </c>
      <c r="F534" s="205" t="s">
        <v>401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Q21" activeCellId="0" sqref="Q21"/>
    </sheetView>
  </sheetViews>
  <sheetFormatPr defaultColWidth="7.7578125" defaultRowHeight="15" customHeight="false" zeroHeight="false" outlineLevelRow="0" outlineLevelCol="0"/>
  <cols>
    <col collapsed="false" customWidth="true" hidden="false" outlineLevel="0" max="1" min="1" style="222" width="18"/>
    <col collapsed="false" customWidth="true" hidden="false" outlineLevel="0" max="5" min="2" style="222" width="13.12"/>
    <col collapsed="false" customWidth="true" hidden="false" outlineLevel="0" max="6" min="6" style="222" width="8.13"/>
    <col collapsed="false" customWidth="false" hidden="false" outlineLevel="0" max="8" min="7" style="222" width="7.75"/>
    <col collapsed="false" customWidth="true" hidden="false" outlineLevel="0" max="9" min="9" style="222" width="3.37"/>
    <col collapsed="false" customWidth="true" hidden="false" outlineLevel="0" max="10" min="10" style="222" width="3.87"/>
    <col collapsed="false" customWidth="true" hidden="false" outlineLevel="0" max="15" min="11" style="222" width="3.37"/>
    <col collapsed="false" customWidth="true" hidden="false" outlineLevel="0" max="22" min="16" style="222" width="2.88"/>
    <col collapsed="false" customWidth="true" hidden="false" outlineLevel="0" max="29" min="23" style="222" width="3.5"/>
    <col collapsed="false" customWidth="true" hidden="false" outlineLevel="0" max="36" min="30" style="222" width="3.13"/>
    <col collapsed="false" customWidth="true" hidden="false" outlineLevel="0" max="37" min="37" style="222" width="2.75"/>
    <col collapsed="false" customWidth="true" hidden="false" outlineLevel="0" max="38" min="38" style="222" width="5.75"/>
    <col collapsed="false" customWidth="true" hidden="false" outlineLevel="0" max="39" min="39" style="222" width="4.37"/>
    <col collapsed="false" customWidth="true" hidden="false" outlineLevel="0" max="40" min="40" style="222" width="5.26"/>
    <col collapsed="false" customWidth="true" hidden="false" outlineLevel="0" max="41" min="41" style="222" width="5.12"/>
    <col collapsed="false" customWidth="true" hidden="false" outlineLevel="0" max="42" min="42" style="222" width="5.87"/>
    <col collapsed="false" customWidth="false" hidden="false" outlineLevel="0" max="16384" min="43" style="222" width="7.75"/>
  </cols>
  <sheetData>
    <row r="1" customFormat="false" ht="15" hidden="false" customHeight="false" outlineLevel="0" collapsed="false">
      <c r="A1" s="223" t="s">
        <v>2007</v>
      </c>
      <c r="B1" s="223"/>
      <c r="C1" s="223"/>
      <c r="D1" s="223"/>
      <c r="E1" s="223"/>
      <c r="F1" s="223"/>
    </row>
    <row r="2" customFormat="false" ht="15" hidden="false" customHeight="false" outlineLevel="0" collapsed="false">
      <c r="A2" s="223" t="s">
        <v>2008</v>
      </c>
      <c r="B2" s="223"/>
      <c r="C2" s="223"/>
      <c r="D2" s="223"/>
      <c r="E2" s="223"/>
      <c r="F2" s="223"/>
    </row>
    <row r="3" customFormat="false" ht="15" hidden="false" customHeight="false" outlineLevel="0" collapsed="false">
      <c r="A3" s="224" t="s">
        <v>2009</v>
      </c>
      <c r="B3" s="224" t="s">
        <v>2010</v>
      </c>
      <c r="C3" s="224"/>
      <c r="D3" s="224"/>
      <c r="E3" s="224"/>
      <c r="F3" s="224"/>
    </row>
    <row r="4" customFormat="false" ht="15" hidden="false" customHeight="true" outlineLevel="0" collapsed="false">
      <c r="A4" s="225" t="s">
        <v>862</v>
      </c>
      <c r="B4" s="226" t="n">
        <v>50</v>
      </c>
      <c r="C4" s="227" t="s">
        <v>2011</v>
      </c>
      <c r="D4" s="228" t="s">
        <v>2012</v>
      </c>
      <c r="E4" s="229" t="n">
        <v>2</v>
      </c>
      <c r="F4" s="230"/>
    </row>
    <row r="5" customFormat="false" ht="15" hidden="false" customHeight="false" outlineLevel="0" collapsed="false">
      <c r="A5" s="225" t="s">
        <v>544</v>
      </c>
      <c r="B5" s="226" t="n">
        <v>48</v>
      </c>
      <c r="C5" s="227"/>
      <c r="D5" s="227"/>
      <c r="E5" s="229" t="n">
        <v>1</v>
      </c>
      <c r="F5" s="230"/>
    </row>
    <row r="6" customFormat="false" ht="15" hidden="false" customHeight="false" outlineLevel="0" collapsed="false">
      <c r="A6" s="225" t="s">
        <v>886</v>
      </c>
      <c r="B6" s="226" t="n">
        <v>48</v>
      </c>
      <c r="C6" s="227"/>
      <c r="D6" s="227"/>
      <c r="E6" s="229" t="n">
        <v>1</v>
      </c>
      <c r="F6" s="230"/>
    </row>
    <row r="7" customFormat="false" ht="15" hidden="false" customHeight="false" outlineLevel="0" collapsed="false">
      <c r="A7" s="225" t="s">
        <v>633</v>
      </c>
      <c r="B7" s="226" t="n">
        <v>90</v>
      </c>
      <c r="C7" s="227"/>
      <c r="D7" s="227"/>
      <c r="E7" s="229" t="n">
        <v>2</v>
      </c>
      <c r="F7" s="223" t="n">
        <v>474</v>
      </c>
    </row>
    <row r="8" customFormat="false" ht="15" hidden="false" customHeight="false" outlineLevel="0" collapsed="false">
      <c r="A8" s="231" t="n">
        <v>206</v>
      </c>
      <c r="B8" s="226" t="n">
        <v>48</v>
      </c>
      <c r="C8" s="227" t="s">
        <v>2013</v>
      </c>
      <c r="D8" s="228"/>
      <c r="E8" s="229" t="n">
        <v>1</v>
      </c>
      <c r="F8" s="230"/>
    </row>
    <row r="9" customFormat="false" ht="15" hidden="false" customHeight="false" outlineLevel="0" collapsed="false">
      <c r="A9" s="231" t="n">
        <v>303</v>
      </c>
      <c r="B9" s="226" t="n">
        <v>60</v>
      </c>
      <c r="C9" s="227"/>
      <c r="D9" s="227"/>
      <c r="E9" s="229" t="n">
        <v>2</v>
      </c>
      <c r="F9" s="230"/>
    </row>
    <row r="10" customFormat="false" ht="15" hidden="false" customHeight="false" outlineLevel="0" collapsed="false">
      <c r="A10" s="231" t="n">
        <v>304</v>
      </c>
      <c r="B10" s="226" t="n">
        <v>40</v>
      </c>
      <c r="C10" s="227"/>
      <c r="D10" s="227"/>
      <c r="E10" s="229" t="n">
        <v>1</v>
      </c>
      <c r="F10" s="230"/>
    </row>
    <row r="11" customFormat="false" ht="15" hidden="false" customHeight="false" outlineLevel="0" collapsed="false">
      <c r="A11" s="225" t="s">
        <v>2014</v>
      </c>
      <c r="B11" s="226" t="n">
        <v>50</v>
      </c>
      <c r="C11" s="227" t="s">
        <v>2015</v>
      </c>
      <c r="D11" s="228"/>
      <c r="E11" s="229" t="n">
        <v>1</v>
      </c>
      <c r="F11" s="230"/>
    </row>
    <row r="12" customFormat="false" ht="15" hidden="false" customHeight="false" outlineLevel="0" collapsed="false">
      <c r="A12" s="225" t="s">
        <v>2016</v>
      </c>
      <c r="B12" s="226" t="n">
        <v>40</v>
      </c>
      <c r="C12" s="227"/>
      <c r="D12" s="227"/>
      <c r="E12" s="229" t="n">
        <v>1</v>
      </c>
      <c r="F12" s="230"/>
    </row>
    <row r="13" customFormat="false" ht="15" hidden="false" customHeight="true" outlineLevel="0" collapsed="false">
      <c r="A13" s="232" t="s">
        <v>864</v>
      </c>
      <c r="B13" s="233" t="n">
        <v>80</v>
      </c>
      <c r="C13" s="234" t="s">
        <v>2017</v>
      </c>
      <c r="D13" s="235" t="s">
        <v>2018</v>
      </c>
      <c r="E13" s="236" t="n">
        <v>2</v>
      </c>
      <c r="F13" s="237"/>
    </row>
    <row r="14" customFormat="false" ht="15" hidden="false" customHeight="false" outlineLevel="0" collapsed="false">
      <c r="A14" s="232" t="s">
        <v>560</v>
      </c>
      <c r="B14" s="233" t="n">
        <v>80</v>
      </c>
      <c r="C14" s="234"/>
      <c r="D14" s="234"/>
      <c r="E14" s="236" t="n">
        <v>2</v>
      </c>
      <c r="F14" s="237"/>
    </row>
    <row r="15" customFormat="false" ht="15" hidden="false" customHeight="false" outlineLevel="0" collapsed="false">
      <c r="A15" s="232" t="s">
        <v>632</v>
      </c>
      <c r="B15" s="233" t="n">
        <v>80</v>
      </c>
      <c r="C15" s="234"/>
      <c r="D15" s="234"/>
      <c r="E15" s="236" t="n">
        <v>2</v>
      </c>
      <c r="F15" s="237"/>
    </row>
    <row r="16" customFormat="false" ht="15" hidden="false" customHeight="false" outlineLevel="0" collapsed="false">
      <c r="A16" s="232" t="s">
        <v>874</v>
      </c>
      <c r="B16" s="233" t="n">
        <v>60</v>
      </c>
      <c r="C16" s="234"/>
      <c r="D16" s="234"/>
      <c r="E16" s="236" t="n">
        <v>2</v>
      </c>
      <c r="F16" s="237"/>
    </row>
    <row r="17" customFormat="false" ht="15" hidden="false" customHeight="false" outlineLevel="0" collapsed="false">
      <c r="A17" s="232" t="s">
        <v>863</v>
      </c>
      <c r="B17" s="233" t="n">
        <v>80</v>
      </c>
      <c r="C17" s="234" t="s">
        <v>2019</v>
      </c>
      <c r="D17" s="235"/>
      <c r="E17" s="236" t="n">
        <v>2</v>
      </c>
      <c r="F17" s="237"/>
    </row>
    <row r="18" customFormat="false" ht="15" hidden="false" customHeight="false" outlineLevel="0" collapsed="false">
      <c r="A18" s="232" t="s">
        <v>781</v>
      </c>
      <c r="B18" s="233" t="n">
        <v>80</v>
      </c>
      <c r="C18" s="234"/>
      <c r="D18" s="234"/>
      <c r="E18" s="236" t="n">
        <v>2</v>
      </c>
      <c r="F18" s="237"/>
    </row>
    <row r="19" customFormat="false" ht="15" hidden="false" customHeight="false" outlineLevel="0" collapsed="false">
      <c r="A19" s="232" t="s">
        <v>2020</v>
      </c>
      <c r="B19" s="233" t="n">
        <v>50</v>
      </c>
      <c r="C19" s="234"/>
      <c r="D19" s="234"/>
      <c r="E19" s="236" t="n">
        <v>1</v>
      </c>
      <c r="F19" s="237"/>
    </row>
    <row r="20" customFormat="false" ht="15" hidden="false" customHeight="false" outlineLevel="0" collapsed="false">
      <c r="A20" s="232" t="s">
        <v>663</v>
      </c>
      <c r="B20" s="233" t="n">
        <v>60</v>
      </c>
      <c r="C20" s="234"/>
      <c r="D20" s="234"/>
      <c r="E20" s="236" t="n">
        <v>1</v>
      </c>
      <c r="F20" s="238" t="n">
        <f aca="false">SUM(B13:B20)</f>
        <v>570</v>
      </c>
    </row>
    <row r="21" customFormat="false" ht="15" hidden="false" customHeight="true" outlineLevel="0" collapsed="false">
      <c r="A21" s="239" t="s">
        <v>932</v>
      </c>
      <c r="B21" s="240" t="n">
        <v>50</v>
      </c>
      <c r="C21" s="241" t="s">
        <v>2021</v>
      </c>
      <c r="D21" s="242" t="s">
        <v>2022</v>
      </c>
      <c r="E21" s="243" t="n">
        <v>1</v>
      </c>
      <c r="F21" s="244"/>
    </row>
    <row r="22" customFormat="false" ht="15" hidden="false" customHeight="false" outlineLevel="0" collapsed="false">
      <c r="A22" s="239" t="s">
        <v>2023</v>
      </c>
      <c r="B22" s="240" t="n">
        <v>50</v>
      </c>
      <c r="C22" s="241"/>
      <c r="D22" s="241"/>
      <c r="E22" s="243" t="n">
        <v>1</v>
      </c>
      <c r="F22" s="244"/>
    </row>
    <row r="23" customFormat="false" ht="15" hidden="false" customHeight="false" outlineLevel="0" collapsed="false">
      <c r="A23" s="239" t="s">
        <v>2024</v>
      </c>
      <c r="B23" s="240" t="n">
        <v>60</v>
      </c>
      <c r="C23" s="241"/>
      <c r="D23" s="241"/>
      <c r="E23" s="243" t="n">
        <v>2</v>
      </c>
      <c r="F23" s="244"/>
    </row>
    <row r="24" customFormat="false" ht="15" hidden="false" customHeight="false" outlineLevel="0" collapsed="false">
      <c r="A24" s="239" t="s">
        <v>584</v>
      </c>
      <c r="B24" s="240" t="n">
        <v>60</v>
      </c>
      <c r="C24" s="241" t="s">
        <v>2025</v>
      </c>
      <c r="D24" s="242"/>
      <c r="E24" s="243" t="n">
        <v>3</v>
      </c>
      <c r="F24" s="244"/>
    </row>
    <row r="25" customFormat="false" ht="15" hidden="false" customHeight="false" outlineLevel="0" collapsed="false">
      <c r="A25" s="239" t="s">
        <v>616</v>
      </c>
      <c r="B25" s="240" t="n">
        <v>90</v>
      </c>
      <c r="C25" s="241"/>
      <c r="D25" s="241"/>
      <c r="E25" s="243" t="n">
        <v>2</v>
      </c>
      <c r="F25" s="244" t="n">
        <f aca="false">SUM(B21:B25)</f>
        <v>310</v>
      </c>
    </row>
    <row r="26" customFormat="false" ht="15" hidden="false" customHeight="true" outlineLevel="0" collapsed="false">
      <c r="A26" s="245" t="s">
        <v>2026</v>
      </c>
      <c r="B26" s="246" t="n">
        <v>160</v>
      </c>
      <c r="C26" s="247" t="s">
        <v>2027</v>
      </c>
      <c r="D26" s="248" t="s">
        <v>2028</v>
      </c>
      <c r="E26" s="249" t="n">
        <v>3</v>
      </c>
      <c r="F26" s="250"/>
    </row>
    <row r="27" customFormat="false" ht="15" hidden="false" customHeight="false" outlineLevel="0" collapsed="false">
      <c r="A27" s="245" t="s">
        <v>770</v>
      </c>
      <c r="B27" s="246" t="n">
        <v>60</v>
      </c>
      <c r="C27" s="247" t="s">
        <v>2029</v>
      </c>
      <c r="D27" s="248"/>
      <c r="E27" s="249" t="n">
        <v>2</v>
      </c>
      <c r="F27" s="250"/>
    </row>
    <row r="28" customFormat="false" ht="15" hidden="false" customHeight="false" outlineLevel="0" collapsed="false">
      <c r="A28" s="245" t="s">
        <v>541</v>
      </c>
      <c r="B28" s="246" t="n">
        <v>100</v>
      </c>
      <c r="C28" s="247" t="s">
        <v>2030</v>
      </c>
      <c r="D28" s="248"/>
      <c r="E28" s="249"/>
      <c r="F28" s="250"/>
    </row>
    <row r="29" customFormat="false" ht="15" hidden="false" customHeight="false" outlineLevel="0" collapsed="false">
      <c r="A29" s="245" t="s">
        <v>546</v>
      </c>
      <c r="B29" s="251" t="n">
        <v>160</v>
      </c>
      <c r="C29" s="247"/>
      <c r="D29" s="247"/>
      <c r="E29" s="252" t="n">
        <v>2</v>
      </c>
      <c r="F29" s="253" t="n">
        <f aca="false">SUM(B26:B29)</f>
        <v>480</v>
      </c>
    </row>
    <row r="30" customFormat="false" ht="15" hidden="false" customHeight="false" outlineLevel="0" collapsed="false">
      <c r="B30" s="254"/>
      <c r="E30" s="222" t="n">
        <v>1</v>
      </c>
    </row>
    <row r="31" customFormat="false" ht="15" hidden="false" customHeight="false" outlineLevel="0" collapsed="false">
      <c r="A31" s="255" t="s">
        <v>2031</v>
      </c>
      <c r="B31" s="256" t="n">
        <f aca="false">SUM(B4:B29)</f>
        <v>1834</v>
      </c>
      <c r="C31" s="257"/>
      <c r="D31" s="257"/>
      <c r="E31" s="257"/>
      <c r="F31" s="258"/>
    </row>
  </sheetData>
  <mergeCells count="14">
    <mergeCell ref="A1:B1"/>
    <mergeCell ref="A2:B2"/>
    <mergeCell ref="C4:C7"/>
    <mergeCell ref="D4:D12"/>
    <mergeCell ref="C8:C10"/>
    <mergeCell ref="C11:C12"/>
    <mergeCell ref="C13:C16"/>
    <mergeCell ref="D13:D20"/>
    <mergeCell ref="C17:C20"/>
    <mergeCell ref="C21:C23"/>
    <mergeCell ref="D21:D25"/>
    <mergeCell ref="C24:C25"/>
    <mergeCell ref="D26:D29"/>
    <mergeCell ref="C28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0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74"/>
  <sheetViews>
    <sheetView showFormulas="false" showGridLines="true" showRowColHeaders="true" showZeros="true" rightToLeft="false" tabSelected="false" showOutlineSymbols="true" defaultGridColor="true" view="normal" topLeftCell="A20" colorId="64" zoomScale="70" zoomScaleNormal="70" zoomScalePageLayoutView="100" workbookViewId="0">
      <selection pane="topLeft" activeCell="M41" activeCellId="0" sqref="M41"/>
    </sheetView>
  </sheetViews>
  <sheetFormatPr defaultColWidth="9.875" defaultRowHeight="15" customHeight="false" zeroHeight="false" outlineLevelRow="0" outlineLevelCol="0"/>
  <cols>
    <col collapsed="false" customWidth="true" hidden="false" outlineLevel="0" max="1" min="1" style="222" width="26"/>
    <col collapsed="false" customWidth="true" hidden="false" outlineLevel="0" max="2" min="2" style="222" width="7.25"/>
    <col collapsed="false" customWidth="true" hidden="false" outlineLevel="0" max="3" min="3" style="222" width="5.63"/>
    <col collapsed="false" customWidth="true" hidden="false" outlineLevel="0" max="4" min="4" style="222" width="10.63"/>
    <col collapsed="false" customWidth="true" hidden="false" outlineLevel="0" max="5" min="5" style="222" width="16.63"/>
    <col collapsed="false" customWidth="true" hidden="false" outlineLevel="0" max="6" min="6" style="259" width="16"/>
    <col collapsed="false" customWidth="true" hidden="true" outlineLevel="0" max="7" min="7" style="222" width="7"/>
    <col collapsed="false" customWidth="true" hidden="false" outlineLevel="0" max="8" min="8" style="222" width="21"/>
    <col collapsed="false" customWidth="true" hidden="false" outlineLevel="0" max="9" min="9" style="222" width="25.37"/>
    <col collapsed="false" customWidth="true" hidden="false" outlineLevel="0" max="10" min="10" style="222" width="13.75"/>
    <col collapsed="false" customWidth="true" hidden="false" outlineLevel="0" max="11" min="11" style="222" width="3.25"/>
    <col collapsed="false" customWidth="true" hidden="false" outlineLevel="0" max="12" min="12" style="222" width="33"/>
    <col collapsed="false" customWidth="true" hidden="false" outlineLevel="0" max="13" min="13" style="222" width="73.37"/>
    <col collapsed="false" customWidth="true" hidden="false" outlineLevel="0" max="14" min="14" style="222" width="46.5"/>
    <col collapsed="false" customWidth="true" hidden="false" outlineLevel="0" max="15" min="15" style="222" width="15.5"/>
    <col collapsed="false" customWidth="true" hidden="false" outlineLevel="0" max="16" min="16" style="222" width="16.13"/>
    <col collapsed="false" customWidth="true" hidden="false" outlineLevel="0" max="17" min="17" style="222" width="4.76"/>
    <col collapsed="false" customWidth="true" hidden="false" outlineLevel="0" max="42" min="18" style="222" width="3.25"/>
    <col collapsed="false" customWidth="false" hidden="false" outlineLevel="0" max="43" min="43" style="222" width="9.87"/>
    <col collapsed="false" customWidth="true" hidden="false" outlineLevel="0" max="44" min="44" style="222" width="4.25"/>
    <col collapsed="false" customWidth="true" hidden="false" outlineLevel="0" max="45" min="45" style="222" width="3.63"/>
    <col collapsed="false" customWidth="true" hidden="false" outlineLevel="0" max="46" min="46" style="222" width="3.25"/>
    <col collapsed="false" customWidth="true" hidden="false" outlineLevel="0" max="47" min="47" style="222" width="4"/>
    <col collapsed="false" customWidth="true" hidden="false" outlineLevel="0" max="48" min="48" style="222" width="3.25"/>
    <col collapsed="false" customWidth="true" hidden="false" outlineLevel="0" max="49" min="49" style="222" width="3.63"/>
    <col collapsed="false" customWidth="true" hidden="false" outlineLevel="0" max="50" min="50" style="222" width="3.25"/>
    <col collapsed="false" customWidth="true" hidden="false" outlineLevel="0" max="51" min="51" style="222" width="4"/>
    <col collapsed="false" customWidth="true" hidden="false" outlineLevel="0" max="52" min="52" style="222" width="3.25"/>
    <col collapsed="false" customWidth="true" hidden="false" outlineLevel="0" max="53" min="53" style="222" width="4.25"/>
    <col collapsed="false" customWidth="true" hidden="false" outlineLevel="0" max="54" min="54" style="222" width="3.63"/>
    <col collapsed="false" customWidth="true" hidden="false" outlineLevel="0" max="55" min="55" style="222" width="3.25"/>
    <col collapsed="false" customWidth="false" hidden="false" outlineLevel="0" max="16384" min="56" style="222" width="9.87"/>
  </cols>
  <sheetData>
    <row r="1" customFormat="false" ht="34.5" hidden="false" customHeight="true" outlineLevel="0" collapsed="false">
      <c r="A1" s="260" t="s">
        <v>2007</v>
      </c>
      <c r="B1" s="260"/>
      <c r="C1" s="261"/>
      <c r="D1" s="261"/>
      <c r="E1" s="261"/>
      <c r="F1" s="262"/>
      <c r="G1" s="261"/>
      <c r="H1" s="261"/>
      <c r="I1" s="261"/>
      <c r="J1" s="261"/>
      <c r="K1" s="261"/>
    </row>
    <row r="2" customFormat="false" ht="34.5" hidden="false" customHeight="true" outlineLevel="0" collapsed="false">
      <c r="A2" s="260" t="s">
        <v>2008</v>
      </c>
      <c r="B2" s="260"/>
      <c r="C2" s="261"/>
      <c r="D2" s="261"/>
      <c r="E2" s="261"/>
      <c r="F2" s="262"/>
      <c r="G2" s="261"/>
      <c r="H2" s="261"/>
      <c r="I2" s="263"/>
      <c r="J2" s="263"/>
      <c r="K2" s="263"/>
      <c r="L2" s="264" t="s">
        <v>2007</v>
      </c>
      <c r="M2" s="264"/>
      <c r="N2" s="265"/>
      <c r="O2" s="265"/>
      <c r="P2" s="265"/>
      <c r="AN2" s="266"/>
      <c r="AO2" s="266"/>
      <c r="AP2" s="266"/>
    </row>
    <row r="3" customFormat="false" ht="34.5" hidden="false" customHeight="true" outlineLevel="0" collapsed="false">
      <c r="A3" s="267"/>
      <c r="B3" s="268" t="s">
        <v>2032</v>
      </c>
      <c r="C3" s="268"/>
      <c r="D3" s="268"/>
      <c r="E3" s="269" t="s">
        <v>2033</v>
      </c>
      <c r="F3" s="270" t="s">
        <v>2034</v>
      </c>
      <c r="G3" s="271" t="s">
        <v>2035</v>
      </c>
      <c r="H3" s="272" t="s">
        <v>2036</v>
      </c>
      <c r="I3" s="273" t="s">
        <v>2037</v>
      </c>
      <c r="J3" s="274" t="s">
        <v>2038</v>
      </c>
      <c r="K3" s="275"/>
      <c r="L3" s="276" t="s">
        <v>2008</v>
      </c>
      <c r="M3" s="276"/>
      <c r="N3" s="265"/>
      <c r="O3" s="265"/>
      <c r="P3" s="265"/>
    </row>
    <row r="4" customFormat="false" ht="34.5" hidden="false" customHeight="true" outlineLevel="0" collapsed="false">
      <c r="A4" s="277" t="s">
        <v>2009</v>
      </c>
      <c r="B4" s="269" t="s">
        <v>2039</v>
      </c>
      <c r="C4" s="269" t="s">
        <v>862</v>
      </c>
      <c r="D4" s="269" t="s">
        <v>2040</v>
      </c>
      <c r="E4" s="269" t="s">
        <v>2041</v>
      </c>
      <c r="F4" s="270" t="s">
        <v>2042</v>
      </c>
      <c r="G4" s="278" t="s">
        <v>2043</v>
      </c>
      <c r="H4" s="279" t="s">
        <v>2044</v>
      </c>
      <c r="I4" s="273"/>
      <c r="J4" s="274"/>
      <c r="K4" s="275"/>
      <c r="L4" s="280" t="s">
        <v>2009</v>
      </c>
      <c r="M4" s="280" t="s">
        <v>2045</v>
      </c>
      <c r="N4" s="280" t="s">
        <v>2046</v>
      </c>
      <c r="O4" s="280" t="s">
        <v>2047</v>
      </c>
      <c r="P4" s="280" t="s">
        <v>2048</v>
      </c>
      <c r="Q4" s="281"/>
      <c r="AQ4" s="261"/>
    </row>
    <row r="5" customFormat="false" ht="34.5" hidden="false" customHeight="true" outlineLevel="0" collapsed="false">
      <c r="A5" s="282" t="s">
        <v>862</v>
      </c>
      <c r="B5" s="283" t="n">
        <v>1</v>
      </c>
      <c r="C5" s="283" t="n">
        <v>1</v>
      </c>
      <c r="D5" s="283" t="n">
        <v>1</v>
      </c>
      <c r="E5" s="284" t="n">
        <f aca="false">SUM(B5:D5)</f>
        <v>3</v>
      </c>
      <c r="F5" s="285" t="n">
        <f aca="false">E5*3</f>
        <v>9</v>
      </c>
      <c r="G5" s="286" t="n">
        <f aca="false">F5/16</f>
        <v>0.5625</v>
      </c>
      <c r="H5" s="287" t="s">
        <v>2049</v>
      </c>
      <c r="I5" s="288" t="n">
        <f aca="false">E5*J5</f>
        <v>99</v>
      </c>
      <c r="J5" s="289" t="n">
        <v>33</v>
      </c>
      <c r="K5" s="275"/>
      <c r="L5" s="290" t="s">
        <v>862</v>
      </c>
      <c r="M5" s="291"/>
      <c r="N5" s="291"/>
      <c r="O5" s="291"/>
      <c r="P5" s="292" t="str">
        <f aca="false">_xlfn.CONCAT(E5," btls")</f>
        <v>3 btls</v>
      </c>
      <c r="Q5" s="293"/>
      <c r="AQ5" s="261"/>
    </row>
    <row r="6" customFormat="false" ht="34.5" hidden="false" customHeight="true" outlineLevel="0" collapsed="false">
      <c r="A6" s="282" t="s">
        <v>2050</v>
      </c>
      <c r="B6" s="294" t="n">
        <v>1</v>
      </c>
      <c r="C6" s="294" t="n">
        <v>1</v>
      </c>
      <c r="D6" s="283" t="n">
        <v>1</v>
      </c>
      <c r="E6" s="284" t="n">
        <f aca="false">SUM(B6:D6)</f>
        <v>3</v>
      </c>
      <c r="F6" s="285" t="n">
        <f aca="false">E6*3</f>
        <v>9</v>
      </c>
      <c r="G6" s="295" t="n">
        <f aca="false">F6/16</f>
        <v>0.5625</v>
      </c>
      <c r="H6" s="287" t="s">
        <v>2049</v>
      </c>
      <c r="I6" s="289" t="n">
        <f aca="false">E6*J6</f>
        <v>96</v>
      </c>
      <c r="J6" s="289" t="n">
        <v>32</v>
      </c>
      <c r="K6" s="275"/>
      <c r="L6" s="290" t="s">
        <v>544</v>
      </c>
      <c r="M6" s="229"/>
      <c r="N6" s="229"/>
      <c r="O6" s="229"/>
      <c r="P6" s="292" t="str">
        <f aca="false">_xlfn.CONCAT(E6," btls")</f>
        <v>3 btls</v>
      </c>
      <c r="AQ6" s="261"/>
    </row>
    <row r="7" customFormat="false" ht="34.5" hidden="false" customHeight="true" outlineLevel="0" collapsed="false">
      <c r="A7" s="282" t="s">
        <v>2051</v>
      </c>
      <c r="B7" s="294" t="n">
        <v>1</v>
      </c>
      <c r="C7" s="294" t="n">
        <v>1</v>
      </c>
      <c r="D7" s="283" t="n">
        <v>1</v>
      </c>
      <c r="E7" s="284" t="n">
        <f aca="false">SUM(B7:D7)</f>
        <v>3</v>
      </c>
      <c r="F7" s="285" t="n">
        <f aca="false">E7*3</f>
        <v>9</v>
      </c>
      <c r="G7" s="295" t="n">
        <f aca="false">F7/16</f>
        <v>0.5625</v>
      </c>
      <c r="H7" s="287" t="s">
        <v>2049</v>
      </c>
      <c r="I7" s="289" t="n">
        <f aca="false">E7*J7</f>
        <v>81</v>
      </c>
      <c r="J7" s="289" t="n">
        <v>27</v>
      </c>
      <c r="K7" s="275"/>
      <c r="L7" s="290" t="s">
        <v>886</v>
      </c>
      <c r="M7" s="229"/>
      <c r="N7" s="229"/>
      <c r="O7" s="229"/>
      <c r="P7" s="292" t="str">
        <f aca="false">_xlfn.CONCAT(E7," btls")</f>
        <v>3 btls</v>
      </c>
      <c r="AQ7" s="296"/>
    </row>
    <row r="8" customFormat="false" ht="34.5" hidden="false" customHeight="true" outlineLevel="0" collapsed="false">
      <c r="A8" s="297" t="n">
        <v>206</v>
      </c>
      <c r="B8" s="294" t="n">
        <v>1</v>
      </c>
      <c r="C8" s="294" t="n">
        <v>1</v>
      </c>
      <c r="D8" s="283" t="n">
        <v>1</v>
      </c>
      <c r="E8" s="284" t="n">
        <f aca="false">SUM(B8:D8)</f>
        <v>3</v>
      </c>
      <c r="F8" s="285" t="n">
        <f aca="false">E8*3</f>
        <v>9</v>
      </c>
      <c r="G8" s="295" t="n">
        <f aca="false">F8/16</f>
        <v>0.5625</v>
      </c>
      <c r="H8" s="287" t="s">
        <v>2049</v>
      </c>
      <c r="I8" s="289" t="n">
        <f aca="false">E8*J8</f>
        <v>81</v>
      </c>
      <c r="J8" s="289" t="n">
        <v>27</v>
      </c>
      <c r="K8" s="275"/>
      <c r="L8" s="298" t="n">
        <v>206</v>
      </c>
      <c r="M8" s="229"/>
      <c r="N8" s="229"/>
      <c r="O8" s="229"/>
      <c r="P8" s="292" t="str">
        <f aca="false">_xlfn.CONCAT(E8," btls")</f>
        <v>3 btls</v>
      </c>
      <c r="AQ8" s="296"/>
    </row>
    <row r="9" customFormat="false" ht="34.5" hidden="false" customHeight="true" outlineLevel="0" collapsed="false">
      <c r="A9" s="297" t="n">
        <v>303</v>
      </c>
      <c r="B9" s="294" t="n">
        <v>1</v>
      </c>
      <c r="C9" s="294" t="n">
        <v>2</v>
      </c>
      <c r="D9" s="283" t="n">
        <v>1</v>
      </c>
      <c r="E9" s="284" t="n">
        <f aca="false">SUM(B9:D9)</f>
        <v>4</v>
      </c>
      <c r="F9" s="285" t="n">
        <f aca="false">E9*3</f>
        <v>12</v>
      </c>
      <c r="G9" s="295" t="n">
        <f aca="false">F9/16</f>
        <v>0.75</v>
      </c>
      <c r="H9" s="287" t="s">
        <v>2052</v>
      </c>
      <c r="I9" s="289" t="n">
        <f aca="false">E9*J9</f>
        <v>116</v>
      </c>
      <c r="J9" s="289" t="n">
        <v>29</v>
      </c>
      <c r="K9" s="275"/>
      <c r="L9" s="298" t="n">
        <v>303</v>
      </c>
      <c r="M9" s="229"/>
      <c r="N9" s="229"/>
      <c r="O9" s="229"/>
      <c r="P9" s="292" t="str">
        <f aca="false">_xlfn.CONCAT(E9," btls")</f>
        <v>4 btls</v>
      </c>
      <c r="AQ9" s="296"/>
    </row>
    <row r="10" customFormat="false" ht="34.5" hidden="false" customHeight="true" outlineLevel="0" collapsed="false">
      <c r="A10" s="297" t="n">
        <v>304</v>
      </c>
      <c r="B10" s="294" t="n">
        <v>1</v>
      </c>
      <c r="C10" s="294" t="n">
        <v>1</v>
      </c>
      <c r="D10" s="283" t="n">
        <v>1</v>
      </c>
      <c r="E10" s="284" t="n">
        <f aca="false">SUM(B10:D10)</f>
        <v>3</v>
      </c>
      <c r="F10" s="285" t="n">
        <f aca="false">E10*3</f>
        <v>9</v>
      </c>
      <c r="G10" s="295" t="n">
        <f aca="false">F10/16</f>
        <v>0.5625</v>
      </c>
      <c r="H10" s="287" t="s">
        <v>2049</v>
      </c>
      <c r="I10" s="289" t="n">
        <f aca="false">E10*J10</f>
        <v>84</v>
      </c>
      <c r="J10" s="289" t="n">
        <v>28</v>
      </c>
      <c r="K10" s="275"/>
      <c r="L10" s="298" t="n">
        <v>304</v>
      </c>
      <c r="M10" s="229"/>
      <c r="N10" s="229"/>
      <c r="O10" s="229"/>
      <c r="P10" s="292" t="str">
        <f aca="false">_xlfn.CONCAT(E10," btls")</f>
        <v>3 btls</v>
      </c>
      <c r="AQ10" s="261"/>
    </row>
    <row r="11" customFormat="false" ht="34.5" hidden="false" customHeight="true" outlineLevel="0" collapsed="false">
      <c r="A11" s="282" t="s">
        <v>2014</v>
      </c>
      <c r="B11" s="294" t="n">
        <v>1</v>
      </c>
      <c r="C11" s="294" t="n">
        <v>1</v>
      </c>
      <c r="D11" s="283" t="n">
        <v>1</v>
      </c>
      <c r="E11" s="284" t="n">
        <f aca="false">SUM(B11:D11)</f>
        <v>3</v>
      </c>
      <c r="F11" s="285" t="n">
        <f aca="false">E11*3</f>
        <v>9</v>
      </c>
      <c r="G11" s="295" t="n">
        <f aca="false">F11/16</f>
        <v>0.5625</v>
      </c>
      <c r="H11" s="287" t="s">
        <v>2049</v>
      </c>
      <c r="I11" s="289" t="n">
        <f aca="false">E11*J11</f>
        <v>39</v>
      </c>
      <c r="J11" s="289" t="n">
        <v>13</v>
      </c>
      <c r="K11" s="275"/>
      <c r="L11" s="290" t="s">
        <v>2014</v>
      </c>
      <c r="M11" s="229"/>
      <c r="N11" s="229"/>
      <c r="O11" s="229"/>
      <c r="P11" s="292" t="str">
        <f aca="false">_xlfn.CONCAT(E11," btls")</f>
        <v>3 btls</v>
      </c>
      <c r="AQ11" s="261"/>
    </row>
    <row r="12" customFormat="false" ht="34.5" hidden="false" customHeight="true" outlineLevel="0" collapsed="false">
      <c r="A12" s="282" t="s">
        <v>2016</v>
      </c>
      <c r="B12" s="294" t="n">
        <v>1</v>
      </c>
      <c r="C12" s="294" t="n">
        <v>1</v>
      </c>
      <c r="D12" s="283" t="n">
        <v>1</v>
      </c>
      <c r="E12" s="284" t="n">
        <f aca="false">SUM(B12:D12)</f>
        <v>3</v>
      </c>
      <c r="F12" s="285" t="n">
        <f aca="false">E12*3</f>
        <v>9</v>
      </c>
      <c r="G12" s="295" t="n">
        <f aca="false">F12/16</f>
        <v>0.5625</v>
      </c>
      <c r="H12" s="287" t="s">
        <v>2049</v>
      </c>
      <c r="I12" s="289" t="n">
        <f aca="false">E12*J12</f>
        <v>42</v>
      </c>
      <c r="J12" s="289" t="n">
        <v>14</v>
      </c>
      <c r="K12" s="275"/>
      <c r="L12" s="290" t="s">
        <v>2016</v>
      </c>
      <c r="M12" s="229"/>
      <c r="N12" s="229"/>
      <c r="O12" s="229"/>
      <c r="P12" s="292" t="str">
        <f aca="false">_xlfn.CONCAT(E12," btls")</f>
        <v>3 btls</v>
      </c>
      <c r="AQ12" s="261"/>
    </row>
    <row r="13" customFormat="false" ht="34.5" hidden="false" customHeight="true" outlineLevel="0" collapsed="false">
      <c r="A13" s="299" t="s">
        <v>584</v>
      </c>
      <c r="B13" s="294" t="n">
        <v>1</v>
      </c>
      <c r="C13" s="294" t="n">
        <v>2</v>
      </c>
      <c r="D13" s="283" t="n">
        <v>1</v>
      </c>
      <c r="E13" s="284" t="n">
        <f aca="false">SUM(B13:D13)</f>
        <v>4</v>
      </c>
      <c r="F13" s="285" t="n">
        <f aca="false">E13*3</f>
        <v>12</v>
      </c>
      <c r="G13" s="295" t="n">
        <f aca="false">F13/16</f>
        <v>0.75</v>
      </c>
      <c r="H13" s="287" t="s">
        <v>2052</v>
      </c>
      <c r="I13" s="289" t="n">
        <f aca="false">E13*J13</f>
        <v>124</v>
      </c>
      <c r="J13" s="289" t="n">
        <v>31</v>
      </c>
      <c r="K13" s="275"/>
      <c r="L13" s="300" t="s">
        <v>584</v>
      </c>
      <c r="M13" s="229"/>
      <c r="N13" s="229"/>
      <c r="O13" s="229"/>
      <c r="P13" s="292" t="str">
        <f aca="false">_xlfn.CONCAT(E13," btls")</f>
        <v>4 btls</v>
      </c>
      <c r="AQ13" s="261"/>
    </row>
    <row r="14" customFormat="false" ht="34.5" hidden="false" customHeight="true" outlineLevel="0" collapsed="false">
      <c r="A14" s="301" t="s">
        <v>616</v>
      </c>
      <c r="B14" s="294" t="n">
        <v>1</v>
      </c>
      <c r="C14" s="294" t="n">
        <v>3</v>
      </c>
      <c r="D14" s="283" t="n">
        <v>1</v>
      </c>
      <c r="E14" s="284" t="n">
        <f aca="false">SUM(B14:D14)</f>
        <v>5</v>
      </c>
      <c r="F14" s="285" t="n">
        <f aca="false">E14*3</f>
        <v>15</v>
      </c>
      <c r="G14" s="295" t="n">
        <f aca="false">F14/16</f>
        <v>0.9375</v>
      </c>
      <c r="H14" s="287" t="s">
        <v>2053</v>
      </c>
      <c r="I14" s="289" t="n">
        <f aca="false">E14*J14</f>
        <v>145</v>
      </c>
      <c r="J14" s="289" t="n">
        <v>29</v>
      </c>
      <c r="K14" s="275"/>
      <c r="L14" s="302" t="s">
        <v>616</v>
      </c>
      <c r="M14" s="229"/>
      <c r="N14" s="229"/>
      <c r="O14" s="229"/>
      <c r="P14" s="292" t="str">
        <f aca="false">_xlfn.CONCAT(E14," btls")</f>
        <v>5 btls</v>
      </c>
      <c r="AQ14" s="261"/>
    </row>
    <row r="15" customFormat="false" ht="34.5" hidden="false" customHeight="true" outlineLevel="0" collapsed="false">
      <c r="A15" s="299" t="s">
        <v>2024</v>
      </c>
      <c r="B15" s="294" t="n">
        <v>1</v>
      </c>
      <c r="C15" s="294" t="n">
        <v>2</v>
      </c>
      <c r="D15" s="283" t="n">
        <v>1</v>
      </c>
      <c r="E15" s="284" t="n">
        <f aca="false">SUM(B15:D15)</f>
        <v>4</v>
      </c>
      <c r="F15" s="285" t="n">
        <f aca="false">E15*3</f>
        <v>12</v>
      </c>
      <c r="G15" s="295" t="n">
        <f aca="false">F15/16</f>
        <v>0.75</v>
      </c>
      <c r="H15" s="287" t="s">
        <v>2052</v>
      </c>
      <c r="I15" s="289" t="n">
        <f aca="false">E15*J15</f>
        <v>128</v>
      </c>
      <c r="J15" s="289" t="n">
        <v>32</v>
      </c>
      <c r="K15" s="275"/>
      <c r="L15" s="300" t="s">
        <v>2024</v>
      </c>
      <c r="M15" s="229"/>
      <c r="N15" s="229"/>
      <c r="O15" s="229"/>
      <c r="P15" s="292" t="str">
        <f aca="false">_xlfn.CONCAT(E15," btls")</f>
        <v>4 btls</v>
      </c>
      <c r="AQ15" s="261"/>
    </row>
    <row r="16" customFormat="false" ht="34.5" hidden="false" customHeight="true" outlineLevel="0" collapsed="false">
      <c r="A16" s="282" t="s">
        <v>633</v>
      </c>
      <c r="B16" s="294" t="n">
        <v>1</v>
      </c>
      <c r="C16" s="294" t="n">
        <v>3</v>
      </c>
      <c r="D16" s="283" t="n">
        <v>1</v>
      </c>
      <c r="E16" s="284" t="n">
        <f aca="false">SUM(B16:D16)</f>
        <v>5</v>
      </c>
      <c r="F16" s="285" t="n">
        <f aca="false">E16*3</f>
        <v>15</v>
      </c>
      <c r="G16" s="295" t="n">
        <f aca="false">F16/16</f>
        <v>0.9375</v>
      </c>
      <c r="H16" s="287" t="s">
        <v>2053</v>
      </c>
      <c r="I16" s="289" t="n">
        <f aca="false">E16*J16</f>
        <v>190</v>
      </c>
      <c r="J16" s="289" t="n">
        <v>38</v>
      </c>
      <c r="K16" s="275"/>
      <c r="L16" s="290" t="s">
        <v>633</v>
      </c>
      <c r="M16" s="229"/>
      <c r="N16" s="229"/>
      <c r="O16" s="229"/>
      <c r="P16" s="292" t="str">
        <f aca="false">_xlfn.CONCAT(E16," btls")</f>
        <v>5 btls</v>
      </c>
      <c r="AQ16" s="261"/>
    </row>
    <row r="17" customFormat="false" ht="34.5" hidden="false" customHeight="true" outlineLevel="0" collapsed="false">
      <c r="A17" s="303" t="s">
        <v>864</v>
      </c>
      <c r="B17" s="294" t="n">
        <v>1</v>
      </c>
      <c r="C17" s="294" t="n">
        <v>2</v>
      </c>
      <c r="D17" s="283" t="n">
        <v>1</v>
      </c>
      <c r="E17" s="284" t="n">
        <f aca="false">SUM(B17:D17)</f>
        <v>4</v>
      </c>
      <c r="F17" s="285" t="n">
        <f aca="false">E17*3</f>
        <v>12</v>
      </c>
      <c r="G17" s="295" t="n">
        <f aca="false">F17/16</f>
        <v>0.75</v>
      </c>
      <c r="H17" s="287" t="s">
        <v>2052</v>
      </c>
      <c r="I17" s="289" t="n">
        <f aca="false">E17*J17</f>
        <v>164</v>
      </c>
      <c r="J17" s="289" t="n">
        <v>41</v>
      </c>
      <c r="K17" s="275"/>
      <c r="L17" s="304" t="s">
        <v>864</v>
      </c>
      <c r="M17" s="229"/>
      <c r="N17" s="229"/>
      <c r="O17" s="229"/>
      <c r="P17" s="292" t="str">
        <f aca="false">_xlfn.CONCAT(E17," btls")</f>
        <v>4 btls</v>
      </c>
      <c r="AQ17" s="261"/>
    </row>
    <row r="18" customFormat="false" ht="34.5" hidden="false" customHeight="true" outlineLevel="0" collapsed="false">
      <c r="A18" s="303" t="s">
        <v>560</v>
      </c>
      <c r="B18" s="294" t="n">
        <v>1</v>
      </c>
      <c r="C18" s="294" t="n">
        <v>2</v>
      </c>
      <c r="D18" s="283" t="n">
        <v>1</v>
      </c>
      <c r="E18" s="284" t="n">
        <f aca="false">SUM(B18:D18)</f>
        <v>4</v>
      </c>
      <c r="F18" s="285" t="n">
        <f aca="false">E18*3</f>
        <v>12</v>
      </c>
      <c r="G18" s="295" t="n">
        <f aca="false">F18/16</f>
        <v>0.75</v>
      </c>
      <c r="H18" s="287" t="s">
        <v>2052</v>
      </c>
      <c r="I18" s="289" t="n">
        <f aca="false">E18*J18</f>
        <v>164</v>
      </c>
      <c r="J18" s="289" t="n">
        <v>41</v>
      </c>
      <c r="K18" s="275"/>
      <c r="L18" s="304" t="s">
        <v>560</v>
      </c>
      <c r="M18" s="229"/>
      <c r="N18" s="229"/>
      <c r="O18" s="229"/>
      <c r="P18" s="292" t="str">
        <f aca="false">_xlfn.CONCAT(E18," btls")</f>
        <v>4 btls</v>
      </c>
      <c r="AQ18" s="261"/>
    </row>
    <row r="19" customFormat="false" ht="34.5" hidden="false" customHeight="true" outlineLevel="0" collapsed="false">
      <c r="A19" s="303" t="s">
        <v>632</v>
      </c>
      <c r="B19" s="294" t="n">
        <v>1</v>
      </c>
      <c r="C19" s="294" t="n">
        <v>2</v>
      </c>
      <c r="D19" s="283" t="n">
        <v>1</v>
      </c>
      <c r="E19" s="284" t="n">
        <f aca="false">SUM(B19:D19)</f>
        <v>4</v>
      </c>
      <c r="F19" s="285" t="n">
        <f aca="false">E19*3</f>
        <v>12</v>
      </c>
      <c r="G19" s="295" t="n">
        <f aca="false">F19/16</f>
        <v>0.75</v>
      </c>
      <c r="H19" s="287" t="s">
        <v>2052</v>
      </c>
      <c r="I19" s="289" t="n">
        <f aca="false">E19*J19</f>
        <v>160</v>
      </c>
      <c r="J19" s="289" t="n">
        <v>40</v>
      </c>
      <c r="K19" s="275"/>
      <c r="L19" s="304" t="s">
        <v>632</v>
      </c>
      <c r="M19" s="229"/>
      <c r="N19" s="229"/>
      <c r="O19" s="229"/>
      <c r="P19" s="292" t="str">
        <f aca="false">_xlfn.CONCAT(E19," btls")</f>
        <v>4 btls</v>
      </c>
      <c r="AQ19" s="261"/>
    </row>
    <row r="20" customFormat="false" ht="34.5" hidden="false" customHeight="true" outlineLevel="0" collapsed="false">
      <c r="A20" s="303" t="s">
        <v>2054</v>
      </c>
      <c r="B20" s="294" t="n">
        <v>1</v>
      </c>
      <c r="C20" s="294" t="n">
        <v>1</v>
      </c>
      <c r="D20" s="283" t="n">
        <v>1</v>
      </c>
      <c r="E20" s="284" t="n">
        <f aca="false">SUM(B20:D20)</f>
        <v>3</v>
      </c>
      <c r="F20" s="285" t="n">
        <f aca="false">E20*3</f>
        <v>9</v>
      </c>
      <c r="G20" s="295" t="n">
        <f aca="false">F20/16</f>
        <v>0.5625</v>
      </c>
      <c r="H20" s="287" t="s">
        <v>2049</v>
      </c>
      <c r="I20" s="289" t="n">
        <f aca="false">E20*J20</f>
        <v>102</v>
      </c>
      <c r="J20" s="289" t="n">
        <v>34</v>
      </c>
      <c r="K20" s="275"/>
      <c r="L20" s="304" t="s">
        <v>2054</v>
      </c>
      <c r="M20" s="229"/>
      <c r="N20" s="229"/>
      <c r="O20" s="229"/>
      <c r="P20" s="292" t="str">
        <f aca="false">_xlfn.CONCAT(E20," btls")</f>
        <v>3 btls</v>
      </c>
      <c r="AQ20" s="261"/>
    </row>
    <row r="21" customFormat="false" ht="34.5" hidden="false" customHeight="true" outlineLevel="0" collapsed="false">
      <c r="A21" s="303" t="s">
        <v>874</v>
      </c>
      <c r="B21" s="294" t="n">
        <v>1</v>
      </c>
      <c r="C21" s="294" t="n">
        <v>2</v>
      </c>
      <c r="D21" s="283" t="n">
        <v>1</v>
      </c>
      <c r="E21" s="284" t="n">
        <f aca="false">SUM(B21:D21)</f>
        <v>4</v>
      </c>
      <c r="F21" s="285" t="n">
        <f aca="false">E21*3</f>
        <v>12</v>
      </c>
      <c r="G21" s="295" t="n">
        <f aca="false">F21/16</f>
        <v>0.75</v>
      </c>
      <c r="H21" s="287" t="s">
        <v>2052</v>
      </c>
      <c r="I21" s="289" t="n">
        <f aca="false">E21*J21</f>
        <v>140</v>
      </c>
      <c r="J21" s="289" t="n">
        <v>35</v>
      </c>
      <c r="K21" s="275"/>
      <c r="L21" s="304" t="s">
        <v>874</v>
      </c>
      <c r="M21" s="229"/>
      <c r="N21" s="229"/>
      <c r="O21" s="229"/>
      <c r="P21" s="292" t="str">
        <f aca="false">_xlfn.CONCAT(E21," btls")</f>
        <v>4 btls</v>
      </c>
      <c r="AQ21" s="261"/>
    </row>
    <row r="22" customFormat="false" ht="34.5" hidden="false" customHeight="true" outlineLevel="0" collapsed="false">
      <c r="A22" s="303" t="s">
        <v>863</v>
      </c>
      <c r="B22" s="294" t="n">
        <v>1</v>
      </c>
      <c r="C22" s="294" t="n">
        <v>2</v>
      </c>
      <c r="D22" s="283" t="n">
        <v>1</v>
      </c>
      <c r="E22" s="284" t="n">
        <f aca="false">SUM(B22:D22)</f>
        <v>4</v>
      </c>
      <c r="F22" s="285" t="n">
        <f aca="false">E22*3</f>
        <v>12</v>
      </c>
      <c r="G22" s="295" t="n">
        <f aca="false">F22/16</f>
        <v>0.75</v>
      </c>
      <c r="H22" s="287" t="s">
        <v>2052</v>
      </c>
      <c r="I22" s="289" t="n">
        <f aca="false">E22*J22</f>
        <v>152</v>
      </c>
      <c r="J22" s="289" t="n">
        <v>38</v>
      </c>
      <c r="K22" s="275"/>
      <c r="L22" s="304" t="s">
        <v>863</v>
      </c>
      <c r="M22" s="287"/>
      <c r="N22" s="229"/>
      <c r="O22" s="229"/>
      <c r="P22" s="292" t="str">
        <f aca="false">_xlfn.CONCAT(E22," btls")</f>
        <v>4 btls</v>
      </c>
      <c r="AQ22" s="261"/>
    </row>
    <row r="23" customFormat="false" ht="34.5" hidden="false" customHeight="true" outlineLevel="0" collapsed="false">
      <c r="A23" s="303" t="s">
        <v>781</v>
      </c>
      <c r="B23" s="294" t="n">
        <v>1</v>
      </c>
      <c r="C23" s="294" t="n">
        <v>2</v>
      </c>
      <c r="D23" s="283" t="n">
        <v>1</v>
      </c>
      <c r="E23" s="284" t="n">
        <f aca="false">SUM(B23:D23)</f>
        <v>4</v>
      </c>
      <c r="F23" s="285" t="n">
        <f aca="false">E23*3</f>
        <v>12</v>
      </c>
      <c r="G23" s="295" t="n">
        <f aca="false">F23/16</f>
        <v>0.75</v>
      </c>
      <c r="H23" s="287" t="s">
        <v>2052</v>
      </c>
      <c r="I23" s="289" t="n">
        <f aca="false">E23*J23</f>
        <v>132</v>
      </c>
      <c r="J23" s="289" t="n">
        <v>33</v>
      </c>
      <c r="K23" s="275"/>
      <c r="L23" s="304" t="s">
        <v>781</v>
      </c>
      <c r="M23" s="305"/>
      <c r="N23" s="229"/>
      <c r="O23" s="229"/>
      <c r="P23" s="292" t="str">
        <f aca="false">_xlfn.CONCAT(E23," btls")</f>
        <v>4 btls</v>
      </c>
      <c r="AQ23" s="261"/>
    </row>
    <row r="24" customFormat="false" ht="34.5" hidden="false" customHeight="true" outlineLevel="0" collapsed="false">
      <c r="A24" s="303" t="s">
        <v>2020</v>
      </c>
      <c r="B24" s="294" t="n">
        <v>1</v>
      </c>
      <c r="C24" s="294" t="n">
        <v>1</v>
      </c>
      <c r="D24" s="283" t="n">
        <v>1</v>
      </c>
      <c r="E24" s="284" t="n">
        <f aca="false">SUM(B24:D24)</f>
        <v>3</v>
      </c>
      <c r="F24" s="285" t="n">
        <f aca="false">E24*3</f>
        <v>9</v>
      </c>
      <c r="G24" s="295" t="n">
        <f aca="false">F24/16</f>
        <v>0.5625</v>
      </c>
      <c r="H24" s="287" t="s">
        <v>2049</v>
      </c>
      <c r="I24" s="289" t="n">
        <f aca="false">E24*J24</f>
        <v>87</v>
      </c>
      <c r="J24" s="289" t="n">
        <v>29</v>
      </c>
      <c r="K24" s="275"/>
      <c r="L24" s="304" t="s">
        <v>2020</v>
      </c>
      <c r="M24" s="305"/>
      <c r="N24" s="229"/>
      <c r="O24" s="229"/>
      <c r="P24" s="292" t="str">
        <f aca="false">_xlfn.CONCAT(E24," btls")</f>
        <v>3 btls</v>
      </c>
      <c r="AQ24" s="261"/>
    </row>
    <row r="25" customFormat="false" ht="34.5" hidden="false" customHeight="true" outlineLevel="0" collapsed="false">
      <c r="A25" s="303" t="s">
        <v>663</v>
      </c>
      <c r="B25" s="294" t="n">
        <v>1</v>
      </c>
      <c r="C25" s="294" t="n">
        <v>2</v>
      </c>
      <c r="D25" s="283" t="n">
        <v>1</v>
      </c>
      <c r="E25" s="284" t="n">
        <f aca="false">SUM(B25:D25)</f>
        <v>4</v>
      </c>
      <c r="F25" s="285" t="n">
        <f aca="false">E25*3</f>
        <v>12</v>
      </c>
      <c r="G25" s="295" t="n">
        <f aca="false">F25/16</f>
        <v>0.75</v>
      </c>
      <c r="H25" s="287" t="s">
        <v>2052</v>
      </c>
      <c r="I25" s="289" t="n">
        <f aca="false">E25*J25</f>
        <v>112</v>
      </c>
      <c r="J25" s="289" t="n">
        <v>28</v>
      </c>
      <c r="K25" s="275"/>
      <c r="L25" s="304" t="s">
        <v>663</v>
      </c>
      <c r="M25" s="287"/>
      <c r="N25" s="229"/>
      <c r="O25" s="229"/>
      <c r="P25" s="292" t="str">
        <f aca="false">_xlfn.CONCAT(E25," btls")</f>
        <v>4 btls</v>
      </c>
      <c r="AQ25" s="261"/>
    </row>
    <row r="26" customFormat="false" ht="34.5" hidden="false" customHeight="true" outlineLevel="0" collapsed="false">
      <c r="A26" s="299" t="s">
        <v>932</v>
      </c>
      <c r="B26" s="294" t="n">
        <v>1</v>
      </c>
      <c r="C26" s="294" t="n">
        <v>1</v>
      </c>
      <c r="D26" s="283" t="n">
        <v>1</v>
      </c>
      <c r="E26" s="284" t="n">
        <f aca="false">SUM(B26:D26)</f>
        <v>3</v>
      </c>
      <c r="F26" s="285" t="n">
        <f aca="false">E26*3</f>
        <v>9</v>
      </c>
      <c r="G26" s="295" t="n">
        <f aca="false">F26/16</f>
        <v>0.5625</v>
      </c>
      <c r="H26" s="287" t="s">
        <v>2049</v>
      </c>
      <c r="I26" s="289" t="n">
        <f aca="false">E26*J26</f>
        <v>81</v>
      </c>
      <c r="J26" s="289" t="n">
        <v>27</v>
      </c>
      <c r="K26" s="275"/>
      <c r="L26" s="300" t="s">
        <v>932</v>
      </c>
      <c r="M26" s="305"/>
      <c r="N26" s="229"/>
      <c r="O26" s="229"/>
      <c r="P26" s="292" t="str">
        <f aca="false">_xlfn.CONCAT(E26," btls")</f>
        <v>3 btls</v>
      </c>
      <c r="AQ26" s="261"/>
    </row>
    <row r="27" customFormat="false" ht="34.5" hidden="false" customHeight="true" outlineLevel="0" collapsed="false">
      <c r="A27" s="299" t="s">
        <v>2023</v>
      </c>
      <c r="B27" s="294" t="n">
        <v>1</v>
      </c>
      <c r="C27" s="294" t="n">
        <v>1</v>
      </c>
      <c r="D27" s="283" t="n">
        <v>1</v>
      </c>
      <c r="E27" s="284" t="n">
        <f aca="false">SUM(B27:D27)</f>
        <v>3</v>
      </c>
      <c r="F27" s="285" t="n">
        <f aca="false">E27*3</f>
        <v>9</v>
      </c>
      <c r="G27" s="295" t="n">
        <f aca="false">F27/16</f>
        <v>0.5625</v>
      </c>
      <c r="H27" s="287" t="s">
        <v>2049</v>
      </c>
      <c r="I27" s="289" t="n">
        <f aca="false">E27*J27</f>
        <v>84</v>
      </c>
      <c r="J27" s="289" t="n">
        <v>28</v>
      </c>
      <c r="K27" s="275"/>
      <c r="L27" s="300" t="s">
        <v>2023</v>
      </c>
      <c r="M27" s="305"/>
      <c r="N27" s="229"/>
      <c r="O27" s="229"/>
      <c r="P27" s="292" t="str">
        <f aca="false">_xlfn.CONCAT(E27," btls")</f>
        <v>3 btls</v>
      </c>
      <c r="AQ27" s="261"/>
    </row>
    <row r="28" customFormat="false" ht="30" hidden="false" customHeight="true" outlineLevel="0" collapsed="false">
      <c r="A28" s="306" t="s">
        <v>546</v>
      </c>
      <c r="B28" s="307" t="n">
        <v>2</v>
      </c>
      <c r="C28" s="229" t="n">
        <v>4</v>
      </c>
      <c r="D28" s="283" t="n">
        <v>3</v>
      </c>
      <c r="E28" s="284" t="n">
        <f aca="false">SUM(B28:D28)</f>
        <v>9</v>
      </c>
      <c r="F28" s="285" t="n">
        <f aca="false">E28*3</f>
        <v>27</v>
      </c>
      <c r="G28" s="286" t="n">
        <f aca="false">F28/16</f>
        <v>1.6875</v>
      </c>
      <c r="H28" s="287" t="s">
        <v>2055</v>
      </c>
      <c r="I28" s="289" t="n">
        <f aca="false">E28*J28</f>
        <v>369</v>
      </c>
      <c r="J28" s="289" t="n">
        <v>41</v>
      </c>
      <c r="L28" s="290" t="s">
        <v>546</v>
      </c>
      <c r="M28" s="205"/>
      <c r="N28" s="229"/>
      <c r="O28" s="229"/>
      <c r="P28" s="292" t="str">
        <f aca="false">_xlfn.CONCAT(E28," btls")</f>
        <v>9 btls</v>
      </c>
      <c r="Q28" s="308"/>
      <c r="R28" s="309"/>
      <c r="AS28" s="261"/>
    </row>
    <row r="29" customFormat="false" ht="30" hidden="false" customHeight="true" outlineLevel="0" collapsed="false">
      <c r="A29" s="306" t="s">
        <v>541</v>
      </c>
      <c r="B29" s="307" t="n">
        <v>2</v>
      </c>
      <c r="C29" s="229" t="n">
        <v>2</v>
      </c>
      <c r="D29" s="283" t="n">
        <v>2</v>
      </c>
      <c r="E29" s="284" t="n">
        <f aca="false">SUM(B29:D29)</f>
        <v>6</v>
      </c>
      <c r="F29" s="285" t="n">
        <f aca="false">E29*3</f>
        <v>18</v>
      </c>
      <c r="G29" s="286" t="n">
        <f aca="false">F29/16</f>
        <v>1.125</v>
      </c>
      <c r="H29" s="287" t="s">
        <v>2053</v>
      </c>
      <c r="I29" s="289" t="n">
        <f aca="false">E29*J29</f>
        <v>246</v>
      </c>
      <c r="J29" s="289" t="n">
        <v>41</v>
      </c>
      <c r="L29" s="290" t="s">
        <v>541</v>
      </c>
      <c r="M29" s="205"/>
      <c r="N29" s="229"/>
      <c r="O29" s="229"/>
      <c r="P29" s="292" t="str">
        <f aca="false">_xlfn.CONCAT(E29," btls")</f>
        <v>6 btls</v>
      </c>
      <c r="Q29" s="308"/>
      <c r="R29" s="309"/>
      <c r="AS29" s="261"/>
    </row>
    <row r="30" customFormat="false" ht="30" hidden="false" customHeight="true" outlineLevel="0" collapsed="false">
      <c r="A30" s="306" t="s">
        <v>770</v>
      </c>
      <c r="B30" s="307" t="n">
        <v>1</v>
      </c>
      <c r="C30" s="229" t="n">
        <v>2</v>
      </c>
      <c r="D30" s="283" t="n">
        <v>1</v>
      </c>
      <c r="E30" s="284" t="n">
        <f aca="false">SUM(B30:D30)</f>
        <v>4</v>
      </c>
      <c r="F30" s="285" t="n">
        <f aca="false">E30*3</f>
        <v>12</v>
      </c>
      <c r="G30" s="286" t="n">
        <f aca="false">F30/16</f>
        <v>0.75</v>
      </c>
      <c r="H30" s="287" t="s">
        <v>2052</v>
      </c>
      <c r="I30" s="289" t="n">
        <f aca="false">E30*J30</f>
        <v>152</v>
      </c>
      <c r="J30" s="289" t="n">
        <v>38</v>
      </c>
      <c r="L30" s="290" t="s">
        <v>770</v>
      </c>
      <c r="M30" s="205"/>
      <c r="N30" s="229"/>
      <c r="O30" s="229"/>
      <c r="P30" s="292" t="str">
        <f aca="false">_xlfn.CONCAT(E30," btls")</f>
        <v>4 btls</v>
      </c>
      <c r="Q30" s="308"/>
      <c r="R30" s="309"/>
      <c r="AS30" s="310"/>
    </row>
    <row r="31" customFormat="false" ht="30" hidden="false" customHeight="true" outlineLevel="0" collapsed="false">
      <c r="A31" s="306" t="s">
        <v>2026</v>
      </c>
      <c r="B31" s="307" t="n">
        <v>2</v>
      </c>
      <c r="C31" s="229" t="n">
        <v>4</v>
      </c>
      <c r="D31" s="283" t="n">
        <v>3</v>
      </c>
      <c r="E31" s="284" t="n">
        <f aca="false">SUM(B31:D31)</f>
        <v>9</v>
      </c>
      <c r="F31" s="285" t="n">
        <f aca="false">E31*3</f>
        <v>27</v>
      </c>
      <c r="G31" s="286" t="n">
        <f aca="false">F31/16</f>
        <v>1.6875</v>
      </c>
      <c r="H31" s="287" t="s">
        <v>2056</v>
      </c>
      <c r="I31" s="289" t="n">
        <f aca="false">E31*J31</f>
        <v>378</v>
      </c>
      <c r="J31" s="289" t="n">
        <v>42</v>
      </c>
      <c r="L31" s="290" t="s">
        <v>2026</v>
      </c>
      <c r="M31" s="308"/>
      <c r="N31" s="229"/>
      <c r="O31" s="229"/>
      <c r="P31" s="292" t="str">
        <f aca="false">_xlfn.CONCAT(E31," btls")</f>
        <v>9 btls</v>
      </c>
      <c r="Q31" s="308"/>
      <c r="R31" s="309"/>
      <c r="AS31" s="261"/>
    </row>
    <row r="32" s="323" customFormat="true" ht="34.5" hidden="false" customHeight="true" outlineLevel="0" collapsed="false">
      <c r="A32" s="311" t="s">
        <v>2057</v>
      </c>
      <c r="B32" s="311"/>
      <c r="C32" s="312"/>
      <c r="D32" s="312"/>
      <c r="E32" s="313" t="n">
        <v>11</v>
      </c>
      <c r="F32" s="314" t="n">
        <f aca="false">E32*3</f>
        <v>33</v>
      </c>
      <c r="G32" s="286" t="n">
        <f aca="false">F32/16</f>
        <v>2.0625</v>
      </c>
      <c r="H32" s="287" t="s">
        <v>2058</v>
      </c>
      <c r="I32" s="289" t="n">
        <f aca="false">14*F32</f>
        <v>462</v>
      </c>
      <c r="J32" s="315" t="n">
        <v>42</v>
      </c>
      <c r="K32" s="316"/>
      <c r="L32" s="317" t="s">
        <v>2059</v>
      </c>
      <c r="M32" s="318"/>
      <c r="N32" s="319"/>
      <c r="O32" s="319"/>
      <c r="P32" s="292" t="str">
        <f aca="false">_xlfn.CONCAT(E32," btls")</f>
        <v>11 btls</v>
      </c>
      <c r="Q32" s="320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1"/>
      <c r="AC32" s="321"/>
      <c r="AD32" s="321"/>
      <c r="AE32" s="321"/>
      <c r="AF32" s="321"/>
      <c r="AG32" s="321"/>
      <c r="AH32" s="321"/>
      <c r="AI32" s="321"/>
      <c r="AJ32" s="321"/>
      <c r="AK32" s="321"/>
      <c r="AL32" s="321"/>
      <c r="AM32" s="321"/>
      <c r="AN32" s="321"/>
      <c r="AO32" s="321"/>
      <c r="AP32" s="321"/>
      <c r="AQ32" s="322"/>
      <c r="AR32" s="321"/>
      <c r="AS32" s="321"/>
      <c r="AT32" s="321"/>
      <c r="AU32" s="321"/>
      <c r="AV32" s="321"/>
      <c r="AW32" s="321"/>
      <c r="AX32" s="321"/>
      <c r="AY32" s="321"/>
      <c r="AZ32" s="321"/>
      <c r="BA32" s="321"/>
      <c r="BB32" s="321"/>
      <c r="BC32" s="321"/>
      <c r="BD32" s="321"/>
    </row>
    <row r="33" s="323" customFormat="true" ht="34.5" hidden="false" customHeight="true" outlineLevel="0" collapsed="false">
      <c r="A33" s="311" t="s">
        <v>2060</v>
      </c>
      <c r="B33" s="311"/>
      <c r="C33" s="312"/>
      <c r="D33" s="312"/>
      <c r="E33" s="313" t="n">
        <v>38</v>
      </c>
      <c r="F33" s="314" t="n">
        <f aca="false">E33*3</f>
        <v>114</v>
      </c>
      <c r="G33" s="286" t="n">
        <f aca="false">F33/16</f>
        <v>7.125</v>
      </c>
      <c r="H33" s="287" t="s">
        <v>2061</v>
      </c>
      <c r="I33" s="289" t="n">
        <f aca="false">14*F33</f>
        <v>1596</v>
      </c>
      <c r="J33" s="315" t="n">
        <v>42</v>
      </c>
      <c r="K33" s="316"/>
      <c r="L33" s="317" t="s">
        <v>2060</v>
      </c>
      <c r="M33" s="318"/>
      <c r="N33" s="319"/>
      <c r="O33" s="319"/>
      <c r="P33" s="292" t="str">
        <f aca="false">_xlfn.CONCAT(E33," btls")</f>
        <v>38 btls</v>
      </c>
      <c r="Q33" s="222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1"/>
      <c r="AC33" s="321"/>
      <c r="AD33" s="321"/>
      <c r="AE33" s="321"/>
      <c r="AF33" s="321"/>
      <c r="AG33" s="321"/>
      <c r="AH33" s="321"/>
      <c r="AI33" s="321"/>
      <c r="AJ33" s="321"/>
      <c r="AK33" s="321"/>
      <c r="AL33" s="321"/>
      <c r="AM33" s="321"/>
      <c r="AN33" s="321"/>
      <c r="AO33" s="321"/>
      <c r="AP33" s="321"/>
      <c r="AQ33" s="322"/>
      <c r="AR33" s="321"/>
      <c r="AS33" s="321"/>
      <c r="AT33" s="321"/>
      <c r="AU33" s="321"/>
      <c r="AV33" s="321"/>
      <c r="AW33" s="321"/>
      <c r="AX33" s="321"/>
      <c r="AY33" s="321"/>
      <c r="AZ33" s="321"/>
      <c r="BA33" s="321"/>
      <c r="BB33" s="321"/>
      <c r="BC33" s="321"/>
      <c r="BD33" s="321"/>
    </row>
    <row r="34" s="323" customFormat="true" ht="34.5" hidden="false" customHeight="true" outlineLevel="0" collapsed="false">
      <c r="A34" s="311" t="s">
        <v>2062</v>
      </c>
      <c r="B34" s="311"/>
      <c r="C34" s="312"/>
      <c r="D34" s="312"/>
      <c r="E34" s="313" t="n">
        <v>21</v>
      </c>
      <c r="F34" s="314" t="n">
        <f aca="false">E34*3</f>
        <v>63</v>
      </c>
      <c r="G34" s="286" t="n">
        <f aca="false">F34/16</f>
        <v>3.9375</v>
      </c>
      <c r="H34" s="287" t="s">
        <v>2063</v>
      </c>
      <c r="I34" s="289" t="n">
        <f aca="false">14*F34</f>
        <v>882</v>
      </c>
      <c r="J34" s="315" t="n">
        <v>42</v>
      </c>
      <c r="K34" s="316"/>
      <c r="L34" s="317" t="s">
        <v>2062</v>
      </c>
      <c r="M34" s="318"/>
      <c r="N34" s="319"/>
      <c r="O34" s="319"/>
      <c r="P34" s="292" t="str">
        <f aca="false">_xlfn.CONCAT(E34," btls")</f>
        <v>21 btls</v>
      </c>
      <c r="Q34" s="222"/>
      <c r="R34" s="321"/>
      <c r="S34" s="321"/>
      <c r="T34" s="321"/>
      <c r="U34" s="321"/>
      <c r="V34" s="321"/>
      <c r="W34" s="321"/>
      <c r="X34" s="321"/>
      <c r="Y34" s="321"/>
      <c r="Z34" s="321"/>
      <c r="AA34" s="321"/>
      <c r="AB34" s="321"/>
      <c r="AC34" s="321"/>
      <c r="AD34" s="321"/>
      <c r="AE34" s="321"/>
      <c r="AF34" s="321"/>
      <c r="AG34" s="321"/>
      <c r="AH34" s="321"/>
      <c r="AI34" s="321"/>
      <c r="AJ34" s="321"/>
      <c r="AK34" s="321"/>
      <c r="AL34" s="321"/>
      <c r="AM34" s="321"/>
      <c r="AN34" s="321"/>
      <c r="AO34" s="321"/>
      <c r="AP34" s="321"/>
      <c r="AQ34" s="322"/>
      <c r="AR34" s="321"/>
      <c r="AS34" s="321"/>
      <c r="AT34" s="321"/>
      <c r="AU34" s="321"/>
      <c r="AV34" s="321"/>
      <c r="AW34" s="321"/>
      <c r="AX34" s="321"/>
      <c r="AY34" s="321"/>
      <c r="AZ34" s="321"/>
      <c r="BA34" s="321"/>
      <c r="BB34" s="321"/>
      <c r="BC34" s="321"/>
      <c r="BD34" s="321"/>
    </row>
    <row r="35" s="323" customFormat="true" ht="34.5" hidden="false" customHeight="true" outlineLevel="0" collapsed="false">
      <c r="A35" s="324" t="s">
        <v>2064</v>
      </c>
      <c r="B35" s="311"/>
      <c r="C35" s="312"/>
      <c r="D35" s="312"/>
      <c r="E35" s="313" t="n">
        <v>11</v>
      </c>
      <c r="F35" s="314" t="n">
        <f aca="false">E35*3</f>
        <v>33</v>
      </c>
      <c r="G35" s="286" t="n">
        <f aca="false">F35/16</f>
        <v>2.0625</v>
      </c>
      <c r="H35" s="287" t="s">
        <v>2058</v>
      </c>
      <c r="I35" s="289" t="n">
        <f aca="false">14*F35</f>
        <v>462</v>
      </c>
      <c r="J35" s="315" t="n">
        <v>42</v>
      </c>
      <c r="K35" s="316"/>
      <c r="L35" s="317" t="s">
        <v>2064</v>
      </c>
      <c r="M35" s="318"/>
      <c r="N35" s="319"/>
      <c r="O35" s="319"/>
      <c r="P35" s="292" t="str">
        <f aca="false">_xlfn.CONCAT(E35," btls")</f>
        <v>11 btls</v>
      </c>
      <c r="Q35" s="320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1"/>
      <c r="AC35" s="321"/>
      <c r="AD35" s="321"/>
      <c r="AE35" s="321"/>
      <c r="AF35" s="321"/>
      <c r="AG35" s="321"/>
      <c r="AH35" s="321"/>
      <c r="AI35" s="321"/>
      <c r="AJ35" s="321"/>
      <c r="AK35" s="321"/>
      <c r="AL35" s="321"/>
      <c r="AM35" s="321"/>
      <c r="AN35" s="321"/>
      <c r="AO35" s="321"/>
      <c r="AP35" s="321"/>
      <c r="AQ35" s="322"/>
      <c r="AR35" s="321"/>
      <c r="AS35" s="321"/>
      <c r="AT35" s="321"/>
      <c r="AU35" s="321"/>
      <c r="AV35" s="321"/>
      <c r="AW35" s="321"/>
      <c r="AX35" s="321"/>
      <c r="AY35" s="321"/>
      <c r="AZ35" s="321"/>
      <c r="BA35" s="321"/>
      <c r="BB35" s="321"/>
      <c r="BC35" s="321"/>
      <c r="BD35" s="321"/>
    </row>
    <row r="36" s="323" customFormat="true" ht="34.5" hidden="false" customHeight="true" outlineLevel="0" collapsed="false">
      <c r="A36" s="311" t="s">
        <v>2065</v>
      </c>
      <c r="B36" s="311"/>
      <c r="C36" s="312"/>
      <c r="D36" s="312"/>
      <c r="E36" s="313" t="n">
        <v>21</v>
      </c>
      <c r="F36" s="314" t="n">
        <f aca="false">E36*3</f>
        <v>63</v>
      </c>
      <c r="G36" s="286" t="n">
        <f aca="false">F36/16</f>
        <v>3.9375</v>
      </c>
      <c r="H36" s="287" t="s">
        <v>2063</v>
      </c>
      <c r="I36" s="289" t="n">
        <f aca="false">14*F36</f>
        <v>882</v>
      </c>
      <c r="J36" s="315" t="n">
        <v>42</v>
      </c>
      <c r="K36" s="316"/>
      <c r="L36" s="317" t="s">
        <v>2065</v>
      </c>
      <c r="M36" s="318"/>
      <c r="N36" s="319"/>
      <c r="O36" s="319"/>
      <c r="P36" s="292" t="str">
        <f aca="false">_xlfn.CONCAT(E36," btls")</f>
        <v>21 btls</v>
      </c>
      <c r="Q36" s="320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1"/>
      <c r="AC36" s="321"/>
      <c r="AD36" s="321"/>
      <c r="AE36" s="321"/>
      <c r="AF36" s="321"/>
      <c r="AG36" s="321"/>
      <c r="AH36" s="321"/>
      <c r="AI36" s="321"/>
      <c r="AJ36" s="321"/>
      <c r="AK36" s="321"/>
      <c r="AL36" s="321"/>
      <c r="AM36" s="321"/>
      <c r="AN36" s="321"/>
      <c r="AO36" s="321"/>
      <c r="AP36" s="321"/>
      <c r="AQ36" s="322"/>
      <c r="AR36" s="321"/>
      <c r="AS36" s="321"/>
      <c r="AT36" s="321"/>
      <c r="AU36" s="321"/>
      <c r="AV36" s="321"/>
      <c r="AW36" s="321"/>
      <c r="AX36" s="321"/>
      <c r="AY36" s="321"/>
      <c r="AZ36" s="321"/>
      <c r="BA36" s="321"/>
      <c r="BB36" s="321"/>
      <c r="BC36" s="321"/>
      <c r="BD36" s="321"/>
    </row>
    <row r="37" s="323" customFormat="true" ht="34.5" hidden="false" customHeight="true" outlineLevel="0" collapsed="false">
      <c r="A37" s="311" t="s">
        <v>2066</v>
      </c>
      <c r="B37" s="311"/>
      <c r="C37" s="312"/>
      <c r="D37" s="312"/>
      <c r="E37" s="313" t="n">
        <v>3</v>
      </c>
      <c r="F37" s="314" t="n">
        <f aca="false">E37*3</f>
        <v>9</v>
      </c>
      <c r="G37" s="286" t="n">
        <f aca="false">F37/16</f>
        <v>0.5625</v>
      </c>
      <c r="H37" s="287" t="s">
        <v>2067</v>
      </c>
      <c r="I37" s="289" t="n">
        <f aca="false">14*F37</f>
        <v>126</v>
      </c>
      <c r="J37" s="315" t="n">
        <v>42</v>
      </c>
      <c r="K37" s="316"/>
      <c r="L37" s="317" t="s">
        <v>2066</v>
      </c>
      <c r="M37" s="318"/>
      <c r="N37" s="319"/>
      <c r="O37" s="319"/>
      <c r="P37" s="292" t="str">
        <f aca="false">_xlfn.CONCAT(E37," btls")</f>
        <v>3 btls</v>
      </c>
      <c r="Q37" s="320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1"/>
      <c r="AC37" s="321"/>
      <c r="AD37" s="321"/>
      <c r="AE37" s="321"/>
      <c r="AF37" s="321"/>
      <c r="AG37" s="321"/>
      <c r="AH37" s="321"/>
      <c r="AI37" s="321"/>
      <c r="AJ37" s="321"/>
      <c r="AK37" s="321"/>
      <c r="AL37" s="321"/>
      <c r="AM37" s="321"/>
      <c r="AN37" s="321"/>
      <c r="AO37" s="321"/>
      <c r="AP37" s="321"/>
      <c r="AQ37" s="322"/>
      <c r="AR37" s="321"/>
      <c r="AS37" s="321"/>
      <c r="AT37" s="321"/>
      <c r="AU37" s="321"/>
      <c r="AV37" s="321"/>
      <c r="AW37" s="321"/>
      <c r="AX37" s="321"/>
      <c r="AY37" s="321"/>
      <c r="AZ37" s="321"/>
      <c r="BA37" s="321"/>
      <c r="BB37" s="321"/>
      <c r="BC37" s="321"/>
      <c r="BD37" s="321"/>
    </row>
    <row r="38" customFormat="false" ht="34.5" hidden="false" customHeight="true" outlineLevel="0" collapsed="false">
      <c r="A38" s="325"/>
      <c r="B38" s="294"/>
      <c r="C38" s="325"/>
      <c r="D38" s="325"/>
      <c r="E38" s="326" t="n">
        <v>0</v>
      </c>
      <c r="F38" s="327"/>
      <c r="G38" s="328"/>
      <c r="H38" s="329"/>
      <c r="I38" s="330"/>
      <c r="J38" s="330"/>
      <c r="K38" s="275"/>
      <c r="L38" s="331"/>
      <c r="M38" s="318"/>
      <c r="N38" s="319"/>
      <c r="O38" s="319"/>
      <c r="P38" s="319"/>
      <c r="Q38" s="320"/>
      <c r="AQ38" s="310"/>
    </row>
    <row r="39" customFormat="false" ht="34.5" hidden="false" customHeight="true" outlineLevel="0" collapsed="false">
      <c r="A39" s="332" t="s">
        <v>2068</v>
      </c>
      <c r="B39" s="325" t="n">
        <f aca="false">SUM(B5:B38)</f>
        <v>30</v>
      </c>
      <c r="C39" s="325" t="n">
        <f aca="false">SUM(C5:C38)</f>
        <v>49</v>
      </c>
      <c r="D39" s="325" t="n">
        <f aca="false">SUM(D5:D38)</f>
        <v>32</v>
      </c>
      <c r="E39" s="326" t="n">
        <f aca="false">SUM(E5:E38)</f>
        <v>216</v>
      </c>
      <c r="F39" s="333" t="n">
        <f aca="false">SUM(F5:F38)</f>
        <v>648</v>
      </c>
      <c r="G39" s="334" t="n">
        <f aca="false">SUM(G5:G37)</f>
        <v>40.5</v>
      </c>
      <c r="H39" s="329"/>
      <c r="I39" s="330"/>
      <c r="J39" s="330"/>
      <c r="K39" s="275"/>
      <c r="L39" s="308"/>
      <c r="M39" s="230"/>
      <c r="N39" s="308"/>
      <c r="O39" s="308"/>
      <c r="P39" s="308"/>
      <c r="AQ39" s="310"/>
    </row>
    <row r="40" customFormat="false" ht="34.5" hidden="false" customHeight="true" outlineLevel="0" collapsed="false">
      <c r="A40" s="335" t="s">
        <v>2069</v>
      </c>
      <c r="B40" s="336"/>
      <c r="C40" s="336"/>
      <c r="D40" s="336"/>
      <c r="E40" s="337"/>
      <c r="F40" s="338" t="s">
        <v>2070</v>
      </c>
      <c r="G40" s="338"/>
      <c r="H40" s="339" t="s">
        <v>2071</v>
      </c>
      <c r="I40" s="340"/>
      <c r="J40" s="341"/>
      <c r="K40" s="275"/>
      <c r="L40" s="255" t="s">
        <v>2072</v>
      </c>
      <c r="M40" s="308"/>
      <c r="N40" s="308"/>
      <c r="O40" s="308"/>
      <c r="P40" s="308"/>
      <c r="AQ40" s="310"/>
    </row>
    <row r="41" customFormat="false" ht="34.5" hidden="false" customHeight="true" outlineLevel="0" collapsed="false">
      <c r="A41" s="342"/>
      <c r="B41" s="260"/>
      <c r="C41" s="260"/>
      <c r="D41" s="260"/>
      <c r="E41" s="260"/>
      <c r="F41" s="338"/>
      <c r="G41" s="338"/>
      <c r="H41" s="339"/>
      <c r="I41" s="343"/>
      <c r="J41" s="344"/>
      <c r="K41" s="275"/>
      <c r="L41" s="224" t="s">
        <v>2073</v>
      </c>
      <c r="M41" s="308"/>
      <c r="N41" s="308"/>
      <c r="O41" s="308"/>
      <c r="P41" s="308"/>
      <c r="Q41" s="345"/>
      <c r="AQ41" s="310"/>
    </row>
    <row r="42" customFormat="false" ht="34.5" hidden="false" customHeight="true" outlineLevel="0" collapsed="false">
      <c r="A42" s="346"/>
      <c r="B42" s="347"/>
      <c r="C42" s="347"/>
      <c r="D42" s="347"/>
      <c r="E42" s="347"/>
      <c r="F42" s="338"/>
      <c r="G42" s="338"/>
      <c r="H42" s="339"/>
      <c r="I42" s="348"/>
      <c r="J42" s="349"/>
      <c r="K42" s="275"/>
      <c r="L42" s="350" t="s">
        <v>2074</v>
      </c>
      <c r="M42" s="224"/>
      <c r="N42" s="224"/>
      <c r="O42" s="224"/>
      <c r="P42" s="224"/>
      <c r="Q42" s="345"/>
      <c r="AQ42" s="310"/>
    </row>
    <row r="43" customFormat="false" ht="34.5" hidden="false" customHeight="true" outlineLevel="0" collapsed="false">
      <c r="L43" s="351" t="s">
        <v>2075</v>
      </c>
      <c r="M43" s="224"/>
      <c r="N43" s="224"/>
      <c r="O43" s="224"/>
      <c r="P43" s="224"/>
      <c r="Q43" s="345"/>
      <c r="AQ43" s="310"/>
    </row>
    <row r="44" customFormat="false" ht="34.5" hidden="false" customHeight="true" outlineLevel="0" collapsed="false">
      <c r="AQ44" s="310"/>
    </row>
    <row r="45" customFormat="false" ht="15.75" hidden="false" customHeight="true" outlineLevel="0" collapsed="false">
      <c r="AQ45" s="310"/>
    </row>
    <row r="46" customFormat="false" ht="15" hidden="false" customHeight="false" outlineLevel="0" collapsed="false">
      <c r="AQ46" s="310"/>
    </row>
    <row r="47" customFormat="false" ht="15" hidden="false" customHeight="false" outlineLevel="0" collapsed="false">
      <c r="AQ47" s="310"/>
    </row>
    <row r="48" customFormat="false" ht="15" hidden="false" customHeight="false" outlineLevel="0" collapsed="false">
      <c r="AQ48" s="310"/>
    </row>
    <row r="49" customFormat="false" ht="15" hidden="false" customHeight="false" outlineLevel="0" collapsed="false">
      <c r="AQ49" s="310"/>
    </row>
    <row r="50" customFormat="false" ht="15" hidden="false" customHeight="false" outlineLevel="0" collapsed="false">
      <c r="AQ50" s="310"/>
    </row>
    <row r="51" customFormat="false" ht="15" hidden="false" customHeight="false" outlineLevel="0" collapsed="false">
      <c r="AQ51" s="310"/>
    </row>
    <row r="52" customFormat="false" ht="15" hidden="false" customHeight="false" outlineLevel="0" collapsed="false">
      <c r="AQ52" s="310"/>
    </row>
    <row r="53" customFormat="false" ht="15" hidden="false" customHeight="false" outlineLevel="0" collapsed="false">
      <c r="AQ53" s="310"/>
    </row>
    <row r="54" customFormat="false" ht="15" hidden="false" customHeight="false" outlineLevel="0" collapsed="false">
      <c r="AQ54" s="310"/>
    </row>
    <row r="55" customFormat="false" ht="15" hidden="false" customHeight="false" outlineLevel="0" collapsed="false">
      <c r="AQ55" s="310"/>
    </row>
    <row r="56" customFormat="false" ht="15" hidden="false" customHeight="false" outlineLevel="0" collapsed="false">
      <c r="AQ56" s="310"/>
    </row>
    <row r="57" customFormat="false" ht="15" hidden="false" customHeight="false" outlineLevel="0" collapsed="false">
      <c r="L57" s="229"/>
      <c r="AQ57" s="310"/>
    </row>
    <row r="58" customFormat="false" ht="15" hidden="false" customHeight="false" outlineLevel="0" collapsed="false">
      <c r="L58" s="229"/>
      <c r="AQ58" s="310"/>
    </row>
    <row r="59" customFormat="false" ht="15" hidden="false" customHeight="false" outlineLevel="0" collapsed="false">
      <c r="L59" s="229"/>
      <c r="AQ59" s="310"/>
    </row>
    <row r="60" customFormat="false" ht="15" hidden="false" customHeight="false" outlineLevel="0" collapsed="false">
      <c r="L60" s="352" t="n">
        <f aca="false">604/16</f>
        <v>37.75</v>
      </c>
      <c r="AQ60" s="310"/>
    </row>
    <row r="61" customFormat="false" ht="15" hidden="false" customHeight="false" outlineLevel="0" collapsed="false">
      <c r="L61" s="352" t="n">
        <f aca="false">0.75*16</f>
        <v>12</v>
      </c>
      <c r="AQ61" s="310"/>
    </row>
    <row r="62" customFormat="false" ht="15" hidden="false" customHeight="false" outlineLevel="0" collapsed="false">
      <c r="L62" s="229"/>
      <c r="AQ62" s="310"/>
    </row>
    <row r="63" customFormat="false" ht="15" hidden="false" customHeight="false" outlineLevel="0" collapsed="false">
      <c r="L63" s="229"/>
      <c r="AQ63" s="310"/>
    </row>
    <row r="64" customFormat="false" ht="15" hidden="false" customHeight="false" outlineLevel="0" collapsed="false">
      <c r="L64" s="352" t="n">
        <f aca="false">7546/16</f>
        <v>471.625</v>
      </c>
      <c r="AQ64" s="310"/>
    </row>
    <row r="65" customFormat="false" ht="15" hidden="false" customHeight="false" outlineLevel="0" collapsed="false">
      <c r="L65" s="352" t="n">
        <f aca="false">0.625*16</f>
        <v>10</v>
      </c>
      <c r="AQ65" s="310"/>
    </row>
    <row r="66" customFormat="false" ht="15" hidden="false" customHeight="false" outlineLevel="0" collapsed="false">
      <c r="L66" s="308"/>
      <c r="AQ66" s="310"/>
    </row>
    <row r="67" customFormat="false" ht="15" hidden="false" customHeight="false" outlineLevel="0" collapsed="false">
      <c r="AQ67" s="310"/>
    </row>
    <row r="68" customFormat="false" ht="15" hidden="false" customHeight="false" outlineLevel="0" collapsed="false">
      <c r="AQ68" s="310"/>
    </row>
    <row r="69" customFormat="false" ht="15" hidden="false" customHeight="false" outlineLevel="0" collapsed="false">
      <c r="AQ69" s="310"/>
    </row>
    <row r="70" customFormat="false" ht="15" hidden="false" customHeight="false" outlineLevel="0" collapsed="false">
      <c r="AQ70" s="310"/>
    </row>
    <row r="71" customFormat="false" ht="15" hidden="false" customHeight="false" outlineLevel="0" collapsed="false">
      <c r="AQ71" s="310"/>
    </row>
    <row r="72" customFormat="false" ht="15" hidden="false" customHeight="false" outlineLevel="0" collapsed="false">
      <c r="AQ72" s="310"/>
    </row>
    <row r="73" customFormat="false" ht="15" hidden="false" customHeight="false" outlineLevel="0" collapsed="false">
      <c r="AQ73" s="310"/>
    </row>
    <row r="74" customFormat="false" ht="15" hidden="false" customHeight="false" outlineLevel="0" collapsed="false">
      <c r="AQ74" s="310"/>
    </row>
  </sheetData>
  <mergeCells count="14">
    <mergeCell ref="A1:B1"/>
    <mergeCell ref="A2:B2"/>
    <mergeCell ref="I2:K2"/>
    <mergeCell ref="L2:M2"/>
    <mergeCell ref="AN2:AP2"/>
    <mergeCell ref="B3:D3"/>
    <mergeCell ref="I3:I4"/>
    <mergeCell ref="J3:J4"/>
    <mergeCell ref="L3:M3"/>
    <mergeCell ref="F40:G42"/>
    <mergeCell ref="H40:H42"/>
    <mergeCell ref="B41:E41"/>
    <mergeCell ref="Q41:Q43"/>
    <mergeCell ref="B42:E42"/>
  </mergeCells>
  <conditionalFormatting sqref="T28:AR31 AT28:BE31">
    <cfRule type="cellIs" priority="2" operator="greaterThan" aboveAverage="0" equalAverage="0" bottom="0" percent="0" rank="0" text="" dxfId="446">
      <formula>1</formula>
    </cfRule>
  </conditionalFormatting>
  <conditionalFormatting sqref="R32:AP43">
    <cfRule type="cellIs" priority="3" operator="greaterThan" aboveAverage="0" equalAverage="0" bottom="0" percent="0" rank="0" text="" dxfId="447">
      <formula>1</formula>
    </cfRule>
  </conditionalFormatting>
  <conditionalFormatting sqref="R4:AP27 AR4:BC27 AR32:BC74 M44:AP74">
    <cfRule type="cellIs" priority="4" operator="greaterThan" aboveAverage="0" equalAverage="0" bottom="0" percent="0" rank="0" text="" dxfId="448">
      <formula>1</formula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1" scale="4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11" man="true" max="65535" min="0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9"/>
  <sheetViews>
    <sheetView showFormulas="false" showGridLines="true" showRowColHeaders="true" showZeros="true" rightToLeft="false" tabSelected="false" showOutlineSymbols="true" defaultGridColor="true" view="normal" topLeftCell="B244" colorId="64" zoomScale="100" zoomScaleNormal="100" zoomScalePageLayoutView="100" workbookViewId="0">
      <selection pane="topLeft" activeCell="H255" activeCellId="0" sqref="H255"/>
    </sheetView>
  </sheetViews>
  <sheetFormatPr defaultColWidth="10.16015625" defaultRowHeight="14.35" customHeight="false" zeroHeight="false" outlineLevelRow="0" outlineLevelCol="0"/>
  <cols>
    <col collapsed="false" customWidth="true" hidden="false" outlineLevel="0" max="1" min="1" style="196" width="29.26"/>
    <col collapsed="false" customWidth="true" hidden="false" outlineLevel="0" max="2" min="2" style="196" width="64.99"/>
    <col collapsed="false" customWidth="true" hidden="false" outlineLevel="0" max="3" min="3" style="196" width="41.63"/>
    <col collapsed="false" customWidth="true" hidden="false" outlineLevel="0" max="6" min="6" style="353" width="68.86"/>
    <col collapsed="false" customWidth="false" hidden="false" outlineLevel="0" max="8" min="8" style="354" width="10.16"/>
  </cols>
  <sheetData>
    <row r="1" customFormat="false" ht="14.35" hidden="false" customHeight="false" outlineLevel="0" collapsed="false">
      <c r="A1" s="196" t="s">
        <v>0</v>
      </c>
    </row>
    <row r="2" customFormat="false" ht="14.35" hidden="false" customHeight="false" outlineLevel="0" collapsed="false">
      <c r="A2" s="196" t="s">
        <v>2</v>
      </c>
    </row>
    <row r="3" customFormat="false" ht="14.35" hidden="false" customHeight="false" outlineLevel="0" collapsed="false">
      <c r="A3" s="196" t="s">
        <v>4</v>
      </c>
      <c r="B3" s="196" t="s">
        <v>5</v>
      </c>
      <c r="C3" s="196" t="s">
        <v>6</v>
      </c>
      <c r="D3" s="196" t="s">
        <v>7</v>
      </c>
      <c r="E3" s="196" t="s">
        <v>8</v>
      </c>
      <c r="F3" s="353" t="s">
        <v>9</v>
      </c>
      <c r="G3" s="196" t="s">
        <v>10</v>
      </c>
    </row>
    <row r="4" customFormat="false" ht="14.35" hidden="false" customHeight="false" outlineLevel="0" collapsed="false">
      <c r="A4" s="196" t="s">
        <v>12</v>
      </c>
      <c r="B4" s="196" t="s">
        <v>1134</v>
      </c>
      <c r="C4" s="196" t="s">
        <v>1525</v>
      </c>
      <c r="D4" s="196" t="s">
        <v>13</v>
      </c>
      <c r="E4" s="196" t="n">
        <v>160</v>
      </c>
      <c r="F4" s="353" t="s">
        <v>527</v>
      </c>
      <c r="G4" s="196" t="n">
        <v>176</v>
      </c>
      <c r="H4" s="353" t="s">
        <v>528</v>
      </c>
    </row>
    <row r="5" customFormat="false" ht="14.35" hidden="false" customHeight="false" outlineLevel="0" collapsed="false">
      <c r="A5" s="196" t="s">
        <v>12</v>
      </c>
      <c r="B5" s="196" t="s">
        <v>1134</v>
      </c>
      <c r="C5" s="196" t="s">
        <v>1525</v>
      </c>
      <c r="D5" s="196" t="s">
        <v>14</v>
      </c>
      <c r="E5" s="196" t="n">
        <v>65</v>
      </c>
      <c r="F5" s="353" t="s">
        <v>529</v>
      </c>
      <c r="G5" s="196" t="n">
        <v>71.5</v>
      </c>
      <c r="H5" s="353" t="s">
        <v>530</v>
      </c>
    </row>
    <row r="6" customFormat="false" ht="14.35" hidden="false" customHeight="false" outlineLevel="0" collapsed="false">
      <c r="A6" s="196" t="s">
        <v>15</v>
      </c>
      <c r="B6" s="196" t="s">
        <v>1160</v>
      </c>
      <c r="C6" s="196" t="s">
        <v>1567</v>
      </c>
      <c r="D6" s="196" t="s">
        <v>16</v>
      </c>
      <c r="E6" s="196" t="n">
        <v>265</v>
      </c>
      <c r="F6" s="353" t="s">
        <v>531</v>
      </c>
      <c r="G6" s="196" t="n">
        <v>291.5</v>
      </c>
      <c r="H6" s="353" t="s">
        <v>532</v>
      </c>
    </row>
    <row r="7" customFormat="false" ht="14.35" hidden="false" customHeight="false" outlineLevel="0" collapsed="false">
      <c r="A7" s="196" t="s">
        <v>19</v>
      </c>
      <c r="B7" s="196" t="s">
        <v>1151</v>
      </c>
      <c r="C7" s="196" t="s">
        <v>1599</v>
      </c>
      <c r="D7" s="196" t="s">
        <v>20</v>
      </c>
      <c r="E7" s="196" t="n">
        <v>262</v>
      </c>
      <c r="F7" s="353" t="s">
        <v>954</v>
      </c>
      <c r="G7" s="196" t="n">
        <v>288.2</v>
      </c>
      <c r="H7" s="353" t="s">
        <v>534</v>
      </c>
    </row>
    <row r="8" customFormat="false" ht="14.35" hidden="false" customHeight="false" outlineLevel="0" collapsed="false">
      <c r="A8" s="196" t="s">
        <v>192</v>
      </c>
      <c r="B8" s="196" t="s">
        <v>1026</v>
      </c>
      <c r="C8" s="196" t="s">
        <v>1414</v>
      </c>
      <c r="D8" s="196" t="s">
        <v>133</v>
      </c>
      <c r="E8" s="196" t="n">
        <v>76</v>
      </c>
      <c r="F8" s="353" t="s">
        <v>535</v>
      </c>
      <c r="G8" s="196" t="n">
        <v>83.6</v>
      </c>
      <c r="H8" s="353" t="s">
        <v>536</v>
      </c>
    </row>
    <row r="9" customFormat="false" ht="14.35" hidden="false" customHeight="false" outlineLevel="0" collapsed="false">
      <c r="A9" s="196" t="s">
        <v>24</v>
      </c>
      <c r="B9" s="196" t="s">
        <v>1177</v>
      </c>
      <c r="C9" s="196" t="s">
        <v>1586</v>
      </c>
      <c r="D9" s="196" t="s">
        <v>25</v>
      </c>
      <c r="E9" s="196" t="n">
        <v>340</v>
      </c>
      <c r="F9" s="353" t="s">
        <v>537</v>
      </c>
      <c r="G9" s="196" t="n">
        <v>374</v>
      </c>
      <c r="H9" s="353" t="s">
        <v>538</v>
      </c>
    </row>
    <row r="10" customFormat="false" ht="14.35" hidden="false" customHeight="false" outlineLevel="0" collapsed="false">
      <c r="D10" s="196" t="s">
        <v>26</v>
      </c>
      <c r="E10" s="196" t="n">
        <v>1168</v>
      </c>
    </row>
    <row r="12" customFormat="false" ht="14.35" hidden="false" customHeight="false" outlineLevel="0" collapsed="false">
      <c r="A12" s="196" t="s">
        <v>0</v>
      </c>
    </row>
    <row r="13" customFormat="false" ht="14.35" hidden="false" customHeight="false" outlineLevel="0" collapsed="false">
      <c r="A13" s="196" t="s">
        <v>29</v>
      </c>
    </row>
    <row r="14" customFormat="false" ht="14.35" hidden="false" customHeight="false" outlineLevel="0" collapsed="false">
      <c r="A14" s="196" t="s">
        <v>4</v>
      </c>
      <c r="B14" s="196" t="s">
        <v>5</v>
      </c>
      <c r="C14" s="196" t="s">
        <v>6</v>
      </c>
      <c r="D14" s="196" t="s">
        <v>7</v>
      </c>
      <c r="E14" s="196" t="s">
        <v>8</v>
      </c>
      <c r="F14" s="353" t="s">
        <v>9</v>
      </c>
      <c r="G14" s="196" t="s">
        <v>10</v>
      </c>
    </row>
    <row r="15" customFormat="false" ht="14.35" hidden="false" customHeight="false" outlineLevel="0" collapsed="false">
      <c r="A15" s="196" t="s">
        <v>32</v>
      </c>
      <c r="B15" s="196" t="s">
        <v>1293</v>
      </c>
      <c r="C15" s="196" t="s">
        <v>1410</v>
      </c>
      <c r="D15" s="196" t="s">
        <v>33</v>
      </c>
      <c r="E15" s="196" t="n">
        <v>240</v>
      </c>
      <c r="F15" s="353" t="s">
        <v>34</v>
      </c>
      <c r="G15" s="196" t="n">
        <v>264</v>
      </c>
    </row>
    <row r="16" customFormat="false" ht="14.35" hidden="false" customHeight="false" outlineLevel="0" collapsed="false">
      <c r="A16" s="196" t="s">
        <v>35</v>
      </c>
      <c r="B16" s="196" t="s">
        <v>1021</v>
      </c>
      <c r="C16" s="196" t="s">
        <v>1410</v>
      </c>
      <c r="D16" s="196" t="s">
        <v>36</v>
      </c>
      <c r="E16" s="196" t="n">
        <v>75</v>
      </c>
      <c r="F16" s="353" t="s">
        <v>34</v>
      </c>
      <c r="G16" s="196" t="n">
        <v>82.5</v>
      </c>
    </row>
    <row r="17" customFormat="false" ht="14.35" hidden="false" customHeight="false" outlineLevel="0" collapsed="false">
      <c r="A17" s="196" t="s">
        <v>37</v>
      </c>
      <c r="B17" s="196" t="s">
        <v>1240</v>
      </c>
      <c r="C17" s="196" t="s">
        <v>1410</v>
      </c>
      <c r="D17" s="196" t="s">
        <v>38</v>
      </c>
      <c r="E17" s="196" t="n">
        <v>80</v>
      </c>
      <c r="F17" s="353" t="s">
        <v>34</v>
      </c>
      <c r="G17" s="196" t="n">
        <v>88</v>
      </c>
    </row>
    <row r="18" customFormat="false" ht="14.35" hidden="false" customHeight="false" outlineLevel="0" collapsed="false">
      <c r="A18" s="196" t="s">
        <v>39</v>
      </c>
      <c r="B18" s="196" t="s">
        <v>1953</v>
      </c>
      <c r="C18" s="196" t="s">
        <v>1410</v>
      </c>
      <c r="D18" s="196" t="s">
        <v>40</v>
      </c>
      <c r="E18" s="196" t="n">
        <v>82</v>
      </c>
      <c r="F18" s="353" t="s">
        <v>34</v>
      </c>
      <c r="G18" s="196" t="n">
        <v>90.2</v>
      </c>
    </row>
    <row r="19" customFormat="false" ht="14.35" hidden="false" customHeight="false" outlineLevel="0" collapsed="false">
      <c r="A19" s="196" t="s">
        <v>41</v>
      </c>
      <c r="B19" s="196" t="s">
        <v>1254</v>
      </c>
      <c r="C19" s="196" t="s">
        <v>1410</v>
      </c>
      <c r="D19" s="196" t="s">
        <v>42</v>
      </c>
      <c r="E19" s="196" t="n">
        <v>37</v>
      </c>
      <c r="F19" s="353" t="s">
        <v>34</v>
      </c>
      <c r="G19" s="196" t="n">
        <v>40.7</v>
      </c>
    </row>
    <row r="20" customFormat="false" ht="14.35" hidden="false" customHeight="false" outlineLevel="0" collapsed="false">
      <c r="A20" s="196" t="s">
        <v>43</v>
      </c>
      <c r="B20" s="196" t="s">
        <v>1326</v>
      </c>
      <c r="C20" s="196" t="s">
        <v>1863</v>
      </c>
      <c r="D20" s="196" t="s">
        <v>44</v>
      </c>
      <c r="E20" s="196" t="n">
        <v>55</v>
      </c>
      <c r="F20" s="353" t="s">
        <v>539</v>
      </c>
      <c r="G20" s="196" t="n">
        <v>60.5</v>
      </c>
      <c r="H20" s="353" t="s">
        <v>540</v>
      </c>
    </row>
    <row r="21" customFormat="false" ht="14.35" hidden="false" customHeight="false" outlineLevel="0" collapsed="false">
      <c r="A21" s="196" t="s">
        <v>47</v>
      </c>
      <c r="B21" s="196" t="s">
        <v>1150</v>
      </c>
      <c r="C21" s="196" t="s">
        <v>1863</v>
      </c>
      <c r="D21" s="196" t="s">
        <v>48</v>
      </c>
      <c r="E21" s="196" t="n">
        <v>50</v>
      </c>
      <c r="F21" s="353" t="s">
        <v>541</v>
      </c>
      <c r="G21" s="196" t="n">
        <v>55</v>
      </c>
      <c r="H21" s="353" t="n">
        <v>50</v>
      </c>
    </row>
    <row r="22" customFormat="false" ht="14.35" hidden="false" customHeight="false" outlineLevel="0" collapsed="false">
      <c r="A22" s="196" t="s">
        <v>542</v>
      </c>
      <c r="B22" s="196" t="s">
        <v>1001</v>
      </c>
      <c r="C22" s="196" t="s">
        <v>1742</v>
      </c>
      <c r="D22" s="196" t="s">
        <v>53</v>
      </c>
      <c r="E22" s="196" t="n">
        <v>155</v>
      </c>
      <c r="F22" s="353" t="s">
        <v>527</v>
      </c>
      <c r="G22" s="196" t="n">
        <v>170.5</v>
      </c>
      <c r="H22" s="353" t="s">
        <v>543</v>
      </c>
    </row>
    <row r="23" customFormat="false" ht="14.35" hidden="false" customHeight="false" outlineLevel="0" collapsed="false">
      <c r="A23" s="196" t="s">
        <v>72</v>
      </c>
      <c r="B23" s="196" t="s">
        <v>1141</v>
      </c>
      <c r="C23" s="196" t="s">
        <v>1523</v>
      </c>
      <c r="D23" s="196" t="s">
        <v>73</v>
      </c>
      <c r="E23" s="196" t="n">
        <v>15</v>
      </c>
      <c r="F23" s="353" t="s">
        <v>544</v>
      </c>
      <c r="G23" s="196" t="n">
        <v>16.5</v>
      </c>
      <c r="H23" s="353" t="n">
        <v>15</v>
      </c>
    </row>
    <row r="24" customFormat="false" ht="14.35" hidden="false" customHeight="false" outlineLevel="0" collapsed="false">
      <c r="A24" s="196" t="s">
        <v>234</v>
      </c>
      <c r="B24" s="196" t="s">
        <v>990</v>
      </c>
      <c r="C24" s="196" t="s">
        <v>1599</v>
      </c>
      <c r="D24" s="196" t="s">
        <v>95</v>
      </c>
      <c r="E24" s="196" t="n">
        <v>103</v>
      </c>
      <c r="F24" s="353" t="s">
        <v>955</v>
      </c>
      <c r="G24" s="196" t="n">
        <v>113.3</v>
      </c>
      <c r="H24" s="353" t="n">
        <v>103</v>
      </c>
    </row>
    <row r="25" customFormat="false" ht="14.35" hidden="false" customHeight="false" outlineLevel="0" collapsed="false">
      <c r="A25" s="196" t="s">
        <v>234</v>
      </c>
      <c r="B25" s="196" t="s">
        <v>990</v>
      </c>
      <c r="C25" s="196" t="s">
        <v>1599</v>
      </c>
      <c r="D25" s="196" t="s">
        <v>126</v>
      </c>
      <c r="E25" s="196" t="n">
        <v>125</v>
      </c>
      <c r="F25" s="353" t="s">
        <v>956</v>
      </c>
      <c r="G25" s="196" t="n">
        <v>137.5</v>
      </c>
      <c r="H25" s="353" t="n">
        <v>125</v>
      </c>
    </row>
    <row r="26" customFormat="false" ht="14.35" hidden="false" customHeight="false" outlineLevel="0" collapsed="false">
      <c r="A26" s="196" t="s">
        <v>74</v>
      </c>
      <c r="B26" s="196" t="s">
        <v>1097</v>
      </c>
      <c r="C26" s="196" t="s">
        <v>1470</v>
      </c>
      <c r="D26" s="196" t="s">
        <v>75</v>
      </c>
      <c r="E26" s="196" t="n">
        <v>245</v>
      </c>
      <c r="F26" s="353" t="s">
        <v>531</v>
      </c>
      <c r="G26" s="196" t="n">
        <v>269.5</v>
      </c>
      <c r="H26" s="353" t="s">
        <v>547</v>
      </c>
    </row>
    <row r="27" customFormat="false" ht="14.35" hidden="false" customHeight="false" outlineLevel="0" collapsed="false">
      <c r="A27" s="196" t="s">
        <v>54</v>
      </c>
      <c r="B27" s="196" t="s">
        <v>1101</v>
      </c>
      <c r="C27" s="196" t="s">
        <v>1468</v>
      </c>
      <c r="D27" s="196" t="s">
        <v>55</v>
      </c>
      <c r="E27" s="196" t="n">
        <v>150</v>
      </c>
      <c r="F27" s="353" t="s">
        <v>548</v>
      </c>
      <c r="G27" s="196" t="n">
        <v>165</v>
      </c>
      <c r="H27" s="353" t="s">
        <v>549</v>
      </c>
    </row>
    <row r="28" customFormat="false" ht="14.35" hidden="false" customHeight="false" outlineLevel="0" collapsed="false">
      <c r="A28" s="196" t="s">
        <v>54</v>
      </c>
      <c r="B28" s="196" t="s">
        <v>1101</v>
      </c>
      <c r="C28" s="196" t="s">
        <v>1468</v>
      </c>
      <c r="D28" s="196" t="s">
        <v>56</v>
      </c>
      <c r="E28" s="196" t="n">
        <v>250</v>
      </c>
      <c r="F28" s="353" t="s">
        <v>531</v>
      </c>
      <c r="G28" s="196" t="n">
        <v>275</v>
      </c>
      <c r="H28" s="353" t="s">
        <v>550</v>
      </c>
    </row>
    <row r="29" customFormat="false" ht="14.35" hidden="false" customHeight="false" outlineLevel="0" collapsed="false">
      <c r="D29" s="196" t="s">
        <v>57</v>
      </c>
      <c r="E29" s="196" t="n">
        <v>1148</v>
      </c>
    </row>
    <row r="31" customFormat="false" ht="14.35" hidden="false" customHeight="false" outlineLevel="0" collapsed="false">
      <c r="A31" s="196" t="s">
        <v>0</v>
      </c>
    </row>
    <row r="32" customFormat="false" ht="14.35" hidden="false" customHeight="false" outlineLevel="0" collapsed="false">
      <c r="A32" s="196" t="s">
        <v>59</v>
      </c>
    </row>
    <row r="33" customFormat="false" ht="14.35" hidden="false" customHeight="false" outlineLevel="0" collapsed="false">
      <c r="A33" s="196" t="s">
        <v>4</v>
      </c>
      <c r="B33" s="196" t="s">
        <v>5</v>
      </c>
      <c r="C33" s="196" t="s">
        <v>6</v>
      </c>
      <c r="D33" s="196" t="s">
        <v>7</v>
      </c>
      <c r="E33" s="196" t="s">
        <v>8</v>
      </c>
      <c r="F33" s="353" t="s">
        <v>9</v>
      </c>
      <c r="G33" s="196" t="s">
        <v>10</v>
      </c>
    </row>
    <row r="34" customFormat="false" ht="14.35" hidden="false" customHeight="false" outlineLevel="0" collapsed="false">
      <c r="A34" s="196" t="s">
        <v>60</v>
      </c>
      <c r="B34" s="196" t="s">
        <v>1296</v>
      </c>
      <c r="C34" s="196" t="s">
        <v>1410</v>
      </c>
      <c r="D34" s="196" t="s">
        <v>61</v>
      </c>
      <c r="E34" s="196" t="n">
        <v>222</v>
      </c>
      <c r="F34" s="353" t="s">
        <v>34</v>
      </c>
      <c r="G34" s="196" t="n">
        <v>244.2</v>
      </c>
    </row>
    <row r="35" customFormat="false" ht="14.35" hidden="false" customHeight="false" outlineLevel="0" collapsed="false">
      <c r="A35" s="196" t="s">
        <v>66</v>
      </c>
      <c r="B35" s="196" t="s">
        <v>1300</v>
      </c>
      <c r="C35" s="196" t="s">
        <v>1429</v>
      </c>
      <c r="D35" s="196" t="s">
        <v>67</v>
      </c>
      <c r="E35" s="196" t="n">
        <v>135</v>
      </c>
      <c r="F35" s="353" t="s">
        <v>552</v>
      </c>
      <c r="G35" s="196" t="n">
        <v>148.5</v>
      </c>
      <c r="H35" s="353" t="s">
        <v>553</v>
      </c>
    </row>
    <row r="36" customFormat="false" ht="14.35" hidden="false" customHeight="false" outlineLevel="0" collapsed="false">
      <c r="A36" s="196" t="s">
        <v>495</v>
      </c>
      <c r="B36" s="196" t="s">
        <v>1113</v>
      </c>
      <c r="C36" s="196" t="s">
        <v>1466</v>
      </c>
      <c r="D36" s="196" t="s">
        <v>157</v>
      </c>
      <c r="E36" s="196" t="n">
        <v>230</v>
      </c>
      <c r="F36" s="353" t="s">
        <v>554</v>
      </c>
      <c r="G36" s="196" t="n">
        <v>253</v>
      </c>
      <c r="H36" s="353" t="s">
        <v>555</v>
      </c>
    </row>
    <row r="37" customFormat="false" ht="14.35" hidden="false" customHeight="false" outlineLevel="0" collapsed="false">
      <c r="A37" s="196" t="s">
        <v>70</v>
      </c>
      <c r="B37" s="196" t="s">
        <v>1184</v>
      </c>
      <c r="C37" s="196" t="s">
        <v>1618</v>
      </c>
      <c r="D37" s="196" t="s">
        <v>71</v>
      </c>
      <c r="E37" s="196" t="n">
        <v>240</v>
      </c>
      <c r="F37" s="353" t="s">
        <v>556</v>
      </c>
      <c r="G37" s="196" t="n">
        <v>264</v>
      </c>
      <c r="H37" s="353" t="s">
        <v>557</v>
      </c>
    </row>
    <row r="38" customFormat="false" ht="14.35" hidden="false" customHeight="false" outlineLevel="0" collapsed="false">
      <c r="A38" s="196" t="s">
        <v>443</v>
      </c>
      <c r="B38" s="196" t="s">
        <v>1057</v>
      </c>
      <c r="C38" s="196" t="s">
        <v>1431</v>
      </c>
      <c r="D38" s="196" t="s">
        <v>23</v>
      </c>
      <c r="E38" s="196" t="n">
        <v>40</v>
      </c>
      <c r="F38" s="353" t="s">
        <v>558</v>
      </c>
      <c r="G38" s="196" t="n">
        <v>44</v>
      </c>
      <c r="H38" s="353" t="s">
        <v>559</v>
      </c>
    </row>
    <row r="39" customFormat="false" ht="14.35" hidden="false" customHeight="false" outlineLevel="0" collapsed="false">
      <c r="A39" s="196" t="s">
        <v>68</v>
      </c>
      <c r="B39" s="196" t="s">
        <v>1266</v>
      </c>
      <c r="C39" s="196" t="s">
        <v>1824</v>
      </c>
      <c r="D39" s="196" t="s">
        <v>69</v>
      </c>
      <c r="E39" s="196" t="n">
        <v>23</v>
      </c>
      <c r="F39" s="353" t="s">
        <v>560</v>
      </c>
      <c r="G39" s="196" t="n">
        <v>25.3</v>
      </c>
      <c r="H39" s="353" t="n">
        <v>23</v>
      </c>
    </row>
    <row r="40" customFormat="false" ht="14.35" hidden="false" customHeight="false" outlineLevel="0" collapsed="false">
      <c r="A40" s="196" t="s">
        <v>17</v>
      </c>
      <c r="B40" s="196" t="s">
        <v>1340</v>
      </c>
      <c r="C40" s="196" t="s">
        <v>1883</v>
      </c>
      <c r="D40" s="196" t="s">
        <v>18</v>
      </c>
      <c r="E40" s="196" t="n">
        <v>80</v>
      </c>
      <c r="F40" s="353" t="s">
        <v>533</v>
      </c>
      <c r="G40" s="196" t="n">
        <v>88</v>
      </c>
      <c r="H40" s="353" t="s">
        <v>561</v>
      </c>
    </row>
    <row r="41" customFormat="false" ht="14.35" hidden="false" customHeight="false" outlineLevel="0" collapsed="false">
      <c r="A41" s="196" t="s">
        <v>76</v>
      </c>
      <c r="B41" s="196" t="s">
        <v>1230</v>
      </c>
      <c r="C41" s="196" t="s">
        <v>1985</v>
      </c>
      <c r="D41" s="196" t="s">
        <v>77</v>
      </c>
      <c r="E41" s="196" t="n">
        <v>122</v>
      </c>
      <c r="F41" s="353" t="s">
        <v>562</v>
      </c>
      <c r="G41" s="196" t="n">
        <v>134.2</v>
      </c>
      <c r="H41" s="353" t="s">
        <v>563</v>
      </c>
    </row>
    <row r="42" customFormat="false" ht="14.35" hidden="false" customHeight="false" outlineLevel="0" collapsed="false">
      <c r="D42" s="196" t="s">
        <v>57</v>
      </c>
      <c r="E42" s="196" t="n">
        <v>1092</v>
      </c>
    </row>
    <row r="44" customFormat="false" ht="14.35" hidden="false" customHeight="false" outlineLevel="0" collapsed="false">
      <c r="A44" s="196" t="s">
        <v>78</v>
      </c>
    </row>
    <row r="45" customFormat="false" ht="14.35" hidden="false" customHeight="false" outlineLevel="0" collapsed="false">
      <c r="A45" s="196" t="s">
        <v>2</v>
      </c>
    </row>
    <row r="46" customFormat="false" ht="14.35" hidden="false" customHeight="false" outlineLevel="0" collapsed="false">
      <c r="A46" s="196" t="s">
        <v>4</v>
      </c>
      <c r="B46" s="196" t="s">
        <v>5</v>
      </c>
      <c r="C46" s="196" t="s">
        <v>6</v>
      </c>
      <c r="D46" s="196" t="s">
        <v>7</v>
      </c>
      <c r="E46" s="196" t="s">
        <v>8</v>
      </c>
      <c r="F46" s="353" t="s">
        <v>9</v>
      </c>
      <c r="G46" s="196" t="s">
        <v>10</v>
      </c>
    </row>
    <row r="47" customFormat="false" ht="14.35" hidden="false" customHeight="false" outlineLevel="0" collapsed="false">
      <c r="A47" s="196" t="s">
        <v>79</v>
      </c>
      <c r="B47" s="196" t="s">
        <v>1129</v>
      </c>
      <c r="C47" s="196" t="s">
        <v>1905</v>
      </c>
      <c r="D47" s="196" t="s">
        <v>80</v>
      </c>
      <c r="E47" s="196" t="n">
        <v>120</v>
      </c>
      <c r="F47" s="353" t="s">
        <v>34</v>
      </c>
      <c r="G47" s="196" t="n">
        <v>132</v>
      </c>
    </row>
    <row r="48" customFormat="false" ht="14.35" hidden="false" customHeight="false" outlineLevel="0" collapsed="false">
      <c r="A48" s="196" t="s">
        <v>79</v>
      </c>
      <c r="B48" s="196" t="s">
        <v>1129</v>
      </c>
      <c r="C48" s="196" t="s">
        <v>1904</v>
      </c>
      <c r="D48" s="196" t="s">
        <v>81</v>
      </c>
      <c r="E48" s="196" t="n">
        <v>56</v>
      </c>
      <c r="F48" s="353" t="s">
        <v>34</v>
      </c>
      <c r="G48" s="196" t="n">
        <v>61.6</v>
      </c>
    </row>
    <row r="49" customFormat="false" ht="14.35" hidden="false" customHeight="false" outlineLevel="0" collapsed="false">
      <c r="A49" s="196" t="s">
        <v>79</v>
      </c>
      <c r="B49" s="196" t="s">
        <v>1129</v>
      </c>
      <c r="C49" s="196" t="s">
        <v>1905</v>
      </c>
      <c r="D49" s="196" t="s">
        <v>82</v>
      </c>
      <c r="E49" s="196" t="n">
        <v>130</v>
      </c>
      <c r="F49" s="353" t="s">
        <v>34</v>
      </c>
      <c r="G49" s="196" t="n">
        <v>143</v>
      </c>
    </row>
    <row r="50" customFormat="false" ht="14.35" hidden="false" customHeight="false" outlineLevel="0" collapsed="false">
      <c r="A50" s="196" t="s">
        <v>84</v>
      </c>
      <c r="B50" s="196" t="s">
        <v>1255</v>
      </c>
      <c r="C50" s="196" t="s">
        <v>1820</v>
      </c>
      <c r="D50" s="196" t="s">
        <v>42</v>
      </c>
      <c r="E50" s="196" t="n">
        <v>37</v>
      </c>
      <c r="F50" s="353" t="s">
        <v>560</v>
      </c>
      <c r="G50" s="196" t="n">
        <v>40.7</v>
      </c>
      <c r="H50" s="353" t="n">
        <v>37</v>
      </c>
    </row>
    <row r="51" customFormat="false" ht="14.35" hidden="false" customHeight="false" outlineLevel="0" collapsed="false">
      <c r="A51" s="196" t="s">
        <v>85</v>
      </c>
      <c r="B51" s="196" t="s">
        <v>1263</v>
      </c>
      <c r="C51" s="196" t="s">
        <v>1717</v>
      </c>
      <c r="D51" s="196" t="s">
        <v>86</v>
      </c>
      <c r="E51" s="196" t="n">
        <v>40</v>
      </c>
      <c r="F51" s="353" t="s">
        <v>541</v>
      </c>
      <c r="G51" s="196" t="n">
        <v>44</v>
      </c>
      <c r="H51" s="353" t="n">
        <v>40</v>
      </c>
    </row>
    <row r="52" customFormat="false" ht="14.35" hidden="false" customHeight="false" outlineLevel="0" collapsed="false">
      <c r="A52" s="196" t="s">
        <v>87</v>
      </c>
      <c r="B52" s="196" t="s">
        <v>1004</v>
      </c>
      <c r="C52" s="196" t="s">
        <v>1390</v>
      </c>
      <c r="D52" s="196" t="s">
        <v>88</v>
      </c>
      <c r="E52" s="196" t="n">
        <v>101</v>
      </c>
      <c r="F52" s="353" t="s">
        <v>564</v>
      </c>
      <c r="G52" s="196" t="n">
        <v>111.1</v>
      </c>
      <c r="H52" s="353" t="s">
        <v>565</v>
      </c>
    </row>
    <row r="53" customFormat="false" ht="14.35" hidden="false" customHeight="false" outlineLevel="0" collapsed="false">
      <c r="A53" s="196" t="s">
        <v>89</v>
      </c>
      <c r="B53" s="196" t="s">
        <v>1096</v>
      </c>
      <c r="C53" s="196" t="s">
        <v>1443</v>
      </c>
      <c r="D53" s="196" t="s">
        <v>75</v>
      </c>
      <c r="E53" s="196" t="n">
        <v>55</v>
      </c>
      <c r="F53" s="353" t="s">
        <v>545</v>
      </c>
      <c r="G53" s="196" t="n">
        <v>60.5</v>
      </c>
      <c r="H53" s="353" t="n">
        <v>55</v>
      </c>
    </row>
    <row r="54" customFormat="false" ht="14.35" hidden="false" customHeight="false" outlineLevel="0" collapsed="false">
      <c r="A54" s="196" t="s">
        <v>90</v>
      </c>
      <c r="B54" s="196" t="s">
        <v>1356</v>
      </c>
      <c r="C54" s="196" t="s">
        <v>1917</v>
      </c>
      <c r="D54" s="196" t="s">
        <v>91</v>
      </c>
      <c r="E54" s="196" t="n">
        <v>130</v>
      </c>
      <c r="F54" s="353" t="s">
        <v>956</v>
      </c>
      <c r="G54" s="196" t="n">
        <v>143</v>
      </c>
      <c r="H54" s="353" t="n">
        <v>130</v>
      </c>
    </row>
    <row r="55" customFormat="false" ht="14.35" hidden="false" customHeight="false" outlineLevel="0" collapsed="false">
      <c r="A55" s="196" t="s">
        <v>62</v>
      </c>
      <c r="B55" s="196" t="s">
        <v>1322</v>
      </c>
      <c r="C55" s="196" t="s">
        <v>1513</v>
      </c>
      <c r="D55" s="196" t="s">
        <v>63</v>
      </c>
      <c r="E55" s="196" t="n">
        <v>53</v>
      </c>
      <c r="F55" s="353" t="s">
        <v>955</v>
      </c>
      <c r="G55" s="196" t="n">
        <v>58.3</v>
      </c>
      <c r="H55" s="353" t="n">
        <v>53</v>
      </c>
    </row>
    <row r="56" customFormat="false" ht="14.35" hidden="false" customHeight="false" outlineLevel="0" collapsed="false">
      <c r="A56" s="196" t="s">
        <v>92</v>
      </c>
      <c r="B56" s="196" t="s">
        <v>1134</v>
      </c>
      <c r="C56" s="196" t="s">
        <v>1868</v>
      </c>
      <c r="D56" s="196" t="s">
        <v>93</v>
      </c>
      <c r="E56" s="196" t="n">
        <v>95</v>
      </c>
      <c r="F56" s="353" t="s">
        <v>567</v>
      </c>
      <c r="G56" s="196" t="n">
        <v>104.5</v>
      </c>
      <c r="H56" s="353" t="s">
        <v>568</v>
      </c>
    </row>
    <row r="57" customFormat="false" ht="14.35" hidden="false" customHeight="false" outlineLevel="0" collapsed="false">
      <c r="A57" s="196" t="s">
        <v>64</v>
      </c>
      <c r="B57" s="196" t="s">
        <v>1089</v>
      </c>
      <c r="C57" s="196" t="s">
        <v>1457</v>
      </c>
      <c r="D57" s="196" t="s">
        <v>65</v>
      </c>
      <c r="E57" s="196" t="n">
        <v>90</v>
      </c>
      <c r="F57" s="353" t="s">
        <v>569</v>
      </c>
      <c r="G57" s="196" t="n">
        <v>99</v>
      </c>
      <c r="H57" s="353" t="s">
        <v>570</v>
      </c>
    </row>
    <row r="58" customFormat="false" ht="14.35" hidden="false" customHeight="false" outlineLevel="0" collapsed="false">
      <c r="A58" s="196" t="s">
        <v>49</v>
      </c>
      <c r="B58" s="196" t="s">
        <v>1011</v>
      </c>
      <c r="C58" s="196" t="s">
        <v>1398</v>
      </c>
      <c r="D58" s="196" t="s">
        <v>50</v>
      </c>
      <c r="E58" s="196" t="n">
        <v>103</v>
      </c>
      <c r="F58" s="353" t="s">
        <v>571</v>
      </c>
      <c r="G58" s="196" t="n">
        <v>113.3</v>
      </c>
      <c r="H58" s="353" t="s">
        <v>572</v>
      </c>
    </row>
    <row r="59" customFormat="false" ht="14.35" hidden="false" customHeight="false" outlineLevel="0" collapsed="false">
      <c r="A59" s="196" t="s">
        <v>102</v>
      </c>
      <c r="B59" s="196" t="s">
        <v>1122</v>
      </c>
      <c r="C59" s="196" t="s">
        <v>1502</v>
      </c>
      <c r="D59" s="196" t="s">
        <v>103</v>
      </c>
      <c r="E59" s="196" t="n">
        <v>115</v>
      </c>
      <c r="F59" s="353" t="s">
        <v>569</v>
      </c>
      <c r="G59" s="196" t="n">
        <v>126.5</v>
      </c>
      <c r="H59" s="353" t="s">
        <v>573</v>
      </c>
    </row>
    <row r="60" customFormat="false" ht="14.35" hidden="false" customHeight="false" outlineLevel="0" collapsed="false">
      <c r="A60" s="196" t="s">
        <v>132</v>
      </c>
      <c r="B60" s="196" t="s">
        <v>1028</v>
      </c>
      <c r="C60" s="196" t="s">
        <v>1417</v>
      </c>
      <c r="D60" s="196" t="s">
        <v>133</v>
      </c>
      <c r="E60" s="196" t="n">
        <v>76</v>
      </c>
      <c r="F60" s="353" t="s">
        <v>574</v>
      </c>
      <c r="G60" s="196" t="n">
        <v>83.6</v>
      </c>
      <c r="H60" s="353" t="s">
        <v>575</v>
      </c>
    </row>
    <row r="61" customFormat="false" ht="14.35" hidden="false" customHeight="false" outlineLevel="0" collapsed="false">
      <c r="D61" s="196" t="s">
        <v>105</v>
      </c>
      <c r="E61" s="196" t="n">
        <v>895</v>
      </c>
    </row>
    <row r="63" customFormat="false" ht="14.35" hidden="false" customHeight="false" outlineLevel="0" collapsed="false">
      <c r="A63" s="196" t="s">
        <v>78</v>
      </c>
    </row>
    <row r="64" customFormat="false" ht="14.35" hidden="false" customHeight="false" outlineLevel="0" collapsed="false">
      <c r="A64" s="196" t="s">
        <v>29</v>
      </c>
    </row>
    <row r="65" customFormat="false" ht="14.35" hidden="false" customHeight="false" outlineLevel="0" collapsed="false">
      <c r="A65" s="196" t="s">
        <v>4</v>
      </c>
      <c r="B65" s="196" t="s">
        <v>5</v>
      </c>
      <c r="C65" s="196" t="s">
        <v>6</v>
      </c>
      <c r="D65" s="196" t="s">
        <v>7</v>
      </c>
      <c r="E65" s="196" t="s">
        <v>8</v>
      </c>
      <c r="F65" s="353" t="s">
        <v>9</v>
      </c>
      <c r="G65" s="196" t="s">
        <v>10</v>
      </c>
    </row>
    <row r="66" customFormat="false" ht="14.35" hidden="false" customHeight="false" outlineLevel="0" collapsed="false">
      <c r="A66" s="196" t="s">
        <v>107</v>
      </c>
      <c r="B66" s="196" t="s">
        <v>1082</v>
      </c>
      <c r="C66" s="196" t="s">
        <v>1561</v>
      </c>
      <c r="D66" s="196" t="s">
        <v>108</v>
      </c>
      <c r="E66" s="196" t="n">
        <v>255</v>
      </c>
      <c r="F66" s="353" t="s">
        <v>956</v>
      </c>
      <c r="G66" s="196" t="n">
        <v>280.5</v>
      </c>
      <c r="H66" s="353" t="s">
        <v>576</v>
      </c>
    </row>
    <row r="67" customFormat="false" ht="14.35" hidden="false" customHeight="false" outlineLevel="0" collapsed="false">
      <c r="A67" s="196" t="s">
        <v>107</v>
      </c>
      <c r="B67" s="196" t="s">
        <v>1082</v>
      </c>
      <c r="C67" s="196" t="s">
        <v>1561</v>
      </c>
      <c r="D67" s="196" t="s">
        <v>109</v>
      </c>
      <c r="E67" s="196" t="n">
        <v>80</v>
      </c>
      <c r="F67" s="353" t="s">
        <v>955</v>
      </c>
      <c r="G67" s="196" t="n">
        <v>88</v>
      </c>
      <c r="H67" s="353" t="n">
        <v>80</v>
      </c>
    </row>
    <row r="68" customFormat="false" ht="14.35" hidden="false" customHeight="false" outlineLevel="0" collapsed="false">
      <c r="A68" s="196" t="s">
        <v>110</v>
      </c>
      <c r="B68" s="196" t="s">
        <v>1019</v>
      </c>
      <c r="C68" s="196" t="s">
        <v>1715</v>
      </c>
      <c r="D68" s="196" t="s">
        <v>111</v>
      </c>
      <c r="E68" s="196" t="n">
        <v>83</v>
      </c>
      <c r="F68" s="353" t="s">
        <v>577</v>
      </c>
      <c r="G68" s="196" t="n">
        <v>91.3</v>
      </c>
      <c r="H68" s="353" t="s">
        <v>578</v>
      </c>
    </row>
    <row r="69" customFormat="false" ht="14.35" hidden="false" customHeight="false" outlineLevel="0" collapsed="false">
      <c r="A69" s="196" t="s">
        <v>110</v>
      </c>
      <c r="B69" s="196" t="s">
        <v>1019</v>
      </c>
      <c r="C69" s="196" t="s">
        <v>1715</v>
      </c>
      <c r="D69" s="196" t="s">
        <v>112</v>
      </c>
      <c r="E69" s="196" t="n">
        <v>46</v>
      </c>
      <c r="F69" s="353" t="s">
        <v>579</v>
      </c>
      <c r="G69" s="196" t="n">
        <v>50.6</v>
      </c>
      <c r="H69" s="353" t="s">
        <v>580</v>
      </c>
    </row>
    <row r="70" customFormat="false" ht="14.35" hidden="false" customHeight="false" outlineLevel="0" collapsed="false">
      <c r="A70" s="196" t="s">
        <v>113</v>
      </c>
      <c r="B70" s="196" t="s">
        <v>1272</v>
      </c>
      <c r="C70" s="196" t="s">
        <v>1837</v>
      </c>
      <c r="D70" s="196" t="s">
        <v>114</v>
      </c>
      <c r="E70" s="196" t="n">
        <v>75</v>
      </c>
      <c r="F70" s="353" t="s">
        <v>529</v>
      </c>
      <c r="G70" s="196" t="n">
        <v>82.5</v>
      </c>
      <c r="H70" s="353" t="s">
        <v>581</v>
      </c>
    </row>
    <row r="71" customFormat="false" ht="14.35" hidden="false" customHeight="false" outlineLevel="0" collapsed="false">
      <c r="A71" s="196" t="s">
        <v>113</v>
      </c>
      <c r="B71" s="196" t="s">
        <v>1272</v>
      </c>
      <c r="C71" s="196" t="s">
        <v>1837</v>
      </c>
      <c r="D71" s="196" t="s">
        <v>115</v>
      </c>
      <c r="E71" s="196" t="n">
        <v>100</v>
      </c>
      <c r="F71" s="353" t="s">
        <v>582</v>
      </c>
      <c r="G71" s="196" t="n">
        <v>110</v>
      </c>
      <c r="H71" s="353" t="s">
        <v>583</v>
      </c>
    </row>
    <row r="72" customFormat="false" ht="14.35" hidden="false" customHeight="false" outlineLevel="0" collapsed="false">
      <c r="A72" s="196" t="s">
        <v>116</v>
      </c>
      <c r="B72" s="196" t="s">
        <v>1303</v>
      </c>
      <c r="C72" s="196" t="s">
        <v>1438</v>
      </c>
      <c r="D72" s="196" t="s">
        <v>67</v>
      </c>
      <c r="E72" s="196" t="n">
        <v>55</v>
      </c>
      <c r="F72" s="353" t="s">
        <v>539</v>
      </c>
      <c r="G72" s="196" t="n">
        <v>60.5</v>
      </c>
      <c r="H72" s="353" t="s">
        <v>540</v>
      </c>
    </row>
    <row r="73" customFormat="false" ht="14.35" hidden="false" customHeight="false" outlineLevel="0" collapsed="false">
      <c r="A73" s="196" t="s">
        <v>117</v>
      </c>
      <c r="B73" s="196" t="s">
        <v>1191</v>
      </c>
      <c r="C73" s="196" t="s">
        <v>1925</v>
      </c>
      <c r="D73" s="196" t="s">
        <v>71</v>
      </c>
      <c r="E73" s="196" t="n">
        <v>10</v>
      </c>
      <c r="F73" s="353" t="s">
        <v>584</v>
      </c>
      <c r="G73" s="196" t="n">
        <v>11</v>
      </c>
      <c r="H73" s="353" t="n">
        <v>10</v>
      </c>
    </row>
    <row r="74" customFormat="false" ht="14.35" hidden="false" customHeight="false" outlineLevel="0" collapsed="false">
      <c r="A74" s="196" t="s">
        <v>118</v>
      </c>
      <c r="B74" s="196" t="s">
        <v>1191</v>
      </c>
      <c r="C74" s="196" t="s">
        <v>1931</v>
      </c>
      <c r="D74" s="196" t="s">
        <v>119</v>
      </c>
      <c r="E74" s="196" t="n">
        <v>140</v>
      </c>
      <c r="F74" s="353" t="s">
        <v>585</v>
      </c>
      <c r="G74" s="196" t="n">
        <v>154</v>
      </c>
      <c r="H74" s="353" t="s">
        <v>586</v>
      </c>
    </row>
    <row r="75" customFormat="false" ht="14.35" hidden="false" customHeight="false" outlineLevel="0" collapsed="false">
      <c r="A75" s="196" t="s">
        <v>526</v>
      </c>
      <c r="B75" s="196" t="s">
        <v>1031</v>
      </c>
      <c r="C75" s="196" t="s">
        <v>1414</v>
      </c>
      <c r="D75" s="196" t="s">
        <v>99</v>
      </c>
      <c r="E75" s="196" t="n">
        <v>61</v>
      </c>
      <c r="F75" s="353" t="s">
        <v>587</v>
      </c>
      <c r="G75" s="196" t="n">
        <v>67.1</v>
      </c>
      <c r="H75" s="353" t="s">
        <v>588</v>
      </c>
    </row>
    <row r="76" customFormat="false" ht="14.35" hidden="false" customHeight="false" outlineLevel="0" collapsed="false">
      <c r="A76" s="196" t="s">
        <v>100</v>
      </c>
      <c r="B76" s="196" t="s">
        <v>1308</v>
      </c>
      <c r="C76" s="196" t="s">
        <v>1802</v>
      </c>
      <c r="D76" s="196" t="s">
        <v>101</v>
      </c>
      <c r="E76" s="196" t="n">
        <v>57</v>
      </c>
      <c r="F76" s="353" t="s">
        <v>535</v>
      </c>
      <c r="G76" s="196" t="n">
        <v>62.7</v>
      </c>
      <c r="H76" s="353" t="s">
        <v>589</v>
      </c>
    </row>
    <row r="77" customFormat="false" ht="14.35" hidden="false" customHeight="false" outlineLevel="0" collapsed="false">
      <c r="A77" s="196" t="s">
        <v>120</v>
      </c>
      <c r="B77" s="196" t="s">
        <v>1247</v>
      </c>
      <c r="C77" s="196" t="s">
        <v>1793</v>
      </c>
      <c r="D77" s="196" t="s">
        <v>121</v>
      </c>
      <c r="E77" s="196" t="n">
        <v>70</v>
      </c>
      <c r="F77" s="353" t="s">
        <v>558</v>
      </c>
      <c r="G77" s="196" t="n">
        <v>77</v>
      </c>
      <c r="H77" s="353" t="s">
        <v>590</v>
      </c>
    </row>
    <row r="78" customFormat="false" ht="14.35" hidden="false" customHeight="false" outlineLevel="0" collapsed="false">
      <c r="A78" s="196" t="s">
        <v>122</v>
      </c>
      <c r="B78" s="196" t="s">
        <v>1143</v>
      </c>
      <c r="C78" s="196" t="s">
        <v>1515</v>
      </c>
      <c r="D78" s="196" t="s">
        <v>73</v>
      </c>
      <c r="E78" s="196" t="n">
        <v>50</v>
      </c>
      <c r="F78" s="353" t="s">
        <v>591</v>
      </c>
      <c r="G78" s="196" t="n">
        <v>55</v>
      </c>
      <c r="H78" s="353" t="s">
        <v>592</v>
      </c>
    </row>
    <row r="79" customFormat="false" ht="14.35" hidden="false" customHeight="false" outlineLevel="0" collapsed="false">
      <c r="A79" s="196" t="s">
        <v>123</v>
      </c>
      <c r="B79" s="196" t="s">
        <v>1248</v>
      </c>
      <c r="C79" s="196" t="s">
        <v>1438</v>
      </c>
      <c r="D79" s="196" t="s">
        <v>124</v>
      </c>
      <c r="E79" s="196" t="n">
        <v>69</v>
      </c>
      <c r="F79" s="353" t="s">
        <v>593</v>
      </c>
      <c r="G79" s="196" t="n">
        <v>75.9</v>
      </c>
      <c r="H79" s="353" t="s">
        <v>594</v>
      </c>
    </row>
    <row r="80" customFormat="false" ht="14.35" hidden="false" customHeight="false" outlineLevel="0" collapsed="false">
      <c r="D80" s="196" t="s">
        <v>127</v>
      </c>
      <c r="E80" s="196" t="n">
        <v>1151</v>
      </c>
    </row>
    <row r="81" customFormat="false" ht="14.35" hidden="false" customHeight="false" outlineLevel="0" collapsed="false">
      <c r="A81" s="196" t="s">
        <v>78</v>
      </c>
    </row>
    <row r="82" customFormat="false" ht="14.35" hidden="false" customHeight="false" outlineLevel="0" collapsed="false">
      <c r="A82" s="196" t="s">
        <v>59</v>
      </c>
    </row>
    <row r="83" customFormat="false" ht="14.35" hidden="false" customHeight="false" outlineLevel="0" collapsed="false">
      <c r="A83" s="196" t="s">
        <v>4</v>
      </c>
      <c r="B83" s="196" t="s">
        <v>5</v>
      </c>
      <c r="C83" s="196" t="s">
        <v>6</v>
      </c>
      <c r="D83" s="196" t="s">
        <v>7</v>
      </c>
      <c r="E83" s="196" t="s">
        <v>8</v>
      </c>
      <c r="F83" s="353" t="s">
        <v>9</v>
      </c>
      <c r="G83" s="196" t="s">
        <v>10</v>
      </c>
    </row>
    <row r="84" customFormat="false" ht="14.35" hidden="false" customHeight="false" outlineLevel="0" collapsed="false">
      <c r="A84" s="196" t="s">
        <v>520</v>
      </c>
      <c r="B84" s="196" t="s">
        <v>1074</v>
      </c>
      <c r="C84" s="196" t="s">
        <v>1556</v>
      </c>
      <c r="D84" s="196" t="s">
        <v>130</v>
      </c>
      <c r="E84" s="196" t="n">
        <v>136</v>
      </c>
      <c r="F84" s="353" t="s">
        <v>595</v>
      </c>
      <c r="G84" s="196" t="n">
        <v>149.6</v>
      </c>
      <c r="H84" s="353" t="s">
        <v>596</v>
      </c>
    </row>
    <row r="85" customFormat="false" ht="14.35" hidden="false" customHeight="false" outlineLevel="0" collapsed="false">
      <c r="A85" s="196" t="s">
        <v>134</v>
      </c>
      <c r="B85" s="196" t="s">
        <v>1291</v>
      </c>
      <c r="C85" s="196" t="s">
        <v>1857</v>
      </c>
      <c r="D85" s="196" t="s">
        <v>135</v>
      </c>
      <c r="E85" s="196" t="n">
        <v>60</v>
      </c>
      <c r="F85" s="353" t="s">
        <v>545</v>
      </c>
      <c r="G85" s="196" t="n">
        <v>66</v>
      </c>
      <c r="H85" s="353" t="n">
        <v>60</v>
      </c>
    </row>
    <row r="86" customFormat="false" ht="14.35" hidden="false" customHeight="false" outlineLevel="0" collapsed="false">
      <c r="A86" s="196" t="s">
        <v>134</v>
      </c>
      <c r="B86" s="196" t="s">
        <v>1317</v>
      </c>
      <c r="C86" s="196" t="s">
        <v>1857</v>
      </c>
      <c r="D86" s="196" t="s">
        <v>136</v>
      </c>
      <c r="E86" s="196" t="n">
        <v>55</v>
      </c>
      <c r="F86" s="353" t="s">
        <v>597</v>
      </c>
      <c r="G86" s="196" t="n">
        <v>60.5</v>
      </c>
      <c r="H86" s="353" t="s">
        <v>598</v>
      </c>
    </row>
    <row r="87" customFormat="false" ht="14.35" hidden="false" customHeight="false" outlineLevel="0" collapsed="false">
      <c r="A87" s="196" t="s">
        <v>137</v>
      </c>
      <c r="B87" s="196" t="s">
        <v>1174</v>
      </c>
      <c r="C87" s="196" t="s">
        <v>1946</v>
      </c>
      <c r="D87" s="196" t="s">
        <v>51</v>
      </c>
      <c r="E87" s="196" t="n">
        <v>295</v>
      </c>
      <c r="F87" s="353" t="s">
        <v>599</v>
      </c>
      <c r="G87" s="196" t="n">
        <v>324.5</v>
      </c>
      <c r="H87" s="353" t="s">
        <v>600</v>
      </c>
    </row>
    <row r="88" customFormat="false" ht="14.35" hidden="false" customHeight="false" outlineLevel="0" collapsed="false">
      <c r="A88" s="196" t="s">
        <v>52</v>
      </c>
      <c r="B88" s="196" t="s">
        <v>997</v>
      </c>
      <c r="C88" s="196" t="s">
        <v>1948</v>
      </c>
      <c r="D88" s="196" t="s">
        <v>53</v>
      </c>
      <c r="E88" s="196" t="n">
        <v>155</v>
      </c>
      <c r="F88" s="353" t="s">
        <v>601</v>
      </c>
      <c r="G88" s="196" t="n">
        <v>170.5</v>
      </c>
      <c r="H88" s="353" t="s">
        <v>543</v>
      </c>
    </row>
    <row r="89" customFormat="false" ht="14.35" hidden="false" customHeight="false" outlineLevel="0" collapsed="false">
      <c r="A89" s="196" t="s">
        <v>104</v>
      </c>
      <c r="B89" s="196" t="s">
        <v>1349</v>
      </c>
      <c r="C89" s="196" t="s">
        <v>1893</v>
      </c>
      <c r="D89" s="196" t="s">
        <v>46</v>
      </c>
      <c r="E89" s="196" t="n">
        <v>99</v>
      </c>
      <c r="F89" s="353" t="s">
        <v>571</v>
      </c>
      <c r="G89" s="196" t="n">
        <v>108.9</v>
      </c>
      <c r="H89" s="353" t="s">
        <v>602</v>
      </c>
    </row>
    <row r="90" customFormat="false" ht="14.35" hidden="false" customHeight="false" outlineLevel="0" collapsed="false">
      <c r="A90" s="196" t="s">
        <v>468</v>
      </c>
      <c r="B90" s="196" t="s">
        <v>1989</v>
      </c>
      <c r="C90" s="196" t="s">
        <v>1846</v>
      </c>
      <c r="D90" s="196" t="s">
        <v>210</v>
      </c>
      <c r="E90" s="196" t="n">
        <v>83</v>
      </c>
      <c r="F90" s="353" t="s">
        <v>603</v>
      </c>
      <c r="G90" s="196" t="n">
        <v>91.3</v>
      </c>
      <c r="H90" s="353" t="s">
        <v>604</v>
      </c>
    </row>
    <row r="91" customFormat="false" ht="14.35" hidden="false" customHeight="false" outlineLevel="0" collapsed="false">
      <c r="A91" s="196" t="s">
        <v>139</v>
      </c>
      <c r="B91" s="196" t="s">
        <v>1285</v>
      </c>
      <c r="C91" s="196" t="s">
        <v>1761</v>
      </c>
      <c r="D91" s="196" t="s">
        <v>140</v>
      </c>
      <c r="E91" s="196" t="n">
        <v>85</v>
      </c>
      <c r="F91" s="353" t="s">
        <v>605</v>
      </c>
      <c r="G91" s="196" t="n">
        <v>93.5</v>
      </c>
      <c r="H91" s="353" t="s">
        <v>606</v>
      </c>
    </row>
    <row r="92" customFormat="false" ht="14.35" hidden="false" customHeight="false" outlineLevel="0" collapsed="false">
      <c r="A92" s="196" t="s">
        <v>141</v>
      </c>
      <c r="B92" s="196" t="s">
        <v>1313</v>
      </c>
      <c r="C92" s="196" t="s">
        <v>1761</v>
      </c>
      <c r="D92" s="196" t="s">
        <v>142</v>
      </c>
      <c r="E92" s="196" t="n">
        <v>87</v>
      </c>
      <c r="F92" s="353" t="s">
        <v>607</v>
      </c>
      <c r="G92" s="196" t="n">
        <v>95.7</v>
      </c>
      <c r="H92" s="353" t="s">
        <v>608</v>
      </c>
    </row>
    <row r="93" customFormat="false" ht="14.35" hidden="false" customHeight="false" outlineLevel="0" collapsed="false">
      <c r="A93" s="196" t="s">
        <v>267</v>
      </c>
      <c r="B93" s="196" t="s">
        <v>1198</v>
      </c>
      <c r="C93" s="196" t="s">
        <v>1615</v>
      </c>
      <c r="D93" s="196" t="s">
        <v>144</v>
      </c>
      <c r="E93" s="196" t="n">
        <v>205</v>
      </c>
      <c r="F93" s="353" t="s">
        <v>609</v>
      </c>
      <c r="G93" s="196" t="n">
        <v>225.5</v>
      </c>
      <c r="H93" s="353" t="s">
        <v>610</v>
      </c>
    </row>
    <row r="94" customFormat="false" ht="14.35" hidden="false" customHeight="false" outlineLevel="0" collapsed="false">
      <c r="D94" s="196" t="s">
        <v>145</v>
      </c>
      <c r="E94" s="196" t="n">
        <v>1124</v>
      </c>
    </row>
    <row r="95" customFormat="false" ht="14.35" hidden="false" customHeight="false" outlineLevel="0" collapsed="false">
      <c r="A95" s="196" t="s">
        <v>147</v>
      </c>
    </row>
    <row r="96" customFormat="false" ht="14.35" hidden="false" customHeight="false" outlineLevel="0" collapsed="false">
      <c r="A96" s="196" t="s">
        <v>2</v>
      </c>
    </row>
    <row r="97" customFormat="false" ht="14.35" hidden="false" customHeight="false" outlineLevel="0" collapsed="false">
      <c r="A97" s="196" t="s">
        <v>4</v>
      </c>
      <c r="B97" s="196" t="s">
        <v>5</v>
      </c>
      <c r="C97" s="196" t="s">
        <v>6</v>
      </c>
      <c r="D97" s="196" t="s">
        <v>7</v>
      </c>
      <c r="E97" s="196" t="s">
        <v>8</v>
      </c>
      <c r="F97" s="353" t="s">
        <v>9</v>
      </c>
      <c r="G97" s="196" t="s">
        <v>10</v>
      </c>
    </row>
    <row r="98" customFormat="false" ht="14.35" hidden="false" customHeight="false" outlineLevel="0" collapsed="false">
      <c r="A98" s="196" t="s">
        <v>150</v>
      </c>
      <c r="B98" s="196" t="s">
        <v>1231</v>
      </c>
      <c r="C98" s="196" t="s">
        <v>1907</v>
      </c>
      <c r="D98" s="196" t="s">
        <v>77</v>
      </c>
      <c r="E98" s="196" t="n">
        <v>122</v>
      </c>
      <c r="F98" s="353" t="s">
        <v>611</v>
      </c>
      <c r="G98" s="196" t="n">
        <v>134.2</v>
      </c>
      <c r="H98" s="353" t="s">
        <v>563</v>
      </c>
    </row>
    <row r="99" customFormat="false" ht="14.35" hidden="false" customHeight="false" outlineLevel="0" collapsed="false">
      <c r="A99" s="196" t="s">
        <v>151</v>
      </c>
      <c r="B99" s="196" t="s">
        <v>1023</v>
      </c>
      <c r="C99" s="196" t="s">
        <v>1755</v>
      </c>
      <c r="D99" s="196" t="s">
        <v>33</v>
      </c>
      <c r="E99" s="196" t="n">
        <v>240</v>
      </c>
      <c r="F99" s="353" t="s">
        <v>531</v>
      </c>
      <c r="G99" s="196" t="n">
        <v>264</v>
      </c>
      <c r="H99" s="353" t="s">
        <v>612</v>
      </c>
    </row>
    <row r="100" customFormat="false" ht="14.35" hidden="false" customHeight="false" outlineLevel="0" collapsed="false">
      <c r="A100" s="196" t="s">
        <v>151</v>
      </c>
      <c r="B100" s="196" t="s">
        <v>1023</v>
      </c>
      <c r="C100" s="196" t="s">
        <v>1755</v>
      </c>
      <c r="D100" s="196" t="s">
        <v>36</v>
      </c>
      <c r="E100" s="196" t="n">
        <v>75</v>
      </c>
      <c r="F100" s="353" t="s">
        <v>546</v>
      </c>
      <c r="G100" s="196" t="n">
        <v>82.5</v>
      </c>
      <c r="H100" s="353" t="n">
        <v>75</v>
      </c>
    </row>
    <row r="101" customFormat="false" ht="14.35" hidden="false" customHeight="false" outlineLevel="0" collapsed="false">
      <c r="A101" s="196" t="s">
        <v>151</v>
      </c>
      <c r="B101" s="196" t="s">
        <v>1023</v>
      </c>
      <c r="C101" s="196" t="s">
        <v>1755</v>
      </c>
      <c r="D101" s="196" t="s">
        <v>38</v>
      </c>
      <c r="E101" s="196" t="n">
        <v>80</v>
      </c>
      <c r="F101" s="353" t="s">
        <v>577</v>
      </c>
      <c r="G101" s="196" t="n">
        <v>88</v>
      </c>
      <c r="H101" s="353" t="s">
        <v>613</v>
      </c>
    </row>
    <row r="102" customFormat="false" ht="14.35" hidden="false" customHeight="false" outlineLevel="0" collapsed="false">
      <c r="A102" s="196" t="s">
        <v>151</v>
      </c>
      <c r="B102" s="196" t="s">
        <v>1023</v>
      </c>
      <c r="C102" s="196" t="s">
        <v>1755</v>
      </c>
      <c r="D102" s="196" t="s">
        <v>40</v>
      </c>
      <c r="E102" s="196" t="n">
        <v>82</v>
      </c>
      <c r="F102" s="353" t="s">
        <v>614</v>
      </c>
      <c r="G102" s="196" t="n">
        <v>90.2</v>
      </c>
      <c r="H102" s="353" t="s">
        <v>615</v>
      </c>
    </row>
    <row r="103" customFormat="false" ht="14.35" hidden="false" customHeight="false" outlineLevel="0" collapsed="false">
      <c r="A103" s="196" t="s">
        <v>152</v>
      </c>
      <c r="B103" s="196" t="s">
        <v>1253</v>
      </c>
      <c r="C103" s="196" t="s">
        <v>1755</v>
      </c>
      <c r="D103" s="196" t="s">
        <v>42</v>
      </c>
      <c r="E103" s="196" t="n">
        <v>37</v>
      </c>
      <c r="F103" s="353" t="s">
        <v>616</v>
      </c>
      <c r="G103" s="196" t="n">
        <v>40.7</v>
      </c>
      <c r="H103" s="353" t="n">
        <v>37</v>
      </c>
    </row>
    <row r="104" customFormat="false" ht="14.35" hidden="false" customHeight="false" outlineLevel="0" collapsed="false">
      <c r="A104" s="196" t="s">
        <v>153</v>
      </c>
      <c r="B104" s="196" t="s">
        <v>1209</v>
      </c>
      <c r="C104" s="196" t="s">
        <v>1682</v>
      </c>
      <c r="D104" s="196" t="s">
        <v>154</v>
      </c>
      <c r="E104" s="196" t="n">
        <v>154</v>
      </c>
      <c r="F104" s="353" t="s">
        <v>601</v>
      </c>
      <c r="G104" s="196" t="n">
        <v>169.4</v>
      </c>
      <c r="H104" s="353" t="s">
        <v>543</v>
      </c>
    </row>
    <row r="105" customFormat="false" ht="14.35" hidden="false" customHeight="false" outlineLevel="0" collapsed="false">
      <c r="A105" s="196" t="s">
        <v>155</v>
      </c>
      <c r="B105" s="196" t="s">
        <v>1123</v>
      </c>
      <c r="C105" s="196" t="s">
        <v>1504</v>
      </c>
      <c r="D105" s="196" t="s">
        <v>103</v>
      </c>
      <c r="E105" s="196" t="n">
        <v>150</v>
      </c>
      <c r="F105" s="353" t="s">
        <v>617</v>
      </c>
      <c r="G105" s="196" t="n">
        <v>165</v>
      </c>
      <c r="H105" s="353" t="s">
        <v>618</v>
      </c>
    </row>
    <row r="106" customFormat="false" ht="14.35" hidden="false" customHeight="false" outlineLevel="0" collapsed="false">
      <c r="A106" s="196" t="s">
        <v>156</v>
      </c>
      <c r="B106" s="196" t="s">
        <v>1111</v>
      </c>
      <c r="C106" s="196" t="s">
        <v>1502</v>
      </c>
      <c r="D106" s="196" t="s">
        <v>157</v>
      </c>
      <c r="E106" s="196" t="n">
        <v>230</v>
      </c>
      <c r="F106" s="353" t="s">
        <v>619</v>
      </c>
      <c r="G106" s="196" t="n">
        <v>253</v>
      </c>
      <c r="H106" s="353" t="s">
        <v>620</v>
      </c>
    </row>
    <row r="107" customFormat="false" ht="14.35" hidden="false" customHeight="false" outlineLevel="0" collapsed="false">
      <c r="D107" s="196" t="s">
        <v>158</v>
      </c>
      <c r="E107" s="196" t="n">
        <v>1170</v>
      </c>
    </row>
    <row r="108" customFormat="false" ht="14.35" hidden="false" customHeight="false" outlineLevel="0" collapsed="false">
      <c r="A108" s="196" t="s">
        <v>147</v>
      </c>
    </row>
    <row r="109" customFormat="false" ht="14.35" hidden="false" customHeight="false" outlineLevel="0" collapsed="false">
      <c r="A109" s="196" t="s">
        <v>29</v>
      </c>
    </row>
    <row r="110" customFormat="false" ht="14.35" hidden="false" customHeight="false" outlineLevel="0" collapsed="false">
      <c r="A110" s="196" t="s">
        <v>4</v>
      </c>
      <c r="B110" s="196" t="s">
        <v>5</v>
      </c>
      <c r="C110" s="196" t="s">
        <v>6</v>
      </c>
      <c r="D110" s="196" t="s">
        <v>7</v>
      </c>
      <c r="E110" s="196" t="s">
        <v>8</v>
      </c>
      <c r="F110" s="353" t="s">
        <v>9</v>
      </c>
      <c r="G110" s="196" t="s">
        <v>10</v>
      </c>
    </row>
    <row r="111" customFormat="false" ht="14.35" hidden="false" customHeight="false" outlineLevel="0" collapsed="false">
      <c r="A111" s="196" t="s">
        <v>160</v>
      </c>
      <c r="B111" s="196" t="s">
        <v>993</v>
      </c>
      <c r="C111" s="196" t="s">
        <v>1404</v>
      </c>
      <c r="D111" s="196" t="s">
        <v>131</v>
      </c>
      <c r="E111" s="196" t="n">
        <v>128</v>
      </c>
      <c r="F111" s="353" t="s">
        <v>957</v>
      </c>
      <c r="G111" s="196" t="n">
        <v>140.8</v>
      </c>
      <c r="H111" s="353" t="s">
        <v>621</v>
      </c>
    </row>
    <row r="112" customFormat="false" ht="14.35" hidden="false" customHeight="false" outlineLevel="0" collapsed="false">
      <c r="A112" s="196" t="s">
        <v>160</v>
      </c>
      <c r="B112" s="196" t="s">
        <v>993</v>
      </c>
      <c r="C112" s="196" t="s">
        <v>1739</v>
      </c>
      <c r="D112" s="196" t="s">
        <v>112</v>
      </c>
      <c r="E112" s="196" t="n">
        <v>46</v>
      </c>
      <c r="F112" s="353" t="s">
        <v>958</v>
      </c>
      <c r="G112" s="196" t="n">
        <v>50.6</v>
      </c>
      <c r="H112" s="353" t="s">
        <v>623</v>
      </c>
    </row>
    <row r="113" customFormat="false" ht="14.35" hidden="false" customHeight="false" outlineLevel="0" collapsed="false">
      <c r="A113" s="196" t="s">
        <v>160</v>
      </c>
      <c r="B113" s="196" t="s">
        <v>993</v>
      </c>
      <c r="C113" s="196" t="s">
        <v>1404</v>
      </c>
      <c r="D113" s="196" t="s">
        <v>114</v>
      </c>
      <c r="E113" s="196" t="n">
        <v>75</v>
      </c>
      <c r="F113" s="353" t="s">
        <v>624</v>
      </c>
      <c r="G113" s="196" t="n">
        <v>82.5</v>
      </c>
      <c r="H113" s="353" t="s">
        <v>590</v>
      </c>
    </row>
    <row r="114" customFormat="false" ht="14.35" hidden="false" customHeight="false" outlineLevel="0" collapsed="false">
      <c r="A114" s="196" t="s">
        <v>160</v>
      </c>
      <c r="B114" s="196" t="s">
        <v>993</v>
      </c>
      <c r="C114" s="196" t="s">
        <v>1987</v>
      </c>
      <c r="D114" s="196" t="s">
        <v>115</v>
      </c>
      <c r="E114" s="196" t="n">
        <v>100</v>
      </c>
      <c r="F114" s="353" t="s">
        <v>582</v>
      </c>
      <c r="G114" s="196" t="n">
        <v>110</v>
      </c>
      <c r="H114" s="353" t="s">
        <v>583</v>
      </c>
    </row>
    <row r="115" customFormat="false" ht="14.35" hidden="false" customHeight="false" outlineLevel="0" collapsed="false">
      <c r="A115" s="196" t="s">
        <v>160</v>
      </c>
      <c r="B115" s="196" t="s">
        <v>993</v>
      </c>
      <c r="C115" s="196" t="s">
        <v>1992</v>
      </c>
      <c r="D115" s="196" t="s">
        <v>161</v>
      </c>
      <c r="E115" s="196" t="n">
        <v>225</v>
      </c>
      <c r="F115" s="353" t="s">
        <v>619</v>
      </c>
      <c r="G115" s="196" t="n">
        <v>247.5</v>
      </c>
      <c r="H115" s="353" t="s">
        <v>625</v>
      </c>
    </row>
    <row r="116" customFormat="false" ht="14.35" hidden="false" customHeight="false" outlineLevel="0" collapsed="false">
      <c r="A116" s="196" t="s">
        <v>160</v>
      </c>
      <c r="B116" s="196" t="s">
        <v>993</v>
      </c>
      <c r="C116" s="196" t="s">
        <v>1739</v>
      </c>
      <c r="D116" s="196" t="s">
        <v>162</v>
      </c>
      <c r="E116" s="196" t="n">
        <v>85</v>
      </c>
      <c r="F116" s="353" t="s">
        <v>626</v>
      </c>
      <c r="G116" s="196" t="n">
        <v>93.5</v>
      </c>
      <c r="H116" s="353" t="s">
        <v>627</v>
      </c>
    </row>
    <row r="117" customFormat="false" ht="14.35" hidden="false" customHeight="false" outlineLevel="0" collapsed="false">
      <c r="A117" s="196" t="s">
        <v>160</v>
      </c>
      <c r="B117" s="196" t="s">
        <v>993</v>
      </c>
      <c r="C117" s="196" t="s">
        <v>1739</v>
      </c>
      <c r="D117" s="196" t="s">
        <v>111</v>
      </c>
      <c r="E117" s="196" t="n">
        <v>83</v>
      </c>
      <c r="F117" s="353" t="s">
        <v>628</v>
      </c>
      <c r="G117" s="196" t="n">
        <v>91.3</v>
      </c>
      <c r="H117" s="353" t="s">
        <v>629</v>
      </c>
    </row>
    <row r="118" customFormat="false" ht="14.35" hidden="false" customHeight="false" outlineLevel="0" collapsed="false">
      <c r="A118" s="196" t="s">
        <v>163</v>
      </c>
      <c r="B118" s="196" t="s">
        <v>1338</v>
      </c>
      <c r="C118" s="196" t="s">
        <v>1866</v>
      </c>
      <c r="D118" s="196" t="s">
        <v>18</v>
      </c>
      <c r="E118" s="196" t="n">
        <v>80</v>
      </c>
      <c r="F118" s="353" t="s">
        <v>630</v>
      </c>
      <c r="G118" s="196" t="n">
        <v>88</v>
      </c>
      <c r="H118" s="353" t="s">
        <v>631</v>
      </c>
    </row>
    <row r="119" customFormat="false" ht="14.35" hidden="false" customHeight="false" outlineLevel="0" collapsed="false">
      <c r="A119" s="196" t="s">
        <v>164</v>
      </c>
      <c r="B119" s="196" t="s">
        <v>1264</v>
      </c>
      <c r="C119" s="196" t="s">
        <v>1829</v>
      </c>
      <c r="D119" s="196" t="s">
        <v>69</v>
      </c>
      <c r="E119" s="196" t="n">
        <v>23</v>
      </c>
      <c r="F119" s="353" t="s">
        <v>632</v>
      </c>
      <c r="G119" s="196" t="n">
        <v>25.3</v>
      </c>
      <c r="H119" s="353" t="n">
        <v>23</v>
      </c>
    </row>
    <row r="120" customFormat="false" ht="14.35" hidden="false" customHeight="false" outlineLevel="0" collapsed="false">
      <c r="A120" s="196" t="s">
        <v>165</v>
      </c>
      <c r="B120" s="196" t="s">
        <v>1055</v>
      </c>
      <c r="C120" s="196" t="s">
        <v>1431</v>
      </c>
      <c r="D120" s="196" t="s">
        <v>23</v>
      </c>
      <c r="E120" s="196" t="n">
        <v>40</v>
      </c>
      <c r="F120" s="353" t="s">
        <v>633</v>
      </c>
      <c r="G120" s="196" t="n">
        <v>44</v>
      </c>
      <c r="H120" s="353" t="n">
        <v>40</v>
      </c>
    </row>
    <row r="121" customFormat="false" ht="14.35" hidden="false" customHeight="false" outlineLevel="0" collapsed="false">
      <c r="A121" s="196" t="s">
        <v>166</v>
      </c>
      <c r="B121" s="196" t="s">
        <v>1159</v>
      </c>
      <c r="C121" s="196" t="s">
        <v>1565</v>
      </c>
      <c r="D121" s="196" t="s">
        <v>108</v>
      </c>
      <c r="E121" s="196" t="n">
        <v>255</v>
      </c>
      <c r="F121" s="353" t="s">
        <v>531</v>
      </c>
      <c r="G121" s="196" t="n">
        <v>280.5</v>
      </c>
      <c r="H121" s="353" t="s">
        <v>634</v>
      </c>
    </row>
    <row r="122" customFormat="false" ht="14.35" hidden="false" customHeight="false" outlineLevel="0" collapsed="false">
      <c r="D122" s="196" t="s">
        <v>167</v>
      </c>
      <c r="E122" s="196" t="n">
        <v>1140</v>
      </c>
    </row>
    <row r="123" customFormat="false" ht="14.35" hidden="false" customHeight="false" outlineLevel="0" collapsed="false">
      <c r="A123" s="196" t="s">
        <v>147</v>
      </c>
    </row>
    <row r="124" customFormat="false" ht="14.35" hidden="false" customHeight="false" outlineLevel="0" collapsed="false">
      <c r="A124" s="196" t="s">
        <v>59</v>
      </c>
    </row>
    <row r="125" customFormat="false" ht="14.35" hidden="false" customHeight="false" outlineLevel="0" collapsed="false">
      <c r="A125" s="196" t="s">
        <v>4</v>
      </c>
      <c r="B125" s="196" t="s">
        <v>5</v>
      </c>
      <c r="C125" s="196" t="s">
        <v>6</v>
      </c>
      <c r="D125" s="196" t="s">
        <v>7</v>
      </c>
      <c r="E125" s="196" t="s">
        <v>8</v>
      </c>
      <c r="F125" s="353" t="s">
        <v>9</v>
      </c>
      <c r="G125" s="196" t="s">
        <v>10</v>
      </c>
    </row>
    <row r="126" customFormat="false" ht="14.35" hidden="false" customHeight="false" outlineLevel="0" collapsed="false">
      <c r="A126" s="196" t="s">
        <v>169</v>
      </c>
      <c r="B126" s="196" t="s">
        <v>1222</v>
      </c>
      <c r="C126" s="196" t="s">
        <v>1982</v>
      </c>
      <c r="D126" s="196" t="s">
        <v>170</v>
      </c>
      <c r="E126" s="196" t="n">
        <v>132</v>
      </c>
      <c r="F126" s="353" t="s">
        <v>552</v>
      </c>
      <c r="G126" s="196" t="n">
        <v>145.2</v>
      </c>
      <c r="H126" s="353" t="s">
        <v>635</v>
      </c>
    </row>
    <row r="127" customFormat="false" ht="14.35" hidden="false" customHeight="false" outlineLevel="0" collapsed="false">
      <c r="A127" s="196" t="s">
        <v>171</v>
      </c>
      <c r="B127" s="196" t="s">
        <v>1360</v>
      </c>
      <c r="C127" s="196" t="s">
        <v>1930</v>
      </c>
      <c r="D127" s="196" t="s">
        <v>172</v>
      </c>
      <c r="E127" s="196" t="n">
        <v>175</v>
      </c>
      <c r="F127" s="353" t="s">
        <v>617</v>
      </c>
      <c r="G127" s="196" t="n">
        <v>192.5</v>
      </c>
      <c r="H127" s="353" t="s">
        <v>636</v>
      </c>
    </row>
    <row r="128" customFormat="false" ht="14.35" hidden="false" customHeight="false" outlineLevel="0" collapsed="false">
      <c r="A128" s="196" t="s">
        <v>175</v>
      </c>
      <c r="B128" s="196" t="s">
        <v>987</v>
      </c>
      <c r="C128" s="196" t="s">
        <v>1445</v>
      </c>
      <c r="D128" s="196" t="s">
        <v>20</v>
      </c>
      <c r="E128" s="196" t="n">
        <v>262</v>
      </c>
      <c r="F128" s="353" t="s">
        <v>531</v>
      </c>
      <c r="G128" s="196" t="n">
        <v>288.2</v>
      </c>
      <c r="H128" s="353" t="s">
        <v>637</v>
      </c>
    </row>
    <row r="129" customFormat="false" ht="14.35" hidden="false" customHeight="false" outlineLevel="0" collapsed="false">
      <c r="A129" s="196" t="s">
        <v>173</v>
      </c>
      <c r="B129" s="196" t="s">
        <v>1135</v>
      </c>
      <c r="C129" s="196" t="s">
        <v>1548</v>
      </c>
      <c r="D129" s="196" t="s">
        <v>14</v>
      </c>
      <c r="E129" s="196" t="n">
        <v>65</v>
      </c>
      <c r="F129" s="353" t="s">
        <v>535</v>
      </c>
      <c r="G129" s="196" t="n">
        <v>71.5</v>
      </c>
      <c r="H129" s="353" t="s">
        <v>638</v>
      </c>
    </row>
    <row r="130" customFormat="false" ht="14.35" hidden="false" customHeight="false" outlineLevel="0" collapsed="false">
      <c r="A130" s="196" t="s">
        <v>173</v>
      </c>
      <c r="B130" s="196" t="s">
        <v>1135</v>
      </c>
      <c r="C130" s="196" t="s">
        <v>1548</v>
      </c>
      <c r="D130" s="196" t="s">
        <v>13</v>
      </c>
      <c r="E130" s="196" t="n">
        <v>160</v>
      </c>
      <c r="F130" s="353" t="s">
        <v>639</v>
      </c>
      <c r="G130" s="196" t="n">
        <v>176</v>
      </c>
      <c r="H130" s="353" t="s">
        <v>640</v>
      </c>
    </row>
    <row r="131" customFormat="false" ht="14.35" hidden="false" customHeight="false" outlineLevel="0" collapsed="false">
      <c r="A131" s="196" t="s">
        <v>457</v>
      </c>
      <c r="B131" s="196" t="s">
        <v>1169</v>
      </c>
      <c r="C131" s="196" t="s">
        <v>1584</v>
      </c>
      <c r="D131" s="196" t="s">
        <v>251</v>
      </c>
      <c r="E131" s="196" t="n">
        <v>70</v>
      </c>
      <c r="F131" s="353" t="s">
        <v>641</v>
      </c>
      <c r="G131" s="196" t="n">
        <v>77</v>
      </c>
      <c r="H131" s="353" t="s">
        <v>642</v>
      </c>
    </row>
    <row r="132" customFormat="false" ht="14.35" hidden="false" customHeight="false" outlineLevel="0" collapsed="false">
      <c r="A132" s="196" t="s">
        <v>510</v>
      </c>
      <c r="B132" s="196" t="s">
        <v>1219</v>
      </c>
      <c r="C132" s="196" t="s">
        <v>1698</v>
      </c>
      <c r="D132" s="196" t="s">
        <v>177</v>
      </c>
      <c r="E132" s="196" t="n">
        <v>72</v>
      </c>
      <c r="F132" s="353" t="s">
        <v>959</v>
      </c>
      <c r="G132" s="196" t="n">
        <v>79.2</v>
      </c>
      <c r="H132" s="353" t="s">
        <v>960</v>
      </c>
    </row>
    <row r="133" customFormat="false" ht="14.35" hidden="false" customHeight="false" outlineLevel="0" collapsed="false">
      <c r="A133" s="196" t="s">
        <v>174</v>
      </c>
      <c r="B133" s="196" t="s">
        <v>1294</v>
      </c>
      <c r="C133" s="196" t="s">
        <v>1992</v>
      </c>
      <c r="D133" s="196" t="s">
        <v>61</v>
      </c>
      <c r="E133" s="196" t="n">
        <v>222</v>
      </c>
      <c r="F133" s="353" t="s">
        <v>619</v>
      </c>
      <c r="G133" s="196" t="n">
        <v>244.2</v>
      </c>
      <c r="H133" s="353" t="s">
        <v>643</v>
      </c>
    </row>
    <row r="134" customFormat="false" ht="14.35" hidden="false" customHeight="false" outlineLevel="0" collapsed="false">
      <c r="A134" s="196" t="s">
        <v>174</v>
      </c>
      <c r="B134" s="196" t="s">
        <v>1258</v>
      </c>
      <c r="C134" s="196" t="s">
        <v>1717</v>
      </c>
      <c r="D134" s="196" t="s">
        <v>86</v>
      </c>
      <c r="E134" s="196" t="n">
        <v>40</v>
      </c>
      <c r="F134" s="353" t="s">
        <v>633</v>
      </c>
      <c r="G134" s="196" t="n">
        <v>44</v>
      </c>
      <c r="H134" s="353" t="n">
        <v>40</v>
      </c>
    </row>
    <row r="135" customFormat="false" ht="14.35" hidden="false" customHeight="false" outlineLevel="0" collapsed="false">
      <c r="D135" s="196" t="s">
        <v>178</v>
      </c>
      <c r="E135" s="196" t="n">
        <v>1198</v>
      </c>
    </row>
    <row r="136" customFormat="false" ht="14.35" hidden="false" customHeight="false" outlineLevel="0" collapsed="false">
      <c r="A136" s="196" t="s">
        <v>180</v>
      </c>
    </row>
    <row r="137" customFormat="false" ht="14.35" hidden="false" customHeight="false" outlineLevel="0" collapsed="false">
      <c r="A137" s="196" t="s">
        <v>2</v>
      </c>
    </row>
    <row r="138" customFormat="false" ht="14.35" hidden="false" customHeight="false" outlineLevel="0" collapsed="false">
      <c r="A138" s="196" t="s">
        <v>4</v>
      </c>
      <c r="B138" s="196" t="s">
        <v>5</v>
      </c>
      <c r="C138" s="196" t="s">
        <v>6</v>
      </c>
      <c r="D138" s="196" t="s">
        <v>7</v>
      </c>
      <c r="E138" s="196" t="s">
        <v>8</v>
      </c>
      <c r="F138" s="353" t="s">
        <v>9</v>
      </c>
      <c r="G138" s="196" t="s">
        <v>10</v>
      </c>
    </row>
    <row r="139" customFormat="false" ht="14.35" hidden="false" customHeight="false" outlineLevel="0" collapsed="false">
      <c r="A139" s="196" t="s">
        <v>182</v>
      </c>
      <c r="B139" s="196" t="s">
        <v>1099</v>
      </c>
      <c r="C139" s="196" t="s">
        <v>1466</v>
      </c>
      <c r="D139" s="196" t="s">
        <v>126</v>
      </c>
      <c r="E139" s="196" t="n">
        <v>125</v>
      </c>
      <c r="F139" s="353" t="s">
        <v>34</v>
      </c>
      <c r="G139" s="196" t="n">
        <v>137.5</v>
      </c>
    </row>
    <row r="140" customFormat="false" ht="14.35" hidden="false" customHeight="false" outlineLevel="0" collapsed="false">
      <c r="A140" s="196" t="s">
        <v>183</v>
      </c>
      <c r="B140" s="196" t="s">
        <v>1034</v>
      </c>
      <c r="C140" s="196" t="s">
        <v>1410</v>
      </c>
      <c r="D140" s="196" t="s">
        <v>97</v>
      </c>
      <c r="E140" s="196" t="n">
        <v>32</v>
      </c>
      <c r="F140" s="353" t="s">
        <v>34</v>
      </c>
      <c r="G140" s="196" t="n">
        <v>35.2</v>
      </c>
    </row>
    <row r="141" customFormat="false" ht="14.35" hidden="false" customHeight="false" outlineLevel="0" collapsed="false">
      <c r="A141" s="196" t="s">
        <v>60</v>
      </c>
      <c r="B141" s="196" t="s">
        <v>1008</v>
      </c>
      <c r="C141" s="196" t="s">
        <v>1406</v>
      </c>
      <c r="D141" s="196" t="s">
        <v>88</v>
      </c>
      <c r="E141" s="196" t="n">
        <v>101</v>
      </c>
      <c r="F141" s="353" t="s">
        <v>571</v>
      </c>
      <c r="G141" s="196" t="n">
        <v>111.1</v>
      </c>
      <c r="H141" s="353" t="s">
        <v>644</v>
      </c>
    </row>
    <row r="142" customFormat="false" ht="14.35" hidden="false" customHeight="false" outlineLevel="0" collapsed="false">
      <c r="A142" s="196" t="s">
        <v>184</v>
      </c>
      <c r="B142" s="196" t="s">
        <v>1154</v>
      </c>
      <c r="C142" s="196" t="s">
        <v>1606</v>
      </c>
      <c r="D142" s="196" t="s">
        <v>51</v>
      </c>
      <c r="E142" s="196" t="n">
        <v>295</v>
      </c>
      <c r="F142" s="353" t="s">
        <v>645</v>
      </c>
      <c r="G142" s="196" t="n">
        <v>324.5</v>
      </c>
      <c r="H142" s="353" t="s">
        <v>646</v>
      </c>
    </row>
    <row r="143" customFormat="false" ht="14.35" hidden="false" customHeight="false" outlineLevel="0" collapsed="false">
      <c r="A143" s="196" t="s">
        <v>185</v>
      </c>
      <c r="B143" s="196" t="s">
        <v>987</v>
      </c>
      <c r="C143" s="196" t="s">
        <v>1516</v>
      </c>
      <c r="D143" s="196" t="s">
        <v>81</v>
      </c>
      <c r="E143" s="196" t="n">
        <v>56</v>
      </c>
      <c r="F143" s="353" t="s">
        <v>955</v>
      </c>
      <c r="G143" s="196" t="n">
        <v>61.6</v>
      </c>
      <c r="H143" s="353" t="n">
        <v>56</v>
      </c>
    </row>
    <row r="144" customFormat="false" ht="14.35" hidden="false" customHeight="false" outlineLevel="0" collapsed="false">
      <c r="A144" s="196" t="s">
        <v>186</v>
      </c>
      <c r="B144" s="196" t="s">
        <v>987</v>
      </c>
      <c r="C144" s="196" t="s">
        <v>1516</v>
      </c>
      <c r="D144" s="196" t="s">
        <v>80</v>
      </c>
      <c r="E144" s="196" t="n">
        <v>120</v>
      </c>
      <c r="F144" s="353" t="s">
        <v>956</v>
      </c>
      <c r="G144" s="196" t="n">
        <v>132</v>
      </c>
      <c r="H144" s="353" t="n">
        <v>120</v>
      </c>
    </row>
    <row r="145" customFormat="false" ht="14.35" hidden="false" customHeight="false" outlineLevel="0" collapsed="false">
      <c r="A145" s="196" t="s">
        <v>187</v>
      </c>
      <c r="B145" s="196" t="s">
        <v>1366</v>
      </c>
      <c r="C145" s="196" t="s">
        <v>1935</v>
      </c>
      <c r="D145" s="196" t="s">
        <v>119</v>
      </c>
      <c r="E145" s="196" t="n">
        <v>140</v>
      </c>
      <c r="F145" s="353" t="s">
        <v>585</v>
      </c>
      <c r="G145" s="196" t="n">
        <v>154</v>
      </c>
      <c r="H145" s="353" t="s">
        <v>586</v>
      </c>
    </row>
    <row r="146" customFormat="false" ht="14.35" hidden="false" customHeight="false" outlineLevel="0" collapsed="false">
      <c r="A146" s="196" t="s">
        <v>188</v>
      </c>
      <c r="B146" s="196" t="s">
        <v>1328</v>
      </c>
      <c r="C146" s="196" t="s">
        <v>1866</v>
      </c>
      <c r="D146" s="196" t="s">
        <v>82</v>
      </c>
      <c r="E146" s="196" t="n">
        <v>130</v>
      </c>
      <c r="F146" s="353" t="s">
        <v>552</v>
      </c>
      <c r="G146" s="196" t="n">
        <v>143</v>
      </c>
      <c r="H146" s="353" t="s">
        <v>647</v>
      </c>
    </row>
    <row r="147" customFormat="false" ht="14.35" hidden="false" customHeight="false" outlineLevel="0" collapsed="false">
      <c r="A147" s="196" t="s">
        <v>189</v>
      </c>
      <c r="B147" s="196" t="s">
        <v>1302</v>
      </c>
      <c r="C147" s="196" t="s">
        <v>1787</v>
      </c>
      <c r="D147" s="196" t="s">
        <v>67</v>
      </c>
      <c r="E147" s="196" t="n">
        <v>40</v>
      </c>
      <c r="F147" s="353" t="s">
        <v>641</v>
      </c>
      <c r="G147" s="196" t="n">
        <v>44</v>
      </c>
      <c r="H147" s="353" t="s">
        <v>648</v>
      </c>
    </row>
    <row r="148" customFormat="false" ht="14.35" hidden="false" customHeight="false" outlineLevel="0" collapsed="false">
      <c r="A148" s="196" t="s">
        <v>190</v>
      </c>
      <c r="B148" s="196" t="s">
        <v>1017</v>
      </c>
      <c r="C148" s="196" t="s">
        <v>1737</v>
      </c>
      <c r="D148" s="196" t="s">
        <v>191</v>
      </c>
      <c r="E148" s="196" t="n">
        <v>70</v>
      </c>
      <c r="F148" s="353" t="s">
        <v>529</v>
      </c>
      <c r="G148" s="196" t="n">
        <v>77</v>
      </c>
      <c r="H148" s="353" t="s">
        <v>649</v>
      </c>
    </row>
    <row r="149" customFormat="false" ht="14.35" hidden="false" customHeight="false" outlineLevel="0" collapsed="false">
      <c r="A149" s="196" t="s">
        <v>216</v>
      </c>
      <c r="B149" s="196" t="s">
        <v>1249</v>
      </c>
      <c r="C149" s="196" t="s">
        <v>1717</v>
      </c>
      <c r="D149" s="196" t="s">
        <v>124</v>
      </c>
      <c r="E149" s="196" t="n">
        <v>69</v>
      </c>
      <c r="F149" s="353" t="s">
        <v>545</v>
      </c>
      <c r="G149" s="196" t="n">
        <v>75.9</v>
      </c>
      <c r="H149" s="353" t="n">
        <v>69</v>
      </c>
    </row>
    <row r="150" customFormat="false" ht="14.35" hidden="false" customHeight="false" outlineLevel="0" collapsed="false">
      <c r="A150" s="196" t="s">
        <v>98</v>
      </c>
      <c r="B150" s="196" t="s">
        <v>1032</v>
      </c>
      <c r="C150" s="196" t="s">
        <v>1420</v>
      </c>
      <c r="D150" s="196" t="s">
        <v>99</v>
      </c>
      <c r="E150" s="196" t="n">
        <v>61</v>
      </c>
      <c r="F150" s="353" t="s">
        <v>650</v>
      </c>
      <c r="G150" s="196" t="n">
        <v>67.1</v>
      </c>
      <c r="H150" s="353" t="s">
        <v>651</v>
      </c>
    </row>
    <row r="151" customFormat="false" ht="14.35" hidden="false" customHeight="false" outlineLevel="0" collapsed="false">
      <c r="A151" s="196" t="s">
        <v>193</v>
      </c>
      <c r="B151" s="196" t="s">
        <v>1233</v>
      </c>
      <c r="C151" s="196" t="s">
        <v>1645</v>
      </c>
      <c r="D151" s="196" t="s">
        <v>194</v>
      </c>
      <c r="E151" s="196" t="n">
        <v>93</v>
      </c>
      <c r="F151" s="353" t="s">
        <v>652</v>
      </c>
      <c r="G151" s="196" t="n">
        <v>102.3</v>
      </c>
      <c r="H151" s="353" t="s">
        <v>653</v>
      </c>
    </row>
    <row r="152" customFormat="false" ht="14.35" hidden="false" customHeight="false" outlineLevel="0" collapsed="false">
      <c r="D152" s="196" t="s">
        <v>195</v>
      </c>
      <c r="E152" s="196" t="n">
        <v>1175</v>
      </c>
    </row>
    <row r="153" customFormat="false" ht="14.35" hidden="false" customHeight="false" outlineLevel="0" collapsed="false">
      <c r="A153" s="196" t="s">
        <v>180</v>
      </c>
    </row>
    <row r="154" customFormat="false" ht="14.35" hidden="false" customHeight="false" outlineLevel="0" collapsed="false">
      <c r="A154" s="196" t="s">
        <v>29</v>
      </c>
    </row>
    <row r="155" customFormat="false" ht="14.35" hidden="false" customHeight="false" outlineLevel="0" collapsed="false">
      <c r="A155" s="196" t="s">
        <v>4</v>
      </c>
      <c r="B155" s="196" t="s">
        <v>5</v>
      </c>
      <c r="C155" s="196" t="s">
        <v>6</v>
      </c>
      <c r="D155" s="196" t="s">
        <v>7</v>
      </c>
      <c r="E155" s="196" t="s">
        <v>8</v>
      </c>
      <c r="F155" s="353" t="s">
        <v>9</v>
      </c>
      <c r="G155" s="196" t="s">
        <v>10</v>
      </c>
    </row>
    <row r="156" customFormat="false" ht="14.35" hidden="false" customHeight="false" outlineLevel="0" collapsed="false">
      <c r="A156" s="196" t="s">
        <v>182</v>
      </c>
      <c r="B156" s="196" t="s">
        <v>1099</v>
      </c>
      <c r="C156" s="196" t="s">
        <v>1466</v>
      </c>
      <c r="D156" s="196" t="s">
        <v>75</v>
      </c>
      <c r="E156" s="196" t="n">
        <v>245</v>
      </c>
      <c r="F156" s="353" t="s">
        <v>34</v>
      </c>
      <c r="G156" s="196" t="n">
        <v>269.5</v>
      </c>
    </row>
    <row r="157" customFormat="false" ht="14.35" hidden="false" customHeight="false" outlineLevel="0" collapsed="false">
      <c r="A157" s="196" t="s">
        <v>197</v>
      </c>
      <c r="B157" s="196" t="s">
        <v>1071</v>
      </c>
      <c r="C157" s="196" t="s">
        <v>1955</v>
      </c>
      <c r="D157" s="196" t="s">
        <v>130</v>
      </c>
      <c r="E157" s="196" t="n">
        <v>136</v>
      </c>
      <c r="F157" s="353" t="s">
        <v>585</v>
      </c>
      <c r="G157" s="196" t="n">
        <v>149.6</v>
      </c>
      <c r="H157" s="353" t="s">
        <v>596</v>
      </c>
    </row>
    <row r="158" customFormat="false" ht="14.35" hidden="false" customHeight="false" outlineLevel="0" collapsed="false">
      <c r="A158" s="196" t="s">
        <v>198</v>
      </c>
      <c r="B158" s="196" t="s">
        <v>1162</v>
      </c>
      <c r="C158" s="196" t="s">
        <v>1572</v>
      </c>
      <c r="D158" s="196" t="s">
        <v>16</v>
      </c>
      <c r="E158" s="196" t="n">
        <v>265</v>
      </c>
      <c r="F158" s="353" t="s">
        <v>954</v>
      </c>
      <c r="G158" s="196" t="n">
        <v>291.5</v>
      </c>
      <c r="H158" s="353" t="s">
        <v>654</v>
      </c>
    </row>
    <row r="159" customFormat="false" ht="14.35" hidden="false" customHeight="false" outlineLevel="0" collapsed="false">
      <c r="A159" s="196" t="s">
        <v>199</v>
      </c>
      <c r="B159" s="196" t="s">
        <v>1137</v>
      </c>
      <c r="C159" s="196" t="s">
        <v>1968</v>
      </c>
      <c r="D159" s="196" t="s">
        <v>73</v>
      </c>
      <c r="E159" s="196" t="n">
        <v>105</v>
      </c>
      <c r="F159" s="353" t="s">
        <v>655</v>
      </c>
      <c r="G159" s="196" t="n">
        <v>115.5</v>
      </c>
      <c r="H159" s="353" t="s">
        <v>656</v>
      </c>
    </row>
    <row r="160" customFormat="false" ht="14.35" hidden="false" customHeight="false" outlineLevel="0" collapsed="false">
      <c r="A160" s="196" t="s">
        <v>199</v>
      </c>
      <c r="B160" s="196" t="s">
        <v>1137</v>
      </c>
      <c r="C160" s="196" t="s">
        <v>1515</v>
      </c>
      <c r="D160" s="196" t="s">
        <v>63</v>
      </c>
      <c r="E160" s="196" t="n">
        <v>53</v>
      </c>
      <c r="F160" s="353" t="s">
        <v>535</v>
      </c>
      <c r="G160" s="196" t="n">
        <v>58.3</v>
      </c>
      <c r="H160" s="353" t="s">
        <v>657</v>
      </c>
    </row>
    <row r="161" customFormat="false" ht="14.35" hidden="false" customHeight="false" outlineLevel="0" collapsed="false">
      <c r="A161" s="196" t="s">
        <v>200</v>
      </c>
      <c r="B161" s="196" t="s">
        <v>1354</v>
      </c>
      <c r="C161" s="196" t="s">
        <v>1909</v>
      </c>
      <c r="D161" s="196" t="s">
        <v>91</v>
      </c>
      <c r="E161" s="196" t="n">
        <v>130</v>
      </c>
      <c r="F161" s="353" t="s">
        <v>552</v>
      </c>
      <c r="G161" s="196" t="n">
        <v>143</v>
      </c>
      <c r="H161" s="353" t="s">
        <v>658</v>
      </c>
    </row>
    <row r="162" customFormat="false" ht="14.35" hidden="false" customHeight="false" outlineLevel="0" collapsed="false">
      <c r="A162" s="196" t="s">
        <v>201</v>
      </c>
      <c r="B162" s="196" t="s">
        <v>1221</v>
      </c>
      <c r="C162" s="196" t="s">
        <v>1642</v>
      </c>
      <c r="D162" s="196" t="s">
        <v>95</v>
      </c>
      <c r="E162" s="196" t="n">
        <v>103</v>
      </c>
      <c r="F162" s="353" t="s">
        <v>659</v>
      </c>
      <c r="G162" s="196" t="n">
        <v>113.3</v>
      </c>
      <c r="H162" s="353" t="s">
        <v>660</v>
      </c>
    </row>
    <row r="163" customFormat="false" ht="14.35" hidden="false" customHeight="false" outlineLevel="0" collapsed="false">
      <c r="A163" s="196" t="s">
        <v>202</v>
      </c>
      <c r="B163" s="196" t="s">
        <v>1154</v>
      </c>
      <c r="C163" s="196" t="s">
        <v>1565</v>
      </c>
      <c r="D163" s="196" t="s">
        <v>109</v>
      </c>
      <c r="E163" s="196" t="n">
        <v>80</v>
      </c>
      <c r="F163" s="353" t="s">
        <v>574</v>
      </c>
      <c r="G163" s="196" t="n">
        <v>88</v>
      </c>
      <c r="H163" s="353" t="s">
        <v>661</v>
      </c>
    </row>
    <row r="164" customFormat="false" ht="14.35" hidden="false" customHeight="false" outlineLevel="0" collapsed="false">
      <c r="A164" s="196" t="s">
        <v>202</v>
      </c>
      <c r="B164" s="196" t="s">
        <v>1154</v>
      </c>
      <c r="C164" s="196" t="s">
        <v>1565</v>
      </c>
      <c r="D164" s="196" t="s">
        <v>108</v>
      </c>
      <c r="E164" s="196" t="n">
        <v>255</v>
      </c>
      <c r="F164" s="353" t="s">
        <v>531</v>
      </c>
      <c r="G164" s="196" t="n">
        <v>280.5</v>
      </c>
      <c r="H164" s="353" t="s">
        <v>662</v>
      </c>
    </row>
    <row r="165" customFormat="false" ht="14.35" hidden="false" customHeight="false" outlineLevel="0" collapsed="false">
      <c r="D165" s="196" t="s">
        <v>203</v>
      </c>
      <c r="E165" s="196" t="n">
        <v>1127</v>
      </c>
    </row>
    <row r="166" customFormat="false" ht="14.35" hidden="false" customHeight="false" outlineLevel="0" collapsed="false">
      <c r="A166" s="196" t="s">
        <v>180</v>
      </c>
    </row>
    <row r="167" customFormat="false" ht="14.35" hidden="false" customHeight="false" outlineLevel="0" collapsed="false">
      <c r="A167" s="196" t="s">
        <v>59</v>
      </c>
    </row>
    <row r="168" customFormat="false" ht="14.35" hidden="false" customHeight="false" outlineLevel="0" collapsed="false">
      <c r="A168" s="196" t="s">
        <v>4</v>
      </c>
      <c r="B168" s="196" t="s">
        <v>5</v>
      </c>
      <c r="C168" s="196" t="s">
        <v>6</v>
      </c>
      <c r="D168" s="196" t="s">
        <v>7</v>
      </c>
      <c r="E168" s="196" t="s">
        <v>8</v>
      </c>
      <c r="F168" s="353" t="s">
        <v>9</v>
      </c>
      <c r="G168" s="196" t="s">
        <v>10</v>
      </c>
    </row>
    <row r="169" customFormat="false" ht="14.35" hidden="false" customHeight="false" outlineLevel="0" collapsed="false">
      <c r="A169" s="196" t="s">
        <v>205</v>
      </c>
      <c r="B169" s="196" t="s">
        <v>1126</v>
      </c>
      <c r="C169" s="196" t="s">
        <v>1965</v>
      </c>
      <c r="D169" s="196" t="s">
        <v>103</v>
      </c>
      <c r="E169" s="196" t="n">
        <v>18</v>
      </c>
      <c r="F169" s="353" t="s">
        <v>663</v>
      </c>
      <c r="G169" s="196" t="n">
        <v>19.8</v>
      </c>
      <c r="H169" s="353" t="n">
        <v>18</v>
      </c>
    </row>
    <row r="170" customFormat="false" ht="14.35" hidden="false" customHeight="false" outlineLevel="0" collapsed="false">
      <c r="A170" s="196" t="s">
        <v>206</v>
      </c>
      <c r="B170" s="196" t="s">
        <v>1347</v>
      </c>
      <c r="C170" s="196" t="s">
        <v>1883</v>
      </c>
      <c r="D170" s="196" t="s">
        <v>46</v>
      </c>
      <c r="E170" s="196" t="n">
        <v>99</v>
      </c>
      <c r="F170" s="353" t="s">
        <v>655</v>
      </c>
      <c r="G170" s="196" t="n">
        <v>108.9</v>
      </c>
      <c r="H170" s="353" t="s">
        <v>664</v>
      </c>
    </row>
    <row r="171" customFormat="false" ht="14.35" hidden="false" customHeight="false" outlineLevel="0" collapsed="false">
      <c r="A171" s="196" t="s">
        <v>321</v>
      </c>
      <c r="B171" s="196" t="s">
        <v>1284</v>
      </c>
      <c r="C171" s="196" t="s">
        <v>1814</v>
      </c>
      <c r="D171" s="196" t="s">
        <v>140</v>
      </c>
      <c r="E171" s="196" t="n">
        <v>85</v>
      </c>
      <c r="F171" s="353" t="s">
        <v>665</v>
      </c>
      <c r="G171" s="196" t="n">
        <v>93.5</v>
      </c>
      <c r="H171" s="353" t="s">
        <v>666</v>
      </c>
    </row>
    <row r="172" customFormat="false" ht="14.35" hidden="false" customHeight="false" outlineLevel="0" collapsed="false">
      <c r="A172" s="196" t="s">
        <v>321</v>
      </c>
      <c r="B172" s="196" t="s">
        <v>1284</v>
      </c>
      <c r="C172" s="196" t="s">
        <v>1814</v>
      </c>
      <c r="D172" s="196" t="s">
        <v>142</v>
      </c>
      <c r="E172" s="196" t="n">
        <v>87</v>
      </c>
      <c r="F172" s="353" t="s">
        <v>667</v>
      </c>
      <c r="G172" s="196" t="n">
        <v>95.7</v>
      </c>
      <c r="H172" s="353" t="s">
        <v>668</v>
      </c>
    </row>
    <row r="173" customFormat="false" ht="14.35" hidden="false" customHeight="false" outlineLevel="0" collapsed="false">
      <c r="A173" s="196" t="s">
        <v>209</v>
      </c>
      <c r="B173" s="196" t="s">
        <v>1991</v>
      </c>
      <c r="C173" s="196" t="s">
        <v>1805</v>
      </c>
      <c r="D173" s="196" t="s">
        <v>101</v>
      </c>
      <c r="E173" s="196" t="n">
        <v>57</v>
      </c>
      <c r="F173" s="353" t="s">
        <v>574</v>
      </c>
      <c r="G173" s="196" t="n">
        <v>62.7</v>
      </c>
      <c r="H173" s="353" t="s">
        <v>669</v>
      </c>
    </row>
    <row r="174" customFormat="false" ht="14.35" hidden="false" customHeight="false" outlineLevel="0" collapsed="false">
      <c r="A174" s="196" t="s">
        <v>209</v>
      </c>
      <c r="B174" s="196" t="s">
        <v>1991</v>
      </c>
      <c r="C174" s="196" t="s">
        <v>1805</v>
      </c>
      <c r="D174" s="196" t="s">
        <v>210</v>
      </c>
      <c r="E174" s="196" t="n">
        <v>83</v>
      </c>
      <c r="F174" s="353" t="s">
        <v>571</v>
      </c>
      <c r="G174" s="196" t="n">
        <v>91.3</v>
      </c>
      <c r="H174" s="353" t="s">
        <v>670</v>
      </c>
    </row>
    <row r="175" customFormat="false" ht="14.35" hidden="false" customHeight="false" outlineLevel="0" collapsed="false">
      <c r="A175" s="196" t="s">
        <v>211</v>
      </c>
      <c r="B175" s="196" t="s">
        <v>1342</v>
      </c>
      <c r="C175" s="196" t="s">
        <v>1867</v>
      </c>
      <c r="D175" s="196" t="s">
        <v>18</v>
      </c>
      <c r="E175" s="196" t="n">
        <v>80</v>
      </c>
      <c r="F175" s="353" t="s">
        <v>955</v>
      </c>
      <c r="G175" s="196" t="n">
        <v>88</v>
      </c>
      <c r="H175" s="353" t="n">
        <v>80</v>
      </c>
    </row>
    <row r="176" customFormat="false" ht="14.35" hidden="false" customHeight="false" outlineLevel="0" collapsed="false">
      <c r="A176" s="196" t="s">
        <v>212</v>
      </c>
      <c r="B176" s="196" t="s">
        <v>1133</v>
      </c>
      <c r="C176" s="196" t="s">
        <v>1867</v>
      </c>
      <c r="D176" s="196" t="s">
        <v>93</v>
      </c>
      <c r="E176" s="196" t="n">
        <v>95</v>
      </c>
      <c r="F176" s="353" t="s">
        <v>956</v>
      </c>
      <c r="G176" s="196" t="n">
        <v>104.5</v>
      </c>
      <c r="H176" s="353" t="n">
        <v>95</v>
      </c>
    </row>
    <row r="177" customFormat="false" ht="14.35" hidden="false" customHeight="false" outlineLevel="0" collapsed="false">
      <c r="A177" s="196" t="s">
        <v>226</v>
      </c>
      <c r="B177" s="196" t="s">
        <v>2004</v>
      </c>
      <c r="C177" s="196" t="s">
        <v>2005</v>
      </c>
      <c r="D177" s="196" t="s">
        <v>227</v>
      </c>
      <c r="E177" s="196" t="n">
        <v>105</v>
      </c>
      <c r="F177" s="353" t="s">
        <v>652</v>
      </c>
      <c r="G177" s="196" t="n">
        <v>115.5</v>
      </c>
      <c r="H177" s="353" t="s">
        <v>656</v>
      </c>
    </row>
    <row r="178" customFormat="false" ht="14.35" hidden="false" customHeight="false" outlineLevel="0" collapsed="false">
      <c r="A178" s="196" t="s">
        <v>213</v>
      </c>
      <c r="B178" s="196" t="s">
        <v>1010</v>
      </c>
      <c r="C178" s="196" t="s">
        <v>1396</v>
      </c>
      <c r="D178" s="196" t="s">
        <v>50</v>
      </c>
      <c r="E178" s="196" t="n">
        <v>103</v>
      </c>
      <c r="F178" s="353" t="s">
        <v>582</v>
      </c>
      <c r="G178" s="196" t="n">
        <v>113.3</v>
      </c>
      <c r="H178" s="353" t="s">
        <v>660</v>
      </c>
    </row>
    <row r="179" customFormat="false" ht="14.35" hidden="false" customHeight="false" outlineLevel="0" collapsed="false">
      <c r="A179" s="196" t="s">
        <v>280</v>
      </c>
      <c r="B179" s="196" t="s">
        <v>1147</v>
      </c>
      <c r="C179" s="196" t="s">
        <v>1518</v>
      </c>
      <c r="D179" s="196" t="s">
        <v>48</v>
      </c>
      <c r="E179" s="196" t="n">
        <v>70</v>
      </c>
      <c r="F179" s="353" t="s">
        <v>574</v>
      </c>
      <c r="G179" s="196" t="n">
        <v>77</v>
      </c>
      <c r="H179" s="353" t="s">
        <v>671</v>
      </c>
    </row>
    <row r="180" customFormat="false" ht="14.35" hidden="false" customHeight="false" outlineLevel="0" collapsed="false">
      <c r="A180" s="196" t="s">
        <v>215</v>
      </c>
      <c r="B180" s="196" t="s">
        <v>1102</v>
      </c>
      <c r="C180" s="196" t="s">
        <v>1470</v>
      </c>
      <c r="D180" s="196" t="s">
        <v>56</v>
      </c>
      <c r="E180" s="196" t="n">
        <v>250</v>
      </c>
      <c r="F180" s="353" t="s">
        <v>556</v>
      </c>
      <c r="G180" s="196" t="n">
        <v>275</v>
      </c>
      <c r="H180" s="353" t="s">
        <v>672</v>
      </c>
    </row>
    <row r="181" customFormat="false" ht="14.35" hidden="false" customHeight="false" outlineLevel="0" collapsed="false">
      <c r="D181" s="196" t="s">
        <v>203</v>
      </c>
      <c r="E181" s="196" t="n">
        <v>1132</v>
      </c>
    </row>
    <row r="182" customFormat="false" ht="14.35" hidden="false" customHeight="false" outlineLevel="0" collapsed="false">
      <c r="A182" s="196" t="s">
        <v>217</v>
      </c>
    </row>
    <row r="183" customFormat="false" ht="14.35" hidden="false" customHeight="false" outlineLevel="0" collapsed="false">
      <c r="A183" s="196" t="s">
        <v>2</v>
      </c>
    </row>
    <row r="184" customFormat="false" ht="14.35" hidden="false" customHeight="false" outlineLevel="0" collapsed="false">
      <c r="A184" s="196" t="s">
        <v>4</v>
      </c>
      <c r="B184" s="196" t="s">
        <v>5</v>
      </c>
      <c r="C184" s="196" t="s">
        <v>6</v>
      </c>
      <c r="D184" s="196" t="s">
        <v>7</v>
      </c>
      <c r="E184" s="196" t="s">
        <v>8</v>
      </c>
      <c r="F184" s="353" t="s">
        <v>9</v>
      </c>
      <c r="G184" s="196" t="s">
        <v>10</v>
      </c>
    </row>
    <row r="185" customFormat="false" ht="14.35" hidden="false" customHeight="false" outlineLevel="0" collapsed="false">
      <c r="A185" s="196" t="s">
        <v>219</v>
      </c>
      <c r="B185" s="196" t="s">
        <v>1223</v>
      </c>
      <c r="C185" s="196" t="s">
        <v>1649</v>
      </c>
      <c r="D185" s="196" t="s">
        <v>170</v>
      </c>
      <c r="E185" s="196" t="n">
        <v>132</v>
      </c>
      <c r="F185" s="353" t="s">
        <v>652</v>
      </c>
      <c r="G185" s="196" t="n">
        <v>145.2</v>
      </c>
      <c r="H185" s="353" t="s">
        <v>635</v>
      </c>
    </row>
    <row r="186" customFormat="false" ht="14.35" hidden="false" customHeight="false" outlineLevel="0" collapsed="false">
      <c r="A186" s="196" t="s">
        <v>220</v>
      </c>
      <c r="B186" s="196" t="s">
        <v>1005</v>
      </c>
      <c r="C186" s="196" t="s">
        <v>1392</v>
      </c>
      <c r="D186" s="196" t="s">
        <v>88</v>
      </c>
      <c r="E186" s="196" t="n">
        <v>101</v>
      </c>
      <c r="F186" s="353" t="s">
        <v>673</v>
      </c>
      <c r="G186" s="196" t="n">
        <v>111.1</v>
      </c>
      <c r="H186" s="353" t="s">
        <v>674</v>
      </c>
    </row>
    <row r="187" customFormat="false" ht="14.35" hidden="false" customHeight="false" outlineLevel="0" collapsed="false">
      <c r="A187" s="196" t="s">
        <v>221</v>
      </c>
      <c r="B187" s="196" t="s">
        <v>1228</v>
      </c>
      <c r="C187" s="196" t="s">
        <v>1656</v>
      </c>
      <c r="D187" s="196" t="s">
        <v>77</v>
      </c>
      <c r="E187" s="196" t="n">
        <v>122</v>
      </c>
      <c r="F187" s="353" t="s">
        <v>675</v>
      </c>
      <c r="G187" s="196" t="n">
        <v>134.2</v>
      </c>
      <c r="H187" s="353" t="s">
        <v>676</v>
      </c>
    </row>
    <row r="188" customFormat="false" ht="14.35" hidden="false" customHeight="false" outlineLevel="0" collapsed="false">
      <c r="A188" s="196" t="s">
        <v>222</v>
      </c>
      <c r="B188" s="196" t="s">
        <v>1213</v>
      </c>
      <c r="C188" s="196" t="s">
        <v>1668</v>
      </c>
      <c r="D188" s="196" t="s">
        <v>154</v>
      </c>
      <c r="E188" s="196" t="n">
        <v>154</v>
      </c>
      <c r="F188" s="353" t="s">
        <v>2076</v>
      </c>
      <c r="G188" s="196" t="n">
        <v>169.4</v>
      </c>
      <c r="H188" s="353" t="s">
        <v>678</v>
      </c>
    </row>
    <row r="189" customFormat="false" ht="14.35" hidden="false" customHeight="false" outlineLevel="0" collapsed="false">
      <c r="A189" s="196" t="s">
        <v>223</v>
      </c>
      <c r="B189" s="196" t="s">
        <v>1290</v>
      </c>
      <c r="C189" s="196" t="s">
        <v>1761</v>
      </c>
      <c r="D189" s="196" t="s">
        <v>136</v>
      </c>
      <c r="E189" s="196" t="n">
        <v>55</v>
      </c>
      <c r="F189" s="353" t="s">
        <v>539</v>
      </c>
      <c r="G189" s="196" t="n">
        <v>60.5</v>
      </c>
      <c r="H189" s="353" t="s">
        <v>679</v>
      </c>
    </row>
    <row r="190" customFormat="false" ht="14.35" hidden="false" customHeight="false" outlineLevel="0" collapsed="false">
      <c r="A190" s="196" t="s">
        <v>223</v>
      </c>
      <c r="B190" s="196" t="s">
        <v>1290</v>
      </c>
      <c r="C190" s="196" t="s">
        <v>1761</v>
      </c>
      <c r="D190" s="196" t="s">
        <v>135</v>
      </c>
      <c r="E190" s="196" t="n">
        <v>60</v>
      </c>
      <c r="F190" s="353" t="s">
        <v>579</v>
      </c>
      <c r="G190" s="196" t="n">
        <v>66</v>
      </c>
      <c r="H190" s="353" t="s">
        <v>680</v>
      </c>
    </row>
    <row r="191" customFormat="false" ht="14.35" hidden="false" customHeight="false" outlineLevel="0" collapsed="false">
      <c r="A191" s="196" t="s">
        <v>224</v>
      </c>
      <c r="B191" s="196" t="s">
        <v>1203</v>
      </c>
      <c r="C191" s="196" t="s">
        <v>1672</v>
      </c>
      <c r="D191" s="196" t="s">
        <v>55</v>
      </c>
      <c r="E191" s="196" t="n">
        <v>150</v>
      </c>
      <c r="F191" s="353" t="s">
        <v>533</v>
      </c>
      <c r="G191" s="196" t="n">
        <v>165</v>
      </c>
      <c r="H191" s="353" t="s">
        <v>681</v>
      </c>
    </row>
    <row r="192" customFormat="false" ht="14.35" hidden="false" customHeight="false" outlineLevel="0" collapsed="false">
      <c r="A192" s="196" t="s">
        <v>225</v>
      </c>
      <c r="B192" s="196" t="s">
        <v>1239</v>
      </c>
      <c r="C192" s="196" t="s">
        <v>1704</v>
      </c>
      <c r="D192" s="196" t="s">
        <v>38</v>
      </c>
      <c r="E192" s="196" t="n">
        <v>80</v>
      </c>
      <c r="F192" s="353" t="s">
        <v>574</v>
      </c>
      <c r="G192" s="196" t="n">
        <v>88</v>
      </c>
      <c r="H192" s="353" t="s">
        <v>661</v>
      </c>
    </row>
    <row r="193" customFormat="false" ht="14.35" hidden="false" customHeight="false" outlineLevel="0" collapsed="false">
      <c r="A193" s="196" t="s">
        <v>228</v>
      </c>
      <c r="B193" s="196" t="s">
        <v>1267</v>
      </c>
      <c r="C193" s="196" t="s">
        <v>1820</v>
      </c>
      <c r="D193" s="196" t="s">
        <v>69</v>
      </c>
      <c r="E193" s="196" t="n">
        <v>23</v>
      </c>
      <c r="F193" s="353" t="s">
        <v>616</v>
      </c>
      <c r="G193" s="196" t="n">
        <v>25.3</v>
      </c>
      <c r="H193" s="353" t="n">
        <v>23</v>
      </c>
    </row>
    <row r="194" customFormat="false" ht="14.35" hidden="false" customHeight="false" outlineLevel="0" collapsed="false">
      <c r="A194" s="196" t="s">
        <v>330</v>
      </c>
      <c r="B194" s="196" t="s">
        <v>1087</v>
      </c>
      <c r="C194" s="196" t="s">
        <v>1453</v>
      </c>
      <c r="D194" s="196" t="s">
        <v>65</v>
      </c>
      <c r="E194" s="196" t="n">
        <v>90</v>
      </c>
      <c r="F194" s="353" t="s">
        <v>628</v>
      </c>
      <c r="G194" s="196" t="n">
        <v>99</v>
      </c>
      <c r="H194" s="353" t="s">
        <v>682</v>
      </c>
    </row>
    <row r="195" customFormat="false" ht="14.35" hidden="false" customHeight="false" outlineLevel="0" collapsed="false">
      <c r="A195" s="196" t="s">
        <v>242</v>
      </c>
      <c r="B195" s="196" t="s">
        <v>988</v>
      </c>
      <c r="C195" s="196" t="s">
        <v>1381</v>
      </c>
      <c r="D195" s="196" t="s">
        <v>131</v>
      </c>
      <c r="E195" s="196" t="n">
        <v>128</v>
      </c>
      <c r="F195" s="353" t="s">
        <v>683</v>
      </c>
      <c r="G195" s="196" t="n">
        <v>140.8</v>
      </c>
      <c r="H195" s="353" t="s">
        <v>684</v>
      </c>
    </row>
    <row r="196" customFormat="false" ht="14.35" hidden="false" customHeight="false" outlineLevel="0" collapsed="false">
      <c r="A196" s="196" t="s">
        <v>229</v>
      </c>
      <c r="B196" s="196" t="s">
        <v>1245</v>
      </c>
      <c r="C196" s="196" t="s">
        <v>1417</v>
      </c>
      <c r="D196" s="196" t="s">
        <v>121</v>
      </c>
      <c r="E196" s="196" t="n">
        <v>70</v>
      </c>
      <c r="F196" s="353" t="s">
        <v>546</v>
      </c>
      <c r="G196" s="196" t="n">
        <v>77</v>
      </c>
      <c r="H196" s="353" t="n">
        <v>70</v>
      </c>
    </row>
    <row r="197" customFormat="false" ht="14.35" hidden="false" customHeight="false" outlineLevel="0" collapsed="false">
      <c r="A197" s="196" t="s">
        <v>230</v>
      </c>
      <c r="B197" s="196" t="s">
        <v>1256</v>
      </c>
      <c r="C197" s="196" t="s">
        <v>1704</v>
      </c>
      <c r="D197" s="196" t="s">
        <v>42</v>
      </c>
      <c r="E197" s="196" t="n">
        <v>37</v>
      </c>
      <c r="F197" s="353" t="s">
        <v>541</v>
      </c>
      <c r="G197" s="196" t="n">
        <v>40.7</v>
      </c>
      <c r="H197" s="353" t="n">
        <v>37</v>
      </c>
    </row>
    <row r="198" customFormat="false" ht="14.35" hidden="false" customHeight="false" outlineLevel="0" collapsed="false">
      <c r="D198" s="196" t="s">
        <v>231</v>
      </c>
      <c r="E198" s="196" t="n">
        <v>1202</v>
      </c>
    </row>
    <row r="199" customFormat="false" ht="14.35" hidden="false" customHeight="false" outlineLevel="0" collapsed="false">
      <c r="A199" s="196" t="s">
        <v>217</v>
      </c>
    </row>
    <row r="200" customFormat="false" ht="14.35" hidden="false" customHeight="false" outlineLevel="0" collapsed="false">
      <c r="A200" s="196" t="s">
        <v>29</v>
      </c>
    </row>
    <row r="201" customFormat="false" ht="14.35" hidden="false" customHeight="false" outlineLevel="0" collapsed="false">
      <c r="A201" s="196" t="s">
        <v>4</v>
      </c>
      <c r="B201" s="196" t="s">
        <v>5</v>
      </c>
      <c r="C201" s="196" t="s">
        <v>6</v>
      </c>
      <c r="D201" s="196" t="s">
        <v>7</v>
      </c>
      <c r="E201" s="196" t="s">
        <v>8</v>
      </c>
      <c r="F201" s="353" t="s">
        <v>9</v>
      </c>
      <c r="G201" s="196" t="s">
        <v>10</v>
      </c>
    </row>
    <row r="202" customFormat="false" ht="14.35" hidden="false" customHeight="false" outlineLevel="0" collapsed="false">
      <c r="A202" s="196" t="s">
        <v>233</v>
      </c>
      <c r="B202" s="196" t="s">
        <v>1187</v>
      </c>
      <c r="C202" s="196" t="s">
        <v>1586</v>
      </c>
      <c r="D202" s="196" t="s">
        <v>71</v>
      </c>
      <c r="E202" s="196" t="n">
        <v>70</v>
      </c>
      <c r="F202" s="353" t="s">
        <v>685</v>
      </c>
      <c r="G202" s="196" t="n">
        <v>77</v>
      </c>
      <c r="H202" s="353" t="s">
        <v>590</v>
      </c>
    </row>
    <row r="203" customFormat="false" ht="14.35" hidden="false" customHeight="false" outlineLevel="0" collapsed="false">
      <c r="A203" s="196" t="s">
        <v>234</v>
      </c>
      <c r="B203" s="196" t="s">
        <v>990</v>
      </c>
      <c r="C203" s="196" t="s">
        <v>1599</v>
      </c>
      <c r="D203" s="196" t="s">
        <v>75</v>
      </c>
      <c r="E203" s="196" t="n">
        <v>245</v>
      </c>
      <c r="F203" s="353" t="s">
        <v>954</v>
      </c>
      <c r="G203" s="196" t="n">
        <v>269.5</v>
      </c>
      <c r="H203" s="353" t="s">
        <v>686</v>
      </c>
    </row>
    <row r="204" customFormat="false" ht="14.35" hidden="false" customHeight="false" outlineLevel="0" collapsed="false">
      <c r="A204" s="196" t="s">
        <v>235</v>
      </c>
      <c r="B204" s="196" t="s">
        <v>1159</v>
      </c>
      <c r="C204" s="196" t="s">
        <v>1923</v>
      </c>
      <c r="D204" s="196" t="s">
        <v>25</v>
      </c>
      <c r="E204" s="196" t="n">
        <v>340</v>
      </c>
      <c r="F204" s="353" t="s">
        <v>687</v>
      </c>
      <c r="G204" s="196" t="n">
        <v>374</v>
      </c>
      <c r="H204" s="353" t="s">
        <v>688</v>
      </c>
    </row>
    <row r="205" customFormat="false" ht="14.35" hidden="false" customHeight="false" outlineLevel="0" collapsed="false">
      <c r="A205" s="196" t="s">
        <v>235</v>
      </c>
      <c r="B205" s="196" t="s">
        <v>1359</v>
      </c>
      <c r="C205" s="196" t="s">
        <v>1923</v>
      </c>
      <c r="D205" s="196" t="s">
        <v>172</v>
      </c>
      <c r="E205" s="196" t="n">
        <v>175</v>
      </c>
      <c r="F205" s="353" t="s">
        <v>689</v>
      </c>
      <c r="G205" s="196" t="n">
        <v>192.5</v>
      </c>
      <c r="H205" s="353" t="s">
        <v>690</v>
      </c>
    </row>
    <row r="206" customFormat="false" ht="14.35" hidden="false" customHeight="false" outlineLevel="0" collapsed="false">
      <c r="A206" s="196" t="s">
        <v>284</v>
      </c>
      <c r="B206" s="196" t="s">
        <v>1234</v>
      </c>
      <c r="C206" s="196" t="s">
        <v>1649</v>
      </c>
      <c r="D206" s="196" t="s">
        <v>194</v>
      </c>
      <c r="E206" s="196" t="n">
        <v>93</v>
      </c>
      <c r="F206" s="353" t="s">
        <v>571</v>
      </c>
      <c r="G206" s="196" t="n">
        <v>102.3</v>
      </c>
      <c r="H206" s="353" t="s">
        <v>691</v>
      </c>
    </row>
    <row r="207" customFormat="false" ht="14.35" hidden="false" customHeight="false" outlineLevel="0" collapsed="false">
      <c r="A207" s="196" t="s">
        <v>113</v>
      </c>
      <c r="B207" s="196" t="s">
        <v>1958</v>
      </c>
      <c r="C207" s="196" t="s">
        <v>1797</v>
      </c>
      <c r="D207" s="196" t="s">
        <v>109</v>
      </c>
      <c r="E207" s="196" t="n">
        <v>80</v>
      </c>
      <c r="F207" s="353" t="s">
        <v>571</v>
      </c>
      <c r="G207" s="196" t="n">
        <v>88</v>
      </c>
      <c r="H207" s="353" t="s">
        <v>692</v>
      </c>
    </row>
    <row r="208" customFormat="false" ht="14.35" hidden="false" customHeight="false" outlineLevel="0" collapsed="false">
      <c r="A208" s="196" t="s">
        <v>236</v>
      </c>
      <c r="B208" s="196" t="s">
        <v>1000</v>
      </c>
      <c r="C208" s="196" t="s">
        <v>1797</v>
      </c>
      <c r="D208" s="196" t="s">
        <v>53</v>
      </c>
      <c r="E208" s="196" t="n">
        <v>155</v>
      </c>
      <c r="F208" s="353" t="s">
        <v>693</v>
      </c>
      <c r="G208" s="196" t="n">
        <v>170.5</v>
      </c>
      <c r="H208" s="353" t="s">
        <v>694</v>
      </c>
    </row>
    <row r="209" customFormat="false" ht="14.35" hidden="false" customHeight="false" outlineLevel="0" collapsed="false">
      <c r="D209" s="196" t="s">
        <v>237</v>
      </c>
      <c r="E209" s="196" t="n">
        <v>1158</v>
      </c>
    </row>
    <row r="210" customFormat="false" ht="14.35" hidden="false" customHeight="false" outlineLevel="0" collapsed="false">
      <c r="A210" s="196" t="s">
        <v>217</v>
      </c>
    </row>
    <row r="211" customFormat="false" ht="14.35" hidden="false" customHeight="false" outlineLevel="0" collapsed="false">
      <c r="A211" s="196" t="s">
        <v>59</v>
      </c>
    </row>
    <row r="212" customFormat="false" ht="14.35" hidden="false" customHeight="false" outlineLevel="0" collapsed="false">
      <c r="A212" s="196" t="s">
        <v>4</v>
      </c>
      <c r="B212" s="196" t="s">
        <v>5</v>
      </c>
      <c r="C212" s="196" t="s">
        <v>6</v>
      </c>
      <c r="D212" s="196" t="s">
        <v>7</v>
      </c>
      <c r="E212" s="196" t="s">
        <v>8</v>
      </c>
      <c r="F212" s="353" t="s">
        <v>9</v>
      </c>
      <c r="G212" s="196" t="s">
        <v>10</v>
      </c>
    </row>
    <row r="213" customFormat="false" ht="14.35" hidden="false" customHeight="false" outlineLevel="0" collapsed="false">
      <c r="A213" s="196" t="s">
        <v>238</v>
      </c>
      <c r="B213" s="196" t="s">
        <v>1262</v>
      </c>
      <c r="C213" s="196" t="s">
        <v>1435</v>
      </c>
      <c r="D213" s="196" t="s">
        <v>86</v>
      </c>
      <c r="E213" s="196" t="n">
        <v>40</v>
      </c>
      <c r="F213" s="353" t="s">
        <v>695</v>
      </c>
      <c r="G213" s="196" t="n">
        <v>44</v>
      </c>
      <c r="H213" s="353" t="s">
        <v>559</v>
      </c>
    </row>
    <row r="214" customFormat="false" ht="14.35" hidden="false" customHeight="false" outlineLevel="0" collapsed="false">
      <c r="A214" s="196" t="s">
        <v>239</v>
      </c>
      <c r="B214" s="196" t="s">
        <v>1030</v>
      </c>
      <c r="C214" s="196" t="s">
        <v>1435</v>
      </c>
      <c r="D214" s="196" t="s">
        <v>133</v>
      </c>
      <c r="E214" s="196" t="n">
        <v>76</v>
      </c>
      <c r="F214" s="353" t="s">
        <v>696</v>
      </c>
      <c r="G214" s="196" t="n">
        <v>83.6</v>
      </c>
      <c r="H214" s="353" t="s">
        <v>697</v>
      </c>
    </row>
    <row r="215" customFormat="false" ht="14.35" hidden="false" customHeight="false" outlineLevel="0" collapsed="false">
      <c r="A215" s="196" t="s">
        <v>240</v>
      </c>
      <c r="B215" s="196" t="s">
        <v>1030</v>
      </c>
      <c r="C215" s="196" t="s">
        <v>1435</v>
      </c>
      <c r="D215" s="196" t="s">
        <v>33</v>
      </c>
      <c r="E215" s="196" t="n">
        <v>240</v>
      </c>
      <c r="F215" s="353" t="s">
        <v>531</v>
      </c>
      <c r="G215" s="196" t="n">
        <v>264</v>
      </c>
      <c r="H215" s="353" t="s">
        <v>612</v>
      </c>
    </row>
    <row r="216" customFormat="false" ht="14.35" hidden="false" customHeight="false" outlineLevel="0" collapsed="false">
      <c r="A216" s="196" t="s">
        <v>241</v>
      </c>
      <c r="B216" s="196" t="s">
        <v>1030</v>
      </c>
      <c r="C216" s="196" t="s">
        <v>1435</v>
      </c>
      <c r="D216" s="196" t="s">
        <v>23</v>
      </c>
      <c r="E216" s="196" t="n">
        <v>40</v>
      </c>
      <c r="F216" s="353" t="s">
        <v>633</v>
      </c>
      <c r="G216" s="196" t="n">
        <v>44</v>
      </c>
      <c r="H216" s="353" t="n">
        <v>40</v>
      </c>
    </row>
    <row r="217" customFormat="false" ht="14.35" hidden="false" customHeight="false" outlineLevel="0" collapsed="false">
      <c r="A217" s="196" t="s">
        <v>214</v>
      </c>
      <c r="B217" s="196" t="s">
        <v>1214</v>
      </c>
      <c r="C217" s="196" t="s">
        <v>1674</v>
      </c>
      <c r="D217" s="196" t="s">
        <v>177</v>
      </c>
      <c r="E217" s="196" t="n">
        <v>95</v>
      </c>
      <c r="F217" s="353" t="s">
        <v>582</v>
      </c>
      <c r="G217" s="196" t="n">
        <v>104.5</v>
      </c>
      <c r="H217" s="353" t="s">
        <v>698</v>
      </c>
    </row>
    <row r="218" customFormat="false" ht="14.35" hidden="false" customHeight="false" outlineLevel="0" collapsed="false">
      <c r="A218" s="196" t="s">
        <v>234</v>
      </c>
      <c r="B218" s="196" t="s">
        <v>990</v>
      </c>
      <c r="C218" s="196" t="s">
        <v>1947</v>
      </c>
      <c r="D218" s="196" t="s">
        <v>80</v>
      </c>
      <c r="E218" s="196" t="n">
        <v>120</v>
      </c>
      <c r="F218" s="353" t="s">
        <v>611</v>
      </c>
      <c r="G218" s="196" t="n">
        <v>132</v>
      </c>
      <c r="H218" s="353" t="s">
        <v>699</v>
      </c>
    </row>
    <row r="219" customFormat="false" ht="14.35" hidden="false" customHeight="false" outlineLevel="0" collapsed="false">
      <c r="A219" s="196" t="s">
        <v>234</v>
      </c>
      <c r="B219" s="196" t="s">
        <v>990</v>
      </c>
      <c r="C219" s="196" t="s">
        <v>1947</v>
      </c>
      <c r="D219" s="196" t="s">
        <v>51</v>
      </c>
      <c r="E219" s="196" t="n">
        <v>295</v>
      </c>
      <c r="F219" s="353" t="s">
        <v>700</v>
      </c>
      <c r="G219" s="196" t="n">
        <v>324.5</v>
      </c>
      <c r="H219" s="353" t="s">
        <v>701</v>
      </c>
    </row>
    <row r="220" customFormat="false" ht="14.35" hidden="false" customHeight="false" outlineLevel="0" collapsed="false">
      <c r="A220" s="196" t="s">
        <v>234</v>
      </c>
      <c r="B220" s="196" t="s">
        <v>990</v>
      </c>
      <c r="C220" s="196" t="s">
        <v>1947</v>
      </c>
      <c r="D220" s="196" t="s">
        <v>161</v>
      </c>
      <c r="E220" s="196" t="n">
        <v>225</v>
      </c>
      <c r="F220" s="353" t="s">
        <v>702</v>
      </c>
      <c r="G220" s="196" t="n">
        <v>247.5</v>
      </c>
      <c r="H220" s="353" t="s">
        <v>703</v>
      </c>
    </row>
    <row r="221" customFormat="false" ht="14.35" hidden="false" customHeight="false" outlineLevel="0" collapsed="false">
      <c r="D221" s="196" t="s">
        <v>237</v>
      </c>
      <c r="E221" s="196" t="n">
        <v>1131</v>
      </c>
    </row>
    <row r="222" customFormat="false" ht="14.35" hidden="false" customHeight="false" outlineLevel="0" collapsed="false">
      <c r="A222" s="196" t="s">
        <v>243</v>
      </c>
    </row>
    <row r="223" customFormat="false" ht="14.35" hidden="false" customHeight="false" outlineLevel="0" collapsed="false">
      <c r="A223" s="196" t="s">
        <v>2</v>
      </c>
    </row>
    <row r="224" customFormat="false" ht="14.35" hidden="false" customHeight="false" outlineLevel="0" collapsed="false">
      <c r="A224" s="196" t="s">
        <v>4</v>
      </c>
      <c r="B224" s="196" t="s">
        <v>5</v>
      </c>
      <c r="C224" s="196" t="s">
        <v>6</v>
      </c>
      <c r="D224" s="196" t="s">
        <v>7</v>
      </c>
      <c r="E224" s="196" t="s">
        <v>8</v>
      </c>
      <c r="F224" s="353" t="s">
        <v>9</v>
      </c>
      <c r="G224" s="196" t="s">
        <v>10</v>
      </c>
    </row>
    <row r="225" customFormat="false" ht="14.35" hidden="false" customHeight="false" outlineLevel="0" collapsed="false">
      <c r="A225" s="196" t="s">
        <v>245</v>
      </c>
      <c r="B225" s="196" t="s">
        <v>1085</v>
      </c>
      <c r="C225" s="196" t="s">
        <v>1638</v>
      </c>
      <c r="D225" s="196" t="s">
        <v>172</v>
      </c>
      <c r="E225" s="196" t="n">
        <v>103</v>
      </c>
      <c r="F225" s="353" t="s">
        <v>582</v>
      </c>
      <c r="G225" s="196" t="n">
        <v>113.3</v>
      </c>
      <c r="H225" s="353" t="s">
        <v>660</v>
      </c>
    </row>
    <row r="226" customFormat="false" ht="14.35" hidden="false" customHeight="false" outlineLevel="0" collapsed="false">
      <c r="A226" s="196" t="s">
        <v>245</v>
      </c>
      <c r="B226" s="196" t="s">
        <v>1085</v>
      </c>
      <c r="C226" s="196" t="s">
        <v>1639</v>
      </c>
      <c r="D226" s="196" t="s">
        <v>73</v>
      </c>
      <c r="E226" s="196" t="n">
        <v>55</v>
      </c>
      <c r="F226" s="353" t="s">
        <v>704</v>
      </c>
      <c r="G226" s="196" t="n">
        <v>60.5</v>
      </c>
      <c r="H226" s="353" t="s">
        <v>598</v>
      </c>
    </row>
    <row r="227" customFormat="false" ht="14.35" hidden="false" customHeight="false" outlineLevel="0" collapsed="false">
      <c r="A227" s="196" t="s">
        <v>245</v>
      </c>
      <c r="B227" s="196" t="s">
        <v>1227</v>
      </c>
      <c r="C227" s="196" t="s">
        <v>1637</v>
      </c>
      <c r="D227" s="196" t="s">
        <v>77</v>
      </c>
      <c r="E227" s="196" t="n">
        <v>65</v>
      </c>
      <c r="F227" s="353" t="s">
        <v>705</v>
      </c>
      <c r="G227" s="196" t="n">
        <v>71.5</v>
      </c>
      <c r="H227" s="353" t="n">
        <v>65</v>
      </c>
    </row>
    <row r="228" customFormat="false" ht="14.35" hidden="false" customHeight="false" outlineLevel="0" collapsed="false">
      <c r="A228" s="196" t="s">
        <v>245</v>
      </c>
      <c r="B228" s="196" t="s">
        <v>1085</v>
      </c>
      <c r="C228" s="196" t="s">
        <v>1639</v>
      </c>
      <c r="D228" s="196" t="s">
        <v>25</v>
      </c>
      <c r="E228" s="196" t="n">
        <v>170</v>
      </c>
      <c r="F228" s="353" t="s">
        <v>706</v>
      </c>
      <c r="G228" s="196" t="n">
        <v>187</v>
      </c>
      <c r="H228" s="353" t="s">
        <v>707</v>
      </c>
    </row>
    <row r="229" customFormat="false" ht="14.35" hidden="false" customHeight="false" outlineLevel="0" collapsed="false">
      <c r="A229" s="196" t="s">
        <v>245</v>
      </c>
      <c r="B229" s="196" t="s">
        <v>1085</v>
      </c>
      <c r="C229" s="196" t="s">
        <v>1638</v>
      </c>
      <c r="D229" s="196" t="s">
        <v>126</v>
      </c>
      <c r="E229" s="196" t="n">
        <v>90</v>
      </c>
      <c r="F229" s="353" t="s">
        <v>708</v>
      </c>
      <c r="G229" s="196" t="n">
        <v>99</v>
      </c>
      <c r="H229" s="353" t="s">
        <v>709</v>
      </c>
    </row>
    <row r="230" customFormat="false" ht="14.35" hidden="false" customHeight="false" outlineLevel="0" collapsed="false">
      <c r="A230" s="196" t="s">
        <v>245</v>
      </c>
      <c r="B230" s="196" t="s">
        <v>1085</v>
      </c>
      <c r="C230" s="196" t="s">
        <v>1638</v>
      </c>
      <c r="D230" s="196" t="s">
        <v>75</v>
      </c>
      <c r="E230" s="196" t="n">
        <v>160</v>
      </c>
      <c r="F230" s="353" t="s">
        <v>710</v>
      </c>
      <c r="G230" s="196" t="n">
        <v>176</v>
      </c>
      <c r="H230" s="353" t="s">
        <v>711</v>
      </c>
    </row>
    <row r="231" customFormat="false" ht="14.35" hidden="false" customHeight="false" outlineLevel="0" collapsed="false">
      <c r="A231" s="196" t="s">
        <v>245</v>
      </c>
      <c r="B231" s="196" t="s">
        <v>1085</v>
      </c>
      <c r="C231" s="196" t="s">
        <v>1638</v>
      </c>
      <c r="D231" s="196" t="s">
        <v>112</v>
      </c>
      <c r="E231" s="196" t="n">
        <v>46</v>
      </c>
      <c r="F231" s="353" t="s">
        <v>541</v>
      </c>
      <c r="G231" s="196" t="n">
        <v>50.6</v>
      </c>
      <c r="H231" s="353" t="n">
        <v>46</v>
      </c>
    </row>
    <row r="232" customFormat="false" ht="14.35" hidden="false" customHeight="false" outlineLevel="0" collapsed="false">
      <c r="A232" s="196" t="s">
        <v>245</v>
      </c>
      <c r="B232" s="196" t="s">
        <v>1085</v>
      </c>
      <c r="C232" s="196" t="s">
        <v>1637</v>
      </c>
      <c r="D232" s="196" t="s">
        <v>109</v>
      </c>
      <c r="E232" s="196" t="n">
        <v>43</v>
      </c>
      <c r="F232" s="353" t="s">
        <v>712</v>
      </c>
      <c r="G232" s="196" t="n">
        <v>47.3</v>
      </c>
      <c r="H232" s="353" t="s">
        <v>713</v>
      </c>
    </row>
    <row r="233" customFormat="false" ht="14.35" hidden="false" customHeight="false" outlineLevel="0" collapsed="false">
      <c r="A233" s="196" t="s">
        <v>245</v>
      </c>
      <c r="B233" s="196" t="s">
        <v>1158</v>
      </c>
      <c r="C233" s="196" t="s">
        <v>1637</v>
      </c>
      <c r="D233" s="196" t="s">
        <v>108</v>
      </c>
      <c r="E233" s="196" t="n">
        <v>150</v>
      </c>
      <c r="F233" s="353" t="s">
        <v>714</v>
      </c>
      <c r="G233" s="196" t="n">
        <v>165</v>
      </c>
      <c r="H233" s="353" t="s">
        <v>715</v>
      </c>
    </row>
    <row r="234" customFormat="false" ht="14.35" hidden="false" customHeight="false" outlineLevel="0" collapsed="false">
      <c r="A234" s="196" t="s">
        <v>270</v>
      </c>
      <c r="B234" s="196" t="s">
        <v>1125</v>
      </c>
      <c r="C234" s="196" t="s">
        <v>1964</v>
      </c>
      <c r="D234" s="196" t="s">
        <v>177</v>
      </c>
      <c r="E234" s="196" t="n">
        <v>2</v>
      </c>
      <c r="F234" s="353" t="s">
        <v>716</v>
      </c>
      <c r="G234" s="196" t="n">
        <v>2.2</v>
      </c>
      <c r="H234" s="353" t="n">
        <v>2</v>
      </c>
    </row>
    <row r="235" customFormat="false" ht="14.35" hidden="false" customHeight="false" outlineLevel="0" collapsed="false">
      <c r="A235" s="196" t="s">
        <v>270</v>
      </c>
      <c r="B235" s="196" t="s">
        <v>1125</v>
      </c>
      <c r="C235" s="196" t="s">
        <v>1964</v>
      </c>
      <c r="D235" s="196" t="s">
        <v>103</v>
      </c>
      <c r="E235" s="196" t="n">
        <v>60</v>
      </c>
      <c r="F235" s="353" t="s">
        <v>566</v>
      </c>
      <c r="G235" s="196" t="n">
        <v>66</v>
      </c>
      <c r="H235" s="353" t="s">
        <v>717</v>
      </c>
    </row>
    <row r="236" customFormat="false" ht="14.35" hidden="false" customHeight="false" outlineLevel="0" collapsed="false">
      <c r="A236" s="196" t="s">
        <v>258</v>
      </c>
      <c r="B236" s="196" t="s">
        <v>1321</v>
      </c>
      <c r="C236" s="196" t="s">
        <v>1995</v>
      </c>
      <c r="D236" s="196" t="s">
        <v>63</v>
      </c>
      <c r="E236" s="196" t="n">
        <v>53</v>
      </c>
      <c r="F236" s="353" t="s">
        <v>718</v>
      </c>
      <c r="G236" s="196" t="n">
        <v>58.3</v>
      </c>
      <c r="H236" s="353" t="s">
        <v>657</v>
      </c>
    </row>
    <row r="237" customFormat="false" ht="14.35" hidden="false" customHeight="false" outlineLevel="0" collapsed="false">
      <c r="A237" s="196" t="s">
        <v>319</v>
      </c>
      <c r="B237" s="196" t="s">
        <v>1325</v>
      </c>
      <c r="C237" s="196" t="s">
        <v>1519</v>
      </c>
      <c r="D237" s="196" t="s">
        <v>44</v>
      </c>
      <c r="E237" s="196" t="n">
        <v>40</v>
      </c>
      <c r="F237" s="353" t="s">
        <v>541</v>
      </c>
      <c r="G237" s="196" t="n">
        <v>44</v>
      </c>
      <c r="H237" s="353" t="n">
        <v>40</v>
      </c>
    </row>
    <row r="238" customFormat="false" ht="14.35" hidden="false" customHeight="false" outlineLevel="0" collapsed="false">
      <c r="A238" s="196" t="s">
        <v>415</v>
      </c>
      <c r="B238" s="196" t="s">
        <v>1149</v>
      </c>
      <c r="C238" s="196" t="s">
        <v>1546</v>
      </c>
      <c r="D238" s="196" t="s">
        <v>48</v>
      </c>
      <c r="E238" s="196" t="n">
        <v>71</v>
      </c>
      <c r="F238" s="353" t="s">
        <v>546</v>
      </c>
      <c r="G238" s="196" t="n">
        <v>78.1</v>
      </c>
      <c r="H238" s="353" t="n">
        <v>71</v>
      </c>
    </row>
    <row r="239" customFormat="false" ht="14.35" hidden="false" customHeight="false" outlineLevel="0" collapsed="false">
      <c r="A239" s="196" t="s">
        <v>431</v>
      </c>
      <c r="B239" s="196" t="s">
        <v>1148</v>
      </c>
      <c r="C239" s="196" t="s">
        <v>1511</v>
      </c>
      <c r="D239" s="196" t="s">
        <v>48</v>
      </c>
      <c r="E239" s="196" t="n">
        <v>54</v>
      </c>
      <c r="F239" s="353" t="s">
        <v>719</v>
      </c>
      <c r="G239" s="196" t="n">
        <v>59.4</v>
      </c>
      <c r="H239" s="353" t="s">
        <v>720</v>
      </c>
    </row>
    <row r="240" customFormat="false" ht="14.35" hidden="false" customHeight="false" outlineLevel="0" collapsed="false">
      <c r="D240" s="196" t="s">
        <v>248</v>
      </c>
      <c r="E240" s="196" t="n">
        <v>1162</v>
      </c>
    </row>
    <row r="241" customFormat="false" ht="14.35" hidden="false" customHeight="false" outlineLevel="0" collapsed="false">
      <c r="A241" s="196" t="s">
        <v>243</v>
      </c>
    </row>
    <row r="242" customFormat="false" ht="14.35" hidden="false" customHeight="false" outlineLevel="0" collapsed="false">
      <c r="A242" s="196" t="s">
        <v>29</v>
      </c>
    </row>
    <row r="243" customFormat="false" ht="14.35" hidden="false" customHeight="false" outlineLevel="0" collapsed="false">
      <c r="A243" s="196" t="s">
        <v>4</v>
      </c>
      <c r="B243" s="196" t="s">
        <v>5</v>
      </c>
      <c r="C243" s="196" t="s">
        <v>6</v>
      </c>
      <c r="D243" s="196" t="s">
        <v>7</v>
      </c>
      <c r="E243" s="196" t="s">
        <v>8</v>
      </c>
      <c r="F243" s="353" t="s">
        <v>9</v>
      </c>
      <c r="G243" s="196" t="s">
        <v>10</v>
      </c>
    </row>
    <row r="244" customFormat="false" ht="14.35" hidden="false" customHeight="false" outlineLevel="0" collapsed="false">
      <c r="A244" s="196" t="s">
        <v>250</v>
      </c>
      <c r="B244" s="196" t="s">
        <v>1094</v>
      </c>
      <c r="C244" s="196" t="s">
        <v>1582</v>
      </c>
      <c r="D244" s="196" t="s">
        <v>251</v>
      </c>
      <c r="E244" s="196" t="n">
        <v>160</v>
      </c>
      <c r="F244" s="353" t="s">
        <v>34</v>
      </c>
      <c r="G244" s="196" t="n">
        <v>176</v>
      </c>
    </row>
    <row r="245" customFormat="false" ht="14.35" hidden="false" customHeight="false" outlineLevel="0" collapsed="false">
      <c r="A245" s="196" t="s">
        <v>250</v>
      </c>
      <c r="B245" s="196" t="s">
        <v>1094</v>
      </c>
      <c r="C245" s="196" t="s">
        <v>1455</v>
      </c>
      <c r="D245" s="196" t="s">
        <v>252</v>
      </c>
      <c r="E245" s="196" t="n">
        <v>87</v>
      </c>
      <c r="F245" s="353" t="s">
        <v>721</v>
      </c>
      <c r="G245" s="196" t="n">
        <v>95.7</v>
      </c>
      <c r="H245" s="353" t="s">
        <v>722</v>
      </c>
    </row>
    <row r="246" customFormat="false" ht="14.35" hidden="false" customHeight="false" outlineLevel="0" collapsed="false">
      <c r="A246" s="196" t="s">
        <v>19</v>
      </c>
      <c r="B246" s="196" t="s">
        <v>1151</v>
      </c>
      <c r="C246" s="196" t="s">
        <v>1599</v>
      </c>
      <c r="D246" s="196" t="s">
        <v>51</v>
      </c>
      <c r="E246" s="196" t="n">
        <v>295</v>
      </c>
      <c r="F246" s="353" t="s">
        <v>954</v>
      </c>
      <c r="G246" s="196" t="n">
        <v>324.5</v>
      </c>
      <c r="H246" s="353" t="s">
        <v>723</v>
      </c>
    </row>
    <row r="247" customFormat="false" ht="14.35" hidden="false" customHeight="false" outlineLevel="0" collapsed="false">
      <c r="A247" s="196" t="s">
        <v>253</v>
      </c>
      <c r="B247" s="196" t="s">
        <v>1277</v>
      </c>
      <c r="C247" s="196" t="s">
        <v>1800</v>
      </c>
      <c r="D247" s="196" t="s">
        <v>210</v>
      </c>
      <c r="E247" s="196" t="n">
        <v>83</v>
      </c>
      <c r="F247" s="353" t="s">
        <v>724</v>
      </c>
      <c r="G247" s="196" t="n">
        <v>91.3</v>
      </c>
      <c r="H247" s="353" t="s">
        <v>725</v>
      </c>
    </row>
    <row r="248" customFormat="false" ht="14.35" hidden="false" customHeight="false" outlineLevel="0" collapsed="false">
      <c r="A248" s="196" t="s">
        <v>253</v>
      </c>
      <c r="B248" s="196" t="s">
        <v>1277</v>
      </c>
      <c r="C248" s="196" t="s">
        <v>1800</v>
      </c>
      <c r="D248" s="196" t="s">
        <v>101</v>
      </c>
      <c r="E248" s="196" t="n">
        <v>57</v>
      </c>
      <c r="F248" s="353" t="s">
        <v>529</v>
      </c>
      <c r="G248" s="196" t="n">
        <v>62.7</v>
      </c>
      <c r="H248" s="353" t="s">
        <v>726</v>
      </c>
    </row>
    <row r="249" customFormat="false" ht="14.35" hidden="false" customHeight="false" outlineLevel="0" collapsed="false">
      <c r="A249" s="196" t="s">
        <v>247</v>
      </c>
      <c r="B249" s="196" t="s">
        <v>1206</v>
      </c>
      <c r="C249" s="196" t="s">
        <v>1678</v>
      </c>
      <c r="D249" s="196" t="s">
        <v>55</v>
      </c>
      <c r="E249" s="196" t="n">
        <v>150</v>
      </c>
      <c r="F249" s="353" t="s">
        <v>714</v>
      </c>
      <c r="G249" s="196" t="n">
        <v>165</v>
      </c>
      <c r="H249" s="353" t="s">
        <v>715</v>
      </c>
    </row>
    <row r="250" customFormat="false" ht="14.35" hidden="false" customHeight="false" outlineLevel="0" collapsed="false">
      <c r="A250" s="196" t="s">
        <v>254</v>
      </c>
      <c r="B250" s="196" t="s">
        <v>1035</v>
      </c>
      <c r="C250" s="196" t="s">
        <v>1950</v>
      </c>
      <c r="D250" s="196" t="s">
        <v>99</v>
      </c>
      <c r="E250" s="196" t="n">
        <v>17</v>
      </c>
      <c r="F250" s="353" t="s">
        <v>727</v>
      </c>
      <c r="G250" s="196" t="n">
        <v>18.7</v>
      </c>
      <c r="H250" s="353" t="n">
        <v>17</v>
      </c>
    </row>
    <row r="251" customFormat="false" ht="14.35" hidden="false" customHeight="false" outlineLevel="0" collapsed="false">
      <c r="A251" s="196" t="s">
        <v>297</v>
      </c>
      <c r="B251" s="196" t="s">
        <v>1131</v>
      </c>
      <c r="C251" s="196" t="s">
        <v>1519</v>
      </c>
      <c r="D251" s="196" t="s">
        <v>14</v>
      </c>
      <c r="E251" s="196" t="n">
        <v>65</v>
      </c>
      <c r="F251" s="353" t="s">
        <v>574</v>
      </c>
      <c r="G251" s="196" t="n">
        <v>71.5</v>
      </c>
      <c r="H251" s="353" t="s">
        <v>638</v>
      </c>
    </row>
    <row r="252" customFormat="false" ht="14.35" hidden="false" customHeight="false" outlineLevel="0" collapsed="false">
      <c r="A252" s="196" t="s">
        <v>297</v>
      </c>
      <c r="B252" s="196" t="s">
        <v>1131</v>
      </c>
      <c r="C252" s="196" t="s">
        <v>1518</v>
      </c>
      <c r="D252" s="196" t="s">
        <v>13</v>
      </c>
      <c r="E252" s="196" t="n">
        <v>160</v>
      </c>
      <c r="F252" s="353" t="s">
        <v>706</v>
      </c>
      <c r="G252" s="196" t="n">
        <v>176</v>
      </c>
      <c r="H252" s="353" t="s">
        <v>728</v>
      </c>
    </row>
    <row r="253" customFormat="false" ht="14.35" hidden="false" customHeight="false" outlineLevel="0" collapsed="false">
      <c r="A253" s="196" t="s">
        <v>271</v>
      </c>
      <c r="B253" s="196" t="s">
        <v>1281</v>
      </c>
      <c r="C253" s="196" t="s">
        <v>1842</v>
      </c>
      <c r="D253" s="196" t="s">
        <v>140</v>
      </c>
      <c r="E253" s="196" t="n">
        <v>85</v>
      </c>
      <c r="F253" s="353" t="s">
        <v>729</v>
      </c>
      <c r="G253" s="196" t="n">
        <v>93.5</v>
      </c>
      <c r="H253" s="353" t="s">
        <v>730</v>
      </c>
    </row>
    <row r="254" customFormat="false" ht="14.35" hidden="false" customHeight="false" outlineLevel="0" collapsed="false">
      <c r="A254" s="196" t="s">
        <v>260</v>
      </c>
      <c r="B254" s="196" t="s">
        <v>990</v>
      </c>
      <c r="C254" s="196" t="s">
        <v>1445</v>
      </c>
      <c r="D254" s="196" t="s">
        <v>130</v>
      </c>
      <c r="E254" s="196" t="n">
        <v>136</v>
      </c>
      <c r="F254" s="353" t="s">
        <v>731</v>
      </c>
      <c r="G254" s="196" t="n">
        <v>149.6</v>
      </c>
      <c r="H254" s="353" t="s">
        <v>732</v>
      </c>
    </row>
    <row r="255" customFormat="false" ht="14.35" hidden="false" customHeight="false" outlineLevel="0" collapsed="false">
      <c r="D255" s="196" t="s">
        <v>261</v>
      </c>
      <c r="E255" s="196" t="n">
        <v>1135</v>
      </c>
    </row>
    <row r="256" customFormat="false" ht="14.35" hidden="false" customHeight="false" outlineLevel="0" collapsed="false">
      <c r="A256" s="196" t="s">
        <v>243</v>
      </c>
    </row>
    <row r="257" customFormat="false" ht="14.35" hidden="false" customHeight="false" outlineLevel="0" collapsed="false">
      <c r="A257" s="196" t="s">
        <v>59</v>
      </c>
    </row>
    <row r="258" customFormat="false" ht="14.35" hidden="false" customHeight="false" outlineLevel="0" collapsed="false">
      <c r="A258" s="196" t="s">
        <v>4</v>
      </c>
      <c r="B258" s="196" t="s">
        <v>5</v>
      </c>
      <c r="C258" s="196" t="s">
        <v>6</v>
      </c>
      <c r="D258" s="196" t="s">
        <v>7</v>
      </c>
      <c r="E258" s="196" t="s">
        <v>8</v>
      </c>
      <c r="F258" s="353" t="s">
        <v>9</v>
      </c>
      <c r="G258" s="196" t="s">
        <v>10</v>
      </c>
    </row>
    <row r="259" customFormat="false" ht="14.35" hidden="false" customHeight="false" outlineLevel="0" collapsed="false">
      <c r="A259" s="196" t="s">
        <v>263</v>
      </c>
      <c r="B259" s="196" t="s">
        <v>1333</v>
      </c>
      <c r="C259" s="196" t="s">
        <v>1872</v>
      </c>
      <c r="D259" s="196" t="s">
        <v>93</v>
      </c>
      <c r="E259" s="196" t="n">
        <v>95</v>
      </c>
      <c r="F259" s="353" t="s">
        <v>571</v>
      </c>
      <c r="G259" s="196" t="n">
        <v>104.5</v>
      </c>
      <c r="H259" s="353" t="s">
        <v>733</v>
      </c>
    </row>
    <row r="260" customFormat="false" ht="14.35" hidden="false" customHeight="false" outlineLevel="0" collapsed="false">
      <c r="A260" s="196" t="s">
        <v>264</v>
      </c>
      <c r="B260" s="196" t="s">
        <v>1345</v>
      </c>
      <c r="C260" s="196" t="s">
        <v>1881</v>
      </c>
      <c r="D260" s="196" t="s">
        <v>46</v>
      </c>
      <c r="E260" s="196" t="n">
        <v>99</v>
      </c>
      <c r="F260" s="353" t="s">
        <v>734</v>
      </c>
      <c r="G260" s="196" t="n">
        <v>108.9</v>
      </c>
      <c r="H260" s="353" t="s">
        <v>735</v>
      </c>
    </row>
    <row r="261" customFormat="false" ht="14.35" hidden="false" customHeight="false" outlineLevel="0" collapsed="false">
      <c r="A261" s="196" t="s">
        <v>265</v>
      </c>
      <c r="B261" s="196" t="s">
        <v>1243</v>
      </c>
      <c r="C261" s="196" t="s">
        <v>1406</v>
      </c>
      <c r="D261" s="196" t="s">
        <v>121</v>
      </c>
      <c r="E261" s="196" t="n">
        <v>70</v>
      </c>
      <c r="F261" s="353" t="s">
        <v>574</v>
      </c>
      <c r="G261" s="196" t="n">
        <v>77</v>
      </c>
      <c r="H261" s="353" t="s">
        <v>736</v>
      </c>
    </row>
    <row r="262" customFormat="false" ht="14.35" hidden="false" customHeight="false" outlineLevel="0" collapsed="false">
      <c r="A262" s="196" t="s">
        <v>266</v>
      </c>
      <c r="B262" s="196" t="s">
        <v>1009</v>
      </c>
      <c r="C262" s="196" t="s">
        <v>1406</v>
      </c>
      <c r="D262" s="196" t="s">
        <v>88</v>
      </c>
      <c r="E262" s="196" t="n">
        <v>101</v>
      </c>
      <c r="F262" s="353" t="s">
        <v>954</v>
      </c>
      <c r="G262" s="196" t="n">
        <v>111.1</v>
      </c>
      <c r="H262" s="353" t="s">
        <v>961</v>
      </c>
    </row>
    <row r="263" customFormat="false" ht="14.35" hidden="false" customHeight="false" outlineLevel="0" collapsed="false">
      <c r="A263" s="196" t="s">
        <v>143</v>
      </c>
      <c r="B263" s="196" t="s">
        <v>1196</v>
      </c>
      <c r="C263" s="196" t="s">
        <v>1620</v>
      </c>
      <c r="D263" s="196" t="s">
        <v>144</v>
      </c>
      <c r="E263" s="196" t="n">
        <v>189</v>
      </c>
      <c r="F263" s="353" t="s">
        <v>954</v>
      </c>
      <c r="G263" s="196" t="n">
        <v>207.9</v>
      </c>
      <c r="H263" s="353" t="s">
        <v>738</v>
      </c>
    </row>
    <row r="264" customFormat="false" ht="14.35" hidden="false" customHeight="false" outlineLevel="0" collapsed="false">
      <c r="A264" s="196" t="s">
        <v>268</v>
      </c>
      <c r="B264" s="196" t="s">
        <v>1018</v>
      </c>
      <c r="C264" s="196" t="s">
        <v>1715</v>
      </c>
      <c r="D264" s="196" t="s">
        <v>191</v>
      </c>
      <c r="E264" s="196" t="n">
        <v>70</v>
      </c>
      <c r="F264" s="353" t="s">
        <v>529</v>
      </c>
      <c r="G264" s="196" t="n">
        <v>77</v>
      </c>
      <c r="H264" s="353" t="s">
        <v>649</v>
      </c>
    </row>
    <row r="265" customFormat="false" ht="14.35" hidden="false" customHeight="false" outlineLevel="0" collapsed="false">
      <c r="A265" s="196" t="s">
        <v>269</v>
      </c>
      <c r="B265" s="196" t="s">
        <v>2003</v>
      </c>
      <c r="C265" s="196" t="s">
        <v>1998</v>
      </c>
      <c r="D265" s="196" t="s">
        <v>227</v>
      </c>
      <c r="E265" s="196" t="n">
        <v>138</v>
      </c>
      <c r="F265" s="353" t="s">
        <v>731</v>
      </c>
      <c r="G265" s="196" t="n">
        <v>151.8</v>
      </c>
      <c r="H265" s="353" t="s">
        <v>739</v>
      </c>
    </row>
    <row r="266" customFormat="false" ht="14.35" hidden="false" customHeight="false" outlineLevel="0" collapsed="false">
      <c r="A266" s="196" t="s">
        <v>268</v>
      </c>
      <c r="B266" s="196" t="s">
        <v>1292</v>
      </c>
      <c r="C266" s="196" t="s">
        <v>1715</v>
      </c>
      <c r="D266" s="196" t="s">
        <v>161</v>
      </c>
      <c r="E266" s="196" t="n">
        <v>225</v>
      </c>
      <c r="F266" s="353" t="s">
        <v>740</v>
      </c>
      <c r="G266" s="196" t="n">
        <v>247.5</v>
      </c>
      <c r="H266" s="353" t="s">
        <v>741</v>
      </c>
    </row>
    <row r="267" customFormat="false" ht="14.35" hidden="false" customHeight="false" outlineLevel="0" collapsed="false">
      <c r="A267" s="196" t="s">
        <v>256</v>
      </c>
      <c r="B267" s="196" t="s">
        <v>1311</v>
      </c>
      <c r="C267" s="196" t="s">
        <v>1807</v>
      </c>
      <c r="D267" s="196" t="s">
        <v>142</v>
      </c>
      <c r="E267" s="196" t="n">
        <v>87</v>
      </c>
      <c r="F267" s="353" t="s">
        <v>742</v>
      </c>
      <c r="G267" s="196" t="n">
        <v>95.7</v>
      </c>
      <c r="H267" s="353" t="s">
        <v>743</v>
      </c>
    </row>
    <row r="268" customFormat="false" ht="14.35" hidden="false" customHeight="false" outlineLevel="0" collapsed="false">
      <c r="A268" s="196" t="s">
        <v>246</v>
      </c>
      <c r="B268" s="196" t="s">
        <v>1980</v>
      </c>
      <c r="C268" s="196" t="s">
        <v>1700</v>
      </c>
      <c r="D268" s="196" t="s">
        <v>154</v>
      </c>
      <c r="E268" s="196" t="n">
        <v>154</v>
      </c>
      <c r="F268" s="353" t="s">
        <v>706</v>
      </c>
      <c r="G268" s="196" t="n">
        <v>169.4</v>
      </c>
      <c r="H268" s="353" t="s">
        <v>744</v>
      </c>
    </row>
    <row r="269" customFormat="false" ht="14.35" hidden="false" customHeight="false" outlineLevel="0" collapsed="false">
      <c r="D269" s="196" t="s">
        <v>272</v>
      </c>
      <c r="E269" s="196" t="n">
        <v>1228</v>
      </c>
    </row>
    <row r="270" customFormat="false" ht="14.35" hidden="false" customHeight="false" outlineLevel="0" collapsed="false">
      <c r="A270" s="196" t="s">
        <v>274</v>
      </c>
    </row>
    <row r="271" customFormat="false" ht="14.35" hidden="false" customHeight="false" outlineLevel="0" collapsed="false">
      <c r="A271" s="196" t="s">
        <v>2</v>
      </c>
    </row>
    <row r="272" customFormat="false" ht="14.35" hidden="false" customHeight="false" outlineLevel="0" collapsed="false">
      <c r="A272" s="196" t="s">
        <v>4</v>
      </c>
      <c r="B272" s="196" t="s">
        <v>5</v>
      </c>
      <c r="C272" s="196" t="s">
        <v>6</v>
      </c>
      <c r="D272" s="196" t="s">
        <v>7</v>
      </c>
      <c r="E272" s="196" t="s">
        <v>8</v>
      </c>
      <c r="F272" s="353" t="s">
        <v>9</v>
      </c>
      <c r="G272" s="196" t="s">
        <v>10</v>
      </c>
    </row>
    <row r="273" customFormat="false" ht="14.35" hidden="false" customHeight="false" outlineLevel="0" collapsed="false">
      <c r="A273" s="196" t="s">
        <v>276</v>
      </c>
      <c r="B273" s="196" t="s">
        <v>996</v>
      </c>
      <c r="C273" s="196" t="s">
        <v>1629</v>
      </c>
      <c r="D273" s="196" t="s">
        <v>53</v>
      </c>
      <c r="E273" s="196" t="n">
        <v>155</v>
      </c>
      <c r="F273" s="353" t="s">
        <v>745</v>
      </c>
      <c r="G273" s="196" t="n">
        <v>170.5</v>
      </c>
      <c r="H273" s="353" t="s">
        <v>746</v>
      </c>
    </row>
    <row r="274" customFormat="false" ht="14.35" hidden="false" customHeight="false" outlineLevel="0" collapsed="false">
      <c r="A274" s="196" t="s">
        <v>276</v>
      </c>
      <c r="B274" s="196" t="s">
        <v>996</v>
      </c>
      <c r="C274" s="196" t="s">
        <v>1629</v>
      </c>
      <c r="D274" s="196" t="s">
        <v>36</v>
      </c>
      <c r="E274" s="196" t="n">
        <v>75</v>
      </c>
      <c r="F274" s="353" t="s">
        <v>545</v>
      </c>
      <c r="G274" s="196" t="n">
        <v>82.5</v>
      </c>
      <c r="H274" s="353" t="n">
        <v>75</v>
      </c>
    </row>
    <row r="275" customFormat="false" ht="14.35" hidden="false" customHeight="false" outlineLevel="0" collapsed="false">
      <c r="A275" s="196" t="s">
        <v>276</v>
      </c>
      <c r="B275" s="196" t="s">
        <v>996</v>
      </c>
      <c r="C275" s="196" t="s">
        <v>1629</v>
      </c>
      <c r="D275" s="196" t="s">
        <v>170</v>
      </c>
      <c r="E275" s="196" t="n">
        <v>132</v>
      </c>
      <c r="F275" s="353" t="s">
        <v>747</v>
      </c>
      <c r="G275" s="196" t="n">
        <v>145.2</v>
      </c>
      <c r="H275" s="353" t="s">
        <v>748</v>
      </c>
    </row>
    <row r="276" customFormat="false" ht="14.35" hidden="false" customHeight="false" outlineLevel="0" collapsed="false">
      <c r="A276" s="196" t="s">
        <v>276</v>
      </c>
      <c r="B276" s="196" t="s">
        <v>996</v>
      </c>
      <c r="C276" s="196" t="s">
        <v>1629</v>
      </c>
      <c r="D276" s="196" t="s">
        <v>38</v>
      </c>
      <c r="E276" s="196" t="n">
        <v>80</v>
      </c>
      <c r="F276" s="353" t="s">
        <v>724</v>
      </c>
      <c r="G276" s="196" t="n">
        <v>88</v>
      </c>
      <c r="H276" s="353" t="s">
        <v>692</v>
      </c>
    </row>
    <row r="277" customFormat="false" ht="14.35" hidden="false" customHeight="false" outlineLevel="0" collapsed="false">
      <c r="A277" s="196" t="s">
        <v>277</v>
      </c>
      <c r="B277" s="196" t="s">
        <v>1025</v>
      </c>
      <c r="C277" s="196" t="s">
        <v>1417</v>
      </c>
      <c r="D277" s="196" t="s">
        <v>133</v>
      </c>
      <c r="E277" s="196" t="n">
        <v>76</v>
      </c>
      <c r="F277" s="353" t="s">
        <v>956</v>
      </c>
      <c r="G277" s="196" t="n">
        <v>83.6</v>
      </c>
      <c r="H277" s="353" t="n">
        <v>76</v>
      </c>
    </row>
    <row r="278" customFormat="false" ht="14.35" hidden="false" customHeight="false" outlineLevel="0" collapsed="false">
      <c r="A278" s="196" t="s">
        <v>257</v>
      </c>
      <c r="B278" s="196" t="s">
        <v>1061</v>
      </c>
      <c r="C278" s="196" t="s">
        <v>1425</v>
      </c>
      <c r="D278" s="196" t="s">
        <v>97</v>
      </c>
      <c r="E278" s="196" t="n">
        <v>32</v>
      </c>
      <c r="F278" s="353" t="s">
        <v>956</v>
      </c>
      <c r="G278" s="196" t="n">
        <v>35.2</v>
      </c>
      <c r="H278" s="353" t="n">
        <v>32</v>
      </c>
    </row>
    <row r="279" customFormat="false" ht="14.35" hidden="false" customHeight="false" outlineLevel="0" collapsed="false">
      <c r="A279" s="196" t="s">
        <v>285</v>
      </c>
      <c r="B279" s="196" t="s">
        <v>1218</v>
      </c>
      <c r="C279" s="196" t="s">
        <v>1877</v>
      </c>
      <c r="D279" s="196" t="s">
        <v>18</v>
      </c>
      <c r="E279" s="196" t="n">
        <v>80</v>
      </c>
      <c r="F279" s="353" t="s">
        <v>749</v>
      </c>
      <c r="G279" s="196" t="n">
        <v>88</v>
      </c>
      <c r="H279" s="353" t="s">
        <v>750</v>
      </c>
    </row>
    <row r="280" customFormat="false" ht="14.35" hidden="false" customHeight="false" outlineLevel="0" collapsed="false">
      <c r="A280" s="196" t="s">
        <v>278</v>
      </c>
      <c r="B280" s="196" t="s">
        <v>1105</v>
      </c>
      <c r="C280" s="196" t="s">
        <v>1477</v>
      </c>
      <c r="D280" s="196" t="s">
        <v>56</v>
      </c>
      <c r="E280" s="196" t="n">
        <v>250</v>
      </c>
      <c r="F280" s="353" t="s">
        <v>531</v>
      </c>
      <c r="G280" s="196" t="n">
        <v>275</v>
      </c>
      <c r="H280" s="353" t="s">
        <v>751</v>
      </c>
    </row>
    <row r="281" customFormat="false" ht="14.35" hidden="false" customHeight="false" outlineLevel="0" collapsed="false">
      <c r="A281" s="196" t="s">
        <v>281</v>
      </c>
      <c r="B281" s="196" t="s">
        <v>998</v>
      </c>
      <c r="C281" s="196" t="s">
        <v>1734</v>
      </c>
      <c r="D281" s="196" t="s">
        <v>42</v>
      </c>
      <c r="E281" s="196" t="n">
        <v>37</v>
      </c>
      <c r="F281" s="353" t="s">
        <v>616</v>
      </c>
      <c r="G281" s="196" t="n">
        <v>40.7</v>
      </c>
      <c r="H281" s="353" t="n">
        <v>37</v>
      </c>
    </row>
    <row r="282" customFormat="false" ht="14.35" hidden="false" customHeight="false" outlineLevel="0" collapsed="false">
      <c r="A282" s="196" t="s">
        <v>281</v>
      </c>
      <c r="B282" s="196" t="s">
        <v>998</v>
      </c>
      <c r="C282" s="196" t="s">
        <v>1734</v>
      </c>
      <c r="D282" s="196" t="s">
        <v>33</v>
      </c>
      <c r="E282" s="196" t="n">
        <v>240</v>
      </c>
      <c r="F282" s="353" t="s">
        <v>556</v>
      </c>
      <c r="G282" s="196" t="n">
        <v>264</v>
      </c>
      <c r="H282" s="353" t="s">
        <v>752</v>
      </c>
    </row>
    <row r="283" customFormat="false" ht="14.35" hidden="false" customHeight="false" outlineLevel="0" collapsed="false">
      <c r="D283" s="196" t="s">
        <v>282</v>
      </c>
      <c r="E283" s="196" t="n">
        <v>1157</v>
      </c>
    </row>
    <row r="284" customFormat="false" ht="14.35" hidden="false" customHeight="false" outlineLevel="0" collapsed="false">
      <c r="A284" s="196" t="s">
        <v>274</v>
      </c>
    </row>
    <row r="285" customFormat="false" ht="14.35" hidden="false" customHeight="false" outlineLevel="0" collapsed="false">
      <c r="A285" s="196" t="s">
        <v>29</v>
      </c>
    </row>
    <row r="286" customFormat="false" ht="14.35" hidden="false" customHeight="false" outlineLevel="0" collapsed="false">
      <c r="A286" s="196" t="s">
        <v>4</v>
      </c>
      <c r="B286" s="196" t="s">
        <v>5</v>
      </c>
      <c r="C286" s="196" t="s">
        <v>6</v>
      </c>
      <c r="D286" s="196" t="s">
        <v>7</v>
      </c>
      <c r="E286" s="196" t="s">
        <v>8</v>
      </c>
      <c r="F286" s="353" t="s">
        <v>9</v>
      </c>
      <c r="G286" s="196" t="s">
        <v>10</v>
      </c>
    </row>
    <row r="287" customFormat="false" ht="14.35" hidden="false" customHeight="false" outlineLevel="0" collapsed="false">
      <c r="A287" s="196" t="s">
        <v>234</v>
      </c>
      <c r="B287" s="196" t="s">
        <v>990</v>
      </c>
      <c r="C287" s="196" t="s">
        <v>1946</v>
      </c>
      <c r="D287" s="196" t="s">
        <v>191</v>
      </c>
      <c r="E287" s="196" t="n">
        <v>70</v>
      </c>
      <c r="F287" s="353" t="s">
        <v>574</v>
      </c>
      <c r="G287" s="196" t="n">
        <v>77</v>
      </c>
      <c r="H287" s="353" t="s">
        <v>671</v>
      </c>
    </row>
    <row r="288" customFormat="false" ht="14.35" hidden="false" customHeight="false" outlineLevel="0" collapsed="false">
      <c r="A288" s="196" t="s">
        <v>234</v>
      </c>
      <c r="B288" s="196" t="s">
        <v>990</v>
      </c>
      <c r="C288" s="196" t="s">
        <v>1946</v>
      </c>
      <c r="D288" s="196" t="s">
        <v>112</v>
      </c>
      <c r="E288" s="196" t="n">
        <v>46</v>
      </c>
      <c r="F288" s="353" t="s">
        <v>753</v>
      </c>
      <c r="G288" s="196" t="n">
        <v>50.6</v>
      </c>
      <c r="H288" s="353" t="s">
        <v>754</v>
      </c>
    </row>
    <row r="289" customFormat="false" ht="14.35" hidden="false" customHeight="false" outlineLevel="0" collapsed="false">
      <c r="A289" s="196" t="s">
        <v>234</v>
      </c>
      <c r="B289" s="196" t="s">
        <v>990</v>
      </c>
      <c r="C289" s="196" t="s">
        <v>1946</v>
      </c>
      <c r="D289" s="196" t="s">
        <v>111</v>
      </c>
      <c r="E289" s="196" t="n">
        <v>83</v>
      </c>
      <c r="F289" s="353" t="s">
        <v>755</v>
      </c>
      <c r="G289" s="196" t="n">
        <v>91.3</v>
      </c>
      <c r="H289" s="353" t="s">
        <v>756</v>
      </c>
    </row>
    <row r="290" customFormat="false" ht="14.35" hidden="false" customHeight="false" outlineLevel="0" collapsed="false">
      <c r="A290" s="196" t="s">
        <v>234</v>
      </c>
      <c r="B290" s="196" t="s">
        <v>990</v>
      </c>
      <c r="C290" s="196" t="s">
        <v>1946</v>
      </c>
      <c r="D290" s="196" t="s">
        <v>162</v>
      </c>
      <c r="E290" s="196" t="n">
        <v>85</v>
      </c>
      <c r="F290" s="353" t="s">
        <v>571</v>
      </c>
      <c r="G290" s="196" t="n">
        <v>93.5</v>
      </c>
      <c r="H290" s="353" t="s">
        <v>757</v>
      </c>
    </row>
    <row r="291" customFormat="false" ht="14.35" hidden="false" customHeight="false" outlineLevel="0" collapsed="false">
      <c r="A291" s="196" t="s">
        <v>234</v>
      </c>
      <c r="B291" s="196" t="s">
        <v>990</v>
      </c>
      <c r="C291" s="196" t="s">
        <v>1606</v>
      </c>
      <c r="D291" s="196" t="s">
        <v>81</v>
      </c>
      <c r="E291" s="196" t="n">
        <v>56</v>
      </c>
      <c r="F291" s="353" t="s">
        <v>758</v>
      </c>
      <c r="G291" s="196" t="n">
        <v>61.6</v>
      </c>
      <c r="H291" s="353" t="s">
        <v>759</v>
      </c>
    </row>
    <row r="292" customFormat="false" ht="14.35" hidden="false" customHeight="false" outlineLevel="0" collapsed="false">
      <c r="A292" s="196" t="s">
        <v>234</v>
      </c>
      <c r="B292" s="196" t="s">
        <v>990</v>
      </c>
      <c r="C292" s="196" t="s">
        <v>1606</v>
      </c>
      <c r="D292" s="196" t="s">
        <v>82</v>
      </c>
      <c r="E292" s="196" t="n">
        <v>130</v>
      </c>
      <c r="F292" s="353" t="s">
        <v>760</v>
      </c>
      <c r="G292" s="196" t="n">
        <v>143</v>
      </c>
      <c r="H292" s="353" t="s">
        <v>761</v>
      </c>
    </row>
    <row r="293" customFormat="false" ht="14.35" hidden="false" customHeight="false" outlineLevel="0" collapsed="false">
      <c r="A293" s="196" t="s">
        <v>234</v>
      </c>
      <c r="B293" s="196" t="s">
        <v>990</v>
      </c>
      <c r="C293" s="196" t="s">
        <v>1946</v>
      </c>
      <c r="D293" s="196" t="s">
        <v>131</v>
      </c>
      <c r="E293" s="196" t="n">
        <v>128</v>
      </c>
      <c r="F293" s="353" t="s">
        <v>731</v>
      </c>
      <c r="G293" s="196" t="n">
        <v>140.8</v>
      </c>
      <c r="H293" s="353" t="s">
        <v>762</v>
      </c>
    </row>
    <row r="294" customFormat="false" ht="14.35" hidden="false" customHeight="false" outlineLevel="0" collapsed="false">
      <c r="A294" s="196" t="s">
        <v>234</v>
      </c>
      <c r="B294" s="196" t="s">
        <v>990</v>
      </c>
      <c r="C294" s="196" t="s">
        <v>1604</v>
      </c>
      <c r="D294" s="196" t="s">
        <v>91</v>
      </c>
      <c r="E294" s="196" t="n">
        <v>130</v>
      </c>
      <c r="F294" s="353" t="s">
        <v>763</v>
      </c>
      <c r="G294" s="196" t="n">
        <v>143</v>
      </c>
      <c r="H294" s="353" t="s">
        <v>764</v>
      </c>
    </row>
    <row r="295" customFormat="false" ht="14.35" hidden="false" customHeight="false" outlineLevel="0" collapsed="false">
      <c r="A295" s="196" t="s">
        <v>260</v>
      </c>
      <c r="B295" s="196" t="s">
        <v>990</v>
      </c>
      <c r="C295" s="196" t="s">
        <v>1557</v>
      </c>
      <c r="D295" s="196" t="s">
        <v>20</v>
      </c>
      <c r="E295" s="196" t="n">
        <v>262</v>
      </c>
      <c r="F295" s="353" t="s">
        <v>954</v>
      </c>
      <c r="G295" s="196" t="n">
        <v>288.2</v>
      </c>
      <c r="H295" s="353" t="s">
        <v>534</v>
      </c>
    </row>
    <row r="296" customFormat="false" ht="14.35" hidden="false" customHeight="false" outlineLevel="0" collapsed="false">
      <c r="A296" s="196" t="s">
        <v>289</v>
      </c>
      <c r="B296" s="196" t="s">
        <v>1288</v>
      </c>
      <c r="C296" s="196" t="s">
        <v>1802</v>
      </c>
      <c r="D296" s="196" t="s">
        <v>135</v>
      </c>
      <c r="E296" s="196" t="n">
        <v>60</v>
      </c>
      <c r="F296" s="353" t="s">
        <v>529</v>
      </c>
      <c r="G296" s="196" t="n">
        <v>66</v>
      </c>
      <c r="H296" s="353" t="s">
        <v>765</v>
      </c>
    </row>
    <row r="297" customFormat="false" ht="14.35" hidden="false" customHeight="false" outlineLevel="0" collapsed="false">
      <c r="A297" s="196" t="s">
        <v>290</v>
      </c>
      <c r="B297" s="196" t="s">
        <v>1316</v>
      </c>
      <c r="C297" s="196" t="s">
        <v>1802</v>
      </c>
      <c r="D297" s="196" t="s">
        <v>136</v>
      </c>
      <c r="E297" s="196" t="n">
        <v>55</v>
      </c>
      <c r="F297" s="353" t="s">
        <v>766</v>
      </c>
      <c r="G297" s="196" t="n">
        <v>60.5</v>
      </c>
      <c r="H297" s="353" t="s">
        <v>767</v>
      </c>
    </row>
    <row r="298" customFormat="false" ht="14.35" hidden="false" customHeight="false" outlineLevel="0" collapsed="false">
      <c r="A298" s="196" t="s">
        <v>279</v>
      </c>
      <c r="B298" s="196" t="s">
        <v>1050</v>
      </c>
      <c r="C298" s="196" t="s">
        <v>1737</v>
      </c>
      <c r="D298" s="196" t="s">
        <v>23</v>
      </c>
      <c r="E298" s="196" t="n">
        <v>40</v>
      </c>
      <c r="F298" s="353" t="s">
        <v>616</v>
      </c>
      <c r="G298" s="196" t="n">
        <v>44</v>
      </c>
      <c r="H298" s="353" t="n">
        <v>40</v>
      </c>
    </row>
    <row r="299" customFormat="false" ht="14.35" hidden="false" customHeight="false" outlineLevel="0" collapsed="false">
      <c r="D299" s="196" t="s">
        <v>287</v>
      </c>
      <c r="E299" s="196" t="n">
        <v>1145</v>
      </c>
    </row>
    <row r="300" customFormat="false" ht="14.35" hidden="false" customHeight="false" outlineLevel="0" collapsed="false">
      <c r="A300" s="196" t="s">
        <v>274</v>
      </c>
    </row>
    <row r="301" customFormat="false" ht="14.35" hidden="false" customHeight="false" outlineLevel="0" collapsed="false">
      <c r="A301" s="196" t="s">
        <v>59</v>
      </c>
    </row>
    <row r="302" customFormat="false" ht="14.35" hidden="false" customHeight="false" outlineLevel="0" collapsed="false">
      <c r="A302" s="196" t="s">
        <v>4</v>
      </c>
      <c r="B302" s="196" t="s">
        <v>5</v>
      </c>
      <c r="C302" s="196" t="s">
        <v>6</v>
      </c>
      <c r="D302" s="196" t="s">
        <v>7</v>
      </c>
      <c r="E302" s="196" t="s">
        <v>8</v>
      </c>
      <c r="F302" s="353" t="s">
        <v>9</v>
      </c>
      <c r="G302" s="196" t="s">
        <v>10</v>
      </c>
    </row>
    <row r="303" customFormat="false" ht="14.35" hidden="false" customHeight="false" outlineLevel="0" collapsed="false">
      <c r="A303" s="196" t="s">
        <v>296</v>
      </c>
      <c r="B303" s="196" t="s">
        <v>1319</v>
      </c>
      <c r="C303" s="196" t="s">
        <v>1511</v>
      </c>
      <c r="D303" s="196" t="s">
        <v>63</v>
      </c>
      <c r="E303" s="196" t="n">
        <v>30</v>
      </c>
      <c r="F303" s="353" t="s">
        <v>541</v>
      </c>
      <c r="G303" s="196" t="n">
        <v>33</v>
      </c>
      <c r="H303" s="353" t="n">
        <v>30</v>
      </c>
    </row>
    <row r="304" customFormat="false" ht="14.35" hidden="false" customHeight="false" outlineLevel="0" collapsed="false">
      <c r="A304" s="196" t="s">
        <v>291</v>
      </c>
      <c r="B304" s="196" t="s">
        <v>1109</v>
      </c>
      <c r="C304" s="196" t="s">
        <v>1963</v>
      </c>
      <c r="D304" s="196" t="s">
        <v>157</v>
      </c>
      <c r="E304" s="196" t="n">
        <v>230</v>
      </c>
      <c r="F304" s="353" t="s">
        <v>768</v>
      </c>
      <c r="G304" s="196" t="n">
        <v>253</v>
      </c>
      <c r="H304" s="353" t="s">
        <v>769</v>
      </c>
    </row>
    <row r="305" customFormat="false" ht="14.35" hidden="false" customHeight="false" outlineLevel="0" collapsed="false">
      <c r="A305" s="196" t="s">
        <v>292</v>
      </c>
      <c r="B305" s="196" t="s">
        <v>1269</v>
      </c>
      <c r="C305" s="196" t="s">
        <v>1949</v>
      </c>
      <c r="D305" s="196" t="s">
        <v>69</v>
      </c>
      <c r="E305" s="196" t="n">
        <v>23</v>
      </c>
      <c r="F305" s="353" t="s">
        <v>770</v>
      </c>
      <c r="G305" s="196" t="n">
        <v>25.3</v>
      </c>
      <c r="H305" s="353" t="n">
        <v>23</v>
      </c>
    </row>
    <row r="306" customFormat="false" ht="14.35" hidden="false" customHeight="false" outlineLevel="0" collapsed="false">
      <c r="A306" s="196" t="s">
        <v>293</v>
      </c>
      <c r="B306" s="196" t="s">
        <v>1251</v>
      </c>
      <c r="C306" s="196" t="s">
        <v>1949</v>
      </c>
      <c r="D306" s="196" t="s">
        <v>67</v>
      </c>
      <c r="E306" s="196" t="n">
        <v>135</v>
      </c>
      <c r="F306" s="353" t="s">
        <v>731</v>
      </c>
      <c r="G306" s="196" t="n">
        <v>148.5</v>
      </c>
      <c r="H306" s="353" t="s">
        <v>771</v>
      </c>
    </row>
    <row r="307" customFormat="false" ht="14.35" hidden="false" customHeight="false" outlineLevel="0" collapsed="false">
      <c r="A307" s="196" t="s">
        <v>293</v>
      </c>
      <c r="B307" s="196" t="s">
        <v>1251</v>
      </c>
      <c r="C307" s="196" t="s">
        <v>1949</v>
      </c>
      <c r="D307" s="196" t="s">
        <v>124</v>
      </c>
      <c r="E307" s="196" t="n">
        <v>69</v>
      </c>
      <c r="F307" s="353" t="s">
        <v>641</v>
      </c>
      <c r="G307" s="196" t="n">
        <v>75.9</v>
      </c>
      <c r="H307" s="353" t="s">
        <v>772</v>
      </c>
    </row>
    <row r="308" customFormat="false" ht="14.35" hidden="false" customHeight="false" outlineLevel="0" collapsed="false">
      <c r="A308" s="196" t="s">
        <v>294</v>
      </c>
      <c r="B308" s="196" t="s">
        <v>1271</v>
      </c>
      <c r="C308" s="196" t="s">
        <v>1988</v>
      </c>
      <c r="D308" s="196" t="s">
        <v>115</v>
      </c>
      <c r="E308" s="196" t="n">
        <v>100</v>
      </c>
      <c r="F308" s="353" t="s">
        <v>571</v>
      </c>
      <c r="G308" s="196" t="n">
        <v>110</v>
      </c>
      <c r="H308" s="353" t="s">
        <v>602</v>
      </c>
    </row>
    <row r="309" customFormat="false" ht="14.35" hidden="false" customHeight="false" outlineLevel="0" collapsed="false">
      <c r="A309" s="196" t="s">
        <v>295</v>
      </c>
      <c r="B309" s="196" t="s">
        <v>1304</v>
      </c>
      <c r="C309" s="196" t="s">
        <v>1988</v>
      </c>
      <c r="D309" s="196" t="s">
        <v>114</v>
      </c>
      <c r="E309" s="196" t="n">
        <v>75</v>
      </c>
      <c r="F309" s="353" t="s">
        <v>574</v>
      </c>
      <c r="G309" s="196" t="n">
        <v>82.5</v>
      </c>
      <c r="H309" s="353" t="s">
        <v>773</v>
      </c>
    </row>
    <row r="310" customFormat="false" ht="14.35" hidden="false" customHeight="false" outlineLevel="0" collapsed="false">
      <c r="A310" s="196" t="s">
        <v>397</v>
      </c>
      <c r="B310" s="196" t="s">
        <v>1132</v>
      </c>
      <c r="C310" s="196" t="s">
        <v>1513</v>
      </c>
      <c r="D310" s="196" t="s">
        <v>13</v>
      </c>
      <c r="E310" s="196" t="n">
        <v>160</v>
      </c>
      <c r="F310" s="353" t="s">
        <v>617</v>
      </c>
      <c r="G310" s="196" t="n">
        <v>176</v>
      </c>
      <c r="H310" s="353" t="s">
        <v>774</v>
      </c>
    </row>
    <row r="311" customFormat="false" ht="14.35" hidden="false" customHeight="false" outlineLevel="0" collapsed="false">
      <c r="A311" s="196" t="s">
        <v>286</v>
      </c>
      <c r="B311" s="196" t="s">
        <v>1185</v>
      </c>
      <c r="C311" s="196" t="s">
        <v>1620</v>
      </c>
      <c r="D311" s="196" t="s">
        <v>71</v>
      </c>
      <c r="E311" s="196" t="n">
        <v>240</v>
      </c>
      <c r="F311" s="353" t="s">
        <v>954</v>
      </c>
      <c r="G311" s="196" t="n">
        <v>264</v>
      </c>
      <c r="H311" s="353" t="s">
        <v>775</v>
      </c>
    </row>
    <row r="312" customFormat="false" ht="14.35" hidden="false" customHeight="false" outlineLevel="0" collapsed="false">
      <c r="D312" s="196" t="s">
        <v>298</v>
      </c>
      <c r="E312" s="196" t="n">
        <v>1062</v>
      </c>
    </row>
    <row r="313" customFormat="false" ht="14.35" hidden="false" customHeight="false" outlineLevel="0" collapsed="false">
      <c r="A313" s="196" t="s">
        <v>300</v>
      </c>
    </row>
    <row r="314" customFormat="false" ht="14.35" hidden="false" customHeight="false" outlineLevel="0" collapsed="false">
      <c r="A314" s="196" t="s">
        <v>2</v>
      </c>
    </row>
    <row r="315" customFormat="false" ht="14.35" hidden="false" customHeight="false" outlineLevel="0" collapsed="false">
      <c r="A315" s="196" t="s">
        <v>4</v>
      </c>
      <c r="B315" s="196" t="s">
        <v>5</v>
      </c>
      <c r="C315" s="196" t="s">
        <v>6</v>
      </c>
      <c r="D315" s="196" t="s">
        <v>7</v>
      </c>
      <c r="E315" s="196" t="s">
        <v>8</v>
      </c>
      <c r="F315" s="353" t="s">
        <v>9</v>
      </c>
      <c r="G315" s="196" t="s">
        <v>10</v>
      </c>
    </row>
    <row r="316" customFormat="false" ht="14.35" hidden="false" customHeight="false" outlineLevel="0" collapsed="false">
      <c r="A316" s="196" t="s">
        <v>281</v>
      </c>
      <c r="B316" s="196" t="s">
        <v>998</v>
      </c>
      <c r="C316" s="196" t="s">
        <v>1729</v>
      </c>
      <c r="D316" s="196" t="s">
        <v>109</v>
      </c>
      <c r="E316" s="196" t="n">
        <v>80</v>
      </c>
      <c r="F316" s="353" t="s">
        <v>34</v>
      </c>
      <c r="G316" s="196" t="n">
        <v>88</v>
      </c>
    </row>
    <row r="317" customFormat="false" ht="14.35" hidden="false" customHeight="false" outlineLevel="0" collapsed="false">
      <c r="A317" s="196" t="s">
        <v>281</v>
      </c>
      <c r="B317" s="196" t="s">
        <v>998</v>
      </c>
      <c r="C317" s="196" t="s">
        <v>1729</v>
      </c>
      <c r="D317" s="196" t="s">
        <v>40</v>
      </c>
      <c r="E317" s="196" t="n">
        <v>82</v>
      </c>
      <c r="F317" s="353" t="s">
        <v>34</v>
      </c>
      <c r="G317" s="196" t="n">
        <v>90.2</v>
      </c>
    </row>
    <row r="318" customFormat="false" ht="14.35" hidden="false" customHeight="false" outlineLevel="0" collapsed="false">
      <c r="A318" s="196" t="s">
        <v>281</v>
      </c>
      <c r="B318" s="196" t="s">
        <v>998</v>
      </c>
      <c r="C318" s="196" t="s">
        <v>1961</v>
      </c>
      <c r="D318" s="196" t="s">
        <v>56</v>
      </c>
      <c r="E318" s="196" t="n">
        <v>250</v>
      </c>
      <c r="F318" s="353" t="s">
        <v>34</v>
      </c>
      <c r="G318" s="196" t="n">
        <v>275</v>
      </c>
    </row>
    <row r="319" customFormat="false" ht="14.35" hidden="false" customHeight="false" outlineLevel="0" collapsed="false">
      <c r="A319" s="196" t="s">
        <v>281</v>
      </c>
      <c r="B319" s="196" t="s">
        <v>1136</v>
      </c>
      <c r="C319" s="196" t="s">
        <v>1729</v>
      </c>
      <c r="D319" s="196" t="s">
        <v>14</v>
      </c>
      <c r="E319" s="196" t="n">
        <v>65</v>
      </c>
      <c r="F319" s="353" t="s">
        <v>34</v>
      </c>
      <c r="G319" s="196" t="n">
        <v>71.5</v>
      </c>
    </row>
    <row r="320" customFormat="false" ht="14.35" hidden="false" customHeight="false" outlineLevel="0" collapsed="false">
      <c r="A320" s="196" t="s">
        <v>281</v>
      </c>
      <c r="B320" s="196" t="s">
        <v>1136</v>
      </c>
      <c r="C320" s="196" t="s">
        <v>1729</v>
      </c>
      <c r="D320" s="196" t="s">
        <v>93</v>
      </c>
      <c r="E320" s="196" t="n">
        <v>95</v>
      </c>
      <c r="F320" s="353" t="s">
        <v>34</v>
      </c>
      <c r="G320" s="196" t="n">
        <v>104.5</v>
      </c>
    </row>
    <row r="321" customFormat="false" ht="14.35" hidden="false" customHeight="false" outlineLevel="0" collapsed="false">
      <c r="A321" s="196" t="s">
        <v>281</v>
      </c>
      <c r="B321" s="196" t="s">
        <v>998</v>
      </c>
      <c r="C321" s="196" t="s">
        <v>1721</v>
      </c>
      <c r="D321" s="196" t="s">
        <v>170</v>
      </c>
      <c r="E321" s="196" t="n">
        <v>132</v>
      </c>
      <c r="F321" s="353" t="s">
        <v>34</v>
      </c>
      <c r="G321" s="196" t="n">
        <v>145.2</v>
      </c>
    </row>
    <row r="322" customFormat="false" ht="14.35" hidden="false" customHeight="false" outlineLevel="0" collapsed="false">
      <c r="A322" s="196" t="s">
        <v>281</v>
      </c>
      <c r="B322" s="196" t="s">
        <v>998</v>
      </c>
      <c r="C322" s="196" t="s">
        <v>1721</v>
      </c>
      <c r="D322" s="196" t="s">
        <v>210</v>
      </c>
      <c r="E322" s="196" t="n">
        <v>83</v>
      </c>
      <c r="F322" s="353" t="s">
        <v>34</v>
      </c>
      <c r="G322" s="196" t="n">
        <v>91.3</v>
      </c>
    </row>
    <row r="323" customFormat="false" ht="14.35" hidden="false" customHeight="false" outlineLevel="0" collapsed="false">
      <c r="A323" s="196" t="s">
        <v>281</v>
      </c>
      <c r="B323" s="196" t="s">
        <v>998</v>
      </c>
      <c r="C323" s="196" t="s">
        <v>1721</v>
      </c>
      <c r="D323" s="196" t="s">
        <v>101</v>
      </c>
      <c r="E323" s="196" t="n">
        <v>57</v>
      </c>
      <c r="F323" s="353" t="s">
        <v>34</v>
      </c>
      <c r="G323" s="196" t="n">
        <v>62.7</v>
      </c>
    </row>
    <row r="324" customFormat="false" ht="14.35" hidden="false" customHeight="false" outlineLevel="0" collapsed="false">
      <c r="A324" s="196" t="s">
        <v>281</v>
      </c>
      <c r="B324" s="196" t="s">
        <v>998</v>
      </c>
      <c r="C324" s="196" t="s">
        <v>1727</v>
      </c>
      <c r="D324" s="196" t="s">
        <v>108</v>
      </c>
      <c r="E324" s="196" t="n">
        <v>255</v>
      </c>
      <c r="F324" s="353" t="s">
        <v>34</v>
      </c>
      <c r="G324" s="196" t="n">
        <v>280.5</v>
      </c>
    </row>
    <row r="325" customFormat="false" ht="14.35" hidden="false" customHeight="false" outlineLevel="0" collapsed="false">
      <c r="A325" s="196" t="s">
        <v>281</v>
      </c>
      <c r="B325" s="196" t="s">
        <v>998</v>
      </c>
      <c r="C325" s="196" t="s">
        <v>1727</v>
      </c>
      <c r="D325" s="196" t="s">
        <v>55</v>
      </c>
      <c r="E325" s="196" t="n">
        <v>150</v>
      </c>
      <c r="F325" s="353" t="s">
        <v>34</v>
      </c>
      <c r="G325" s="196" t="n">
        <v>165</v>
      </c>
    </row>
    <row r="326" customFormat="false" ht="14.35" hidden="false" customHeight="false" outlineLevel="0" collapsed="false">
      <c r="A326" s="196" t="s">
        <v>281</v>
      </c>
      <c r="B326" s="196" t="s">
        <v>998</v>
      </c>
      <c r="C326" s="196" t="s">
        <v>1727</v>
      </c>
      <c r="D326" s="196" t="s">
        <v>172</v>
      </c>
      <c r="E326" s="196" t="n">
        <v>175</v>
      </c>
      <c r="F326" s="353" t="s">
        <v>34</v>
      </c>
      <c r="G326" s="196" t="n">
        <v>192.5</v>
      </c>
    </row>
    <row r="327" customFormat="false" ht="14.35" hidden="false" customHeight="false" outlineLevel="0" collapsed="false">
      <c r="A327" s="196" t="s">
        <v>281</v>
      </c>
      <c r="B327" s="196" t="s">
        <v>998</v>
      </c>
      <c r="C327" s="196" t="s">
        <v>1727</v>
      </c>
      <c r="D327" s="196" t="s">
        <v>53</v>
      </c>
      <c r="E327" s="196" t="n">
        <v>155</v>
      </c>
      <c r="F327" s="353" t="s">
        <v>34</v>
      </c>
      <c r="G327" s="196" t="n">
        <v>170.5</v>
      </c>
    </row>
    <row r="328" customFormat="false" ht="14.35" hidden="false" customHeight="false" outlineLevel="0" collapsed="false">
      <c r="A328" s="196" t="s">
        <v>281</v>
      </c>
      <c r="B328" s="196" t="s">
        <v>998</v>
      </c>
      <c r="C328" s="196" t="s">
        <v>1727</v>
      </c>
      <c r="D328" s="196" t="s">
        <v>36</v>
      </c>
      <c r="E328" s="196" t="n">
        <v>75</v>
      </c>
      <c r="F328" s="353" t="s">
        <v>34</v>
      </c>
      <c r="G328" s="196" t="n">
        <v>82.5</v>
      </c>
    </row>
    <row r="329" customFormat="false" ht="14.35" hidden="false" customHeight="false" outlineLevel="0" collapsed="false">
      <c r="A329" s="196" t="s">
        <v>281</v>
      </c>
      <c r="B329" s="196" t="s">
        <v>998</v>
      </c>
      <c r="C329" s="196" t="s">
        <v>1727</v>
      </c>
      <c r="D329" s="196" t="s">
        <v>38</v>
      </c>
      <c r="E329" s="196" t="n">
        <v>80</v>
      </c>
      <c r="F329" s="353" t="s">
        <v>34</v>
      </c>
      <c r="G329" s="196" t="n">
        <v>88</v>
      </c>
    </row>
    <row r="330" customFormat="false" ht="14.35" hidden="false" customHeight="false" outlineLevel="0" collapsed="false">
      <c r="A330" s="196" t="s">
        <v>302</v>
      </c>
      <c r="B330" s="196" t="s">
        <v>1127</v>
      </c>
      <c r="C330" s="196" t="s">
        <v>1515</v>
      </c>
      <c r="D330" s="196" t="s">
        <v>80</v>
      </c>
      <c r="E330" s="196" t="n">
        <v>120</v>
      </c>
      <c r="F330" s="353" t="s">
        <v>776</v>
      </c>
      <c r="G330" s="196" t="n">
        <v>132</v>
      </c>
      <c r="H330" s="353" t="s">
        <v>777</v>
      </c>
    </row>
    <row r="331" customFormat="false" ht="14.35" hidden="false" customHeight="false" outlineLevel="0" collapsed="false">
      <c r="A331" s="196" t="s">
        <v>303</v>
      </c>
      <c r="B331" s="196" t="s">
        <v>1003</v>
      </c>
      <c r="C331" s="196" t="s">
        <v>1388</v>
      </c>
      <c r="D331" s="196" t="s">
        <v>88</v>
      </c>
      <c r="E331" s="196" t="n">
        <v>101</v>
      </c>
      <c r="F331" s="353" t="s">
        <v>571</v>
      </c>
      <c r="G331" s="196" t="n">
        <v>111.1</v>
      </c>
      <c r="H331" s="353" t="s">
        <v>644</v>
      </c>
    </row>
    <row r="332" customFormat="false" ht="14.35" hidden="false" customHeight="false" outlineLevel="0" collapsed="false">
      <c r="A332" s="196" t="s">
        <v>304</v>
      </c>
      <c r="B332" s="196" t="s">
        <v>1260</v>
      </c>
      <c r="C332" s="196" t="s">
        <v>1824</v>
      </c>
      <c r="D332" s="196" t="s">
        <v>86</v>
      </c>
      <c r="E332" s="196" t="n">
        <v>40</v>
      </c>
      <c r="F332" s="353" t="s">
        <v>541</v>
      </c>
      <c r="G332" s="196" t="n">
        <v>44</v>
      </c>
      <c r="H332" s="353" t="n">
        <v>40</v>
      </c>
    </row>
    <row r="333" customFormat="false" ht="14.35" hidden="false" customHeight="false" outlineLevel="0" collapsed="false">
      <c r="A333" s="196" t="s">
        <v>305</v>
      </c>
      <c r="B333" s="196" t="s">
        <v>1973</v>
      </c>
      <c r="C333" s="196" t="s">
        <v>1620</v>
      </c>
      <c r="D333" s="196" t="s">
        <v>25</v>
      </c>
      <c r="E333" s="196" t="n">
        <v>340</v>
      </c>
      <c r="F333" s="353" t="s">
        <v>954</v>
      </c>
      <c r="G333" s="196" t="n">
        <v>374</v>
      </c>
      <c r="H333" s="353" t="s">
        <v>778</v>
      </c>
    </row>
    <row r="334" customFormat="false" ht="14.35" hidden="false" customHeight="false" outlineLevel="0" collapsed="false">
      <c r="A334" s="196" t="s">
        <v>507</v>
      </c>
      <c r="B334" s="196" t="s">
        <v>1094</v>
      </c>
      <c r="C334" s="196" t="s">
        <v>1627</v>
      </c>
      <c r="D334" s="196" t="s">
        <v>227</v>
      </c>
      <c r="E334" s="196" t="n">
        <v>138</v>
      </c>
      <c r="F334" s="353" t="s">
        <v>779</v>
      </c>
      <c r="G334" s="196" t="n">
        <v>151.8</v>
      </c>
      <c r="H334" s="353" t="s">
        <v>780</v>
      </c>
    </row>
    <row r="335" customFormat="false" ht="14.35" hidden="false" customHeight="false" outlineLevel="0" collapsed="false">
      <c r="A335" s="196" t="s">
        <v>307</v>
      </c>
      <c r="B335" s="196" t="s">
        <v>1094</v>
      </c>
      <c r="C335" s="196" t="s">
        <v>1627</v>
      </c>
      <c r="D335" s="196" t="s">
        <v>144</v>
      </c>
      <c r="E335" s="196" t="n">
        <v>12</v>
      </c>
      <c r="F335" s="353" t="s">
        <v>781</v>
      </c>
      <c r="G335" s="196" t="n">
        <v>13.2</v>
      </c>
      <c r="H335" s="353" t="n">
        <v>12</v>
      </c>
    </row>
    <row r="336" customFormat="false" ht="14.35" hidden="false" customHeight="false" outlineLevel="0" collapsed="false">
      <c r="A336" s="196" t="s">
        <v>308</v>
      </c>
      <c r="B336" s="196" t="s">
        <v>1365</v>
      </c>
      <c r="C336" s="196" t="s">
        <v>1931</v>
      </c>
      <c r="D336" s="196" t="s">
        <v>119</v>
      </c>
      <c r="E336" s="196" t="n">
        <v>140</v>
      </c>
      <c r="F336" s="353" t="s">
        <v>782</v>
      </c>
      <c r="G336" s="196" t="n">
        <v>154</v>
      </c>
      <c r="H336" s="353" t="s">
        <v>586</v>
      </c>
    </row>
    <row r="337" customFormat="false" ht="14.35" hidden="false" customHeight="false" outlineLevel="0" collapsed="false">
      <c r="A337" s="196" t="s">
        <v>310</v>
      </c>
      <c r="B337" s="196" t="s">
        <v>1052</v>
      </c>
      <c r="C337" s="196" t="s">
        <v>1758</v>
      </c>
      <c r="D337" s="196" t="s">
        <v>61</v>
      </c>
      <c r="E337" s="196" t="n">
        <v>222</v>
      </c>
      <c r="F337" s="353" t="s">
        <v>768</v>
      </c>
      <c r="G337" s="196" t="n">
        <v>244.2</v>
      </c>
      <c r="H337" s="353" t="s">
        <v>783</v>
      </c>
    </row>
    <row r="338" customFormat="false" ht="14.35" hidden="false" customHeight="false" outlineLevel="0" collapsed="false">
      <c r="D338" s="196" t="s">
        <v>311</v>
      </c>
      <c r="E338" s="196" t="n">
        <v>1113</v>
      </c>
    </row>
    <row r="339" customFormat="false" ht="14.35" hidden="false" customHeight="false" outlineLevel="0" collapsed="false">
      <c r="A339" s="196" t="s">
        <v>300</v>
      </c>
    </row>
    <row r="340" customFormat="false" ht="14.35" hidden="false" customHeight="false" outlineLevel="0" collapsed="false">
      <c r="A340" s="196" t="s">
        <v>29</v>
      </c>
    </row>
    <row r="341" customFormat="false" ht="14.35" hidden="false" customHeight="false" outlineLevel="0" collapsed="false">
      <c r="A341" s="196" t="s">
        <v>4</v>
      </c>
      <c r="B341" s="196" t="s">
        <v>5</v>
      </c>
      <c r="C341" s="196" t="s">
        <v>6</v>
      </c>
      <c r="D341" s="196" t="s">
        <v>7</v>
      </c>
      <c r="E341" s="196" t="s">
        <v>8</v>
      </c>
      <c r="F341" s="353" t="s">
        <v>9</v>
      </c>
      <c r="G341" s="196" t="s">
        <v>10</v>
      </c>
    </row>
    <row r="342" customFormat="false" ht="14.35" hidden="false" customHeight="false" outlineLevel="0" collapsed="false">
      <c r="A342" s="196" t="s">
        <v>313</v>
      </c>
      <c r="B342" s="196" t="s">
        <v>1068</v>
      </c>
      <c r="C342" s="196" t="s">
        <v>1954</v>
      </c>
      <c r="D342" s="196" t="s">
        <v>130</v>
      </c>
      <c r="E342" s="196" t="n">
        <v>136</v>
      </c>
      <c r="F342" s="353" t="s">
        <v>710</v>
      </c>
      <c r="G342" s="196" t="n">
        <v>149.6</v>
      </c>
      <c r="H342" s="353" t="s">
        <v>784</v>
      </c>
    </row>
    <row r="343" customFormat="false" ht="14.35" hidden="false" customHeight="false" outlineLevel="0" collapsed="false">
      <c r="A343" s="196" t="s">
        <v>314</v>
      </c>
      <c r="B343" s="196" t="s">
        <v>987</v>
      </c>
      <c r="C343" s="196" t="s">
        <v>1381</v>
      </c>
      <c r="D343" s="196" t="s">
        <v>131</v>
      </c>
      <c r="E343" s="196" t="n">
        <v>128</v>
      </c>
      <c r="F343" s="353" t="s">
        <v>533</v>
      </c>
      <c r="G343" s="196" t="n">
        <v>140.8</v>
      </c>
      <c r="H343" s="353" t="s">
        <v>785</v>
      </c>
    </row>
    <row r="344" customFormat="false" ht="14.35" hidden="false" customHeight="false" outlineLevel="0" collapsed="false">
      <c r="A344" s="196" t="s">
        <v>315</v>
      </c>
      <c r="B344" s="196" t="s">
        <v>1140</v>
      </c>
      <c r="C344" s="196" t="s">
        <v>1532</v>
      </c>
      <c r="D344" s="196" t="s">
        <v>63</v>
      </c>
      <c r="E344" s="196" t="n">
        <v>53</v>
      </c>
      <c r="F344" s="353" t="s">
        <v>786</v>
      </c>
      <c r="G344" s="196" t="n">
        <v>58.3</v>
      </c>
      <c r="H344" s="353" t="s">
        <v>787</v>
      </c>
    </row>
    <row r="345" customFormat="false" ht="14.35" hidden="false" customHeight="false" outlineLevel="0" collapsed="false">
      <c r="A345" s="196" t="s">
        <v>315</v>
      </c>
      <c r="B345" s="196" t="s">
        <v>1140</v>
      </c>
      <c r="C345" s="196" t="s">
        <v>1532</v>
      </c>
      <c r="D345" s="196" t="s">
        <v>73</v>
      </c>
      <c r="E345" s="196" t="n">
        <v>105</v>
      </c>
      <c r="F345" s="353" t="s">
        <v>603</v>
      </c>
      <c r="G345" s="196" t="n">
        <v>115.5</v>
      </c>
      <c r="H345" s="353" t="s">
        <v>788</v>
      </c>
    </row>
    <row r="346" customFormat="false" ht="14.35" hidden="false" customHeight="false" outlineLevel="0" collapsed="false">
      <c r="A346" s="196" t="s">
        <v>317</v>
      </c>
      <c r="B346" s="196" t="s">
        <v>1215</v>
      </c>
      <c r="C346" s="196" t="s">
        <v>1688</v>
      </c>
      <c r="D346" s="196" t="s">
        <v>177</v>
      </c>
      <c r="E346" s="196" t="n">
        <v>95</v>
      </c>
      <c r="F346" s="353" t="s">
        <v>749</v>
      </c>
      <c r="G346" s="196" t="n">
        <v>104.5</v>
      </c>
      <c r="H346" s="353" t="s">
        <v>789</v>
      </c>
    </row>
    <row r="347" customFormat="false" ht="14.35" hidden="false" customHeight="false" outlineLevel="0" collapsed="false">
      <c r="A347" s="196" t="s">
        <v>259</v>
      </c>
      <c r="B347" s="196" t="s">
        <v>1091</v>
      </c>
      <c r="C347" s="196" t="s">
        <v>1567</v>
      </c>
      <c r="D347" s="196" t="s">
        <v>16</v>
      </c>
      <c r="E347" s="196" t="n">
        <v>265</v>
      </c>
      <c r="F347" s="353" t="s">
        <v>531</v>
      </c>
      <c r="G347" s="196" t="n">
        <v>291.5</v>
      </c>
      <c r="H347" s="353" t="s">
        <v>790</v>
      </c>
    </row>
    <row r="348" customFormat="false" ht="14.35" hidden="false" customHeight="false" outlineLevel="0" collapsed="false">
      <c r="A348" s="196" t="s">
        <v>259</v>
      </c>
      <c r="B348" s="196" t="s">
        <v>1091</v>
      </c>
      <c r="C348" s="196" t="s">
        <v>1567</v>
      </c>
      <c r="D348" s="196" t="s">
        <v>65</v>
      </c>
      <c r="E348" s="196" t="n">
        <v>90</v>
      </c>
      <c r="F348" s="353" t="s">
        <v>791</v>
      </c>
      <c r="G348" s="196" t="n">
        <v>99</v>
      </c>
      <c r="H348" s="353" t="s">
        <v>709</v>
      </c>
    </row>
    <row r="349" customFormat="false" ht="14.35" hidden="false" customHeight="false" outlineLevel="0" collapsed="false">
      <c r="A349" s="196" t="s">
        <v>208</v>
      </c>
      <c r="B349" s="196" t="s">
        <v>1280</v>
      </c>
      <c r="C349" s="196" t="s">
        <v>1814</v>
      </c>
      <c r="D349" s="196" t="s">
        <v>142</v>
      </c>
      <c r="E349" s="196" t="n">
        <v>87</v>
      </c>
      <c r="F349" s="353" t="s">
        <v>792</v>
      </c>
      <c r="G349" s="196" t="n">
        <v>95.7</v>
      </c>
      <c r="H349" s="353" t="s">
        <v>793</v>
      </c>
    </row>
    <row r="350" customFormat="false" ht="14.35" hidden="false" customHeight="false" outlineLevel="0" collapsed="false">
      <c r="A350" s="196" t="s">
        <v>207</v>
      </c>
      <c r="B350" s="196" t="s">
        <v>1280</v>
      </c>
      <c r="C350" s="196" t="s">
        <v>1814</v>
      </c>
      <c r="D350" s="196" t="s">
        <v>140</v>
      </c>
      <c r="E350" s="196" t="n">
        <v>85</v>
      </c>
      <c r="F350" s="353" t="s">
        <v>582</v>
      </c>
      <c r="G350" s="196" t="n">
        <v>93.5</v>
      </c>
      <c r="H350" s="353" t="s">
        <v>794</v>
      </c>
    </row>
    <row r="351" customFormat="false" ht="14.35" hidden="false" customHeight="false" outlineLevel="0" collapsed="false">
      <c r="D351" s="196" t="s">
        <v>322</v>
      </c>
      <c r="E351" s="196" t="n">
        <v>1044</v>
      </c>
    </row>
    <row r="354" customFormat="false" ht="14.35" hidden="false" customHeight="false" outlineLevel="0" collapsed="false">
      <c r="A354" s="196" t="s">
        <v>300</v>
      </c>
    </row>
    <row r="355" customFormat="false" ht="14.35" hidden="false" customHeight="false" outlineLevel="0" collapsed="false">
      <c r="A355" s="196" t="s">
        <v>59</v>
      </c>
    </row>
    <row r="356" customFormat="false" ht="14.35" hidden="false" customHeight="false" outlineLevel="0" collapsed="false">
      <c r="A356" s="196" t="s">
        <v>4</v>
      </c>
      <c r="B356" s="196" t="s">
        <v>5</v>
      </c>
      <c r="C356" s="196" t="s">
        <v>6</v>
      </c>
      <c r="D356" s="196" t="s">
        <v>7</v>
      </c>
      <c r="E356" s="196" t="s">
        <v>8</v>
      </c>
      <c r="F356" s="353" t="s">
        <v>9</v>
      </c>
      <c r="G356" s="196" t="s">
        <v>10</v>
      </c>
    </row>
    <row r="357" customFormat="false" ht="14.35" hidden="false" customHeight="false" outlineLevel="0" collapsed="false">
      <c r="A357" s="196" t="s">
        <v>324</v>
      </c>
      <c r="B357" s="196" t="s">
        <v>1343</v>
      </c>
      <c r="C357" s="196" t="s">
        <v>1883</v>
      </c>
      <c r="D357" s="196" t="s">
        <v>46</v>
      </c>
      <c r="E357" s="196" t="n">
        <v>99</v>
      </c>
      <c r="F357" s="353" t="s">
        <v>795</v>
      </c>
      <c r="G357" s="196" t="n">
        <v>108.9</v>
      </c>
      <c r="H357" s="353" t="s">
        <v>796</v>
      </c>
    </row>
    <row r="358" customFormat="false" ht="14.35" hidden="false" customHeight="false" outlineLevel="0" collapsed="false">
      <c r="A358" s="196" t="s">
        <v>325</v>
      </c>
      <c r="B358" s="196" t="s">
        <v>1012</v>
      </c>
      <c r="C358" s="196" t="s">
        <v>1400</v>
      </c>
      <c r="D358" s="196" t="s">
        <v>50</v>
      </c>
      <c r="E358" s="196" t="n">
        <v>103</v>
      </c>
      <c r="F358" s="353" t="s">
        <v>797</v>
      </c>
      <c r="G358" s="196" t="n">
        <v>113.3</v>
      </c>
      <c r="H358" s="353" t="s">
        <v>798</v>
      </c>
    </row>
    <row r="359" customFormat="false" ht="14.35" hidden="false" customHeight="false" outlineLevel="0" collapsed="false">
      <c r="A359" s="196" t="s">
        <v>327</v>
      </c>
      <c r="B359" s="196" t="s">
        <v>1037</v>
      </c>
      <c r="C359" s="196" t="s">
        <v>1787</v>
      </c>
      <c r="D359" s="196" t="s">
        <v>67</v>
      </c>
      <c r="E359" s="196" t="n">
        <v>54</v>
      </c>
      <c r="F359" s="353" t="s">
        <v>574</v>
      </c>
      <c r="G359" s="196" t="n">
        <v>59.4</v>
      </c>
      <c r="H359" s="353" t="s">
        <v>799</v>
      </c>
    </row>
    <row r="360" customFormat="false" ht="14.35" hidden="false" customHeight="false" outlineLevel="0" collapsed="false">
      <c r="A360" s="196" t="s">
        <v>327</v>
      </c>
      <c r="B360" s="196" t="s">
        <v>1037</v>
      </c>
      <c r="C360" s="196" t="s">
        <v>1787</v>
      </c>
      <c r="D360" s="196" t="s">
        <v>99</v>
      </c>
      <c r="E360" s="196" t="n">
        <v>52</v>
      </c>
      <c r="F360" s="353" t="s">
        <v>786</v>
      </c>
      <c r="G360" s="196" t="n">
        <v>57.2</v>
      </c>
      <c r="H360" s="353" t="s">
        <v>800</v>
      </c>
    </row>
    <row r="361" customFormat="false" ht="14.35" hidden="false" customHeight="false" outlineLevel="0" collapsed="false">
      <c r="A361" s="196" t="s">
        <v>328</v>
      </c>
      <c r="B361" s="196" t="s">
        <v>1118</v>
      </c>
      <c r="C361" s="196" t="s">
        <v>1479</v>
      </c>
      <c r="D361" s="196" t="s">
        <v>103</v>
      </c>
      <c r="E361" s="196" t="n">
        <v>240</v>
      </c>
      <c r="F361" s="353" t="s">
        <v>556</v>
      </c>
      <c r="G361" s="196" t="n">
        <v>264</v>
      </c>
      <c r="H361" s="353" t="s">
        <v>752</v>
      </c>
    </row>
    <row r="362" customFormat="false" ht="14.35" hidden="false" customHeight="false" outlineLevel="0" collapsed="false">
      <c r="A362" s="196" t="s">
        <v>341</v>
      </c>
      <c r="B362" s="196" t="s">
        <v>1236</v>
      </c>
      <c r="C362" s="196" t="s">
        <v>1666</v>
      </c>
      <c r="D362" s="196" t="s">
        <v>194</v>
      </c>
      <c r="E362" s="196" t="n">
        <v>93</v>
      </c>
      <c r="F362" s="353" t="s">
        <v>582</v>
      </c>
      <c r="G362" s="196" t="n">
        <v>102.3</v>
      </c>
      <c r="H362" s="353" t="s">
        <v>801</v>
      </c>
    </row>
    <row r="363" customFormat="false" ht="14.35" hidden="false" customHeight="false" outlineLevel="0" collapsed="false">
      <c r="A363" s="196" t="s">
        <v>320</v>
      </c>
      <c r="B363" s="196" t="s">
        <v>1092</v>
      </c>
      <c r="C363" s="196" t="s">
        <v>1457</v>
      </c>
      <c r="D363" s="196" t="s">
        <v>252</v>
      </c>
      <c r="E363" s="196" t="n">
        <v>87</v>
      </c>
      <c r="F363" s="353" t="s">
        <v>792</v>
      </c>
      <c r="G363" s="196" t="n">
        <v>95.7</v>
      </c>
      <c r="H363" s="353" t="s">
        <v>802</v>
      </c>
    </row>
    <row r="364" customFormat="false" ht="14.35" hidden="false" customHeight="false" outlineLevel="0" collapsed="false">
      <c r="A364" s="196" t="s">
        <v>465</v>
      </c>
      <c r="B364" s="196" t="s">
        <v>1192</v>
      </c>
      <c r="C364" s="196" t="s">
        <v>1972</v>
      </c>
      <c r="D364" s="196" t="s">
        <v>71</v>
      </c>
      <c r="E364" s="196" t="n">
        <v>240</v>
      </c>
      <c r="F364" s="353" t="s">
        <v>954</v>
      </c>
      <c r="G364" s="196" t="n">
        <v>264</v>
      </c>
      <c r="H364" s="353" t="s">
        <v>775</v>
      </c>
    </row>
    <row r="365" customFormat="false" ht="14.35" hidden="false" customHeight="false" outlineLevel="0" collapsed="false">
      <c r="A365" s="196" t="s">
        <v>309</v>
      </c>
      <c r="B365" s="196" t="s">
        <v>1229</v>
      </c>
      <c r="C365" s="196" t="s">
        <v>1658</v>
      </c>
      <c r="D365" s="196" t="s">
        <v>77</v>
      </c>
      <c r="E365" s="196" t="n">
        <v>122</v>
      </c>
      <c r="F365" s="353" t="s">
        <v>803</v>
      </c>
      <c r="G365" s="196" t="n">
        <v>134.2</v>
      </c>
      <c r="H365" s="353" t="s">
        <v>804</v>
      </c>
    </row>
    <row r="366" customFormat="false" ht="14.35" hidden="false" customHeight="false" outlineLevel="0" collapsed="false">
      <c r="D366" s="196" t="s">
        <v>331</v>
      </c>
      <c r="E366" s="196" t="n">
        <v>1090</v>
      </c>
    </row>
    <row r="367" customFormat="false" ht="14.35" hidden="false" customHeight="false" outlineLevel="0" collapsed="false">
      <c r="A367" s="196" t="s">
        <v>2077</v>
      </c>
    </row>
    <row r="368" customFormat="false" ht="14.35" hidden="false" customHeight="false" outlineLevel="0" collapsed="false">
      <c r="A368" s="196" t="s">
        <v>2</v>
      </c>
    </row>
    <row r="369" customFormat="false" ht="14.35" hidden="false" customHeight="false" outlineLevel="0" collapsed="false">
      <c r="A369" s="196" t="s">
        <v>4</v>
      </c>
      <c r="B369" s="196" t="s">
        <v>5</v>
      </c>
      <c r="C369" s="196" t="s">
        <v>6</v>
      </c>
      <c r="D369" s="196" t="s">
        <v>7</v>
      </c>
      <c r="E369" s="196" t="s">
        <v>8</v>
      </c>
      <c r="F369" s="353" t="s">
        <v>9</v>
      </c>
      <c r="G369" s="196" t="s">
        <v>10</v>
      </c>
    </row>
    <row r="370" customFormat="false" ht="14.35" hidden="false" customHeight="false" outlineLevel="0" collapsed="false">
      <c r="A370" s="196" t="s">
        <v>335</v>
      </c>
      <c r="B370" s="196" t="s">
        <v>1110</v>
      </c>
      <c r="C370" s="196" t="s">
        <v>1678</v>
      </c>
      <c r="D370" s="196" t="s">
        <v>154</v>
      </c>
      <c r="E370" s="196" t="n">
        <v>154</v>
      </c>
      <c r="F370" s="353" t="s">
        <v>805</v>
      </c>
      <c r="G370" s="196" t="n">
        <v>169.4</v>
      </c>
      <c r="H370" s="353" t="s">
        <v>806</v>
      </c>
    </row>
    <row r="371" customFormat="false" ht="14.35" hidden="false" customHeight="false" outlineLevel="0" collapsed="false">
      <c r="A371" s="196" t="s">
        <v>336</v>
      </c>
      <c r="B371" s="196" t="s">
        <v>1110</v>
      </c>
      <c r="C371" s="196" t="s">
        <v>1485</v>
      </c>
      <c r="D371" s="196" t="s">
        <v>157</v>
      </c>
      <c r="E371" s="196" t="n">
        <v>230</v>
      </c>
      <c r="F371" s="353" t="s">
        <v>556</v>
      </c>
      <c r="G371" s="196" t="n">
        <v>253</v>
      </c>
      <c r="H371" s="353" t="s">
        <v>807</v>
      </c>
    </row>
    <row r="372" customFormat="false" ht="14.35" hidden="false" customHeight="false" outlineLevel="0" collapsed="false">
      <c r="A372" s="196" t="s">
        <v>337</v>
      </c>
      <c r="B372" s="196" t="s">
        <v>1052</v>
      </c>
      <c r="C372" s="196" t="s">
        <v>1742</v>
      </c>
      <c r="D372" s="196" t="s">
        <v>38</v>
      </c>
      <c r="E372" s="196" t="n">
        <v>80</v>
      </c>
      <c r="F372" s="353" t="s">
        <v>574</v>
      </c>
      <c r="G372" s="196" t="n">
        <v>88</v>
      </c>
      <c r="H372" s="353" t="s">
        <v>661</v>
      </c>
    </row>
    <row r="373" customFormat="false" ht="14.35" hidden="false" customHeight="false" outlineLevel="0" collapsed="false">
      <c r="A373" s="196" t="s">
        <v>337</v>
      </c>
      <c r="B373" s="196" t="s">
        <v>1052</v>
      </c>
      <c r="C373" s="196" t="s">
        <v>1742</v>
      </c>
      <c r="D373" s="196" t="s">
        <v>42</v>
      </c>
      <c r="E373" s="196" t="n">
        <v>37</v>
      </c>
      <c r="F373" s="353" t="s">
        <v>808</v>
      </c>
      <c r="G373" s="196" t="n">
        <v>40.7</v>
      </c>
      <c r="H373" s="353" t="n">
        <v>37</v>
      </c>
    </row>
    <row r="374" customFormat="false" ht="14.35" hidden="false" customHeight="false" outlineLevel="0" collapsed="false">
      <c r="A374" s="196" t="s">
        <v>337</v>
      </c>
      <c r="B374" s="196" t="s">
        <v>1052</v>
      </c>
      <c r="C374" s="196" t="s">
        <v>1742</v>
      </c>
      <c r="D374" s="196" t="s">
        <v>40</v>
      </c>
      <c r="E374" s="196" t="n">
        <v>82</v>
      </c>
      <c r="F374" s="353" t="s">
        <v>571</v>
      </c>
      <c r="G374" s="196" t="n">
        <v>90.2</v>
      </c>
      <c r="H374" s="353" t="s">
        <v>809</v>
      </c>
    </row>
    <row r="375" customFormat="false" ht="14.35" hidden="false" customHeight="false" outlineLevel="0" collapsed="false">
      <c r="A375" s="196" t="s">
        <v>338</v>
      </c>
      <c r="B375" s="196" t="s">
        <v>1130</v>
      </c>
      <c r="C375" s="196" t="s">
        <v>1515</v>
      </c>
      <c r="D375" s="196" t="s">
        <v>13</v>
      </c>
      <c r="E375" s="196" t="n">
        <v>160</v>
      </c>
      <c r="F375" s="353" t="s">
        <v>745</v>
      </c>
      <c r="G375" s="196" t="n">
        <v>176</v>
      </c>
      <c r="H375" s="353" t="s">
        <v>810</v>
      </c>
    </row>
    <row r="376" customFormat="false" ht="14.35" hidden="false" customHeight="false" outlineLevel="0" collapsed="false">
      <c r="A376" s="196" t="s">
        <v>329</v>
      </c>
      <c r="B376" s="196" t="s">
        <v>1971</v>
      </c>
      <c r="C376" s="196" t="s">
        <v>1972</v>
      </c>
      <c r="D376" s="196" t="s">
        <v>51</v>
      </c>
      <c r="E376" s="196" t="n">
        <v>340</v>
      </c>
      <c r="F376" s="353" t="s">
        <v>954</v>
      </c>
      <c r="G376" s="196" t="n">
        <v>374</v>
      </c>
      <c r="H376" s="353" t="s">
        <v>778</v>
      </c>
    </row>
    <row r="377" customFormat="false" ht="14.35" hidden="false" customHeight="false" outlineLevel="0" collapsed="false">
      <c r="A377" s="196" t="s">
        <v>340</v>
      </c>
      <c r="B377" s="196" t="s">
        <v>1246</v>
      </c>
      <c r="C377" s="196" t="s">
        <v>1695</v>
      </c>
      <c r="D377" s="196" t="s">
        <v>121</v>
      </c>
      <c r="E377" s="196" t="n">
        <v>70</v>
      </c>
      <c r="F377" s="353" t="s">
        <v>529</v>
      </c>
      <c r="G377" s="196" t="n">
        <v>77</v>
      </c>
      <c r="H377" s="353" t="s">
        <v>649</v>
      </c>
    </row>
    <row r="378" customFormat="false" ht="14.35" hidden="false" customHeight="false" outlineLevel="0" collapsed="false">
      <c r="D378" s="196" t="s">
        <v>342</v>
      </c>
      <c r="E378" s="196" t="n">
        <v>1153</v>
      </c>
    </row>
    <row r="379" customFormat="false" ht="14.35" hidden="false" customHeight="false" outlineLevel="0" collapsed="false">
      <c r="A379" s="196" t="s">
        <v>2077</v>
      </c>
    </row>
    <row r="380" customFormat="false" ht="14.35" hidden="false" customHeight="false" outlineLevel="0" collapsed="false">
      <c r="A380" s="196" t="s">
        <v>29</v>
      </c>
    </row>
    <row r="381" customFormat="false" ht="14.35" hidden="false" customHeight="false" outlineLevel="0" collapsed="false">
      <c r="A381" s="196" t="s">
        <v>4</v>
      </c>
      <c r="B381" s="196" t="s">
        <v>5</v>
      </c>
      <c r="C381" s="196" t="s">
        <v>6</v>
      </c>
      <c r="D381" s="196" t="s">
        <v>7</v>
      </c>
      <c r="E381" s="196" t="s">
        <v>8</v>
      </c>
      <c r="F381" s="353" t="s">
        <v>9</v>
      </c>
      <c r="G381" s="196" t="s">
        <v>10</v>
      </c>
    </row>
    <row r="382" customFormat="false" ht="14.35" hidden="false" customHeight="false" outlineLevel="0" collapsed="false">
      <c r="A382" s="196" t="s">
        <v>137</v>
      </c>
      <c r="B382" s="196" t="s">
        <v>1157</v>
      </c>
      <c r="C382" s="196" t="s">
        <v>1552</v>
      </c>
      <c r="D382" s="196" t="s">
        <v>91</v>
      </c>
      <c r="E382" s="196" t="n">
        <v>130</v>
      </c>
      <c r="F382" s="353" t="s">
        <v>731</v>
      </c>
      <c r="G382" s="196" t="n">
        <v>143</v>
      </c>
      <c r="H382" s="353" t="s">
        <v>658</v>
      </c>
    </row>
    <row r="383" customFormat="false" ht="14.35" hidden="false" customHeight="false" outlineLevel="0" collapsed="false">
      <c r="A383" s="196" t="s">
        <v>345</v>
      </c>
      <c r="B383" s="196" t="s">
        <v>1146</v>
      </c>
      <c r="C383" s="196" t="s">
        <v>1541</v>
      </c>
      <c r="D383" s="196" t="s">
        <v>48</v>
      </c>
      <c r="E383" s="196" t="n">
        <v>114</v>
      </c>
      <c r="F383" s="353" t="s">
        <v>811</v>
      </c>
      <c r="G383" s="196" t="n">
        <v>125.4</v>
      </c>
      <c r="H383" s="353" t="s">
        <v>812</v>
      </c>
    </row>
    <row r="384" customFormat="false" ht="14.35" hidden="false" customHeight="false" outlineLevel="0" collapsed="false">
      <c r="A384" s="196" t="s">
        <v>345</v>
      </c>
      <c r="B384" s="196" t="s">
        <v>1146</v>
      </c>
      <c r="C384" s="196" t="s">
        <v>1541</v>
      </c>
      <c r="D384" s="196" t="s">
        <v>44</v>
      </c>
      <c r="E384" s="196" t="n">
        <v>55</v>
      </c>
      <c r="F384" s="353" t="s">
        <v>545</v>
      </c>
      <c r="G384" s="196" t="n">
        <v>60.5</v>
      </c>
      <c r="H384" s="353" t="n">
        <v>55</v>
      </c>
    </row>
    <row r="385" customFormat="false" ht="14.35" hidden="false" customHeight="false" outlineLevel="0" collapsed="false">
      <c r="A385" s="196" t="s">
        <v>346</v>
      </c>
      <c r="B385" s="196" t="s">
        <v>1124</v>
      </c>
      <c r="C385" s="196" t="s">
        <v>1466</v>
      </c>
      <c r="D385" s="196" t="s">
        <v>103</v>
      </c>
      <c r="E385" s="196" t="n">
        <v>115</v>
      </c>
      <c r="F385" s="353" t="s">
        <v>813</v>
      </c>
      <c r="G385" s="196" t="n">
        <v>126.5</v>
      </c>
      <c r="H385" s="353" t="s">
        <v>814</v>
      </c>
    </row>
    <row r="386" customFormat="false" ht="14.35" hidden="false" customHeight="false" outlineLevel="0" collapsed="false">
      <c r="A386" s="196" t="s">
        <v>347</v>
      </c>
      <c r="B386" s="196" t="s">
        <v>1007</v>
      </c>
      <c r="C386" s="196" t="s">
        <v>1768</v>
      </c>
      <c r="D386" s="196" t="s">
        <v>61</v>
      </c>
      <c r="E386" s="196" t="n">
        <v>222</v>
      </c>
      <c r="F386" s="353" t="s">
        <v>556</v>
      </c>
      <c r="G386" s="196" t="n">
        <v>244.2</v>
      </c>
      <c r="H386" s="353" t="s">
        <v>815</v>
      </c>
    </row>
    <row r="387" customFormat="false" ht="14.35" hidden="false" customHeight="false" outlineLevel="0" collapsed="false">
      <c r="A387" s="196" t="s">
        <v>347</v>
      </c>
      <c r="B387" s="196" t="s">
        <v>1007</v>
      </c>
      <c r="C387" s="196" t="s">
        <v>1768</v>
      </c>
      <c r="D387" s="196" t="s">
        <v>133</v>
      </c>
      <c r="E387" s="196" t="n">
        <v>76</v>
      </c>
      <c r="F387" s="353" t="s">
        <v>574</v>
      </c>
      <c r="G387" s="196" t="n">
        <v>83.6</v>
      </c>
      <c r="H387" s="353" t="s">
        <v>536</v>
      </c>
    </row>
    <row r="388" customFormat="false" ht="14.35" hidden="false" customHeight="false" outlineLevel="0" collapsed="false">
      <c r="A388" s="196" t="s">
        <v>347</v>
      </c>
      <c r="B388" s="196" t="s">
        <v>1007</v>
      </c>
      <c r="C388" s="196" t="s">
        <v>1768</v>
      </c>
      <c r="D388" s="196" t="s">
        <v>88</v>
      </c>
      <c r="E388" s="196" t="n">
        <v>101</v>
      </c>
      <c r="F388" s="353" t="s">
        <v>603</v>
      </c>
      <c r="G388" s="196" t="n">
        <v>111.1</v>
      </c>
      <c r="H388" s="353" t="s">
        <v>644</v>
      </c>
    </row>
    <row r="389" customFormat="false" ht="14.35" hidden="false" customHeight="false" outlineLevel="0" collapsed="false">
      <c r="A389" s="196" t="s">
        <v>347</v>
      </c>
      <c r="B389" s="196" t="s">
        <v>1007</v>
      </c>
      <c r="C389" s="196" t="s">
        <v>1768</v>
      </c>
      <c r="D389" s="196" t="s">
        <v>86</v>
      </c>
      <c r="E389" s="196" t="n">
        <v>40</v>
      </c>
      <c r="F389" s="353" t="s">
        <v>560</v>
      </c>
      <c r="G389" s="196" t="n">
        <v>44</v>
      </c>
      <c r="H389" s="353" t="n">
        <v>40</v>
      </c>
    </row>
    <row r="390" customFormat="false" ht="14.35" hidden="false" customHeight="false" outlineLevel="0" collapsed="false">
      <c r="A390" s="196" t="s">
        <v>348</v>
      </c>
      <c r="B390" s="196" t="s">
        <v>1168</v>
      </c>
      <c r="C390" s="196" t="s">
        <v>1557</v>
      </c>
      <c r="D390" s="196" t="s">
        <v>251</v>
      </c>
      <c r="E390" s="196" t="n">
        <v>45</v>
      </c>
      <c r="F390" s="353" t="s">
        <v>541</v>
      </c>
      <c r="G390" s="196" t="n">
        <v>49.5</v>
      </c>
      <c r="H390" s="353" t="n">
        <v>45</v>
      </c>
    </row>
    <row r="391" customFormat="false" ht="14.35" hidden="false" customHeight="false" outlineLevel="0" collapsed="false">
      <c r="A391" s="196" t="s">
        <v>355</v>
      </c>
      <c r="B391" s="196" t="s">
        <v>1993</v>
      </c>
      <c r="C391" s="196" t="s">
        <v>1682</v>
      </c>
      <c r="D391" s="196" t="s">
        <v>114</v>
      </c>
      <c r="E391" s="196" t="n">
        <v>75</v>
      </c>
      <c r="F391" s="353" t="s">
        <v>546</v>
      </c>
      <c r="G391" s="196" t="n">
        <v>82.5</v>
      </c>
      <c r="H391" s="353" t="n">
        <v>75</v>
      </c>
    </row>
    <row r="392" customFormat="false" ht="14.35" hidden="false" customHeight="false" outlineLevel="0" collapsed="false">
      <c r="A392" s="196" t="s">
        <v>374</v>
      </c>
      <c r="B392" s="196" t="s">
        <v>1350</v>
      </c>
      <c r="C392" s="196" t="s">
        <v>1870</v>
      </c>
      <c r="D392" s="196" t="s">
        <v>46</v>
      </c>
      <c r="E392" s="196" t="n">
        <v>77</v>
      </c>
      <c r="F392" s="353" t="s">
        <v>956</v>
      </c>
      <c r="G392" s="196" t="n">
        <v>84.7</v>
      </c>
      <c r="H392" s="353" t="n">
        <v>77</v>
      </c>
    </row>
    <row r="393" customFormat="false" ht="14.35" hidden="false" customHeight="false" outlineLevel="0" collapsed="false">
      <c r="A393" s="196" t="s">
        <v>349</v>
      </c>
      <c r="B393" s="196" t="s">
        <v>1341</v>
      </c>
      <c r="C393" s="196" t="s">
        <v>1870</v>
      </c>
      <c r="D393" s="196" t="s">
        <v>18</v>
      </c>
      <c r="E393" s="196" t="n">
        <v>80</v>
      </c>
      <c r="F393" s="353" t="s">
        <v>955</v>
      </c>
      <c r="G393" s="196" t="n">
        <v>88</v>
      </c>
      <c r="H393" s="353" t="n">
        <v>80</v>
      </c>
    </row>
    <row r="394" customFormat="false" ht="14.35" hidden="false" customHeight="false" outlineLevel="0" collapsed="false">
      <c r="D394" s="196" t="s">
        <v>350</v>
      </c>
      <c r="E394" s="196" t="n">
        <v>1130</v>
      </c>
    </row>
    <row r="395" customFormat="false" ht="14.35" hidden="false" customHeight="false" outlineLevel="0" collapsed="false">
      <c r="A395" s="196" t="s">
        <v>2077</v>
      </c>
    </row>
    <row r="396" customFormat="false" ht="14.35" hidden="false" customHeight="false" outlineLevel="0" collapsed="false">
      <c r="A396" s="196" t="s">
        <v>59</v>
      </c>
    </row>
    <row r="397" customFormat="false" ht="14.35" hidden="false" customHeight="false" outlineLevel="0" collapsed="false">
      <c r="A397" s="196" t="s">
        <v>4</v>
      </c>
      <c r="B397" s="196" t="s">
        <v>5</v>
      </c>
      <c r="C397" s="196" t="s">
        <v>6</v>
      </c>
      <c r="D397" s="196" t="s">
        <v>7</v>
      </c>
      <c r="E397" s="196" t="s">
        <v>8</v>
      </c>
      <c r="F397" s="353" t="s">
        <v>9</v>
      </c>
      <c r="G397" s="196" t="s">
        <v>10</v>
      </c>
    </row>
    <row r="398" customFormat="false" ht="14.35" hidden="false" customHeight="false" outlineLevel="0" collapsed="false">
      <c r="A398" s="196" t="s">
        <v>352</v>
      </c>
      <c r="B398" s="196" t="s">
        <v>1361</v>
      </c>
      <c r="C398" s="196" t="s">
        <v>1917</v>
      </c>
      <c r="D398" s="196" t="s">
        <v>172</v>
      </c>
      <c r="E398" s="196" t="n">
        <v>175</v>
      </c>
      <c r="F398" s="353" t="s">
        <v>962</v>
      </c>
      <c r="G398" s="196" t="n">
        <v>192.5</v>
      </c>
      <c r="H398" s="353" t="s">
        <v>816</v>
      </c>
    </row>
    <row r="399" customFormat="false" ht="14.35" hidden="false" customHeight="false" outlineLevel="0" collapsed="false">
      <c r="A399" s="196" t="s">
        <v>338</v>
      </c>
      <c r="B399" s="196" t="s">
        <v>1130</v>
      </c>
      <c r="C399" s="196" t="s">
        <v>1516</v>
      </c>
      <c r="D399" s="196" t="s">
        <v>14</v>
      </c>
      <c r="E399" s="196" t="n">
        <v>65</v>
      </c>
      <c r="F399" s="353" t="s">
        <v>956</v>
      </c>
      <c r="G399" s="196" t="n">
        <v>71.5</v>
      </c>
      <c r="H399" s="353" t="n">
        <v>65</v>
      </c>
    </row>
    <row r="400" customFormat="false" ht="14.35" hidden="false" customHeight="false" outlineLevel="0" collapsed="false">
      <c r="A400" s="196" t="s">
        <v>353</v>
      </c>
      <c r="B400" s="196" t="s">
        <v>1197</v>
      </c>
      <c r="C400" s="196" t="s">
        <v>1618</v>
      </c>
      <c r="D400" s="196" t="s">
        <v>144</v>
      </c>
      <c r="E400" s="196" t="n">
        <v>165</v>
      </c>
      <c r="F400" s="353" t="s">
        <v>706</v>
      </c>
      <c r="G400" s="196" t="n">
        <v>181.5</v>
      </c>
      <c r="H400" s="353" t="s">
        <v>817</v>
      </c>
    </row>
    <row r="401" customFormat="false" ht="14.35" hidden="false" customHeight="false" outlineLevel="0" collapsed="false">
      <c r="A401" s="196" t="s">
        <v>354</v>
      </c>
      <c r="B401" s="196" t="s">
        <v>1201</v>
      </c>
      <c r="C401" s="196" t="s">
        <v>1668</v>
      </c>
      <c r="D401" s="196" t="s">
        <v>126</v>
      </c>
      <c r="E401" s="196" t="n">
        <v>125</v>
      </c>
      <c r="F401" s="353" t="s">
        <v>818</v>
      </c>
      <c r="G401" s="196" t="n">
        <v>137.5</v>
      </c>
      <c r="H401" s="353" t="s">
        <v>819</v>
      </c>
    </row>
    <row r="402" customFormat="false" ht="14.35" hidden="false" customHeight="false" outlineLevel="0" collapsed="false">
      <c r="A402" s="196" t="s">
        <v>356</v>
      </c>
      <c r="B402" s="196" t="s">
        <v>1020</v>
      </c>
      <c r="C402" s="196" t="s">
        <v>1408</v>
      </c>
      <c r="D402" s="196" t="s">
        <v>36</v>
      </c>
      <c r="E402" s="196" t="n">
        <v>75</v>
      </c>
      <c r="F402" s="353" t="s">
        <v>574</v>
      </c>
      <c r="G402" s="196" t="n">
        <v>82.5</v>
      </c>
      <c r="H402" s="353" t="s">
        <v>820</v>
      </c>
    </row>
    <row r="403" customFormat="false" ht="14.35" hidden="false" customHeight="false" outlineLevel="0" collapsed="false">
      <c r="A403" s="196" t="s">
        <v>383</v>
      </c>
      <c r="B403" s="196" t="s">
        <v>1283</v>
      </c>
      <c r="C403" s="196" t="s">
        <v>1805</v>
      </c>
      <c r="D403" s="196" t="s">
        <v>140</v>
      </c>
      <c r="E403" s="196" t="n">
        <v>85</v>
      </c>
      <c r="F403" s="353" t="s">
        <v>791</v>
      </c>
      <c r="G403" s="196" t="n">
        <v>93.5</v>
      </c>
      <c r="H403" s="353" t="s">
        <v>821</v>
      </c>
    </row>
    <row r="404" customFormat="false" ht="14.35" hidden="false" customHeight="false" outlineLevel="0" collapsed="false">
      <c r="A404" s="196" t="s">
        <v>366</v>
      </c>
      <c r="B404" s="196" t="s">
        <v>1273</v>
      </c>
      <c r="C404" s="196" t="s">
        <v>1797</v>
      </c>
      <c r="D404" s="196" t="s">
        <v>210</v>
      </c>
      <c r="E404" s="196" t="n">
        <v>83</v>
      </c>
      <c r="F404" s="353" t="s">
        <v>822</v>
      </c>
      <c r="G404" s="196" t="n">
        <v>91.3</v>
      </c>
      <c r="H404" s="353" t="s">
        <v>823</v>
      </c>
    </row>
    <row r="405" customFormat="false" ht="14.35" hidden="false" customHeight="false" outlineLevel="0" collapsed="false">
      <c r="A405" s="196" t="s">
        <v>366</v>
      </c>
      <c r="B405" s="196" t="s">
        <v>1273</v>
      </c>
      <c r="C405" s="196" t="s">
        <v>1797</v>
      </c>
      <c r="D405" s="196" t="s">
        <v>101</v>
      </c>
      <c r="E405" s="196" t="n">
        <v>57</v>
      </c>
      <c r="F405" s="353" t="s">
        <v>529</v>
      </c>
      <c r="G405" s="196" t="n">
        <v>62.7</v>
      </c>
      <c r="H405" s="353" t="s">
        <v>824</v>
      </c>
    </row>
    <row r="406" customFormat="false" ht="14.35" hidden="false" customHeight="false" outlineLevel="0" collapsed="false">
      <c r="A406" s="196" t="s">
        <v>382</v>
      </c>
      <c r="B406" s="196" t="s">
        <v>1318</v>
      </c>
      <c r="C406" s="196" t="s">
        <v>1535</v>
      </c>
      <c r="D406" s="196" t="s">
        <v>63</v>
      </c>
      <c r="E406" s="196" t="n">
        <v>20</v>
      </c>
      <c r="F406" s="353" t="s">
        <v>716</v>
      </c>
      <c r="G406" s="196" t="n">
        <v>22</v>
      </c>
      <c r="H406" s="353" t="n">
        <v>20</v>
      </c>
    </row>
    <row r="407" customFormat="false" ht="14.35" hidden="false" customHeight="false" outlineLevel="0" collapsed="false">
      <c r="A407" s="196" t="s">
        <v>339</v>
      </c>
      <c r="B407" s="196" t="s">
        <v>1932</v>
      </c>
      <c r="C407" s="196" t="s">
        <v>1920</v>
      </c>
      <c r="D407" s="196" t="s">
        <v>119</v>
      </c>
      <c r="E407" s="196" t="n">
        <v>140</v>
      </c>
      <c r="F407" s="353" t="s">
        <v>706</v>
      </c>
      <c r="G407" s="196" t="n">
        <v>154</v>
      </c>
      <c r="H407" s="353" t="s">
        <v>825</v>
      </c>
    </row>
    <row r="408" customFormat="false" ht="14.35" hidden="false" customHeight="false" outlineLevel="0" collapsed="false">
      <c r="A408" s="196" t="s">
        <v>359</v>
      </c>
      <c r="B408" s="196" t="s">
        <v>1334</v>
      </c>
      <c r="C408" s="196" t="s">
        <v>1652</v>
      </c>
      <c r="D408" s="196" t="s">
        <v>93</v>
      </c>
      <c r="E408" s="196" t="n">
        <v>95</v>
      </c>
      <c r="F408" s="353" t="s">
        <v>571</v>
      </c>
      <c r="G408" s="196" t="n">
        <v>104.5</v>
      </c>
      <c r="H408" s="353" t="s">
        <v>826</v>
      </c>
    </row>
    <row r="409" customFormat="false" ht="14.35" hidden="false" customHeight="false" outlineLevel="0" collapsed="false">
      <c r="D409" s="196" t="s">
        <v>360</v>
      </c>
      <c r="E409" s="196" t="n">
        <v>1085</v>
      </c>
    </row>
    <row r="410" customFormat="false" ht="14.35" hidden="false" customHeight="false" outlineLevel="0" collapsed="false">
      <c r="A410" s="196" t="s">
        <v>362</v>
      </c>
    </row>
    <row r="411" customFormat="false" ht="14.35" hidden="false" customHeight="false" outlineLevel="0" collapsed="false">
      <c r="A411" s="196" t="s">
        <v>2</v>
      </c>
    </row>
    <row r="412" customFormat="false" ht="14.35" hidden="false" customHeight="false" outlineLevel="0" collapsed="false">
      <c r="A412" s="196" t="s">
        <v>4</v>
      </c>
      <c r="B412" s="196" t="s">
        <v>5</v>
      </c>
      <c r="C412" s="196" t="s">
        <v>6</v>
      </c>
      <c r="D412" s="196" t="s">
        <v>7</v>
      </c>
      <c r="E412" s="196" t="s">
        <v>8</v>
      </c>
      <c r="F412" s="353" t="s">
        <v>9</v>
      </c>
      <c r="G412" s="196" t="s">
        <v>10</v>
      </c>
    </row>
    <row r="413" customFormat="false" ht="14.35" hidden="false" customHeight="false" outlineLevel="0" collapsed="false">
      <c r="A413" s="196" t="s">
        <v>364</v>
      </c>
      <c r="B413" s="196" t="s">
        <v>991</v>
      </c>
      <c r="C413" s="196" t="s">
        <v>1629</v>
      </c>
      <c r="D413" s="196" t="s">
        <v>191</v>
      </c>
      <c r="E413" s="196" t="n">
        <v>70</v>
      </c>
      <c r="F413" s="353" t="s">
        <v>34</v>
      </c>
      <c r="G413" s="196" t="n">
        <v>77</v>
      </c>
    </row>
    <row r="414" customFormat="false" ht="14.35" hidden="false" customHeight="false" outlineLevel="0" collapsed="false">
      <c r="A414" s="196" t="s">
        <v>364</v>
      </c>
      <c r="B414" s="196" t="s">
        <v>991</v>
      </c>
      <c r="C414" s="196" t="s">
        <v>1629</v>
      </c>
      <c r="D414" s="196" t="s">
        <v>131</v>
      </c>
      <c r="E414" s="196" t="n">
        <v>128</v>
      </c>
      <c r="F414" s="353" t="s">
        <v>34</v>
      </c>
      <c r="G414" s="196" t="n">
        <v>140.8</v>
      </c>
    </row>
    <row r="415" customFormat="false" ht="14.35" hidden="false" customHeight="false" outlineLevel="0" collapsed="false">
      <c r="A415" s="196" t="s">
        <v>364</v>
      </c>
      <c r="B415" s="196" t="s">
        <v>991</v>
      </c>
      <c r="C415" s="196" t="s">
        <v>1629</v>
      </c>
      <c r="D415" s="196" t="s">
        <v>130</v>
      </c>
      <c r="E415" s="196" t="n">
        <v>136</v>
      </c>
      <c r="F415" s="353" t="s">
        <v>34</v>
      </c>
      <c r="G415" s="196" t="n">
        <v>149.6</v>
      </c>
    </row>
    <row r="416" customFormat="false" ht="14.35" hidden="false" customHeight="false" outlineLevel="0" collapsed="false">
      <c r="A416" s="196" t="s">
        <v>364</v>
      </c>
      <c r="B416" s="196" t="s">
        <v>991</v>
      </c>
      <c r="C416" s="196" t="s">
        <v>1959</v>
      </c>
      <c r="D416" s="196" t="s">
        <v>75</v>
      </c>
      <c r="E416" s="196" t="n">
        <v>245</v>
      </c>
      <c r="F416" s="353" t="s">
        <v>34</v>
      </c>
      <c r="G416" s="196" t="n">
        <v>269.5</v>
      </c>
    </row>
    <row r="417" customFormat="false" ht="14.35" hidden="false" customHeight="false" outlineLevel="0" collapsed="false">
      <c r="A417" s="196" t="s">
        <v>364</v>
      </c>
      <c r="B417" s="196" t="s">
        <v>1128</v>
      </c>
      <c r="C417" s="196" t="s">
        <v>1629</v>
      </c>
      <c r="D417" s="196" t="s">
        <v>80</v>
      </c>
      <c r="E417" s="196" t="n">
        <v>120</v>
      </c>
      <c r="F417" s="353" t="s">
        <v>34</v>
      </c>
      <c r="G417" s="196" t="n">
        <v>132</v>
      </c>
    </row>
    <row r="418" customFormat="false" ht="14.35" hidden="false" customHeight="false" outlineLevel="0" collapsed="false">
      <c r="A418" s="196" t="s">
        <v>364</v>
      </c>
      <c r="B418" s="196" t="s">
        <v>991</v>
      </c>
      <c r="C418" s="196" t="s">
        <v>1969</v>
      </c>
      <c r="D418" s="196" t="s">
        <v>20</v>
      </c>
      <c r="E418" s="196" t="n">
        <v>262</v>
      </c>
      <c r="F418" s="353" t="s">
        <v>34</v>
      </c>
      <c r="G418" s="196" t="n">
        <v>288.2</v>
      </c>
    </row>
    <row r="419" customFormat="false" ht="14.35" hidden="false" customHeight="false" outlineLevel="0" collapsed="false">
      <c r="A419" s="196" t="s">
        <v>365</v>
      </c>
      <c r="B419" s="196" t="s">
        <v>1974</v>
      </c>
      <c r="C419" s="196" t="s">
        <v>1611</v>
      </c>
      <c r="D419" s="196" t="s">
        <v>25</v>
      </c>
      <c r="E419" s="196" t="n">
        <v>340</v>
      </c>
      <c r="F419" s="353" t="s">
        <v>954</v>
      </c>
      <c r="G419" s="196" t="n">
        <v>374</v>
      </c>
      <c r="H419" s="353" t="s">
        <v>778</v>
      </c>
    </row>
    <row r="420" customFormat="false" ht="14.35" hidden="false" customHeight="false" outlineLevel="0" collapsed="false">
      <c r="A420" s="196" t="s">
        <v>367</v>
      </c>
      <c r="B420" s="196" t="s">
        <v>1103</v>
      </c>
      <c r="C420" s="196" t="s">
        <v>1960</v>
      </c>
      <c r="D420" s="196" t="s">
        <v>56</v>
      </c>
      <c r="E420" s="196" t="n">
        <v>250</v>
      </c>
      <c r="F420" s="353" t="s">
        <v>531</v>
      </c>
      <c r="G420" s="196" t="n">
        <v>275</v>
      </c>
      <c r="H420" s="353" t="s">
        <v>827</v>
      </c>
    </row>
    <row r="421" customFormat="false" ht="14.35" hidden="false" customHeight="false" outlineLevel="0" collapsed="false">
      <c r="A421" s="196" t="s">
        <v>367</v>
      </c>
      <c r="B421" s="196" t="s">
        <v>1103</v>
      </c>
      <c r="C421" s="196" t="s">
        <v>1473</v>
      </c>
      <c r="D421" s="196" t="s">
        <v>170</v>
      </c>
      <c r="E421" s="196" t="n">
        <v>132</v>
      </c>
      <c r="F421" s="353" t="s">
        <v>731</v>
      </c>
      <c r="G421" s="196" t="n">
        <v>145.2</v>
      </c>
      <c r="H421" s="353" t="s">
        <v>828</v>
      </c>
    </row>
    <row r="422" customFormat="false" ht="14.35" hidden="false" customHeight="false" outlineLevel="0" collapsed="false">
      <c r="A422" s="196" t="s">
        <v>368</v>
      </c>
      <c r="B422" s="196" t="s">
        <v>1088</v>
      </c>
      <c r="C422" s="196" t="s">
        <v>1455</v>
      </c>
      <c r="D422" s="196" t="s">
        <v>65</v>
      </c>
      <c r="E422" s="196" t="n">
        <v>90</v>
      </c>
      <c r="F422" s="353" t="s">
        <v>571</v>
      </c>
      <c r="G422" s="196" t="n">
        <v>99</v>
      </c>
      <c r="H422" s="353" t="s">
        <v>709</v>
      </c>
    </row>
    <row r="423" customFormat="false" ht="14.35" hidden="false" customHeight="false" outlineLevel="0" collapsed="false">
      <c r="A423" s="196" t="s">
        <v>369</v>
      </c>
      <c r="B423" s="196" t="s">
        <v>1205</v>
      </c>
      <c r="C423" s="196" t="s">
        <v>1686</v>
      </c>
      <c r="D423" s="196" t="s">
        <v>55</v>
      </c>
      <c r="E423" s="196" t="n">
        <v>150</v>
      </c>
      <c r="F423" s="353" t="s">
        <v>829</v>
      </c>
      <c r="G423" s="196" t="n">
        <v>165</v>
      </c>
      <c r="H423" s="353" t="s">
        <v>830</v>
      </c>
    </row>
    <row r="424" customFormat="false" ht="14.35" hidden="false" customHeight="false" outlineLevel="0" collapsed="false">
      <c r="A424" s="196" t="s">
        <v>344</v>
      </c>
      <c r="B424" s="196" t="s">
        <v>999</v>
      </c>
      <c r="C424" s="196" t="s">
        <v>1429</v>
      </c>
      <c r="D424" s="196" t="s">
        <v>53</v>
      </c>
      <c r="E424" s="196" t="n">
        <v>155</v>
      </c>
      <c r="F424" s="353" t="s">
        <v>831</v>
      </c>
      <c r="G424" s="196" t="n">
        <v>170.5</v>
      </c>
      <c r="H424" s="353" t="s">
        <v>832</v>
      </c>
    </row>
    <row r="425" customFormat="false" ht="14.35" hidden="false" customHeight="false" outlineLevel="0" collapsed="false">
      <c r="A425" s="196" t="s">
        <v>370</v>
      </c>
      <c r="B425" s="196" t="s">
        <v>1142</v>
      </c>
      <c r="C425" s="196" t="s">
        <v>1535</v>
      </c>
      <c r="D425" s="196" t="s">
        <v>73</v>
      </c>
      <c r="E425" s="196" t="n">
        <v>45</v>
      </c>
      <c r="F425" s="353" t="s">
        <v>539</v>
      </c>
      <c r="G425" s="196" t="n">
        <v>49.5</v>
      </c>
      <c r="H425" s="353" t="s">
        <v>833</v>
      </c>
    </row>
    <row r="426" customFormat="false" ht="14.35" hidden="false" customHeight="false" outlineLevel="0" collapsed="false">
      <c r="D426" s="196" t="s">
        <v>371</v>
      </c>
      <c r="E426" s="196" t="n">
        <v>1162</v>
      </c>
    </row>
    <row r="427" customFormat="false" ht="14.35" hidden="false" customHeight="false" outlineLevel="0" collapsed="false">
      <c r="A427" s="196" t="s">
        <v>362</v>
      </c>
    </row>
    <row r="428" customFormat="false" ht="14.35" hidden="false" customHeight="false" outlineLevel="0" collapsed="false">
      <c r="A428" s="196" t="s">
        <v>29</v>
      </c>
    </row>
    <row r="429" customFormat="false" ht="14.35" hidden="false" customHeight="false" outlineLevel="0" collapsed="false">
      <c r="A429" s="196" t="s">
        <v>4</v>
      </c>
      <c r="B429" s="196" t="s">
        <v>5</v>
      </c>
      <c r="C429" s="196" t="s">
        <v>6</v>
      </c>
      <c r="D429" s="196" t="s">
        <v>7</v>
      </c>
      <c r="E429" s="196" t="s">
        <v>8</v>
      </c>
      <c r="F429" s="353" t="s">
        <v>9</v>
      </c>
      <c r="G429" s="196" t="s">
        <v>10</v>
      </c>
    </row>
    <row r="430" customFormat="false" ht="14.35" hidden="false" customHeight="false" outlineLevel="0" collapsed="false">
      <c r="A430" s="196" t="s">
        <v>364</v>
      </c>
      <c r="B430" s="196" t="s">
        <v>991</v>
      </c>
      <c r="C430" s="196" t="s">
        <v>1629</v>
      </c>
      <c r="D430" s="196" t="s">
        <v>81</v>
      </c>
      <c r="E430" s="196" t="n">
        <v>56</v>
      </c>
      <c r="F430" s="353" t="s">
        <v>34</v>
      </c>
      <c r="G430" s="196" t="n">
        <v>61.6</v>
      </c>
    </row>
    <row r="431" customFormat="false" ht="14.35" hidden="false" customHeight="false" outlineLevel="0" collapsed="false">
      <c r="A431" s="196" t="s">
        <v>364</v>
      </c>
      <c r="B431" s="196" t="s">
        <v>991</v>
      </c>
      <c r="C431" s="196" t="s">
        <v>1630</v>
      </c>
      <c r="D431" s="196" t="s">
        <v>162</v>
      </c>
      <c r="E431" s="196" t="n">
        <v>85</v>
      </c>
      <c r="F431" s="353" t="s">
        <v>34</v>
      </c>
      <c r="G431" s="196" t="n">
        <v>93.5</v>
      </c>
    </row>
    <row r="432" customFormat="false" ht="14.35" hidden="false" customHeight="false" outlineLevel="0" collapsed="false">
      <c r="A432" s="196" t="s">
        <v>364</v>
      </c>
      <c r="B432" s="196" t="s">
        <v>991</v>
      </c>
      <c r="C432" s="196" t="s">
        <v>1629</v>
      </c>
      <c r="D432" s="196" t="s">
        <v>51</v>
      </c>
      <c r="E432" s="196" t="n">
        <v>295</v>
      </c>
      <c r="F432" s="353" t="s">
        <v>34</v>
      </c>
      <c r="G432" s="196" t="n">
        <v>324.5</v>
      </c>
    </row>
    <row r="433" customFormat="false" ht="14.35" hidden="false" customHeight="false" outlineLevel="0" collapsed="false">
      <c r="A433" s="196" t="s">
        <v>364</v>
      </c>
      <c r="B433" s="196" t="s">
        <v>991</v>
      </c>
      <c r="C433" s="196" t="s">
        <v>1629</v>
      </c>
      <c r="D433" s="196" t="s">
        <v>111</v>
      </c>
      <c r="E433" s="196" t="n">
        <v>83</v>
      </c>
      <c r="F433" s="353" t="s">
        <v>34</v>
      </c>
      <c r="G433" s="196" t="n">
        <v>91.3</v>
      </c>
    </row>
    <row r="434" customFormat="false" ht="14.35" hidden="false" customHeight="false" outlineLevel="0" collapsed="false">
      <c r="A434" s="196" t="s">
        <v>364</v>
      </c>
      <c r="B434" s="196" t="s">
        <v>991</v>
      </c>
      <c r="C434" s="196" t="s">
        <v>1629</v>
      </c>
      <c r="D434" s="196" t="s">
        <v>126</v>
      </c>
      <c r="E434" s="196" t="n">
        <v>125</v>
      </c>
      <c r="F434" s="353" t="s">
        <v>34</v>
      </c>
      <c r="G434" s="196" t="n">
        <v>137.5</v>
      </c>
    </row>
    <row r="435" customFormat="false" ht="14.35" hidden="false" customHeight="false" outlineLevel="0" collapsed="false">
      <c r="A435" s="196" t="s">
        <v>364</v>
      </c>
      <c r="B435" s="196" t="s">
        <v>991</v>
      </c>
      <c r="C435" s="196" t="s">
        <v>1634</v>
      </c>
      <c r="D435" s="196" t="s">
        <v>115</v>
      </c>
      <c r="E435" s="196" t="n">
        <v>100</v>
      </c>
      <c r="F435" s="353" t="s">
        <v>34</v>
      </c>
      <c r="G435" s="196" t="n">
        <v>110</v>
      </c>
    </row>
    <row r="436" customFormat="false" ht="14.35" hidden="false" customHeight="false" outlineLevel="0" collapsed="false">
      <c r="A436" s="196" t="s">
        <v>364</v>
      </c>
      <c r="B436" s="196" t="s">
        <v>991</v>
      </c>
      <c r="C436" s="196" t="s">
        <v>1629</v>
      </c>
      <c r="D436" s="196" t="s">
        <v>95</v>
      </c>
      <c r="E436" s="196" t="n">
        <v>103</v>
      </c>
      <c r="F436" s="353" t="s">
        <v>34</v>
      </c>
      <c r="G436" s="196" t="n">
        <v>113.3</v>
      </c>
    </row>
    <row r="437" customFormat="false" ht="14.35" hidden="false" customHeight="false" outlineLevel="0" collapsed="false">
      <c r="A437" s="196" t="s">
        <v>373</v>
      </c>
      <c r="B437" s="196" t="s">
        <v>1015</v>
      </c>
      <c r="C437" s="196" t="s">
        <v>1388</v>
      </c>
      <c r="D437" s="196" t="s">
        <v>251</v>
      </c>
      <c r="E437" s="196" t="n">
        <v>160</v>
      </c>
      <c r="F437" s="353" t="s">
        <v>617</v>
      </c>
      <c r="G437" s="196" t="n">
        <v>176</v>
      </c>
      <c r="H437" s="353" t="s">
        <v>774</v>
      </c>
    </row>
    <row r="438" customFormat="false" ht="14.35" hidden="false" customHeight="false" outlineLevel="0" collapsed="false">
      <c r="A438" s="196" t="s">
        <v>373</v>
      </c>
      <c r="B438" s="196" t="s">
        <v>1199</v>
      </c>
      <c r="C438" s="196" t="s">
        <v>1435</v>
      </c>
      <c r="D438" s="196" t="s">
        <v>144</v>
      </c>
      <c r="E438" s="196" t="n">
        <v>205</v>
      </c>
      <c r="F438" s="353" t="s">
        <v>834</v>
      </c>
      <c r="G438" s="196" t="n">
        <v>225.5</v>
      </c>
      <c r="H438" s="353" t="s">
        <v>610</v>
      </c>
    </row>
    <row r="439" customFormat="false" ht="14.35" hidden="false" customHeight="false" outlineLevel="0" collapsed="false">
      <c r="A439" s="196" t="s">
        <v>373</v>
      </c>
      <c r="B439" s="196" t="s">
        <v>1250</v>
      </c>
      <c r="C439" s="196" t="s">
        <v>1793</v>
      </c>
      <c r="D439" s="196" t="s">
        <v>124</v>
      </c>
      <c r="E439" s="196" t="n">
        <v>69</v>
      </c>
      <c r="F439" s="353" t="s">
        <v>545</v>
      </c>
      <c r="G439" s="196" t="n">
        <v>75.9</v>
      </c>
      <c r="H439" s="353" t="n">
        <v>69</v>
      </c>
    </row>
    <row r="440" customFormat="false" ht="14.35" hidden="false" customHeight="false" outlineLevel="0" collapsed="false">
      <c r="A440" s="196" t="s">
        <v>373</v>
      </c>
      <c r="B440" s="196" t="s">
        <v>1015</v>
      </c>
      <c r="C440" s="196" t="s">
        <v>1435</v>
      </c>
      <c r="D440" s="196" t="s">
        <v>67</v>
      </c>
      <c r="E440" s="196" t="n">
        <v>135</v>
      </c>
      <c r="F440" s="353" t="s">
        <v>835</v>
      </c>
      <c r="G440" s="196" t="n">
        <v>148.5</v>
      </c>
      <c r="H440" s="353" t="s">
        <v>836</v>
      </c>
    </row>
    <row r="441" customFormat="false" ht="14.35" hidden="false" customHeight="false" outlineLevel="0" collapsed="false">
      <c r="A441" s="196" t="s">
        <v>373</v>
      </c>
      <c r="B441" s="196" t="s">
        <v>1015</v>
      </c>
      <c r="C441" s="196" t="s">
        <v>1435</v>
      </c>
      <c r="D441" s="196" t="s">
        <v>136</v>
      </c>
      <c r="E441" s="196" t="n">
        <v>55</v>
      </c>
      <c r="F441" s="353" t="s">
        <v>837</v>
      </c>
      <c r="G441" s="196" t="n">
        <v>60.5</v>
      </c>
      <c r="H441" s="353" t="s">
        <v>767</v>
      </c>
    </row>
    <row r="442" customFormat="false" ht="14.35" hidden="false" customHeight="false" outlineLevel="0" collapsed="false">
      <c r="A442" s="196" t="s">
        <v>373</v>
      </c>
      <c r="B442" s="196" t="s">
        <v>1015</v>
      </c>
      <c r="C442" s="196" t="s">
        <v>1435</v>
      </c>
      <c r="D442" s="196" t="s">
        <v>99</v>
      </c>
      <c r="E442" s="196" t="n">
        <v>61</v>
      </c>
      <c r="F442" s="353" t="s">
        <v>624</v>
      </c>
      <c r="G442" s="196" t="n">
        <v>67.1</v>
      </c>
      <c r="H442" s="353" t="s">
        <v>588</v>
      </c>
    </row>
    <row r="443" customFormat="false" ht="14.35" hidden="false" customHeight="false" outlineLevel="0" collapsed="false">
      <c r="A443" s="196" t="s">
        <v>373</v>
      </c>
      <c r="B443" s="196" t="s">
        <v>1015</v>
      </c>
      <c r="C443" s="196" t="s">
        <v>1435</v>
      </c>
      <c r="D443" s="196" t="s">
        <v>97</v>
      </c>
      <c r="E443" s="196" t="n">
        <v>32</v>
      </c>
      <c r="F443" s="353" t="s">
        <v>541</v>
      </c>
      <c r="G443" s="196" t="n">
        <v>35.2</v>
      </c>
      <c r="H443" s="353" t="n">
        <v>32</v>
      </c>
    </row>
    <row r="444" customFormat="false" ht="14.35" hidden="false" customHeight="false" outlineLevel="0" collapsed="false">
      <c r="A444" s="196" t="s">
        <v>373</v>
      </c>
      <c r="B444" s="196" t="s">
        <v>1095</v>
      </c>
      <c r="C444" s="196" t="s">
        <v>1388</v>
      </c>
      <c r="D444" s="196" t="s">
        <v>252</v>
      </c>
      <c r="E444" s="196" t="n">
        <v>87</v>
      </c>
      <c r="F444" s="353" t="s">
        <v>582</v>
      </c>
      <c r="G444" s="196" t="n">
        <v>95.7</v>
      </c>
      <c r="H444" s="353" t="s">
        <v>838</v>
      </c>
    </row>
    <row r="445" customFormat="false" ht="14.35" hidden="false" customHeight="false" outlineLevel="0" collapsed="false">
      <c r="A445" s="196" t="s">
        <v>373</v>
      </c>
      <c r="B445" s="196" t="s">
        <v>1015</v>
      </c>
      <c r="C445" s="196" t="s">
        <v>1388</v>
      </c>
      <c r="D445" s="196" t="s">
        <v>50</v>
      </c>
      <c r="E445" s="196" t="n">
        <v>103</v>
      </c>
      <c r="F445" s="353" t="s">
        <v>571</v>
      </c>
      <c r="G445" s="196" t="n">
        <v>113.3</v>
      </c>
      <c r="H445" s="353" t="s">
        <v>572</v>
      </c>
    </row>
    <row r="446" customFormat="false" ht="14.35" hidden="false" customHeight="false" outlineLevel="0" collapsed="false">
      <c r="A446" s="196" t="s">
        <v>373</v>
      </c>
      <c r="B446" s="196" t="s">
        <v>1015</v>
      </c>
      <c r="C446" s="196" t="s">
        <v>1435</v>
      </c>
      <c r="D446" s="196" t="s">
        <v>135</v>
      </c>
      <c r="E446" s="196" t="n">
        <v>60</v>
      </c>
      <c r="F446" s="353" t="s">
        <v>546</v>
      </c>
      <c r="G446" s="196" t="n">
        <v>66</v>
      </c>
      <c r="H446" s="353" t="n">
        <v>60</v>
      </c>
    </row>
    <row r="447" customFormat="false" ht="14.35" hidden="false" customHeight="false" outlineLevel="0" collapsed="false">
      <c r="A447" s="196" t="s">
        <v>373</v>
      </c>
      <c r="B447" s="196" t="s">
        <v>1015</v>
      </c>
      <c r="C447" s="196" t="s">
        <v>1999</v>
      </c>
      <c r="D447" s="196" t="s">
        <v>227</v>
      </c>
      <c r="E447" s="196" t="n">
        <v>138</v>
      </c>
      <c r="F447" s="353" t="s">
        <v>839</v>
      </c>
      <c r="G447" s="196" t="n">
        <v>151.8</v>
      </c>
      <c r="H447" s="353" t="s">
        <v>840</v>
      </c>
    </row>
    <row r="448" customFormat="false" ht="14.35" hidden="false" customHeight="false" outlineLevel="0" collapsed="false">
      <c r="D448" s="196" t="s">
        <v>375</v>
      </c>
      <c r="E448" s="196" t="n">
        <v>1105</v>
      </c>
    </row>
    <row r="451" customFormat="false" ht="14.35" hidden="false" customHeight="false" outlineLevel="0" collapsed="false">
      <c r="A451" s="196" t="s">
        <v>362</v>
      </c>
    </row>
    <row r="452" customFormat="false" ht="14.35" hidden="false" customHeight="false" outlineLevel="0" collapsed="false">
      <c r="A452" s="196" t="s">
        <v>59</v>
      </c>
    </row>
    <row r="453" customFormat="false" ht="14.35" hidden="false" customHeight="false" outlineLevel="0" collapsed="false">
      <c r="A453" s="196" t="s">
        <v>4</v>
      </c>
      <c r="B453" s="196" t="s">
        <v>5</v>
      </c>
      <c r="C453" s="196" t="s">
        <v>6</v>
      </c>
      <c r="D453" s="196" t="s">
        <v>7</v>
      </c>
      <c r="E453" s="196" t="s">
        <v>8</v>
      </c>
      <c r="F453" s="353" t="s">
        <v>9</v>
      </c>
      <c r="G453" s="196" t="s">
        <v>10</v>
      </c>
    </row>
    <row r="454" customFormat="false" ht="14.35" hidden="false" customHeight="false" outlineLevel="0" collapsed="false">
      <c r="A454" s="196" t="s">
        <v>364</v>
      </c>
      <c r="B454" s="196" t="s">
        <v>991</v>
      </c>
      <c r="C454" s="196" t="s">
        <v>1629</v>
      </c>
      <c r="D454" s="196" t="s">
        <v>112</v>
      </c>
      <c r="E454" s="196" t="n">
        <v>46</v>
      </c>
      <c r="F454" s="353" t="s">
        <v>34</v>
      </c>
      <c r="G454" s="196" t="n">
        <v>50.6</v>
      </c>
    </row>
    <row r="455" customFormat="false" ht="14.35" hidden="false" customHeight="false" outlineLevel="0" collapsed="false">
      <c r="A455" s="196" t="s">
        <v>364</v>
      </c>
      <c r="B455" s="196" t="s">
        <v>991</v>
      </c>
      <c r="C455" s="196" t="s">
        <v>1629</v>
      </c>
      <c r="D455" s="196" t="s">
        <v>161</v>
      </c>
      <c r="E455" s="196" t="n">
        <v>225</v>
      </c>
      <c r="F455" s="353" t="s">
        <v>34</v>
      </c>
      <c r="G455" s="196" t="n">
        <v>247.5</v>
      </c>
    </row>
    <row r="456" customFormat="false" ht="14.35" hidden="false" customHeight="false" outlineLevel="0" collapsed="false">
      <c r="A456" s="196" t="s">
        <v>364</v>
      </c>
      <c r="B456" s="196" t="s">
        <v>991</v>
      </c>
      <c r="C456" s="196" t="s">
        <v>1634</v>
      </c>
      <c r="D456" s="196" t="s">
        <v>82</v>
      </c>
      <c r="E456" s="196" t="n">
        <v>130</v>
      </c>
      <c r="F456" s="353" t="s">
        <v>34</v>
      </c>
      <c r="G456" s="196" t="n">
        <v>143</v>
      </c>
    </row>
    <row r="457" customFormat="false" ht="14.35" hidden="false" customHeight="false" outlineLevel="0" collapsed="false">
      <c r="A457" s="196" t="s">
        <v>364</v>
      </c>
      <c r="B457" s="196" t="s">
        <v>991</v>
      </c>
      <c r="C457" s="196" t="s">
        <v>1634</v>
      </c>
      <c r="D457" s="196" t="s">
        <v>91</v>
      </c>
      <c r="E457" s="196" t="n">
        <v>130</v>
      </c>
      <c r="F457" s="353" t="s">
        <v>34</v>
      </c>
      <c r="G457" s="196" t="n">
        <v>143</v>
      </c>
    </row>
    <row r="458" customFormat="false" ht="14.35" hidden="false" customHeight="false" outlineLevel="0" collapsed="false">
      <c r="A458" s="196" t="s">
        <v>364</v>
      </c>
      <c r="B458" s="196" t="s">
        <v>991</v>
      </c>
      <c r="C458" s="196" t="s">
        <v>1634</v>
      </c>
      <c r="D458" s="196" t="s">
        <v>114</v>
      </c>
      <c r="E458" s="196" t="n">
        <v>75</v>
      </c>
      <c r="F458" s="353" t="s">
        <v>34</v>
      </c>
      <c r="G458" s="196" t="n">
        <v>82.5</v>
      </c>
    </row>
    <row r="459" customFormat="false" ht="14.35" hidden="false" customHeight="false" outlineLevel="0" collapsed="false">
      <c r="A459" s="196" t="s">
        <v>377</v>
      </c>
      <c r="B459" s="196" t="s">
        <v>1083</v>
      </c>
      <c r="C459" s="196" t="s">
        <v>1563</v>
      </c>
      <c r="D459" s="196" t="s">
        <v>109</v>
      </c>
      <c r="E459" s="196" t="n">
        <v>80</v>
      </c>
      <c r="F459" s="353" t="s">
        <v>529</v>
      </c>
      <c r="G459" s="196" t="n">
        <v>88</v>
      </c>
      <c r="H459" s="353" t="s">
        <v>841</v>
      </c>
    </row>
    <row r="460" customFormat="false" ht="14.35" hidden="false" customHeight="false" outlineLevel="0" collapsed="false">
      <c r="A460" s="196" t="s">
        <v>377</v>
      </c>
      <c r="B460" s="196" t="s">
        <v>1083</v>
      </c>
      <c r="C460" s="196" t="s">
        <v>1563</v>
      </c>
      <c r="D460" s="196" t="s">
        <v>108</v>
      </c>
      <c r="E460" s="196" t="n">
        <v>255</v>
      </c>
      <c r="F460" s="353" t="s">
        <v>531</v>
      </c>
      <c r="G460" s="196" t="n">
        <v>280.5</v>
      </c>
      <c r="H460" s="353" t="s">
        <v>662</v>
      </c>
    </row>
    <row r="461" customFormat="false" ht="14.35" hidden="false" customHeight="false" outlineLevel="0" collapsed="false">
      <c r="A461" s="196" t="s">
        <v>378</v>
      </c>
      <c r="B461" s="196" t="s">
        <v>1112</v>
      </c>
      <c r="C461" s="196" t="s">
        <v>1489</v>
      </c>
      <c r="D461" s="196" t="s">
        <v>157</v>
      </c>
      <c r="E461" s="196" t="n">
        <v>230</v>
      </c>
      <c r="F461" s="353" t="s">
        <v>556</v>
      </c>
      <c r="G461" s="196" t="n">
        <v>253</v>
      </c>
      <c r="H461" s="353" t="s">
        <v>807</v>
      </c>
    </row>
    <row r="462" customFormat="false" ht="14.35" hidden="false" customHeight="false" outlineLevel="0" collapsed="false">
      <c r="A462" s="196" t="s">
        <v>379</v>
      </c>
      <c r="B462" s="196" t="s">
        <v>1212</v>
      </c>
      <c r="C462" s="196" t="s">
        <v>1688</v>
      </c>
      <c r="D462" s="196" t="s">
        <v>154</v>
      </c>
      <c r="E462" s="196" t="n">
        <v>154</v>
      </c>
      <c r="F462" s="353" t="s">
        <v>842</v>
      </c>
      <c r="G462" s="196" t="n">
        <v>169.4</v>
      </c>
      <c r="H462" s="353" t="s">
        <v>843</v>
      </c>
    </row>
    <row r="463" customFormat="false" ht="14.35" hidden="false" customHeight="false" outlineLevel="0" collapsed="false">
      <c r="A463" s="196" t="s">
        <v>380</v>
      </c>
      <c r="B463" s="196" t="s">
        <v>1259</v>
      </c>
      <c r="C463" s="196" t="s">
        <v>1429</v>
      </c>
      <c r="D463" s="196" t="s">
        <v>86</v>
      </c>
      <c r="E463" s="196" t="n">
        <v>40</v>
      </c>
      <c r="F463" s="353" t="s">
        <v>633</v>
      </c>
      <c r="G463" s="196" t="n">
        <v>44</v>
      </c>
      <c r="H463" s="353" t="n">
        <v>40</v>
      </c>
    </row>
    <row r="464" customFormat="false" ht="14.35" hidden="false" customHeight="false" outlineLevel="0" collapsed="false">
      <c r="A464" s="196" t="s">
        <v>381</v>
      </c>
      <c r="B464" s="196" t="s">
        <v>1183</v>
      </c>
      <c r="C464" s="196" t="s">
        <v>1611</v>
      </c>
      <c r="D464" s="196" t="s">
        <v>71</v>
      </c>
      <c r="E464" s="196" t="n">
        <v>185</v>
      </c>
      <c r="F464" s="353" t="s">
        <v>962</v>
      </c>
      <c r="G464" s="196" t="n">
        <v>203.5</v>
      </c>
      <c r="H464" s="353" t="s">
        <v>844</v>
      </c>
    </row>
    <row r="465" customFormat="false" ht="14.35" hidden="false" customHeight="false" outlineLevel="0" collapsed="false">
      <c r="A465" s="196" t="s">
        <v>358</v>
      </c>
      <c r="B465" s="196" t="s">
        <v>1216</v>
      </c>
      <c r="C465" s="196" t="s">
        <v>1693</v>
      </c>
      <c r="D465" s="196" t="s">
        <v>177</v>
      </c>
      <c r="E465" s="196" t="n">
        <v>95</v>
      </c>
      <c r="F465" s="353" t="s">
        <v>582</v>
      </c>
      <c r="G465" s="196" t="n">
        <v>104.5</v>
      </c>
      <c r="H465" s="353" t="s">
        <v>698</v>
      </c>
    </row>
    <row r="466" customFormat="false" ht="14.35" hidden="false" customHeight="false" outlineLevel="0" collapsed="false">
      <c r="A466" s="196" t="s">
        <v>384</v>
      </c>
      <c r="B466" s="196" t="s">
        <v>1120</v>
      </c>
      <c r="C466" s="196" t="s">
        <v>1468</v>
      </c>
      <c r="D466" s="196" t="s">
        <v>103</v>
      </c>
      <c r="E466" s="196" t="n">
        <v>105</v>
      </c>
      <c r="F466" s="353" t="s">
        <v>571</v>
      </c>
      <c r="G466" s="196" t="n">
        <v>115.5</v>
      </c>
      <c r="H466" s="353" t="s">
        <v>788</v>
      </c>
    </row>
    <row r="467" customFormat="false" ht="14.35" hidden="false" customHeight="false" outlineLevel="0" collapsed="false">
      <c r="D467" s="196" t="s">
        <v>385</v>
      </c>
      <c r="E467" s="196" t="n">
        <v>1144</v>
      </c>
    </row>
    <row r="468" customFormat="false" ht="14.35" hidden="false" customHeight="false" outlineLevel="0" collapsed="false">
      <c r="A468" s="196" t="s">
        <v>2078</v>
      </c>
    </row>
    <row r="469" customFormat="false" ht="14.35" hidden="false" customHeight="false" outlineLevel="0" collapsed="false">
      <c r="A469" s="196" t="s">
        <v>2</v>
      </c>
    </row>
    <row r="470" customFormat="false" ht="14.35" hidden="false" customHeight="false" outlineLevel="0" collapsed="false">
      <c r="A470" s="196" t="s">
        <v>4</v>
      </c>
      <c r="B470" s="196" t="s">
        <v>5</v>
      </c>
      <c r="C470" s="196" t="s">
        <v>6</v>
      </c>
      <c r="D470" s="196" t="s">
        <v>7</v>
      </c>
      <c r="E470" s="196" t="s">
        <v>8</v>
      </c>
      <c r="F470" s="353" t="s">
        <v>9</v>
      </c>
      <c r="G470" s="196" t="s">
        <v>10</v>
      </c>
    </row>
    <row r="471" customFormat="false" ht="14.35" hidden="false" customHeight="false" outlineLevel="0" collapsed="false">
      <c r="A471" s="196" t="s">
        <v>389</v>
      </c>
      <c r="B471" s="196" t="s">
        <v>1295</v>
      </c>
      <c r="C471" s="196" t="s">
        <v>1717</v>
      </c>
      <c r="D471" s="196" t="s">
        <v>61</v>
      </c>
      <c r="E471" s="196" t="n">
        <v>222</v>
      </c>
      <c r="F471" s="353" t="s">
        <v>619</v>
      </c>
      <c r="G471" s="196" t="n">
        <v>244.2</v>
      </c>
      <c r="H471" s="353" t="s">
        <v>845</v>
      </c>
    </row>
    <row r="472" customFormat="false" ht="14.35" hidden="false" customHeight="false" outlineLevel="0" collapsed="false">
      <c r="A472" s="196" t="s">
        <v>390</v>
      </c>
      <c r="B472" s="196" t="s">
        <v>1275</v>
      </c>
      <c r="C472" s="196" t="s">
        <v>1797</v>
      </c>
      <c r="D472" s="196" t="s">
        <v>142</v>
      </c>
      <c r="E472" s="196" t="n">
        <v>87</v>
      </c>
      <c r="F472" s="353" t="s">
        <v>564</v>
      </c>
      <c r="G472" s="196" t="n">
        <v>95.7</v>
      </c>
      <c r="H472" s="353" t="s">
        <v>846</v>
      </c>
    </row>
    <row r="473" customFormat="false" ht="14.35" hidden="false" customHeight="false" outlineLevel="0" collapsed="false">
      <c r="A473" s="196" t="s">
        <v>391</v>
      </c>
      <c r="B473" s="196" t="s">
        <v>1927</v>
      </c>
      <c r="C473" s="196" t="s">
        <v>1998</v>
      </c>
      <c r="D473" s="196" t="s">
        <v>119</v>
      </c>
      <c r="E473" s="196" t="n">
        <v>140</v>
      </c>
      <c r="F473" s="353" t="s">
        <v>693</v>
      </c>
      <c r="G473" s="196" t="n">
        <v>154</v>
      </c>
      <c r="H473" s="353" t="s">
        <v>847</v>
      </c>
    </row>
    <row r="474" customFormat="false" ht="14.35" hidden="false" customHeight="false" outlineLevel="0" collapsed="false">
      <c r="A474" s="196" t="s">
        <v>392</v>
      </c>
      <c r="B474" s="196" t="s">
        <v>994</v>
      </c>
      <c r="C474" s="196" t="s">
        <v>1417</v>
      </c>
      <c r="D474" s="196" t="s">
        <v>131</v>
      </c>
      <c r="E474" s="196" t="n">
        <v>128</v>
      </c>
      <c r="F474" s="353" t="s">
        <v>611</v>
      </c>
      <c r="G474" s="196" t="n">
        <v>140.8</v>
      </c>
      <c r="H474" s="353" t="s">
        <v>848</v>
      </c>
    </row>
    <row r="475" customFormat="false" ht="14.35" hidden="false" customHeight="false" outlineLevel="0" collapsed="false">
      <c r="A475" s="196" t="s">
        <v>392</v>
      </c>
      <c r="B475" s="196" t="s">
        <v>994</v>
      </c>
      <c r="C475" s="196" t="s">
        <v>1417</v>
      </c>
      <c r="D475" s="196" t="s">
        <v>80</v>
      </c>
      <c r="E475" s="196" t="n">
        <v>120</v>
      </c>
      <c r="F475" s="353" t="s">
        <v>533</v>
      </c>
      <c r="G475" s="196" t="n">
        <v>132</v>
      </c>
      <c r="H475" s="353" t="s">
        <v>849</v>
      </c>
    </row>
    <row r="476" customFormat="false" ht="14.35" hidden="false" customHeight="false" outlineLevel="0" collapsed="false">
      <c r="A476" s="196" t="s">
        <v>268</v>
      </c>
      <c r="B476" s="196" t="s">
        <v>1018</v>
      </c>
      <c r="C476" s="196" t="s">
        <v>1417</v>
      </c>
      <c r="D476" s="196" t="s">
        <v>162</v>
      </c>
      <c r="E476" s="196" t="n">
        <v>85</v>
      </c>
      <c r="F476" s="353" t="s">
        <v>850</v>
      </c>
      <c r="G476" s="196" t="n">
        <v>93.5</v>
      </c>
      <c r="H476" s="353" t="s">
        <v>851</v>
      </c>
    </row>
    <row r="477" customFormat="false" ht="14.35" hidden="false" customHeight="false" outlineLevel="0" collapsed="false">
      <c r="A477" s="196" t="s">
        <v>393</v>
      </c>
      <c r="B477" s="196" t="s">
        <v>1324</v>
      </c>
      <c r="C477" s="196" t="s">
        <v>1899</v>
      </c>
      <c r="D477" s="196" t="s">
        <v>63</v>
      </c>
      <c r="E477" s="196" t="n">
        <v>53</v>
      </c>
      <c r="F477" s="353" t="s">
        <v>852</v>
      </c>
      <c r="G477" s="196" t="n">
        <v>58.3</v>
      </c>
      <c r="H477" s="353" t="s">
        <v>853</v>
      </c>
    </row>
    <row r="478" customFormat="false" ht="14.35" hidden="false" customHeight="false" outlineLevel="0" collapsed="false">
      <c r="A478" s="196" t="s">
        <v>394</v>
      </c>
      <c r="B478" s="196" t="s">
        <v>1051</v>
      </c>
      <c r="C478" s="196" t="s">
        <v>1704</v>
      </c>
      <c r="D478" s="196" t="s">
        <v>38</v>
      </c>
      <c r="E478" s="196" t="n">
        <v>80</v>
      </c>
      <c r="F478" s="353" t="s">
        <v>574</v>
      </c>
      <c r="G478" s="196" t="n">
        <v>88</v>
      </c>
      <c r="H478" s="353" t="s">
        <v>661</v>
      </c>
    </row>
    <row r="479" customFormat="false" ht="14.35" hidden="false" customHeight="false" outlineLevel="0" collapsed="false">
      <c r="A479" s="196" t="s">
        <v>394</v>
      </c>
      <c r="B479" s="196" t="s">
        <v>1051</v>
      </c>
      <c r="C479" s="196" t="s">
        <v>1704</v>
      </c>
      <c r="D479" s="196" t="s">
        <v>42</v>
      </c>
      <c r="E479" s="196" t="n">
        <v>37</v>
      </c>
      <c r="F479" s="353" t="s">
        <v>616</v>
      </c>
      <c r="G479" s="196" t="n">
        <v>40.7</v>
      </c>
      <c r="H479" s="353" t="n">
        <v>37</v>
      </c>
    </row>
    <row r="480" customFormat="false" ht="14.35" hidden="false" customHeight="false" outlineLevel="0" collapsed="false">
      <c r="A480" s="196" t="s">
        <v>394</v>
      </c>
      <c r="B480" s="196" t="s">
        <v>1051</v>
      </c>
      <c r="C480" s="196" t="s">
        <v>1704</v>
      </c>
      <c r="D480" s="196" t="s">
        <v>33</v>
      </c>
      <c r="E480" s="196" t="n">
        <v>240</v>
      </c>
      <c r="F480" s="353" t="s">
        <v>854</v>
      </c>
      <c r="G480" s="196" t="n">
        <v>264</v>
      </c>
      <c r="H480" s="353" t="s">
        <v>855</v>
      </c>
    </row>
    <row r="481" customFormat="false" ht="14.35" hidden="false" customHeight="false" outlineLevel="0" collapsed="false">
      <c r="D481" s="196" t="s">
        <v>395</v>
      </c>
      <c r="E481" s="196" t="n">
        <v>1192</v>
      </c>
    </row>
    <row r="484" customFormat="false" ht="14.35" hidden="false" customHeight="false" outlineLevel="0" collapsed="false">
      <c r="A484" s="196" t="s">
        <v>2078</v>
      </c>
    </row>
    <row r="485" customFormat="false" ht="14.35" hidden="false" customHeight="false" outlineLevel="0" collapsed="false">
      <c r="A485" s="196" t="s">
        <v>29</v>
      </c>
    </row>
    <row r="486" customFormat="false" ht="14.35" hidden="false" customHeight="false" outlineLevel="0" collapsed="false">
      <c r="A486" s="196" t="s">
        <v>4</v>
      </c>
      <c r="B486" s="196" t="s">
        <v>5</v>
      </c>
      <c r="C486" s="196" t="s">
        <v>6</v>
      </c>
      <c r="D486" s="196" t="s">
        <v>7</v>
      </c>
      <c r="E486" s="196" t="s">
        <v>8</v>
      </c>
      <c r="F486" s="353" t="s">
        <v>9</v>
      </c>
      <c r="G486" s="196" t="s">
        <v>10</v>
      </c>
    </row>
    <row r="487" customFormat="false" ht="14.35" hidden="false" customHeight="false" outlineLevel="0" collapsed="false">
      <c r="A487" s="196" t="s">
        <v>397</v>
      </c>
      <c r="B487" s="196" t="s">
        <v>1132</v>
      </c>
      <c r="C487" s="196" t="s">
        <v>1994</v>
      </c>
      <c r="D487" s="196" t="s">
        <v>14</v>
      </c>
      <c r="E487" s="196" t="n">
        <v>65</v>
      </c>
      <c r="F487" s="353" t="s">
        <v>546</v>
      </c>
      <c r="G487" s="196" t="n">
        <v>71.5</v>
      </c>
      <c r="H487" s="353" t="n">
        <v>65</v>
      </c>
    </row>
    <row r="488" customFormat="false" ht="14.35" hidden="false" customHeight="false" outlineLevel="0" collapsed="false">
      <c r="A488" s="196" t="s">
        <v>398</v>
      </c>
      <c r="B488" s="196" t="s">
        <v>1331</v>
      </c>
      <c r="C488" s="196" t="s">
        <v>1872</v>
      </c>
      <c r="D488" s="196" t="s">
        <v>93</v>
      </c>
      <c r="E488" s="196" t="n">
        <v>95</v>
      </c>
      <c r="F488" s="353" t="s">
        <v>571</v>
      </c>
      <c r="G488" s="196" t="n">
        <v>104.5</v>
      </c>
      <c r="H488" s="353" t="s">
        <v>856</v>
      </c>
    </row>
    <row r="489" customFormat="false" ht="14.35" hidden="false" customHeight="false" outlineLevel="0" collapsed="false">
      <c r="A489" s="196" t="s">
        <v>399</v>
      </c>
      <c r="B489" s="196" t="s">
        <v>1204</v>
      </c>
      <c r="C489" s="196" t="s">
        <v>1674</v>
      </c>
      <c r="D489" s="196" t="s">
        <v>55</v>
      </c>
      <c r="E489" s="196" t="n">
        <v>150</v>
      </c>
      <c r="F489" s="353" t="s">
        <v>693</v>
      </c>
      <c r="G489" s="196" t="n">
        <v>165</v>
      </c>
      <c r="H489" s="353" t="s">
        <v>857</v>
      </c>
    </row>
    <row r="490" customFormat="false" ht="14.35" hidden="false" customHeight="false" outlineLevel="0" collapsed="false">
      <c r="A490" s="196" t="s">
        <v>392</v>
      </c>
      <c r="B490" s="196" t="s">
        <v>994</v>
      </c>
      <c r="C490" s="196" t="s">
        <v>1741</v>
      </c>
      <c r="D490" s="196" t="s">
        <v>82</v>
      </c>
      <c r="E490" s="196" t="n">
        <v>130</v>
      </c>
      <c r="F490" s="353" t="s">
        <v>533</v>
      </c>
      <c r="G490" s="196" t="n">
        <v>143</v>
      </c>
      <c r="H490" s="353" t="s">
        <v>858</v>
      </c>
    </row>
    <row r="491" customFormat="false" ht="14.35" hidden="false" customHeight="false" outlineLevel="0" collapsed="false">
      <c r="A491" s="196" t="s">
        <v>392</v>
      </c>
      <c r="B491" s="196" t="s">
        <v>994</v>
      </c>
      <c r="C491" s="196" t="s">
        <v>1741</v>
      </c>
      <c r="D491" s="196" t="s">
        <v>115</v>
      </c>
      <c r="E491" s="196" t="n">
        <v>100</v>
      </c>
      <c r="F491" s="353" t="s">
        <v>859</v>
      </c>
      <c r="G491" s="196" t="n">
        <v>110</v>
      </c>
      <c r="H491" s="353" t="s">
        <v>860</v>
      </c>
    </row>
    <row r="492" customFormat="false" ht="14.35" hidden="false" customHeight="false" outlineLevel="0" collapsed="false">
      <c r="A492" s="196" t="s">
        <v>400</v>
      </c>
      <c r="B492" s="196" t="s">
        <v>1108</v>
      </c>
      <c r="C492" s="196" t="s">
        <v>1962</v>
      </c>
      <c r="D492" s="196" t="s">
        <v>157</v>
      </c>
      <c r="E492" s="196" t="n">
        <v>230</v>
      </c>
      <c r="F492" s="353" t="s">
        <v>854</v>
      </c>
      <c r="G492" s="196" t="n">
        <v>253</v>
      </c>
      <c r="H492" s="353" t="s">
        <v>861</v>
      </c>
    </row>
    <row r="493" customFormat="false" ht="14.35" hidden="false" customHeight="false" outlineLevel="0" collapsed="false">
      <c r="A493" s="196" t="s">
        <v>401</v>
      </c>
      <c r="B493" s="196" t="s">
        <v>2006</v>
      </c>
      <c r="C493" s="196" t="s">
        <v>1930</v>
      </c>
      <c r="D493" s="196" t="s">
        <v>227</v>
      </c>
      <c r="E493" s="196" t="n">
        <v>33</v>
      </c>
      <c r="F493" s="353" t="s">
        <v>770</v>
      </c>
      <c r="G493" s="196" t="n">
        <v>36.3</v>
      </c>
      <c r="H493" s="353" t="n">
        <v>33</v>
      </c>
    </row>
    <row r="494" customFormat="false" ht="14.35" hidden="false" customHeight="false" outlineLevel="0" collapsed="false">
      <c r="A494" s="196" t="s">
        <v>402</v>
      </c>
      <c r="B494" s="196" t="s">
        <v>1244</v>
      </c>
      <c r="C494" s="196" t="s">
        <v>1438</v>
      </c>
      <c r="D494" s="196" t="s">
        <v>121</v>
      </c>
      <c r="E494" s="196" t="n">
        <v>70</v>
      </c>
      <c r="F494" s="353" t="s">
        <v>545</v>
      </c>
      <c r="G494" s="196" t="n">
        <v>77</v>
      </c>
      <c r="H494" s="353" t="n">
        <v>70</v>
      </c>
    </row>
    <row r="495" customFormat="false" ht="14.35" hidden="false" customHeight="false" outlineLevel="0" collapsed="false">
      <c r="A495" s="196" t="s">
        <v>403</v>
      </c>
      <c r="B495" s="196" t="s">
        <v>1306</v>
      </c>
      <c r="C495" s="196" t="s">
        <v>1988</v>
      </c>
      <c r="D495" s="196" t="s">
        <v>101</v>
      </c>
      <c r="E495" s="196" t="n">
        <v>57</v>
      </c>
      <c r="F495" s="353" t="s">
        <v>566</v>
      </c>
      <c r="G495" s="196" t="n">
        <v>62.7</v>
      </c>
      <c r="H495" s="353" t="s">
        <v>669</v>
      </c>
    </row>
    <row r="496" customFormat="false" ht="14.35" hidden="false" customHeight="false" outlineLevel="0" collapsed="false">
      <c r="A496" s="196" t="s">
        <v>404</v>
      </c>
      <c r="B496" s="196" t="s">
        <v>1121</v>
      </c>
      <c r="C496" s="196" t="s">
        <v>1500</v>
      </c>
      <c r="D496" s="196" t="s">
        <v>103</v>
      </c>
      <c r="E496" s="196" t="n">
        <v>240</v>
      </c>
      <c r="F496" s="353" t="s">
        <v>854</v>
      </c>
      <c r="G496" s="196" t="n">
        <v>264</v>
      </c>
      <c r="H496" s="353" t="s">
        <v>855</v>
      </c>
    </row>
    <row r="497" customFormat="false" ht="14.35" hidden="false" customHeight="false" outlineLevel="0" collapsed="false">
      <c r="D497" s="196" t="s">
        <v>405</v>
      </c>
      <c r="E497" s="196" t="n">
        <v>1170</v>
      </c>
    </row>
    <row r="498" customFormat="false" ht="14.35" hidden="false" customHeight="false" outlineLevel="0" collapsed="false">
      <c r="A498" s="196" t="s">
        <v>2078</v>
      </c>
    </row>
    <row r="499" customFormat="false" ht="14.35" hidden="false" customHeight="false" outlineLevel="0" collapsed="false">
      <c r="A499" s="196" t="s">
        <v>59</v>
      </c>
    </row>
    <row r="500" customFormat="false" ht="14.35" hidden="false" customHeight="false" outlineLevel="0" collapsed="false">
      <c r="A500" s="196" t="s">
        <v>4</v>
      </c>
      <c r="B500" s="196" t="s">
        <v>5</v>
      </c>
      <c r="C500" s="196" t="s">
        <v>6</v>
      </c>
      <c r="D500" s="196" t="s">
        <v>7</v>
      </c>
      <c r="E500" s="196" t="s">
        <v>8</v>
      </c>
      <c r="F500" s="353" t="s">
        <v>9</v>
      </c>
      <c r="G500" s="196" t="s">
        <v>10</v>
      </c>
    </row>
    <row r="501" customFormat="false" ht="14.35" hidden="false" customHeight="false" outlineLevel="0" collapsed="false">
      <c r="A501" s="196" t="s">
        <v>406</v>
      </c>
      <c r="B501" s="196" t="s">
        <v>1144</v>
      </c>
      <c r="C501" s="196" t="s">
        <v>1594</v>
      </c>
      <c r="D501" s="196" t="s">
        <v>25</v>
      </c>
      <c r="E501" s="196" t="n">
        <v>150</v>
      </c>
      <c r="F501" s="353" t="s">
        <v>693</v>
      </c>
      <c r="G501" s="196" t="n">
        <v>165</v>
      </c>
      <c r="H501" s="353" t="s">
        <v>857</v>
      </c>
    </row>
    <row r="502" customFormat="false" ht="14.35" hidden="false" customHeight="false" outlineLevel="0" collapsed="false">
      <c r="A502" s="196" t="s">
        <v>406</v>
      </c>
      <c r="B502" s="196" t="s">
        <v>1084</v>
      </c>
      <c r="C502" s="196" t="s">
        <v>1984</v>
      </c>
      <c r="D502" s="196" t="s">
        <v>77</v>
      </c>
      <c r="E502" s="196" t="n">
        <v>15</v>
      </c>
      <c r="F502" s="353" t="s">
        <v>862</v>
      </c>
      <c r="G502" s="196" t="n">
        <v>16.5</v>
      </c>
      <c r="H502" s="353" t="n">
        <v>15</v>
      </c>
    </row>
    <row r="503" customFormat="false" ht="14.35" hidden="false" customHeight="false" outlineLevel="0" collapsed="false">
      <c r="A503" s="196" t="s">
        <v>406</v>
      </c>
      <c r="B503" s="196" t="s">
        <v>1100</v>
      </c>
      <c r="C503" s="196" t="s">
        <v>1594</v>
      </c>
      <c r="D503" s="196" t="s">
        <v>75</v>
      </c>
      <c r="E503" s="196" t="n">
        <v>32</v>
      </c>
      <c r="F503" s="353" t="s">
        <v>632</v>
      </c>
      <c r="G503" s="196" t="n">
        <v>35.2</v>
      </c>
      <c r="H503" s="353" t="n">
        <v>32</v>
      </c>
    </row>
    <row r="504" customFormat="false" ht="14.35" hidden="false" customHeight="false" outlineLevel="0" collapsed="false">
      <c r="A504" s="196" t="s">
        <v>406</v>
      </c>
      <c r="B504" s="196" t="s">
        <v>1144</v>
      </c>
      <c r="C504" s="196" t="s">
        <v>1978</v>
      </c>
      <c r="D504" s="196" t="s">
        <v>126</v>
      </c>
      <c r="E504" s="196" t="n">
        <v>30</v>
      </c>
      <c r="F504" s="353" t="s">
        <v>863</v>
      </c>
      <c r="G504" s="196" t="n">
        <v>33</v>
      </c>
      <c r="H504" s="353" t="n">
        <v>30</v>
      </c>
    </row>
    <row r="505" customFormat="false" ht="14.35" hidden="false" customHeight="false" outlineLevel="0" collapsed="false">
      <c r="A505" s="196" t="s">
        <v>406</v>
      </c>
      <c r="B505" s="196" t="s">
        <v>1084</v>
      </c>
      <c r="C505" s="196" t="s">
        <v>1957</v>
      </c>
      <c r="D505" s="196" t="s">
        <v>109</v>
      </c>
      <c r="E505" s="196" t="n">
        <v>20</v>
      </c>
      <c r="F505" s="353" t="s">
        <v>544</v>
      </c>
      <c r="G505" s="196" t="n">
        <v>22</v>
      </c>
      <c r="H505" s="353" t="n">
        <v>20</v>
      </c>
    </row>
    <row r="506" customFormat="false" ht="14.35" hidden="false" customHeight="false" outlineLevel="0" collapsed="false">
      <c r="A506" s="196" t="s">
        <v>406</v>
      </c>
      <c r="B506" s="196" t="s">
        <v>1100</v>
      </c>
      <c r="C506" s="196" t="s">
        <v>1594</v>
      </c>
      <c r="D506" s="196" t="s">
        <v>108</v>
      </c>
      <c r="E506" s="196" t="n">
        <v>40</v>
      </c>
      <c r="F506" s="353" t="s">
        <v>633</v>
      </c>
      <c r="G506" s="196" t="n">
        <v>44</v>
      </c>
      <c r="H506" s="353" t="n">
        <v>40</v>
      </c>
    </row>
    <row r="507" customFormat="false" ht="14.35" hidden="false" customHeight="false" outlineLevel="0" collapsed="false">
      <c r="A507" s="196" t="s">
        <v>406</v>
      </c>
      <c r="B507" s="196" t="s">
        <v>1144</v>
      </c>
      <c r="C507" s="196" t="s">
        <v>1594</v>
      </c>
      <c r="D507" s="196" t="s">
        <v>172</v>
      </c>
      <c r="E507" s="196" t="n">
        <v>30</v>
      </c>
      <c r="F507" s="353" t="s">
        <v>864</v>
      </c>
      <c r="G507" s="196" t="n">
        <v>33</v>
      </c>
      <c r="H507" s="353" t="n">
        <v>30</v>
      </c>
    </row>
    <row r="508" customFormat="false" ht="14.35" hidden="false" customHeight="false" outlineLevel="0" collapsed="false">
      <c r="A508" s="196" t="s">
        <v>406</v>
      </c>
      <c r="B508" s="196" t="s">
        <v>1144</v>
      </c>
      <c r="C508" s="196" t="s">
        <v>1594</v>
      </c>
      <c r="D508" s="196" t="s">
        <v>73</v>
      </c>
      <c r="E508" s="196" t="n">
        <v>80</v>
      </c>
      <c r="F508" s="353" t="s">
        <v>545</v>
      </c>
      <c r="G508" s="196" t="n">
        <v>88</v>
      </c>
      <c r="H508" s="353" t="n">
        <v>80</v>
      </c>
    </row>
    <row r="509" customFormat="false" ht="14.35" hidden="false" customHeight="false" outlineLevel="0" collapsed="false">
      <c r="A509" s="196" t="s">
        <v>407</v>
      </c>
      <c r="B509" s="196" t="s">
        <v>1036</v>
      </c>
      <c r="C509" s="196" t="s">
        <v>1768</v>
      </c>
      <c r="D509" s="196" t="s">
        <v>99</v>
      </c>
      <c r="E509" s="196" t="n">
        <v>5</v>
      </c>
      <c r="F509" s="353" t="s">
        <v>663</v>
      </c>
      <c r="G509" s="196" t="n">
        <v>5.5</v>
      </c>
      <c r="H509" s="353" t="n">
        <v>5</v>
      </c>
    </row>
    <row r="510" customFormat="false" ht="14.35" hidden="false" customHeight="false" outlineLevel="0" collapsed="false">
      <c r="A510" s="196" t="s">
        <v>407</v>
      </c>
      <c r="B510" s="196" t="s">
        <v>1036</v>
      </c>
      <c r="C510" s="196" t="s">
        <v>1768</v>
      </c>
      <c r="D510" s="196" t="s">
        <v>67</v>
      </c>
      <c r="E510" s="196" t="n">
        <v>40</v>
      </c>
      <c r="F510" s="353" t="s">
        <v>781</v>
      </c>
      <c r="G510" s="196" t="n">
        <v>44</v>
      </c>
      <c r="H510" s="353" t="n">
        <v>40</v>
      </c>
    </row>
    <row r="511" customFormat="false" ht="14.35" hidden="false" customHeight="false" outlineLevel="0" collapsed="false">
      <c r="A511" s="196" t="s">
        <v>408</v>
      </c>
      <c r="B511" s="196" t="s">
        <v>1337</v>
      </c>
      <c r="C511" s="196" t="s">
        <v>1866</v>
      </c>
      <c r="D511" s="196" t="s">
        <v>18</v>
      </c>
      <c r="E511" s="196" t="n">
        <v>80</v>
      </c>
      <c r="F511" s="353" t="s">
        <v>545</v>
      </c>
      <c r="G511" s="196" t="n">
        <v>88</v>
      </c>
      <c r="H511" s="353" t="n">
        <v>80</v>
      </c>
    </row>
    <row r="512" customFormat="false" ht="14.35" hidden="false" customHeight="false" outlineLevel="0" collapsed="false">
      <c r="A512" s="196" t="s">
        <v>409</v>
      </c>
      <c r="B512" s="196" t="s">
        <v>1352</v>
      </c>
      <c r="C512" s="196" t="s">
        <v>1867</v>
      </c>
      <c r="D512" s="196" t="s">
        <v>46</v>
      </c>
      <c r="E512" s="196" t="n">
        <v>99</v>
      </c>
      <c r="F512" s="353" t="s">
        <v>956</v>
      </c>
      <c r="G512" s="196" t="n">
        <v>108.9</v>
      </c>
      <c r="H512" s="353" t="n">
        <v>99</v>
      </c>
    </row>
    <row r="513" customFormat="false" ht="14.35" hidden="false" customHeight="false" outlineLevel="0" collapsed="false">
      <c r="A513" s="196" t="s">
        <v>410</v>
      </c>
      <c r="B513" s="196" t="s">
        <v>1218</v>
      </c>
      <c r="C513" s="196" t="s">
        <v>1688</v>
      </c>
      <c r="D513" s="196" t="s">
        <v>177</v>
      </c>
      <c r="E513" s="196" t="n">
        <v>35</v>
      </c>
      <c r="F513" s="353" t="s">
        <v>560</v>
      </c>
      <c r="G513" s="196" t="n">
        <v>38.5</v>
      </c>
      <c r="H513" s="353" t="n">
        <v>35</v>
      </c>
    </row>
    <row r="514" customFormat="false" ht="14.35" hidden="false" customHeight="false" outlineLevel="0" collapsed="false">
      <c r="A514" s="196" t="s">
        <v>411</v>
      </c>
      <c r="B514" s="196" t="s">
        <v>1093</v>
      </c>
      <c r="C514" s="196" t="s">
        <v>1451</v>
      </c>
      <c r="D514" s="196" t="s">
        <v>252</v>
      </c>
      <c r="E514" s="196" t="n">
        <v>87</v>
      </c>
      <c r="F514" s="353" t="s">
        <v>571</v>
      </c>
      <c r="G514" s="196" t="n">
        <v>95.7</v>
      </c>
      <c r="H514" s="353" t="s">
        <v>865</v>
      </c>
    </row>
    <row r="515" customFormat="false" ht="14.35" hidden="false" customHeight="false" outlineLevel="0" collapsed="false">
      <c r="A515" s="196" t="s">
        <v>412</v>
      </c>
      <c r="B515" s="196" t="s">
        <v>1182</v>
      </c>
      <c r="C515" s="196" t="s">
        <v>1574</v>
      </c>
      <c r="D515" s="196" t="s">
        <v>71</v>
      </c>
      <c r="E515" s="196" t="n">
        <v>29</v>
      </c>
      <c r="F515" s="353" t="n">
        <v>303</v>
      </c>
      <c r="G515" s="196" t="n">
        <v>31.9</v>
      </c>
      <c r="H515" s="353" t="n">
        <v>29</v>
      </c>
    </row>
    <row r="516" customFormat="false" ht="14.35" hidden="false" customHeight="false" outlineLevel="0" collapsed="false">
      <c r="A516" s="196" t="s">
        <v>413</v>
      </c>
      <c r="B516" s="196" t="s">
        <v>1163</v>
      </c>
      <c r="C516" s="196" t="s">
        <v>1574</v>
      </c>
      <c r="D516" s="196" t="s">
        <v>16</v>
      </c>
      <c r="E516" s="196" t="n">
        <v>265</v>
      </c>
      <c r="F516" s="353" t="s">
        <v>854</v>
      </c>
      <c r="G516" s="196" t="n">
        <v>291.5</v>
      </c>
      <c r="H516" s="353" t="s">
        <v>866</v>
      </c>
    </row>
    <row r="517" customFormat="false" ht="14.35" hidden="false" customHeight="false" outlineLevel="0" collapsed="false">
      <c r="A517" s="196" t="s">
        <v>414</v>
      </c>
      <c r="B517" s="196" t="s">
        <v>1279</v>
      </c>
      <c r="C517" s="196" t="s">
        <v>1846</v>
      </c>
      <c r="D517" s="196" t="s">
        <v>140</v>
      </c>
      <c r="E517" s="196" t="n">
        <v>85</v>
      </c>
      <c r="F517" s="353" t="s">
        <v>571</v>
      </c>
      <c r="G517" s="196" t="n">
        <v>93.5</v>
      </c>
      <c r="H517" s="353" t="s">
        <v>867</v>
      </c>
    </row>
    <row r="518" customFormat="false" ht="14.35" hidden="false" customHeight="false" outlineLevel="0" collapsed="false">
      <c r="D518" s="196" t="s">
        <v>416</v>
      </c>
      <c r="E518" s="196" t="n">
        <v>1122</v>
      </c>
    </row>
    <row r="519" customFormat="false" ht="14.35" hidden="false" customHeight="false" outlineLevel="0" collapsed="false">
      <c r="A519" s="196" t="s">
        <v>418</v>
      </c>
    </row>
    <row r="520" customFormat="false" ht="14.35" hidden="false" customHeight="false" outlineLevel="0" collapsed="false">
      <c r="A520" s="196" t="s">
        <v>2</v>
      </c>
    </row>
    <row r="521" customFormat="false" ht="14.35" hidden="false" customHeight="false" outlineLevel="0" collapsed="false">
      <c r="A521" s="196" t="s">
        <v>4</v>
      </c>
      <c r="B521" s="196" t="s">
        <v>5</v>
      </c>
      <c r="C521" s="196" t="s">
        <v>6</v>
      </c>
      <c r="D521" s="196" t="s">
        <v>7</v>
      </c>
      <c r="E521" s="196" t="s">
        <v>8</v>
      </c>
      <c r="F521" s="353" t="s">
        <v>9</v>
      </c>
      <c r="G521" s="196" t="s">
        <v>10</v>
      </c>
    </row>
    <row r="522" customFormat="false" ht="14.35" hidden="false" customHeight="false" outlineLevel="0" collapsed="false">
      <c r="A522" s="196" t="s">
        <v>420</v>
      </c>
      <c r="B522" s="196" t="s">
        <v>1024</v>
      </c>
      <c r="C522" s="196" t="s">
        <v>1746</v>
      </c>
      <c r="D522" s="196" t="s">
        <v>38</v>
      </c>
      <c r="E522" s="196" t="n">
        <v>80</v>
      </c>
      <c r="F522" s="353" t="s">
        <v>673</v>
      </c>
      <c r="G522" s="196" t="n">
        <v>88</v>
      </c>
      <c r="H522" s="353" t="s">
        <v>631</v>
      </c>
    </row>
    <row r="523" customFormat="false" ht="14.35" hidden="false" customHeight="false" outlineLevel="0" collapsed="false">
      <c r="A523" s="196" t="s">
        <v>420</v>
      </c>
      <c r="B523" s="196" t="s">
        <v>1024</v>
      </c>
      <c r="C523" s="196" t="s">
        <v>1746</v>
      </c>
      <c r="D523" s="196" t="s">
        <v>33</v>
      </c>
      <c r="E523" s="196" t="n">
        <v>240</v>
      </c>
      <c r="F523" s="353" t="s">
        <v>619</v>
      </c>
      <c r="G523" s="196" t="n">
        <v>264</v>
      </c>
      <c r="H523" s="353" t="s">
        <v>868</v>
      </c>
    </row>
    <row r="524" customFormat="false" ht="14.35" hidden="false" customHeight="false" outlineLevel="0" collapsed="false">
      <c r="A524" s="196" t="s">
        <v>421</v>
      </c>
      <c r="B524" s="196" t="s">
        <v>1956</v>
      </c>
      <c r="C524" s="196" t="s">
        <v>1746</v>
      </c>
      <c r="D524" s="196" t="s">
        <v>130</v>
      </c>
      <c r="E524" s="196" t="n">
        <v>136</v>
      </c>
      <c r="F524" s="353" t="s">
        <v>693</v>
      </c>
      <c r="G524" s="196" t="n">
        <v>149.6</v>
      </c>
      <c r="H524" s="353" t="s">
        <v>869</v>
      </c>
    </row>
    <row r="525" customFormat="false" ht="14.35" hidden="false" customHeight="false" outlineLevel="0" collapsed="false">
      <c r="A525" s="196" t="s">
        <v>422</v>
      </c>
      <c r="B525" s="196" t="s">
        <v>1952</v>
      </c>
      <c r="C525" s="196" t="s">
        <v>1744</v>
      </c>
      <c r="D525" s="196" t="s">
        <v>162</v>
      </c>
      <c r="E525" s="196" t="n">
        <v>85</v>
      </c>
      <c r="F525" s="353" t="s">
        <v>582</v>
      </c>
      <c r="G525" s="196" t="n">
        <v>93.5</v>
      </c>
      <c r="H525" s="353" t="s">
        <v>870</v>
      </c>
    </row>
    <row r="526" customFormat="false" ht="14.35" hidden="false" customHeight="false" outlineLevel="0" collapsed="false">
      <c r="A526" s="196" t="s">
        <v>420</v>
      </c>
      <c r="B526" s="196" t="s">
        <v>1024</v>
      </c>
      <c r="C526" s="196" t="s">
        <v>1742</v>
      </c>
      <c r="D526" s="196" t="s">
        <v>36</v>
      </c>
      <c r="E526" s="196" t="n">
        <v>75</v>
      </c>
      <c r="F526" s="353" t="s">
        <v>545</v>
      </c>
      <c r="G526" s="196" t="n">
        <v>82.5</v>
      </c>
      <c r="H526" s="353" t="n">
        <v>75</v>
      </c>
    </row>
    <row r="527" customFormat="false" ht="14.35" hidden="false" customHeight="false" outlineLevel="0" collapsed="false">
      <c r="A527" s="196" t="s">
        <v>421</v>
      </c>
      <c r="B527" s="196" t="s">
        <v>1175</v>
      </c>
      <c r="C527" s="196" t="s">
        <v>1741</v>
      </c>
      <c r="D527" s="196" t="s">
        <v>51</v>
      </c>
      <c r="E527" s="196" t="n">
        <v>295</v>
      </c>
      <c r="F527" s="353" t="s">
        <v>871</v>
      </c>
      <c r="G527" s="196" t="n">
        <v>324.5</v>
      </c>
      <c r="H527" s="353" t="s">
        <v>872</v>
      </c>
    </row>
    <row r="528" customFormat="false" ht="14.35" hidden="false" customHeight="false" outlineLevel="0" collapsed="false">
      <c r="A528" s="196" t="s">
        <v>423</v>
      </c>
      <c r="B528" s="196" t="s">
        <v>1355</v>
      </c>
      <c r="C528" s="196" t="s">
        <v>1552</v>
      </c>
      <c r="D528" s="196" t="s">
        <v>91</v>
      </c>
      <c r="E528" s="196" t="n">
        <v>130</v>
      </c>
      <c r="F528" s="353" t="s">
        <v>873</v>
      </c>
      <c r="G528" s="196" t="n">
        <v>143</v>
      </c>
      <c r="H528" s="353" t="s">
        <v>658</v>
      </c>
    </row>
    <row r="529" customFormat="false" ht="14.35" hidden="false" customHeight="false" outlineLevel="0" collapsed="false">
      <c r="A529" s="196" t="s">
        <v>424</v>
      </c>
      <c r="B529" s="196" t="s">
        <v>1076</v>
      </c>
      <c r="C529" s="196" t="s">
        <v>1379</v>
      </c>
      <c r="D529" s="196" t="s">
        <v>108</v>
      </c>
      <c r="E529" s="196" t="n">
        <v>65</v>
      </c>
      <c r="F529" s="353" t="s">
        <v>546</v>
      </c>
      <c r="G529" s="196" t="n">
        <v>71.5</v>
      </c>
      <c r="H529" s="353" t="n">
        <v>65</v>
      </c>
    </row>
    <row r="530" customFormat="false" ht="14.35" hidden="false" customHeight="false" outlineLevel="0" collapsed="false">
      <c r="A530" s="196" t="s">
        <v>424</v>
      </c>
      <c r="B530" s="196" t="s">
        <v>1076</v>
      </c>
      <c r="C530" s="196" t="s">
        <v>1379</v>
      </c>
      <c r="D530" s="196" t="s">
        <v>109</v>
      </c>
      <c r="E530" s="196" t="n">
        <v>18</v>
      </c>
      <c r="F530" s="353" t="s">
        <v>781</v>
      </c>
      <c r="G530" s="196" t="n">
        <v>19.8</v>
      </c>
      <c r="H530" s="353" t="n">
        <v>18</v>
      </c>
    </row>
    <row r="531" customFormat="false" ht="14.35" hidden="false" customHeight="false" outlineLevel="0" collapsed="false">
      <c r="A531" s="196" t="s">
        <v>424</v>
      </c>
      <c r="B531" s="196" t="s">
        <v>1076</v>
      </c>
      <c r="C531" s="196" t="s">
        <v>1379</v>
      </c>
      <c r="D531" s="196" t="s">
        <v>172</v>
      </c>
      <c r="E531" s="196" t="n">
        <v>40</v>
      </c>
      <c r="F531" s="353" t="s">
        <v>616</v>
      </c>
      <c r="G531" s="196" t="n">
        <v>44</v>
      </c>
      <c r="H531" s="353" t="n">
        <v>40</v>
      </c>
    </row>
    <row r="532" customFormat="false" ht="14.35" hidden="false" customHeight="false" outlineLevel="0" collapsed="false">
      <c r="A532" s="196" t="s">
        <v>424</v>
      </c>
      <c r="B532" s="196" t="s">
        <v>1200</v>
      </c>
      <c r="C532" s="196" t="s">
        <v>1977</v>
      </c>
      <c r="D532" s="196" t="s">
        <v>126</v>
      </c>
      <c r="E532" s="196" t="n">
        <v>5</v>
      </c>
      <c r="F532" s="353" t="s">
        <v>874</v>
      </c>
      <c r="G532" s="196" t="n">
        <v>5.5</v>
      </c>
      <c r="H532" s="353" t="n">
        <v>5</v>
      </c>
    </row>
    <row r="533" customFormat="false" ht="14.35" hidden="false" customHeight="false" outlineLevel="0" collapsed="false">
      <c r="A533" s="196" t="s">
        <v>424</v>
      </c>
      <c r="B533" s="196" t="s">
        <v>1200</v>
      </c>
      <c r="C533" s="196" t="s">
        <v>1978</v>
      </c>
      <c r="D533" s="196" t="s">
        <v>77</v>
      </c>
      <c r="E533" s="196" t="n">
        <v>35</v>
      </c>
      <c r="F533" s="353" t="s">
        <v>863</v>
      </c>
      <c r="G533" s="196" t="n">
        <v>38.5</v>
      </c>
      <c r="H533" s="353" t="n">
        <v>35</v>
      </c>
    </row>
    <row r="534" customFormat="false" ht="14.35" hidden="false" customHeight="false" outlineLevel="0" collapsed="false">
      <c r="D534" s="196" t="s">
        <v>425</v>
      </c>
      <c r="E534" s="196" t="n">
        <v>1204</v>
      </c>
    </row>
    <row r="535" customFormat="false" ht="14.35" hidden="false" customHeight="false" outlineLevel="0" collapsed="false">
      <c r="A535" s="196" t="s">
        <v>418</v>
      </c>
    </row>
    <row r="536" customFormat="false" ht="14.35" hidden="false" customHeight="false" outlineLevel="0" collapsed="false">
      <c r="A536" s="196" t="s">
        <v>29</v>
      </c>
    </row>
    <row r="537" customFormat="false" ht="14.35" hidden="false" customHeight="false" outlineLevel="0" collapsed="false">
      <c r="A537" s="196" t="s">
        <v>4</v>
      </c>
      <c r="B537" s="196" t="s">
        <v>5</v>
      </c>
      <c r="C537" s="196" t="s">
        <v>6</v>
      </c>
      <c r="D537" s="196" t="s">
        <v>7</v>
      </c>
      <c r="E537" s="196" t="s">
        <v>8</v>
      </c>
      <c r="F537" s="353" t="s">
        <v>9</v>
      </c>
      <c r="G537" s="196" t="s">
        <v>10</v>
      </c>
    </row>
    <row r="538" customFormat="false" ht="14.35" hidden="false" customHeight="false" outlineLevel="0" collapsed="false">
      <c r="A538" s="196" t="s">
        <v>427</v>
      </c>
      <c r="B538" s="196" t="s">
        <v>1041</v>
      </c>
      <c r="C538" s="196" t="s">
        <v>1438</v>
      </c>
      <c r="D538" s="196" t="s">
        <v>124</v>
      </c>
      <c r="E538" s="196" t="n">
        <v>69</v>
      </c>
      <c r="F538" s="353" t="s">
        <v>574</v>
      </c>
      <c r="G538" s="196" t="n">
        <v>75.9</v>
      </c>
      <c r="H538" s="353" t="s">
        <v>875</v>
      </c>
    </row>
    <row r="539" customFormat="false" ht="14.35" hidden="false" customHeight="false" outlineLevel="0" collapsed="false">
      <c r="A539" s="196" t="s">
        <v>427</v>
      </c>
      <c r="B539" s="196" t="s">
        <v>1041</v>
      </c>
      <c r="C539" s="196" t="s">
        <v>1438</v>
      </c>
      <c r="D539" s="196" t="s">
        <v>99</v>
      </c>
      <c r="E539" s="196" t="n">
        <v>5</v>
      </c>
      <c r="F539" s="353" t="s">
        <v>864</v>
      </c>
      <c r="G539" s="196" t="n">
        <v>5.5</v>
      </c>
      <c r="H539" s="353" t="n">
        <v>5</v>
      </c>
    </row>
    <row r="540" customFormat="false" ht="14.35" hidden="false" customHeight="false" outlineLevel="0" collapsed="false">
      <c r="A540" s="196" t="s">
        <v>110</v>
      </c>
      <c r="B540" s="196" t="s">
        <v>1019</v>
      </c>
      <c r="C540" s="196" t="s">
        <v>1717</v>
      </c>
      <c r="D540" s="196" t="s">
        <v>191</v>
      </c>
      <c r="E540" s="196" t="n">
        <v>70</v>
      </c>
      <c r="F540" s="353" t="s">
        <v>574</v>
      </c>
      <c r="G540" s="196" t="n">
        <v>77</v>
      </c>
      <c r="H540" s="353" t="s">
        <v>671</v>
      </c>
    </row>
    <row r="541" customFormat="false" ht="14.35" hidden="false" customHeight="false" outlineLevel="0" collapsed="false">
      <c r="A541" s="196" t="s">
        <v>110</v>
      </c>
      <c r="B541" s="196" t="s">
        <v>1019</v>
      </c>
      <c r="C541" s="196" t="s">
        <v>1717</v>
      </c>
      <c r="D541" s="196" t="s">
        <v>161</v>
      </c>
      <c r="E541" s="196" t="n">
        <v>225</v>
      </c>
      <c r="F541" s="353" t="s">
        <v>687</v>
      </c>
      <c r="G541" s="196" t="n">
        <v>247.5</v>
      </c>
      <c r="H541" s="353" t="s">
        <v>876</v>
      </c>
    </row>
    <row r="542" customFormat="false" ht="14.35" hidden="false" customHeight="false" outlineLevel="0" collapsed="false">
      <c r="A542" s="196" t="s">
        <v>428</v>
      </c>
      <c r="B542" s="196" t="s">
        <v>1086</v>
      </c>
      <c r="C542" s="196" t="s">
        <v>1451</v>
      </c>
      <c r="D542" s="196" t="s">
        <v>65</v>
      </c>
      <c r="E542" s="196" t="n">
        <v>90</v>
      </c>
      <c r="F542" s="353" t="s">
        <v>571</v>
      </c>
      <c r="G542" s="196" t="n">
        <v>99</v>
      </c>
      <c r="H542" s="353" t="s">
        <v>877</v>
      </c>
    </row>
    <row r="543" customFormat="false" ht="14.35" hidden="false" customHeight="false" outlineLevel="0" collapsed="false">
      <c r="A543" s="196" t="s">
        <v>268</v>
      </c>
      <c r="B543" s="196" t="s">
        <v>1238</v>
      </c>
      <c r="C543" s="196" t="s">
        <v>1746</v>
      </c>
      <c r="D543" s="196" t="s">
        <v>111</v>
      </c>
      <c r="E543" s="196" t="n">
        <v>83</v>
      </c>
      <c r="F543" s="353" t="s">
        <v>667</v>
      </c>
      <c r="G543" s="196" t="n">
        <v>91.3</v>
      </c>
      <c r="H543" s="353" t="s">
        <v>878</v>
      </c>
    </row>
    <row r="544" customFormat="false" ht="14.35" hidden="false" customHeight="false" outlineLevel="0" collapsed="false">
      <c r="A544" s="196" t="s">
        <v>268</v>
      </c>
      <c r="B544" s="196" t="s">
        <v>1238</v>
      </c>
      <c r="C544" s="196" t="s">
        <v>1746</v>
      </c>
      <c r="D544" s="196" t="s">
        <v>112</v>
      </c>
      <c r="E544" s="196" t="n">
        <v>46</v>
      </c>
      <c r="F544" s="353" t="s">
        <v>879</v>
      </c>
      <c r="G544" s="196" t="n">
        <v>50.6</v>
      </c>
      <c r="H544" s="353" t="s">
        <v>623</v>
      </c>
    </row>
    <row r="545" customFormat="false" ht="14.35" hidden="false" customHeight="false" outlineLevel="0" collapsed="false">
      <c r="A545" s="196" t="s">
        <v>429</v>
      </c>
      <c r="B545" s="196" t="s">
        <v>1014</v>
      </c>
      <c r="C545" s="196" t="s">
        <v>1404</v>
      </c>
      <c r="D545" s="196" t="s">
        <v>50</v>
      </c>
      <c r="E545" s="196" t="n">
        <v>103</v>
      </c>
      <c r="F545" s="353" t="s">
        <v>859</v>
      </c>
      <c r="G545" s="196" t="n">
        <v>113.3</v>
      </c>
      <c r="H545" s="353" t="s">
        <v>880</v>
      </c>
    </row>
    <row r="546" customFormat="false" ht="14.35" hidden="false" customHeight="false" outlineLevel="0" collapsed="false">
      <c r="A546" s="196" t="s">
        <v>430</v>
      </c>
      <c r="B546" s="196" t="s">
        <v>987</v>
      </c>
      <c r="C546" s="196" t="s">
        <v>1981</v>
      </c>
      <c r="D546" s="196" t="s">
        <v>95</v>
      </c>
      <c r="E546" s="196" t="n">
        <v>103</v>
      </c>
      <c r="F546" s="353" t="s">
        <v>881</v>
      </c>
      <c r="G546" s="196" t="n">
        <v>113.3</v>
      </c>
      <c r="H546" s="353" t="s">
        <v>882</v>
      </c>
    </row>
    <row r="547" customFormat="false" ht="14.35" hidden="false" customHeight="false" outlineLevel="0" collapsed="false">
      <c r="A547" s="196" t="s">
        <v>432</v>
      </c>
      <c r="B547" s="196" t="s">
        <v>1167</v>
      </c>
      <c r="C547" s="196" t="s">
        <v>1579</v>
      </c>
      <c r="D547" s="196" t="s">
        <v>251</v>
      </c>
      <c r="E547" s="196" t="n">
        <v>90</v>
      </c>
      <c r="F547" s="353" t="s">
        <v>571</v>
      </c>
      <c r="G547" s="196" t="n">
        <v>99</v>
      </c>
      <c r="H547" s="353" t="s">
        <v>877</v>
      </c>
    </row>
    <row r="548" customFormat="false" ht="14.35" hidden="false" customHeight="false" outlineLevel="0" collapsed="false">
      <c r="A548" s="196" t="s">
        <v>22</v>
      </c>
      <c r="B548" s="196" t="s">
        <v>1056</v>
      </c>
      <c r="C548" s="196" t="s">
        <v>1425</v>
      </c>
      <c r="D548" s="196" t="s">
        <v>23</v>
      </c>
      <c r="E548" s="196" t="n">
        <v>40</v>
      </c>
      <c r="F548" s="353" t="s">
        <v>955</v>
      </c>
      <c r="G548" s="196" t="n">
        <v>44</v>
      </c>
      <c r="H548" s="353" t="n">
        <v>40</v>
      </c>
    </row>
    <row r="549" customFormat="false" ht="14.35" hidden="false" customHeight="false" outlineLevel="0" collapsed="false">
      <c r="A549" s="196" t="s">
        <v>433</v>
      </c>
      <c r="B549" s="196" t="s">
        <v>1056</v>
      </c>
      <c r="C549" s="196" t="s">
        <v>1425</v>
      </c>
      <c r="D549" s="196" t="s">
        <v>40</v>
      </c>
      <c r="E549" s="196" t="n">
        <v>82</v>
      </c>
      <c r="F549" s="353" t="s">
        <v>956</v>
      </c>
      <c r="G549" s="196" t="n">
        <v>90.2</v>
      </c>
      <c r="H549" s="353" t="n">
        <v>82</v>
      </c>
    </row>
    <row r="550" customFormat="false" ht="14.35" hidden="false" customHeight="false" outlineLevel="0" collapsed="false">
      <c r="A550" s="196" t="s">
        <v>434</v>
      </c>
      <c r="B550" s="196" t="s">
        <v>2002</v>
      </c>
      <c r="C550" s="196" t="s">
        <v>1935</v>
      </c>
      <c r="D550" s="196" t="s">
        <v>227</v>
      </c>
      <c r="E550" s="196" t="n">
        <v>138</v>
      </c>
      <c r="F550" s="353" t="s">
        <v>954</v>
      </c>
      <c r="G550" s="196" t="n">
        <v>151.8</v>
      </c>
      <c r="H550" s="353" t="s">
        <v>883</v>
      </c>
    </row>
    <row r="551" customFormat="false" ht="14.35" hidden="false" customHeight="false" outlineLevel="0" collapsed="false">
      <c r="D551" s="196" t="s">
        <v>435</v>
      </c>
      <c r="E551" s="196" t="e">
        <f aca="false">#NAME?</f>
        <v>#NAME?</v>
      </c>
    </row>
    <row r="552" customFormat="false" ht="14.35" hidden="false" customHeight="false" outlineLevel="0" collapsed="false">
      <c r="A552" s="196" t="s">
        <v>418</v>
      </c>
    </row>
    <row r="553" customFormat="false" ht="14.35" hidden="false" customHeight="false" outlineLevel="0" collapsed="false">
      <c r="A553" s="196" t="s">
        <v>59</v>
      </c>
    </row>
    <row r="554" customFormat="false" ht="14.35" hidden="false" customHeight="false" outlineLevel="0" collapsed="false">
      <c r="A554" s="196" t="s">
        <v>4</v>
      </c>
      <c r="B554" s="196" t="s">
        <v>5</v>
      </c>
      <c r="C554" s="196" t="s">
        <v>6</v>
      </c>
      <c r="D554" s="196" t="s">
        <v>7</v>
      </c>
      <c r="E554" s="196" t="s">
        <v>8</v>
      </c>
      <c r="F554" s="353" t="s">
        <v>9</v>
      </c>
      <c r="G554" s="196" t="s">
        <v>10</v>
      </c>
    </row>
    <row r="555" customFormat="false" ht="14.35" hidden="false" customHeight="false" outlineLevel="0" collapsed="false">
      <c r="A555" s="196" t="s">
        <v>436</v>
      </c>
      <c r="B555" s="196" t="s">
        <v>1027</v>
      </c>
      <c r="C555" s="196" t="s">
        <v>1408</v>
      </c>
      <c r="D555" s="196" t="s">
        <v>133</v>
      </c>
      <c r="E555" s="196" t="n">
        <v>76</v>
      </c>
      <c r="F555" s="353" t="s">
        <v>850</v>
      </c>
      <c r="G555" s="196" t="n">
        <v>83.6</v>
      </c>
      <c r="H555" s="353" t="s">
        <v>884</v>
      </c>
    </row>
    <row r="556" customFormat="false" ht="14.35" hidden="false" customHeight="false" outlineLevel="0" collapsed="false">
      <c r="A556" s="196" t="s">
        <v>437</v>
      </c>
      <c r="B556" s="196" t="s">
        <v>1211</v>
      </c>
      <c r="C556" s="196" t="s">
        <v>1686</v>
      </c>
      <c r="D556" s="196" t="s">
        <v>154</v>
      </c>
      <c r="E556" s="196" t="n">
        <v>154</v>
      </c>
      <c r="F556" s="353" t="s">
        <v>693</v>
      </c>
      <c r="G556" s="196" t="n">
        <v>169.4</v>
      </c>
      <c r="H556" s="353" t="s">
        <v>885</v>
      </c>
    </row>
    <row r="557" customFormat="false" ht="14.35" hidden="false" customHeight="false" outlineLevel="0" collapsed="false">
      <c r="A557" s="196" t="s">
        <v>438</v>
      </c>
      <c r="B557" s="196" t="s">
        <v>1353</v>
      </c>
      <c r="C557" s="196" t="s">
        <v>1872</v>
      </c>
      <c r="D557" s="196" t="s">
        <v>46</v>
      </c>
      <c r="E557" s="196" t="n">
        <v>22</v>
      </c>
      <c r="F557" s="353" t="s">
        <v>886</v>
      </c>
      <c r="G557" s="196" t="n">
        <v>24.2</v>
      </c>
      <c r="H557" s="353" t="n">
        <v>22</v>
      </c>
    </row>
    <row r="558" customFormat="false" ht="14.35" hidden="false" customHeight="false" outlineLevel="0" collapsed="false">
      <c r="A558" s="196" t="s">
        <v>439</v>
      </c>
      <c r="B558" s="196" t="s">
        <v>1330</v>
      </c>
      <c r="C558" s="196" t="s">
        <v>1870</v>
      </c>
      <c r="D558" s="196" t="s">
        <v>93</v>
      </c>
      <c r="E558" s="196" t="n">
        <v>95</v>
      </c>
      <c r="F558" s="353" t="s">
        <v>956</v>
      </c>
      <c r="G558" s="196" t="n">
        <v>104.5</v>
      </c>
      <c r="H558" s="353" t="n">
        <v>95</v>
      </c>
    </row>
    <row r="559" customFormat="false" ht="14.35" hidden="false" customHeight="false" outlineLevel="0" collapsed="false">
      <c r="A559" s="196" t="s">
        <v>440</v>
      </c>
      <c r="B559" s="196" t="s">
        <v>1261</v>
      </c>
      <c r="C559" s="196" t="s">
        <v>1615</v>
      </c>
      <c r="D559" s="196" t="s">
        <v>86</v>
      </c>
      <c r="E559" s="196" t="n">
        <v>40</v>
      </c>
      <c r="F559" s="353" t="s">
        <v>864</v>
      </c>
      <c r="G559" s="196" t="n">
        <v>44</v>
      </c>
      <c r="H559" s="353" t="n">
        <v>40</v>
      </c>
    </row>
    <row r="560" customFormat="false" ht="14.35" hidden="false" customHeight="false" outlineLevel="0" collapsed="false">
      <c r="A560" s="196" t="s">
        <v>441</v>
      </c>
      <c r="B560" s="196" t="s">
        <v>1289</v>
      </c>
      <c r="C560" s="196" t="s">
        <v>1846</v>
      </c>
      <c r="D560" s="196" t="s">
        <v>135</v>
      </c>
      <c r="E560" s="196" t="n">
        <v>60</v>
      </c>
      <c r="F560" s="353" t="s">
        <v>545</v>
      </c>
      <c r="G560" s="196" t="n">
        <v>66</v>
      </c>
      <c r="H560" s="353" t="n">
        <v>60</v>
      </c>
    </row>
    <row r="561" customFormat="false" ht="14.35" hidden="false" customHeight="false" outlineLevel="0" collapsed="false">
      <c r="A561" s="196" t="s">
        <v>442</v>
      </c>
      <c r="B561" s="196" t="s">
        <v>1315</v>
      </c>
      <c r="C561" s="196" t="s">
        <v>1807</v>
      </c>
      <c r="D561" s="196" t="s">
        <v>136</v>
      </c>
      <c r="E561" s="196" t="n">
        <v>55</v>
      </c>
      <c r="F561" s="353" t="s">
        <v>650</v>
      </c>
      <c r="G561" s="196" t="n">
        <v>60.5</v>
      </c>
      <c r="H561" s="353" t="s">
        <v>540</v>
      </c>
    </row>
    <row r="562" customFormat="false" ht="14.35" hidden="false" customHeight="false" outlineLevel="0" collapsed="false">
      <c r="A562" s="196" t="s">
        <v>392</v>
      </c>
      <c r="B562" s="196" t="s">
        <v>994</v>
      </c>
      <c r="C562" s="196" t="s">
        <v>1777</v>
      </c>
      <c r="D562" s="196" t="s">
        <v>114</v>
      </c>
      <c r="E562" s="196" t="n">
        <v>75</v>
      </c>
      <c r="F562" s="353" t="s">
        <v>571</v>
      </c>
      <c r="G562" s="196" t="n">
        <v>82.5</v>
      </c>
      <c r="H562" s="353" t="s">
        <v>887</v>
      </c>
    </row>
    <row r="563" customFormat="false" ht="14.35" hidden="false" customHeight="false" outlineLevel="0" collapsed="false">
      <c r="A563" s="196" t="s">
        <v>392</v>
      </c>
      <c r="B563" s="196" t="s">
        <v>994</v>
      </c>
      <c r="C563" s="196" t="s">
        <v>1742</v>
      </c>
      <c r="D563" s="196" t="s">
        <v>81</v>
      </c>
      <c r="E563" s="196" t="n">
        <v>56</v>
      </c>
      <c r="F563" s="353" t="s">
        <v>574</v>
      </c>
      <c r="G563" s="196" t="n">
        <v>61.6</v>
      </c>
      <c r="H563" s="353" t="s">
        <v>888</v>
      </c>
    </row>
    <row r="564" customFormat="false" ht="14.35" hidden="false" customHeight="false" outlineLevel="0" collapsed="false">
      <c r="A564" s="196" t="s">
        <v>444</v>
      </c>
      <c r="B564" s="196" t="s">
        <v>1242</v>
      </c>
      <c r="C564" s="196" t="s">
        <v>1695</v>
      </c>
      <c r="D564" s="196" t="s">
        <v>121</v>
      </c>
      <c r="E564" s="196" t="n">
        <v>70</v>
      </c>
      <c r="F564" s="353" t="s">
        <v>545</v>
      </c>
      <c r="G564" s="196" t="n">
        <v>77</v>
      </c>
      <c r="H564" s="353" t="n">
        <v>70</v>
      </c>
    </row>
    <row r="565" customFormat="false" ht="14.35" hidden="false" customHeight="false" outlineLevel="0" collapsed="false">
      <c r="A565" s="196" t="s">
        <v>445</v>
      </c>
      <c r="B565" s="196" t="s">
        <v>1220</v>
      </c>
      <c r="C565" s="196" t="s">
        <v>1700</v>
      </c>
      <c r="D565" s="196" t="s">
        <v>177</v>
      </c>
      <c r="E565" s="196" t="n">
        <v>95</v>
      </c>
      <c r="F565" s="353" t="s">
        <v>571</v>
      </c>
      <c r="G565" s="196" t="n">
        <v>104.5</v>
      </c>
      <c r="H565" s="353" t="s">
        <v>856</v>
      </c>
    </row>
    <row r="566" customFormat="false" ht="14.35" hidden="false" customHeight="false" outlineLevel="0" collapsed="false">
      <c r="A566" s="196" t="s">
        <v>446</v>
      </c>
      <c r="B566" s="196" t="s">
        <v>1063</v>
      </c>
      <c r="C566" s="196" t="s">
        <v>1431</v>
      </c>
      <c r="D566" s="196" t="s">
        <v>97</v>
      </c>
      <c r="E566" s="196" t="n">
        <v>32</v>
      </c>
      <c r="F566" s="353" t="s">
        <v>632</v>
      </c>
      <c r="G566" s="196" t="n">
        <v>35.2</v>
      </c>
      <c r="H566" s="353" t="n">
        <v>32</v>
      </c>
    </row>
    <row r="567" customFormat="false" ht="14.35" hidden="false" customHeight="false" outlineLevel="0" collapsed="false">
      <c r="A567" s="196" t="s">
        <v>447</v>
      </c>
      <c r="B567" s="196" t="s">
        <v>1193</v>
      </c>
      <c r="C567" s="196" t="s">
        <v>1586</v>
      </c>
      <c r="D567" s="196" t="s">
        <v>144</v>
      </c>
      <c r="E567" s="196" t="n">
        <v>205</v>
      </c>
      <c r="F567" s="353" t="s">
        <v>889</v>
      </c>
      <c r="G567" s="196" t="n">
        <v>225.5</v>
      </c>
      <c r="H567" s="353" t="s">
        <v>890</v>
      </c>
    </row>
    <row r="568" customFormat="false" ht="14.35" hidden="false" customHeight="false" outlineLevel="0" collapsed="false">
      <c r="A568" s="196" t="s">
        <v>448</v>
      </c>
      <c r="B568" s="196" t="s">
        <v>1323</v>
      </c>
      <c r="C568" s="196" t="s">
        <v>1899</v>
      </c>
      <c r="D568" s="196" t="s">
        <v>63</v>
      </c>
      <c r="E568" s="196" t="n">
        <v>53</v>
      </c>
      <c r="F568" s="353" t="s">
        <v>574</v>
      </c>
      <c r="G568" s="196" t="n">
        <v>58.3</v>
      </c>
      <c r="H568" s="353" t="s">
        <v>891</v>
      </c>
    </row>
    <row r="569" customFormat="false" ht="14.35" hidden="false" customHeight="false" outlineLevel="0" collapsed="false">
      <c r="A569" s="196" t="s">
        <v>449</v>
      </c>
      <c r="B569" s="196" t="s">
        <v>1265</v>
      </c>
      <c r="C569" s="196" t="s">
        <v>1986</v>
      </c>
      <c r="D569" s="196" t="s">
        <v>69</v>
      </c>
      <c r="E569" s="196" t="n">
        <v>23</v>
      </c>
      <c r="F569" s="353" t="n">
        <v>303</v>
      </c>
      <c r="G569" s="196" t="n">
        <v>25.3</v>
      </c>
      <c r="H569" s="353" t="n">
        <v>23</v>
      </c>
    </row>
    <row r="570" customFormat="false" ht="14.35" hidden="false" customHeight="false" outlineLevel="0" collapsed="false">
      <c r="D570" s="196" t="s">
        <v>450</v>
      </c>
      <c r="E570" s="196" t="n">
        <v>1111</v>
      </c>
    </row>
    <row r="571" customFormat="false" ht="14.35" hidden="false" customHeight="false" outlineLevel="0" collapsed="false">
      <c r="A571" s="196" t="s">
        <v>452</v>
      </c>
    </row>
    <row r="572" customFormat="false" ht="14.35" hidden="false" customHeight="false" outlineLevel="0" collapsed="false">
      <c r="A572" s="196" t="s">
        <v>2</v>
      </c>
    </row>
    <row r="573" customFormat="false" ht="14.35" hidden="false" customHeight="false" outlineLevel="0" collapsed="false">
      <c r="A573" s="196" t="s">
        <v>4</v>
      </c>
      <c r="B573" s="196" t="s">
        <v>5</v>
      </c>
      <c r="C573" s="196" t="s">
        <v>6</v>
      </c>
      <c r="D573" s="196" t="s">
        <v>7</v>
      </c>
      <c r="E573" s="196" t="s">
        <v>8</v>
      </c>
      <c r="F573" s="353" t="s">
        <v>9</v>
      </c>
      <c r="G573" s="196" t="s">
        <v>10</v>
      </c>
    </row>
    <row r="574" customFormat="false" ht="14.35" hidden="false" customHeight="false" outlineLevel="0" collapsed="false">
      <c r="A574" s="196" t="s">
        <v>454</v>
      </c>
      <c r="B574" s="196" t="s">
        <v>989</v>
      </c>
      <c r="C574" s="196" t="s">
        <v>1945</v>
      </c>
      <c r="D574" s="196" t="s">
        <v>131</v>
      </c>
      <c r="E574" s="196" t="n">
        <v>128</v>
      </c>
      <c r="F574" s="353" t="s">
        <v>611</v>
      </c>
      <c r="G574" s="196" t="n">
        <v>140.8</v>
      </c>
      <c r="H574" s="353" t="s">
        <v>848</v>
      </c>
    </row>
    <row r="575" customFormat="false" ht="14.35" hidden="false" customHeight="false" outlineLevel="0" collapsed="false">
      <c r="A575" s="196" t="s">
        <v>455</v>
      </c>
      <c r="B575" s="196" t="s">
        <v>1002</v>
      </c>
      <c r="C575" s="196" t="s">
        <v>1386</v>
      </c>
      <c r="D575" s="196" t="s">
        <v>88</v>
      </c>
      <c r="E575" s="196" t="n">
        <v>101</v>
      </c>
      <c r="F575" s="353" t="s">
        <v>859</v>
      </c>
      <c r="G575" s="196" t="n">
        <v>111.1</v>
      </c>
      <c r="H575" s="353" t="s">
        <v>892</v>
      </c>
    </row>
    <row r="576" customFormat="false" ht="14.35" hidden="false" customHeight="false" outlineLevel="0" collapsed="false">
      <c r="A576" s="196" t="s">
        <v>456</v>
      </c>
      <c r="B576" s="196" t="s">
        <v>1257</v>
      </c>
      <c r="C576" s="196" t="s">
        <v>1911</v>
      </c>
      <c r="D576" s="196" t="s">
        <v>42</v>
      </c>
      <c r="E576" s="196" t="n">
        <v>37</v>
      </c>
      <c r="F576" s="353" t="s">
        <v>541</v>
      </c>
      <c r="G576" s="196" t="n">
        <v>40.7</v>
      </c>
      <c r="H576" s="353" t="n">
        <v>37</v>
      </c>
    </row>
    <row r="577" customFormat="false" ht="14.35" hidden="false" customHeight="false" outlineLevel="0" collapsed="false">
      <c r="A577" s="196" t="s">
        <v>458</v>
      </c>
      <c r="B577" s="196" t="s">
        <v>1299</v>
      </c>
      <c r="C577" s="196" t="s">
        <v>1777</v>
      </c>
      <c r="D577" s="196" t="s">
        <v>67</v>
      </c>
      <c r="E577" s="196" t="n">
        <v>80</v>
      </c>
      <c r="F577" s="353" t="s">
        <v>893</v>
      </c>
      <c r="G577" s="196" t="n">
        <v>88</v>
      </c>
      <c r="H577" s="353" t="s">
        <v>692</v>
      </c>
    </row>
    <row r="578" customFormat="false" ht="14.35" hidden="false" customHeight="false" outlineLevel="0" collapsed="false">
      <c r="A578" s="196" t="s">
        <v>459</v>
      </c>
      <c r="B578" s="196" t="s">
        <v>1106</v>
      </c>
      <c r="C578" s="196" t="s">
        <v>1479</v>
      </c>
      <c r="D578" s="196" t="s">
        <v>56</v>
      </c>
      <c r="E578" s="196" t="n">
        <v>250</v>
      </c>
      <c r="F578" s="353" t="s">
        <v>854</v>
      </c>
      <c r="G578" s="196" t="n">
        <v>275</v>
      </c>
      <c r="H578" s="353" t="s">
        <v>894</v>
      </c>
    </row>
    <row r="579" customFormat="false" ht="14.35" hidden="false" customHeight="false" outlineLevel="0" collapsed="false">
      <c r="A579" s="196" t="s">
        <v>472</v>
      </c>
      <c r="B579" s="196" t="s">
        <v>1033</v>
      </c>
      <c r="C579" s="196" t="s">
        <v>1949</v>
      </c>
      <c r="D579" s="196" t="s">
        <v>99</v>
      </c>
      <c r="E579" s="196" t="n">
        <v>61</v>
      </c>
      <c r="F579" s="353" t="s">
        <v>685</v>
      </c>
      <c r="G579" s="196" t="n">
        <v>67.1</v>
      </c>
      <c r="H579" s="353" t="s">
        <v>588</v>
      </c>
    </row>
    <row r="580" customFormat="false" ht="14.35" hidden="false" customHeight="false" outlineLevel="0" collapsed="false">
      <c r="A580" s="196" t="s">
        <v>460</v>
      </c>
      <c r="B580" s="196" t="s">
        <v>1358</v>
      </c>
      <c r="C580" s="196" t="s">
        <v>1925</v>
      </c>
      <c r="D580" s="196" t="s">
        <v>172</v>
      </c>
      <c r="E580" s="196" t="n">
        <v>175</v>
      </c>
      <c r="F580" s="353" t="s">
        <v>954</v>
      </c>
      <c r="G580" s="196" t="n">
        <v>192.5</v>
      </c>
      <c r="H580" s="353" t="s">
        <v>895</v>
      </c>
    </row>
    <row r="581" customFormat="false" ht="14.35" hidden="false" customHeight="false" outlineLevel="0" collapsed="false">
      <c r="A581" s="196" t="s">
        <v>461</v>
      </c>
      <c r="B581" s="196" t="s">
        <v>1098</v>
      </c>
      <c r="C581" s="196" t="s">
        <v>1464</v>
      </c>
      <c r="D581" s="196" t="s">
        <v>75</v>
      </c>
      <c r="E581" s="196" t="n">
        <v>245</v>
      </c>
      <c r="F581" s="353" t="s">
        <v>854</v>
      </c>
      <c r="G581" s="196" t="n">
        <v>269.5</v>
      </c>
      <c r="H581" s="353" t="s">
        <v>547</v>
      </c>
    </row>
    <row r="582" customFormat="false" ht="14.35" hidden="false" customHeight="false" outlineLevel="0" collapsed="false">
      <c r="A582" s="196" t="s">
        <v>461</v>
      </c>
      <c r="B582" s="196" t="s">
        <v>1098</v>
      </c>
      <c r="C582" s="196" t="s">
        <v>1464</v>
      </c>
      <c r="D582" s="196" t="s">
        <v>126</v>
      </c>
      <c r="E582" s="196" t="n">
        <v>125</v>
      </c>
      <c r="F582" s="353" t="s">
        <v>611</v>
      </c>
      <c r="G582" s="196" t="n">
        <v>137.5</v>
      </c>
      <c r="H582" s="353" t="s">
        <v>896</v>
      </c>
    </row>
    <row r="583" customFormat="false" ht="14.35" hidden="false" customHeight="false" outlineLevel="0" collapsed="false">
      <c r="D583" s="196" t="s">
        <v>462</v>
      </c>
      <c r="E583" s="196" t="n">
        <v>1202</v>
      </c>
    </row>
    <row r="584" customFormat="false" ht="14.35" hidden="false" customHeight="false" outlineLevel="0" collapsed="false">
      <c r="A584" s="196" t="s">
        <v>452</v>
      </c>
    </row>
    <row r="585" customFormat="false" ht="14.35" hidden="false" customHeight="false" outlineLevel="0" collapsed="false">
      <c r="A585" s="196" t="s">
        <v>29</v>
      </c>
    </row>
    <row r="586" customFormat="false" ht="14.35" hidden="false" customHeight="false" outlineLevel="0" collapsed="false">
      <c r="A586" s="196" t="s">
        <v>4</v>
      </c>
      <c r="B586" s="196" t="s">
        <v>5</v>
      </c>
      <c r="C586" s="196" t="s">
        <v>6</v>
      </c>
      <c r="D586" s="196" t="s">
        <v>7</v>
      </c>
      <c r="E586" s="196" t="s">
        <v>8</v>
      </c>
      <c r="F586" s="353" t="s">
        <v>9</v>
      </c>
      <c r="G586" s="196" t="s">
        <v>10</v>
      </c>
    </row>
    <row r="587" customFormat="false" ht="14.35" hidden="false" customHeight="false" outlineLevel="0" collapsed="false">
      <c r="A587" s="196" t="s">
        <v>464</v>
      </c>
      <c r="B587" s="196" t="s">
        <v>1192</v>
      </c>
      <c r="C587" s="196" t="s">
        <v>1604</v>
      </c>
      <c r="D587" s="196" t="s">
        <v>119</v>
      </c>
      <c r="E587" s="196" t="n">
        <v>140</v>
      </c>
      <c r="F587" s="353" t="s">
        <v>897</v>
      </c>
      <c r="G587" s="196" t="n">
        <v>154</v>
      </c>
      <c r="H587" s="353" t="s">
        <v>898</v>
      </c>
    </row>
    <row r="588" customFormat="false" ht="14.35" hidden="false" customHeight="false" outlineLevel="0" collapsed="false">
      <c r="A588" s="196" t="s">
        <v>308</v>
      </c>
      <c r="B588" s="196" t="s">
        <v>1190</v>
      </c>
      <c r="C588" s="196" t="s">
        <v>1920</v>
      </c>
      <c r="D588" s="196" t="s">
        <v>71</v>
      </c>
      <c r="E588" s="196" t="n">
        <v>170</v>
      </c>
      <c r="F588" s="353" t="s">
        <v>706</v>
      </c>
      <c r="G588" s="196" t="n">
        <v>187</v>
      </c>
      <c r="H588" s="353" t="s">
        <v>899</v>
      </c>
    </row>
    <row r="589" customFormat="false" ht="14.35" hidden="false" customHeight="false" outlineLevel="0" collapsed="false">
      <c r="A589" s="196" t="s">
        <v>466</v>
      </c>
      <c r="B589" s="196" t="s">
        <v>1022</v>
      </c>
      <c r="C589" s="196" t="s">
        <v>1737</v>
      </c>
      <c r="D589" s="196" t="s">
        <v>36</v>
      </c>
      <c r="E589" s="196" t="n">
        <v>75</v>
      </c>
      <c r="F589" s="353" t="s">
        <v>571</v>
      </c>
      <c r="G589" s="196" t="n">
        <v>82.5</v>
      </c>
      <c r="H589" s="353" t="s">
        <v>606</v>
      </c>
    </row>
    <row r="590" customFormat="false" ht="14.35" hidden="false" customHeight="false" outlineLevel="0" collapsed="false">
      <c r="A590" s="196" t="s">
        <v>467</v>
      </c>
      <c r="B590" s="196" t="s">
        <v>1335</v>
      </c>
      <c r="C590" s="196" t="s">
        <v>1872</v>
      </c>
      <c r="D590" s="196" t="s">
        <v>18</v>
      </c>
      <c r="E590" s="196" t="n">
        <v>80</v>
      </c>
      <c r="F590" s="353" t="s">
        <v>571</v>
      </c>
      <c r="G590" s="196" t="n">
        <v>88</v>
      </c>
      <c r="H590" s="353" t="s">
        <v>692</v>
      </c>
    </row>
    <row r="591" customFormat="false" ht="14.35" hidden="false" customHeight="false" outlineLevel="0" collapsed="false">
      <c r="A591" s="196" t="s">
        <v>475</v>
      </c>
      <c r="B591" s="196" t="s">
        <v>1224</v>
      </c>
      <c r="C591" s="196" t="s">
        <v>1652</v>
      </c>
      <c r="D591" s="196" t="s">
        <v>170</v>
      </c>
      <c r="E591" s="196" t="n">
        <v>132</v>
      </c>
      <c r="F591" s="353" t="s">
        <v>897</v>
      </c>
      <c r="G591" s="196" t="n">
        <v>145.2</v>
      </c>
      <c r="H591" s="353" t="s">
        <v>900</v>
      </c>
    </row>
    <row r="592" customFormat="false" ht="14.35" hidden="false" customHeight="false" outlineLevel="0" collapsed="false">
      <c r="A592" s="196" t="s">
        <v>281</v>
      </c>
      <c r="B592" s="196" t="s">
        <v>998</v>
      </c>
      <c r="C592" s="196" t="s">
        <v>1975</v>
      </c>
      <c r="D592" s="196" t="s">
        <v>25</v>
      </c>
      <c r="E592" s="196" t="n">
        <v>340</v>
      </c>
      <c r="F592" s="353" t="s">
        <v>901</v>
      </c>
      <c r="G592" s="196" t="n">
        <v>374</v>
      </c>
      <c r="H592" s="353" t="s">
        <v>902</v>
      </c>
    </row>
    <row r="593" customFormat="false" ht="14.35" hidden="false" customHeight="false" outlineLevel="0" collapsed="false">
      <c r="A593" s="196" t="s">
        <v>281</v>
      </c>
      <c r="B593" s="196" t="s">
        <v>1136</v>
      </c>
      <c r="C593" s="196" t="s">
        <v>1967</v>
      </c>
      <c r="D593" s="196" t="s">
        <v>13</v>
      </c>
      <c r="E593" s="196" t="n">
        <v>160</v>
      </c>
      <c r="F593" s="353" t="s">
        <v>747</v>
      </c>
      <c r="G593" s="196" t="n">
        <v>176</v>
      </c>
      <c r="H593" s="353" t="s">
        <v>903</v>
      </c>
    </row>
    <row r="594" customFormat="false" ht="14.35" hidden="false" customHeight="false" outlineLevel="0" collapsed="false">
      <c r="D594" s="196" t="s">
        <v>470</v>
      </c>
      <c r="E594" s="196" t="n">
        <v>1097</v>
      </c>
    </row>
    <row r="595" customFormat="false" ht="14.35" hidden="false" customHeight="false" outlineLevel="0" collapsed="false">
      <c r="A595" s="196" t="s">
        <v>452</v>
      </c>
    </row>
    <row r="596" customFormat="false" ht="14.35" hidden="false" customHeight="false" outlineLevel="0" collapsed="false">
      <c r="A596" s="196" t="s">
        <v>59</v>
      </c>
    </row>
    <row r="597" customFormat="false" ht="14.35" hidden="false" customHeight="false" outlineLevel="0" collapsed="false">
      <c r="A597" s="196" t="s">
        <v>4</v>
      </c>
      <c r="B597" s="196" t="s">
        <v>5</v>
      </c>
      <c r="C597" s="196" t="s">
        <v>6</v>
      </c>
      <c r="D597" s="196" t="s">
        <v>7</v>
      </c>
      <c r="E597" s="196" t="s">
        <v>8</v>
      </c>
      <c r="F597" s="353" t="s">
        <v>9</v>
      </c>
      <c r="G597" s="196" t="s">
        <v>10</v>
      </c>
    </row>
    <row r="598" customFormat="false" ht="14.35" hidden="false" customHeight="false" outlineLevel="0" collapsed="false">
      <c r="A598" s="196" t="s">
        <v>471</v>
      </c>
      <c r="B598" s="196" t="s">
        <v>1235</v>
      </c>
      <c r="C598" s="196" t="s">
        <v>1664</v>
      </c>
      <c r="D598" s="196" t="s">
        <v>194</v>
      </c>
      <c r="E598" s="196" t="n">
        <v>93</v>
      </c>
      <c r="F598" s="353" t="s">
        <v>571</v>
      </c>
      <c r="G598" s="196" t="n">
        <v>102.3</v>
      </c>
      <c r="H598" s="353" t="s">
        <v>904</v>
      </c>
    </row>
    <row r="599" customFormat="false" ht="14.35" hidden="false" customHeight="false" outlineLevel="0" collapsed="false">
      <c r="A599" s="196" t="s">
        <v>473</v>
      </c>
      <c r="B599" s="196" t="s">
        <v>995</v>
      </c>
      <c r="C599" s="196" t="s">
        <v>1947</v>
      </c>
      <c r="D599" s="196" t="s">
        <v>61</v>
      </c>
      <c r="E599" s="196" t="n">
        <v>222</v>
      </c>
      <c r="F599" s="353" t="s">
        <v>687</v>
      </c>
      <c r="G599" s="196" t="n">
        <v>244.2</v>
      </c>
      <c r="H599" s="353" t="s">
        <v>905</v>
      </c>
    </row>
    <row r="600" customFormat="false" ht="14.35" hidden="false" customHeight="false" outlineLevel="0" collapsed="false">
      <c r="A600" s="196" t="s">
        <v>473</v>
      </c>
      <c r="B600" s="196" t="s">
        <v>995</v>
      </c>
      <c r="C600" s="196" t="s">
        <v>1947</v>
      </c>
      <c r="D600" s="196" t="s">
        <v>53</v>
      </c>
      <c r="E600" s="196" t="n">
        <v>155</v>
      </c>
      <c r="F600" s="353" t="s">
        <v>693</v>
      </c>
      <c r="G600" s="196" t="n">
        <v>170.5</v>
      </c>
      <c r="H600" s="353" t="s">
        <v>906</v>
      </c>
    </row>
    <row r="601" customFormat="false" ht="14.35" hidden="false" customHeight="false" outlineLevel="0" collapsed="false">
      <c r="A601" s="196" t="s">
        <v>474</v>
      </c>
      <c r="B601" s="196" t="s">
        <v>1152</v>
      </c>
      <c r="C601" s="196" t="s">
        <v>1611</v>
      </c>
      <c r="D601" s="196" t="s">
        <v>20</v>
      </c>
      <c r="E601" s="196" t="n">
        <v>262</v>
      </c>
      <c r="F601" s="353" t="s">
        <v>954</v>
      </c>
      <c r="G601" s="196" t="n">
        <v>288.2</v>
      </c>
      <c r="H601" s="353" t="s">
        <v>534</v>
      </c>
    </row>
    <row r="602" customFormat="false" ht="14.35" hidden="false" customHeight="false" outlineLevel="0" collapsed="false">
      <c r="A602" s="196" t="s">
        <v>476</v>
      </c>
      <c r="B602" s="196" t="s">
        <v>1139</v>
      </c>
      <c r="C602" s="196" t="s">
        <v>1530</v>
      </c>
      <c r="D602" s="196" t="s">
        <v>73</v>
      </c>
      <c r="E602" s="196" t="n">
        <v>105</v>
      </c>
      <c r="F602" s="353" t="s">
        <v>859</v>
      </c>
      <c r="G602" s="196" t="n">
        <v>115.5</v>
      </c>
      <c r="H602" s="353" t="s">
        <v>907</v>
      </c>
    </row>
    <row r="603" customFormat="false" ht="14.35" hidden="false" customHeight="false" outlineLevel="0" collapsed="false">
      <c r="A603" s="196" t="s">
        <v>469</v>
      </c>
      <c r="B603" s="196" t="s">
        <v>1119</v>
      </c>
      <c r="C603" s="196" t="s">
        <v>1962</v>
      </c>
      <c r="D603" s="196" t="s">
        <v>103</v>
      </c>
      <c r="E603" s="196" t="n">
        <v>95</v>
      </c>
      <c r="F603" s="353" t="s">
        <v>659</v>
      </c>
      <c r="G603" s="196" t="n">
        <v>104.5</v>
      </c>
      <c r="H603" s="353" t="s">
        <v>908</v>
      </c>
    </row>
    <row r="604" customFormat="false" ht="14.35" hidden="false" customHeight="false" outlineLevel="0" collapsed="false">
      <c r="A604" s="196" t="s">
        <v>525</v>
      </c>
      <c r="B604" s="196" t="s">
        <v>1145</v>
      </c>
      <c r="C604" s="196" t="s">
        <v>1535</v>
      </c>
      <c r="D604" s="196" t="s">
        <v>48</v>
      </c>
      <c r="E604" s="196" t="n">
        <v>114</v>
      </c>
      <c r="F604" s="353" t="s">
        <v>909</v>
      </c>
      <c r="G604" s="196" t="n">
        <v>125.4</v>
      </c>
      <c r="H604" s="353" t="s">
        <v>910</v>
      </c>
    </row>
    <row r="605" customFormat="false" ht="14.35" hidden="false" customHeight="false" outlineLevel="0" collapsed="false">
      <c r="A605" s="196" t="s">
        <v>525</v>
      </c>
      <c r="B605" s="196" t="s">
        <v>1145</v>
      </c>
      <c r="C605" s="196" t="s">
        <v>1516</v>
      </c>
      <c r="D605" s="196" t="s">
        <v>44</v>
      </c>
      <c r="E605" s="196" t="n">
        <v>55</v>
      </c>
      <c r="F605" s="353" t="s">
        <v>541</v>
      </c>
      <c r="G605" s="196" t="n">
        <v>60.5</v>
      </c>
      <c r="H605" s="353" t="n">
        <v>55</v>
      </c>
    </row>
    <row r="606" customFormat="false" ht="14.35" hidden="false" customHeight="false" outlineLevel="0" collapsed="false">
      <c r="A606" s="196" t="s">
        <v>477</v>
      </c>
      <c r="B606" s="196" t="s">
        <v>1013</v>
      </c>
      <c r="C606" s="196" t="s">
        <v>1402</v>
      </c>
      <c r="D606" s="196" t="s">
        <v>50</v>
      </c>
      <c r="E606" s="196" t="n">
        <v>103</v>
      </c>
      <c r="F606" s="353" t="s">
        <v>665</v>
      </c>
      <c r="G606" s="196" t="n">
        <v>113.3</v>
      </c>
      <c r="H606" s="353" t="s">
        <v>911</v>
      </c>
    </row>
    <row r="607" customFormat="false" ht="14.35" hidden="false" customHeight="false" outlineLevel="0" collapsed="false">
      <c r="D607" s="196" t="s">
        <v>478</v>
      </c>
      <c r="E607" s="196" t="n">
        <v>1204</v>
      </c>
    </row>
    <row r="608" customFormat="false" ht="14.35" hidden="false" customHeight="false" outlineLevel="0" collapsed="false">
      <c r="A608" s="196" t="s">
        <v>480</v>
      </c>
    </row>
    <row r="609" customFormat="false" ht="14.35" hidden="false" customHeight="false" outlineLevel="0" collapsed="false">
      <c r="A609" s="196" t="s">
        <v>2</v>
      </c>
    </row>
    <row r="610" customFormat="false" ht="14.35" hidden="false" customHeight="false" outlineLevel="0" collapsed="false">
      <c r="A610" s="196" t="s">
        <v>4</v>
      </c>
      <c r="B610" s="196" t="s">
        <v>5</v>
      </c>
      <c r="C610" s="196" t="s">
        <v>6</v>
      </c>
      <c r="D610" s="196" t="s">
        <v>7</v>
      </c>
      <c r="E610" s="196" t="s">
        <v>8</v>
      </c>
      <c r="F610" s="353" t="s">
        <v>9</v>
      </c>
      <c r="G610" s="196" t="s">
        <v>10</v>
      </c>
    </row>
    <row r="611" customFormat="false" ht="14.35" hidden="false" customHeight="false" outlineLevel="0" collapsed="false">
      <c r="A611" s="196" t="s">
        <v>482</v>
      </c>
      <c r="B611" s="196" t="s">
        <v>1241</v>
      </c>
      <c r="C611" s="196" t="s">
        <v>1793</v>
      </c>
      <c r="D611" s="196" t="s">
        <v>121</v>
      </c>
      <c r="E611" s="196" t="n">
        <v>70</v>
      </c>
      <c r="F611" s="353" t="s">
        <v>603</v>
      </c>
      <c r="G611" s="196" t="n">
        <v>77</v>
      </c>
      <c r="H611" s="353" t="s">
        <v>912</v>
      </c>
    </row>
    <row r="612" customFormat="false" ht="14.35" hidden="false" customHeight="false" outlineLevel="0" collapsed="false">
      <c r="A612" s="196" t="s">
        <v>483</v>
      </c>
      <c r="B612" s="196" t="s">
        <v>1016</v>
      </c>
      <c r="C612" s="196" t="s">
        <v>1406</v>
      </c>
      <c r="D612" s="196" t="s">
        <v>191</v>
      </c>
      <c r="E612" s="196" t="n">
        <v>70</v>
      </c>
      <c r="F612" s="353" t="s">
        <v>571</v>
      </c>
      <c r="G612" s="196" t="n">
        <v>77</v>
      </c>
      <c r="H612" s="353" t="s">
        <v>912</v>
      </c>
    </row>
    <row r="613" customFormat="false" ht="14.35" hidden="false" customHeight="false" outlineLevel="0" collapsed="false">
      <c r="A613" s="196" t="s">
        <v>484</v>
      </c>
      <c r="B613" s="196" t="s">
        <v>1237</v>
      </c>
      <c r="C613" s="196" t="s">
        <v>1406</v>
      </c>
      <c r="D613" s="196" t="s">
        <v>111</v>
      </c>
      <c r="E613" s="196" t="n">
        <v>83</v>
      </c>
      <c r="F613" s="353" t="s">
        <v>850</v>
      </c>
      <c r="G613" s="196" t="n">
        <v>91.3</v>
      </c>
      <c r="H613" s="353" t="s">
        <v>913</v>
      </c>
    </row>
    <row r="614" customFormat="false" ht="14.35" hidden="false" customHeight="false" outlineLevel="0" collapsed="false">
      <c r="A614" s="196" t="s">
        <v>485</v>
      </c>
      <c r="B614" s="196" t="s">
        <v>1252</v>
      </c>
      <c r="C614" s="196" t="s">
        <v>1406</v>
      </c>
      <c r="D614" s="196" t="s">
        <v>112</v>
      </c>
      <c r="E614" s="196" t="n">
        <v>46</v>
      </c>
      <c r="F614" s="353" t="s">
        <v>622</v>
      </c>
      <c r="G614" s="196" t="n">
        <v>50.6</v>
      </c>
      <c r="H614" s="353" t="s">
        <v>914</v>
      </c>
    </row>
    <row r="615" customFormat="false" ht="14.35" hidden="false" customHeight="false" outlineLevel="0" collapsed="false">
      <c r="A615" s="196" t="s">
        <v>486</v>
      </c>
      <c r="B615" s="196" t="s">
        <v>1043</v>
      </c>
      <c r="C615" s="196" t="s">
        <v>1406</v>
      </c>
      <c r="D615" s="196" t="s">
        <v>161</v>
      </c>
      <c r="E615" s="196" t="n">
        <v>225</v>
      </c>
      <c r="F615" s="353" t="s">
        <v>687</v>
      </c>
      <c r="G615" s="196" t="n">
        <v>247.5</v>
      </c>
      <c r="H615" s="353" t="s">
        <v>876</v>
      </c>
    </row>
    <row r="616" customFormat="false" ht="14.35" hidden="false" customHeight="false" outlineLevel="0" collapsed="false">
      <c r="A616" s="196" t="s">
        <v>486</v>
      </c>
      <c r="B616" s="196" t="s">
        <v>1043</v>
      </c>
      <c r="C616" s="196" t="s">
        <v>1406</v>
      </c>
      <c r="D616" s="196" t="s">
        <v>162</v>
      </c>
      <c r="E616" s="196" t="n">
        <v>85</v>
      </c>
      <c r="F616" s="353" t="s">
        <v>850</v>
      </c>
      <c r="G616" s="196" t="n">
        <v>93.5</v>
      </c>
      <c r="H616" s="353" t="s">
        <v>851</v>
      </c>
    </row>
    <row r="617" customFormat="false" ht="14.35" hidden="false" customHeight="false" outlineLevel="0" collapsed="false">
      <c r="A617" s="196" t="s">
        <v>488</v>
      </c>
      <c r="B617" s="196" t="s">
        <v>1127</v>
      </c>
      <c r="C617" s="196" t="s">
        <v>1512</v>
      </c>
      <c r="D617" s="196" t="s">
        <v>82</v>
      </c>
      <c r="E617" s="196" t="n">
        <v>130</v>
      </c>
      <c r="F617" s="353" t="s">
        <v>533</v>
      </c>
      <c r="G617" s="196" t="n">
        <v>143</v>
      </c>
      <c r="H617" s="353" t="s">
        <v>858</v>
      </c>
    </row>
    <row r="618" customFormat="false" ht="14.35" hidden="false" customHeight="false" outlineLevel="0" collapsed="false">
      <c r="A618" s="196" t="s">
        <v>302</v>
      </c>
      <c r="B618" s="196" t="s">
        <v>1127</v>
      </c>
      <c r="C618" s="196" t="s">
        <v>1512</v>
      </c>
      <c r="D618" s="196" t="s">
        <v>81</v>
      </c>
      <c r="E618" s="196" t="n">
        <v>56</v>
      </c>
      <c r="F618" s="353" t="s">
        <v>915</v>
      </c>
      <c r="G618" s="196" t="n">
        <v>61.6</v>
      </c>
      <c r="H618" s="353" t="s">
        <v>916</v>
      </c>
    </row>
    <row r="619" customFormat="false" ht="14.35" hidden="false" customHeight="false" outlineLevel="0" collapsed="false">
      <c r="A619" s="196" t="s">
        <v>489</v>
      </c>
      <c r="B619" s="196" t="s">
        <v>1107</v>
      </c>
      <c r="C619" s="196" t="s">
        <v>1650</v>
      </c>
      <c r="D619" s="196" t="s">
        <v>56</v>
      </c>
      <c r="E619" s="196" t="n">
        <v>250</v>
      </c>
      <c r="F619" s="353" t="s">
        <v>854</v>
      </c>
      <c r="G619" s="196" t="n">
        <v>275</v>
      </c>
      <c r="H619" s="353" t="s">
        <v>894</v>
      </c>
    </row>
    <row r="620" customFormat="false" ht="14.35" hidden="false" customHeight="false" outlineLevel="0" collapsed="false">
      <c r="A620" s="196" t="s">
        <v>489</v>
      </c>
      <c r="B620" s="196" t="s">
        <v>1107</v>
      </c>
      <c r="C620" s="196" t="s">
        <v>1650</v>
      </c>
      <c r="D620" s="196" t="s">
        <v>55</v>
      </c>
      <c r="E620" s="196" t="n">
        <v>150</v>
      </c>
      <c r="F620" s="353" t="s">
        <v>533</v>
      </c>
      <c r="G620" s="196" t="n">
        <v>165</v>
      </c>
      <c r="H620" s="353" t="s">
        <v>681</v>
      </c>
    </row>
    <row r="621" customFormat="false" ht="14.35" hidden="false" customHeight="false" outlineLevel="0" collapsed="false">
      <c r="D621" s="196" t="s">
        <v>490</v>
      </c>
      <c r="E621" s="196" t="n">
        <v>1165</v>
      </c>
    </row>
    <row r="624" customFormat="false" ht="14.35" hidden="false" customHeight="false" outlineLevel="0" collapsed="false">
      <c r="A624" s="196" t="s">
        <v>480</v>
      </c>
    </row>
    <row r="625" customFormat="false" ht="14.35" hidden="false" customHeight="false" outlineLevel="0" collapsed="false">
      <c r="A625" s="196" t="s">
        <v>29</v>
      </c>
    </row>
    <row r="626" customFormat="false" ht="14.35" hidden="false" customHeight="false" outlineLevel="0" collapsed="false">
      <c r="A626" s="196" t="s">
        <v>4</v>
      </c>
      <c r="B626" s="196" t="s">
        <v>5</v>
      </c>
      <c r="C626" s="196" t="s">
        <v>6</v>
      </c>
      <c r="D626" s="196" t="s">
        <v>7</v>
      </c>
      <c r="E626" s="196" t="s">
        <v>8</v>
      </c>
      <c r="F626" s="353" t="s">
        <v>9</v>
      </c>
      <c r="G626" s="196" t="s">
        <v>10</v>
      </c>
    </row>
    <row r="627" customFormat="false" ht="14.35" hidden="false" customHeight="false" outlineLevel="0" collapsed="false">
      <c r="A627" s="196" t="s">
        <v>492</v>
      </c>
      <c r="B627" s="196" t="s">
        <v>1357</v>
      </c>
      <c r="C627" s="196" t="s">
        <v>1917</v>
      </c>
      <c r="D627" s="196" t="s">
        <v>91</v>
      </c>
      <c r="E627" s="196" t="n">
        <v>130</v>
      </c>
      <c r="F627" s="353" t="s">
        <v>954</v>
      </c>
      <c r="G627" s="196" t="n">
        <v>143</v>
      </c>
      <c r="H627" s="353" t="s">
        <v>917</v>
      </c>
    </row>
    <row r="628" customFormat="false" ht="14.35" hidden="false" customHeight="false" outlineLevel="0" collapsed="false">
      <c r="A628" s="196" t="s">
        <v>493</v>
      </c>
      <c r="B628" s="196" t="s">
        <v>1046</v>
      </c>
      <c r="C628" s="196" t="s">
        <v>1425</v>
      </c>
      <c r="D628" s="196" t="s">
        <v>40</v>
      </c>
      <c r="E628" s="196" t="n">
        <v>82</v>
      </c>
      <c r="F628" s="353" t="s">
        <v>956</v>
      </c>
      <c r="G628" s="196" t="n">
        <v>90.2</v>
      </c>
      <c r="H628" s="353" t="n">
        <v>82</v>
      </c>
    </row>
    <row r="629" customFormat="false" ht="14.35" hidden="false" customHeight="false" outlineLevel="0" collapsed="false">
      <c r="A629" s="196" t="s">
        <v>494</v>
      </c>
      <c r="B629" s="196" t="s">
        <v>1332</v>
      </c>
      <c r="C629" s="196" t="s">
        <v>1996</v>
      </c>
      <c r="D629" s="196" t="s">
        <v>93</v>
      </c>
      <c r="E629" s="196" t="n">
        <v>95</v>
      </c>
      <c r="F629" s="353" t="s">
        <v>571</v>
      </c>
      <c r="G629" s="196" t="n">
        <v>104.5</v>
      </c>
      <c r="H629" s="353" t="s">
        <v>856</v>
      </c>
    </row>
    <row r="630" customFormat="false" ht="14.35" hidden="false" customHeight="false" outlineLevel="0" collapsed="false">
      <c r="A630" s="196" t="s">
        <v>496</v>
      </c>
      <c r="B630" s="196" t="s">
        <v>1320</v>
      </c>
      <c r="C630" s="196" t="s">
        <v>1995</v>
      </c>
      <c r="D630" s="196" t="s">
        <v>63</v>
      </c>
      <c r="E630" s="196" t="n">
        <v>53</v>
      </c>
      <c r="F630" s="353" t="s">
        <v>541</v>
      </c>
      <c r="G630" s="196" t="n">
        <v>58.3</v>
      </c>
      <c r="H630" s="353" t="n">
        <v>53</v>
      </c>
    </row>
    <row r="631" customFormat="false" ht="14.35" hidden="false" customHeight="false" outlineLevel="0" collapsed="false">
      <c r="A631" s="196" t="s">
        <v>497</v>
      </c>
      <c r="B631" s="196" t="s">
        <v>1208</v>
      </c>
      <c r="C631" s="196" t="s">
        <v>1680</v>
      </c>
      <c r="D631" s="196" t="s">
        <v>154</v>
      </c>
      <c r="E631" s="196" t="n">
        <v>154</v>
      </c>
      <c r="F631" s="353" t="s">
        <v>693</v>
      </c>
      <c r="G631" s="196" t="n">
        <v>169.4</v>
      </c>
      <c r="H631" s="353" t="s">
        <v>918</v>
      </c>
    </row>
    <row r="632" customFormat="false" ht="14.35" hidden="false" customHeight="false" outlineLevel="0" collapsed="false">
      <c r="A632" s="196" t="s">
        <v>498</v>
      </c>
      <c r="B632" s="196" t="s">
        <v>1006</v>
      </c>
      <c r="C632" s="196" t="s">
        <v>1394</v>
      </c>
      <c r="D632" s="196" t="s">
        <v>88</v>
      </c>
      <c r="E632" s="196" t="n">
        <v>101</v>
      </c>
      <c r="F632" s="353" t="s">
        <v>582</v>
      </c>
      <c r="G632" s="196" t="n">
        <v>111.1</v>
      </c>
      <c r="H632" s="353" t="s">
        <v>737</v>
      </c>
    </row>
    <row r="633" customFormat="false" ht="14.35" hidden="false" customHeight="false" outlineLevel="0" collapsed="false">
      <c r="A633" s="196" t="s">
        <v>499</v>
      </c>
      <c r="B633" s="196" t="s">
        <v>1282</v>
      </c>
      <c r="C633" s="196" t="s">
        <v>1837</v>
      </c>
      <c r="D633" s="196" t="s">
        <v>142</v>
      </c>
      <c r="E633" s="196" t="n">
        <v>87</v>
      </c>
      <c r="F633" s="353" t="s">
        <v>919</v>
      </c>
      <c r="G633" s="196" t="n">
        <v>95.7</v>
      </c>
      <c r="H633" s="353" t="s">
        <v>920</v>
      </c>
    </row>
    <row r="634" customFormat="false" ht="14.35" hidden="false" customHeight="false" outlineLevel="0" collapsed="false">
      <c r="A634" s="196" t="s">
        <v>499</v>
      </c>
      <c r="B634" s="196" t="s">
        <v>1282</v>
      </c>
      <c r="C634" s="196" t="s">
        <v>1837</v>
      </c>
      <c r="D634" s="196" t="s">
        <v>140</v>
      </c>
      <c r="E634" s="196" t="n">
        <v>85</v>
      </c>
      <c r="F634" s="353" t="s">
        <v>921</v>
      </c>
      <c r="G634" s="196" t="n">
        <v>93.5</v>
      </c>
      <c r="H634" s="353" t="s">
        <v>922</v>
      </c>
    </row>
    <row r="635" customFormat="false" ht="14.35" hidden="false" customHeight="false" outlineLevel="0" collapsed="false">
      <c r="A635" s="196" t="s">
        <v>511</v>
      </c>
      <c r="B635" s="196" t="s">
        <v>1990</v>
      </c>
      <c r="C635" s="196" t="s">
        <v>1842</v>
      </c>
      <c r="D635" s="196" t="s">
        <v>210</v>
      </c>
      <c r="E635" s="196" t="n">
        <v>83</v>
      </c>
      <c r="F635" s="353" t="s">
        <v>567</v>
      </c>
      <c r="G635" s="196" t="n">
        <v>91.3</v>
      </c>
      <c r="H635" s="353" t="s">
        <v>923</v>
      </c>
    </row>
    <row r="636" customFormat="false" ht="14.35" hidden="false" customHeight="false" outlineLevel="0" collapsed="false">
      <c r="A636" s="196" t="s">
        <v>509</v>
      </c>
      <c r="B636" s="196" t="s">
        <v>1219</v>
      </c>
      <c r="C636" s="196" t="s">
        <v>1997</v>
      </c>
      <c r="D636" s="196" t="s">
        <v>18</v>
      </c>
      <c r="E636" s="196" t="n">
        <v>80</v>
      </c>
      <c r="F636" s="353" t="s">
        <v>685</v>
      </c>
      <c r="G636" s="196" t="n">
        <v>88</v>
      </c>
      <c r="H636" s="353" t="s">
        <v>561</v>
      </c>
    </row>
    <row r="637" customFormat="false" ht="14.35" hidden="false" customHeight="false" outlineLevel="0" collapsed="false">
      <c r="A637" s="196" t="s">
        <v>487</v>
      </c>
      <c r="B637" s="196" t="s">
        <v>1307</v>
      </c>
      <c r="C637" s="196" t="s">
        <v>1802</v>
      </c>
      <c r="D637" s="196" t="s">
        <v>101</v>
      </c>
      <c r="E637" s="196" t="n">
        <v>57</v>
      </c>
      <c r="F637" s="353" t="s">
        <v>924</v>
      </c>
      <c r="G637" s="196" t="n">
        <v>62.7</v>
      </c>
      <c r="H637" s="353" t="s">
        <v>925</v>
      </c>
    </row>
    <row r="638" customFormat="false" ht="14.35" hidden="false" customHeight="false" outlineLevel="0" collapsed="false">
      <c r="A638" s="196" t="s">
        <v>500</v>
      </c>
      <c r="B638" s="196" t="s">
        <v>1270</v>
      </c>
      <c r="C638" s="196" t="s">
        <v>1802</v>
      </c>
      <c r="D638" s="196" t="s">
        <v>114</v>
      </c>
      <c r="E638" s="196" t="n">
        <v>75</v>
      </c>
      <c r="F638" s="353" t="s">
        <v>926</v>
      </c>
      <c r="G638" s="196" t="n">
        <v>82.5</v>
      </c>
      <c r="H638" s="353" t="s">
        <v>927</v>
      </c>
    </row>
    <row r="639" customFormat="false" ht="14.35" hidden="false" customHeight="false" outlineLevel="0" collapsed="false">
      <c r="A639" s="196" t="s">
        <v>500</v>
      </c>
      <c r="B639" s="196" t="s">
        <v>1270</v>
      </c>
      <c r="C639" s="196" t="s">
        <v>1802</v>
      </c>
      <c r="D639" s="196" t="s">
        <v>115</v>
      </c>
      <c r="E639" s="196" t="n">
        <v>100</v>
      </c>
      <c r="F639" s="353" t="s">
        <v>928</v>
      </c>
      <c r="G639" s="196" t="n">
        <v>110</v>
      </c>
      <c r="H639" s="353" t="s">
        <v>929</v>
      </c>
    </row>
    <row r="640" customFormat="false" ht="14.35" hidden="false" customHeight="false" outlineLevel="0" collapsed="false">
      <c r="D640" s="196" t="s">
        <v>501</v>
      </c>
      <c r="E640" s="196" t="n">
        <v>1182</v>
      </c>
    </row>
    <row r="642" customFormat="false" ht="14.35" hidden="false" customHeight="false" outlineLevel="0" collapsed="false">
      <c r="A642" s="196" t="s">
        <v>480</v>
      </c>
    </row>
    <row r="643" customFormat="false" ht="14.35" hidden="false" customHeight="false" outlineLevel="0" collapsed="false">
      <c r="A643" s="196" t="s">
        <v>59</v>
      </c>
    </row>
    <row r="644" customFormat="false" ht="14.35" hidden="false" customHeight="false" outlineLevel="0" collapsed="false">
      <c r="A644" s="196" t="s">
        <v>4</v>
      </c>
      <c r="B644" s="196" t="s">
        <v>5</v>
      </c>
      <c r="C644" s="196" t="s">
        <v>6</v>
      </c>
      <c r="D644" s="196" t="s">
        <v>7</v>
      </c>
      <c r="E644" s="196" t="s">
        <v>8</v>
      </c>
      <c r="F644" s="353" t="s">
        <v>9</v>
      </c>
      <c r="G644" s="196" t="s">
        <v>10</v>
      </c>
    </row>
    <row r="645" customFormat="false" ht="14.35" hidden="false" customHeight="false" outlineLevel="0" collapsed="false">
      <c r="A645" s="196" t="s">
        <v>502</v>
      </c>
      <c r="B645" s="196" t="s">
        <v>1346</v>
      </c>
      <c r="C645" s="196" t="s">
        <v>1866</v>
      </c>
      <c r="D645" s="196" t="s">
        <v>46</v>
      </c>
      <c r="E645" s="196" t="n">
        <v>99</v>
      </c>
      <c r="F645" s="353" t="s">
        <v>582</v>
      </c>
      <c r="G645" s="196" t="n">
        <v>108.9</v>
      </c>
      <c r="H645" s="353" t="s">
        <v>930</v>
      </c>
    </row>
    <row r="646" customFormat="false" ht="14.35" hidden="false" customHeight="false" outlineLevel="0" collapsed="false">
      <c r="A646" s="196" t="s">
        <v>503</v>
      </c>
      <c r="B646" s="196" t="s">
        <v>1090</v>
      </c>
      <c r="C646" s="196" t="s">
        <v>1453</v>
      </c>
      <c r="D646" s="196" t="s">
        <v>65</v>
      </c>
      <c r="E646" s="196" t="n">
        <v>90</v>
      </c>
      <c r="F646" s="353" t="s">
        <v>919</v>
      </c>
      <c r="G646" s="196" t="n">
        <v>99</v>
      </c>
      <c r="H646" s="353" t="s">
        <v>931</v>
      </c>
    </row>
    <row r="647" customFormat="false" ht="14.35" hidden="false" customHeight="false" outlineLevel="0" collapsed="false">
      <c r="A647" s="196" t="s">
        <v>504</v>
      </c>
      <c r="B647" s="196" t="s">
        <v>1195</v>
      </c>
      <c r="C647" s="196" t="s">
        <v>1584</v>
      </c>
      <c r="D647" s="196" t="s">
        <v>144</v>
      </c>
      <c r="E647" s="196" t="n">
        <v>15</v>
      </c>
      <c r="F647" s="353" t="s">
        <v>932</v>
      </c>
      <c r="G647" s="196" t="n">
        <v>16.5</v>
      </c>
      <c r="H647" s="353" t="n">
        <v>15</v>
      </c>
    </row>
    <row r="648" customFormat="false" ht="14.35" hidden="false" customHeight="false" outlineLevel="0" collapsed="false">
      <c r="A648" s="196" t="s">
        <v>504</v>
      </c>
      <c r="B648" s="196" t="s">
        <v>1170</v>
      </c>
      <c r="C648" s="196" t="s">
        <v>1584</v>
      </c>
      <c r="D648" s="196" t="s">
        <v>251</v>
      </c>
      <c r="E648" s="196" t="n">
        <v>20</v>
      </c>
      <c r="F648" s="353" t="s">
        <v>632</v>
      </c>
      <c r="G648" s="196" t="n">
        <v>22</v>
      </c>
      <c r="H648" s="353" t="n">
        <v>20</v>
      </c>
    </row>
    <row r="649" customFormat="false" ht="14.35" hidden="false" customHeight="false" outlineLevel="0" collapsed="false">
      <c r="A649" s="196" t="s">
        <v>506</v>
      </c>
      <c r="B649" s="196" t="s">
        <v>1268</v>
      </c>
      <c r="C649" s="196" t="s">
        <v>1737</v>
      </c>
      <c r="D649" s="196" t="s">
        <v>69</v>
      </c>
      <c r="E649" s="196" t="n">
        <v>23</v>
      </c>
      <c r="F649" s="353" t="s">
        <v>863</v>
      </c>
      <c r="G649" s="196" t="n">
        <v>25.3</v>
      </c>
      <c r="H649" s="353" t="n">
        <v>23</v>
      </c>
    </row>
    <row r="650" customFormat="false" ht="14.35" hidden="false" customHeight="false" outlineLevel="0" collapsed="false">
      <c r="A650" s="196" t="s">
        <v>326</v>
      </c>
      <c r="B650" s="196" t="s">
        <v>2000</v>
      </c>
      <c r="C650" s="196" t="s">
        <v>2001</v>
      </c>
      <c r="D650" s="196" t="s">
        <v>227</v>
      </c>
      <c r="E650" s="196" t="n">
        <v>138</v>
      </c>
      <c r="F650" s="353" t="s">
        <v>533</v>
      </c>
      <c r="G650" s="196" t="n">
        <v>151.8</v>
      </c>
      <c r="H650" s="353" t="s">
        <v>883</v>
      </c>
    </row>
    <row r="651" customFormat="false" ht="14.35" hidden="false" customHeight="false" outlineLevel="0" collapsed="false">
      <c r="A651" s="196" t="s">
        <v>508</v>
      </c>
      <c r="B651" s="196" t="s">
        <v>1038</v>
      </c>
      <c r="C651" s="196" t="s">
        <v>1715</v>
      </c>
      <c r="D651" s="196" t="s">
        <v>124</v>
      </c>
      <c r="E651" s="196" t="n">
        <v>69</v>
      </c>
      <c r="F651" s="353" t="s">
        <v>933</v>
      </c>
      <c r="G651" s="196" t="n">
        <v>75.9</v>
      </c>
      <c r="H651" s="353" t="s">
        <v>934</v>
      </c>
    </row>
    <row r="652" customFormat="false" ht="14.35" hidden="false" customHeight="false" outlineLevel="0" collapsed="false">
      <c r="A652" s="196" t="s">
        <v>176</v>
      </c>
      <c r="B652" s="196" t="s">
        <v>1217</v>
      </c>
      <c r="C652" s="196" t="s">
        <v>1695</v>
      </c>
      <c r="D652" s="196" t="s">
        <v>177</v>
      </c>
      <c r="E652" s="196" t="n">
        <v>95</v>
      </c>
      <c r="F652" s="353" t="s">
        <v>919</v>
      </c>
      <c r="G652" s="196" t="n">
        <v>104.5</v>
      </c>
      <c r="H652" s="353" t="s">
        <v>935</v>
      </c>
    </row>
    <row r="653" customFormat="false" ht="14.35" hidden="false" customHeight="false" outlineLevel="0" collapsed="false">
      <c r="A653" s="196" t="s">
        <v>378</v>
      </c>
      <c r="B653" s="196" t="s">
        <v>1225</v>
      </c>
      <c r="C653" s="196" t="s">
        <v>1491</v>
      </c>
      <c r="D653" s="196" t="s">
        <v>77</v>
      </c>
      <c r="E653" s="196" t="n">
        <v>122</v>
      </c>
      <c r="F653" s="353" t="s">
        <v>936</v>
      </c>
      <c r="G653" s="196" t="n">
        <v>134.2</v>
      </c>
      <c r="H653" s="353" t="s">
        <v>937</v>
      </c>
    </row>
    <row r="654" customFormat="false" ht="14.35" hidden="false" customHeight="false" outlineLevel="0" collapsed="false">
      <c r="A654" s="196" t="s">
        <v>83</v>
      </c>
      <c r="B654" s="196" t="s">
        <v>1133</v>
      </c>
      <c r="C654" s="196" t="s">
        <v>1519</v>
      </c>
      <c r="D654" s="196" t="s">
        <v>14</v>
      </c>
      <c r="E654" s="196" t="n">
        <v>65</v>
      </c>
      <c r="F654" s="353" t="s">
        <v>624</v>
      </c>
      <c r="G654" s="196" t="n">
        <v>71.5</v>
      </c>
      <c r="H654" s="353" t="s">
        <v>938</v>
      </c>
    </row>
    <row r="655" customFormat="false" ht="14.35" hidden="false" customHeight="false" outlineLevel="0" collapsed="false">
      <c r="A655" s="196" t="s">
        <v>83</v>
      </c>
      <c r="B655" s="196" t="s">
        <v>1133</v>
      </c>
      <c r="C655" s="196" t="s">
        <v>1523</v>
      </c>
      <c r="D655" s="196" t="s">
        <v>13</v>
      </c>
      <c r="E655" s="196" t="n">
        <v>160</v>
      </c>
      <c r="F655" s="353" t="s">
        <v>710</v>
      </c>
      <c r="G655" s="196" t="n">
        <v>176</v>
      </c>
      <c r="H655" s="353" t="s">
        <v>711</v>
      </c>
    </row>
    <row r="656" customFormat="false" ht="14.35" hidden="false" customHeight="false" outlineLevel="0" collapsed="false">
      <c r="A656" s="196" t="s">
        <v>125</v>
      </c>
      <c r="B656" s="196" t="s">
        <v>1202</v>
      </c>
      <c r="C656" s="196" t="s">
        <v>1979</v>
      </c>
      <c r="D656" s="196" t="s">
        <v>126</v>
      </c>
      <c r="E656" s="196" t="n">
        <v>125</v>
      </c>
      <c r="F656" s="353" t="s">
        <v>939</v>
      </c>
      <c r="G656" s="196" t="n">
        <v>137.5</v>
      </c>
      <c r="H656" s="353" t="s">
        <v>940</v>
      </c>
    </row>
    <row r="657" customFormat="false" ht="14.35" hidden="false" customHeight="false" outlineLevel="0" collapsed="false">
      <c r="A657" s="196" t="s">
        <v>94</v>
      </c>
      <c r="B657" s="196" t="s">
        <v>1107</v>
      </c>
      <c r="C657" s="196" t="s">
        <v>1645</v>
      </c>
      <c r="D657" s="196" t="s">
        <v>95</v>
      </c>
      <c r="E657" s="196" t="n">
        <v>103</v>
      </c>
      <c r="F657" s="353" t="s">
        <v>611</v>
      </c>
      <c r="G657" s="196" t="n">
        <v>113.3</v>
      </c>
      <c r="H657" s="353" t="s">
        <v>941</v>
      </c>
    </row>
    <row r="658" customFormat="false" ht="14.35" hidden="false" customHeight="false" outlineLevel="0" collapsed="false">
      <c r="D658" s="196" t="s">
        <v>512</v>
      </c>
      <c r="E658" s="196" t="n">
        <v>1124</v>
      </c>
    </row>
    <row r="660" customFormat="false" ht="14.35" hidden="false" customHeight="false" outlineLevel="0" collapsed="false">
      <c r="A660" s="196" t="s">
        <v>514</v>
      </c>
    </row>
    <row r="661" customFormat="false" ht="14.35" hidden="false" customHeight="false" outlineLevel="0" collapsed="false">
      <c r="A661" s="196" t="s">
        <v>2</v>
      </c>
    </row>
    <row r="662" customFormat="false" ht="14.35" hidden="false" customHeight="false" outlineLevel="0" collapsed="false">
      <c r="A662" s="196" t="s">
        <v>4</v>
      </c>
      <c r="B662" s="196" t="s">
        <v>5</v>
      </c>
      <c r="C662" s="196" t="s">
        <v>6</v>
      </c>
      <c r="D662" s="196" t="s">
        <v>7</v>
      </c>
      <c r="E662" s="196" t="s">
        <v>8</v>
      </c>
      <c r="F662" s="353" t="s">
        <v>9</v>
      </c>
      <c r="G662" s="196" t="s">
        <v>10</v>
      </c>
    </row>
    <row r="663" customFormat="false" ht="14.35" hidden="false" customHeight="false" outlineLevel="0" collapsed="false">
      <c r="A663" s="196" t="s">
        <v>129</v>
      </c>
      <c r="B663" s="196" t="s">
        <v>992</v>
      </c>
      <c r="C663" s="196" t="s">
        <v>1725</v>
      </c>
      <c r="D663" s="196" t="s">
        <v>82</v>
      </c>
      <c r="E663" s="196" t="n">
        <v>130</v>
      </c>
      <c r="F663" s="353" t="s">
        <v>533</v>
      </c>
      <c r="G663" s="196" t="n">
        <v>143</v>
      </c>
      <c r="H663" s="353" t="s">
        <v>917</v>
      </c>
    </row>
    <row r="664" customFormat="false" ht="14.35" hidden="false" customHeight="false" outlineLevel="0" collapsed="false">
      <c r="A664" s="196" t="s">
        <v>129</v>
      </c>
      <c r="B664" s="196" t="s">
        <v>992</v>
      </c>
      <c r="C664" s="196" t="s">
        <v>1725</v>
      </c>
      <c r="D664" s="196" t="s">
        <v>126</v>
      </c>
      <c r="E664" s="196" t="n">
        <v>125</v>
      </c>
      <c r="F664" s="353" t="s">
        <v>942</v>
      </c>
      <c r="G664" s="196" t="n">
        <v>137.5</v>
      </c>
      <c r="H664" s="353" t="s">
        <v>943</v>
      </c>
    </row>
    <row r="665" customFormat="false" ht="14.35" hidden="false" customHeight="false" outlineLevel="0" collapsed="false">
      <c r="A665" s="196" t="s">
        <v>129</v>
      </c>
      <c r="B665" s="196" t="s">
        <v>992</v>
      </c>
      <c r="C665" s="196" t="s">
        <v>1720</v>
      </c>
      <c r="D665" s="196" t="s">
        <v>131</v>
      </c>
      <c r="E665" s="196" t="n">
        <v>128</v>
      </c>
      <c r="F665" s="353" t="s">
        <v>936</v>
      </c>
      <c r="G665" s="196" t="n">
        <v>140.8</v>
      </c>
      <c r="H665" s="353" t="s">
        <v>944</v>
      </c>
    </row>
    <row r="666" customFormat="false" ht="14.35" hidden="false" customHeight="false" outlineLevel="0" collapsed="false">
      <c r="A666" s="196" t="s">
        <v>129</v>
      </c>
      <c r="B666" s="196" t="s">
        <v>992</v>
      </c>
      <c r="C666" s="196" t="s">
        <v>1720</v>
      </c>
      <c r="D666" s="196" t="s">
        <v>130</v>
      </c>
      <c r="E666" s="196" t="n">
        <v>136</v>
      </c>
      <c r="F666" s="353" t="s">
        <v>710</v>
      </c>
      <c r="G666" s="196" t="n">
        <v>149.6</v>
      </c>
      <c r="H666" s="353" t="s">
        <v>784</v>
      </c>
    </row>
    <row r="667" customFormat="false" ht="14.35" hidden="false" customHeight="false" outlineLevel="0" collapsed="false">
      <c r="A667" s="196" t="s">
        <v>129</v>
      </c>
      <c r="B667" s="196" t="s">
        <v>992</v>
      </c>
      <c r="C667" s="196" t="s">
        <v>1720</v>
      </c>
      <c r="D667" s="196" t="s">
        <v>191</v>
      </c>
      <c r="E667" s="196" t="n">
        <v>70</v>
      </c>
      <c r="F667" s="353" t="s">
        <v>945</v>
      </c>
      <c r="G667" s="196" t="n">
        <v>77</v>
      </c>
      <c r="H667" s="353" t="s">
        <v>946</v>
      </c>
    </row>
    <row r="668" customFormat="false" ht="14.35" hidden="false" customHeight="false" outlineLevel="0" collapsed="false">
      <c r="A668" s="196" t="s">
        <v>129</v>
      </c>
      <c r="B668" s="196" t="s">
        <v>992</v>
      </c>
      <c r="C668" s="196" t="s">
        <v>1720</v>
      </c>
      <c r="D668" s="196" t="s">
        <v>111</v>
      </c>
      <c r="E668" s="196" t="n">
        <v>83</v>
      </c>
      <c r="F668" s="353" t="s">
        <v>571</v>
      </c>
      <c r="G668" s="196" t="n">
        <v>91.3</v>
      </c>
      <c r="H668" s="353" t="s">
        <v>572</v>
      </c>
    </row>
    <row r="669" customFormat="false" ht="14.35" hidden="false" customHeight="false" outlineLevel="0" collapsed="false">
      <c r="A669" s="196" t="s">
        <v>129</v>
      </c>
      <c r="B669" s="196" t="s">
        <v>992</v>
      </c>
      <c r="C669" s="196" t="s">
        <v>1720</v>
      </c>
      <c r="D669" s="196" t="s">
        <v>75</v>
      </c>
      <c r="E669" s="196" t="n">
        <v>245</v>
      </c>
      <c r="F669" s="353" t="s">
        <v>854</v>
      </c>
      <c r="G669" s="196" t="n">
        <v>269.5</v>
      </c>
      <c r="H669" s="353" t="s">
        <v>547</v>
      </c>
    </row>
    <row r="670" customFormat="false" ht="14.35" hidden="false" customHeight="false" outlineLevel="0" collapsed="false">
      <c r="A670" s="196" t="s">
        <v>129</v>
      </c>
      <c r="B670" s="196" t="s">
        <v>992</v>
      </c>
      <c r="C670" s="196" t="s">
        <v>1720</v>
      </c>
      <c r="D670" s="196" t="s">
        <v>112</v>
      </c>
      <c r="E670" s="196" t="n">
        <v>46</v>
      </c>
      <c r="F670" s="353" t="s">
        <v>541</v>
      </c>
      <c r="G670" s="196" t="n">
        <v>50.6</v>
      </c>
      <c r="H670" s="353" t="n">
        <v>46</v>
      </c>
    </row>
    <row r="671" customFormat="false" ht="14.35" hidden="false" customHeight="false" outlineLevel="0" collapsed="false">
      <c r="A671" s="196" t="s">
        <v>129</v>
      </c>
      <c r="B671" s="196" t="s">
        <v>992</v>
      </c>
      <c r="C671" s="196" t="s">
        <v>1720</v>
      </c>
      <c r="D671" s="196" t="s">
        <v>20</v>
      </c>
      <c r="E671" s="196" t="n">
        <v>262</v>
      </c>
      <c r="F671" s="353" t="s">
        <v>854</v>
      </c>
      <c r="G671" s="196" t="n">
        <v>288.2</v>
      </c>
      <c r="H671" s="353" t="s">
        <v>947</v>
      </c>
    </row>
    <row r="672" customFormat="false" ht="14.35" hidden="false" customHeight="false" outlineLevel="0" collapsed="false">
      <c r="D672" s="196" t="s">
        <v>523</v>
      </c>
      <c r="E672" s="196" t="n">
        <v>1225</v>
      </c>
    </row>
    <row r="674" customFormat="false" ht="14.35" hidden="false" customHeight="false" outlineLevel="0" collapsed="false">
      <c r="A674" s="196" t="s">
        <v>514</v>
      </c>
    </row>
    <row r="675" customFormat="false" ht="14.35" hidden="false" customHeight="false" outlineLevel="0" collapsed="false">
      <c r="A675" s="196" t="s">
        <v>29</v>
      </c>
    </row>
    <row r="676" customFormat="false" ht="14.35" hidden="false" customHeight="false" outlineLevel="0" collapsed="false">
      <c r="A676" s="196" t="s">
        <v>4</v>
      </c>
      <c r="B676" s="196" t="s">
        <v>5</v>
      </c>
      <c r="C676" s="196" t="s">
        <v>6</v>
      </c>
      <c r="D676" s="196" t="s">
        <v>7</v>
      </c>
      <c r="E676" s="196" t="s">
        <v>8</v>
      </c>
      <c r="F676" s="353" t="s">
        <v>9</v>
      </c>
      <c r="G676" s="196" t="s">
        <v>10</v>
      </c>
    </row>
    <row r="677" customFormat="false" ht="14.35" hidden="false" customHeight="false" outlineLevel="0" collapsed="false">
      <c r="A677" s="196" t="s">
        <v>129</v>
      </c>
      <c r="B677" s="196" t="s">
        <v>992</v>
      </c>
      <c r="C677" s="196" t="s">
        <v>1724</v>
      </c>
      <c r="D677" s="196" t="s">
        <v>51</v>
      </c>
      <c r="E677" s="196" t="n">
        <v>295</v>
      </c>
      <c r="F677" s="353" t="s">
        <v>948</v>
      </c>
      <c r="G677" s="196" t="n">
        <v>324.5</v>
      </c>
      <c r="H677" s="353" t="s">
        <v>600</v>
      </c>
    </row>
    <row r="678" customFormat="false" ht="14.35" hidden="false" customHeight="false" outlineLevel="0" collapsed="false">
      <c r="A678" s="196" t="s">
        <v>129</v>
      </c>
      <c r="B678" s="196" t="s">
        <v>992</v>
      </c>
      <c r="C678" s="196" t="s">
        <v>1951</v>
      </c>
      <c r="D678" s="196" t="s">
        <v>162</v>
      </c>
      <c r="E678" s="196" t="n">
        <v>85</v>
      </c>
      <c r="F678" s="353" t="s">
        <v>571</v>
      </c>
      <c r="G678" s="196" t="n">
        <v>93.5</v>
      </c>
      <c r="H678" s="353" t="s">
        <v>757</v>
      </c>
    </row>
    <row r="679" customFormat="false" ht="14.35" hidden="false" customHeight="false" outlineLevel="0" collapsed="false">
      <c r="A679" s="196" t="s">
        <v>129</v>
      </c>
      <c r="B679" s="196" t="s">
        <v>992</v>
      </c>
      <c r="C679" s="196" t="s">
        <v>1951</v>
      </c>
      <c r="D679" s="196" t="s">
        <v>161</v>
      </c>
      <c r="E679" s="196" t="n">
        <v>225</v>
      </c>
      <c r="F679" s="353" t="s">
        <v>687</v>
      </c>
      <c r="G679" s="196" t="n">
        <v>247.5</v>
      </c>
      <c r="H679" s="353" t="s">
        <v>876</v>
      </c>
    </row>
    <row r="680" customFormat="false" ht="14.35" hidden="false" customHeight="false" outlineLevel="0" collapsed="false">
      <c r="A680" s="196" t="s">
        <v>129</v>
      </c>
      <c r="B680" s="196" t="s">
        <v>992</v>
      </c>
      <c r="C680" s="196" t="s">
        <v>1951</v>
      </c>
      <c r="D680" s="196" t="s">
        <v>91</v>
      </c>
      <c r="E680" s="196" t="n">
        <v>130</v>
      </c>
      <c r="F680" s="353" t="s">
        <v>533</v>
      </c>
      <c r="G680" s="196" t="n">
        <v>143</v>
      </c>
      <c r="H680" s="353" t="s">
        <v>917</v>
      </c>
    </row>
    <row r="681" customFormat="false" ht="14.35" hidden="false" customHeight="false" outlineLevel="0" collapsed="false">
      <c r="A681" s="196" t="s">
        <v>129</v>
      </c>
      <c r="B681" s="196" t="s">
        <v>992</v>
      </c>
      <c r="C681" s="196" t="s">
        <v>1951</v>
      </c>
      <c r="D681" s="196" t="s">
        <v>95</v>
      </c>
      <c r="E681" s="196" t="n">
        <v>103</v>
      </c>
      <c r="F681" s="353" t="s">
        <v>569</v>
      </c>
      <c r="G681" s="196" t="n">
        <v>113.3</v>
      </c>
      <c r="H681" s="353" t="s">
        <v>949</v>
      </c>
    </row>
    <row r="682" customFormat="false" ht="14.35" hidden="false" customHeight="false" outlineLevel="0" collapsed="false">
      <c r="A682" s="196" t="s">
        <v>129</v>
      </c>
      <c r="B682" s="196" t="s">
        <v>992</v>
      </c>
      <c r="C682" s="196" t="s">
        <v>1975</v>
      </c>
      <c r="D682" s="196" t="s">
        <v>115</v>
      </c>
      <c r="E682" s="196" t="n">
        <v>100</v>
      </c>
      <c r="F682" s="353" t="s">
        <v>582</v>
      </c>
      <c r="G682" s="196" t="n">
        <v>110</v>
      </c>
      <c r="H682" s="353" t="s">
        <v>583</v>
      </c>
    </row>
    <row r="683" customFormat="false" ht="14.35" hidden="false" customHeight="false" outlineLevel="0" collapsed="false">
      <c r="A683" s="196" t="s">
        <v>129</v>
      </c>
      <c r="B683" s="196" t="s">
        <v>992</v>
      </c>
      <c r="C683" s="196" t="s">
        <v>1975</v>
      </c>
      <c r="D683" s="196" t="s">
        <v>114</v>
      </c>
      <c r="E683" s="196" t="n">
        <v>75</v>
      </c>
      <c r="F683" s="353" t="s">
        <v>545</v>
      </c>
      <c r="G683" s="196" t="n">
        <v>82.5</v>
      </c>
      <c r="H683" s="353" t="n">
        <v>75</v>
      </c>
    </row>
    <row r="684" customFormat="false" ht="14.35" hidden="false" customHeight="false" outlineLevel="0" collapsed="false">
      <c r="A684" s="196" t="s">
        <v>129</v>
      </c>
      <c r="B684" s="196" t="s">
        <v>992</v>
      </c>
      <c r="C684" s="196" t="s">
        <v>1966</v>
      </c>
      <c r="D684" s="196" t="s">
        <v>80</v>
      </c>
      <c r="E684" s="196" t="n">
        <v>120</v>
      </c>
      <c r="F684" s="353" t="s">
        <v>950</v>
      </c>
      <c r="G684" s="196" t="n">
        <v>132</v>
      </c>
      <c r="H684" s="353" t="s">
        <v>951</v>
      </c>
    </row>
    <row r="685" customFormat="false" ht="14.35" hidden="false" customHeight="false" outlineLevel="0" collapsed="false">
      <c r="A685" s="196" t="s">
        <v>129</v>
      </c>
      <c r="B685" s="196" t="s">
        <v>992</v>
      </c>
      <c r="C685" s="196" t="s">
        <v>1966</v>
      </c>
      <c r="D685" s="196" t="s">
        <v>81</v>
      </c>
      <c r="E685" s="196" t="n">
        <v>56</v>
      </c>
      <c r="F685" s="353" t="s">
        <v>546</v>
      </c>
      <c r="G685" s="196" t="n">
        <v>61.6</v>
      </c>
      <c r="H685" s="353" t="n">
        <v>56</v>
      </c>
    </row>
    <row r="686" customFormat="false" ht="14.35" hidden="false" customHeight="false" outlineLevel="0" collapsed="false">
      <c r="D686" s="196" t="s">
        <v>523</v>
      </c>
      <c r="E686" s="196" t="e">
        <f aca="false">#NAME?</f>
        <v>#NAME?</v>
      </c>
    </row>
    <row r="687" customFormat="false" ht="14.35" hidden="false" customHeight="false" outlineLevel="0" collapsed="false">
      <c r="A687" s="196" t="s">
        <v>514</v>
      </c>
    </row>
    <row r="688" customFormat="false" ht="14.35" hidden="false" customHeight="false" outlineLevel="0" collapsed="false">
      <c r="A688" s="196" t="s">
        <v>59</v>
      </c>
    </row>
    <row r="689" customFormat="false" ht="14.35" hidden="false" customHeight="false" outlineLevel="0" collapsed="false">
      <c r="A689" s="196" t="s">
        <v>4</v>
      </c>
      <c r="B689" s="196" t="s">
        <v>5</v>
      </c>
      <c r="C689" s="196" t="s">
        <v>6</v>
      </c>
      <c r="D689" s="196" t="s">
        <v>7</v>
      </c>
      <c r="E689" s="196" t="s">
        <v>8</v>
      </c>
      <c r="F689" s="353" t="s">
        <v>9</v>
      </c>
      <c r="G689" s="196" t="s">
        <v>10</v>
      </c>
    </row>
    <row r="690" customFormat="false" ht="14.35" hidden="false" customHeight="false" outlineLevel="0" collapsed="false">
      <c r="A690" s="196" t="s">
        <v>505</v>
      </c>
      <c r="B690" s="196" t="s">
        <v>1166</v>
      </c>
      <c r="C690" s="196" t="s">
        <v>1572</v>
      </c>
      <c r="D690" s="196" t="s">
        <v>251</v>
      </c>
      <c r="E690" s="196" t="n">
        <v>115</v>
      </c>
      <c r="F690" s="353" t="s">
        <v>541</v>
      </c>
      <c r="G690" s="196" t="n">
        <v>126.5</v>
      </c>
      <c r="H690" s="353" t="n">
        <v>115</v>
      </c>
    </row>
    <row r="691" customFormat="false" ht="14.35" hidden="false" customHeight="false" outlineLevel="0" collapsed="false">
      <c r="A691" s="196" t="s">
        <v>516</v>
      </c>
      <c r="B691" s="196" t="s">
        <v>1138</v>
      </c>
      <c r="C691" s="196" t="s">
        <v>1513</v>
      </c>
      <c r="D691" s="196" t="s">
        <v>73</v>
      </c>
      <c r="E691" s="196" t="n">
        <v>105</v>
      </c>
      <c r="F691" s="353" t="s">
        <v>571</v>
      </c>
      <c r="G691" s="196" t="n">
        <v>115.5</v>
      </c>
      <c r="H691" s="353" t="s">
        <v>788</v>
      </c>
    </row>
    <row r="692" customFormat="false" ht="14.35" hidden="false" customHeight="false" outlineLevel="0" collapsed="false">
      <c r="A692" s="196" t="s">
        <v>517</v>
      </c>
      <c r="B692" s="196" t="s">
        <v>1186</v>
      </c>
      <c r="C692" s="196" t="s">
        <v>1606</v>
      </c>
      <c r="D692" s="196" t="s">
        <v>71</v>
      </c>
      <c r="E692" s="196" t="n">
        <v>240</v>
      </c>
      <c r="F692" s="353" t="s">
        <v>854</v>
      </c>
      <c r="G692" s="196" t="n">
        <v>264</v>
      </c>
      <c r="H692" s="353" t="s">
        <v>855</v>
      </c>
    </row>
    <row r="693" customFormat="false" ht="14.35" hidden="false" customHeight="false" outlineLevel="0" collapsed="false">
      <c r="A693" s="196" t="s">
        <v>518</v>
      </c>
      <c r="B693" s="196" t="s">
        <v>1157</v>
      </c>
      <c r="C693" s="196" t="s">
        <v>1557</v>
      </c>
      <c r="D693" s="196" t="s">
        <v>108</v>
      </c>
      <c r="E693" s="196" t="n">
        <v>255</v>
      </c>
      <c r="F693" s="353" t="s">
        <v>954</v>
      </c>
      <c r="G693" s="196" t="n">
        <v>280.5</v>
      </c>
      <c r="H693" s="353" t="s">
        <v>952</v>
      </c>
    </row>
    <row r="694" customFormat="false" ht="14.35" hidden="false" customHeight="false" outlineLevel="0" collapsed="false">
      <c r="A694" s="196" t="s">
        <v>519</v>
      </c>
      <c r="B694" s="196" t="s">
        <v>1029</v>
      </c>
      <c r="C694" s="196" t="s">
        <v>1429</v>
      </c>
      <c r="D694" s="196" t="s">
        <v>133</v>
      </c>
      <c r="E694" s="196" t="n">
        <v>76</v>
      </c>
      <c r="F694" s="353" t="s">
        <v>850</v>
      </c>
      <c r="G694" s="196" t="n">
        <v>83.6</v>
      </c>
      <c r="H694" s="353" t="s">
        <v>884</v>
      </c>
    </row>
    <row r="695" customFormat="false" ht="14.35" hidden="false" customHeight="false" outlineLevel="0" collapsed="false">
      <c r="A695" s="196" t="s">
        <v>519</v>
      </c>
      <c r="B695" s="196" t="s">
        <v>1029</v>
      </c>
      <c r="C695" s="196" t="s">
        <v>1429</v>
      </c>
      <c r="D695" s="196" t="s">
        <v>61</v>
      </c>
      <c r="E695" s="196" t="n">
        <v>222</v>
      </c>
      <c r="F695" s="353" t="s">
        <v>687</v>
      </c>
      <c r="G695" s="196" t="n">
        <v>244.2</v>
      </c>
      <c r="H695" s="353" t="s">
        <v>905</v>
      </c>
    </row>
    <row r="696" customFormat="false" ht="14.35" hidden="false" customHeight="false" outlineLevel="0" collapsed="false">
      <c r="A696" s="196" t="s">
        <v>519</v>
      </c>
      <c r="B696" s="196" t="s">
        <v>1029</v>
      </c>
      <c r="C696" s="196" t="s">
        <v>1429</v>
      </c>
      <c r="D696" s="196" t="s">
        <v>86</v>
      </c>
      <c r="E696" s="196" t="n">
        <v>40</v>
      </c>
      <c r="F696" s="353" t="s">
        <v>616</v>
      </c>
      <c r="G696" s="196" t="n">
        <v>44</v>
      </c>
      <c r="H696" s="353" t="n">
        <v>40</v>
      </c>
    </row>
    <row r="697" customFormat="false" ht="14.35" hidden="false" customHeight="false" outlineLevel="0" collapsed="false">
      <c r="A697" s="196" t="s">
        <v>521</v>
      </c>
      <c r="B697" s="196" t="s">
        <v>1054</v>
      </c>
      <c r="C697" s="196" t="s">
        <v>1429</v>
      </c>
      <c r="D697" s="196" t="s">
        <v>23</v>
      </c>
      <c r="E697" s="196" t="n">
        <v>40</v>
      </c>
      <c r="F697" s="353" t="s">
        <v>766</v>
      </c>
      <c r="G697" s="196" t="n">
        <v>44</v>
      </c>
      <c r="H697" s="353" t="s">
        <v>559</v>
      </c>
    </row>
    <row r="698" customFormat="false" ht="14.35" hidden="false" customHeight="false" outlineLevel="0" collapsed="false">
      <c r="A698" s="196" t="s">
        <v>522</v>
      </c>
      <c r="B698" s="196" t="s">
        <v>1079</v>
      </c>
      <c r="C698" s="196" t="s">
        <v>1447</v>
      </c>
      <c r="D698" s="196" t="s">
        <v>109</v>
      </c>
      <c r="E698" s="196" t="n">
        <v>80</v>
      </c>
      <c r="F698" s="353" t="s">
        <v>953</v>
      </c>
      <c r="G698" s="196" t="n">
        <v>88</v>
      </c>
      <c r="H698" s="353" t="s">
        <v>692</v>
      </c>
    </row>
    <row r="699" customFormat="false" ht="14.35" hidden="false" customHeight="false" outlineLevel="0" collapsed="false">
      <c r="D699" s="196" t="s">
        <v>523</v>
      </c>
      <c r="E699" s="196" t="e">
        <f aca="false">#NAME?</f>
        <v>#NAME?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&amp;C&amp;"Noto Serif,Regular"&amp;12&amp;Kffffff&amp;A</oddHeader>
    <oddFooter>&amp;C&amp;"Noto Serif,Regular"&amp;12&amp;KffffffPage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2019-10-06T15:11:28Z</dcterms:created>
  <dc:creator>Admin</dc:creator>
  <dc:description/>
  <dc:language>en-US</dc:language>
  <cp:lastModifiedBy/>
  <cp:lastPrinted>2026-08-10T16:31:58Z</cp:lastPrinted>
  <dcterms:modified xsi:type="dcterms:W3CDTF">2026-08-11T15:33:22Z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