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_man\Desktop\invigilation-auto\src\timetables\"/>
    </mc:Choice>
  </mc:AlternateContent>
  <xr:revisionPtr revIDLastSave="0" documentId="13_ncr:1_{C80D197A-B538-4F26-B461-8DC4D9C9D1F2}" xr6:coauthVersionLast="47" xr6:coauthVersionMax="47" xr10:uidLastSave="{00000000-0000-0000-0000-000000000000}"/>
  <bookViews>
    <workbookView xWindow="28680" yWindow="-120" windowWidth="29040" windowHeight="16440" activeTab="1" xr2:uid="{56AEB27E-0B57-46B5-9DB8-F1AD67B47E0F}"/>
  </bookViews>
  <sheets>
    <sheet name="TT" sheetId="3" r:id="rId1"/>
    <sheet name="Sheet1" sheetId="1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TT!$L$45:$L$45</definedName>
    <definedName name="CLASS">#REF!</definedName>
    <definedName name="CODE">#REF!</definedName>
    <definedName name="COURSE_NAME">#REF!</definedName>
    <definedName name="EA">#REF!</definedName>
    <definedName name="ED3_TEL">[1]TT!#REF!</definedName>
    <definedName name="ED4_IND">[1]TT!#REF!</definedName>
    <definedName name="EXAMINER">#REF!</definedName>
    <definedName name="hy">#REF!</definedName>
    <definedName name="po">#REF!</definedName>
    <definedName name="_xlnm.Print_Area" localSheetId="0">TT!$A$1:$H$699</definedName>
    <definedName name="room_no">#REF!</definedName>
    <definedName name="ROOM_NO.">#REF!</definedName>
    <definedName name="STDS">#REF!</definedName>
    <definedName name="TO_PRT">#REF!</definedName>
    <definedName name="Total_F1">'[2]TT (Working)'!$D$668:$D$683</definedName>
    <definedName name="Total_F1_1">TT!$D$184:$D$197</definedName>
    <definedName name="Total_F1_2">TT!$D$71:$D$634</definedName>
    <definedName name="Total_F1_3">'[3]TT (MAIN)'!$D$218:$D$449</definedName>
    <definedName name="Total_F2">'[2]TT (Working)'!$D$690:$D$712</definedName>
    <definedName name="Total_F2_1">TT!$D$412:$D$425</definedName>
    <definedName name="Total_F2_2">TT!$D$429:$D$458</definedName>
    <definedName name="Total_F2_3">TT!$D$453:$D$457</definedName>
    <definedName name="Total_F3">'[2]TT (Working)'!$D$718:$D$731</definedName>
    <definedName name="Total_F3_1">TT!$D$662:$D$698</definedName>
    <definedName name="Total_F3_2">[4]TT!$D$822:$D$835</definedName>
    <definedName name="Total_F3_3">[4]TT!$D$841:$D$857</definedName>
    <definedName name="Total_F4">'[2]TT (Working)'!$D$737:$D$746</definedName>
    <definedName name="Total_F5">'[2]TT (Working)'!$D$753:$D$766</definedName>
    <definedName name="Total_F6">'[2]TT (Working)'!$D$773:$D$787</definedName>
    <definedName name="Total_F7">'[2]TT (Working)'!$D$793:$D$802</definedName>
    <definedName name="Total_H1">'[2]TT (Working)'!$D$510:$D$528</definedName>
    <definedName name="Total_H1_1">TT!$D$138:$D$151</definedName>
    <definedName name="Total_H1_2">TT!$D$168:$D$598</definedName>
    <definedName name="Total_H1_3">TT!#REF!</definedName>
    <definedName name="Total_H2">'[2]TT (Working)'!$D$540:$D$552</definedName>
    <definedName name="Total_H2_1">TT!$D$369:$D$377</definedName>
    <definedName name="Total_H2_2">TT!$D$381:$D$393</definedName>
    <definedName name="Total_H2_3">TT!$D$397:$D$465</definedName>
    <definedName name="Total_H3">'[2]TT (Working)'!$D$564:$D$577</definedName>
    <definedName name="Total_H3_1">TT!$D$610:$D$620</definedName>
    <definedName name="Total_H3_2">TT!$D$626:$D$639</definedName>
    <definedName name="Total_H3_3">TT!$D$644:$D$650</definedName>
    <definedName name="Total_H4">'[2]TT (Working)'!$D$585:$D$607</definedName>
    <definedName name="Total_H5">'[2]TT (Working)'!$D$614:$D$677</definedName>
    <definedName name="Total_H6">'[2]TT (Working)'!$D$631:$D$646</definedName>
    <definedName name="Total_H7">'[2]TT (Working)'!$D$653:$D$662</definedName>
    <definedName name="Total_M1">'[2]TT (Working)'!$D$3:$D$471</definedName>
    <definedName name="Total_M1_1">TT!$D$3:$D$5</definedName>
    <definedName name="Total_M1_2">TT!$D$14:$D$19</definedName>
    <definedName name="Total_M1_3">'[3]TT (MAIN)'!$D$39:$D$52</definedName>
    <definedName name="Total_M2">'[2]TT (Working)'!$D$31:$D$240</definedName>
    <definedName name="Total_M2_1">TT!$D$224:$D$239</definedName>
    <definedName name="Total_M2_2">TT!$D$243:$D$254</definedName>
    <definedName name="Total_M2_3">TT!$D$258:$D$268</definedName>
    <definedName name="Total_M3">'[2]TT (Working)'!$D$62:$D$77</definedName>
    <definedName name="Total_M3_1">TT!$D$470:$D$480</definedName>
    <definedName name="Total_M3_2">TT!$D$486:$D$496</definedName>
    <definedName name="Total_M3_3">TT!$D$500:$D$517</definedName>
    <definedName name="Total_M4">'[2]TT (Working)'!$D$84:$D$100</definedName>
    <definedName name="Total_M5">'[2]TT (Working)'!$D$114:$D$124</definedName>
    <definedName name="Total_M6">'[2]TT (Working)'!$D$134:$D$146</definedName>
    <definedName name="Total_M7">'[2]TT (Working)'!$D$159:$D$173</definedName>
    <definedName name="Total_T1">'[2]TT (Working)'!$D$185:$D$196</definedName>
    <definedName name="Total_T1_1">TT!$D$46:$D$61</definedName>
    <definedName name="Total_T1_2">TT!$D$66:$D$213</definedName>
    <definedName name="Total_T1_3">TT!$D$84:$D$94</definedName>
    <definedName name="Total_T2">'[2]TT (Working)'!$D$211:$D$225</definedName>
    <definedName name="Total_T2_1">TT!$D$272:$D$282</definedName>
    <definedName name="Total_T2_2">TT!$D$286:$D$298</definedName>
    <definedName name="Total_T2_3">TT!$D$302:$D$311</definedName>
    <definedName name="Total_T3">'[2]TT (Working)'!$D$233:$D$247</definedName>
    <definedName name="Total_T3_1">TT!$D$521:$D$533</definedName>
    <definedName name="Total_T3_2">TT!$D$537:$D$550</definedName>
    <definedName name="Total_T3_3">TT!$D$554:$D$569</definedName>
    <definedName name="Total_T4">'[2]TT (Working)'!$D$261:$D$274</definedName>
    <definedName name="Total_T5">'[2]TT (Working)'!$D$284:$D$295</definedName>
    <definedName name="Total_T6">'[2]TT (Working)'!$D$304:$D$319</definedName>
    <definedName name="Total_T7">'[2]TT (Working)'!$D$329:$D$338</definedName>
    <definedName name="Total_W1">'[2]TT (Working)'!$D$345:$D$359</definedName>
    <definedName name="Total_W1_1">TT!$D$98:$D$107</definedName>
    <definedName name="Total_W1_2">TT!$D$111:$D$122</definedName>
    <definedName name="Total_W1_3">TT!$D$126:$D$134</definedName>
    <definedName name="Total_W2">'[2]TT (Working)'!$D$368:$D$381</definedName>
    <definedName name="Total_W2_1">TT!$D$315:$D$337</definedName>
    <definedName name="Total_W2_2">TT!$D$341:$D$350</definedName>
    <definedName name="Total_W2_3">TT!$D$356:$D$365</definedName>
    <definedName name="Total_W3">'[2]TT (Working)'!$D$389:$D$402</definedName>
    <definedName name="Total_W3_1">TT!$D$573:$D$582</definedName>
    <definedName name="Total_W3_2">TT!$D$586:$D$593</definedName>
    <definedName name="Total_W3_3">TT!$D$597:$D$606</definedName>
    <definedName name="Total_W4">'[2]TT (Working)'!$D$410:$D$423</definedName>
    <definedName name="Total_W5">'[2]TT (Working)'!$D$432:$D$676</definedName>
    <definedName name="Total_W6">'[2]TT (Working)'!$D$464:$D$480</definedName>
    <definedName name="Total_W7">'[2]TT (Working)'!$D$487:$D$502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98" i="3" l="1"/>
  <c r="I697" i="3"/>
  <c r="I696" i="3"/>
  <c r="I695" i="3"/>
  <c r="I694" i="3"/>
  <c r="I693" i="3"/>
  <c r="I692" i="3"/>
  <c r="I691" i="3"/>
  <c r="I690" i="3"/>
  <c r="B690" i="3" a="1"/>
  <c r="B690" i="3" s="1"/>
  <c r="I688" i="3"/>
  <c r="I687" i="3"/>
  <c r="I685" i="3"/>
  <c r="I684" i="3"/>
  <c r="I683" i="3"/>
  <c r="I682" i="3"/>
  <c r="I681" i="3"/>
  <c r="I680" i="3"/>
  <c r="I679" i="3"/>
  <c r="I678" i="3"/>
  <c r="I677" i="3"/>
  <c r="E677" i="3" s="1" a="1"/>
  <c r="G680" i="3" s="1"/>
  <c r="I675" i="3"/>
  <c r="I674" i="3"/>
  <c r="I671" i="3"/>
  <c r="I670" i="3"/>
  <c r="I669" i="3"/>
  <c r="I668" i="3"/>
  <c r="I667" i="3"/>
  <c r="I666" i="3"/>
  <c r="I665" i="3"/>
  <c r="I664" i="3"/>
  <c r="I663" i="3"/>
  <c r="I661" i="3"/>
  <c r="I660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3" i="3"/>
  <c r="I642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C627" i="3" a="1"/>
  <c r="C627" i="3" s="1"/>
  <c r="I625" i="3"/>
  <c r="I624" i="3"/>
  <c r="I620" i="3"/>
  <c r="I619" i="3"/>
  <c r="I618" i="3"/>
  <c r="I617" i="3"/>
  <c r="I616" i="3"/>
  <c r="I615" i="3"/>
  <c r="I614" i="3"/>
  <c r="I613" i="3"/>
  <c r="I612" i="3"/>
  <c r="I611" i="3"/>
  <c r="I609" i="3"/>
  <c r="I608" i="3"/>
  <c r="I606" i="3"/>
  <c r="I605" i="3"/>
  <c r="I604" i="3"/>
  <c r="I603" i="3"/>
  <c r="I602" i="3"/>
  <c r="I601" i="3"/>
  <c r="I600" i="3"/>
  <c r="I599" i="3"/>
  <c r="B598" i="3" s="1" a="1"/>
  <c r="B598" i="3" s="1"/>
  <c r="I598" i="3"/>
  <c r="I596" i="3"/>
  <c r="I595" i="3"/>
  <c r="I593" i="3"/>
  <c r="I592" i="3"/>
  <c r="I591" i="3"/>
  <c r="I590" i="3"/>
  <c r="I589" i="3"/>
  <c r="I588" i="3"/>
  <c r="I587" i="3"/>
  <c r="I585" i="3"/>
  <c r="I584" i="3"/>
  <c r="I582" i="3"/>
  <c r="I581" i="3"/>
  <c r="I580" i="3"/>
  <c r="I579" i="3"/>
  <c r="I578" i="3"/>
  <c r="I577" i="3"/>
  <c r="I576" i="3"/>
  <c r="I575" i="3"/>
  <c r="I574" i="3"/>
  <c r="I572" i="3"/>
  <c r="I571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3" i="3"/>
  <c r="I552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6" i="3"/>
  <c r="I535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0" i="3"/>
  <c r="I519" i="3"/>
  <c r="I517" i="3"/>
  <c r="I516" i="3"/>
  <c r="I515" i="3"/>
  <c r="I514" i="3"/>
  <c r="I513" i="3"/>
  <c r="I512" i="3"/>
  <c r="I511" i="3"/>
  <c r="B501" i="3" s="1" a="1"/>
  <c r="B501" i="3" s="1"/>
  <c r="I510" i="3"/>
  <c r="I509" i="3"/>
  <c r="I508" i="3"/>
  <c r="I507" i="3"/>
  <c r="I506" i="3"/>
  <c r="I505" i="3"/>
  <c r="I504" i="3"/>
  <c r="I503" i="3"/>
  <c r="I502" i="3"/>
  <c r="I501" i="3"/>
  <c r="I499" i="3"/>
  <c r="I498" i="3"/>
  <c r="I496" i="3"/>
  <c r="I495" i="3"/>
  <c r="I494" i="3"/>
  <c r="I493" i="3"/>
  <c r="I492" i="3"/>
  <c r="I491" i="3"/>
  <c r="I490" i="3"/>
  <c r="I489" i="3"/>
  <c r="I488" i="3"/>
  <c r="I487" i="3"/>
  <c r="E487" i="3" a="1"/>
  <c r="G496" i="3" s="1"/>
  <c r="C487" i="3" a="1"/>
  <c r="C487" i="3" s="1"/>
  <c r="B487" i="3" a="1"/>
  <c r="B487" i="3" s="1"/>
  <c r="I485" i="3"/>
  <c r="I484" i="3"/>
  <c r="I480" i="3"/>
  <c r="I479" i="3"/>
  <c r="I478" i="3"/>
  <c r="I477" i="3"/>
  <c r="I476" i="3"/>
  <c r="I475" i="3"/>
  <c r="I474" i="3"/>
  <c r="I473" i="3"/>
  <c r="I472" i="3"/>
  <c r="I471" i="3"/>
  <c r="I469" i="3"/>
  <c r="I468" i="3"/>
  <c r="I466" i="3"/>
  <c r="I465" i="3"/>
  <c r="I464" i="3"/>
  <c r="I463" i="3"/>
  <c r="I462" i="3"/>
  <c r="I461" i="3"/>
  <c r="I460" i="3"/>
  <c r="E454" i="3" s="1" a="1"/>
  <c r="G455" i="3" s="1"/>
  <c r="I459" i="3"/>
  <c r="I458" i="3"/>
  <c r="I457" i="3"/>
  <c r="I456" i="3"/>
  <c r="I455" i="3"/>
  <c r="I454" i="3"/>
  <c r="I452" i="3"/>
  <c r="I451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E430" i="3" a="1"/>
  <c r="G441" i="3" s="1"/>
  <c r="I428" i="3"/>
  <c r="I427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1" i="3"/>
  <c r="I410" i="3"/>
  <c r="I408" i="3"/>
  <c r="I407" i="3"/>
  <c r="I406" i="3"/>
  <c r="I405" i="3"/>
  <c r="I404" i="3"/>
  <c r="I403" i="3"/>
  <c r="I402" i="3"/>
  <c r="I401" i="3"/>
  <c r="I400" i="3"/>
  <c r="I399" i="3"/>
  <c r="I398" i="3"/>
  <c r="I396" i="3"/>
  <c r="I395" i="3"/>
  <c r="I393" i="3"/>
  <c r="I392" i="3"/>
  <c r="I391" i="3"/>
  <c r="I390" i="3"/>
  <c r="I389" i="3"/>
  <c r="I388" i="3"/>
  <c r="G388" i="3"/>
  <c r="I387" i="3"/>
  <c r="C382" i="3" s="1" a="1"/>
  <c r="C382" i="3" s="1"/>
  <c r="I386" i="3"/>
  <c r="I385" i="3"/>
  <c r="I384" i="3"/>
  <c r="I383" i="3"/>
  <c r="I382" i="3"/>
  <c r="E382" i="3" s="1" a="1"/>
  <c r="I380" i="3"/>
  <c r="I379" i="3"/>
  <c r="I377" i="3"/>
  <c r="I376" i="3"/>
  <c r="I375" i="3"/>
  <c r="I374" i="3"/>
  <c r="B370" i="3" s="1" a="1"/>
  <c r="B370" i="3" s="1"/>
  <c r="I373" i="3"/>
  <c r="I372" i="3"/>
  <c r="I371" i="3"/>
  <c r="I370" i="3"/>
  <c r="C370" i="3" s="1" a="1"/>
  <c r="C370" i="3" s="1"/>
  <c r="I368" i="3"/>
  <c r="I367" i="3"/>
  <c r="I365" i="3"/>
  <c r="I364" i="3"/>
  <c r="I363" i="3"/>
  <c r="I362" i="3"/>
  <c r="I361" i="3"/>
  <c r="I360" i="3"/>
  <c r="I359" i="3"/>
  <c r="I358" i="3"/>
  <c r="I357" i="3"/>
  <c r="I355" i="3"/>
  <c r="I354" i="3"/>
  <c r="I350" i="3"/>
  <c r="I349" i="3"/>
  <c r="I348" i="3"/>
  <c r="I347" i="3"/>
  <c r="I346" i="3"/>
  <c r="C342" i="3" s="1" a="1"/>
  <c r="C342" i="3" s="1"/>
  <c r="I345" i="3"/>
  <c r="I344" i="3"/>
  <c r="I343" i="3"/>
  <c r="I342" i="3"/>
  <c r="I340" i="3"/>
  <c r="I339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4" i="3"/>
  <c r="I313" i="3"/>
  <c r="I311" i="3"/>
  <c r="I310" i="3"/>
  <c r="I309" i="3"/>
  <c r="I308" i="3"/>
  <c r="I307" i="3"/>
  <c r="I306" i="3"/>
  <c r="I305" i="3"/>
  <c r="I304" i="3"/>
  <c r="I303" i="3"/>
  <c r="I301" i="3"/>
  <c r="I300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C287" i="3" a="1"/>
  <c r="C287" i="3" s="1"/>
  <c r="B287" i="3" a="1"/>
  <c r="B287" i="3" s="1"/>
  <c r="I285" i="3"/>
  <c r="I284" i="3"/>
  <c r="I282" i="3"/>
  <c r="I281" i="3"/>
  <c r="I280" i="3"/>
  <c r="I279" i="3"/>
  <c r="I278" i="3"/>
  <c r="I277" i="3"/>
  <c r="I276" i="3"/>
  <c r="I275" i="3"/>
  <c r="I274" i="3"/>
  <c r="I273" i="3"/>
  <c r="I271" i="3"/>
  <c r="I270" i="3"/>
  <c r="I268" i="3"/>
  <c r="I267" i="3"/>
  <c r="I266" i="3"/>
  <c r="I265" i="3"/>
  <c r="I264" i="3"/>
  <c r="I263" i="3"/>
  <c r="I262" i="3"/>
  <c r="I261" i="3"/>
  <c r="I260" i="3"/>
  <c r="I259" i="3"/>
  <c r="C259" i="3" a="1"/>
  <c r="C259" i="3" s="1"/>
  <c r="I257" i="3"/>
  <c r="I256" i="3"/>
  <c r="I254" i="3"/>
  <c r="I253" i="3"/>
  <c r="I252" i="3"/>
  <c r="I251" i="3"/>
  <c r="I250" i="3"/>
  <c r="I249" i="3"/>
  <c r="I248" i="3"/>
  <c r="I247" i="3"/>
  <c r="I246" i="3"/>
  <c r="I245" i="3"/>
  <c r="I244" i="3"/>
  <c r="I242" i="3"/>
  <c r="I241" i="3"/>
  <c r="I239" i="3"/>
  <c r="I238" i="3"/>
  <c r="I237" i="3"/>
  <c r="I236" i="3"/>
  <c r="I235" i="3"/>
  <c r="I234" i="3"/>
  <c r="C225" i="3" s="1" a="1"/>
  <c r="C225" i="3" s="1"/>
  <c r="I233" i="3"/>
  <c r="I232" i="3"/>
  <c r="I231" i="3"/>
  <c r="I230" i="3"/>
  <c r="I229" i="3"/>
  <c r="I228" i="3"/>
  <c r="I227" i="3"/>
  <c r="I226" i="3"/>
  <c r="I225" i="3"/>
  <c r="I223" i="3"/>
  <c r="I222" i="3"/>
  <c r="I221" i="3"/>
  <c r="I220" i="3"/>
  <c r="I219" i="3"/>
  <c r="I218" i="3"/>
  <c r="I217" i="3"/>
  <c r="I216" i="3"/>
  <c r="I215" i="3"/>
  <c r="E213" i="3" s="1" a="1"/>
  <c r="I214" i="3"/>
  <c r="I213" i="3"/>
  <c r="C213" i="3" a="1"/>
  <c r="C213" i="3" s="1"/>
  <c r="I211" i="3"/>
  <c r="I210" i="3"/>
  <c r="I209" i="3"/>
  <c r="I208" i="3"/>
  <c r="C202" i="3" s="1" a="1"/>
  <c r="C202" i="3" s="1"/>
  <c r="I207" i="3"/>
  <c r="I206" i="3"/>
  <c r="I205" i="3"/>
  <c r="I204" i="3"/>
  <c r="I203" i="3"/>
  <c r="I202" i="3"/>
  <c r="I200" i="3"/>
  <c r="I199" i="3"/>
  <c r="I197" i="3"/>
  <c r="I196" i="3"/>
  <c r="B185" i="3" s="1" a="1"/>
  <c r="B185" i="3" s="1"/>
  <c r="I195" i="3"/>
  <c r="I194" i="3"/>
  <c r="I193" i="3"/>
  <c r="I192" i="3"/>
  <c r="I191" i="3"/>
  <c r="I190" i="3"/>
  <c r="I189" i="3"/>
  <c r="I188" i="3"/>
  <c r="I187" i="3"/>
  <c r="I186" i="3"/>
  <c r="I185" i="3"/>
  <c r="I183" i="3"/>
  <c r="I182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7" i="3"/>
  <c r="I166" i="3"/>
  <c r="I164" i="3"/>
  <c r="I163" i="3"/>
  <c r="I162" i="3"/>
  <c r="I161" i="3"/>
  <c r="I160" i="3"/>
  <c r="I159" i="3"/>
  <c r="I158" i="3"/>
  <c r="I157" i="3"/>
  <c r="I156" i="3"/>
  <c r="I154" i="3"/>
  <c r="I153" i="3"/>
  <c r="I151" i="3"/>
  <c r="I150" i="3"/>
  <c r="I149" i="3"/>
  <c r="I148" i="3"/>
  <c r="I147" i="3"/>
  <c r="C139" i="3" s="1" a="1"/>
  <c r="C139" i="3" s="1"/>
  <c r="I146" i="3"/>
  <c r="I145" i="3"/>
  <c r="I144" i="3"/>
  <c r="I143" i="3"/>
  <c r="I142" i="3"/>
  <c r="I141" i="3"/>
  <c r="I140" i="3"/>
  <c r="I139" i="3"/>
  <c r="I137" i="3"/>
  <c r="I136" i="3"/>
  <c r="I134" i="3"/>
  <c r="I133" i="3"/>
  <c r="I132" i="3"/>
  <c r="I131" i="3"/>
  <c r="I130" i="3"/>
  <c r="I129" i="3"/>
  <c r="I128" i="3"/>
  <c r="I127" i="3"/>
  <c r="I125" i="3"/>
  <c r="I124" i="3"/>
  <c r="I122" i="3"/>
  <c r="I121" i="3"/>
  <c r="I120" i="3"/>
  <c r="I119" i="3"/>
  <c r="I118" i="3"/>
  <c r="I117" i="3"/>
  <c r="I116" i="3"/>
  <c r="I115" i="3"/>
  <c r="I114" i="3"/>
  <c r="I113" i="3"/>
  <c r="I112" i="3"/>
  <c r="C112" i="3" a="1"/>
  <c r="C112" i="3" s="1"/>
  <c r="B112" i="3" a="1"/>
  <c r="B112" i="3" s="1"/>
  <c r="I110" i="3"/>
  <c r="I109" i="3"/>
  <c r="I107" i="3"/>
  <c r="I106" i="3"/>
  <c r="B99" i="3" s="1" a="1"/>
  <c r="B99" i="3" s="1"/>
  <c r="I105" i="3"/>
  <c r="I104" i="3"/>
  <c r="I103" i="3"/>
  <c r="I102" i="3"/>
  <c r="I101" i="3"/>
  <c r="I100" i="3"/>
  <c r="I99" i="3"/>
  <c r="I97" i="3"/>
  <c r="I96" i="3"/>
  <c r="I94" i="3"/>
  <c r="E85" i="3" s="1" a="1"/>
  <c r="G94" i="3" s="1"/>
  <c r="I93" i="3"/>
  <c r="I92" i="3"/>
  <c r="I91" i="3"/>
  <c r="I90" i="3"/>
  <c r="I89" i="3"/>
  <c r="I88" i="3"/>
  <c r="I87" i="3"/>
  <c r="I86" i="3"/>
  <c r="I85" i="3"/>
  <c r="I83" i="3"/>
  <c r="I82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5" i="3"/>
  <c r="I64" i="3"/>
  <c r="I61" i="3"/>
  <c r="I60" i="3"/>
  <c r="I59" i="3"/>
  <c r="G59" i="3"/>
  <c r="I58" i="3"/>
  <c r="I57" i="3"/>
  <c r="I56" i="3"/>
  <c r="I55" i="3"/>
  <c r="I54" i="3"/>
  <c r="I53" i="3"/>
  <c r="I52" i="3"/>
  <c r="I51" i="3"/>
  <c r="I50" i="3"/>
  <c r="I49" i="3"/>
  <c r="I48" i="3"/>
  <c r="I47" i="3"/>
  <c r="E47" i="3" a="1"/>
  <c r="E47" i="3" s="1"/>
  <c r="G47" i="3" s="1"/>
  <c r="I45" i="3"/>
  <c r="I44" i="3"/>
  <c r="I41" i="3"/>
  <c r="C34" i="3" s="1" a="1"/>
  <c r="C34" i="3" s="1"/>
  <c r="I40" i="3"/>
  <c r="I39" i="3"/>
  <c r="I38" i="3"/>
  <c r="I37" i="3"/>
  <c r="I36" i="3"/>
  <c r="I35" i="3"/>
  <c r="I34" i="3"/>
  <c r="B34" i="3" a="1"/>
  <c r="B34" i="3" s="1"/>
  <c r="I32" i="3"/>
  <c r="I31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3" i="3"/>
  <c r="I12" i="3"/>
  <c r="I9" i="3"/>
  <c r="I8" i="3"/>
  <c r="I7" i="3"/>
  <c r="I6" i="3"/>
  <c r="I5" i="3"/>
  <c r="I4" i="3"/>
  <c r="B4" i="3" s="1" a="1"/>
  <c r="E4" i="3" a="1"/>
  <c r="C4" i="3" a="1"/>
  <c r="C4" i="3" s="1"/>
  <c r="B4" i="3"/>
  <c r="I2" i="3"/>
  <c r="I1" i="3"/>
  <c r="B413" i="3" l="1" a="1"/>
  <c r="B413" i="3" s="1"/>
  <c r="E413" i="3" a="1"/>
  <c r="C413" i="3" a="1"/>
  <c r="C413" i="3" s="1"/>
  <c r="C185" i="3" a="1"/>
  <c r="C185" i="3" s="1"/>
  <c r="E15" i="3" a="1"/>
  <c r="C15" i="3" a="1"/>
  <c r="C15" i="3" s="1"/>
  <c r="B15" i="3" a="1"/>
  <c r="B15" i="3" s="1"/>
  <c r="E185" i="3" a="1"/>
  <c r="G57" i="3"/>
  <c r="E259" i="3" a="1"/>
  <c r="B259" i="3" a="1"/>
  <c r="B259" i="3" s="1"/>
  <c r="E316" i="3" a="1"/>
  <c r="E555" i="3" a="1"/>
  <c r="E663" i="3" a="1"/>
  <c r="C127" i="3" a="1"/>
  <c r="C127" i="3" s="1"/>
  <c r="B127" i="3" a="1"/>
  <c r="B127" i="3" s="1"/>
  <c r="E225" i="3" a="1"/>
  <c r="E357" i="3" a="1"/>
  <c r="G88" i="3"/>
  <c r="E95" i="3"/>
  <c r="G90" i="3"/>
  <c r="G89" i="3"/>
  <c r="G87" i="3"/>
  <c r="E85" i="3"/>
  <c r="G85" i="3" s="1"/>
  <c r="G93" i="3"/>
  <c r="G92" i="3"/>
  <c r="G91" i="3"/>
  <c r="G86" i="3"/>
  <c r="E169" i="3" a="1"/>
  <c r="C169" i="3" a="1"/>
  <c r="C169" i="3" s="1"/>
  <c r="G389" i="3"/>
  <c r="G386" i="3"/>
  <c r="G387" i="3"/>
  <c r="G384" i="3"/>
  <c r="G393" i="3"/>
  <c r="G385" i="3"/>
  <c r="E382" i="3"/>
  <c r="G383" i="3"/>
  <c r="G392" i="3"/>
  <c r="G391" i="3"/>
  <c r="G390" i="3"/>
  <c r="B316" i="3" a="1"/>
  <c r="B316" i="3" s="1"/>
  <c r="C316" i="3" a="1"/>
  <c r="C316" i="3" s="1"/>
  <c r="E448" i="3"/>
  <c r="G438" i="3"/>
  <c r="G447" i="3"/>
  <c r="G437" i="3"/>
  <c r="G444" i="3"/>
  <c r="G434" i="3"/>
  <c r="G445" i="3"/>
  <c r="G433" i="3"/>
  <c r="G432" i="3"/>
  <c r="G443" i="3"/>
  <c r="G439" i="3"/>
  <c r="G436" i="3"/>
  <c r="G435" i="3"/>
  <c r="E430" i="3"/>
  <c r="G430" i="3" s="1"/>
  <c r="G446" i="3"/>
  <c r="G431" i="3"/>
  <c r="G440" i="3"/>
  <c r="C303" i="3" a="1"/>
  <c r="C303" i="3" s="1"/>
  <c r="E303" i="3" a="1"/>
  <c r="G7" i="3"/>
  <c r="E4" i="3"/>
  <c r="G6" i="3"/>
  <c r="G8" i="3"/>
  <c r="G9" i="3"/>
  <c r="G5" i="3"/>
  <c r="B85" i="3" a="1"/>
  <c r="B85" i="3" s="1"/>
  <c r="E627" i="3" a="1"/>
  <c r="B156" i="3" a="1"/>
  <c r="B156" i="3" s="1"/>
  <c r="G442" i="3"/>
  <c r="C85" i="3" a="1"/>
  <c r="C85" i="3" s="1"/>
  <c r="C273" i="3" a="1"/>
  <c r="C273" i="3" s="1"/>
  <c r="B273" i="3" a="1"/>
  <c r="B273" i="3" s="1"/>
  <c r="E273" i="3" a="1"/>
  <c r="G459" i="3"/>
  <c r="G466" i="3"/>
  <c r="G456" i="3"/>
  <c r="G458" i="3"/>
  <c r="G457" i="3"/>
  <c r="E454" i="3"/>
  <c r="G454" i="3" s="1"/>
  <c r="G465" i="3"/>
  <c r="G463" i="3"/>
  <c r="G464" i="3"/>
  <c r="G462" i="3"/>
  <c r="G461" i="3"/>
  <c r="G460" i="3"/>
  <c r="E467" i="3"/>
  <c r="G58" i="3"/>
  <c r="G48" i="3"/>
  <c r="G55" i="3"/>
  <c r="G56" i="3"/>
  <c r="G54" i="3"/>
  <c r="G49" i="3"/>
  <c r="G53" i="3"/>
  <c r="G61" i="3"/>
  <c r="G52" i="3"/>
  <c r="G50" i="3"/>
  <c r="G51" i="3"/>
  <c r="E62" i="3"/>
  <c r="G60" i="3"/>
  <c r="E139" i="3" a="1"/>
  <c r="B645" i="3" a="1"/>
  <c r="B645" i="3" s="1"/>
  <c r="E67" i="3" a="1"/>
  <c r="B67" i="3" a="1"/>
  <c r="B67" i="3" s="1"/>
  <c r="E213" i="3"/>
  <c r="G220" i="3"/>
  <c r="G218" i="3"/>
  <c r="G216" i="3"/>
  <c r="G219" i="3"/>
  <c r="G217" i="3"/>
  <c r="G215" i="3"/>
  <c r="G214" i="3"/>
  <c r="C645" i="3" a="1"/>
  <c r="C645" i="3" s="1"/>
  <c r="E398" i="3" a="1"/>
  <c r="B522" i="3" a="1"/>
  <c r="B522" i="3" s="1"/>
  <c r="E574" i="3" a="1"/>
  <c r="C574" i="3" a="1"/>
  <c r="C574" i="3" s="1"/>
  <c r="B574" i="3" a="1"/>
  <c r="B574" i="3" s="1"/>
  <c r="G683" i="3"/>
  <c r="E501" i="3" a="1"/>
  <c r="C501" i="3" a="1"/>
  <c r="C501" i="3" s="1"/>
  <c r="C555" i="3" a="1"/>
  <c r="C555" i="3" s="1"/>
  <c r="E611" i="3" a="1"/>
  <c r="C611" i="3" a="1"/>
  <c r="C611" i="3" s="1"/>
  <c r="B611" i="3" a="1"/>
  <c r="B611" i="3" s="1"/>
  <c r="B627" i="3" a="1"/>
  <c r="B627" i="3" s="1"/>
  <c r="B677" i="3" a="1"/>
  <c r="B677" i="3" s="1"/>
  <c r="C357" i="3" a="1"/>
  <c r="C357" i="3" s="1"/>
  <c r="E690" i="3" a="1"/>
  <c r="C690" i="3" a="1"/>
  <c r="C690" i="3" s="1"/>
  <c r="C430" i="3" a="1"/>
  <c r="C430" i="3" s="1"/>
  <c r="B430" i="3" a="1"/>
  <c r="B430" i="3" s="1"/>
  <c r="C677" i="3" a="1"/>
  <c r="C677" i="3" s="1"/>
  <c r="C471" i="3" a="1"/>
  <c r="C471" i="3" s="1"/>
  <c r="B471" i="3" a="1"/>
  <c r="B471" i="3" s="1"/>
  <c r="E471" i="3" a="1"/>
  <c r="G490" i="3"/>
  <c r="E487" i="3"/>
  <c r="G494" i="3"/>
  <c r="G493" i="3"/>
  <c r="G489" i="3"/>
  <c r="E99" i="3" a="1"/>
  <c r="C99" i="3" a="1"/>
  <c r="C99" i="3" s="1"/>
  <c r="E538" i="3" a="1"/>
  <c r="C538" i="3" a="1"/>
  <c r="C538" i="3" s="1"/>
  <c r="B555" i="3" a="1"/>
  <c r="B555" i="3" s="1"/>
  <c r="E127" i="3" a="1"/>
  <c r="E202" i="3" a="1"/>
  <c r="B202" i="3" a="1"/>
  <c r="B202" i="3" s="1"/>
  <c r="E677" i="3"/>
  <c r="B139" i="3" a="1"/>
  <c r="B139" i="3" s="1"/>
  <c r="B213" i="3" a="1"/>
  <c r="B213" i="3" s="1"/>
  <c r="B342" i="3" a="1"/>
  <c r="B342" i="3" s="1"/>
  <c r="E342" i="3" a="1"/>
  <c r="G491" i="3"/>
  <c r="E34" i="3" a="1"/>
  <c r="B303" i="3" a="1"/>
  <c r="B303" i="3" s="1"/>
  <c r="E645" i="3" a="1"/>
  <c r="B382" i="3" a="1"/>
  <c r="B382" i="3" s="1"/>
  <c r="C454" i="3" a="1"/>
  <c r="C454" i="3" s="1"/>
  <c r="B225" i="3" a="1"/>
  <c r="B225" i="3" s="1"/>
  <c r="E370" i="3" a="1"/>
  <c r="C47" i="3" a="1"/>
  <c r="C47" i="3" s="1"/>
  <c r="B47" i="3" a="1"/>
  <c r="B47" i="3" s="1"/>
  <c r="E112" i="3" a="1"/>
  <c r="G488" i="3"/>
  <c r="G679" i="3"/>
  <c r="G678" i="3"/>
  <c r="G685" i="3"/>
  <c r="G684" i="3"/>
  <c r="G682" i="3"/>
  <c r="G681" i="3"/>
  <c r="C398" i="3" a="1"/>
  <c r="C398" i="3" s="1"/>
  <c r="C663" i="3" a="1"/>
  <c r="C663" i="3" s="1"/>
  <c r="B663" i="3" a="1"/>
  <c r="B663" i="3" s="1"/>
  <c r="C156" i="3" a="1"/>
  <c r="C156" i="3" s="1"/>
  <c r="E287" i="3" a="1"/>
  <c r="B357" i="3" a="1"/>
  <c r="B357" i="3" s="1"/>
  <c r="B454" i="3" a="1"/>
  <c r="B454" i="3" s="1"/>
  <c r="G492" i="3"/>
  <c r="C522" i="3" a="1"/>
  <c r="C522" i="3" s="1"/>
  <c r="B169" i="3" a="1"/>
  <c r="B169" i="3" s="1"/>
  <c r="E522" i="3" a="1"/>
  <c r="C67" i="3" a="1"/>
  <c r="C67" i="3" s="1"/>
  <c r="C244" i="3" a="1"/>
  <c r="C244" i="3" s="1"/>
  <c r="B244" i="3" a="1"/>
  <c r="B244" i="3" s="1"/>
  <c r="E244" i="3" a="1"/>
  <c r="G495" i="3"/>
  <c r="E587" i="3" a="1"/>
  <c r="B587" i="3" a="1"/>
  <c r="B587" i="3" s="1"/>
  <c r="C587" i="3" a="1"/>
  <c r="C587" i="3" s="1"/>
  <c r="B538" i="3" a="1"/>
  <c r="B538" i="3" s="1"/>
  <c r="E156" i="3" a="1"/>
  <c r="E598" i="3" a="1"/>
  <c r="C598" i="3" a="1"/>
  <c r="C598" i="3" s="1"/>
  <c r="B398" i="3" a="1"/>
  <c r="B398" i="3" s="1"/>
  <c r="G360" i="3" l="1"/>
  <c r="G365" i="3"/>
  <c r="G364" i="3"/>
  <c r="G361" i="3"/>
  <c r="G359" i="3"/>
  <c r="G358" i="3"/>
  <c r="E357" i="3"/>
  <c r="G363" i="3"/>
  <c r="G362" i="3"/>
  <c r="G669" i="3"/>
  <c r="G668" i="3"/>
  <c r="G665" i="3"/>
  <c r="G671" i="3"/>
  <c r="G670" i="3"/>
  <c r="G667" i="3"/>
  <c r="G666" i="3"/>
  <c r="E663" i="3"/>
  <c r="G664" i="3"/>
  <c r="G568" i="3"/>
  <c r="G558" i="3"/>
  <c r="G565" i="3"/>
  <c r="E555" i="3"/>
  <c r="G563" i="3"/>
  <c r="G562" i="3"/>
  <c r="G560" i="3"/>
  <c r="G559" i="3"/>
  <c r="G557" i="3"/>
  <c r="G569" i="3"/>
  <c r="G556" i="3"/>
  <c r="G567" i="3"/>
  <c r="G566" i="3"/>
  <c r="G561" i="3"/>
  <c r="G564" i="3"/>
  <c r="E686" i="3"/>
  <c r="G677" i="3"/>
  <c r="G281" i="3"/>
  <c r="G280" i="3"/>
  <c r="G276" i="3"/>
  <c r="G274" i="3"/>
  <c r="G282" i="3"/>
  <c r="G279" i="3"/>
  <c r="G278" i="3"/>
  <c r="G275" i="3"/>
  <c r="G277" i="3"/>
  <c r="E273" i="3"/>
  <c r="G329" i="3"/>
  <c r="G319" i="3"/>
  <c r="G336" i="3"/>
  <c r="G326" i="3"/>
  <c r="G331" i="3"/>
  <c r="G320" i="3"/>
  <c r="G330" i="3"/>
  <c r="G328" i="3"/>
  <c r="G317" i="3"/>
  <c r="G337" i="3"/>
  <c r="G321" i="3"/>
  <c r="G333" i="3"/>
  <c r="G332" i="3"/>
  <c r="E338" i="3"/>
  <c r="G318" i="3"/>
  <c r="E316" i="3"/>
  <c r="G316" i="3" s="1"/>
  <c r="G327" i="3"/>
  <c r="G325" i="3"/>
  <c r="G324" i="3"/>
  <c r="G323" i="3"/>
  <c r="G322" i="3"/>
  <c r="G335" i="3"/>
  <c r="G334" i="3"/>
  <c r="E587" i="3"/>
  <c r="G593" i="3"/>
  <c r="G592" i="3"/>
  <c r="G589" i="3"/>
  <c r="G588" i="3"/>
  <c r="G590" i="3"/>
  <c r="G591" i="3"/>
  <c r="G698" i="3"/>
  <c r="G695" i="3"/>
  <c r="G697" i="3"/>
  <c r="G696" i="3"/>
  <c r="G694" i="3"/>
  <c r="G693" i="3"/>
  <c r="G692" i="3"/>
  <c r="G691" i="3"/>
  <c r="E690" i="3"/>
  <c r="G261" i="3"/>
  <c r="G268" i="3"/>
  <c r="G265" i="3"/>
  <c r="G264" i="3"/>
  <c r="G260" i="3"/>
  <c r="G266" i="3"/>
  <c r="G267" i="3"/>
  <c r="G263" i="3"/>
  <c r="G262" i="3"/>
  <c r="E259" i="3"/>
  <c r="G648" i="3"/>
  <c r="G657" i="3"/>
  <c r="G647" i="3"/>
  <c r="G655" i="3"/>
  <c r="E645" i="3"/>
  <c r="G649" i="3"/>
  <c r="G656" i="3"/>
  <c r="G651" i="3"/>
  <c r="G650" i="3"/>
  <c r="G646" i="3"/>
  <c r="G654" i="3"/>
  <c r="G652" i="3"/>
  <c r="G653" i="3"/>
  <c r="E497" i="3"/>
  <c r="G487" i="3"/>
  <c r="G38" i="3"/>
  <c r="E34" i="3"/>
  <c r="G40" i="3"/>
  <c r="G41" i="3"/>
  <c r="G39" i="3"/>
  <c r="G37" i="3"/>
  <c r="G35" i="3"/>
  <c r="G36" i="3"/>
  <c r="E156" i="3"/>
  <c r="G156" i="3" s="1"/>
  <c r="E165" i="3"/>
  <c r="G164" i="3"/>
  <c r="G162" i="3"/>
  <c r="G158" i="3"/>
  <c r="G157" i="3"/>
  <c r="G163" i="3"/>
  <c r="G159" i="3"/>
  <c r="G160" i="3"/>
  <c r="G161" i="3"/>
  <c r="G204" i="3"/>
  <c r="G207" i="3"/>
  <c r="G206" i="3"/>
  <c r="G205" i="3"/>
  <c r="G203" i="3"/>
  <c r="E202" i="3"/>
  <c r="G208" i="3"/>
  <c r="E127" i="3"/>
  <c r="G134" i="3"/>
  <c r="G133" i="3"/>
  <c r="G131" i="3"/>
  <c r="G130" i="3"/>
  <c r="G129" i="3"/>
  <c r="G128" i="3"/>
  <c r="G132" i="3"/>
  <c r="G195" i="3"/>
  <c r="E185" i="3"/>
  <c r="G194" i="3"/>
  <c r="G188" i="3"/>
  <c r="G197" i="3"/>
  <c r="G186" i="3"/>
  <c r="G193" i="3"/>
  <c r="G192" i="3"/>
  <c r="G190" i="3"/>
  <c r="G191" i="3"/>
  <c r="G189" i="3"/>
  <c r="G196" i="3"/>
  <c r="G187" i="3"/>
  <c r="G549" i="3"/>
  <c r="G539" i="3"/>
  <c r="G548" i="3"/>
  <c r="G545" i="3"/>
  <c r="G541" i="3"/>
  <c r="G540" i="3"/>
  <c r="G547" i="3"/>
  <c r="G546" i="3"/>
  <c r="G544" i="3"/>
  <c r="G543" i="3"/>
  <c r="G542" i="3"/>
  <c r="E538" i="3"/>
  <c r="G550" i="3"/>
  <c r="G382" i="3"/>
  <c r="E394" i="3"/>
  <c r="G399" i="3"/>
  <c r="G408" i="3"/>
  <c r="G405" i="3"/>
  <c r="E398" i="3"/>
  <c r="G407" i="3"/>
  <c r="G400" i="3"/>
  <c r="G406" i="3"/>
  <c r="G404" i="3"/>
  <c r="G403" i="3"/>
  <c r="G401" i="3"/>
  <c r="G402" i="3"/>
  <c r="G638" i="3"/>
  <c r="G628" i="3"/>
  <c r="G637" i="3"/>
  <c r="E627" i="3"/>
  <c r="G634" i="3"/>
  <c r="G636" i="3"/>
  <c r="G635" i="3"/>
  <c r="G633" i="3"/>
  <c r="G631" i="3"/>
  <c r="G632" i="3"/>
  <c r="G630" i="3"/>
  <c r="G629" i="3"/>
  <c r="G639" i="3"/>
  <c r="G175" i="3"/>
  <c r="G172" i="3"/>
  <c r="G177" i="3"/>
  <c r="G170" i="3"/>
  <c r="G180" i="3"/>
  <c r="E169" i="3"/>
  <c r="G179" i="3"/>
  <c r="G178" i="3"/>
  <c r="G176" i="3"/>
  <c r="G174" i="3"/>
  <c r="G173" i="3"/>
  <c r="G171" i="3"/>
  <c r="G117" i="3"/>
  <c r="G114" i="3"/>
  <c r="E112" i="3"/>
  <c r="G122" i="3"/>
  <c r="G119" i="3"/>
  <c r="G118" i="3"/>
  <c r="G116" i="3"/>
  <c r="G115" i="3"/>
  <c r="G113" i="3"/>
  <c r="G121" i="3"/>
  <c r="G120" i="3"/>
  <c r="G578" i="3"/>
  <c r="G577" i="3"/>
  <c r="E574" i="3"/>
  <c r="G575" i="3"/>
  <c r="G582" i="3"/>
  <c r="G579" i="3"/>
  <c r="G581" i="3"/>
  <c r="G580" i="3"/>
  <c r="G576" i="3"/>
  <c r="G529" i="3"/>
  <c r="G526" i="3"/>
  <c r="G528" i="3"/>
  <c r="G533" i="3"/>
  <c r="E522" i="3"/>
  <c r="G531" i="3"/>
  <c r="G527" i="3"/>
  <c r="G532" i="3"/>
  <c r="G530" i="3"/>
  <c r="G525" i="3"/>
  <c r="G524" i="3"/>
  <c r="G523" i="3"/>
  <c r="G79" i="3"/>
  <c r="G69" i="3"/>
  <c r="G78" i="3"/>
  <c r="G68" i="3"/>
  <c r="G76" i="3"/>
  <c r="G74" i="3"/>
  <c r="G80" i="3"/>
  <c r="E67" i="3"/>
  <c r="G77" i="3"/>
  <c r="G75" i="3"/>
  <c r="G73" i="3"/>
  <c r="G70" i="3"/>
  <c r="G72" i="3"/>
  <c r="G71" i="3"/>
  <c r="G146" i="3"/>
  <c r="G143" i="3"/>
  <c r="G145" i="3"/>
  <c r="G144" i="3"/>
  <c r="G142" i="3"/>
  <c r="G151" i="3"/>
  <c r="G140" i="3"/>
  <c r="G150" i="3"/>
  <c r="G141" i="3"/>
  <c r="E152" i="3"/>
  <c r="E139" i="3"/>
  <c r="G139" i="3" s="1"/>
  <c r="G147" i="3"/>
  <c r="G149" i="3"/>
  <c r="G148" i="3"/>
  <c r="G479" i="3"/>
  <c r="G478" i="3"/>
  <c r="G475" i="3"/>
  <c r="G480" i="3"/>
  <c r="G476" i="3"/>
  <c r="G477" i="3"/>
  <c r="G474" i="3"/>
  <c r="G473" i="3"/>
  <c r="G472" i="3"/>
  <c r="E471" i="3"/>
  <c r="G606" i="3"/>
  <c r="G603" i="3"/>
  <c r="G599" i="3"/>
  <c r="E598" i="3"/>
  <c r="G604" i="3"/>
  <c r="G601" i="3"/>
  <c r="G602" i="3"/>
  <c r="G600" i="3"/>
  <c r="G605" i="3"/>
  <c r="G349" i="3"/>
  <c r="G348" i="3"/>
  <c r="E342" i="3"/>
  <c r="G350" i="3"/>
  <c r="G347" i="3"/>
  <c r="G346" i="3"/>
  <c r="G345" i="3"/>
  <c r="G343" i="3"/>
  <c r="G344" i="3"/>
  <c r="G616" i="3"/>
  <c r="G615" i="3"/>
  <c r="G613" i="3"/>
  <c r="G620" i="3"/>
  <c r="G619" i="3"/>
  <c r="G618" i="3"/>
  <c r="G612" i="3"/>
  <c r="G617" i="3"/>
  <c r="G614" i="3"/>
  <c r="E611" i="3"/>
  <c r="G27" i="3"/>
  <c r="G17" i="3"/>
  <c r="G24" i="3"/>
  <c r="G22" i="3"/>
  <c r="G20" i="3"/>
  <c r="E29" i="3"/>
  <c r="G18" i="3"/>
  <c r="G26" i="3"/>
  <c r="G25" i="3"/>
  <c r="G23" i="3"/>
  <c r="G21" i="3"/>
  <c r="G19" i="3"/>
  <c r="E15" i="3"/>
  <c r="G15" i="3" s="1"/>
  <c r="G16" i="3"/>
  <c r="G28" i="3"/>
  <c r="E370" i="3"/>
  <c r="G376" i="3"/>
  <c r="G375" i="3"/>
  <c r="G373" i="3"/>
  <c r="G372" i="3"/>
  <c r="G371" i="3"/>
  <c r="G377" i="3"/>
  <c r="G374" i="3"/>
  <c r="G107" i="3"/>
  <c r="G101" i="3"/>
  <c r="G106" i="3"/>
  <c r="G105" i="3"/>
  <c r="G104" i="3"/>
  <c r="G103" i="3"/>
  <c r="E99" i="3"/>
  <c r="G102" i="3"/>
  <c r="G100" i="3"/>
  <c r="G510" i="3"/>
  <c r="G509" i="3"/>
  <c r="G516" i="3"/>
  <c r="G506" i="3"/>
  <c r="G517" i="3"/>
  <c r="G505" i="3"/>
  <c r="G503" i="3"/>
  <c r="G508" i="3"/>
  <c r="G507" i="3"/>
  <c r="G502" i="3"/>
  <c r="G504" i="3"/>
  <c r="E501" i="3"/>
  <c r="G513" i="3"/>
  <c r="G515" i="3"/>
  <c r="G514" i="3"/>
  <c r="G511" i="3"/>
  <c r="G512" i="3"/>
  <c r="G310" i="3"/>
  <c r="G309" i="3"/>
  <c r="G308" i="3"/>
  <c r="G306" i="3"/>
  <c r="G304" i="3"/>
  <c r="G307" i="3"/>
  <c r="G305" i="3"/>
  <c r="E303" i="3"/>
  <c r="G311" i="3"/>
  <c r="G418" i="3"/>
  <c r="G425" i="3"/>
  <c r="G415" i="3"/>
  <c r="G421" i="3"/>
  <c r="G420" i="3"/>
  <c r="G416" i="3"/>
  <c r="E413" i="3"/>
  <c r="G413" i="3" s="1"/>
  <c r="G424" i="3"/>
  <c r="G422" i="3"/>
  <c r="G417" i="3"/>
  <c r="G423" i="3"/>
  <c r="G419" i="3"/>
  <c r="E426" i="3"/>
  <c r="G414" i="3"/>
  <c r="G290" i="3"/>
  <c r="G297" i="3"/>
  <c r="G298" i="3"/>
  <c r="E287" i="3"/>
  <c r="G295" i="3"/>
  <c r="G294" i="3"/>
  <c r="G293" i="3"/>
  <c r="G291" i="3"/>
  <c r="G292" i="3"/>
  <c r="G289" i="3"/>
  <c r="G288" i="3"/>
  <c r="G296" i="3"/>
  <c r="G232" i="3"/>
  <c r="G239" i="3"/>
  <c r="G229" i="3"/>
  <c r="G231" i="3"/>
  <c r="G230" i="3"/>
  <c r="G228" i="3"/>
  <c r="G227" i="3"/>
  <c r="G237" i="3"/>
  <c r="G238" i="3"/>
  <c r="G226" i="3"/>
  <c r="G236" i="3"/>
  <c r="E225" i="3"/>
  <c r="G235" i="3"/>
  <c r="G234" i="3"/>
  <c r="G233" i="3"/>
  <c r="G252" i="3"/>
  <c r="G251" i="3"/>
  <c r="E244" i="3"/>
  <c r="G244" i="3" s="1"/>
  <c r="G254" i="3"/>
  <c r="G249" i="3"/>
  <c r="G245" i="3"/>
  <c r="E255" i="3"/>
  <c r="G253" i="3"/>
  <c r="G250" i="3"/>
  <c r="G248" i="3"/>
  <c r="G247" i="3"/>
  <c r="G246" i="3"/>
  <c r="G213" i="3"/>
  <c r="E221" i="3"/>
  <c r="E10" i="3"/>
  <c r="G4" i="3"/>
  <c r="E240" i="3" l="1"/>
  <c r="G225" i="3"/>
  <c r="G287" i="3"/>
  <c r="E299" i="3"/>
  <c r="G370" i="3"/>
  <c r="E378" i="3"/>
  <c r="E607" i="3"/>
  <c r="G598" i="3"/>
  <c r="G574" i="3"/>
  <c r="E583" i="3"/>
  <c r="E181" i="3"/>
  <c r="G169" i="3"/>
  <c r="E658" i="3"/>
  <c r="G645" i="3"/>
  <c r="E672" i="3"/>
  <c r="G663" i="3"/>
  <c r="E481" i="3"/>
  <c r="G471" i="3"/>
  <c r="G127" i="3"/>
  <c r="E135" i="3"/>
  <c r="E108" i="3"/>
  <c r="G99" i="3"/>
  <c r="E409" i="3"/>
  <c r="G398" i="3"/>
  <c r="E269" i="3"/>
  <c r="G259" i="3"/>
  <c r="E209" i="3"/>
  <c r="G202" i="3"/>
  <c r="G522" i="3"/>
  <c r="E534" i="3"/>
  <c r="G34" i="3"/>
  <c r="E42" i="3"/>
  <c r="E123" i="3"/>
  <c r="G112" i="3"/>
  <c r="G587" i="3"/>
  <c r="E594" i="3"/>
  <c r="E518" i="3"/>
  <c r="G501" i="3"/>
  <c r="G342" i="3"/>
  <c r="E351" i="3"/>
  <c r="G538" i="3"/>
  <c r="E551" i="3"/>
  <c r="G357" i="3"/>
  <c r="E366" i="3"/>
  <c r="G67" i="3"/>
  <c r="E81" i="3"/>
  <c r="G627" i="3"/>
  <c r="E640" i="3"/>
  <c r="E283" i="3"/>
  <c r="G273" i="3"/>
  <c r="E621" i="3"/>
  <c r="G611" i="3"/>
  <c r="G185" i="3"/>
  <c r="E198" i="3"/>
  <c r="E699" i="3"/>
  <c r="G690" i="3"/>
  <c r="G555" i="3"/>
  <c r="E570" i="3"/>
  <c r="G303" i="3"/>
  <c r="E31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<sst xmlns="http://schemas.openxmlformats.org/spreadsheetml/2006/main" count="5695" uniqueCount="1458">
  <si>
    <t>Monday, 17 August 2026</t>
  </si>
  <si>
    <t>Session, 1 (8:30 AM - 10:30 AM)</t>
  </si>
  <si>
    <t xml:space="preserve">CODE </t>
  </si>
  <si>
    <t xml:space="preserve">COURSE NAME </t>
  </si>
  <si>
    <t xml:space="preserve">EXAMINER </t>
  </si>
  <si>
    <t>CLASS</t>
  </si>
  <si>
    <t># STDS</t>
  </si>
  <si>
    <t>ROOM NO.</t>
  </si>
  <si>
    <t>TO PRT</t>
  </si>
  <si>
    <t>CODE ,COURSE NAME ,# STDS</t>
  </si>
  <si>
    <t>CHE 258</t>
  </si>
  <si>
    <t>ED2-CHE</t>
  </si>
  <si>
    <t>VSLA/303/RMA/RMB/206/304</t>
  </si>
  <si>
    <t>45/30/22/22/22/20</t>
  </si>
  <si>
    <t>ED2-PCE</t>
  </si>
  <si>
    <t>NEB-FF2/NEB-FF1</t>
  </si>
  <si>
    <t>25/40</t>
  </si>
  <si>
    <t>COE 354</t>
  </si>
  <si>
    <t>ED3-COE</t>
  </si>
  <si>
    <t>PB001/PB014/PB020/PB201/PB214/PB008/PB208/PB212</t>
  </si>
  <si>
    <t>36/36/36/36/36/30/30/22</t>
  </si>
  <si>
    <t>EE 156</t>
  </si>
  <si>
    <t>ED1-COE</t>
  </si>
  <si>
    <t>NEB-TF/NEB-SF</t>
  </si>
  <si>
    <t>131/131</t>
  </si>
  <si>
    <t>AERO 368</t>
  </si>
  <si>
    <t>ED3-AERO</t>
  </si>
  <si>
    <t>NAF1/A110</t>
  </si>
  <si>
    <t>46/30</t>
  </si>
  <si>
    <t>EE 272</t>
  </si>
  <si>
    <t>ED2-EE</t>
  </si>
  <si>
    <t>PB001/PB014/PB020/PB201/PB214/PB008/PB208/PB212/NEB-FF1/NEB-FF2</t>
  </si>
  <si>
    <t>38/38/38/38/38/28/28/25/45/25</t>
  </si>
  <si>
    <t>Total M1-1</t>
  </si>
  <si>
    <t>,Total T1-1</t>
  </si>
  <si>
    <t>Session, 2 (12:00 PM - 2:00 PM)</t>
  </si>
  <si>
    <t>CODE ,CLASS</t>
  </si>
  <si>
    <t>ME 274</t>
  </si>
  <si>
    <t>ED2-ME</t>
  </si>
  <si>
    <t>Computer Based</t>
  </si>
  <si>
    <t>AERO 274</t>
  </si>
  <si>
    <t>ED2-AERO</t>
  </si>
  <si>
    <t>IE 274</t>
  </si>
  <si>
    <t>ED2-IND</t>
  </si>
  <si>
    <t>AME 274</t>
  </si>
  <si>
    <t>ED2-AUTO</t>
  </si>
  <si>
    <t>MME 274</t>
  </si>
  <si>
    <t>ED2-MARI</t>
  </si>
  <si>
    <t>PCE 450</t>
  </si>
  <si>
    <t>ED4-PCE</t>
  </si>
  <si>
    <t>VSLA/303</t>
  </si>
  <si>
    <t>35/20</t>
  </si>
  <si>
    <t>PCE 464</t>
  </si>
  <si>
    <t>ED4-CHE</t>
  </si>
  <si>
    <t>NEB-FF1</t>
  </si>
  <si>
    <t>ME 296</t>
  </si>
  <si>
    <t>ED2-AE</t>
  </si>
  <si>
    <t>40/30/22/22/22/20</t>
  </si>
  <si>
    <t>CHE 362</t>
  </si>
  <si>
    <t>ED3-CHE</t>
  </si>
  <si>
    <t>RMA</t>
  </si>
  <si>
    <t>EE 152</t>
  </si>
  <si>
    <t>ED1-GEOM</t>
  </si>
  <si>
    <t>NEB-SF</t>
  </si>
  <si>
    <t>ED1-GEOL</t>
  </si>
  <si>
    <t>NEB-TF</t>
  </si>
  <si>
    <t>CE 154</t>
  </si>
  <si>
    <t>ED1-CE</t>
  </si>
  <si>
    <t>35/35/35/35/35/25/25/20</t>
  </si>
  <si>
    <t>CE 256</t>
  </si>
  <si>
    <t>ED2-GEOL</t>
  </si>
  <si>
    <t>NAF1/A110/EA/VCR/NEB-FF1</t>
  </si>
  <si>
    <t>40/30/30/25/25</t>
  </si>
  <si>
    <t>ED2-CE</t>
  </si>
  <si>
    <t>36/36/36/36/36/25/25/20</t>
  </si>
  <si>
    <t>Total M1-2</t>
  </si>
  <si>
    <t>,Total T1-2</t>
  </si>
  <si>
    <t>Session, 3 (3:00 PM - 5:00 PM)</t>
  </si>
  <si>
    <t>ME 374</t>
  </si>
  <si>
    <t>ED3-ME</t>
  </si>
  <si>
    <t>COMPUTER BASED</t>
  </si>
  <si>
    <t>ME 464</t>
  </si>
  <si>
    <t>ED4-ME</t>
  </si>
  <si>
    <t>VSLA/303/206/RMA/RMB</t>
  </si>
  <si>
    <t>40/30/22/22/21</t>
  </si>
  <si>
    <t>CE 376</t>
  </si>
  <si>
    <t>ED3-CE</t>
  </si>
  <si>
    <t>NEB-FF1/NEB-FF2/NEB-SF/NEB-TF</t>
  </si>
  <si>
    <t>50/30/75/75</t>
  </si>
  <si>
    <t>EE 362</t>
  </si>
  <si>
    <t>ED3-EE</t>
  </si>
  <si>
    <t>PB001/PB014/PB020/PB201/PB214/PB008/PB208</t>
  </si>
  <si>
    <t>37/37/37/37/37/28/28</t>
  </si>
  <si>
    <t>AME 386</t>
  </si>
  <si>
    <t>ED3-AUTO</t>
  </si>
  <si>
    <t>PB001/PB014</t>
  </si>
  <si>
    <t>20/20</t>
  </si>
  <si>
    <t>MME 482</t>
  </si>
  <si>
    <t>ED4-MARI</t>
  </si>
  <si>
    <t>PB020</t>
  </si>
  <si>
    <t>PE 360</t>
  </si>
  <si>
    <t>ED3-PE</t>
  </si>
  <si>
    <t>40/40</t>
  </si>
  <si>
    <t>GE 372</t>
  </si>
  <si>
    <t>ED3-GEOM</t>
  </si>
  <si>
    <t>NAF1/A110/EA/VCR</t>
  </si>
  <si>
    <t>40/30/30/22</t>
  </si>
  <si>
    <t>Tuesday, 18 August 2026</t>
  </si>
  <si>
    <t>PHY 170</t>
  </si>
  <si>
    <t>ED1-CHE</t>
  </si>
  <si>
    <t>ED1-PCE</t>
  </si>
  <si>
    <t>ED1-PE</t>
  </si>
  <si>
    <t>MME 292</t>
  </si>
  <si>
    <t>MME 396</t>
  </si>
  <si>
    <t>ED3-MARI</t>
  </si>
  <si>
    <t>AE 358</t>
  </si>
  <si>
    <t>ED3-AE</t>
  </si>
  <si>
    <t>PB001/PB020/PB014</t>
  </si>
  <si>
    <t>34/34/34</t>
  </si>
  <si>
    <t>ARC 156</t>
  </si>
  <si>
    <t>NAF1/EA</t>
  </si>
  <si>
    <t>TE 156</t>
  </si>
  <si>
    <t>ED1-TEL</t>
  </si>
  <si>
    <t>PCE 354</t>
  </si>
  <si>
    <t>ED3-PCE</t>
  </si>
  <si>
    <t>PE 254</t>
  </si>
  <si>
    <t>ED2-PE</t>
  </si>
  <si>
    <t>PB201/PB214/PB008</t>
  </si>
  <si>
    <t>33/32/30</t>
  </si>
  <si>
    <t>BME 372</t>
  </si>
  <si>
    <t>ED3-BME</t>
  </si>
  <si>
    <t>VSLA/303/RMA/RMB</t>
  </si>
  <si>
    <t>35/25/15/15</t>
  </si>
  <si>
    <t>GED 468</t>
  </si>
  <si>
    <t>ED4-GEOL</t>
  </si>
  <si>
    <t>AE 458</t>
  </si>
  <si>
    <t>ED4-AE</t>
  </si>
  <si>
    <t>NAF1/EA/A110</t>
  </si>
  <si>
    <t>43/30/30</t>
  </si>
  <si>
    <t>CE 464</t>
  </si>
  <si>
    <t>ED4-CE</t>
  </si>
  <si>
    <t>42/30/22/21</t>
  </si>
  <si>
    <t>AERO 396</t>
  </si>
  <si>
    <t>NEB-FF1/NEB-FF2</t>
  </si>
  <si>
    <t>50/26</t>
  </si>
  <si>
    <t>Total T1-1</t>
  </si>
  <si>
    <t>,</t>
  </si>
  <si>
    <t>COE 254</t>
  </si>
  <si>
    <t>ED2-COE</t>
  </si>
  <si>
    <t>170/85</t>
  </si>
  <si>
    <t>ED2-BME</t>
  </si>
  <si>
    <t>ME 168</t>
  </si>
  <si>
    <t>ED1-IND</t>
  </si>
  <si>
    <t>VSLA/303/206</t>
  </si>
  <si>
    <t>38/25/20</t>
  </si>
  <si>
    <t>ED1-MARI</t>
  </si>
  <si>
    <t>PB008/PB208</t>
  </si>
  <si>
    <t>23/23</t>
  </si>
  <si>
    <t>MSE 154</t>
  </si>
  <si>
    <t>ED1-METE</t>
  </si>
  <si>
    <t>30/45</t>
  </si>
  <si>
    <t>ED1-MSE</t>
  </si>
  <si>
    <t>EA/A110/NAF1</t>
  </si>
  <si>
    <t>30/30/40</t>
  </si>
  <si>
    <t>ME 482</t>
  </si>
  <si>
    <t>TE 384</t>
  </si>
  <si>
    <t>EA</t>
  </si>
  <si>
    <t>TE 356</t>
  </si>
  <si>
    <t>ED3-TEL</t>
  </si>
  <si>
    <t>PB001/PB014/PB201/PB214</t>
  </si>
  <si>
    <t>35/35/35/35</t>
  </si>
  <si>
    <t>AERO 452</t>
  </si>
  <si>
    <t>ED4-AERO</t>
  </si>
  <si>
    <t>PB214/PB020</t>
  </si>
  <si>
    <t>31/30</t>
  </si>
  <si>
    <t>METE 256</t>
  </si>
  <si>
    <t>ED2-METE</t>
  </si>
  <si>
    <t>35/22</t>
  </si>
  <si>
    <t>IE 368</t>
  </si>
  <si>
    <t>ED3-IND</t>
  </si>
  <si>
    <t>35/35</t>
  </si>
  <si>
    <t>CHE 368</t>
  </si>
  <si>
    <t>PB208/PB008</t>
  </si>
  <si>
    <t>25/25</t>
  </si>
  <si>
    <t>IE 452</t>
  </si>
  <si>
    <t>ED4-IND</t>
  </si>
  <si>
    <t>PB020/PB201</t>
  </si>
  <si>
    <t>35/34</t>
  </si>
  <si>
    <t>Total T1-2</t>
  </si>
  <si>
    <t>BME 166</t>
  </si>
  <si>
    <t>ED1-BME</t>
  </si>
  <si>
    <t>PB001/PB020/PB201/PB214</t>
  </si>
  <si>
    <t>34/34/34/34</t>
  </si>
  <si>
    <t>MSE 458</t>
  </si>
  <si>
    <t>ED4-MSE</t>
  </si>
  <si>
    <t>ED4-METE</t>
  </si>
  <si>
    <t>VSLA/304</t>
  </si>
  <si>
    <t>40/15</t>
  </si>
  <si>
    <t>EE 188</t>
  </si>
  <si>
    <t>ED1-EE</t>
  </si>
  <si>
    <t>PB001/PB014/PB020/PB201/PB214/PB008/PB208/PB212/NEB-TF</t>
  </si>
  <si>
    <t>36/36/36/36/36/30/30/25/30</t>
  </si>
  <si>
    <t>GE 286</t>
  </si>
  <si>
    <t>VSLA/303/206/RMA/RMB/304</t>
  </si>
  <si>
    <t>PE 466</t>
  </si>
  <si>
    <t>ED4-PE</t>
  </si>
  <si>
    <t>40/30/30</t>
  </si>
  <si>
    <t>MSE 254</t>
  </si>
  <si>
    <t>ED2-MSE</t>
  </si>
  <si>
    <t>NAF1/A110/EA</t>
  </si>
  <si>
    <t>36/24/23</t>
  </si>
  <si>
    <t>MSE 364</t>
  </si>
  <si>
    <t>ED3-MSE</t>
  </si>
  <si>
    <t>PB014/PB008/PB208</t>
  </si>
  <si>
    <t>35/25/25</t>
  </si>
  <si>
    <t>METE 358</t>
  </si>
  <si>
    <t>ED3-METE</t>
  </si>
  <si>
    <t>303/RMA/RMA/206</t>
  </si>
  <si>
    <t>25/21/21/20</t>
  </si>
  <si>
    <t>EE 468</t>
  </si>
  <si>
    <t>ED4-EE</t>
  </si>
  <si>
    <t>NEB-TF/NEB-SF/NEB-FF1</t>
  </si>
  <si>
    <t>78/77/50</t>
  </si>
  <si>
    <t>Total T1-3</t>
  </si>
  <si>
    <t>,Total T1-3</t>
  </si>
  <si>
    <t>Wednesday, 19 August 2026</t>
  </si>
  <si>
    <t>PL 252</t>
  </si>
  <si>
    <t>NAF1/EA/A110/VCR</t>
  </si>
  <si>
    <t>ME 264</t>
  </si>
  <si>
    <t>34/34/34/34/34/25/25/20</t>
  </si>
  <si>
    <t>35/25/20</t>
  </si>
  <si>
    <t>NEB-SF/NEB-FF1</t>
  </si>
  <si>
    <t>52/30</t>
  </si>
  <si>
    <t>MME 264</t>
  </si>
  <si>
    <t>NAF1</t>
  </si>
  <si>
    <t>GED 352</t>
  </si>
  <si>
    <t>ED3-GEOL</t>
  </si>
  <si>
    <t>CE 468</t>
  </si>
  <si>
    <t>PB001/PB014/PB020/PB201/PB214</t>
  </si>
  <si>
    <t>30/30/30/30/30</t>
  </si>
  <si>
    <t>CE 364</t>
  </si>
  <si>
    <t>NEB-TF/NEB-SF/NEB-FF1/NEB-FF2</t>
  </si>
  <si>
    <t>75/75/50/30</t>
  </si>
  <si>
    <t>Total W1-1</t>
  </si>
  <si>
    <t>,Total W1-1</t>
  </si>
  <si>
    <t>ME 160</t>
  </si>
  <si>
    <t>ED1-AE</t>
  </si>
  <si>
    <t>40/28/20/20/20</t>
  </si>
  <si>
    <t>303/206</t>
  </si>
  <si>
    <t>25/21</t>
  </si>
  <si>
    <t>PB201/PB214</t>
  </si>
  <si>
    <t>ED1-ME</t>
  </si>
  <si>
    <t>75/75/50/25</t>
  </si>
  <si>
    <t>ED1-AUTO</t>
  </si>
  <si>
    <t>NEB-TF/NEB-FF1</t>
  </si>
  <si>
    <t>55/30</t>
  </si>
  <si>
    <t>NEB-SF/NEB-FF2</t>
  </si>
  <si>
    <t>60/23</t>
  </si>
  <si>
    <t>PE 356</t>
  </si>
  <si>
    <t>PB001/PB020/PB208</t>
  </si>
  <si>
    <t>30/30/20</t>
  </si>
  <si>
    <t>MME 462</t>
  </si>
  <si>
    <t>PB014</t>
  </si>
  <si>
    <t>AME 368</t>
  </si>
  <si>
    <t>VSLA</t>
  </si>
  <si>
    <t>TE 262</t>
  </si>
  <si>
    <t>35/35/35/35/35/28/28/25</t>
  </si>
  <si>
    <t>Total W1-2</t>
  </si>
  <si>
    <t>,Total W1-2</t>
  </si>
  <si>
    <t>GE 262</t>
  </si>
  <si>
    <t>ED2-GEOM</t>
  </si>
  <si>
    <t>40/30/21/21/20</t>
  </si>
  <si>
    <t>TE 256</t>
  </si>
  <si>
    <t>ED2-TEL</t>
  </si>
  <si>
    <t>35/35/35/35/35</t>
  </si>
  <si>
    <t>COE 158</t>
  </si>
  <si>
    <t>38/38/38/38/38/25/25/22</t>
  </si>
  <si>
    <t>CHEM 280</t>
  </si>
  <si>
    <t>40/25</t>
  </si>
  <si>
    <t>NEB-TF/NEB-SF/NEB-FF2</t>
  </si>
  <si>
    <t>70/70/20</t>
  </si>
  <si>
    <t>COE 480</t>
  </si>
  <si>
    <t>ED4-COE</t>
  </si>
  <si>
    <t>A110/NAF1</t>
  </si>
  <si>
    <t>30/40</t>
  </si>
  <si>
    <t>ME 352</t>
  </si>
  <si>
    <t>75/75/50/22</t>
  </si>
  <si>
    <t>Total W1-3</t>
  </si>
  <si>
    <t>,Total W1-3</t>
  </si>
  <si>
    <t>Thursday, 20 August 2026</t>
  </si>
  <si>
    <t>CE 164</t>
  </si>
  <si>
    <t>ME 456</t>
  </si>
  <si>
    <t>ED4-AUTO</t>
  </si>
  <si>
    <t>41/30/30</t>
  </si>
  <si>
    <t>EE 166</t>
  </si>
  <si>
    <t>PB001/PB014/PB020/PB201/PB214/PB008/PB208/NEB-FF1/NEB-FF2</t>
  </si>
  <si>
    <t>35/35/35/35/35/25/25/45/25</t>
  </si>
  <si>
    <t>PCE 158</t>
  </si>
  <si>
    <t>CHE 158</t>
  </si>
  <si>
    <t>TE 352</t>
  </si>
  <si>
    <t>PE 154</t>
  </si>
  <si>
    <t>40/28/21/21/20</t>
  </si>
  <si>
    <t>ME 478</t>
  </si>
  <si>
    <t>15/25</t>
  </si>
  <si>
    <t>ME 158</t>
  </si>
  <si>
    <t>ED1-AERO</t>
  </si>
  <si>
    <t>25/45</t>
  </si>
  <si>
    <t>IE 456</t>
  </si>
  <si>
    <t>AERO 456</t>
  </si>
  <si>
    <t>PB020/PB008</t>
  </si>
  <si>
    <t>35/26</t>
  </si>
  <si>
    <t>GE 464</t>
  </si>
  <si>
    <t>ED4-GEOM</t>
  </si>
  <si>
    <t>VSLA/303/206/RMA</t>
  </si>
  <si>
    <t>35/22/18/18</t>
  </si>
  <si>
    <t>Total H1-1</t>
  </si>
  <si>
    <t>,Total H1-1</t>
  </si>
  <si>
    <t>SOC 152</t>
  </si>
  <si>
    <t>COE 368</t>
  </si>
  <si>
    <t>133/132</t>
  </si>
  <si>
    <t>CHE 350</t>
  </si>
  <si>
    <t>VSLA/303/RMA/206</t>
  </si>
  <si>
    <t>40/25/20/20</t>
  </si>
  <si>
    <t>30/23</t>
  </si>
  <si>
    <t>PSYC 154</t>
  </si>
  <si>
    <t>40/30/20/20/20</t>
  </si>
  <si>
    <t>GE 152</t>
  </si>
  <si>
    <t>A110/EA/NAF1</t>
  </si>
  <si>
    <t>30/30/43</t>
  </si>
  <si>
    <t>COE 288</t>
  </si>
  <si>
    <t>50/30</t>
  </si>
  <si>
    <t>36/36/36/36/36/25/25/25</t>
  </si>
  <si>
    <t>Total H1-2</t>
  </si>
  <si>
    <t>,Total H1-2</t>
  </si>
  <si>
    <t>CE 480</t>
  </si>
  <si>
    <t>PB208</t>
  </si>
  <si>
    <t>PE 458</t>
  </si>
  <si>
    <t>35/25/20/19</t>
  </si>
  <si>
    <t>MSE 362</t>
  </si>
  <si>
    <t>PB001/PB014/PB008</t>
  </si>
  <si>
    <t>33/33/20</t>
  </si>
  <si>
    <t>PB201/PB214/PB208</t>
  </si>
  <si>
    <t>30/30/27</t>
  </si>
  <si>
    <t>MSE 262</t>
  </si>
  <si>
    <t>40/17</t>
  </si>
  <si>
    <t>35/25/23</t>
  </si>
  <si>
    <t>PE 366</t>
  </si>
  <si>
    <t>PE 252</t>
  </si>
  <si>
    <t>TE 464</t>
  </si>
  <si>
    <t>ED4-TEL</t>
  </si>
  <si>
    <t>AE 452</t>
  </si>
  <si>
    <t>CHE 466</t>
  </si>
  <si>
    <t>45/25</t>
  </si>
  <si>
    <t>CE 258</t>
  </si>
  <si>
    <t>38/38/38/38/38/30/30</t>
  </si>
  <si>
    <t>Friday, 21 August 2026</t>
  </si>
  <si>
    <t>GE 272</t>
  </si>
  <si>
    <t>AE 360</t>
  </si>
  <si>
    <t>PB001/PB014/PB020</t>
  </si>
  <si>
    <t>34/34/33</t>
  </si>
  <si>
    <t>GE 354</t>
  </si>
  <si>
    <t>PB201/PB214/PB020/PB008</t>
  </si>
  <si>
    <t>35/35/35/17</t>
  </si>
  <si>
    <t>GED 368</t>
  </si>
  <si>
    <t>A110/VCR/ECR</t>
  </si>
  <si>
    <t>60/50/44</t>
  </si>
  <si>
    <t>MSE 456</t>
  </si>
  <si>
    <t>30/25</t>
  </si>
  <si>
    <t>30/30</t>
  </si>
  <si>
    <t>GED 252</t>
  </si>
  <si>
    <t>75/75</t>
  </si>
  <si>
    <t>IE 296</t>
  </si>
  <si>
    <t>MME 486</t>
  </si>
  <si>
    <t>BME 364</t>
  </si>
  <si>
    <t>70/20</t>
  </si>
  <si>
    <t>AE 162</t>
  </si>
  <si>
    <t>PB001/PB014/PB020/PB208</t>
  </si>
  <si>
    <t>35/35/35/23</t>
  </si>
  <si>
    <t>IE 362</t>
  </si>
  <si>
    <t>MME 296</t>
  </si>
  <si>
    <t>Total F1-1</t>
  </si>
  <si>
    <t>,Total F1-1</t>
  </si>
  <si>
    <t>EE 380</t>
  </si>
  <si>
    <t>PB001/PB020</t>
  </si>
  <si>
    <t>123/122</t>
  </si>
  <si>
    <t>TE 254</t>
  </si>
  <si>
    <t>PB001/PB020/PB014/PB201/PB214/PB008/PB208</t>
  </si>
  <si>
    <t>40/35/35/35/35/30/30</t>
  </si>
  <si>
    <t>VSLA/LT/RMA/RMB/303/206/304</t>
  </si>
  <si>
    <t>40/22/22/22/30/20/20</t>
  </si>
  <si>
    <t>GE 472</t>
  </si>
  <si>
    <t>37/28/28</t>
  </si>
  <si>
    <t>40/20/20</t>
  </si>
  <si>
    <t>ME 282</t>
  </si>
  <si>
    <t>VSLA/LT/RMA/RMB/303/206</t>
  </si>
  <si>
    <t>40/22/22/22/30/20</t>
  </si>
  <si>
    <t>Total F1-2</t>
  </si>
  <si>
    <t>MME 392</t>
  </si>
  <si>
    <t>N2/N1</t>
  </si>
  <si>
    <t>ME 392</t>
  </si>
  <si>
    <t>303/LT/304/RMA</t>
  </si>
  <si>
    <t>20/20/20/16</t>
  </si>
  <si>
    <t>ME 292</t>
  </si>
  <si>
    <t>AME 392</t>
  </si>
  <si>
    <t>GED 452</t>
  </si>
  <si>
    <t>28/28/39</t>
  </si>
  <si>
    <t>40/28/27/25</t>
  </si>
  <si>
    <t>NEB-SF/NEB-TF/NEB-FF1/NEB-FF2/PB001/PB014/PB008</t>
  </si>
  <si>
    <t>75/75/40/25/30/30/20</t>
  </si>
  <si>
    <t>VSLA/303/LT/304/206/RMA/RMB/N1/N2</t>
  </si>
  <si>
    <t>42/30/25/21/21/21/21/21/20</t>
  </si>
  <si>
    <t>Monday, 24 August 2026</t>
  </si>
  <si>
    <t>FC 182</t>
  </si>
  <si>
    <t>VSLA/206</t>
  </si>
  <si>
    <t xml:space="preserve">NEB-SF </t>
  </si>
  <si>
    <t>PB001/PB014/PB020/PB201/PB008</t>
  </si>
  <si>
    <t>36/36/36/36/26</t>
  </si>
  <si>
    <t>VSLA/LT/303</t>
  </si>
  <si>
    <t>40/25/25</t>
  </si>
  <si>
    <t>NEB-SF/NEB-TF</t>
  </si>
  <si>
    <t>80/80</t>
  </si>
  <si>
    <t>206/304</t>
  </si>
  <si>
    <t>22/21</t>
  </si>
  <si>
    <t>PB008/PB014/PB020/PB201/PB001</t>
  </si>
  <si>
    <t>22/32/32/32/32</t>
  </si>
  <si>
    <t>CE 478</t>
  </si>
  <si>
    <t xml:space="preserve">VCR </t>
  </si>
  <si>
    <t>35/25</t>
  </si>
  <si>
    <t>PCE 352</t>
  </si>
  <si>
    <t>303/LT</t>
  </si>
  <si>
    <t>CHE 464</t>
  </si>
  <si>
    <t>CHE 470</t>
  </si>
  <si>
    <t>CHE 468</t>
  </si>
  <si>
    <t>A110/VCR</t>
  </si>
  <si>
    <t>30/24</t>
  </si>
  <si>
    <t>Total M2-1</t>
  </si>
  <si>
    <t>,Total M2-1</t>
  </si>
  <si>
    <t>COE 472</t>
  </si>
  <si>
    <t>ED4-BME</t>
  </si>
  <si>
    <t>A110/VCR/NAF1</t>
  </si>
  <si>
    <t>24/23/40</t>
  </si>
  <si>
    <t>148/147</t>
  </si>
  <si>
    <t>MSE 260</t>
  </si>
  <si>
    <t>NAF1/A110/VCR</t>
  </si>
  <si>
    <t>40/25/18</t>
  </si>
  <si>
    <t>25/32</t>
  </si>
  <si>
    <t>GED 262</t>
  </si>
  <si>
    <t>ME 462</t>
  </si>
  <si>
    <t xml:space="preserve">LT </t>
  </si>
  <si>
    <t>CHE 252</t>
  </si>
  <si>
    <t>34/34/34/34/24</t>
  </si>
  <si>
    <t>MSE 356</t>
  </si>
  <si>
    <t>VSLA/RMA/303</t>
  </si>
  <si>
    <t>40/20/25</t>
  </si>
  <si>
    <t>COE 152</t>
  </si>
  <si>
    <t>VSLA/303/LT/RMA/RMB</t>
  </si>
  <si>
    <t>40/25/25/23/23</t>
  </si>
  <si>
    <t>Total M2-2</t>
  </si>
  <si>
    <t>,Total M2-2</t>
  </si>
  <si>
    <t>PE 262</t>
  </si>
  <si>
    <t>42/27/26</t>
  </si>
  <si>
    <t>PE 452</t>
  </si>
  <si>
    <t>VSLA/LT/RMA/303</t>
  </si>
  <si>
    <t>40/20/20/19</t>
  </si>
  <si>
    <t>IE 358</t>
  </si>
  <si>
    <t>40/30</t>
  </si>
  <si>
    <t>ME 376</t>
  </si>
  <si>
    <t>30/30/41</t>
  </si>
  <si>
    <t>EE 462</t>
  </si>
  <si>
    <t>95/95</t>
  </si>
  <si>
    <t>ME 164</t>
  </si>
  <si>
    <t>TE 458</t>
  </si>
  <si>
    <t>45/30/25/20/18</t>
  </si>
  <si>
    <t>PB001/PB014/PB020/PB201/PB214/PB208</t>
  </si>
  <si>
    <t>40/40/40/40/40/25</t>
  </si>
  <si>
    <t>METE 352</t>
  </si>
  <si>
    <t>PB214/PB212/PB208</t>
  </si>
  <si>
    <t>35/25/27</t>
  </si>
  <si>
    <t>GED 354</t>
  </si>
  <si>
    <t>33/33/33/33/22</t>
  </si>
  <si>
    <t>Total M2-3</t>
  </si>
  <si>
    <t>,Total M2-3</t>
  </si>
  <si>
    <t>Tuesday, 25 August 2026</t>
  </si>
  <si>
    <t>ENGL 264</t>
  </si>
  <si>
    <t>VSLA/303/LT/RMA/RMB/304</t>
  </si>
  <si>
    <t>40/30/25/20/20/20</t>
  </si>
  <si>
    <t>NEB-SF/NEB-FF1/NEB-FF2</t>
  </si>
  <si>
    <t>70/40/22</t>
  </si>
  <si>
    <t>AERO 362</t>
  </si>
  <si>
    <t>AME 476</t>
  </si>
  <si>
    <t>PE 352</t>
  </si>
  <si>
    <t>303/LT/VSLA</t>
  </si>
  <si>
    <t>20/20/40</t>
  </si>
  <si>
    <t>CE 264</t>
  </si>
  <si>
    <t>36/36/36/36/36/24/24/22</t>
  </si>
  <si>
    <t>MATH 252</t>
  </si>
  <si>
    <t>38/38/38/38/38/25/25</t>
  </si>
  <si>
    <t>Total T2-1</t>
  </si>
  <si>
    <t>,Total T2-1</t>
  </si>
  <si>
    <t xml:space="preserve">RMA/303 </t>
  </si>
  <si>
    <t>20/26</t>
  </si>
  <si>
    <t>PB020/PB014/PB008</t>
  </si>
  <si>
    <t>32/32/19</t>
  </si>
  <si>
    <t>40/23/22</t>
  </si>
  <si>
    <t xml:space="preserve">VSLA/LT </t>
  </si>
  <si>
    <t>35/21</t>
  </si>
  <si>
    <t>PB212/PB214/PB201/PB001</t>
  </si>
  <si>
    <t>25/35/35/35</t>
  </si>
  <si>
    <t>40/22/22/22/22</t>
  </si>
  <si>
    <t>PB001/PB014/PB020/PB008</t>
  </si>
  <si>
    <t>35/35/35/25</t>
  </si>
  <si>
    <t>MSE 452</t>
  </si>
  <si>
    <t>25/35</t>
  </si>
  <si>
    <t>METE 454</t>
  </si>
  <si>
    <t>A110/EA</t>
  </si>
  <si>
    <t>28/27</t>
  </si>
  <si>
    <t>AME 384</t>
  </si>
  <si>
    <t>Total T2-2</t>
  </si>
  <si>
    <t>,Total T2-2</t>
  </si>
  <si>
    <t>CHE 370</t>
  </si>
  <si>
    <t>CE 356</t>
  </si>
  <si>
    <t>PB001/PB014/PB020/PB201/PB214/PB008</t>
  </si>
  <si>
    <t>40/40/40/40/40/30</t>
  </si>
  <si>
    <t>MME 494</t>
  </si>
  <si>
    <t>NEB-FF2</t>
  </si>
  <si>
    <t>ME 494</t>
  </si>
  <si>
    <t>45/30/25/18/17</t>
  </si>
  <si>
    <t>25/44</t>
  </si>
  <si>
    <t>MSE 152</t>
  </si>
  <si>
    <t>METE 152</t>
  </si>
  <si>
    <t>50/25</t>
  </si>
  <si>
    <t>CHE 254</t>
  </si>
  <si>
    <t>32/32/32/32/32</t>
  </si>
  <si>
    <t>EE 366</t>
  </si>
  <si>
    <t>120/120</t>
  </si>
  <si>
    <t>Total T2-3</t>
  </si>
  <si>
    <t>,Total T2-3</t>
  </si>
  <si>
    <t>Wednesday, 26 August 2026</t>
  </si>
  <si>
    <t>CHE 156</t>
  </si>
  <si>
    <t>VSLA/303/LT/304</t>
  </si>
  <si>
    <t>45/30/25/20</t>
  </si>
  <si>
    <t>AE 356</t>
  </si>
  <si>
    <t>MME 382</t>
  </si>
  <si>
    <t>EE 258</t>
  </si>
  <si>
    <t>170/170</t>
  </si>
  <si>
    <t>TE 454</t>
  </si>
  <si>
    <t>NEB-FF1/NEB-FF2/NAF1/A110</t>
  </si>
  <si>
    <t>50/30/38/20</t>
  </si>
  <si>
    <t>EE 472</t>
  </si>
  <si>
    <t>PB214</t>
  </si>
  <si>
    <t>TE 372</t>
  </si>
  <si>
    <t>PB001/PB014/PB020/PB201</t>
  </si>
  <si>
    <t>ME 370</t>
  </si>
  <si>
    <t>38/38/38/39/39/30</t>
  </si>
  <si>
    <t>Total W2-1</t>
  </si>
  <si>
    <t>,Total W2-1</t>
  </si>
  <si>
    <t>PHY 154</t>
  </si>
  <si>
    <t>68/68</t>
  </si>
  <si>
    <t>AE 158</t>
  </si>
  <si>
    <t>64/64</t>
  </si>
  <si>
    <t>CHE 358</t>
  </si>
  <si>
    <t xml:space="preserve">PB208/PB214 </t>
  </si>
  <si>
    <t>20/33</t>
  </si>
  <si>
    <t>45/30/30</t>
  </si>
  <si>
    <t>GED 454</t>
  </si>
  <si>
    <t>30/20/45</t>
  </si>
  <si>
    <t>COE 358</t>
  </si>
  <si>
    <t>38/38/38/38/38/25/25/25</t>
  </si>
  <si>
    <t>VSLA/303/LT</t>
  </si>
  <si>
    <t>METE 362</t>
  </si>
  <si>
    <t>PB014/PB020/PB008</t>
  </si>
  <si>
    <t>33/33/21</t>
  </si>
  <si>
    <t>MSE 354</t>
  </si>
  <si>
    <t>24/24/37</t>
  </si>
  <si>
    <t>Total W2-2</t>
  </si>
  <si>
    <t>,Total W2-2</t>
  </si>
  <si>
    <t>PE 450</t>
  </si>
  <si>
    <t>303/LT/RMA/VSLA</t>
  </si>
  <si>
    <t>25/20/15/39</t>
  </si>
  <si>
    <t>AE 460</t>
  </si>
  <si>
    <t>VSLA/303/LT/RMA</t>
  </si>
  <si>
    <t>38/25/20/20</t>
  </si>
  <si>
    <t>ME 472</t>
  </si>
  <si>
    <t>34/20</t>
  </si>
  <si>
    <t>22/30</t>
  </si>
  <si>
    <t>CE 452</t>
  </si>
  <si>
    <t>GE 476</t>
  </si>
  <si>
    <t>30/30/33</t>
  </si>
  <si>
    <t>BME 454</t>
  </si>
  <si>
    <t>31/31/25</t>
  </si>
  <si>
    <t>TE 386</t>
  </si>
  <si>
    <t>GE 362</t>
  </si>
  <si>
    <t>NEB-FF1/NEB-FF2/NAF1</t>
  </si>
  <si>
    <t>50/30/42</t>
  </si>
  <si>
    <t>Total W2-3</t>
  </si>
  <si>
    <t>,Total W2-3</t>
  </si>
  <si>
    <t>Thursday, 27 August 2025</t>
  </si>
  <si>
    <t>GED 370</t>
  </si>
  <si>
    <t>303/LT/RMA/RMB/304/VSLA</t>
  </si>
  <si>
    <t>26/22/22/22/22/40</t>
  </si>
  <si>
    <t>CE 360</t>
  </si>
  <si>
    <t>36/36/36/36/36/25/25</t>
  </si>
  <si>
    <t>ME 270</t>
  </si>
  <si>
    <t xml:space="preserve">PB020 </t>
  </si>
  <si>
    <t>32/25/25</t>
  </si>
  <si>
    <t>CHE 250</t>
  </si>
  <si>
    <t>45/30/25/21/21/20</t>
  </si>
  <si>
    <t>EE 158</t>
  </si>
  <si>
    <t>IE 366</t>
  </si>
  <si>
    <t>Total H2-1</t>
  </si>
  <si>
    <t>,Total H2-1</t>
  </si>
  <si>
    <t>CHE 458</t>
  </si>
  <si>
    <t>PB201/PB214/PB014</t>
  </si>
  <si>
    <t>38/38/38</t>
  </si>
  <si>
    <t>CE 476</t>
  </si>
  <si>
    <t>303/LT/RMA/RMB/VSLA</t>
  </si>
  <si>
    <t>21/21/21/21/31</t>
  </si>
  <si>
    <t>ME 366</t>
  </si>
  <si>
    <t>35/35/33/33/33/27/26</t>
  </si>
  <si>
    <t>COE 458</t>
  </si>
  <si>
    <t>GED 162</t>
  </si>
  <si>
    <t>PE 468</t>
  </si>
  <si>
    <t>PE 364</t>
  </si>
  <si>
    <t>Total H2-2</t>
  </si>
  <si>
    <t>,Total H2-2</t>
  </si>
  <si>
    <t>TE 258</t>
  </si>
  <si>
    <t>110/65</t>
  </si>
  <si>
    <t>EE 466</t>
  </si>
  <si>
    <t>35/35/35/35/25</t>
  </si>
  <si>
    <t>GED 152</t>
  </si>
  <si>
    <t>VCR/EA/A110/NAF1</t>
  </si>
  <si>
    <t>25/30/30/40</t>
  </si>
  <si>
    <t>AERO 256</t>
  </si>
  <si>
    <t>45/30</t>
  </si>
  <si>
    <t>MSE 360</t>
  </si>
  <si>
    <t>40/25/20</t>
  </si>
  <si>
    <t>MSE 252</t>
  </si>
  <si>
    <t>LT/303/VSLA</t>
  </si>
  <si>
    <t>21/22/40</t>
  </si>
  <si>
    <t>20/37</t>
  </si>
  <si>
    <t>CHE 366</t>
  </si>
  <si>
    <t>TE 354</t>
  </si>
  <si>
    <t>30/30/30/30/20</t>
  </si>
  <si>
    <t>PE 264</t>
  </si>
  <si>
    <t>44/26/25</t>
  </si>
  <si>
    <t>Total H2-3</t>
  </si>
  <si>
    <t>,Total H2-3</t>
  </si>
  <si>
    <t>Friday, 28 August 2026</t>
  </si>
  <si>
    <t>ENGL 158</t>
  </si>
  <si>
    <t>EE 262</t>
  </si>
  <si>
    <t>CE 260</t>
  </si>
  <si>
    <t>37/37/37/37/37/23/22/20</t>
  </si>
  <si>
    <t>37/30/25/20/20</t>
  </si>
  <si>
    <t>BME 366</t>
  </si>
  <si>
    <t>GED 258</t>
  </si>
  <si>
    <t>NEB-FF1/NEB-FF2/NAF1/EA</t>
  </si>
  <si>
    <t>45/30/45/30</t>
  </si>
  <si>
    <t>ME 262</t>
  </si>
  <si>
    <t>PB001/PB014/PB020/PB008/NEB-FF1</t>
  </si>
  <si>
    <t>30/30/30/20/45</t>
  </si>
  <si>
    <t>CHE 364</t>
  </si>
  <si>
    <t>25/20</t>
  </si>
  <si>
    <t>Total F2-1</t>
  </si>
  <si>
    <t>Computer based</t>
  </si>
  <si>
    <t>ME 492</t>
  </si>
  <si>
    <t xml:space="preserve">NEB-SF/NEB-TF/NEB-FF1 </t>
  </si>
  <si>
    <t>VSLA/303/LT/206/304</t>
  </si>
  <si>
    <t>40/30/25/20/19</t>
  </si>
  <si>
    <t xml:space="preserve">PB014/PB020 </t>
  </si>
  <si>
    <t>25/25/37</t>
  </si>
  <si>
    <t>303/LT/206/304/VSLA</t>
  </si>
  <si>
    <t>26/22/24/24/42</t>
  </si>
  <si>
    <t>Total F2-2</t>
  </si>
  <si>
    <t>,Total F2-2</t>
  </si>
  <si>
    <t>COE 272</t>
  </si>
  <si>
    <t>30/50</t>
  </si>
  <si>
    <t>CE 368</t>
  </si>
  <si>
    <t>GED 366</t>
  </si>
  <si>
    <t>VSLA/303/LT/304/206/RMA</t>
  </si>
  <si>
    <t>40/30/22/20/21/21</t>
  </si>
  <si>
    <t>MME 356</t>
  </si>
  <si>
    <t>EE 360</t>
  </si>
  <si>
    <t>95/90</t>
  </si>
  <si>
    <t>GED 462</t>
  </si>
  <si>
    <t>CE 458</t>
  </si>
  <si>
    <t>Total F2-3</t>
  </si>
  <si>
    <t>,Total F2-3</t>
  </si>
  <si>
    <t>Monday, 31  August 2026</t>
  </si>
  <si>
    <t>ME 356</t>
  </si>
  <si>
    <t>76/76/45/25</t>
  </si>
  <si>
    <t>METE 354</t>
  </si>
  <si>
    <t>35/30/22</t>
  </si>
  <si>
    <t>TE 374</t>
  </si>
  <si>
    <t>40/20/20/20/20/20</t>
  </si>
  <si>
    <t>ME 162</t>
  </si>
  <si>
    <t>45/30/30/23</t>
  </si>
  <si>
    <t>60/60</t>
  </si>
  <si>
    <t>VSLA/LT/RMA</t>
  </si>
  <si>
    <t>45/20/20</t>
  </si>
  <si>
    <t>PETE 450</t>
  </si>
  <si>
    <t>RMB/303</t>
  </si>
  <si>
    <t>23/30</t>
  </si>
  <si>
    <t>ME 252</t>
  </si>
  <si>
    <t>PB001/PB020/PB014/PB201/PB214/PB008/PB208/PB212</t>
  </si>
  <si>
    <t>35/35/35/35/35/25/20/20</t>
  </si>
  <si>
    <t>Total M3-1</t>
  </si>
  <si>
    <t>,Total M3-1</t>
  </si>
  <si>
    <t>PE 258</t>
  </si>
  <si>
    <t>40/30/25</t>
  </si>
  <si>
    <t>GED 254</t>
  </si>
  <si>
    <t>40/22/22/22/24/20</t>
  </si>
  <si>
    <t>70/60</t>
  </si>
  <si>
    <t>VSLA/LT/RMA/RMB</t>
  </si>
  <si>
    <t>40/20/20/20</t>
  </si>
  <si>
    <t>CE 352</t>
  </si>
  <si>
    <t>35/35/35/35/30/20/20/20</t>
  </si>
  <si>
    <t>TE 468</t>
  </si>
  <si>
    <t>IE 360</t>
  </si>
  <si>
    <t>METE 252</t>
  </si>
  <si>
    <t>CE 462</t>
  </si>
  <si>
    <t>Total M3-2</t>
  </si>
  <si>
    <t>ECON 152</t>
  </si>
  <si>
    <t>LT</t>
  </si>
  <si>
    <t>PB201</t>
  </si>
  <si>
    <t>PB001</t>
  </si>
  <si>
    <t>ME 468</t>
  </si>
  <si>
    <t>PE 354</t>
  </si>
  <si>
    <t>PE 474</t>
  </si>
  <si>
    <t>GED 466</t>
  </si>
  <si>
    <t>BME 462</t>
  </si>
  <si>
    <t>37/25/25</t>
  </si>
  <si>
    <t>COE 382</t>
  </si>
  <si>
    <t>COE 372</t>
  </si>
  <si>
    <t>36/36/36/36/36/30/30/25</t>
  </si>
  <si>
    <t>MSE 352</t>
  </si>
  <si>
    <t>37/25/23</t>
  </si>
  <si>
    <t>Total M3-3</t>
  </si>
  <si>
    <t>,Total M3-3</t>
  </si>
  <si>
    <t>Tuesday, 1 September 2026</t>
  </si>
  <si>
    <t>ME 266</t>
  </si>
  <si>
    <t>80/80/50/30</t>
  </si>
  <si>
    <t>ME 166</t>
  </si>
  <si>
    <t>35/20/20/20/25/16</t>
  </si>
  <si>
    <t>AME 156</t>
  </si>
  <si>
    <t>25/25/35</t>
  </si>
  <si>
    <t>PB001/PB020/PB014/PB201/PB214/PB008/PB208/PB212/NEB-FF1</t>
  </si>
  <si>
    <t>40/40/40/40/30/30/30/25/20</t>
  </si>
  <si>
    <t>TE 152</t>
  </si>
  <si>
    <t>VSLA/303/206/LT/RMA</t>
  </si>
  <si>
    <t>ACF 256</t>
  </si>
  <si>
    <t>PB008</t>
  </si>
  <si>
    <t>Total T3-1</t>
  </si>
  <si>
    <t>,Total T3-1</t>
  </si>
  <si>
    <t>IE 458</t>
  </si>
  <si>
    <t>45/24</t>
  </si>
  <si>
    <t>35/35/35/35/35/25/25</t>
  </si>
  <si>
    <t>BME 362</t>
  </si>
  <si>
    <t>35/30/25</t>
  </si>
  <si>
    <t>30/30/23</t>
  </si>
  <si>
    <t>PB014/PB008</t>
  </si>
  <si>
    <t>AE 482</t>
  </si>
  <si>
    <t>40/21/21/21</t>
  </si>
  <si>
    <t>GE 158</t>
  </si>
  <si>
    <t>LT/RMA/RMB/VSLA</t>
  </si>
  <si>
    <t>21/21/21/40</t>
  </si>
  <si>
    <t>COE 456</t>
  </si>
  <si>
    <t>AME 376</t>
  </si>
  <si>
    <t>AME 256</t>
  </si>
  <si>
    <t>TE 456</t>
  </si>
  <si>
    <t>69/69</t>
  </si>
  <si>
    <t>Total T3-2</t>
  </si>
  <si>
    <t>AERO 374</t>
  </si>
  <si>
    <t>36/20/20</t>
  </si>
  <si>
    <t>GED 364</t>
  </si>
  <si>
    <t>40/24/24/22/24/20</t>
  </si>
  <si>
    <t>PE 476</t>
  </si>
  <si>
    <t>RMB</t>
  </si>
  <si>
    <t>PE 256</t>
  </si>
  <si>
    <t>MME 386</t>
  </si>
  <si>
    <t>MSE 454</t>
  </si>
  <si>
    <t>METE 452</t>
  </si>
  <si>
    <t>30/25/20</t>
  </si>
  <si>
    <t>40/16</t>
  </si>
  <si>
    <t>IE 356</t>
  </si>
  <si>
    <t>GED 476</t>
  </si>
  <si>
    <t>AME 496</t>
  </si>
  <si>
    <t>EE 484</t>
  </si>
  <si>
    <t>PB001/PB020/PB014/PB201/PB214/PB008</t>
  </si>
  <si>
    <t>40/35/35/35/35/25</t>
  </si>
  <si>
    <t>PETE 354</t>
  </si>
  <si>
    <t>33/20</t>
  </si>
  <si>
    <t>MME 476</t>
  </si>
  <si>
    <t>Total T3-3</t>
  </si>
  <si>
    <t>,Total T3-3</t>
  </si>
  <si>
    <t>Wednesday, 2 September 2026</t>
  </si>
  <si>
    <t>AE 196</t>
  </si>
  <si>
    <t>AE 352</t>
  </si>
  <si>
    <t>41/20/20/20</t>
  </si>
  <si>
    <t>SES 172</t>
  </si>
  <si>
    <t>ME 452</t>
  </si>
  <si>
    <t>VSLA/RMA/RMB</t>
  </si>
  <si>
    <t>CE 272</t>
  </si>
  <si>
    <t>40/40/35/35/35/25/20/20</t>
  </si>
  <si>
    <t>AERO 492</t>
  </si>
  <si>
    <t>TE 252</t>
  </si>
  <si>
    <t>88/87</t>
  </si>
  <si>
    <t>CE 156</t>
  </si>
  <si>
    <t>45/30/30/20</t>
  </si>
  <si>
    <t>Total W3-1</t>
  </si>
  <si>
    <t>,Total W3-1</t>
  </si>
  <si>
    <t>TE 358</t>
  </si>
  <si>
    <t>VSLA/LT/RMA/RMB/303</t>
  </si>
  <si>
    <t>40/25/24/24/27</t>
  </si>
  <si>
    <t>35/35/35/35/30</t>
  </si>
  <si>
    <t>ME 258</t>
  </si>
  <si>
    <t>PE 350</t>
  </si>
  <si>
    <t>GE 284</t>
  </si>
  <si>
    <t>35/22/24/24/27</t>
  </si>
  <si>
    <t>PB001/PB020/PB014/PB201/PB214/PB008/PB208/PB212/NEB-TF</t>
  </si>
  <si>
    <t>40/40/40/40/40/30/30/25/55</t>
  </si>
  <si>
    <t>80/50/30</t>
  </si>
  <si>
    <t>Total W3-2</t>
  </si>
  <si>
    <t>GE 474</t>
  </si>
  <si>
    <t>43/25/25</t>
  </si>
  <si>
    <t>EE 252</t>
  </si>
  <si>
    <t>35/35/35/35/35/25/22</t>
  </si>
  <si>
    <t>35/25/24/24/27/20</t>
  </si>
  <si>
    <t>EE 172</t>
  </si>
  <si>
    <t>CHE 354</t>
  </si>
  <si>
    <t>40/21/22/22</t>
  </si>
  <si>
    <t>CE 456</t>
  </si>
  <si>
    <t>28/27/40</t>
  </si>
  <si>
    <t>CHE 456</t>
  </si>
  <si>
    <t>PB020/PB201/PB214/PB208</t>
  </si>
  <si>
    <t>32/32/32/18</t>
  </si>
  <si>
    <t>AE 464</t>
  </si>
  <si>
    <t>40/40/23</t>
  </si>
  <si>
    <t>Total W3-3</t>
  </si>
  <si>
    <t>,Total W3-3</t>
  </si>
  <si>
    <t>Thursday, 3 September 2026</t>
  </si>
  <si>
    <t>IE 354</t>
  </si>
  <si>
    <t>30/20/20</t>
  </si>
  <si>
    <t>AERO 174</t>
  </si>
  <si>
    <t>IE 174</t>
  </si>
  <si>
    <t>43/20/20</t>
  </si>
  <si>
    <t>MME 174</t>
  </si>
  <si>
    <t>26/20</t>
  </si>
  <si>
    <t>ME 174</t>
  </si>
  <si>
    <t>PE 156</t>
  </si>
  <si>
    <t>RMB/303/206</t>
  </si>
  <si>
    <t>20/20/16</t>
  </si>
  <si>
    <t>GE 282</t>
  </si>
  <si>
    <t>Total H3-1</t>
  </si>
  <si>
    <t>,Total H3-1</t>
  </si>
  <si>
    <t>TE 158</t>
  </si>
  <si>
    <t>65/65</t>
  </si>
  <si>
    <t>AME 252</t>
  </si>
  <si>
    <t>PE 260</t>
  </si>
  <si>
    <t>PCE 350</t>
  </si>
  <si>
    <t>GED 342</t>
  </si>
  <si>
    <t>40/25/24/24/27/14</t>
  </si>
  <si>
    <t>AE 362</t>
  </si>
  <si>
    <t>MSE 358</t>
  </si>
  <si>
    <t>PB001/PB020/PB008</t>
  </si>
  <si>
    <t>35/35/17</t>
  </si>
  <si>
    <t>PB014/PB201/PB208</t>
  </si>
  <si>
    <t>30/30/25</t>
  </si>
  <si>
    <t>MSE 256</t>
  </si>
  <si>
    <t>35/30/20</t>
  </si>
  <si>
    <t>PE 362</t>
  </si>
  <si>
    <t>METE 254</t>
  </si>
  <si>
    <t>VSLA/LT</t>
  </si>
  <si>
    <t>37/20</t>
  </si>
  <si>
    <t>METE 154</t>
  </si>
  <si>
    <t>PB014/PB208/PB214</t>
  </si>
  <si>
    <t>30/15/30</t>
  </si>
  <si>
    <t>303/RMA/RMB/206</t>
  </si>
  <si>
    <t>30/24/24/22</t>
  </si>
  <si>
    <t>Total H3-2</t>
  </si>
  <si>
    <t>PE 456</t>
  </si>
  <si>
    <t>30/29/40</t>
  </si>
  <si>
    <t>BME 374</t>
  </si>
  <si>
    <t>35/35/20</t>
  </si>
  <si>
    <t>COE 486</t>
  </si>
  <si>
    <t>VCR</t>
  </si>
  <si>
    <t>MME 492</t>
  </si>
  <si>
    <t>TE 452</t>
  </si>
  <si>
    <t>IE 454</t>
  </si>
  <si>
    <t>PB014/PB214</t>
  </si>
  <si>
    <t>38/31</t>
  </si>
  <si>
    <t>GED 464</t>
  </si>
  <si>
    <t>35/35/25</t>
  </si>
  <si>
    <t>VSLA/LT/RMA/RMB/206</t>
  </si>
  <si>
    <t>40/21/21/20/20</t>
  </si>
  <si>
    <t>CHE 256</t>
  </si>
  <si>
    <t>30/35</t>
  </si>
  <si>
    <t>GED 164</t>
  </si>
  <si>
    <t>VSLA/LT/206/RMA/RMB</t>
  </si>
  <si>
    <t>40/21/22/22/20</t>
  </si>
  <si>
    <t>GE 162</t>
  </si>
  <si>
    <t>35/24/24/20</t>
  </si>
  <si>
    <t>Total H3-3</t>
  </si>
  <si>
    <t>,Total H3-3</t>
  </si>
  <si>
    <t>Friday, 4 September 2026</t>
  </si>
  <si>
    <t>MATH 152</t>
  </si>
  <si>
    <t>VSLA/LT/RMA/206/RMB</t>
  </si>
  <si>
    <t>40/23/22/20/20</t>
  </si>
  <si>
    <t>40/23/22/21/22</t>
  </si>
  <si>
    <t xml:space="preserve">EA/A110/NAF1              </t>
  </si>
  <si>
    <t>20/20/30</t>
  </si>
  <si>
    <t>38/38/38/38/38/26/26/20</t>
  </si>
  <si>
    <t>Total F3-1</t>
  </si>
  <si>
    <t>,Total F3-1</t>
  </si>
  <si>
    <t>PB001/PB020/PB014/PB201/PB214/PB008/PB208/PB212/NEB-FF2</t>
  </si>
  <si>
    <t>35/30/20/20</t>
  </si>
  <si>
    <t>303/RMA/RMB/304/VSLA</t>
  </si>
  <si>
    <t>25/20/20/20/35</t>
  </si>
  <si>
    <t>COE 454</t>
  </si>
  <si>
    <t>CHE 352</t>
  </si>
  <si>
    <t>EE 368</t>
  </si>
  <si>
    <t>EE 288</t>
  </si>
  <si>
    <t>128/127</t>
  </si>
  <si>
    <t>ME 362</t>
  </si>
  <si>
    <t>AME 362</t>
  </si>
  <si>
    <t>BME 286</t>
  </si>
  <si>
    <t>VSLA/RMA/LT</t>
  </si>
  <si>
    <t>DRAWING FOR ENGINEERS</t>
  </si>
  <si>
    <t>Darkwah Lawrence</t>
  </si>
  <si>
    <t>OPERATING SYSTEMS</t>
  </si>
  <si>
    <t>Kommey Benjamin</t>
  </si>
  <si>
    <t>ELECTRICAL ENG. DRAWING</t>
  </si>
  <si>
    <t>Kwegyir Daniel</t>
  </si>
  <si>
    <t>PROPULSION</t>
  </si>
  <si>
    <t>Bofah Kwasi Kete</t>
  </si>
  <si>
    <t>DIGITAL SYSTEMS</t>
  </si>
  <si>
    <t>Opoku Daniel</t>
  </si>
  <si>
    <t>MACHINE DESIGN PROJECT</t>
  </si>
  <si>
    <t>Andoh Prince Yaw</t>
  </si>
  <si>
    <t>AEROSPACE DESIGN PROJECT II</t>
  </si>
  <si>
    <t>SECOND YEAR DESIGN PROJECT</t>
  </si>
  <si>
    <t>AUTOMOTIVE DESIGN PROJECT</t>
  </si>
  <si>
    <t>MARINE ENGINEERING DESIGN PROJECT II</t>
  </si>
  <si>
    <t>PETROLEUM REFINING ENGINEERING</t>
  </si>
  <si>
    <t>Kwao-Boateng Emmanuela</t>
  </si>
  <si>
    <t>REFINING PROCESSES TECHNOLOGY</t>
  </si>
  <si>
    <t>MECHANICAL ENGINEERING LAB. II</t>
  </si>
  <si>
    <t>Boahen Samuel</t>
  </si>
  <si>
    <t>SILICATE TECHNOLOGY II</t>
  </si>
  <si>
    <t>Momade Zsuzsanna Gál</t>
  </si>
  <si>
    <t>BASIC ELECTRONICS</t>
  </si>
  <si>
    <t>PROPERTIES OF CIVIL ENGINEERING MATERIAL</t>
  </si>
  <si>
    <t>Kankam Charles Kwame</t>
  </si>
  <si>
    <t>FLUID MECHANICS</t>
  </si>
  <si>
    <t>Anornu Geophrey Kwame</t>
  </si>
  <si>
    <t>MACHINE ELEMENTS DESIGN II</t>
  </si>
  <si>
    <t>INSTRUMENTATION</t>
  </si>
  <si>
    <t>Adam Faisal Wahib</t>
  </si>
  <si>
    <t>QUANTITIES AND COST ESTIMATION IN CIVIL ENGINEERING</t>
  </si>
  <si>
    <t>Osei Jack Banahene</t>
  </si>
  <si>
    <t>SUBSTATIONS AND TRANSMISSION LINE DESIGN</t>
  </si>
  <si>
    <t>Antoh Emmanuel Kwaku</t>
  </si>
  <si>
    <t>MANUAL POWER TRAIN</t>
  </si>
  <si>
    <t>Abu Frimpong Solomon</t>
  </si>
  <si>
    <t>NAVAL ARCHITECTURE II</t>
  </si>
  <si>
    <t>Kudzedzi Emmanuel Yaw Mawuko</t>
  </si>
  <si>
    <t>WELL TESTING</t>
  </si>
  <si>
    <t>Adenutsi Caspar Daniel</t>
  </si>
  <si>
    <t>ANALYSIS OF ERRORS</t>
  </si>
  <si>
    <t>Collins Fosu</t>
  </si>
  <si>
    <t>GENERAL PHYSICS</t>
  </si>
  <si>
    <t>Boateng Cyril Dziedzorm</t>
  </si>
  <si>
    <t>Abavare Eric Kwabena Kyeh</t>
  </si>
  <si>
    <t>SEAMANSHIP</t>
  </si>
  <si>
    <t>Larkai Francis Laako</t>
  </si>
  <si>
    <t>MARINE ENGINEERING LABORATORY III</t>
  </si>
  <si>
    <t>Tay Godwin Fabiola Kwaku</t>
  </si>
  <si>
    <t>RENEWABLE ENERGY SYSTEMS AND MANAGEMENT</t>
  </si>
  <si>
    <t>Kemausuor Francis</t>
  </si>
  <si>
    <t>INTRODUCTION TO LIGHTING AND ACOUSTICS</t>
  </si>
  <si>
    <t>Amos-Abanyie Samuel</t>
  </si>
  <si>
    <t>INTRODUCTION TO COMMUNICATION NETWORKS</t>
  </si>
  <si>
    <t>Agyemang Justice Owusu</t>
  </si>
  <si>
    <t>PETROCHEMICAL ENGINEERING LABORATORY II</t>
  </si>
  <si>
    <t>Bonsu Jude Kwaku</t>
  </si>
  <si>
    <t>Jones Twumasi</t>
  </si>
  <si>
    <t>BIOINSTRUMENTATION I</t>
  </si>
  <si>
    <t>Acquah Isaac</t>
  </si>
  <si>
    <t>GEOSTATISTICS</t>
  </si>
  <si>
    <t>Nuamah Daniel Oduro Boatey</t>
  </si>
  <si>
    <t>CROP LOSSES AND THEIR CONTROL</t>
  </si>
  <si>
    <t xml:space="preserve">Darko Joseph Ofei </t>
  </si>
  <si>
    <t>ENVIRONMENTAL QUALITY ENGINEERING II</t>
  </si>
  <si>
    <t>Appiah-Effah Eugene</t>
  </si>
  <si>
    <t>AEROSPACE ENGINEERING LAB II</t>
  </si>
  <si>
    <t>Oppong David Kofi</t>
  </si>
  <si>
    <t>OBJECT-ORIENTED PROGRAMMING</t>
  </si>
  <si>
    <t>Adjaidoo Theresa-Samuelle Maame Atwemaah</t>
  </si>
  <si>
    <t>COMPUTER PROGRAMMING FOR ENGINEERS</t>
  </si>
  <si>
    <t>Dzebre Denis Edem Kwame</t>
  </si>
  <si>
    <t>OPTICAL AND THERMAL BEHAVIOUR OF MATERIALS</t>
  </si>
  <si>
    <t>Nartey Martinson Addo</t>
  </si>
  <si>
    <t>MECHANICAL ENGINEERING MATERIALS III</t>
  </si>
  <si>
    <t>Sackey Samuel Mensah</t>
  </si>
  <si>
    <t>SWITCHING ENGINEERING IN COMMUNICATION</t>
  </si>
  <si>
    <t>Obour Agyekum Kwame Opuni-Boachie</t>
  </si>
  <si>
    <t>Agyekum Kwame Agyeman-Prempeh</t>
  </si>
  <si>
    <t>AERODYNAMICS II</t>
  </si>
  <si>
    <t>ASSAYING</t>
  </si>
  <si>
    <t>Koomson Bennetta</t>
  </si>
  <si>
    <t>OPERATIONS RESEARCH II</t>
  </si>
  <si>
    <t>Asiedu Charlotte</t>
  </si>
  <si>
    <t>FOOD PROCESSING TECHNOLOGY</t>
  </si>
  <si>
    <t>Anang Daniel Adjah</t>
  </si>
  <si>
    <t>AUTOMATION AND PRODUCTION SYSTEM</t>
  </si>
  <si>
    <t>BIOCHEMISTRY</t>
  </si>
  <si>
    <t>Charles Apprey</t>
  </si>
  <si>
    <t>PROCESS DYNAMICS AND CONTROL</t>
  </si>
  <si>
    <t>Adjaottor Albert Amatey</t>
  </si>
  <si>
    <t>PROCESS DYNANICS AND CONTROL</t>
  </si>
  <si>
    <t>ELECTRICAL MEASUREMENTS &amp; INSTRUMENTATION</t>
  </si>
  <si>
    <t>Nicholas Kwesi Prah II</t>
  </si>
  <si>
    <t>PRINCIPLES OF SURVEYING</t>
  </si>
  <si>
    <t>Akwasi Afrifa Acheampong</t>
  </si>
  <si>
    <t>FUNDAMENTALS OF PETROLEUM LAW</t>
  </si>
  <si>
    <t>Amoah Enoch Kwabena</t>
  </si>
  <si>
    <t>INTRODUCTION TO CERAMICS</t>
  </si>
  <si>
    <t>Andrews Anthony</t>
  </si>
  <si>
    <t>MATERIALS CHARACTERIZATION LABORATORY</t>
  </si>
  <si>
    <t>Arthur Emmanuel Kwesi</t>
  </si>
  <si>
    <t>METALLURGICAL CHARACTERIZATION LABORATORY</t>
  </si>
  <si>
    <t>POWER SYSTEMS PROTECTION</t>
  </si>
  <si>
    <t>Frimpong Emmanuel Asuming</t>
  </si>
  <si>
    <t>PLANNING THE PHYSICAL ENVIRONMENT</t>
  </si>
  <si>
    <t>Aboagye Prince Anokye</t>
  </si>
  <si>
    <t>MECHANISMS SYNTHESIS AND ANALYSIS I</t>
  </si>
  <si>
    <t>Ampofo Joshua</t>
  </si>
  <si>
    <t>MARINE MECHANISMS, SYSTHESIS AND ANALYSIS</t>
  </si>
  <si>
    <t>PRINCIPLES OF GEOLCHEMISTRY</t>
  </si>
  <si>
    <t>Gawu Simon Kafui Yawo</t>
  </si>
  <si>
    <t>TRANSPORTATION ENGINEERING</t>
  </si>
  <si>
    <t>Tuffour Yaw Adubofour</t>
  </si>
  <si>
    <t>ENVIRONMENTAL QUALITY ENGINEERING</t>
  </si>
  <si>
    <t>ENGINEERING DRAWING</t>
  </si>
  <si>
    <t>Aveyire Joseph</t>
  </si>
  <si>
    <t>Sekyere Charles Kofi Kafui</t>
  </si>
  <si>
    <t>Peter Oppong Tawiah</t>
  </si>
  <si>
    <t>A. K. Sunnu</t>
  </si>
  <si>
    <t>PETROLEUM ENGINEERING LAB II</t>
  </si>
  <si>
    <t>Erzuah Samuel</t>
  </si>
  <si>
    <t>MARINE CONTROL ENGINEERING AND AUTOMATION</t>
  </si>
  <si>
    <t>Adjei Eunice Akyereko</t>
  </si>
  <si>
    <t>AUTOMOTIVE SPARK-IGNITION ENGINES</t>
  </si>
  <si>
    <t>ELECTROMAGNETIC FIELDS</t>
  </si>
  <si>
    <t>Yeboah-Akowuah Bright</t>
  </si>
  <si>
    <t>PRINCIPLES OF REMOTE SENSING</t>
  </si>
  <si>
    <t>Yaw Mensah Asare</t>
  </si>
  <si>
    <t>COMMUNICATION CIRCUITS</t>
  </si>
  <si>
    <t>Abdul-Rahman Ahmed</t>
  </si>
  <si>
    <t>INTRODUCTION TO INFORMATION TECHNOLOGY</t>
  </si>
  <si>
    <t>Addo Daniel Akwei</t>
  </si>
  <si>
    <t>PRACTICAL CHEMISTRY II</t>
  </si>
  <si>
    <t>Opoku Francis</t>
  </si>
  <si>
    <t>FAULT DIAGNOSIS AND FAILURE TOLERANCE</t>
  </si>
  <si>
    <t>Agbemenu Andrew Selasi</t>
  </si>
  <si>
    <t>FLUID DYNAMICS  II</t>
  </si>
  <si>
    <t>FLUID DYNAMICS II</t>
  </si>
  <si>
    <t>CIVIL ENGINEERING DRAWING</t>
  </si>
  <si>
    <t>INTRODUCTION TO FINITE ELEMENT</t>
  </si>
  <si>
    <t>MACHINE DESIGN II</t>
  </si>
  <si>
    <t>Afriyie Nyarko Frank Kwabena</t>
  </si>
  <si>
    <t>CIRCUIT THEORY</t>
  </si>
  <si>
    <t>Twumasi Elvis</t>
  </si>
  <si>
    <t>Baidoo Martina Francisca</t>
  </si>
  <si>
    <t>DATA COMMUNICATION PRINCIPLES</t>
  </si>
  <si>
    <t>Gadze James Dzisi</t>
  </si>
  <si>
    <t>INTRODUCTION TO PETROLEUM ENGINEERING</t>
  </si>
  <si>
    <t>PRODUCTION ENGINEERING II</t>
  </si>
  <si>
    <t>Obeng George Yaw</t>
  </si>
  <si>
    <t>ENGINEERING GRAPHICS</t>
  </si>
  <si>
    <t>Sackey Michael Nii</t>
  </si>
  <si>
    <t>SYSTEMS INTEGRATION</t>
  </si>
  <si>
    <t>APPLIED METEOROLOGY</t>
  </si>
  <si>
    <t>Prince Junior Asilevi</t>
  </si>
  <si>
    <t>DATABASE SYSTEMS</t>
  </si>
  <si>
    <t>Ayer John Wise Divine</t>
  </si>
  <si>
    <t>INTRODUCTION TO SOCIOLOGY II</t>
  </si>
  <si>
    <t>Jones Opoku-Ware</t>
  </si>
  <si>
    <t>DATABASE AND INFORMATION RETRIEVAL</t>
  </si>
  <si>
    <t>Keelson Eliel</t>
  </si>
  <si>
    <t>MATERIALS SCIENCE</t>
  </si>
  <si>
    <t>Patrick Boakye</t>
  </si>
  <si>
    <t>INTRODUCTION TO PSYCHOLOGY</t>
  </si>
  <si>
    <t>Sarfo Fordjour Elizabeth Anokyewaa</t>
  </si>
  <si>
    <t>REPRODUCTION CARTOGRAPHY</t>
  </si>
  <si>
    <t>Quaye-Ballard Jonathan Arthur</t>
  </si>
  <si>
    <t>FINITE ELEMENT ANALYSIS</t>
  </si>
  <si>
    <t>Jones Owusu Twumasi</t>
  </si>
  <si>
    <t>OILFIELD GEOLCHEMISTRY</t>
  </si>
  <si>
    <t>MATERIALS JOINING PROCESSES</t>
  </si>
  <si>
    <t>Kwofie Samuel</t>
  </si>
  <si>
    <t>STRESS AND STRAIN ANALYSIS OF RIGID BODIES</t>
  </si>
  <si>
    <t>Mensah-Darkwa Kwadwo</t>
  </si>
  <si>
    <t>HEALTH SAFETY AND ENVIRONMENT</t>
  </si>
  <si>
    <t>Adjei Stephen</t>
  </si>
  <si>
    <t>HEAT TRANSPORT PROCESSES</t>
  </si>
  <si>
    <t>RADAR COMMUNICATIONS</t>
  </si>
  <si>
    <t>ELLis Sani Mubarak</t>
  </si>
  <si>
    <t>SOIL AND WATER ENGINEERING II</t>
  </si>
  <si>
    <t>Agyare Wilson Agyei</t>
  </si>
  <si>
    <t>PULP AND PAPER TECHNOLOGY</t>
  </si>
  <si>
    <t>Rockson Mizpah Ama Dziedzorm</t>
  </si>
  <si>
    <t>STRUCTURAL ANALYSIS</t>
  </si>
  <si>
    <t>ENGINEERING SURVEY II</t>
  </si>
  <si>
    <t>Arko-Adjei Anthony</t>
  </si>
  <si>
    <t>RURAL ENGINEERING</t>
  </si>
  <si>
    <t>Mensah Ebenezer</t>
  </si>
  <si>
    <t>SATELLITE SURVEYING</t>
  </si>
  <si>
    <t>Andam-Akorful Samuel Ato</t>
  </si>
  <si>
    <t>GIS APPLICATIONS</t>
  </si>
  <si>
    <t>Appiah-Adjei Emmanuel Kwame</t>
  </si>
  <si>
    <t>MATERIALS QUALITY CONTROL, ASSURRANCE AND SELECTION</t>
  </si>
  <si>
    <t>STRATIGRAPHY</t>
  </si>
  <si>
    <t>Amedjoe Godfrey Chiri</t>
  </si>
  <si>
    <t>INDUSTRIAL ENGINEEGING LABORATORY II</t>
  </si>
  <si>
    <t>Fiagbe Yesuenyeagbe Atsu Kwabla</t>
  </si>
  <si>
    <t>SHIP SAFETY, ENVIRONMENTAL PROTECTION AND SAFE WATCH KEEPING</t>
  </si>
  <si>
    <t>MEDICAL IMAGING I</t>
  </si>
  <si>
    <t>Kotei Addison Eric Clement</t>
  </si>
  <si>
    <t>BASIC AGRICULTURE</t>
  </si>
  <si>
    <t>Bessah Enoch</t>
  </si>
  <si>
    <t>INDUSTRIAL ENGINEERING LAB III</t>
  </si>
  <si>
    <t>MARINE ENGINEERING LABORATORY I</t>
  </si>
  <si>
    <t>DIGITAL CONTROL SYSTEMS</t>
  </si>
  <si>
    <t>Kwame Oteng Gyasi</t>
  </si>
  <si>
    <t>ELECTROMAGNETIC FIELD THEORY</t>
  </si>
  <si>
    <t>LAND LAW AND REGISTRATION</t>
  </si>
  <si>
    <t>PRINCIPLES OF MATERIAL SCIENCE</t>
  </si>
  <si>
    <t>Agyemang Frank Ofori</t>
  </si>
  <si>
    <t>MECHANICAL ENGINEERING MATERIALS II</t>
  </si>
  <si>
    <t>MARINE INDUSTRIAL ENGINEERING AND ERGONOMICS</t>
  </si>
  <si>
    <t>Mensah Lena Dzifa</t>
  </si>
  <si>
    <t>INDUSTRIAL ENGINEERING AND ERGONOMICS</t>
  </si>
  <si>
    <t>ADVANCED ENGINEERING GEOLLOGY</t>
  </si>
  <si>
    <t>Gidigasu Solomon Senyo Robert</t>
  </si>
  <si>
    <t>Yaw Opoku Mensah Sekyere</t>
  </si>
  <si>
    <t>FRENCH FOR COMMUNICATION II</t>
  </si>
  <si>
    <t>Boakye-Agyeman Candy</t>
  </si>
  <si>
    <t>Alexander Ocloo</t>
  </si>
  <si>
    <t>FRENCH FOR COMMUNICATION  II</t>
  </si>
  <si>
    <t>Pharis Jeel Darko</t>
  </si>
  <si>
    <t>FRENCH FOR COMMUNICATION</t>
  </si>
  <si>
    <t>GROUND ENGINEERING</t>
  </si>
  <si>
    <t>Samuel Innocent Kofi Ampadu</t>
  </si>
  <si>
    <t>SEPARATION PROCESSES II</t>
  </si>
  <si>
    <t>Augustine Ntiamoah</t>
  </si>
  <si>
    <t>ADSORPTION SEPARATION PROCESS TECHNOLOGY</t>
  </si>
  <si>
    <t>Ohemeng-Boahen Godfred</t>
  </si>
  <si>
    <t>PHARMACEUTICAL TECHNOLOGY</t>
  </si>
  <si>
    <t>Johnson Raphael</t>
  </si>
  <si>
    <t>ENVIRONMENTAL ENG. TECHNOLOGY</t>
  </si>
  <si>
    <t>Afotey Benjamin</t>
  </si>
  <si>
    <t>DIGITAL SIGNAL PROCESSING</t>
  </si>
  <si>
    <t>Akowuah Emmanuel Kofi</t>
  </si>
  <si>
    <t>Adjei Prince Ebenezer</t>
  </si>
  <si>
    <t>PHASE TRANSFORMATIONS</t>
  </si>
  <si>
    <t>Gikunoo Emmanuel</t>
  </si>
  <si>
    <t>INTRODUCTION TO SOIL MECHANICS</t>
  </si>
  <si>
    <t>Amenuvor Andrew Cudzo</t>
  </si>
  <si>
    <t>MECHANISMS SYNTHESIS AND ANALYSIS II</t>
  </si>
  <si>
    <t>David Kofi Oppong</t>
  </si>
  <si>
    <t>CHEMICAL PROCESS CALCULATIONS II</t>
  </si>
  <si>
    <t>ENGINEERING PROPERTIES OF POLYMERS</t>
  </si>
  <si>
    <t>Asare Eric Kwame Anokye</t>
  </si>
  <si>
    <t>COMPUTER PROGRAMMING IN OIL AND GAS</t>
  </si>
  <si>
    <t>Sokama-Neuyam Yen Adams</t>
  </si>
  <si>
    <t>PETROLEUM PROJECT EVALUATION</t>
  </si>
  <si>
    <t>Sarkodie Kwame</t>
  </si>
  <si>
    <t>COMPUTER-AIDED DESIGN AND MANUFACTURING</t>
  </si>
  <si>
    <t>INTRODUCTION TO CAD/CAM</t>
  </si>
  <si>
    <t>ELECTRIC DRIVES</t>
  </si>
  <si>
    <t>Effah Francis Boafo</t>
  </si>
  <si>
    <t>STATICS OF SOLID MECHANICS</t>
  </si>
  <si>
    <t>NETWORK PLANNING AND OPTIMIZATION</t>
  </si>
  <si>
    <t>Kwasi Adu-Boahen Opare</t>
  </si>
  <si>
    <t>ENGINEERING MECHANICS I: STATICS</t>
  </si>
  <si>
    <t>HYDROMETALLURGICAL APPLICATIONS</t>
  </si>
  <si>
    <t>Agbe Henry</t>
  </si>
  <si>
    <t>PRINCIPLES OF GEOPHYSICS</t>
  </si>
  <si>
    <t>Ali Bukari</t>
  </si>
  <si>
    <t>LITERATURE IN ENGLISH II</t>
  </si>
  <si>
    <t>Yeboah Philomena Ama Okyeso</t>
  </si>
  <si>
    <t>AIR VEHICLE STABILITY AND CONTROL</t>
  </si>
  <si>
    <t>MODERN AUTOMOBILE TECHNOLOGY</t>
  </si>
  <si>
    <t>Ayetor Godwin Kafui Kwesi</t>
  </si>
  <si>
    <t>PETROLEUM GEOLOGY</t>
  </si>
  <si>
    <t>Borkloe Julius Kwame</t>
  </si>
  <si>
    <t>INTRO TO ENVIRONMENTAL ENG.</t>
  </si>
  <si>
    <t>Essandoh Helen Michelle Korkor</t>
  </si>
  <si>
    <t>CALCULUS WITH SEVERAL VARIABLES</t>
  </si>
  <si>
    <t>Boateng Maxwell Akwasi</t>
  </si>
  <si>
    <t>Affum Emmanuel Ampoma</t>
  </si>
  <si>
    <t>Klogo Griffith Selorm</t>
  </si>
  <si>
    <t>WASTE MANAGEMENT</t>
  </si>
  <si>
    <t>METALLURGICAL WASTE MANAGEMENT</t>
  </si>
  <si>
    <t>MICROPROCESSORS AND MECHATRONICS APPLICATIONS</t>
  </si>
  <si>
    <t>ENVIRONMENTAL IMPACT ASSESSMENT</t>
  </si>
  <si>
    <t>HYDRAULIC ENGINEERING</t>
  </si>
  <si>
    <t>Adjei Kwaku Amaning</t>
  </si>
  <si>
    <t>MARINE MAINTENANCE ENGINEERING</t>
  </si>
  <si>
    <t xml:space="preserve">Peter Oppong Tawiah </t>
  </si>
  <si>
    <t>MAINTENANCE ENGINEERING</t>
  </si>
  <si>
    <t>KINETICS OF CHEMICAL REACTIONS</t>
  </si>
  <si>
    <t>Patrick Aggrey</t>
  </si>
  <si>
    <t>CHEMISTRY FOR METALLURGICAL ENGINEERS</t>
  </si>
  <si>
    <t>CHEMICAL ENGINEERING THERMODYNAMICS II</t>
  </si>
  <si>
    <t>POWER ELECTRONICS</t>
  </si>
  <si>
    <t>Eghan Rhydal Esi</t>
  </si>
  <si>
    <t>Reindorf Nartey Borkor</t>
  </si>
  <si>
    <t>CALCULUS OF SEVERAL VARIABLES</t>
  </si>
  <si>
    <t>Asamoah Joshua Kiddy Kwasi</t>
  </si>
  <si>
    <t>Wireko Fredrick Asenso</t>
  </si>
  <si>
    <t>PHYSICAL CHEMISTRY FOR ENGINEERS</t>
  </si>
  <si>
    <t>FARM POWER AND MACHINERY</t>
  </si>
  <si>
    <t>Aikins Stephen Hill Mends</t>
  </si>
  <si>
    <t>NAVAL ARCHITECTURE I</t>
  </si>
  <si>
    <t>POWER SUPPLY ELECTRONICS</t>
  </si>
  <si>
    <t>Kponyo Jerry John</t>
  </si>
  <si>
    <t>ENGINEERING PROJECT DESIGN AND MANAGEMENT</t>
  </si>
  <si>
    <t>MANUFACTURING TECHNOLOGY</t>
  </si>
  <si>
    <t>Francis Davis</t>
  </si>
  <si>
    <t>PROPERTIES OF MATTER</t>
  </si>
  <si>
    <t>Reginald Mensah Noye</t>
  </si>
  <si>
    <t>NUMERICAL METHODS FOR CHEMICAL ENGINEERS</t>
  </si>
  <si>
    <t>Mensah Mary</t>
  </si>
  <si>
    <t>ENVIRONMENTAL GEOLLOGY</t>
  </si>
  <si>
    <t>Foli Gordon</t>
  </si>
  <si>
    <t>EMBEDDED SYSTEMS</t>
  </si>
  <si>
    <t>PHYSICAL METALLURGY OF FERROUS METALS</t>
  </si>
  <si>
    <t>RESERVOIR RECOVERY TECHNIQUES</t>
  </si>
  <si>
    <t>MAINTENANCE AND REPAIRS OF AGRIC. MACHINERY</t>
  </si>
  <si>
    <t>Bobobee Emmanuel Yaovi Hunnuor</t>
  </si>
  <si>
    <t>MACHINE SHOP AND FACTORY DESIGN</t>
  </si>
  <si>
    <t>COMPUTER APPLICATIONS IN CIVIL ENGINEERING</t>
  </si>
  <si>
    <t>Ayeh Felix Jojo Fianko</t>
  </si>
  <si>
    <t>PROFESSIONAL STUDIES AND DEVELOPMENT</t>
  </si>
  <si>
    <t>Akrofi Emmanuel Offei</t>
  </si>
  <si>
    <t>MEDICAL DEVICE REGULATION</t>
  </si>
  <si>
    <t>DIGITAL COMMUNICATION SYSTEMS</t>
  </si>
  <si>
    <t>Charles Mawutor Adrah</t>
  </si>
  <si>
    <t>PRINCIPLES OF GIS</t>
  </si>
  <si>
    <t>Forkuo Eric Kwabena</t>
  </si>
  <si>
    <t>FOUNDATION ENGINEERING</t>
  </si>
  <si>
    <t>Acquaah Vincent Kofi Abaka</t>
  </si>
  <si>
    <t>STRENGTH OF MATERIALS FOR CHEMICAL ENGINEERS</t>
  </si>
  <si>
    <t>INTRO TO PYTHON &amp; COMPUTER NETWORKING</t>
  </si>
  <si>
    <t>ADVANCED MANUFACTURING TECHNOLOGY I</t>
  </si>
  <si>
    <t>Takyi Gabriel</t>
  </si>
  <si>
    <t>ELECTRICAL MEASUREMENT AND INSTRUMENTATION</t>
  </si>
  <si>
    <t>Obeng Kwakye Kingsford Sarkodie</t>
  </si>
  <si>
    <t>ENTREPRENEURSHIP AND BUSINESS DEVELOPMENT</t>
  </si>
  <si>
    <t>Asamoah Boateng Kenneth</t>
  </si>
  <si>
    <t>SYSTEM ENGINEERING II</t>
  </si>
  <si>
    <t>HEAT TRANSFER</t>
  </si>
  <si>
    <t>Forson Francis Kofi</t>
  </si>
  <si>
    <t>ROBOTICS AND COMPUTER VISION</t>
  </si>
  <si>
    <t>INTRODUCTORY GEOLOGY</t>
  </si>
  <si>
    <t>PETROLEUM BUSINESS: STRUCTURES, LOGISTICS</t>
  </si>
  <si>
    <t>Quaye Jonathan Atuquaye</t>
  </si>
  <si>
    <t>OIL &amp; GAS GEOLPHYSICS</t>
  </si>
  <si>
    <t>MICROPROCESSORS</t>
  </si>
  <si>
    <t>POWER SYSTEMS PLANNING AND OPTIMIZATION</t>
  </si>
  <si>
    <t>BASIC MINERAL SCIENCE</t>
  </si>
  <si>
    <t>AEROSPACE STRUCTURES</t>
  </si>
  <si>
    <t>Agyei Agyemang Anthony</t>
  </si>
  <si>
    <t>MECHANICS OF MATERIALS</t>
  </si>
  <si>
    <t>HEAT AND MASS TRANSPORT</t>
  </si>
  <si>
    <t>RENEWABLE ENERGY RESOURCES</t>
  </si>
  <si>
    <t>Baah-Ennumh Emmanuel Kwaku</t>
  </si>
  <si>
    <t>ANTENNA THEORY AND DESIGN</t>
  </si>
  <si>
    <t>Ellis Sani Mubarak</t>
  </si>
  <si>
    <t>PRINCIPLES OF LAND SURVEYING AND HYDROGRAPHIC SCIENCE</t>
  </si>
  <si>
    <t>Asante Cosmas Yaw</t>
  </si>
  <si>
    <t>COMMUNICATION SKILLS II</t>
  </si>
  <si>
    <t>Patricia Gustafson-Asamoah</t>
  </si>
  <si>
    <t>COMMUNICATION  SKILLS II</t>
  </si>
  <si>
    <t>Bernard Ampong</t>
  </si>
  <si>
    <t>AC MACHINES</t>
  </si>
  <si>
    <t>Asigri Peter</t>
  </si>
  <si>
    <t>SOIL AND ROCK MECHANICS</t>
  </si>
  <si>
    <t>Frederick Owusu-Nimo</t>
  </si>
  <si>
    <t>Owusu-Nimo Frederick</t>
  </si>
  <si>
    <t>BIOSIGNAL PROCESSES AND ANALYSIS</t>
  </si>
  <si>
    <t>OPTICAL MINERALOGY</t>
  </si>
  <si>
    <t>Wilson Matthew Coffie</t>
  </si>
  <si>
    <t>THEORY OF MACHINES</t>
  </si>
  <si>
    <t>PACKAGING TECHNOLOGY</t>
  </si>
  <si>
    <t>Sarfo-Adu Kwasi</t>
  </si>
  <si>
    <t>Alhassan Yakubu</t>
  </si>
  <si>
    <t>MANAGEMENT AND ENTREPRENEURSHIP DEVELOPMENT</t>
  </si>
  <si>
    <t>ENTREPRENEURSHIP DEVELOPMENT AND MANAGEMENT</t>
  </si>
  <si>
    <t xml:space="preserve">ENTREPRENEURSHIP MANAGEMENT </t>
  </si>
  <si>
    <t>ENTREPRENEURSHIP DEVELOPMENT</t>
  </si>
  <si>
    <t>Intsiful Araba Kwegyirba</t>
  </si>
  <si>
    <t>DIGITAL SYSTEMS DESIGN I</t>
  </si>
  <si>
    <t>Nunoo-Mensah Henry</t>
  </si>
  <si>
    <t>HIGHWAY ENGINEERING</t>
  </si>
  <si>
    <t>Tutu Kenneth Adomako</t>
  </si>
  <si>
    <t>MINERAL ECONOMICS AND EVALUATION</t>
  </si>
  <si>
    <t>STRENGTH OF MARINE MATERIALS II</t>
  </si>
  <si>
    <t>HIGH VOLTAGE ENGINEERING</t>
  </si>
  <si>
    <t>ECONOMIC GEOLLOGY</t>
  </si>
  <si>
    <t>Mensah Emmanuel</t>
  </si>
  <si>
    <t>WATER RESOURCES ENGINEERING II</t>
  </si>
  <si>
    <t>STRENGTH OF MATERIALS II</t>
  </si>
  <si>
    <t>PHYSICAL METALLURGY OF NON-FERROUS METALS</t>
  </si>
  <si>
    <t>COMPUTER NETWORKING</t>
  </si>
  <si>
    <t>BASIC MECHANICS</t>
  </si>
  <si>
    <t>NATURAL GAS ENGINEERING</t>
  </si>
  <si>
    <t>Ankudey Emmanuel Godwin</t>
  </si>
  <si>
    <t>FLUID DYNAMICS I</t>
  </si>
  <si>
    <t>Eunice Sefakor Aku Dogbe</t>
  </si>
  <si>
    <t>PETROLEUM ENGINEERING THERMODYNAMICS II</t>
  </si>
  <si>
    <t>ROCK ENGINEERING</t>
  </si>
  <si>
    <t>Quansah David Ato</t>
  </si>
  <si>
    <t>STEEL AND TIMBER DESIGN</t>
  </si>
  <si>
    <t>Mark Adom-Asamoah</t>
  </si>
  <si>
    <t>MILLIMETERWAVE TECHNOLOGY</t>
  </si>
  <si>
    <t>QUALITY ASSURANCE</t>
  </si>
  <si>
    <t>METALLURGICAL RATE PROCESSES/SURFACE PHENOMENA</t>
  </si>
  <si>
    <t>CONSTRUCTION MANAGEMENT</t>
  </si>
  <si>
    <t>Obeng Daniel Atuah</t>
  </si>
  <si>
    <t>INTRODUCTORY ECONOMICS II</t>
  </si>
  <si>
    <t>Takyi Paul Owusu</t>
  </si>
  <si>
    <t>ELEMENTS OF ECONOMICS II</t>
  </si>
  <si>
    <t>Edward Yeboah</t>
  </si>
  <si>
    <t>INTRODUCTION TO ECONOMICS II</t>
  </si>
  <si>
    <t>Beatrice Sarpong-Danquah</t>
  </si>
  <si>
    <t>Paul Owusu Takyi</t>
  </si>
  <si>
    <t>INTERNAL COMBUSTION ENGINES</t>
  </si>
  <si>
    <t>DRILLING ENGINEERING II</t>
  </si>
  <si>
    <t>PIPELINE ENGINEERING</t>
  </si>
  <si>
    <t>BIOMECHANICS II</t>
  </si>
  <si>
    <t>Odame Prince</t>
  </si>
  <si>
    <t>DIGITAL COMPUTER DESIGN</t>
  </si>
  <si>
    <t>Boateng Kwame Osei</t>
  </si>
  <si>
    <t>DIGITAL SYSTEMS DESIGN II</t>
  </si>
  <si>
    <t>GLASS AND CEMENT TECHNOLOGIES</t>
  </si>
  <si>
    <t>THERMODYNAMICS I</t>
  </si>
  <si>
    <t>Amoabeng Kofi Owura</t>
  </si>
  <si>
    <t xml:space="preserve">APPLIED THERMODYNAMICS </t>
  </si>
  <si>
    <t>BASIC THERMODYNAMICS</t>
  </si>
  <si>
    <t>Samuel Boahen</t>
  </si>
  <si>
    <t>APPLIED THERMODYNAMICS I</t>
  </si>
  <si>
    <t>ENGINEERING RESEARCH AND TECHNICAL REPORT WRITING</t>
  </si>
  <si>
    <t>FINANCIAL ACCOUNTING II</t>
  </si>
  <si>
    <t>Yeboah Edward</t>
  </si>
  <si>
    <t>PRINCIPLES OF ACCOUNTING II</t>
  </si>
  <si>
    <t>John Bosco Dramani</t>
  </si>
  <si>
    <t>HUMAN FACTORS AND ERGONOMICS</t>
  </si>
  <si>
    <t>BIOMATERIALS I</t>
  </si>
  <si>
    <t>ENGINEERING MECHANICS I:STATICS</t>
  </si>
  <si>
    <t>FARM MACHINERY DESIGN</t>
  </si>
  <si>
    <t>Titus Tienaah</t>
  </si>
  <si>
    <t>SECURE NETWORK SYSTEMS</t>
  </si>
  <si>
    <t>Tchao Eric Tutu</t>
  </si>
  <si>
    <t>AUTOMOTIVE CHASSIS</t>
  </si>
  <si>
    <t>SATELLITE COMMUNICATION AND NAVIGATION SYSTEMS</t>
  </si>
  <si>
    <t>AIRCRAFT PERFORMANCE AND DESIGN</t>
  </si>
  <si>
    <t>STRUCTURAL GEOLOGY</t>
  </si>
  <si>
    <t>ENERGY AND CLIMATE CHANGE</t>
  </si>
  <si>
    <t>REGIONAL GEOLOGY</t>
  </si>
  <si>
    <t>MARINE ELECTRICAL TECHNOLOGY AND ELECTRICAL MEASUREMENTS</t>
  </si>
  <si>
    <t>SURFACE TREATMENT OF MATERIALS</t>
  </si>
  <si>
    <t>ELECTROMETALLURGY</t>
  </si>
  <si>
    <t>Opoku Richard</t>
  </si>
  <si>
    <t>RELIABILITY ENGINEERING</t>
  </si>
  <si>
    <t>GROUNDWATER DEVELOPMENT</t>
  </si>
  <si>
    <t>VEHICLE MAINTENANCE AND REGULATION</t>
  </si>
  <si>
    <t>INDUSTRIAL AUTOMATIC CONTROL</t>
  </si>
  <si>
    <t>PETROLEUM PRODUCTION ENGINEERING</t>
  </si>
  <si>
    <t>SHIP CONSTRUCTION</t>
  </si>
  <si>
    <t>Jehoshaphat Eyram Deh</t>
  </si>
  <si>
    <t>ENGINEERING WORKSHOP PRACTICE</t>
  </si>
  <si>
    <t>Michael Adusei-Bonsu</t>
  </si>
  <si>
    <t>SOIL MECHANICS APPLICATION TO MECHANISATION</t>
  </si>
  <si>
    <t>Agodzo Sampson Kwaku</t>
  </si>
  <si>
    <t>AQUATIC STROKES DEVELOPMENT AND REFINEMENT</t>
  </si>
  <si>
    <t>Afrifa Daniel</t>
  </si>
  <si>
    <t>FLUID MACHINERY</t>
  </si>
  <si>
    <t>PRINCIPLE OF DESIGN</t>
  </si>
  <si>
    <t>AEROSPACE SAFETY AND AIR SECURITY</t>
  </si>
  <si>
    <t>FUNDAMENTALS OF DATA SCIENCE</t>
  </si>
  <si>
    <t>ELEMENTARY FLUIDS MECHANICS</t>
  </si>
  <si>
    <t>Gyamfi Charles</t>
  </si>
  <si>
    <t>ANTENNAS AND PROPAGATION</t>
  </si>
  <si>
    <t>COMPUTER-AIDED DESIGN AND MODELLING</t>
  </si>
  <si>
    <t>NUMERICAL METHODS FOR PETROLEUM ENGINEERS</t>
  </si>
  <si>
    <t>HYDROGRAPHIC SURVEYING AND MARINE SCIENCE</t>
  </si>
  <si>
    <t>Emmanuel Kpeglo</t>
  </si>
  <si>
    <t>Benedict Barnes</t>
  </si>
  <si>
    <t>PRINCIPLES OF VALUATION OF LAND AND BUILDING</t>
  </si>
  <si>
    <t>Ayitey Jonathan</t>
  </si>
  <si>
    <t>ELECTRICAL ENGINEERING MACHINES</t>
  </si>
  <si>
    <t>ELECTRICAL MACHINES</t>
  </si>
  <si>
    <t>SIMULTANEOUS HEAT/MASS TRANSFER</t>
  </si>
  <si>
    <t>Dogbe Eunice Sefakor Aku</t>
  </si>
  <si>
    <t>STRUCTURAL DYNAMICS</t>
  </si>
  <si>
    <t>PROCESS CONTROL AND SIMULATION</t>
  </si>
  <si>
    <t>CROP STORAGE AND STORAGE STRUCTURES</t>
  </si>
  <si>
    <t>Bart Plange Ato</t>
  </si>
  <si>
    <t>LOGISTICS AND SUPPLY CHAIN ENGINEERING</t>
  </si>
  <si>
    <t>AEROSPACE DESIGN PROJECT I</t>
  </si>
  <si>
    <t>FIRST YEAR DESIGN PROJECT</t>
  </si>
  <si>
    <t>MARINE ENGINEERING DESIGN PROJECT I</t>
  </si>
  <si>
    <t>PRODUCT DESIGN AND MANUFACTURING</t>
  </si>
  <si>
    <t>Boakye Patrick</t>
  </si>
  <si>
    <t>LARGE SCALE SURVEYING</t>
  </si>
  <si>
    <t>Dadzie Isaac</t>
  </si>
  <si>
    <t>INTRODUCTION TO PROGRAMMING - I</t>
  </si>
  <si>
    <t>AUTOMOTIVE ELECTRICAL SYSTEMS AND ELECTRONICS</t>
  </si>
  <si>
    <t>RESERVOIR FLUID PROPERTIES</t>
  </si>
  <si>
    <t>Casper Daniel Adenutsi</t>
  </si>
  <si>
    <t>KINETICS AND REACTIONS ENGINEERING</t>
  </si>
  <si>
    <t>MINING PRINCIPLES AND SYSTEMS</t>
  </si>
  <si>
    <t>Owusu-Sarpong Seth</t>
  </si>
  <si>
    <t>RESEARCH METHODS FOR ENGINEERS</t>
  </si>
  <si>
    <t>Amponsah William</t>
  </si>
  <si>
    <t>NUMERICAL METHODS FOR ENGINEERS</t>
  </si>
  <si>
    <t>INTRODUCTION TO POLYMERIC MATERIALS</t>
  </si>
  <si>
    <t>Mustapha Hameed</t>
  </si>
  <si>
    <t>ORE BENEFICIATION</t>
  </si>
  <si>
    <t>ENVIRONMENTAL SCIENCE</t>
  </si>
  <si>
    <t>WELL COMPLETION AND STIMULATION</t>
  </si>
  <si>
    <t>BIOMEDICAL OPTICS</t>
  </si>
  <si>
    <t>INTRODUCTION TO VLSI</t>
  </si>
  <si>
    <t>VLSI CIRCUIT DESIGN</t>
  </si>
  <si>
    <t>SHIP OPERATION, REGULATION AND MANAGEMENT</t>
  </si>
  <si>
    <t>TELECOMMUNICATION POLICY AND REGULATION</t>
  </si>
  <si>
    <t>Kingsford Sarkodie Obeng Kwakye</t>
  </si>
  <si>
    <t>PRODUCTION PLANNING AND CONTROL</t>
  </si>
  <si>
    <t>ENGINEERING MANAGEMENT</t>
  </si>
  <si>
    <t xml:space="preserve"> HIGHWAY ENGINEERING</t>
  </si>
  <si>
    <t>Ababio-Donkor Augustus</t>
  </si>
  <si>
    <t>COMPUTER APPLICATIONS</t>
  </si>
  <si>
    <t>Albert Kwame Kwaw</t>
  </si>
  <si>
    <t>CALCULUS WITH ANALYSIS</t>
  </si>
  <si>
    <t>Kwabi Prince Amponsah</t>
  </si>
  <si>
    <t>Ezearn Jeffery</t>
  </si>
  <si>
    <t>Ayekple Yao Elikem</t>
  </si>
  <si>
    <t>Lawton Adu-Ansah</t>
  </si>
  <si>
    <t>Isaac Azure</t>
  </si>
  <si>
    <t>SOFTWARE ENGINEERING</t>
  </si>
  <si>
    <t>CHEMICAL REACTION ENGINEERING</t>
  </si>
  <si>
    <t>POWER SYSTEMS ANALYSIS</t>
  </si>
  <si>
    <t>VIBRATIONS I</t>
  </si>
  <si>
    <t>VIBRATIONS FOR AUTOMOBILE ENGINEERS</t>
  </si>
  <si>
    <t>ANATOMY AND PHYSIOLOGY FOR ENGINEERS II</t>
  </si>
  <si>
    <t>Agyapong Dorothy Araba Yakoba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</si>
</sst>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charset val="1"/>
    </font>
    <font>
      <sz val="10"/>
      <color theme="1"/>
      <name val="Times New Roman"/>
      <family val="1"/>
      <charset val="1"/>
    </font>
    <font>
      <sz val="10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name val="Calibri"/>
      <family val="2"/>
    </font>
    <font>
      <b/>
      <sz val="10"/>
      <color theme="1"/>
      <name val="Times New Roman"/>
      <family val="1"/>
    </font>
    <font>
      <b/>
      <sz val="11"/>
      <name val="Calibri"/>
      <family val="2"/>
      <scheme val="minor"/>
    </font>
    <font>
      <sz val="8"/>
      <name val="Times New Roman"/>
      <family val="1"/>
    </font>
    <font>
      <b/>
      <sz val="10"/>
      <name val="Times"/>
      <family val="1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66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7" fillId="0" borderId="0"/>
    <xf numFmtId="0" fontId="1" fillId="0" borderId="0"/>
  </cellStyleXfs>
  <cellXfs count="130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  <xf numFmtId="0" fontId="6" fillId="0" borderId="0" xfId="0" applyFont="1"/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8" fillId="0" borderId="1" xfId="2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5" fillId="0" borderId="1" xfId="0" applyFont="1" applyBorder="1"/>
    <xf numFmtId="0" fontId="10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0" xfId="0" applyFont="1"/>
    <xf numFmtId="0" fontId="2" fillId="0" borderId="3" xfId="0" applyFont="1" applyBorder="1"/>
    <xf numFmtId="0" fontId="6" fillId="0" borderId="1" xfId="0" applyFont="1" applyBorder="1"/>
    <xf numFmtId="0" fontId="9" fillId="0" borderId="1" xfId="2" applyFont="1" applyBorder="1" applyAlignment="1">
      <alignment horizontal="left"/>
    </xf>
    <xf numFmtId="0" fontId="2" fillId="0" borderId="1" xfId="0" applyFont="1" applyBorder="1"/>
    <xf numFmtId="0" fontId="9" fillId="0" borderId="1" xfId="0" applyFont="1" applyBorder="1"/>
    <xf numFmtId="49" fontId="9" fillId="0" borderId="1" xfId="0" applyNumberFormat="1" applyFont="1" applyBorder="1"/>
    <xf numFmtId="0" fontId="11" fillId="0" borderId="1" xfId="3" applyFont="1" applyBorder="1" applyAlignment="1">
      <alignment horizontal="left"/>
    </xf>
    <xf numFmtId="0" fontId="1" fillId="0" borderId="5" xfId="3" applyBorder="1"/>
    <xf numFmtId="0" fontId="1" fillId="0" borderId="6" xfId="3" applyBorder="1"/>
    <xf numFmtId="0" fontId="1" fillId="0" borderId="1" xfId="3" applyBorder="1"/>
    <xf numFmtId="0" fontId="1" fillId="0" borderId="7" xfId="3" applyBorder="1"/>
    <xf numFmtId="0" fontId="1" fillId="0" borderId="0" xfId="3"/>
    <xf numFmtId="0" fontId="1" fillId="0" borderId="2" xfId="3" applyBorder="1"/>
    <xf numFmtId="0" fontId="1" fillId="0" borderId="4" xfId="3" applyBorder="1"/>
    <xf numFmtId="0" fontId="3" fillId="0" borderId="1" xfId="0" applyFont="1" applyBorder="1" applyAlignment="1">
      <alignment horizontal="left"/>
    </xf>
    <xf numFmtId="0" fontId="5" fillId="0" borderId="2" xfId="0" applyFont="1" applyBorder="1"/>
    <xf numFmtId="0" fontId="5" fillId="0" borderId="4" xfId="0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1" fontId="2" fillId="0" borderId="3" xfId="0" applyNumberFormat="1" applyFont="1" applyBorder="1" applyAlignment="1">
      <alignment horizontal="right" vertical="center"/>
    </xf>
    <xf numFmtId="0" fontId="2" fillId="3" borderId="0" xfId="0" applyFont="1" applyFill="1"/>
    <xf numFmtId="0" fontId="6" fillId="3" borderId="0" xfId="0" applyFont="1" applyFill="1"/>
    <xf numFmtId="0" fontId="5" fillId="3" borderId="0" xfId="0" applyFont="1" applyFill="1"/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1" fontId="2" fillId="2" borderId="3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6" fillId="2" borderId="0" xfId="0" applyFont="1" applyFill="1"/>
    <xf numFmtId="0" fontId="5" fillId="2" borderId="0" xfId="0" applyFont="1" applyFill="1"/>
    <xf numFmtId="0" fontId="4" fillId="0" borderId="1" xfId="0" applyFont="1" applyBorder="1"/>
    <xf numFmtId="0" fontId="4" fillId="0" borderId="2" xfId="0" applyFont="1" applyBorder="1"/>
    <xf numFmtId="0" fontId="4" fillId="0" borderId="1" xfId="0" applyFont="1" applyBorder="1" applyAlignment="1">
      <alignment horizontal="left"/>
    </xf>
    <xf numFmtId="0" fontId="4" fillId="0" borderId="3" xfId="0" applyFont="1" applyBorder="1"/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2" fillId="3" borderId="2" xfId="1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1" fontId="2" fillId="3" borderId="3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2" fillId="2" borderId="0" xfId="0" applyFont="1" applyFill="1"/>
    <xf numFmtId="0" fontId="1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14" fillId="0" borderId="2" xfId="0" applyFont="1" applyBorder="1"/>
    <xf numFmtId="0" fontId="2" fillId="4" borderId="0" xfId="0" applyFont="1" applyFill="1"/>
    <xf numFmtId="0" fontId="6" fillId="4" borderId="0" xfId="0" applyFont="1" applyFill="1"/>
    <xf numFmtId="0" fontId="5" fillId="4" borderId="0" xfId="0" applyFont="1" applyFill="1"/>
    <xf numFmtId="0" fontId="2" fillId="5" borderId="0" xfId="0" applyFont="1" applyFill="1"/>
    <xf numFmtId="0" fontId="6" fillId="5" borderId="0" xfId="0" applyFont="1" applyFill="1"/>
    <xf numFmtId="0" fontId="5" fillId="5" borderId="0" xfId="0" applyFont="1" applyFill="1"/>
    <xf numFmtId="0" fontId="3" fillId="0" borderId="2" xfId="0" applyFont="1" applyBorder="1" applyAlignment="1">
      <alignment horizontal="right" vertical="center"/>
    </xf>
    <xf numFmtId="0" fontId="3" fillId="3" borderId="1" xfId="0" applyFont="1" applyFill="1" applyBorder="1"/>
    <xf numFmtId="0" fontId="15" fillId="0" borderId="1" xfId="0" applyFont="1" applyBorder="1" applyAlignment="1">
      <alignment horizontal="left" vertical="center"/>
    </xf>
    <xf numFmtId="0" fontId="9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2" fillId="6" borderId="2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left" vertical="center"/>
    </xf>
    <xf numFmtId="1" fontId="2" fillId="6" borderId="3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left"/>
    </xf>
    <xf numFmtId="0" fontId="2" fillId="6" borderId="0" xfId="0" applyFont="1" applyFill="1"/>
    <xf numFmtId="0" fontId="6" fillId="6" borderId="0" xfId="0" applyFont="1" applyFill="1"/>
    <xf numFmtId="0" fontId="5" fillId="6" borderId="0" xfId="0" applyFont="1" applyFill="1"/>
    <xf numFmtId="0" fontId="2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/>
    </xf>
    <xf numFmtId="0" fontId="2" fillId="0" borderId="2" xfId="0" applyFont="1" applyBorder="1"/>
    <xf numFmtId="0" fontId="12" fillId="3" borderId="0" xfId="0" applyFont="1" applyFill="1"/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/>
    <xf numFmtId="0" fontId="2" fillId="3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10" fillId="3" borderId="1" xfId="0" applyFont="1" applyFill="1" applyBorder="1" applyAlignment="1">
      <alignment horizontal="left"/>
    </xf>
    <xf numFmtId="0" fontId="9" fillId="2" borderId="1" xfId="0" applyFont="1" applyFill="1" applyBorder="1"/>
    <xf numFmtId="0" fontId="3" fillId="3" borderId="1" xfId="0" applyFont="1" applyFill="1" applyBorder="1" applyAlignment="1">
      <alignment horizontal="left"/>
    </xf>
    <xf numFmtId="0" fontId="3" fillId="3" borderId="2" xfId="0" applyFont="1" applyFill="1" applyBorder="1"/>
    <xf numFmtId="0" fontId="5" fillId="0" borderId="3" xfId="0" applyFont="1" applyBorder="1"/>
    <xf numFmtId="0" fontId="8" fillId="0" borderId="1" xfId="2" applyFont="1" applyBorder="1" applyAlignment="1">
      <alignment vertical="center"/>
    </xf>
    <xf numFmtId="0" fontId="2" fillId="3" borderId="1" xfId="0" applyFont="1" applyFill="1" applyBorder="1" applyAlignment="1">
      <alignment horizontal="left" vertical="center" wrapText="1"/>
    </xf>
    <xf numFmtId="0" fontId="8" fillId="2" borderId="1" xfId="2" applyFont="1" applyFill="1" applyBorder="1" applyAlignment="1">
      <alignment vertical="center"/>
    </xf>
    <xf numFmtId="0" fontId="8" fillId="2" borderId="1" xfId="2" applyFont="1" applyFill="1" applyBorder="1" applyAlignment="1">
      <alignment horizontal="left"/>
    </xf>
    <xf numFmtId="0" fontId="5" fillId="7" borderId="1" xfId="0" applyFont="1" applyFill="1" applyBorder="1" applyAlignment="1">
      <alignment horizontal="left"/>
    </xf>
    <xf numFmtId="0" fontId="2" fillId="7" borderId="0" xfId="0" applyFont="1" applyFill="1"/>
    <xf numFmtId="0" fontId="6" fillId="7" borderId="0" xfId="0" applyFont="1" applyFill="1"/>
    <xf numFmtId="0" fontId="5" fillId="7" borderId="0" xfId="0" applyFont="1" applyFill="1"/>
    <xf numFmtId="0" fontId="8" fillId="0" borderId="1" xfId="2" applyFont="1" applyBorder="1" applyAlignment="1">
      <alignment vertical="center" wrapText="1"/>
    </xf>
    <xf numFmtId="0" fontId="16" fillId="0" borderId="1" xfId="0" applyFont="1" applyBorder="1"/>
    <xf numFmtId="0" fontId="8" fillId="2" borderId="1" xfId="2" applyFont="1" applyFill="1" applyBorder="1" applyAlignment="1">
      <alignment horizontal="left" vertical="center"/>
    </xf>
    <xf numFmtId="0" fontId="2" fillId="8" borderId="1" xfId="0" applyFont="1" applyFill="1" applyBorder="1" applyAlignment="1">
      <alignment vertical="center"/>
    </xf>
    <xf numFmtId="0" fontId="9" fillId="3" borderId="1" xfId="0" applyFont="1" applyFill="1" applyBorder="1"/>
    <xf numFmtId="0" fontId="9" fillId="3" borderId="1" xfId="0" applyFont="1" applyFill="1" applyBorder="1" applyAlignment="1">
      <alignment horizontal="left" vertical="center"/>
    </xf>
    <xf numFmtId="49" fontId="9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4">
    <cellStyle name="Normal" xfId="0" builtinId="0"/>
    <cellStyle name="Normal 2" xfId="2" xr:uid="{D0D6CB34-2575-42D9-B45C-5C422B287401}"/>
    <cellStyle name="Normal 2 2" xfId="3" xr:uid="{1430D705-7447-4872-9126-E839F57D6FA9}"/>
    <cellStyle name="Percent" xfId="1" builtinId="5"/>
  </cellStyles>
  <dxfs count="1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/Dropbox/Exams%20Office_kmd/Examinations/Time%20Table/Exams/SS/2025-26/mid-sem/Second%20Semester%20Midsem%20Timetable%202025-26.xlsx" TargetMode="External"/><Relationship Id="rId1" Type="http://schemas.openxmlformats.org/officeDocument/2006/relationships/externalLinkPath" Target="/Users/user/Dropbox/Exams%20Office_kmd/Examinations/Time%20Table/Exams/SS/2025-26/mid-sem/Second%20Semester%20Midsem%20Timetable%202025-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/Desktop/WORKING%20FOLDER/FIRST%20SEMESTER/MID%20SEMESTER%20EXAMS/MID%20SEMESTER%20EXAMS%202023AA.xlsx" TargetMode="External"/><Relationship Id="rId1" Type="http://schemas.openxmlformats.org/officeDocument/2006/relationships/externalLinkPath" Target="/Users/user/Desktop/WORKING%20FOLDER/FIRST%20SEMESTER/MID%20SEMESTER%20EXAMS/MID%20SEMESTER%20EXAMS%202023A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/Desktop/WORKING%20FOLDER/FIRST%20SEMESTER/FINAL%20EXAMS/Examtt2k23_24_FS.xlsx" TargetMode="External"/><Relationship Id="rId1" Type="http://schemas.openxmlformats.org/officeDocument/2006/relationships/externalLinkPath" Target="/Users/user/Desktop/WORKING%20FOLDER/FIRST%20SEMESTER/FINAL%20EXAMS/Examtt2k23_24_F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/Dropbox/Exams%20Office_kmd/Examinations/Time%20Table/Exams/SS/2022_23_Exams%20TT/exams/Examtt2k22_23_ss_FINAL.xlsm" TargetMode="External"/><Relationship Id="rId1" Type="http://schemas.openxmlformats.org/officeDocument/2006/relationships/externalLinkPath" Target="/Users/user/Dropbox/Exams%20Office_kmd/Examinations/Time%20Table/Exams/SS/2022_23_Exams%20TT/exams/Examtt2k22_23_ss_FINAL.xlsm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/Dropbox/Exams%20Office_kmd/Examinations/Time%20Table/Exams/SS/2025-26/End%20of%20Sem/End%20of%20SS%20ExamsTT%202026.xlsx" TargetMode="External"/><Relationship Id="rId1" Type="http://schemas.openxmlformats.org/officeDocument/2006/relationships/externalLinkPath" Target="/Users/user/Dropbox/Exams%20Office_kmd/Examinations/Time%20Table/Exams/SS/2025-26/End%20of%20Sem/End%20of%20SS%20ExamsTT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T 1.0"/>
      <sheetName val="TTFINAL 1"/>
      <sheetName val="TTFINAL"/>
      <sheetName val="TT"/>
      <sheetName val="TALLY"/>
      <sheetName val="Lectures"/>
      <sheetName val="Lectures_1"/>
      <sheetName val="ROOMS"/>
      <sheetName val="WATER (2)"/>
      <sheetName val="Invigilation + Meals(2ND Se (1)"/>
      <sheetName val="cenG_PROJECT (2nd Sem)"/>
      <sheetName val="Invigilation + Meals(sup.)"/>
      <sheetName val="SUPP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T (Working)"/>
      <sheetName val="TT (Values)"/>
      <sheetName val="FREQ"/>
      <sheetName val="TALLY"/>
      <sheetName val="ROOMS"/>
      <sheetName val="ROOMS (2)"/>
      <sheetName val="WATER"/>
      <sheetName val="SESSIONS"/>
      <sheetName val="COURSES"/>
      <sheetName val="TEO_fred"/>
      <sheetName val="Working sheet"/>
    </sheetNames>
    <sheetDataSet>
      <sheetData sheetId="0">
        <row r="3">
          <cell r="D3" t="str">
            <v>CLASS</v>
          </cell>
        </row>
        <row r="4">
          <cell r="D4" t="str">
            <v>ED1-AERO</v>
          </cell>
        </row>
        <row r="5">
          <cell r="D5" t="str">
            <v>ED1-AE</v>
          </cell>
        </row>
        <row r="6">
          <cell r="D6" t="str">
            <v>ED1-AUTO</v>
          </cell>
        </row>
        <row r="7">
          <cell r="D7" t="str">
            <v>ED1-BME</v>
          </cell>
        </row>
        <row r="8">
          <cell r="D8" t="str">
            <v>ED1-CHE</v>
          </cell>
        </row>
        <row r="9">
          <cell r="D9" t="str">
            <v>ED1-COE</v>
          </cell>
        </row>
        <row r="10">
          <cell r="D10" t="str">
            <v>ED1-IND</v>
          </cell>
        </row>
        <row r="11">
          <cell r="D11" t="str">
            <v>ED3-EE</v>
          </cell>
        </row>
        <row r="12">
          <cell r="D12" t="str">
            <v>ED2-EE</v>
          </cell>
        </row>
        <row r="13">
          <cell r="D13" t="str">
            <v>ED3-TEL</v>
          </cell>
        </row>
        <row r="14">
          <cell r="D14" t="str">
            <v>ED3-CHE</v>
          </cell>
        </row>
        <row r="15">
          <cell r="D15" t="str">
            <v>ED3-IND</v>
          </cell>
        </row>
        <row r="16">
          <cell r="D16" t="str">
            <v>ED3-BME</v>
          </cell>
        </row>
        <row r="17">
          <cell r="D17" t="str">
            <v>ED4-METE</v>
          </cell>
        </row>
        <row r="18">
          <cell r="D18" t="str">
            <v>ED4-ME</v>
          </cell>
        </row>
        <row r="19">
          <cell r="D19" t="str">
            <v>ED4-CHE</v>
          </cell>
        </row>
        <row r="20">
          <cell r="D20" t="str">
            <v>ED3-COE</v>
          </cell>
        </row>
        <row r="21">
          <cell r="D21" t="str">
            <v>Total M1</v>
          </cell>
        </row>
        <row r="26">
          <cell r="D26" t="str">
            <v>CLASS</v>
          </cell>
        </row>
        <row r="27">
          <cell r="D27" t="str">
            <v>ED1-CE</v>
          </cell>
        </row>
        <row r="28">
          <cell r="D28" t="str">
            <v>ED1-EE</v>
          </cell>
        </row>
        <row r="29">
          <cell r="D29" t="str">
            <v>ED1-GEOL</v>
          </cell>
        </row>
        <row r="30">
          <cell r="D30" t="str">
            <v>ED1-METE</v>
          </cell>
        </row>
        <row r="31">
          <cell r="D31" t="str">
            <v>ED1-PCE</v>
          </cell>
        </row>
        <row r="32">
          <cell r="D32" t="str">
            <v>ED2-COE</v>
          </cell>
        </row>
        <row r="33">
          <cell r="D33" t="str">
            <v>ED3-AERO</v>
          </cell>
        </row>
        <row r="34">
          <cell r="D34" t="str">
            <v>ED2-METE</v>
          </cell>
        </row>
        <row r="35">
          <cell r="D35" t="str">
            <v>ED4-GEOL</v>
          </cell>
        </row>
        <row r="36">
          <cell r="D36" t="str">
            <v>ED4-BME</v>
          </cell>
        </row>
        <row r="37">
          <cell r="D37" t="str">
            <v>ED2-AERO</v>
          </cell>
        </row>
        <row r="38">
          <cell r="D38" t="str">
            <v>ED4-CE</v>
          </cell>
        </row>
        <row r="39">
          <cell r="D39" t="str">
            <v>ED3-GEOL</v>
          </cell>
        </row>
        <row r="40">
          <cell r="D40" t="str">
            <v>ED2-CHE</v>
          </cell>
        </row>
        <row r="41">
          <cell r="D41" t="str">
            <v>ED2-PCE</v>
          </cell>
        </row>
        <row r="42">
          <cell r="D42" t="str">
            <v>ED3-AUTO</v>
          </cell>
        </row>
        <row r="43">
          <cell r="D43" t="str">
            <v>ED4-TEL</v>
          </cell>
        </row>
        <row r="44">
          <cell r="D44" t="str">
            <v>ED4-PETE</v>
          </cell>
        </row>
        <row r="45">
          <cell r="D45" t="str">
            <v>Total M2</v>
          </cell>
        </row>
        <row r="50">
          <cell r="D50" t="str">
            <v>CLASS</v>
          </cell>
        </row>
        <row r="51">
          <cell r="D51" t="str">
            <v>ED1-GEOM</v>
          </cell>
        </row>
        <row r="52">
          <cell r="D52" t="str">
            <v>ED1-MARI</v>
          </cell>
        </row>
        <row r="53">
          <cell r="D53" t="str">
            <v>ED1-MSE</v>
          </cell>
        </row>
        <row r="54">
          <cell r="D54" t="str">
            <v>ED1-ME</v>
          </cell>
        </row>
        <row r="55">
          <cell r="D55" t="str">
            <v>ED1-PETE</v>
          </cell>
        </row>
        <row r="56">
          <cell r="D56" t="str">
            <v>ED1-TEL</v>
          </cell>
        </row>
        <row r="57">
          <cell r="D57" t="str">
            <v>ED3-AE</v>
          </cell>
        </row>
        <row r="58">
          <cell r="D58" t="str">
            <v>ED4-MARI</v>
          </cell>
        </row>
        <row r="59">
          <cell r="D59" t="str">
            <v>ED3-PCE</v>
          </cell>
        </row>
        <row r="60">
          <cell r="D60" t="str">
            <v>ED2-ME</v>
          </cell>
        </row>
        <row r="61">
          <cell r="D61" t="str">
            <v>ED3-COE</v>
          </cell>
        </row>
        <row r="62">
          <cell r="D62" t="str">
            <v>ED3-EE</v>
          </cell>
        </row>
        <row r="63">
          <cell r="D63" t="str">
            <v>ED4-CE</v>
          </cell>
        </row>
        <row r="64">
          <cell r="D64" t="str">
            <v>ED3-MARI</v>
          </cell>
        </row>
        <row r="65">
          <cell r="D65" t="str">
            <v>ED2-COE</v>
          </cell>
        </row>
        <row r="66">
          <cell r="D66" t="str">
            <v>ED3-PETE</v>
          </cell>
        </row>
        <row r="67">
          <cell r="D67" t="str">
            <v>Total M3</v>
          </cell>
        </row>
        <row r="72">
          <cell r="D72" t="str">
            <v>CLASS</v>
          </cell>
        </row>
        <row r="73">
          <cell r="D73" t="str">
            <v>ED4-AERO</v>
          </cell>
        </row>
        <row r="74">
          <cell r="D74" t="str">
            <v>ED4-ME</v>
          </cell>
        </row>
        <row r="75">
          <cell r="D75" t="str">
            <v>ED4-IND</v>
          </cell>
        </row>
        <row r="76">
          <cell r="D76" t="str">
            <v>ED3-EE</v>
          </cell>
        </row>
        <row r="77">
          <cell r="D77" t="str">
            <v>ED4-TEL</v>
          </cell>
        </row>
        <row r="78">
          <cell r="D78" t="str">
            <v>ED4-EE</v>
          </cell>
        </row>
        <row r="79">
          <cell r="D79" t="str">
            <v>ED4-COE</v>
          </cell>
        </row>
        <row r="80">
          <cell r="D80" t="str">
            <v>ED3-MSE</v>
          </cell>
        </row>
        <row r="81">
          <cell r="D81" t="str">
            <v>ED4-GEOL</v>
          </cell>
        </row>
        <row r="82">
          <cell r="D82" t="str">
            <v>ED4-GEOM</v>
          </cell>
        </row>
        <row r="83">
          <cell r="D83" t="str">
            <v>ED2-BME</v>
          </cell>
        </row>
        <row r="84">
          <cell r="D84" t="str">
            <v>ED2-CE</v>
          </cell>
        </row>
        <row r="85">
          <cell r="D85" t="str">
            <v>ED2-GEOM</v>
          </cell>
        </row>
        <row r="86">
          <cell r="D86" t="str">
            <v>ED4-AE</v>
          </cell>
        </row>
        <row r="87">
          <cell r="D87" t="str">
            <v>ED4-PETE</v>
          </cell>
        </row>
        <row r="88">
          <cell r="D88" t="str">
            <v>ED3-PETE</v>
          </cell>
        </row>
        <row r="89">
          <cell r="D89" t="str">
            <v>ED3-METE</v>
          </cell>
        </row>
        <row r="90">
          <cell r="D90" t="str">
            <v>Total M4</v>
          </cell>
        </row>
        <row r="95">
          <cell r="D95" t="str">
            <v>CLASS</v>
          </cell>
        </row>
        <row r="96">
          <cell r="D96" t="str">
            <v>ED2-AE</v>
          </cell>
        </row>
        <row r="97">
          <cell r="D97" t="str">
            <v>ED3-ME</v>
          </cell>
        </row>
        <row r="98">
          <cell r="D98" t="str">
            <v>ED2-GEOL</v>
          </cell>
        </row>
        <row r="99">
          <cell r="D99" t="str">
            <v>ED1-GEOL</v>
          </cell>
        </row>
        <row r="100">
          <cell r="D100" t="str">
            <v>ED2-PETE</v>
          </cell>
        </row>
        <row r="101">
          <cell r="D101" t="str">
            <v>ED3-CHE</v>
          </cell>
        </row>
        <row r="102">
          <cell r="D102" t="str">
            <v>ED3-PCE</v>
          </cell>
        </row>
        <row r="103">
          <cell r="D103" t="str">
            <v>ED3-CE</v>
          </cell>
        </row>
        <row r="104">
          <cell r="D104" t="str">
            <v>ED4-AERO</v>
          </cell>
        </row>
        <row r="105">
          <cell r="D105" t="str">
            <v>ED1-TEL</v>
          </cell>
        </row>
        <row r="106">
          <cell r="D106" t="str">
            <v>Total M5</v>
          </cell>
        </row>
        <row r="111">
          <cell r="D111" t="str">
            <v>CLASS</v>
          </cell>
        </row>
        <row r="112">
          <cell r="D112" t="str">
            <v>ED3-GEOL</v>
          </cell>
        </row>
        <row r="113">
          <cell r="D113" t="str">
            <v>ED4-CE</v>
          </cell>
        </row>
        <row r="114">
          <cell r="D114" t="str">
            <v>ED3-CE</v>
          </cell>
        </row>
        <row r="115">
          <cell r="D115" t="str">
            <v>ED1-BME</v>
          </cell>
        </row>
        <row r="116">
          <cell r="D116" t="str">
            <v>ED2-IND</v>
          </cell>
        </row>
        <row r="117">
          <cell r="D117" t="str">
            <v>ED2-MARI</v>
          </cell>
        </row>
        <row r="118">
          <cell r="D118" t="str">
            <v>ED2-ME</v>
          </cell>
        </row>
        <row r="119">
          <cell r="D119" t="str">
            <v>ED2-AUTO</v>
          </cell>
        </row>
        <row r="120">
          <cell r="D120" t="str">
            <v>ED2-MSE</v>
          </cell>
        </row>
        <row r="121">
          <cell r="D121" t="str">
            <v>ED3-METE</v>
          </cell>
        </row>
        <row r="122">
          <cell r="D122" t="str">
            <v>ED1-GEOM</v>
          </cell>
        </row>
        <row r="123">
          <cell r="D123" t="str">
            <v>ED4-PETE</v>
          </cell>
        </row>
        <row r="124">
          <cell r="D124" t="str">
            <v>ED3-GEOM</v>
          </cell>
        </row>
        <row r="125">
          <cell r="D125" t="str">
            <v>Total M6</v>
          </cell>
        </row>
        <row r="130">
          <cell r="D130" t="str">
            <v>CLASS</v>
          </cell>
        </row>
        <row r="131">
          <cell r="D131" t="str">
            <v>ED2-METE</v>
          </cell>
        </row>
        <row r="132">
          <cell r="D132" t="str">
            <v>ED2-MSE</v>
          </cell>
        </row>
        <row r="133">
          <cell r="D133" t="str">
            <v>ED3-EE</v>
          </cell>
        </row>
        <row r="134">
          <cell r="D134" t="str">
            <v>ED3-TEL</v>
          </cell>
        </row>
        <row r="135">
          <cell r="D135" t="str">
            <v>ED3-ME</v>
          </cell>
        </row>
        <row r="136">
          <cell r="D136" t="str">
            <v>ED3-AERO</v>
          </cell>
        </row>
        <row r="137">
          <cell r="D137" t="str">
            <v>ED3-AE</v>
          </cell>
        </row>
        <row r="138">
          <cell r="D138" t="str">
            <v>ED3-MARI</v>
          </cell>
        </row>
        <row r="139">
          <cell r="D139" t="str">
            <v>ED4-AUTO</v>
          </cell>
        </row>
        <row r="140">
          <cell r="D140" t="str">
            <v>ED2-CHE</v>
          </cell>
        </row>
        <row r="141">
          <cell r="D141" t="str">
            <v>ED2-PCE</v>
          </cell>
        </row>
        <row r="142">
          <cell r="D142" t="str">
            <v>ED2-CE</v>
          </cell>
        </row>
        <row r="143">
          <cell r="D143" t="str">
            <v>ED1-METE</v>
          </cell>
        </row>
        <row r="144">
          <cell r="D144" t="str">
            <v>ED1-MSE</v>
          </cell>
        </row>
        <row r="145">
          <cell r="D145" t="str">
            <v>Total M7</v>
          </cell>
        </row>
        <row r="150">
          <cell r="D150" t="str">
            <v>CLASS</v>
          </cell>
        </row>
        <row r="151">
          <cell r="D151" t="str">
            <v>ED1-CE</v>
          </cell>
        </row>
        <row r="152">
          <cell r="D152" t="str">
            <v>ED1-BME</v>
          </cell>
        </row>
        <row r="153">
          <cell r="D153" t="str">
            <v>ED1-CHE</v>
          </cell>
        </row>
        <row r="154">
          <cell r="D154" t="str">
            <v>ED1-PCE</v>
          </cell>
        </row>
        <row r="155">
          <cell r="D155" t="str">
            <v>ED1-PETE</v>
          </cell>
        </row>
        <row r="156">
          <cell r="D156" t="str">
            <v>ED1-TEL</v>
          </cell>
        </row>
        <row r="157">
          <cell r="D157" t="str">
            <v>ED1-AERO</v>
          </cell>
        </row>
        <row r="158">
          <cell r="D158" t="str">
            <v>ED1-COE</v>
          </cell>
        </row>
        <row r="159">
          <cell r="D159" t="str">
            <v>ED3-CE</v>
          </cell>
        </row>
        <row r="160">
          <cell r="D160" t="str">
            <v>ED4-MSE</v>
          </cell>
        </row>
        <row r="161">
          <cell r="D161" t="str">
            <v>ED4-METE</v>
          </cell>
        </row>
        <row r="162">
          <cell r="D162" t="str">
            <v>Total T1</v>
          </cell>
        </row>
        <row r="167">
          <cell r="D167" t="str">
            <v>CLASS</v>
          </cell>
        </row>
        <row r="168">
          <cell r="D168" t="str">
            <v>ED1-AUTO</v>
          </cell>
        </row>
        <row r="169">
          <cell r="D169" t="str">
            <v>ED1-ME</v>
          </cell>
        </row>
        <row r="170">
          <cell r="D170" t="str">
            <v>ED1-MSE</v>
          </cell>
        </row>
        <row r="171">
          <cell r="D171" t="str">
            <v>ED1-IND</v>
          </cell>
        </row>
        <row r="172">
          <cell r="D172" t="str">
            <v>ED1-MARI</v>
          </cell>
        </row>
        <row r="173">
          <cell r="D173" t="str">
            <v>ED1-EE</v>
          </cell>
        </row>
        <row r="174">
          <cell r="D174" t="str">
            <v>ED1-GEOL</v>
          </cell>
        </row>
        <row r="175">
          <cell r="D175" t="str">
            <v>ED1-GEOM</v>
          </cell>
        </row>
        <row r="176">
          <cell r="D176" t="str">
            <v>ED1-AE</v>
          </cell>
        </row>
        <row r="177">
          <cell r="D177" t="str">
            <v>ED2-GEOL</v>
          </cell>
        </row>
        <row r="178">
          <cell r="D178" t="str">
            <v>ED2-CE</v>
          </cell>
        </row>
        <row r="179">
          <cell r="D179" t="str">
            <v>ED4-PETE</v>
          </cell>
        </row>
        <row r="180">
          <cell r="D180" t="str">
            <v>ED4-MARI</v>
          </cell>
        </row>
        <row r="181">
          <cell r="D181" t="str">
            <v>ED3-CHE</v>
          </cell>
        </row>
        <row r="182">
          <cell r="D182" t="str">
            <v>Total T2</v>
          </cell>
        </row>
        <row r="187">
          <cell r="D187" t="str">
            <v>CLASS</v>
          </cell>
        </row>
        <row r="188">
          <cell r="D188" t="str">
            <v>ED1-METE</v>
          </cell>
        </row>
        <row r="189">
          <cell r="D189" t="str">
            <v>ED1-PCE</v>
          </cell>
        </row>
        <row r="190">
          <cell r="D190" t="str">
            <v>ED1-PETE</v>
          </cell>
        </row>
        <row r="191">
          <cell r="D191" t="str">
            <v>ED1-MSE</v>
          </cell>
        </row>
        <row r="192">
          <cell r="D192" t="str">
            <v>ED1-AE</v>
          </cell>
        </row>
        <row r="193">
          <cell r="D193" t="str">
            <v>ED3-ME</v>
          </cell>
        </row>
        <row r="194">
          <cell r="D194" t="str">
            <v>ED3-MARI</v>
          </cell>
        </row>
        <row r="195">
          <cell r="D195" t="str">
            <v>ED2-BME</v>
          </cell>
        </row>
        <row r="196">
          <cell r="D196" t="str">
            <v>ED2-CHE</v>
          </cell>
        </row>
        <row r="197">
          <cell r="D197" t="str">
            <v>ED4-AE</v>
          </cell>
        </row>
        <row r="198">
          <cell r="D198" t="str">
            <v>ED2-PETE</v>
          </cell>
        </row>
        <row r="199">
          <cell r="D199" t="str">
            <v>ED3-EE</v>
          </cell>
        </row>
        <row r="200">
          <cell r="D200" t="str">
            <v>ED1-TEL</v>
          </cell>
        </row>
        <row r="201">
          <cell r="D201" t="str">
            <v>ED4-PETE</v>
          </cell>
        </row>
        <row r="202">
          <cell r="D202" t="str">
            <v>Total T3</v>
          </cell>
        </row>
        <row r="207">
          <cell r="D207" t="str">
            <v>CLASS</v>
          </cell>
        </row>
        <row r="208">
          <cell r="D208" t="str">
            <v>ED2-COE</v>
          </cell>
        </row>
        <row r="209">
          <cell r="D209" t="str">
            <v>ED2-GEOL</v>
          </cell>
        </row>
        <row r="210">
          <cell r="D210" t="str">
            <v>ED2-GEOM</v>
          </cell>
        </row>
        <row r="211">
          <cell r="D211" t="str">
            <v>ED2-IND</v>
          </cell>
        </row>
        <row r="212">
          <cell r="D212" t="str">
            <v>ED2-TEL</v>
          </cell>
        </row>
        <row r="213">
          <cell r="D213" t="str">
            <v>ED3-GEOL</v>
          </cell>
        </row>
        <row r="214">
          <cell r="D214" t="str">
            <v>ED2-MSE</v>
          </cell>
        </row>
        <row r="215">
          <cell r="D215" t="str">
            <v>ED2-METE</v>
          </cell>
        </row>
        <row r="216">
          <cell r="D216" t="str">
            <v>ED1-CHE</v>
          </cell>
        </row>
        <row r="217">
          <cell r="D217" t="str">
            <v>ED1-AUTO</v>
          </cell>
        </row>
        <row r="218">
          <cell r="D218" t="str">
            <v>ED3-MSE</v>
          </cell>
        </row>
        <row r="219">
          <cell r="D219" t="str">
            <v>ED3-BME</v>
          </cell>
        </row>
        <row r="220">
          <cell r="D220" t="str">
            <v>ED4-EE</v>
          </cell>
        </row>
        <row r="221">
          <cell r="D221" t="str">
            <v>Total T4</v>
          </cell>
        </row>
        <row r="226">
          <cell r="D226" t="str">
            <v>CLASS</v>
          </cell>
        </row>
        <row r="227">
          <cell r="D227" t="str">
            <v>ED2-AE</v>
          </cell>
        </row>
        <row r="228">
          <cell r="D228" t="str">
            <v>ED2-AERO</v>
          </cell>
        </row>
        <row r="229">
          <cell r="D229" t="str">
            <v>ED2-CE</v>
          </cell>
        </row>
        <row r="230">
          <cell r="D230" t="str">
            <v>ED2-MARI</v>
          </cell>
        </row>
        <row r="231">
          <cell r="D231" t="str">
            <v>ED2-ME</v>
          </cell>
        </row>
        <row r="232">
          <cell r="D232" t="str">
            <v>ED2-CHE</v>
          </cell>
        </row>
        <row r="233">
          <cell r="D233" t="str">
            <v>ED1-CE</v>
          </cell>
        </row>
        <row r="234">
          <cell r="D234" t="str">
            <v>ED1-GEOL</v>
          </cell>
        </row>
        <row r="235">
          <cell r="D235" t="str">
            <v>ED1-EE</v>
          </cell>
        </row>
        <row r="236">
          <cell r="D236" t="str">
            <v>ED3-AE</v>
          </cell>
        </row>
        <row r="237">
          <cell r="D237" t="str">
            <v>ED1-AERO</v>
          </cell>
        </row>
        <row r="238">
          <cell r="D238" t="str">
            <v>Total T5</v>
          </cell>
        </row>
        <row r="243">
          <cell r="D243" t="str">
            <v>CLASS</v>
          </cell>
        </row>
        <row r="244">
          <cell r="D244" t="str">
            <v>ED2-MARI</v>
          </cell>
        </row>
        <row r="245">
          <cell r="D245" t="str">
            <v>ED2-ME</v>
          </cell>
        </row>
        <row r="246">
          <cell r="D246" t="str">
            <v>ED2-AERO</v>
          </cell>
        </row>
        <row r="247">
          <cell r="D247" t="str">
            <v>ED2-IND</v>
          </cell>
        </row>
        <row r="248">
          <cell r="D248" t="str">
            <v>ED2-AUTO</v>
          </cell>
        </row>
        <row r="249">
          <cell r="D249" t="str">
            <v>ED4-AERO</v>
          </cell>
        </row>
        <row r="250">
          <cell r="D250" t="str">
            <v>ED4-ME</v>
          </cell>
        </row>
        <row r="251">
          <cell r="D251" t="str">
            <v>ED4-GEOL</v>
          </cell>
        </row>
        <row r="252">
          <cell r="D252" t="str">
            <v>ED3-CHE</v>
          </cell>
        </row>
        <row r="253">
          <cell r="D253" t="str">
            <v>ED4-TEL</v>
          </cell>
        </row>
        <row r="254">
          <cell r="D254" t="str">
            <v>ED4-PCE</v>
          </cell>
        </row>
        <row r="255">
          <cell r="D255" t="str">
            <v>ED3-PCE</v>
          </cell>
        </row>
        <row r="256">
          <cell r="D256" t="str">
            <v>ED2-BME</v>
          </cell>
        </row>
        <row r="257">
          <cell r="D257" t="str">
            <v>ED2-COE</v>
          </cell>
        </row>
        <row r="258">
          <cell r="D258" t="str">
            <v>ED4-EE</v>
          </cell>
        </row>
        <row r="259">
          <cell r="D259" t="str">
            <v>Total T6</v>
          </cell>
        </row>
        <row r="264">
          <cell r="D264" t="str">
            <v>CLASS</v>
          </cell>
        </row>
        <row r="265">
          <cell r="D265" t="str">
            <v>ED4-IND</v>
          </cell>
        </row>
        <row r="266">
          <cell r="D266" t="str">
            <v>ED1-COE</v>
          </cell>
        </row>
        <row r="267">
          <cell r="D267" t="str">
            <v>ED3-GEOM</v>
          </cell>
        </row>
        <row r="268">
          <cell r="D268" t="str">
            <v>ED3-PETE</v>
          </cell>
        </row>
        <row r="269">
          <cell r="D269" t="str">
            <v>ED3-IND</v>
          </cell>
        </row>
        <row r="270">
          <cell r="D270" t="str">
            <v>ED2-EE</v>
          </cell>
        </row>
        <row r="271">
          <cell r="D271" t="str">
            <v>ED2-TEL</v>
          </cell>
        </row>
        <row r="272">
          <cell r="D272" t="str">
            <v>ED3-EE</v>
          </cell>
        </row>
        <row r="273">
          <cell r="D273" t="str">
            <v>ED3-TEL</v>
          </cell>
        </row>
        <row r="274">
          <cell r="D274" t="str">
            <v>Total T7</v>
          </cell>
        </row>
        <row r="279">
          <cell r="D279" t="str">
            <v>CLASS</v>
          </cell>
        </row>
        <row r="280">
          <cell r="D280" t="str">
            <v>ED4-PCE</v>
          </cell>
        </row>
        <row r="281">
          <cell r="D281" t="str">
            <v>ED4-CHE</v>
          </cell>
        </row>
        <row r="282">
          <cell r="D282" t="str">
            <v>ED4-PETE</v>
          </cell>
        </row>
        <row r="283">
          <cell r="D283" t="str">
            <v>ED1-AUTO</v>
          </cell>
        </row>
        <row r="284">
          <cell r="D284" t="str">
            <v>ED1-EE</v>
          </cell>
        </row>
        <row r="285">
          <cell r="D285" t="str">
            <v>ED4-MARI</v>
          </cell>
        </row>
        <row r="286">
          <cell r="D286" t="str">
            <v>ED3-PETE</v>
          </cell>
        </row>
        <row r="287">
          <cell r="D287" t="str">
            <v>ED3-MSE</v>
          </cell>
        </row>
        <row r="288">
          <cell r="D288" t="str">
            <v>ED3-METE</v>
          </cell>
        </row>
        <row r="289">
          <cell r="D289" t="str">
            <v>ED3-CHE</v>
          </cell>
        </row>
        <row r="290">
          <cell r="D290" t="str">
            <v>ED2-MSE</v>
          </cell>
        </row>
        <row r="291">
          <cell r="D291" t="str">
            <v>ED3-COE</v>
          </cell>
        </row>
        <row r="292">
          <cell r="D292" t="str">
            <v>ED3-BME</v>
          </cell>
        </row>
        <row r="293">
          <cell r="D293" t="str">
            <v>Total W1</v>
          </cell>
        </row>
        <row r="298">
          <cell r="D298" t="str">
            <v>CLASS</v>
          </cell>
        </row>
        <row r="299">
          <cell r="D299" t="str">
            <v>ED2-AE</v>
          </cell>
        </row>
        <row r="300">
          <cell r="D300" t="str">
            <v>ED2-AERO</v>
          </cell>
        </row>
        <row r="301">
          <cell r="D301" t="str">
            <v>ED2-BME</v>
          </cell>
        </row>
        <row r="302">
          <cell r="D302" t="str">
            <v>ED2-GEOM</v>
          </cell>
        </row>
        <row r="303">
          <cell r="D303" t="str">
            <v>ED2-IND</v>
          </cell>
        </row>
        <row r="304">
          <cell r="D304" t="str">
            <v>ED2-ME</v>
          </cell>
        </row>
        <row r="305">
          <cell r="D305" t="str">
            <v>ED3-GEOL</v>
          </cell>
        </row>
        <row r="306">
          <cell r="D306" t="str">
            <v>ED3-IND</v>
          </cell>
        </row>
        <row r="307">
          <cell r="D307" t="str">
            <v>ED3-CE</v>
          </cell>
        </row>
        <row r="308">
          <cell r="D308" t="str">
            <v>ED3-GEOM</v>
          </cell>
        </row>
        <row r="309">
          <cell r="D309" t="str">
            <v>ED3-PCE</v>
          </cell>
        </row>
        <row r="310">
          <cell r="D310" t="str">
            <v>ED1-TEL</v>
          </cell>
        </row>
        <row r="311">
          <cell r="D311" t="str">
            <v>Total W2</v>
          </cell>
        </row>
        <row r="316">
          <cell r="D316" t="str">
            <v>CLASS</v>
          </cell>
        </row>
        <row r="317">
          <cell r="D317" t="str">
            <v>ED3-AERO</v>
          </cell>
        </row>
        <row r="318">
          <cell r="D318" t="str">
            <v>ED3-ME</v>
          </cell>
        </row>
        <row r="319">
          <cell r="D319" t="str">
            <v>ED3-MARI</v>
          </cell>
        </row>
        <row r="320">
          <cell r="D320" t="str">
            <v>ED3-AUTO</v>
          </cell>
        </row>
        <row r="321">
          <cell r="D321" t="str">
            <v>ED4-MARI</v>
          </cell>
        </row>
        <row r="322">
          <cell r="D322" t="str">
            <v>ED4-ME</v>
          </cell>
        </row>
        <row r="323">
          <cell r="D323" t="str">
            <v>ED4-IND</v>
          </cell>
        </row>
        <row r="324">
          <cell r="D324" t="str">
            <v>ED1-IND</v>
          </cell>
        </row>
        <row r="325">
          <cell r="D325" t="str">
            <v>ED1-MARI</v>
          </cell>
        </row>
        <row r="326">
          <cell r="D326" t="str">
            <v>ED2-PETE</v>
          </cell>
        </row>
        <row r="327">
          <cell r="D327" t="str">
            <v>ED2-EE</v>
          </cell>
        </row>
        <row r="328">
          <cell r="D328" t="str">
            <v>ED4-AE</v>
          </cell>
        </row>
        <row r="329">
          <cell r="D329" t="str">
            <v>ED1-GEOL</v>
          </cell>
        </row>
        <row r="330">
          <cell r="D330" t="str">
            <v>ED1-CE</v>
          </cell>
        </row>
        <row r="331">
          <cell r="D331" t="str">
            <v>Total W3</v>
          </cell>
        </row>
        <row r="336">
          <cell r="D336" t="str">
            <v>CLASS</v>
          </cell>
        </row>
        <row r="337">
          <cell r="D337" t="str">
            <v>ED4-MSE</v>
          </cell>
        </row>
        <row r="338">
          <cell r="D338" t="str">
            <v>ED4-BME</v>
          </cell>
        </row>
        <row r="339">
          <cell r="D339" t="str">
            <v>ED1-PETE</v>
          </cell>
        </row>
        <row r="340">
          <cell r="D340" t="str">
            <v>ED1-GEOM</v>
          </cell>
        </row>
        <row r="341">
          <cell r="D341" t="str">
            <v>ED1-MSE</v>
          </cell>
        </row>
        <row r="342">
          <cell r="D342" t="str">
            <v>ED2-AE</v>
          </cell>
        </row>
        <row r="343">
          <cell r="D343" t="str">
            <v>ED1-ME</v>
          </cell>
        </row>
        <row r="344">
          <cell r="D344" t="str">
            <v>ED1-AERO</v>
          </cell>
        </row>
        <row r="345">
          <cell r="D345" t="str">
            <v>ED3-AE</v>
          </cell>
        </row>
        <row r="346">
          <cell r="D346" t="str">
            <v>ED3-EE</v>
          </cell>
        </row>
        <row r="347">
          <cell r="D347" t="str">
            <v>ED4-ME</v>
          </cell>
        </row>
        <row r="348">
          <cell r="D348" t="str">
            <v>ED1-BME</v>
          </cell>
        </row>
        <row r="349">
          <cell r="D349" t="str">
            <v>ED2-CHE</v>
          </cell>
        </row>
        <row r="350">
          <cell r="D350" t="str">
            <v>ED2-GEOL</v>
          </cell>
        </row>
        <row r="351">
          <cell r="D351" t="str">
            <v>ED1-PCE</v>
          </cell>
        </row>
        <row r="352">
          <cell r="D352" t="str">
            <v>Total W4</v>
          </cell>
        </row>
        <row r="357">
          <cell r="D357" t="str">
            <v>CLASS</v>
          </cell>
        </row>
        <row r="358">
          <cell r="D358" t="str">
            <v>ED2-EE</v>
          </cell>
        </row>
        <row r="359">
          <cell r="D359" t="str">
            <v>ED3-GEOM</v>
          </cell>
        </row>
        <row r="360">
          <cell r="D360" t="str">
            <v>ED1-CE</v>
          </cell>
        </row>
        <row r="361">
          <cell r="D361" t="str">
            <v>ED1-GEOL</v>
          </cell>
        </row>
        <row r="362">
          <cell r="D362" t="str">
            <v>ED2-BME</v>
          </cell>
        </row>
        <row r="363">
          <cell r="D363" t="str">
            <v>ED2-COE</v>
          </cell>
        </row>
        <row r="364">
          <cell r="D364" t="str">
            <v>ED2-TEL</v>
          </cell>
        </row>
        <row r="365">
          <cell r="D365" t="str">
            <v>ED3-CHE</v>
          </cell>
        </row>
        <row r="366">
          <cell r="D366" t="str">
            <v>ED1-METE</v>
          </cell>
        </row>
        <row r="367">
          <cell r="D367" t="str">
            <v>ED2-MSE</v>
          </cell>
        </row>
        <row r="368">
          <cell r="D368" t="str">
            <v>ED1-EE</v>
          </cell>
        </row>
        <row r="369">
          <cell r="D369" t="str">
            <v>ED1-COE</v>
          </cell>
        </row>
        <row r="370">
          <cell r="D370" t="str">
            <v>ED1-BME</v>
          </cell>
        </row>
        <row r="371">
          <cell r="D371" t="str">
            <v>ED2-CE</v>
          </cell>
        </row>
        <row r="372">
          <cell r="D372" t="str">
            <v>ED4-GEOM</v>
          </cell>
        </row>
        <row r="373">
          <cell r="D373" t="str">
            <v>ED4-ME</v>
          </cell>
        </row>
        <row r="374">
          <cell r="D374" t="str">
            <v>ED4-PETE</v>
          </cell>
        </row>
        <row r="375">
          <cell r="D375" t="str">
            <v>ED4-CE</v>
          </cell>
        </row>
        <row r="376">
          <cell r="D376" t="str">
            <v>ED4-GEOL</v>
          </cell>
        </row>
        <row r="377">
          <cell r="D377" t="str">
            <v>ED1-AE</v>
          </cell>
        </row>
        <row r="378">
          <cell r="D378" t="str">
            <v>Total W5</v>
          </cell>
        </row>
        <row r="383">
          <cell r="D383" t="str">
            <v>CLASS</v>
          </cell>
        </row>
        <row r="384">
          <cell r="D384" t="str">
            <v>ED3-TEL</v>
          </cell>
        </row>
        <row r="385">
          <cell r="D385" t="str">
            <v>ED3-COE</v>
          </cell>
        </row>
        <row r="386">
          <cell r="D386" t="str">
            <v>ED3-IND</v>
          </cell>
        </row>
        <row r="387">
          <cell r="D387" t="str">
            <v>ED3-GEOL</v>
          </cell>
        </row>
        <row r="388">
          <cell r="D388" t="str">
            <v>ED3-PCE</v>
          </cell>
        </row>
        <row r="389">
          <cell r="D389" t="str">
            <v>ED4-ME</v>
          </cell>
        </row>
        <row r="390">
          <cell r="D390" t="str">
            <v>ED4-AERO</v>
          </cell>
        </row>
        <row r="391">
          <cell r="D391" t="str">
            <v>ED3-CHE</v>
          </cell>
        </row>
        <row r="392">
          <cell r="D392" t="str">
            <v>ED2-METE</v>
          </cell>
        </row>
        <row r="393">
          <cell r="D393" t="str">
            <v>ED1-AE</v>
          </cell>
        </row>
        <row r="394">
          <cell r="D394" t="str">
            <v>ED3-AE</v>
          </cell>
        </row>
        <row r="395">
          <cell r="D395" t="str">
            <v>ED4-GEOL</v>
          </cell>
        </row>
        <row r="396">
          <cell r="D396" t="str">
            <v>ED4-CE</v>
          </cell>
        </row>
        <row r="397">
          <cell r="D397" t="str">
            <v>ED2-AUTO</v>
          </cell>
        </row>
        <row r="398">
          <cell r="D398" t="str">
            <v>ED2-IND</v>
          </cell>
        </row>
        <row r="399">
          <cell r="D399" t="str">
            <v>ED2-MARI</v>
          </cell>
        </row>
        <row r="400">
          <cell r="D400" t="str">
            <v>Total W6</v>
          </cell>
        </row>
        <row r="405">
          <cell r="D405" t="str">
            <v>CLASS</v>
          </cell>
        </row>
        <row r="406">
          <cell r="D406" t="str">
            <v>ED1-CHE</v>
          </cell>
        </row>
        <row r="407">
          <cell r="D407" t="str">
            <v>ED1-PCE</v>
          </cell>
        </row>
        <row r="408">
          <cell r="D408" t="str">
            <v>ED1-PETE</v>
          </cell>
        </row>
        <row r="409">
          <cell r="D409" t="str">
            <v>ED3-PETE</v>
          </cell>
        </row>
        <row r="410">
          <cell r="D410" t="str">
            <v>ED3-METE</v>
          </cell>
        </row>
        <row r="411">
          <cell r="D411" t="str">
            <v>ED3-MSE</v>
          </cell>
        </row>
        <row r="412">
          <cell r="D412" t="str">
            <v>ED3-AERO</v>
          </cell>
        </row>
        <row r="413">
          <cell r="D413" t="str">
            <v>ED3-ME</v>
          </cell>
        </row>
        <row r="414">
          <cell r="D414" t="str">
            <v>ED3-AUTO</v>
          </cell>
        </row>
        <row r="415">
          <cell r="D415" t="str">
            <v>ED3-MARI</v>
          </cell>
        </row>
        <row r="416">
          <cell r="D416" t="str">
            <v>ED4-AERO</v>
          </cell>
        </row>
        <row r="417">
          <cell r="D417" t="str">
            <v>ED4-COE</v>
          </cell>
        </row>
        <row r="418">
          <cell r="D418" t="str">
            <v>ED3-BME</v>
          </cell>
        </row>
        <row r="419">
          <cell r="D419" t="str">
            <v>ED4-TEL</v>
          </cell>
        </row>
        <row r="420">
          <cell r="D420" t="str">
            <v>ED2-CHE</v>
          </cell>
        </row>
        <row r="421">
          <cell r="D421" t="str">
            <v>ED2-PCE</v>
          </cell>
        </row>
        <row r="422">
          <cell r="D422" t="str">
            <v>Total W7</v>
          </cell>
        </row>
        <row r="427">
          <cell r="D427" t="str">
            <v>CLASS</v>
          </cell>
        </row>
        <row r="428">
          <cell r="D428" t="str">
            <v>ED1-EE</v>
          </cell>
        </row>
        <row r="429">
          <cell r="D429" t="str">
            <v>ED1-TEL</v>
          </cell>
        </row>
        <row r="430">
          <cell r="D430" t="str">
            <v>ED1-AUTO</v>
          </cell>
        </row>
        <row r="431">
          <cell r="D431" t="str">
            <v>ED1-GEOM</v>
          </cell>
        </row>
        <row r="432">
          <cell r="D432" t="str">
            <v>ED1-CHE</v>
          </cell>
        </row>
        <row r="433">
          <cell r="D433" t="str">
            <v>ED1-PCE</v>
          </cell>
        </row>
        <row r="434">
          <cell r="D434" t="str">
            <v>ED1-AERO</v>
          </cell>
        </row>
        <row r="435">
          <cell r="D435" t="str">
            <v>ED1-IND</v>
          </cell>
        </row>
        <row r="436">
          <cell r="D436" t="str">
            <v>ED1-MARI</v>
          </cell>
        </row>
        <row r="437">
          <cell r="D437" t="str">
            <v>ED1-CE</v>
          </cell>
        </row>
        <row r="438">
          <cell r="D438" t="str">
            <v>ED1-COE</v>
          </cell>
        </row>
        <row r="439">
          <cell r="D439" t="str">
            <v>ED1-ME</v>
          </cell>
        </row>
        <row r="440">
          <cell r="D440" t="str">
            <v>ED1-AE</v>
          </cell>
        </row>
        <row r="441">
          <cell r="D441" t="str">
            <v>ED1-BME</v>
          </cell>
        </row>
        <row r="442">
          <cell r="D442" t="str">
            <v>ED1-PETE</v>
          </cell>
        </row>
        <row r="443">
          <cell r="D443" t="str">
            <v>ED1-GEOL</v>
          </cell>
        </row>
        <row r="444">
          <cell r="D444" t="str">
            <v>ED1-METE</v>
          </cell>
        </row>
        <row r="445">
          <cell r="D445" t="str">
            <v>ED1-MSE</v>
          </cell>
        </row>
        <row r="446">
          <cell r="D446" t="str">
            <v>Total H1</v>
          </cell>
        </row>
        <row r="451">
          <cell r="D451" t="str">
            <v>CLASS</v>
          </cell>
        </row>
        <row r="452">
          <cell r="D452" t="str">
            <v>ED2-COE</v>
          </cell>
        </row>
        <row r="453">
          <cell r="D453" t="str">
            <v>ED2-BME</v>
          </cell>
        </row>
        <row r="454">
          <cell r="D454" t="str">
            <v>ED3-PCE</v>
          </cell>
        </row>
        <row r="455">
          <cell r="D455" t="str">
            <v>ED3-CHE</v>
          </cell>
        </row>
        <row r="456">
          <cell r="D456" t="str">
            <v>ED1-BME</v>
          </cell>
        </row>
        <row r="457">
          <cell r="D457" t="str">
            <v>ED4-PETE</v>
          </cell>
        </row>
        <row r="458">
          <cell r="D458" t="str">
            <v>ED3-IND</v>
          </cell>
        </row>
        <row r="459">
          <cell r="D459" t="str">
            <v>ED2-TEL</v>
          </cell>
        </row>
        <row r="460">
          <cell r="D460" t="str">
            <v>ED2-METE</v>
          </cell>
        </row>
        <row r="461">
          <cell r="D461" t="str">
            <v>ED3-BME</v>
          </cell>
        </row>
        <row r="462">
          <cell r="D462" t="str">
            <v>ED4-MSE</v>
          </cell>
        </row>
        <row r="463">
          <cell r="D463" t="str">
            <v>ED4-METE</v>
          </cell>
        </row>
        <row r="464">
          <cell r="D464" t="str">
            <v>ED2-PETE</v>
          </cell>
        </row>
        <row r="465">
          <cell r="D465" t="str">
            <v>Total H2</v>
          </cell>
        </row>
        <row r="470">
          <cell r="D470" t="str">
            <v>CLASS</v>
          </cell>
        </row>
        <row r="471">
          <cell r="D471" t="str">
            <v>ED1-AE</v>
          </cell>
        </row>
        <row r="472">
          <cell r="D472" t="str">
            <v>ED1-METE</v>
          </cell>
        </row>
        <row r="473">
          <cell r="D473" t="str">
            <v>ED1-MSE</v>
          </cell>
        </row>
        <row r="474">
          <cell r="D474" t="str">
            <v>ED1-ME</v>
          </cell>
        </row>
        <row r="475">
          <cell r="D475" t="str">
            <v>ED1-AUTO</v>
          </cell>
        </row>
        <row r="476">
          <cell r="D476" t="str">
            <v>ED1-IND</v>
          </cell>
        </row>
        <row r="477">
          <cell r="D477" t="str">
            <v>ED1-MARI</v>
          </cell>
        </row>
        <row r="478">
          <cell r="D478" t="str">
            <v>ED2-CE</v>
          </cell>
        </row>
        <row r="479">
          <cell r="D479" t="str">
            <v>ED4-AERO</v>
          </cell>
        </row>
        <row r="480">
          <cell r="D480" t="str">
            <v>ED4-GEOL</v>
          </cell>
        </row>
        <row r="481">
          <cell r="D481" t="str">
            <v>ED2-AE</v>
          </cell>
        </row>
        <row r="482">
          <cell r="D482" t="str">
            <v>ED1-TEL</v>
          </cell>
        </row>
        <row r="483">
          <cell r="D483" t="str">
            <v>ED2-COE</v>
          </cell>
        </row>
        <row r="484">
          <cell r="D484" t="str">
            <v>Total H3</v>
          </cell>
        </row>
        <row r="489">
          <cell r="D489" t="str">
            <v>CLASS</v>
          </cell>
        </row>
        <row r="490">
          <cell r="D490" t="str">
            <v>ED4-BME</v>
          </cell>
        </row>
        <row r="491">
          <cell r="D491" t="str">
            <v>ED4-COE</v>
          </cell>
        </row>
        <row r="492">
          <cell r="D492" t="str">
            <v>ED4-CHE</v>
          </cell>
        </row>
        <row r="493">
          <cell r="D493" t="str">
            <v>ED4-PCE</v>
          </cell>
        </row>
        <row r="494">
          <cell r="D494" t="str">
            <v>ED4-AE</v>
          </cell>
        </row>
        <row r="495">
          <cell r="D495" t="str">
            <v>ED2-MSE</v>
          </cell>
        </row>
        <row r="496">
          <cell r="D496" t="str">
            <v>ED2-METE</v>
          </cell>
        </row>
        <row r="497">
          <cell r="D497" t="str">
            <v>ED4-CE</v>
          </cell>
        </row>
        <row r="498">
          <cell r="D498" t="str">
            <v>ED1-AERO</v>
          </cell>
        </row>
        <row r="499">
          <cell r="D499" t="str">
            <v>ED4-AERO</v>
          </cell>
        </row>
        <row r="500">
          <cell r="D500" t="str">
            <v>ED4-ME</v>
          </cell>
        </row>
        <row r="501">
          <cell r="D501" t="str">
            <v>ED4-IND</v>
          </cell>
        </row>
        <row r="502">
          <cell r="D502" t="str">
            <v>ED3-AERO</v>
          </cell>
        </row>
        <row r="503">
          <cell r="D503" t="str">
            <v>ED3-PETE</v>
          </cell>
        </row>
        <row r="504">
          <cell r="D504" t="str">
            <v>ED3-PCE</v>
          </cell>
        </row>
        <row r="505">
          <cell r="D505" t="str">
            <v>ED4-MARI</v>
          </cell>
        </row>
        <row r="506">
          <cell r="D506" t="str">
            <v>ED2-IND</v>
          </cell>
        </row>
        <row r="507">
          <cell r="D507" t="str">
            <v>ED2-MARI</v>
          </cell>
        </row>
        <row r="508">
          <cell r="D508" t="str">
            <v>ED2-AUTO</v>
          </cell>
        </row>
        <row r="509">
          <cell r="D509" t="str">
            <v>ED2-GEOM</v>
          </cell>
        </row>
        <row r="510">
          <cell r="D510" t="str">
            <v>ED3-AE</v>
          </cell>
        </row>
        <row r="511">
          <cell r="D511" t="str">
            <v>Total H4</v>
          </cell>
        </row>
        <row r="516">
          <cell r="D516" t="str">
            <v>CLASS</v>
          </cell>
        </row>
        <row r="517">
          <cell r="D517" t="str">
            <v>ED4-GEOM</v>
          </cell>
        </row>
        <row r="518">
          <cell r="D518" t="str">
            <v>ED4-TEL</v>
          </cell>
        </row>
        <row r="519">
          <cell r="D519" t="str">
            <v>ED4-EE</v>
          </cell>
        </row>
        <row r="520">
          <cell r="D520" t="str">
            <v>ED4-PETE</v>
          </cell>
        </row>
        <row r="521">
          <cell r="D521" t="str">
            <v>ED3-AE</v>
          </cell>
        </row>
        <row r="522">
          <cell r="D522" t="str">
            <v>ED3-IND</v>
          </cell>
        </row>
        <row r="523">
          <cell r="D523" t="str">
            <v>ED3-CE</v>
          </cell>
        </row>
        <row r="524">
          <cell r="D524" t="str">
            <v>ED3-CHE</v>
          </cell>
        </row>
        <row r="525">
          <cell r="D525" t="str">
            <v>ED3-EE</v>
          </cell>
        </row>
        <row r="526">
          <cell r="D526" t="str">
            <v>ED4-AUTO</v>
          </cell>
        </row>
        <row r="527">
          <cell r="D527" t="str">
            <v>ED4-ME</v>
          </cell>
        </row>
        <row r="528">
          <cell r="D528" t="str">
            <v>Total H5</v>
          </cell>
        </row>
        <row r="533">
          <cell r="D533" t="str">
            <v>CLASS</v>
          </cell>
        </row>
        <row r="534">
          <cell r="D534" t="str">
            <v>ED4-AUTO</v>
          </cell>
        </row>
        <row r="535">
          <cell r="D535" t="str">
            <v>ED2-AUTO</v>
          </cell>
        </row>
        <row r="536">
          <cell r="D536" t="str">
            <v>ED3-GEOM</v>
          </cell>
        </row>
        <row r="537">
          <cell r="D537" t="str">
            <v>ED2-PETE</v>
          </cell>
        </row>
        <row r="538">
          <cell r="D538" t="str">
            <v>ED2-PCE</v>
          </cell>
        </row>
        <row r="539">
          <cell r="D539" t="str">
            <v>ED3-TEL</v>
          </cell>
        </row>
        <row r="540">
          <cell r="D540" t="str">
            <v>ED1-CE</v>
          </cell>
        </row>
        <row r="541">
          <cell r="D541" t="str">
            <v>ED2-AERO</v>
          </cell>
        </row>
        <row r="542">
          <cell r="D542" t="str">
            <v>ED2-GEOM</v>
          </cell>
        </row>
        <row r="543">
          <cell r="D543" t="str">
            <v>ED1-CHE</v>
          </cell>
        </row>
        <row r="544">
          <cell r="D544" t="str">
            <v>ED1-PCE</v>
          </cell>
        </row>
        <row r="545">
          <cell r="D545" t="str">
            <v>ED2-MARI</v>
          </cell>
        </row>
        <row r="546">
          <cell r="D546" t="str">
            <v>ED2-GEOL</v>
          </cell>
        </row>
        <row r="547">
          <cell r="D547" t="str">
            <v>ED3-ME</v>
          </cell>
        </row>
        <row r="548">
          <cell r="D548" t="str">
            <v>Total H6</v>
          </cell>
        </row>
        <row r="553">
          <cell r="D553" t="str">
            <v>CLASS</v>
          </cell>
        </row>
        <row r="554">
          <cell r="D554" t="str">
            <v>ED3-AUTO</v>
          </cell>
        </row>
        <row r="555">
          <cell r="D555" t="str">
            <v>ED2-EE</v>
          </cell>
        </row>
        <row r="556">
          <cell r="D556" t="str">
            <v>ED2-TEL</v>
          </cell>
        </row>
        <row r="557">
          <cell r="D557" t="str">
            <v>ED4-EE</v>
          </cell>
        </row>
        <row r="558">
          <cell r="D558" t="str">
            <v>ED3-MSE</v>
          </cell>
        </row>
        <row r="559">
          <cell r="D559" t="str">
            <v>ED3-METE</v>
          </cell>
        </row>
        <row r="560">
          <cell r="D560" t="str">
            <v>ED3-CE</v>
          </cell>
        </row>
        <row r="561">
          <cell r="D561" t="str">
            <v>ED3-GEOL</v>
          </cell>
        </row>
        <row r="562">
          <cell r="D562" t="str">
            <v>ED3-MARI</v>
          </cell>
        </row>
        <row r="563">
          <cell r="D563" t="str">
            <v>ED2-AERO</v>
          </cell>
        </row>
        <row r="564">
          <cell r="D564" t="str">
            <v>ED2-PCE</v>
          </cell>
        </row>
        <row r="565">
          <cell r="D565" t="str">
            <v>Total H7</v>
          </cell>
        </row>
        <row r="570">
          <cell r="D570" t="str">
            <v>CLASS</v>
          </cell>
        </row>
        <row r="571">
          <cell r="D571" t="str">
            <v>ED1-GEOL</v>
          </cell>
        </row>
        <row r="572">
          <cell r="D572" t="str">
            <v>ED2-BME</v>
          </cell>
        </row>
        <row r="573">
          <cell r="D573" t="str">
            <v>ED2-COE</v>
          </cell>
        </row>
        <row r="574">
          <cell r="D574" t="str">
            <v>ED2-TEL</v>
          </cell>
        </row>
        <row r="575">
          <cell r="D575" t="str">
            <v>ED3-GEOM</v>
          </cell>
        </row>
        <row r="576">
          <cell r="D576" t="str">
            <v>ED3-GEOL</v>
          </cell>
        </row>
        <row r="577">
          <cell r="D577" t="str">
            <v>ED4-PCE</v>
          </cell>
        </row>
        <row r="578">
          <cell r="D578" t="str">
            <v>ED3-MSE</v>
          </cell>
        </row>
        <row r="579">
          <cell r="D579" t="str">
            <v>ED1-TEL</v>
          </cell>
        </row>
        <row r="580">
          <cell r="D580" t="str">
            <v>ED4-ME</v>
          </cell>
        </row>
        <row r="581">
          <cell r="D581" t="str">
            <v>ED3-PETE</v>
          </cell>
        </row>
        <row r="582">
          <cell r="D582" t="str">
            <v>ED4-EE</v>
          </cell>
        </row>
        <row r="583">
          <cell r="D583" t="str">
            <v>ED4-CHE</v>
          </cell>
        </row>
        <row r="584">
          <cell r="D584" t="str">
            <v>ED1-PETE</v>
          </cell>
        </row>
        <row r="585">
          <cell r="D585" t="str">
            <v>Total F1</v>
          </cell>
        </row>
        <row r="590">
          <cell r="D590" t="str">
            <v>CLASS</v>
          </cell>
        </row>
        <row r="591">
          <cell r="D591" t="str">
            <v>ED2-EE</v>
          </cell>
        </row>
        <row r="592">
          <cell r="D592" t="str">
            <v>ED2-BME</v>
          </cell>
        </row>
        <row r="593">
          <cell r="D593" t="str">
            <v>ED2-AUTO</v>
          </cell>
        </row>
        <row r="594">
          <cell r="D594" t="str">
            <v>ED2-PCE</v>
          </cell>
        </row>
        <row r="595">
          <cell r="D595" t="str">
            <v>ED2-PETE</v>
          </cell>
        </row>
        <row r="596">
          <cell r="D596" t="str">
            <v>ED2-MSE</v>
          </cell>
        </row>
        <row r="597">
          <cell r="D597" t="str">
            <v>ED2-METE</v>
          </cell>
        </row>
        <row r="598">
          <cell r="D598" t="str">
            <v>ED3-GEOL</v>
          </cell>
        </row>
        <row r="599">
          <cell r="D599" t="str">
            <v>ED4-AE</v>
          </cell>
        </row>
        <row r="600">
          <cell r="D600" t="str">
            <v>ED4-MSE</v>
          </cell>
        </row>
        <row r="601">
          <cell r="D601" t="str">
            <v>ED4-METE</v>
          </cell>
        </row>
        <row r="602">
          <cell r="D602" t="str">
            <v>ED4-CHE</v>
          </cell>
        </row>
        <row r="603">
          <cell r="D603" t="str">
            <v>ED4-PCE</v>
          </cell>
        </row>
        <row r="604">
          <cell r="D604" t="str">
            <v>ED1-AE</v>
          </cell>
        </row>
        <row r="605">
          <cell r="D605" t="str">
            <v>ED4-GEOL</v>
          </cell>
        </row>
        <row r="606">
          <cell r="D606" t="str">
            <v>ED3-PCE</v>
          </cell>
        </row>
        <row r="607">
          <cell r="D607" t="str">
            <v>ED3-TEL</v>
          </cell>
        </row>
        <row r="608">
          <cell r="D608" t="str">
            <v>ED4-GEOM</v>
          </cell>
        </row>
        <row r="609">
          <cell r="D609" t="str">
            <v>ED4-AERO</v>
          </cell>
        </row>
        <row r="610">
          <cell r="D610" t="str">
            <v>ED4-ME</v>
          </cell>
        </row>
        <row r="611">
          <cell r="D611" t="str">
            <v>Total F2</v>
          </cell>
        </row>
        <row r="616">
          <cell r="D616" t="str">
            <v>CLASS</v>
          </cell>
        </row>
        <row r="617">
          <cell r="D617" t="str">
            <v>ED3-AE</v>
          </cell>
        </row>
        <row r="618">
          <cell r="D618" t="str">
            <v>ED3-AUTO</v>
          </cell>
        </row>
        <row r="619">
          <cell r="D619" t="str">
            <v>ED3-AERO</v>
          </cell>
        </row>
        <row r="620">
          <cell r="D620" t="str">
            <v>ED4-COE</v>
          </cell>
        </row>
        <row r="621">
          <cell r="D621" t="str">
            <v>ED2-MARI</v>
          </cell>
        </row>
        <row r="622">
          <cell r="D622" t="str">
            <v>ED4-CE</v>
          </cell>
        </row>
        <row r="623">
          <cell r="D623" t="str">
            <v>ED1-AERO</v>
          </cell>
        </row>
        <row r="624">
          <cell r="D624" t="str">
            <v>ED1-ME</v>
          </cell>
        </row>
        <row r="625">
          <cell r="D625" t="str">
            <v>ED1-IND</v>
          </cell>
        </row>
        <row r="626">
          <cell r="D626" t="str">
            <v>ED1-MARI</v>
          </cell>
        </row>
        <row r="627">
          <cell r="D627" t="str">
            <v>ED3-ME</v>
          </cell>
        </row>
        <row r="628">
          <cell r="D628" t="str">
            <v>ED3-BME</v>
          </cell>
        </row>
        <row r="629">
          <cell r="D629" t="str">
            <v>ED3-COE</v>
          </cell>
        </row>
        <row r="630">
          <cell r="D630" t="str">
            <v>Total F3</v>
          </cell>
        </row>
        <row r="635">
          <cell r="D635" t="str">
            <v>CLASS</v>
          </cell>
        </row>
        <row r="636">
          <cell r="D636" t="str">
            <v>ED2-CHE</v>
          </cell>
        </row>
        <row r="637">
          <cell r="D637" t="str">
            <v>ED2-PCE</v>
          </cell>
        </row>
        <row r="638">
          <cell r="D638" t="str">
            <v>ED3-EE</v>
          </cell>
        </row>
        <row r="639">
          <cell r="D639" t="str">
            <v>ED2-PETE</v>
          </cell>
        </row>
        <row r="640">
          <cell r="D640" t="str">
            <v>ED3-GEOM</v>
          </cell>
        </row>
        <row r="641">
          <cell r="D641" t="str">
            <v>ED2-CE</v>
          </cell>
        </row>
        <row r="642">
          <cell r="D642" t="str">
            <v>ED2-GEOL</v>
          </cell>
        </row>
        <row r="643">
          <cell r="D643" t="str">
            <v>ED2-GEOM</v>
          </cell>
        </row>
        <row r="644">
          <cell r="D644" t="str">
            <v>ED2-AE</v>
          </cell>
        </row>
        <row r="645">
          <cell r="D645" t="str">
            <v>Total F4</v>
          </cell>
        </row>
        <row r="650">
          <cell r="D650" t="str">
            <v>CLASS</v>
          </cell>
        </row>
        <row r="651">
          <cell r="D651" t="str">
            <v>ED2-TEL</v>
          </cell>
        </row>
        <row r="652">
          <cell r="D652" t="str">
            <v>ED3-CHE</v>
          </cell>
        </row>
        <row r="653">
          <cell r="D653" t="str">
            <v>ED2-EE</v>
          </cell>
        </row>
        <row r="654">
          <cell r="D654" t="str">
            <v>ED1-GEOL</v>
          </cell>
        </row>
        <row r="655">
          <cell r="D655" t="str">
            <v>ED1-CE</v>
          </cell>
        </row>
        <row r="656">
          <cell r="D656" t="str">
            <v>ED1-MARI</v>
          </cell>
        </row>
        <row r="657">
          <cell r="D657" t="str">
            <v>ED3-GEOM</v>
          </cell>
        </row>
        <row r="658">
          <cell r="D658" t="str">
            <v>ED2-BME</v>
          </cell>
        </row>
        <row r="659">
          <cell r="D659" t="str">
            <v>ED2-COE</v>
          </cell>
        </row>
        <row r="660">
          <cell r="D660" t="str">
            <v>ED3-AUTO</v>
          </cell>
        </row>
        <row r="661">
          <cell r="D661" t="str">
            <v>ED3-MARI</v>
          </cell>
        </row>
        <row r="662">
          <cell r="D662" t="str">
            <v>ED3-PETE</v>
          </cell>
        </row>
        <row r="663">
          <cell r="D663" t="str">
            <v>ED3-CE</v>
          </cell>
        </row>
        <row r="664">
          <cell r="D664" t="str">
            <v>Total F5</v>
          </cell>
        </row>
        <row r="669">
          <cell r="D669" t="str">
            <v>CLASS</v>
          </cell>
        </row>
        <row r="670">
          <cell r="D670" t="str">
            <v>ED1-CE</v>
          </cell>
        </row>
        <row r="671">
          <cell r="D671" t="str">
            <v>ED1-EE</v>
          </cell>
        </row>
        <row r="672">
          <cell r="D672" t="str">
            <v>ED1-GEOM</v>
          </cell>
        </row>
        <row r="673">
          <cell r="D673" t="str">
            <v>ED1-BME</v>
          </cell>
        </row>
        <row r="674">
          <cell r="D674" t="str">
            <v>ED1-COE</v>
          </cell>
        </row>
        <row r="675">
          <cell r="D675" t="str">
            <v>ED1-METE</v>
          </cell>
        </row>
        <row r="676">
          <cell r="D676" t="str">
            <v>ED2-GEOL</v>
          </cell>
        </row>
        <row r="677">
          <cell r="D677" t="str">
            <v>ED4-MARI</v>
          </cell>
        </row>
        <row r="678">
          <cell r="D678" t="str">
            <v>ED2-IND</v>
          </cell>
        </row>
        <row r="679">
          <cell r="D679" t="str">
            <v>ED2-ME</v>
          </cell>
        </row>
        <row r="680">
          <cell r="D680" t="str">
            <v>ED1-AUTO</v>
          </cell>
        </row>
        <row r="681">
          <cell r="D681" t="str">
            <v>ED2-AERO</v>
          </cell>
        </row>
        <row r="682">
          <cell r="D682" t="str">
            <v>ED4-PETE</v>
          </cell>
        </row>
        <row r="683">
          <cell r="D683" t="str">
            <v>ED1-CHE</v>
          </cell>
        </row>
        <row r="690">
          <cell r="D690" t="str">
            <v>CLASS</v>
          </cell>
        </row>
        <row r="691">
          <cell r="D691" t="str">
            <v>ED1-GEOL</v>
          </cell>
        </row>
        <row r="701">
          <cell r="D701" t="str">
            <v>Total F7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T (MAIN)"/>
      <sheetName val="COMBINED_ATTD_INV (3)"/>
      <sheetName val="Sheet1"/>
      <sheetName val="ROOMS AND SIZES"/>
      <sheetName val="FREQ"/>
      <sheetName val="WATER"/>
      <sheetName val="TALLY"/>
      <sheetName val="COORDINATORS_ATTENDANCE"/>
      <sheetName val="TEO_fred "/>
      <sheetName val="TT (Values)_1"/>
      <sheetName val="TT (Values)_for lect"/>
      <sheetName val="Collection_"/>
      <sheetName val="floor_coordinators (2)"/>
      <sheetName val="SESSIONS"/>
      <sheetName val="Sheet3"/>
      <sheetName val="COURSES"/>
      <sheetName val="TOTALSTD"/>
      <sheetName val="TEO (2)"/>
      <sheetName val="ATTDD"/>
      <sheetName val="TA_NSS"/>
      <sheetName val="TA_SCHED"/>
      <sheetName val="Sheet6"/>
      <sheetName val="Sheet5"/>
      <sheetName val="floor_TAs (final)"/>
    </sheetNames>
    <sheetDataSet>
      <sheetData sheetId="0">
        <row r="1">
          <cell r="I1" t="str">
            <v>Monday, 8 April 2024,</v>
          </cell>
        </row>
        <row r="39">
          <cell r="D39" t="str">
            <v>CLASS</v>
          </cell>
        </row>
        <row r="40">
          <cell r="D40" t="str">
            <v>ED2-EE</v>
          </cell>
        </row>
        <row r="41">
          <cell r="D41" t="str">
            <v>ED1-GEOM</v>
          </cell>
        </row>
        <row r="42">
          <cell r="D42" t="str">
            <v>ED3-MSE</v>
          </cell>
        </row>
        <row r="43">
          <cell r="D43" t="str">
            <v>ED3-METE</v>
          </cell>
        </row>
        <row r="44">
          <cell r="D44" t="str">
            <v>ED3-EE</v>
          </cell>
        </row>
        <row r="45">
          <cell r="D45" t="str">
            <v>ED2-ME</v>
          </cell>
        </row>
        <row r="46">
          <cell r="D46" t="str">
            <v>ED2-PETE</v>
          </cell>
        </row>
        <row r="47">
          <cell r="D47" t="str">
            <v>ED3-PETE</v>
          </cell>
        </row>
        <row r="48">
          <cell r="D48" t="str">
            <v>ED2-MSE</v>
          </cell>
        </row>
        <row r="49">
          <cell r="D49" t="str">
            <v>ED2-METE</v>
          </cell>
        </row>
        <row r="50">
          <cell r="D50" t="str">
            <v>ED4-PCE</v>
          </cell>
        </row>
        <row r="51">
          <cell r="D51" t="str">
            <v>ED3-CHE</v>
          </cell>
        </row>
        <row r="52">
          <cell r="D52" t="str">
            <v>ED3-PCE</v>
          </cell>
        </row>
        <row r="218">
          <cell r="D218" t="str">
            <v>CLASS</v>
          </cell>
        </row>
        <row r="219">
          <cell r="D219" t="str">
            <v>Total F1-3</v>
          </cell>
        </row>
        <row r="224">
          <cell r="D224" t="str">
            <v>CLASS</v>
          </cell>
        </row>
        <row r="225">
          <cell r="D225" t="str">
            <v>ED2-MSE</v>
          </cell>
        </row>
        <row r="226">
          <cell r="D226" t="str">
            <v>ED2-METE</v>
          </cell>
        </row>
        <row r="227">
          <cell r="D227" t="str">
            <v>ED1-MARI</v>
          </cell>
        </row>
        <row r="228">
          <cell r="D228" t="str">
            <v>ED1-CE</v>
          </cell>
        </row>
        <row r="229">
          <cell r="D229" t="str">
            <v>ED1-AE</v>
          </cell>
        </row>
        <row r="230">
          <cell r="D230" t="str">
            <v>ED1-AERO</v>
          </cell>
        </row>
        <row r="231">
          <cell r="D231" t="str">
            <v>ED1-TEL</v>
          </cell>
        </row>
        <row r="232">
          <cell r="D232" t="str">
            <v>ED4-GEOM</v>
          </cell>
        </row>
        <row r="233">
          <cell r="D233" t="str">
            <v>ED3-METE</v>
          </cell>
        </row>
        <row r="234">
          <cell r="D234" t="str">
            <v>ED2-COE</v>
          </cell>
        </row>
        <row r="235">
          <cell r="D235" t="str">
            <v>ED1-AUTO</v>
          </cell>
        </row>
        <row r="236">
          <cell r="D236" t="str">
            <v>ED2-CHE</v>
          </cell>
        </row>
        <row r="237">
          <cell r="D237" t="str">
            <v>ED2-GEOM</v>
          </cell>
        </row>
        <row r="238">
          <cell r="D238" t="str">
            <v>ED3-GEOL</v>
          </cell>
        </row>
        <row r="239">
          <cell r="D239" t="str">
            <v>ED1-MSE</v>
          </cell>
        </row>
        <row r="240">
          <cell r="D240" t="str">
            <v>ED1-METE</v>
          </cell>
        </row>
        <row r="241">
          <cell r="D241" t="str">
            <v>Total M2-1</v>
          </cell>
        </row>
        <row r="242">
          <cell r="D242"/>
        </row>
        <row r="246">
          <cell r="D246" t="str">
            <v>CLASS</v>
          </cell>
        </row>
        <row r="247">
          <cell r="D247" t="str">
            <v>ED2-AE</v>
          </cell>
        </row>
        <row r="248">
          <cell r="D248" t="str">
            <v>ED2-EE</v>
          </cell>
        </row>
        <row r="249">
          <cell r="D249" t="str">
            <v>ED2-TEL</v>
          </cell>
        </row>
        <row r="250">
          <cell r="D250" t="str">
            <v>ED2-GEOL</v>
          </cell>
        </row>
        <row r="251">
          <cell r="D251" t="str">
            <v>ED4-BME</v>
          </cell>
        </row>
        <row r="252">
          <cell r="D252" t="str">
            <v>ED1-EE</v>
          </cell>
        </row>
        <row r="253">
          <cell r="D253" t="str">
            <v>ED1-GEOM</v>
          </cell>
        </row>
        <row r="254">
          <cell r="D254" t="str">
            <v>ED3-PETE</v>
          </cell>
        </row>
        <row r="255">
          <cell r="D255" t="str">
            <v>ED4-EE</v>
          </cell>
        </row>
        <row r="256">
          <cell r="D256" t="str">
            <v>ED1-CHE</v>
          </cell>
        </row>
        <row r="257">
          <cell r="D257" t="str">
            <v>ED1-PCE</v>
          </cell>
        </row>
        <row r="258">
          <cell r="D258" t="str">
            <v>ED1-PETE</v>
          </cell>
        </row>
        <row r="259">
          <cell r="D259" t="str">
            <v>Total M2-2</v>
          </cell>
        </row>
        <row r="260">
          <cell r="D260"/>
        </row>
        <row r="264">
          <cell r="D264" t="str">
            <v>CLASS</v>
          </cell>
        </row>
        <row r="265">
          <cell r="D265" t="str">
            <v>ED2-AERO</v>
          </cell>
        </row>
        <row r="266">
          <cell r="D266" t="str">
            <v>ED2-ME</v>
          </cell>
        </row>
        <row r="267">
          <cell r="D267" t="str">
            <v>ED2-PETE</v>
          </cell>
        </row>
        <row r="268">
          <cell r="D268" t="str">
            <v>ED3-CHE</v>
          </cell>
        </row>
        <row r="269">
          <cell r="D269" t="str">
            <v>ED3-PCE</v>
          </cell>
        </row>
        <row r="270">
          <cell r="D270" t="str">
            <v>ED2-BME</v>
          </cell>
        </row>
        <row r="271">
          <cell r="D271" t="str">
            <v>ED4-CE</v>
          </cell>
        </row>
        <row r="272">
          <cell r="D272" t="str">
            <v>ED3-IND</v>
          </cell>
        </row>
        <row r="273">
          <cell r="D273" t="str">
            <v>ED3-AERO</v>
          </cell>
        </row>
        <row r="274">
          <cell r="D274" t="str">
            <v>ED3-GEOM</v>
          </cell>
        </row>
        <row r="275">
          <cell r="D275" t="str">
            <v>ED3-ME</v>
          </cell>
        </row>
        <row r="276">
          <cell r="D276" t="str">
            <v>ED4-ME</v>
          </cell>
        </row>
        <row r="277">
          <cell r="D277" t="str">
            <v>ED4-AERO</v>
          </cell>
        </row>
        <row r="278">
          <cell r="D278" t="str">
            <v>ED3-MSE</v>
          </cell>
        </row>
        <row r="279">
          <cell r="D279" t="str">
            <v>ED4-CHE</v>
          </cell>
        </row>
        <row r="280">
          <cell r="D280" t="str">
            <v>ED4-PCE</v>
          </cell>
        </row>
        <row r="281">
          <cell r="D281" t="str">
            <v>Total M2-3</v>
          </cell>
        </row>
        <row r="282">
          <cell r="D282"/>
        </row>
        <row r="286">
          <cell r="D286" t="str">
            <v>CLASS</v>
          </cell>
        </row>
        <row r="287">
          <cell r="D287" t="str">
            <v>ED1-CHE</v>
          </cell>
        </row>
        <row r="288">
          <cell r="D288" t="str">
            <v>ED1-PCE</v>
          </cell>
        </row>
        <row r="289">
          <cell r="D289" t="str">
            <v>ED1-PETE</v>
          </cell>
        </row>
        <row r="290">
          <cell r="D290" t="str">
            <v>ED1-ME</v>
          </cell>
        </row>
        <row r="291">
          <cell r="D291" t="str">
            <v>ED1-AE</v>
          </cell>
        </row>
        <row r="292">
          <cell r="D292" t="str">
            <v>ED1-BME</v>
          </cell>
        </row>
        <row r="293">
          <cell r="D293" t="str">
            <v>ED1-GEOL</v>
          </cell>
        </row>
        <row r="294">
          <cell r="D294" t="str">
            <v>ED1-CE</v>
          </cell>
        </row>
        <row r="295">
          <cell r="D295" t="str">
            <v>ED1-COE</v>
          </cell>
        </row>
        <row r="296">
          <cell r="D296" t="str">
            <v>ED4-AERO</v>
          </cell>
        </row>
        <row r="297">
          <cell r="D297" t="str">
            <v>ED4-COE</v>
          </cell>
        </row>
        <row r="298">
          <cell r="D298" t="str">
            <v>ED4-PETE</v>
          </cell>
        </row>
        <row r="299">
          <cell r="D299" t="str">
            <v>Total T2-1</v>
          </cell>
        </row>
        <row r="300">
          <cell r="D300"/>
        </row>
        <row r="304">
          <cell r="D304" t="str">
            <v>CLASS</v>
          </cell>
        </row>
        <row r="305">
          <cell r="D305" t="str">
            <v>ED2-CHE</v>
          </cell>
        </row>
        <row r="306">
          <cell r="D306" t="str">
            <v>ED4-ME</v>
          </cell>
        </row>
        <row r="307">
          <cell r="D307" t="str">
            <v>ED4-CE</v>
          </cell>
        </row>
        <row r="308">
          <cell r="D308" t="str">
            <v>ED1-AERO</v>
          </cell>
        </row>
        <row r="309">
          <cell r="D309" t="str">
            <v>ED2-COE</v>
          </cell>
        </row>
        <row r="310">
          <cell r="D310" t="str">
            <v>ED2-BME</v>
          </cell>
        </row>
        <row r="311">
          <cell r="D311" t="str">
            <v>ED3-PCE</v>
          </cell>
        </row>
        <row r="312">
          <cell r="D312" t="str">
            <v>ED2-CE</v>
          </cell>
        </row>
        <row r="313">
          <cell r="D313" t="str">
            <v>ED3-AE</v>
          </cell>
        </row>
        <row r="314">
          <cell r="D314" t="str">
            <v>ED3-PETE</v>
          </cell>
        </row>
        <row r="315">
          <cell r="D315" t="str">
            <v>ED4-AE</v>
          </cell>
        </row>
        <row r="316">
          <cell r="D316" t="str">
            <v>ED3-IND</v>
          </cell>
        </row>
        <row r="317">
          <cell r="D317" t="str">
            <v>Total T2-2</v>
          </cell>
        </row>
        <row r="318">
          <cell r="D318"/>
        </row>
        <row r="322">
          <cell r="D322" t="str">
            <v>CLASS</v>
          </cell>
        </row>
        <row r="323">
          <cell r="D323" t="str">
            <v>ED4-MARI</v>
          </cell>
        </row>
        <row r="324">
          <cell r="D324" t="str">
            <v>ED4-AUTO</v>
          </cell>
        </row>
        <row r="325">
          <cell r="D325" t="str">
            <v>ED4-ME</v>
          </cell>
        </row>
        <row r="326">
          <cell r="D326" t="str">
            <v>ED3-COE</v>
          </cell>
        </row>
        <row r="327">
          <cell r="D327" t="str">
            <v>ED3-AERO</v>
          </cell>
        </row>
        <row r="328">
          <cell r="D328" t="str">
            <v>ED4-IND</v>
          </cell>
        </row>
        <row r="329">
          <cell r="D329" t="str">
            <v>ED4-MSE</v>
          </cell>
        </row>
        <row r="330">
          <cell r="D330" t="str">
            <v>ED4-METE</v>
          </cell>
        </row>
        <row r="331">
          <cell r="D331" t="str">
            <v>ED2-IND</v>
          </cell>
        </row>
        <row r="332">
          <cell r="D332" t="str">
            <v>ED2-AUTO</v>
          </cell>
        </row>
        <row r="333">
          <cell r="D333" t="str">
            <v>ED2-MARI</v>
          </cell>
        </row>
        <row r="334">
          <cell r="D334" t="str">
            <v>ED3-GEOL</v>
          </cell>
        </row>
        <row r="335">
          <cell r="D335" t="str">
            <v>ED4-CHE</v>
          </cell>
        </row>
        <row r="336">
          <cell r="D336" t="str">
            <v>Total T2-3</v>
          </cell>
        </row>
        <row r="337">
          <cell r="D337"/>
        </row>
        <row r="341">
          <cell r="D341" t="str">
            <v>CLASS</v>
          </cell>
        </row>
        <row r="342">
          <cell r="D342" t="str">
            <v>ED1-COE</v>
          </cell>
        </row>
        <row r="343">
          <cell r="D343" t="str">
            <v>ED1-BME</v>
          </cell>
        </row>
        <row r="344">
          <cell r="D344" t="str">
            <v>ED1-ME</v>
          </cell>
        </row>
        <row r="345">
          <cell r="D345" t="str">
            <v>ED1-AUTO</v>
          </cell>
        </row>
        <row r="346">
          <cell r="D346" t="str">
            <v>ED1-MARI</v>
          </cell>
        </row>
        <row r="347">
          <cell r="D347" t="str">
            <v>ED1-TEL</v>
          </cell>
        </row>
        <row r="348">
          <cell r="D348" t="str">
            <v>ED1-METE</v>
          </cell>
        </row>
        <row r="349">
          <cell r="D349" t="str">
            <v>ED1-PETE</v>
          </cell>
        </row>
        <row r="350">
          <cell r="D350" t="str">
            <v>ED1-AERO</v>
          </cell>
        </row>
        <row r="351">
          <cell r="D351" t="str">
            <v>ED1-IND</v>
          </cell>
        </row>
        <row r="352">
          <cell r="D352" t="str">
            <v>ED1-MSE</v>
          </cell>
        </row>
        <row r="353">
          <cell r="D353" t="str">
            <v>ED2-MARI</v>
          </cell>
        </row>
        <row r="354">
          <cell r="D354" t="str">
            <v>ED2-IND</v>
          </cell>
        </row>
        <row r="355">
          <cell r="D355" t="str">
            <v>ED2-AUTO</v>
          </cell>
        </row>
        <row r="356">
          <cell r="D356" t="str">
            <v>ED2-AERO</v>
          </cell>
        </row>
        <row r="357">
          <cell r="D357" t="str">
            <v>ED2-ME</v>
          </cell>
        </row>
        <row r="358">
          <cell r="D358" t="str">
            <v>ED3-CHE</v>
          </cell>
        </row>
        <row r="359">
          <cell r="D359" t="str">
            <v>Total W2-1</v>
          </cell>
        </row>
        <row r="360">
          <cell r="D360"/>
        </row>
        <row r="364">
          <cell r="D364" t="str">
            <v>CLASS</v>
          </cell>
        </row>
        <row r="365">
          <cell r="D365" t="str">
            <v>ED2-EE</v>
          </cell>
        </row>
        <row r="366">
          <cell r="D366" t="str">
            <v>ED4-EE</v>
          </cell>
        </row>
        <row r="367">
          <cell r="D367" t="str">
            <v>ED3-MSE</v>
          </cell>
        </row>
        <row r="368">
          <cell r="D368" t="str">
            <v>ED3-METE</v>
          </cell>
        </row>
        <row r="369">
          <cell r="D369" t="str">
            <v>ED3-EE</v>
          </cell>
        </row>
        <row r="370">
          <cell r="D370" t="str">
            <v>ED4-GEOL</v>
          </cell>
        </row>
        <row r="371">
          <cell r="D371" t="str">
            <v>ED4-PETE</v>
          </cell>
        </row>
        <row r="372">
          <cell r="D372" t="str">
            <v>ED4-TEL</v>
          </cell>
        </row>
        <row r="373">
          <cell r="D373" t="str">
            <v>ED4-ME</v>
          </cell>
        </row>
        <row r="374">
          <cell r="D374" t="str">
            <v>Total W2-2</v>
          </cell>
        </row>
        <row r="375">
          <cell r="D375"/>
        </row>
        <row r="379">
          <cell r="D379" t="str">
            <v>CLASS</v>
          </cell>
        </row>
        <row r="380">
          <cell r="D380" t="str">
            <v>ED3-BME</v>
          </cell>
        </row>
        <row r="381">
          <cell r="D381" t="str">
            <v>ED3-PETE</v>
          </cell>
        </row>
        <row r="382">
          <cell r="D382" t="str">
            <v>ED1-EE</v>
          </cell>
        </row>
        <row r="383">
          <cell r="D383" t="str">
            <v>ED1-CHE</v>
          </cell>
        </row>
        <row r="384">
          <cell r="D384" t="str">
            <v>ED1-PCE</v>
          </cell>
        </row>
        <row r="385">
          <cell r="D385" t="str">
            <v>ED1-AE</v>
          </cell>
        </row>
        <row r="386">
          <cell r="D386" t="str">
            <v>ED4-CE</v>
          </cell>
        </row>
        <row r="387">
          <cell r="D387" t="str">
            <v>ED3-CE</v>
          </cell>
        </row>
        <row r="388">
          <cell r="D388" t="str">
            <v>ED1-GEOM</v>
          </cell>
        </row>
        <row r="389">
          <cell r="D389" t="str">
            <v>ED4-PCE</v>
          </cell>
        </row>
        <row r="390">
          <cell r="D390" t="str">
            <v>ED3-GEOL</v>
          </cell>
        </row>
        <row r="391">
          <cell r="D391" t="str">
            <v>ED2-CHE</v>
          </cell>
        </row>
        <row r="392">
          <cell r="D392" t="str">
            <v>ED2-PCE</v>
          </cell>
        </row>
        <row r="393">
          <cell r="D393" t="str">
            <v>ED3-PCE</v>
          </cell>
        </row>
        <row r="394">
          <cell r="D394" t="str">
            <v>ED4-GEOM</v>
          </cell>
        </row>
        <row r="395">
          <cell r="D395" t="str">
            <v>Total W2-3</v>
          </cell>
        </row>
        <row r="396">
          <cell r="D396"/>
        </row>
        <row r="400">
          <cell r="D400" t="str">
            <v>CLASS</v>
          </cell>
        </row>
        <row r="401">
          <cell r="D401" t="str">
            <v>ED4-CHE</v>
          </cell>
        </row>
        <row r="402">
          <cell r="D402" t="str">
            <v>ED4-PCE</v>
          </cell>
        </row>
        <row r="403">
          <cell r="D403" t="str">
            <v>ED3-IND</v>
          </cell>
        </row>
        <row r="404">
          <cell r="D404" t="str">
            <v>ED2-AUTO</v>
          </cell>
        </row>
        <row r="405">
          <cell r="D405" t="str">
            <v>ED1-GEOL</v>
          </cell>
        </row>
        <row r="406">
          <cell r="D406" t="str">
            <v>ED4-COE</v>
          </cell>
        </row>
        <row r="407">
          <cell r="D407" t="str">
            <v>ED2-TEL</v>
          </cell>
        </row>
        <row r="408">
          <cell r="D408" t="str">
            <v>ED4-AE</v>
          </cell>
        </row>
        <row r="409">
          <cell r="D409" t="str">
            <v>ED2-COE</v>
          </cell>
        </row>
        <row r="410">
          <cell r="D410" t="str">
            <v>ED2-BME</v>
          </cell>
        </row>
        <row r="411">
          <cell r="D411" t="str">
            <v>ED4-PETE</v>
          </cell>
        </row>
        <row r="412">
          <cell r="D412" t="str">
            <v>Total H2-1</v>
          </cell>
        </row>
        <row r="413">
          <cell r="D413"/>
        </row>
        <row r="417">
          <cell r="D417" t="str">
            <v>CLASS</v>
          </cell>
        </row>
        <row r="418">
          <cell r="D418" t="str">
            <v>ED3-AERO</v>
          </cell>
        </row>
        <row r="419">
          <cell r="D419" t="str">
            <v>ED2-GEOM</v>
          </cell>
        </row>
        <row r="420">
          <cell r="D420" t="str">
            <v>ED2-PETE</v>
          </cell>
        </row>
        <row r="421">
          <cell r="D421" t="str">
            <v>ED4-CE</v>
          </cell>
        </row>
        <row r="422">
          <cell r="D422" t="str">
            <v>ED4-IND</v>
          </cell>
        </row>
        <row r="423">
          <cell r="D423" t="str">
            <v>ED3-AUTO</v>
          </cell>
        </row>
        <row r="424">
          <cell r="D424" t="str">
            <v>ED2-AERO</v>
          </cell>
        </row>
        <row r="425">
          <cell r="D425" t="str">
            <v>ED2-ME</v>
          </cell>
        </row>
        <row r="426">
          <cell r="D426" t="str">
            <v>ED2-MSE</v>
          </cell>
        </row>
        <row r="427">
          <cell r="D427" t="str">
            <v>ED2-METE</v>
          </cell>
        </row>
        <row r="428">
          <cell r="D428" t="str">
            <v>ED4-BME</v>
          </cell>
        </row>
        <row r="429">
          <cell r="D429" t="str">
            <v>ED4-AERO</v>
          </cell>
        </row>
        <row r="430">
          <cell r="D430" t="str">
            <v>ED4-ME</v>
          </cell>
        </row>
        <row r="431">
          <cell r="D431" t="str">
            <v>ED2-EE</v>
          </cell>
        </row>
        <row r="432">
          <cell r="D432" t="str">
            <v>ED2-MARI</v>
          </cell>
        </row>
        <row r="433">
          <cell r="D433" t="str">
            <v>ED4-MARI</v>
          </cell>
        </row>
        <row r="434">
          <cell r="D434" t="str">
            <v>Total H2-2</v>
          </cell>
        </row>
        <row r="435">
          <cell r="D435"/>
        </row>
        <row r="439">
          <cell r="D439" t="str">
            <v>CLASS</v>
          </cell>
        </row>
        <row r="440">
          <cell r="D440" t="str">
            <v>ED2-PCE</v>
          </cell>
        </row>
        <row r="441">
          <cell r="D441" t="str">
            <v>ED2-CE</v>
          </cell>
        </row>
        <row r="442">
          <cell r="D442" t="str">
            <v>ED2-GEOL</v>
          </cell>
        </row>
        <row r="443">
          <cell r="D443" t="str">
            <v>ED4-MSE</v>
          </cell>
        </row>
        <row r="444">
          <cell r="D444" t="str">
            <v>ED3-GEOM</v>
          </cell>
        </row>
        <row r="445">
          <cell r="D445" t="str">
            <v>ED3-MARI</v>
          </cell>
        </row>
        <row r="446">
          <cell r="D446" t="str">
            <v>ED3-TEL</v>
          </cell>
        </row>
        <row r="447">
          <cell r="D447" t="str">
            <v>ED3-BME</v>
          </cell>
        </row>
        <row r="448">
          <cell r="D448" t="str">
            <v>ED3-COE</v>
          </cell>
        </row>
        <row r="449">
          <cell r="D449" t="str">
            <v>ED4-ME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T (2)"/>
      <sheetName val="TT"/>
      <sheetName val="TT (Values)"/>
      <sheetName val="Sheet2"/>
      <sheetName val="FREQ"/>
      <sheetName val="TALLY"/>
      <sheetName val="WATER"/>
      <sheetName val="SESSIONS"/>
      <sheetName val="COURSES"/>
      <sheetName val="TEO_fred"/>
      <sheetName val="COMBINED_ATTD_INV (3)"/>
      <sheetName val="COMBINED"/>
      <sheetName val="Sheet8"/>
      <sheetName val="Sheet1"/>
      <sheetName val="Invigilators_Analysis"/>
      <sheetName val="ROOMS"/>
      <sheetName val="Sheet7"/>
    </sheetNames>
    <sheetDataSet>
      <sheetData sheetId="0"/>
      <sheetData sheetId="1">
        <row r="3">
          <cell r="D3" t="str">
            <v>CLASS</v>
          </cell>
        </row>
        <row r="822">
          <cell r="D822" t="str">
            <v>CLASS</v>
          </cell>
        </row>
        <row r="823">
          <cell r="D823" t="str">
            <v>ED1-AUTO</v>
          </cell>
        </row>
        <row r="824">
          <cell r="D824" t="str">
            <v>ED1-GEOM</v>
          </cell>
        </row>
        <row r="825">
          <cell r="D825" t="str">
            <v>ED1-CHE</v>
          </cell>
        </row>
        <row r="826">
          <cell r="D826" t="str">
            <v>ED1-PCE</v>
          </cell>
        </row>
        <row r="827">
          <cell r="D827" t="str">
            <v>ED1-AERO</v>
          </cell>
        </row>
        <row r="828">
          <cell r="D828" t="str">
            <v>ED1-IND</v>
          </cell>
        </row>
        <row r="829">
          <cell r="D829" t="str">
            <v>ED1-MARI</v>
          </cell>
        </row>
        <row r="830">
          <cell r="D830" t="str">
            <v>ED1-CE</v>
          </cell>
        </row>
        <row r="831">
          <cell r="D831" t="str">
            <v>ED1-COE</v>
          </cell>
        </row>
        <row r="832">
          <cell r="D832" t="str">
            <v>ED2-COE</v>
          </cell>
        </row>
        <row r="833">
          <cell r="D833" t="str">
            <v>ED3-CE</v>
          </cell>
        </row>
        <row r="834">
          <cell r="D834" t="str">
            <v>ED3-MSE</v>
          </cell>
        </row>
        <row r="835">
          <cell r="D835" t="str">
            <v>ED3-METE</v>
          </cell>
        </row>
        <row r="841">
          <cell r="D841" t="str">
            <v>CLASS</v>
          </cell>
        </row>
        <row r="842">
          <cell r="D842" t="str">
            <v>ED1-EE</v>
          </cell>
        </row>
        <row r="843">
          <cell r="D843" t="str">
            <v>ED1-TEL</v>
          </cell>
        </row>
        <row r="844">
          <cell r="D844" t="str">
            <v>ED1-METE</v>
          </cell>
        </row>
        <row r="845">
          <cell r="D845" t="str">
            <v>ED1-MSE</v>
          </cell>
        </row>
        <row r="846">
          <cell r="D846" t="str">
            <v>ED1-ME</v>
          </cell>
        </row>
        <row r="847">
          <cell r="D847" t="str">
            <v>ED1-AE</v>
          </cell>
        </row>
        <row r="848">
          <cell r="D848" t="str">
            <v>ED1-BME</v>
          </cell>
        </row>
        <row r="849">
          <cell r="D849" t="str">
            <v>ED1-PETE</v>
          </cell>
        </row>
        <row r="850">
          <cell r="D850" t="str">
            <v>ED1-GEOL</v>
          </cell>
        </row>
        <row r="851">
          <cell r="D851" t="str">
            <v>ED2-GEOL</v>
          </cell>
        </row>
        <row r="852">
          <cell r="D852" t="str">
            <v>ED2-CE</v>
          </cell>
        </row>
        <row r="853">
          <cell r="D853" t="str">
            <v>ED4-COE</v>
          </cell>
        </row>
        <row r="854">
          <cell r="D854" t="str">
            <v>ED3-PETE</v>
          </cell>
        </row>
        <row r="855">
          <cell r="D855" t="str">
            <v>ED4-PETE</v>
          </cell>
        </row>
        <row r="856">
          <cell r="D856" t="str">
            <v>ED4-MARI</v>
          </cell>
        </row>
        <row r="857">
          <cell r="D857" t="str">
            <v>ED3-CHE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T 1.0"/>
      <sheetName val="TTFINAL"/>
      <sheetName val="TT"/>
      <sheetName val="TALLY"/>
      <sheetName val="combined_data"/>
      <sheetName val="Combined Data"/>
      <sheetName val="Lectures_1"/>
      <sheetName val="ROOMS"/>
      <sheetName val="WATER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AE 158,ED1-AE</v>
          </cell>
          <cell r="B2" t="str">
            <v>INTRODUCTION TO INFORMATION TECHNOLOGY</v>
          </cell>
          <cell r="C2" t="str">
            <v>Bessah Enoch</v>
          </cell>
          <cell r="D2">
            <v>128</v>
          </cell>
          <cell r="E2" t="str">
            <v>ED1-AE</v>
          </cell>
          <cell r="F2" t="str">
            <v>AE 158</v>
          </cell>
        </row>
        <row r="3">
          <cell r="A3" t="str">
            <v>AE 162,ED1-AE</v>
          </cell>
          <cell r="B3" t="str">
            <v>BASIC AGRICULTURE</v>
          </cell>
          <cell r="C3" t="str">
            <v>Bessah Enoch</v>
          </cell>
          <cell r="D3">
            <v>128</v>
          </cell>
          <cell r="E3" t="str">
            <v>ED1-AE</v>
          </cell>
          <cell r="F3" t="str">
            <v>AE 162</v>
          </cell>
        </row>
        <row r="4">
          <cell r="A4" t="str">
            <v>AE 196,ED1-AE</v>
          </cell>
          <cell r="B4" t="str">
            <v>ENGINEERING WORKSHOP PRACTICE</v>
          </cell>
          <cell r="C4" t="str">
            <v>Michael Adusei-Bonsu</v>
          </cell>
          <cell r="D4">
            <v>128</v>
          </cell>
          <cell r="E4" t="str">
            <v>ED1-AE</v>
          </cell>
          <cell r="F4" t="str">
            <v>AE 196</v>
          </cell>
        </row>
        <row r="5">
          <cell r="A5" t="str">
            <v>EE 152,ED1-AE</v>
          </cell>
          <cell r="B5" t="str">
            <v>BASIC ELECTRONICS</v>
          </cell>
          <cell r="C5" t="str">
            <v>Nicholas Kwesi Prah II</v>
          </cell>
          <cell r="D5">
            <v>128</v>
          </cell>
          <cell r="E5" t="str">
            <v>ED1-AE</v>
          </cell>
          <cell r="F5" t="str">
            <v>EE 152</v>
          </cell>
        </row>
        <row r="6">
          <cell r="A6" t="str">
            <v>ENGL 158,ED1-AE</v>
          </cell>
          <cell r="B6" t="str">
            <v>COMMUNICATION SKILLS II</v>
          </cell>
          <cell r="C6" t="str">
            <v>Yeboah Philomena Ama Okyeso</v>
          </cell>
          <cell r="D6">
            <v>128</v>
          </cell>
          <cell r="E6" t="str">
            <v>ED1-AE</v>
          </cell>
          <cell r="F6" t="str">
            <v>ENGL 158</v>
          </cell>
        </row>
        <row r="7">
          <cell r="A7" t="str">
            <v>MATH 152,ED1-AE</v>
          </cell>
          <cell r="B7" t="str">
            <v>CALCULUS WITH ANALYSIS</v>
          </cell>
          <cell r="C7" t="str">
            <v>Ezearn Jeffery</v>
          </cell>
          <cell r="D7">
            <v>128</v>
          </cell>
          <cell r="E7" t="str">
            <v>ED1-AE</v>
          </cell>
          <cell r="F7" t="str">
            <v>MATH 152</v>
          </cell>
        </row>
        <row r="8">
          <cell r="A8" t="str">
            <v>ME 160,ED1-AE</v>
          </cell>
          <cell r="B8" t="str">
            <v>ENGINEERING DRAWING</v>
          </cell>
          <cell r="C8" t="str">
            <v>Aveyire Joseph</v>
          </cell>
          <cell r="D8">
            <v>128</v>
          </cell>
          <cell r="E8" t="str">
            <v>ED1-AE</v>
          </cell>
          <cell r="F8" t="str">
            <v>ME 160</v>
          </cell>
        </row>
        <row r="9">
          <cell r="A9" t="str">
            <v>ME 162,ED1-AE</v>
          </cell>
          <cell r="B9" t="str">
            <v>BASIC MECHANICS</v>
          </cell>
          <cell r="C9" t="str">
            <v>Oppong David Kofi</v>
          </cell>
          <cell r="D9">
            <v>128</v>
          </cell>
          <cell r="E9" t="str">
            <v>ED1-AE</v>
          </cell>
          <cell r="F9" t="str">
            <v>ME 162</v>
          </cell>
        </row>
        <row r="10">
          <cell r="A10" t="str">
            <v>EE 252,ED2-AE</v>
          </cell>
          <cell r="B10" t="str">
            <v>ELECTRICAL ENGINEERING MACHINES</v>
          </cell>
          <cell r="C10" t="str">
            <v>Yaw Opoku Mensah Sekyere</v>
          </cell>
          <cell r="D10">
            <v>155</v>
          </cell>
          <cell r="E10" t="str">
            <v>ED2-AE</v>
          </cell>
          <cell r="F10" t="str">
            <v>EE 252</v>
          </cell>
        </row>
        <row r="11">
          <cell r="A11" t="str">
            <v>ENGL 264,ED2-AE</v>
          </cell>
          <cell r="B11" t="str">
            <v>LITERATURE IN ENGLISH II</v>
          </cell>
          <cell r="C11" t="str">
            <v>Yeboah Philomena Ama Okyeso</v>
          </cell>
          <cell r="D11">
            <v>155</v>
          </cell>
          <cell r="E11" t="str">
            <v>ED2-AE</v>
          </cell>
          <cell r="F11" t="str">
            <v>ENGL 264</v>
          </cell>
        </row>
        <row r="12">
          <cell r="A12" t="str">
            <v>GE 286,ED2-AE</v>
          </cell>
          <cell r="B12" t="str">
            <v>PRINCIPLES OF SURVEYING</v>
          </cell>
          <cell r="C12" t="str">
            <v>Akwasi Afrifa Acheampong</v>
          </cell>
          <cell r="D12">
            <v>155</v>
          </cell>
          <cell r="E12" t="str">
            <v>ED2-AE</v>
          </cell>
          <cell r="F12" t="str">
            <v>GE 286</v>
          </cell>
        </row>
        <row r="13">
          <cell r="A13" t="str">
            <v>MATH 252,ED2-AE</v>
          </cell>
          <cell r="B13" t="str">
            <v>CALCULUS WITH SEVERAL VARIABLES</v>
          </cell>
          <cell r="C13" t="str">
            <v>Wireko Fredrick Asenso</v>
          </cell>
          <cell r="D13">
            <v>155</v>
          </cell>
          <cell r="E13" t="str">
            <v>ED2-AE</v>
          </cell>
          <cell r="F13" t="str">
            <v>MATH 252</v>
          </cell>
        </row>
        <row r="14">
          <cell r="A14" t="str">
            <v>ME 262,ED2-AE</v>
          </cell>
          <cell r="B14" t="str">
            <v>THEORY OF MACHINES</v>
          </cell>
          <cell r="C14" t="str">
            <v>Adam Faisal Wahib</v>
          </cell>
          <cell r="D14">
            <v>155</v>
          </cell>
          <cell r="E14" t="str">
            <v>ED2-AE</v>
          </cell>
          <cell r="F14" t="str">
            <v>ME 262</v>
          </cell>
        </row>
        <row r="15">
          <cell r="A15" t="str">
            <v>ME 282,ED2-AE</v>
          </cell>
          <cell r="B15" t="str">
            <v>MECHANICAL ENGINEERING MATERIALS II</v>
          </cell>
          <cell r="C15" t="str">
            <v>Agyemang Frank Ofori</v>
          </cell>
          <cell r="D15">
            <v>155</v>
          </cell>
          <cell r="E15" t="str">
            <v>ED2-AE</v>
          </cell>
          <cell r="F15" t="str">
            <v>ME 282</v>
          </cell>
        </row>
        <row r="16">
          <cell r="A16" t="str">
            <v>ME 296,ED2-AE</v>
          </cell>
          <cell r="B16" t="str">
            <v>MECHANICAL ENGINEERING LAB. II</v>
          </cell>
          <cell r="C16" t="str">
            <v>Boahen Samuel</v>
          </cell>
          <cell r="D16">
            <v>155</v>
          </cell>
          <cell r="E16" t="str">
            <v>ED2-AE</v>
          </cell>
          <cell r="F16" t="str">
            <v>ME 296</v>
          </cell>
        </row>
        <row r="17">
          <cell r="A17" t="str">
            <v>AE 352,ED3-AE</v>
          </cell>
          <cell r="B17" t="str">
            <v>SOIL MECHANICS APPLICATION TO MECHANISATION</v>
          </cell>
          <cell r="C17" t="str">
            <v>Agodzo Sampson Kwaku</v>
          </cell>
          <cell r="D17">
            <v>101</v>
          </cell>
          <cell r="E17" t="str">
            <v>ED3-AE</v>
          </cell>
          <cell r="F17" t="str">
            <v>AE 352</v>
          </cell>
        </row>
        <row r="18">
          <cell r="A18" t="str">
            <v>AE 356,ED3-AE</v>
          </cell>
          <cell r="B18" t="str">
            <v>FARM POWER AND MACHINERY</v>
          </cell>
          <cell r="C18" t="str">
            <v>Aikins Stephen Hill Mends</v>
          </cell>
          <cell r="D18">
            <v>101</v>
          </cell>
          <cell r="E18" t="str">
            <v>ED3-AE</v>
          </cell>
          <cell r="F18" t="str">
            <v>AE 356</v>
          </cell>
        </row>
        <row r="19">
          <cell r="A19" t="str">
            <v>AE 358,ED3-AE</v>
          </cell>
          <cell r="B19" t="str">
            <v>RENEWABLE ENERGY SYSTEMS AND MANAGEMENT</v>
          </cell>
          <cell r="C19" t="str">
            <v>Kemausuor Francis</v>
          </cell>
          <cell r="D19">
            <v>101</v>
          </cell>
          <cell r="E19" t="str">
            <v>ED3-AE</v>
          </cell>
          <cell r="F19" t="str">
            <v>AE 358</v>
          </cell>
        </row>
        <row r="20">
          <cell r="A20" t="str">
            <v>AE 360,ED3-AE</v>
          </cell>
          <cell r="B20" t="str">
            <v>RURAL ENGINEERING</v>
          </cell>
          <cell r="C20" t="str">
            <v>Mensah Ebenezer</v>
          </cell>
          <cell r="D20">
            <v>101</v>
          </cell>
          <cell r="E20" t="str">
            <v>ED3-AE</v>
          </cell>
          <cell r="F20" t="str">
            <v>AE 360</v>
          </cell>
        </row>
        <row r="21">
          <cell r="A21" t="str">
            <v>AE 362,ED3-AE</v>
          </cell>
          <cell r="B21" t="str">
            <v>RESEARCH METHODS FOR ENGINEERS</v>
          </cell>
          <cell r="C21" t="str">
            <v>Amponsah William</v>
          </cell>
          <cell r="D21">
            <v>101</v>
          </cell>
          <cell r="E21" t="str">
            <v>ED3-AE</v>
          </cell>
          <cell r="F21" t="str">
            <v>AE 362</v>
          </cell>
        </row>
        <row r="22">
          <cell r="A22" t="str">
            <v>ME 366,ED3-AE</v>
          </cell>
          <cell r="B22" t="str">
            <v>HEAT TRANSFER</v>
          </cell>
          <cell r="C22" t="str">
            <v>Forson Francis Kofi</v>
          </cell>
          <cell r="D22">
            <v>101</v>
          </cell>
          <cell r="E22" t="str">
            <v>ED3-AE</v>
          </cell>
          <cell r="F22" t="str">
            <v>ME 366</v>
          </cell>
        </row>
        <row r="23">
          <cell r="A23" t="str">
            <v>ME 374,ED3-AE</v>
          </cell>
          <cell r="B23" t="str">
            <v>MACHINE DESIGN II</v>
          </cell>
          <cell r="C23" t="str">
            <v>Afriyie Nyarko Frank Kwabena</v>
          </cell>
          <cell r="D23">
            <v>101</v>
          </cell>
          <cell r="E23" t="str">
            <v>ED3-AE</v>
          </cell>
          <cell r="F23" t="str">
            <v>ME 374</v>
          </cell>
        </row>
        <row r="24">
          <cell r="A24" t="str">
            <v>ME 376,ED3-AE</v>
          </cell>
          <cell r="B24" t="str">
            <v>INTRODUCTION TO CAD/CAM</v>
          </cell>
          <cell r="C24" t="str">
            <v>Afriyie Nyarko Frank Kwabena</v>
          </cell>
          <cell r="D24">
            <v>101</v>
          </cell>
          <cell r="E24" t="str">
            <v>ED3-AE</v>
          </cell>
          <cell r="F24" t="str">
            <v>ME 376</v>
          </cell>
        </row>
        <row r="25">
          <cell r="A25" t="str">
            <v>AE 452,ED4-AE</v>
          </cell>
          <cell r="B25" t="str">
            <v>SOIL AND WATER ENGINEERING II</v>
          </cell>
          <cell r="C25" t="str">
            <v>Agyare Wilson Agyei</v>
          </cell>
          <cell r="D25">
            <v>103</v>
          </cell>
          <cell r="E25" t="str">
            <v>ED4-AE</v>
          </cell>
          <cell r="F25" t="str">
            <v>AE 452</v>
          </cell>
        </row>
        <row r="26">
          <cell r="A26" t="str">
            <v>AE 458,ED4-AE</v>
          </cell>
          <cell r="B26" t="str">
            <v>CROP LOSSES AND THEIR CONTROL</v>
          </cell>
          <cell r="C26" t="str">
            <v xml:space="preserve">Darko Joseph Ofei </v>
          </cell>
          <cell r="D26">
            <v>103</v>
          </cell>
          <cell r="E26" t="str">
            <v>ED4-AE</v>
          </cell>
          <cell r="F26" t="str">
            <v>AE 458</v>
          </cell>
        </row>
        <row r="27">
          <cell r="A27" t="str">
            <v>AE 460,ED4-AE</v>
          </cell>
          <cell r="B27" t="str">
            <v>MAINTENANCE AND REPAIRS OF AGRIC. MACHINERY</v>
          </cell>
          <cell r="C27" t="str">
            <v>Bobobee Emmanuel Yaovi Hunnuor</v>
          </cell>
          <cell r="D27">
            <v>103</v>
          </cell>
          <cell r="E27" t="str">
            <v>ED4-AE</v>
          </cell>
          <cell r="F27" t="str">
            <v>AE 460</v>
          </cell>
        </row>
        <row r="28">
          <cell r="A28" t="str">
            <v>AE 464,ED4-AE</v>
          </cell>
          <cell r="B28" t="str">
            <v>CROP STORAGE AND STORAGE STRUCTURES</v>
          </cell>
          <cell r="C28" t="str">
            <v>Bart Plange Ato</v>
          </cell>
          <cell r="D28">
            <v>103</v>
          </cell>
          <cell r="E28" t="str">
            <v>ED4-AE</v>
          </cell>
          <cell r="F28" t="str">
            <v>AE 464</v>
          </cell>
        </row>
        <row r="29">
          <cell r="A29" t="str">
            <v>AE 482,ED4-AE</v>
          </cell>
          <cell r="B29" t="str">
            <v>FARM MACHINERY DESIGN</v>
          </cell>
          <cell r="C29" t="str">
            <v>Aveyire Joseph</v>
          </cell>
          <cell r="D29">
            <v>103</v>
          </cell>
          <cell r="E29" t="str">
            <v>ED4-AE</v>
          </cell>
          <cell r="F29" t="str">
            <v>AE 482</v>
          </cell>
        </row>
        <row r="30">
          <cell r="A30" t="str">
            <v>ME 492,ED4-AE</v>
          </cell>
          <cell r="B30" t="str">
            <v>MANAGEMENT AND ENTREPRENEURSHIP DEVELOPMENT</v>
          </cell>
          <cell r="C30" t="str">
            <v>Aikins Stephen Hill Mends</v>
          </cell>
          <cell r="D30">
            <v>103</v>
          </cell>
          <cell r="E30" t="str">
            <v>ED4-AE</v>
          </cell>
          <cell r="F30" t="str">
            <v>ME 492</v>
          </cell>
        </row>
        <row r="31">
          <cell r="A31" t="str">
            <v>AERO 174,ED1-AERO</v>
          </cell>
          <cell r="B31" t="str">
            <v>AEROSPACE DESIGN PROJECT I</v>
          </cell>
          <cell r="C31" t="str">
            <v>Afriyie Nyarko Frank Kwabena</v>
          </cell>
          <cell r="D31">
            <v>70</v>
          </cell>
          <cell r="E31" t="str">
            <v>ED1-AERO</v>
          </cell>
          <cell r="F31" t="str">
            <v>AERO 174</v>
          </cell>
        </row>
        <row r="32">
          <cell r="A32" t="str">
            <v>EE 152,ED1-AERO</v>
          </cell>
          <cell r="B32" t="str">
            <v>BASIC ELECTRONICS</v>
          </cell>
          <cell r="C32" t="str">
            <v>Nicholas Kwesi Prah II</v>
          </cell>
          <cell r="D32">
            <v>70</v>
          </cell>
          <cell r="E32" t="str">
            <v>ED1-AERO</v>
          </cell>
          <cell r="F32" t="str">
            <v>EE 152</v>
          </cell>
        </row>
        <row r="33">
          <cell r="A33" t="str">
            <v>ENGL 158,ED1-AERO</v>
          </cell>
          <cell r="B33" t="str">
            <v>COMMUNICATION SKILLS II</v>
          </cell>
          <cell r="C33" t="str">
            <v>Yeboah Philomena Ama Okyeso</v>
          </cell>
          <cell r="D33">
            <v>70</v>
          </cell>
          <cell r="E33" t="str">
            <v>ED1-AERO</v>
          </cell>
          <cell r="F33" t="str">
            <v>ENGL 158</v>
          </cell>
        </row>
        <row r="34">
          <cell r="A34" t="str">
            <v>MATH 152,ED1-AERO</v>
          </cell>
          <cell r="B34" t="str">
            <v>CALCULUS WITH ANALYSIS</v>
          </cell>
          <cell r="C34" t="str">
            <v>Ezearn Jeffery</v>
          </cell>
          <cell r="D34">
            <v>70</v>
          </cell>
          <cell r="E34" t="str">
            <v>ED1-AERO</v>
          </cell>
          <cell r="F34" t="str">
            <v>MATH 152</v>
          </cell>
        </row>
        <row r="35">
          <cell r="A35" t="str">
            <v>ME 158,ED1-AERO</v>
          </cell>
          <cell r="B35" t="str">
            <v>ENGINEERING GRAPHICS</v>
          </cell>
          <cell r="C35" t="str">
            <v>Sackey Michael Nii</v>
          </cell>
          <cell r="D35">
            <v>70</v>
          </cell>
          <cell r="E35" t="str">
            <v>ED1-AERO</v>
          </cell>
          <cell r="F35" t="str">
            <v>ME 158</v>
          </cell>
        </row>
        <row r="36">
          <cell r="A36" t="str">
            <v>ME 164,ED1-AERO</v>
          </cell>
          <cell r="B36" t="str">
            <v>STATICS OF SOLID MECHANICS</v>
          </cell>
          <cell r="C36" t="str">
            <v>Dzebre Denis Edem Kwame</v>
          </cell>
          <cell r="D36">
            <v>70</v>
          </cell>
          <cell r="E36" t="str">
            <v>ED1-AERO</v>
          </cell>
          <cell r="F36" t="str">
            <v>ME 164</v>
          </cell>
        </row>
        <row r="37">
          <cell r="A37" t="str">
            <v>ME 168,ED1-AERO</v>
          </cell>
          <cell r="B37" t="str">
            <v>COMPUTER PROGRAMMING FOR ENGINEERS</v>
          </cell>
          <cell r="C37" t="str">
            <v>Tay Godwin Fabiola Kwaku</v>
          </cell>
          <cell r="D37">
            <v>70</v>
          </cell>
          <cell r="E37" t="str">
            <v>ED1-AERO</v>
          </cell>
          <cell r="F37" t="str">
            <v>ME 168</v>
          </cell>
        </row>
        <row r="38">
          <cell r="A38" t="str">
            <v>AERO 256,ED2-AERO</v>
          </cell>
          <cell r="B38" t="str">
            <v>AEROSPACE STRUCTURES</v>
          </cell>
          <cell r="C38" t="str">
            <v>Agyei Agyemang Anthony</v>
          </cell>
          <cell r="D38">
            <v>75</v>
          </cell>
          <cell r="E38" t="str">
            <v>ED2-AERO</v>
          </cell>
          <cell r="F38" t="str">
            <v>AERO 256</v>
          </cell>
        </row>
        <row r="39">
          <cell r="A39" t="str">
            <v>AERO 274,ED2-AERO</v>
          </cell>
          <cell r="B39" t="str">
            <v>AEROSPACE DESIGN PROJECT II</v>
          </cell>
          <cell r="C39" t="str">
            <v>Andoh Prince Yaw</v>
          </cell>
          <cell r="D39">
            <v>75</v>
          </cell>
          <cell r="E39" t="str">
            <v>ED2-AERO</v>
          </cell>
          <cell r="F39" t="str">
            <v>AERO 274</v>
          </cell>
        </row>
        <row r="40">
          <cell r="A40" t="str">
            <v>ENGL 264,ED2-AERO</v>
          </cell>
          <cell r="B40" t="str">
            <v>LITERATURE IN ENGLISH II</v>
          </cell>
          <cell r="C40" t="str">
            <v>Yeboah Philomena Ama Okyeso</v>
          </cell>
          <cell r="D40">
            <v>75</v>
          </cell>
          <cell r="E40" t="str">
            <v>ED2-AERO</v>
          </cell>
          <cell r="F40" t="str">
            <v>ENGL 264</v>
          </cell>
        </row>
        <row r="41">
          <cell r="A41" t="str">
            <v>MATH 252,ED2-AERO</v>
          </cell>
          <cell r="B41" t="str">
            <v>CALCULUS WITH SEVERAL VARIABLES</v>
          </cell>
          <cell r="C41" t="str">
            <v>Wireko Fredrick Asenso</v>
          </cell>
          <cell r="D41">
            <v>75</v>
          </cell>
          <cell r="E41" t="str">
            <v>ED2-AERO</v>
          </cell>
          <cell r="F41" t="str">
            <v>MATH 252</v>
          </cell>
        </row>
        <row r="42">
          <cell r="A42" t="str">
            <v>ME 258,ED2-AERO</v>
          </cell>
          <cell r="B42" t="str">
            <v>COMPUTER-AIDED DESIGN AND MODELLING</v>
          </cell>
          <cell r="C42" t="str">
            <v>Sackey Michael Nii</v>
          </cell>
          <cell r="D42">
            <v>75</v>
          </cell>
          <cell r="E42" t="str">
            <v>ED2-AERO</v>
          </cell>
          <cell r="F42" t="str">
            <v>ME 258</v>
          </cell>
        </row>
        <row r="43">
          <cell r="A43" t="str">
            <v>ME 264,ED2-AERO</v>
          </cell>
          <cell r="B43" t="str">
            <v>MECHANISMS SYNTHESIS AND ANALYSIS I</v>
          </cell>
          <cell r="C43" t="str">
            <v>Ampofo Joshua</v>
          </cell>
          <cell r="D43">
            <v>75</v>
          </cell>
          <cell r="E43" t="str">
            <v>ED2-AERO</v>
          </cell>
          <cell r="F43" t="str">
            <v>ME 264</v>
          </cell>
        </row>
        <row r="44">
          <cell r="A44" t="str">
            <v>ME 266,ED2-AERO</v>
          </cell>
          <cell r="B44" t="str">
            <v>THERMODYNAMICS I</v>
          </cell>
          <cell r="C44" t="str">
            <v>Boahen Samuel</v>
          </cell>
          <cell r="D44">
            <v>75</v>
          </cell>
          <cell r="E44" t="str">
            <v>ED2-AERO</v>
          </cell>
          <cell r="F44" t="str">
            <v>ME 266</v>
          </cell>
        </row>
        <row r="45">
          <cell r="A45" t="str">
            <v>AERO 362,ED3-AERO</v>
          </cell>
          <cell r="B45" t="str">
            <v>AIR VEHICLE STABILITY AND CONTROL</v>
          </cell>
          <cell r="C45" t="str">
            <v>Oppong David Kofi</v>
          </cell>
          <cell r="D45">
            <v>76</v>
          </cell>
          <cell r="E45" t="str">
            <v>ED3-AERO</v>
          </cell>
          <cell r="F45" t="str">
            <v>AERO 362</v>
          </cell>
        </row>
        <row r="46">
          <cell r="A46" t="str">
            <v>AERO 368,ED3-AERO</v>
          </cell>
          <cell r="B46" t="str">
            <v>PROPULSION</v>
          </cell>
          <cell r="C46" t="str">
            <v>Bofah Kwasi Kete</v>
          </cell>
          <cell r="D46">
            <v>76</v>
          </cell>
          <cell r="E46" t="str">
            <v>ED3-AERO</v>
          </cell>
          <cell r="F46" t="str">
            <v>AERO 368</v>
          </cell>
        </row>
        <row r="47">
          <cell r="A47" t="str">
            <v>AERO 374,ED3-AERO</v>
          </cell>
          <cell r="B47" t="str">
            <v>AIRCRAFT PERFORMANCE AND DESIGN</v>
          </cell>
          <cell r="C47" t="str">
            <v>Agyei Agyemang Anthony</v>
          </cell>
          <cell r="D47">
            <v>76</v>
          </cell>
          <cell r="E47" t="str">
            <v>ED3-AERO</v>
          </cell>
          <cell r="F47" t="str">
            <v>AERO 374</v>
          </cell>
        </row>
        <row r="48">
          <cell r="A48" t="str">
            <v>AERO 396,ED3-AERO</v>
          </cell>
          <cell r="B48" t="str">
            <v>AEROSPACE ENGINEERING LAB II</v>
          </cell>
          <cell r="C48" t="str">
            <v>Oppong David Kofi</v>
          </cell>
          <cell r="D48">
            <v>76</v>
          </cell>
          <cell r="E48" t="str">
            <v>ED3-AERO</v>
          </cell>
          <cell r="F48" t="str">
            <v>AERO 396</v>
          </cell>
        </row>
        <row r="49">
          <cell r="A49" t="str">
            <v>ME 362,ED3-AERO</v>
          </cell>
          <cell r="B49" t="str">
            <v>VIBRATIONS I</v>
          </cell>
          <cell r="C49" t="str">
            <v>Adam Faisal Wahib</v>
          </cell>
          <cell r="D49">
            <v>76</v>
          </cell>
          <cell r="E49" t="str">
            <v>ED3-AERO</v>
          </cell>
          <cell r="F49" t="str">
            <v>ME 362</v>
          </cell>
        </row>
        <row r="50">
          <cell r="A50" t="str">
            <v>ME 366,ED3-AERO</v>
          </cell>
          <cell r="B50" t="str">
            <v>HEAT TRANSFER</v>
          </cell>
          <cell r="C50" t="str">
            <v>Forson Francis Kofi</v>
          </cell>
          <cell r="D50">
            <v>76</v>
          </cell>
          <cell r="E50" t="str">
            <v>ED3-AERO</v>
          </cell>
          <cell r="F50" t="str">
            <v>ME 366</v>
          </cell>
        </row>
        <row r="51">
          <cell r="A51" t="str">
            <v>ME 392,ED3-AERO</v>
          </cell>
          <cell r="B51" t="str">
            <v>INDUSTRIAL ENGINEERING AND ERGONOMICS</v>
          </cell>
          <cell r="C51" t="str">
            <v>Mensah Lena Dzifa</v>
          </cell>
          <cell r="D51">
            <v>76</v>
          </cell>
          <cell r="E51" t="str">
            <v>ED3-AERO</v>
          </cell>
          <cell r="F51" t="str">
            <v>ME 392</v>
          </cell>
        </row>
        <row r="52">
          <cell r="A52" t="str">
            <v>AERO 452,ED4-AERO</v>
          </cell>
          <cell r="B52" t="str">
            <v>AERODYNAMICS II</v>
          </cell>
          <cell r="C52" t="str">
            <v>Bofah Kwasi Kete</v>
          </cell>
          <cell r="D52">
            <v>61</v>
          </cell>
          <cell r="E52" t="str">
            <v>ED4-AERO</v>
          </cell>
          <cell r="F52" t="str">
            <v>AERO 452</v>
          </cell>
        </row>
        <row r="53">
          <cell r="A53" t="str">
            <v>AERO 456,ED4-AERO</v>
          </cell>
          <cell r="B53" t="str">
            <v>APPLIED METEOROLOGY</v>
          </cell>
          <cell r="C53" t="str">
            <v>Prince Junior Asilevi</v>
          </cell>
          <cell r="D53">
            <v>61</v>
          </cell>
          <cell r="E53" t="str">
            <v>ED4-AERO</v>
          </cell>
          <cell r="F53" t="str">
            <v>AERO 456</v>
          </cell>
        </row>
        <row r="54">
          <cell r="A54" t="str">
            <v>AERO 492,ED4-AERO</v>
          </cell>
          <cell r="B54" t="str">
            <v>AEROSPACE SAFETY AND AIR SECURITY</v>
          </cell>
          <cell r="C54" t="str">
            <v xml:space="preserve">Peter Oppong Tawiah </v>
          </cell>
          <cell r="D54">
            <v>61</v>
          </cell>
          <cell r="E54" t="str">
            <v>ED4-AERO</v>
          </cell>
          <cell r="F54" t="str">
            <v>AERO 492</v>
          </cell>
        </row>
        <row r="55">
          <cell r="A55" t="str">
            <v>ME 462,ED4-AERO</v>
          </cell>
          <cell r="B55" t="str">
            <v>MECHANISMS SYNTHESIS AND ANALYSIS II</v>
          </cell>
          <cell r="C55" t="str">
            <v>David Kofi Oppong</v>
          </cell>
          <cell r="D55">
            <v>17</v>
          </cell>
          <cell r="E55" t="str">
            <v>ED4-AERO</v>
          </cell>
          <cell r="F55" t="str">
            <v>ME 462</v>
          </cell>
        </row>
        <row r="56">
          <cell r="A56" t="str">
            <v>ME 468,ED4-AERO</v>
          </cell>
          <cell r="B56" t="str">
            <v>INTERNAL COMBUSTION ENGINES</v>
          </cell>
          <cell r="C56" t="str">
            <v>Forson Francis Kofi</v>
          </cell>
          <cell r="D56">
            <v>5</v>
          </cell>
          <cell r="E56" t="str">
            <v>ED4-AERO</v>
          </cell>
          <cell r="F56" t="str">
            <v>ME 468</v>
          </cell>
        </row>
        <row r="57">
          <cell r="A57" t="str">
            <v>ME 472,ED4-AERO</v>
          </cell>
          <cell r="B57" t="str">
            <v>MACHINE SHOP AND FACTORY DESIGN</v>
          </cell>
          <cell r="C57" t="str">
            <v>Obeng George Yaw</v>
          </cell>
          <cell r="D57">
            <v>52</v>
          </cell>
          <cell r="E57" t="str">
            <v>ED4-AERO</v>
          </cell>
          <cell r="F57" t="str">
            <v>ME 472</v>
          </cell>
        </row>
        <row r="58">
          <cell r="A58" t="str">
            <v>ME 492,ED4-AERO</v>
          </cell>
          <cell r="B58" t="str">
            <v>MANAGEMENT AND ENTREPRENEURSHIP DEVELOPMENT</v>
          </cell>
          <cell r="C58" t="str">
            <v>Mensah Lena Dzifa</v>
          </cell>
          <cell r="D58">
            <v>61</v>
          </cell>
          <cell r="E58" t="str">
            <v>ED4-AERO</v>
          </cell>
          <cell r="F58" t="str">
            <v>ME 492</v>
          </cell>
        </row>
        <row r="59">
          <cell r="A59" t="str">
            <v>IE 458,ED4-AERO</v>
          </cell>
          <cell r="B59" t="str">
            <v>HUMAN FACTORS AND ERGONOMICS</v>
          </cell>
          <cell r="C59" t="str">
            <v>Sackey Samuel Mensah</v>
          </cell>
          <cell r="D59">
            <v>5</v>
          </cell>
          <cell r="E59" t="str">
            <v>ED4-AERO</v>
          </cell>
          <cell r="F59" t="str">
            <v>IE 458</v>
          </cell>
        </row>
        <row r="60">
          <cell r="A60" t="str">
            <v>EE 152,ED1-AUTO</v>
          </cell>
          <cell r="B60" t="str">
            <v>BASIC ELECTRONICS</v>
          </cell>
          <cell r="C60" t="str">
            <v>Nicholas Kwesi Prah II</v>
          </cell>
          <cell r="D60">
            <v>85</v>
          </cell>
          <cell r="E60" t="str">
            <v>ED1-AUTO</v>
          </cell>
          <cell r="F60" t="str">
            <v>EE 152</v>
          </cell>
        </row>
        <row r="61">
          <cell r="A61" t="str">
            <v>ENGL 158,ED1-AUTO</v>
          </cell>
          <cell r="B61" t="str">
            <v>COMMUNICATION SKILLS II</v>
          </cell>
          <cell r="C61" t="str">
            <v>Sarfo-Adu Kwasi</v>
          </cell>
          <cell r="D61">
            <v>85</v>
          </cell>
          <cell r="E61" t="str">
            <v>ED1-AUTO</v>
          </cell>
          <cell r="F61" t="str">
            <v>ENGL 158</v>
          </cell>
        </row>
        <row r="62">
          <cell r="A62" t="str">
            <v>MATH 152,ED1-AUTO</v>
          </cell>
          <cell r="B62" t="str">
            <v>CALCULUS WITH ANALYSIS</v>
          </cell>
          <cell r="C62" t="str">
            <v>Lawton Adu-Ansah</v>
          </cell>
          <cell r="D62">
            <v>85</v>
          </cell>
          <cell r="E62" t="str">
            <v>ED1-AUTO</v>
          </cell>
          <cell r="F62" t="str">
            <v>MATH 152</v>
          </cell>
        </row>
        <row r="63">
          <cell r="A63" t="str">
            <v>ME 160,ED1-AUTO</v>
          </cell>
          <cell r="B63" t="str">
            <v>ENGINEERING DRAWING</v>
          </cell>
          <cell r="C63" t="str">
            <v>Sekyere Charles Kofi Kafui</v>
          </cell>
          <cell r="D63">
            <v>85</v>
          </cell>
          <cell r="E63" t="str">
            <v>ED1-AUTO</v>
          </cell>
          <cell r="F63" t="str">
            <v>ME 160</v>
          </cell>
        </row>
        <row r="64">
          <cell r="A64" t="str">
            <v>ME 164,ED1-AUTO</v>
          </cell>
          <cell r="B64" t="str">
            <v>STATICS OF SOLID MECHANICS</v>
          </cell>
          <cell r="C64" t="str">
            <v>Oppong David Kofi</v>
          </cell>
          <cell r="D64">
            <v>85</v>
          </cell>
          <cell r="E64" t="str">
            <v>ED1-AUTO</v>
          </cell>
          <cell r="F64" t="str">
            <v>ME 164</v>
          </cell>
        </row>
        <row r="65">
          <cell r="A65" t="str">
            <v>ME 174,ED1-AUTO</v>
          </cell>
          <cell r="B65" t="str">
            <v>PRODUCT DESIGN AND MANUFACTURING</v>
          </cell>
          <cell r="C65" t="str">
            <v>Afriyie Nyarko Frank Kwabena</v>
          </cell>
          <cell r="D65">
            <v>85</v>
          </cell>
          <cell r="E65" t="str">
            <v>ED1-AUTO</v>
          </cell>
          <cell r="F65" t="str">
            <v>ME 174</v>
          </cell>
        </row>
        <row r="66">
          <cell r="A66" t="str">
            <v>AME 156,ED1-AUTO</v>
          </cell>
          <cell r="B66" t="str">
            <v>BASIC THERMODYNAMICS</v>
          </cell>
          <cell r="C66" t="str">
            <v>Samuel Boahen</v>
          </cell>
          <cell r="D66">
            <v>85</v>
          </cell>
          <cell r="E66" t="str">
            <v>ED1-AUTO</v>
          </cell>
          <cell r="F66" t="str">
            <v>AME 156</v>
          </cell>
        </row>
        <row r="67">
          <cell r="A67" t="str">
            <v>AME 274,ED2-AUTO</v>
          </cell>
          <cell r="B67" t="str">
            <v>AUTOMOTIVE DESIGN PROJECT</v>
          </cell>
          <cell r="C67" t="str">
            <v>Andoh Prince Yaw</v>
          </cell>
          <cell r="D67">
            <v>82</v>
          </cell>
          <cell r="E67" t="str">
            <v>ED2-AUTO</v>
          </cell>
          <cell r="F67" t="str">
            <v>AME 274</v>
          </cell>
        </row>
        <row r="68">
          <cell r="A68" t="str">
            <v>AME 256,ED2-AUTO</v>
          </cell>
          <cell r="B68" t="str">
            <v>AUTOMOTIVE CHASSIS</v>
          </cell>
          <cell r="C68" t="str">
            <v>Ayetor Godwin Kafui Kwesi</v>
          </cell>
          <cell r="D68">
            <v>82</v>
          </cell>
          <cell r="E68" t="str">
            <v>ED2-AUTO</v>
          </cell>
          <cell r="F68" t="str">
            <v>AME 256</v>
          </cell>
        </row>
        <row r="69">
          <cell r="A69" t="str">
            <v>AME 252,ED2-AUTO</v>
          </cell>
          <cell r="B69" t="str">
            <v>AUTOMOTIVE ELECTRICAL SYSTEMS AND ELECTRONICS</v>
          </cell>
          <cell r="C69" t="str">
            <v>Ayetor Godwin Kafui Kwesi</v>
          </cell>
          <cell r="D69">
            <v>82</v>
          </cell>
          <cell r="E69" t="str">
            <v>ED2-AUTO</v>
          </cell>
          <cell r="F69" t="str">
            <v>AME 252</v>
          </cell>
        </row>
        <row r="70">
          <cell r="A70" t="str">
            <v>AME 296,ED2-AUTO</v>
          </cell>
          <cell r="B70" t="str">
            <v>AUTOMOBILE ENGINEERING LABORATORY II</v>
          </cell>
          <cell r="C70" t="str">
            <v>Ayetor Godwin Kafui Kwesi</v>
          </cell>
          <cell r="D70">
            <v>82</v>
          </cell>
          <cell r="E70" t="str">
            <v>ED2-AUTO</v>
          </cell>
          <cell r="F70" t="str">
            <v>AME 296</v>
          </cell>
        </row>
        <row r="71">
          <cell r="A71" t="str">
            <v>MATH 252,ED2-AUTO</v>
          </cell>
          <cell r="B71" t="str">
            <v>CALCULUS WITH SEVERAL VARIABLES</v>
          </cell>
          <cell r="C71" t="str">
            <v>Eghan Rhydal Esi</v>
          </cell>
          <cell r="D71">
            <v>82</v>
          </cell>
          <cell r="E71" t="str">
            <v>ED2-AUTO</v>
          </cell>
          <cell r="F71" t="str">
            <v>MATH 252</v>
          </cell>
        </row>
        <row r="72">
          <cell r="A72" t="str">
            <v>ME 264,ED2-AUTO</v>
          </cell>
          <cell r="B72" t="str">
            <v>MECHANISMS SYNTHESIS AND ANALYSIS I</v>
          </cell>
          <cell r="C72" t="str">
            <v>Ampofo Joshua</v>
          </cell>
          <cell r="D72">
            <v>82</v>
          </cell>
          <cell r="E72" t="str">
            <v>ED2-AUTO</v>
          </cell>
          <cell r="F72" t="str">
            <v>ME 264</v>
          </cell>
        </row>
        <row r="73">
          <cell r="A73" t="str">
            <v>ME 270,ED2-AUTO</v>
          </cell>
          <cell r="B73" t="str">
            <v>MANUFACTURING TECHNOLOGY</v>
          </cell>
          <cell r="C73" t="str">
            <v>Boahen Samuel</v>
          </cell>
          <cell r="D73">
            <v>82</v>
          </cell>
          <cell r="E73" t="str">
            <v>ED2-AUTO</v>
          </cell>
          <cell r="F73" t="str">
            <v>ME 270</v>
          </cell>
        </row>
        <row r="74">
          <cell r="A74" t="str">
            <v>AME 356,ED3-AUTO</v>
          </cell>
          <cell r="B74" t="str">
            <v>LAND VEHICLE STRUCTURES</v>
          </cell>
          <cell r="C74" t="str">
            <v>Ayetor Godwin Kafui Kwesi</v>
          </cell>
          <cell r="D74">
            <v>40</v>
          </cell>
          <cell r="E74" t="str">
            <v>ED3-AUTO</v>
          </cell>
          <cell r="F74" t="str">
            <v>AME 356</v>
          </cell>
        </row>
        <row r="75">
          <cell r="A75" t="str">
            <v>AME 362,ED3-AUTO</v>
          </cell>
          <cell r="B75" t="str">
            <v>VIBRATIONS FOR AUTOMOBILE ENGINEERS</v>
          </cell>
          <cell r="C75" t="str">
            <v>Adam Faisal Wahib</v>
          </cell>
          <cell r="D75">
            <v>40</v>
          </cell>
          <cell r="E75" t="str">
            <v>ED3-AUTO</v>
          </cell>
          <cell r="F75" t="str">
            <v>AME 362</v>
          </cell>
        </row>
        <row r="76">
          <cell r="A76" t="str">
            <v>AME 368,ED3-AUTO</v>
          </cell>
          <cell r="B76" t="str">
            <v>AUTOMOTIVE SPARK-IGNITION ENGINES</v>
          </cell>
          <cell r="C76" t="str">
            <v>Abu Frimpong Solomon</v>
          </cell>
          <cell r="D76">
            <v>40</v>
          </cell>
          <cell r="E76" t="str">
            <v>ED3-AUTO</v>
          </cell>
          <cell r="F76" t="str">
            <v>AME 368</v>
          </cell>
        </row>
        <row r="77">
          <cell r="A77" t="str">
            <v>AME 376,ED3-AUTO</v>
          </cell>
          <cell r="B77" t="str">
            <v>AUTOMOTIVE CHASSIS</v>
          </cell>
          <cell r="C77" t="str">
            <v>Ayetor Godwin Kafui Kwesi</v>
          </cell>
          <cell r="D77">
            <v>40</v>
          </cell>
          <cell r="E77" t="str">
            <v>ED3-AUTO</v>
          </cell>
          <cell r="F77" t="str">
            <v>AME 376</v>
          </cell>
        </row>
        <row r="78">
          <cell r="A78" t="str">
            <v>AME 384,ED3-AUTO</v>
          </cell>
          <cell r="B78" t="str">
            <v>MICROPROCESSORS AND MECHATRONICS APPLICATIONS</v>
          </cell>
          <cell r="C78" t="str">
            <v>Sackey Michael Nii</v>
          </cell>
          <cell r="D78">
            <v>40</v>
          </cell>
          <cell r="E78" t="str">
            <v>ED3-AUTO</v>
          </cell>
          <cell r="F78" t="str">
            <v>AME 384</v>
          </cell>
        </row>
        <row r="79">
          <cell r="A79" t="str">
            <v>AME 386,ED3-AUTO</v>
          </cell>
          <cell r="B79" t="str">
            <v>MANUAL POWER TRAIN</v>
          </cell>
          <cell r="C79" t="str">
            <v>Abu Frimpong Solomon</v>
          </cell>
          <cell r="D79">
            <v>40</v>
          </cell>
          <cell r="E79" t="str">
            <v>ED3-AUTO</v>
          </cell>
          <cell r="F79" t="str">
            <v>AME 386</v>
          </cell>
        </row>
        <row r="80">
          <cell r="A80" t="str">
            <v>AME 392,ED3-AUTO</v>
          </cell>
          <cell r="B80" t="str">
            <v>INDUSTRIAL ENGINEERING AND ERGONOMICS</v>
          </cell>
          <cell r="C80" t="str">
            <v>Mensah Lena Dzifa</v>
          </cell>
          <cell r="D80">
            <v>40</v>
          </cell>
          <cell r="E80" t="str">
            <v>ED3-AUTO</v>
          </cell>
          <cell r="F80" t="str">
            <v>AME 392</v>
          </cell>
        </row>
        <row r="81">
          <cell r="A81" t="str">
            <v>AME 396,ED3-AUTO</v>
          </cell>
          <cell r="B81" t="str">
            <v>AUTOMOBILE ENGINEERING LABORATORY IV</v>
          </cell>
          <cell r="C81" t="str">
            <v>Ayetor Godwin Kafui Kwesi</v>
          </cell>
          <cell r="D81">
            <v>40</v>
          </cell>
          <cell r="E81" t="str">
            <v>ED3-AUTO</v>
          </cell>
          <cell r="F81" t="str">
            <v>AME 396</v>
          </cell>
        </row>
        <row r="82">
          <cell r="A82" t="str">
            <v>AME 476,ED4-AUTO</v>
          </cell>
          <cell r="B82" t="str">
            <v>MODERN AUTOMOBILE TECHNOLOGY</v>
          </cell>
          <cell r="C82" t="str">
            <v>Ayetor Godwin Kafui Kwesi</v>
          </cell>
          <cell r="D82">
            <v>32</v>
          </cell>
          <cell r="E82" t="str">
            <v>ED4-AUTO</v>
          </cell>
          <cell r="F82" t="str">
            <v>AME 476</v>
          </cell>
        </row>
        <row r="83">
          <cell r="A83" t="str">
            <v>AME 482,ED4-AUTO</v>
          </cell>
          <cell r="B83" t="str">
            <v>SPECIAL VEHICLE DESIGN</v>
          </cell>
          <cell r="C83" t="str">
            <v>Ayetor Godwin Kafui Kwesi</v>
          </cell>
          <cell r="D83">
            <v>32</v>
          </cell>
          <cell r="E83" t="str">
            <v>ED4-AUTO</v>
          </cell>
          <cell r="F83" t="str">
            <v>AME 482</v>
          </cell>
        </row>
        <row r="84">
          <cell r="A84" t="str">
            <v>AME 496,ED4-AUTO</v>
          </cell>
          <cell r="B84" t="str">
            <v>VEHICLE MAINTENANCE AND REGULATION</v>
          </cell>
          <cell r="C84" t="str">
            <v>Abu Frimpong Solomon</v>
          </cell>
          <cell r="D84">
            <v>32</v>
          </cell>
          <cell r="E84" t="str">
            <v>ED4-AUTO</v>
          </cell>
          <cell r="F84" t="str">
            <v>AME 496</v>
          </cell>
        </row>
        <row r="85">
          <cell r="A85" t="str">
            <v>AME 498,ED4-AUTO</v>
          </cell>
          <cell r="B85" t="str">
            <v>FINAL YEAR PROJECT II</v>
          </cell>
          <cell r="D85">
            <v>32</v>
          </cell>
          <cell r="E85" t="str">
            <v>ED4-AUTO</v>
          </cell>
          <cell r="F85" t="str">
            <v>AME 498</v>
          </cell>
        </row>
        <row r="86">
          <cell r="A86" t="str">
            <v>ME 456,ED4-AUTO</v>
          </cell>
          <cell r="B86" t="str">
            <v>INTRODUCTION TO FINITE ELEMENT</v>
          </cell>
          <cell r="C86" t="str">
            <v>Andoh Prince Yaw</v>
          </cell>
          <cell r="D86">
            <v>32</v>
          </cell>
          <cell r="E86" t="str">
            <v>ED4-AUTO</v>
          </cell>
          <cell r="F86" t="str">
            <v>ME 456</v>
          </cell>
        </row>
        <row r="87">
          <cell r="A87" t="str">
            <v>ME 492,ED4-AUTO</v>
          </cell>
          <cell r="B87" t="str">
            <v>MANAGEMENT AND ENTREPRENEURSHIP DEVELOPMENT</v>
          </cell>
          <cell r="C87" t="str">
            <v>Mensah Lena Dzifa</v>
          </cell>
          <cell r="D87">
            <v>32</v>
          </cell>
          <cell r="E87" t="str">
            <v>ED4-AUTO</v>
          </cell>
          <cell r="F87" t="str">
            <v>ME 492</v>
          </cell>
        </row>
        <row r="88">
          <cell r="A88" t="str">
            <v>COE 152,ED1-BME</v>
          </cell>
          <cell r="B88" t="str">
            <v>BASIC ELECTRONICS</v>
          </cell>
          <cell r="C88" t="str">
            <v>Addo Daniel Akwei</v>
          </cell>
          <cell r="D88">
            <v>136</v>
          </cell>
          <cell r="E88" t="str">
            <v>ED1-BME</v>
          </cell>
          <cell r="F88" t="str">
            <v>COE 152</v>
          </cell>
        </row>
        <row r="89">
          <cell r="A89" t="str">
            <v>ENGL 158,ED1-BME</v>
          </cell>
          <cell r="B89" t="str">
            <v>COMMUNICATION SKILLS II</v>
          </cell>
          <cell r="C89" t="str">
            <v>Yeboah Philomena Ama Okyeso</v>
          </cell>
          <cell r="D89">
            <v>136</v>
          </cell>
          <cell r="E89" t="str">
            <v>ED1-BME</v>
          </cell>
          <cell r="F89" t="str">
            <v>ENGL 158</v>
          </cell>
        </row>
        <row r="90">
          <cell r="A90" t="str">
            <v>MATH 152,ED1-BME</v>
          </cell>
          <cell r="B90" t="str">
            <v>CALCULUS WITH ANALYSIS</v>
          </cell>
          <cell r="C90" t="str">
            <v>Ezearn Jeffery</v>
          </cell>
          <cell r="D90">
            <v>136</v>
          </cell>
          <cell r="E90" t="str">
            <v>ED1-BME</v>
          </cell>
          <cell r="F90" t="str">
            <v>MATH 152</v>
          </cell>
        </row>
        <row r="91">
          <cell r="A91" t="str">
            <v>PHY 154,ED1-BME</v>
          </cell>
          <cell r="B91" t="str">
            <v>PROPERTIES OF MATTER</v>
          </cell>
          <cell r="C91" t="str">
            <v>Reginald Mensah Noye</v>
          </cell>
          <cell r="D91">
            <v>136</v>
          </cell>
          <cell r="E91" t="str">
            <v>ED1-BME</v>
          </cell>
          <cell r="F91" t="str">
            <v>PHY 154</v>
          </cell>
        </row>
        <row r="92">
          <cell r="A92" t="str">
            <v>SOC 152,ED1-BME</v>
          </cell>
          <cell r="B92" t="str">
            <v>INTRODUCTION TO SOCIOLOGY II</v>
          </cell>
          <cell r="C92" t="str">
            <v>Jones Opoku-Ware</v>
          </cell>
          <cell r="D92">
            <v>136</v>
          </cell>
          <cell r="E92" t="str">
            <v>ED1-BME</v>
          </cell>
          <cell r="F92" t="str">
            <v>SOC 152</v>
          </cell>
        </row>
        <row r="93">
          <cell r="A93" t="str">
            <v>BME 166,ED1-BME</v>
          </cell>
          <cell r="B93" t="str">
            <v>BIOCHEMISTRY</v>
          </cell>
          <cell r="C93" t="str">
            <v>Charles Apprey</v>
          </cell>
          <cell r="D93">
            <v>136</v>
          </cell>
          <cell r="E93" t="str">
            <v>ED1-BME</v>
          </cell>
          <cell r="F93" t="str">
            <v>BME 166</v>
          </cell>
        </row>
        <row r="94">
          <cell r="A94" t="str">
            <v>ME 166,ED1-BME</v>
          </cell>
          <cell r="B94" t="str">
            <v xml:space="preserve">APPLIED THERMODYNAMICS </v>
          </cell>
          <cell r="C94" t="str">
            <v>Amoabeng Kofi Owura</v>
          </cell>
          <cell r="D94">
            <v>136</v>
          </cell>
          <cell r="E94" t="str">
            <v>ED1-BME</v>
          </cell>
          <cell r="F94" t="str">
            <v>ME 166</v>
          </cell>
        </row>
        <row r="95">
          <cell r="A95" t="str">
            <v>ACF 256,ED2-BME</v>
          </cell>
          <cell r="B95" t="str">
            <v>FINANCIAL ACCOUNTING II</v>
          </cell>
          <cell r="C95" t="str">
            <v>Yeboah Edward</v>
          </cell>
          <cell r="D95">
            <v>18</v>
          </cell>
          <cell r="E95" t="str">
            <v>ED2-BME</v>
          </cell>
          <cell r="F95" t="str">
            <v>ACF 256</v>
          </cell>
        </row>
        <row r="96">
          <cell r="A96" t="str">
            <v>BME 286,ED2-BME</v>
          </cell>
          <cell r="B96" t="str">
            <v>ANATOMY AND PHYSIOLOGY FOR ENGINEERS II</v>
          </cell>
          <cell r="C96" t="str">
            <v>Agyapong Dorothy Araba Yakoba</v>
          </cell>
          <cell r="D96">
            <v>80</v>
          </cell>
          <cell r="E96" t="str">
            <v>ED2-BME</v>
          </cell>
          <cell r="F96" t="str">
            <v>BME 286</v>
          </cell>
        </row>
        <row r="97">
          <cell r="A97" t="str">
            <v>COE 288,ED2-BME</v>
          </cell>
          <cell r="B97" t="str">
            <v>CIRCUIT THEORY</v>
          </cell>
          <cell r="C97" t="str">
            <v>Yeboah-Akowuah Bright</v>
          </cell>
          <cell r="D97">
            <v>80</v>
          </cell>
          <cell r="E97" t="str">
            <v>ED2-BME</v>
          </cell>
          <cell r="F97" t="str">
            <v>COE 288</v>
          </cell>
        </row>
        <row r="98">
          <cell r="A98" t="str">
            <v>COE 254,ED2-BME</v>
          </cell>
          <cell r="B98" t="str">
            <v>OBJECT-ORIENTED PROGRAMMING</v>
          </cell>
          <cell r="C98" t="str">
            <v>Adjaidoo Theresa-Samuelle Maame Atwemaah</v>
          </cell>
          <cell r="D98">
            <v>80</v>
          </cell>
          <cell r="E98" t="str">
            <v>ED2-BME</v>
          </cell>
          <cell r="F98" t="str">
            <v>COE 254</v>
          </cell>
        </row>
        <row r="99">
          <cell r="A99" t="str">
            <v>COE 272,ED2-BME</v>
          </cell>
          <cell r="B99" t="str">
            <v>DIGITAL SYSTEMS DESIGN I</v>
          </cell>
          <cell r="C99" t="str">
            <v>Nunoo-Mensah Henry</v>
          </cell>
          <cell r="D99">
            <v>80</v>
          </cell>
          <cell r="E99" t="str">
            <v>ED2-BME</v>
          </cell>
          <cell r="F99" t="str">
            <v>COE 272</v>
          </cell>
        </row>
        <row r="100">
          <cell r="A100" t="str">
            <v>ECON 152,ED2-BME</v>
          </cell>
          <cell r="B100" t="str">
            <v>ELEMENTS OF ECONOMICS II</v>
          </cell>
          <cell r="C100" t="str">
            <v>Paul Owusu Takyi</v>
          </cell>
          <cell r="D100">
            <v>20</v>
          </cell>
          <cell r="E100" t="str">
            <v>ED2-BME</v>
          </cell>
          <cell r="F100" t="str">
            <v>ECON 152</v>
          </cell>
        </row>
        <row r="101">
          <cell r="A101" t="str">
            <v>FC 182,ED2-BME</v>
          </cell>
          <cell r="B101" t="str">
            <v>FRENCH FOR COMMUNICATION II</v>
          </cell>
          <cell r="C101" t="str">
            <v>Pharis Jeel Darko</v>
          </cell>
          <cell r="D101">
            <v>43</v>
          </cell>
          <cell r="E101" t="str">
            <v>ED2-BME</v>
          </cell>
          <cell r="F101" t="str">
            <v>FC 182</v>
          </cell>
        </row>
        <row r="102">
          <cell r="A102" t="str">
            <v>MATH 252,ED2-BME</v>
          </cell>
          <cell r="B102" t="str">
            <v>CALCULUS WITH SEVERAL VARIABLES</v>
          </cell>
          <cell r="C102" t="str">
            <v>Eghan Rhydal Esi</v>
          </cell>
          <cell r="D102">
            <v>80</v>
          </cell>
          <cell r="E102" t="str">
            <v>ED2-BME</v>
          </cell>
          <cell r="F102" t="str">
            <v>MATH 252</v>
          </cell>
        </row>
        <row r="103">
          <cell r="A103" t="str">
            <v>MSE 154,ED2-BME</v>
          </cell>
          <cell r="B103" t="str">
            <v>PRINCIPLES OF MATERIAL SCIENCE</v>
          </cell>
          <cell r="C103" t="str">
            <v>Agyemang Frank Ofori</v>
          </cell>
          <cell r="D103">
            <v>80</v>
          </cell>
          <cell r="E103" t="str">
            <v>ED2-BME</v>
          </cell>
          <cell r="F103" t="str">
            <v>MSE 154</v>
          </cell>
        </row>
        <row r="104">
          <cell r="A104" t="str">
            <v>BME 362,ED3-BME</v>
          </cell>
          <cell r="B104" t="str">
            <v>BIOMATERIALS I</v>
          </cell>
          <cell r="C104" t="str">
            <v>Odame Prince</v>
          </cell>
          <cell r="D104">
            <v>90</v>
          </cell>
          <cell r="E104" t="str">
            <v>ED3-BME</v>
          </cell>
          <cell r="F104" t="str">
            <v>BME 362</v>
          </cell>
        </row>
        <row r="105">
          <cell r="A105" t="str">
            <v>BME 364,ED3-BME</v>
          </cell>
          <cell r="B105" t="str">
            <v>MEDICAL IMAGING I</v>
          </cell>
          <cell r="C105" t="str">
            <v>Kotei Addison Eric Clement</v>
          </cell>
          <cell r="D105">
            <v>90</v>
          </cell>
          <cell r="E105" t="str">
            <v>ED3-BME</v>
          </cell>
          <cell r="F105" t="str">
            <v>BME 364</v>
          </cell>
        </row>
        <row r="106">
          <cell r="A106" t="str">
            <v>BME 366,ED3-BME</v>
          </cell>
          <cell r="B106" t="str">
            <v>BIOSIGNAL PROCESSES AND ANALYSIS</v>
          </cell>
          <cell r="C106" t="str">
            <v>Adjei Prince Ebenezer</v>
          </cell>
          <cell r="D106">
            <v>90</v>
          </cell>
          <cell r="E106" t="str">
            <v>ED3-BME</v>
          </cell>
          <cell r="F106" t="str">
            <v>BME 366</v>
          </cell>
        </row>
        <row r="107">
          <cell r="A107" t="str">
            <v>BME 372,ED3-BME</v>
          </cell>
          <cell r="B107" t="str">
            <v>BIOINSTRUMENTATION I</v>
          </cell>
          <cell r="C107" t="str">
            <v>Acquah Isaac</v>
          </cell>
          <cell r="D107">
            <v>90</v>
          </cell>
          <cell r="E107" t="str">
            <v>ED3-BME</v>
          </cell>
          <cell r="F107" t="str">
            <v>BME 372</v>
          </cell>
        </row>
        <row r="108">
          <cell r="A108" t="str">
            <v>BME 374,ED3-BME</v>
          </cell>
          <cell r="B108" t="str">
            <v>BIOMEDICAL OPTICS</v>
          </cell>
          <cell r="C108" t="str">
            <v>Kotei Addison Eric Clement</v>
          </cell>
          <cell r="D108">
            <v>90</v>
          </cell>
          <cell r="E108" t="str">
            <v>ED3-BME</v>
          </cell>
          <cell r="F108" t="str">
            <v>BME 374</v>
          </cell>
        </row>
        <row r="109">
          <cell r="A109" t="str">
            <v>COE 358,ED3-BME</v>
          </cell>
          <cell r="B109" t="str">
            <v>EMBEDDED SYSTEMS</v>
          </cell>
          <cell r="C109" t="str">
            <v>Kommey Benjamin</v>
          </cell>
          <cell r="D109">
            <v>90</v>
          </cell>
          <cell r="E109" t="str">
            <v>ED3-BME</v>
          </cell>
          <cell r="F109" t="str">
            <v>COE 358</v>
          </cell>
        </row>
        <row r="110">
          <cell r="A110" t="str">
            <v>BME 454,ED4-BME</v>
          </cell>
          <cell r="B110" t="str">
            <v>MEDICAL DEVICE REGULATION</v>
          </cell>
          <cell r="C110" t="str">
            <v>Acquah Isaac</v>
          </cell>
          <cell r="D110">
            <v>87</v>
          </cell>
          <cell r="E110" t="str">
            <v>ED4-BME</v>
          </cell>
          <cell r="F110" t="str">
            <v>BME 454</v>
          </cell>
        </row>
        <row r="111">
          <cell r="A111" t="str">
            <v>BME 462,ED4-BME</v>
          </cell>
          <cell r="B111" t="str">
            <v>BIOMECHANICS II</v>
          </cell>
          <cell r="C111" t="str">
            <v>Odame Prince</v>
          </cell>
          <cell r="D111">
            <v>87</v>
          </cell>
          <cell r="E111" t="str">
            <v>ED4-BME</v>
          </cell>
          <cell r="F111" t="str">
            <v>BME 462</v>
          </cell>
        </row>
        <row r="112">
          <cell r="A112" t="str">
            <v>COE 472,ED4-BME</v>
          </cell>
          <cell r="B112" t="str">
            <v>DIGITAL SIGNAL PROCESSING</v>
          </cell>
          <cell r="C112" t="str">
            <v>Adjei Prince Ebenezer</v>
          </cell>
          <cell r="D112">
            <v>87</v>
          </cell>
          <cell r="E112" t="str">
            <v>ED4-BME</v>
          </cell>
          <cell r="F112" t="str">
            <v>COE 472</v>
          </cell>
        </row>
        <row r="113">
          <cell r="A113" t="str">
            <v>ME 492,ED4-BME</v>
          </cell>
          <cell r="B113" t="str">
            <v>ENTREPRENEURSHIP DEVELOPMENT</v>
          </cell>
          <cell r="C113" t="str">
            <v>Aikins Stephen Hill Mends</v>
          </cell>
          <cell r="D113">
            <v>87</v>
          </cell>
          <cell r="E113" t="str">
            <v>ED4-BME</v>
          </cell>
          <cell r="F113" t="str">
            <v>ME 492</v>
          </cell>
        </row>
        <row r="114">
          <cell r="A114" t="str">
            <v>ARC 156,ED1-CE</v>
          </cell>
          <cell r="B114" t="str">
            <v>INTRODUCTION TO LIGHTING AND ACOUSTICS</v>
          </cell>
          <cell r="C114" t="str">
            <v>Amos-Abanyie Samuel</v>
          </cell>
          <cell r="D114">
            <v>55</v>
          </cell>
          <cell r="E114" t="str">
            <v>ED1-CE</v>
          </cell>
          <cell r="F114" t="str">
            <v>ARC 156</v>
          </cell>
        </row>
        <row r="115">
          <cell r="A115" t="str">
            <v>CE 154,ED1-CE</v>
          </cell>
          <cell r="B115" t="str">
            <v>PROPERTIES OF CIVIL ENGINEERING MATERIAL</v>
          </cell>
          <cell r="C115" t="str">
            <v>Kankam Charles Kwame</v>
          </cell>
          <cell r="D115">
            <v>245</v>
          </cell>
          <cell r="E115" t="str">
            <v>ED1-CE</v>
          </cell>
          <cell r="F115" t="str">
            <v>CE 154</v>
          </cell>
        </row>
        <row r="116">
          <cell r="A116" t="str">
            <v>CE 156,ED1-CE</v>
          </cell>
          <cell r="B116" t="str">
            <v>ELEMENTARY FLUIDS MECHANICS</v>
          </cell>
          <cell r="C116" t="str">
            <v>Gyamfi Charles</v>
          </cell>
          <cell r="D116">
            <v>245</v>
          </cell>
          <cell r="E116" t="str">
            <v>ED1-CE</v>
          </cell>
          <cell r="F116" t="str">
            <v>CE 156</v>
          </cell>
        </row>
        <row r="117">
          <cell r="A117" t="str">
            <v>CE 164,ED1-CE</v>
          </cell>
          <cell r="B117" t="str">
            <v>CIVIL ENGINEERING DRAWING</v>
          </cell>
          <cell r="C117" t="str">
            <v>Osei Jack Banahene</v>
          </cell>
          <cell r="D117">
            <v>245</v>
          </cell>
          <cell r="E117" t="str">
            <v>ED1-CE</v>
          </cell>
          <cell r="F117" t="str">
            <v>CE 164</v>
          </cell>
        </row>
        <row r="118">
          <cell r="A118" t="str">
            <v>ECON 152,ED1-CE</v>
          </cell>
          <cell r="B118" t="str">
            <v>INTRODUCTION TO ECONOMICS II</v>
          </cell>
          <cell r="C118" t="str">
            <v>Takyi Paul Owusu</v>
          </cell>
          <cell r="D118">
            <v>32</v>
          </cell>
          <cell r="E118" t="str">
            <v>ED1-CE</v>
          </cell>
          <cell r="F118" t="str">
            <v>ECON 152</v>
          </cell>
        </row>
        <row r="119">
          <cell r="A119" t="str">
            <v>EE 152,ED1-CE</v>
          </cell>
          <cell r="B119" t="str">
            <v>BASIC ELECTRONICS</v>
          </cell>
          <cell r="C119" t="str">
            <v>Kwegyir Daniel</v>
          </cell>
          <cell r="D119">
            <v>245</v>
          </cell>
          <cell r="E119" t="str">
            <v>ED1-CE</v>
          </cell>
          <cell r="F119" t="str">
            <v>EE 152</v>
          </cell>
        </row>
        <row r="120">
          <cell r="A120" t="str">
            <v>ENGL 158,ED1-CE</v>
          </cell>
          <cell r="B120" t="str">
            <v>COMMUNICATION SKILLS II</v>
          </cell>
          <cell r="C120" t="str">
            <v>Patricia Gustafson-Asamoah</v>
          </cell>
          <cell r="D120">
            <v>245</v>
          </cell>
          <cell r="E120" t="str">
            <v>ED1-CE</v>
          </cell>
          <cell r="F120" t="str">
            <v>ENGL 158</v>
          </cell>
        </row>
        <row r="121">
          <cell r="A121" t="str">
            <v>FC 182,ED1-CE</v>
          </cell>
          <cell r="B121" t="str">
            <v>FRENCH FOR COMMUNICATION II</v>
          </cell>
          <cell r="C121" t="str">
            <v>Boakye-Agyeman Candy</v>
          </cell>
          <cell r="D121">
            <v>160</v>
          </cell>
          <cell r="E121" t="str">
            <v>ED1-CE</v>
          </cell>
          <cell r="F121" t="str">
            <v>FC 182</v>
          </cell>
        </row>
        <row r="122">
          <cell r="A122" t="str">
            <v>MATH 152,ED1-CE</v>
          </cell>
          <cell r="B122" t="str">
            <v>CALCULUS WITH ANALYSIS</v>
          </cell>
          <cell r="C122" t="str">
            <v>Ezearn Jeffery</v>
          </cell>
          <cell r="D122">
            <v>245</v>
          </cell>
          <cell r="E122" t="str">
            <v>ED1-CE</v>
          </cell>
          <cell r="F122" t="str">
            <v>MATH 152</v>
          </cell>
        </row>
        <row r="123">
          <cell r="A123" t="str">
            <v>CE 256,ED2-CE</v>
          </cell>
          <cell r="B123" t="str">
            <v>FLUID MECHANICS</v>
          </cell>
          <cell r="C123" t="str">
            <v>Anornu Geophrey Kwame</v>
          </cell>
          <cell r="D123">
            <v>250</v>
          </cell>
          <cell r="E123" t="str">
            <v>ED2-CE</v>
          </cell>
          <cell r="F123" t="str">
            <v>CE 256</v>
          </cell>
        </row>
        <row r="124">
          <cell r="A124" t="str">
            <v>CE 258,ED2-CE</v>
          </cell>
          <cell r="B124" t="str">
            <v>STRUCTURAL ANALYSIS</v>
          </cell>
          <cell r="C124" t="str">
            <v>Kankam Charles Kwame</v>
          </cell>
          <cell r="D124">
            <v>250</v>
          </cell>
          <cell r="E124" t="str">
            <v>ED2-CE</v>
          </cell>
          <cell r="F124" t="str">
            <v>CE 258</v>
          </cell>
        </row>
        <row r="125">
          <cell r="A125" t="str">
            <v>CE 260,ED2-CE</v>
          </cell>
          <cell r="B125" t="str">
            <v>SOIL AND ROCK MECHANICS</v>
          </cell>
          <cell r="C125" t="str">
            <v>Frederick Owusu-Nimo</v>
          </cell>
          <cell r="D125">
            <v>250</v>
          </cell>
          <cell r="E125" t="str">
            <v>ED2-CE</v>
          </cell>
          <cell r="F125" t="str">
            <v>CE 260</v>
          </cell>
        </row>
        <row r="126">
          <cell r="A126" t="str">
            <v>CE 262,ED2-CE</v>
          </cell>
          <cell r="B126" t="str">
            <v>SOIL AND ROCKS MECHANICS LABORATORY</v>
          </cell>
          <cell r="C126" t="str">
            <v>Dzikunu-Bansah Nancy Anataba Kyorku</v>
          </cell>
          <cell r="D126">
            <v>250</v>
          </cell>
          <cell r="E126" t="str">
            <v>ED2-CE</v>
          </cell>
          <cell r="F126" t="str">
            <v>CE 262</v>
          </cell>
        </row>
        <row r="127">
          <cell r="A127" t="str">
            <v>CE 264,ED2-CE</v>
          </cell>
          <cell r="B127" t="str">
            <v>INTRO TO ENVIRONMENTAL ENG.</v>
          </cell>
          <cell r="C127" t="str">
            <v>Essandoh Helen Michelle Korkor</v>
          </cell>
          <cell r="D127">
            <v>250</v>
          </cell>
          <cell r="E127" t="str">
            <v>ED2-CE</v>
          </cell>
          <cell r="F127" t="str">
            <v>CE 264</v>
          </cell>
        </row>
        <row r="128">
          <cell r="A128" t="str">
            <v>CE 272,ED2-CE</v>
          </cell>
          <cell r="B128" t="str">
            <v>PRINCIPLE OF DESIGN</v>
          </cell>
          <cell r="C128" t="str">
            <v>Ayeh Felix Jojo Fianko</v>
          </cell>
          <cell r="D128">
            <v>250</v>
          </cell>
          <cell r="E128" t="str">
            <v>ED2-CE</v>
          </cell>
          <cell r="F128" t="str">
            <v>CE 272</v>
          </cell>
        </row>
        <row r="129">
          <cell r="A129" t="str">
            <v>GE 282,ED2-CE</v>
          </cell>
          <cell r="B129" t="str">
            <v>LARGE SCALE SURVEYING</v>
          </cell>
          <cell r="C129" t="str">
            <v>Dadzie Isaac</v>
          </cell>
          <cell r="D129">
            <v>250</v>
          </cell>
          <cell r="E129" t="str">
            <v>ED2-CE</v>
          </cell>
          <cell r="F129" t="str">
            <v>GE 282</v>
          </cell>
        </row>
        <row r="130">
          <cell r="A130" t="str">
            <v>MATH 252,ED2-CE</v>
          </cell>
          <cell r="B130" t="str">
            <v>CALCULUS WITH SEVERAL VARIABLES</v>
          </cell>
          <cell r="C130" t="str">
            <v>Reindorf Nartey Borkor</v>
          </cell>
          <cell r="D130">
            <v>250</v>
          </cell>
          <cell r="E130" t="str">
            <v>ED2-CE</v>
          </cell>
          <cell r="F130" t="str">
            <v>MATH 252</v>
          </cell>
        </row>
        <row r="131">
          <cell r="A131" t="str">
            <v>CE 352,ED3-CE</v>
          </cell>
          <cell r="B131" t="str">
            <v>STEEL AND TIMBER DESIGN</v>
          </cell>
          <cell r="C131" t="str">
            <v>Mark Adom-Asamoah</v>
          </cell>
          <cell r="D131">
            <v>230</v>
          </cell>
          <cell r="E131" t="str">
            <v>ED3-CE</v>
          </cell>
          <cell r="F131" t="str">
            <v>CE 352</v>
          </cell>
        </row>
        <row r="132">
          <cell r="A132" t="str">
            <v>CE 356,ED3-CE</v>
          </cell>
          <cell r="B132" t="str">
            <v>HYDRAULIC ENGINEERING</v>
          </cell>
          <cell r="C132" t="str">
            <v>Adjei Kwaku Amaning</v>
          </cell>
          <cell r="D132">
            <v>230</v>
          </cell>
          <cell r="E132" t="str">
            <v>ED3-CE</v>
          </cell>
          <cell r="F132" t="str">
            <v>CE 356</v>
          </cell>
        </row>
        <row r="133">
          <cell r="A133" t="str">
            <v>CE 360,ED3-CE</v>
          </cell>
          <cell r="B133" t="str">
            <v>FOUNDATION ENGINEERING</v>
          </cell>
          <cell r="C133" t="str">
            <v>Acquaah Vincent Kofi Abaka</v>
          </cell>
          <cell r="D133">
            <v>230</v>
          </cell>
          <cell r="E133" t="str">
            <v>ED3-CE</v>
          </cell>
          <cell r="F133" t="str">
            <v>CE 360</v>
          </cell>
        </row>
        <row r="134">
          <cell r="A134" t="str">
            <v>CE 364,ED3-CE</v>
          </cell>
          <cell r="B134" t="str">
            <v>ENVIRONMENTAL QUALITY ENGINEERING</v>
          </cell>
          <cell r="C134" t="str">
            <v>Appiah-Effah Eugene</v>
          </cell>
          <cell r="D134">
            <v>230</v>
          </cell>
          <cell r="E134" t="str">
            <v>ED3-CE</v>
          </cell>
          <cell r="F134" t="str">
            <v>CE 364</v>
          </cell>
        </row>
        <row r="135">
          <cell r="A135" t="str">
            <v>CE 368,ED3-CE</v>
          </cell>
          <cell r="B135" t="str">
            <v>HIGHWAY ENGINEERING</v>
          </cell>
          <cell r="C135" t="str">
            <v>Tutu Kenneth Adomako</v>
          </cell>
          <cell r="D135">
            <v>230</v>
          </cell>
          <cell r="E135" t="str">
            <v>ED3-CE</v>
          </cell>
          <cell r="F135" t="str">
            <v>CE 368</v>
          </cell>
        </row>
        <row r="136">
          <cell r="A136" t="str">
            <v>CE 376,ED3-CE</v>
          </cell>
          <cell r="B136" t="str">
            <v>QUANTITIES AND COST ESTIMATION IN CIVIL ENGINEERING</v>
          </cell>
          <cell r="C136" t="str">
            <v>Osei Jack Banahene</v>
          </cell>
          <cell r="D136">
            <v>230</v>
          </cell>
          <cell r="E136" t="str">
            <v>ED3-CE</v>
          </cell>
          <cell r="F136" t="str">
            <v>CE 376</v>
          </cell>
        </row>
        <row r="137">
          <cell r="A137" t="str">
            <v>CE 378,ED3-CE</v>
          </cell>
          <cell r="B137" t="str">
            <v>INTEGRATED DESIGN</v>
          </cell>
          <cell r="C137" t="str">
            <v>Ayeh Felix Jojo Fianko</v>
          </cell>
          <cell r="D137">
            <v>230</v>
          </cell>
          <cell r="E137" t="str">
            <v>ED3-CE</v>
          </cell>
          <cell r="F137" t="str">
            <v>CE 378</v>
          </cell>
        </row>
        <row r="138">
          <cell r="A138" t="str">
            <v>CE 390,ED3-CE</v>
          </cell>
          <cell r="B138" t="str">
            <v>ROAD DESIGN AND MATERIAL EVOLOUTION LABORATORY</v>
          </cell>
          <cell r="C138" t="str">
            <v>Tutu Kenneth Adomako</v>
          </cell>
          <cell r="D138">
            <v>230</v>
          </cell>
          <cell r="E138" t="str">
            <v>ED3-CE</v>
          </cell>
          <cell r="F138" t="str">
            <v>CE 390</v>
          </cell>
        </row>
        <row r="139">
          <cell r="A139" t="str">
            <v>CE 452,ED4-CE</v>
          </cell>
          <cell r="B139" t="str">
            <v>COMPUTER APPLICATIONS IN CIVIL ENGINEERING</v>
          </cell>
          <cell r="C139" t="str">
            <v>Ayeh Felix Jojo Fianko</v>
          </cell>
          <cell r="D139">
            <v>240</v>
          </cell>
          <cell r="E139" t="str">
            <v>ED4-CE</v>
          </cell>
          <cell r="F139" t="str">
            <v>CE 452</v>
          </cell>
        </row>
        <row r="140">
          <cell r="A140" t="str">
            <v>CE 456,ED4-CE</v>
          </cell>
          <cell r="B140" t="str">
            <v>STRUCTURAL DYNAMICS</v>
          </cell>
          <cell r="C140" t="str">
            <v>Mark Adom-Asamoah</v>
          </cell>
          <cell r="D140">
            <v>95</v>
          </cell>
          <cell r="E140" t="str">
            <v>ED4-CE</v>
          </cell>
          <cell r="F140" t="str">
            <v>CE 456</v>
          </cell>
        </row>
        <row r="141">
          <cell r="A141" t="str">
            <v>CE 458,ED4-CE</v>
          </cell>
          <cell r="B141" t="str">
            <v>WATER RESOURCES ENGINEERING II</v>
          </cell>
          <cell r="C141" t="str">
            <v>Anornu Geophrey Kwame</v>
          </cell>
          <cell r="D141">
            <v>105</v>
          </cell>
          <cell r="E141" t="str">
            <v>ED4-CE</v>
          </cell>
          <cell r="F141" t="str">
            <v>CE 458</v>
          </cell>
        </row>
        <row r="142">
          <cell r="A142" t="str">
            <v>CE 462,ED4-CE</v>
          </cell>
          <cell r="B142" t="str">
            <v>CONSTRUCTION MANAGEMENT</v>
          </cell>
          <cell r="C142" t="str">
            <v>Obeng Daniel Atuah</v>
          </cell>
          <cell r="D142">
            <v>240</v>
          </cell>
          <cell r="E142" t="str">
            <v>ED4-CE</v>
          </cell>
          <cell r="F142" t="str">
            <v>CE 462</v>
          </cell>
        </row>
        <row r="143">
          <cell r="A143" t="str">
            <v>CE 464,ED4-CE</v>
          </cell>
          <cell r="B143" t="str">
            <v>ENVIRONMENTAL QUALITY ENGINEERING II</v>
          </cell>
          <cell r="C143" t="str">
            <v>Appiah-Effah Eugene</v>
          </cell>
          <cell r="D143">
            <v>115</v>
          </cell>
          <cell r="E143" t="str">
            <v>ED4-CE</v>
          </cell>
          <cell r="F143" t="str">
            <v>CE 464</v>
          </cell>
        </row>
        <row r="144">
          <cell r="A144" t="str">
            <v>CE 468,ED4-CE</v>
          </cell>
          <cell r="B144" t="str">
            <v>TRANSPORTATION ENGINEERING</v>
          </cell>
          <cell r="C144" t="str">
            <v>Tuffour Yaw Adubofour</v>
          </cell>
          <cell r="D144">
            <v>150</v>
          </cell>
          <cell r="E144" t="str">
            <v>ED4-CE</v>
          </cell>
          <cell r="F144" t="str">
            <v>CE 468</v>
          </cell>
        </row>
        <row r="145">
          <cell r="A145" t="str">
            <v>CE 476,ED4-CE</v>
          </cell>
          <cell r="B145" t="str">
            <v>SYSTEM ENGINEERING II</v>
          </cell>
          <cell r="C145" t="str">
            <v>Osei Jack Banahene</v>
          </cell>
          <cell r="D145">
            <v>115</v>
          </cell>
          <cell r="E145" t="str">
            <v>ED4-CE</v>
          </cell>
          <cell r="F145" t="str">
            <v>CE 476</v>
          </cell>
        </row>
        <row r="146">
          <cell r="A146" t="str">
            <v>CE 478,ED4-CE</v>
          </cell>
          <cell r="B146" t="str">
            <v>GROUND ENGINEERING</v>
          </cell>
          <cell r="C146" t="str">
            <v>Samuel Innocent Kofi Ampadu</v>
          </cell>
          <cell r="D146">
            <v>60</v>
          </cell>
          <cell r="E146" t="str">
            <v>ED4-CE</v>
          </cell>
          <cell r="F146" t="str">
            <v>CE 478</v>
          </cell>
        </row>
        <row r="147">
          <cell r="A147" t="str">
            <v>CE 480,ED4-CE</v>
          </cell>
          <cell r="B147" t="str">
            <v>FINITE ELEMENT ANALYSIS</v>
          </cell>
          <cell r="C147" t="str">
            <v>Jones Owusu Twumasi</v>
          </cell>
          <cell r="D147">
            <v>18</v>
          </cell>
          <cell r="E147" t="str">
            <v>ED4-CE</v>
          </cell>
          <cell r="F147" t="str">
            <v>CE 480</v>
          </cell>
        </row>
        <row r="148">
          <cell r="A148" t="str">
            <v>CHE 156,ED1-CHE</v>
          </cell>
          <cell r="B148" t="str">
            <v>PHYSICAL CHEMISTRY FOR ENGINEERS</v>
          </cell>
          <cell r="C148" t="str">
            <v>Anang Daniel Adjah</v>
          </cell>
          <cell r="D148">
            <v>120</v>
          </cell>
          <cell r="E148" t="str">
            <v>ED1-CHE</v>
          </cell>
          <cell r="F148" t="str">
            <v>CHE 156</v>
          </cell>
        </row>
        <row r="149">
          <cell r="A149" t="str">
            <v>CHE 158,ED1-CHE</v>
          </cell>
          <cell r="B149" t="str">
            <v>INTRODUCTION TO INFORMATION TECHNOLOGY</v>
          </cell>
          <cell r="C149" t="str">
            <v>Baidoo Martina Francisca</v>
          </cell>
          <cell r="D149">
            <v>120</v>
          </cell>
          <cell r="E149" t="str">
            <v>ED1-CHE</v>
          </cell>
          <cell r="F149" t="str">
            <v>CHE 158</v>
          </cell>
        </row>
        <row r="150">
          <cell r="A150" t="str">
            <v>EE 152,ED1-CHE</v>
          </cell>
          <cell r="B150" t="str">
            <v>BASIC ELECTRONICS</v>
          </cell>
          <cell r="C150" t="str">
            <v>Yaw Opoku Mensah Sekyere</v>
          </cell>
          <cell r="D150">
            <v>120</v>
          </cell>
          <cell r="E150" t="str">
            <v>ED1-CHE</v>
          </cell>
          <cell r="F150" t="str">
            <v>EE 152</v>
          </cell>
        </row>
        <row r="151">
          <cell r="A151" t="str">
            <v>ENGL 158,ED1-CHE</v>
          </cell>
          <cell r="B151" t="str">
            <v>COMMUNICATION  SKILLS II</v>
          </cell>
          <cell r="C151" t="str">
            <v>Yeboah Philomena Ama Okyeso</v>
          </cell>
          <cell r="D151">
            <v>120</v>
          </cell>
          <cell r="E151" t="str">
            <v>ED1-CHE</v>
          </cell>
          <cell r="F151" t="str">
            <v>ENGL 158</v>
          </cell>
        </row>
        <row r="152">
          <cell r="A152" t="str">
            <v>MATH 152,ED1-CHE</v>
          </cell>
          <cell r="B152" t="str">
            <v>CALCULUS WITH ANALYSIS</v>
          </cell>
          <cell r="C152" t="str">
            <v>Isaac Azure</v>
          </cell>
          <cell r="D152">
            <v>120</v>
          </cell>
          <cell r="E152" t="str">
            <v>ED1-CHE</v>
          </cell>
          <cell r="F152" t="str">
            <v>MATH 152</v>
          </cell>
        </row>
        <row r="153">
          <cell r="A153" t="str">
            <v>ME 162,ED1-CHE</v>
          </cell>
          <cell r="B153" t="str">
            <v>BASIC MECHANICS</v>
          </cell>
          <cell r="C153" t="str">
            <v>Oppong David Kofi</v>
          </cell>
          <cell r="D153">
            <v>120</v>
          </cell>
          <cell r="E153" t="str">
            <v>ED1-CHE</v>
          </cell>
          <cell r="F153" t="str">
            <v>ME 162</v>
          </cell>
        </row>
        <row r="154">
          <cell r="A154" t="str">
            <v>PHY 170,ED1-CHE</v>
          </cell>
          <cell r="B154" t="str">
            <v>GENERAL PHYSICS</v>
          </cell>
          <cell r="C154" t="str">
            <v>Boateng Cyril Dziedzorm</v>
          </cell>
          <cell r="D154">
            <v>120</v>
          </cell>
          <cell r="E154" t="str">
            <v>ED1-CHE</v>
          </cell>
          <cell r="F154" t="str">
            <v>PHY 170</v>
          </cell>
        </row>
        <row r="155">
          <cell r="A155" t="str">
            <v>CHE 250,ED2-CHE</v>
          </cell>
          <cell r="B155" t="str">
            <v>STRENGTH OF MATERIALS FOR CHEMICAL ENGINEERS</v>
          </cell>
          <cell r="C155" t="str">
            <v>Anang Daniel Adjah</v>
          </cell>
          <cell r="D155">
            <v>160</v>
          </cell>
          <cell r="E155" t="str">
            <v>ED2-CHE</v>
          </cell>
          <cell r="F155" t="str">
            <v>CHE 250</v>
          </cell>
        </row>
        <row r="156">
          <cell r="A156" t="str">
            <v>CHE 252,ED2-CHE</v>
          </cell>
          <cell r="B156" t="str">
            <v>CHEMICAL PROCESS CALCULATIONS II</v>
          </cell>
          <cell r="C156" t="str">
            <v>Rockson Mizpah Ama Dziedzorm</v>
          </cell>
          <cell r="D156">
            <v>160</v>
          </cell>
          <cell r="E156" t="str">
            <v>ED2-CHE</v>
          </cell>
          <cell r="F156" t="str">
            <v>CHE 252</v>
          </cell>
        </row>
        <row r="157">
          <cell r="A157" t="str">
            <v>CHE 254,ED2-CHE</v>
          </cell>
          <cell r="B157" t="str">
            <v>CHEMICAL ENGINEERING THERMODYNAMICS II</v>
          </cell>
          <cell r="C157" t="str">
            <v>Bonsu Jude Kwaku</v>
          </cell>
          <cell r="D157">
            <v>160</v>
          </cell>
          <cell r="E157" t="str">
            <v>ED2-CHE</v>
          </cell>
          <cell r="F157" t="str">
            <v>CHE 254</v>
          </cell>
        </row>
        <row r="158">
          <cell r="A158" t="str">
            <v>CHE 256,ED2-CHE</v>
          </cell>
          <cell r="B158" t="str">
            <v>HEAT TRANSPORT PROCESSES</v>
          </cell>
          <cell r="C158" t="str">
            <v>Momade Zsuzsanna Gál</v>
          </cell>
          <cell r="D158">
            <v>160</v>
          </cell>
          <cell r="E158" t="str">
            <v>ED2-CHE</v>
          </cell>
          <cell r="F158" t="str">
            <v>CHE 256</v>
          </cell>
        </row>
        <row r="159">
          <cell r="A159" t="str">
            <v>CHE 258,ED2-CHE</v>
          </cell>
          <cell r="B159" t="str">
            <v>DRAWING FOR ENGINEERS</v>
          </cell>
          <cell r="C159" t="str">
            <v>Darkwah Lawrence</v>
          </cell>
          <cell r="D159">
            <v>160</v>
          </cell>
          <cell r="E159" t="str">
            <v>ED2-CHE</v>
          </cell>
          <cell r="F159" t="str">
            <v>CHE 258</v>
          </cell>
        </row>
        <row r="160">
          <cell r="A160" t="str">
            <v>CHEM 280,ED2-CHE</v>
          </cell>
          <cell r="B160" t="str">
            <v>PRACTICAL CHEMISTRY II</v>
          </cell>
          <cell r="C160" t="str">
            <v>Opoku Francis</v>
          </cell>
          <cell r="D160">
            <v>160</v>
          </cell>
          <cell r="E160" t="str">
            <v>ED2-CHE</v>
          </cell>
          <cell r="F160" t="str">
            <v>CHEM 280</v>
          </cell>
        </row>
        <row r="161">
          <cell r="A161" t="str">
            <v>MATH 252,ED2-CHE</v>
          </cell>
          <cell r="B161" t="str">
            <v>CALCULUS OF SEVERAL VARIABLES</v>
          </cell>
          <cell r="C161" t="str">
            <v>Benedict Barnes</v>
          </cell>
          <cell r="D161">
            <v>160</v>
          </cell>
          <cell r="E161" t="str">
            <v>ED2-CHE</v>
          </cell>
          <cell r="F161" t="str">
            <v>MATH 252</v>
          </cell>
        </row>
        <row r="162">
          <cell r="A162" t="str">
            <v>CHE 350,ED3-CHE</v>
          </cell>
          <cell r="B162" t="str">
            <v>MATERIALS SCIENCE</v>
          </cell>
          <cell r="C162" t="str">
            <v>Patrick Boakye</v>
          </cell>
          <cell r="D162">
            <v>105</v>
          </cell>
          <cell r="E162" t="str">
            <v>ED3-CHE</v>
          </cell>
          <cell r="F162" t="str">
            <v>CHE 350</v>
          </cell>
        </row>
        <row r="163">
          <cell r="A163" t="str">
            <v>CHE 352,ED3-CHE</v>
          </cell>
          <cell r="B163" t="str">
            <v>CHEMICAL REACTION ENGINEERING</v>
          </cell>
          <cell r="C163" t="str">
            <v>Bonsu Jude Kwaku</v>
          </cell>
          <cell r="D163">
            <v>105</v>
          </cell>
          <cell r="E163" t="str">
            <v>ED3-CHE</v>
          </cell>
          <cell r="F163" t="str">
            <v>CHE 352</v>
          </cell>
        </row>
        <row r="164">
          <cell r="A164" t="str">
            <v>CHE 354,ED3-CHE</v>
          </cell>
          <cell r="B164" t="str">
            <v>SIMULTANEOUS HEAT/MASS TRANSFER</v>
          </cell>
          <cell r="C164" t="str">
            <v>Dogbe Eunice Sefakor Aku</v>
          </cell>
          <cell r="D164">
            <v>105</v>
          </cell>
          <cell r="E164" t="str">
            <v>ED3-CHE</v>
          </cell>
          <cell r="F164" t="str">
            <v>CHE 354</v>
          </cell>
        </row>
        <row r="165">
          <cell r="A165" t="str">
            <v>CHE 358,ED3-CHE</v>
          </cell>
          <cell r="B165" t="str">
            <v>NUMERICAL METHODS FOR CHEMICAL ENGINEERS</v>
          </cell>
          <cell r="C165" t="str">
            <v>Mensah Mary</v>
          </cell>
          <cell r="D165">
            <v>105</v>
          </cell>
          <cell r="E165" t="str">
            <v>ED3-CHE</v>
          </cell>
          <cell r="F165" t="str">
            <v>CHE 358</v>
          </cell>
        </row>
        <row r="166">
          <cell r="A166" t="str">
            <v>CHE 362,ED3-CHE</v>
          </cell>
          <cell r="B166" t="str">
            <v>SILICATE TECHNOLOGY II</v>
          </cell>
          <cell r="C166" t="str">
            <v>Momade Zsuzsanna Gál</v>
          </cell>
          <cell r="D166">
            <v>15</v>
          </cell>
          <cell r="E166" t="str">
            <v>ED3-CHE</v>
          </cell>
          <cell r="F166" t="str">
            <v>CHE 362</v>
          </cell>
        </row>
        <row r="167">
          <cell r="A167" t="str">
            <v>CHE 364,ED3-CHE</v>
          </cell>
          <cell r="B167" t="str">
            <v>PACKAGING TECHNOLOGY</v>
          </cell>
          <cell r="C167" t="str">
            <v>Baah-Ennumh Emmanuel Kwaku</v>
          </cell>
          <cell r="D167">
            <v>45</v>
          </cell>
          <cell r="E167" t="str">
            <v>ED3-CHE</v>
          </cell>
          <cell r="F167" t="str">
            <v>CHE 364</v>
          </cell>
        </row>
        <row r="168">
          <cell r="A168" t="str">
            <v>CHE 368,ED3-CHE</v>
          </cell>
          <cell r="B168" t="str">
            <v>FOOD PROCESSING TECHNOLOGY</v>
          </cell>
          <cell r="C168" t="str">
            <v>Anang Daniel Adjah</v>
          </cell>
          <cell r="D168">
            <v>50</v>
          </cell>
          <cell r="E168" t="str">
            <v>ED3-CHE</v>
          </cell>
          <cell r="F168" t="str">
            <v>CHE 368</v>
          </cell>
        </row>
        <row r="169">
          <cell r="A169" t="str">
            <v>ECON 152,ED3-CHE</v>
          </cell>
          <cell r="B169" t="str">
            <v>INTRODUCTORY ECONOMICS II</v>
          </cell>
          <cell r="C169" t="str">
            <v>Takyi Paul Owusu</v>
          </cell>
          <cell r="D169">
            <v>80</v>
          </cell>
          <cell r="E169" t="str">
            <v>ED3-CHE</v>
          </cell>
          <cell r="F169" t="str">
            <v>ECON 152</v>
          </cell>
        </row>
        <row r="170">
          <cell r="A170" t="str">
            <v>FC 182,ED3-CHE</v>
          </cell>
          <cell r="B170" t="str">
            <v>FRENCH FOR COMMUNICATION II</v>
          </cell>
          <cell r="C170" t="str">
            <v>Alexander Ocloo</v>
          </cell>
          <cell r="D170">
            <v>55</v>
          </cell>
          <cell r="E170" t="str">
            <v>ED3-CHE</v>
          </cell>
          <cell r="F170" t="str">
            <v>FC 182</v>
          </cell>
        </row>
        <row r="171">
          <cell r="A171" t="str">
            <v>CHE 456,ED4-CHE</v>
          </cell>
          <cell r="B171" t="str">
            <v>PROCESS CONTROL AND SIMULATION</v>
          </cell>
          <cell r="C171" t="str">
            <v>Baah-Ennumh Emmanuel Kwaku</v>
          </cell>
          <cell r="D171">
            <v>114</v>
          </cell>
          <cell r="E171" t="str">
            <v>ED4-CHE</v>
          </cell>
          <cell r="F171" t="str">
            <v>CHE 456</v>
          </cell>
        </row>
        <row r="172">
          <cell r="A172" t="str">
            <v>CHE 458,ED4-CHE</v>
          </cell>
          <cell r="B172" t="str">
            <v>ENTREPRENEURSHIP AND BUSINESS DEVELOPMENT</v>
          </cell>
          <cell r="C172" t="str">
            <v>Asamoah Boateng Kenneth</v>
          </cell>
          <cell r="D172">
            <v>114</v>
          </cell>
          <cell r="E172" t="str">
            <v>ED4-CHE</v>
          </cell>
          <cell r="F172" t="str">
            <v>CHE 458</v>
          </cell>
        </row>
        <row r="173">
          <cell r="A173" t="str">
            <v>CHE 466,ED4-CHE</v>
          </cell>
          <cell r="B173" t="str">
            <v>PULP AND PAPER TECHNOLOGY</v>
          </cell>
          <cell r="C173" t="str">
            <v>Rockson Mizpah Ama Dziedzorm</v>
          </cell>
          <cell r="D173">
            <v>70</v>
          </cell>
          <cell r="E173" t="str">
            <v>ED4-CHE</v>
          </cell>
          <cell r="F173" t="str">
            <v>CHE 466</v>
          </cell>
        </row>
        <row r="174">
          <cell r="A174" t="str">
            <v>CHE 468,ED4-CHE</v>
          </cell>
          <cell r="B174" t="str">
            <v>ENVIRONMENTAL ENG. TECHNOLOGY</v>
          </cell>
          <cell r="C174" t="str">
            <v>Afotey Benjamin</v>
          </cell>
          <cell r="D174">
            <v>54</v>
          </cell>
          <cell r="E174" t="str">
            <v>ED4-CHE</v>
          </cell>
          <cell r="F174" t="str">
            <v>CHE 468</v>
          </cell>
        </row>
        <row r="175">
          <cell r="A175" t="str">
            <v>CHE 470,ED4-CHE</v>
          </cell>
          <cell r="B175" t="str">
            <v>PHARMACEUTICAL TECHNOLOGY</v>
          </cell>
          <cell r="C175" t="str">
            <v>Johnson Raphael</v>
          </cell>
          <cell r="D175">
            <v>71</v>
          </cell>
          <cell r="E175" t="str">
            <v>ED4-CHE</v>
          </cell>
          <cell r="F175" t="str">
            <v>CHE 470</v>
          </cell>
        </row>
        <row r="176">
          <cell r="A176" t="str">
            <v>PCE 464,ED4-CHE</v>
          </cell>
          <cell r="B176" t="str">
            <v>REFINING PROCESSES TECHNOLOGY</v>
          </cell>
          <cell r="C176" t="str">
            <v>Kwao-Boateng Emmanuela</v>
          </cell>
          <cell r="D176">
            <v>50</v>
          </cell>
          <cell r="E176" t="str">
            <v>ED4-CHE</v>
          </cell>
          <cell r="F176" t="str">
            <v>PCE 464</v>
          </cell>
        </row>
        <row r="177">
          <cell r="A177" t="str">
            <v>COE 152,ED1-COE</v>
          </cell>
          <cell r="B177" t="str">
            <v>BASIC ELECTRONICS</v>
          </cell>
          <cell r="C177" t="str">
            <v>Klogo Griffith Selorm</v>
          </cell>
          <cell r="D177">
            <v>262</v>
          </cell>
          <cell r="E177" t="str">
            <v>ED1-COE</v>
          </cell>
          <cell r="F177" t="str">
            <v>COE 152</v>
          </cell>
        </row>
        <row r="178">
          <cell r="A178" t="str">
            <v>COE 158,ED1-COE</v>
          </cell>
          <cell r="B178" t="str">
            <v>INTRODUCTION TO INFORMATION TECHNOLOGY</v>
          </cell>
          <cell r="C178" t="str">
            <v>Addo Daniel Akwei</v>
          </cell>
          <cell r="D178">
            <v>262</v>
          </cell>
          <cell r="E178" t="str">
            <v>ED1-COE</v>
          </cell>
          <cell r="F178" t="str">
            <v>COE 158</v>
          </cell>
        </row>
        <row r="179">
          <cell r="A179" t="str">
            <v>EE 156,ED1-COE</v>
          </cell>
          <cell r="B179" t="str">
            <v>ELECTRICAL ENG. DRAWING</v>
          </cell>
          <cell r="C179" t="str">
            <v>Kwegyir Daniel</v>
          </cell>
          <cell r="D179">
            <v>262</v>
          </cell>
          <cell r="E179" t="str">
            <v>ED1-COE</v>
          </cell>
          <cell r="F179" t="str">
            <v>EE 156</v>
          </cell>
        </row>
        <row r="180">
          <cell r="A180" t="str">
            <v>EE 172,ED1-COE</v>
          </cell>
          <cell r="B180" t="str">
            <v>ELECTRICAL MACHINES</v>
          </cell>
          <cell r="C180" t="str">
            <v>Asigri Peter</v>
          </cell>
          <cell r="D180">
            <v>262</v>
          </cell>
          <cell r="E180" t="str">
            <v>ED1-COE</v>
          </cell>
          <cell r="F180" t="str">
            <v>EE 172</v>
          </cell>
        </row>
        <row r="181">
          <cell r="A181" t="str">
            <v>ENGL 158,ED1-COE</v>
          </cell>
          <cell r="B181" t="str">
            <v>COMMUNICATION SKILLS II</v>
          </cell>
          <cell r="C181" t="str">
            <v>Bernard Ampong</v>
          </cell>
          <cell r="D181">
            <v>262</v>
          </cell>
          <cell r="E181" t="str">
            <v>ED1-COE</v>
          </cell>
          <cell r="F181" t="str">
            <v>ENGL 158</v>
          </cell>
        </row>
        <row r="182">
          <cell r="A182" t="str">
            <v>MATH 152,ED1-COE</v>
          </cell>
          <cell r="B182" t="str">
            <v>CALCULUS WITH ANALYSIS</v>
          </cell>
          <cell r="C182" t="str">
            <v>Ezearn Jeffery</v>
          </cell>
          <cell r="D182">
            <v>262</v>
          </cell>
          <cell r="E182" t="str">
            <v>ED1-COE</v>
          </cell>
          <cell r="F182" t="str">
            <v>MATH 152</v>
          </cell>
        </row>
        <row r="183">
          <cell r="A183" t="str">
            <v>ACF 256,ED2-COE</v>
          </cell>
          <cell r="B183" t="str">
            <v>FINANCIAL ACCOUNTING II</v>
          </cell>
          <cell r="C183" t="str">
            <v>Yeboah Edward</v>
          </cell>
          <cell r="D183">
            <v>65</v>
          </cell>
          <cell r="E183" t="str">
            <v>ED2-COE</v>
          </cell>
          <cell r="F183" t="str">
            <v>ACF 256</v>
          </cell>
        </row>
        <row r="184">
          <cell r="A184" t="str">
            <v>COE 254,ED2-COE</v>
          </cell>
          <cell r="B184" t="str">
            <v>OBJECT-ORIENTED PROGRAMMING</v>
          </cell>
          <cell r="C184" t="str">
            <v>Adjaidoo Theresa-Samuelle Maame Atwemaah</v>
          </cell>
          <cell r="D184">
            <v>255</v>
          </cell>
          <cell r="E184" t="str">
            <v>ED2-COE</v>
          </cell>
          <cell r="F184" t="str">
            <v>COE 254</v>
          </cell>
        </row>
        <row r="185">
          <cell r="A185" t="str">
            <v>COE 272,ED2-COE</v>
          </cell>
          <cell r="B185" t="str">
            <v>DIGITAL SYSTEMS DESIGN I</v>
          </cell>
          <cell r="C185" t="str">
            <v>Nunoo-Mensah Henry</v>
          </cell>
          <cell r="D185">
            <v>255</v>
          </cell>
          <cell r="E185" t="str">
            <v>ED2-COE</v>
          </cell>
          <cell r="F185" t="str">
            <v>COE 272</v>
          </cell>
        </row>
        <row r="186">
          <cell r="A186" t="str">
            <v>COE 288,ED2-COE</v>
          </cell>
          <cell r="B186" t="str">
            <v>CIRCUIT THEORY</v>
          </cell>
          <cell r="C186" t="str">
            <v>Yeboah-Akowuah Bright</v>
          </cell>
          <cell r="D186">
            <v>255</v>
          </cell>
          <cell r="E186" t="str">
            <v>ED2-COE</v>
          </cell>
          <cell r="F186" t="str">
            <v>COE 288</v>
          </cell>
        </row>
        <row r="187">
          <cell r="A187" t="str">
            <v>COE 292,ED2-COE</v>
          </cell>
          <cell r="B187" t="str">
            <v>COMPUTER ENGINEERING LAB II</v>
          </cell>
          <cell r="C187" t="str">
            <v>Kommey Benjamin</v>
          </cell>
          <cell r="D187">
            <v>255</v>
          </cell>
          <cell r="E187" t="str">
            <v>ED2-COE</v>
          </cell>
          <cell r="F187" t="str">
            <v>COE 292</v>
          </cell>
        </row>
        <row r="188">
          <cell r="A188" t="str">
            <v>ECON 152,ED2-COE</v>
          </cell>
          <cell r="B188" t="str">
            <v>INTRODUCTION TO ECONOMICS II</v>
          </cell>
          <cell r="C188" t="str">
            <v>Takyi Paul Owusu</v>
          </cell>
          <cell r="D188">
            <v>40</v>
          </cell>
          <cell r="E188" t="str">
            <v>ED2-COE</v>
          </cell>
          <cell r="F188" t="str">
            <v>ECON 152</v>
          </cell>
        </row>
        <row r="189">
          <cell r="A189" t="str">
            <v>EE 288,ED2-COE</v>
          </cell>
          <cell r="B189" t="str">
            <v>ELECTRICAL MEASUREMENT AND INSTRUMENTATION</v>
          </cell>
          <cell r="C189" t="str">
            <v>Klogo Griffith Selorm</v>
          </cell>
          <cell r="D189">
            <v>255</v>
          </cell>
          <cell r="E189" t="str">
            <v>ED2-COE</v>
          </cell>
          <cell r="F189" t="str">
            <v>EE 288</v>
          </cell>
        </row>
        <row r="190">
          <cell r="A190" t="str">
            <v>FC 182,ED2-COE</v>
          </cell>
          <cell r="B190" t="str">
            <v>FRENCH FOR COMMUNICATION</v>
          </cell>
          <cell r="C190" t="str">
            <v>Pharis Jeel Darko</v>
          </cell>
          <cell r="D190">
            <v>150</v>
          </cell>
          <cell r="E190" t="str">
            <v>ED2-COE</v>
          </cell>
          <cell r="F190" t="str">
            <v>FC 182</v>
          </cell>
        </row>
        <row r="191">
          <cell r="A191" t="str">
            <v>MATH 252,ED2-COE</v>
          </cell>
          <cell r="B191" t="str">
            <v>CALCULUS WITH SEVERAL VARIABLES</v>
          </cell>
          <cell r="C191" t="str">
            <v>Wireko Fredrick Asenso</v>
          </cell>
          <cell r="D191">
            <v>255</v>
          </cell>
          <cell r="E191" t="str">
            <v>ED2-COE</v>
          </cell>
          <cell r="F191" t="str">
            <v>MATH 252</v>
          </cell>
        </row>
        <row r="192">
          <cell r="A192" t="str">
            <v>TE 262,ED2-COE</v>
          </cell>
          <cell r="B192" t="str">
            <v>ELECTROMAGNETIC FIELDS</v>
          </cell>
          <cell r="C192" t="str">
            <v>Yeboah-Akowuah Bright</v>
          </cell>
          <cell r="D192">
            <v>255</v>
          </cell>
          <cell r="E192" t="str">
            <v>ED2-COE</v>
          </cell>
          <cell r="F192" t="str">
            <v>TE 262</v>
          </cell>
        </row>
        <row r="193">
          <cell r="A193" t="str">
            <v>COE 354,ED3-COE</v>
          </cell>
          <cell r="B193" t="str">
            <v>OPERATING SYSTEMS</v>
          </cell>
          <cell r="C193" t="str">
            <v>Kommey Benjamin</v>
          </cell>
          <cell r="D193">
            <v>265</v>
          </cell>
          <cell r="E193" t="str">
            <v>ED3-COE</v>
          </cell>
          <cell r="F193" t="str">
            <v>COE 354</v>
          </cell>
        </row>
        <row r="194">
          <cell r="A194" t="str">
            <v>COE 356,ED3-COE</v>
          </cell>
          <cell r="B194" t="str">
            <v>INTRODUCTION TO SOFTWARE ENG.</v>
          </cell>
          <cell r="C194" t="str">
            <v>Adjaidoo Theresa-Samuelle Maame Atwemaah</v>
          </cell>
          <cell r="D194">
            <v>265</v>
          </cell>
          <cell r="E194" t="str">
            <v>ED3-COE</v>
          </cell>
          <cell r="F194" t="str">
            <v>COE 356</v>
          </cell>
        </row>
        <row r="195">
          <cell r="A195" t="str">
            <v>COE 358,ED3-COE</v>
          </cell>
          <cell r="B195" t="str">
            <v>EMBEDDED SYSTEMS</v>
          </cell>
          <cell r="C195" t="str">
            <v>Kommey Benjamin</v>
          </cell>
          <cell r="D195">
            <v>265</v>
          </cell>
          <cell r="E195" t="str">
            <v>ED3-COE</v>
          </cell>
          <cell r="F195" t="str">
            <v>COE 358</v>
          </cell>
        </row>
        <row r="196">
          <cell r="A196" t="str">
            <v>COE 368,ED3-COE</v>
          </cell>
          <cell r="B196" t="str">
            <v>DATABASE AND INFORMATION RETRIEVAL</v>
          </cell>
          <cell r="C196" t="str">
            <v>Keelson Eliel</v>
          </cell>
          <cell r="D196">
            <v>265</v>
          </cell>
          <cell r="E196" t="str">
            <v>ED3-COE</v>
          </cell>
          <cell r="F196" t="str">
            <v>COE 368</v>
          </cell>
        </row>
        <row r="197">
          <cell r="A197" t="str">
            <v>COE 372,ED3-COE</v>
          </cell>
          <cell r="B197" t="str">
            <v>DIGITAL SYSTEMS DESIGN II</v>
          </cell>
          <cell r="C197" t="str">
            <v>Boateng Kwame Osei</v>
          </cell>
          <cell r="D197">
            <v>265</v>
          </cell>
          <cell r="E197" t="str">
            <v>ED3-COE</v>
          </cell>
          <cell r="F197" t="str">
            <v>COE 372</v>
          </cell>
        </row>
        <row r="198">
          <cell r="A198" t="str">
            <v>COE 392,ED3-COE</v>
          </cell>
          <cell r="B198" t="str">
            <v>AUTOTRONIC LAB.</v>
          </cell>
          <cell r="C198" t="str">
            <v>Kommey Benjamin</v>
          </cell>
          <cell r="D198">
            <v>265</v>
          </cell>
          <cell r="E198" t="str">
            <v>ED3-COE</v>
          </cell>
          <cell r="F198" t="str">
            <v>COE 392</v>
          </cell>
        </row>
        <row r="199">
          <cell r="A199" t="str">
            <v>COE 454,ED4-COE</v>
          </cell>
          <cell r="B199" t="str">
            <v>SOFTWARE ENGINEERING</v>
          </cell>
          <cell r="C199" t="str">
            <v>Keelson Eliel</v>
          </cell>
          <cell r="D199">
            <v>115</v>
          </cell>
          <cell r="E199" t="str">
            <v>ED4-COE</v>
          </cell>
          <cell r="F199" t="str">
            <v>COE 454</v>
          </cell>
        </row>
        <row r="200">
          <cell r="A200" t="str">
            <v>COE 456,ED4-COE</v>
          </cell>
          <cell r="B200" t="str">
            <v>SECURE NETWORK SYSTEMS</v>
          </cell>
          <cell r="C200" t="str">
            <v>Tchao Eric Tutu</v>
          </cell>
          <cell r="D200">
            <v>90</v>
          </cell>
          <cell r="E200" t="str">
            <v>ED4-COE</v>
          </cell>
          <cell r="F200" t="str">
            <v>COE 456</v>
          </cell>
        </row>
        <row r="201">
          <cell r="A201" t="str">
            <v>COE 458,ED4-COE</v>
          </cell>
          <cell r="B201" t="str">
            <v>ROBOTICS AND COMPUTER VISION</v>
          </cell>
          <cell r="C201" t="str">
            <v>Klogo Griffith Selorm</v>
          </cell>
          <cell r="D201">
            <v>45</v>
          </cell>
          <cell r="E201" t="str">
            <v>ED4-COE</v>
          </cell>
          <cell r="F201" t="str">
            <v>COE 458</v>
          </cell>
        </row>
        <row r="202">
          <cell r="A202" t="str">
            <v>COE 472,ED4-COE</v>
          </cell>
          <cell r="B202" t="str">
            <v>DIGITAL SIGNAL PROCESSING</v>
          </cell>
          <cell r="C202" t="str">
            <v>Akowuah Emmanuel Kofi</v>
          </cell>
          <cell r="D202">
            <v>160</v>
          </cell>
          <cell r="E202" t="str">
            <v>ED4-COE</v>
          </cell>
          <cell r="F202" t="str">
            <v>COE 472</v>
          </cell>
        </row>
        <row r="203">
          <cell r="A203" t="str">
            <v>COE 480,ED4-COE</v>
          </cell>
          <cell r="B203" t="str">
            <v>FAULT DIAGNOSIS AND FAILURE TOLERANCE</v>
          </cell>
          <cell r="C203" t="str">
            <v>Agbemenu Andrew Selasi</v>
          </cell>
          <cell r="D203">
            <v>70</v>
          </cell>
          <cell r="E203" t="str">
            <v>ED4-COE</v>
          </cell>
          <cell r="F203" t="str">
            <v>COE 480</v>
          </cell>
        </row>
        <row r="204">
          <cell r="A204" t="str">
            <v>COE 486,ED4-COE</v>
          </cell>
          <cell r="B204" t="str">
            <v>VLSI CIRCUIT DESIGN</v>
          </cell>
          <cell r="C204" t="str">
            <v>Agbemenu Andrew Selasi</v>
          </cell>
          <cell r="D204">
            <v>20</v>
          </cell>
          <cell r="E204" t="str">
            <v>ED4-COE</v>
          </cell>
          <cell r="F204" t="str">
            <v>COE 486</v>
          </cell>
        </row>
        <row r="205">
          <cell r="A205" t="str">
            <v>ME 492,ED4-COE</v>
          </cell>
          <cell r="B205" t="str">
            <v>MANAGEMENT AND ENTREPRENEURSHIP DEVELOPMENT</v>
          </cell>
          <cell r="C205" t="str">
            <v>Aikins Stephen Hill Mends</v>
          </cell>
          <cell r="D205">
            <v>160</v>
          </cell>
          <cell r="E205" t="str">
            <v>ED4-COE</v>
          </cell>
          <cell r="F205" t="str">
            <v>ME 492</v>
          </cell>
        </row>
        <row r="206">
          <cell r="A206" t="str">
            <v>COE 482,ED4-COE</v>
          </cell>
          <cell r="B206" t="str">
            <v>DIGITAL CONTROL SYSTEMS</v>
          </cell>
          <cell r="C206" t="str">
            <v>Daniel Opoku</v>
          </cell>
          <cell r="D206">
            <v>76</v>
          </cell>
          <cell r="E206" t="str">
            <v>ED4-COE</v>
          </cell>
          <cell r="F206" t="str">
            <v>COE 482</v>
          </cell>
        </row>
        <row r="207">
          <cell r="A207" t="str">
            <v>EE 158,ED1-EE</v>
          </cell>
          <cell r="B207" t="str">
            <v>INTRO TO PYTHON &amp; COMPUTER NETWORKING</v>
          </cell>
          <cell r="C207" t="str">
            <v>Charles Mawutor Adrah</v>
          </cell>
          <cell r="D207">
            <v>340</v>
          </cell>
          <cell r="E207" t="str">
            <v>ED1-EE</v>
          </cell>
          <cell r="F207" t="str">
            <v>EE 158</v>
          </cell>
        </row>
        <row r="208">
          <cell r="A208" t="str">
            <v>EE 152,ED1-EE</v>
          </cell>
          <cell r="B208" t="str">
            <v>BASIC ELECTRONICS</v>
          </cell>
          <cell r="C208" t="str">
            <v>Yaw Opoku Mensah Sekyere</v>
          </cell>
          <cell r="D208">
            <v>295</v>
          </cell>
          <cell r="E208" t="str">
            <v>ED1-EE</v>
          </cell>
          <cell r="F208" t="str">
            <v>EE 152</v>
          </cell>
        </row>
        <row r="209">
          <cell r="A209" t="str">
            <v>EE 166,ED1-EE</v>
          </cell>
          <cell r="B209" t="str">
            <v>CIRCUIT THEORY</v>
          </cell>
          <cell r="C209" t="str">
            <v>Twumasi Elvis</v>
          </cell>
          <cell r="D209">
            <v>295</v>
          </cell>
          <cell r="E209" t="str">
            <v>ED1-EE</v>
          </cell>
          <cell r="F209" t="str">
            <v>EE 166</v>
          </cell>
        </row>
        <row r="210">
          <cell r="A210" t="str">
            <v>EE 188,ED1-EE</v>
          </cell>
          <cell r="B210" t="str">
            <v>ELECTRICAL MEASUREMENTS &amp; INSTRUMENTATION</v>
          </cell>
          <cell r="C210" t="str">
            <v>Nicholas Kwesi Prah II</v>
          </cell>
          <cell r="D210">
            <v>295</v>
          </cell>
          <cell r="E210" t="str">
            <v>ED1-EE</v>
          </cell>
          <cell r="F210" t="str">
            <v>EE 188</v>
          </cell>
        </row>
        <row r="211">
          <cell r="A211" t="str">
            <v>ENGL 158,ED1-EE</v>
          </cell>
          <cell r="B211" t="str">
            <v>COMMUNICATION SKILLS II</v>
          </cell>
          <cell r="C211" t="str">
            <v>Yeboah Philomena Ama Okyeso</v>
          </cell>
          <cell r="D211">
            <v>295</v>
          </cell>
          <cell r="E211" t="str">
            <v>ED1-EE</v>
          </cell>
          <cell r="F211" t="str">
            <v>ENGL 158</v>
          </cell>
        </row>
        <row r="212">
          <cell r="A212" t="str">
            <v>MATH 152,ED1-EE</v>
          </cell>
          <cell r="B212" t="str">
            <v>CALCULUS WITH ANALYSIS</v>
          </cell>
          <cell r="C212" t="str">
            <v>Ayekple Yao Elikem</v>
          </cell>
          <cell r="D212">
            <v>295</v>
          </cell>
          <cell r="E212" t="str">
            <v>ED1-EE</v>
          </cell>
          <cell r="F212" t="str">
            <v>MATH 152</v>
          </cell>
        </row>
        <row r="213">
          <cell r="A213" t="str">
            <v>EE 156,ED1-EE</v>
          </cell>
          <cell r="B213" t="str">
            <v>ELECTRICAL ENG. DRAWING</v>
          </cell>
          <cell r="C213" t="str">
            <v>Kwegyir Daniel</v>
          </cell>
          <cell r="D213">
            <v>295</v>
          </cell>
          <cell r="E213" t="str">
            <v>ED1-EE</v>
          </cell>
          <cell r="F213" t="str">
            <v>EE 156</v>
          </cell>
        </row>
        <row r="214">
          <cell r="A214" t="str">
            <v>ME 166,ED1-EE</v>
          </cell>
          <cell r="B214" t="str">
            <v>APPLIED THERMODYNAMICS I</v>
          </cell>
          <cell r="C214" t="str">
            <v>Quansah David Ato</v>
          </cell>
          <cell r="D214">
            <v>295</v>
          </cell>
          <cell r="E214" t="str">
            <v>ED1-EE</v>
          </cell>
          <cell r="F214" t="str">
            <v>ME 166</v>
          </cell>
        </row>
        <row r="215">
          <cell r="A215" t="str">
            <v>ECON 152,ED2-EE</v>
          </cell>
          <cell r="B215" t="str">
            <v>INTRODUCTORY ECONOMICS II</v>
          </cell>
          <cell r="C215" t="str">
            <v>Takyi Paul Owusu</v>
          </cell>
          <cell r="D215">
            <v>150</v>
          </cell>
          <cell r="E215" t="str">
            <v>ED2-EE</v>
          </cell>
          <cell r="F215" t="str">
            <v>ECON 152</v>
          </cell>
        </row>
        <row r="216">
          <cell r="A216" t="str">
            <v>EE 258,ED2-EE</v>
          </cell>
          <cell r="B216" t="str">
            <v>POWER SUPPLY ELECTRONICS</v>
          </cell>
          <cell r="C216" t="str">
            <v>Effah Francis Boafo</v>
          </cell>
          <cell r="D216">
            <v>340</v>
          </cell>
          <cell r="E216" t="str">
            <v>ED2-EE</v>
          </cell>
          <cell r="F216" t="str">
            <v>EE 258</v>
          </cell>
        </row>
        <row r="217">
          <cell r="A217" t="str">
            <v>EE 262,ED2-EE</v>
          </cell>
          <cell r="B217" t="str">
            <v>AC MACHINES</v>
          </cell>
          <cell r="C217" t="str">
            <v>Asigri Peter</v>
          </cell>
          <cell r="D217">
            <v>340</v>
          </cell>
          <cell r="E217" t="str">
            <v>ED2-EE</v>
          </cell>
          <cell r="F217" t="str">
            <v>EE 262</v>
          </cell>
        </row>
        <row r="218">
          <cell r="A218" t="str">
            <v>EE 272,ED2-EE</v>
          </cell>
          <cell r="B218" t="str">
            <v>DIGITAL SYSTEMS</v>
          </cell>
          <cell r="C218" t="str">
            <v>Opoku Daniel</v>
          </cell>
          <cell r="D218">
            <v>340</v>
          </cell>
          <cell r="E218" t="str">
            <v>ED2-EE</v>
          </cell>
          <cell r="F218" t="str">
            <v>EE 272</v>
          </cell>
        </row>
        <row r="219">
          <cell r="A219" t="str">
            <v>EE 292,ED2-EE</v>
          </cell>
          <cell r="B219" t="str">
            <v>ELECTRICAL ENGINEERING LAB. II</v>
          </cell>
          <cell r="C219" t="str">
            <v>Frimpong Emmanuel Asuming</v>
          </cell>
          <cell r="D219">
            <v>340</v>
          </cell>
          <cell r="E219" t="str">
            <v>ED2-EE</v>
          </cell>
          <cell r="F219" t="str">
            <v>EE 292</v>
          </cell>
        </row>
        <row r="220">
          <cell r="A220" t="str">
            <v>FC 182,ED2-EE</v>
          </cell>
          <cell r="B220" t="str">
            <v>FRENCH FOR COMMUNICATION II</v>
          </cell>
          <cell r="C220" t="str">
            <v>Alexander Ocloo</v>
          </cell>
          <cell r="D220">
            <v>170</v>
          </cell>
          <cell r="E220" t="str">
            <v>ED2-EE</v>
          </cell>
          <cell r="F220" t="str">
            <v>FC 182</v>
          </cell>
        </row>
        <row r="221">
          <cell r="A221" t="str">
            <v>MATH 252,ED2-EE</v>
          </cell>
          <cell r="B221" t="str">
            <v>CALCULUS WITH SEVERAL VARIABLES</v>
          </cell>
          <cell r="C221" t="str">
            <v>Emmanuel Kpeglo</v>
          </cell>
          <cell r="D221">
            <v>340</v>
          </cell>
          <cell r="E221" t="str">
            <v>ED2-EE</v>
          </cell>
          <cell r="F221" t="str">
            <v>MATH 252</v>
          </cell>
        </row>
        <row r="222">
          <cell r="A222" t="str">
            <v>TE 254,ED2-EE</v>
          </cell>
          <cell r="B222" t="str">
            <v>ELECTROMAGNETIC FIELDS</v>
          </cell>
          <cell r="C222" t="str">
            <v>Kwame Oteng Gyasi</v>
          </cell>
          <cell r="D222">
            <v>340</v>
          </cell>
          <cell r="E222" t="str">
            <v>ED2-EE</v>
          </cell>
          <cell r="F222" t="str">
            <v>TE 254</v>
          </cell>
        </row>
        <row r="223">
          <cell r="A223" t="str">
            <v>COE 382,ED3-EE</v>
          </cell>
          <cell r="B223" t="str">
            <v>DIGITAL COMPUTER DESIGN</v>
          </cell>
          <cell r="C223" t="str">
            <v>Boateng Kwame Osei</v>
          </cell>
          <cell r="D223">
            <v>29</v>
          </cell>
          <cell r="E223" t="str">
            <v>ED3-EE</v>
          </cell>
          <cell r="F223" t="str">
            <v>COE 382</v>
          </cell>
        </row>
        <row r="224">
          <cell r="A224" t="str">
            <v>EE 360,ED3-EE</v>
          </cell>
          <cell r="B224" t="str">
            <v>HIGH VOLTAGE ENGINEERING</v>
          </cell>
          <cell r="C224" t="str">
            <v>Asigri Peter</v>
          </cell>
          <cell r="D224">
            <v>185</v>
          </cell>
          <cell r="E224" t="str">
            <v>ED3-EE</v>
          </cell>
          <cell r="F224" t="str">
            <v>EE 360</v>
          </cell>
        </row>
        <row r="225">
          <cell r="A225" t="str">
            <v>EE 362,ED3-EE</v>
          </cell>
          <cell r="B225" t="str">
            <v>SUBSTATIONS AND TRANSMISSION LINE DESIGN</v>
          </cell>
          <cell r="C225" t="str">
            <v>Antoh Emmanuel Kwaku</v>
          </cell>
          <cell r="D225">
            <v>240</v>
          </cell>
          <cell r="E225" t="str">
            <v>ED3-EE</v>
          </cell>
          <cell r="F225" t="str">
            <v>EE 362</v>
          </cell>
        </row>
        <row r="226">
          <cell r="A226" t="str">
            <v>EE 366,ED3-EE</v>
          </cell>
          <cell r="B226" t="str">
            <v>POWER ELECTRONICS</v>
          </cell>
          <cell r="C226" t="str">
            <v>Effah Francis Boafo</v>
          </cell>
          <cell r="D226">
            <v>240</v>
          </cell>
          <cell r="E226" t="str">
            <v>ED3-EE</v>
          </cell>
          <cell r="F226" t="str">
            <v>EE 366</v>
          </cell>
        </row>
        <row r="227">
          <cell r="A227" t="str">
            <v>EE 368,ED3-EE</v>
          </cell>
          <cell r="B227" t="str">
            <v>POWER SYSTEMS ANALYSIS</v>
          </cell>
          <cell r="C227" t="str">
            <v>Twumasi Elvis</v>
          </cell>
          <cell r="D227">
            <v>240</v>
          </cell>
          <cell r="E227" t="str">
            <v>ED3-EE</v>
          </cell>
          <cell r="F227" t="str">
            <v>EE 368</v>
          </cell>
        </row>
        <row r="228">
          <cell r="A228" t="str">
            <v>EE 380,ED3-EE</v>
          </cell>
          <cell r="B228" t="str">
            <v>DIGITAL CONTROL SYSTEMS</v>
          </cell>
          <cell r="C228" t="str">
            <v>Opoku Daniel</v>
          </cell>
          <cell r="D228">
            <v>70</v>
          </cell>
          <cell r="E228" t="str">
            <v>ED3-EE</v>
          </cell>
          <cell r="F228" t="str">
            <v>EE 380</v>
          </cell>
        </row>
        <row r="229">
          <cell r="A229" t="str">
            <v>EE 392,ED3-EE</v>
          </cell>
          <cell r="B229" t="str">
            <v>ELECTRICAL ENGINEERING LAB. III</v>
          </cell>
          <cell r="C229" t="str">
            <v>Emmanuel Kwaku Antoh</v>
          </cell>
          <cell r="D229">
            <v>240</v>
          </cell>
          <cell r="E229" t="str">
            <v>ED3-EE</v>
          </cell>
          <cell r="F229" t="str">
            <v>EE 392</v>
          </cell>
        </row>
        <row r="230">
          <cell r="A230" t="str">
            <v>TE 372,ED3-EE</v>
          </cell>
          <cell r="B230" t="str">
            <v>ANTENNAS AND PROPAGATION</v>
          </cell>
          <cell r="C230" t="str">
            <v>Ellis Sani Mubarak</v>
          </cell>
          <cell r="D230">
            <v>170</v>
          </cell>
          <cell r="E230" t="str">
            <v>ED3-EE</v>
          </cell>
          <cell r="F230" t="str">
            <v>TE 372</v>
          </cell>
        </row>
        <row r="231">
          <cell r="A231" t="str">
            <v>TE 384,ED3-EE</v>
          </cell>
          <cell r="B231" t="str">
            <v>SWITCHING ENGINEERING IN COMMUNICATION</v>
          </cell>
          <cell r="C231" t="str">
            <v>Obour Agyekum Kwame Opuni-Boachie</v>
          </cell>
          <cell r="D231">
            <v>10</v>
          </cell>
          <cell r="E231" t="str">
            <v>ED3-EE</v>
          </cell>
          <cell r="F231" t="str">
            <v>TE 384</v>
          </cell>
        </row>
        <row r="232">
          <cell r="A232" t="str">
            <v>TE 386,ED3-EE</v>
          </cell>
          <cell r="B232" t="str">
            <v>DIGITAL COMMUNICATION SYSTEMS</v>
          </cell>
          <cell r="C232" t="str">
            <v>Charles Mawutor Adrah</v>
          </cell>
          <cell r="D232">
            <v>240</v>
          </cell>
          <cell r="E232" t="str">
            <v>ED3-EE</v>
          </cell>
          <cell r="F232" t="str">
            <v>TE 386</v>
          </cell>
        </row>
        <row r="233">
          <cell r="A233" t="str">
            <v>EE 484,ED4-EE</v>
          </cell>
          <cell r="B233" t="str">
            <v>INDUSTRIAL AUTOMATIC CONTROL</v>
          </cell>
          <cell r="C233" t="str">
            <v>Opoku Daniel</v>
          </cell>
          <cell r="D233">
            <v>205</v>
          </cell>
          <cell r="E233" t="str">
            <v>ED4-EE</v>
          </cell>
          <cell r="F233" t="str">
            <v>EE 484</v>
          </cell>
        </row>
        <row r="234">
          <cell r="A234" t="str">
            <v>COE 486,ED4-EE</v>
          </cell>
          <cell r="B234" t="str">
            <v>INTRODUCTION TO VLSI</v>
          </cell>
          <cell r="C234" t="str">
            <v>Agbemenu Andrew Selasi</v>
          </cell>
          <cell r="D234">
            <v>15</v>
          </cell>
          <cell r="E234" t="str">
            <v>ED4-EE</v>
          </cell>
          <cell r="F234" t="str">
            <v>COE 486</v>
          </cell>
        </row>
        <row r="235">
          <cell r="A235" t="str">
            <v>EE 462,ED4-EE</v>
          </cell>
          <cell r="B235" t="str">
            <v>ELECTRIC DRIVES</v>
          </cell>
          <cell r="C235" t="str">
            <v>Effah Francis Boafo</v>
          </cell>
          <cell r="D235">
            <v>189</v>
          </cell>
          <cell r="E235" t="str">
            <v>ED4-EE</v>
          </cell>
          <cell r="F235" t="str">
            <v>EE 462</v>
          </cell>
        </row>
        <row r="236">
          <cell r="A236" t="str">
            <v>EE 466,ED4-EE</v>
          </cell>
          <cell r="B236" t="str">
            <v>POWER SYSTEMS PLANNING AND OPTIMIZATION</v>
          </cell>
          <cell r="C236" t="str">
            <v>Antoh Emmanuel Kwaku</v>
          </cell>
          <cell r="D236">
            <v>165</v>
          </cell>
          <cell r="E236" t="str">
            <v>ED4-EE</v>
          </cell>
          <cell r="F236" t="str">
            <v>EE 466</v>
          </cell>
        </row>
        <row r="237">
          <cell r="A237" t="str">
            <v>EE 468,ED4-EE</v>
          </cell>
          <cell r="B237" t="str">
            <v>POWER SYSTEMS PROTECTION</v>
          </cell>
          <cell r="C237" t="str">
            <v>Frimpong Emmanuel Asuming</v>
          </cell>
          <cell r="D237">
            <v>205</v>
          </cell>
          <cell r="E237" t="str">
            <v>ED4-EE</v>
          </cell>
          <cell r="F237" t="str">
            <v>EE 468</v>
          </cell>
        </row>
        <row r="238">
          <cell r="A238" t="str">
            <v>EE 472,ED4-EE</v>
          </cell>
          <cell r="B238" t="str">
            <v>DIGITAL SIGNAL PROCESSING</v>
          </cell>
          <cell r="C238" t="str">
            <v>Kponyo Jerry John</v>
          </cell>
          <cell r="D238">
            <v>12</v>
          </cell>
          <cell r="E238" t="str">
            <v>ED4-EE</v>
          </cell>
          <cell r="F238" t="str">
            <v>EE 472</v>
          </cell>
        </row>
        <row r="239">
          <cell r="A239" t="str">
            <v>ME 492,ED4-EE</v>
          </cell>
          <cell r="B239" t="str">
            <v>ENTREPRENEURSHIP DEVELOPMENT AND MANAGEMENT</v>
          </cell>
          <cell r="C239" t="str">
            <v>Mensah Lena Dzifa</v>
          </cell>
          <cell r="D239">
            <v>205</v>
          </cell>
          <cell r="E239" t="str">
            <v>ED4-EE</v>
          </cell>
          <cell r="F239" t="str">
            <v>ME 492</v>
          </cell>
        </row>
        <row r="240">
          <cell r="A240" t="str">
            <v>TE 472,ED4-EE</v>
          </cell>
          <cell r="B240" t="str">
            <v>MOBILE AND SATELLITE COMMUNICATION SYSTEM</v>
          </cell>
          <cell r="C240" t="str">
            <v>Gadze James Dzisi</v>
          </cell>
          <cell r="D240">
            <v>4</v>
          </cell>
          <cell r="E240" t="str">
            <v>ED4-EE</v>
          </cell>
          <cell r="F240" t="str">
            <v>TE 472</v>
          </cell>
        </row>
        <row r="241">
          <cell r="A241" t="str">
            <v>CE 156,ED1-GEOL</v>
          </cell>
          <cell r="B241" t="str">
            <v>ELEMENTARY FLUIDS MECHANICS</v>
          </cell>
          <cell r="C241" t="str">
            <v>Gyamfi Charles</v>
          </cell>
          <cell r="D241">
            <v>125</v>
          </cell>
          <cell r="E241" t="str">
            <v>ED1-GEOL</v>
          </cell>
          <cell r="F241" t="str">
            <v>CE 156</v>
          </cell>
        </row>
        <row r="242">
          <cell r="A242" t="str">
            <v>CE 164,ED1-GEOL</v>
          </cell>
          <cell r="B242" t="str">
            <v>CIVIL ENGINEERING DRAWING</v>
          </cell>
          <cell r="C242" t="str">
            <v>Osei Jack Banahene</v>
          </cell>
          <cell r="D242">
            <v>125</v>
          </cell>
          <cell r="E242" t="str">
            <v>ED1-GEOL</v>
          </cell>
          <cell r="F242" t="str">
            <v>CE 164</v>
          </cell>
        </row>
        <row r="243">
          <cell r="A243" t="str">
            <v>ACF 256,ED1-GEOL</v>
          </cell>
          <cell r="B243" t="str">
            <v>PRINCIPLES OF ACCOUNTING II</v>
          </cell>
          <cell r="C243" t="str">
            <v>John Bosco Dramani</v>
          </cell>
          <cell r="D243">
            <v>5</v>
          </cell>
          <cell r="E243" t="str">
            <v>ED1-GEOL</v>
          </cell>
          <cell r="F243" t="str">
            <v>ACF 256</v>
          </cell>
        </row>
        <row r="244">
          <cell r="A244" t="str">
            <v>ECON 152,ED1-GEOL</v>
          </cell>
          <cell r="B244" t="str">
            <v>INTRODUCTORY ECONOMICS II</v>
          </cell>
          <cell r="C244" t="str">
            <v>Beatrice Sarpong-Danquah</v>
          </cell>
          <cell r="D244">
            <v>30</v>
          </cell>
          <cell r="E244" t="str">
            <v>ED1-GEOL</v>
          </cell>
          <cell r="F244" t="str">
            <v>ECON 152</v>
          </cell>
        </row>
        <row r="245">
          <cell r="A245" t="str">
            <v>EE 152,ED1-GEOL</v>
          </cell>
          <cell r="B245" t="str">
            <v>BASIC ELECTRONICS</v>
          </cell>
          <cell r="C245" t="str">
            <v>Kwegyir Daniel</v>
          </cell>
          <cell r="D245">
            <v>125</v>
          </cell>
          <cell r="E245" t="str">
            <v>ED1-GEOL</v>
          </cell>
          <cell r="F245" t="str">
            <v>EE 152</v>
          </cell>
        </row>
        <row r="246">
          <cell r="A246" t="str">
            <v>ENGL 158,ED1-GEOL</v>
          </cell>
          <cell r="B246" t="str">
            <v>COMMUNICATION SKILLS II</v>
          </cell>
          <cell r="C246" t="str">
            <v>Yeboah Philomena Ama Okyeso</v>
          </cell>
          <cell r="D246">
            <v>125</v>
          </cell>
          <cell r="E246" t="str">
            <v>ED1-GEOL</v>
          </cell>
          <cell r="F246" t="str">
            <v>ENGL 158</v>
          </cell>
        </row>
        <row r="247">
          <cell r="A247" t="str">
            <v>FC 182,ED1-GEOL</v>
          </cell>
          <cell r="B247" t="str">
            <v>FRENCH FOR COMMUNICATION II</v>
          </cell>
          <cell r="C247" t="str">
            <v>Boakye-Agyeman Candy</v>
          </cell>
          <cell r="D247">
            <v>90</v>
          </cell>
          <cell r="E247" t="str">
            <v>ED1-GEOL</v>
          </cell>
          <cell r="F247" t="str">
            <v>FC 182</v>
          </cell>
        </row>
        <row r="248">
          <cell r="A248" t="str">
            <v>GED 152,ED1-GEOL</v>
          </cell>
          <cell r="B248" t="str">
            <v>BASIC MINERAL SCIENCE</v>
          </cell>
          <cell r="C248" t="str">
            <v>Appiah-Adjei Emmanuel Kwame</v>
          </cell>
          <cell r="D248">
            <v>125</v>
          </cell>
          <cell r="E248" t="str">
            <v>ED1-GEOL</v>
          </cell>
          <cell r="F248" t="str">
            <v>GED 152</v>
          </cell>
        </row>
        <row r="249">
          <cell r="A249" t="str">
            <v>GED 164,ED1-GEOL</v>
          </cell>
          <cell r="B249" t="str">
            <v>COMPUTER APPLICATIONS</v>
          </cell>
          <cell r="C249" t="str">
            <v>Albert Kwame Kwaw</v>
          </cell>
          <cell r="D249">
            <v>125</v>
          </cell>
          <cell r="E249" t="str">
            <v>ED1-GEOL</v>
          </cell>
          <cell r="F249" t="str">
            <v>GED 164</v>
          </cell>
        </row>
        <row r="250">
          <cell r="A250" t="str">
            <v>MATH 152,ED1-GEOL</v>
          </cell>
          <cell r="B250" t="str">
            <v>CALCULUS WITH ANALYSIS</v>
          </cell>
          <cell r="C250" t="str">
            <v>Kwabi Prince Amponsah</v>
          </cell>
          <cell r="D250">
            <v>125</v>
          </cell>
          <cell r="E250" t="str">
            <v>ED1-GEOL</v>
          </cell>
          <cell r="F250" t="str">
            <v>MATH 152</v>
          </cell>
        </row>
        <row r="251">
          <cell r="A251" t="str">
            <v>CE 256,ED2-GEOL</v>
          </cell>
          <cell r="B251" t="str">
            <v>FLUID MECHANICS</v>
          </cell>
          <cell r="C251" t="str">
            <v>Anornu Geophrey Kwame</v>
          </cell>
          <cell r="D251">
            <v>150</v>
          </cell>
          <cell r="E251" t="str">
            <v>ED2-GEOL</v>
          </cell>
          <cell r="F251" t="str">
            <v>CE 256</v>
          </cell>
        </row>
        <row r="252">
          <cell r="A252" t="str">
            <v>GE 282,ED2-GEOL</v>
          </cell>
          <cell r="B252" t="str">
            <v>LARGE SCALE SURVEYING</v>
          </cell>
          <cell r="C252" t="str">
            <v>Dadzie Isaac</v>
          </cell>
          <cell r="D252">
            <v>150</v>
          </cell>
          <cell r="E252" t="str">
            <v>ED2-GEOL</v>
          </cell>
          <cell r="F252" t="str">
            <v>GE 282</v>
          </cell>
        </row>
        <row r="253">
          <cell r="A253" t="str">
            <v>GED 252,ED2-GEOL</v>
          </cell>
          <cell r="B253" t="str">
            <v>STRATIGRAPHY</v>
          </cell>
          <cell r="C253" t="str">
            <v>Amedjoe Godfrey Chiri</v>
          </cell>
          <cell r="D253">
            <v>150</v>
          </cell>
          <cell r="E253" t="str">
            <v>ED2-GEOL</v>
          </cell>
          <cell r="F253" t="str">
            <v>GED 252</v>
          </cell>
        </row>
        <row r="254">
          <cell r="A254" t="str">
            <v>GED 254,ED2-GEOL</v>
          </cell>
          <cell r="B254" t="str">
            <v>ROCK ENGINEERING</v>
          </cell>
          <cell r="C254" t="str">
            <v>Gidigasu Solomon Senyo Robert</v>
          </cell>
          <cell r="D254">
            <v>150</v>
          </cell>
          <cell r="E254" t="str">
            <v>ED2-GEOL</v>
          </cell>
          <cell r="F254" t="str">
            <v>GED 254</v>
          </cell>
        </row>
        <row r="255">
          <cell r="A255" t="str">
            <v>GED 258,ED2-GEOL</v>
          </cell>
          <cell r="B255" t="str">
            <v>OPTICAL MINERALOGY</v>
          </cell>
          <cell r="C255" t="str">
            <v>Wilson Matthew Coffie</v>
          </cell>
          <cell r="D255">
            <v>150</v>
          </cell>
          <cell r="E255" t="str">
            <v>ED2-GEOL</v>
          </cell>
          <cell r="F255" t="str">
            <v>GED 258</v>
          </cell>
        </row>
        <row r="256">
          <cell r="A256" t="str">
            <v>GED 262,ED2-GEOL</v>
          </cell>
          <cell r="B256" t="str">
            <v>INTRODUCTION TO SOIL MECHANICS</v>
          </cell>
          <cell r="C256" t="str">
            <v>Amenuvor Andrew Cudzo</v>
          </cell>
          <cell r="D256">
            <v>150</v>
          </cell>
          <cell r="E256" t="str">
            <v>ED2-GEOL</v>
          </cell>
          <cell r="F256" t="str">
            <v>GED 262</v>
          </cell>
        </row>
        <row r="257">
          <cell r="A257" t="str">
            <v>MATH 252,ED2-GEOL</v>
          </cell>
          <cell r="B257" t="str">
            <v>CALCULUS WITH SEVERAL VARIABLES</v>
          </cell>
          <cell r="C257" t="str">
            <v>Wireko Fredrick Asenso</v>
          </cell>
          <cell r="D257">
            <v>150</v>
          </cell>
          <cell r="E257" t="str">
            <v>ED2-GEOL</v>
          </cell>
          <cell r="F257" t="str">
            <v>MATH 252</v>
          </cell>
        </row>
        <row r="258">
          <cell r="A258" t="str">
            <v>GED 342,ED3-GEOL</v>
          </cell>
          <cell r="B258" t="str">
            <v>MINING PRINCIPLES AND SYSTEMS</v>
          </cell>
          <cell r="C258" t="str">
            <v>Owusu-Sarpong Seth</v>
          </cell>
          <cell r="D258">
            <v>154</v>
          </cell>
          <cell r="E258" t="str">
            <v>ED3-GEOL</v>
          </cell>
          <cell r="F258" t="str">
            <v>GED 342</v>
          </cell>
        </row>
        <row r="259">
          <cell r="A259" t="str">
            <v>GED 352,ED3-GEOL</v>
          </cell>
          <cell r="B259" t="str">
            <v>PRINCIPLES OF GEOLCHEMISTRY</v>
          </cell>
          <cell r="C259" t="str">
            <v>Gawu Simon Kafui Yawo</v>
          </cell>
          <cell r="D259">
            <v>154</v>
          </cell>
          <cell r="E259" t="str">
            <v>ED3-GEOL</v>
          </cell>
          <cell r="F259" t="str">
            <v>GED 352</v>
          </cell>
        </row>
        <row r="260">
          <cell r="A260" t="str">
            <v>GED 354,ED3-GEOL</v>
          </cell>
          <cell r="B260" t="str">
            <v>PRINCIPLES OF GEOPHYSICS</v>
          </cell>
          <cell r="C260" t="str">
            <v>Ali Bukari</v>
          </cell>
          <cell r="D260">
            <v>154</v>
          </cell>
          <cell r="E260" t="str">
            <v>ED3-GEOL</v>
          </cell>
          <cell r="F260" t="str">
            <v>GED 354</v>
          </cell>
        </row>
        <row r="261">
          <cell r="A261" t="str">
            <v>GED 364,ED3-GEOL</v>
          </cell>
          <cell r="B261" t="str">
            <v>STRUCTURAL GEOLOGY</v>
          </cell>
          <cell r="C261" t="str">
            <v>Wilson Matthew Coffie</v>
          </cell>
          <cell r="D261">
            <v>154</v>
          </cell>
          <cell r="E261" t="str">
            <v>ED3-GEOL</v>
          </cell>
          <cell r="F261" t="str">
            <v>GED 364</v>
          </cell>
        </row>
        <row r="262">
          <cell r="A262" t="str">
            <v>GED 366,ED3-GEOL</v>
          </cell>
          <cell r="B262" t="str">
            <v>MINERAL ECONOMICS AND EVALUATION</v>
          </cell>
          <cell r="C262" t="str">
            <v>Foli Gordon</v>
          </cell>
          <cell r="D262">
            <v>154</v>
          </cell>
          <cell r="E262" t="str">
            <v>ED3-GEOL</v>
          </cell>
          <cell r="F262" t="str">
            <v>GED 366</v>
          </cell>
        </row>
        <row r="263">
          <cell r="A263" t="str">
            <v>GED 368,ED3-GEOL</v>
          </cell>
          <cell r="B263" t="str">
            <v>GIS APPLICATIONS</v>
          </cell>
          <cell r="C263" t="str">
            <v>Appiah-Adjei Emmanuel Kwame</v>
          </cell>
          <cell r="D263">
            <v>154</v>
          </cell>
          <cell r="E263" t="str">
            <v>ED3-GEOL</v>
          </cell>
          <cell r="F263" t="str">
            <v>GED 368</v>
          </cell>
        </row>
        <row r="264">
          <cell r="A264" t="str">
            <v>GED 370,ED3-GEOL</v>
          </cell>
          <cell r="B264" t="str">
            <v>FOUNDATION ENGINEERING</v>
          </cell>
          <cell r="C264" t="str">
            <v>Amenuvor Andrew Cudzo</v>
          </cell>
          <cell r="D264">
            <v>154</v>
          </cell>
          <cell r="E264" t="str">
            <v>ED3-GEOL</v>
          </cell>
          <cell r="F264" t="str">
            <v>GED 370</v>
          </cell>
        </row>
        <row r="265">
          <cell r="A265" t="str">
            <v>CE 478,ED4-GEOL</v>
          </cell>
          <cell r="B265" t="str">
            <v>GROUND ENGINEERING</v>
          </cell>
          <cell r="C265" t="str">
            <v>Samuel Innocent Kofi Ampadu</v>
          </cell>
          <cell r="D265">
            <v>2</v>
          </cell>
          <cell r="E265" t="str">
            <v>ED4-GEOL</v>
          </cell>
          <cell r="F265" t="str">
            <v>CE 478</v>
          </cell>
        </row>
        <row r="266">
          <cell r="A266" t="str">
            <v>GED 452,ED4-GEOL</v>
          </cell>
          <cell r="B266" t="str">
            <v>ADVANCED ENGINEERING GEOLLOGY</v>
          </cell>
          <cell r="C266" t="str">
            <v>Gidigasu Solomon Senyo Robert</v>
          </cell>
          <cell r="D266">
            <v>95</v>
          </cell>
          <cell r="E266" t="str">
            <v>ED4-GEOL</v>
          </cell>
          <cell r="F266" t="str">
            <v>GED 452</v>
          </cell>
        </row>
        <row r="267">
          <cell r="A267" t="str">
            <v>GED 454,ED4-GEOL</v>
          </cell>
          <cell r="B267" t="str">
            <v>ENVIRONMENTAL GEOLLOGY</v>
          </cell>
          <cell r="C267" t="str">
            <v>Foli Gordon</v>
          </cell>
          <cell r="D267">
            <v>95</v>
          </cell>
          <cell r="E267" t="str">
            <v>ED4-GEOL</v>
          </cell>
          <cell r="F267" t="str">
            <v>GED 454</v>
          </cell>
        </row>
        <row r="268">
          <cell r="A268" t="str">
            <v>GED 462,ED4-GEOL</v>
          </cell>
          <cell r="B268" t="str">
            <v>ECONOMIC GEOLLOGY</v>
          </cell>
          <cell r="C268" t="str">
            <v>Mensah Emmanuel</v>
          </cell>
          <cell r="D268">
            <v>95</v>
          </cell>
          <cell r="E268" t="str">
            <v>ED4-GEOL</v>
          </cell>
          <cell r="F268" t="str">
            <v>GED 462</v>
          </cell>
        </row>
        <row r="269">
          <cell r="A269" t="str">
            <v>GED 464,ED4-GEOL</v>
          </cell>
          <cell r="B269" t="str">
            <v>ENGINEERING MANAGEMENT</v>
          </cell>
          <cell r="C269" t="str">
            <v>Takyi Gabriel</v>
          </cell>
          <cell r="D269">
            <v>95</v>
          </cell>
          <cell r="E269" t="str">
            <v>ED4-GEOL</v>
          </cell>
          <cell r="F269" t="str">
            <v>GED 464</v>
          </cell>
        </row>
        <row r="270">
          <cell r="A270" t="str">
            <v>GED 466,ED4-GEOL</v>
          </cell>
          <cell r="B270" t="str">
            <v>PETROLEUM GEOLOGY</v>
          </cell>
          <cell r="C270" t="str">
            <v>Foli Gordon</v>
          </cell>
          <cell r="D270">
            <v>35</v>
          </cell>
          <cell r="E270" t="str">
            <v>ED4-GEOL</v>
          </cell>
          <cell r="F270" t="str">
            <v>GED 466</v>
          </cell>
        </row>
        <row r="271">
          <cell r="A271" t="str">
            <v>GED 468,ED4-GEOL</v>
          </cell>
          <cell r="B271" t="str">
            <v>GEOSTATISTICS</v>
          </cell>
          <cell r="C271" t="str">
            <v>Nuamah Daniel Oduro Boatey</v>
          </cell>
          <cell r="D271">
            <v>72</v>
          </cell>
          <cell r="E271" t="str">
            <v>ED4-GEOL</v>
          </cell>
          <cell r="F271" t="str">
            <v>GED 468</v>
          </cell>
        </row>
        <row r="272">
          <cell r="A272" t="str">
            <v>GED 476,ED4-GEOL</v>
          </cell>
          <cell r="B272" t="str">
            <v>GROUNDWATER DEVELOPMENT</v>
          </cell>
          <cell r="C272" t="str">
            <v>Ali Bukari</v>
          </cell>
          <cell r="D272">
            <v>95</v>
          </cell>
          <cell r="E272" t="str">
            <v>ED4-GEOL</v>
          </cell>
          <cell r="F272" t="str">
            <v>GED 476</v>
          </cell>
        </row>
        <row r="273">
          <cell r="A273" t="str">
            <v>EE 152,ED1-GEOM</v>
          </cell>
          <cell r="B273" t="str">
            <v>BASIC ELECTRONICS</v>
          </cell>
          <cell r="C273" t="str">
            <v>Kwegyir Daniel</v>
          </cell>
          <cell r="D273">
            <v>103</v>
          </cell>
          <cell r="E273" t="str">
            <v>ED1-GEOM</v>
          </cell>
          <cell r="F273" t="str">
            <v>EE 152</v>
          </cell>
        </row>
        <row r="274">
          <cell r="A274" t="str">
            <v>ENGL 158,ED1-GEOM</v>
          </cell>
          <cell r="B274" t="str">
            <v>COMMUNICATION SKILLS II</v>
          </cell>
          <cell r="C274" t="str">
            <v>Yeboah Philomena Ama Okyeso</v>
          </cell>
          <cell r="D274">
            <v>103</v>
          </cell>
          <cell r="E274" t="str">
            <v>ED1-GEOM</v>
          </cell>
          <cell r="F274" t="str">
            <v>ENGL 158</v>
          </cell>
        </row>
        <row r="275">
          <cell r="A275" t="str">
            <v>GE 152,ED1-GEOM</v>
          </cell>
          <cell r="B275" t="str">
            <v>REPRODUCTION CARTOGRAPHY</v>
          </cell>
          <cell r="C275" t="str">
            <v>Quaye-Ballard Jonathan Arthur</v>
          </cell>
          <cell r="D275">
            <v>103</v>
          </cell>
          <cell r="E275" t="str">
            <v>ED1-GEOM</v>
          </cell>
          <cell r="F275" t="str">
            <v>GE 152</v>
          </cell>
        </row>
        <row r="276">
          <cell r="A276" t="str">
            <v>GE 158,ED1-GEOM</v>
          </cell>
          <cell r="B276" t="str">
            <v>INTRODUCTION TO INFORMATION TECHNOLOGY</v>
          </cell>
          <cell r="C276" t="str">
            <v>Titus Tienaah</v>
          </cell>
          <cell r="D276">
            <v>103</v>
          </cell>
          <cell r="E276" t="str">
            <v>ED1-GEOM</v>
          </cell>
          <cell r="F276" t="str">
            <v>GE 158</v>
          </cell>
        </row>
        <row r="277">
          <cell r="A277" t="str">
            <v>GE 162,ED1-GEOM</v>
          </cell>
          <cell r="B277" t="str">
            <v>LARGE SCALE SURVEYING</v>
          </cell>
          <cell r="C277" t="str">
            <v>Ayer John Wise Divine</v>
          </cell>
          <cell r="D277">
            <v>103</v>
          </cell>
          <cell r="E277" t="str">
            <v>ED1-GEOM</v>
          </cell>
          <cell r="F277" t="str">
            <v>GE 162</v>
          </cell>
        </row>
        <row r="278">
          <cell r="A278" t="str">
            <v>MATH 152,ED1-GEOM</v>
          </cell>
          <cell r="B278" t="str">
            <v>CALCULUS WITH ANALYSIS</v>
          </cell>
          <cell r="C278" t="str">
            <v>Lawton Adu-Ansah</v>
          </cell>
          <cell r="D278">
            <v>103</v>
          </cell>
          <cell r="E278" t="str">
            <v>ED1-GEOM</v>
          </cell>
          <cell r="F278" t="str">
            <v>MATH 152</v>
          </cell>
        </row>
        <row r="279">
          <cell r="A279" t="str">
            <v>CE 260,ED2-GEOM</v>
          </cell>
          <cell r="B279" t="str">
            <v>SOIL AND ROCK MECHANICS</v>
          </cell>
          <cell r="C279" t="str">
            <v>Owusu-Nimo Frederick</v>
          </cell>
          <cell r="D279">
            <v>132</v>
          </cell>
          <cell r="E279" t="str">
            <v>ED2-GEOM</v>
          </cell>
          <cell r="F279" t="str">
            <v>CE 260</v>
          </cell>
        </row>
        <row r="280">
          <cell r="A280" t="str">
            <v>ENGL 264,ED2-GEOM</v>
          </cell>
          <cell r="B280" t="str">
            <v>LITERATURE IN ENGLISH II</v>
          </cell>
          <cell r="C280" t="str">
            <v>Yeboah Philomena Ama Okyeso</v>
          </cell>
          <cell r="D280">
            <v>132</v>
          </cell>
          <cell r="E280" t="str">
            <v>ED2-GEOM</v>
          </cell>
          <cell r="F280" t="str">
            <v>ENGL 264</v>
          </cell>
        </row>
        <row r="281">
          <cell r="A281" t="str">
            <v>GE 262,ED2-GEOM</v>
          </cell>
          <cell r="B281" t="str">
            <v>PRINCIPLES OF REMOTE SENSING</v>
          </cell>
          <cell r="C281" t="str">
            <v>Yaw Mensah Asare</v>
          </cell>
          <cell r="D281">
            <v>132</v>
          </cell>
          <cell r="E281" t="str">
            <v>ED2-GEOM</v>
          </cell>
          <cell r="F281" t="str">
            <v>GE 262</v>
          </cell>
        </row>
        <row r="282">
          <cell r="A282" t="str">
            <v>GE 272,ED2-GEOM</v>
          </cell>
          <cell r="B282" t="str">
            <v>ENGINEERING SURVEY II</v>
          </cell>
          <cell r="C282" t="str">
            <v>Arko-Adjei Anthony</v>
          </cell>
          <cell r="D282">
            <v>132</v>
          </cell>
          <cell r="E282" t="str">
            <v>ED2-GEOM</v>
          </cell>
          <cell r="F282" t="str">
            <v>GE 272</v>
          </cell>
        </row>
        <row r="283">
          <cell r="A283" t="str">
            <v>GE 284,ED2-GEOM</v>
          </cell>
          <cell r="B283" t="str">
            <v>HYDROGRAPHIC SURVEYING AND MARINE SCIENCE</v>
          </cell>
          <cell r="C283" t="str">
            <v>Asante Cosmas Yaw</v>
          </cell>
          <cell r="D283">
            <v>132</v>
          </cell>
          <cell r="E283" t="str">
            <v>ED2-GEOM</v>
          </cell>
          <cell r="F283" t="str">
            <v>GE 284</v>
          </cell>
        </row>
        <row r="284">
          <cell r="A284" t="str">
            <v>MATH 252,ED2-GEOM</v>
          </cell>
          <cell r="B284" t="str">
            <v>CALCULUS WITH SEVERAL VARIABLES</v>
          </cell>
          <cell r="C284" t="str">
            <v>Asamoah Joshua Kiddy Kwasi</v>
          </cell>
          <cell r="D284">
            <v>132</v>
          </cell>
          <cell r="E284" t="str">
            <v>ED2-GEOM</v>
          </cell>
          <cell r="F284" t="str">
            <v>MATH 252</v>
          </cell>
        </row>
        <row r="285">
          <cell r="A285" t="str">
            <v>CE 368,ED3-GEOM</v>
          </cell>
          <cell r="B285" t="str">
            <v xml:space="preserve"> HIGHWAY ENGINEERING</v>
          </cell>
          <cell r="C285" t="str">
            <v>Ababio-Donkor Augustus</v>
          </cell>
          <cell r="D285">
            <v>122</v>
          </cell>
          <cell r="E285" t="str">
            <v>ED3-GEOM</v>
          </cell>
          <cell r="F285" t="str">
            <v>CE 368</v>
          </cell>
        </row>
        <row r="286">
          <cell r="A286" t="str">
            <v>CE 390,ED3-GEOM</v>
          </cell>
          <cell r="B286" t="str">
            <v>ROAD DESIGN AND MATERIAL EVALUATION LABORATORY</v>
          </cell>
          <cell r="C286" t="str">
            <v>Ababio-Donkor Augustus</v>
          </cell>
          <cell r="D286">
            <v>122</v>
          </cell>
          <cell r="E286" t="str">
            <v>ED3-GEOM</v>
          </cell>
          <cell r="F286" t="str">
            <v>CE 390</v>
          </cell>
        </row>
        <row r="287">
          <cell r="A287" t="str">
            <v>ACF 256,ED3-GEOM</v>
          </cell>
          <cell r="B287" t="str">
            <v>PRINCIPLES OF ACCOUNTING II</v>
          </cell>
          <cell r="C287" t="str">
            <v>Beatrice Sarpong-Danquah</v>
          </cell>
          <cell r="D287">
            <v>35</v>
          </cell>
          <cell r="E287" t="str">
            <v>ED3-GEOM</v>
          </cell>
          <cell r="F287" t="str">
            <v>ACF 256</v>
          </cell>
        </row>
        <row r="288">
          <cell r="A288" t="str">
            <v>ECON 152,ED3-GEOM</v>
          </cell>
          <cell r="B288" t="str">
            <v>ELEMENTS OF ECONOMICS II</v>
          </cell>
          <cell r="C288" t="str">
            <v>Edward Yeboah</v>
          </cell>
          <cell r="D288">
            <v>15</v>
          </cell>
          <cell r="E288" t="str">
            <v>ED3-GEOM</v>
          </cell>
          <cell r="F288" t="str">
            <v>ECON 152</v>
          </cell>
        </row>
        <row r="289">
          <cell r="A289" t="str">
            <v>FC 182,ED3-GEOM</v>
          </cell>
          <cell r="B289" t="str">
            <v>FRENCH FOR COMMUNICATION  II</v>
          </cell>
          <cell r="C289" t="str">
            <v>Pharis Jeel Darko</v>
          </cell>
          <cell r="D289">
            <v>65</v>
          </cell>
          <cell r="E289" t="str">
            <v>ED3-GEOM</v>
          </cell>
          <cell r="F289" t="str">
            <v>FC 182</v>
          </cell>
        </row>
        <row r="290">
          <cell r="A290" t="str">
            <v>GE 354,ED3-GEOM</v>
          </cell>
          <cell r="B290" t="str">
            <v>SATELLITE SURVEYING</v>
          </cell>
          <cell r="C290" t="str">
            <v>Andam-Akorful Samuel Ato</v>
          </cell>
          <cell r="D290">
            <v>122</v>
          </cell>
          <cell r="E290" t="str">
            <v>ED3-GEOM</v>
          </cell>
          <cell r="F290" t="str">
            <v>GE 354</v>
          </cell>
        </row>
        <row r="291">
          <cell r="A291" t="str">
            <v>GE 362,ED3-GEOM</v>
          </cell>
          <cell r="B291" t="str">
            <v>PRINCIPLES OF GIS</v>
          </cell>
          <cell r="C291" t="str">
            <v>Forkuo Eric Kwabena</v>
          </cell>
          <cell r="D291">
            <v>122</v>
          </cell>
          <cell r="E291" t="str">
            <v>ED3-GEOM</v>
          </cell>
          <cell r="F291" t="str">
            <v>GE 362</v>
          </cell>
        </row>
        <row r="292">
          <cell r="A292" t="str">
            <v>GE 372,ED3-GEOM</v>
          </cell>
          <cell r="B292" t="str">
            <v>ANALYSIS OF ERRORS</v>
          </cell>
          <cell r="C292" t="str">
            <v>Collins Fosu</v>
          </cell>
          <cell r="D292">
            <v>122</v>
          </cell>
          <cell r="E292" t="str">
            <v>ED3-GEOM</v>
          </cell>
          <cell r="F292" t="str">
            <v>GE 372</v>
          </cell>
        </row>
        <row r="293">
          <cell r="A293" t="str">
            <v>PL 252,ED3-GEOM</v>
          </cell>
          <cell r="B293" t="str">
            <v>PLANNING THE PHYSICAL ENVIRONMENT</v>
          </cell>
          <cell r="C293" t="str">
            <v>Aboagye Prince Anokye</v>
          </cell>
          <cell r="D293">
            <v>122</v>
          </cell>
          <cell r="E293" t="str">
            <v>ED3-GEOM</v>
          </cell>
          <cell r="F293" t="str">
            <v>PL 252</v>
          </cell>
        </row>
        <row r="294">
          <cell r="A294" t="str">
            <v>GE 464,ED4-GEOM</v>
          </cell>
          <cell r="B294" t="str">
            <v>DATABASE SYSTEMS</v>
          </cell>
          <cell r="C294" t="str">
            <v>Ayer John Wise Divine</v>
          </cell>
          <cell r="D294">
            <v>93</v>
          </cell>
          <cell r="E294" t="str">
            <v>ED4-GEOM</v>
          </cell>
          <cell r="F294" t="str">
            <v>GE 464</v>
          </cell>
        </row>
        <row r="295">
          <cell r="A295" t="str">
            <v>GE 472,ED4-GEOM</v>
          </cell>
          <cell r="B295" t="str">
            <v>LAND LAW AND REGISTRATION</v>
          </cell>
          <cell r="C295" t="str">
            <v>Arko-Adjei Anthony</v>
          </cell>
          <cell r="D295">
            <v>93</v>
          </cell>
          <cell r="E295" t="str">
            <v>ED4-GEOM</v>
          </cell>
          <cell r="F295" t="str">
            <v>GE 472</v>
          </cell>
        </row>
        <row r="296">
          <cell r="A296" t="str">
            <v>GE 474,ED4-GEOM</v>
          </cell>
          <cell r="B296" t="str">
            <v>PRINCIPLES OF VALUATION OF LAND AND BUILDING</v>
          </cell>
          <cell r="C296" t="str">
            <v>Ayitey Jonathan</v>
          </cell>
          <cell r="D296">
            <v>93</v>
          </cell>
          <cell r="E296" t="str">
            <v>ED4-GEOM</v>
          </cell>
          <cell r="F296" t="str">
            <v>GE 474</v>
          </cell>
        </row>
        <row r="297">
          <cell r="A297" t="str">
            <v>GE 476,ED4-GEOM</v>
          </cell>
          <cell r="B297" t="str">
            <v>PROFESSIONAL STUDIES AND DEVELOPMENT</v>
          </cell>
          <cell r="C297" t="str">
            <v>Akrofi Emmanuel Offei</v>
          </cell>
          <cell r="D297">
            <v>93</v>
          </cell>
          <cell r="E297" t="str">
            <v>ED4-GEOM</v>
          </cell>
          <cell r="F297" t="str">
            <v>GE 476</v>
          </cell>
        </row>
        <row r="298">
          <cell r="A298" t="str">
            <v>EE 152,ED1-IND</v>
          </cell>
          <cell r="B298" t="str">
            <v>BASIC ELECTRONICS</v>
          </cell>
          <cell r="C298" t="str">
            <v>Nicholas Kwesi Prah II</v>
          </cell>
          <cell r="D298">
            <v>83</v>
          </cell>
          <cell r="E298" t="str">
            <v>ED1-IND</v>
          </cell>
          <cell r="F298" t="str">
            <v>EE 152</v>
          </cell>
        </row>
        <row r="299">
          <cell r="A299" t="str">
            <v>ENGL 158,ED1-IND</v>
          </cell>
          <cell r="B299" t="str">
            <v>COMMUNICATION SKILLS II</v>
          </cell>
          <cell r="C299" t="str">
            <v>Yeboah Philomena Ama Okyeso</v>
          </cell>
          <cell r="D299">
            <v>83</v>
          </cell>
          <cell r="E299" t="str">
            <v>ED1-IND</v>
          </cell>
          <cell r="F299" t="str">
            <v>ENGL 158</v>
          </cell>
        </row>
        <row r="300">
          <cell r="A300" t="str">
            <v>IE 174,ED1-IND</v>
          </cell>
          <cell r="B300" t="str">
            <v>FIRST YEAR DESIGN PROJECT</v>
          </cell>
          <cell r="C300" t="str">
            <v>Afriyie Nyarko Frank Kwabena</v>
          </cell>
          <cell r="D300">
            <v>83</v>
          </cell>
          <cell r="E300" t="str">
            <v>ED1-IND</v>
          </cell>
          <cell r="F300" t="str">
            <v>IE 174</v>
          </cell>
        </row>
        <row r="301">
          <cell r="A301" t="str">
            <v>MATH 152,ED1-IND</v>
          </cell>
          <cell r="B301" t="str">
            <v>CALCULUS WITH ANALYSIS</v>
          </cell>
          <cell r="C301" t="str">
            <v>Ezearn Jeffery</v>
          </cell>
          <cell r="D301">
            <v>83</v>
          </cell>
          <cell r="E301" t="str">
            <v>ED1-IND</v>
          </cell>
          <cell r="F301" t="str">
            <v>MATH 152</v>
          </cell>
        </row>
        <row r="302">
          <cell r="A302" t="str">
            <v>ME 160,ED1-IND</v>
          </cell>
          <cell r="B302" t="str">
            <v>ENGINEERING DRAWING</v>
          </cell>
          <cell r="C302" t="str">
            <v>Sekyere Charles Kofi Kafui</v>
          </cell>
          <cell r="D302">
            <v>83</v>
          </cell>
          <cell r="E302" t="str">
            <v>ED1-IND</v>
          </cell>
          <cell r="F302" t="str">
            <v>ME 160</v>
          </cell>
        </row>
        <row r="303">
          <cell r="A303" t="str">
            <v>ME 164,ED1-IND</v>
          </cell>
          <cell r="B303" t="str">
            <v>ENGINEERING MECHANICS I:STATICS</v>
          </cell>
          <cell r="C303" t="str">
            <v>Amoabeng Kofi Owura</v>
          </cell>
          <cell r="D303">
            <v>83</v>
          </cell>
          <cell r="E303" t="str">
            <v>ED1-IND</v>
          </cell>
          <cell r="F303" t="str">
            <v>ME 164</v>
          </cell>
        </row>
        <row r="304">
          <cell r="A304" t="str">
            <v>ME 168,ED1-IND</v>
          </cell>
          <cell r="B304" t="str">
            <v>COMPUTER PROGRAMMING FOR ENGINEERS</v>
          </cell>
          <cell r="C304" t="str">
            <v>Dzebre Denis Edem Kwame</v>
          </cell>
          <cell r="D304">
            <v>83</v>
          </cell>
          <cell r="E304" t="str">
            <v>ED1-IND</v>
          </cell>
          <cell r="F304" t="str">
            <v>ME 168</v>
          </cell>
        </row>
        <row r="305">
          <cell r="A305" t="str">
            <v>ENGL 264,ED2-IND</v>
          </cell>
          <cell r="B305" t="str">
            <v>LITERATURE IN ENGLISH II</v>
          </cell>
          <cell r="C305" t="str">
            <v>Yeboah Philomena Ama Okyeso</v>
          </cell>
          <cell r="D305">
            <v>80</v>
          </cell>
          <cell r="E305" t="str">
            <v>ED2-IND</v>
          </cell>
          <cell r="F305" t="str">
            <v>ENGL 264</v>
          </cell>
        </row>
        <row r="306">
          <cell r="A306" t="str">
            <v>IE 296,ED2-IND</v>
          </cell>
          <cell r="B306" t="str">
            <v>INDUSTRIAL ENGINEEGING LABORATORY II</v>
          </cell>
          <cell r="C306" t="str">
            <v>Fiagbe Yesuenyeagbe Atsu Kwabla</v>
          </cell>
          <cell r="D306">
            <v>80</v>
          </cell>
          <cell r="E306" t="str">
            <v>ED2-IND</v>
          </cell>
          <cell r="F306" t="str">
            <v>IE 296</v>
          </cell>
        </row>
        <row r="307">
          <cell r="A307" t="str">
            <v>MATH 252,ED2-IND</v>
          </cell>
          <cell r="B307" t="str">
            <v>CALCULUS WITH SEVERAL VARIABLES</v>
          </cell>
          <cell r="C307" t="str">
            <v>Wireko Fredrick Asenso</v>
          </cell>
          <cell r="D307">
            <v>80</v>
          </cell>
          <cell r="E307" t="str">
            <v>ED2-IND</v>
          </cell>
          <cell r="F307" t="str">
            <v>MATH 252</v>
          </cell>
        </row>
        <row r="308">
          <cell r="A308" t="str">
            <v>ME 252,ED2-IND</v>
          </cell>
          <cell r="B308" t="str">
            <v>FLUID DYNAMICS I</v>
          </cell>
          <cell r="C308" t="str">
            <v>Fiagbe Yesuenyeagbe Atsu Kwabla</v>
          </cell>
          <cell r="D308">
            <v>80</v>
          </cell>
          <cell r="E308" t="str">
            <v>ED2-IND</v>
          </cell>
          <cell r="F308" t="str">
            <v>ME 252</v>
          </cell>
        </row>
        <row r="309">
          <cell r="A309" t="str">
            <v>ME 264,ED2-IND</v>
          </cell>
          <cell r="B309" t="str">
            <v>MECHANISMS SYNTHESIS AND ANALYSIS I</v>
          </cell>
          <cell r="C309" t="str">
            <v>Ampofo Joshua</v>
          </cell>
          <cell r="D309">
            <v>80</v>
          </cell>
          <cell r="E309" t="str">
            <v>ED2-IND</v>
          </cell>
          <cell r="F309" t="str">
            <v>ME 264</v>
          </cell>
        </row>
        <row r="310">
          <cell r="A310" t="str">
            <v>ME 266,ED2-IND</v>
          </cell>
          <cell r="B310" t="str">
            <v>THERMODYNAMICS I</v>
          </cell>
          <cell r="C310" t="str">
            <v>Amoabeng Kofi Owura</v>
          </cell>
          <cell r="D310">
            <v>80</v>
          </cell>
          <cell r="E310" t="str">
            <v>ED2-IND</v>
          </cell>
          <cell r="F310" t="str">
            <v>ME 266</v>
          </cell>
        </row>
        <row r="311">
          <cell r="A311" t="str">
            <v>IE 274,ED2-IND</v>
          </cell>
          <cell r="B311" t="str">
            <v>SECOND YEAR DESIGN PROJECT</v>
          </cell>
          <cell r="C311" t="str">
            <v>Andoh Prince Yaw</v>
          </cell>
          <cell r="D311">
            <v>80</v>
          </cell>
          <cell r="E311" t="str">
            <v>ED2-IND</v>
          </cell>
          <cell r="F311" t="str">
            <v>IE 274</v>
          </cell>
        </row>
        <row r="312">
          <cell r="A312" t="str">
            <v>ME 270,ED2-IND</v>
          </cell>
          <cell r="B312" t="str">
            <v>MANUFACTURING TECHNOLOGY</v>
          </cell>
          <cell r="C312" t="str">
            <v>Boahen Samuel</v>
          </cell>
          <cell r="D312">
            <v>80</v>
          </cell>
          <cell r="E312" t="str">
            <v>ED2-IND</v>
          </cell>
          <cell r="F312" t="str">
            <v>ME 270</v>
          </cell>
        </row>
        <row r="313">
          <cell r="A313" t="str">
            <v>IE 354,ED3-IND</v>
          </cell>
          <cell r="B313" t="str">
            <v>LOGISTICS AND SUPPLY CHAIN ENGINEERING</v>
          </cell>
          <cell r="C313" t="str">
            <v>Asiedu Charlotte</v>
          </cell>
          <cell r="D313">
            <v>70</v>
          </cell>
          <cell r="E313" t="str">
            <v>ED3-IND</v>
          </cell>
          <cell r="F313" t="str">
            <v>IE 354</v>
          </cell>
        </row>
        <row r="314">
          <cell r="A314" t="str">
            <v>IE 356,ED3-IND</v>
          </cell>
          <cell r="B314" t="str">
            <v>RELIABILITY ENGINEERING</v>
          </cell>
          <cell r="C314" t="str">
            <v>Takyi Gabriel</v>
          </cell>
          <cell r="D314">
            <v>70</v>
          </cell>
          <cell r="E314" t="str">
            <v>ED3-IND</v>
          </cell>
          <cell r="F314" t="str">
            <v>IE 356</v>
          </cell>
        </row>
        <row r="315">
          <cell r="A315" t="str">
            <v>IE 358,ED3-IND</v>
          </cell>
          <cell r="B315" t="str">
            <v>COMPUTER-AIDED DESIGN AND MANUFACTURING</v>
          </cell>
          <cell r="C315" t="str">
            <v>Afriyie Nyarko Frank Kwabena</v>
          </cell>
          <cell r="D315">
            <v>70</v>
          </cell>
          <cell r="E315" t="str">
            <v>ED3-IND</v>
          </cell>
          <cell r="F315" t="str">
            <v>IE 358</v>
          </cell>
        </row>
        <row r="316">
          <cell r="A316" t="str">
            <v>IE 360,ED3-IND</v>
          </cell>
          <cell r="B316" t="str">
            <v>QUALITY ASSURANCE</v>
          </cell>
          <cell r="C316" t="str">
            <v>Sackey Samuel Mensah</v>
          </cell>
          <cell r="D316">
            <v>70</v>
          </cell>
          <cell r="E316" t="str">
            <v>ED3-IND</v>
          </cell>
          <cell r="F316" t="str">
            <v>IE 360</v>
          </cell>
        </row>
        <row r="317">
          <cell r="A317" t="str">
            <v>IE 362,ED3-IND</v>
          </cell>
          <cell r="B317" t="str">
            <v>INDUSTRIAL ENGINEERING LAB III</v>
          </cell>
          <cell r="C317" t="str">
            <v>Oppong David Kofi</v>
          </cell>
          <cell r="D317">
            <v>70</v>
          </cell>
          <cell r="E317" t="str">
            <v>ED3-IND</v>
          </cell>
          <cell r="F317" t="str">
            <v>IE 362</v>
          </cell>
        </row>
        <row r="318">
          <cell r="A318" t="str">
            <v>IE 366,ED3-IND</v>
          </cell>
          <cell r="B318" t="str">
            <v>ADVANCED MANUFACTURING TECHNOLOGY I</v>
          </cell>
          <cell r="C318" t="str">
            <v>Takyi Gabriel</v>
          </cell>
          <cell r="D318">
            <v>70</v>
          </cell>
          <cell r="E318" t="str">
            <v>ED3-IND</v>
          </cell>
          <cell r="F318" t="str">
            <v>IE 366</v>
          </cell>
        </row>
        <row r="319">
          <cell r="A319" t="str">
            <v>IE 368,ED3-IND</v>
          </cell>
          <cell r="B319" t="str">
            <v>OPERATIONS RESEARCH II</v>
          </cell>
          <cell r="C319" t="str">
            <v>Asiedu Charlotte</v>
          </cell>
          <cell r="D319">
            <v>70</v>
          </cell>
          <cell r="E319" t="str">
            <v>ED3-IND</v>
          </cell>
          <cell r="F319" t="str">
            <v>IE 368</v>
          </cell>
        </row>
        <row r="320">
          <cell r="A320" t="str">
            <v>IE 452,ED4-IND</v>
          </cell>
          <cell r="B320" t="str">
            <v>AUTOMATION AND PRODUCTION SYSTEM</v>
          </cell>
          <cell r="C320" t="str">
            <v>Sackey Samuel Mensah</v>
          </cell>
          <cell r="D320">
            <v>69</v>
          </cell>
          <cell r="E320" t="str">
            <v>ED4-IND</v>
          </cell>
          <cell r="F320" t="str">
            <v>IE 452</v>
          </cell>
        </row>
        <row r="321">
          <cell r="A321" t="str">
            <v>IE 454,ED4-IND</v>
          </cell>
          <cell r="B321" t="str">
            <v>PRODUCTION PLANNING AND CONTROL</v>
          </cell>
          <cell r="C321" t="str">
            <v>Dzebre Denis Edem Kwame</v>
          </cell>
          <cell r="D321">
            <v>69</v>
          </cell>
          <cell r="E321" t="str">
            <v>ED4-IND</v>
          </cell>
          <cell r="F321" t="str">
            <v>IE 454</v>
          </cell>
        </row>
        <row r="322">
          <cell r="A322" t="str">
            <v>IE 456,ED4-IND</v>
          </cell>
          <cell r="B322" t="str">
            <v>SYSTEMS INTEGRATION</v>
          </cell>
          <cell r="C322" t="str">
            <v>Tay Godwin Fabiola Kwaku</v>
          </cell>
          <cell r="D322">
            <v>69</v>
          </cell>
          <cell r="E322" t="str">
            <v>ED4-IND</v>
          </cell>
          <cell r="F322" t="str">
            <v>IE 456</v>
          </cell>
        </row>
        <row r="323">
          <cell r="A323" t="str">
            <v>IE 458,ED4-IND</v>
          </cell>
          <cell r="B323" t="str">
            <v>HUMAN FACTORS AND ERGONOMICS</v>
          </cell>
          <cell r="C323" t="str">
            <v>Sackey Samuel Mensah</v>
          </cell>
          <cell r="D323">
            <v>69</v>
          </cell>
          <cell r="E323" t="str">
            <v>ED4-IND</v>
          </cell>
          <cell r="F323" t="str">
            <v>IE 458</v>
          </cell>
        </row>
        <row r="324">
          <cell r="A324" t="str">
            <v>ME 492,ED4-IND</v>
          </cell>
          <cell r="B324" t="str">
            <v xml:space="preserve">ENTREPRENEURSHIP MANAGEMENT </v>
          </cell>
          <cell r="C324" t="str">
            <v>Asiedu Charlotte</v>
          </cell>
          <cell r="D324">
            <v>69</v>
          </cell>
          <cell r="E324" t="str">
            <v>ED4-IND</v>
          </cell>
          <cell r="F324" t="str">
            <v>ME 492</v>
          </cell>
        </row>
        <row r="325">
          <cell r="A325" t="str">
            <v>ME 494,ED4-IND</v>
          </cell>
          <cell r="B325" t="str">
            <v>MAINTENANCE ENGINEERING</v>
          </cell>
          <cell r="C325" t="str">
            <v xml:space="preserve">Peter Oppong Tawiah </v>
          </cell>
          <cell r="D325">
            <v>69</v>
          </cell>
          <cell r="E325" t="str">
            <v>ED4-IND</v>
          </cell>
          <cell r="F325" t="str">
            <v>ME 494</v>
          </cell>
        </row>
        <row r="326">
          <cell r="A326" t="str">
            <v>EE 152,ED1-MARI</v>
          </cell>
          <cell r="B326" t="str">
            <v>BASIC ELECTRONICS</v>
          </cell>
          <cell r="C326" t="str">
            <v>Nicholas Kwesi Prah II</v>
          </cell>
          <cell r="D326">
            <v>46</v>
          </cell>
          <cell r="E326" t="str">
            <v>ED1-MARI</v>
          </cell>
          <cell r="F326" t="str">
            <v>EE 152</v>
          </cell>
        </row>
        <row r="327">
          <cell r="A327" t="str">
            <v>ENGL 158,ED1-MARI</v>
          </cell>
          <cell r="B327" t="str">
            <v>COMMUNICATION SKILLS II</v>
          </cell>
          <cell r="C327" t="str">
            <v>Yeboah Philomena Ama Okyeso</v>
          </cell>
          <cell r="D327">
            <v>46</v>
          </cell>
          <cell r="E327" t="str">
            <v>ED1-MARI</v>
          </cell>
          <cell r="F327" t="str">
            <v>ENGL 158</v>
          </cell>
        </row>
        <row r="328">
          <cell r="A328" t="str">
            <v>FC 182,ED1-MARI</v>
          </cell>
          <cell r="B328" t="str">
            <v>FRENCH FOR COMMUNICATION II</v>
          </cell>
          <cell r="C328" t="str">
            <v>Boakye-Agyeman Candy</v>
          </cell>
          <cell r="D328">
            <v>46</v>
          </cell>
          <cell r="E328" t="str">
            <v>ED1-MARI</v>
          </cell>
          <cell r="F328" t="str">
            <v>FC 182</v>
          </cell>
        </row>
        <row r="329">
          <cell r="A329" t="str">
            <v>MATH 152,ED1-MARI</v>
          </cell>
          <cell r="B329" t="str">
            <v>CALCULUS WITH ANALYSIS</v>
          </cell>
          <cell r="C329" t="str">
            <v>Ezearn Jeffery</v>
          </cell>
          <cell r="D329">
            <v>46</v>
          </cell>
          <cell r="E329" t="str">
            <v>ED1-MARI</v>
          </cell>
          <cell r="F329" t="str">
            <v>MATH 152</v>
          </cell>
        </row>
        <row r="330">
          <cell r="A330" t="str">
            <v>ME 160,ED1-MARI</v>
          </cell>
          <cell r="B330" t="str">
            <v>ENGINEERING DRAWING</v>
          </cell>
          <cell r="C330" t="str">
            <v>Sekyere Charles Kofi Kafui</v>
          </cell>
          <cell r="D330">
            <v>46</v>
          </cell>
          <cell r="E330" t="str">
            <v>ED1-MARI</v>
          </cell>
          <cell r="F330" t="str">
            <v>ME 160</v>
          </cell>
        </row>
        <row r="331">
          <cell r="A331" t="str">
            <v>ME 164,ED1-MARI</v>
          </cell>
          <cell r="B331" t="str">
            <v>ENGINEERING MECHANICS I:STATICS</v>
          </cell>
          <cell r="C331" t="str">
            <v>Amoabeng Kofi Owura</v>
          </cell>
          <cell r="D331">
            <v>46</v>
          </cell>
          <cell r="E331" t="str">
            <v>ED1-MARI</v>
          </cell>
          <cell r="F331" t="str">
            <v>ME 164</v>
          </cell>
        </row>
        <row r="332">
          <cell r="A332" t="str">
            <v>ME 168,ED1-MARI</v>
          </cell>
          <cell r="B332" t="str">
            <v>COMPUTER PROGRAMMING FOR ENGINEERS</v>
          </cell>
          <cell r="C332" t="str">
            <v>Dzebre Denis Edem Kwame</v>
          </cell>
          <cell r="D332">
            <v>46</v>
          </cell>
          <cell r="E332" t="str">
            <v>ED1-MARI</v>
          </cell>
          <cell r="F332" t="str">
            <v>ME 168</v>
          </cell>
        </row>
        <row r="333">
          <cell r="A333" t="str">
            <v>MME 174,ED1-MARI</v>
          </cell>
          <cell r="B333" t="str">
            <v>MARINE ENGINEERING DESIGN PROJECT I</v>
          </cell>
          <cell r="C333" t="str">
            <v>Afriyie Nyarko Frank Kwabena</v>
          </cell>
          <cell r="D333">
            <v>46</v>
          </cell>
          <cell r="E333" t="str">
            <v>ED1-MARI</v>
          </cell>
          <cell r="F333" t="str">
            <v>MME 174</v>
          </cell>
        </row>
        <row r="334">
          <cell r="A334" t="str">
            <v>MATH 252,ED2-MARI</v>
          </cell>
          <cell r="B334" t="str">
            <v>CALCULUS WITH SEVERAL VARIABLES</v>
          </cell>
          <cell r="C334" t="str">
            <v>Boateng Maxwell Akwasi</v>
          </cell>
          <cell r="D334">
            <v>37</v>
          </cell>
          <cell r="E334" t="str">
            <v>ED2-MARI</v>
          </cell>
          <cell r="F334" t="str">
            <v>MATH 252</v>
          </cell>
        </row>
        <row r="335">
          <cell r="A335" t="str">
            <v>ME 252,ED2-MARI</v>
          </cell>
          <cell r="B335" t="str">
            <v>FLUID DYNAMICS I</v>
          </cell>
          <cell r="C335" t="str">
            <v>Fiagbe Yesuenyeagbe Atsu Kwabla</v>
          </cell>
          <cell r="D335">
            <v>37</v>
          </cell>
          <cell r="E335" t="str">
            <v>ED2-MARI</v>
          </cell>
          <cell r="F335" t="str">
            <v>ME 252</v>
          </cell>
        </row>
        <row r="336">
          <cell r="A336" t="str">
            <v>ME 270,ED2-MARI</v>
          </cell>
          <cell r="B336" t="str">
            <v>MANUFACTURING TECHNOLOGY</v>
          </cell>
          <cell r="C336" t="str">
            <v>Boahen Samuel</v>
          </cell>
          <cell r="D336">
            <v>37</v>
          </cell>
          <cell r="E336" t="str">
            <v>ED2-MARI</v>
          </cell>
          <cell r="F336" t="str">
            <v>ME 270</v>
          </cell>
        </row>
        <row r="337">
          <cell r="A337" t="str">
            <v>MME 264,ED2-MARI</v>
          </cell>
          <cell r="B337" t="str">
            <v>MARINE MECHANISMS, SYSTHESIS AND ANALYSIS</v>
          </cell>
          <cell r="C337" t="str">
            <v>Ampofo Joshua</v>
          </cell>
          <cell r="D337">
            <v>37</v>
          </cell>
          <cell r="E337" t="str">
            <v>ED2-MARI</v>
          </cell>
          <cell r="F337" t="str">
            <v>MME 264</v>
          </cell>
        </row>
        <row r="338">
          <cell r="A338" t="str">
            <v>MME 274,ED2-MARI</v>
          </cell>
          <cell r="B338" t="str">
            <v>MARINE ENGINEERING DESIGN PROJECT II</v>
          </cell>
          <cell r="C338" t="str">
            <v>Andoh Prince Yaw</v>
          </cell>
          <cell r="D338">
            <v>37</v>
          </cell>
          <cell r="E338" t="str">
            <v>ED2-MARI</v>
          </cell>
          <cell r="F338" t="str">
            <v>MME 274</v>
          </cell>
        </row>
        <row r="339">
          <cell r="A339" t="str">
            <v>MME 292,ED2-MARI</v>
          </cell>
          <cell r="B339" t="str">
            <v>SEAMANSHIP</v>
          </cell>
          <cell r="C339" t="str">
            <v>Larkai Francis Laako</v>
          </cell>
          <cell r="D339">
            <v>37</v>
          </cell>
          <cell r="E339" t="str">
            <v>ED2-MARI</v>
          </cell>
          <cell r="F339" t="str">
            <v>MME 292</v>
          </cell>
        </row>
        <row r="340">
          <cell r="A340" t="str">
            <v>MME 296,ED2-MARI</v>
          </cell>
          <cell r="B340" t="str">
            <v>MARINE ENGINEERING LABORATORY I</v>
          </cell>
          <cell r="C340" t="str">
            <v>Fiagbe Yesuenyeagbe Atsu Kwabla</v>
          </cell>
          <cell r="D340">
            <v>37</v>
          </cell>
          <cell r="E340" t="str">
            <v>ED2-MARI</v>
          </cell>
          <cell r="F340" t="str">
            <v>MME 296</v>
          </cell>
        </row>
        <row r="341">
          <cell r="A341" t="str">
            <v>SES 172,ED2-MARI</v>
          </cell>
          <cell r="B341" t="str">
            <v>AQUATIC STROKES DEVELOPMENT AND REFINEMENT</v>
          </cell>
          <cell r="C341" t="str">
            <v>Afrifa Daniel</v>
          </cell>
          <cell r="D341">
            <v>37</v>
          </cell>
          <cell r="E341" t="str">
            <v>ED2-MARI</v>
          </cell>
          <cell r="F341" t="str">
            <v>SES 172</v>
          </cell>
        </row>
        <row r="342">
          <cell r="A342" t="str">
            <v>ME 352,ED3-MARI</v>
          </cell>
          <cell r="B342" t="str">
            <v>FLUID DYNAMICS II</v>
          </cell>
          <cell r="C342" t="str">
            <v>Tay Godwin Fabiola Kwaku</v>
          </cell>
          <cell r="D342">
            <v>40</v>
          </cell>
          <cell r="E342" t="str">
            <v>ED3-MARI</v>
          </cell>
          <cell r="F342" t="str">
            <v>ME 352</v>
          </cell>
        </row>
        <row r="343">
          <cell r="A343" t="str">
            <v>ME 362,ED3-MARI</v>
          </cell>
          <cell r="B343" t="str">
            <v>VIBRATIONS I</v>
          </cell>
          <cell r="C343" t="str">
            <v>Adam Faisal Wahib</v>
          </cell>
          <cell r="D343">
            <v>40</v>
          </cell>
          <cell r="E343" t="str">
            <v>ED3-MARI</v>
          </cell>
          <cell r="F343" t="str">
            <v>ME 362</v>
          </cell>
        </row>
        <row r="344">
          <cell r="A344" t="str">
            <v>ME 366,ED3-MARI</v>
          </cell>
          <cell r="B344" t="str">
            <v>HEAT TRANSFER</v>
          </cell>
          <cell r="C344" t="str">
            <v>Forson Francis Kofi</v>
          </cell>
          <cell r="D344">
            <v>40</v>
          </cell>
          <cell r="E344" t="str">
            <v>ED3-MARI</v>
          </cell>
          <cell r="F344" t="str">
            <v>ME 366</v>
          </cell>
        </row>
        <row r="345">
          <cell r="A345" t="str">
            <v>MME 356,ED3-MARI</v>
          </cell>
          <cell r="B345" t="str">
            <v>STRENGTH OF MARINE MATERIALS II</v>
          </cell>
          <cell r="C345" t="str">
            <v>Adam Faisal Wahib</v>
          </cell>
          <cell r="D345">
            <v>40</v>
          </cell>
          <cell r="E345" t="str">
            <v>ED3-MARI</v>
          </cell>
          <cell r="F345" t="str">
            <v>MME 356</v>
          </cell>
        </row>
        <row r="346">
          <cell r="A346" t="str">
            <v>MME 382,ED3-MARI</v>
          </cell>
          <cell r="B346" t="str">
            <v>NAVAL ARCHITECTURE I</v>
          </cell>
          <cell r="C346" t="str">
            <v>Kudzedzi Emmanuel Yaw Mawuko</v>
          </cell>
          <cell r="D346">
            <v>40</v>
          </cell>
          <cell r="E346" t="str">
            <v>ED3-MARI</v>
          </cell>
          <cell r="F346" t="str">
            <v>MME 382</v>
          </cell>
        </row>
        <row r="347">
          <cell r="A347" t="str">
            <v>MME 386,ED3-MARI</v>
          </cell>
          <cell r="B347" t="str">
            <v>MARINE ELECTRICAL TECHNOLOGY AND ELECTRICAL MEASUREMENTS</v>
          </cell>
          <cell r="C347" t="str">
            <v>Frimpong Emmanuel Asuming</v>
          </cell>
          <cell r="D347">
            <v>40</v>
          </cell>
          <cell r="E347" t="str">
            <v>ED3-MARI</v>
          </cell>
          <cell r="F347" t="str">
            <v>MME 386</v>
          </cell>
        </row>
        <row r="348">
          <cell r="A348" t="str">
            <v>MME 392,ED3-MARI</v>
          </cell>
          <cell r="B348" t="str">
            <v>MARINE INDUSTRIAL ENGINEERING AND ERGONOMICS</v>
          </cell>
          <cell r="C348" t="str">
            <v>Mensah Lena Dzifa</v>
          </cell>
          <cell r="D348">
            <v>40</v>
          </cell>
          <cell r="E348" t="str">
            <v>ED3-MARI</v>
          </cell>
          <cell r="F348" t="str">
            <v>MME 392</v>
          </cell>
        </row>
        <row r="349">
          <cell r="A349" t="str">
            <v>MME 396,ED3-MARI</v>
          </cell>
          <cell r="B349" t="str">
            <v>MARINE ENGINEERING LABORATORY III</v>
          </cell>
          <cell r="C349" t="str">
            <v>Tay Godwin Fabiola Kwaku</v>
          </cell>
          <cell r="D349">
            <v>40</v>
          </cell>
          <cell r="E349" t="str">
            <v>ED3-MARI</v>
          </cell>
          <cell r="F349" t="str">
            <v>MME 396</v>
          </cell>
        </row>
        <row r="350">
          <cell r="A350" t="str">
            <v>MME 462,ED4-MARI</v>
          </cell>
          <cell r="B350" t="str">
            <v>MARINE CONTROL ENGINEERING AND AUTOMATION</v>
          </cell>
          <cell r="C350" t="str">
            <v>Adjei Eunice Akyereko</v>
          </cell>
          <cell r="D350">
            <v>23</v>
          </cell>
          <cell r="E350" t="str">
            <v>ED4-MARI</v>
          </cell>
          <cell r="F350" t="str">
            <v>MME 462</v>
          </cell>
        </row>
        <row r="351">
          <cell r="A351" t="str">
            <v>MME 476,ED4-MARI</v>
          </cell>
          <cell r="B351" t="str">
            <v>SHIP CONSTRUCTION</v>
          </cell>
          <cell r="C351" t="str">
            <v>Jehoshaphat Eyram Deh</v>
          </cell>
          <cell r="D351">
            <v>23</v>
          </cell>
          <cell r="E351" t="str">
            <v>ED4-MARI</v>
          </cell>
          <cell r="F351" t="str">
            <v>MME 476</v>
          </cell>
        </row>
        <row r="352">
          <cell r="A352" t="str">
            <v>MME 482,ED4-MARI</v>
          </cell>
          <cell r="B352" t="str">
            <v>NAVAL ARCHITECTURE II</v>
          </cell>
          <cell r="C352" t="str">
            <v>Kudzedzi Emmanuel Yaw Mawuko</v>
          </cell>
          <cell r="D352">
            <v>23</v>
          </cell>
          <cell r="E352" t="str">
            <v>ED4-MARI</v>
          </cell>
          <cell r="F352" t="str">
            <v>MME 482</v>
          </cell>
        </row>
        <row r="353">
          <cell r="A353" t="str">
            <v>MME 486,ED4-MARI</v>
          </cell>
          <cell r="B353" t="str">
            <v>SHIP SAFETY, ENVIRONMENTAL PROTECTION AND SAFE WATCH KEEPING</v>
          </cell>
          <cell r="C353" t="str">
            <v>Larkai Francis Laako</v>
          </cell>
          <cell r="D353">
            <v>23</v>
          </cell>
          <cell r="E353" t="str">
            <v>ED4-MARI</v>
          </cell>
          <cell r="F353" t="str">
            <v>MME 486</v>
          </cell>
        </row>
        <row r="354">
          <cell r="A354" t="str">
            <v>MME 492,ED4-MARI</v>
          </cell>
          <cell r="B354" t="str">
            <v>SHIP OPERATION, REGULATION AND MANAGEMENT</v>
          </cell>
          <cell r="C354" t="str">
            <v>Sackey Michael Nii</v>
          </cell>
          <cell r="D354">
            <v>23</v>
          </cell>
          <cell r="E354" t="str">
            <v>ED4-MARI</v>
          </cell>
          <cell r="F354" t="str">
            <v>MME 492</v>
          </cell>
        </row>
        <row r="355">
          <cell r="A355" t="str">
            <v>MME 494,ED4-MARI</v>
          </cell>
          <cell r="B355" t="str">
            <v>MARINE MAINTENANCE ENGINEERING</v>
          </cell>
          <cell r="C355" t="str">
            <v xml:space="preserve">Peter Oppong Tawiah </v>
          </cell>
          <cell r="D355">
            <v>23</v>
          </cell>
          <cell r="E355" t="str">
            <v>ED4-MARI</v>
          </cell>
          <cell r="F355" t="str">
            <v>MME 494</v>
          </cell>
        </row>
        <row r="356">
          <cell r="A356" t="str">
            <v>METE 154,ED1-MSE</v>
          </cell>
          <cell r="B356" t="str">
            <v>ENVIRONMENTAL SCIENCE</v>
          </cell>
          <cell r="C356" t="str">
            <v>Koomson Bennetta</v>
          </cell>
          <cell r="D356">
            <v>100</v>
          </cell>
          <cell r="E356" t="str">
            <v>ED1-MSE</v>
          </cell>
          <cell r="F356" t="str">
            <v>METE 154</v>
          </cell>
        </row>
        <row r="357">
          <cell r="A357" t="str">
            <v>ENGL 158,ED1-MSE</v>
          </cell>
          <cell r="B357" t="str">
            <v>COMMUNICATION SKILLS II</v>
          </cell>
          <cell r="C357" t="str">
            <v>Alhassan Yakubu</v>
          </cell>
          <cell r="D357">
            <v>100</v>
          </cell>
          <cell r="E357" t="str">
            <v>ED1-MSE</v>
          </cell>
          <cell r="F357" t="str">
            <v>ENGL 158</v>
          </cell>
        </row>
        <row r="358">
          <cell r="A358" t="str">
            <v>MATH 152,ED1-MSE</v>
          </cell>
          <cell r="B358" t="str">
            <v>CALCULUS WITH ANALYSIS</v>
          </cell>
          <cell r="C358" t="str">
            <v>Emmanuel Kpeglo</v>
          </cell>
          <cell r="D358">
            <v>100</v>
          </cell>
          <cell r="E358" t="str">
            <v>ED1-MSE</v>
          </cell>
          <cell r="F358" t="str">
            <v>MATH 152</v>
          </cell>
        </row>
        <row r="359">
          <cell r="A359" t="str">
            <v>ME 160,ED1-MSE</v>
          </cell>
          <cell r="B359" t="str">
            <v>ENGINEERING DRAWING</v>
          </cell>
          <cell r="C359" t="str">
            <v>Peter Oppong Tawiah</v>
          </cell>
          <cell r="D359">
            <v>100</v>
          </cell>
          <cell r="E359" t="str">
            <v>ED1-MSE</v>
          </cell>
          <cell r="F359" t="str">
            <v>ME 160</v>
          </cell>
        </row>
        <row r="360">
          <cell r="A360" t="str">
            <v>ME 162,ED1-MSE</v>
          </cell>
          <cell r="B360" t="str">
            <v>BASIC MECHANICS</v>
          </cell>
          <cell r="C360" t="str">
            <v>Quansah David Ato</v>
          </cell>
          <cell r="D360">
            <v>100</v>
          </cell>
          <cell r="E360" t="str">
            <v>ED1-MSE</v>
          </cell>
          <cell r="F360" t="str">
            <v>ME 162</v>
          </cell>
        </row>
        <row r="361">
          <cell r="A361" t="str">
            <v>MSE 152,ED1-MSE</v>
          </cell>
          <cell r="B361" t="str">
            <v>KINETICS OF CHEMICAL REACTIONS</v>
          </cell>
          <cell r="C361" t="str">
            <v>Patrick Aggrey</v>
          </cell>
          <cell r="D361">
            <v>100</v>
          </cell>
          <cell r="E361" t="str">
            <v>ED1-MSE</v>
          </cell>
          <cell r="F361" t="str">
            <v>MSE 152</v>
          </cell>
        </row>
        <row r="362">
          <cell r="A362" t="str">
            <v>MSE 154,ED1-MSE</v>
          </cell>
          <cell r="B362" t="str">
            <v>OPTICAL AND THERMAL BEHAVIOUR OF MATERIALS</v>
          </cell>
          <cell r="C362" t="str">
            <v>Nartey Martinson Addo</v>
          </cell>
          <cell r="D362">
            <v>100</v>
          </cell>
          <cell r="E362" t="str">
            <v>ED1-MSE</v>
          </cell>
          <cell r="F362" t="str">
            <v>MSE 154</v>
          </cell>
        </row>
        <row r="363">
          <cell r="A363" t="str">
            <v>MATH 252,ED2-MSE</v>
          </cell>
          <cell r="B363" t="str">
            <v>CALCULUS WITH SEVERAL VARIABLES</v>
          </cell>
          <cell r="C363" t="str">
            <v>Asamoah Joshua Kiddy Kwasi</v>
          </cell>
          <cell r="D363">
            <v>83</v>
          </cell>
          <cell r="E363" t="str">
            <v>ED2-MSE</v>
          </cell>
          <cell r="F363" t="str">
            <v>MATH 252</v>
          </cell>
        </row>
        <row r="364">
          <cell r="A364" t="str">
            <v>MSE 252,ED2-MSE</v>
          </cell>
          <cell r="B364" t="str">
            <v>HEAT AND MASS TRANSPORT</v>
          </cell>
          <cell r="C364" t="str">
            <v>Agyemang Frank Ofori</v>
          </cell>
          <cell r="D364">
            <v>83</v>
          </cell>
          <cell r="E364" t="str">
            <v>ED2-MSE</v>
          </cell>
          <cell r="F364" t="str">
            <v>MSE 252</v>
          </cell>
        </row>
        <row r="365">
          <cell r="A365" t="str">
            <v>MSE 254,ED2-MSE</v>
          </cell>
          <cell r="B365" t="str">
            <v>INTRODUCTION TO CERAMICS</v>
          </cell>
          <cell r="C365" t="str">
            <v>Andrews Anthony</v>
          </cell>
          <cell r="D365">
            <v>83</v>
          </cell>
          <cell r="E365" t="str">
            <v>ED2-MSE</v>
          </cell>
          <cell r="F365" t="str">
            <v>MSE 254</v>
          </cell>
        </row>
        <row r="366">
          <cell r="A366" t="str">
            <v>MSE 256,ED2-MSE</v>
          </cell>
          <cell r="B366" t="str">
            <v>INTRODUCTION TO POLYMERIC MATERIALS</v>
          </cell>
          <cell r="C366" t="str">
            <v>Asare Eric Kwame Anokye</v>
          </cell>
          <cell r="D366">
            <v>83</v>
          </cell>
          <cell r="E366" t="str">
            <v>ED2-MSE</v>
          </cell>
          <cell r="F366" t="str">
            <v>MSE 256</v>
          </cell>
        </row>
        <row r="367">
          <cell r="A367" t="str">
            <v>MSE 258,ED2-MSE</v>
          </cell>
          <cell r="B367" t="str">
            <v>PHYSICAL METALLURGY OF NON-FERROUS METALS</v>
          </cell>
          <cell r="C367" t="str">
            <v>Arthur Emmanuel Kwesi</v>
          </cell>
          <cell r="D367">
            <v>83</v>
          </cell>
          <cell r="E367" t="str">
            <v>ED2-MSE</v>
          </cell>
          <cell r="F367" t="str">
            <v>MSE 258</v>
          </cell>
        </row>
        <row r="368">
          <cell r="A368" t="str">
            <v>MSE 260,ED2-MSE</v>
          </cell>
          <cell r="B368" t="str">
            <v>PHASE TRANSFORMATIONS</v>
          </cell>
          <cell r="C368" t="str">
            <v>Gikunoo Emmanuel</v>
          </cell>
          <cell r="D368">
            <v>83</v>
          </cell>
          <cell r="E368" t="str">
            <v>ED2-MSE</v>
          </cell>
          <cell r="F368" t="str">
            <v>MSE 260</v>
          </cell>
        </row>
        <row r="369">
          <cell r="A369" t="str">
            <v>MSE 262,ED2-MSE</v>
          </cell>
          <cell r="B369" t="str">
            <v>STRESS AND STRAIN ANALYSIS OF RIGID BODIES</v>
          </cell>
          <cell r="C369" t="str">
            <v>Mensah-Darkwa Kwadwo</v>
          </cell>
          <cell r="D369">
            <v>83</v>
          </cell>
          <cell r="E369" t="str">
            <v>ED2-MSE</v>
          </cell>
          <cell r="F369" t="str">
            <v>MSE 262</v>
          </cell>
        </row>
        <row r="370">
          <cell r="A370" t="str">
            <v>MSE 352,ED3-MSE</v>
          </cell>
          <cell r="B370" t="str">
            <v>GLASS AND CEMENT TECHNOLOGIES</v>
          </cell>
          <cell r="C370" t="str">
            <v>Andrews Anthony</v>
          </cell>
          <cell r="D370">
            <v>85</v>
          </cell>
          <cell r="E370" t="str">
            <v>ED3-MSE</v>
          </cell>
          <cell r="F370" t="str">
            <v>MSE 352</v>
          </cell>
        </row>
        <row r="371">
          <cell r="A371" t="str">
            <v>MSE 354,ED3-MSE</v>
          </cell>
          <cell r="B371" t="str">
            <v>PHYSICAL METALLURGY OF FERROUS METALS</v>
          </cell>
          <cell r="C371" t="str">
            <v>Kwofie Samuel</v>
          </cell>
          <cell r="D371">
            <v>85</v>
          </cell>
          <cell r="E371" t="str">
            <v>ED3-MSE</v>
          </cell>
          <cell r="F371" t="str">
            <v>MSE 354</v>
          </cell>
        </row>
        <row r="372">
          <cell r="A372" t="str">
            <v>MSE 356,ED3-MSE</v>
          </cell>
          <cell r="B372" t="str">
            <v>ENGINEERING PROPERTIES OF POLYMERS</v>
          </cell>
          <cell r="C372" t="str">
            <v>Asare Eric Kwame Anokye</v>
          </cell>
          <cell r="D372">
            <v>85</v>
          </cell>
          <cell r="E372" t="str">
            <v>ED3-MSE</v>
          </cell>
          <cell r="F372" t="str">
            <v>MSE 356</v>
          </cell>
        </row>
        <row r="373">
          <cell r="A373" t="str">
            <v>MSE 358,ED3-MSE</v>
          </cell>
          <cell r="B373" t="str">
            <v>NUMERICAL METHODS FOR ENGINEERS</v>
          </cell>
          <cell r="C373" t="str">
            <v>Nartey Martinson Addo</v>
          </cell>
          <cell r="D373">
            <v>85</v>
          </cell>
          <cell r="E373" t="str">
            <v>ED3-MSE</v>
          </cell>
          <cell r="F373" t="str">
            <v>MSE 358</v>
          </cell>
        </row>
        <row r="374">
          <cell r="A374" t="str">
            <v>MSE 360,ED3-MSE</v>
          </cell>
          <cell r="B374" t="str">
            <v>MECHANICS OF MATERIALS</v>
          </cell>
          <cell r="C374" t="str">
            <v>Mensah-Darkwa Kwadwo</v>
          </cell>
          <cell r="D374">
            <v>85</v>
          </cell>
          <cell r="E374" t="str">
            <v>ED3-MSE</v>
          </cell>
          <cell r="F374" t="str">
            <v>MSE 360</v>
          </cell>
        </row>
        <row r="375">
          <cell r="A375" t="str">
            <v>MSE 362,ED3-MSE</v>
          </cell>
          <cell r="B375" t="str">
            <v>MATERIALS JOINING PROCESSES</v>
          </cell>
          <cell r="C375" t="str">
            <v>Kwofie Samuel</v>
          </cell>
          <cell r="D375">
            <v>85</v>
          </cell>
          <cell r="E375" t="str">
            <v>ED3-MSE</v>
          </cell>
          <cell r="F375" t="str">
            <v>MSE 362</v>
          </cell>
        </row>
        <row r="376">
          <cell r="A376" t="str">
            <v>MSE 364,ED3-MSE</v>
          </cell>
          <cell r="B376" t="str">
            <v>MATERIALS CHARACTERIZATION LABORATORY</v>
          </cell>
          <cell r="C376" t="str">
            <v>Arthur Emmanuel Kwesi</v>
          </cell>
          <cell r="D376">
            <v>85</v>
          </cell>
          <cell r="E376" t="str">
            <v>ED3-MSE</v>
          </cell>
          <cell r="F376" t="str">
            <v>MSE 364</v>
          </cell>
        </row>
        <row r="377">
          <cell r="A377" t="str">
            <v>MSE 396,ED3-MSE</v>
          </cell>
          <cell r="B377" t="str">
            <v>THIRD YEAR DESIGN PROJECT</v>
          </cell>
          <cell r="C377" t="str">
            <v>Bota Osei Sekyere</v>
          </cell>
          <cell r="D377">
            <v>85</v>
          </cell>
          <cell r="E377" t="str">
            <v>ED3-MSE</v>
          </cell>
          <cell r="F377" t="str">
            <v>MSE 396</v>
          </cell>
        </row>
        <row r="378">
          <cell r="A378" t="str">
            <v>ME 492,ED4-MSE</v>
          </cell>
          <cell r="B378" t="str">
            <v>MANAGEMENT AND ENTREPRENEURSHIP DEVELOPMENT</v>
          </cell>
          <cell r="C378" t="str">
            <v>Mensah Lena Dzifa</v>
          </cell>
          <cell r="D378">
            <v>60</v>
          </cell>
          <cell r="E378" t="str">
            <v>ED4-MSE</v>
          </cell>
          <cell r="F378" t="str">
            <v>ME 492</v>
          </cell>
        </row>
        <row r="379">
          <cell r="A379" t="str">
            <v>MSE 452,ED4-MSE</v>
          </cell>
          <cell r="B379" t="str">
            <v>WASTE MANAGEMENT</v>
          </cell>
          <cell r="C379" t="str">
            <v>Koomson Bennetta</v>
          </cell>
          <cell r="D379">
            <v>60</v>
          </cell>
          <cell r="E379" t="str">
            <v>ED4-MSE</v>
          </cell>
          <cell r="F379" t="str">
            <v>MSE 452</v>
          </cell>
        </row>
        <row r="380">
          <cell r="A380" t="str">
            <v>MSE 454,ED4-MSE</v>
          </cell>
          <cell r="B380" t="str">
            <v>SURFACE TREATMENT OF MATERIALS</v>
          </cell>
          <cell r="C380" t="str">
            <v>Andrews Anthony</v>
          </cell>
          <cell r="D380">
            <v>60</v>
          </cell>
          <cell r="E380" t="str">
            <v>ED4-MSE</v>
          </cell>
          <cell r="F380" t="str">
            <v>MSE 454</v>
          </cell>
        </row>
        <row r="381">
          <cell r="A381" t="str">
            <v>MSE 456,ED4-MSE</v>
          </cell>
          <cell r="B381" t="str">
            <v>MATERIALS QUALITY CONTROL, ASSURRANCE AND SELECTION</v>
          </cell>
          <cell r="C381" t="str">
            <v>Arthur Emmanuel Kwesi</v>
          </cell>
          <cell r="D381">
            <v>60</v>
          </cell>
          <cell r="E381" t="str">
            <v>ED4-MSE</v>
          </cell>
          <cell r="F381" t="str">
            <v>MSE 456</v>
          </cell>
        </row>
        <row r="382">
          <cell r="A382" t="str">
            <v>MSE 458,ED4-MSE</v>
          </cell>
          <cell r="B382" t="str">
            <v>PROCESS DYNAMICS AND CONTROL</v>
          </cell>
          <cell r="C382" t="str">
            <v>Adjaottor Albert Amatey</v>
          </cell>
          <cell r="D382">
            <v>60</v>
          </cell>
          <cell r="E382" t="str">
            <v>ED4-MSE</v>
          </cell>
          <cell r="F382" t="str">
            <v>MSE 458</v>
          </cell>
        </row>
        <row r="383">
          <cell r="A383" t="str">
            <v>EE 152,ED1-ME</v>
          </cell>
          <cell r="B383" t="str">
            <v>BASIC ELECTRONICS</v>
          </cell>
          <cell r="C383" t="str">
            <v>Yaw Opoku Mensah Sekyere</v>
          </cell>
          <cell r="D383">
            <v>225</v>
          </cell>
          <cell r="E383" t="str">
            <v>ED1-ME</v>
          </cell>
          <cell r="F383" t="str">
            <v>EE 152</v>
          </cell>
        </row>
        <row r="384">
          <cell r="A384" t="str">
            <v>ENGL 158,ED1-ME</v>
          </cell>
          <cell r="B384" t="str">
            <v>COMMUNICATION SKILLS II</v>
          </cell>
          <cell r="C384" t="str">
            <v>Yeboah Philomena Ama Okyeso</v>
          </cell>
          <cell r="D384">
            <v>225</v>
          </cell>
          <cell r="E384" t="str">
            <v>ED1-ME</v>
          </cell>
          <cell r="F384" t="str">
            <v>ENGL 158</v>
          </cell>
        </row>
        <row r="385">
          <cell r="A385" t="str">
            <v>MATH 152,ED1-ME</v>
          </cell>
          <cell r="B385" t="str">
            <v>CALCULUS WITH ANALYSIS</v>
          </cell>
          <cell r="C385" t="str">
            <v>Lawton Adu-Ansah</v>
          </cell>
          <cell r="D385">
            <v>225</v>
          </cell>
          <cell r="E385" t="str">
            <v>ED1-ME</v>
          </cell>
          <cell r="F385" t="str">
            <v>MATH 152</v>
          </cell>
        </row>
        <row r="386">
          <cell r="A386" t="str">
            <v>ME 160,ED1-ME</v>
          </cell>
          <cell r="B386" t="str">
            <v>ENGINEERING DRAWING</v>
          </cell>
          <cell r="C386" t="str">
            <v>A. K. Sunnu</v>
          </cell>
          <cell r="D386">
            <v>225</v>
          </cell>
          <cell r="E386" t="str">
            <v>ED1-ME</v>
          </cell>
          <cell r="F386" t="str">
            <v>ME 160</v>
          </cell>
        </row>
        <row r="387">
          <cell r="A387" t="str">
            <v>ME 164,ED1-ME</v>
          </cell>
          <cell r="B387" t="str">
            <v>ENGINEERING MECHANICS I: STATICS</v>
          </cell>
          <cell r="C387" t="str">
            <v>Dzebre Denis Edem Kwame</v>
          </cell>
          <cell r="D387">
            <v>225</v>
          </cell>
          <cell r="E387" t="str">
            <v>ED1-ME</v>
          </cell>
          <cell r="F387" t="str">
            <v>ME 164</v>
          </cell>
        </row>
        <row r="388">
          <cell r="A388" t="str">
            <v>ME 168,ED1-ME</v>
          </cell>
          <cell r="B388" t="str">
            <v>COMPUTER PROGRAMMING FOR ENGINEERS</v>
          </cell>
          <cell r="C388" t="str">
            <v>Tay Godwin Fabiola Kwaku</v>
          </cell>
          <cell r="D388">
            <v>225</v>
          </cell>
          <cell r="E388" t="str">
            <v>ED1-ME</v>
          </cell>
          <cell r="F388" t="str">
            <v>ME 168</v>
          </cell>
        </row>
        <row r="389">
          <cell r="A389" t="str">
            <v>ME 174,ED1-ME</v>
          </cell>
          <cell r="B389" t="str">
            <v>PRODUCT DESIGN AND MANUFACTURING</v>
          </cell>
          <cell r="C389" t="str">
            <v>Afriyie Nyarko Frank Kwabena</v>
          </cell>
          <cell r="D389">
            <v>225</v>
          </cell>
          <cell r="E389" t="str">
            <v>ED1-ME</v>
          </cell>
          <cell r="F389" t="str">
            <v>ME 174</v>
          </cell>
        </row>
        <row r="390">
          <cell r="A390" t="str">
            <v>MATH 252,ED2-ME</v>
          </cell>
          <cell r="B390" t="str">
            <v>CALCULUS WITH SEVERAL VARIABLES</v>
          </cell>
          <cell r="C390" t="str">
            <v>Boateng Maxwell Akwasi</v>
          </cell>
          <cell r="D390">
            <v>240</v>
          </cell>
          <cell r="E390" t="str">
            <v>ED2-ME</v>
          </cell>
          <cell r="F390" t="str">
            <v>MATH 252</v>
          </cell>
        </row>
        <row r="391">
          <cell r="A391" t="str">
            <v>ME 252,ED2-ME</v>
          </cell>
          <cell r="B391" t="str">
            <v>FLUID DYNAMICS I</v>
          </cell>
          <cell r="C391" t="str">
            <v>Fiagbe Yesuenyeagbe Atsu Kwabla</v>
          </cell>
          <cell r="D391">
            <v>240</v>
          </cell>
          <cell r="E391" t="str">
            <v>ED2-ME</v>
          </cell>
          <cell r="F391" t="str">
            <v>ME 252</v>
          </cell>
        </row>
        <row r="392">
          <cell r="A392" t="str">
            <v>ME 264,ED2-ME</v>
          </cell>
          <cell r="B392" t="str">
            <v>MECHANISMS SYNTHESIS AND ANALYSIS I</v>
          </cell>
          <cell r="C392" t="str">
            <v>Ampofo Joshua</v>
          </cell>
          <cell r="D392">
            <v>240</v>
          </cell>
          <cell r="E392" t="str">
            <v>ED2-ME</v>
          </cell>
          <cell r="F392" t="str">
            <v>ME 264</v>
          </cell>
        </row>
        <row r="393">
          <cell r="A393" t="str">
            <v>ME 266,ED2-ME</v>
          </cell>
          <cell r="B393" t="str">
            <v>THERMODYNAMICS I</v>
          </cell>
          <cell r="C393" t="str">
            <v>Amoabeng Kofi Owura</v>
          </cell>
          <cell r="D393">
            <v>240</v>
          </cell>
          <cell r="E393" t="str">
            <v>ED2-ME</v>
          </cell>
          <cell r="F393" t="str">
            <v>ME 266</v>
          </cell>
        </row>
        <row r="394">
          <cell r="A394" t="str">
            <v>ME 274,ED2-ME</v>
          </cell>
          <cell r="B394" t="str">
            <v>MACHINE DESIGN PROJECT</v>
          </cell>
          <cell r="C394" t="str">
            <v>Andoh Prince Yaw</v>
          </cell>
          <cell r="D394">
            <v>240</v>
          </cell>
          <cell r="E394" t="str">
            <v>ED2-ME</v>
          </cell>
          <cell r="F394" t="str">
            <v>ME 274</v>
          </cell>
        </row>
        <row r="395">
          <cell r="A395" t="str">
            <v>ME 292,ED2-ME</v>
          </cell>
          <cell r="B395" t="str">
            <v>INDUSTRIAL ENGINEERING AND ERGONOMICS</v>
          </cell>
          <cell r="C395" t="str">
            <v>Mensah Lena Dzifa</v>
          </cell>
          <cell r="D395">
            <v>240</v>
          </cell>
          <cell r="E395" t="str">
            <v>ED2-ME</v>
          </cell>
          <cell r="F395" t="str">
            <v>ME 292</v>
          </cell>
        </row>
        <row r="396">
          <cell r="A396" t="str">
            <v>ME 296,ED2-ME</v>
          </cell>
          <cell r="B396" t="str">
            <v>MECHANICAL ENGINEERING LAB. II</v>
          </cell>
          <cell r="C396" t="str">
            <v>Amoabeng Kofi Owura</v>
          </cell>
          <cell r="D396">
            <v>240</v>
          </cell>
          <cell r="E396" t="str">
            <v>ED2-ME</v>
          </cell>
          <cell r="F396" t="str">
            <v>ME 296</v>
          </cell>
        </row>
        <row r="397">
          <cell r="A397" t="str">
            <v>EE 252,ED3-ME</v>
          </cell>
          <cell r="B397" t="str">
            <v>ELECTRICAL ENGINEERING MACHINES</v>
          </cell>
          <cell r="C397" t="str">
            <v>Yaw Opoku Mensah Sekyere</v>
          </cell>
          <cell r="D397">
            <v>222</v>
          </cell>
          <cell r="E397" t="str">
            <v>ED3-ME</v>
          </cell>
          <cell r="F397" t="str">
            <v>EE 252</v>
          </cell>
        </row>
        <row r="398">
          <cell r="A398" t="str">
            <v>ME 352,ED3-ME</v>
          </cell>
          <cell r="B398" t="str">
            <v>FLUID DYNAMICS  II</v>
          </cell>
          <cell r="C398" t="str">
            <v>A. K. Sunnu</v>
          </cell>
          <cell r="D398">
            <v>222</v>
          </cell>
          <cell r="E398" t="str">
            <v>ED3-ME</v>
          </cell>
          <cell r="F398" t="str">
            <v>ME 352</v>
          </cell>
        </row>
        <row r="399">
          <cell r="A399" t="str">
            <v>ME 356,ED3-ME</v>
          </cell>
          <cell r="B399" t="str">
            <v>STRENGTH OF MATERIALS II</v>
          </cell>
          <cell r="C399" t="str">
            <v>Tay Godwin Fabiola Kwaku</v>
          </cell>
          <cell r="D399">
            <v>222</v>
          </cell>
          <cell r="E399" t="str">
            <v>ED3-ME</v>
          </cell>
          <cell r="F399" t="str">
            <v>ME 356</v>
          </cell>
        </row>
        <row r="400">
          <cell r="A400" t="str">
            <v>ME 370,ED3-ME</v>
          </cell>
          <cell r="B400" t="str">
            <v>MANUFACTURING TECHNOLOGY</v>
          </cell>
          <cell r="C400" t="str">
            <v>Francis Davis</v>
          </cell>
          <cell r="D400">
            <v>222</v>
          </cell>
          <cell r="E400" t="str">
            <v>ED3-ME</v>
          </cell>
          <cell r="F400" t="str">
            <v>ME 370</v>
          </cell>
        </row>
        <row r="401">
          <cell r="A401" t="str">
            <v>ME 362,ED3-ME</v>
          </cell>
          <cell r="B401" t="str">
            <v>VIBRATIONS I</v>
          </cell>
          <cell r="C401" t="str">
            <v>Adam Faisal Wahib</v>
          </cell>
          <cell r="D401">
            <v>222</v>
          </cell>
          <cell r="E401" t="str">
            <v>ED3-ME</v>
          </cell>
          <cell r="F401" t="str">
            <v>ME 362</v>
          </cell>
        </row>
        <row r="402">
          <cell r="A402" t="str">
            <v>ME 366,ED3-ME</v>
          </cell>
          <cell r="B402" t="str">
            <v>HEAT TRANSFER</v>
          </cell>
          <cell r="C402" t="str">
            <v>Forson Francis Kofi</v>
          </cell>
          <cell r="D402">
            <v>222</v>
          </cell>
          <cell r="E402" t="str">
            <v>ED3-ME</v>
          </cell>
          <cell r="F402" t="str">
            <v>ME 366</v>
          </cell>
        </row>
        <row r="403">
          <cell r="A403" t="str">
            <v>ME 374,ED3-ME</v>
          </cell>
          <cell r="B403" t="str">
            <v>MACHINE ELEMENTS DESIGN II</v>
          </cell>
          <cell r="C403" t="str">
            <v>Andoh Prince Yaw</v>
          </cell>
          <cell r="D403">
            <v>222</v>
          </cell>
          <cell r="E403" t="str">
            <v>ED3-ME</v>
          </cell>
          <cell r="F403" t="str">
            <v>ME 374</v>
          </cell>
        </row>
        <row r="404">
          <cell r="A404" t="str">
            <v>ME 396,ED3-ME</v>
          </cell>
          <cell r="B404" t="str">
            <v>MECHANICAL ENGINEERING LABORATORY IV</v>
          </cell>
          <cell r="C404" t="str">
            <v>Dzebre Denis Edem Kwame</v>
          </cell>
          <cell r="D404">
            <v>222</v>
          </cell>
          <cell r="E404" t="str">
            <v>ED3-ME</v>
          </cell>
          <cell r="F404" t="str">
            <v>ME 396</v>
          </cell>
        </row>
        <row r="405">
          <cell r="A405" t="str">
            <v>ME 452,ED4-ME</v>
          </cell>
          <cell r="B405" t="str">
            <v>FLUID MACHINERY</v>
          </cell>
          <cell r="C405" t="str">
            <v>Opoku Richard</v>
          </cell>
          <cell r="D405">
            <v>80</v>
          </cell>
          <cell r="E405" t="str">
            <v>ED4-ME</v>
          </cell>
          <cell r="F405" t="str">
            <v>ME 452</v>
          </cell>
        </row>
        <row r="406">
          <cell r="A406" t="str">
            <v>ME 464,ED4-ME</v>
          </cell>
          <cell r="B406" t="str">
            <v>INSTRUMENTATION</v>
          </cell>
          <cell r="C406" t="str">
            <v>Adam Faisal Wahib</v>
          </cell>
          <cell r="D406">
            <v>135</v>
          </cell>
          <cell r="E406" t="str">
            <v>ED4-ME</v>
          </cell>
          <cell r="F406" t="str">
            <v>ME 464</v>
          </cell>
        </row>
        <row r="407">
          <cell r="A407" t="str">
            <v>ME 468,ED4-ME</v>
          </cell>
          <cell r="B407" t="str">
            <v>INTERNAL COMBUSTION ENGINES</v>
          </cell>
          <cell r="C407" t="str">
            <v>Forson Francis Kofi</v>
          </cell>
          <cell r="D407">
            <v>40</v>
          </cell>
          <cell r="E407" t="str">
            <v>ED4-ME</v>
          </cell>
          <cell r="F407" t="str">
            <v>ME 468</v>
          </cell>
        </row>
        <row r="408">
          <cell r="A408" t="str">
            <v>ME 472,ED4-ME</v>
          </cell>
          <cell r="B408" t="str">
            <v>MACHINE SHOP AND FACTORY DESIGN</v>
          </cell>
          <cell r="C408" t="str">
            <v>Obeng George Yaw</v>
          </cell>
          <cell r="D408">
            <v>54</v>
          </cell>
          <cell r="E408" t="str">
            <v>ED4-ME</v>
          </cell>
          <cell r="F408" t="str">
            <v>ME 472</v>
          </cell>
        </row>
        <row r="409">
          <cell r="A409" t="str">
            <v>ME 478,ED4-ME</v>
          </cell>
          <cell r="B409" t="str">
            <v>PRODUCTION ENGINEERING II</v>
          </cell>
          <cell r="C409" t="str">
            <v>Obeng George Yaw</v>
          </cell>
          <cell r="D409">
            <v>40</v>
          </cell>
          <cell r="E409" t="str">
            <v>ED4-ME</v>
          </cell>
          <cell r="F409" t="str">
            <v>ME 478</v>
          </cell>
        </row>
        <row r="410">
          <cell r="A410" t="str">
            <v>ME 482,ED4-ME</v>
          </cell>
          <cell r="B410" t="str">
            <v>MECHANICAL ENGINEERING MATERIALS III</v>
          </cell>
          <cell r="C410" t="str">
            <v>Sackey Samuel Mensah</v>
          </cell>
          <cell r="D410">
            <v>55</v>
          </cell>
          <cell r="E410" t="str">
            <v>ED4-ME</v>
          </cell>
          <cell r="F410" t="str">
            <v>ME 482</v>
          </cell>
        </row>
        <row r="411">
          <cell r="A411" t="str">
            <v>ME 492,ED4-ME</v>
          </cell>
          <cell r="B411" t="str">
            <v>MANAGEMENT AND ENTREPRENEURSHIP DEVELOPMENT</v>
          </cell>
          <cell r="C411" t="str">
            <v>Mensah Lena Dzifa</v>
          </cell>
          <cell r="D411">
            <v>135</v>
          </cell>
          <cell r="E411" t="str">
            <v>ED4-ME</v>
          </cell>
          <cell r="F411" t="str">
            <v>ME 492</v>
          </cell>
        </row>
        <row r="412">
          <cell r="A412" t="str">
            <v>ME 494,ED4-ME</v>
          </cell>
          <cell r="B412" t="str">
            <v>MAINTENANCE ENGINEERING</v>
          </cell>
          <cell r="C412" t="str">
            <v xml:space="preserve">Peter Oppong Tawiah </v>
          </cell>
          <cell r="D412">
            <v>135</v>
          </cell>
          <cell r="E412" t="str">
            <v>ED4-ME</v>
          </cell>
          <cell r="F412" t="str">
            <v>ME 494</v>
          </cell>
        </row>
        <row r="413">
          <cell r="A413" t="str">
            <v>ENGL 158,ED1-METE</v>
          </cell>
          <cell r="B413" t="str">
            <v>COMMUNICATION SKILLS II</v>
          </cell>
          <cell r="C413" t="str">
            <v>Alhassan Yakubu</v>
          </cell>
          <cell r="D413">
            <v>75</v>
          </cell>
          <cell r="E413" t="str">
            <v>ED1-METE</v>
          </cell>
          <cell r="F413" t="str">
            <v>ENGL 158</v>
          </cell>
        </row>
        <row r="414">
          <cell r="A414" t="str">
            <v>MATH 152,ED1-METE</v>
          </cell>
          <cell r="B414" t="str">
            <v>CALCULUS WITH ANALYSIS</v>
          </cell>
          <cell r="C414" t="str">
            <v>Emmanuel Kpeglo</v>
          </cell>
          <cell r="D414">
            <v>75</v>
          </cell>
          <cell r="E414" t="str">
            <v>ED1-METE</v>
          </cell>
          <cell r="F414" t="str">
            <v>MATH 152</v>
          </cell>
        </row>
        <row r="415">
          <cell r="A415" t="str">
            <v>ME 160,ED1-METE</v>
          </cell>
          <cell r="B415" t="str">
            <v>ENGINEERING DRAWING</v>
          </cell>
          <cell r="C415" t="str">
            <v>Aveyire Joseph</v>
          </cell>
          <cell r="D415">
            <v>75</v>
          </cell>
          <cell r="E415" t="str">
            <v>ED1-METE</v>
          </cell>
          <cell r="F415" t="str">
            <v>ME 160</v>
          </cell>
        </row>
        <row r="416">
          <cell r="A416" t="str">
            <v>ME 162,ED1-METE</v>
          </cell>
          <cell r="B416" t="str">
            <v>BASIC MECHANICS</v>
          </cell>
          <cell r="C416" t="str">
            <v>Opoku Richard</v>
          </cell>
          <cell r="D416">
            <v>75</v>
          </cell>
          <cell r="E416" t="str">
            <v>ED1-METE</v>
          </cell>
          <cell r="F416" t="str">
            <v>ME 162</v>
          </cell>
        </row>
        <row r="417">
          <cell r="A417" t="str">
            <v>METE 152,ED1-METE</v>
          </cell>
          <cell r="B417" t="str">
            <v>CHEMISTRY FOR METALLURGICAL ENGINEERS</v>
          </cell>
          <cell r="C417" t="str">
            <v>Patrick Aggrey</v>
          </cell>
          <cell r="D417">
            <v>75</v>
          </cell>
          <cell r="E417" t="str">
            <v>ED1-METE</v>
          </cell>
          <cell r="F417" t="str">
            <v>METE 152</v>
          </cell>
        </row>
        <row r="418">
          <cell r="A418" t="str">
            <v>METE 154,ED1-METE</v>
          </cell>
          <cell r="B418" t="str">
            <v>ENVIRONMENTAL SCIENCE</v>
          </cell>
          <cell r="C418" t="str">
            <v>Koomson Bennetta</v>
          </cell>
          <cell r="D418">
            <v>75</v>
          </cell>
          <cell r="E418" t="str">
            <v>ED1-METE</v>
          </cell>
          <cell r="F418" t="str">
            <v>METE 154</v>
          </cell>
        </row>
        <row r="419">
          <cell r="A419" t="str">
            <v>MSE 154,ED1-METE</v>
          </cell>
          <cell r="B419" t="str">
            <v>OPTICAL AND THERMAL BEHAVIOUR OF MATERIALS</v>
          </cell>
          <cell r="C419" t="str">
            <v>Nartey Martinson Addo</v>
          </cell>
          <cell r="D419">
            <v>75</v>
          </cell>
          <cell r="E419" t="str">
            <v>ED1-METE</v>
          </cell>
          <cell r="F419" t="str">
            <v>MSE 154</v>
          </cell>
        </row>
        <row r="420">
          <cell r="A420" t="str">
            <v>GED 162,ED1-METE</v>
          </cell>
          <cell r="B420" t="str">
            <v>INTRODUCTORY GEOLOGY</v>
          </cell>
          <cell r="C420" t="str">
            <v>Gawu Simon Kafui Yawo</v>
          </cell>
          <cell r="D420">
            <v>75</v>
          </cell>
          <cell r="E420" t="str">
            <v>ED1-METE</v>
          </cell>
          <cell r="F420" t="str">
            <v>GED 162</v>
          </cell>
        </row>
        <row r="421">
          <cell r="A421" t="str">
            <v>MATH 252,ED2-METE</v>
          </cell>
          <cell r="B421" t="str">
            <v>CALCULUS WITH SEVERAL VARIABLES</v>
          </cell>
          <cell r="C421" t="str">
            <v>Asamoah Joshua Kiddy Kwasi</v>
          </cell>
          <cell r="D421">
            <v>57</v>
          </cell>
          <cell r="E421" t="str">
            <v>ED2-METE</v>
          </cell>
          <cell r="F421" t="str">
            <v>MATH 252</v>
          </cell>
        </row>
        <row r="422">
          <cell r="A422" t="str">
            <v>METE 252,ED2-METE</v>
          </cell>
          <cell r="B422" t="str">
            <v>METALLURGICAL RATE PROCESSES/SURFACE PHENOMENA</v>
          </cell>
          <cell r="C422" t="str">
            <v>Patrick Aggrey</v>
          </cell>
          <cell r="D422">
            <v>57</v>
          </cell>
          <cell r="E422" t="str">
            <v>ED2-METE</v>
          </cell>
          <cell r="F422" t="str">
            <v>METE 252</v>
          </cell>
        </row>
        <row r="423">
          <cell r="A423" t="str">
            <v>METE 254,ED2-METE</v>
          </cell>
          <cell r="B423" t="str">
            <v>ORE BENEFICIATION</v>
          </cell>
          <cell r="C423" t="str">
            <v>Koomson Bennetta</v>
          </cell>
          <cell r="D423">
            <v>57</v>
          </cell>
          <cell r="E423" t="str">
            <v>ED2-METE</v>
          </cell>
          <cell r="F423" t="str">
            <v>METE 254</v>
          </cell>
        </row>
        <row r="424">
          <cell r="A424" t="str">
            <v>METE 256,ED2-METE</v>
          </cell>
          <cell r="B424" t="str">
            <v>ASSAYING</v>
          </cell>
          <cell r="C424" t="str">
            <v>Koomson Bennetta</v>
          </cell>
          <cell r="D424">
            <v>57</v>
          </cell>
          <cell r="E424" t="str">
            <v>ED2-METE</v>
          </cell>
          <cell r="F424" t="str">
            <v>METE 256</v>
          </cell>
        </row>
        <row r="425">
          <cell r="A425" t="str">
            <v>MSE 262,ED2-METE</v>
          </cell>
          <cell r="B425" t="str">
            <v>STRESS AND STRAIN ANALYSIS OF RIGID BODIES</v>
          </cell>
          <cell r="C425" t="str">
            <v>Mensah-Darkwa Kwadwo</v>
          </cell>
          <cell r="D425">
            <v>57</v>
          </cell>
          <cell r="E425" t="str">
            <v>ED2-METE</v>
          </cell>
          <cell r="F425" t="str">
            <v>MSE 262</v>
          </cell>
        </row>
        <row r="426">
          <cell r="A426" t="str">
            <v>MSE 252,ED2-METE</v>
          </cell>
          <cell r="B426" t="str">
            <v>HEAT AND MASS TRANSPORT</v>
          </cell>
          <cell r="C426" t="str">
            <v>Agyemang Frank Ofori</v>
          </cell>
          <cell r="D426">
            <v>57</v>
          </cell>
          <cell r="E426" t="str">
            <v>ED2-METE</v>
          </cell>
          <cell r="F426" t="str">
            <v>MSE 252</v>
          </cell>
        </row>
        <row r="427">
          <cell r="A427" t="str">
            <v>MSE 260,ED2-METE</v>
          </cell>
          <cell r="B427" t="str">
            <v>PHASE TRANSFORMATIONS</v>
          </cell>
          <cell r="C427" t="str">
            <v>Gikunoo Emmanuel</v>
          </cell>
          <cell r="D427">
            <v>57</v>
          </cell>
          <cell r="E427" t="str">
            <v>ED2-METE</v>
          </cell>
          <cell r="F427" t="str">
            <v>MSE 260</v>
          </cell>
        </row>
        <row r="428">
          <cell r="A428" t="str">
            <v>MSE 258,ED2-METE</v>
          </cell>
          <cell r="B428" t="str">
            <v>PHYSICAL METALLURGY OF NON-FERROUS METALS</v>
          </cell>
          <cell r="C428" t="str">
            <v>Arthur Emmanuel Kwesi</v>
          </cell>
          <cell r="D428">
            <v>57</v>
          </cell>
          <cell r="E428" t="str">
            <v>ED2-METE</v>
          </cell>
          <cell r="F428" t="str">
            <v>MSE 258</v>
          </cell>
        </row>
        <row r="429">
          <cell r="A429" t="str">
            <v>METE 352,ED3-METE</v>
          </cell>
          <cell r="B429" t="str">
            <v>HYDROMETALLURGICAL APPLICATIONS</v>
          </cell>
          <cell r="C429" t="str">
            <v>Agbe Henry</v>
          </cell>
          <cell r="D429">
            <v>87</v>
          </cell>
          <cell r="E429" t="str">
            <v>ED3-METE</v>
          </cell>
          <cell r="F429" t="str">
            <v>METE 352</v>
          </cell>
        </row>
        <row r="430">
          <cell r="A430" t="str">
            <v>METE 354,ED3-METE</v>
          </cell>
          <cell r="B430" t="str">
            <v>PHYSICAL METALLURGY OF NON-FERROUS METALS</v>
          </cell>
          <cell r="C430" t="str">
            <v>Agyemang Frank Ofori</v>
          </cell>
          <cell r="D430">
            <v>87</v>
          </cell>
          <cell r="E430" t="str">
            <v>ED3-METE</v>
          </cell>
          <cell r="F430" t="str">
            <v>METE 354</v>
          </cell>
        </row>
        <row r="431">
          <cell r="A431" t="str">
            <v>METE 356,ED3-METE</v>
          </cell>
          <cell r="B431" t="str">
            <v>THIRD YEAR DESIGN PROJECT</v>
          </cell>
          <cell r="C431" t="str">
            <v>Bota Osei Sekyere</v>
          </cell>
          <cell r="D431">
            <v>87</v>
          </cell>
          <cell r="E431" t="str">
            <v>ED3-METE</v>
          </cell>
          <cell r="F431" t="str">
            <v>METE 356</v>
          </cell>
        </row>
        <row r="432">
          <cell r="A432" t="str">
            <v>METE 358,ED3-METE</v>
          </cell>
          <cell r="B432" t="str">
            <v>METALLURGICAL CHARACTERIZATION LABORATORY</v>
          </cell>
          <cell r="C432" t="str">
            <v>Arthur Emmanuel Kwesi</v>
          </cell>
          <cell r="D432">
            <v>87</v>
          </cell>
          <cell r="E432" t="str">
            <v>ED3-METE</v>
          </cell>
          <cell r="F432" t="str">
            <v>METE 358</v>
          </cell>
        </row>
        <row r="433">
          <cell r="A433" t="str">
            <v>METE 362,ED3-METE</v>
          </cell>
          <cell r="B433" t="str">
            <v>PHYSICAL METALLURGY OF FERROUS METALS</v>
          </cell>
          <cell r="C433" t="str">
            <v>Kwofie Samuel</v>
          </cell>
          <cell r="D433">
            <v>87</v>
          </cell>
          <cell r="E433" t="str">
            <v>ED3-METE</v>
          </cell>
          <cell r="F433" t="str">
            <v>METE 362</v>
          </cell>
        </row>
        <row r="434">
          <cell r="A434" t="str">
            <v>MSE 356,ED3-METE</v>
          </cell>
          <cell r="B434" t="str">
            <v>THIRD YEAR DESIGN PROJECT</v>
          </cell>
          <cell r="C434" t="str">
            <v>Bota Osei Sekyere</v>
          </cell>
          <cell r="D434">
            <v>87</v>
          </cell>
          <cell r="E434" t="str">
            <v>ED3-METE</v>
          </cell>
          <cell r="F434" t="str">
            <v>MSE 356</v>
          </cell>
        </row>
        <row r="435">
          <cell r="A435" t="str">
            <v>MSE 358,ED3-METE</v>
          </cell>
          <cell r="B435" t="str">
            <v>NUMERICAL METHODS FOR ENGINEERS</v>
          </cell>
          <cell r="C435" t="str">
            <v>Nartey Martinson Addo</v>
          </cell>
          <cell r="D435">
            <v>87</v>
          </cell>
          <cell r="E435" t="str">
            <v>ED3-METE</v>
          </cell>
          <cell r="F435" t="str">
            <v>MSE 358</v>
          </cell>
        </row>
        <row r="436">
          <cell r="A436" t="str">
            <v>MSE 362,ED3-METE</v>
          </cell>
          <cell r="B436" t="str">
            <v>MATERIALS JOINING PROCESSES</v>
          </cell>
          <cell r="C436" t="str">
            <v>Kwofie Samuel</v>
          </cell>
          <cell r="D436">
            <v>87</v>
          </cell>
          <cell r="E436" t="str">
            <v>ED3-METE</v>
          </cell>
          <cell r="F436" t="str">
            <v>MSE 362</v>
          </cell>
        </row>
        <row r="437">
          <cell r="A437" t="str">
            <v>ME 492,ED4-METE</v>
          </cell>
          <cell r="B437" t="str">
            <v>MANAGEMENT AND ENTREPRENEURSHIP DEVELOPMENT</v>
          </cell>
          <cell r="C437" t="str">
            <v>Mensah Lena Dzifa</v>
          </cell>
          <cell r="D437">
            <v>55</v>
          </cell>
          <cell r="E437" t="str">
            <v>ED4-METE</v>
          </cell>
          <cell r="F437" t="str">
            <v>ME 492</v>
          </cell>
        </row>
        <row r="438">
          <cell r="A438" t="str">
            <v>METE 452,ED4-METE</v>
          </cell>
          <cell r="B438" t="str">
            <v>ELECTROMETALLURGY</v>
          </cell>
          <cell r="C438" t="str">
            <v>Agbe Henry</v>
          </cell>
          <cell r="D438">
            <v>55</v>
          </cell>
          <cell r="E438" t="str">
            <v>ED4-METE</v>
          </cell>
          <cell r="F438" t="str">
            <v>METE 452</v>
          </cell>
        </row>
        <row r="439">
          <cell r="A439" t="str">
            <v>METE 454,ED4-METE</v>
          </cell>
          <cell r="B439" t="str">
            <v>METALLURGICAL WASTE MANAGEMENT</v>
          </cell>
          <cell r="C439" t="str">
            <v>Koomson Bennetta</v>
          </cell>
          <cell r="D439">
            <v>55</v>
          </cell>
          <cell r="E439" t="str">
            <v>ED4-METE</v>
          </cell>
          <cell r="F439" t="str">
            <v>METE 454</v>
          </cell>
        </row>
        <row r="440">
          <cell r="A440" t="str">
            <v>MSE 456,ED4-METE</v>
          </cell>
          <cell r="B440" t="str">
            <v>MATERIALS QUALITY CONTROL, ASSURRANCE AND SELECTION</v>
          </cell>
          <cell r="C440" t="str">
            <v>Arthur Emmanuel Kwesi</v>
          </cell>
          <cell r="D440">
            <v>55</v>
          </cell>
          <cell r="E440" t="str">
            <v>ED4-METE</v>
          </cell>
          <cell r="F440" t="str">
            <v>MSE 456</v>
          </cell>
        </row>
        <row r="441">
          <cell r="A441" t="str">
            <v>MSE 458,ED4-METE</v>
          </cell>
          <cell r="B441" t="str">
            <v>PROCESS DYNANICS AND CONTROL</v>
          </cell>
          <cell r="C441" t="str">
            <v>Adjaottor Albert Amatey</v>
          </cell>
          <cell r="D441">
            <v>55</v>
          </cell>
          <cell r="E441" t="str">
            <v>ED4-METE</v>
          </cell>
          <cell r="F441" t="str">
            <v>MSE 458</v>
          </cell>
        </row>
        <row r="442">
          <cell r="A442" t="str">
            <v>CHE 156,ED1-PCE</v>
          </cell>
          <cell r="B442" t="str">
            <v>PHYSICAL CHEMISTRY FOR ENGINEERS</v>
          </cell>
          <cell r="C442" t="str">
            <v>Boakye Patrick</v>
          </cell>
          <cell r="D442">
            <v>56</v>
          </cell>
          <cell r="E442" t="str">
            <v>ED1-PCE</v>
          </cell>
          <cell r="F442" t="str">
            <v>CHE 156</v>
          </cell>
        </row>
        <row r="443">
          <cell r="A443" t="str">
            <v>EE 152,ED1-PCE</v>
          </cell>
          <cell r="B443" t="str">
            <v>BASIC ELECTRONICS</v>
          </cell>
          <cell r="C443" t="str">
            <v>Twumasi Elvis</v>
          </cell>
          <cell r="D443">
            <v>56</v>
          </cell>
          <cell r="E443" t="str">
            <v>ED1-PCE</v>
          </cell>
          <cell r="F443" t="str">
            <v>EE 152</v>
          </cell>
        </row>
        <row r="444">
          <cell r="A444" t="str">
            <v>ENGL 158,ED1-PCE</v>
          </cell>
          <cell r="B444" t="str">
            <v>COMMUNICATION SKILLS II</v>
          </cell>
          <cell r="C444" t="str">
            <v>Yeboah Philomena Ama Okyeso</v>
          </cell>
          <cell r="D444">
            <v>56</v>
          </cell>
          <cell r="E444" t="str">
            <v>ED1-PCE</v>
          </cell>
          <cell r="F444" t="str">
            <v>ENGL 158</v>
          </cell>
        </row>
        <row r="445">
          <cell r="A445" t="str">
            <v>MATH 152,ED1-PCE</v>
          </cell>
          <cell r="B445" t="str">
            <v>CALCULUS WITH ANALYSIS</v>
          </cell>
          <cell r="C445" t="str">
            <v>Isaac Azure</v>
          </cell>
          <cell r="D445">
            <v>56</v>
          </cell>
          <cell r="E445" t="str">
            <v>ED1-PCE</v>
          </cell>
          <cell r="F445" t="str">
            <v>MATH 152</v>
          </cell>
        </row>
        <row r="446">
          <cell r="A446" t="str">
            <v>ME 162,ED1-PCE</v>
          </cell>
          <cell r="B446" t="str">
            <v>BASIC MECHANICS</v>
          </cell>
          <cell r="C446" t="str">
            <v>Boahen Samuel</v>
          </cell>
          <cell r="D446">
            <v>56</v>
          </cell>
          <cell r="E446" t="str">
            <v>ED1-PCE</v>
          </cell>
          <cell r="F446" t="str">
            <v>ME 162</v>
          </cell>
        </row>
        <row r="447">
          <cell r="A447" t="str">
            <v>PCE 158,ED1-PCE</v>
          </cell>
          <cell r="B447" t="str">
            <v>INTRODUCTION TO INFORMATION TECHNOLOGY</v>
          </cell>
          <cell r="C447" t="str">
            <v>Baidoo Martina Francisca</v>
          </cell>
          <cell r="D447">
            <v>56</v>
          </cell>
          <cell r="E447" t="str">
            <v>ED1-PCE</v>
          </cell>
          <cell r="F447" t="str">
            <v>PCE 158</v>
          </cell>
        </row>
        <row r="448">
          <cell r="A448" t="str">
            <v>PHY 170,ED1-PCE</v>
          </cell>
          <cell r="B448" t="str">
            <v>GENERAL PHYSICS</v>
          </cell>
          <cell r="C448" t="str">
            <v>Abavare Eric Kwabena Kyeh</v>
          </cell>
          <cell r="D448">
            <v>56</v>
          </cell>
          <cell r="E448" t="str">
            <v>ED1-PCE</v>
          </cell>
          <cell r="F448" t="str">
            <v>PHY 170</v>
          </cell>
        </row>
        <row r="449">
          <cell r="A449" t="str">
            <v>CHE 250,ED2-PCE</v>
          </cell>
          <cell r="B449" t="str">
            <v>STRENGTH OF MATERIALS FOR CHEMICAL ENGINEERS</v>
          </cell>
          <cell r="C449" t="str">
            <v>Baidoo Martina Francisca</v>
          </cell>
          <cell r="D449">
            <v>65</v>
          </cell>
          <cell r="E449" t="str">
            <v>ED2-PCE</v>
          </cell>
          <cell r="F449" t="str">
            <v>CHE 250</v>
          </cell>
        </row>
        <row r="450">
          <cell r="A450" t="str">
            <v>CHE 252,ED2-PCE</v>
          </cell>
          <cell r="B450" t="str">
            <v>CHEMICAL PROCESS CALCULATIONS II</v>
          </cell>
          <cell r="C450" t="str">
            <v>Ohemeng-Boahen Godfred</v>
          </cell>
          <cell r="D450">
            <v>65</v>
          </cell>
          <cell r="E450" t="str">
            <v>ED2-PCE</v>
          </cell>
          <cell r="F450" t="str">
            <v>CHE 252</v>
          </cell>
        </row>
        <row r="451">
          <cell r="A451" t="str">
            <v>CHE 254,ED2-PCE</v>
          </cell>
          <cell r="B451" t="str">
            <v>CHEMICAL ENGINEERING THERMODYNAMICS II</v>
          </cell>
          <cell r="C451" t="str">
            <v>Eunice Sefakor Aku Dogbe</v>
          </cell>
          <cell r="D451">
            <v>65</v>
          </cell>
          <cell r="E451" t="str">
            <v>ED2-PCE</v>
          </cell>
          <cell r="F451" t="str">
            <v>CHE 254</v>
          </cell>
        </row>
        <row r="452">
          <cell r="A452" t="str">
            <v>CHE 256,ED2-PCE</v>
          </cell>
          <cell r="B452" t="str">
            <v>HEAT TRANSPORT PROCESSES</v>
          </cell>
          <cell r="C452" t="str">
            <v>Ohemeng-Boahen Godfred</v>
          </cell>
          <cell r="D452">
            <v>65</v>
          </cell>
          <cell r="E452" t="str">
            <v>ED2-PCE</v>
          </cell>
          <cell r="F452" t="str">
            <v>CHE 256</v>
          </cell>
        </row>
        <row r="453">
          <cell r="A453" t="str">
            <v>CHE 258,ED2-PCE</v>
          </cell>
          <cell r="B453" t="str">
            <v>DRAWING FOR ENGINEERS</v>
          </cell>
          <cell r="C453" t="str">
            <v>Darkwah Lawrence</v>
          </cell>
          <cell r="D453">
            <v>65</v>
          </cell>
          <cell r="E453" t="str">
            <v>ED2-PCE</v>
          </cell>
          <cell r="F453" t="str">
            <v>CHE 258</v>
          </cell>
        </row>
        <row r="454">
          <cell r="A454" t="str">
            <v>CHEM 280,ED2-PCE</v>
          </cell>
          <cell r="B454" t="str">
            <v>PRACTICAL CHEMISTRY II</v>
          </cell>
          <cell r="C454" t="str">
            <v>Opoku Francis</v>
          </cell>
          <cell r="D454">
            <v>65</v>
          </cell>
          <cell r="E454" t="str">
            <v>ED2-PCE</v>
          </cell>
          <cell r="F454" t="str">
            <v>CHEM 280</v>
          </cell>
        </row>
        <row r="455">
          <cell r="A455" t="str">
            <v>MATH 252,ED2-PCE</v>
          </cell>
          <cell r="B455" t="str">
            <v>CALCULUS OF SEVERAL VARIABLES</v>
          </cell>
          <cell r="C455" t="str">
            <v>Eghan Rhydal Esi</v>
          </cell>
          <cell r="D455">
            <v>65</v>
          </cell>
          <cell r="E455" t="str">
            <v>ED2-PCE</v>
          </cell>
          <cell r="F455" t="str">
            <v>MATH 252</v>
          </cell>
        </row>
        <row r="456">
          <cell r="A456" t="str">
            <v>CHE 350,ED3-PCE</v>
          </cell>
          <cell r="B456" t="str">
            <v>MATERIALS SCIENCE</v>
          </cell>
          <cell r="C456" t="str">
            <v>Anang Daniel Adjah</v>
          </cell>
          <cell r="D456">
            <v>53</v>
          </cell>
          <cell r="E456" t="str">
            <v>ED3-PCE</v>
          </cell>
          <cell r="F456" t="str">
            <v>CHE 350</v>
          </cell>
        </row>
        <row r="457">
          <cell r="A457" t="str">
            <v>CHE 358,ED3-PCE</v>
          </cell>
          <cell r="B457" t="str">
            <v>NUMERICAL METHODS FOR CHEMICAL ENGINEERS</v>
          </cell>
          <cell r="C457" t="str">
            <v>Mensah Mary</v>
          </cell>
          <cell r="D457">
            <v>53</v>
          </cell>
          <cell r="E457" t="str">
            <v>ED3-PCE</v>
          </cell>
          <cell r="F457" t="str">
            <v>CHE 358</v>
          </cell>
        </row>
        <row r="458">
          <cell r="A458" t="str">
            <v>CHE 366,ED3-PCE</v>
          </cell>
          <cell r="B458" t="str">
            <v>RENEWABLE ENERGY RESOURCES</v>
          </cell>
          <cell r="C458" t="str">
            <v>Baah-Ennumh Emmanuel Kwaku</v>
          </cell>
          <cell r="D458">
            <v>20</v>
          </cell>
          <cell r="E458" t="str">
            <v>ED3-PCE</v>
          </cell>
          <cell r="F458" t="str">
            <v>CHE 366</v>
          </cell>
        </row>
        <row r="459">
          <cell r="A459" t="str">
            <v>CHE 370,ED3-PCE</v>
          </cell>
          <cell r="B459" t="str">
            <v>ENVIRONMENTAL IMPACT ASSESSMENT</v>
          </cell>
          <cell r="C459" t="str">
            <v>Afotey Benjamin</v>
          </cell>
          <cell r="D459">
            <v>30</v>
          </cell>
          <cell r="E459" t="str">
            <v>ED3-PCE</v>
          </cell>
          <cell r="F459" t="str">
            <v>CHE 370</v>
          </cell>
        </row>
        <row r="460">
          <cell r="A460" t="str">
            <v>PCE 350,ED3-PCE</v>
          </cell>
          <cell r="B460" t="str">
            <v>KINETICS AND REACTIONS ENGINEERING</v>
          </cell>
          <cell r="C460" t="str">
            <v>Augustine Ntiamoah</v>
          </cell>
          <cell r="D460">
            <v>53</v>
          </cell>
          <cell r="E460" t="str">
            <v>ED3-PCE</v>
          </cell>
          <cell r="F460" t="str">
            <v>PCE 350</v>
          </cell>
        </row>
        <row r="461">
          <cell r="A461" t="str">
            <v>PCE 352,ED3-PCE</v>
          </cell>
          <cell r="B461" t="str">
            <v>SEPARATION PROCESSES II</v>
          </cell>
          <cell r="C461" t="str">
            <v>Augustine Ntiamoah</v>
          </cell>
          <cell r="D461">
            <v>53</v>
          </cell>
          <cell r="E461" t="str">
            <v>ED3-PCE</v>
          </cell>
          <cell r="F461" t="str">
            <v>PCE 352</v>
          </cell>
        </row>
        <row r="462">
          <cell r="A462" t="str">
            <v>PCE 354,ED3-PCE</v>
          </cell>
          <cell r="B462" t="str">
            <v>PETROCHEMICAL ENGINEERING LABORATORY II</v>
          </cell>
          <cell r="C462" t="str">
            <v>Bonsu Jude Kwaku</v>
          </cell>
          <cell r="D462">
            <v>53</v>
          </cell>
          <cell r="E462" t="str">
            <v>ED3-PCE</v>
          </cell>
          <cell r="F462" t="str">
            <v>PCE 354</v>
          </cell>
        </row>
        <row r="463">
          <cell r="A463" t="str">
            <v>PETE 354,ED3-PCE</v>
          </cell>
          <cell r="B463" t="str">
            <v>PETROLEUM PRODUCTION ENGINEERING</v>
          </cell>
          <cell r="C463" t="str">
            <v>Ankudey Emmanuel Godwin</v>
          </cell>
          <cell r="D463">
            <v>53</v>
          </cell>
          <cell r="E463" t="str">
            <v>ED3-PCE</v>
          </cell>
          <cell r="F463" t="str">
            <v>PETE 354</v>
          </cell>
        </row>
        <row r="464">
          <cell r="A464" t="str">
            <v>PETE 450,ED3-PCE</v>
          </cell>
          <cell r="B464" t="str">
            <v>NATURAL GAS ENGINEERING</v>
          </cell>
          <cell r="C464" t="str">
            <v>Ankudey Emmanuel Godwin</v>
          </cell>
          <cell r="D464">
            <v>53</v>
          </cell>
          <cell r="E464" t="str">
            <v>ED3-PCE</v>
          </cell>
          <cell r="F464" t="str">
            <v>PETE 450</v>
          </cell>
        </row>
        <row r="465">
          <cell r="A465" t="str">
            <v>CHE 456,ED4-PCE</v>
          </cell>
          <cell r="B465" t="str">
            <v>PROCESS CONTROL AND SIMULATION</v>
          </cell>
          <cell r="C465" t="str">
            <v>Baidoo Martina Francisca</v>
          </cell>
          <cell r="D465">
            <v>55</v>
          </cell>
          <cell r="E465" t="str">
            <v>ED4-PCE</v>
          </cell>
          <cell r="F465" t="str">
            <v>CHE 456</v>
          </cell>
        </row>
        <row r="466">
          <cell r="A466" t="str">
            <v>CHE 458,ED4-PCE</v>
          </cell>
          <cell r="B466" t="str">
            <v>ENTREPRENEURSHIP AND BUSINESS DEVELOPMENT</v>
          </cell>
          <cell r="C466" t="str">
            <v>Asamoah Boateng Kenneth</v>
          </cell>
          <cell r="D466">
            <v>55</v>
          </cell>
          <cell r="E466" t="str">
            <v>ED4-PCE</v>
          </cell>
          <cell r="F466" t="str">
            <v>CHE 458</v>
          </cell>
        </row>
        <row r="467">
          <cell r="A467" t="str">
            <v>CHE 464,ED4-PCE</v>
          </cell>
          <cell r="B467" t="str">
            <v>ADSORPTION SEPARATION PROCESS TECHNOLOGY</v>
          </cell>
          <cell r="C467" t="str">
            <v>Ohemeng-Boahen Godfred</v>
          </cell>
          <cell r="D467">
            <v>40</v>
          </cell>
          <cell r="E467" t="str">
            <v>ED4-PCE</v>
          </cell>
          <cell r="F467" t="str">
            <v>CHE 464</v>
          </cell>
        </row>
        <row r="468">
          <cell r="A468" t="str">
            <v>MSE 356,ED4-PCE</v>
          </cell>
          <cell r="B468" t="str">
            <v>ENGINEERING PROPERTIES OF POLYMERS</v>
          </cell>
          <cell r="C468" t="str">
            <v>Asare Eric Kwame Anokye</v>
          </cell>
          <cell r="D468">
            <v>0</v>
          </cell>
          <cell r="E468" t="str">
            <v>ED4-PCE</v>
          </cell>
          <cell r="F468" t="str">
            <v>MSE 356</v>
          </cell>
        </row>
        <row r="469">
          <cell r="A469" t="str">
            <v>PCE 450,ED4-PCE</v>
          </cell>
          <cell r="B469" t="str">
            <v>PETROLEUM REFINING ENGINEERING</v>
          </cell>
          <cell r="C469" t="str">
            <v>Kwao-Boateng Emmanuela</v>
          </cell>
          <cell r="D469">
            <v>55</v>
          </cell>
          <cell r="E469" t="str">
            <v>ED4-PCE</v>
          </cell>
          <cell r="F469" t="str">
            <v>PCE 450</v>
          </cell>
        </row>
        <row r="470">
          <cell r="A470" t="str">
            <v>EE 152,ED1-PE</v>
          </cell>
          <cell r="B470" t="str">
            <v>BASIC ELECTRONICS</v>
          </cell>
          <cell r="C470" t="str">
            <v>Twumasi Elvis</v>
          </cell>
          <cell r="D470">
            <v>130</v>
          </cell>
          <cell r="E470" t="str">
            <v>ED1-PE</v>
          </cell>
          <cell r="F470" t="str">
            <v>EE 152</v>
          </cell>
        </row>
        <row r="471">
          <cell r="A471" t="str">
            <v>ENGL 158,ED1-PE</v>
          </cell>
          <cell r="B471" t="str">
            <v>COMMUNICATION SKILLS II</v>
          </cell>
          <cell r="C471" t="str">
            <v>Alhassan Yakubu</v>
          </cell>
          <cell r="D471">
            <v>130</v>
          </cell>
          <cell r="E471" t="str">
            <v>ED1-PE</v>
          </cell>
          <cell r="F471" t="str">
            <v>ENGL 158</v>
          </cell>
        </row>
        <row r="472">
          <cell r="A472" t="str">
            <v>MATH 152,ED1-PE</v>
          </cell>
          <cell r="B472" t="str">
            <v>CALCULUS WITH ANALYSIS</v>
          </cell>
          <cell r="C472" t="str">
            <v>Kwabi Prince Amponsah</v>
          </cell>
          <cell r="D472">
            <v>130</v>
          </cell>
          <cell r="E472" t="str">
            <v>ED1-PE</v>
          </cell>
          <cell r="F472" t="str">
            <v>MATH 152</v>
          </cell>
        </row>
        <row r="473">
          <cell r="A473" t="str">
            <v>ME 162,ED1-PE</v>
          </cell>
          <cell r="B473" t="str">
            <v>BASIC MECHANICS</v>
          </cell>
          <cell r="C473" t="str">
            <v>Quansah David Ato</v>
          </cell>
          <cell r="D473">
            <v>130</v>
          </cell>
          <cell r="E473" t="str">
            <v>ED1-PE</v>
          </cell>
          <cell r="F473" t="str">
            <v>ME 162</v>
          </cell>
        </row>
        <row r="474">
          <cell r="A474" t="str">
            <v>PE 154,ED1-PE</v>
          </cell>
          <cell r="B474" t="str">
            <v>INTRODUCTION TO PETROLEUM ENGINEERING</v>
          </cell>
          <cell r="C474" t="str">
            <v>Erzuah Samuel</v>
          </cell>
          <cell r="D474">
            <v>130</v>
          </cell>
          <cell r="E474" t="str">
            <v>ED1-PE</v>
          </cell>
          <cell r="F474" t="str">
            <v>PE 154</v>
          </cell>
        </row>
        <row r="475">
          <cell r="A475" t="str">
            <v>PE 156,ED1-PE</v>
          </cell>
          <cell r="B475" t="str">
            <v>PHYSICAL CHEMISTRY FOR ENGINEERS</v>
          </cell>
          <cell r="C475" t="str">
            <v>Boakye Patrick</v>
          </cell>
          <cell r="D475">
            <v>130</v>
          </cell>
          <cell r="E475" t="str">
            <v>ED1-PE</v>
          </cell>
          <cell r="F475" t="str">
            <v>PE 156</v>
          </cell>
        </row>
        <row r="476">
          <cell r="A476" t="str">
            <v>PHY 170,ED1-PE</v>
          </cell>
          <cell r="B476" t="str">
            <v>GENERAL PHYSICS</v>
          </cell>
          <cell r="C476" t="str">
            <v>Boateng Cyril Dziedzorm</v>
          </cell>
          <cell r="D476">
            <v>130</v>
          </cell>
          <cell r="E476" t="str">
            <v>ED1-PE</v>
          </cell>
          <cell r="F476" t="str">
            <v>PHY 170</v>
          </cell>
        </row>
        <row r="477">
          <cell r="A477" t="str">
            <v>MATH 252,ED2-PE</v>
          </cell>
          <cell r="B477" t="str">
            <v>CALCULUS OF SEVERAL VARIABLES</v>
          </cell>
          <cell r="C477" t="str">
            <v>Eghan Rhydal Esi</v>
          </cell>
          <cell r="D477">
            <v>95</v>
          </cell>
          <cell r="E477" t="str">
            <v>ED2-PE</v>
          </cell>
          <cell r="F477" t="str">
            <v>MATH 252</v>
          </cell>
        </row>
        <row r="478">
          <cell r="A478" t="str">
            <v>PE 252,ED2-PE</v>
          </cell>
          <cell r="B478" t="str">
            <v>HEAT TRANSPORT PROCESSES</v>
          </cell>
          <cell r="C478" t="str">
            <v>Adjei Stephen</v>
          </cell>
          <cell r="D478">
            <v>95</v>
          </cell>
          <cell r="E478" t="str">
            <v>ED2-PE</v>
          </cell>
          <cell r="F478" t="str">
            <v>PE 252</v>
          </cell>
        </row>
        <row r="479">
          <cell r="A479" t="str">
            <v>PE 254,ED2-PE</v>
          </cell>
          <cell r="B479" t="str">
            <v>DRAWING FOR ENGINEERS</v>
          </cell>
          <cell r="C479" t="str">
            <v>Jones Twumasi</v>
          </cell>
          <cell r="D479">
            <v>95</v>
          </cell>
          <cell r="E479" t="str">
            <v>ED2-PE</v>
          </cell>
          <cell r="F479" t="str">
            <v>PE 254</v>
          </cell>
        </row>
        <row r="480">
          <cell r="A480" t="str">
            <v>PE 256,ED2-PE</v>
          </cell>
          <cell r="B480" t="str">
            <v>REGIONAL GEOLOGY</v>
          </cell>
          <cell r="C480" t="str">
            <v>Quaye Jonathan Atuquaye</v>
          </cell>
          <cell r="D480">
            <v>95</v>
          </cell>
          <cell r="E480" t="str">
            <v>ED2-PE</v>
          </cell>
          <cell r="F480" t="str">
            <v>PE 256</v>
          </cell>
        </row>
        <row r="481">
          <cell r="A481" t="str">
            <v>PE 258,ED2-PE</v>
          </cell>
          <cell r="B481" t="str">
            <v>PETROLEUM ENGINEERING THERMODYNAMICS II</v>
          </cell>
          <cell r="C481" t="str">
            <v>Sokama-Neuyam Yen Adams</v>
          </cell>
          <cell r="D481">
            <v>95</v>
          </cell>
          <cell r="E481" t="str">
            <v>ED2-PE</v>
          </cell>
          <cell r="F481" t="str">
            <v>PE 258</v>
          </cell>
        </row>
        <row r="482">
          <cell r="A482" t="str">
            <v>PE 260,ED2-PE</v>
          </cell>
          <cell r="B482" t="str">
            <v>RESERVOIR FLUID PROPERTIES</v>
          </cell>
          <cell r="C482" t="str">
            <v>Casper Daniel Adenutsi</v>
          </cell>
          <cell r="D482">
            <v>95</v>
          </cell>
          <cell r="E482" t="str">
            <v>ED2-PE</v>
          </cell>
          <cell r="F482" t="str">
            <v>PE 260</v>
          </cell>
        </row>
        <row r="483">
          <cell r="A483" t="str">
            <v>PE 262,ED2-PE</v>
          </cell>
          <cell r="B483" t="str">
            <v>COMPUTER PROGRAMMING IN OIL AND GAS</v>
          </cell>
          <cell r="C483" t="str">
            <v>Sokama-Neuyam Yen Adams</v>
          </cell>
          <cell r="D483">
            <v>95</v>
          </cell>
          <cell r="E483" t="str">
            <v>ED2-PE</v>
          </cell>
          <cell r="F483" t="str">
            <v>PE 262</v>
          </cell>
        </row>
        <row r="484">
          <cell r="A484" t="str">
            <v>PE 264,ED2-PE</v>
          </cell>
          <cell r="B484" t="str">
            <v>PRINCIPLES OF LAND SURVEYING AND HYDROGRAPHIC SCIENCE</v>
          </cell>
          <cell r="C484" t="str">
            <v>Asante Cosmas Yaw</v>
          </cell>
          <cell r="D484">
            <v>95</v>
          </cell>
          <cell r="E484" t="str">
            <v>ED2-PE</v>
          </cell>
          <cell r="F484" t="str">
            <v>PE 264</v>
          </cell>
        </row>
        <row r="485">
          <cell r="A485" t="str">
            <v>PE 350,ED3-PE</v>
          </cell>
          <cell r="B485" t="str">
            <v>NUMERICAL METHODS FOR PETROLEUM ENGINEERS</v>
          </cell>
          <cell r="C485" t="str">
            <v>Sokama-Neuyam Yen Adams</v>
          </cell>
          <cell r="D485">
            <v>80</v>
          </cell>
          <cell r="E485" t="str">
            <v>ED3-PE</v>
          </cell>
          <cell r="F485" t="str">
            <v>PE 350</v>
          </cell>
        </row>
        <row r="486">
          <cell r="A486" t="str">
            <v>PE 352,ED3-PE</v>
          </cell>
          <cell r="B486" t="str">
            <v>PETROLEUM GEOLOGY</v>
          </cell>
          <cell r="C486" t="str">
            <v>Borkloe Julius Kwame</v>
          </cell>
          <cell r="D486">
            <v>80</v>
          </cell>
          <cell r="E486" t="str">
            <v>ED3-PE</v>
          </cell>
          <cell r="F486" t="str">
            <v>PE 352</v>
          </cell>
        </row>
        <row r="487">
          <cell r="A487" t="str">
            <v>PE 354,ED3-PE</v>
          </cell>
          <cell r="B487" t="str">
            <v>DRILLING ENGINEERING II</v>
          </cell>
          <cell r="C487" t="str">
            <v>Erzuah Samuel</v>
          </cell>
          <cell r="D487">
            <v>80</v>
          </cell>
          <cell r="E487" t="str">
            <v>ED3-PE</v>
          </cell>
          <cell r="F487" t="str">
            <v>PE 354</v>
          </cell>
        </row>
        <row r="488">
          <cell r="A488" t="str">
            <v>PE 356,ED3-PE</v>
          </cell>
          <cell r="B488" t="str">
            <v>PETROLEUM ENGINEERING LAB II</v>
          </cell>
          <cell r="C488" t="str">
            <v>Erzuah Samuel</v>
          </cell>
          <cell r="D488">
            <v>80</v>
          </cell>
          <cell r="E488" t="str">
            <v>ED3-PE</v>
          </cell>
          <cell r="F488" t="str">
            <v>PE 356</v>
          </cell>
        </row>
        <row r="489">
          <cell r="A489" t="str">
            <v>PE 358,ED3-PE</v>
          </cell>
          <cell r="B489" t="str">
            <v>PETROLEUM PRODUCTION ENGINEERING II</v>
          </cell>
          <cell r="C489" t="str">
            <v>Sarkodie Kwame</v>
          </cell>
          <cell r="D489">
            <v>80</v>
          </cell>
          <cell r="E489" t="str">
            <v>ED3-PE</v>
          </cell>
          <cell r="F489" t="str">
            <v>PE 358</v>
          </cell>
        </row>
        <row r="490">
          <cell r="A490" t="str">
            <v>PE 360,ED3-PE</v>
          </cell>
          <cell r="B490" t="str">
            <v>WELL TESTING</v>
          </cell>
          <cell r="C490" t="str">
            <v>Adenutsi Caspar Daniel</v>
          </cell>
          <cell r="D490">
            <v>80</v>
          </cell>
          <cell r="E490" t="str">
            <v>ED3-PE</v>
          </cell>
          <cell r="F490" t="str">
            <v>PE 360</v>
          </cell>
        </row>
        <row r="491">
          <cell r="A491" t="str">
            <v>PE 362,ED3-PE</v>
          </cell>
          <cell r="B491" t="str">
            <v>GEOSTATISTICS</v>
          </cell>
          <cell r="C491" t="str">
            <v>Mustapha Hameed</v>
          </cell>
          <cell r="D491">
            <v>80</v>
          </cell>
          <cell r="E491" t="str">
            <v>ED3-PE</v>
          </cell>
          <cell r="F491" t="str">
            <v>PE 362</v>
          </cell>
        </row>
        <row r="492">
          <cell r="A492" t="str">
            <v>PE 364,ED3-PE</v>
          </cell>
          <cell r="B492" t="str">
            <v>OIL &amp; GAS GEOLPHYSICS</v>
          </cell>
          <cell r="C492" t="str">
            <v>Quaye Jonathan Atuquaye</v>
          </cell>
          <cell r="D492">
            <v>80</v>
          </cell>
          <cell r="E492" t="str">
            <v>ED3-PE</v>
          </cell>
          <cell r="F492" t="str">
            <v>PE 364</v>
          </cell>
        </row>
        <row r="493">
          <cell r="A493" t="str">
            <v>PE 366,ED3-PE</v>
          </cell>
          <cell r="B493" t="str">
            <v>HEALTH SAFETY AND ENVIRONMENT</v>
          </cell>
          <cell r="C493" t="str">
            <v>Adjei Stephen</v>
          </cell>
          <cell r="D493">
            <v>80</v>
          </cell>
          <cell r="E493" t="str">
            <v>ED3-PE</v>
          </cell>
          <cell r="F493" t="str">
            <v>PE 366</v>
          </cell>
        </row>
        <row r="494">
          <cell r="A494" t="str">
            <v>PE 450,ED4-PE</v>
          </cell>
          <cell r="B494" t="str">
            <v>RESERVOIR RECOVERY TECHNIQUES</v>
          </cell>
          <cell r="C494" t="str">
            <v>Adenutsi Caspar Daniel</v>
          </cell>
          <cell r="D494">
            <v>99</v>
          </cell>
          <cell r="E494" t="str">
            <v>ED4-PE</v>
          </cell>
          <cell r="F494" t="str">
            <v>PE 450</v>
          </cell>
        </row>
        <row r="495">
          <cell r="A495" t="str">
            <v>PE 452,ED4-PE</v>
          </cell>
          <cell r="B495" t="str">
            <v>PETROLEUM PROJECT EVALUATION</v>
          </cell>
          <cell r="C495" t="str">
            <v>Sarkodie Kwame</v>
          </cell>
          <cell r="D495">
            <v>99</v>
          </cell>
          <cell r="E495" t="str">
            <v>ED4-PE</v>
          </cell>
          <cell r="F495" t="str">
            <v>PE 452</v>
          </cell>
        </row>
        <row r="496">
          <cell r="A496" t="str">
            <v>PE 456,ED4-PE</v>
          </cell>
          <cell r="B496" t="str">
            <v>WELL COMPLETION AND STIMULATION</v>
          </cell>
          <cell r="C496" t="str">
            <v>Erzuah Samuel</v>
          </cell>
          <cell r="D496">
            <v>99</v>
          </cell>
          <cell r="E496" t="str">
            <v>ED4-PE</v>
          </cell>
          <cell r="F496" t="str">
            <v>PE 456</v>
          </cell>
        </row>
        <row r="497">
          <cell r="A497" t="str">
            <v>PE 458,ED4-PE</v>
          </cell>
          <cell r="B497" t="str">
            <v>OILFIELD GEOLCHEMISTRY</v>
          </cell>
          <cell r="C497" t="str">
            <v>Adenutsi Caspar Daniel</v>
          </cell>
          <cell r="D497">
            <v>99</v>
          </cell>
          <cell r="E497" t="str">
            <v>ED4-PE</v>
          </cell>
          <cell r="F497" t="str">
            <v>PE 458</v>
          </cell>
        </row>
        <row r="498">
          <cell r="A498" t="str">
            <v>PE 464,ED4-PE</v>
          </cell>
          <cell r="B498" t="str">
            <v>REFINING PROCESS TECHNOLOGY</v>
          </cell>
          <cell r="C498" t="str">
            <v>Kwao-Boateng Emmanuela</v>
          </cell>
          <cell r="D498">
            <v>99</v>
          </cell>
          <cell r="E498" t="str">
            <v>ED4-PE</v>
          </cell>
          <cell r="F498" t="str">
            <v>PE 464</v>
          </cell>
        </row>
        <row r="499">
          <cell r="A499" t="str">
            <v>PE 466,ED4-PE</v>
          </cell>
          <cell r="B499" t="str">
            <v>FUNDAMENTALS OF PETROLEUM LAW</v>
          </cell>
          <cell r="C499" t="str">
            <v>Amoah Enoch Kwabena</v>
          </cell>
          <cell r="D499">
            <v>99</v>
          </cell>
          <cell r="E499" t="str">
            <v>ED4-PE</v>
          </cell>
          <cell r="F499" t="str">
            <v>PE 466</v>
          </cell>
        </row>
        <row r="500">
          <cell r="A500" t="str">
            <v>PE 468,ED4-PE</v>
          </cell>
          <cell r="B500" t="str">
            <v>PETROLEUM BUSINESS: STRUCTURES, LOGISTICS</v>
          </cell>
          <cell r="C500" t="str">
            <v>Quaye Jonathan Atuquaye</v>
          </cell>
          <cell r="D500">
            <v>77</v>
          </cell>
          <cell r="E500" t="str">
            <v>ED4-PE</v>
          </cell>
          <cell r="F500" t="str">
            <v>PE 468</v>
          </cell>
        </row>
        <row r="501">
          <cell r="A501" t="str">
            <v>PE 472,ED4-PE</v>
          </cell>
          <cell r="B501" t="str">
            <v>NATURAL GAS ENGINEERING II</v>
          </cell>
          <cell r="C501" t="str">
            <v>Sarkodie Kwame</v>
          </cell>
          <cell r="D501">
            <v>99</v>
          </cell>
          <cell r="E501" t="str">
            <v>ED4-PE</v>
          </cell>
          <cell r="F501" t="str">
            <v>PE 472</v>
          </cell>
        </row>
        <row r="502">
          <cell r="A502" t="str">
            <v>PE 474,ED4-PE</v>
          </cell>
          <cell r="B502" t="str">
            <v>PIPELINE ENGINEERING</v>
          </cell>
          <cell r="C502" t="str">
            <v>Adjei Stephen</v>
          </cell>
          <cell r="D502">
            <v>99</v>
          </cell>
          <cell r="E502" t="str">
            <v>ED4-PE</v>
          </cell>
          <cell r="F502" t="str">
            <v>PE 474</v>
          </cell>
        </row>
        <row r="503">
          <cell r="A503" t="str">
            <v>PE 476,ED4-PE</v>
          </cell>
          <cell r="B503" t="str">
            <v>ENERGY AND CLIMATE CHANGE</v>
          </cell>
          <cell r="C503" t="str">
            <v>Sokama-Neuyam Yen Adams</v>
          </cell>
          <cell r="D503">
            <v>22</v>
          </cell>
          <cell r="E503" t="str">
            <v>ED4-PE</v>
          </cell>
          <cell r="F503" t="str">
            <v>PE 476</v>
          </cell>
        </row>
        <row r="504">
          <cell r="A504" t="str">
            <v>EE 152,ED1-TEL</v>
          </cell>
          <cell r="B504" t="str">
            <v>BASIC ELECTRONICS</v>
          </cell>
          <cell r="C504" t="str">
            <v>Affum Emmanuel Ampoma</v>
          </cell>
          <cell r="D504">
            <v>130</v>
          </cell>
          <cell r="E504" t="str">
            <v>ED1-TEL</v>
          </cell>
          <cell r="F504" t="str">
            <v>EE 152</v>
          </cell>
        </row>
        <row r="505">
          <cell r="A505" t="str">
            <v>EE 188,ED1-TEL</v>
          </cell>
          <cell r="B505" t="str">
            <v>ELECTRICAL MEASUREMENT AND INSTRUMENTATION</v>
          </cell>
          <cell r="C505" t="str">
            <v>Obeng Kwakye Kingsford Sarkodie</v>
          </cell>
          <cell r="D505">
            <v>130</v>
          </cell>
          <cell r="E505" t="str">
            <v>ED1-TEL</v>
          </cell>
          <cell r="F505" t="str">
            <v>EE 188</v>
          </cell>
        </row>
        <row r="506">
          <cell r="A506" t="str">
            <v>ENGL 158,ED1-TEL</v>
          </cell>
          <cell r="B506" t="str">
            <v>COMMUNICATION SKILLS II</v>
          </cell>
          <cell r="C506" t="str">
            <v>Alhassan Yakubu</v>
          </cell>
          <cell r="D506">
            <v>130</v>
          </cell>
          <cell r="E506" t="str">
            <v>ED1-TEL</v>
          </cell>
          <cell r="F506" t="str">
            <v>ENGL 158</v>
          </cell>
        </row>
        <row r="507">
          <cell r="A507" t="str">
            <v>MATH 152,ED1-TEL</v>
          </cell>
          <cell r="B507" t="str">
            <v>CALCULUS WITH ANALYSIS</v>
          </cell>
          <cell r="C507" t="str">
            <v>Lawton Adu-Ansah</v>
          </cell>
          <cell r="D507">
            <v>130</v>
          </cell>
          <cell r="E507" t="str">
            <v>ED1-TEL</v>
          </cell>
          <cell r="F507" t="str">
            <v>MATH 152</v>
          </cell>
        </row>
        <row r="508">
          <cell r="A508" t="str">
            <v>PSYC 154,ED1-TEL</v>
          </cell>
          <cell r="B508" t="str">
            <v>INTRODUCTION TO PSYCHOLOGY</v>
          </cell>
          <cell r="C508" t="str">
            <v>Sarfo Fordjour Elizabeth Anokyewaa</v>
          </cell>
          <cell r="D508">
            <v>130</v>
          </cell>
          <cell r="E508" t="str">
            <v>ED1-TEL</v>
          </cell>
          <cell r="F508" t="str">
            <v>PSYC 154</v>
          </cell>
        </row>
        <row r="509">
          <cell r="A509" t="str">
            <v>TE 152,ED1-TEL</v>
          </cell>
          <cell r="B509" t="str">
            <v>ENGINEERING RESEARCH AND TECHNICAL REPORT WRITING</v>
          </cell>
          <cell r="C509" t="str">
            <v>Obeng Kwakye Kingsford Sarkodie</v>
          </cell>
          <cell r="D509">
            <v>130</v>
          </cell>
          <cell r="E509" t="str">
            <v>ED1-TEL</v>
          </cell>
          <cell r="F509" t="str">
            <v>TE 152</v>
          </cell>
        </row>
        <row r="510">
          <cell r="A510" t="str">
            <v>TE 156,ED1-TEL</v>
          </cell>
          <cell r="B510" t="str">
            <v>INTRODUCTION TO COMMUNICATION NETWORKS</v>
          </cell>
          <cell r="C510" t="str">
            <v>Agyemang Justice Owusu</v>
          </cell>
          <cell r="D510">
            <v>130</v>
          </cell>
          <cell r="E510" t="str">
            <v>ED1-TEL</v>
          </cell>
          <cell r="F510" t="str">
            <v>TE 156</v>
          </cell>
        </row>
        <row r="511">
          <cell r="A511" t="str">
            <v>TE 158,ED1-TEL</v>
          </cell>
          <cell r="B511" t="str">
            <v>INTRODUCTION TO PROGRAMMING - I</v>
          </cell>
          <cell r="C511" t="str">
            <v>Agyemang Justice Owusu</v>
          </cell>
          <cell r="D511">
            <v>130</v>
          </cell>
          <cell r="E511" t="str">
            <v>ED1-TEL</v>
          </cell>
          <cell r="F511" t="str">
            <v>TE 158</v>
          </cell>
        </row>
        <row r="512">
          <cell r="A512" t="str">
            <v>ACF 256,ED2-TEL</v>
          </cell>
          <cell r="B512" t="str">
            <v>FINANCIAL ACCOUNTING II</v>
          </cell>
          <cell r="C512" t="str">
            <v>Yeboah Edward</v>
          </cell>
          <cell r="D512">
            <v>40</v>
          </cell>
          <cell r="E512" t="str">
            <v>ED2-TEL</v>
          </cell>
          <cell r="F512" t="str">
            <v>ACF 256</v>
          </cell>
        </row>
        <row r="513">
          <cell r="A513" t="str">
            <v>ECON 152,ED2-TEL</v>
          </cell>
          <cell r="B513" t="str">
            <v>INTRODUCTORY ECONOMICS II</v>
          </cell>
          <cell r="C513" t="str">
            <v>Takyi Paul Owusu</v>
          </cell>
          <cell r="D513">
            <v>30</v>
          </cell>
          <cell r="E513" t="str">
            <v>ED2-TEL</v>
          </cell>
          <cell r="F513" t="str">
            <v>ECON 152</v>
          </cell>
        </row>
        <row r="514">
          <cell r="A514" t="str">
            <v>FC 182,ED2-TEL</v>
          </cell>
          <cell r="B514" t="str">
            <v>FRENCH FOR COMMUNICATION II</v>
          </cell>
          <cell r="C514" t="str">
            <v>Boakye-Agyeman Candy</v>
          </cell>
          <cell r="D514">
            <v>103</v>
          </cell>
          <cell r="E514" t="str">
            <v>ED2-TEL</v>
          </cell>
          <cell r="F514" t="str">
            <v>FC 182</v>
          </cell>
        </row>
        <row r="515">
          <cell r="A515" t="str">
            <v>MATH 252,ED2-TEL</v>
          </cell>
          <cell r="B515" t="str">
            <v>CALCULUS WITH SEVERAL VARIABLES</v>
          </cell>
          <cell r="C515" t="str">
            <v>Wireko Fredrick Asenso</v>
          </cell>
          <cell r="D515">
            <v>175</v>
          </cell>
          <cell r="E515" t="str">
            <v>ED2-TEL</v>
          </cell>
          <cell r="F515" t="str">
            <v>MATH 252</v>
          </cell>
        </row>
        <row r="516">
          <cell r="A516" t="str">
            <v>TE 252,ED2-TEL</v>
          </cell>
          <cell r="B516" t="str">
            <v>FUNDAMENTALS OF DATA SCIENCE</v>
          </cell>
          <cell r="C516" t="str">
            <v>Obour Agyekum Kwame Opuni-Boachie</v>
          </cell>
          <cell r="D516">
            <v>175</v>
          </cell>
          <cell r="E516" t="str">
            <v>ED2-TEL</v>
          </cell>
          <cell r="F516" t="str">
            <v>TE 252</v>
          </cell>
        </row>
        <row r="517">
          <cell r="A517" t="str">
            <v>TE 254,ED2-TEL</v>
          </cell>
          <cell r="B517" t="str">
            <v>ELECTROMAGNETIC FIELD THEORY</v>
          </cell>
          <cell r="C517" t="str">
            <v>Kwame Oteng Gyasi</v>
          </cell>
          <cell r="D517">
            <v>175</v>
          </cell>
          <cell r="E517" t="str">
            <v>ED2-TEL</v>
          </cell>
          <cell r="F517" t="str">
            <v>TE 254</v>
          </cell>
        </row>
        <row r="518">
          <cell r="A518" t="str">
            <v>TE 256,ED2-TEL</v>
          </cell>
          <cell r="B518" t="str">
            <v>COMMUNICATION CIRCUITS</v>
          </cell>
          <cell r="C518" t="str">
            <v>Abdul-Rahman Ahmed</v>
          </cell>
          <cell r="D518">
            <v>175</v>
          </cell>
          <cell r="E518" t="str">
            <v>ED2-TEL</v>
          </cell>
          <cell r="F518" t="str">
            <v>TE 256</v>
          </cell>
        </row>
        <row r="519">
          <cell r="A519" t="str">
            <v>TE 258,ED2-TEL</v>
          </cell>
          <cell r="B519" t="str">
            <v>MICROPROCESSORS</v>
          </cell>
          <cell r="C519" t="str">
            <v>Agyemang Justice Owusu</v>
          </cell>
          <cell r="D519">
            <v>175</v>
          </cell>
          <cell r="E519" t="str">
            <v>ED2-TEL</v>
          </cell>
          <cell r="F519" t="str">
            <v>TE 258</v>
          </cell>
        </row>
        <row r="520">
          <cell r="A520" t="str">
            <v>TE 292,ED2-TEL</v>
          </cell>
          <cell r="B520" t="str">
            <v>DIGITAL ELECTRONICS AND MICROPROCESSORS LAB</v>
          </cell>
          <cell r="C520" t="str">
            <v>Obour Agyekum Kwame Opuni-Boachie</v>
          </cell>
          <cell r="D520">
            <v>175</v>
          </cell>
          <cell r="E520" t="str">
            <v>ED2-TEL</v>
          </cell>
          <cell r="F520" t="str">
            <v>TE 292</v>
          </cell>
        </row>
        <row r="521">
          <cell r="A521" t="str">
            <v>TE 374,ED3-TEL</v>
          </cell>
          <cell r="B521" t="str">
            <v>COMPUTER NETWORKING</v>
          </cell>
          <cell r="C521" t="str">
            <v>Kwasi Adu-Boahen Opare</v>
          </cell>
          <cell r="D521">
            <v>140</v>
          </cell>
          <cell r="E521" t="str">
            <v>ED3-TEL</v>
          </cell>
          <cell r="F521" t="str">
            <v>TE 374</v>
          </cell>
        </row>
        <row r="522">
          <cell r="A522" t="str">
            <v>TE 354,ED3-TEL</v>
          </cell>
          <cell r="B522" t="str">
            <v>ANTENNA THEORY AND DESIGN</v>
          </cell>
          <cell r="C522" t="str">
            <v>Ellis Sani Mubarak</v>
          </cell>
          <cell r="D522">
            <v>140</v>
          </cell>
          <cell r="E522" t="str">
            <v>ED3-TEL</v>
          </cell>
          <cell r="F522" t="str">
            <v>TE 354</v>
          </cell>
        </row>
        <row r="523">
          <cell r="A523" t="str">
            <v>TE 372,ED3-TEL</v>
          </cell>
          <cell r="B523" t="str">
            <v>ENGINEERING PROJECT DESIGN AND MANAGEMENT</v>
          </cell>
          <cell r="C523" t="str">
            <v>Agyekum Kwame Agyeman-Prempeh</v>
          </cell>
          <cell r="D523">
            <v>140</v>
          </cell>
          <cell r="E523" t="str">
            <v>ED3-TEL</v>
          </cell>
          <cell r="F523" t="str">
            <v>TE 372</v>
          </cell>
        </row>
        <row r="524">
          <cell r="A524" t="str">
            <v>TE 352,ED3-TEL</v>
          </cell>
          <cell r="B524" t="str">
            <v>DATA COMMUNICATION PRINCIPLES</v>
          </cell>
          <cell r="C524" t="str">
            <v>Gadze James Dzisi</v>
          </cell>
          <cell r="D524">
            <v>140</v>
          </cell>
          <cell r="E524" t="str">
            <v>ED3-TEL</v>
          </cell>
          <cell r="F524" t="str">
            <v>TE 352</v>
          </cell>
        </row>
        <row r="525">
          <cell r="A525" t="str">
            <v>TE 356,ED3-TEL</v>
          </cell>
          <cell r="B525" t="str">
            <v>SWITCHING ENGINEERING IN COMMUNICATION</v>
          </cell>
          <cell r="C525" t="str">
            <v>Agyekum Kwame Agyeman-Prempeh</v>
          </cell>
          <cell r="D525">
            <v>140</v>
          </cell>
          <cell r="E525" t="str">
            <v>ED3-TEL</v>
          </cell>
          <cell r="F525" t="str">
            <v>TE 356</v>
          </cell>
        </row>
        <row r="526">
          <cell r="A526" t="str">
            <v>TE 358,ED3-TEL</v>
          </cell>
          <cell r="B526" t="str">
            <v>DIGITAL COMMUNICATION SYSTEMS</v>
          </cell>
          <cell r="C526" t="str">
            <v>Affum Emmanuel Ampoma</v>
          </cell>
          <cell r="D526">
            <v>140</v>
          </cell>
          <cell r="E526" t="str">
            <v>ED3-TEL</v>
          </cell>
          <cell r="F526" t="str">
            <v>TE 358</v>
          </cell>
        </row>
        <row r="527">
          <cell r="A527" t="str">
            <v>TE 392,ED3-TEL</v>
          </cell>
          <cell r="B527" t="str">
            <v xml:space="preserve">COMMUNICATION SYSTEMS LAB </v>
          </cell>
          <cell r="C527" t="str">
            <v>Agyekum Kwame Agyeman-Prempeh</v>
          </cell>
          <cell r="D527">
            <v>140</v>
          </cell>
          <cell r="E527" t="str">
            <v>ED3-TEL</v>
          </cell>
          <cell r="F527" t="str">
            <v>TE 392</v>
          </cell>
        </row>
        <row r="528">
          <cell r="A528" t="str">
            <v>TE 454,ED4-TEL</v>
          </cell>
          <cell r="B528" t="str">
            <v>DIGITAL SIGNAL PROCESSING</v>
          </cell>
          <cell r="C528" t="str">
            <v>Kponyo Jerry John</v>
          </cell>
          <cell r="D528">
            <v>138</v>
          </cell>
          <cell r="E528" t="str">
            <v>ED4-TEL</v>
          </cell>
          <cell r="F528" t="str">
            <v>TE 454</v>
          </cell>
        </row>
        <row r="529">
          <cell r="A529" t="str">
            <v>ME 492,ED4-TEL</v>
          </cell>
          <cell r="B529" t="str">
            <v>MANAGEMENT AND ENTREPRENEURSHIP DEVELOPMENT</v>
          </cell>
          <cell r="C529" t="str">
            <v>Intsiful Araba Kwegyirba</v>
          </cell>
          <cell r="D529">
            <v>138</v>
          </cell>
          <cell r="E529" t="str">
            <v>ED4-TEL</v>
          </cell>
          <cell r="F529" t="str">
            <v>ME 492</v>
          </cell>
        </row>
        <row r="530">
          <cell r="A530" t="str">
            <v>TE 452,ED4-TEL</v>
          </cell>
          <cell r="B530" t="str">
            <v>TELECOMMUNICATION POLICY AND REGULATION</v>
          </cell>
          <cell r="C530" t="str">
            <v>Kingsford Sarkodie Obeng Kwakye</v>
          </cell>
          <cell r="D530">
            <v>138</v>
          </cell>
          <cell r="E530" t="str">
            <v>ED4-TEL</v>
          </cell>
          <cell r="F530" t="str">
            <v>TE 452</v>
          </cell>
        </row>
        <row r="531">
          <cell r="A531" t="str">
            <v>TE 456,ED4-TEL</v>
          </cell>
          <cell r="B531" t="str">
            <v>SATELLITE COMMUNICATION AND NAVIGATION SYSTEMS</v>
          </cell>
          <cell r="C531" t="str">
            <v>Gadze James Dzisi</v>
          </cell>
          <cell r="D531">
            <v>138</v>
          </cell>
          <cell r="E531" t="str">
            <v>ED4-TEL</v>
          </cell>
          <cell r="F531" t="str">
            <v>TE 456</v>
          </cell>
        </row>
        <row r="532">
          <cell r="A532" t="str">
            <v>TE 458,ED4-TEL</v>
          </cell>
          <cell r="B532" t="str">
            <v>NETWORK PLANNING AND OPTIMIZATION</v>
          </cell>
          <cell r="C532" t="str">
            <v>Kwasi Adu-Boahen Opare</v>
          </cell>
          <cell r="D532">
            <v>138</v>
          </cell>
          <cell r="E532" t="str">
            <v>ED4-TEL</v>
          </cell>
          <cell r="F532" t="str">
            <v>TE 458</v>
          </cell>
        </row>
        <row r="533">
          <cell r="A533" t="str">
            <v>TE 464,ED4-TEL</v>
          </cell>
          <cell r="B533" t="str">
            <v>RADAR COMMUNICATIONS</v>
          </cell>
          <cell r="C533" t="str">
            <v>ELLis Sani Mubarak</v>
          </cell>
          <cell r="D533">
            <v>105</v>
          </cell>
          <cell r="E533" t="str">
            <v>ED4-TEL</v>
          </cell>
          <cell r="F533" t="str">
            <v>TE 464</v>
          </cell>
        </row>
        <row r="534">
          <cell r="A534" t="str">
            <v>TE 468,ED4-TEL</v>
          </cell>
          <cell r="B534" t="str">
            <v>MILLIMETERWAVE TECHNOLOGY</v>
          </cell>
          <cell r="C534" t="str">
            <v>Abdul-Rahman Ahmed</v>
          </cell>
          <cell r="D534">
            <v>33</v>
          </cell>
          <cell r="E534" t="str">
            <v>ED4-TEL</v>
          </cell>
          <cell r="F534" t="str">
            <v>TE 468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6E9C-1C38-4ACA-A0BD-FA14E351CB21}">
  <sheetPr>
    <tabColor rgb="FF00B050"/>
    <pageSetUpPr fitToPage="1"/>
  </sheetPr>
  <dimension ref="A1:M704"/>
  <sheetViews>
    <sheetView view="pageBreakPreview" zoomScaleNormal="100" zoomScaleSheetLayoutView="100" zoomScalePageLayoutView="90" workbookViewId="0">
      <selection activeCell="H1" sqref="A1:H1048576"/>
    </sheetView>
  </sheetViews>
  <sheetFormatPr defaultColWidth="8.81640625" defaultRowHeight="13" x14ac:dyDescent="0.3"/>
  <cols>
    <col min="1" max="1" width="10.7265625" style="11" bestFit="1" customWidth="1"/>
    <col min="2" max="2" width="67.54296875" style="11" customWidth="1"/>
    <col min="3" max="3" width="39" style="32" bestFit="1" customWidth="1"/>
    <col min="4" max="4" width="10.54296875" style="11" bestFit="1" customWidth="1"/>
    <col min="5" max="5" width="8.453125" style="33" bestFit="1" customWidth="1"/>
    <col min="6" max="6" width="62.1796875" style="8" customWidth="1"/>
    <col min="7" max="7" width="11.453125" style="34" customWidth="1"/>
    <col min="8" max="8" width="24.1796875" style="1" customWidth="1"/>
    <col min="9" max="9" width="37.453125" style="5" customWidth="1"/>
    <col min="10" max="10" width="46.81640625" style="4" customWidth="1"/>
    <col min="11" max="16384" width="8.81640625" style="4"/>
  </cols>
  <sheetData>
    <row r="1" spans="1:12" x14ac:dyDescent="0.3">
      <c r="A1" s="123" t="s">
        <v>0</v>
      </c>
      <c r="B1" s="123"/>
      <c r="C1" s="123"/>
      <c r="D1" s="123"/>
      <c r="E1" s="123"/>
      <c r="F1" s="123"/>
      <c r="G1" s="123"/>
      <c r="I1" s="2" t="str">
        <f>A1</f>
        <v>Monday, 17 August 2026</v>
      </c>
      <c r="J1" s="3"/>
    </row>
    <row r="2" spans="1:12" x14ac:dyDescent="0.3">
      <c r="A2" s="123" t="s">
        <v>1</v>
      </c>
      <c r="B2" s="123"/>
      <c r="C2" s="123"/>
      <c r="D2" s="123"/>
      <c r="E2" s="123"/>
      <c r="F2" s="123"/>
      <c r="G2" s="123"/>
      <c r="I2" s="2" t="str">
        <f>A2</f>
        <v>Session, 1 (8:30 AM - 10:30 AM)</v>
      </c>
      <c r="J2" s="3"/>
      <c r="L2" s="3"/>
    </row>
    <row r="3" spans="1:12" ht="14.5" x14ac:dyDescent="0.35">
      <c r="A3" s="35" t="s">
        <v>2</v>
      </c>
      <c r="B3" s="35" t="s">
        <v>3</v>
      </c>
      <c r="C3" s="32" t="s">
        <v>4</v>
      </c>
      <c r="D3" s="35" t="s">
        <v>5</v>
      </c>
      <c r="E3" s="36" t="s">
        <v>6</v>
      </c>
      <c r="F3" s="32" t="s">
        <v>7</v>
      </c>
      <c r="G3" s="37" t="s">
        <v>8</v>
      </c>
      <c r="I3" s="5" t="s">
        <v>9</v>
      </c>
      <c r="J3" s="6"/>
    </row>
    <row r="4" spans="1:12" ht="14.5" x14ac:dyDescent="0.35">
      <c r="A4" s="38" t="s">
        <v>10</v>
      </c>
      <c r="B4" s="39" t="str" cm="1">
        <f t="array" ref="B4:B9">IFERROR(VLOOKUP(I4:I9,[5]Lectures_1!A2:F534,2,FALSE),0)</f>
        <v>DRAWING FOR ENGINEERS</v>
      </c>
      <c r="C4" s="39" t="str" cm="1">
        <f t="array" ref="C4:C9">IFERROR(VLOOKUP(I4:I9,[5]Lectures_1!A2:F534,3,FALSE),0)</f>
        <v>Darkwah Lawrence</v>
      </c>
      <c r="D4" s="38" t="s">
        <v>11</v>
      </c>
      <c r="E4" s="41" cm="1">
        <f t="array" ref="E4:E9">IFERROR(VLOOKUP(I4:I9,[5]Lectures_1!A2:F534,4,FALSE),0)</f>
        <v>160</v>
      </c>
      <c r="F4" s="38" t="s">
        <v>12</v>
      </c>
      <c r="G4" s="43">
        <f>E4*1.1</f>
        <v>176</v>
      </c>
      <c r="H4" s="1" t="s">
        <v>13</v>
      </c>
      <c r="I4" s="5" t="str">
        <f t="shared" ref="I4:I5" si="0">CONCATENATE(A4,",",D4)</f>
        <v>CHE 258,ED2-CHE</v>
      </c>
      <c r="J4" s="6"/>
    </row>
    <row r="5" spans="1:12" s="46" customFormat="1" ht="14.5" x14ac:dyDescent="0.35">
      <c r="A5" s="38" t="s">
        <v>10</v>
      </c>
      <c r="B5" s="39" t="str">
        <v>DRAWING FOR ENGINEERS</v>
      </c>
      <c r="C5" s="39" t="str">
        <v>Darkwah Lawrence</v>
      </c>
      <c r="D5" s="38" t="s">
        <v>14</v>
      </c>
      <c r="E5" s="41">
        <v>65</v>
      </c>
      <c r="F5" s="38" t="s">
        <v>15</v>
      </c>
      <c r="G5" s="43">
        <f t="shared" ref="G5" si="1">E5*1.1</f>
        <v>71.5</v>
      </c>
      <c r="H5" s="1" t="s">
        <v>16</v>
      </c>
      <c r="I5" s="44" t="str">
        <f t="shared" si="0"/>
        <v>CHE 258,ED2-PCE</v>
      </c>
      <c r="J5" s="45"/>
    </row>
    <row r="6" spans="1:12" s="46" customFormat="1" ht="14.5" x14ac:dyDescent="0.35">
      <c r="A6" s="38" t="s">
        <v>17</v>
      </c>
      <c r="B6" s="7" t="str">
        <v>OPERATING SYSTEMS</v>
      </c>
      <c r="C6" s="7" t="str">
        <v>Kommey Benjamin</v>
      </c>
      <c r="D6" s="38" t="s">
        <v>18</v>
      </c>
      <c r="E6" s="41">
        <v>265</v>
      </c>
      <c r="F6" s="47" t="s">
        <v>19</v>
      </c>
      <c r="G6" s="43">
        <f>E6*1.1</f>
        <v>291.5</v>
      </c>
      <c r="H6" s="1" t="s">
        <v>20</v>
      </c>
      <c r="I6" s="44" t="str">
        <f>CONCATENATE(A6,",",D6)</f>
        <v>COE 354,ED3-COE</v>
      </c>
      <c r="J6" s="45"/>
    </row>
    <row r="7" spans="1:12" s="53" customFormat="1" ht="14.5" x14ac:dyDescent="0.35">
      <c r="A7" s="48" t="s">
        <v>21</v>
      </c>
      <c r="B7" s="40" t="str">
        <v>ELECTRICAL ENG. DRAWING</v>
      </c>
      <c r="C7" s="40" t="str">
        <v>Kwegyir Daniel</v>
      </c>
      <c r="D7" s="48" t="s">
        <v>22</v>
      </c>
      <c r="E7" s="42">
        <v>262</v>
      </c>
      <c r="F7" s="48" t="s">
        <v>23</v>
      </c>
      <c r="G7" s="49">
        <f>E7*1.1</f>
        <v>288.20000000000005</v>
      </c>
      <c r="H7" s="50" t="s">
        <v>24</v>
      </c>
      <c r="I7" s="51" t="str">
        <f>CONCATENATE(A7,",",D7)</f>
        <v>EE 156,ED1-COE</v>
      </c>
      <c r="J7" s="52"/>
    </row>
    <row r="8" spans="1:12" ht="14.5" x14ac:dyDescent="0.35">
      <c r="A8" s="38" t="s">
        <v>25</v>
      </c>
      <c r="B8" s="39" t="str">
        <v>PROPULSION</v>
      </c>
      <c r="C8" s="7" t="str">
        <v>Bofah Kwasi Kete</v>
      </c>
      <c r="D8" s="38" t="s">
        <v>26</v>
      </c>
      <c r="E8" s="41">
        <v>76</v>
      </c>
      <c r="F8" s="47" t="s">
        <v>27</v>
      </c>
      <c r="G8" s="43">
        <f>E8*1.1</f>
        <v>83.600000000000009</v>
      </c>
      <c r="H8" s="1" t="s">
        <v>28</v>
      </c>
      <c r="I8" s="5" t="str">
        <f>CONCATENATE(A8,",",D8)</f>
        <v>AERO 368,ED3-AERO</v>
      </c>
      <c r="J8" s="6"/>
    </row>
    <row r="9" spans="1:12" ht="14.5" x14ac:dyDescent="0.35">
      <c r="A9" s="38" t="s">
        <v>29</v>
      </c>
      <c r="B9" s="7" t="str">
        <v>DIGITAL SYSTEMS</v>
      </c>
      <c r="C9" s="39" t="str">
        <v>Opoku Daniel</v>
      </c>
      <c r="D9" s="38" t="s">
        <v>30</v>
      </c>
      <c r="E9" s="41">
        <v>340</v>
      </c>
      <c r="F9" s="38" t="s">
        <v>31</v>
      </c>
      <c r="G9" s="43">
        <f t="shared" ref="G9" si="2">E9*1.1</f>
        <v>374.00000000000006</v>
      </c>
      <c r="H9" s="1" t="s">
        <v>32</v>
      </c>
      <c r="I9" s="5" t="str">
        <f t="shared" ref="I9" si="3">CONCATENATE(A9,",",D9)</f>
        <v>EE 272,ED2-EE</v>
      </c>
      <c r="J9" s="6"/>
    </row>
    <row r="10" spans="1:12" ht="14.5" x14ac:dyDescent="0.35">
      <c r="A10" s="54"/>
      <c r="B10" s="54"/>
      <c r="D10" s="39" t="s">
        <v>33</v>
      </c>
      <c r="E10" s="55">
        <f>SUM(E4:E9)</f>
        <v>1168</v>
      </c>
      <c r="F10" s="56"/>
      <c r="G10" s="57"/>
      <c r="I10" s="2" t="s">
        <v>34</v>
      </c>
      <c r="J10" s="6"/>
    </row>
    <row r="11" spans="1:12" ht="14.5" x14ac:dyDescent="0.35">
      <c r="A11" s="54"/>
      <c r="B11" s="54"/>
      <c r="D11" s="39"/>
      <c r="E11" s="55"/>
      <c r="F11" s="56"/>
      <c r="G11" s="57"/>
      <c r="I11" s="2"/>
      <c r="J11" s="6"/>
    </row>
    <row r="12" spans="1:12" ht="14.5" x14ac:dyDescent="0.35">
      <c r="A12" s="123" t="s">
        <v>0</v>
      </c>
      <c r="B12" s="123"/>
      <c r="C12" s="123"/>
      <c r="D12" s="123"/>
      <c r="E12" s="123"/>
      <c r="F12" s="123"/>
      <c r="G12" s="123"/>
      <c r="I12" s="2" t="str">
        <f>A12</f>
        <v>Monday, 17 August 2026</v>
      </c>
      <c r="J12" s="6"/>
    </row>
    <row r="13" spans="1:12" s="3" customFormat="1" ht="14.5" x14ac:dyDescent="0.35">
      <c r="A13" s="123" t="s">
        <v>35</v>
      </c>
      <c r="B13" s="123"/>
      <c r="C13" s="123"/>
      <c r="D13" s="123"/>
      <c r="E13" s="123"/>
      <c r="F13" s="123"/>
      <c r="G13" s="123"/>
      <c r="H13" s="1"/>
      <c r="I13" s="2" t="str">
        <f>A13</f>
        <v>Session, 2 (12:00 PM - 2:00 PM)</v>
      </c>
      <c r="J13" s="6"/>
    </row>
    <row r="14" spans="1:12" s="3" customFormat="1" ht="14.5" x14ac:dyDescent="0.35">
      <c r="A14" s="35" t="s">
        <v>2</v>
      </c>
      <c r="B14" s="35" t="s">
        <v>3</v>
      </c>
      <c r="C14" s="32" t="s">
        <v>4</v>
      </c>
      <c r="D14" s="35" t="s">
        <v>5</v>
      </c>
      <c r="E14" s="36" t="s">
        <v>6</v>
      </c>
      <c r="F14" s="32" t="s">
        <v>7</v>
      </c>
      <c r="G14" s="37" t="s">
        <v>8</v>
      </c>
      <c r="H14" s="1"/>
      <c r="I14" s="2" t="s">
        <v>36</v>
      </c>
      <c r="J14" s="6"/>
    </row>
    <row r="15" spans="1:12" s="46" customFormat="1" ht="14.5" x14ac:dyDescent="0.35">
      <c r="A15" s="58" t="s">
        <v>37</v>
      </c>
      <c r="B15" s="59" t="str" cm="1">
        <f t="array" ref="B15:B28">IFERROR(VLOOKUP(I15:I28,[5]Lectures_1!A2:F534,2,FALSE),0)</f>
        <v>MACHINE DESIGN PROJECT</v>
      </c>
      <c r="C15" s="59" t="str" cm="1">
        <f t="array" ref="C15:C28">IFERROR(VLOOKUP(I15:I28,[5]Lectures_1!A2:F534,3,FALSE),0)</f>
        <v>Andoh Prince Yaw</v>
      </c>
      <c r="D15" s="58" t="s">
        <v>38</v>
      </c>
      <c r="E15" s="61" cm="1">
        <f t="array" ref="E15:E28">IFERROR(VLOOKUP(I15:I28,[5]Lectures_1!A2:F534,4,FALSE),0)</f>
        <v>240</v>
      </c>
      <c r="F15" s="129" t="s">
        <v>39</v>
      </c>
      <c r="G15" s="63">
        <f>E15*1.1</f>
        <v>264</v>
      </c>
      <c r="H15" s="64"/>
      <c r="I15" s="44" t="str">
        <f t="shared" ref="I15:I16" si="4">CONCATENATE(A15,",",D15)</f>
        <v>ME 274,ED2-ME</v>
      </c>
      <c r="J15" s="45"/>
    </row>
    <row r="16" spans="1:12" s="46" customFormat="1" ht="14.5" x14ac:dyDescent="0.35">
      <c r="A16" s="58" t="s">
        <v>40</v>
      </c>
      <c r="B16" s="60" t="str">
        <v>AEROSPACE DESIGN PROJECT II</v>
      </c>
      <c r="C16" s="60" t="str">
        <v>Andoh Prince Yaw</v>
      </c>
      <c r="D16" s="58" t="s">
        <v>41</v>
      </c>
      <c r="E16" s="62">
        <v>75</v>
      </c>
      <c r="F16" s="129"/>
      <c r="G16" s="63">
        <f t="shared" ref="G16:G28" si="5">E16*1.1</f>
        <v>82.5</v>
      </c>
      <c r="H16" s="64"/>
      <c r="I16" s="44" t="str">
        <f t="shared" si="4"/>
        <v>AERO 274,ED2-AERO</v>
      </c>
      <c r="J16" s="45"/>
    </row>
    <row r="17" spans="1:10" s="46" customFormat="1" ht="14.5" x14ac:dyDescent="0.35">
      <c r="A17" s="58" t="s">
        <v>42</v>
      </c>
      <c r="B17" s="59" t="str">
        <v>SECOND YEAR DESIGN PROJECT</v>
      </c>
      <c r="C17" s="60" t="str">
        <v>Andoh Prince Yaw</v>
      </c>
      <c r="D17" s="58" t="s">
        <v>43</v>
      </c>
      <c r="E17" s="62">
        <v>80</v>
      </c>
      <c r="F17" s="129"/>
      <c r="G17" s="63">
        <f t="shared" si="5"/>
        <v>88</v>
      </c>
      <c r="H17" s="65"/>
      <c r="I17" s="44" t="str">
        <f>CONCATENATE(A17,",",D17)</f>
        <v>IE 274,ED2-IND</v>
      </c>
      <c r="J17" s="45"/>
    </row>
    <row r="18" spans="1:10" s="46" customFormat="1" ht="14.5" x14ac:dyDescent="0.35">
      <c r="A18" s="58" t="s">
        <v>44</v>
      </c>
      <c r="B18" s="59" t="str">
        <v>AUTOMOTIVE DESIGN PROJECT</v>
      </c>
      <c r="C18" s="60" t="str">
        <v>Andoh Prince Yaw</v>
      </c>
      <c r="D18" s="58" t="s">
        <v>45</v>
      </c>
      <c r="E18" s="62">
        <v>82</v>
      </c>
      <c r="F18" s="129"/>
      <c r="G18" s="63">
        <f t="shared" si="5"/>
        <v>90.2</v>
      </c>
      <c r="H18" s="65"/>
      <c r="I18" s="44" t="str">
        <f>CONCATENATE(A18,",",D18)</f>
        <v>AME 274,ED2-AUTO</v>
      </c>
      <c r="J18" s="45"/>
    </row>
    <row r="19" spans="1:10" s="46" customFormat="1" ht="14.5" x14ac:dyDescent="0.35">
      <c r="A19" s="58" t="s">
        <v>46</v>
      </c>
      <c r="B19" s="59" t="str">
        <v>MARINE ENGINEERING DESIGN PROJECT II</v>
      </c>
      <c r="C19" s="60" t="str">
        <v>Andoh Prince Yaw</v>
      </c>
      <c r="D19" s="58" t="s">
        <v>47</v>
      </c>
      <c r="E19" s="62">
        <v>37</v>
      </c>
      <c r="F19" s="129"/>
      <c r="G19" s="63">
        <f t="shared" si="5"/>
        <v>40.700000000000003</v>
      </c>
      <c r="H19" s="65"/>
      <c r="I19" s="44" t="str">
        <f t="shared" ref="I19:I28" si="6">CONCATENATE(A19,",",D19)</f>
        <v>MME 274,ED2-MARI</v>
      </c>
      <c r="J19" s="45"/>
    </row>
    <row r="20" spans="1:10" ht="14.5" x14ac:dyDescent="0.35">
      <c r="A20" s="38" t="s">
        <v>48</v>
      </c>
      <c r="B20" s="7" t="str">
        <v>PETROLEUM REFINING ENGINEERING</v>
      </c>
      <c r="C20" s="7" t="str">
        <v>Kwao-Boateng Emmanuela</v>
      </c>
      <c r="D20" s="38" t="s">
        <v>49</v>
      </c>
      <c r="E20" s="41">
        <v>55</v>
      </c>
      <c r="F20" s="47" t="s">
        <v>50</v>
      </c>
      <c r="G20" s="43">
        <f t="shared" si="5"/>
        <v>60.500000000000007</v>
      </c>
      <c r="H20" s="1" t="s">
        <v>51</v>
      </c>
      <c r="I20" s="5" t="str">
        <f t="shared" si="6"/>
        <v>PCE 450,ED4-PCE</v>
      </c>
      <c r="J20" s="6"/>
    </row>
    <row r="21" spans="1:10" ht="14.5" x14ac:dyDescent="0.35">
      <c r="A21" s="38" t="s">
        <v>52</v>
      </c>
      <c r="B21" s="7" t="str">
        <v>REFINING PROCESSES TECHNOLOGY</v>
      </c>
      <c r="C21" s="7" t="str">
        <v>Kwao-Boateng Emmanuela</v>
      </c>
      <c r="D21" s="38" t="s">
        <v>53</v>
      </c>
      <c r="E21" s="41">
        <v>50</v>
      </c>
      <c r="F21" s="47" t="s">
        <v>54</v>
      </c>
      <c r="G21" s="43">
        <f t="shared" si="5"/>
        <v>55.000000000000007</v>
      </c>
      <c r="H21" s="1">
        <v>50</v>
      </c>
      <c r="I21" s="5" t="str">
        <f t="shared" si="6"/>
        <v>PCE 464,ED4-CHE</v>
      </c>
      <c r="J21" s="6"/>
    </row>
    <row r="22" spans="1:10" ht="14.5" x14ac:dyDescent="0.35">
      <c r="A22" s="38" t="s">
        <v>55</v>
      </c>
      <c r="B22" s="39" t="str">
        <v>MECHANICAL ENGINEERING LAB. II</v>
      </c>
      <c r="C22" s="7" t="str">
        <v>Boahen Samuel</v>
      </c>
      <c r="D22" s="38" t="s">
        <v>56</v>
      </c>
      <c r="E22" s="41">
        <v>155</v>
      </c>
      <c r="F22" s="47" t="s">
        <v>12</v>
      </c>
      <c r="G22" s="43">
        <f>E22*1.1</f>
        <v>170.5</v>
      </c>
      <c r="H22" s="1" t="s">
        <v>57</v>
      </c>
      <c r="I22" s="5" t="str">
        <f t="shared" si="6"/>
        <v>ME 296,ED2-AE</v>
      </c>
      <c r="J22" s="6"/>
    </row>
    <row r="23" spans="1:10" s="46" customFormat="1" ht="14.5" x14ac:dyDescent="0.35">
      <c r="A23" s="38" t="s">
        <v>58</v>
      </c>
      <c r="B23" s="39" t="str">
        <v>SILICATE TECHNOLOGY II</v>
      </c>
      <c r="C23" s="7" t="str">
        <v>Momade Zsuzsanna Gál</v>
      </c>
      <c r="D23" s="38" t="s">
        <v>59</v>
      </c>
      <c r="E23" s="41">
        <v>15</v>
      </c>
      <c r="F23" s="47" t="s">
        <v>60</v>
      </c>
      <c r="G23" s="43">
        <f>E23*1.1</f>
        <v>16.5</v>
      </c>
      <c r="H23" s="1">
        <v>15</v>
      </c>
      <c r="I23" s="44" t="str">
        <f t="shared" si="6"/>
        <v>CHE 362,ED3-CHE</v>
      </c>
      <c r="J23" s="45"/>
    </row>
    <row r="24" spans="1:10" s="53" customFormat="1" ht="14.5" x14ac:dyDescent="0.35">
      <c r="A24" s="48" t="s">
        <v>61</v>
      </c>
      <c r="B24" s="51" t="str">
        <v>BASIC ELECTRONICS</v>
      </c>
      <c r="C24" s="51" t="str">
        <v>Kwegyir Daniel</v>
      </c>
      <c r="D24" s="48" t="s">
        <v>62</v>
      </c>
      <c r="E24" s="42">
        <v>103</v>
      </c>
      <c r="F24" s="48" t="s">
        <v>63</v>
      </c>
      <c r="G24" s="49">
        <f t="shared" si="5"/>
        <v>113.30000000000001</v>
      </c>
      <c r="H24" s="50">
        <v>103</v>
      </c>
      <c r="I24" s="66" t="str">
        <f t="shared" si="6"/>
        <v>EE 152,ED1-GEOM</v>
      </c>
      <c r="J24" s="52"/>
    </row>
    <row r="25" spans="1:10" s="53" customFormat="1" ht="14.5" x14ac:dyDescent="0.35">
      <c r="A25" s="48" t="s">
        <v>61</v>
      </c>
      <c r="B25" s="51" t="str">
        <v>BASIC ELECTRONICS</v>
      </c>
      <c r="C25" s="51" t="str">
        <v>Kwegyir Daniel</v>
      </c>
      <c r="D25" s="48" t="s">
        <v>64</v>
      </c>
      <c r="E25" s="42">
        <v>125</v>
      </c>
      <c r="F25" s="48" t="s">
        <v>65</v>
      </c>
      <c r="G25" s="49">
        <f t="shared" si="5"/>
        <v>137.5</v>
      </c>
      <c r="H25" s="50">
        <v>125</v>
      </c>
      <c r="I25" s="66" t="str">
        <f t="shared" si="6"/>
        <v>EE 152,ED1-GEOL</v>
      </c>
      <c r="J25" s="52"/>
    </row>
    <row r="26" spans="1:10" ht="14.5" x14ac:dyDescent="0.35">
      <c r="A26" s="38" t="s">
        <v>66</v>
      </c>
      <c r="B26" s="7" t="str">
        <v>PROPERTIES OF CIVIL ENGINEERING MATERIAL</v>
      </c>
      <c r="C26" s="7" t="str">
        <v>Kankam Charles Kwame</v>
      </c>
      <c r="D26" s="38" t="s">
        <v>67</v>
      </c>
      <c r="E26" s="41">
        <v>245</v>
      </c>
      <c r="F26" s="47" t="s">
        <v>19</v>
      </c>
      <c r="G26" s="43">
        <f t="shared" si="5"/>
        <v>269.5</v>
      </c>
      <c r="H26" s="1" t="s">
        <v>68</v>
      </c>
      <c r="I26" s="5" t="str">
        <f t="shared" si="6"/>
        <v>CE 154,ED1-CE</v>
      </c>
      <c r="J26" s="6"/>
    </row>
    <row r="27" spans="1:10" ht="14.5" x14ac:dyDescent="0.35">
      <c r="A27" s="38" t="s">
        <v>69</v>
      </c>
      <c r="B27" s="7" t="str">
        <v>FLUID MECHANICS</v>
      </c>
      <c r="C27" s="39" t="str">
        <v>Anornu Geophrey Kwame</v>
      </c>
      <c r="D27" s="38" t="s">
        <v>70</v>
      </c>
      <c r="E27" s="41">
        <v>150</v>
      </c>
      <c r="F27" s="47" t="s">
        <v>71</v>
      </c>
      <c r="G27" s="43">
        <f t="shared" si="5"/>
        <v>165</v>
      </c>
      <c r="H27" s="1" t="s">
        <v>72</v>
      </c>
      <c r="I27" s="5" t="str">
        <f t="shared" si="6"/>
        <v>CE 256,ED2-GEOL</v>
      </c>
      <c r="J27" s="6"/>
    </row>
    <row r="28" spans="1:10" ht="14.5" x14ac:dyDescent="0.35">
      <c r="A28" s="38" t="s">
        <v>69</v>
      </c>
      <c r="B28" s="39" t="str">
        <v>FLUID MECHANICS</v>
      </c>
      <c r="C28" s="39" t="str">
        <v>Anornu Geophrey Kwame</v>
      </c>
      <c r="D28" s="38" t="s">
        <v>73</v>
      </c>
      <c r="E28" s="41">
        <v>250</v>
      </c>
      <c r="F28" s="47" t="s">
        <v>19</v>
      </c>
      <c r="G28" s="43">
        <f t="shared" si="5"/>
        <v>275</v>
      </c>
      <c r="H28" s="1" t="s">
        <v>74</v>
      </c>
      <c r="I28" s="5" t="str">
        <f t="shared" si="6"/>
        <v>CE 256,ED2-CE</v>
      </c>
      <c r="J28" s="6"/>
    </row>
    <row r="29" spans="1:10" ht="14.5" x14ac:dyDescent="0.35">
      <c r="A29" s="38"/>
      <c r="B29" s="54"/>
      <c r="D29" s="39" t="s">
        <v>75</v>
      </c>
      <c r="E29" s="55">
        <f>SUM(E20:E28)</f>
        <v>1148</v>
      </c>
      <c r="F29" s="56"/>
      <c r="G29" s="57"/>
      <c r="I29" s="2" t="s">
        <v>76</v>
      </c>
      <c r="J29" s="6"/>
    </row>
    <row r="30" spans="1:10" ht="14.5" x14ac:dyDescent="0.35">
      <c r="A30" s="38"/>
      <c r="B30" s="54"/>
      <c r="D30" s="39"/>
      <c r="E30" s="55"/>
      <c r="F30" s="56"/>
      <c r="G30" s="57"/>
      <c r="I30" s="2"/>
      <c r="J30" s="6"/>
    </row>
    <row r="31" spans="1:10" ht="14.5" x14ac:dyDescent="0.35">
      <c r="A31" s="123" t="s">
        <v>0</v>
      </c>
      <c r="B31" s="123"/>
      <c r="C31" s="123"/>
      <c r="D31" s="123"/>
      <c r="E31" s="123"/>
      <c r="F31" s="123"/>
      <c r="G31" s="123"/>
      <c r="I31" s="2" t="str">
        <f>A31</f>
        <v>Monday, 17 August 2026</v>
      </c>
      <c r="J31" s="6"/>
    </row>
    <row r="32" spans="1:10" s="3" customFormat="1" ht="14.5" x14ac:dyDescent="0.35">
      <c r="A32" s="123" t="s">
        <v>77</v>
      </c>
      <c r="B32" s="123"/>
      <c r="C32" s="123"/>
      <c r="D32" s="123"/>
      <c r="E32" s="123"/>
      <c r="F32" s="123"/>
      <c r="G32" s="123"/>
      <c r="H32" s="1"/>
      <c r="I32" s="2" t="str">
        <f>A32</f>
        <v>Session, 3 (3:00 PM - 5:00 PM)</v>
      </c>
      <c r="J32" s="6"/>
    </row>
    <row r="33" spans="1:12" s="3" customFormat="1" ht="14.5" x14ac:dyDescent="0.35">
      <c r="A33" s="35" t="s">
        <v>2</v>
      </c>
      <c r="B33" s="35" t="s">
        <v>3</v>
      </c>
      <c r="C33" s="32" t="s">
        <v>4</v>
      </c>
      <c r="D33" s="35" t="s">
        <v>5</v>
      </c>
      <c r="E33" s="36" t="s">
        <v>6</v>
      </c>
      <c r="F33" s="32" t="s">
        <v>7</v>
      </c>
      <c r="G33" s="37" t="s">
        <v>8</v>
      </c>
      <c r="H33" s="1"/>
      <c r="I33" s="2" t="s">
        <v>36</v>
      </c>
      <c r="J33" s="6"/>
    </row>
    <row r="34" spans="1:12" s="46" customFormat="1" ht="14.5" x14ac:dyDescent="0.35">
      <c r="A34" s="58" t="s">
        <v>78</v>
      </c>
      <c r="B34" s="59" t="str" cm="1">
        <f t="array" ref="B34:B41">IFERROR(VLOOKUP(I34:I41,[5]Lectures_1!A2:F534,2,FALSE),0)</f>
        <v>MACHINE ELEMENTS DESIGN II</v>
      </c>
      <c r="C34" s="67" t="str" cm="1">
        <f t="array" ref="C34:C41">IFERROR(VLOOKUP(I34:I41,[5]Lectures_1!A2:F534,3,FALSE),0)</f>
        <v>Andoh Prince Yaw</v>
      </c>
      <c r="D34" s="68" t="s">
        <v>79</v>
      </c>
      <c r="E34" s="62" cm="1">
        <f t="array" ref="E34:E41">IFERROR(VLOOKUP(I34:I41,[5]Lectures_1!A2:F534,4,FALSE),0)</f>
        <v>222</v>
      </c>
      <c r="F34" s="69" t="s">
        <v>80</v>
      </c>
      <c r="G34" s="63">
        <f>E34*1.1</f>
        <v>244.20000000000002</v>
      </c>
      <c r="H34" s="64"/>
      <c r="I34" s="44" t="str">
        <f t="shared" ref="I34:I41" si="7">CONCATENATE(A34,",",D34)</f>
        <v>ME 374,ED3-ME</v>
      </c>
      <c r="J34" s="45"/>
    </row>
    <row r="35" spans="1:12" ht="14.5" x14ac:dyDescent="0.35">
      <c r="A35" s="38" t="s">
        <v>81</v>
      </c>
      <c r="B35" s="39" t="str">
        <v>INSTRUMENTATION</v>
      </c>
      <c r="C35" s="39" t="str">
        <v>Adam Faisal Wahib</v>
      </c>
      <c r="D35" s="38" t="s">
        <v>82</v>
      </c>
      <c r="E35" s="41">
        <v>135</v>
      </c>
      <c r="F35" s="47" t="s">
        <v>83</v>
      </c>
      <c r="G35" s="43">
        <f>E35*1.1</f>
        <v>148.5</v>
      </c>
      <c r="H35" s="1" t="s">
        <v>84</v>
      </c>
      <c r="I35" s="5" t="str">
        <f t="shared" si="7"/>
        <v>ME 464,ED4-ME</v>
      </c>
      <c r="J35" s="6"/>
    </row>
    <row r="36" spans="1:12" s="46" customFormat="1" ht="14.5" x14ac:dyDescent="0.35">
      <c r="A36" s="38" t="s">
        <v>85</v>
      </c>
      <c r="B36" s="39" t="str">
        <v>QUANTITIES AND COST ESTIMATION IN CIVIL ENGINEERING</v>
      </c>
      <c r="C36" s="39" t="str">
        <v>Osei Jack Banahene</v>
      </c>
      <c r="D36" s="38" t="s">
        <v>86</v>
      </c>
      <c r="E36" s="41">
        <v>230</v>
      </c>
      <c r="F36" s="70" t="s">
        <v>87</v>
      </c>
      <c r="G36" s="43">
        <f>E36*1.1</f>
        <v>253.00000000000003</v>
      </c>
      <c r="H36" s="9" t="s">
        <v>88</v>
      </c>
      <c r="I36" s="44" t="str">
        <f t="shared" si="7"/>
        <v>CE 376,ED3-CE</v>
      </c>
      <c r="J36" s="45"/>
    </row>
    <row r="37" spans="1:12" ht="14.5" x14ac:dyDescent="0.35">
      <c r="A37" s="38" t="s">
        <v>89</v>
      </c>
      <c r="B37" s="39" t="str">
        <v>SUBSTATIONS AND TRANSMISSION LINE DESIGN</v>
      </c>
      <c r="C37" s="39" t="str">
        <v>Antoh Emmanuel Kwaku</v>
      </c>
      <c r="D37" s="38" t="s">
        <v>90</v>
      </c>
      <c r="E37" s="41">
        <v>240</v>
      </c>
      <c r="F37" s="47" t="s">
        <v>91</v>
      </c>
      <c r="G37" s="43">
        <f t="shared" ref="G37" si="8">E37*1.1</f>
        <v>264</v>
      </c>
      <c r="H37" s="1" t="s">
        <v>92</v>
      </c>
      <c r="I37" s="5" t="str">
        <f t="shared" si="7"/>
        <v>EE 362,ED3-EE</v>
      </c>
      <c r="J37" s="6"/>
    </row>
    <row r="38" spans="1:12" ht="14.5" x14ac:dyDescent="0.35">
      <c r="A38" s="38" t="s">
        <v>93</v>
      </c>
      <c r="B38" s="39" t="str">
        <v>MANUAL POWER TRAIN</v>
      </c>
      <c r="C38" s="7" t="str">
        <v>Abu Frimpong Solomon</v>
      </c>
      <c r="D38" s="38" t="s">
        <v>94</v>
      </c>
      <c r="E38" s="41">
        <v>40</v>
      </c>
      <c r="F38" s="47" t="s">
        <v>95</v>
      </c>
      <c r="G38" s="43">
        <f>E38*1.1</f>
        <v>44</v>
      </c>
      <c r="H38" s="8" t="s">
        <v>96</v>
      </c>
      <c r="I38" s="5" t="str">
        <f t="shared" si="7"/>
        <v>AME 386,ED3-AUTO</v>
      </c>
      <c r="J38" s="6"/>
    </row>
    <row r="39" spans="1:12" ht="14.5" x14ac:dyDescent="0.35">
      <c r="A39" s="38" t="s">
        <v>97</v>
      </c>
      <c r="B39" s="39" t="str">
        <v>NAVAL ARCHITECTURE II</v>
      </c>
      <c r="C39" s="39" t="str">
        <v>Kudzedzi Emmanuel Yaw Mawuko</v>
      </c>
      <c r="D39" s="38" t="s">
        <v>98</v>
      </c>
      <c r="E39" s="41">
        <v>23</v>
      </c>
      <c r="F39" s="47" t="s">
        <v>99</v>
      </c>
      <c r="G39" s="43">
        <f>E39*1.1</f>
        <v>25.3</v>
      </c>
      <c r="H39" s="1">
        <v>23</v>
      </c>
      <c r="I39" s="5" t="str">
        <f t="shared" si="7"/>
        <v>MME 482,ED4-MARI</v>
      </c>
      <c r="J39" s="6"/>
    </row>
    <row r="40" spans="1:12" ht="14.5" x14ac:dyDescent="0.35">
      <c r="A40" s="38" t="s">
        <v>100</v>
      </c>
      <c r="B40" s="7" t="str">
        <v>WELL TESTING</v>
      </c>
      <c r="C40" s="39" t="str">
        <v>Adenutsi Caspar Daniel</v>
      </c>
      <c r="D40" s="38" t="s">
        <v>101</v>
      </c>
      <c r="E40" s="41">
        <v>80</v>
      </c>
      <c r="F40" s="47" t="s">
        <v>23</v>
      </c>
      <c r="G40" s="43">
        <f t="shared" ref="G40:G41" si="9">E40*1.1</f>
        <v>88</v>
      </c>
      <c r="H40" s="1" t="s">
        <v>102</v>
      </c>
      <c r="I40" s="5" t="str">
        <f t="shared" si="7"/>
        <v>PE 360,ED3-PE</v>
      </c>
      <c r="J40" s="6"/>
    </row>
    <row r="41" spans="1:12" ht="14.5" x14ac:dyDescent="0.35">
      <c r="A41" s="38" t="s">
        <v>103</v>
      </c>
      <c r="B41" s="39" t="str">
        <v>ANALYSIS OF ERRORS</v>
      </c>
      <c r="C41" s="7" t="str">
        <v>Collins Fosu</v>
      </c>
      <c r="D41" s="38" t="s">
        <v>104</v>
      </c>
      <c r="E41" s="41">
        <v>122</v>
      </c>
      <c r="F41" s="47" t="s">
        <v>105</v>
      </c>
      <c r="G41" s="43">
        <f t="shared" si="9"/>
        <v>134.20000000000002</v>
      </c>
      <c r="H41" s="1" t="s">
        <v>106</v>
      </c>
      <c r="I41" s="5" t="str">
        <f t="shared" si="7"/>
        <v>GE 372,ED3-GEOM</v>
      </c>
      <c r="J41" s="6"/>
    </row>
    <row r="42" spans="1:12" ht="14.5" x14ac:dyDescent="0.35">
      <c r="A42" s="38"/>
      <c r="B42" s="54"/>
      <c r="D42" s="39" t="s">
        <v>75</v>
      </c>
      <c r="E42" s="55">
        <f>SUM(E34:E41)</f>
        <v>1092</v>
      </c>
      <c r="F42" s="56"/>
      <c r="G42" s="57"/>
      <c r="I42" s="2" t="s">
        <v>76</v>
      </c>
      <c r="J42" s="6"/>
    </row>
    <row r="43" spans="1:12" ht="14.5" x14ac:dyDescent="0.35">
      <c r="A43" s="38"/>
      <c r="B43" s="54"/>
      <c r="D43" s="39"/>
      <c r="E43" s="55"/>
      <c r="F43" s="56"/>
      <c r="G43" s="57"/>
      <c r="I43" s="2"/>
      <c r="J43" s="6"/>
    </row>
    <row r="44" spans="1:12" x14ac:dyDescent="0.3">
      <c r="A44" s="123" t="s">
        <v>107</v>
      </c>
      <c r="B44" s="123"/>
      <c r="C44" s="123"/>
      <c r="D44" s="123"/>
      <c r="E44" s="123"/>
      <c r="F44" s="123"/>
      <c r="G44" s="123"/>
      <c r="I44" s="2" t="str">
        <f>A44</f>
        <v>Tuesday, 18 August 2026</v>
      </c>
      <c r="J44" s="3"/>
    </row>
    <row r="45" spans="1:12" x14ac:dyDescent="0.3">
      <c r="A45" s="123" t="s">
        <v>1</v>
      </c>
      <c r="B45" s="123"/>
      <c r="C45" s="123"/>
      <c r="D45" s="123"/>
      <c r="E45" s="123"/>
      <c r="F45" s="123"/>
      <c r="G45" s="123"/>
      <c r="I45" s="2" t="str">
        <f>A45</f>
        <v>Session, 1 (8:30 AM - 10:30 AM)</v>
      </c>
      <c r="J45" s="3"/>
      <c r="L45" s="3"/>
    </row>
    <row r="46" spans="1:12" ht="14.5" x14ac:dyDescent="0.35">
      <c r="A46" s="35" t="s">
        <v>2</v>
      </c>
      <c r="B46" s="35" t="s">
        <v>3</v>
      </c>
      <c r="C46" s="32" t="s">
        <v>4</v>
      </c>
      <c r="D46" s="35" t="s">
        <v>5</v>
      </c>
      <c r="E46" s="36" t="s">
        <v>6</v>
      </c>
      <c r="F46" s="32" t="s">
        <v>7</v>
      </c>
      <c r="G46" s="37" t="s">
        <v>8</v>
      </c>
      <c r="I46" s="5" t="s">
        <v>9</v>
      </c>
      <c r="J46" s="6"/>
    </row>
    <row r="47" spans="1:12" s="46" customFormat="1" ht="14.5" x14ac:dyDescent="0.35">
      <c r="A47" s="58" t="s">
        <v>108</v>
      </c>
      <c r="B47" s="59" t="str" cm="1">
        <f t="array" ref="B47:B61">IFERROR(VLOOKUP(I47:I61,[5]Lectures_1!A2:F534,2,FALSE),0)</f>
        <v>GENERAL PHYSICS</v>
      </c>
      <c r="C47" s="60" t="str" cm="1">
        <f t="array" ref="C47:C61">IFERROR(VLOOKUP(I47:I61,[5]Lectures_1!A2:F534,3,FALSE),0)</f>
        <v>Boateng Cyril Dziedzorm</v>
      </c>
      <c r="D47" s="58" t="s">
        <v>109</v>
      </c>
      <c r="E47" s="62" cm="1">
        <f t="array" ref="E47:E61">IFERROR(VLOOKUP(I47:I61,[5]Lectures_1!A2:F534,4,FALSE),0)</f>
        <v>120</v>
      </c>
      <c r="F47" s="129" t="s">
        <v>39</v>
      </c>
      <c r="G47" s="63">
        <f t="shared" ref="G47:G60" si="10">E47*1.1</f>
        <v>132</v>
      </c>
      <c r="H47" s="64"/>
      <c r="I47" s="44" t="str">
        <f t="shared" ref="I47:I60" si="11">CONCATENATE(A47,",",D47)</f>
        <v>PHY 170,ED1-CHE</v>
      </c>
      <c r="J47" s="45"/>
    </row>
    <row r="48" spans="1:12" s="46" customFormat="1" ht="14.5" x14ac:dyDescent="0.35">
      <c r="A48" s="58" t="s">
        <v>108</v>
      </c>
      <c r="B48" s="59" t="str">
        <v>GENERAL PHYSICS</v>
      </c>
      <c r="C48" s="60" t="str">
        <v>Abavare Eric Kwabena Kyeh</v>
      </c>
      <c r="D48" s="58" t="s">
        <v>110</v>
      </c>
      <c r="E48" s="62">
        <v>56</v>
      </c>
      <c r="F48" s="129"/>
      <c r="G48" s="63">
        <f t="shared" si="10"/>
        <v>61.600000000000009</v>
      </c>
      <c r="H48" s="64"/>
      <c r="I48" s="44" t="str">
        <f t="shared" si="11"/>
        <v>PHY 170,ED1-PCE</v>
      </c>
      <c r="J48" s="45"/>
    </row>
    <row r="49" spans="1:10" s="46" customFormat="1" ht="14.5" x14ac:dyDescent="0.35">
      <c r="A49" s="58" t="s">
        <v>108</v>
      </c>
      <c r="B49" s="59" t="str">
        <v>GENERAL PHYSICS</v>
      </c>
      <c r="C49" s="60" t="str">
        <v>Boateng Cyril Dziedzorm</v>
      </c>
      <c r="D49" s="58" t="s">
        <v>111</v>
      </c>
      <c r="E49" s="62">
        <v>130</v>
      </c>
      <c r="F49" s="129"/>
      <c r="G49" s="63">
        <f t="shared" si="10"/>
        <v>143</v>
      </c>
      <c r="H49" s="64"/>
      <c r="I49" s="44" t="str">
        <f t="shared" si="11"/>
        <v>PHY 170,ED1-PE</v>
      </c>
      <c r="J49" s="45"/>
    </row>
    <row r="50" spans="1:10" ht="14.5" x14ac:dyDescent="0.35">
      <c r="A50" s="38" t="s">
        <v>112</v>
      </c>
      <c r="B50" s="39" t="str">
        <v>SEAMANSHIP</v>
      </c>
      <c r="C50" s="7" t="str">
        <v>Larkai Francis Laako</v>
      </c>
      <c r="D50" s="38" t="s">
        <v>47</v>
      </c>
      <c r="E50" s="41">
        <v>37</v>
      </c>
      <c r="F50" s="47" t="s">
        <v>99</v>
      </c>
      <c r="G50" s="43">
        <f t="shared" si="10"/>
        <v>40.700000000000003</v>
      </c>
      <c r="H50" s="1">
        <v>37</v>
      </c>
      <c r="I50" s="5" t="str">
        <f t="shared" si="11"/>
        <v>MME 292,ED2-MARI</v>
      </c>
      <c r="J50" s="6"/>
    </row>
    <row r="51" spans="1:10" ht="14.5" x14ac:dyDescent="0.35">
      <c r="A51" s="38" t="s">
        <v>113</v>
      </c>
      <c r="B51" s="39" t="str">
        <v>MARINE ENGINEERING LABORATORY III</v>
      </c>
      <c r="C51" s="39" t="str">
        <v>Tay Godwin Fabiola Kwaku</v>
      </c>
      <c r="D51" s="38" t="s">
        <v>114</v>
      </c>
      <c r="E51" s="41">
        <v>40</v>
      </c>
      <c r="F51" s="47" t="s">
        <v>54</v>
      </c>
      <c r="G51" s="43">
        <f t="shared" si="10"/>
        <v>44</v>
      </c>
      <c r="H51" s="1">
        <v>40</v>
      </c>
      <c r="I51" s="5" t="str">
        <f t="shared" si="11"/>
        <v>MME 396,ED3-MARI</v>
      </c>
      <c r="J51" s="6"/>
    </row>
    <row r="52" spans="1:10" ht="14.5" x14ac:dyDescent="0.35">
      <c r="A52" s="38" t="s">
        <v>115</v>
      </c>
      <c r="B52" s="7" t="str">
        <v>RENEWABLE ENERGY SYSTEMS AND MANAGEMENT</v>
      </c>
      <c r="C52" s="7" t="str">
        <v>Kemausuor Francis</v>
      </c>
      <c r="D52" s="38" t="s">
        <v>116</v>
      </c>
      <c r="E52" s="41">
        <v>101</v>
      </c>
      <c r="F52" s="47" t="s">
        <v>117</v>
      </c>
      <c r="G52" s="43">
        <f>E52*1.1</f>
        <v>111.10000000000001</v>
      </c>
      <c r="H52" s="1" t="s">
        <v>118</v>
      </c>
      <c r="I52" s="5" t="str">
        <f t="shared" si="11"/>
        <v>AE 358,ED3-AE</v>
      </c>
      <c r="J52" s="6"/>
    </row>
    <row r="53" spans="1:10" ht="14.5" x14ac:dyDescent="0.35">
      <c r="A53" s="38" t="s">
        <v>119</v>
      </c>
      <c r="B53" s="7" t="str">
        <v>INTRODUCTION TO LIGHTING AND ACOUSTICS</v>
      </c>
      <c r="C53" s="7" t="str">
        <v>Amos-Abanyie Samuel</v>
      </c>
      <c r="D53" s="38" t="s">
        <v>67</v>
      </c>
      <c r="E53" s="41">
        <v>55</v>
      </c>
      <c r="F53" s="47" t="s">
        <v>120</v>
      </c>
      <c r="G53" s="43">
        <f>E53*1.1</f>
        <v>60.500000000000007</v>
      </c>
      <c r="H53" s="1" t="s">
        <v>51</v>
      </c>
      <c r="I53" s="5" t="str">
        <f t="shared" si="11"/>
        <v>ARC 156,ED1-CE</v>
      </c>
      <c r="J53" s="6"/>
    </row>
    <row r="54" spans="1:10" s="53" customFormat="1" ht="14.5" x14ac:dyDescent="0.35">
      <c r="A54" s="48" t="s">
        <v>121</v>
      </c>
      <c r="B54" s="51" t="str">
        <v>INTRODUCTION TO COMMUNICATION NETWORKS</v>
      </c>
      <c r="C54" s="51" t="str">
        <v>Agyemang Justice Owusu</v>
      </c>
      <c r="D54" s="48" t="s">
        <v>122</v>
      </c>
      <c r="E54" s="42">
        <v>130</v>
      </c>
      <c r="F54" s="48" t="s">
        <v>65</v>
      </c>
      <c r="G54" s="49">
        <f t="shared" ref="G54" si="12">E54*1.1</f>
        <v>143</v>
      </c>
      <c r="H54" s="50">
        <v>130</v>
      </c>
      <c r="I54" s="66" t="str">
        <f t="shared" si="11"/>
        <v>TE 156,ED1-TEL</v>
      </c>
      <c r="J54" s="52"/>
    </row>
    <row r="55" spans="1:10" s="53" customFormat="1" ht="14.5" x14ac:dyDescent="0.35">
      <c r="A55" s="48" t="s">
        <v>123</v>
      </c>
      <c r="B55" s="40" t="str">
        <v>PETROCHEMICAL ENGINEERING LABORATORY II</v>
      </c>
      <c r="C55" s="40" t="str">
        <v>Bonsu Jude Kwaku</v>
      </c>
      <c r="D55" s="48" t="s">
        <v>124</v>
      </c>
      <c r="E55" s="42">
        <v>53</v>
      </c>
      <c r="F55" s="48" t="s">
        <v>63</v>
      </c>
      <c r="G55" s="49">
        <f>E55*1.1</f>
        <v>58.300000000000004</v>
      </c>
      <c r="H55" s="50">
        <v>53</v>
      </c>
      <c r="I55" s="66" t="str">
        <f>CONCATENATE(A55,",",D55)</f>
        <v>PCE 354,ED3-PCE</v>
      </c>
      <c r="J55" s="52"/>
    </row>
    <row r="56" spans="1:10" ht="14.5" x14ac:dyDescent="0.35">
      <c r="A56" s="38" t="s">
        <v>125</v>
      </c>
      <c r="B56" s="39" t="str">
        <v>DRAWING FOR ENGINEERS</v>
      </c>
      <c r="C56" s="39" t="str">
        <v>Jones Twumasi</v>
      </c>
      <c r="D56" s="38" t="s">
        <v>126</v>
      </c>
      <c r="E56" s="41">
        <v>95</v>
      </c>
      <c r="F56" s="38" t="s">
        <v>127</v>
      </c>
      <c r="G56" s="43">
        <f>E56*1.1</f>
        <v>104.50000000000001</v>
      </c>
      <c r="H56" s="1" t="s">
        <v>128</v>
      </c>
      <c r="I56" s="5" t="str">
        <f t="shared" si="11"/>
        <v>PE 254,ED2-PE</v>
      </c>
      <c r="J56" s="6"/>
    </row>
    <row r="57" spans="1:10" ht="14.5" x14ac:dyDescent="0.35">
      <c r="A57" s="38" t="s">
        <v>129</v>
      </c>
      <c r="B57" s="39" t="str">
        <v>BIOINSTRUMENTATION I</v>
      </c>
      <c r="C57" s="7" t="str">
        <v>Acquah Isaac</v>
      </c>
      <c r="D57" s="38" t="s">
        <v>130</v>
      </c>
      <c r="E57" s="41">
        <v>90</v>
      </c>
      <c r="F57" s="38" t="s">
        <v>131</v>
      </c>
      <c r="G57" s="43">
        <f>E57*1.1</f>
        <v>99.000000000000014</v>
      </c>
      <c r="H57" s="1" t="s">
        <v>132</v>
      </c>
      <c r="I57" s="5" t="str">
        <f>CONCATENATE(A57,",",D57)</f>
        <v>BME 372,ED3-BME</v>
      </c>
      <c r="J57" s="6"/>
    </row>
    <row r="58" spans="1:10" ht="14.5" x14ac:dyDescent="0.35">
      <c r="A58" s="38" t="s">
        <v>133</v>
      </c>
      <c r="B58" s="39" t="str">
        <v>GEOSTATISTICS</v>
      </c>
      <c r="C58" s="7" t="str">
        <v>Nuamah Daniel Oduro Boatey</v>
      </c>
      <c r="D58" s="38" t="s">
        <v>134</v>
      </c>
      <c r="E58" s="41">
        <v>72</v>
      </c>
      <c r="F58" s="47" t="s">
        <v>63</v>
      </c>
      <c r="G58" s="43">
        <f t="shared" ref="G58" si="13">E58*1.1</f>
        <v>79.2</v>
      </c>
      <c r="H58" s="1">
        <v>72</v>
      </c>
      <c r="I58" s="5" t="str">
        <f>CONCATENATE(A58,",",D58)</f>
        <v>GED 468,ED4-GEOL</v>
      </c>
      <c r="J58" s="6"/>
    </row>
    <row r="59" spans="1:10" ht="14.5" x14ac:dyDescent="0.35">
      <c r="A59" s="38" t="s">
        <v>135</v>
      </c>
      <c r="B59" s="7" t="str">
        <v>CROP LOSSES AND THEIR CONTROL</v>
      </c>
      <c r="C59" s="7" t="str">
        <v xml:space="preserve">Darko Joseph Ofei </v>
      </c>
      <c r="D59" s="38" t="s">
        <v>136</v>
      </c>
      <c r="E59" s="41">
        <v>103</v>
      </c>
      <c r="F59" s="47" t="s">
        <v>137</v>
      </c>
      <c r="G59" s="43">
        <f>E59*1.1</f>
        <v>113.30000000000001</v>
      </c>
      <c r="H59" s="1" t="s">
        <v>138</v>
      </c>
      <c r="I59" s="5" t="str">
        <f>CONCATENATE(A59,",",D59)</f>
        <v>AE 458,ED4-AE</v>
      </c>
      <c r="J59" s="6"/>
    </row>
    <row r="60" spans="1:10" ht="14.5" x14ac:dyDescent="0.35">
      <c r="A60" s="38" t="s">
        <v>139</v>
      </c>
      <c r="B60" s="39" t="str">
        <v>ENVIRONMENTAL QUALITY ENGINEERING II</v>
      </c>
      <c r="C60" s="7" t="str">
        <v>Appiah-Effah Eugene</v>
      </c>
      <c r="D60" s="38" t="s">
        <v>140</v>
      </c>
      <c r="E60" s="41">
        <v>115</v>
      </c>
      <c r="F60" s="47" t="s">
        <v>131</v>
      </c>
      <c r="G60" s="43">
        <f t="shared" si="10"/>
        <v>126.50000000000001</v>
      </c>
      <c r="H60" s="1" t="s">
        <v>141</v>
      </c>
      <c r="I60" s="5" t="str">
        <f t="shared" si="11"/>
        <v>CE 464,ED4-CE</v>
      </c>
      <c r="J60" s="6"/>
    </row>
    <row r="61" spans="1:10" ht="14.5" x14ac:dyDescent="0.35">
      <c r="A61" s="38" t="s">
        <v>142</v>
      </c>
      <c r="B61" s="7" t="str">
        <v>AEROSPACE ENGINEERING LAB II</v>
      </c>
      <c r="C61" s="7" t="str">
        <v>Oppong David Kofi</v>
      </c>
      <c r="D61" s="38" t="s">
        <v>26</v>
      </c>
      <c r="E61" s="41">
        <v>76</v>
      </c>
      <c r="F61" s="47" t="s">
        <v>143</v>
      </c>
      <c r="G61" s="43">
        <f>E61*1.1</f>
        <v>83.600000000000009</v>
      </c>
      <c r="H61" s="1" t="s">
        <v>144</v>
      </c>
      <c r="I61" s="5" t="str">
        <f>CONCATENATE(A61,",",D61)</f>
        <v>AERO 396,ED3-AERO</v>
      </c>
      <c r="J61" s="6"/>
    </row>
    <row r="62" spans="1:10" ht="14.5" x14ac:dyDescent="0.35">
      <c r="A62" s="54"/>
      <c r="B62" s="54"/>
      <c r="D62" s="39" t="s">
        <v>145</v>
      </c>
      <c r="E62" s="55">
        <f>SUM(E50:E61)</f>
        <v>967</v>
      </c>
      <c r="F62" s="56"/>
      <c r="G62" s="57"/>
      <c r="I62" s="2" t="s">
        <v>34</v>
      </c>
      <c r="J62" s="6"/>
    </row>
    <row r="63" spans="1:10" ht="14.5" x14ac:dyDescent="0.35">
      <c r="A63" s="54"/>
      <c r="B63" s="54"/>
      <c r="D63" s="54"/>
      <c r="E63" s="71"/>
      <c r="F63" s="56"/>
      <c r="G63" s="57"/>
      <c r="I63" s="2" t="s">
        <v>146</v>
      </c>
      <c r="J63" s="6"/>
    </row>
    <row r="64" spans="1:10" ht="14.5" x14ac:dyDescent="0.35">
      <c r="A64" s="123" t="s">
        <v>107</v>
      </c>
      <c r="B64" s="123"/>
      <c r="C64" s="123"/>
      <c r="D64" s="123"/>
      <c r="E64" s="123"/>
      <c r="F64" s="123"/>
      <c r="G64" s="123"/>
      <c r="I64" s="2" t="str">
        <f>A64</f>
        <v>Tuesday, 18 August 2026</v>
      </c>
      <c r="J64" s="6"/>
    </row>
    <row r="65" spans="1:10" s="3" customFormat="1" ht="14.5" x14ac:dyDescent="0.35">
      <c r="A65" s="123" t="s">
        <v>35</v>
      </c>
      <c r="B65" s="123"/>
      <c r="C65" s="123"/>
      <c r="D65" s="123"/>
      <c r="E65" s="123"/>
      <c r="F65" s="123"/>
      <c r="G65" s="123"/>
      <c r="H65" s="1"/>
      <c r="I65" s="2" t="str">
        <f>A65</f>
        <v>Session, 2 (12:00 PM - 2:00 PM)</v>
      </c>
      <c r="J65" s="6"/>
    </row>
    <row r="66" spans="1:10" s="3" customFormat="1" ht="14.5" x14ac:dyDescent="0.35">
      <c r="A66" s="35" t="s">
        <v>2</v>
      </c>
      <c r="B66" s="35" t="s">
        <v>3</v>
      </c>
      <c r="C66" s="32" t="s">
        <v>4</v>
      </c>
      <c r="D66" s="35" t="s">
        <v>5</v>
      </c>
      <c r="E66" s="36" t="s">
        <v>6</v>
      </c>
      <c r="F66" s="32" t="s">
        <v>7</v>
      </c>
      <c r="G66" s="37" t="s">
        <v>8</v>
      </c>
      <c r="H66" s="1"/>
      <c r="I66" s="2" t="s">
        <v>36</v>
      </c>
      <c r="J66" s="6"/>
    </row>
    <row r="67" spans="1:10" s="53" customFormat="1" ht="14.5" x14ac:dyDescent="0.35">
      <c r="A67" s="48" t="s">
        <v>147</v>
      </c>
      <c r="B67" s="40" t="str" cm="1">
        <f t="array" ref="B67:B80">IFERROR(VLOOKUP(I67:I80,[5]Lectures_1!A2:F534,2,FALSE),0)</f>
        <v>OBJECT-ORIENTED PROGRAMMING</v>
      </c>
      <c r="C67" s="51" t="str" cm="1">
        <f t="array" ref="C67:C80">IFERROR(VLOOKUP(I67:I80,[5]Lectures_1!A2:F534,3,FALSE),0)</f>
        <v>Adjaidoo Theresa-Samuelle Maame Atwemaah</v>
      </c>
      <c r="D67" s="48" t="s">
        <v>148</v>
      </c>
      <c r="E67" s="42" cm="1">
        <f t="array" ref="E67:E80">IFERROR(VLOOKUP(I67:I80,[5]Lectures_1!A2:F534,4,FALSE),0)</f>
        <v>255</v>
      </c>
      <c r="F67" s="40" t="s">
        <v>23</v>
      </c>
      <c r="G67" s="49">
        <f t="shared" ref="G67:G73" si="14">E67*1.1</f>
        <v>280.5</v>
      </c>
      <c r="H67" s="50" t="s">
        <v>149</v>
      </c>
      <c r="I67" s="66" t="str">
        <f t="shared" ref="I67:I68" si="15">CONCATENATE(A67,",",D67)</f>
        <v>COE 254,ED2-COE</v>
      </c>
      <c r="J67" s="52"/>
    </row>
    <row r="68" spans="1:10" s="53" customFormat="1" ht="14.5" x14ac:dyDescent="0.35">
      <c r="A68" s="48" t="s">
        <v>147</v>
      </c>
      <c r="B68" s="40" t="str">
        <v>OBJECT-ORIENTED PROGRAMMING</v>
      </c>
      <c r="C68" s="51" t="str">
        <v>Adjaidoo Theresa-Samuelle Maame Atwemaah</v>
      </c>
      <c r="D68" s="48" t="s">
        <v>150</v>
      </c>
      <c r="E68" s="42">
        <v>80</v>
      </c>
      <c r="F68" s="40" t="s">
        <v>63</v>
      </c>
      <c r="G68" s="49">
        <f t="shared" si="14"/>
        <v>88</v>
      </c>
      <c r="H68" s="50">
        <v>80</v>
      </c>
      <c r="I68" s="66" t="str">
        <f t="shared" si="15"/>
        <v>COE 254,ED2-BME</v>
      </c>
      <c r="J68" s="52"/>
    </row>
    <row r="69" spans="1:10" s="74" customFormat="1" ht="14.5" x14ac:dyDescent="0.35">
      <c r="A69" s="38" t="s">
        <v>151</v>
      </c>
      <c r="B69" s="39" t="str">
        <v>COMPUTER PROGRAMMING FOR ENGINEERS</v>
      </c>
      <c r="C69" s="7" t="str">
        <v>Dzebre Denis Edem Kwame</v>
      </c>
      <c r="D69" s="38" t="s">
        <v>152</v>
      </c>
      <c r="E69" s="41">
        <v>83</v>
      </c>
      <c r="F69" s="47" t="s">
        <v>153</v>
      </c>
      <c r="G69" s="43">
        <f>E69*1.1</f>
        <v>91.300000000000011</v>
      </c>
      <c r="H69" s="1" t="s">
        <v>154</v>
      </c>
      <c r="I69" s="72" t="str">
        <f>CONCATENATE(A69,",",D69)</f>
        <v>ME 168,ED1-IND</v>
      </c>
      <c r="J69" s="73"/>
    </row>
    <row r="70" spans="1:10" s="74" customFormat="1" ht="14.5" x14ac:dyDescent="0.35">
      <c r="A70" s="38" t="s">
        <v>151</v>
      </c>
      <c r="B70" s="39" t="str">
        <v>COMPUTER PROGRAMMING FOR ENGINEERS</v>
      </c>
      <c r="C70" s="7" t="str">
        <v>Dzebre Denis Edem Kwame</v>
      </c>
      <c r="D70" s="38" t="s">
        <v>155</v>
      </c>
      <c r="E70" s="41">
        <v>46</v>
      </c>
      <c r="F70" s="47" t="s">
        <v>156</v>
      </c>
      <c r="G70" s="43">
        <f>E70*1.1</f>
        <v>50.6</v>
      </c>
      <c r="H70" s="1" t="s">
        <v>157</v>
      </c>
      <c r="I70" s="72" t="str">
        <f>CONCATENATE(A70,",",D70)</f>
        <v>ME 168,ED1-MARI</v>
      </c>
      <c r="J70" s="73"/>
    </row>
    <row r="71" spans="1:10" ht="14.5" x14ac:dyDescent="0.35">
      <c r="A71" s="38" t="s">
        <v>158</v>
      </c>
      <c r="B71" s="39" t="str">
        <v>OPTICAL AND THERMAL BEHAVIOUR OF MATERIALS</v>
      </c>
      <c r="C71" s="7" t="str">
        <v>Nartey Martinson Addo</v>
      </c>
      <c r="D71" s="38" t="s">
        <v>159</v>
      </c>
      <c r="E71" s="41">
        <v>75</v>
      </c>
      <c r="F71" s="47" t="s">
        <v>15</v>
      </c>
      <c r="G71" s="43">
        <f t="shared" si="14"/>
        <v>82.5</v>
      </c>
      <c r="H71" s="1" t="s">
        <v>160</v>
      </c>
      <c r="I71" s="5" t="str">
        <f t="shared" ref="I71:I80" si="16">CONCATENATE(A71,",",D71)</f>
        <v>MSE 154,ED1-METE</v>
      </c>
      <c r="J71" s="6"/>
    </row>
    <row r="72" spans="1:10" ht="14.5" x14ac:dyDescent="0.35">
      <c r="A72" s="38" t="s">
        <v>158</v>
      </c>
      <c r="B72" s="39" t="str">
        <v>OPTICAL AND THERMAL BEHAVIOUR OF MATERIALS</v>
      </c>
      <c r="C72" s="7" t="str">
        <v>Nartey Martinson Addo</v>
      </c>
      <c r="D72" s="38" t="s">
        <v>161</v>
      </c>
      <c r="E72" s="41">
        <v>100</v>
      </c>
      <c r="F72" s="47" t="s">
        <v>162</v>
      </c>
      <c r="G72" s="43">
        <f t="shared" si="14"/>
        <v>110.00000000000001</v>
      </c>
      <c r="H72" s="1" t="s">
        <v>163</v>
      </c>
      <c r="I72" s="5" t="str">
        <f t="shared" si="16"/>
        <v>MSE 154,ED1-MSE</v>
      </c>
      <c r="J72" s="6"/>
    </row>
    <row r="73" spans="1:10" ht="14.5" x14ac:dyDescent="0.35">
      <c r="A73" s="38" t="s">
        <v>164</v>
      </c>
      <c r="B73" s="7" t="str">
        <v>MECHANICAL ENGINEERING MATERIALS III</v>
      </c>
      <c r="C73" s="7" t="str">
        <v>Sackey Samuel Mensah</v>
      </c>
      <c r="D73" s="38" t="s">
        <v>82</v>
      </c>
      <c r="E73" s="41">
        <v>55</v>
      </c>
      <c r="F73" s="47" t="s">
        <v>50</v>
      </c>
      <c r="G73" s="43">
        <f t="shared" si="14"/>
        <v>60.500000000000007</v>
      </c>
      <c r="H73" s="1" t="s">
        <v>51</v>
      </c>
      <c r="I73" s="5" t="str">
        <f t="shared" si="16"/>
        <v>ME 482,ED4-ME</v>
      </c>
      <c r="J73" s="6"/>
    </row>
    <row r="74" spans="1:10" ht="14.5" x14ac:dyDescent="0.35">
      <c r="A74" s="38" t="s">
        <v>165</v>
      </c>
      <c r="B74" s="39" t="str">
        <v>SWITCHING ENGINEERING IN COMMUNICATION</v>
      </c>
      <c r="C74" s="39" t="str">
        <v>Obour Agyekum Kwame Opuni-Boachie</v>
      </c>
      <c r="D74" s="38" t="s">
        <v>90</v>
      </c>
      <c r="E74" s="41">
        <v>10</v>
      </c>
      <c r="F74" s="47" t="s">
        <v>166</v>
      </c>
      <c r="G74" s="43">
        <f>E74*1.1</f>
        <v>11</v>
      </c>
      <c r="H74" s="1">
        <v>10</v>
      </c>
      <c r="I74" s="5" t="str">
        <f>CONCATENATE(A74,",",D74)</f>
        <v>TE 384,ED3-EE</v>
      </c>
      <c r="J74" s="6"/>
    </row>
    <row r="75" spans="1:10" ht="14.5" x14ac:dyDescent="0.35">
      <c r="A75" s="38" t="s">
        <v>167</v>
      </c>
      <c r="B75" s="39" t="str">
        <v>SWITCHING ENGINEERING IN COMMUNICATION</v>
      </c>
      <c r="C75" s="39" t="str">
        <v>Agyekum Kwame Agyeman-Prempeh</v>
      </c>
      <c r="D75" s="38" t="s">
        <v>168</v>
      </c>
      <c r="E75" s="41">
        <v>140</v>
      </c>
      <c r="F75" s="47" t="s">
        <v>169</v>
      </c>
      <c r="G75" s="43">
        <f>E75*1.1</f>
        <v>154</v>
      </c>
      <c r="H75" s="1" t="s">
        <v>170</v>
      </c>
      <c r="I75" s="5" t="str">
        <f>CONCATENATE(A75,",",D75)</f>
        <v>TE 356,ED3-TEL</v>
      </c>
      <c r="J75" s="6"/>
    </row>
    <row r="76" spans="1:10" ht="14.5" x14ac:dyDescent="0.35">
      <c r="A76" s="38" t="s">
        <v>171</v>
      </c>
      <c r="B76" s="39" t="str">
        <v>AERODYNAMICS II</v>
      </c>
      <c r="C76" s="32" t="str">
        <v>Bofah Kwasi Kete</v>
      </c>
      <c r="D76" s="38" t="s">
        <v>172</v>
      </c>
      <c r="E76" s="41">
        <v>61</v>
      </c>
      <c r="F76" s="47" t="s">
        <v>173</v>
      </c>
      <c r="G76" s="43">
        <f>E76*1.1</f>
        <v>67.100000000000009</v>
      </c>
      <c r="H76" s="8" t="s">
        <v>174</v>
      </c>
      <c r="I76" s="5" t="str">
        <f>CONCATENATE(A76,",",D76)</f>
        <v>AERO 452,ED4-AERO</v>
      </c>
      <c r="J76" s="6"/>
    </row>
    <row r="77" spans="1:10" ht="14.5" x14ac:dyDescent="0.35">
      <c r="A77" s="38" t="s">
        <v>175</v>
      </c>
      <c r="B77" s="7" t="str">
        <v>ASSAYING</v>
      </c>
      <c r="C77" s="7" t="str">
        <v>Koomson Bennetta</v>
      </c>
      <c r="D77" s="38" t="s">
        <v>176</v>
      </c>
      <c r="E77" s="41">
        <v>57</v>
      </c>
      <c r="F77" s="47" t="s">
        <v>27</v>
      </c>
      <c r="G77" s="43">
        <f>E77*1.1</f>
        <v>62.7</v>
      </c>
      <c r="H77" s="1" t="s">
        <v>177</v>
      </c>
      <c r="I77" s="5" t="str">
        <f t="shared" ref="I77:I79" si="17">CONCATENATE(A77,",",D77)</f>
        <v>METE 256,ED2-METE</v>
      </c>
      <c r="J77" s="6"/>
    </row>
    <row r="78" spans="1:10" s="77" customFormat="1" ht="14.5" x14ac:dyDescent="0.35">
      <c r="A78" s="38" t="s">
        <v>178</v>
      </c>
      <c r="B78" s="7" t="str">
        <v>OPERATIONS RESEARCH II</v>
      </c>
      <c r="C78" s="7" t="str">
        <v>Asiedu Charlotte</v>
      </c>
      <c r="D78" s="38" t="s">
        <v>179</v>
      </c>
      <c r="E78" s="41">
        <v>70</v>
      </c>
      <c r="F78" s="47" t="s">
        <v>95</v>
      </c>
      <c r="G78" s="43">
        <f t="shared" ref="G78:G79" si="18">E78*1.1</f>
        <v>77</v>
      </c>
      <c r="H78" s="1" t="s">
        <v>180</v>
      </c>
      <c r="I78" s="75" t="str">
        <f t="shared" si="17"/>
        <v>IE 368,ED3-IND</v>
      </c>
      <c r="J78" s="76"/>
    </row>
    <row r="79" spans="1:10" ht="14.5" x14ac:dyDescent="0.35">
      <c r="A79" s="38" t="s">
        <v>181</v>
      </c>
      <c r="B79" s="7" t="str">
        <v>FOOD PROCESSING TECHNOLOGY</v>
      </c>
      <c r="C79" s="39" t="str">
        <v>Anang Daniel Adjah</v>
      </c>
      <c r="D79" s="38" t="s">
        <v>59</v>
      </c>
      <c r="E79" s="41">
        <v>50</v>
      </c>
      <c r="F79" s="47" t="s">
        <v>182</v>
      </c>
      <c r="G79" s="43">
        <f t="shared" si="18"/>
        <v>55.000000000000007</v>
      </c>
      <c r="H79" s="1" t="s">
        <v>183</v>
      </c>
      <c r="I79" s="5" t="str">
        <f t="shared" si="17"/>
        <v>CHE 368,ED3-CHE</v>
      </c>
      <c r="J79" s="6"/>
    </row>
    <row r="80" spans="1:10" ht="14.5" x14ac:dyDescent="0.35">
      <c r="A80" s="38" t="s">
        <v>184</v>
      </c>
      <c r="B80" s="7" t="str">
        <v>AUTOMATION AND PRODUCTION SYSTEM</v>
      </c>
      <c r="C80" s="7" t="str">
        <v>Sackey Samuel Mensah</v>
      </c>
      <c r="D80" s="38" t="s">
        <v>185</v>
      </c>
      <c r="E80" s="41">
        <v>69</v>
      </c>
      <c r="F80" s="47" t="s">
        <v>186</v>
      </c>
      <c r="G80" s="43">
        <f>E80*1.1</f>
        <v>75.900000000000006</v>
      </c>
      <c r="H80" s="1" t="s">
        <v>187</v>
      </c>
      <c r="I80" s="5" t="str">
        <f t="shared" si="16"/>
        <v>IE 452,ED4-IND</v>
      </c>
      <c r="J80" s="6"/>
    </row>
    <row r="81" spans="1:10" ht="14.5" x14ac:dyDescent="0.35">
      <c r="A81" s="38"/>
      <c r="B81" s="54"/>
      <c r="D81" s="39" t="s">
        <v>188</v>
      </c>
      <c r="E81" s="55">
        <f>SUM(E67:E80)</f>
        <v>1151</v>
      </c>
      <c r="F81" s="56"/>
      <c r="G81" s="57"/>
      <c r="I81" s="2" t="s">
        <v>76</v>
      </c>
      <c r="J81" s="6"/>
    </row>
    <row r="82" spans="1:10" ht="14.5" x14ac:dyDescent="0.35">
      <c r="A82" s="123" t="s">
        <v>107</v>
      </c>
      <c r="B82" s="123"/>
      <c r="C82" s="123"/>
      <c r="D82" s="123"/>
      <c r="E82" s="123"/>
      <c r="F82" s="123"/>
      <c r="G82" s="123"/>
      <c r="I82" s="2" t="str">
        <f>A82</f>
        <v>Tuesday, 18 August 2026</v>
      </c>
      <c r="J82" s="6"/>
    </row>
    <row r="83" spans="1:10" ht="14.5" x14ac:dyDescent="0.35">
      <c r="A83" s="123" t="s">
        <v>77</v>
      </c>
      <c r="B83" s="123"/>
      <c r="C83" s="123"/>
      <c r="D83" s="123"/>
      <c r="E83" s="123"/>
      <c r="F83" s="123"/>
      <c r="G83" s="123"/>
      <c r="I83" s="2" t="str">
        <f>A83</f>
        <v>Session, 3 (3:00 PM - 5:00 PM)</v>
      </c>
      <c r="J83" s="6"/>
    </row>
    <row r="84" spans="1:10" ht="14.5" x14ac:dyDescent="0.35">
      <c r="A84" s="35" t="s">
        <v>2</v>
      </c>
      <c r="B84" s="35" t="s">
        <v>3</v>
      </c>
      <c r="C84" s="32" t="s">
        <v>4</v>
      </c>
      <c r="D84" s="35" t="s">
        <v>5</v>
      </c>
      <c r="E84" s="36" t="s">
        <v>6</v>
      </c>
      <c r="F84" s="32" t="s">
        <v>7</v>
      </c>
      <c r="G84" s="37" t="s">
        <v>8</v>
      </c>
      <c r="I84" s="2" t="s">
        <v>36</v>
      </c>
      <c r="J84" s="6"/>
    </row>
    <row r="85" spans="1:10" ht="14.5" x14ac:dyDescent="0.35">
      <c r="A85" s="38" t="s">
        <v>189</v>
      </c>
      <c r="B85" s="39" t="str" cm="1">
        <f t="array" ref="B85:B94">IFERROR(VLOOKUP(I85:I94,[5]Lectures_1!A2:F534,2,FALSE),0)</f>
        <v>BIOCHEMISTRY</v>
      </c>
      <c r="C85" s="39" t="str" cm="1">
        <f t="array" ref="C85:C94">IFERROR(VLOOKUP(I85:I94,[5]Lectures_1!A2:F534,3,FALSE),0)</f>
        <v>Charles Apprey</v>
      </c>
      <c r="D85" s="38" t="s">
        <v>190</v>
      </c>
      <c r="E85" s="41" cm="1">
        <f t="array" ref="E85:E94">IFERROR(VLOOKUP(I85:I94,[5]Lectures_1!A2:F534,4,FALSE),0)</f>
        <v>136</v>
      </c>
      <c r="F85" s="38" t="s">
        <v>191</v>
      </c>
      <c r="G85" s="43">
        <f>E85*1.1</f>
        <v>149.60000000000002</v>
      </c>
      <c r="H85" s="1" t="s">
        <v>192</v>
      </c>
      <c r="I85" s="5" t="str">
        <f t="shared" ref="I85:I94" si="19">CONCATENATE(A85,",",D85)</f>
        <v>BME 166,ED1-BME</v>
      </c>
      <c r="J85" s="6"/>
    </row>
    <row r="86" spans="1:10" ht="14.5" x14ac:dyDescent="0.35">
      <c r="A86" s="38" t="s">
        <v>193</v>
      </c>
      <c r="B86" s="39" t="str">
        <v>PROCESS DYNAMICS AND CONTROL</v>
      </c>
      <c r="C86" s="7" t="str">
        <v>Adjaottor Albert Amatey</v>
      </c>
      <c r="D86" s="38" t="s">
        <v>194</v>
      </c>
      <c r="E86" s="41">
        <v>60</v>
      </c>
      <c r="F86" s="47" t="s">
        <v>63</v>
      </c>
      <c r="G86" s="43">
        <f t="shared" ref="G86:G94" si="20">E86*1.1</f>
        <v>66</v>
      </c>
      <c r="H86" s="1">
        <v>60</v>
      </c>
      <c r="I86" s="5" t="str">
        <f t="shared" si="19"/>
        <v>MSE 458,ED4-MSE</v>
      </c>
      <c r="J86" s="6"/>
    </row>
    <row r="87" spans="1:10" ht="14.5" x14ac:dyDescent="0.35">
      <c r="A87" s="38" t="s">
        <v>193</v>
      </c>
      <c r="B87" s="39" t="str">
        <v>PROCESS DYNANICS AND CONTROL</v>
      </c>
      <c r="C87" s="7" t="str">
        <v>Adjaottor Albert Amatey</v>
      </c>
      <c r="D87" s="38" t="s">
        <v>195</v>
      </c>
      <c r="E87" s="41">
        <v>55</v>
      </c>
      <c r="F87" s="47" t="s">
        <v>196</v>
      </c>
      <c r="G87" s="43">
        <f t="shared" si="20"/>
        <v>60.500000000000007</v>
      </c>
      <c r="H87" s="1" t="s">
        <v>197</v>
      </c>
      <c r="I87" s="5" t="str">
        <f t="shared" si="19"/>
        <v>MSE 458,ED4-METE</v>
      </c>
      <c r="J87" s="6"/>
    </row>
    <row r="88" spans="1:10" ht="14.5" x14ac:dyDescent="0.35">
      <c r="A88" s="38" t="s">
        <v>198</v>
      </c>
      <c r="B88" s="39" t="str">
        <v>ELECTRICAL MEASUREMENTS &amp; INSTRUMENTATION</v>
      </c>
      <c r="C88" s="7" t="str">
        <v>Nicholas Kwesi Prah II</v>
      </c>
      <c r="D88" s="38" t="s">
        <v>199</v>
      </c>
      <c r="E88" s="41">
        <v>295</v>
      </c>
      <c r="F88" s="47" t="s">
        <v>200</v>
      </c>
      <c r="G88" s="43">
        <f t="shared" si="20"/>
        <v>324.5</v>
      </c>
      <c r="H88" s="1" t="s">
        <v>201</v>
      </c>
      <c r="I88" s="5" t="str">
        <f t="shared" si="19"/>
        <v>EE 188,ED1-EE</v>
      </c>
      <c r="J88" s="6"/>
    </row>
    <row r="89" spans="1:10" ht="14.5" x14ac:dyDescent="0.35">
      <c r="A89" s="38" t="s">
        <v>202</v>
      </c>
      <c r="B89" s="39" t="str">
        <v>PRINCIPLES OF SURVEYING</v>
      </c>
      <c r="C89" s="39" t="str">
        <v>Akwasi Afrifa Acheampong</v>
      </c>
      <c r="D89" s="38" t="s">
        <v>56</v>
      </c>
      <c r="E89" s="41">
        <v>155</v>
      </c>
      <c r="F89" s="22" t="s">
        <v>203</v>
      </c>
      <c r="G89" s="43">
        <f>E89*1.1</f>
        <v>170.5</v>
      </c>
      <c r="H89" s="10" t="s">
        <v>57</v>
      </c>
      <c r="I89" s="5" t="str">
        <f>CONCATENATE(A89,",",D89)</f>
        <v>GE 286,ED2-AE</v>
      </c>
      <c r="J89" s="6"/>
    </row>
    <row r="90" spans="1:10" ht="14.5" x14ac:dyDescent="0.35">
      <c r="A90" s="38" t="s">
        <v>204</v>
      </c>
      <c r="B90" s="7" t="str">
        <v>FUNDAMENTALS OF PETROLEUM LAW</v>
      </c>
      <c r="C90" s="7" t="str">
        <v>Amoah Enoch Kwabena</v>
      </c>
      <c r="D90" s="38" t="s">
        <v>205</v>
      </c>
      <c r="E90" s="41">
        <v>99</v>
      </c>
      <c r="F90" s="47" t="s">
        <v>137</v>
      </c>
      <c r="G90" s="43">
        <f>E90*1.1</f>
        <v>108.9</v>
      </c>
      <c r="H90" s="1" t="s">
        <v>206</v>
      </c>
      <c r="I90" s="5" t="str">
        <f>CONCATENATE(A90,",",D90)</f>
        <v>PE 466,ED4-PE</v>
      </c>
      <c r="J90" s="6"/>
    </row>
    <row r="91" spans="1:10" ht="14.5" x14ac:dyDescent="0.35">
      <c r="A91" s="38" t="s">
        <v>207</v>
      </c>
      <c r="B91" s="39" t="str">
        <v>INTRODUCTION TO CERAMICS</v>
      </c>
      <c r="C91" s="39" t="str">
        <v>Andrews Anthony</v>
      </c>
      <c r="D91" s="38" t="s">
        <v>208</v>
      </c>
      <c r="E91" s="41">
        <v>83</v>
      </c>
      <c r="F91" s="47" t="s">
        <v>209</v>
      </c>
      <c r="G91" s="43">
        <f>E91*1.1</f>
        <v>91.300000000000011</v>
      </c>
      <c r="H91" s="8" t="s">
        <v>210</v>
      </c>
      <c r="I91" s="5" t="str">
        <f>CONCATENATE(A91,",",D91)</f>
        <v>MSE 254,ED2-MSE</v>
      </c>
      <c r="J91" s="6"/>
    </row>
    <row r="92" spans="1:10" ht="14.5" x14ac:dyDescent="0.35">
      <c r="A92" s="38" t="s">
        <v>211</v>
      </c>
      <c r="B92" s="7" t="str">
        <v>MATERIALS CHARACTERIZATION LABORATORY</v>
      </c>
      <c r="C92" s="7" t="str">
        <v>Arthur Emmanuel Kwesi</v>
      </c>
      <c r="D92" s="38" t="s">
        <v>212</v>
      </c>
      <c r="E92" s="41">
        <v>85</v>
      </c>
      <c r="F92" s="47" t="s">
        <v>213</v>
      </c>
      <c r="G92" s="43">
        <f>E92*1.1</f>
        <v>93.500000000000014</v>
      </c>
      <c r="H92" s="1" t="s">
        <v>214</v>
      </c>
      <c r="I92" s="5" t="str">
        <f>CONCATENATE(A92,",",D92)</f>
        <v>MSE 364,ED3-MSE</v>
      </c>
      <c r="J92" s="6"/>
    </row>
    <row r="93" spans="1:10" ht="14.5" x14ac:dyDescent="0.35">
      <c r="A93" s="38" t="s">
        <v>215</v>
      </c>
      <c r="B93" s="7" t="str">
        <v>METALLURGICAL CHARACTERIZATION LABORATORY</v>
      </c>
      <c r="C93" s="7" t="str">
        <v>Arthur Emmanuel Kwesi</v>
      </c>
      <c r="D93" s="38" t="s">
        <v>216</v>
      </c>
      <c r="E93" s="41">
        <v>87</v>
      </c>
      <c r="F93" s="47" t="s">
        <v>217</v>
      </c>
      <c r="G93" s="43">
        <f>E93*1.1</f>
        <v>95.7</v>
      </c>
      <c r="H93" s="1" t="s">
        <v>218</v>
      </c>
      <c r="I93" s="5" t="str">
        <f>CONCATENATE(A93,",",D93)</f>
        <v>METE 358,ED3-METE</v>
      </c>
      <c r="J93" s="6"/>
    </row>
    <row r="94" spans="1:10" ht="14.5" x14ac:dyDescent="0.35">
      <c r="A94" s="38" t="s">
        <v>219</v>
      </c>
      <c r="B94" s="39" t="str">
        <v>POWER SYSTEMS PROTECTION</v>
      </c>
      <c r="C94" s="39" t="str">
        <v>Frimpong Emmanuel Asuming</v>
      </c>
      <c r="D94" s="38" t="s">
        <v>220</v>
      </c>
      <c r="E94" s="41">
        <v>205</v>
      </c>
      <c r="F94" s="47" t="s">
        <v>221</v>
      </c>
      <c r="G94" s="43">
        <f t="shared" si="20"/>
        <v>225.50000000000003</v>
      </c>
      <c r="H94" s="1" t="s">
        <v>222</v>
      </c>
      <c r="I94" s="5" t="str">
        <f t="shared" si="19"/>
        <v>EE 468,ED4-EE</v>
      </c>
      <c r="J94" s="6"/>
    </row>
    <row r="95" spans="1:10" ht="14.5" x14ac:dyDescent="0.35">
      <c r="A95" s="54"/>
      <c r="B95" s="54"/>
      <c r="D95" s="39" t="s">
        <v>223</v>
      </c>
      <c r="E95" s="55">
        <f>SUM(E86:E94)</f>
        <v>1124</v>
      </c>
      <c r="F95" s="7"/>
      <c r="G95" s="57"/>
      <c r="I95" s="2" t="s">
        <v>224</v>
      </c>
      <c r="J95" s="6"/>
    </row>
    <row r="96" spans="1:10" ht="14.5" x14ac:dyDescent="0.35">
      <c r="A96" s="123" t="s">
        <v>225</v>
      </c>
      <c r="B96" s="123"/>
      <c r="C96" s="123"/>
      <c r="D96" s="123"/>
      <c r="E96" s="123"/>
      <c r="F96" s="123"/>
      <c r="G96" s="123"/>
      <c r="I96" s="2" t="str">
        <f>A96</f>
        <v>Wednesday, 19 August 2026</v>
      </c>
      <c r="J96" s="6"/>
    </row>
    <row r="97" spans="1:10" ht="14.5" x14ac:dyDescent="0.35">
      <c r="A97" s="123" t="s">
        <v>1</v>
      </c>
      <c r="B97" s="123"/>
      <c r="C97" s="123"/>
      <c r="D97" s="123"/>
      <c r="E97" s="123"/>
      <c r="F97" s="123"/>
      <c r="G97" s="123"/>
      <c r="I97" s="2" t="str">
        <f>A97</f>
        <v>Session, 1 (8:30 AM - 10:30 AM)</v>
      </c>
      <c r="J97" s="6"/>
    </row>
    <row r="98" spans="1:10" ht="14.5" x14ac:dyDescent="0.35">
      <c r="A98" s="35" t="s">
        <v>2</v>
      </c>
      <c r="B98" s="35" t="s">
        <v>3</v>
      </c>
      <c r="C98" s="32" t="s">
        <v>4</v>
      </c>
      <c r="D98" s="35" t="s">
        <v>5</v>
      </c>
      <c r="E98" s="36" t="s">
        <v>6</v>
      </c>
      <c r="F98" s="32" t="s">
        <v>7</v>
      </c>
      <c r="G98" s="37" t="s">
        <v>8</v>
      </c>
      <c r="I98" s="2" t="s">
        <v>36</v>
      </c>
      <c r="J98" s="6"/>
    </row>
    <row r="99" spans="1:10" ht="14.5" x14ac:dyDescent="0.35">
      <c r="A99" s="38" t="s">
        <v>226</v>
      </c>
      <c r="B99" s="39" t="str" cm="1">
        <f t="array" ref="B99:B107">IFERROR(VLOOKUP(I99:I107,[5]Lectures_1!A2:F534,2,FALSE),0)</f>
        <v>PLANNING THE PHYSICAL ENVIRONMENT</v>
      </c>
      <c r="C99" s="7" t="str" cm="1">
        <f t="array" ref="C99:C107">IFERROR(VLOOKUP(I99:I107,[5]Lectures_1!A2:F534,3,FALSE),0)</f>
        <v>Aboagye Prince Anokye</v>
      </c>
      <c r="D99" s="38" t="s">
        <v>104</v>
      </c>
      <c r="E99" s="41" cm="1">
        <f t="array" ref="E99:E107">IFERROR(VLOOKUP(I99:I107,[5]Lectures_1!A2:F534,4,FALSE),0)</f>
        <v>122</v>
      </c>
      <c r="F99" s="47" t="s">
        <v>227</v>
      </c>
      <c r="G99" s="43">
        <f>E99*1.1</f>
        <v>134.20000000000002</v>
      </c>
      <c r="H99" s="1" t="s">
        <v>106</v>
      </c>
      <c r="I99" s="5" t="str">
        <f t="shared" ref="I99:I107" si="21">CONCATENATE(A99,",",D99)</f>
        <v>PL 252,ED3-GEOM</v>
      </c>
      <c r="J99" s="6"/>
    </row>
    <row r="100" spans="1:10" ht="14.5" x14ac:dyDescent="0.35">
      <c r="A100" s="38" t="s">
        <v>228</v>
      </c>
      <c r="B100" s="39" t="str">
        <v>MECHANISMS SYNTHESIS AND ANALYSIS I</v>
      </c>
      <c r="C100" s="39" t="str">
        <v>Ampofo Joshua</v>
      </c>
      <c r="D100" s="38" t="s">
        <v>38</v>
      </c>
      <c r="E100" s="41">
        <v>240</v>
      </c>
      <c r="F100" s="47" t="s">
        <v>19</v>
      </c>
      <c r="G100" s="43">
        <f t="shared" ref="G100:G103" si="22">E100*1.1</f>
        <v>264</v>
      </c>
      <c r="H100" s="1" t="s">
        <v>229</v>
      </c>
      <c r="I100" s="5" t="str">
        <f>CONCATENATE(A100,",",D100)</f>
        <v>ME 264,ED2-ME</v>
      </c>
      <c r="J100" s="6"/>
    </row>
    <row r="101" spans="1:10" ht="14.5" x14ac:dyDescent="0.35">
      <c r="A101" s="38" t="s">
        <v>228</v>
      </c>
      <c r="B101" s="39" t="str">
        <v>MECHANISMS SYNTHESIS AND ANALYSIS I</v>
      </c>
      <c r="C101" s="39" t="str">
        <v>Ampofo Joshua</v>
      </c>
      <c r="D101" s="38" t="s">
        <v>41</v>
      </c>
      <c r="E101" s="41">
        <v>75</v>
      </c>
      <c r="F101" s="47" t="s">
        <v>65</v>
      </c>
      <c r="G101" s="43">
        <f t="shared" si="22"/>
        <v>82.5</v>
      </c>
      <c r="H101" s="1">
        <v>75</v>
      </c>
      <c r="I101" s="5" t="str">
        <f t="shared" ref="I101:I103" si="23">CONCATENATE(A101,",",D101)</f>
        <v>ME 264,ED2-AERO</v>
      </c>
      <c r="J101" s="6"/>
    </row>
    <row r="102" spans="1:10" ht="14.5" x14ac:dyDescent="0.35">
      <c r="A102" s="38" t="s">
        <v>228</v>
      </c>
      <c r="B102" s="39" t="str">
        <v>MECHANISMS SYNTHESIS AND ANALYSIS I</v>
      </c>
      <c r="C102" s="39" t="str">
        <v>Ampofo Joshua</v>
      </c>
      <c r="D102" s="38" t="s">
        <v>43</v>
      </c>
      <c r="E102" s="41">
        <v>80</v>
      </c>
      <c r="F102" s="47" t="s">
        <v>153</v>
      </c>
      <c r="G102" s="43">
        <f t="shared" si="22"/>
        <v>88</v>
      </c>
      <c r="H102" s="1" t="s">
        <v>230</v>
      </c>
      <c r="I102" s="5" t="str">
        <f t="shared" si="23"/>
        <v>ME 264,ED2-IND</v>
      </c>
      <c r="J102" s="6"/>
    </row>
    <row r="103" spans="1:10" ht="14.5" x14ac:dyDescent="0.35">
      <c r="A103" s="38" t="s">
        <v>228</v>
      </c>
      <c r="B103" s="7" t="str">
        <v>MECHANISMS SYNTHESIS AND ANALYSIS I</v>
      </c>
      <c r="C103" s="39" t="str">
        <v>Ampofo Joshua</v>
      </c>
      <c r="D103" s="38" t="s">
        <v>45</v>
      </c>
      <c r="E103" s="41">
        <v>82</v>
      </c>
      <c r="F103" s="47" t="s">
        <v>231</v>
      </c>
      <c r="G103" s="43">
        <f t="shared" si="22"/>
        <v>90.2</v>
      </c>
      <c r="H103" s="1" t="s">
        <v>232</v>
      </c>
      <c r="I103" s="5" t="str">
        <f t="shared" si="23"/>
        <v>ME 264,ED2-AUTO</v>
      </c>
      <c r="J103" s="6"/>
    </row>
    <row r="104" spans="1:10" ht="14.5" x14ac:dyDescent="0.35">
      <c r="A104" s="38" t="s">
        <v>233</v>
      </c>
      <c r="B104" s="39" t="str">
        <v>MARINE MECHANISMS, SYSTHESIS AND ANALYSIS</v>
      </c>
      <c r="C104" s="7" t="str">
        <v>Ampofo Joshua</v>
      </c>
      <c r="D104" s="38" t="s">
        <v>47</v>
      </c>
      <c r="E104" s="41">
        <v>37</v>
      </c>
      <c r="F104" s="47" t="s">
        <v>234</v>
      </c>
      <c r="G104" s="43">
        <f>E104*1.1</f>
        <v>40.700000000000003</v>
      </c>
      <c r="H104" s="1">
        <v>37</v>
      </c>
      <c r="I104" s="5" t="str">
        <f>CONCATENATE(A104,",",D104)</f>
        <v>MME 264,ED2-MARI</v>
      </c>
      <c r="J104" s="6"/>
    </row>
    <row r="105" spans="1:10" ht="14.5" x14ac:dyDescent="0.35">
      <c r="A105" s="38" t="s">
        <v>235</v>
      </c>
      <c r="B105" s="7" t="str">
        <v>PRINCIPLES OF GEOLCHEMISTRY</v>
      </c>
      <c r="C105" s="7" t="str">
        <v>Gawu Simon Kafui Yawo</v>
      </c>
      <c r="D105" s="38" t="s">
        <v>236</v>
      </c>
      <c r="E105" s="41">
        <v>154</v>
      </c>
      <c r="F105" s="47" t="s">
        <v>203</v>
      </c>
      <c r="G105" s="43">
        <f>E105*1.1</f>
        <v>169.4</v>
      </c>
      <c r="H105" s="1" t="s">
        <v>57</v>
      </c>
      <c r="I105" s="5" t="str">
        <f>CONCATENATE(A105,",",D105)</f>
        <v>GED 352,ED3-GEOL</v>
      </c>
      <c r="J105" s="6"/>
    </row>
    <row r="106" spans="1:10" ht="14.5" x14ac:dyDescent="0.35">
      <c r="A106" s="38" t="s">
        <v>237</v>
      </c>
      <c r="B106" s="7" t="str">
        <v>TRANSPORTATION ENGINEERING</v>
      </c>
      <c r="C106" s="7" t="str">
        <v>Tuffour Yaw Adubofour</v>
      </c>
      <c r="D106" s="38" t="s">
        <v>140</v>
      </c>
      <c r="E106" s="41">
        <v>150</v>
      </c>
      <c r="F106" s="47" t="s">
        <v>238</v>
      </c>
      <c r="G106" s="43">
        <f>E106*1.1</f>
        <v>165</v>
      </c>
      <c r="H106" s="1" t="s">
        <v>239</v>
      </c>
      <c r="I106" s="5" t="str">
        <f>CONCATENATE(A106,",",D106)</f>
        <v>CE 468,ED4-CE</v>
      </c>
      <c r="J106" s="6"/>
    </row>
    <row r="107" spans="1:10" ht="14.25" customHeight="1" x14ac:dyDescent="0.35">
      <c r="A107" s="38" t="s">
        <v>240</v>
      </c>
      <c r="B107" s="39" t="str">
        <v>ENVIRONMENTAL QUALITY ENGINEERING</v>
      </c>
      <c r="C107" s="39" t="str">
        <v>Appiah-Effah Eugene</v>
      </c>
      <c r="D107" s="38" t="s">
        <v>86</v>
      </c>
      <c r="E107" s="41">
        <v>230</v>
      </c>
      <c r="F107" s="47" t="s">
        <v>241</v>
      </c>
      <c r="G107" s="43">
        <f t="shared" ref="G107" si="24">E107*1.1</f>
        <v>253.00000000000003</v>
      </c>
      <c r="H107" s="1" t="s">
        <v>242</v>
      </c>
      <c r="I107" s="5" t="str">
        <f t="shared" si="21"/>
        <v>CE 364,ED3-CE</v>
      </c>
      <c r="J107" s="6"/>
    </row>
    <row r="108" spans="1:10" ht="14.5" x14ac:dyDescent="0.35">
      <c r="A108" s="54"/>
      <c r="B108" s="54"/>
      <c r="D108" s="39" t="s">
        <v>243</v>
      </c>
      <c r="E108" s="78">
        <f>SUM(E99:E107)</f>
        <v>1170</v>
      </c>
      <c r="F108" s="56"/>
      <c r="G108" s="57"/>
      <c r="I108" s="2" t="s">
        <v>244</v>
      </c>
      <c r="J108" s="6"/>
    </row>
    <row r="109" spans="1:10" ht="14.5" x14ac:dyDescent="0.35">
      <c r="A109" s="123" t="s">
        <v>225</v>
      </c>
      <c r="B109" s="123"/>
      <c r="C109" s="123"/>
      <c r="D109" s="123"/>
      <c r="E109" s="123"/>
      <c r="F109" s="123"/>
      <c r="G109" s="123"/>
      <c r="I109" s="2" t="str">
        <f>A109</f>
        <v>Wednesday, 19 August 2026</v>
      </c>
      <c r="J109" s="6"/>
    </row>
    <row r="110" spans="1:10" ht="14.5" x14ac:dyDescent="0.35">
      <c r="A110" s="123" t="s">
        <v>35</v>
      </c>
      <c r="B110" s="123"/>
      <c r="C110" s="123"/>
      <c r="D110" s="123"/>
      <c r="E110" s="123"/>
      <c r="F110" s="123"/>
      <c r="G110" s="123"/>
      <c r="I110" s="2" t="str">
        <f>A110</f>
        <v>Session, 2 (12:00 PM - 2:00 PM)</v>
      </c>
      <c r="J110" s="6"/>
    </row>
    <row r="111" spans="1:10" ht="14.5" x14ac:dyDescent="0.35">
      <c r="A111" s="35" t="s">
        <v>2</v>
      </c>
      <c r="B111" s="35" t="s">
        <v>3</v>
      </c>
      <c r="C111" s="32" t="s">
        <v>4</v>
      </c>
      <c r="D111" s="35" t="s">
        <v>5</v>
      </c>
      <c r="E111" s="36" t="s">
        <v>6</v>
      </c>
      <c r="F111" s="32" t="s">
        <v>7</v>
      </c>
      <c r="G111" s="37" t="s">
        <v>8</v>
      </c>
      <c r="I111" s="2" t="s">
        <v>36</v>
      </c>
      <c r="J111" s="6"/>
    </row>
    <row r="112" spans="1:10" ht="14.5" x14ac:dyDescent="0.35">
      <c r="A112" s="38" t="s">
        <v>245</v>
      </c>
      <c r="B112" s="7" t="str" cm="1">
        <f t="array" ref="B112:B122">IFERROR(VLOOKUP(I112:I122,[5]Lectures_1!A2:F534,2,FALSE),0)</f>
        <v>ENGINEERING DRAWING</v>
      </c>
      <c r="C112" s="7" t="str" cm="1">
        <f t="array" ref="C112:C122">IFERROR(VLOOKUP(I112:I122,[5]Lectures_1!A2:F534,3,FALSE),0)</f>
        <v>Aveyire Joseph</v>
      </c>
      <c r="D112" s="38" t="s">
        <v>246</v>
      </c>
      <c r="E112" s="41" cm="1">
        <f t="array" ref="E112:E122">IFERROR(VLOOKUP(I112:I122,[5]Lectures_1!A2:F534,4,FALSE),0)</f>
        <v>128</v>
      </c>
      <c r="F112" s="47" t="s">
        <v>83</v>
      </c>
      <c r="G112" s="43">
        <f>E112*1.1</f>
        <v>140.80000000000001</v>
      </c>
      <c r="H112" s="1" t="s">
        <v>247</v>
      </c>
      <c r="I112" s="5" t="str">
        <f>CONCATENATE(A112,",",D112)</f>
        <v>ME 160,ED1-AE</v>
      </c>
      <c r="J112" s="6"/>
    </row>
    <row r="113" spans="1:10" ht="14.5" x14ac:dyDescent="0.35">
      <c r="A113" s="38" t="s">
        <v>245</v>
      </c>
      <c r="B113" s="7" t="str">
        <v>ENGINEERING DRAWING</v>
      </c>
      <c r="C113" s="7" t="str">
        <v>Sekyere Charles Kofi Kafui</v>
      </c>
      <c r="D113" s="38" t="s">
        <v>155</v>
      </c>
      <c r="E113" s="41">
        <v>46</v>
      </c>
      <c r="F113" s="47" t="s">
        <v>248</v>
      </c>
      <c r="G113" s="43">
        <f t="shared" ref="G113:G122" si="25">E113*1.1</f>
        <v>50.6</v>
      </c>
      <c r="H113" s="1" t="s">
        <v>249</v>
      </c>
      <c r="I113" s="5" t="str">
        <f t="shared" ref="I113:I118" si="26">CONCATENATE(A113,",",D113)</f>
        <v>ME 160,ED1-MARI</v>
      </c>
      <c r="J113" s="6"/>
    </row>
    <row r="114" spans="1:10" ht="14.5" x14ac:dyDescent="0.35">
      <c r="A114" s="38" t="s">
        <v>245</v>
      </c>
      <c r="B114" s="7" t="str">
        <v>ENGINEERING DRAWING</v>
      </c>
      <c r="C114" s="7" t="str">
        <v>Aveyire Joseph</v>
      </c>
      <c r="D114" s="38" t="s">
        <v>159</v>
      </c>
      <c r="E114" s="41">
        <v>75</v>
      </c>
      <c r="F114" s="47" t="s">
        <v>250</v>
      </c>
      <c r="G114" s="43">
        <f t="shared" si="25"/>
        <v>82.5</v>
      </c>
      <c r="H114" s="1" t="s">
        <v>180</v>
      </c>
      <c r="I114" s="5" t="str">
        <f t="shared" si="26"/>
        <v>ME 160,ED1-METE</v>
      </c>
      <c r="J114" s="6"/>
    </row>
    <row r="115" spans="1:10" ht="14.5" x14ac:dyDescent="0.35">
      <c r="A115" s="38" t="s">
        <v>245</v>
      </c>
      <c r="B115" s="7" t="str">
        <v>ENGINEERING DRAWING</v>
      </c>
      <c r="C115" s="7" t="str">
        <v>Peter Oppong Tawiah</v>
      </c>
      <c r="D115" s="38" t="s">
        <v>161</v>
      </c>
      <c r="E115" s="41">
        <v>100</v>
      </c>
      <c r="F115" s="47" t="s">
        <v>162</v>
      </c>
      <c r="G115" s="43">
        <f t="shared" si="25"/>
        <v>110.00000000000001</v>
      </c>
      <c r="H115" s="1" t="s">
        <v>163</v>
      </c>
      <c r="I115" s="5" t="str">
        <f t="shared" si="26"/>
        <v>ME 160,ED1-MSE</v>
      </c>
      <c r="J115" s="6"/>
    </row>
    <row r="116" spans="1:10" ht="14.5" x14ac:dyDescent="0.35">
      <c r="A116" s="38" t="s">
        <v>245</v>
      </c>
      <c r="B116" s="7" t="str">
        <v>ENGINEERING DRAWING</v>
      </c>
      <c r="C116" s="7" t="str">
        <v>A. K. Sunnu</v>
      </c>
      <c r="D116" s="38" t="s">
        <v>251</v>
      </c>
      <c r="E116" s="41">
        <v>225</v>
      </c>
      <c r="F116" s="47" t="s">
        <v>241</v>
      </c>
      <c r="G116" s="43">
        <f t="shared" si="25"/>
        <v>247.50000000000003</v>
      </c>
      <c r="H116" s="1" t="s">
        <v>252</v>
      </c>
      <c r="I116" s="5" t="str">
        <f t="shared" si="26"/>
        <v>ME 160,ED1-ME</v>
      </c>
      <c r="J116" s="6"/>
    </row>
    <row r="117" spans="1:10" ht="14.5" x14ac:dyDescent="0.35">
      <c r="A117" s="38" t="s">
        <v>245</v>
      </c>
      <c r="B117" s="7" t="str">
        <v>ENGINEERING DRAWING</v>
      </c>
      <c r="C117" s="7" t="str">
        <v>Sekyere Charles Kofi Kafui</v>
      </c>
      <c r="D117" s="38" t="s">
        <v>253</v>
      </c>
      <c r="E117" s="41">
        <v>85</v>
      </c>
      <c r="F117" s="47" t="s">
        <v>254</v>
      </c>
      <c r="G117" s="43">
        <f t="shared" si="25"/>
        <v>93.500000000000014</v>
      </c>
      <c r="H117" s="1" t="s">
        <v>255</v>
      </c>
      <c r="I117" s="5" t="str">
        <f t="shared" si="26"/>
        <v>ME 160,ED1-AUTO</v>
      </c>
      <c r="J117" s="6"/>
    </row>
    <row r="118" spans="1:10" ht="14.5" x14ac:dyDescent="0.35">
      <c r="A118" s="38" t="s">
        <v>245</v>
      </c>
      <c r="B118" s="7" t="str">
        <v>ENGINEERING DRAWING</v>
      </c>
      <c r="C118" s="7" t="str">
        <v>Sekyere Charles Kofi Kafui</v>
      </c>
      <c r="D118" s="38" t="s">
        <v>152</v>
      </c>
      <c r="E118" s="41">
        <v>83</v>
      </c>
      <c r="F118" s="47" t="s">
        <v>256</v>
      </c>
      <c r="G118" s="43">
        <f t="shared" si="25"/>
        <v>91.300000000000011</v>
      </c>
      <c r="H118" s="1" t="s">
        <v>257</v>
      </c>
      <c r="I118" s="5" t="str">
        <f t="shared" si="26"/>
        <v>ME 160,ED1-IND</v>
      </c>
      <c r="J118" s="6"/>
    </row>
    <row r="119" spans="1:10" ht="14.5" x14ac:dyDescent="0.35">
      <c r="A119" s="38" t="s">
        <v>258</v>
      </c>
      <c r="B119" s="7" t="str">
        <v>PETROLEUM ENGINEERING LAB II</v>
      </c>
      <c r="C119" s="39" t="str">
        <v>Erzuah Samuel</v>
      </c>
      <c r="D119" s="38" t="s">
        <v>101</v>
      </c>
      <c r="E119" s="41">
        <v>80</v>
      </c>
      <c r="F119" s="47" t="s">
        <v>259</v>
      </c>
      <c r="G119" s="43">
        <f>E119*1.1</f>
        <v>88</v>
      </c>
      <c r="H119" s="1" t="s">
        <v>260</v>
      </c>
      <c r="I119" s="5" t="str">
        <f>CONCATENATE(A119,",",D119)</f>
        <v>PE 356,ED3-PE</v>
      </c>
      <c r="J119" s="6"/>
    </row>
    <row r="120" spans="1:10" ht="14.5" x14ac:dyDescent="0.35">
      <c r="A120" s="38" t="s">
        <v>261</v>
      </c>
      <c r="B120" s="39" t="str">
        <v>MARINE CONTROL ENGINEERING AND AUTOMATION</v>
      </c>
      <c r="C120" s="39" t="str">
        <v>Adjei Eunice Akyereko</v>
      </c>
      <c r="D120" s="38" t="s">
        <v>98</v>
      </c>
      <c r="E120" s="41">
        <v>23</v>
      </c>
      <c r="F120" s="47" t="s">
        <v>262</v>
      </c>
      <c r="G120" s="43">
        <f>E120*1.1</f>
        <v>25.3</v>
      </c>
      <c r="H120" s="1">
        <v>23</v>
      </c>
      <c r="I120" s="5" t="str">
        <f>CONCATENATE(A120,",",D120)</f>
        <v>MME 462,ED4-MARI</v>
      </c>
      <c r="J120" s="6"/>
    </row>
    <row r="121" spans="1:10" ht="14.5" x14ac:dyDescent="0.35">
      <c r="A121" s="38" t="s">
        <v>263</v>
      </c>
      <c r="B121" s="39" t="str">
        <v>AUTOMOTIVE SPARK-IGNITION ENGINES</v>
      </c>
      <c r="C121" s="39" t="str">
        <v>Abu Frimpong Solomon</v>
      </c>
      <c r="D121" s="38" t="s">
        <v>94</v>
      </c>
      <c r="E121" s="41">
        <v>40</v>
      </c>
      <c r="F121" s="47" t="s">
        <v>264</v>
      </c>
      <c r="G121" s="43">
        <f>E121*1.1</f>
        <v>44</v>
      </c>
      <c r="H121" s="1">
        <v>40</v>
      </c>
      <c r="I121" s="5" t="str">
        <f>CONCATENATE(A121,",",D121)</f>
        <v>AME 368,ED3-AUTO</v>
      </c>
      <c r="J121" s="6"/>
    </row>
    <row r="122" spans="1:10" ht="14.5" x14ac:dyDescent="0.35">
      <c r="A122" s="38" t="s">
        <v>265</v>
      </c>
      <c r="B122" s="7" t="str">
        <v>ELECTROMAGNETIC FIELDS</v>
      </c>
      <c r="C122" s="39" t="str">
        <v>Yeboah-Akowuah Bright</v>
      </c>
      <c r="D122" s="38" t="s">
        <v>148</v>
      </c>
      <c r="E122" s="41">
        <v>255</v>
      </c>
      <c r="F122" s="47" t="s">
        <v>19</v>
      </c>
      <c r="G122" s="43">
        <f t="shared" si="25"/>
        <v>280.5</v>
      </c>
      <c r="H122" s="1" t="s">
        <v>266</v>
      </c>
      <c r="I122" s="5" t="str">
        <f t="shared" ref="I122" si="27">CONCATENATE(A122,",",D122)</f>
        <v>TE 262,ED2-COE</v>
      </c>
      <c r="J122" s="6"/>
    </row>
    <row r="123" spans="1:10" ht="14.5" x14ac:dyDescent="0.35">
      <c r="A123" s="54"/>
      <c r="B123" s="54"/>
      <c r="D123" s="39" t="s">
        <v>267</v>
      </c>
      <c r="E123" s="55">
        <f>SUM(E112:E122)</f>
        <v>1140</v>
      </c>
      <c r="F123" s="56"/>
      <c r="G123" s="57"/>
      <c r="I123" s="2" t="s">
        <v>268</v>
      </c>
      <c r="J123" s="6"/>
    </row>
    <row r="124" spans="1:10" ht="14.5" x14ac:dyDescent="0.35">
      <c r="A124" s="123" t="s">
        <v>225</v>
      </c>
      <c r="B124" s="123"/>
      <c r="C124" s="123"/>
      <c r="D124" s="123"/>
      <c r="E124" s="123"/>
      <c r="F124" s="123"/>
      <c r="G124" s="123"/>
      <c r="I124" s="2" t="str">
        <f>A124</f>
        <v>Wednesday, 19 August 2026</v>
      </c>
      <c r="J124" s="6"/>
    </row>
    <row r="125" spans="1:10" ht="14.5" x14ac:dyDescent="0.35">
      <c r="A125" s="123" t="s">
        <v>77</v>
      </c>
      <c r="B125" s="123"/>
      <c r="C125" s="123"/>
      <c r="D125" s="123"/>
      <c r="E125" s="123"/>
      <c r="F125" s="123"/>
      <c r="G125" s="123"/>
      <c r="I125" s="2" t="str">
        <f>A125</f>
        <v>Session, 3 (3:00 PM - 5:00 PM)</v>
      </c>
      <c r="J125" s="6"/>
    </row>
    <row r="126" spans="1:10" ht="14.5" x14ac:dyDescent="0.35">
      <c r="A126" s="35" t="s">
        <v>2</v>
      </c>
      <c r="B126" s="35" t="s">
        <v>3</v>
      </c>
      <c r="C126" s="32" t="s">
        <v>4</v>
      </c>
      <c r="D126" s="35" t="s">
        <v>5</v>
      </c>
      <c r="E126" s="36" t="s">
        <v>6</v>
      </c>
      <c r="F126" s="32" t="s">
        <v>7</v>
      </c>
      <c r="G126" s="37" t="s">
        <v>8</v>
      </c>
      <c r="I126" s="2" t="s">
        <v>36</v>
      </c>
      <c r="J126" s="6"/>
    </row>
    <row r="127" spans="1:10" ht="14.5" x14ac:dyDescent="0.35">
      <c r="A127" s="38" t="s">
        <v>269</v>
      </c>
      <c r="B127" s="39" t="str" cm="1">
        <f t="array" ref="B127:B134">IFERROR(VLOOKUP(I127:I134,[5]Lectures_1!A2:F534,2,FALSE),0)</f>
        <v>PRINCIPLES OF REMOTE SENSING</v>
      </c>
      <c r="C127" s="39" t="str" cm="1">
        <f t="array" ref="C127:C134">IFERROR(VLOOKUP(I127:I134,[5]Lectures_1!A2:F534,3,FALSE),0)</f>
        <v>Yaw Mensah Asare</v>
      </c>
      <c r="D127" s="38" t="s">
        <v>270</v>
      </c>
      <c r="E127" s="41" cm="1">
        <f t="array" ref="E127:E134">IFERROR(VLOOKUP(I127:I134,[5]Lectures_1!A2:F534,4,FALSE),0)</f>
        <v>132</v>
      </c>
      <c r="F127" s="47" t="s">
        <v>83</v>
      </c>
      <c r="G127" s="43">
        <f>E127*1.1</f>
        <v>145.20000000000002</v>
      </c>
      <c r="H127" s="1" t="s">
        <v>271</v>
      </c>
      <c r="I127" s="5" t="str">
        <f>CONCATENATE(A127,",",D127)</f>
        <v>GE 262,ED2-GEOM</v>
      </c>
      <c r="J127" s="6"/>
    </row>
    <row r="128" spans="1:10" ht="14.5" x14ac:dyDescent="0.35">
      <c r="A128" s="38" t="s">
        <v>272</v>
      </c>
      <c r="B128" s="7" t="str">
        <v>COMMUNICATION CIRCUITS</v>
      </c>
      <c r="C128" s="7" t="str">
        <v>Abdul-Rahman Ahmed</v>
      </c>
      <c r="D128" s="38" t="s">
        <v>273</v>
      </c>
      <c r="E128" s="41">
        <v>175</v>
      </c>
      <c r="F128" s="47" t="s">
        <v>238</v>
      </c>
      <c r="G128" s="43">
        <f t="shared" ref="G128:G129" si="28">E128*1.1</f>
        <v>192.50000000000003</v>
      </c>
      <c r="H128" s="10" t="s">
        <v>274</v>
      </c>
      <c r="I128" s="5" t="str">
        <f t="shared" ref="I128:I133" si="29">CONCATENATE(A128,",",D128)</f>
        <v>TE 256,ED2-TEL</v>
      </c>
      <c r="J128" s="6"/>
    </row>
    <row r="129" spans="1:10" ht="14.5" x14ac:dyDescent="0.35">
      <c r="A129" s="38" t="s">
        <v>275</v>
      </c>
      <c r="B129" s="39" t="str">
        <v>INTRODUCTION TO INFORMATION TECHNOLOGY</v>
      </c>
      <c r="C129" s="39" t="str">
        <v>Addo Daniel Akwei</v>
      </c>
      <c r="D129" s="38" t="s">
        <v>22</v>
      </c>
      <c r="E129" s="41">
        <v>262</v>
      </c>
      <c r="F129" s="47" t="s">
        <v>19</v>
      </c>
      <c r="G129" s="43">
        <f t="shared" si="28"/>
        <v>288.20000000000005</v>
      </c>
      <c r="H129" s="1" t="s">
        <v>276</v>
      </c>
      <c r="I129" s="5" t="str">
        <f t="shared" si="29"/>
        <v>COE 158,ED1-COE</v>
      </c>
      <c r="J129" s="6"/>
    </row>
    <row r="130" spans="1:10" ht="14.5" x14ac:dyDescent="0.35">
      <c r="A130" s="38" t="s">
        <v>277</v>
      </c>
      <c r="B130" s="39" t="str">
        <v>PRACTICAL CHEMISTRY II</v>
      </c>
      <c r="C130" s="7" t="str">
        <v>Opoku Francis</v>
      </c>
      <c r="D130" s="38" t="s">
        <v>14</v>
      </c>
      <c r="E130" s="41">
        <v>65</v>
      </c>
      <c r="F130" s="47" t="s">
        <v>27</v>
      </c>
      <c r="G130" s="43">
        <f>E130*1.1</f>
        <v>71.5</v>
      </c>
      <c r="H130" s="1" t="s">
        <v>278</v>
      </c>
      <c r="I130" s="5" t="str">
        <f>CONCATENATE(A130,",",D130)</f>
        <v>CHEM 280,ED2-PCE</v>
      </c>
      <c r="J130" s="6"/>
    </row>
    <row r="131" spans="1:10" ht="14.5" x14ac:dyDescent="0.35">
      <c r="A131" s="38" t="s">
        <v>277</v>
      </c>
      <c r="B131" s="39" t="str">
        <v>PRACTICAL CHEMISTRY II</v>
      </c>
      <c r="C131" s="7" t="str">
        <v>Opoku Francis</v>
      </c>
      <c r="D131" s="38" t="s">
        <v>11</v>
      </c>
      <c r="E131" s="41">
        <v>160</v>
      </c>
      <c r="F131" s="47" t="s">
        <v>279</v>
      </c>
      <c r="G131" s="43">
        <f>E131*1.1</f>
        <v>176</v>
      </c>
      <c r="H131" s="1" t="s">
        <v>280</v>
      </c>
      <c r="I131" s="5" t="str">
        <f>CONCATENATE(A131,",",D131)</f>
        <v>CHEM 280,ED2-CHE</v>
      </c>
      <c r="J131" s="6"/>
    </row>
    <row r="132" spans="1:10" s="46" customFormat="1" ht="14.5" x14ac:dyDescent="0.35">
      <c r="A132" s="38" t="s">
        <v>281</v>
      </c>
      <c r="B132" s="7" t="str">
        <v>FAULT DIAGNOSIS AND FAILURE TOLERANCE</v>
      </c>
      <c r="C132" s="7" t="str">
        <v>Agbemenu Andrew Selasi</v>
      </c>
      <c r="D132" s="38" t="s">
        <v>282</v>
      </c>
      <c r="E132" s="41">
        <v>70</v>
      </c>
      <c r="F132" s="47" t="s">
        <v>283</v>
      </c>
      <c r="G132" s="43">
        <f>E132*1.1</f>
        <v>77</v>
      </c>
      <c r="H132" s="65" t="s">
        <v>284</v>
      </c>
      <c r="I132" s="44" t="str">
        <f>CONCATENATE(A132,",",D132)</f>
        <v>COE 480,ED4-COE</v>
      </c>
      <c r="J132" s="45"/>
    </row>
    <row r="133" spans="1:10" ht="14.5" x14ac:dyDescent="0.35">
      <c r="A133" s="38" t="s">
        <v>285</v>
      </c>
      <c r="B133" s="39" t="str">
        <v>FLUID DYNAMICS  II</v>
      </c>
      <c r="C133" s="7" t="str">
        <v>A. K. Sunnu</v>
      </c>
      <c r="D133" s="47" t="s">
        <v>79</v>
      </c>
      <c r="E133" s="41">
        <v>222</v>
      </c>
      <c r="F133" s="47" t="s">
        <v>241</v>
      </c>
      <c r="G133" s="43">
        <f t="shared" ref="G133:G134" si="30">E133*1.1</f>
        <v>244.20000000000002</v>
      </c>
      <c r="H133" s="1" t="s">
        <v>286</v>
      </c>
      <c r="I133" s="5" t="str">
        <f t="shared" si="29"/>
        <v>ME 352,ED3-ME</v>
      </c>
      <c r="J133" s="6"/>
    </row>
    <row r="134" spans="1:10" ht="14.5" x14ac:dyDescent="0.35">
      <c r="A134" s="38" t="s">
        <v>285</v>
      </c>
      <c r="B134" s="39" t="str">
        <v>FLUID DYNAMICS II</v>
      </c>
      <c r="C134" s="7" t="str">
        <v>Tay Godwin Fabiola Kwaku</v>
      </c>
      <c r="D134" s="38" t="s">
        <v>114</v>
      </c>
      <c r="E134" s="41">
        <v>40</v>
      </c>
      <c r="F134" s="47" t="s">
        <v>264</v>
      </c>
      <c r="G134" s="43">
        <f t="shared" si="30"/>
        <v>44</v>
      </c>
      <c r="H134" s="1">
        <v>40</v>
      </c>
      <c r="I134" s="5" t="str">
        <f>CONCATENATE(A134,",",D134)</f>
        <v>ME 352,ED3-MARI</v>
      </c>
      <c r="J134" s="6"/>
    </row>
    <row r="135" spans="1:10" ht="14.5" x14ac:dyDescent="0.35">
      <c r="A135" s="54"/>
      <c r="B135" s="54"/>
      <c r="D135" s="39" t="s">
        <v>287</v>
      </c>
      <c r="E135" s="55">
        <f>SUM(E127:E134)</f>
        <v>1126</v>
      </c>
      <c r="F135" s="56"/>
      <c r="G135" s="57"/>
      <c r="I135" s="2" t="s">
        <v>288</v>
      </c>
      <c r="J135" s="6"/>
    </row>
    <row r="136" spans="1:10" ht="14.5" x14ac:dyDescent="0.35">
      <c r="A136" s="123" t="s">
        <v>289</v>
      </c>
      <c r="B136" s="123"/>
      <c r="C136" s="123"/>
      <c r="D136" s="123"/>
      <c r="E136" s="123"/>
      <c r="F136" s="123"/>
      <c r="G136" s="123"/>
      <c r="I136" s="2" t="str">
        <f>A136</f>
        <v>Thursday, 20 August 2026</v>
      </c>
      <c r="J136" s="6"/>
    </row>
    <row r="137" spans="1:10" ht="14.5" x14ac:dyDescent="0.35">
      <c r="A137" s="123" t="s">
        <v>1</v>
      </c>
      <c r="B137" s="123"/>
      <c r="C137" s="123"/>
      <c r="D137" s="123"/>
      <c r="E137" s="123"/>
      <c r="F137" s="123"/>
      <c r="G137" s="123"/>
      <c r="I137" s="2" t="str">
        <f>A137</f>
        <v>Session, 1 (8:30 AM - 10:30 AM)</v>
      </c>
      <c r="J137" s="6"/>
    </row>
    <row r="138" spans="1:10" ht="14.5" x14ac:dyDescent="0.35">
      <c r="A138" s="35" t="s">
        <v>2</v>
      </c>
      <c r="B138" s="35" t="s">
        <v>3</v>
      </c>
      <c r="C138" s="32" t="s">
        <v>4</v>
      </c>
      <c r="D138" s="35" t="s">
        <v>5</v>
      </c>
      <c r="E138" s="36" t="s">
        <v>6</v>
      </c>
      <c r="F138" s="32" t="s">
        <v>7</v>
      </c>
      <c r="G138" s="37" t="s">
        <v>8</v>
      </c>
      <c r="I138" s="2" t="s">
        <v>36</v>
      </c>
      <c r="J138" s="6"/>
    </row>
    <row r="139" spans="1:10" s="46" customFormat="1" ht="14.5" x14ac:dyDescent="0.35">
      <c r="A139" s="58" t="s">
        <v>290</v>
      </c>
      <c r="B139" s="79" t="str" cm="1">
        <f t="array" ref="B139:B151">IFERROR(VLOOKUP(I139:I151,[5]Lectures_1!A2:F534,2,FALSE),0)</f>
        <v>CIVIL ENGINEERING DRAWING</v>
      </c>
      <c r="C139" s="59" t="str" cm="1">
        <f t="array" ref="C139:C151">IFERROR(VLOOKUP(I139:I151,[5]Lectures_1!A2:F534,3,FALSE),0)</f>
        <v>Osei Jack Banahene</v>
      </c>
      <c r="D139" s="58" t="s">
        <v>64</v>
      </c>
      <c r="E139" s="62" cm="1">
        <f t="array" ref="E139:E151">IFERROR(VLOOKUP(I139:I151,[5]Lectures_1!A2:F534,4,FALSE),0)</f>
        <v>125</v>
      </c>
      <c r="F139" s="128" t="s">
        <v>39</v>
      </c>
      <c r="G139" s="63">
        <f>E139*1.1</f>
        <v>137.5</v>
      </c>
      <c r="H139" s="64"/>
      <c r="I139" s="44" t="str">
        <f>CONCATENATE(A139,",",D139)</f>
        <v>CE 164,ED1-GEOL</v>
      </c>
      <c r="J139" s="45"/>
    </row>
    <row r="140" spans="1:10" s="46" customFormat="1" ht="14.5" x14ac:dyDescent="0.35">
      <c r="A140" s="58" t="s">
        <v>291</v>
      </c>
      <c r="B140" s="59" t="str">
        <v>INTRODUCTION TO FINITE ELEMENT</v>
      </c>
      <c r="C140" s="60" t="str">
        <v>Andoh Prince Yaw</v>
      </c>
      <c r="D140" s="58" t="s">
        <v>292</v>
      </c>
      <c r="E140" s="62">
        <v>32</v>
      </c>
      <c r="F140" s="128"/>
      <c r="G140" s="63">
        <f>E140*1.1</f>
        <v>35.200000000000003</v>
      </c>
      <c r="H140" s="64"/>
      <c r="I140" s="44" t="str">
        <f t="shared" ref="I140:I146" si="31">CONCATENATE(A140,",",D140)</f>
        <v>ME 456,ED4-AUTO</v>
      </c>
      <c r="J140" s="45"/>
    </row>
    <row r="141" spans="1:10" ht="14.5" x14ac:dyDescent="0.35">
      <c r="A141" s="38" t="s">
        <v>78</v>
      </c>
      <c r="B141" s="7" t="str">
        <v>MACHINE DESIGN II</v>
      </c>
      <c r="C141" s="39" t="str">
        <v>Afriyie Nyarko Frank Kwabena</v>
      </c>
      <c r="D141" s="38" t="s">
        <v>116</v>
      </c>
      <c r="E141" s="41">
        <v>101</v>
      </c>
      <c r="F141" s="47" t="s">
        <v>137</v>
      </c>
      <c r="G141" s="43">
        <f t="shared" ref="G141:G151" si="32">E141*1.1</f>
        <v>111.10000000000001</v>
      </c>
      <c r="H141" s="1" t="s">
        <v>293</v>
      </c>
      <c r="I141" s="5" t="str">
        <f t="shared" si="31"/>
        <v>ME 374,ED3-AE</v>
      </c>
      <c r="J141" s="6"/>
    </row>
    <row r="142" spans="1:10" ht="14.5" x14ac:dyDescent="0.35">
      <c r="A142" s="38" t="s">
        <v>294</v>
      </c>
      <c r="B142" s="7" t="str">
        <v>CIRCUIT THEORY</v>
      </c>
      <c r="C142" s="39" t="str">
        <v>Twumasi Elvis</v>
      </c>
      <c r="D142" s="38" t="s">
        <v>199</v>
      </c>
      <c r="E142" s="41">
        <v>295</v>
      </c>
      <c r="F142" s="47" t="s">
        <v>295</v>
      </c>
      <c r="G142" s="43">
        <f t="shared" si="32"/>
        <v>324.5</v>
      </c>
      <c r="H142" s="1" t="s">
        <v>296</v>
      </c>
      <c r="I142" s="5" t="str">
        <f t="shared" si="31"/>
        <v>EE 166,ED1-EE</v>
      </c>
      <c r="J142" s="6"/>
    </row>
    <row r="143" spans="1:10" s="53" customFormat="1" ht="14.5" x14ac:dyDescent="0.35">
      <c r="A143" s="48" t="s">
        <v>297</v>
      </c>
      <c r="B143" s="40" t="str">
        <v>INTRODUCTION TO INFORMATION TECHNOLOGY</v>
      </c>
      <c r="C143" s="40" t="str">
        <v>Baidoo Martina Francisca</v>
      </c>
      <c r="D143" s="48" t="s">
        <v>110</v>
      </c>
      <c r="E143" s="42">
        <v>56</v>
      </c>
      <c r="F143" s="40" t="s">
        <v>63</v>
      </c>
      <c r="G143" s="49">
        <f t="shared" si="32"/>
        <v>61.600000000000009</v>
      </c>
      <c r="H143" s="50">
        <v>56</v>
      </c>
      <c r="I143" s="66" t="str">
        <f t="shared" si="31"/>
        <v>PCE 158,ED1-PCE</v>
      </c>
      <c r="J143" s="52"/>
    </row>
    <row r="144" spans="1:10" s="53" customFormat="1" ht="14.5" x14ac:dyDescent="0.35">
      <c r="A144" s="48" t="s">
        <v>298</v>
      </c>
      <c r="B144" s="40" t="str">
        <v>INTRODUCTION TO INFORMATION TECHNOLOGY</v>
      </c>
      <c r="C144" s="40" t="str">
        <v>Baidoo Martina Francisca</v>
      </c>
      <c r="D144" s="48" t="s">
        <v>109</v>
      </c>
      <c r="E144" s="42">
        <v>120</v>
      </c>
      <c r="F144" s="40" t="s">
        <v>65</v>
      </c>
      <c r="G144" s="49">
        <f t="shared" si="32"/>
        <v>132</v>
      </c>
      <c r="H144" s="50">
        <v>120</v>
      </c>
      <c r="I144" s="66" t="str">
        <f t="shared" si="31"/>
        <v>CHE 158,ED1-CHE</v>
      </c>
      <c r="J144" s="52"/>
    </row>
    <row r="145" spans="1:13" ht="14.5" x14ac:dyDescent="0.35">
      <c r="A145" s="38" t="s">
        <v>299</v>
      </c>
      <c r="B145" s="39" t="str">
        <v>DATA COMMUNICATION PRINCIPLES</v>
      </c>
      <c r="C145" s="7" t="str">
        <v>Gadze James Dzisi</v>
      </c>
      <c r="D145" s="80" t="s">
        <v>168</v>
      </c>
      <c r="E145" s="41">
        <v>140</v>
      </c>
      <c r="F145" s="47" t="s">
        <v>169</v>
      </c>
      <c r="G145" s="43">
        <f>E145*1.1</f>
        <v>154</v>
      </c>
      <c r="H145" s="1" t="s">
        <v>170</v>
      </c>
      <c r="I145" s="5" t="str">
        <f>CONCATENATE(A145,",",D145)</f>
        <v>TE 352,ED3-TEL</v>
      </c>
      <c r="J145" s="6"/>
    </row>
    <row r="146" spans="1:13" ht="14.5" x14ac:dyDescent="0.35">
      <c r="A146" s="38" t="s">
        <v>300</v>
      </c>
      <c r="B146" s="7" t="str">
        <v>INTRODUCTION TO PETROLEUM ENGINEERING</v>
      </c>
      <c r="C146" s="39" t="str">
        <v>Erzuah Samuel</v>
      </c>
      <c r="D146" s="47" t="s">
        <v>111</v>
      </c>
      <c r="E146" s="41">
        <v>130</v>
      </c>
      <c r="F146" s="47" t="s">
        <v>83</v>
      </c>
      <c r="G146" s="43">
        <f t="shared" si="32"/>
        <v>143</v>
      </c>
      <c r="H146" s="1" t="s">
        <v>301</v>
      </c>
      <c r="I146" s="5" t="str">
        <f t="shared" si="31"/>
        <v>PE 154,ED1-PE</v>
      </c>
      <c r="J146" s="6"/>
    </row>
    <row r="147" spans="1:13" ht="14.5" x14ac:dyDescent="0.35">
      <c r="A147" s="38" t="s">
        <v>302</v>
      </c>
      <c r="B147" s="7" t="str">
        <v>PRODUCTION ENGINEERING II</v>
      </c>
      <c r="C147" s="7" t="str">
        <v>Obeng George Yaw</v>
      </c>
      <c r="D147" s="38" t="s">
        <v>82</v>
      </c>
      <c r="E147" s="41">
        <v>40</v>
      </c>
      <c r="F147" s="47" t="s">
        <v>283</v>
      </c>
      <c r="G147" s="43">
        <f>E147*1.1</f>
        <v>44</v>
      </c>
      <c r="H147" s="1" t="s">
        <v>303</v>
      </c>
      <c r="I147" s="5" t="str">
        <f>CONCATENATE(A147,",",D147)</f>
        <v>ME 478,ED4-ME</v>
      </c>
      <c r="J147" s="6"/>
    </row>
    <row r="148" spans="1:13" ht="15" customHeight="1" x14ac:dyDescent="0.35">
      <c r="A148" s="38" t="s">
        <v>304</v>
      </c>
      <c r="B148" s="39" t="str">
        <v>ENGINEERING GRAPHICS</v>
      </c>
      <c r="C148" s="39" t="str">
        <v>Sackey Michael Nii</v>
      </c>
      <c r="D148" s="38" t="s">
        <v>305</v>
      </c>
      <c r="E148" s="41">
        <v>70</v>
      </c>
      <c r="F148" s="47" t="s">
        <v>15</v>
      </c>
      <c r="G148" s="43">
        <f t="shared" ref="G148:G149" si="33">E148*1.1</f>
        <v>77</v>
      </c>
      <c r="H148" s="1" t="s">
        <v>306</v>
      </c>
      <c r="I148" s="5" t="str">
        <f t="shared" ref="I148:I149" si="34">CONCATENATE(A148,",",D148)</f>
        <v>ME 158,ED1-AERO</v>
      </c>
      <c r="J148" s="6"/>
    </row>
    <row r="149" spans="1:13" ht="14.5" x14ac:dyDescent="0.35">
      <c r="A149" s="38" t="s">
        <v>307</v>
      </c>
      <c r="B149" s="39" t="str">
        <v>SYSTEMS INTEGRATION</v>
      </c>
      <c r="C149" s="7" t="str">
        <v>Tay Godwin Fabiola Kwaku</v>
      </c>
      <c r="D149" s="38" t="s">
        <v>185</v>
      </c>
      <c r="E149" s="41">
        <v>69</v>
      </c>
      <c r="F149" s="47" t="s">
        <v>63</v>
      </c>
      <c r="G149" s="43">
        <f t="shared" si="33"/>
        <v>75.900000000000006</v>
      </c>
      <c r="H149" s="1">
        <v>69</v>
      </c>
      <c r="I149" s="5" t="str">
        <f t="shared" si="34"/>
        <v>IE 456,ED4-IND</v>
      </c>
      <c r="J149" s="6"/>
    </row>
    <row r="150" spans="1:13" s="11" customFormat="1" ht="14.5" x14ac:dyDescent="0.35">
      <c r="A150" s="38" t="s">
        <v>308</v>
      </c>
      <c r="B150" s="39" t="str">
        <v>APPLIED METEOROLOGY</v>
      </c>
      <c r="C150" s="7" t="str">
        <v>Prince Junior Asilevi</v>
      </c>
      <c r="D150" s="38" t="s">
        <v>172</v>
      </c>
      <c r="E150" s="41">
        <v>61</v>
      </c>
      <c r="F150" s="47" t="s">
        <v>309</v>
      </c>
      <c r="G150" s="43">
        <f>E150*1.1</f>
        <v>67.100000000000009</v>
      </c>
      <c r="H150" s="1" t="s">
        <v>310</v>
      </c>
      <c r="I150" s="5" t="str">
        <f>CONCATENATE(A150,",",D150)</f>
        <v>AERO 456,ED4-AERO</v>
      </c>
      <c r="J150" s="6"/>
      <c r="K150" s="4"/>
      <c r="L150" s="4"/>
      <c r="M150" s="4"/>
    </row>
    <row r="151" spans="1:13" ht="15" customHeight="1" x14ac:dyDescent="0.35">
      <c r="A151" s="38" t="s">
        <v>311</v>
      </c>
      <c r="B151" s="39" t="str">
        <v>DATABASE SYSTEMS</v>
      </c>
      <c r="C151" s="39" t="str">
        <v>Ayer John Wise Divine</v>
      </c>
      <c r="D151" s="38" t="s">
        <v>312</v>
      </c>
      <c r="E151" s="41">
        <v>93</v>
      </c>
      <c r="F151" s="47" t="s">
        <v>313</v>
      </c>
      <c r="G151" s="43">
        <f t="shared" si="32"/>
        <v>102.30000000000001</v>
      </c>
      <c r="H151" s="1" t="s">
        <v>314</v>
      </c>
      <c r="I151" s="5" t="str">
        <f t="shared" ref="I151" si="35">CONCATENATE(A151,",",D151)</f>
        <v>GE 464,ED4-GEOM</v>
      </c>
      <c r="J151" s="6"/>
    </row>
    <row r="152" spans="1:13" ht="14.5" x14ac:dyDescent="0.35">
      <c r="A152" s="54"/>
      <c r="B152" s="54"/>
      <c r="D152" s="39" t="s">
        <v>315</v>
      </c>
      <c r="E152" s="55">
        <f>SUM(E141:E151)</f>
        <v>1175</v>
      </c>
      <c r="F152" s="56"/>
      <c r="G152" s="57"/>
      <c r="I152" s="2" t="s">
        <v>316</v>
      </c>
      <c r="J152" s="6"/>
    </row>
    <row r="153" spans="1:13" ht="14.5" x14ac:dyDescent="0.35">
      <c r="A153" s="123" t="s">
        <v>289</v>
      </c>
      <c r="B153" s="123"/>
      <c r="C153" s="123"/>
      <c r="D153" s="123"/>
      <c r="E153" s="123"/>
      <c r="F153" s="123"/>
      <c r="G153" s="123"/>
      <c r="I153" s="2" t="str">
        <f>A153</f>
        <v>Thursday, 20 August 2026</v>
      </c>
      <c r="J153" s="6"/>
    </row>
    <row r="154" spans="1:13" ht="14.5" x14ac:dyDescent="0.35">
      <c r="A154" s="123" t="s">
        <v>35</v>
      </c>
      <c r="B154" s="123"/>
      <c r="C154" s="123"/>
      <c r="D154" s="123"/>
      <c r="E154" s="123"/>
      <c r="F154" s="123"/>
      <c r="G154" s="123"/>
      <c r="I154" s="2" t="str">
        <f>A154</f>
        <v>Session, 2 (12:00 PM - 2:00 PM)</v>
      </c>
      <c r="J154" s="6"/>
    </row>
    <row r="155" spans="1:13" ht="14.5" x14ac:dyDescent="0.35">
      <c r="A155" s="35" t="s">
        <v>2</v>
      </c>
      <c r="B155" s="35" t="s">
        <v>3</v>
      </c>
      <c r="C155" s="32" t="s">
        <v>4</v>
      </c>
      <c r="D155" s="35" t="s">
        <v>5</v>
      </c>
      <c r="E155" s="36" t="s">
        <v>6</v>
      </c>
      <c r="F155" s="32" t="s">
        <v>7</v>
      </c>
      <c r="G155" s="37" t="s">
        <v>8</v>
      </c>
      <c r="I155" s="2" t="s">
        <v>36</v>
      </c>
      <c r="J155" s="6"/>
    </row>
    <row r="156" spans="1:13" s="46" customFormat="1" ht="14.5" x14ac:dyDescent="0.35">
      <c r="A156" s="58" t="s">
        <v>290</v>
      </c>
      <c r="B156" s="60" t="str" cm="1">
        <f t="array" ref="B156:B164">IFERROR(VLOOKUP(I156:I164,[5]Lectures_1!A2:F534,2,FALSE),0)</f>
        <v>CIVIL ENGINEERING DRAWING</v>
      </c>
      <c r="C156" s="60" t="str" cm="1">
        <f t="array" ref="C156:C164">IFERROR(VLOOKUP(I156:I164,[5]Lectures_1!A2:F534,3,FALSE),0)</f>
        <v>Osei Jack Banahene</v>
      </c>
      <c r="D156" s="58" t="s">
        <v>67</v>
      </c>
      <c r="E156" s="62" cm="1">
        <f t="array" ref="E156:E164">IFERROR(VLOOKUP(I156:I164,[5]Lectures_1!A2:F534,4,FALSE),0)</f>
        <v>245</v>
      </c>
      <c r="F156" s="39" t="s">
        <v>39</v>
      </c>
      <c r="G156" s="63">
        <f>E156*1.1</f>
        <v>269.5</v>
      </c>
      <c r="H156" s="81"/>
      <c r="I156" s="44" t="str">
        <f>CONCATENATE(A156,",",D156)</f>
        <v>CE 164,ED1-CE</v>
      </c>
      <c r="J156" s="45"/>
    </row>
    <row r="157" spans="1:13" s="46" customFormat="1" ht="14.5" x14ac:dyDescent="0.35">
      <c r="A157" s="58" t="s">
        <v>317</v>
      </c>
      <c r="B157" s="59" t="str">
        <v>INTRODUCTION TO SOCIOLOGY II</v>
      </c>
      <c r="C157" s="60" t="str">
        <v>Jones Opoku-Ware</v>
      </c>
      <c r="D157" s="58" t="s">
        <v>190</v>
      </c>
      <c r="E157" s="62">
        <v>136</v>
      </c>
      <c r="F157" s="58" t="s">
        <v>169</v>
      </c>
      <c r="G157" s="63">
        <f t="shared" ref="G157" si="36">E157*1.1</f>
        <v>149.60000000000002</v>
      </c>
      <c r="H157" s="64" t="s">
        <v>192</v>
      </c>
      <c r="I157" s="44" t="str">
        <f t="shared" ref="I157" si="37">CONCATENATE(A157,",",D157)</f>
        <v>SOC 152,ED1-BME</v>
      </c>
      <c r="J157" s="45"/>
    </row>
    <row r="158" spans="1:13" s="53" customFormat="1" ht="14.5" x14ac:dyDescent="0.35">
      <c r="A158" s="48" t="s">
        <v>318</v>
      </c>
      <c r="B158" s="40" t="str">
        <v>DATABASE AND INFORMATION RETRIEVAL</v>
      </c>
      <c r="C158" s="40" t="str">
        <v>Keelson Eliel</v>
      </c>
      <c r="D158" s="48" t="s">
        <v>18</v>
      </c>
      <c r="E158" s="42">
        <v>265</v>
      </c>
      <c r="F158" s="40" t="s">
        <v>23</v>
      </c>
      <c r="G158" s="49">
        <f>E158*1.1</f>
        <v>291.5</v>
      </c>
      <c r="H158" s="50" t="s">
        <v>319</v>
      </c>
      <c r="I158" s="66" t="str">
        <f>CONCATENATE(A158,",",D158)</f>
        <v>COE 368,ED3-COE</v>
      </c>
      <c r="J158" s="52"/>
    </row>
    <row r="159" spans="1:13" ht="14.5" x14ac:dyDescent="0.35">
      <c r="A159" s="38" t="s">
        <v>320</v>
      </c>
      <c r="B159" s="7" t="str">
        <v>MATERIALS SCIENCE</v>
      </c>
      <c r="C159" s="7" t="str">
        <v>Patrick Boakye</v>
      </c>
      <c r="D159" s="38" t="s">
        <v>59</v>
      </c>
      <c r="E159" s="41">
        <v>105</v>
      </c>
      <c r="F159" s="47" t="s">
        <v>321</v>
      </c>
      <c r="G159" s="43">
        <f>E159*1.1</f>
        <v>115.50000000000001</v>
      </c>
      <c r="H159" s="1" t="s">
        <v>322</v>
      </c>
      <c r="I159" s="5" t="str">
        <f>CONCATENATE(A159,",",D159)</f>
        <v>CHE 350,ED3-CHE</v>
      </c>
      <c r="J159" s="6"/>
    </row>
    <row r="160" spans="1:13" ht="14.5" x14ac:dyDescent="0.35">
      <c r="A160" s="38" t="s">
        <v>320</v>
      </c>
      <c r="B160" s="7" t="str">
        <v>MATERIALS SCIENCE</v>
      </c>
      <c r="C160" s="7" t="str">
        <v>Anang Daniel Adjah</v>
      </c>
      <c r="D160" s="38" t="s">
        <v>124</v>
      </c>
      <c r="E160" s="41">
        <v>53</v>
      </c>
      <c r="F160" s="47" t="s">
        <v>27</v>
      </c>
      <c r="G160" s="43">
        <f>E160*1.1</f>
        <v>58.300000000000004</v>
      </c>
      <c r="H160" s="1" t="s">
        <v>323</v>
      </c>
      <c r="I160" s="5" t="str">
        <f>CONCATENATE(A160,",",D160)</f>
        <v>CHE 350,ED3-PCE</v>
      </c>
      <c r="J160" s="6"/>
    </row>
    <row r="161" spans="1:10" ht="14.5" x14ac:dyDescent="0.35">
      <c r="A161" s="38" t="s">
        <v>324</v>
      </c>
      <c r="B161" s="39" t="str">
        <v>INTRODUCTION TO PSYCHOLOGY</v>
      </c>
      <c r="C161" s="7" t="str">
        <v>Sarfo Fordjour Elizabeth Anokyewaa</v>
      </c>
      <c r="D161" s="38" t="s">
        <v>122</v>
      </c>
      <c r="E161" s="41">
        <v>130</v>
      </c>
      <c r="F161" s="47" t="s">
        <v>83</v>
      </c>
      <c r="G161" s="43">
        <f t="shared" ref="G161:G164" si="38">E161*1.1</f>
        <v>143</v>
      </c>
      <c r="H161" s="1" t="s">
        <v>325</v>
      </c>
      <c r="I161" s="5" t="str">
        <f>CONCATENATE(A161,",",D161)</f>
        <v>PSYC 154,ED1-TEL</v>
      </c>
      <c r="J161" s="6"/>
    </row>
    <row r="162" spans="1:10" ht="14.5" x14ac:dyDescent="0.35">
      <c r="A162" s="38" t="s">
        <v>326</v>
      </c>
      <c r="B162" s="39" t="str">
        <v>REPRODUCTION CARTOGRAPHY</v>
      </c>
      <c r="C162" s="7" t="str">
        <v>Quaye-Ballard Jonathan Arthur</v>
      </c>
      <c r="D162" s="38" t="s">
        <v>62</v>
      </c>
      <c r="E162" s="41">
        <v>103</v>
      </c>
      <c r="F162" s="47" t="s">
        <v>327</v>
      </c>
      <c r="G162" s="43">
        <f t="shared" si="38"/>
        <v>113.30000000000001</v>
      </c>
      <c r="H162" s="1" t="s">
        <v>328</v>
      </c>
      <c r="I162" s="5" t="str">
        <f t="shared" ref="I162:I164" si="39">CONCATENATE(A162,",",D162)</f>
        <v>GE 152,ED1-GEOM</v>
      </c>
      <c r="J162" s="6"/>
    </row>
    <row r="163" spans="1:10" ht="14.5" x14ac:dyDescent="0.35">
      <c r="A163" s="38" t="s">
        <v>329</v>
      </c>
      <c r="B163" s="39" t="str">
        <v>CIRCUIT THEORY</v>
      </c>
      <c r="C163" s="7" t="str">
        <v>Yeboah-Akowuah Bright</v>
      </c>
      <c r="D163" s="38" t="s">
        <v>150</v>
      </c>
      <c r="E163" s="41">
        <v>80</v>
      </c>
      <c r="F163" s="47" t="s">
        <v>143</v>
      </c>
      <c r="G163" s="43">
        <f t="shared" si="38"/>
        <v>88</v>
      </c>
      <c r="H163" s="1" t="s">
        <v>330</v>
      </c>
      <c r="I163" s="5" t="str">
        <f t="shared" si="39"/>
        <v>COE 288,ED2-BME</v>
      </c>
      <c r="J163" s="6"/>
    </row>
    <row r="164" spans="1:10" ht="14.5" x14ac:dyDescent="0.35">
      <c r="A164" s="38" t="s">
        <v>329</v>
      </c>
      <c r="B164" s="39" t="str">
        <v>CIRCUIT THEORY</v>
      </c>
      <c r="C164" s="7" t="str">
        <v>Yeboah-Akowuah Bright</v>
      </c>
      <c r="D164" s="38" t="s">
        <v>148</v>
      </c>
      <c r="E164" s="41">
        <v>255</v>
      </c>
      <c r="F164" s="47" t="s">
        <v>19</v>
      </c>
      <c r="G164" s="43">
        <f t="shared" si="38"/>
        <v>280.5</v>
      </c>
      <c r="H164" s="1" t="s">
        <v>331</v>
      </c>
      <c r="I164" s="5" t="str">
        <f t="shared" si="39"/>
        <v>COE 288,ED2-COE</v>
      </c>
      <c r="J164" s="6"/>
    </row>
    <row r="165" spans="1:10" ht="14.5" x14ac:dyDescent="0.35">
      <c r="A165" s="54"/>
      <c r="B165" s="54"/>
      <c r="D165" s="39" t="s">
        <v>332</v>
      </c>
      <c r="E165" s="55">
        <f>SUM(E157:E164)</f>
        <v>1127</v>
      </c>
      <c r="F165" s="56"/>
      <c r="G165" s="57"/>
      <c r="I165" s="2" t="s">
        <v>333</v>
      </c>
      <c r="J165" s="6"/>
    </row>
    <row r="166" spans="1:10" ht="14.5" x14ac:dyDescent="0.35">
      <c r="A166" s="123" t="s">
        <v>289</v>
      </c>
      <c r="B166" s="123"/>
      <c r="C166" s="123"/>
      <c r="D166" s="123"/>
      <c r="E166" s="123"/>
      <c r="F166" s="123"/>
      <c r="G166" s="123"/>
      <c r="I166" s="2" t="str">
        <f>A166</f>
        <v>Thursday, 20 August 2026</v>
      </c>
      <c r="J166" s="6"/>
    </row>
    <row r="167" spans="1:10" ht="14.5" x14ac:dyDescent="0.35">
      <c r="A167" s="123" t="s">
        <v>77</v>
      </c>
      <c r="B167" s="123"/>
      <c r="C167" s="123"/>
      <c r="D167" s="123"/>
      <c r="E167" s="123"/>
      <c r="F167" s="123"/>
      <c r="G167" s="123"/>
      <c r="I167" s="2" t="str">
        <f>A167</f>
        <v>Session, 3 (3:00 PM - 5:00 PM)</v>
      </c>
      <c r="J167" s="6"/>
    </row>
    <row r="168" spans="1:10" ht="14.5" x14ac:dyDescent="0.35">
      <c r="A168" s="35" t="s">
        <v>2</v>
      </c>
      <c r="B168" s="35" t="s">
        <v>3</v>
      </c>
      <c r="C168" s="32" t="s">
        <v>4</v>
      </c>
      <c r="D168" s="35" t="s">
        <v>5</v>
      </c>
      <c r="E168" s="36" t="s">
        <v>6</v>
      </c>
      <c r="F168" s="32" t="s">
        <v>7</v>
      </c>
      <c r="G168" s="37" t="s">
        <v>8</v>
      </c>
      <c r="I168" s="2" t="s">
        <v>36</v>
      </c>
      <c r="J168" s="6"/>
    </row>
    <row r="169" spans="1:10" ht="14.5" x14ac:dyDescent="0.35">
      <c r="A169" s="38" t="s">
        <v>334</v>
      </c>
      <c r="B169" s="7" t="str" cm="1">
        <f t="array" ref="B169:B180">IFERROR(VLOOKUP(I169:I180,[5]Lectures_1!A2:F534,2,FALSE),0)</f>
        <v>FINITE ELEMENT ANALYSIS</v>
      </c>
      <c r="C169" s="7" t="str" cm="1">
        <f t="array" ref="C169:C180">IFERROR(VLOOKUP(I169:I180,[5]Lectures_1!A2:F534,3,FALSE),0)</f>
        <v>Jones Owusu Twumasi</v>
      </c>
      <c r="D169" s="38" t="s">
        <v>140</v>
      </c>
      <c r="E169" s="41" cm="1">
        <f t="array" ref="E169:E180">IFERROR(VLOOKUP(I169:I180,[5]Lectures_1!A2:F534,4,FALSE),0)</f>
        <v>18</v>
      </c>
      <c r="F169" s="39" t="s">
        <v>335</v>
      </c>
      <c r="G169" s="43">
        <f t="shared" ref="G169:G178" si="40">E169*1.1</f>
        <v>19.8</v>
      </c>
      <c r="H169" s="10">
        <v>18</v>
      </c>
      <c r="I169" s="5" t="str">
        <f>CONCATENATE(A169,",",D169)</f>
        <v>CE 480,ED4-CE</v>
      </c>
      <c r="J169" s="6"/>
    </row>
    <row r="170" spans="1:10" ht="14.5" x14ac:dyDescent="0.35">
      <c r="A170" s="38" t="s">
        <v>336</v>
      </c>
      <c r="B170" s="7" t="str">
        <v>OILFIELD GEOLCHEMISTRY</v>
      </c>
      <c r="C170" s="7" t="str">
        <v>Adenutsi Caspar Daniel</v>
      </c>
      <c r="D170" s="38" t="s">
        <v>205</v>
      </c>
      <c r="E170" s="41">
        <v>99</v>
      </c>
      <c r="F170" s="82" t="s">
        <v>321</v>
      </c>
      <c r="G170" s="43">
        <f t="shared" si="40"/>
        <v>108.9</v>
      </c>
      <c r="H170" s="1" t="s">
        <v>337</v>
      </c>
      <c r="I170" s="5" t="str">
        <f>CONCATENATE(A170,",",D170)</f>
        <v>PE 458,ED4-PE</v>
      </c>
      <c r="J170" s="6"/>
    </row>
    <row r="171" spans="1:10" ht="14.5" x14ac:dyDescent="0.35">
      <c r="A171" s="38" t="s">
        <v>338</v>
      </c>
      <c r="B171" s="7" t="str">
        <v>MATERIALS JOINING PROCESSES</v>
      </c>
      <c r="C171" s="7" t="str">
        <v>Kwofie Samuel</v>
      </c>
      <c r="D171" s="38" t="s">
        <v>212</v>
      </c>
      <c r="E171" s="41">
        <v>85</v>
      </c>
      <c r="F171" s="47" t="s">
        <v>339</v>
      </c>
      <c r="G171" s="43">
        <f t="shared" si="40"/>
        <v>93.500000000000014</v>
      </c>
      <c r="H171" s="1" t="s">
        <v>340</v>
      </c>
      <c r="I171" s="5" t="str">
        <f>CONCATENATE(A171,",",D171)</f>
        <v>MSE 362,ED3-MSE</v>
      </c>
      <c r="J171" s="6"/>
    </row>
    <row r="172" spans="1:10" ht="14.5" x14ac:dyDescent="0.35">
      <c r="A172" s="38" t="s">
        <v>338</v>
      </c>
      <c r="B172" s="39" t="str">
        <v>MATERIALS JOINING PROCESSES</v>
      </c>
      <c r="C172" s="39" t="str">
        <v>Kwofie Samuel</v>
      </c>
      <c r="D172" s="38" t="s">
        <v>216</v>
      </c>
      <c r="E172" s="41">
        <v>87</v>
      </c>
      <c r="F172" s="47" t="s">
        <v>341</v>
      </c>
      <c r="G172" s="43">
        <f t="shared" si="40"/>
        <v>95.7</v>
      </c>
      <c r="H172" s="1" t="s">
        <v>342</v>
      </c>
      <c r="I172" s="5" t="str">
        <f>CONCATENATE(A172,",",D172)</f>
        <v>MSE 362,ED3-METE</v>
      </c>
      <c r="J172" s="6"/>
    </row>
    <row r="173" spans="1:10" ht="14.5" x14ac:dyDescent="0.35">
      <c r="A173" s="38" t="s">
        <v>343</v>
      </c>
      <c r="B173" s="39" t="str">
        <v>STRESS AND STRAIN ANALYSIS OF RIGID BODIES</v>
      </c>
      <c r="C173" s="7" t="str">
        <v>Mensah-Darkwa Kwadwo</v>
      </c>
      <c r="D173" s="38" t="s">
        <v>176</v>
      </c>
      <c r="E173" s="41">
        <v>57</v>
      </c>
      <c r="F173" s="47" t="s">
        <v>143</v>
      </c>
      <c r="G173" s="43">
        <f t="shared" si="40"/>
        <v>62.7</v>
      </c>
      <c r="H173" s="1" t="s">
        <v>344</v>
      </c>
      <c r="I173" s="5" t="str">
        <f t="shared" ref="I173:I174" si="41">CONCATENATE(A173,",",D173)</f>
        <v>MSE 262,ED2-METE</v>
      </c>
      <c r="J173" s="6"/>
    </row>
    <row r="174" spans="1:10" ht="14.5" x14ac:dyDescent="0.35">
      <c r="A174" s="38" t="s">
        <v>343</v>
      </c>
      <c r="B174" s="39" t="str">
        <v>STRESS AND STRAIN ANALYSIS OF RIGID BODIES</v>
      </c>
      <c r="C174" s="7" t="str">
        <v>Mensah-Darkwa Kwadwo</v>
      </c>
      <c r="D174" s="38" t="s">
        <v>208</v>
      </c>
      <c r="E174" s="41">
        <v>83</v>
      </c>
      <c r="F174" s="83" t="s">
        <v>137</v>
      </c>
      <c r="G174" s="43">
        <f t="shared" si="40"/>
        <v>91.300000000000011</v>
      </c>
      <c r="H174" s="1" t="s">
        <v>345</v>
      </c>
      <c r="I174" s="5" t="str">
        <f t="shared" si="41"/>
        <v>MSE 262,ED2-MSE</v>
      </c>
      <c r="J174" s="6"/>
    </row>
    <row r="175" spans="1:10" s="53" customFormat="1" ht="14.5" x14ac:dyDescent="0.35">
      <c r="A175" s="48" t="s">
        <v>346</v>
      </c>
      <c r="B175" s="40" t="str">
        <v>HEALTH SAFETY AND ENVIRONMENT</v>
      </c>
      <c r="C175" s="51" t="str">
        <v>Adjei Stephen</v>
      </c>
      <c r="D175" s="48" t="s">
        <v>101</v>
      </c>
      <c r="E175" s="42">
        <v>80</v>
      </c>
      <c r="F175" s="84" t="s">
        <v>63</v>
      </c>
      <c r="G175" s="49">
        <f t="shared" si="40"/>
        <v>88</v>
      </c>
      <c r="H175" s="50">
        <v>80</v>
      </c>
      <c r="I175" s="66" t="str">
        <f>CONCATENATE(A175,",",D175)</f>
        <v>PE 366,ED3-PE</v>
      </c>
      <c r="J175" s="52"/>
    </row>
    <row r="176" spans="1:10" s="53" customFormat="1" ht="14.5" x14ac:dyDescent="0.35">
      <c r="A176" s="48" t="s">
        <v>347</v>
      </c>
      <c r="B176" s="40" t="str">
        <v>HEAT TRANSPORT PROCESSES</v>
      </c>
      <c r="C176" s="51" t="str">
        <v>Adjei Stephen</v>
      </c>
      <c r="D176" s="48" t="s">
        <v>126</v>
      </c>
      <c r="E176" s="42">
        <v>95</v>
      </c>
      <c r="F176" s="84" t="s">
        <v>65</v>
      </c>
      <c r="G176" s="49">
        <f>E176*1.1</f>
        <v>104.50000000000001</v>
      </c>
      <c r="H176" s="50">
        <v>95</v>
      </c>
      <c r="I176" s="66" t="str">
        <f>CONCATENATE(A176,",",D176)</f>
        <v>PE 252,ED2-PE</v>
      </c>
      <c r="J176" s="52"/>
    </row>
    <row r="177" spans="1:10" ht="14.5" x14ac:dyDescent="0.35">
      <c r="A177" s="38" t="s">
        <v>348</v>
      </c>
      <c r="B177" s="39" t="str">
        <v>RADAR COMMUNICATIONS</v>
      </c>
      <c r="C177" s="7" t="str">
        <v>ELLis Sani Mubarak</v>
      </c>
      <c r="D177" s="38" t="s">
        <v>349</v>
      </c>
      <c r="E177" s="41">
        <v>105</v>
      </c>
      <c r="F177" s="47" t="s">
        <v>313</v>
      </c>
      <c r="G177" s="43">
        <f>E177*1.1</f>
        <v>115.50000000000001</v>
      </c>
      <c r="H177" s="1" t="s">
        <v>322</v>
      </c>
      <c r="I177" s="5" t="str">
        <f>CONCATENATE(A177,",",D177)</f>
        <v>TE 464,ED4-TEL</v>
      </c>
      <c r="J177" s="6"/>
    </row>
    <row r="178" spans="1:10" ht="14.5" x14ac:dyDescent="0.35">
      <c r="A178" s="38" t="s">
        <v>350</v>
      </c>
      <c r="B178" s="39" t="str">
        <v>SOIL AND WATER ENGINEERING II</v>
      </c>
      <c r="C178" s="7" t="str">
        <v>Agyare Wilson Agyei</v>
      </c>
      <c r="D178" s="38" t="s">
        <v>136</v>
      </c>
      <c r="E178" s="41">
        <v>103</v>
      </c>
      <c r="F178" s="47" t="s">
        <v>162</v>
      </c>
      <c r="G178" s="43">
        <f t="shared" si="40"/>
        <v>113.30000000000001</v>
      </c>
      <c r="H178" s="1" t="s">
        <v>328</v>
      </c>
      <c r="I178" s="5" t="str">
        <f>CONCATENATE(A178,",",D178)</f>
        <v>AE 452,ED4-AE</v>
      </c>
      <c r="J178" s="6"/>
    </row>
    <row r="179" spans="1:10" ht="14.5" x14ac:dyDescent="0.35">
      <c r="A179" s="38" t="s">
        <v>351</v>
      </c>
      <c r="B179" s="7" t="str">
        <v>PULP AND PAPER TECHNOLOGY</v>
      </c>
      <c r="C179" s="39" t="str">
        <v>Rockson Mizpah Ama Dziedzorm</v>
      </c>
      <c r="D179" s="38" t="s">
        <v>53</v>
      </c>
      <c r="E179" s="41">
        <v>70</v>
      </c>
      <c r="F179" s="47" t="s">
        <v>143</v>
      </c>
      <c r="G179" s="43">
        <f>E179*1.1</f>
        <v>77</v>
      </c>
      <c r="H179" s="1" t="s">
        <v>352</v>
      </c>
      <c r="I179" s="5" t="str">
        <f>CONCATENATE(A179,",",D179)</f>
        <v>CHE 466,ED4-CHE</v>
      </c>
      <c r="J179" s="6"/>
    </row>
    <row r="180" spans="1:10" ht="14.5" x14ac:dyDescent="0.35">
      <c r="A180" s="38" t="s">
        <v>353</v>
      </c>
      <c r="B180" s="39" t="str">
        <v>STRUCTURAL ANALYSIS</v>
      </c>
      <c r="C180" s="7" t="str">
        <v>Kankam Charles Kwame</v>
      </c>
      <c r="D180" s="38" t="s">
        <v>73</v>
      </c>
      <c r="E180" s="41">
        <v>250</v>
      </c>
      <c r="F180" s="47" t="s">
        <v>91</v>
      </c>
      <c r="G180" s="43">
        <f t="shared" ref="G180" si="42">E180*1.1</f>
        <v>275</v>
      </c>
      <c r="H180" s="1" t="s">
        <v>354</v>
      </c>
      <c r="I180" s="5" t="str">
        <f t="shared" ref="I180" si="43">CONCATENATE(A180,",",D180)</f>
        <v>CE 258,ED2-CE</v>
      </c>
      <c r="J180" s="6"/>
    </row>
    <row r="181" spans="1:10" ht="14.5" x14ac:dyDescent="0.35">
      <c r="A181" s="54"/>
      <c r="B181" s="54"/>
      <c r="D181" s="39" t="s">
        <v>332</v>
      </c>
      <c r="E181" s="55">
        <f>SUM(E169:E180)</f>
        <v>1132</v>
      </c>
      <c r="F181" s="56"/>
      <c r="G181" s="57"/>
      <c r="I181" s="2" t="s">
        <v>333</v>
      </c>
      <c r="J181" s="6"/>
    </row>
    <row r="182" spans="1:10" ht="14.5" x14ac:dyDescent="0.35">
      <c r="A182" s="123" t="s">
        <v>355</v>
      </c>
      <c r="B182" s="123"/>
      <c r="C182" s="123"/>
      <c r="D182" s="123"/>
      <c r="E182" s="123"/>
      <c r="F182" s="123"/>
      <c r="G182" s="123"/>
      <c r="I182" s="2" t="str">
        <f>A182</f>
        <v>Friday, 21 August 2026</v>
      </c>
      <c r="J182" s="6"/>
    </row>
    <row r="183" spans="1:10" ht="14.5" x14ac:dyDescent="0.35">
      <c r="A183" s="123" t="s">
        <v>1</v>
      </c>
      <c r="B183" s="123"/>
      <c r="C183" s="123"/>
      <c r="D183" s="123"/>
      <c r="E183" s="123"/>
      <c r="F183" s="123"/>
      <c r="G183" s="123"/>
      <c r="I183" s="2" t="str">
        <f>A183</f>
        <v>Session, 1 (8:30 AM - 10:30 AM)</v>
      </c>
      <c r="J183" s="6"/>
    </row>
    <row r="184" spans="1:10" ht="14.5" x14ac:dyDescent="0.35">
      <c r="A184" s="35" t="s">
        <v>2</v>
      </c>
      <c r="B184" s="35" t="s">
        <v>3</v>
      </c>
      <c r="C184" s="32" t="s">
        <v>4</v>
      </c>
      <c r="D184" s="35" t="s">
        <v>5</v>
      </c>
      <c r="E184" s="36" t="s">
        <v>6</v>
      </c>
      <c r="F184" s="32" t="s">
        <v>7</v>
      </c>
      <c r="G184" s="37" t="s">
        <v>8</v>
      </c>
      <c r="H184" s="12"/>
      <c r="I184" s="2" t="s">
        <v>36</v>
      </c>
      <c r="J184" s="6"/>
    </row>
    <row r="185" spans="1:10" ht="14.5" x14ac:dyDescent="0.35">
      <c r="A185" s="38" t="s">
        <v>356</v>
      </c>
      <c r="B185" s="7" t="str" cm="1">
        <f t="array" ref="B185:B197">IFERROR(VLOOKUP(I185:I197,[5]Lectures_1!A2:F534,2,FALSE),0)</f>
        <v>ENGINEERING SURVEY II</v>
      </c>
      <c r="C185" s="39" t="str" cm="1">
        <f t="array" ref="C185:C197">IFERROR(VLOOKUP(I185:I197,[5]Lectures_1!A2:F534,3,FALSE),0)</f>
        <v>Arko-Adjei Anthony</v>
      </c>
      <c r="D185" s="38" t="s">
        <v>270</v>
      </c>
      <c r="E185" s="41" cm="1">
        <f t="array" ref="E185:E197">IFERROR(VLOOKUP(I185:I197,[5]Lectures_1!A2:F534,4,FALSE),0)</f>
        <v>132</v>
      </c>
      <c r="F185" s="47" t="s">
        <v>313</v>
      </c>
      <c r="G185" s="43">
        <f t="shared" ref="G185:G197" si="44">E185*1.1</f>
        <v>145.20000000000002</v>
      </c>
      <c r="H185" s="1" t="s">
        <v>271</v>
      </c>
      <c r="I185" s="5" t="str">
        <f t="shared" ref="I185" si="45">CONCATENATE(A185,",",D185)</f>
        <v>GE 272,ED2-GEOM</v>
      </c>
      <c r="J185" s="6"/>
    </row>
    <row r="186" spans="1:10" ht="14.5" x14ac:dyDescent="0.35">
      <c r="A186" s="38" t="s">
        <v>357</v>
      </c>
      <c r="B186" s="39" t="str">
        <v>RURAL ENGINEERING</v>
      </c>
      <c r="C186" s="7" t="str">
        <v>Mensah Ebenezer</v>
      </c>
      <c r="D186" s="38" t="s">
        <v>116</v>
      </c>
      <c r="E186" s="41">
        <v>101</v>
      </c>
      <c r="F186" s="47" t="s">
        <v>358</v>
      </c>
      <c r="G186" s="43">
        <f>E186*1.1</f>
        <v>111.10000000000001</v>
      </c>
      <c r="H186" s="1" t="s">
        <v>359</v>
      </c>
      <c r="I186" s="5" t="str">
        <f>CONCATENATE(A186,",",D186)</f>
        <v>AE 360,ED3-AE</v>
      </c>
      <c r="J186" s="6"/>
    </row>
    <row r="187" spans="1:10" ht="14.5" x14ac:dyDescent="0.35">
      <c r="A187" s="38" t="s">
        <v>360</v>
      </c>
      <c r="B187" s="39" t="str">
        <v>SATELLITE SURVEYING</v>
      </c>
      <c r="C187" s="7" t="str">
        <v>Andam-Akorful Samuel Ato</v>
      </c>
      <c r="D187" s="38" t="s">
        <v>104</v>
      </c>
      <c r="E187" s="41">
        <v>122</v>
      </c>
      <c r="F187" s="47" t="s">
        <v>361</v>
      </c>
      <c r="G187" s="43">
        <f t="shared" si="44"/>
        <v>134.20000000000002</v>
      </c>
      <c r="H187" s="1" t="s">
        <v>362</v>
      </c>
      <c r="I187" s="5" t="str">
        <f t="shared" ref="I187:I197" si="46">CONCATENATE(A187,",",D187)</f>
        <v>GE 354,ED3-GEOM</v>
      </c>
      <c r="J187" s="6"/>
    </row>
    <row r="188" spans="1:10" s="93" customFormat="1" ht="14.5" x14ac:dyDescent="0.35">
      <c r="A188" s="87" t="s">
        <v>363</v>
      </c>
      <c r="B188" s="85" t="str">
        <v>GIS APPLICATIONS</v>
      </c>
      <c r="C188" s="85" t="str">
        <v>Appiah-Adjei Emmanuel Kwame</v>
      </c>
      <c r="D188" s="87" t="s">
        <v>236</v>
      </c>
      <c r="E188" s="86">
        <v>154</v>
      </c>
      <c r="F188" s="88" t="s">
        <v>364</v>
      </c>
      <c r="G188" s="89">
        <f>E188*1.1</f>
        <v>169.4</v>
      </c>
      <c r="H188" s="90" t="s">
        <v>365</v>
      </c>
      <c r="I188" s="91" t="str">
        <f t="shared" si="46"/>
        <v>GED 368,ED3-GEOL</v>
      </c>
      <c r="J188" s="92"/>
    </row>
    <row r="189" spans="1:10" ht="14.5" x14ac:dyDescent="0.35">
      <c r="A189" s="38" t="s">
        <v>366</v>
      </c>
      <c r="B189" s="39" t="str">
        <v>MATERIALS QUALITY CONTROL, ASSURRANCE AND SELECTION</v>
      </c>
      <c r="C189" s="39" t="str">
        <v>Arthur Emmanuel Kwesi</v>
      </c>
      <c r="D189" s="38" t="s">
        <v>195</v>
      </c>
      <c r="E189" s="41">
        <v>55</v>
      </c>
      <c r="F189" s="47" t="s">
        <v>50</v>
      </c>
      <c r="G189" s="43">
        <f t="shared" ref="G189" si="47">E189*1.1</f>
        <v>60.500000000000007</v>
      </c>
      <c r="H189" s="1" t="s">
        <v>367</v>
      </c>
      <c r="I189" s="5" t="str">
        <f t="shared" si="46"/>
        <v>MSE 456,ED4-METE</v>
      </c>
      <c r="J189" s="6"/>
    </row>
    <row r="190" spans="1:10" ht="14.5" x14ac:dyDescent="0.35">
      <c r="A190" s="38" t="s">
        <v>366</v>
      </c>
      <c r="B190" s="7" t="str">
        <v>MATERIALS QUALITY CONTROL, ASSURRANCE AND SELECTION</v>
      </c>
      <c r="C190" s="7" t="str">
        <v>Arthur Emmanuel Kwesi</v>
      </c>
      <c r="D190" s="38" t="s">
        <v>194</v>
      </c>
      <c r="E190" s="41">
        <v>60</v>
      </c>
      <c r="F190" s="47" t="s">
        <v>156</v>
      </c>
      <c r="G190" s="43">
        <f>E190*1.1</f>
        <v>66</v>
      </c>
      <c r="H190" s="1" t="s">
        <v>368</v>
      </c>
      <c r="I190" s="5" t="str">
        <f t="shared" si="46"/>
        <v>MSE 456,ED4-MSE</v>
      </c>
      <c r="J190" s="6"/>
    </row>
    <row r="191" spans="1:10" ht="14.5" x14ac:dyDescent="0.35">
      <c r="A191" s="38" t="s">
        <v>369</v>
      </c>
      <c r="B191" s="7" t="str">
        <v>STRATIGRAPHY</v>
      </c>
      <c r="C191" s="39" t="str">
        <v>Amedjoe Godfrey Chiri</v>
      </c>
      <c r="D191" s="38" t="s">
        <v>70</v>
      </c>
      <c r="E191" s="41">
        <v>150</v>
      </c>
      <c r="F191" s="47" t="s">
        <v>23</v>
      </c>
      <c r="G191" s="43">
        <f>E191*1.1</f>
        <v>165</v>
      </c>
      <c r="H191" s="12" t="s">
        <v>370</v>
      </c>
      <c r="I191" s="5" t="str">
        <f t="shared" si="46"/>
        <v>GED 252,ED2-GEOL</v>
      </c>
      <c r="J191" s="6"/>
    </row>
    <row r="192" spans="1:10" ht="14.5" x14ac:dyDescent="0.35">
      <c r="A192" s="38" t="s">
        <v>371</v>
      </c>
      <c r="B192" s="39" t="str">
        <v>INDUSTRIAL ENGINEEGING LABORATORY II</v>
      </c>
      <c r="C192" s="39" t="str">
        <v>Fiagbe Yesuenyeagbe Atsu Kwabla</v>
      </c>
      <c r="D192" s="38" t="s">
        <v>43</v>
      </c>
      <c r="E192" s="41">
        <v>80</v>
      </c>
      <c r="F192" s="47" t="s">
        <v>143</v>
      </c>
      <c r="G192" s="43">
        <f t="shared" ref="G192" si="48">E192*1.1</f>
        <v>88</v>
      </c>
      <c r="H192" s="1" t="s">
        <v>330</v>
      </c>
      <c r="I192" s="5" t="str">
        <f t="shared" si="46"/>
        <v>IE 296,ED2-IND</v>
      </c>
      <c r="J192" s="6"/>
    </row>
    <row r="193" spans="1:10" ht="14.5" x14ac:dyDescent="0.35">
      <c r="A193" s="38" t="s">
        <v>372</v>
      </c>
      <c r="B193" s="7" t="str">
        <v>SHIP SAFETY, ENVIRONMENTAL PROTECTION AND SAFE WATCH KEEPING</v>
      </c>
      <c r="C193" s="7" t="str">
        <v>Larkai Francis Laako</v>
      </c>
      <c r="D193" s="38" t="s">
        <v>98</v>
      </c>
      <c r="E193" s="41">
        <v>23</v>
      </c>
      <c r="F193" s="47" t="s">
        <v>234</v>
      </c>
      <c r="G193" s="43">
        <f>E193*1.1</f>
        <v>25.3</v>
      </c>
      <c r="H193" s="1">
        <v>23</v>
      </c>
      <c r="I193" s="5" t="str">
        <f t="shared" si="46"/>
        <v>MME 486,ED4-MARI</v>
      </c>
      <c r="J193" s="6"/>
    </row>
    <row r="194" spans="1:10" s="15" customFormat="1" ht="14.5" x14ac:dyDescent="0.35">
      <c r="A194" s="38" t="s">
        <v>373</v>
      </c>
      <c r="B194" s="7" t="str">
        <v>MEDICAL IMAGING I</v>
      </c>
      <c r="C194" s="7" t="str">
        <v>Kotei Addison Eric Clement</v>
      </c>
      <c r="D194" s="38" t="s">
        <v>130</v>
      </c>
      <c r="E194" s="41">
        <v>90</v>
      </c>
      <c r="F194" s="47" t="s">
        <v>256</v>
      </c>
      <c r="G194" s="43">
        <f>E194*1.1</f>
        <v>99.000000000000014</v>
      </c>
      <c r="H194" s="1" t="s">
        <v>374</v>
      </c>
      <c r="I194" s="13" t="str">
        <f>CONCATENATE(A194,",",D194)</f>
        <v>BME 364,ED3-BME</v>
      </c>
      <c r="J194" s="14"/>
    </row>
    <row r="195" spans="1:10" ht="14.5" x14ac:dyDescent="0.35">
      <c r="A195" s="38" t="s">
        <v>375</v>
      </c>
      <c r="B195" s="7" t="str">
        <v>BASIC AGRICULTURE</v>
      </c>
      <c r="C195" s="7" t="str">
        <v>Bessah Enoch</v>
      </c>
      <c r="D195" s="38" t="s">
        <v>246</v>
      </c>
      <c r="E195" s="41">
        <v>128</v>
      </c>
      <c r="F195" s="47" t="s">
        <v>376</v>
      </c>
      <c r="G195" s="43">
        <f>E195*1.1</f>
        <v>140.80000000000001</v>
      </c>
      <c r="H195" s="1" t="s">
        <v>377</v>
      </c>
      <c r="I195" s="5" t="str">
        <f>CONCATENATE(A195,",",D195)</f>
        <v>AE 162,ED1-AE</v>
      </c>
      <c r="J195" s="6"/>
    </row>
    <row r="196" spans="1:10" ht="14.5" x14ac:dyDescent="0.35">
      <c r="A196" s="38" t="s">
        <v>378</v>
      </c>
      <c r="B196" s="39" t="str">
        <v>INDUSTRIAL ENGINEERING LAB III</v>
      </c>
      <c r="C196" s="7" t="str">
        <v>Oppong David Kofi</v>
      </c>
      <c r="D196" s="38" t="s">
        <v>179</v>
      </c>
      <c r="E196" s="41">
        <v>70</v>
      </c>
      <c r="F196" s="47" t="s">
        <v>65</v>
      </c>
      <c r="G196" s="43">
        <f>E196*1.1</f>
        <v>77</v>
      </c>
      <c r="H196" s="1">
        <v>70</v>
      </c>
      <c r="I196" s="5" t="str">
        <f>CONCATENATE(A196,",",D196)</f>
        <v>IE 362,ED3-IND</v>
      </c>
      <c r="J196" s="6"/>
    </row>
    <row r="197" spans="1:10" ht="14.5" x14ac:dyDescent="0.35">
      <c r="A197" s="38" t="s">
        <v>379</v>
      </c>
      <c r="B197" s="39" t="str">
        <v>MARINE ENGINEERING LABORATORY I</v>
      </c>
      <c r="C197" s="39" t="str">
        <v>Fiagbe Yesuenyeagbe Atsu Kwabla</v>
      </c>
      <c r="D197" s="38" t="s">
        <v>47</v>
      </c>
      <c r="E197" s="41">
        <v>37</v>
      </c>
      <c r="F197" s="47" t="s">
        <v>54</v>
      </c>
      <c r="G197" s="43">
        <f t="shared" si="44"/>
        <v>40.700000000000003</v>
      </c>
      <c r="H197" s="1">
        <v>37</v>
      </c>
      <c r="I197" s="5" t="str">
        <f t="shared" si="46"/>
        <v>MME 296,ED2-MARI</v>
      </c>
      <c r="J197" s="6"/>
    </row>
    <row r="198" spans="1:10" ht="14.5" x14ac:dyDescent="0.35">
      <c r="A198" s="54"/>
      <c r="B198" s="54"/>
      <c r="D198" s="39" t="s">
        <v>380</v>
      </c>
      <c r="E198" s="55">
        <f>SUM(E185:E197)</f>
        <v>1202</v>
      </c>
      <c r="F198" s="56"/>
      <c r="G198" s="57"/>
      <c r="I198" s="2" t="s">
        <v>381</v>
      </c>
      <c r="J198" s="6"/>
    </row>
    <row r="199" spans="1:10" ht="14.5" x14ac:dyDescent="0.35">
      <c r="A199" s="123" t="s">
        <v>355</v>
      </c>
      <c r="B199" s="123"/>
      <c r="C199" s="123"/>
      <c r="D199" s="123"/>
      <c r="E199" s="123"/>
      <c r="F199" s="123"/>
      <c r="G199" s="123"/>
      <c r="I199" s="2" t="str">
        <f>A199</f>
        <v>Friday, 21 August 2026</v>
      </c>
      <c r="J199" s="6"/>
    </row>
    <row r="200" spans="1:10" ht="14.5" x14ac:dyDescent="0.35">
      <c r="A200" s="123" t="s">
        <v>35</v>
      </c>
      <c r="B200" s="123"/>
      <c r="C200" s="123"/>
      <c r="D200" s="123"/>
      <c r="E200" s="123"/>
      <c r="F200" s="123"/>
      <c r="G200" s="123"/>
      <c r="I200" s="2" t="str">
        <f>A200</f>
        <v>Session, 2 (12:00 PM - 2:00 PM)</v>
      </c>
      <c r="J200" s="6"/>
    </row>
    <row r="201" spans="1:10" ht="14.5" x14ac:dyDescent="0.35">
      <c r="A201" s="35" t="s">
        <v>2</v>
      </c>
      <c r="B201" s="35" t="s">
        <v>3</v>
      </c>
      <c r="C201" s="32" t="s">
        <v>4</v>
      </c>
      <c r="D201" s="35" t="s">
        <v>5</v>
      </c>
      <c r="E201" s="36" t="s">
        <v>6</v>
      </c>
      <c r="F201" s="32" t="s">
        <v>7</v>
      </c>
      <c r="G201" s="37" t="s">
        <v>8</v>
      </c>
      <c r="I201" s="2" t="s">
        <v>36</v>
      </c>
      <c r="J201" s="6"/>
    </row>
    <row r="202" spans="1:10" s="46" customFormat="1" ht="14.5" x14ac:dyDescent="0.35">
      <c r="A202" s="38" t="s">
        <v>382</v>
      </c>
      <c r="B202" s="7" t="str" cm="1">
        <f t="array" ref="B202:B208">IFERROR(VLOOKUP(I202:I208,[5]Lectures_1!A2:F534,2,FALSE),0)</f>
        <v>DIGITAL CONTROL SYSTEMS</v>
      </c>
      <c r="C202" s="39" t="str" cm="1">
        <f t="array" ref="C202:C208">IFERROR(VLOOKUP(I202:I208,[5]Lectures_1!A2:F534,3,FALSE),0)</f>
        <v>Opoku Daniel</v>
      </c>
      <c r="D202" s="38" t="s">
        <v>90</v>
      </c>
      <c r="E202" s="41" cm="1">
        <f t="array" ref="E202:E208">IFERROR(VLOOKUP(I202:I208,[5]Lectures_1!A2:F534,4,FALSE),0)</f>
        <v>70</v>
      </c>
      <c r="F202" s="38" t="s">
        <v>383</v>
      </c>
      <c r="G202" s="43">
        <f>E202*1.1</f>
        <v>77</v>
      </c>
      <c r="H202" s="1" t="s">
        <v>180</v>
      </c>
      <c r="I202" s="44" t="str">
        <f t="shared" ref="I202:I209" si="49">CONCATENATE(A202,",",D202)</f>
        <v>EE 380,ED3-EE</v>
      </c>
      <c r="J202" s="45"/>
    </row>
    <row r="203" spans="1:10" s="53" customFormat="1" ht="14.5" x14ac:dyDescent="0.35">
      <c r="A203" s="48" t="s">
        <v>61</v>
      </c>
      <c r="B203" s="40" t="str">
        <v>BASIC ELECTRONICS</v>
      </c>
      <c r="C203" s="40" t="str">
        <v>Kwegyir Daniel</v>
      </c>
      <c r="D203" s="48" t="s">
        <v>67</v>
      </c>
      <c r="E203" s="42">
        <v>245</v>
      </c>
      <c r="F203" s="94" t="s">
        <v>23</v>
      </c>
      <c r="G203" s="49">
        <f>E203*1.1</f>
        <v>269.5</v>
      </c>
      <c r="H203" s="95" t="s">
        <v>384</v>
      </c>
      <c r="I203" s="66" t="str">
        <f>CONCATENATE(A203,",",D203)</f>
        <v>EE 152,ED1-CE</v>
      </c>
      <c r="J203" s="52"/>
    </row>
    <row r="204" spans="1:10" s="74" customFormat="1" ht="14.5" x14ac:dyDescent="0.35">
      <c r="A204" s="38" t="s">
        <v>385</v>
      </c>
      <c r="B204" s="7" t="str">
        <v>ELECTROMAGNETIC FIELDS</v>
      </c>
      <c r="C204" s="7" t="str">
        <v>Kwame Oteng Gyasi</v>
      </c>
      <c r="D204" s="38" t="s">
        <v>30</v>
      </c>
      <c r="E204" s="41">
        <v>340</v>
      </c>
      <c r="F204" s="47" t="s">
        <v>386</v>
      </c>
      <c r="G204" s="43">
        <f>E204*1.1</f>
        <v>374.00000000000006</v>
      </c>
      <c r="H204" s="1" t="s">
        <v>387</v>
      </c>
      <c r="I204" s="72" t="str">
        <f>CONCATENATE(A204,",",D204)</f>
        <v>TE 254,ED2-EE</v>
      </c>
      <c r="J204" s="73"/>
    </row>
    <row r="205" spans="1:10" s="74" customFormat="1" ht="14.5" x14ac:dyDescent="0.35">
      <c r="A205" s="38" t="s">
        <v>385</v>
      </c>
      <c r="B205" s="7" t="str">
        <v>ELECTROMAGNETIC FIELD THEORY</v>
      </c>
      <c r="C205" s="7" t="str">
        <v>Kwame Oteng Gyasi</v>
      </c>
      <c r="D205" s="38" t="s">
        <v>273</v>
      </c>
      <c r="E205" s="41">
        <v>175</v>
      </c>
      <c r="F205" s="47" t="s">
        <v>388</v>
      </c>
      <c r="G205" s="43">
        <f>E205*1.1</f>
        <v>192.50000000000003</v>
      </c>
      <c r="H205" s="1" t="s">
        <v>389</v>
      </c>
      <c r="I205" s="72" t="str">
        <f>CONCATENATE(A205,",",D205)</f>
        <v>TE 254,ED2-TEL</v>
      </c>
      <c r="J205" s="73"/>
    </row>
    <row r="206" spans="1:10" ht="14.5" x14ac:dyDescent="0.35">
      <c r="A206" s="38" t="s">
        <v>390</v>
      </c>
      <c r="B206" s="39" t="str">
        <v>LAND LAW AND REGISTRATION</v>
      </c>
      <c r="C206" s="7" t="str">
        <v>Arko-Adjei Anthony</v>
      </c>
      <c r="D206" s="38" t="s">
        <v>312</v>
      </c>
      <c r="E206" s="41">
        <v>93</v>
      </c>
      <c r="F206" s="47" t="s">
        <v>137</v>
      </c>
      <c r="G206" s="43">
        <f>E206*1.1</f>
        <v>102.30000000000001</v>
      </c>
      <c r="H206" s="1" t="s">
        <v>391</v>
      </c>
      <c r="I206" s="5" t="str">
        <f>CONCATENATE(A206,",",D206)</f>
        <v>GE 472,ED4-GEOM</v>
      </c>
      <c r="J206" s="6"/>
    </row>
    <row r="207" spans="1:10" ht="15" customHeight="1" x14ac:dyDescent="0.35">
      <c r="A207" s="38" t="s">
        <v>158</v>
      </c>
      <c r="B207" s="39" t="str">
        <v>PRINCIPLES OF MATERIAL SCIENCE</v>
      </c>
      <c r="C207" s="39" t="str">
        <v>Agyemang Frank Ofori</v>
      </c>
      <c r="D207" s="38" t="s">
        <v>150</v>
      </c>
      <c r="E207" s="41">
        <v>80</v>
      </c>
      <c r="F207" s="47" t="s">
        <v>137</v>
      </c>
      <c r="G207" s="43">
        <f t="shared" ref="G207" si="50">E207*1.1</f>
        <v>88</v>
      </c>
      <c r="H207" s="1" t="s">
        <v>392</v>
      </c>
      <c r="I207" s="5" t="str">
        <f t="shared" ref="I207" si="51">CONCATENATE(A207,",",D207)</f>
        <v>MSE 154,ED2-BME</v>
      </c>
      <c r="J207" s="6"/>
    </row>
    <row r="208" spans="1:10" ht="14.5" x14ac:dyDescent="0.35">
      <c r="A208" s="38" t="s">
        <v>393</v>
      </c>
      <c r="B208" s="7" t="str">
        <v>MECHANICAL ENGINEERING MATERIALS II</v>
      </c>
      <c r="C208" s="7" t="str">
        <v>Agyemang Frank Ofori</v>
      </c>
      <c r="D208" s="38" t="s">
        <v>56</v>
      </c>
      <c r="E208" s="41">
        <v>155</v>
      </c>
      <c r="F208" s="47" t="s">
        <v>394</v>
      </c>
      <c r="G208" s="43">
        <f>E208*1.1</f>
        <v>170.5</v>
      </c>
      <c r="H208" s="1" t="s">
        <v>395</v>
      </c>
      <c r="I208" s="5" t="str">
        <f t="shared" si="49"/>
        <v>ME 282,ED2-AE</v>
      </c>
      <c r="J208" s="6"/>
    </row>
    <row r="209" spans="1:10" ht="14.5" x14ac:dyDescent="0.35">
      <c r="A209" s="38"/>
      <c r="B209" s="39"/>
      <c r="C209" s="39"/>
      <c r="D209" s="39" t="s">
        <v>396</v>
      </c>
      <c r="E209" s="55">
        <f>SUM(E202:E208)</f>
        <v>1158</v>
      </c>
      <c r="F209" s="47"/>
      <c r="G209" s="43"/>
      <c r="I209" s="5" t="str">
        <f t="shared" si="49"/>
        <v>,Total F1-2</v>
      </c>
      <c r="J209" s="6"/>
    </row>
    <row r="210" spans="1:10" ht="14.5" x14ac:dyDescent="0.35">
      <c r="A210" s="123" t="s">
        <v>355</v>
      </c>
      <c r="B210" s="123"/>
      <c r="C210" s="123"/>
      <c r="D210" s="123"/>
      <c r="E210" s="123"/>
      <c r="F210" s="123"/>
      <c r="G210" s="123"/>
      <c r="I210" s="2" t="str">
        <f>A210</f>
        <v>Friday, 21 August 2026</v>
      </c>
      <c r="J210" s="6"/>
    </row>
    <row r="211" spans="1:10" ht="14.5" x14ac:dyDescent="0.35">
      <c r="A211" s="123" t="s">
        <v>77</v>
      </c>
      <c r="B211" s="123"/>
      <c r="C211" s="123"/>
      <c r="D211" s="123"/>
      <c r="E211" s="123"/>
      <c r="F211" s="123"/>
      <c r="G211" s="123"/>
      <c r="I211" s="2" t="str">
        <f>A211</f>
        <v>Session, 3 (3:00 PM - 5:00 PM)</v>
      </c>
      <c r="J211" s="6"/>
    </row>
    <row r="212" spans="1:10" ht="14.5" x14ac:dyDescent="0.35">
      <c r="A212" s="35" t="s">
        <v>2</v>
      </c>
      <c r="B212" s="35" t="s">
        <v>3</v>
      </c>
      <c r="C212" s="32" t="s">
        <v>4</v>
      </c>
      <c r="D212" s="35" t="s">
        <v>5</v>
      </c>
      <c r="E212" s="36" t="s">
        <v>6</v>
      </c>
      <c r="F212" s="32" t="s">
        <v>7</v>
      </c>
      <c r="G212" s="37" t="s">
        <v>8</v>
      </c>
      <c r="I212" s="2" t="s">
        <v>36</v>
      </c>
      <c r="J212" s="6"/>
    </row>
    <row r="213" spans="1:10" ht="14.5" x14ac:dyDescent="0.35">
      <c r="A213" s="38" t="s">
        <v>397</v>
      </c>
      <c r="B213" s="7" t="str" cm="1">
        <f t="array" ref="B213:B220">IFERROR(VLOOKUP(I213:I220,[5]Lectures_1!A2:F534,2,FALSE),0)</f>
        <v>MARINE INDUSTRIAL ENGINEERING AND ERGONOMICS</v>
      </c>
      <c r="C213" s="39" t="str" cm="1">
        <f t="array" ref="C213:C220">IFERROR(VLOOKUP(I213:I220,[5]Lectures_1!A2:F534,3,FALSE),0)</f>
        <v>Mensah Lena Dzifa</v>
      </c>
      <c r="D213" s="38" t="s">
        <v>114</v>
      </c>
      <c r="E213" s="41" cm="1">
        <f t="array" ref="E213:E220">IFERROR(VLOOKUP(I213:I220,[5]Lectures_1!A2:F534,4,FALSE),0)</f>
        <v>40</v>
      </c>
      <c r="F213" s="38" t="s">
        <v>398</v>
      </c>
      <c r="G213" s="43">
        <f t="shared" ref="G213:G219" si="52">E213*1.1</f>
        <v>44</v>
      </c>
      <c r="H213" s="1" t="s">
        <v>96</v>
      </c>
      <c r="I213" s="5" t="str">
        <f t="shared" ref="I213:I218" si="53">CONCATENATE(A213,",",D213)</f>
        <v>MME 392,ED3-MARI</v>
      </c>
      <c r="J213" s="6"/>
    </row>
    <row r="214" spans="1:10" ht="15" customHeight="1" x14ac:dyDescent="0.35">
      <c r="A214" s="38" t="s">
        <v>399</v>
      </c>
      <c r="B214" s="7" t="str">
        <v>INDUSTRIAL ENGINEERING AND ERGONOMICS</v>
      </c>
      <c r="C214" s="7" t="str">
        <v>Mensah Lena Dzifa</v>
      </c>
      <c r="D214" s="38" t="s">
        <v>26</v>
      </c>
      <c r="E214" s="41">
        <v>76</v>
      </c>
      <c r="F214" s="47" t="s">
        <v>400</v>
      </c>
      <c r="G214" s="43">
        <f t="shared" si="52"/>
        <v>83.600000000000009</v>
      </c>
      <c r="H214" s="1" t="s">
        <v>401</v>
      </c>
      <c r="I214" s="5" t="str">
        <f t="shared" si="53"/>
        <v>ME 392,ED3-AERO</v>
      </c>
      <c r="J214" s="6"/>
    </row>
    <row r="215" spans="1:10" ht="14.5" x14ac:dyDescent="0.35">
      <c r="A215" s="38" t="s">
        <v>402</v>
      </c>
      <c r="B215" s="7" t="str">
        <v>INDUSTRIAL ENGINEERING AND ERGONOMICS</v>
      </c>
      <c r="C215" s="7" t="str">
        <v>Mensah Lena Dzifa</v>
      </c>
      <c r="D215" s="38" t="s">
        <v>38</v>
      </c>
      <c r="E215" s="41">
        <v>240</v>
      </c>
      <c r="F215" s="47" t="s">
        <v>19</v>
      </c>
      <c r="G215" s="43">
        <f t="shared" si="52"/>
        <v>264</v>
      </c>
      <c r="H215" s="1" t="s">
        <v>229</v>
      </c>
      <c r="I215" s="5" t="str">
        <f t="shared" si="53"/>
        <v>ME 292,ED2-ME</v>
      </c>
      <c r="J215" s="6"/>
    </row>
    <row r="216" spans="1:10" ht="14.5" x14ac:dyDescent="0.35">
      <c r="A216" s="38" t="s">
        <v>403</v>
      </c>
      <c r="B216" s="7" t="str">
        <v>INDUSTRIAL ENGINEERING AND ERGONOMICS</v>
      </c>
      <c r="C216" s="7" t="str">
        <v>Mensah Lena Dzifa</v>
      </c>
      <c r="D216" s="38" t="s">
        <v>94</v>
      </c>
      <c r="E216" s="41">
        <v>40</v>
      </c>
      <c r="F216" s="47" t="s">
        <v>264</v>
      </c>
      <c r="G216" s="43">
        <f t="shared" si="52"/>
        <v>44</v>
      </c>
      <c r="H216" s="1">
        <v>40</v>
      </c>
      <c r="I216" s="5" t="str">
        <f t="shared" si="53"/>
        <v>AME 392,ED3-AUTO</v>
      </c>
      <c r="J216" s="6"/>
    </row>
    <row r="217" spans="1:10" ht="14.5" x14ac:dyDescent="0.35">
      <c r="A217" s="38" t="s">
        <v>404</v>
      </c>
      <c r="B217" s="39" t="str">
        <v>ADVANCED ENGINEERING GEOLLOGY</v>
      </c>
      <c r="C217" s="7" t="str">
        <v>Gidigasu Solomon Senyo Robert</v>
      </c>
      <c r="D217" s="38" t="s">
        <v>134</v>
      </c>
      <c r="E217" s="41">
        <v>95</v>
      </c>
      <c r="F217" s="47" t="s">
        <v>162</v>
      </c>
      <c r="G217" s="43">
        <f>E217*1.1</f>
        <v>104.50000000000001</v>
      </c>
      <c r="H217" s="1" t="s">
        <v>405</v>
      </c>
      <c r="I217" s="5" t="str">
        <f>CONCATENATE(A217,",",D217)</f>
        <v>GED 452,ED4-GEOL</v>
      </c>
      <c r="J217" s="6"/>
    </row>
    <row r="218" spans="1:10" ht="14.5" x14ac:dyDescent="0.35">
      <c r="A218" s="38" t="s">
        <v>61</v>
      </c>
      <c r="B218" s="39" t="str">
        <v>BASIC ELECTRONICS</v>
      </c>
      <c r="C218" s="39" t="str">
        <v>Yaw Opoku Mensah Sekyere</v>
      </c>
      <c r="D218" s="38" t="s">
        <v>109</v>
      </c>
      <c r="E218" s="41">
        <v>120</v>
      </c>
      <c r="F218" s="47" t="s">
        <v>227</v>
      </c>
      <c r="G218" s="43">
        <f t="shared" si="52"/>
        <v>132</v>
      </c>
      <c r="H218" s="8" t="s">
        <v>406</v>
      </c>
      <c r="I218" s="5" t="str">
        <f t="shared" si="53"/>
        <v>EE 152,ED1-CHE</v>
      </c>
      <c r="J218" s="6"/>
    </row>
    <row r="219" spans="1:10" ht="14.5" x14ac:dyDescent="0.35">
      <c r="A219" s="38" t="s">
        <v>61</v>
      </c>
      <c r="B219" s="39" t="str">
        <v>BASIC ELECTRONICS</v>
      </c>
      <c r="C219" s="39" t="str">
        <v>Yaw Opoku Mensah Sekyere</v>
      </c>
      <c r="D219" s="38" t="s">
        <v>199</v>
      </c>
      <c r="E219" s="41">
        <v>295</v>
      </c>
      <c r="F219" s="82" t="s">
        <v>407</v>
      </c>
      <c r="G219" s="43">
        <f t="shared" si="52"/>
        <v>324.5</v>
      </c>
      <c r="H219" s="1" t="s">
        <v>408</v>
      </c>
      <c r="I219" s="5" t="str">
        <f>CONCATENATE(A219,",",D219)</f>
        <v>EE 152,ED1-EE</v>
      </c>
      <c r="J219" s="6"/>
    </row>
    <row r="220" spans="1:10" ht="14.5" x14ac:dyDescent="0.35">
      <c r="A220" s="38" t="s">
        <v>61</v>
      </c>
      <c r="B220" s="7" t="str">
        <v>BASIC ELECTRONICS</v>
      </c>
      <c r="C220" s="7" t="str">
        <v>Yaw Opoku Mensah Sekyere</v>
      </c>
      <c r="D220" s="38" t="s">
        <v>251</v>
      </c>
      <c r="E220" s="41">
        <v>225</v>
      </c>
      <c r="F220" s="47" t="s">
        <v>409</v>
      </c>
      <c r="G220" s="43">
        <f>E220*1.1</f>
        <v>247.50000000000003</v>
      </c>
      <c r="H220" s="1" t="s">
        <v>410</v>
      </c>
      <c r="I220" s="5" t="str">
        <f t="shared" ref="I220:I221" si="54">CONCATENATE(A220,",",D220)</f>
        <v>EE 152,ED1-ME</v>
      </c>
      <c r="J220" s="6"/>
    </row>
    <row r="221" spans="1:10" ht="14.5" x14ac:dyDescent="0.35">
      <c r="A221" s="38"/>
      <c r="B221" s="39"/>
      <c r="C221" s="39"/>
      <c r="D221" s="39" t="s">
        <v>396</v>
      </c>
      <c r="E221" s="55">
        <f>SUM(E213:E220)</f>
        <v>1131</v>
      </c>
      <c r="F221" s="47"/>
      <c r="G221" s="43"/>
      <c r="I221" s="5" t="str">
        <f t="shared" si="54"/>
        <v>,Total F1-2</v>
      </c>
      <c r="J221" s="6"/>
    </row>
    <row r="222" spans="1:10" ht="14.5" x14ac:dyDescent="0.35">
      <c r="A222" s="123" t="s">
        <v>411</v>
      </c>
      <c r="B222" s="123"/>
      <c r="C222" s="123"/>
      <c r="D222" s="123"/>
      <c r="E222" s="123"/>
      <c r="F222" s="123"/>
      <c r="G222" s="123"/>
      <c r="I222" s="2" t="str">
        <f>A222</f>
        <v>Monday, 24 August 2026</v>
      </c>
      <c r="J222" s="6"/>
    </row>
    <row r="223" spans="1:10" ht="14.5" x14ac:dyDescent="0.35">
      <c r="A223" s="123" t="s">
        <v>1</v>
      </c>
      <c r="B223" s="123"/>
      <c r="C223" s="123"/>
      <c r="D223" s="123"/>
      <c r="E223" s="123"/>
      <c r="F223" s="123"/>
      <c r="G223" s="123"/>
      <c r="I223" s="2" t="str">
        <f>A223</f>
        <v>Session, 1 (8:30 AM - 10:30 AM)</v>
      </c>
      <c r="J223" s="6"/>
    </row>
    <row r="224" spans="1:10" ht="14.5" x14ac:dyDescent="0.35">
      <c r="A224" s="35" t="s">
        <v>2</v>
      </c>
      <c r="B224" s="35" t="s">
        <v>3</v>
      </c>
      <c r="C224" s="32" t="s">
        <v>4</v>
      </c>
      <c r="D224" s="35" t="s">
        <v>5</v>
      </c>
      <c r="E224" s="36" t="s">
        <v>6</v>
      </c>
      <c r="F224" s="7" t="s">
        <v>7</v>
      </c>
      <c r="G224" s="37" t="s">
        <v>8</v>
      </c>
      <c r="I224" s="2" t="s">
        <v>36</v>
      </c>
      <c r="J224" s="6"/>
    </row>
    <row r="225" spans="1:10" s="46" customFormat="1" ht="14.5" x14ac:dyDescent="0.35">
      <c r="A225" s="58" t="s">
        <v>412</v>
      </c>
      <c r="B225" s="59" t="str" cm="1">
        <f t="array" ref="B225:B239">IFERROR(VLOOKUP(I225:I239,[5]Lectures_1!A2:F534,2,FALSE),0)</f>
        <v>FRENCH FOR COMMUNICATION II</v>
      </c>
      <c r="C225" s="60" t="str" cm="1">
        <f t="array" ref="C225:C239">IFERROR(VLOOKUP(I225:I239,[5]Lectures_1!A2:F534,3,FALSE),0)</f>
        <v>Boakye-Agyeman Candy</v>
      </c>
      <c r="D225" s="58" t="s">
        <v>273</v>
      </c>
      <c r="E225" s="62" cm="1">
        <f t="array" ref="E225:E239">IFERROR(VLOOKUP(I225:I239,[5]Lectures_1!A2:F534,4,FALSE),0)</f>
        <v>103</v>
      </c>
      <c r="F225" s="68" t="s">
        <v>162</v>
      </c>
      <c r="G225" s="63">
        <f t="shared" ref="G225:G233" si="55">E225*1.1</f>
        <v>113.30000000000001</v>
      </c>
      <c r="H225" s="64" t="s">
        <v>328</v>
      </c>
      <c r="I225" s="44" t="str">
        <f t="shared" ref="I225" si="56">CONCATENATE(A225,",",D225)</f>
        <v>FC 182,ED2-TEL</v>
      </c>
      <c r="J225" s="45"/>
    </row>
    <row r="226" spans="1:10" s="46" customFormat="1" ht="14.5" x14ac:dyDescent="0.35">
      <c r="A226" s="58" t="s">
        <v>412</v>
      </c>
      <c r="B226" s="59" t="str">
        <v>FRENCH FOR COMMUNICATION II</v>
      </c>
      <c r="C226" s="60" t="str">
        <v>Alexander Ocloo</v>
      </c>
      <c r="D226" s="58" t="s">
        <v>59</v>
      </c>
      <c r="E226" s="62">
        <v>55</v>
      </c>
      <c r="F226" s="68" t="s">
        <v>413</v>
      </c>
      <c r="G226" s="63">
        <f t="shared" si="55"/>
        <v>60.500000000000007</v>
      </c>
      <c r="H226" s="64" t="s">
        <v>197</v>
      </c>
      <c r="I226" s="44" t="str">
        <f>CONCATENATE(A226,",",D226)</f>
        <v>FC 182,ED3-CHE</v>
      </c>
      <c r="J226" s="45"/>
    </row>
    <row r="227" spans="1:10" s="46" customFormat="1" ht="14.5" x14ac:dyDescent="0.35">
      <c r="A227" s="58" t="s">
        <v>412</v>
      </c>
      <c r="B227" s="60" t="str">
        <v>FRENCH FOR COMMUNICATION  II</v>
      </c>
      <c r="C227" s="60" t="str">
        <v>Pharis Jeel Darko</v>
      </c>
      <c r="D227" s="58" t="s">
        <v>104</v>
      </c>
      <c r="E227" s="62">
        <v>65</v>
      </c>
      <c r="F227" s="68" t="s">
        <v>414</v>
      </c>
      <c r="G227" s="63">
        <f t="shared" si="55"/>
        <v>71.5</v>
      </c>
      <c r="H227" s="64">
        <v>65</v>
      </c>
      <c r="I227" s="44" t="str">
        <f t="shared" ref="I227:I233" si="57">CONCATENATE(A227,",",D227)</f>
        <v>FC 182,ED3-GEOM</v>
      </c>
      <c r="J227" s="45"/>
    </row>
    <row r="228" spans="1:10" s="46" customFormat="1" ht="14.5" x14ac:dyDescent="0.35">
      <c r="A228" s="58" t="s">
        <v>412</v>
      </c>
      <c r="B228" s="60" t="str">
        <v>FRENCH FOR COMMUNICATION II</v>
      </c>
      <c r="C228" s="60" t="str">
        <v>Alexander Ocloo</v>
      </c>
      <c r="D228" s="58" t="s">
        <v>30</v>
      </c>
      <c r="E228" s="62">
        <v>170</v>
      </c>
      <c r="F228" s="68" t="s">
        <v>415</v>
      </c>
      <c r="G228" s="63">
        <f t="shared" si="55"/>
        <v>187.00000000000003</v>
      </c>
      <c r="H228" s="64" t="s">
        <v>416</v>
      </c>
      <c r="I228" s="44" t="str">
        <f t="shared" si="57"/>
        <v>FC 182,ED2-EE</v>
      </c>
      <c r="J228" s="45"/>
    </row>
    <row r="229" spans="1:10" s="46" customFormat="1" ht="14.5" x14ac:dyDescent="0.35">
      <c r="A229" s="58" t="s">
        <v>412</v>
      </c>
      <c r="B229" s="60" t="str">
        <v>FRENCH FOR COMMUNICATION II</v>
      </c>
      <c r="C229" s="60" t="str">
        <v>Boakye-Agyeman Candy</v>
      </c>
      <c r="D229" s="58" t="s">
        <v>64</v>
      </c>
      <c r="E229" s="62">
        <v>90</v>
      </c>
      <c r="F229" s="68" t="s">
        <v>417</v>
      </c>
      <c r="G229" s="63">
        <f t="shared" si="55"/>
        <v>99.000000000000014</v>
      </c>
      <c r="H229" s="64" t="s">
        <v>418</v>
      </c>
      <c r="I229" s="44" t="str">
        <f t="shared" si="57"/>
        <v>FC 182,ED1-GEOL</v>
      </c>
      <c r="J229" s="45"/>
    </row>
    <row r="230" spans="1:10" s="46" customFormat="1" ht="14.5" x14ac:dyDescent="0.35">
      <c r="A230" s="58" t="s">
        <v>412</v>
      </c>
      <c r="B230" s="60" t="str">
        <v>FRENCH FOR COMMUNICATION II</v>
      </c>
      <c r="C230" s="60" t="str">
        <v>Boakye-Agyeman Candy</v>
      </c>
      <c r="D230" s="58" t="s">
        <v>67</v>
      </c>
      <c r="E230" s="62">
        <v>160</v>
      </c>
      <c r="F230" s="68" t="s">
        <v>419</v>
      </c>
      <c r="G230" s="63">
        <f t="shared" si="55"/>
        <v>176</v>
      </c>
      <c r="H230" s="64" t="s">
        <v>420</v>
      </c>
      <c r="I230" s="44" t="str">
        <f t="shared" si="57"/>
        <v>FC 182,ED1-CE</v>
      </c>
      <c r="J230" s="45"/>
    </row>
    <row r="231" spans="1:10" s="46" customFormat="1" ht="14.5" x14ac:dyDescent="0.35">
      <c r="A231" s="58" t="s">
        <v>412</v>
      </c>
      <c r="B231" s="60" t="str">
        <v>FRENCH FOR COMMUNICATION II</v>
      </c>
      <c r="C231" s="60" t="str">
        <v>Boakye-Agyeman Candy</v>
      </c>
      <c r="D231" s="58" t="s">
        <v>155</v>
      </c>
      <c r="E231" s="62">
        <v>46</v>
      </c>
      <c r="F231" s="68" t="s">
        <v>54</v>
      </c>
      <c r="G231" s="63">
        <f t="shared" si="55"/>
        <v>50.6</v>
      </c>
      <c r="H231" s="64">
        <v>46</v>
      </c>
      <c r="I231" s="44" t="str">
        <f t="shared" si="57"/>
        <v>FC 182,ED1-MARI</v>
      </c>
      <c r="J231" s="45"/>
    </row>
    <row r="232" spans="1:10" s="46" customFormat="1" ht="14.5" x14ac:dyDescent="0.35">
      <c r="A232" s="58" t="s">
        <v>412</v>
      </c>
      <c r="B232" s="60" t="str">
        <v>FRENCH FOR COMMUNICATION II</v>
      </c>
      <c r="C232" s="60" t="str">
        <v>Pharis Jeel Darko</v>
      </c>
      <c r="D232" s="58" t="s">
        <v>150</v>
      </c>
      <c r="E232" s="62">
        <v>43</v>
      </c>
      <c r="F232" s="68" t="s">
        <v>421</v>
      </c>
      <c r="G232" s="63">
        <f t="shared" si="55"/>
        <v>47.300000000000004</v>
      </c>
      <c r="H232" s="64" t="s">
        <v>422</v>
      </c>
      <c r="I232" s="44" t="str">
        <f t="shared" si="57"/>
        <v>FC 182,ED2-BME</v>
      </c>
      <c r="J232" s="45"/>
    </row>
    <row r="233" spans="1:10" s="46" customFormat="1" ht="14.5" x14ac:dyDescent="0.35">
      <c r="A233" s="58" t="s">
        <v>412</v>
      </c>
      <c r="B233" s="60" t="str">
        <v>FRENCH FOR COMMUNICATION</v>
      </c>
      <c r="C233" s="60" t="str">
        <v>Pharis Jeel Darko</v>
      </c>
      <c r="D233" s="58" t="s">
        <v>148</v>
      </c>
      <c r="E233" s="62">
        <v>150</v>
      </c>
      <c r="F233" s="68" t="s">
        <v>423</v>
      </c>
      <c r="G233" s="63">
        <f t="shared" si="55"/>
        <v>165</v>
      </c>
      <c r="H233" s="64" t="s">
        <v>424</v>
      </c>
      <c r="I233" s="44" t="str">
        <f t="shared" si="57"/>
        <v>FC 182,ED2-COE</v>
      </c>
      <c r="J233" s="45"/>
    </row>
    <row r="234" spans="1:10" ht="14.25" customHeight="1" x14ac:dyDescent="0.35">
      <c r="A234" s="38" t="s">
        <v>425</v>
      </c>
      <c r="B234" s="7" t="str">
        <v>GROUND ENGINEERING</v>
      </c>
      <c r="C234" s="7" t="str">
        <v>Samuel Innocent Kofi Ampadu</v>
      </c>
      <c r="D234" s="38" t="s">
        <v>134</v>
      </c>
      <c r="E234" s="41">
        <v>2</v>
      </c>
      <c r="F234" s="47" t="s">
        <v>426</v>
      </c>
      <c r="G234" s="43">
        <f>E234*1.1</f>
        <v>2.2000000000000002</v>
      </c>
      <c r="H234" s="1">
        <v>2</v>
      </c>
      <c r="I234" s="5" t="str">
        <f>CONCATENATE(A234,",",D234)</f>
        <v>CE 478,ED4-GEOL</v>
      </c>
      <c r="J234" s="6"/>
    </row>
    <row r="235" spans="1:10" s="77" customFormat="1" ht="14.5" x14ac:dyDescent="0.35">
      <c r="A235" s="38" t="s">
        <v>425</v>
      </c>
      <c r="B235" s="7" t="str">
        <v>GROUND ENGINEERING</v>
      </c>
      <c r="C235" s="7" t="str">
        <v>Samuel Innocent Kofi Ampadu</v>
      </c>
      <c r="D235" s="38" t="s">
        <v>140</v>
      </c>
      <c r="E235" s="41">
        <v>60</v>
      </c>
      <c r="F235" s="47" t="s">
        <v>120</v>
      </c>
      <c r="G235" s="43">
        <f>E235*1.1</f>
        <v>66</v>
      </c>
      <c r="H235" s="1" t="s">
        <v>427</v>
      </c>
      <c r="I235" s="75" t="str">
        <f t="shared" ref="I235:I236" si="58">CONCATENATE(A235,",",D235)</f>
        <v>CE 478,ED4-CE</v>
      </c>
      <c r="J235" s="76"/>
    </row>
    <row r="236" spans="1:10" ht="14.5" x14ac:dyDescent="0.35">
      <c r="A236" s="38" t="s">
        <v>428</v>
      </c>
      <c r="B236" s="39" t="str">
        <v>SEPARATION PROCESSES II</v>
      </c>
      <c r="C236" s="7" t="str">
        <v>Augustine Ntiamoah</v>
      </c>
      <c r="D236" s="38" t="s">
        <v>124</v>
      </c>
      <c r="E236" s="41">
        <v>53</v>
      </c>
      <c r="F236" s="47" t="s">
        <v>429</v>
      </c>
      <c r="G236" s="43">
        <f t="shared" ref="G236" si="59">E236*1.1</f>
        <v>58.300000000000004</v>
      </c>
      <c r="H236" s="1" t="s">
        <v>323</v>
      </c>
      <c r="I236" s="5" t="str">
        <f t="shared" si="58"/>
        <v>PCE 352,ED3-PCE</v>
      </c>
      <c r="J236" s="6"/>
    </row>
    <row r="237" spans="1:10" ht="14.5" x14ac:dyDescent="0.35">
      <c r="A237" s="38" t="s">
        <v>430</v>
      </c>
      <c r="B237" s="39" t="str">
        <v>ADSORPTION SEPARATION PROCESS TECHNOLOGY</v>
      </c>
      <c r="C237" s="39" t="str">
        <v>Ohemeng-Boahen Godfred</v>
      </c>
      <c r="D237" s="38" t="s">
        <v>49</v>
      </c>
      <c r="E237" s="41">
        <v>40</v>
      </c>
      <c r="F237" s="47" t="s">
        <v>54</v>
      </c>
      <c r="G237" s="43">
        <f>E237*1.1</f>
        <v>44</v>
      </c>
      <c r="H237" s="16">
        <v>40</v>
      </c>
      <c r="I237" s="5" t="str">
        <f>CONCATENATE(A237,",",D237)</f>
        <v>CHE 464,ED4-PCE</v>
      </c>
      <c r="J237" s="6"/>
    </row>
    <row r="238" spans="1:10" ht="14.5" x14ac:dyDescent="0.35">
      <c r="A238" s="38" t="s">
        <v>431</v>
      </c>
      <c r="B238" s="7" t="str">
        <v>PHARMACEUTICAL TECHNOLOGY</v>
      </c>
      <c r="C238" s="7" t="str">
        <v>Johnson Raphael</v>
      </c>
      <c r="D238" s="38" t="s">
        <v>53</v>
      </c>
      <c r="E238" s="41">
        <v>71</v>
      </c>
      <c r="F238" s="47" t="s">
        <v>65</v>
      </c>
      <c r="G238" s="43">
        <f>E238*1.1</f>
        <v>78.100000000000009</v>
      </c>
      <c r="H238" s="1">
        <v>71</v>
      </c>
      <c r="I238" s="5" t="str">
        <f>CONCATENATE(A238,",",D238)</f>
        <v>CHE 470,ED4-CHE</v>
      </c>
      <c r="J238" s="6"/>
    </row>
    <row r="239" spans="1:10" ht="14.5" x14ac:dyDescent="0.35">
      <c r="A239" s="38" t="s">
        <v>432</v>
      </c>
      <c r="B239" s="39" t="str">
        <v>ENVIRONMENTAL ENG. TECHNOLOGY</v>
      </c>
      <c r="C239" s="7" t="str">
        <v>Afotey Benjamin</v>
      </c>
      <c r="D239" s="38" t="s">
        <v>53</v>
      </c>
      <c r="E239" s="41">
        <v>54</v>
      </c>
      <c r="F239" s="47" t="s">
        <v>433</v>
      </c>
      <c r="G239" s="43">
        <f t="shared" ref="G239" si="60">E239*1.1</f>
        <v>59.400000000000006</v>
      </c>
      <c r="H239" s="1" t="s">
        <v>434</v>
      </c>
      <c r="I239" s="5" t="str">
        <f t="shared" ref="I239" si="61">CONCATENATE(A239,",",D239)</f>
        <v>CHE 468,ED4-CHE</v>
      </c>
      <c r="J239" s="6"/>
    </row>
    <row r="240" spans="1:10" ht="14.5" x14ac:dyDescent="0.35">
      <c r="A240" s="54"/>
      <c r="B240" s="54"/>
      <c r="D240" s="39" t="s">
        <v>435</v>
      </c>
      <c r="E240" s="55">
        <f>SUM(E225:E239)</f>
        <v>1162</v>
      </c>
      <c r="F240" s="56"/>
      <c r="G240" s="57"/>
      <c r="I240" s="2" t="s">
        <v>436</v>
      </c>
      <c r="J240" s="6"/>
    </row>
    <row r="241" spans="1:10" ht="14.5" x14ac:dyDescent="0.35">
      <c r="A241" s="123" t="s">
        <v>411</v>
      </c>
      <c r="B241" s="123"/>
      <c r="C241" s="123"/>
      <c r="D241" s="123"/>
      <c r="E241" s="123"/>
      <c r="F241" s="123"/>
      <c r="G241" s="123"/>
      <c r="I241" s="2" t="str">
        <f>A241</f>
        <v>Monday, 24 August 2026</v>
      </c>
      <c r="J241" s="6"/>
    </row>
    <row r="242" spans="1:10" ht="14.5" x14ac:dyDescent="0.35">
      <c r="A242" s="123" t="s">
        <v>35</v>
      </c>
      <c r="B242" s="123"/>
      <c r="C242" s="123"/>
      <c r="D242" s="123"/>
      <c r="E242" s="123"/>
      <c r="F242" s="123"/>
      <c r="G242" s="123"/>
      <c r="I242" s="2" t="str">
        <f>A242</f>
        <v>Session, 2 (12:00 PM - 2:00 PM)</v>
      </c>
      <c r="J242" s="6"/>
    </row>
    <row r="243" spans="1:10" ht="14.5" x14ac:dyDescent="0.35">
      <c r="A243" s="35" t="s">
        <v>2</v>
      </c>
      <c r="B243" s="35" t="s">
        <v>3</v>
      </c>
      <c r="C243" s="32" t="s">
        <v>4</v>
      </c>
      <c r="D243" s="35" t="s">
        <v>5</v>
      </c>
      <c r="E243" s="36" t="s">
        <v>6</v>
      </c>
      <c r="F243" s="32" t="s">
        <v>7</v>
      </c>
      <c r="G243" s="37" t="s">
        <v>8</v>
      </c>
      <c r="I243" s="2" t="s">
        <v>36</v>
      </c>
      <c r="J243" s="6"/>
    </row>
    <row r="244" spans="1:10" s="46" customFormat="1" ht="14.5" x14ac:dyDescent="0.35">
      <c r="A244" s="58" t="s">
        <v>437</v>
      </c>
      <c r="B244" s="59" t="str" cm="1">
        <f t="array" ref="B244:B254">IFERROR(VLOOKUP(I244:I254,[5]Lectures_1!A2:F534,2,FALSE),0)</f>
        <v>DIGITAL SIGNAL PROCESSING</v>
      </c>
      <c r="C244" s="59" t="str" cm="1">
        <f t="array" ref="C244:C254">IFERROR(VLOOKUP(I244:I254,[5]Lectures_1!A2:F534,3,FALSE),0)</f>
        <v>Akowuah Emmanuel Kofi</v>
      </c>
      <c r="D244" s="58" t="s">
        <v>282</v>
      </c>
      <c r="E244" s="62" cm="1">
        <f t="array" ref="E244:E254">IFERROR(VLOOKUP(I244:I254,[5]Lectures_1!A2:F534,4,FALSE),0)</f>
        <v>160</v>
      </c>
      <c r="F244" s="59" t="s">
        <v>39</v>
      </c>
      <c r="G244" s="63">
        <f>E244*1.1</f>
        <v>176</v>
      </c>
      <c r="H244" s="64"/>
      <c r="I244" s="44" t="str">
        <f t="shared" ref="I244" si="62">CONCATENATE(A244,",",D244)</f>
        <v>COE 472,ED4-COE</v>
      </c>
      <c r="J244" s="45"/>
    </row>
    <row r="245" spans="1:10" ht="14.5" x14ac:dyDescent="0.35">
      <c r="A245" s="38" t="s">
        <v>437</v>
      </c>
      <c r="B245" s="39" t="str">
        <v>DIGITAL SIGNAL PROCESSING</v>
      </c>
      <c r="C245" s="39" t="str">
        <v>Adjei Prince Ebenezer</v>
      </c>
      <c r="D245" s="38" t="s">
        <v>438</v>
      </c>
      <c r="E245" s="41">
        <v>87</v>
      </c>
      <c r="F245" s="38" t="s">
        <v>439</v>
      </c>
      <c r="G245" s="43">
        <f>E245*1.1</f>
        <v>95.7</v>
      </c>
      <c r="H245" s="1" t="s">
        <v>440</v>
      </c>
      <c r="I245" s="5" t="str">
        <f>CONCATENATE(A245,",",D245)</f>
        <v>COE 472,ED4-BME</v>
      </c>
      <c r="J245" s="6"/>
    </row>
    <row r="246" spans="1:10" s="53" customFormat="1" ht="14.5" x14ac:dyDescent="0.35">
      <c r="A246" s="48" t="s">
        <v>21</v>
      </c>
      <c r="B246" s="40" t="str">
        <v>ELECTRICAL ENG. DRAWING</v>
      </c>
      <c r="C246" s="51" t="str">
        <v>Kwegyir Daniel</v>
      </c>
      <c r="D246" s="48" t="s">
        <v>199</v>
      </c>
      <c r="E246" s="42">
        <v>295</v>
      </c>
      <c r="F246" s="94" t="s">
        <v>23</v>
      </c>
      <c r="G246" s="49">
        <f>E246*1.1</f>
        <v>324.5</v>
      </c>
      <c r="H246" s="50" t="s">
        <v>441</v>
      </c>
      <c r="I246" s="66" t="str">
        <f>CONCATENATE(A246,",",D246)</f>
        <v>EE 156,ED1-EE</v>
      </c>
      <c r="J246" s="52"/>
    </row>
    <row r="247" spans="1:10" ht="14.5" x14ac:dyDescent="0.35">
      <c r="A247" s="38" t="s">
        <v>442</v>
      </c>
      <c r="B247" s="7" t="str">
        <v>PHASE TRANSFORMATIONS</v>
      </c>
      <c r="C247" s="39" t="str">
        <v>Gikunoo Emmanuel</v>
      </c>
      <c r="D247" s="38" t="s">
        <v>208</v>
      </c>
      <c r="E247" s="41">
        <v>83</v>
      </c>
      <c r="F247" s="47" t="s">
        <v>443</v>
      </c>
      <c r="G247" s="43">
        <f t="shared" ref="G247:G254" si="63">E247*1.1</f>
        <v>91.300000000000011</v>
      </c>
      <c r="H247" s="12" t="s">
        <v>444</v>
      </c>
      <c r="I247" s="5" t="str">
        <f t="shared" ref="I247:I249" si="64">CONCATENATE(A247,",",D247)</f>
        <v>MSE 260,ED2-MSE</v>
      </c>
      <c r="J247" s="6"/>
    </row>
    <row r="248" spans="1:10" ht="14.5" x14ac:dyDescent="0.35">
      <c r="A248" s="38" t="s">
        <v>442</v>
      </c>
      <c r="B248" s="7" t="str">
        <v>PHASE TRANSFORMATIONS</v>
      </c>
      <c r="C248" s="39" t="str">
        <v>Gikunoo Emmanuel</v>
      </c>
      <c r="D248" s="38" t="s">
        <v>176</v>
      </c>
      <c r="E248" s="41">
        <v>57</v>
      </c>
      <c r="F248" s="47" t="s">
        <v>15</v>
      </c>
      <c r="G248" s="43">
        <f t="shared" si="63"/>
        <v>62.7</v>
      </c>
      <c r="H248" s="1" t="s">
        <v>445</v>
      </c>
      <c r="I248" s="5" t="str">
        <f t="shared" si="64"/>
        <v>MSE 260,ED2-METE</v>
      </c>
      <c r="J248" s="6"/>
    </row>
    <row r="249" spans="1:10" ht="14.5" x14ac:dyDescent="0.35">
      <c r="A249" s="38" t="s">
        <v>446</v>
      </c>
      <c r="B249" s="39" t="str">
        <v>INTRODUCTION TO SOIL MECHANICS</v>
      </c>
      <c r="C249" s="7" t="str">
        <v>Amenuvor Andrew Cudzo</v>
      </c>
      <c r="D249" s="38" t="s">
        <v>70</v>
      </c>
      <c r="E249" s="41">
        <v>150</v>
      </c>
      <c r="F249" s="47" t="s">
        <v>423</v>
      </c>
      <c r="G249" s="43">
        <f t="shared" si="63"/>
        <v>165</v>
      </c>
      <c r="H249" s="1" t="s">
        <v>424</v>
      </c>
      <c r="I249" s="5" t="str">
        <f t="shared" si="64"/>
        <v>GED 262,ED2-GEOL</v>
      </c>
      <c r="J249" s="6"/>
    </row>
    <row r="250" spans="1:10" ht="14.5" x14ac:dyDescent="0.35">
      <c r="A250" s="38" t="s">
        <v>447</v>
      </c>
      <c r="B250" s="39" t="str">
        <v>MECHANISMS SYNTHESIS AND ANALYSIS II</v>
      </c>
      <c r="C250" s="39" t="str">
        <v>David Kofi Oppong</v>
      </c>
      <c r="D250" s="38" t="s">
        <v>172</v>
      </c>
      <c r="E250" s="41">
        <v>17</v>
      </c>
      <c r="F250" s="47" t="s">
        <v>448</v>
      </c>
      <c r="G250" s="43">
        <f>E250*1.1</f>
        <v>18.700000000000003</v>
      </c>
      <c r="H250" s="1">
        <v>17</v>
      </c>
      <c r="I250" s="5" t="str">
        <f>CONCATENATE(A250,",",D250)</f>
        <v>ME 462,ED4-AERO</v>
      </c>
      <c r="J250" s="6"/>
    </row>
    <row r="251" spans="1:10" ht="14.5" x14ac:dyDescent="0.35">
      <c r="A251" s="38" t="s">
        <v>449</v>
      </c>
      <c r="B251" s="39" t="str">
        <v>CHEMICAL PROCESS CALCULATIONS II</v>
      </c>
      <c r="C251" s="39" t="str">
        <v>Ohemeng-Boahen Godfred</v>
      </c>
      <c r="D251" s="38" t="s">
        <v>14</v>
      </c>
      <c r="E251" s="41">
        <v>65</v>
      </c>
      <c r="F251" s="21" t="s">
        <v>143</v>
      </c>
      <c r="G251" s="43">
        <f t="shared" si="63"/>
        <v>71.5</v>
      </c>
      <c r="H251" s="1" t="s">
        <v>278</v>
      </c>
      <c r="I251" s="5" t="str">
        <f t="shared" ref="I251:I252" si="65">CONCATENATE(A251,",",D251)</f>
        <v>CHE 252,ED2-PCE</v>
      </c>
      <c r="J251" s="6"/>
    </row>
    <row r="252" spans="1:10" ht="14.5" x14ac:dyDescent="0.35">
      <c r="A252" s="38" t="s">
        <v>449</v>
      </c>
      <c r="B252" s="39" t="str">
        <v>CHEMICAL PROCESS CALCULATIONS II</v>
      </c>
      <c r="C252" s="7" t="str">
        <v>Rockson Mizpah Ama Dziedzorm</v>
      </c>
      <c r="D252" s="38" t="s">
        <v>11</v>
      </c>
      <c r="E252" s="41">
        <v>160</v>
      </c>
      <c r="F252" s="47" t="s">
        <v>415</v>
      </c>
      <c r="G252" s="43">
        <f t="shared" si="63"/>
        <v>176</v>
      </c>
      <c r="H252" s="1" t="s">
        <v>450</v>
      </c>
      <c r="I252" s="5" t="str">
        <f t="shared" si="65"/>
        <v>CHE 252,ED2-CHE</v>
      </c>
      <c r="J252" s="6"/>
    </row>
    <row r="253" spans="1:10" ht="14.5" x14ac:dyDescent="0.35">
      <c r="A253" s="38" t="s">
        <v>451</v>
      </c>
      <c r="B253" s="39" t="str">
        <v>ENGINEERING PROPERTIES OF POLYMERS</v>
      </c>
      <c r="C253" s="7" t="str">
        <v>Asare Eric Kwame Anokye</v>
      </c>
      <c r="D253" s="38" t="s">
        <v>212</v>
      </c>
      <c r="E253" s="41">
        <v>85</v>
      </c>
      <c r="F253" s="47" t="s">
        <v>452</v>
      </c>
      <c r="G253" s="43">
        <f t="shared" si="63"/>
        <v>93.500000000000014</v>
      </c>
      <c r="H253" s="1" t="s">
        <v>453</v>
      </c>
      <c r="I253" s="5" t="str">
        <f>CONCATENATE(A253,",",D253)</f>
        <v>MSE 356,ED3-MSE</v>
      </c>
      <c r="J253" s="6"/>
    </row>
    <row r="254" spans="1:10" ht="14.5" x14ac:dyDescent="0.35">
      <c r="A254" s="38" t="s">
        <v>454</v>
      </c>
      <c r="B254" s="39" t="str">
        <v>BASIC ELECTRONICS</v>
      </c>
      <c r="C254" s="7" t="str">
        <v>Addo Daniel Akwei</v>
      </c>
      <c r="D254" s="38" t="s">
        <v>190</v>
      </c>
      <c r="E254" s="41">
        <v>136</v>
      </c>
      <c r="F254" s="47" t="s">
        <v>455</v>
      </c>
      <c r="G254" s="43">
        <f t="shared" si="63"/>
        <v>149.60000000000002</v>
      </c>
      <c r="H254" s="1" t="s">
        <v>456</v>
      </c>
      <c r="I254" s="5" t="str">
        <f t="shared" ref="I254" si="66">CONCATENATE(A254,",",D254)</f>
        <v>COE 152,ED1-BME</v>
      </c>
      <c r="J254" s="6"/>
    </row>
    <row r="255" spans="1:10" ht="14.5" x14ac:dyDescent="0.35">
      <c r="A255" s="54"/>
      <c r="B255" s="54"/>
      <c r="C255" s="39"/>
      <c r="D255" s="39" t="s">
        <v>457</v>
      </c>
      <c r="E255" s="55">
        <f>SUM(E245:E254)</f>
        <v>1135</v>
      </c>
      <c r="F255" s="56"/>
      <c r="G255" s="57"/>
      <c r="I255" s="2" t="s">
        <v>458</v>
      </c>
      <c r="J255" s="6"/>
    </row>
    <row r="256" spans="1:10" ht="14.5" x14ac:dyDescent="0.35">
      <c r="A256" s="123" t="s">
        <v>411</v>
      </c>
      <c r="B256" s="123"/>
      <c r="C256" s="123"/>
      <c r="D256" s="123"/>
      <c r="E256" s="123"/>
      <c r="F256" s="123"/>
      <c r="G256" s="123"/>
      <c r="I256" s="2" t="str">
        <f>A256</f>
        <v>Monday, 24 August 2026</v>
      </c>
      <c r="J256" s="6"/>
    </row>
    <row r="257" spans="1:10" ht="14.5" x14ac:dyDescent="0.35">
      <c r="A257" s="123" t="s">
        <v>77</v>
      </c>
      <c r="B257" s="123"/>
      <c r="C257" s="123"/>
      <c r="D257" s="123"/>
      <c r="E257" s="123"/>
      <c r="F257" s="123"/>
      <c r="G257" s="123"/>
      <c r="I257" s="2" t="str">
        <f>A257</f>
        <v>Session, 3 (3:00 PM - 5:00 PM)</v>
      </c>
      <c r="J257" s="6"/>
    </row>
    <row r="258" spans="1:10" ht="14.5" x14ac:dyDescent="0.35">
      <c r="A258" s="35" t="s">
        <v>2</v>
      </c>
      <c r="B258" s="35" t="s">
        <v>3</v>
      </c>
      <c r="C258" s="32" t="s">
        <v>4</v>
      </c>
      <c r="D258" s="35" t="s">
        <v>5</v>
      </c>
      <c r="E258" s="36" t="s">
        <v>6</v>
      </c>
      <c r="F258" s="32" t="s">
        <v>7</v>
      </c>
      <c r="G258" s="37" t="s">
        <v>8</v>
      </c>
      <c r="I258" s="2" t="s">
        <v>36</v>
      </c>
      <c r="J258" s="6"/>
    </row>
    <row r="259" spans="1:10" s="46" customFormat="1" ht="14.5" x14ac:dyDescent="0.35">
      <c r="A259" s="21" t="s">
        <v>459</v>
      </c>
      <c r="B259" s="39" t="str" cm="1">
        <f t="array" ref="B259:B268">IFERROR(VLOOKUP(I259:I268,[5]Lectures_1!A2:F534,2,FALSE),0)</f>
        <v>COMPUTER PROGRAMMING IN OIL AND GAS</v>
      </c>
      <c r="C259" s="39" t="str" cm="1">
        <f t="array" ref="C259:C268">IFERROR(VLOOKUP(I259:I268,[5]Lectures_1!A2:F534,3,FALSE),0)</f>
        <v>Sokama-Neuyam Yen Adams</v>
      </c>
      <c r="D259" s="21" t="s">
        <v>126</v>
      </c>
      <c r="E259" s="41" cm="1">
        <f t="array" ref="E259:E268">IFERROR(VLOOKUP(I259:I268,[5]Lectures_1!A2:F534,4,FALSE),0)</f>
        <v>95</v>
      </c>
      <c r="F259" s="47" t="s">
        <v>137</v>
      </c>
      <c r="G259" s="43">
        <f>E259*1.1</f>
        <v>104.50000000000001</v>
      </c>
      <c r="H259" s="1" t="s">
        <v>460</v>
      </c>
      <c r="I259" s="44" t="str">
        <f t="shared" ref="I259" si="67">CONCATENATE(A259,",",D259)</f>
        <v>PE 262,ED2-PE</v>
      </c>
      <c r="J259" s="97"/>
    </row>
    <row r="260" spans="1:10" s="46" customFormat="1" ht="14.5" x14ac:dyDescent="0.35">
      <c r="A260" s="38" t="s">
        <v>461</v>
      </c>
      <c r="B260" s="7" t="str">
        <v>PETROLEUM PROJECT EVALUATION</v>
      </c>
      <c r="C260" s="7" t="str">
        <v>Sarkodie Kwame</v>
      </c>
      <c r="D260" s="38" t="s">
        <v>205</v>
      </c>
      <c r="E260" s="41">
        <v>99</v>
      </c>
      <c r="F260" s="47" t="s">
        <v>462</v>
      </c>
      <c r="G260" s="43">
        <f>E260*1.1</f>
        <v>108.9</v>
      </c>
      <c r="H260" s="1" t="s">
        <v>463</v>
      </c>
      <c r="I260" s="5" t="str">
        <f>CONCATENATE(A260,",",D260)</f>
        <v>PE 452,ED4-PE</v>
      </c>
      <c r="J260" s="6"/>
    </row>
    <row r="261" spans="1:10" s="77" customFormat="1" ht="14.5" x14ac:dyDescent="0.35">
      <c r="A261" s="38" t="s">
        <v>464</v>
      </c>
      <c r="B261" s="7" t="str">
        <v>COMPUTER-AIDED DESIGN AND MANUFACTURING</v>
      </c>
      <c r="C261" s="39" t="str">
        <v>Afriyie Nyarko Frank Kwabena</v>
      </c>
      <c r="D261" s="38" t="s">
        <v>179</v>
      </c>
      <c r="E261" s="96">
        <v>70</v>
      </c>
      <c r="F261" s="47" t="s">
        <v>143</v>
      </c>
      <c r="G261" s="43">
        <f>E261*1.1</f>
        <v>77</v>
      </c>
      <c r="H261" s="1" t="s">
        <v>465</v>
      </c>
      <c r="I261" s="75" t="str">
        <f>CONCATENATE(A261,",",D261)</f>
        <v>IE 358,ED3-IND</v>
      </c>
      <c r="J261" s="76"/>
    </row>
    <row r="262" spans="1:10" s="77" customFormat="1" ht="14.5" x14ac:dyDescent="0.35">
      <c r="A262" s="38" t="s">
        <v>466</v>
      </c>
      <c r="B262" s="39" t="str">
        <v>INTRODUCTION TO CAD/CAM</v>
      </c>
      <c r="C262" s="7" t="str">
        <v>Afriyie Nyarko Frank Kwabena</v>
      </c>
      <c r="D262" s="38" t="s">
        <v>116</v>
      </c>
      <c r="E262" s="41">
        <v>101</v>
      </c>
      <c r="F262" s="47" t="s">
        <v>162</v>
      </c>
      <c r="G262" s="43">
        <f>E262*1.1</f>
        <v>111.10000000000001</v>
      </c>
      <c r="H262" s="1" t="s">
        <v>467</v>
      </c>
      <c r="I262" s="75" t="str">
        <f>CONCATENATE(A262,",",D262)</f>
        <v>ME 376,ED3-AE</v>
      </c>
      <c r="J262" s="76"/>
    </row>
    <row r="263" spans="1:10" s="53" customFormat="1" ht="14.5" x14ac:dyDescent="0.35">
      <c r="A263" s="48" t="s">
        <v>468</v>
      </c>
      <c r="B263" s="40" t="str">
        <v>ELECTRIC DRIVES</v>
      </c>
      <c r="C263" s="51" t="str">
        <v>Effah Francis Boafo</v>
      </c>
      <c r="D263" s="48" t="s">
        <v>220</v>
      </c>
      <c r="E263" s="42">
        <v>189</v>
      </c>
      <c r="F263" s="98" t="s">
        <v>23</v>
      </c>
      <c r="G263" s="49">
        <f t="shared" ref="G263:G268" si="68">E263*1.1</f>
        <v>207.9</v>
      </c>
      <c r="H263" s="50" t="s">
        <v>469</v>
      </c>
      <c r="I263" s="66" t="str">
        <f t="shared" ref="I263" si="69">CONCATENATE(A263,",",D263)</f>
        <v>EE 462,ED4-EE</v>
      </c>
      <c r="J263" s="52"/>
    </row>
    <row r="264" spans="1:10" s="74" customFormat="1" ht="14.5" x14ac:dyDescent="0.35">
      <c r="A264" s="38" t="s">
        <v>470</v>
      </c>
      <c r="B264" s="39" t="str">
        <v>STATICS OF SOLID MECHANICS</v>
      </c>
      <c r="C264" s="7" t="str">
        <v>Dzebre Denis Edem Kwame</v>
      </c>
      <c r="D264" s="38" t="s">
        <v>305</v>
      </c>
      <c r="E264" s="41">
        <v>70</v>
      </c>
      <c r="F264" s="47" t="s">
        <v>15</v>
      </c>
      <c r="G264" s="43">
        <f>E264*1.1</f>
        <v>77</v>
      </c>
      <c r="H264" s="1" t="s">
        <v>306</v>
      </c>
      <c r="I264" s="72" t="str">
        <f>CONCATENATE(A264,",",D264)</f>
        <v>ME 164,ED1-AERO</v>
      </c>
      <c r="J264" s="73"/>
    </row>
    <row r="265" spans="1:10" s="74" customFormat="1" ht="14.5" x14ac:dyDescent="0.35">
      <c r="A265" s="38" t="s">
        <v>471</v>
      </c>
      <c r="B265" s="39" t="str">
        <v>NETWORK PLANNING AND OPTIMIZATION</v>
      </c>
      <c r="C265" s="7" t="str">
        <v>Kwasi Adu-Boahen Opare</v>
      </c>
      <c r="D265" s="38" t="s">
        <v>349</v>
      </c>
      <c r="E265" s="41">
        <v>138</v>
      </c>
      <c r="F265" s="47" t="s">
        <v>455</v>
      </c>
      <c r="G265" s="43">
        <f>E265*1.1</f>
        <v>151.80000000000001</v>
      </c>
      <c r="H265" s="1" t="s">
        <v>472</v>
      </c>
      <c r="I265" s="72" t="str">
        <f>CONCATENATE(A265,",",D265)</f>
        <v>TE 458,ED4-TEL</v>
      </c>
      <c r="J265" s="73"/>
    </row>
    <row r="266" spans="1:10" s="74" customFormat="1" ht="14.5" x14ac:dyDescent="0.35">
      <c r="A266" s="38" t="s">
        <v>470</v>
      </c>
      <c r="B266" s="39" t="str">
        <v>ENGINEERING MECHANICS I: STATICS</v>
      </c>
      <c r="C266" s="7" t="str">
        <v>Dzebre Denis Edem Kwame</v>
      </c>
      <c r="D266" s="38" t="s">
        <v>251</v>
      </c>
      <c r="E266" s="41">
        <v>225</v>
      </c>
      <c r="F266" s="47" t="s">
        <v>473</v>
      </c>
      <c r="G266" s="43">
        <f t="shared" si="68"/>
        <v>247.50000000000003</v>
      </c>
      <c r="H266" s="1" t="s">
        <v>474</v>
      </c>
      <c r="I266" s="72" t="str">
        <f t="shared" ref="I266" si="70">CONCATENATE(A266,",",D266)</f>
        <v>ME 164,ED1-ME</v>
      </c>
      <c r="J266" s="73"/>
    </row>
    <row r="267" spans="1:10" ht="14.5" x14ac:dyDescent="0.35">
      <c r="A267" s="38" t="s">
        <v>475</v>
      </c>
      <c r="B267" s="39" t="str">
        <v>HYDROMETALLURGICAL APPLICATIONS</v>
      </c>
      <c r="C267" s="7" t="str">
        <v>Agbe Henry</v>
      </c>
      <c r="D267" s="38" t="s">
        <v>216</v>
      </c>
      <c r="E267" s="41">
        <v>87</v>
      </c>
      <c r="F267" s="47" t="s">
        <v>476</v>
      </c>
      <c r="G267" s="43">
        <f>E267*1.1</f>
        <v>95.7</v>
      </c>
      <c r="H267" s="1" t="s">
        <v>477</v>
      </c>
      <c r="I267" s="5" t="str">
        <f>CONCATENATE(A267,",",D267)</f>
        <v>METE 352,ED3-METE</v>
      </c>
      <c r="J267" s="6"/>
    </row>
    <row r="268" spans="1:10" ht="14.5" x14ac:dyDescent="0.35">
      <c r="A268" s="38" t="s">
        <v>478</v>
      </c>
      <c r="B268" s="39" t="str">
        <v>PRINCIPLES OF GEOPHYSICS</v>
      </c>
      <c r="C268" s="7" t="str">
        <v>Ali Bukari</v>
      </c>
      <c r="D268" s="38" t="s">
        <v>236</v>
      </c>
      <c r="E268" s="41">
        <v>154</v>
      </c>
      <c r="F268" s="47" t="s">
        <v>415</v>
      </c>
      <c r="G268" s="43">
        <f t="shared" si="68"/>
        <v>169.4</v>
      </c>
      <c r="H268" s="1" t="s">
        <v>479</v>
      </c>
      <c r="I268" s="5" t="str">
        <f>CONCATENATE(A268,",",D268)</f>
        <v>GED 354,ED3-GEOL</v>
      </c>
      <c r="J268" s="6"/>
    </row>
    <row r="269" spans="1:10" ht="14.5" x14ac:dyDescent="0.35">
      <c r="A269" s="38"/>
      <c r="B269" s="54"/>
      <c r="D269" s="39" t="s">
        <v>480</v>
      </c>
      <c r="E269" s="55">
        <f>SUM(E259:E268)</f>
        <v>1228</v>
      </c>
      <c r="F269" s="56"/>
      <c r="G269" s="57"/>
      <c r="I269" s="2" t="s">
        <v>481</v>
      </c>
      <c r="J269" s="6"/>
    </row>
    <row r="270" spans="1:10" ht="14.5" x14ac:dyDescent="0.35">
      <c r="A270" s="123" t="s">
        <v>482</v>
      </c>
      <c r="B270" s="123"/>
      <c r="C270" s="123"/>
      <c r="D270" s="123"/>
      <c r="E270" s="123"/>
      <c r="F270" s="123"/>
      <c r="G270" s="123"/>
      <c r="I270" s="2" t="str">
        <f>A270</f>
        <v>Tuesday, 25 August 2026</v>
      </c>
      <c r="J270" s="6"/>
    </row>
    <row r="271" spans="1:10" ht="14.5" x14ac:dyDescent="0.35">
      <c r="A271" s="123" t="s">
        <v>1</v>
      </c>
      <c r="B271" s="123"/>
      <c r="C271" s="123"/>
      <c r="D271" s="123"/>
      <c r="E271" s="123"/>
      <c r="F271" s="123"/>
      <c r="G271" s="123"/>
      <c r="I271" s="2" t="str">
        <f>A271</f>
        <v>Session, 1 (8:30 AM - 10:30 AM)</v>
      </c>
      <c r="J271" s="6"/>
    </row>
    <row r="272" spans="1:10" ht="14.5" x14ac:dyDescent="0.35">
      <c r="A272" s="35" t="s">
        <v>2</v>
      </c>
      <c r="B272" s="35" t="s">
        <v>3</v>
      </c>
      <c r="C272" s="32" t="s">
        <v>4</v>
      </c>
      <c r="D272" s="35" t="s">
        <v>5</v>
      </c>
      <c r="E272" s="36" t="s">
        <v>6</v>
      </c>
      <c r="F272" s="32" t="s">
        <v>7</v>
      </c>
      <c r="G272" s="37" t="s">
        <v>8</v>
      </c>
      <c r="I272" s="2" t="s">
        <v>36</v>
      </c>
      <c r="J272" s="6"/>
    </row>
    <row r="273" spans="1:10" s="46" customFormat="1" ht="14.5" x14ac:dyDescent="0.35">
      <c r="A273" s="58" t="s">
        <v>483</v>
      </c>
      <c r="B273" s="59" t="str" cm="1">
        <f t="array" ref="B273:B282">IFERROR(VLOOKUP(I273:I282,[5]Lectures_1!A2:F534,2,FALSE),0)</f>
        <v>LITERATURE IN ENGLISH II</v>
      </c>
      <c r="C273" s="59" t="str" cm="1">
        <f t="array" ref="C273:C282">IFERROR(VLOOKUP(I273:I282,[5]Lectures_1!A2:F534,3,FALSE),0)</f>
        <v>Yeboah Philomena Ama Okyeso</v>
      </c>
      <c r="D273" s="58" t="s">
        <v>56</v>
      </c>
      <c r="E273" s="62" cm="1">
        <f t="array" ref="E273:E282">IFERROR(VLOOKUP(I273:I282,[5]Lectures_1!A2:F534,4,FALSE),0)</f>
        <v>155</v>
      </c>
      <c r="F273" s="68" t="s">
        <v>484</v>
      </c>
      <c r="G273" s="63">
        <f t="shared" ref="G273:G277" si="71">E273*1.1</f>
        <v>170.5</v>
      </c>
      <c r="H273" s="64" t="s">
        <v>485</v>
      </c>
      <c r="I273" s="44" t="str">
        <f t="shared" ref="I273:I277" si="72">CONCATENATE(A273,",",D273)</f>
        <v>ENGL 264,ED2-AE</v>
      </c>
      <c r="J273" s="45"/>
    </row>
    <row r="274" spans="1:10" s="46" customFormat="1" ht="14.5" x14ac:dyDescent="0.35">
      <c r="A274" s="58" t="s">
        <v>483</v>
      </c>
      <c r="B274" s="60" t="str">
        <v>LITERATURE IN ENGLISH II</v>
      </c>
      <c r="C274" s="59" t="str">
        <v>Yeboah Philomena Ama Okyeso</v>
      </c>
      <c r="D274" s="58" t="s">
        <v>41</v>
      </c>
      <c r="E274" s="62">
        <v>75</v>
      </c>
      <c r="F274" s="58" t="s">
        <v>63</v>
      </c>
      <c r="G274" s="63">
        <f t="shared" si="71"/>
        <v>82.5</v>
      </c>
      <c r="H274" s="64">
        <v>75</v>
      </c>
      <c r="I274" s="44" t="str">
        <f t="shared" si="72"/>
        <v>ENGL 264,ED2-AERO</v>
      </c>
      <c r="J274" s="45"/>
    </row>
    <row r="275" spans="1:10" s="46" customFormat="1" ht="14.5" x14ac:dyDescent="0.35">
      <c r="A275" s="58" t="s">
        <v>483</v>
      </c>
      <c r="B275" s="60" t="str">
        <v>LITERATURE IN ENGLISH II</v>
      </c>
      <c r="C275" s="59" t="str">
        <v>Yeboah Philomena Ama Okyeso</v>
      </c>
      <c r="D275" s="58" t="s">
        <v>270</v>
      </c>
      <c r="E275" s="62">
        <v>132</v>
      </c>
      <c r="F275" s="99" t="s">
        <v>486</v>
      </c>
      <c r="G275" s="63">
        <f t="shared" si="71"/>
        <v>145.20000000000002</v>
      </c>
      <c r="H275" s="64" t="s">
        <v>487</v>
      </c>
      <c r="I275" s="44" t="str">
        <f t="shared" si="72"/>
        <v>ENGL 264,ED2-GEOM</v>
      </c>
      <c r="J275" s="45"/>
    </row>
    <row r="276" spans="1:10" s="46" customFormat="1" ht="14.5" x14ac:dyDescent="0.35">
      <c r="A276" s="58" t="s">
        <v>483</v>
      </c>
      <c r="B276" s="60" t="str">
        <v>LITERATURE IN ENGLISH II</v>
      </c>
      <c r="C276" s="59" t="str">
        <v>Yeboah Philomena Ama Okyeso</v>
      </c>
      <c r="D276" s="58" t="s">
        <v>43</v>
      </c>
      <c r="E276" s="62">
        <v>80</v>
      </c>
      <c r="F276" s="58" t="s">
        <v>443</v>
      </c>
      <c r="G276" s="63">
        <f t="shared" si="71"/>
        <v>88</v>
      </c>
      <c r="H276" s="64" t="s">
        <v>392</v>
      </c>
      <c r="I276" s="44" t="str">
        <f t="shared" si="72"/>
        <v>ENGL 264,ED2-IND</v>
      </c>
      <c r="J276" s="45"/>
    </row>
    <row r="277" spans="1:10" s="53" customFormat="1" ht="14.5" x14ac:dyDescent="0.35">
      <c r="A277" s="48" t="s">
        <v>488</v>
      </c>
      <c r="B277" s="40" t="str">
        <v>AIR VEHICLE STABILITY AND CONTROL</v>
      </c>
      <c r="C277" s="51" t="str">
        <v>Oppong David Kofi</v>
      </c>
      <c r="D277" s="48" t="s">
        <v>26</v>
      </c>
      <c r="E277" s="42">
        <v>76</v>
      </c>
      <c r="F277" s="48" t="s">
        <v>65</v>
      </c>
      <c r="G277" s="49">
        <f t="shared" si="71"/>
        <v>83.600000000000009</v>
      </c>
      <c r="H277" s="50">
        <v>76</v>
      </c>
      <c r="I277" s="66" t="str">
        <f t="shared" si="72"/>
        <v>AERO 362,ED3-AERO</v>
      </c>
      <c r="J277" s="52"/>
    </row>
    <row r="278" spans="1:10" s="53" customFormat="1" ht="14.5" x14ac:dyDescent="0.35">
      <c r="A278" s="48" t="s">
        <v>489</v>
      </c>
      <c r="B278" s="51" t="str">
        <v>MODERN AUTOMOBILE TECHNOLOGY</v>
      </c>
      <c r="C278" s="40" t="str">
        <v>Ayetor Godwin Kafui Kwesi</v>
      </c>
      <c r="D278" s="48" t="s">
        <v>292</v>
      </c>
      <c r="E278" s="42">
        <v>32</v>
      </c>
      <c r="F278" s="48" t="s">
        <v>65</v>
      </c>
      <c r="G278" s="49">
        <f>E278*1.1</f>
        <v>35.200000000000003</v>
      </c>
      <c r="H278" s="50">
        <v>32</v>
      </c>
      <c r="I278" s="66" t="str">
        <f>CONCATENATE(A278,",",D278)</f>
        <v>AME 476,ED4-AUTO</v>
      </c>
      <c r="J278" s="52"/>
    </row>
    <row r="279" spans="1:10" ht="14.5" x14ac:dyDescent="0.35">
      <c r="A279" s="38" t="s">
        <v>490</v>
      </c>
      <c r="B279" s="39" t="str">
        <v>PETROLEUM GEOLOGY</v>
      </c>
      <c r="C279" s="7" t="str">
        <v>Borkloe Julius Kwame</v>
      </c>
      <c r="D279" s="38" t="s">
        <v>101</v>
      </c>
      <c r="E279" s="41">
        <v>80</v>
      </c>
      <c r="F279" s="21" t="s">
        <v>491</v>
      </c>
      <c r="G279" s="43">
        <f>E279*1.1</f>
        <v>88</v>
      </c>
      <c r="H279" s="1" t="s">
        <v>492</v>
      </c>
      <c r="I279" s="5" t="str">
        <f t="shared" ref="I279:I282" si="73">CONCATENATE(A279,",",D279)</f>
        <v>PE 352,ED3-PE</v>
      </c>
      <c r="J279" s="6"/>
    </row>
    <row r="280" spans="1:10" ht="14.5" x14ac:dyDescent="0.35">
      <c r="A280" s="38" t="s">
        <v>493</v>
      </c>
      <c r="B280" s="39" t="str">
        <v>INTRO TO ENVIRONMENTAL ENG.</v>
      </c>
      <c r="C280" s="7" t="str">
        <v>Essandoh Helen Michelle Korkor</v>
      </c>
      <c r="D280" s="38" t="s">
        <v>73</v>
      </c>
      <c r="E280" s="41">
        <v>250</v>
      </c>
      <c r="F280" s="21" t="s">
        <v>19</v>
      </c>
      <c r="G280" s="43">
        <f>E280*1.1</f>
        <v>275</v>
      </c>
      <c r="H280" s="1" t="s">
        <v>494</v>
      </c>
      <c r="I280" s="5" t="str">
        <f t="shared" si="73"/>
        <v>CE 264,ED2-CE</v>
      </c>
      <c r="J280" s="6"/>
    </row>
    <row r="281" spans="1:10" s="15" customFormat="1" ht="14.5" x14ac:dyDescent="0.35">
      <c r="A281" s="38" t="s">
        <v>495</v>
      </c>
      <c r="B281" s="7" t="str">
        <v>CALCULUS WITH SEVERAL VARIABLES</v>
      </c>
      <c r="C281" s="39" t="str">
        <v>Boateng Maxwell Akwasi</v>
      </c>
      <c r="D281" s="38" t="s">
        <v>47</v>
      </c>
      <c r="E281" s="41">
        <v>37</v>
      </c>
      <c r="F281" s="47" t="s">
        <v>234</v>
      </c>
      <c r="G281" s="43">
        <f t="shared" ref="G281:G282" si="74">E281*1.1</f>
        <v>40.700000000000003</v>
      </c>
      <c r="H281" s="1">
        <v>37</v>
      </c>
      <c r="I281" s="13" t="str">
        <f t="shared" si="73"/>
        <v>MATH 252,ED2-MARI</v>
      </c>
      <c r="J281" s="14"/>
    </row>
    <row r="282" spans="1:10" s="15" customFormat="1" ht="14.5" x14ac:dyDescent="0.35">
      <c r="A282" s="38" t="s">
        <v>495</v>
      </c>
      <c r="B282" s="7" t="str">
        <v>CALCULUS WITH SEVERAL VARIABLES</v>
      </c>
      <c r="C282" s="39" t="str">
        <v>Boateng Maxwell Akwasi</v>
      </c>
      <c r="D282" s="38" t="s">
        <v>38</v>
      </c>
      <c r="E282" s="41">
        <v>240</v>
      </c>
      <c r="F282" s="47" t="s">
        <v>91</v>
      </c>
      <c r="G282" s="43">
        <f t="shared" si="74"/>
        <v>264</v>
      </c>
      <c r="H282" s="1" t="s">
        <v>496</v>
      </c>
      <c r="I282" s="13" t="str">
        <f t="shared" si="73"/>
        <v>MATH 252,ED2-ME</v>
      </c>
      <c r="J282" s="14"/>
    </row>
    <row r="283" spans="1:10" ht="14.5" x14ac:dyDescent="0.35">
      <c r="A283" s="54"/>
      <c r="B283" s="54"/>
      <c r="D283" s="39" t="s">
        <v>497</v>
      </c>
      <c r="E283" s="55">
        <f>SUM(E273:E282)</f>
        <v>1157</v>
      </c>
      <c r="F283" s="56"/>
      <c r="G283" s="57"/>
      <c r="I283" s="2" t="s">
        <v>498</v>
      </c>
      <c r="J283" s="6"/>
    </row>
    <row r="284" spans="1:10" ht="14.5" x14ac:dyDescent="0.35">
      <c r="A284" s="123" t="s">
        <v>482</v>
      </c>
      <c r="B284" s="123"/>
      <c r="C284" s="123"/>
      <c r="D284" s="123"/>
      <c r="E284" s="123"/>
      <c r="F284" s="123"/>
      <c r="G284" s="123"/>
      <c r="I284" s="2" t="str">
        <f>A284</f>
        <v>Tuesday, 25 August 2026</v>
      </c>
      <c r="J284" s="6"/>
    </row>
    <row r="285" spans="1:10" ht="14.5" x14ac:dyDescent="0.35">
      <c r="A285" s="123" t="s">
        <v>35</v>
      </c>
      <c r="B285" s="123"/>
      <c r="C285" s="123"/>
      <c r="D285" s="123"/>
      <c r="E285" s="123"/>
      <c r="F285" s="123"/>
      <c r="G285" s="123"/>
      <c r="I285" s="2" t="str">
        <f>A285</f>
        <v>Session, 2 (12:00 PM - 2:00 PM)</v>
      </c>
      <c r="J285" s="6"/>
    </row>
    <row r="286" spans="1:10" ht="14.5" x14ac:dyDescent="0.35">
      <c r="A286" s="35" t="s">
        <v>2</v>
      </c>
      <c r="B286" s="35" t="s">
        <v>3</v>
      </c>
      <c r="C286" s="32" t="s">
        <v>4</v>
      </c>
      <c r="D286" s="35" t="s">
        <v>5</v>
      </c>
      <c r="E286" s="36" t="s">
        <v>6</v>
      </c>
      <c r="F286" s="32" t="s">
        <v>7</v>
      </c>
      <c r="G286" s="37" t="s">
        <v>8</v>
      </c>
      <c r="I286" s="2" t="s">
        <v>36</v>
      </c>
      <c r="J286" s="6"/>
    </row>
    <row r="287" spans="1:10" ht="14.5" x14ac:dyDescent="0.35">
      <c r="A287" s="38" t="s">
        <v>61</v>
      </c>
      <c r="B287" s="39" t="str" cm="1">
        <f t="array" ref="B287:B298">IFERROR(VLOOKUP(I287:I298,[5]Lectures_1!A2:F534,2,FALSE),0)</f>
        <v>BASIC ELECTRONICS</v>
      </c>
      <c r="C287" s="39" t="str" cm="1">
        <f t="array" ref="C287:C298">IFERROR(VLOOKUP(I287:I298,[5]Lectures_1!A2:F5343,3,FALSE),0)</f>
        <v>Nicholas Kwesi Prah II</v>
      </c>
      <c r="D287" s="38" t="s">
        <v>305</v>
      </c>
      <c r="E287" s="41" cm="1">
        <f t="array" ref="E287:E298">IFERROR(VLOOKUP(I287:I298,[5]Lectures_1!A2:F5343,4,FALSE),0)</f>
        <v>70</v>
      </c>
      <c r="F287" s="47" t="s">
        <v>143</v>
      </c>
      <c r="G287" s="43">
        <f t="shared" ref="G287:G298" si="75">E287*1.1</f>
        <v>77</v>
      </c>
      <c r="H287" s="1" t="s">
        <v>352</v>
      </c>
      <c r="I287" s="5" t="str">
        <f t="shared" ref="I287" si="76">CONCATENATE(A287,",",D287)</f>
        <v>EE 152,ED1-AERO</v>
      </c>
      <c r="J287" s="6"/>
    </row>
    <row r="288" spans="1:10" ht="14.5" x14ac:dyDescent="0.35">
      <c r="A288" s="38" t="s">
        <v>61</v>
      </c>
      <c r="B288" s="39" t="str">
        <v>BASIC ELECTRONICS</v>
      </c>
      <c r="C288" s="39" t="str">
        <v>Nicholas Kwesi Prah II</v>
      </c>
      <c r="D288" s="38" t="s">
        <v>155</v>
      </c>
      <c r="E288" s="41">
        <v>46</v>
      </c>
      <c r="F288" s="21" t="s">
        <v>499</v>
      </c>
      <c r="G288" s="43">
        <f t="shared" si="75"/>
        <v>50.6</v>
      </c>
      <c r="H288" s="8" t="s">
        <v>500</v>
      </c>
      <c r="I288" s="5" t="str">
        <f>CONCATENATE(A288,",",D288)</f>
        <v>EE 152,ED1-MARI</v>
      </c>
      <c r="J288" s="6"/>
    </row>
    <row r="289" spans="1:10" ht="14.5" x14ac:dyDescent="0.35">
      <c r="A289" s="38" t="s">
        <v>61</v>
      </c>
      <c r="B289" s="39" t="str">
        <v>BASIC ELECTRONICS</v>
      </c>
      <c r="C289" s="39" t="str">
        <v>Nicholas Kwesi Prah II</v>
      </c>
      <c r="D289" s="38" t="s">
        <v>152</v>
      </c>
      <c r="E289" s="41">
        <v>83</v>
      </c>
      <c r="F289" s="21" t="s">
        <v>501</v>
      </c>
      <c r="G289" s="43">
        <f t="shared" si="75"/>
        <v>91.300000000000011</v>
      </c>
      <c r="H289" s="1" t="s">
        <v>502</v>
      </c>
      <c r="I289" s="5" t="str">
        <f>CONCATENATE(A289,",",D289)</f>
        <v>EE 152,ED1-IND</v>
      </c>
      <c r="J289" s="6"/>
    </row>
    <row r="290" spans="1:10" ht="14.5" x14ac:dyDescent="0.35">
      <c r="A290" s="38" t="s">
        <v>61</v>
      </c>
      <c r="B290" s="39" t="str">
        <v>BASIC ELECTRONICS</v>
      </c>
      <c r="C290" s="39" t="str">
        <v>Nicholas Kwesi Prah II</v>
      </c>
      <c r="D290" s="38" t="s">
        <v>253</v>
      </c>
      <c r="E290" s="41">
        <v>85</v>
      </c>
      <c r="F290" s="83" t="s">
        <v>137</v>
      </c>
      <c r="G290" s="43">
        <f>E290*1.1</f>
        <v>93.500000000000014</v>
      </c>
      <c r="H290" s="8" t="s">
        <v>503</v>
      </c>
      <c r="I290" s="5" t="str">
        <f>CONCATENATE(A290,",",D290)</f>
        <v>EE 152,ED1-AUTO</v>
      </c>
      <c r="J290" s="6"/>
    </row>
    <row r="291" spans="1:10" ht="14.5" x14ac:dyDescent="0.35">
      <c r="A291" s="38" t="s">
        <v>61</v>
      </c>
      <c r="B291" s="39" t="str">
        <v>BASIC ELECTRONICS</v>
      </c>
      <c r="C291" s="39" t="str">
        <v>Twumasi Elvis</v>
      </c>
      <c r="D291" s="38" t="s">
        <v>110</v>
      </c>
      <c r="E291" s="41">
        <v>56</v>
      </c>
      <c r="F291" s="47" t="s">
        <v>504</v>
      </c>
      <c r="G291" s="43">
        <f t="shared" si="75"/>
        <v>61.600000000000009</v>
      </c>
      <c r="H291" s="1" t="s">
        <v>505</v>
      </c>
      <c r="I291" s="5" t="str">
        <f t="shared" ref="I291:I292" si="77">CONCATENATE(A291,",",D291)</f>
        <v>EE 152,ED1-PCE</v>
      </c>
      <c r="J291" s="6"/>
    </row>
    <row r="292" spans="1:10" ht="14.5" x14ac:dyDescent="0.35">
      <c r="A292" s="38" t="s">
        <v>61</v>
      </c>
      <c r="B292" s="39" t="str">
        <v>BASIC ELECTRONICS</v>
      </c>
      <c r="C292" s="39" t="str">
        <v>Twumasi Elvis</v>
      </c>
      <c r="D292" s="38" t="s">
        <v>111</v>
      </c>
      <c r="E292" s="41">
        <v>130</v>
      </c>
      <c r="F292" s="47" t="s">
        <v>506</v>
      </c>
      <c r="G292" s="43">
        <f t="shared" si="75"/>
        <v>143</v>
      </c>
      <c r="H292" s="1" t="s">
        <v>507</v>
      </c>
      <c r="I292" s="5" t="str">
        <f t="shared" si="77"/>
        <v>EE 152,ED1-PE</v>
      </c>
      <c r="J292" s="6"/>
    </row>
    <row r="293" spans="1:10" ht="14.5" x14ac:dyDescent="0.35">
      <c r="A293" s="38" t="s">
        <v>61</v>
      </c>
      <c r="B293" s="7" t="str">
        <v>BASIC ELECTRONICS</v>
      </c>
      <c r="C293" s="39" t="str">
        <v>Nicholas Kwesi Prah II</v>
      </c>
      <c r="D293" s="38" t="s">
        <v>246</v>
      </c>
      <c r="E293" s="41">
        <v>128</v>
      </c>
      <c r="F293" s="38" t="s">
        <v>455</v>
      </c>
      <c r="G293" s="43">
        <f>E293*1.1</f>
        <v>140.80000000000001</v>
      </c>
      <c r="H293" s="1" t="s">
        <v>508</v>
      </c>
      <c r="I293" s="5" t="str">
        <f>CONCATENATE(A293,",",D293)</f>
        <v>EE 152,ED1-AE</v>
      </c>
      <c r="J293" s="6"/>
    </row>
    <row r="294" spans="1:10" ht="14.5" x14ac:dyDescent="0.35">
      <c r="A294" s="38" t="s">
        <v>61</v>
      </c>
      <c r="B294" s="7" t="str">
        <v>BASIC ELECTRONICS</v>
      </c>
      <c r="C294" s="7" t="str">
        <v>Affum Emmanuel Ampoma</v>
      </c>
      <c r="D294" s="38" t="s">
        <v>122</v>
      </c>
      <c r="E294" s="41">
        <v>130</v>
      </c>
      <c r="F294" s="47" t="s">
        <v>509</v>
      </c>
      <c r="G294" s="43">
        <f>E294*1.1</f>
        <v>143</v>
      </c>
      <c r="H294" s="1" t="s">
        <v>510</v>
      </c>
      <c r="I294" s="5" t="str">
        <f>CONCATENATE(A294,",",D294)</f>
        <v>EE 152,ED1-TEL</v>
      </c>
      <c r="J294" s="6"/>
    </row>
    <row r="295" spans="1:10" s="53" customFormat="1" ht="14.5" x14ac:dyDescent="0.35">
      <c r="A295" s="48" t="s">
        <v>454</v>
      </c>
      <c r="B295" s="40" t="str">
        <v>BASIC ELECTRONICS</v>
      </c>
      <c r="C295" s="51" t="str">
        <v>Klogo Griffith Selorm</v>
      </c>
      <c r="D295" s="48" t="s">
        <v>22</v>
      </c>
      <c r="E295" s="42">
        <v>262</v>
      </c>
      <c r="F295" s="94" t="s">
        <v>23</v>
      </c>
      <c r="G295" s="49">
        <f t="shared" ref="G295" si="78">E295*1.1</f>
        <v>288.20000000000005</v>
      </c>
      <c r="H295" s="50" t="s">
        <v>24</v>
      </c>
      <c r="I295" s="66" t="str">
        <f t="shared" ref="I295" si="79">CONCATENATE(A295,",",D295)</f>
        <v>COE 152,ED1-COE</v>
      </c>
      <c r="J295" s="52"/>
    </row>
    <row r="296" spans="1:10" ht="14.5" x14ac:dyDescent="0.35">
      <c r="A296" s="38" t="s">
        <v>511</v>
      </c>
      <c r="B296" s="7" t="str">
        <v>WASTE MANAGEMENT</v>
      </c>
      <c r="C296" s="7" t="str">
        <v>Koomson Bennetta</v>
      </c>
      <c r="D296" s="38" t="s">
        <v>194</v>
      </c>
      <c r="E296" s="41">
        <v>60</v>
      </c>
      <c r="F296" s="47" t="s">
        <v>15</v>
      </c>
      <c r="G296" s="43">
        <f>E296*1.1</f>
        <v>66</v>
      </c>
      <c r="H296" s="1" t="s">
        <v>512</v>
      </c>
      <c r="I296" s="5" t="str">
        <f>CONCATENATE(A296,",",D296)</f>
        <v>MSE 452,ED4-MSE</v>
      </c>
      <c r="J296" s="6"/>
    </row>
    <row r="297" spans="1:10" ht="14.5" x14ac:dyDescent="0.35">
      <c r="A297" s="38" t="s">
        <v>513</v>
      </c>
      <c r="B297" s="39" t="str">
        <v>METALLURGICAL WASTE MANAGEMENT</v>
      </c>
      <c r="C297" s="7" t="str">
        <v>Koomson Bennetta</v>
      </c>
      <c r="D297" s="47" t="s">
        <v>195</v>
      </c>
      <c r="E297" s="41">
        <v>55</v>
      </c>
      <c r="F297" s="47" t="s">
        <v>514</v>
      </c>
      <c r="G297" s="43">
        <f>E297*1.1</f>
        <v>60.500000000000007</v>
      </c>
      <c r="H297" s="10" t="s">
        <v>515</v>
      </c>
      <c r="I297" s="5" t="str">
        <f>CONCATENATE(A297,",",D297)</f>
        <v>METE 454,ED4-METE</v>
      </c>
      <c r="J297" s="6"/>
    </row>
    <row r="298" spans="1:10" ht="14.5" x14ac:dyDescent="0.35">
      <c r="A298" s="38" t="s">
        <v>516</v>
      </c>
      <c r="B298" s="39" t="str">
        <v>MICROPROCESSORS AND MECHATRONICS APPLICATIONS</v>
      </c>
      <c r="C298" s="39" t="str">
        <v>Sackey Michael Nii</v>
      </c>
      <c r="D298" s="38" t="s">
        <v>94</v>
      </c>
      <c r="E298" s="41">
        <v>40</v>
      </c>
      <c r="F298" s="21" t="s">
        <v>234</v>
      </c>
      <c r="G298" s="43">
        <f t="shared" si="75"/>
        <v>44</v>
      </c>
      <c r="H298" s="1">
        <v>40</v>
      </c>
      <c r="I298" s="5" t="str">
        <f t="shared" ref="I298" si="80">CONCATENATE(A298,",",D298)</f>
        <v>AME 384,ED3-AUTO</v>
      </c>
      <c r="J298" s="6"/>
    </row>
    <row r="299" spans="1:10" ht="14.5" x14ac:dyDescent="0.35">
      <c r="A299" s="54"/>
      <c r="B299" s="54"/>
      <c r="D299" s="39" t="s">
        <v>517</v>
      </c>
      <c r="E299" s="55">
        <f>SUM(E287:E298)</f>
        <v>1145</v>
      </c>
      <c r="F299" s="56"/>
      <c r="G299" s="57"/>
      <c r="I299" s="2" t="s">
        <v>518</v>
      </c>
      <c r="J299" s="6"/>
    </row>
    <row r="300" spans="1:10" ht="14.5" x14ac:dyDescent="0.35">
      <c r="A300" s="123" t="s">
        <v>482</v>
      </c>
      <c r="B300" s="123"/>
      <c r="C300" s="123"/>
      <c r="D300" s="123"/>
      <c r="E300" s="123"/>
      <c r="F300" s="123"/>
      <c r="G300" s="123"/>
      <c r="I300" s="2" t="str">
        <f>A300</f>
        <v>Tuesday, 25 August 2026</v>
      </c>
      <c r="J300" s="6"/>
    </row>
    <row r="301" spans="1:10" ht="14.5" x14ac:dyDescent="0.35">
      <c r="A301" s="123" t="s">
        <v>77</v>
      </c>
      <c r="B301" s="123"/>
      <c r="C301" s="123"/>
      <c r="D301" s="123"/>
      <c r="E301" s="123"/>
      <c r="F301" s="123"/>
      <c r="G301" s="123"/>
      <c r="I301" s="2" t="str">
        <f>A301</f>
        <v>Session, 3 (3:00 PM - 5:00 PM)</v>
      </c>
      <c r="J301" s="6"/>
    </row>
    <row r="302" spans="1:10" ht="14.5" x14ac:dyDescent="0.35">
      <c r="A302" s="35" t="s">
        <v>2</v>
      </c>
      <c r="B302" s="35" t="s">
        <v>3</v>
      </c>
      <c r="C302" s="32" t="s">
        <v>4</v>
      </c>
      <c r="D302" s="35" t="s">
        <v>5</v>
      </c>
      <c r="E302" s="36" t="s">
        <v>6</v>
      </c>
      <c r="F302" s="7" t="s">
        <v>7</v>
      </c>
      <c r="G302" s="37" t="s">
        <v>8</v>
      </c>
      <c r="I302" s="2" t="s">
        <v>36</v>
      </c>
      <c r="J302" s="6"/>
    </row>
    <row r="303" spans="1:10" ht="14.5" x14ac:dyDescent="0.35">
      <c r="A303" s="38" t="s">
        <v>519</v>
      </c>
      <c r="B303" s="39" t="str" cm="1">
        <f t="array" ref="B303:B311">IFERROR(VLOOKUP(I303:I311,[5]Lectures_1!A2:F534,2,FALSE),0)</f>
        <v>ENVIRONMENTAL IMPACT ASSESSMENT</v>
      </c>
      <c r="C303" s="39" t="str" cm="1">
        <f t="array" ref="C303:C311">IFERROR(VLOOKUP(I303:I311,[5]Lectures_1!A2:F534,3,FALSE),0)</f>
        <v>Afotey Benjamin</v>
      </c>
      <c r="D303" s="38" t="s">
        <v>124</v>
      </c>
      <c r="E303" s="41" cm="1">
        <f t="array" ref="E303:E311">IFERROR(VLOOKUP(I303:I311,[5]Lectures_1!A2:F534,4,FALSE),0)</f>
        <v>30</v>
      </c>
      <c r="F303" s="47" t="s">
        <v>54</v>
      </c>
      <c r="G303" s="43">
        <f>E303*1.1</f>
        <v>33</v>
      </c>
      <c r="H303" s="1">
        <v>30</v>
      </c>
      <c r="I303" s="5" t="str">
        <f>CONCATENATE(A303,",",D303)</f>
        <v>CHE 370,ED3-PCE</v>
      </c>
      <c r="J303" s="6"/>
    </row>
    <row r="304" spans="1:10" s="15" customFormat="1" ht="14.5" x14ac:dyDescent="0.35">
      <c r="A304" s="38" t="s">
        <v>520</v>
      </c>
      <c r="B304" s="7" t="str">
        <v>HYDRAULIC ENGINEERING</v>
      </c>
      <c r="C304" s="7" t="str">
        <v>Adjei Kwaku Amaning</v>
      </c>
      <c r="D304" s="38" t="s">
        <v>86</v>
      </c>
      <c r="E304" s="41">
        <v>230</v>
      </c>
      <c r="F304" s="47" t="s">
        <v>521</v>
      </c>
      <c r="G304" s="43">
        <f t="shared" ref="G304:G311" si="81">E304*1.1</f>
        <v>253.00000000000003</v>
      </c>
      <c r="H304" s="1" t="s">
        <v>522</v>
      </c>
      <c r="I304" s="13" t="str">
        <f t="shared" ref="I304" si="82">CONCATENATE(A304,",",D304)</f>
        <v>CE 356,ED3-CE</v>
      </c>
      <c r="J304" s="14"/>
    </row>
    <row r="305" spans="1:10" s="46" customFormat="1" ht="14.5" x14ac:dyDescent="0.35">
      <c r="A305" s="38" t="s">
        <v>523</v>
      </c>
      <c r="B305" s="39" t="str">
        <v>MARINE MAINTENANCE ENGINEERING</v>
      </c>
      <c r="C305" s="39" t="str">
        <v xml:space="preserve">Peter Oppong Tawiah </v>
      </c>
      <c r="D305" s="38" t="s">
        <v>98</v>
      </c>
      <c r="E305" s="41">
        <v>23</v>
      </c>
      <c r="F305" s="47" t="s">
        <v>524</v>
      </c>
      <c r="G305" s="43">
        <f t="shared" si="81"/>
        <v>25.3</v>
      </c>
      <c r="H305" s="1">
        <v>23</v>
      </c>
      <c r="I305" s="44" t="str">
        <f>CONCATENATE(A305,",",D305)</f>
        <v>MME 494,ED4-MARI</v>
      </c>
      <c r="J305" s="45"/>
    </row>
    <row r="306" spans="1:10" s="46" customFormat="1" ht="14.5" x14ac:dyDescent="0.35">
      <c r="A306" s="38" t="s">
        <v>525</v>
      </c>
      <c r="B306" s="7" t="str">
        <v>MAINTENANCE ENGINEERING</v>
      </c>
      <c r="C306" s="7" t="str">
        <v xml:space="preserve">Peter Oppong Tawiah </v>
      </c>
      <c r="D306" s="38" t="s">
        <v>82</v>
      </c>
      <c r="E306" s="41">
        <v>135</v>
      </c>
      <c r="F306" s="47" t="s">
        <v>455</v>
      </c>
      <c r="G306" s="43">
        <f t="shared" si="81"/>
        <v>148.5</v>
      </c>
      <c r="H306" s="1" t="s">
        <v>526</v>
      </c>
      <c r="I306" s="44" t="str">
        <f>CONCATENATE(A306,",",D306)</f>
        <v>ME 494,ED4-ME</v>
      </c>
      <c r="J306" s="45"/>
    </row>
    <row r="307" spans="1:10" s="46" customFormat="1" ht="14.5" x14ac:dyDescent="0.35">
      <c r="A307" s="38" t="s">
        <v>525</v>
      </c>
      <c r="B307" s="7" t="str">
        <v>MAINTENANCE ENGINEERING</v>
      </c>
      <c r="C307" s="7" t="str">
        <v xml:space="preserve">Peter Oppong Tawiah </v>
      </c>
      <c r="D307" s="38" t="s">
        <v>185</v>
      </c>
      <c r="E307" s="41">
        <v>69</v>
      </c>
      <c r="F307" s="47" t="s">
        <v>283</v>
      </c>
      <c r="G307" s="43">
        <f t="shared" si="81"/>
        <v>75.900000000000006</v>
      </c>
      <c r="H307" s="1" t="s">
        <v>527</v>
      </c>
      <c r="I307" s="44" t="str">
        <f>CONCATENATE(A307,",",D307)</f>
        <v>ME 494,ED4-IND</v>
      </c>
      <c r="J307" s="45"/>
    </row>
    <row r="308" spans="1:10" ht="14.5" x14ac:dyDescent="0.35">
      <c r="A308" s="38" t="s">
        <v>528</v>
      </c>
      <c r="B308" s="7" t="str">
        <v>KINETICS OF CHEMICAL REACTIONS</v>
      </c>
      <c r="C308" s="39" t="str">
        <v>Patrick Aggrey</v>
      </c>
      <c r="D308" s="38" t="s">
        <v>161</v>
      </c>
      <c r="E308" s="41">
        <v>100</v>
      </c>
      <c r="F308" s="38" t="s">
        <v>137</v>
      </c>
      <c r="G308" s="43">
        <f t="shared" si="81"/>
        <v>110.00000000000001</v>
      </c>
      <c r="H308" s="1" t="s">
        <v>206</v>
      </c>
      <c r="I308" s="5" t="str">
        <f>CONCATENATE(A308,",",D308)</f>
        <v>MSE 152,ED1-MSE</v>
      </c>
      <c r="J308" s="6"/>
    </row>
    <row r="309" spans="1:10" ht="14.5" x14ac:dyDescent="0.35">
      <c r="A309" s="38" t="s">
        <v>529</v>
      </c>
      <c r="B309" s="7" t="str">
        <v>CHEMISTRY FOR METALLURGICAL ENGINEERS</v>
      </c>
      <c r="C309" s="39" t="str">
        <v>Patrick Aggrey</v>
      </c>
      <c r="D309" s="38" t="s">
        <v>159</v>
      </c>
      <c r="E309" s="41">
        <v>75</v>
      </c>
      <c r="F309" s="47" t="s">
        <v>143</v>
      </c>
      <c r="G309" s="43">
        <f t="shared" si="81"/>
        <v>82.5</v>
      </c>
      <c r="H309" s="1" t="s">
        <v>530</v>
      </c>
      <c r="I309" s="5" t="str">
        <f t="shared" ref="I309" si="83">CONCATENATE(A309,",",D309)</f>
        <v>METE 152,ED1-METE</v>
      </c>
      <c r="J309" s="6"/>
    </row>
    <row r="310" spans="1:10" ht="14.5" x14ac:dyDescent="0.35">
      <c r="A310" s="38" t="s">
        <v>531</v>
      </c>
      <c r="B310" s="7" t="str">
        <v>CHEMICAL ENGINEERING THERMODYNAMICS II</v>
      </c>
      <c r="C310" s="7" t="str">
        <v>Bonsu Jude Kwaku</v>
      </c>
      <c r="D310" s="38" t="s">
        <v>11</v>
      </c>
      <c r="E310" s="41">
        <v>160</v>
      </c>
      <c r="F310" s="47" t="s">
        <v>238</v>
      </c>
      <c r="G310" s="43">
        <f t="shared" si="81"/>
        <v>176</v>
      </c>
      <c r="H310" s="1" t="s">
        <v>532</v>
      </c>
      <c r="I310" s="5" t="str">
        <f>CONCATENATE(A310,",",D310)</f>
        <v>CHE 254,ED2-CHE</v>
      </c>
      <c r="J310" s="6"/>
    </row>
    <row r="311" spans="1:10" s="53" customFormat="1" ht="14.5" x14ac:dyDescent="0.35">
      <c r="A311" s="48" t="s">
        <v>533</v>
      </c>
      <c r="B311" s="51" t="str">
        <v>POWER ELECTRONICS</v>
      </c>
      <c r="C311" s="51" t="str">
        <v>Effah Francis Boafo</v>
      </c>
      <c r="D311" s="48" t="s">
        <v>90</v>
      </c>
      <c r="E311" s="42">
        <v>240</v>
      </c>
      <c r="F311" s="94" t="s">
        <v>23</v>
      </c>
      <c r="G311" s="49">
        <f t="shared" si="81"/>
        <v>264</v>
      </c>
      <c r="H311" s="50" t="s">
        <v>534</v>
      </c>
      <c r="I311" s="66" t="str">
        <f>CONCATENATE(A311,",",D311)</f>
        <v>EE 366,ED3-EE</v>
      </c>
      <c r="J311" s="52"/>
    </row>
    <row r="312" spans="1:10" ht="14.5" x14ac:dyDescent="0.35">
      <c r="A312" s="54"/>
      <c r="B312" s="54"/>
      <c r="D312" s="39" t="s">
        <v>535</v>
      </c>
      <c r="E312" s="55">
        <f>SUM(E303:E311)</f>
        <v>1062</v>
      </c>
      <c r="F312" s="56"/>
      <c r="G312" s="57"/>
      <c r="I312" s="2" t="s">
        <v>536</v>
      </c>
      <c r="J312" s="6"/>
    </row>
    <row r="313" spans="1:10" ht="14.5" x14ac:dyDescent="0.35">
      <c r="A313" s="123" t="s">
        <v>537</v>
      </c>
      <c r="B313" s="123"/>
      <c r="C313" s="123"/>
      <c r="D313" s="123"/>
      <c r="E313" s="123"/>
      <c r="F313" s="123"/>
      <c r="G313" s="123"/>
      <c r="I313" s="2" t="str">
        <f>A313</f>
        <v>Wednesday, 26 August 2026</v>
      </c>
      <c r="J313" s="6"/>
    </row>
    <row r="314" spans="1:10" ht="14.5" x14ac:dyDescent="0.35">
      <c r="A314" s="123" t="s">
        <v>1</v>
      </c>
      <c r="B314" s="123"/>
      <c r="C314" s="123"/>
      <c r="D314" s="123"/>
      <c r="E314" s="123"/>
      <c r="F314" s="123"/>
      <c r="G314" s="123"/>
      <c r="I314" s="2" t="str">
        <f>A314</f>
        <v>Session, 1 (8:30 AM - 10:30 AM)</v>
      </c>
      <c r="J314" s="6"/>
    </row>
    <row r="315" spans="1:10" ht="14.5" x14ac:dyDescent="0.35">
      <c r="A315" s="35" t="s">
        <v>2</v>
      </c>
      <c r="B315" s="35" t="s">
        <v>3</v>
      </c>
      <c r="C315" s="32" t="s">
        <v>4</v>
      </c>
      <c r="D315" s="35" t="s">
        <v>5</v>
      </c>
      <c r="E315" s="36" t="s">
        <v>6</v>
      </c>
      <c r="F315" s="7" t="s">
        <v>7</v>
      </c>
      <c r="G315" s="37" t="s">
        <v>8</v>
      </c>
      <c r="I315" s="2" t="s">
        <v>36</v>
      </c>
      <c r="J315" s="6"/>
    </row>
    <row r="316" spans="1:10" s="46" customFormat="1" ht="14.5" x14ac:dyDescent="0.35">
      <c r="A316" s="58" t="s">
        <v>495</v>
      </c>
      <c r="B316" s="59" t="str" cm="1">
        <f t="array" ref="B316:B337">IFERROR(VLOOKUP(I316:I337,[5]Lectures_1!A2:F534,2,FALSE),0)</f>
        <v>CALCULUS WITH SEVERAL VARIABLES</v>
      </c>
      <c r="C316" s="60" t="str" cm="1">
        <f t="array" ref="C316:C337">IFERROR(VLOOKUP(I316:I337,[5]Lectures_1!A2:F534,3,FALSE),0)</f>
        <v>Eghan Rhydal Esi</v>
      </c>
      <c r="D316" s="58" t="s">
        <v>150</v>
      </c>
      <c r="E316" s="62" cm="1">
        <f t="array" ref="E316:E337">IFERROR(VLOOKUP(I316:I337,[5]Lectures_1!A2:F534,4,FALSE),0)</f>
        <v>80</v>
      </c>
      <c r="F316" s="127" t="s">
        <v>39</v>
      </c>
      <c r="G316" s="63">
        <f t="shared" ref="G316:G337" si="84">E316*1.1</f>
        <v>88</v>
      </c>
      <c r="H316" s="64"/>
      <c r="I316" s="44" t="str">
        <f t="shared" ref="I316:I329" si="85">CONCATENATE(A316,",",D316)</f>
        <v>MATH 252,ED2-BME</v>
      </c>
      <c r="J316" s="45"/>
    </row>
    <row r="317" spans="1:10" s="46" customFormat="1" ht="14.5" x14ac:dyDescent="0.35">
      <c r="A317" s="58" t="s">
        <v>495</v>
      </c>
      <c r="B317" s="59" t="str">
        <v>CALCULUS WITH SEVERAL VARIABLES</v>
      </c>
      <c r="C317" s="60" t="str">
        <v>Eghan Rhydal Esi</v>
      </c>
      <c r="D317" s="58" t="s">
        <v>45</v>
      </c>
      <c r="E317" s="62">
        <v>82</v>
      </c>
      <c r="F317" s="127"/>
      <c r="G317" s="63">
        <f t="shared" si="84"/>
        <v>90.2</v>
      </c>
      <c r="H317" s="64"/>
      <c r="I317" s="44" t="str">
        <f t="shared" si="85"/>
        <v>MATH 252,ED2-AUTO</v>
      </c>
      <c r="J317" s="45"/>
    </row>
    <row r="318" spans="1:10" s="102" customFormat="1" ht="14.5" x14ac:dyDescent="0.35">
      <c r="A318" s="58" t="s">
        <v>495</v>
      </c>
      <c r="B318" s="60" t="str">
        <v>CALCULUS WITH SEVERAL VARIABLES</v>
      </c>
      <c r="C318" s="59" t="str">
        <v>Reindorf Nartey Borkor</v>
      </c>
      <c r="D318" s="58" t="s">
        <v>73</v>
      </c>
      <c r="E318" s="62">
        <v>250</v>
      </c>
      <c r="F318" s="127"/>
      <c r="G318" s="63">
        <f t="shared" si="84"/>
        <v>275</v>
      </c>
      <c r="H318" s="64"/>
      <c r="I318" s="100" t="str">
        <f t="shared" si="85"/>
        <v>MATH 252,ED2-CE</v>
      </c>
      <c r="J318" s="101"/>
    </row>
    <row r="319" spans="1:10" s="46" customFormat="1" ht="14.5" x14ac:dyDescent="0.35">
      <c r="A319" s="58" t="s">
        <v>495</v>
      </c>
      <c r="B319" s="59" t="str">
        <v>CALCULUS OF SEVERAL VARIABLES</v>
      </c>
      <c r="C319" s="60" t="str">
        <v>Eghan Rhydal Esi</v>
      </c>
      <c r="D319" s="58" t="s">
        <v>14</v>
      </c>
      <c r="E319" s="62">
        <v>65</v>
      </c>
      <c r="F319" s="127"/>
      <c r="G319" s="63">
        <f t="shared" si="84"/>
        <v>71.5</v>
      </c>
      <c r="H319" s="64"/>
      <c r="I319" s="44" t="str">
        <f t="shared" si="85"/>
        <v>MATH 252,ED2-PCE</v>
      </c>
      <c r="J319" s="45"/>
    </row>
    <row r="320" spans="1:10" s="46" customFormat="1" ht="14.5" x14ac:dyDescent="0.35">
      <c r="A320" s="58" t="s">
        <v>495</v>
      </c>
      <c r="B320" s="59" t="str">
        <v>CALCULUS OF SEVERAL VARIABLES</v>
      </c>
      <c r="C320" s="60" t="str">
        <v>Eghan Rhydal Esi</v>
      </c>
      <c r="D320" s="58" t="s">
        <v>126</v>
      </c>
      <c r="E320" s="62">
        <v>95</v>
      </c>
      <c r="F320" s="127"/>
      <c r="G320" s="63">
        <f t="shared" si="84"/>
        <v>104.50000000000001</v>
      </c>
      <c r="H320" s="103"/>
      <c r="I320" s="44" t="str">
        <f t="shared" si="85"/>
        <v>MATH 252,ED2-PE</v>
      </c>
      <c r="J320" s="45"/>
    </row>
    <row r="321" spans="1:10" s="46" customFormat="1" ht="14.5" x14ac:dyDescent="0.35">
      <c r="A321" s="58" t="s">
        <v>495</v>
      </c>
      <c r="B321" s="59" t="str">
        <v>CALCULUS WITH SEVERAL VARIABLES</v>
      </c>
      <c r="C321" s="59" t="str">
        <v>Asamoah Joshua Kiddy Kwasi</v>
      </c>
      <c r="D321" s="58" t="s">
        <v>270</v>
      </c>
      <c r="E321" s="62">
        <v>132</v>
      </c>
      <c r="F321" s="127"/>
      <c r="G321" s="63">
        <f t="shared" si="84"/>
        <v>145.20000000000002</v>
      </c>
      <c r="H321" s="64"/>
      <c r="I321" s="44" t="str">
        <f t="shared" si="85"/>
        <v>MATH 252,ED2-GEOM</v>
      </c>
      <c r="J321" s="45"/>
    </row>
    <row r="322" spans="1:10" s="46" customFormat="1" ht="14.5" x14ac:dyDescent="0.35">
      <c r="A322" s="58" t="s">
        <v>495</v>
      </c>
      <c r="B322" s="59" t="str">
        <v>CALCULUS WITH SEVERAL VARIABLES</v>
      </c>
      <c r="C322" s="60" t="str">
        <v>Asamoah Joshua Kiddy Kwasi</v>
      </c>
      <c r="D322" s="58" t="s">
        <v>208</v>
      </c>
      <c r="E322" s="62">
        <v>83</v>
      </c>
      <c r="F322" s="127"/>
      <c r="G322" s="63">
        <f t="shared" si="84"/>
        <v>91.300000000000011</v>
      </c>
      <c r="H322" s="64"/>
      <c r="I322" s="44" t="str">
        <f t="shared" si="85"/>
        <v>MATH 252,ED2-MSE</v>
      </c>
      <c r="J322" s="45"/>
    </row>
    <row r="323" spans="1:10" s="46" customFormat="1" ht="14.5" x14ac:dyDescent="0.35">
      <c r="A323" s="58" t="s">
        <v>495</v>
      </c>
      <c r="B323" s="59" t="str">
        <v>CALCULUS WITH SEVERAL VARIABLES</v>
      </c>
      <c r="C323" s="60" t="str">
        <v>Asamoah Joshua Kiddy Kwasi</v>
      </c>
      <c r="D323" s="58" t="s">
        <v>176</v>
      </c>
      <c r="E323" s="62">
        <v>57</v>
      </c>
      <c r="F323" s="127"/>
      <c r="G323" s="63">
        <f t="shared" si="84"/>
        <v>62.7</v>
      </c>
      <c r="H323" s="64"/>
      <c r="I323" s="44" t="str">
        <f t="shared" si="85"/>
        <v>MATH 252,ED2-METE</v>
      </c>
      <c r="J323" s="45"/>
    </row>
    <row r="324" spans="1:10" s="46" customFormat="1" ht="14.5" x14ac:dyDescent="0.35">
      <c r="A324" s="58" t="s">
        <v>495</v>
      </c>
      <c r="B324" s="59" t="str">
        <v>CALCULUS WITH SEVERAL VARIABLES</v>
      </c>
      <c r="C324" s="59" t="str">
        <v>Wireko Fredrick Asenso</v>
      </c>
      <c r="D324" s="58" t="s">
        <v>148</v>
      </c>
      <c r="E324" s="62">
        <v>255</v>
      </c>
      <c r="F324" s="127"/>
      <c r="G324" s="63">
        <f t="shared" si="84"/>
        <v>280.5</v>
      </c>
      <c r="H324" s="64"/>
      <c r="I324" s="44" t="str">
        <f t="shared" si="85"/>
        <v>MATH 252,ED2-COE</v>
      </c>
      <c r="J324" s="45"/>
    </row>
    <row r="325" spans="1:10" s="46" customFormat="1" ht="14.5" x14ac:dyDescent="0.35">
      <c r="A325" s="58" t="s">
        <v>495</v>
      </c>
      <c r="B325" s="59" t="str">
        <v>CALCULUS WITH SEVERAL VARIABLES</v>
      </c>
      <c r="C325" s="59" t="str">
        <v>Wireko Fredrick Asenso</v>
      </c>
      <c r="D325" s="58" t="s">
        <v>70</v>
      </c>
      <c r="E325" s="62">
        <v>150</v>
      </c>
      <c r="F325" s="127"/>
      <c r="G325" s="63">
        <f t="shared" si="84"/>
        <v>165</v>
      </c>
      <c r="H325" s="64"/>
      <c r="I325" s="44" t="str">
        <f t="shared" si="85"/>
        <v>MATH 252,ED2-GEOL</v>
      </c>
      <c r="J325" s="45"/>
    </row>
    <row r="326" spans="1:10" s="46" customFormat="1" ht="14.5" x14ac:dyDescent="0.35">
      <c r="A326" s="58" t="s">
        <v>495</v>
      </c>
      <c r="B326" s="60" t="str">
        <v>CALCULUS WITH SEVERAL VARIABLES</v>
      </c>
      <c r="C326" s="59" t="str">
        <v>Wireko Fredrick Asenso</v>
      </c>
      <c r="D326" s="58" t="s">
        <v>273</v>
      </c>
      <c r="E326" s="62">
        <v>175</v>
      </c>
      <c r="F326" s="127"/>
      <c r="G326" s="63">
        <f t="shared" si="84"/>
        <v>192.50000000000003</v>
      </c>
      <c r="H326" s="64"/>
      <c r="I326" s="44" t="str">
        <f t="shared" si="85"/>
        <v>MATH 252,ED2-TEL</v>
      </c>
      <c r="J326" s="45"/>
    </row>
    <row r="327" spans="1:10" s="102" customFormat="1" ht="14.5" x14ac:dyDescent="0.35">
      <c r="A327" s="58" t="s">
        <v>495</v>
      </c>
      <c r="B327" s="60" t="str">
        <v>CALCULUS WITH SEVERAL VARIABLES</v>
      </c>
      <c r="C327" s="59" t="str">
        <v>Wireko Fredrick Asenso</v>
      </c>
      <c r="D327" s="58" t="s">
        <v>56</v>
      </c>
      <c r="E327" s="62">
        <v>155</v>
      </c>
      <c r="F327" s="127"/>
      <c r="G327" s="63">
        <f t="shared" si="84"/>
        <v>170.5</v>
      </c>
      <c r="H327" s="64"/>
      <c r="I327" s="100" t="str">
        <f t="shared" si="85"/>
        <v>MATH 252,ED2-AE</v>
      </c>
      <c r="J327" s="101"/>
    </row>
    <row r="328" spans="1:10" s="102" customFormat="1" ht="14.5" x14ac:dyDescent="0.35">
      <c r="A328" s="58" t="s">
        <v>495</v>
      </c>
      <c r="B328" s="60" t="str">
        <v>CALCULUS WITH SEVERAL VARIABLES</v>
      </c>
      <c r="C328" s="59" t="str">
        <v>Wireko Fredrick Asenso</v>
      </c>
      <c r="D328" s="58" t="s">
        <v>41</v>
      </c>
      <c r="E328" s="62">
        <v>75</v>
      </c>
      <c r="F328" s="127"/>
      <c r="G328" s="63">
        <f t="shared" si="84"/>
        <v>82.5</v>
      </c>
      <c r="H328" s="64"/>
      <c r="I328" s="100" t="str">
        <f t="shared" si="85"/>
        <v>MATH 252,ED2-AERO</v>
      </c>
      <c r="J328" s="101"/>
    </row>
    <row r="329" spans="1:10" s="46" customFormat="1" ht="14.5" x14ac:dyDescent="0.35">
      <c r="A329" s="58" t="s">
        <v>495</v>
      </c>
      <c r="B329" s="59" t="str">
        <v>CALCULUS WITH SEVERAL VARIABLES</v>
      </c>
      <c r="C329" s="59" t="str">
        <v>Wireko Fredrick Asenso</v>
      </c>
      <c r="D329" s="58" t="s">
        <v>43</v>
      </c>
      <c r="E329" s="62">
        <v>80</v>
      </c>
      <c r="F329" s="127"/>
      <c r="G329" s="63">
        <f t="shared" si="84"/>
        <v>88</v>
      </c>
      <c r="H329" s="64"/>
      <c r="I329" s="44" t="str">
        <f t="shared" si="85"/>
        <v>MATH 252,ED2-IND</v>
      </c>
      <c r="J329" s="45"/>
    </row>
    <row r="330" spans="1:10" ht="14.5" x14ac:dyDescent="0.35">
      <c r="A330" s="38" t="s">
        <v>538</v>
      </c>
      <c r="B330" s="35" t="str">
        <v>PHYSICAL CHEMISTRY FOR ENGINEERS</v>
      </c>
      <c r="C330" s="7" t="str">
        <v>Anang Daniel Adjah</v>
      </c>
      <c r="D330" s="38" t="s">
        <v>109</v>
      </c>
      <c r="E330" s="96">
        <v>120</v>
      </c>
      <c r="F330" s="47" t="s">
        <v>539</v>
      </c>
      <c r="G330" s="43">
        <f>E330*1.1</f>
        <v>132</v>
      </c>
      <c r="H330" s="1" t="s">
        <v>540</v>
      </c>
      <c r="I330" s="5" t="str">
        <f>CONCATENATE(A330,",",D330)</f>
        <v>CHE 156,ED1-CHE</v>
      </c>
      <c r="J330" s="6"/>
    </row>
    <row r="331" spans="1:10" ht="14.5" x14ac:dyDescent="0.35">
      <c r="A331" s="38" t="s">
        <v>541</v>
      </c>
      <c r="B331" s="39" t="str">
        <v>FARM POWER AND MACHINERY</v>
      </c>
      <c r="C331" s="7" t="str">
        <v>Aikins Stephen Hill Mends</v>
      </c>
      <c r="D331" s="38" t="s">
        <v>116</v>
      </c>
      <c r="E331" s="41">
        <v>101</v>
      </c>
      <c r="F331" s="82" t="s">
        <v>137</v>
      </c>
      <c r="G331" s="43">
        <f>E331*1.1</f>
        <v>111.10000000000001</v>
      </c>
      <c r="H331" s="8" t="s">
        <v>293</v>
      </c>
      <c r="I331" s="5" t="str">
        <f>CONCATENATE(A331,",",D331)</f>
        <v>AE 356,ED3-AE</v>
      </c>
      <c r="J331" s="6"/>
    </row>
    <row r="332" spans="1:10" ht="14.5" x14ac:dyDescent="0.35">
      <c r="A332" s="38" t="s">
        <v>542</v>
      </c>
      <c r="B332" s="7" t="str">
        <v>NAVAL ARCHITECTURE I</v>
      </c>
      <c r="C332" s="7" t="str">
        <v>Kudzedzi Emmanuel Yaw Mawuko</v>
      </c>
      <c r="D332" s="38" t="s">
        <v>114</v>
      </c>
      <c r="E332" s="41">
        <v>40</v>
      </c>
      <c r="F332" s="47" t="s">
        <v>54</v>
      </c>
      <c r="G332" s="43">
        <f t="shared" ref="G332:G333" si="86">E332*1.1</f>
        <v>44</v>
      </c>
      <c r="H332" s="1">
        <v>40</v>
      </c>
      <c r="I332" s="5" t="str">
        <f>CONCATENATE(A332,",",D332)</f>
        <v>MME 382,ED3-MARI</v>
      </c>
      <c r="J332" s="6"/>
    </row>
    <row r="333" spans="1:10" s="53" customFormat="1" ht="14.5" x14ac:dyDescent="0.35">
      <c r="A333" s="48" t="s">
        <v>543</v>
      </c>
      <c r="B333" s="40" t="str">
        <v>POWER SUPPLY ELECTRONICS</v>
      </c>
      <c r="C333" s="40" t="str">
        <v>Effah Francis Boafo</v>
      </c>
      <c r="D333" s="48" t="s">
        <v>30</v>
      </c>
      <c r="E333" s="42">
        <v>340</v>
      </c>
      <c r="F333" s="94" t="s">
        <v>23</v>
      </c>
      <c r="G333" s="49">
        <f t="shared" si="86"/>
        <v>374.00000000000006</v>
      </c>
      <c r="H333" s="50" t="s">
        <v>544</v>
      </c>
      <c r="I333" s="66" t="str">
        <f t="shared" ref="I333" si="87">CONCATENATE(A333,",",D333)</f>
        <v>EE 258,ED2-EE</v>
      </c>
      <c r="J333" s="52"/>
    </row>
    <row r="334" spans="1:10" ht="14.5" x14ac:dyDescent="0.35">
      <c r="A334" s="38" t="s">
        <v>545</v>
      </c>
      <c r="B334" s="39" t="str">
        <v>DIGITAL SIGNAL PROCESSING</v>
      </c>
      <c r="C334" s="7" t="str">
        <v>Kponyo Jerry John</v>
      </c>
      <c r="D334" s="80" t="s">
        <v>349</v>
      </c>
      <c r="E334" s="41">
        <v>138</v>
      </c>
      <c r="F334" s="47" t="s">
        <v>546</v>
      </c>
      <c r="G334" s="43">
        <f>E334*1.1</f>
        <v>151.80000000000001</v>
      </c>
      <c r="H334" s="1" t="s">
        <v>547</v>
      </c>
      <c r="I334" s="5" t="str">
        <f>CONCATENATE(A334,",",D334)</f>
        <v>TE 454,ED4-TEL</v>
      </c>
      <c r="J334" s="6"/>
    </row>
    <row r="335" spans="1:10" ht="14.5" x14ac:dyDescent="0.35">
      <c r="A335" s="38" t="s">
        <v>548</v>
      </c>
      <c r="B335" s="39" t="str">
        <v>DIGITAL SIGNAL PROCESSING</v>
      </c>
      <c r="C335" s="7" t="str">
        <v>Kponyo Jerry John</v>
      </c>
      <c r="D335" s="38" t="s">
        <v>220</v>
      </c>
      <c r="E335" s="41">
        <v>12</v>
      </c>
      <c r="F335" s="38" t="s">
        <v>549</v>
      </c>
      <c r="G335" s="43">
        <f>E335*1.1</f>
        <v>13.200000000000001</v>
      </c>
      <c r="H335" s="1">
        <v>12</v>
      </c>
      <c r="I335" s="5" t="str">
        <f>CONCATENATE(A335,",",D335)</f>
        <v>EE 472,ED4-EE</v>
      </c>
      <c r="J335" s="6"/>
    </row>
    <row r="336" spans="1:10" ht="14.5" x14ac:dyDescent="0.35">
      <c r="A336" s="38" t="s">
        <v>550</v>
      </c>
      <c r="B336" s="39" t="str">
        <v>ENGINEERING PROJECT DESIGN AND MANAGEMENT</v>
      </c>
      <c r="C336" s="39" t="str">
        <v>Agyekum Kwame Agyeman-Prempeh</v>
      </c>
      <c r="D336" s="38" t="s">
        <v>168</v>
      </c>
      <c r="E336" s="41">
        <v>140</v>
      </c>
      <c r="F336" s="47" t="s">
        <v>551</v>
      </c>
      <c r="G336" s="43">
        <f t="shared" si="84"/>
        <v>154</v>
      </c>
      <c r="H336" s="1" t="s">
        <v>170</v>
      </c>
      <c r="I336" s="5" t="str">
        <f t="shared" ref="I336:I337" si="88">CONCATENATE(A336,",",D336)</f>
        <v>TE 372,ED3-TEL</v>
      </c>
      <c r="J336" s="6"/>
    </row>
    <row r="337" spans="1:10" ht="14.5" x14ac:dyDescent="0.35">
      <c r="A337" s="38" t="s">
        <v>552</v>
      </c>
      <c r="B337" s="7" t="str">
        <v>MANUFACTURING TECHNOLOGY</v>
      </c>
      <c r="C337" s="7" t="str">
        <v>Francis Davis</v>
      </c>
      <c r="D337" s="38" t="s">
        <v>79</v>
      </c>
      <c r="E337" s="41">
        <v>222</v>
      </c>
      <c r="F337" s="47" t="s">
        <v>521</v>
      </c>
      <c r="G337" s="43">
        <f t="shared" si="84"/>
        <v>244.20000000000002</v>
      </c>
      <c r="H337" s="1" t="s">
        <v>553</v>
      </c>
      <c r="I337" s="5" t="str">
        <f t="shared" si="88"/>
        <v>ME 370,ED3-ME</v>
      </c>
      <c r="J337" s="6"/>
    </row>
    <row r="338" spans="1:10" ht="14.5" x14ac:dyDescent="0.35">
      <c r="A338" s="54"/>
      <c r="B338" s="54"/>
      <c r="D338" s="39" t="s">
        <v>554</v>
      </c>
      <c r="E338" s="55">
        <f>SUM(E330:E337)</f>
        <v>1113</v>
      </c>
      <c r="F338" s="56"/>
      <c r="G338" s="57"/>
      <c r="I338" s="2" t="s">
        <v>555</v>
      </c>
      <c r="J338" s="6"/>
    </row>
    <row r="339" spans="1:10" ht="14.5" x14ac:dyDescent="0.35">
      <c r="A339" s="123" t="s">
        <v>537</v>
      </c>
      <c r="B339" s="123"/>
      <c r="C339" s="123"/>
      <c r="D339" s="123"/>
      <c r="E339" s="123"/>
      <c r="F339" s="123"/>
      <c r="G339" s="123"/>
      <c r="I339" s="2" t="str">
        <f>A339</f>
        <v>Wednesday, 26 August 2026</v>
      </c>
      <c r="J339" s="6"/>
    </row>
    <row r="340" spans="1:10" ht="14.5" x14ac:dyDescent="0.35">
      <c r="A340" s="123" t="s">
        <v>35</v>
      </c>
      <c r="B340" s="123"/>
      <c r="C340" s="123"/>
      <c r="D340" s="123"/>
      <c r="E340" s="123"/>
      <c r="F340" s="123"/>
      <c r="G340" s="123"/>
      <c r="I340" s="2" t="str">
        <f>A340</f>
        <v>Session, 2 (12:00 PM - 2:00 PM)</v>
      </c>
      <c r="J340" s="6"/>
    </row>
    <row r="341" spans="1:10" ht="14.5" x14ac:dyDescent="0.35">
      <c r="A341" s="35" t="s">
        <v>2</v>
      </c>
      <c r="B341" s="35" t="s">
        <v>3</v>
      </c>
      <c r="C341" s="32" t="s">
        <v>4</v>
      </c>
      <c r="D341" s="35" t="s">
        <v>5</v>
      </c>
      <c r="E341" s="36" t="s">
        <v>6</v>
      </c>
      <c r="F341" s="32" t="s">
        <v>7</v>
      </c>
      <c r="G341" s="37" t="s">
        <v>8</v>
      </c>
      <c r="I341" s="2" t="s">
        <v>36</v>
      </c>
      <c r="J341" s="6"/>
    </row>
    <row r="342" spans="1:10" ht="14.5" x14ac:dyDescent="0.35">
      <c r="A342" s="38" t="s">
        <v>556</v>
      </c>
      <c r="B342" s="39" t="str" cm="1">
        <f t="array" ref="B342:B350">IFERROR(VLOOKUP(I342:I350,[5]Lectures_1!A2:F534,2,FALSE),0)</f>
        <v>PROPERTIES OF MATTER</v>
      </c>
      <c r="C342" s="7" t="str" cm="1">
        <f t="array" ref="C342:C350">IFERROR(VLOOKUP(I342:I350,[5]Lectures_1!A2:F534,3,FALSE),0)</f>
        <v>Reginald Mensah Noye</v>
      </c>
      <c r="D342" s="38" t="s">
        <v>190</v>
      </c>
      <c r="E342" s="41" cm="1">
        <f t="array" ref="E342:E350">IFERROR(VLOOKUP(I342:I350,[5]Lectures_1!A2:F534,4,FALSE),0)</f>
        <v>136</v>
      </c>
      <c r="F342" s="47" t="s">
        <v>419</v>
      </c>
      <c r="G342" s="43">
        <f>E342*1.1</f>
        <v>149.60000000000002</v>
      </c>
      <c r="H342" s="1" t="s">
        <v>557</v>
      </c>
      <c r="I342" s="5" t="str">
        <f t="shared" ref="I342:I345" si="89">CONCATENATE(A342,",",D342)</f>
        <v>PHY 154,ED1-BME</v>
      </c>
      <c r="J342" s="6"/>
    </row>
    <row r="343" spans="1:10" ht="14.5" x14ac:dyDescent="0.35">
      <c r="A343" s="38" t="s">
        <v>558</v>
      </c>
      <c r="B343" s="39" t="str">
        <v>INTRODUCTION TO INFORMATION TECHNOLOGY</v>
      </c>
      <c r="C343" s="7" t="str">
        <v>Bessah Enoch</v>
      </c>
      <c r="D343" s="38" t="s">
        <v>246</v>
      </c>
      <c r="E343" s="41">
        <v>128</v>
      </c>
      <c r="F343" s="47" t="s">
        <v>23</v>
      </c>
      <c r="G343" s="43">
        <f t="shared" ref="G343:G350" si="90">E343*1.1</f>
        <v>140.80000000000001</v>
      </c>
      <c r="H343" s="1" t="s">
        <v>559</v>
      </c>
      <c r="I343" s="5" t="str">
        <f t="shared" si="89"/>
        <v>AE 158,ED1-AE</v>
      </c>
      <c r="J343" s="6"/>
    </row>
    <row r="344" spans="1:10" ht="14.5" x14ac:dyDescent="0.35">
      <c r="A344" s="38" t="s">
        <v>560</v>
      </c>
      <c r="B344" s="39" t="str">
        <v>NUMERICAL METHODS FOR CHEMICAL ENGINEERS</v>
      </c>
      <c r="C344" s="7" t="str">
        <v>Mensah Mary</v>
      </c>
      <c r="D344" s="38" t="s">
        <v>124</v>
      </c>
      <c r="E344" s="41">
        <v>53</v>
      </c>
      <c r="F344" s="47" t="s">
        <v>561</v>
      </c>
      <c r="G344" s="43">
        <f t="shared" si="90"/>
        <v>58.300000000000004</v>
      </c>
      <c r="H344" s="1" t="s">
        <v>562</v>
      </c>
      <c r="I344" s="5" t="str">
        <f t="shared" si="89"/>
        <v>CHE 358,ED3-PCE</v>
      </c>
      <c r="J344" s="6"/>
    </row>
    <row r="345" spans="1:10" ht="14.5" x14ac:dyDescent="0.35">
      <c r="A345" s="38" t="s">
        <v>560</v>
      </c>
      <c r="B345" s="39" t="str">
        <v>NUMERICAL METHODS FOR CHEMICAL ENGINEERS</v>
      </c>
      <c r="C345" s="7" t="str">
        <v>Mensah Mary</v>
      </c>
      <c r="D345" s="38" t="s">
        <v>59</v>
      </c>
      <c r="E345" s="41">
        <v>105</v>
      </c>
      <c r="F345" s="47" t="s">
        <v>209</v>
      </c>
      <c r="G345" s="43">
        <f t="shared" si="90"/>
        <v>115.50000000000001</v>
      </c>
      <c r="H345" s="1" t="s">
        <v>563</v>
      </c>
      <c r="I345" s="5" t="str">
        <f t="shared" si="89"/>
        <v>CHE 358,ED3-CHE</v>
      </c>
      <c r="J345" s="6"/>
    </row>
    <row r="346" spans="1:10" ht="14.5" x14ac:dyDescent="0.35">
      <c r="A346" s="38" t="s">
        <v>564</v>
      </c>
      <c r="B346" s="39" t="str">
        <v>ENVIRONMENTAL GEOLLOGY</v>
      </c>
      <c r="C346" s="39" t="str">
        <v>Foli Gordon</v>
      </c>
      <c r="D346" s="38" t="s">
        <v>134</v>
      </c>
      <c r="E346" s="41">
        <v>95</v>
      </c>
      <c r="F346" s="47" t="s">
        <v>491</v>
      </c>
      <c r="G346" s="43">
        <f>E346*1.1</f>
        <v>104.50000000000001</v>
      </c>
      <c r="H346" s="1" t="s">
        <v>565</v>
      </c>
      <c r="I346" s="5" t="str">
        <f>CONCATENATE(A346,",",D346)</f>
        <v>GED 454,ED4-GEOL</v>
      </c>
      <c r="J346" s="6"/>
    </row>
    <row r="347" spans="1:10" s="46" customFormat="1" ht="14.5" x14ac:dyDescent="0.35">
      <c r="A347" s="38" t="s">
        <v>566</v>
      </c>
      <c r="B347" s="39" t="str">
        <v>EMBEDDED SYSTEMS</v>
      </c>
      <c r="C347" s="7" t="str">
        <v>Kommey Benjamin</v>
      </c>
      <c r="D347" s="38" t="s">
        <v>18</v>
      </c>
      <c r="E347" s="41">
        <v>265</v>
      </c>
      <c r="F347" s="47" t="s">
        <v>19</v>
      </c>
      <c r="G347" s="43">
        <f>E347*1.1</f>
        <v>291.5</v>
      </c>
      <c r="H347" s="1" t="s">
        <v>567</v>
      </c>
      <c r="I347" s="44" t="str">
        <f>CONCATENATE(A347,",",D347)</f>
        <v>COE 358,ED3-COE</v>
      </c>
      <c r="J347" s="45"/>
    </row>
    <row r="348" spans="1:10" s="46" customFormat="1" ht="14.5" x14ac:dyDescent="0.35">
      <c r="A348" s="38" t="s">
        <v>566</v>
      </c>
      <c r="B348" s="39" t="str">
        <v>EMBEDDED SYSTEMS</v>
      </c>
      <c r="C348" s="7" t="str">
        <v>Kommey Benjamin</v>
      </c>
      <c r="D348" s="38" t="s">
        <v>130</v>
      </c>
      <c r="E348" s="41">
        <v>90</v>
      </c>
      <c r="F348" s="47" t="s">
        <v>568</v>
      </c>
      <c r="G348" s="43">
        <f>E348*1.1</f>
        <v>99.000000000000014</v>
      </c>
      <c r="H348" s="1" t="s">
        <v>418</v>
      </c>
      <c r="I348" s="44" t="str">
        <f>CONCATENATE(A348,",",D348)</f>
        <v>COE 358,ED3-BME</v>
      </c>
      <c r="J348" s="45"/>
    </row>
    <row r="349" spans="1:10" ht="14.5" x14ac:dyDescent="0.35">
      <c r="A349" s="38" t="s">
        <v>569</v>
      </c>
      <c r="B349" s="7" t="str">
        <v>PHYSICAL METALLURGY OF FERROUS METALS</v>
      </c>
      <c r="C349" s="7" t="str">
        <v>Kwofie Samuel</v>
      </c>
      <c r="D349" s="38" t="s">
        <v>216</v>
      </c>
      <c r="E349" s="41">
        <v>87</v>
      </c>
      <c r="F349" s="47" t="s">
        <v>570</v>
      </c>
      <c r="G349" s="43">
        <f>E349*1.1</f>
        <v>95.7</v>
      </c>
      <c r="H349" s="12" t="s">
        <v>571</v>
      </c>
      <c r="I349" s="5" t="str">
        <f t="shared" ref="I349" si="91">CONCATENATE(A349,",",D349)</f>
        <v>METE 362,ED3-METE</v>
      </c>
      <c r="J349" s="6"/>
    </row>
    <row r="350" spans="1:10" ht="14.5" x14ac:dyDescent="0.35">
      <c r="A350" s="38" t="s">
        <v>572</v>
      </c>
      <c r="B350" s="7" t="str">
        <v>PHYSICAL METALLURGY OF FERROUS METALS</v>
      </c>
      <c r="C350" s="39" t="str">
        <v>Kwofie Samuel</v>
      </c>
      <c r="D350" s="38" t="s">
        <v>212</v>
      </c>
      <c r="E350" s="41">
        <v>85</v>
      </c>
      <c r="F350" s="47" t="s">
        <v>162</v>
      </c>
      <c r="G350" s="43">
        <f t="shared" si="90"/>
        <v>93.500000000000014</v>
      </c>
      <c r="H350" s="1" t="s">
        <v>573</v>
      </c>
      <c r="I350" s="5" t="str">
        <f>CONCATENATE(A350,",",D350)</f>
        <v>MSE 354,ED3-MSE</v>
      </c>
      <c r="J350" s="6"/>
    </row>
    <row r="351" spans="1:10" ht="14.5" x14ac:dyDescent="0.35">
      <c r="A351" s="54"/>
      <c r="B351" s="54"/>
      <c r="D351" s="39" t="s">
        <v>574</v>
      </c>
      <c r="E351" s="55">
        <f>SUM(E342:E350)</f>
        <v>1044</v>
      </c>
      <c r="F351" s="56"/>
      <c r="G351" s="57"/>
      <c r="I351" s="2" t="s">
        <v>575</v>
      </c>
      <c r="J351" s="6"/>
    </row>
    <row r="352" spans="1:10" ht="14.5" x14ac:dyDescent="0.35">
      <c r="A352" s="54"/>
      <c r="B352" s="54"/>
      <c r="D352" s="54"/>
      <c r="E352" s="55"/>
      <c r="F352" s="56"/>
      <c r="G352" s="57"/>
      <c r="I352" s="2" t="s">
        <v>146</v>
      </c>
      <c r="J352" s="6"/>
    </row>
    <row r="353" spans="1:10" ht="14.5" x14ac:dyDescent="0.35">
      <c r="A353" s="54"/>
      <c r="B353" s="54"/>
      <c r="D353" s="54"/>
      <c r="E353" s="55"/>
      <c r="F353" s="56"/>
      <c r="G353" s="57"/>
      <c r="I353" s="2" t="s">
        <v>146</v>
      </c>
      <c r="J353" s="6"/>
    </row>
    <row r="354" spans="1:10" ht="14.5" x14ac:dyDescent="0.35">
      <c r="A354" s="123" t="s">
        <v>537</v>
      </c>
      <c r="B354" s="123"/>
      <c r="C354" s="123"/>
      <c r="D354" s="123"/>
      <c r="E354" s="123"/>
      <c r="F354" s="123"/>
      <c r="G354" s="123"/>
      <c r="I354" s="2" t="str">
        <f>A354</f>
        <v>Wednesday, 26 August 2026</v>
      </c>
      <c r="J354" s="6"/>
    </row>
    <row r="355" spans="1:10" ht="14.5" x14ac:dyDescent="0.35">
      <c r="A355" s="123" t="s">
        <v>77</v>
      </c>
      <c r="B355" s="123"/>
      <c r="C355" s="123"/>
      <c r="D355" s="123"/>
      <c r="E355" s="123"/>
      <c r="F355" s="123"/>
      <c r="G355" s="123"/>
      <c r="I355" s="2" t="str">
        <f>A355</f>
        <v>Session, 3 (3:00 PM - 5:00 PM)</v>
      </c>
      <c r="J355" s="6"/>
    </row>
    <row r="356" spans="1:10" ht="14.5" x14ac:dyDescent="0.35">
      <c r="A356" s="35" t="s">
        <v>2</v>
      </c>
      <c r="B356" s="35" t="s">
        <v>3</v>
      </c>
      <c r="C356" s="32" t="s">
        <v>4</v>
      </c>
      <c r="D356" s="35" t="s">
        <v>5</v>
      </c>
      <c r="E356" s="36" t="s">
        <v>6</v>
      </c>
      <c r="F356" s="32" t="s">
        <v>7</v>
      </c>
      <c r="G356" s="37" t="s">
        <v>8</v>
      </c>
      <c r="I356" s="2" t="s">
        <v>36</v>
      </c>
      <c r="J356" s="6"/>
    </row>
    <row r="357" spans="1:10" s="15" customFormat="1" ht="14.5" x14ac:dyDescent="0.35">
      <c r="A357" s="38" t="s">
        <v>576</v>
      </c>
      <c r="B357" s="7" t="str" cm="1">
        <f t="array" ref="B357:B365">IFERROR(VLOOKUP(I357:I365,[5]Lectures_1!A2:F534,2,FALSE),0)</f>
        <v>RESERVOIR RECOVERY TECHNIQUES</v>
      </c>
      <c r="C357" s="7" t="str" cm="1">
        <f t="array" ref="C357:C365">IFERROR(VLOOKUP(I357:I365,[5]Lectures_1!A2:F534,3,FALSE),0)</f>
        <v>Adenutsi Caspar Daniel</v>
      </c>
      <c r="D357" s="38" t="s">
        <v>205</v>
      </c>
      <c r="E357" s="41" cm="1">
        <f t="array" ref="E357:E365">IFERROR(VLOOKUP(I357:I365,[5]Lectures_1!A2:F534,4,FALSE),0)</f>
        <v>99</v>
      </c>
      <c r="F357" s="47" t="s">
        <v>577</v>
      </c>
      <c r="G357" s="43">
        <f t="shared" ref="G357:G358" si="92">E357*1.1</f>
        <v>108.9</v>
      </c>
      <c r="H357" s="1" t="s">
        <v>578</v>
      </c>
      <c r="I357" s="13" t="str">
        <f t="shared" ref="I357:I361" si="93">CONCATENATE(A357,",",D357)</f>
        <v>PE 450,ED4-PE</v>
      </c>
      <c r="J357" s="14"/>
    </row>
    <row r="358" spans="1:10" ht="14.5" x14ac:dyDescent="0.35">
      <c r="A358" s="38" t="s">
        <v>579</v>
      </c>
      <c r="B358" s="7" t="str">
        <v>MAINTENANCE AND REPAIRS OF AGRIC. MACHINERY</v>
      </c>
      <c r="C358" s="39" t="str">
        <v>Bobobee Emmanuel Yaovi Hunnuor</v>
      </c>
      <c r="D358" s="38" t="s">
        <v>136</v>
      </c>
      <c r="E358" s="41">
        <v>103</v>
      </c>
      <c r="F358" s="47" t="s">
        <v>580</v>
      </c>
      <c r="G358" s="43">
        <f t="shared" si="92"/>
        <v>113.30000000000001</v>
      </c>
      <c r="H358" s="1" t="s">
        <v>581</v>
      </c>
      <c r="I358" s="5" t="str">
        <f t="shared" si="93"/>
        <v>AE 460,ED4-AE</v>
      </c>
      <c r="J358" s="6"/>
    </row>
    <row r="359" spans="1:10" ht="14.5" x14ac:dyDescent="0.35">
      <c r="A359" s="38" t="s">
        <v>582</v>
      </c>
      <c r="B359" s="7" t="str">
        <v>MACHINE SHOP AND FACTORY DESIGN</v>
      </c>
      <c r="C359" s="7" t="str">
        <v>Obeng George Yaw</v>
      </c>
      <c r="D359" s="38" t="s">
        <v>82</v>
      </c>
      <c r="E359" s="41">
        <v>54</v>
      </c>
      <c r="F359" s="47" t="s">
        <v>143</v>
      </c>
      <c r="G359" s="43">
        <f>E359*1.1</f>
        <v>59.400000000000006</v>
      </c>
      <c r="H359" s="1" t="s">
        <v>583</v>
      </c>
      <c r="I359" s="5" t="str">
        <f t="shared" si="93"/>
        <v>ME 472,ED4-ME</v>
      </c>
      <c r="J359" s="6"/>
    </row>
    <row r="360" spans="1:10" ht="14.5" x14ac:dyDescent="0.35">
      <c r="A360" s="38" t="s">
        <v>582</v>
      </c>
      <c r="B360" s="7" t="str">
        <v>MACHINE SHOP AND FACTORY DESIGN</v>
      </c>
      <c r="C360" s="7" t="str">
        <v>Obeng George Yaw</v>
      </c>
      <c r="D360" s="38" t="s">
        <v>172</v>
      </c>
      <c r="E360" s="41">
        <v>52</v>
      </c>
      <c r="F360" s="47" t="s">
        <v>561</v>
      </c>
      <c r="G360" s="43">
        <f>E360*1.1</f>
        <v>57.2</v>
      </c>
      <c r="H360" s="1" t="s">
        <v>584</v>
      </c>
      <c r="I360" s="5" t="str">
        <f t="shared" si="93"/>
        <v>ME 472,ED4-AERO</v>
      </c>
      <c r="J360" s="6"/>
    </row>
    <row r="361" spans="1:10" ht="14.5" x14ac:dyDescent="0.35">
      <c r="A361" s="38" t="s">
        <v>585</v>
      </c>
      <c r="B361" s="7" t="str">
        <v>COMPUTER APPLICATIONS IN CIVIL ENGINEERING</v>
      </c>
      <c r="C361" s="39" t="str">
        <v>Ayeh Felix Jojo Fianko</v>
      </c>
      <c r="D361" s="38" t="s">
        <v>140</v>
      </c>
      <c r="E361" s="41">
        <v>240</v>
      </c>
      <c r="F361" s="47" t="s">
        <v>91</v>
      </c>
      <c r="G361" s="43">
        <f t="shared" ref="G361:G362" si="94">E361*1.1</f>
        <v>264</v>
      </c>
      <c r="H361" s="1" t="s">
        <v>496</v>
      </c>
      <c r="I361" s="5" t="str">
        <f t="shared" si="93"/>
        <v>CE 452,ED4-CE</v>
      </c>
      <c r="J361" s="6"/>
    </row>
    <row r="362" spans="1:10" ht="14.5" x14ac:dyDescent="0.35">
      <c r="A362" s="38" t="s">
        <v>586</v>
      </c>
      <c r="B362" s="39" t="str">
        <v>PROFESSIONAL STUDIES AND DEVELOPMENT</v>
      </c>
      <c r="C362" s="7" t="str">
        <v>Akrofi Emmanuel Offei</v>
      </c>
      <c r="D362" s="38" t="s">
        <v>312</v>
      </c>
      <c r="E362" s="41">
        <v>93</v>
      </c>
      <c r="F362" s="47" t="s">
        <v>162</v>
      </c>
      <c r="G362" s="43">
        <f t="shared" si="94"/>
        <v>102.30000000000001</v>
      </c>
      <c r="H362" s="1" t="s">
        <v>587</v>
      </c>
      <c r="I362" s="5" t="str">
        <f>CONCATENATE(A362,",",D362)</f>
        <v>GE 476,ED4-GEOM</v>
      </c>
      <c r="J362" s="6"/>
    </row>
    <row r="363" spans="1:10" s="3" customFormat="1" ht="15" customHeight="1" x14ac:dyDescent="0.35">
      <c r="A363" s="38" t="s">
        <v>588</v>
      </c>
      <c r="B363" s="39" t="str">
        <v>MEDICAL DEVICE REGULATION</v>
      </c>
      <c r="C363" s="39" t="str">
        <v>Acquah Isaac</v>
      </c>
      <c r="D363" s="38" t="s">
        <v>438</v>
      </c>
      <c r="E363" s="41">
        <v>87</v>
      </c>
      <c r="F363" s="38" t="s">
        <v>570</v>
      </c>
      <c r="G363" s="43">
        <f>E363*1.1</f>
        <v>95.7</v>
      </c>
      <c r="H363" s="1" t="s">
        <v>589</v>
      </c>
      <c r="I363" s="5" t="str">
        <f t="shared" ref="I363" si="95">CONCATENATE(A363,",",D363)</f>
        <v>BME 454,ED4-BME</v>
      </c>
      <c r="J363" s="6"/>
    </row>
    <row r="364" spans="1:10" s="53" customFormat="1" ht="14.5" x14ac:dyDescent="0.35">
      <c r="A364" s="48" t="s">
        <v>590</v>
      </c>
      <c r="B364" s="40" t="str">
        <v>DIGITAL COMMUNICATION SYSTEMS</v>
      </c>
      <c r="C364" s="51" t="str">
        <v>Charles Mawutor Adrah</v>
      </c>
      <c r="D364" s="48" t="s">
        <v>90</v>
      </c>
      <c r="E364" s="42">
        <v>240</v>
      </c>
      <c r="F364" s="94" t="s">
        <v>23</v>
      </c>
      <c r="G364" s="49">
        <f>E364*1.1</f>
        <v>264</v>
      </c>
      <c r="H364" s="50" t="s">
        <v>534</v>
      </c>
      <c r="I364" s="66" t="str">
        <f>CONCATENATE(A364,",",D364)</f>
        <v>TE 386,ED3-EE</v>
      </c>
      <c r="J364" s="52"/>
    </row>
    <row r="365" spans="1:10" ht="14.5" x14ac:dyDescent="0.35">
      <c r="A365" s="38" t="s">
        <v>591</v>
      </c>
      <c r="B365" s="39" t="str">
        <v>PRINCIPLES OF GIS</v>
      </c>
      <c r="C365" s="7" t="str">
        <v>Forkuo Eric Kwabena</v>
      </c>
      <c r="D365" s="38" t="s">
        <v>104</v>
      </c>
      <c r="E365" s="41">
        <v>122</v>
      </c>
      <c r="F365" s="21" t="s">
        <v>592</v>
      </c>
      <c r="G365" s="43">
        <f>E365*1.1</f>
        <v>134.20000000000002</v>
      </c>
      <c r="H365" s="1" t="s">
        <v>593</v>
      </c>
      <c r="I365" s="5" t="str">
        <f t="shared" ref="I365" si="96">CONCATENATE(A365,",",D365)</f>
        <v>GE 362,ED3-GEOM</v>
      </c>
      <c r="J365" s="6"/>
    </row>
    <row r="366" spans="1:10" ht="14.5" x14ac:dyDescent="0.35">
      <c r="A366" s="54"/>
      <c r="B366" s="54"/>
      <c r="D366" s="39" t="s">
        <v>594</v>
      </c>
      <c r="E366" s="55">
        <f>SUM(E357:E365)</f>
        <v>1090</v>
      </c>
      <c r="F366" s="56"/>
      <c r="G366" s="57"/>
      <c r="I366" s="2" t="s">
        <v>595</v>
      </c>
      <c r="J366" s="6"/>
    </row>
    <row r="367" spans="1:10" ht="14.5" x14ac:dyDescent="0.35">
      <c r="A367" s="123" t="s">
        <v>596</v>
      </c>
      <c r="B367" s="123"/>
      <c r="C367" s="123"/>
      <c r="D367" s="123"/>
      <c r="E367" s="123"/>
      <c r="F367" s="123"/>
      <c r="G367" s="123"/>
      <c r="I367" s="2" t="str">
        <f>A367</f>
        <v>Thursday, 27 August 2025</v>
      </c>
      <c r="J367" s="6"/>
    </row>
    <row r="368" spans="1:10" ht="14.5" x14ac:dyDescent="0.35">
      <c r="A368" s="123" t="s">
        <v>1</v>
      </c>
      <c r="B368" s="123"/>
      <c r="C368" s="123"/>
      <c r="D368" s="123"/>
      <c r="E368" s="123"/>
      <c r="F368" s="123"/>
      <c r="G368" s="123"/>
      <c r="I368" s="2" t="str">
        <f>A368</f>
        <v>Session, 1 (8:30 AM - 10:30 AM)</v>
      </c>
      <c r="J368" s="6"/>
    </row>
    <row r="369" spans="1:10" ht="14.5" x14ac:dyDescent="0.35">
      <c r="A369" s="35" t="s">
        <v>2</v>
      </c>
      <c r="B369" s="35" t="s">
        <v>3</v>
      </c>
      <c r="C369" s="32" t="s">
        <v>4</v>
      </c>
      <c r="D369" s="35" t="s">
        <v>5</v>
      </c>
      <c r="E369" s="36" t="s">
        <v>6</v>
      </c>
      <c r="F369" s="32" t="s">
        <v>7</v>
      </c>
      <c r="G369" s="37" t="s">
        <v>8</v>
      </c>
      <c r="I369" s="2" t="s">
        <v>36</v>
      </c>
      <c r="J369" s="6"/>
    </row>
    <row r="370" spans="1:10" ht="14.5" x14ac:dyDescent="0.35">
      <c r="A370" s="38" t="s">
        <v>597</v>
      </c>
      <c r="B370" s="39" t="str" cm="1">
        <f t="array" ref="B370:B377">IFERROR(VLOOKUP(I370:I377,[5]Lectures_1!A2:F534,2,FALSE),0)</f>
        <v>FOUNDATION ENGINEERING</v>
      </c>
      <c r="C370" s="39" t="str" cm="1">
        <f t="array" ref="C370:C377">IFERROR(VLOOKUP(I370:I377,[5]Lectures_1!A2:F534,3,FALSE),0)</f>
        <v>Amenuvor Andrew Cudzo</v>
      </c>
      <c r="D370" s="38" t="s">
        <v>236</v>
      </c>
      <c r="E370" s="41" cm="1">
        <f t="array" ref="E370:E377">IFERROR(VLOOKUP(I370:I377,[5]Lectures_1!A2:F534,4,FALSE),0)</f>
        <v>154</v>
      </c>
      <c r="F370" s="47" t="s">
        <v>598</v>
      </c>
      <c r="G370" s="43">
        <f t="shared" ref="G370:G377" si="97">E370*1.1</f>
        <v>169.4</v>
      </c>
      <c r="H370" s="1" t="s">
        <v>599</v>
      </c>
      <c r="I370" s="5" t="str">
        <f t="shared" ref="I370:I375" si="98">CONCATENATE(A370,",",D370)</f>
        <v>GED 370,ED3-GEOL</v>
      </c>
      <c r="J370" s="6"/>
    </row>
    <row r="371" spans="1:10" ht="14.5" x14ac:dyDescent="0.35">
      <c r="A371" s="38" t="s">
        <v>600</v>
      </c>
      <c r="B371" s="39" t="str">
        <v>FOUNDATION ENGINEERING</v>
      </c>
      <c r="C371" s="7" t="str">
        <v>Acquaah Vincent Kofi Abaka</v>
      </c>
      <c r="D371" s="38" t="s">
        <v>86</v>
      </c>
      <c r="E371" s="41">
        <v>230</v>
      </c>
      <c r="F371" s="47" t="s">
        <v>91</v>
      </c>
      <c r="G371" s="43">
        <f t="shared" si="97"/>
        <v>253.00000000000003</v>
      </c>
      <c r="H371" s="1" t="s">
        <v>601</v>
      </c>
      <c r="I371" s="5" t="str">
        <f t="shared" si="98"/>
        <v>CE 360,ED3-CE</v>
      </c>
      <c r="J371" s="6"/>
    </row>
    <row r="372" spans="1:10" ht="14.5" x14ac:dyDescent="0.35">
      <c r="A372" s="38" t="s">
        <v>602</v>
      </c>
      <c r="B372" s="39" t="str">
        <v>MANUFACTURING TECHNOLOGY</v>
      </c>
      <c r="C372" s="7" t="str">
        <v>Boahen Samuel</v>
      </c>
      <c r="D372" s="38" t="s">
        <v>43</v>
      </c>
      <c r="E372" s="41">
        <v>80</v>
      </c>
      <c r="F372" s="47" t="s">
        <v>143</v>
      </c>
      <c r="G372" s="43">
        <f t="shared" si="97"/>
        <v>88</v>
      </c>
      <c r="H372" s="1" t="s">
        <v>330</v>
      </c>
      <c r="I372" s="5" t="str">
        <f t="shared" si="98"/>
        <v>ME 270,ED2-IND</v>
      </c>
      <c r="J372" s="6"/>
    </row>
    <row r="373" spans="1:10" ht="14.5" x14ac:dyDescent="0.35">
      <c r="A373" s="38" t="s">
        <v>602</v>
      </c>
      <c r="B373" s="7" t="str">
        <v>MANUFACTURING TECHNOLOGY</v>
      </c>
      <c r="C373" s="7" t="str">
        <v>Boahen Samuel</v>
      </c>
      <c r="D373" s="38" t="s">
        <v>47</v>
      </c>
      <c r="E373" s="41">
        <v>37</v>
      </c>
      <c r="F373" s="47" t="s">
        <v>603</v>
      </c>
      <c r="G373" s="43">
        <f t="shared" si="97"/>
        <v>40.700000000000003</v>
      </c>
      <c r="H373" s="1">
        <v>37</v>
      </c>
      <c r="I373" s="5" t="str">
        <f t="shared" si="98"/>
        <v>ME 270,ED2-MARI</v>
      </c>
      <c r="J373" s="6"/>
    </row>
    <row r="374" spans="1:10" ht="14.5" x14ac:dyDescent="0.35">
      <c r="A374" s="38" t="s">
        <v>602</v>
      </c>
      <c r="B374" s="7" t="str">
        <v>MANUFACTURING TECHNOLOGY</v>
      </c>
      <c r="C374" s="7" t="str">
        <v>Boahen Samuel</v>
      </c>
      <c r="D374" s="38" t="s">
        <v>45</v>
      </c>
      <c r="E374" s="41">
        <v>82</v>
      </c>
      <c r="F374" s="47" t="s">
        <v>137</v>
      </c>
      <c r="G374" s="43">
        <f t="shared" si="97"/>
        <v>90.2</v>
      </c>
      <c r="H374" s="1" t="s">
        <v>604</v>
      </c>
      <c r="I374" s="5" t="str">
        <f t="shared" si="98"/>
        <v>ME 270,ED2-AUTO</v>
      </c>
      <c r="J374" s="6"/>
    </row>
    <row r="375" spans="1:10" ht="14.5" x14ac:dyDescent="0.35">
      <c r="A375" s="38" t="s">
        <v>605</v>
      </c>
      <c r="B375" s="39" t="str">
        <v>STRENGTH OF MATERIALS FOR CHEMICAL ENGINEERS</v>
      </c>
      <c r="C375" s="7" t="str">
        <v>Anang Daniel Adjah</v>
      </c>
      <c r="D375" s="38" t="s">
        <v>11</v>
      </c>
      <c r="E375" s="41">
        <v>160</v>
      </c>
      <c r="F375" s="47" t="s">
        <v>484</v>
      </c>
      <c r="G375" s="43">
        <f t="shared" si="97"/>
        <v>176</v>
      </c>
      <c r="H375" s="1" t="s">
        <v>606</v>
      </c>
      <c r="I375" s="5" t="str">
        <f t="shared" si="98"/>
        <v>CHE 250,ED2-CHE</v>
      </c>
      <c r="J375" s="6"/>
    </row>
    <row r="376" spans="1:10" s="53" customFormat="1" ht="14.5" x14ac:dyDescent="0.35">
      <c r="A376" s="48" t="s">
        <v>607</v>
      </c>
      <c r="B376" s="51" t="str">
        <v>INTRO TO PYTHON &amp; COMPUTER NETWORKING</v>
      </c>
      <c r="C376" s="40" t="str">
        <v>Charles Mawutor Adrah</v>
      </c>
      <c r="D376" s="48" t="s">
        <v>199</v>
      </c>
      <c r="E376" s="42">
        <v>340</v>
      </c>
      <c r="F376" s="94" t="s">
        <v>23</v>
      </c>
      <c r="G376" s="49">
        <f>E376*1.1</f>
        <v>374.00000000000006</v>
      </c>
      <c r="H376" s="50" t="s">
        <v>544</v>
      </c>
      <c r="I376" s="66" t="str">
        <f>CONCATENATE(A376,",",D376)</f>
        <v>EE 158,ED1-EE</v>
      </c>
      <c r="J376" s="52"/>
    </row>
    <row r="377" spans="1:10" ht="14.5" x14ac:dyDescent="0.35">
      <c r="A377" s="38" t="s">
        <v>608</v>
      </c>
      <c r="B377" s="39" t="str">
        <v>ADVANCED MANUFACTURING TECHNOLOGY I</v>
      </c>
      <c r="C377" s="7" t="str">
        <v>Takyi Gabriel</v>
      </c>
      <c r="D377" s="38" t="s">
        <v>179</v>
      </c>
      <c r="E377" s="41">
        <v>70</v>
      </c>
      <c r="F377" s="47" t="s">
        <v>15</v>
      </c>
      <c r="G377" s="43">
        <f t="shared" si="97"/>
        <v>77</v>
      </c>
      <c r="H377" s="1" t="s">
        <v>306</v>
      </c>
      <c r="I377" s="5" t="str">
        <f>CONCATENATE(A377,",",D377)</f>
        <v>IE 366,ED3-IND</v>
      </c>
      <c r="J377" s="6"/>
    </row>
    <row r="378" spans="1:10" ht="14.5" x14ac:dyDescent="0.35">
      <c r="A378" s="54"/>
      <c r="B378" s="54"/>
      <c r="D378" s="39" t="s">
        <v>609</v>
      </c>
      <c r="E378" s="55">
        <f>SUM(E370:E377)</f>
        <v>1153</v>
      </c>
      <c r="F378" s="56"/>
      <c r="G378" s="57"/>
      <c r="I378" s="2" t="s">
        <v>610</v>
      </c>
      <c r="J378" s="6"/>
    </row>
    <row r="379" spans="1:10" ht="14.5" x14ac:dyDescent="0.35">
      <c r="A379" s="123" t="s">
        <v>596</v>
      </c>
      <c r="B379" s="123"/>
      <c r="C379" s="123"/>
      <c r="D379" s="123"/>
      <c r="E379" s="123"/>
      <c r="F379" s="123"/>
      <c r="G379" s="123"/>
      <c r="I379" s="2" t="str">
        <f>A379</f>
        <v>Thursday, 27 August 2025</v>
      </c>
      <c r="J379" s="6"/>
    </row>
    <row r="380" spans="1:10" ht="14.5" x14ac:dyDescent="0.35">
      <c r="A380" s="123" t="s">
        <v>35</v>
      </c>
      <c r="B380" s="123"/>
      <c r="C380" s="123"/>
      <c r="D380" s="123"/>
      <c r="E380" s="123"/>
      <c r="F380" s="123"/>
      <c r="G380" s="123"/>
      <c r="I380" s="2" t="str">
        <f>A380</f>
        <v>Session, 2 (12:00 PM - 2:00 PM)</v>
      </c>
      <c r="J380" s="6"/>
    </row>
    <row r="381" spans="1:10" ht="14.5" x14ac:dyDescent="0.35">
      <c r="A381" s="35" t="s">
        <v>2</v>
      </c>
      <c r="B381" s="35" t="s">
        <v>3</v>
      </c>
      <c r="C381" s="32" t="s">
        <v>4</v>
      </c>
      <c r="D381" s="35" t="s">
        <v>5</v>
      </c>
      <c r="E381" s="36" t="s">
        <v>6</v>
      </c>
      <c r="F381" s="32" t="s">
        <v>7</v>
      </c>
      <c r="G381" s="37" t="s">
        <v>8</v>
      </c>
      <c r="I381" s="2" t="s">
        <v>36</v>
      </c>
      <c r="J381" s="6"/>
    </row>
    <row r="382" spans="1:10" ht="14.5" x14ac:dyDescent="0.35">
      <c r="A382" s="38" t="s">
        <v>198</v>
      </c>
      <c r="B382" s="39" t="str" cm="1">
        <f t="array" ref="B382:B393">IFERROR(VLOOKUP(I382:I393,[5]Lectures_1!A2:F534,2,FALSE),0)</f>
        <v>ELECTRICAL MEASUREMENT AND INSTRUMENTATION</v>
      </c>
      <c r="C382" s="7" t="str" cm="1">
        <f t="array" ref="C382:C393">IFERROR(VLOOKUP(I382:I393,[5]Lectures_1!A2:F534,3,FALSE),0)</f>
        <v>Obeng Kwakye Kingsford Sarkodie</v>
      </c>
      <c r="D382" s="38" t="s">
        <v>122</v>
      </c>
      <c r="E382" s="41" cm="1">
        <f t="array" ref="E382:E393">IFERROR(VLOOKUP(I382:I393,[5]Lectures_1!A2:F534,4,FALSE),0)</f>
        <v>130</v>
      </c>
      <c r="F382" s="47" t="s">
        <v>455</v>
      </c>
      <c r="G382" s="43">
        <f>E382*1.1</f>
        <v>143</v>
      </c>
      <c r="H382" s="1" t="s">
        <v>325</v>
      </c>
      <c r="I382" s="5" t="str">
        <f>CONCATENATE(A382,",",D382)</f>
        <v>EE 188,ED1-TEL</v>
      </c>
      <c r="J382" s="6"/>
    </row>
    <row r="383" spans="1:10" ht="14.5" x14ac:dyDescent="0.35">
      <c r="A383" s="38" t="s">
        <v>611</v>
      </c>
      <c r="B383" s="39" t="str">
        <v>ENTREPRENEURSHIP AND BUSINESS DEVELOPMENT</v>
      </c>
      <c r="C383" s="7" t="str">
        <v>Asamoah Boateng Kenneth</v>
      </c>
      <c r="D383" s="38" t="s">
        <v>53</v>
      </c>
      <c r="E383" s="41">
        <v>114</v>
      </c>
      <c r="F383" s="21" t="s">
        <v>612</v>
      </c>
      <c r="G383" s="43">
        <f t="shared" ref="G383:G393" si="99">E383*1.1</f>
        <v>125.4</v>
      </c>
      <c r="H383" s="1" t="s">
        <v>613</v>
      </c>
      <c r="I383" s="5" t="str">
        <f t="shared" ref="I383:I384" si="100">CONCATENATE(A383,",",D383)</f>
        <v>CHE 458,ED4-CHE</v>
      </c>
      <c r="J383" s="6"/>
    </row>
    <row r="384" spans="1:10" ht="14.5" x14ac:dyDescent="0.35">
      <c r="A384" s="38" t="s">
        <v>611</v>
      </c>
      <c r="B384" s="39" t="str">
        <v>ENTREPRENEURSHIP AND BUSINESS DEVELOPMENT</v>
      </c>
      <c r="C384" s="7" t="str">
        <v>Asamoah Boateng Kenneth</v>
      </c>
      <c r="D384" s="38" t="s">
        <v>49</v>
      </c>
      <c r="E384" s="41">
        <v>55</v>
      </c>
      <c r="F384" s="47" t="s">
        <v>63</v>
      </c>
      <c r="G384" s="43">
        <f t="shared" si="99"/>
        <v>60.500000000000007</v>
      </c>
      <c r="H384" s="1">
        <v>55</v>
      </c>
      <c r="I384" s="5" t="str">
        <f t="shared" si="100"/>
        <v>CHE 458,ED4-PCE</v>
      </c>
      <c r="J384" s="6"/>
    </row>
    <row r="385" spans="1:10" s="46" customFormat="1" ht="14.5" x14ac:dyDescent="0.35">
      <c r="A385" s="38" t="s">
        <v>614</v>
      </c>
      <c r="B385" s="7" t="str">
        <v>SYSTEM ENGINEERING II</v>
      </c>
      <c r="C385" s="39" t="str">
        <v>Osei Jack Banahene</v>
      </c>
      <c r="D385" s="38" t="s">
        <v>140</v>
      </c>
      <c r="E385" s="41">
        <v>115</v>
      </c>
      <c r="F385" s="47" t="s">
        <v>615</v>
      </c>
      <c r="G385" s="43">
        <f>E385*1.1</f>
        <v>126.50000000000001</v>
      </c>
      <c r="H385" s="1" t="s">
        <v>616</v>
      </c>
      <c r="I385" s="44" t="str">
        <f>CONCATENATE(A385,",",D385)</f>
        <v>CE 476,ED4-CE</v>
      </c>
      <c r="J385" s="45"/>
    </row>
    <row r="386" spans="1:10" ht="14.5" x14ac:dyDescent="0.35">
      <c r="A386" s="38" t="s">
        <v>617</v>
      </c>
      <c r="B386" s="39" t="str">
        <v>HEAT TRANSFER</v>
      </c>
      <c r="C386" s="7" t="str">
        <v>Forson Francis Kofi</v>
      </c>
      <c r="D386" s="38" t="s">
        <v>79</v>
      </c>
      <c r="E386" s="41">
        <v>222</v>
      </c>
      <c r="F386" s="21" t="s">
        <v>91</v>
      </c>
      <c r="G386" s="43">
        <f t="shared" si="99"/>
        <v>244.20000000000002</v>
      </c>
      <c r="H386" s="1" t="s">
        <v>618</v>
      </c>
      <c r="I386" s="5" t="str">
        <f t="shared" ref="I386:I389" si="101">CONCATENATE(A386,",",D386)</f>
        <v>ME 366,ED3-ME</v>
      </c>
      <c r="J386" s="6"/>
    </row>
    <row r="387" spans="1:10" ht="14.5" x14ac:dyDescent="0.35">
      <c r="A387" s="38" t="s">
        <v>617</v>
      </c>
      <c r="B387" s="39" t="str">
        <v>HEAT TRANSFER</v>
      </c>
      <c r="C387" s="7" t="str">
        <v>Forson Francis Kofi</v>
      </c>
      <c r="D387" s="38" t="s">
        <v>26</v>
      </c>
      <c r="E387" s="41">
        <v>76</v>
      </c>
      <c r="F387" s="47" t="s">
        <v>143</v>
      </c>
      <c r="G387" s="43">
        <f t="shared" si="99"/>
        <v>83.600000000000009</v>
      </c>
      <c r="H387" s="1" t="s">
        <v>28</v>
      </c>
      <c r="I387" s="5" t="str">
        <f t="shared" si="101"/>
        <v>ME 366,ED3-AERO</v>
      </c>
      <c r="J387" s="6"/>
    </row>
    <row r="388" spans="1:10" ht="14.5" x14ac:dyDescent="0.35">
      <c r="A388" s="38" t="s">
        <v>617</v>
      </c>
      <c r="B388" s="39" t="str">
        <v>HEAT TRANSFER</v>
      </c>
      <c r="C388" s="7" t="str">
        <v>Forson Francis Kofi</v>
      </c>
      <c r="D388" s="38" t="s">
        <v>116</v>
      </c>
      <c r="E388" s="41">
        <v>101</v>
      </c>
      <c r="F388" s="21" t="s">
        <v>209</v>
      </c>
      <c r="G388" s="43">
        <f t="shared" si="99"/>
        <v>111.10000000000001</v>
      </c>
      <c r="H388" s="1" t="s">
        <v>293</v>
      </c>
      <c r="I388" s="5" t="str">
        <f t="shared" si="101"/>
        <v>ME 366,ED3-AE</v>
      </c>
      <c r="J388" s="6"/>
    </row>
    <row r="389" spans="1:10" ht="14.5" x14ac:dyDescent="0.35">
      <c r="A389" s="38" t="s">
        <v>617</v>
      </c>
      <c r="B389" s="39" t="str">
        <v>HEAT TRANSFER</v>
      </c>
      <c r="C389" s="7" t="str">
        <v>Forson Francis Kofi</v>
      </c>
      <c r="D389" s="38" t="s">
        <v>114</v>
      </c>
      <c r="E389" s="41">
        <v>40</v>
      </c>
      <c r="F389" s="47" t="s">
        <v>99</v>
      </c>
      <c r="G389" s="43">
        <f t="shared" si="99"/>
        <v>44</v>
      </c>
      <c r="H389" s="1">
        <v>40</v>
      </c>
      <c r="I389" s="5" t="str">
        <f t="shared" si="101"/>
        <v>ME 366,ED3-MARI</v>
      </c>
      <c r="J389" s="6"/>
    </row>
    <row r="390" spans="1:10" s="46" customFormat="1" ht="14.5" x14ac:dyDescent="0.35">
      <c r="A390" s="38" t="s">
        <v>619</v>
      </c>
      <c r="B390" s="39" t="str">
        <v>ROBOTICS AND COMPUTER VISION</v>
      </c>
      <c r="C390" s="39" t="str">
        <v>Klogo Griffith Selorm</v>
      </c>
      <c r="D390" s="38" t="s">
        <v>282</v>
      </c>
      <c r="E390" s="41">
        <v>45</v>
      </c>
      <c r="F390" s="47" t="s">
        <v>54</v>
      </c>
      <c r="G390" s="43">
        <f>E390*1.1</f>
        <v>49.500000000000007</v>
      </c>
      <c r="H390" s="1">
        <v>45</v>
      </c>
      <c r="I390" s="44" t="str">
        <f>CONCATENATE(A390,",",D390)</f>
        <v>COE 458,ED4-COE</v>
      </c>
      <c r="J390" s="45"/>
    </row>
    <row r="391" spans="1:10" ht="14.5" x14ac:dyDescent="0.35">
      <c r="A391" s="38" t="s">
        <v>620</v>
      </c>
      <c r="B391" s="7" t="str">
        <v>INTRODUCTORY GEOLOGY</v>
      </c>
      <c r="C391" s="7" t="str">
        <v>Gawu Simon Kafui Yawo</v>
      </c>
      <c r="D391" s="38" t="s">
        <v>159</v>
      </c>
      <c r="E391" s="41">
        <v>75</v>
      </c>
      <c r="F391" s="47" t="s">
        <v>65</v>
      </c>
      <c r="G391" s="43">
        <f>E391*1.1</f>
        <v>82.5</v>
      </c>
      <c r="H391" s="1">
        <v>75</v>
      </c>
      <c r="I391" s="5" t="str">
        <f>CONCATENATE(A391,",",D391)</f>
        <v>GED 162,ED1-METE</v>
      </c>
      <c r="J391" s="6"/>
    </row>
    <row r="392" spans="1:10" s="53" customFormat="1" ht="14.5" x14ac:dyDescent="0.35">
      <c r="A392" s="48" t="s">
        <v>621</v>
      </c>
      <c r="B392" s="51" t="str">
        <v>PETROLEUM BUSINESS: STRUCTURES, LOGISTICS</v>
      </c>
      <c r="C392" s="51" t="str">
        <v>Quaye Jonathan Atuquaye</v>
      </c>
      <c r="D392" s="48" t="s">
        <v>205</v>
      </c>
      <c r="E392" s="42">
        <v>77</v>
      </c>
      <c r="F392" s="48" t="s">
        <v>65</v>
      </c>
      <c r="G392" s="49">
        <f t="shared" ref="G392" si="102">E392*1.1</f>
        <v>84.7</v>
      </c>
      <c r="H392" s="50">
        <v>77</v>
      </c>
      <c r="I392" s="66" t="str">
        <f t="shared" ref="I392" si="103">CONCATENATE(A392,",",D392)</f>
        <v>PE 468,ED4-PE</v>
      </c>
      <c r="J392" s="52"/>
    </row>
    <row r="393" spans="1:10" s="53" customFormat="1" ht="14.5" x14ac:dyDescent="0.35">
      <c r="A393" s="48" t="s">
        <v>622</v>
      </c>
      <c r="B393" s="40" t="str">
        <v>OIL &amp; GAS GEOLPHYSICS</v>
      </c>
      <c r="C393" s="51" t="str">
        <v>Quaye Jonathan Atuquaye</v>
      </c>
      <c r="D393" s="48" t="s">
        <v>101</v>
      </c>
      <c r="E393" s="42">
        <v>80</v>
      </c>
      <c r="F393" s="48" t="s">
        <v>63</v>
      </c>
      <c r="G393" s="49">
        <f t="shared" si="99"/>
        <v>88</v>
      </c>
      <c r="H393" s="50">
        <v>80</v>
      </c>
      <c r="I393" s="66" t="str">
        <f>CONCATENATE(A393,",",D393)</f>
        <v>PE 364,ED3-PE</v>
      </c>
      <c r="J393" s="52"/>
    </row>
    <row r="394" spans="1:10" ht="14.5" x14ac:dyDescent="0.35">
      <c r="A394" s="54"/>
      <c r="B394" s="54"/>
      <c r="D394" s="39" t="s">
        <v>623</v>
      </c>
      <c r="E394" s="55">
        <f>SUM(E382:E393)</f>
        <v>1130</v>
      </c>
      <c r="F394" s="56"/>
      <c r="G394" s="57"/>
      <c r="I394" s="2" t="s">
        <v>624</v>
      </c>
      <c r="J394" s="6"/>
    </row>
    <row r="395" spans="1:10" ht="14.5" x14ac:dyDescent="0.35">
      <c r="A395" s="123" t="s">
        <v>596</v>
      </c>
      <c r="B395" s="123"/>
      <c r="C395" s="123"/>
      <c r="D395" s="123"/>
      <c r="E395" s="123"/>
      <c r="F395" s="123"/>
      <c r="G395" s="123"/>
      <c r="I395" s="2" t="str">
        <f>A395</f>
        <v>Thursday, 27 August 2025</v>
      </c>
      <c r="J395" s="6"/>
    </row>
    <row r="396" spans="1:10" ht="14.5" x14ac:dyDescent="0.35">
      <c r="A396" s="123" t="s">
        <v>77</v>
      </c>
      <c r="B396" s="123"/>
      <c r="C396" s="123"/>
      <c r="D396" s="123"/>
      <c r="E396" s="123"/>
      <c r="F396" s="123"/>
      <c r="G396" s="123"/>
      <c r="I396" s="2" t="str">
        <f>A396</f>
        <v>Session, 3 (3:00 PM - 5:00 PM)</v>
      </c>
      <c r="J396" s="6"/>
    </row>
    <row r="397" spans="1:10" ht="14.5" x14ac:dyDescent="0.35">
      <c r="A397" s="35" t="s">
        <v>2</v>
      </c>
      <c r="B397" s="35" t="s">
        <v>3</v>
      </c>
      <c r="C397" s="32" t="s">
        <v>4</v>
      </c>
      <c r="D397" s="35" t="s">
        <v>5</v>
      </c>
      <c r="E397" s="36" t="s">
        <v>6</v>
      </c>
      <c r="F397" s="32" t="s">
        <v>7</v>
      </c>
      <c r="G397" s="37" t="s">
        <v>8</v>
      </c>
      <c r="I397" s="2" t="s">
        <v>36</v>
      </c>
      <c r="J397" s="6"/>
    </row>
    <row r="398" spans="1:10" s="53" customFormat="1" ht="14.5" x14ac:dyDescent="0.35">
      <c r="A398" s="48" t="s">
        <v>625</v>
      </c>
      <c r="B398" s="40" t="str" cm="1">
        <f t="array" ref="B398:B408">IFERROR(VLOOKUP(I398:I408,[5]Lectures_1!A2:F534,2,FALSE),0)</f>
        <v>MICROPROCESSORS</v>
      </c>
      <c r="C398" s="51" t="str" cm="1">
        <f t="array" ref="C398:C408">IFERROR(VLOOKUP(I398:I408,[5]Lectures_1!A2:F534,3,FALSE),0)</f>
        <v>Agyemang Justice Owusu</v>
      </c>
      <c r="D398" s="48" t="s">
        <v>273</v>
      </c>
      <c r="E398" s="42" cm="1">
        <f t="array" ref="E398:E408">IFERROR(VLOOKUP(I398:I408,[5]Lectures_1!A2:F534,4,FALSE),0)</f>
        <v>175</v>
      </c>
      <c r="F398" s="48" t="s">
        <v>419</v>
      </c>
      <c r="G398" s="49">
        <f t="shared" ref="G398:G408" si="104">E398*1.1</f>
        <v>192.50000000000003</v>
      </c>
      <c r="H398" s="50" t="s">
        <v>626</v>
      </c>
      <c r="I398" s="66" t="str">
        <f t="shared" ref="I398:I408" si="105">CONCATENATE(A398,",",D398)</f>
        <v>TE 258,ED2-TEL</v>
      </c>
      <c r="J398" s="52"/>
    </row>
    <row r="399" spans="1:10" s="53" customFormat="1" ht="14.5" x14ac:dyDescent="0.35">
      <c r="A399" s="48" t="s">
        <v>605</v>
      </c>
      <c r="B399" s="40" t="str">
        <v>STRENGTH OF MATERIALS FOR CHEMICAL ENGINEERS</v>
      </c>
      <c r="C399" s="51" t="str">
        <v>Baidoo Martina Francisca</v>
      </c>
      <c r="D399" s="48" t="s">
        <v>14</v>
      </c>
      <c r="E399" s="42">
        <v>65</v>
      </c>
      <c r="F399" s="48" t="s">
        <v>65</v>
      </c>
      <c r="G399" s="49">
        <f>E399*1.1</f>
        <v>71.5</v>
      </c>
      <c r="H399" s="50">
        <v>65</v>
      </c>
      <c r="I399" s="66" t="str">
        <f>CONCATENATE(A399,",",D399)</f>
        <v>CHE 250,ED2-PCE</v>
      </c>
      <c r="J399" s="52"/>
    </row>
    <row r="400" spans="1:10" s="11" customFormat="1" ht="14.5" x14ac:dyDescent="0.35">
      <c r="A400" s="38" t="s">
        <v>627</v>
      </c>
      <c r="B400" s="7" t="str">
        <v>POWER SYSTEMS PLANNING AND OPTIMIZATION</v>
      </c>
      <c r="C400" s="7" t="str">
        <v>Antoh Emmanuel Kwaku</v>
      </c>
      <c r="D400" s="38" t="s">
        <v>220</v>
      </c>
      <c r="E400" s="41">
        <v>165</v>
      </c>
      <c r="F400" s="47" t="s">
        <v>415</v>
      </c>
      <c r="G400" s="43">
        <f t="shared" si="104"/>
        <v>181.50000000000003</v>
      </c>
      <c r="H400" s="1" t="s">
        <v>628</v>
      </c>
      <c r="I400" s="18" t="str">
        <f t="shared" si="105"/>
        <v>EE 466,ED4-EE</v>
      </c>
      <c r="J400" s="19"/>
    </row>
    <row r="401" spans="1:13" ht="14.5" x14ac:dyDescent="0.35">
      <c r="A401" s="38" t="s">
        <v>629</v>
      </c>
      <c r="B401" s="7" t="str">
        <v>BASIC MINERAL SCIENCE</v>
      </c>
      <c r="C401" s="7" t="str">
        <v>Appiah-Adjei Emmanuel Kwame</v>
      </c>
      <c r="D401" s="38" t="s">
        <v>64</v>
      </c>
      <c r="E401" s="41">
        <v>125</v>
      </c>
      <c r="F401" s="47" t="s">
        <v>630</v>
      </c>
      <c r="G401" s="43">
        <f t="shared" si="104"/>
        <v>137.5</v>
      </c>
      <c r="H401" s="1" t="s">
        <v>631</v>
      </c>
      <c r="I401" s="5" t="str">
        <f t="shared" si="105"/>
        <v>GED 152,ED1-GEOL</v>
      </c>
      <c r="J401" s="6"/>
    </row>
    <row r="402" spans="1:13" s="11" customFormat="1" ht="14.5" x14ac:dyDescent="0.35">
      <c r="A402" s="38" t="s">
        <v>632</v>
      </c>
      <c r="B402" s="39" t="str">
        <v>AEROSPACE STRUCTURES</v>
      </c>
      <c r="C402" s="7" t="str">
        <v>Agyei Agyemang Anthony</v>
      </c>
      <c r="D402" s="80" t="s">
        <v>41</v>
      </c>
      <c r="E402" s="41">
        <v>75</v>
      </c>
      <c r="F402" s="47" t="s">
        <v>143</v>
      </c>
      <c r="G402" s="43">
        <f t="shared" si="104"/>
        <v>82.5</v>
      </c>
      <c r="H402" s="1" t="s">
        <v>633</v>
      </c>
      <c r="I402" s="5" t="str">
        <f t="shared" si="105"/>
        <v>AERO 256,ED2-AERO</v>
      </c>
      <c r="J402" s="6"/>
      <c r="K402" s="4"/>
      <c r="L402" s="4"/>
      <c r="M402" s="4"/>
    </row>
    <row r="403" spans="1:13" s="15" customFormat="1" ht="14.5" x14ac:dyDescent="0.35">
      <c r="A403" s="38" t="s">
        <v>634</v>
      </c>
      <c r="B403" s="7" t="str">
        <v>MECHANICS OF MATERIALS</v>
      </c>
      <c r="C403" s="7" t="str">
        <v>Mensah-Darkwa Kwadwo</v>
      </c>
      <c r="D403" s="38" t="s">
        <v>212</v>
      </c>
      <c r="E403" s="41">
        <v>85</v>
      </c>
      <c r="F403" s="82" t="s">
        <v>568</v>
      </c>
      <c r="G403" s="43">
        <f t="shared" si="104"/>
        <v>93.500000000000014</v>
      </c>
      <c r="H403" s="10" t="s">
        <v>635</v>
      </c>
      <c r="I403" s="13" t="str">
        <f t="shared" si="105"/>
        <v>MSE 360,ED3-MSE</v>
      </c>
      <c r="J403" s="14"/>
    </row>
    <row r="404" spans="1:13" ht="14.5" x14ac:dyDescent="0.35">
      <c r="A404" s="38" t="s">
        <v>636</v>
      </c>
      <c r="B404" s="39" t="str">
        <v>HEAT AND MASS TRANSPORT</v>
      </c>
      <c r="C404" s="7" t="str">
        <v>Agyemang Frank Ofori</v>
      </c>
      <c r="D404" s="38" t="s">
        <v>208</v>
      </c>
      <c r="E404" s="41">
        <v>83</v>
      </c>
      <c r="F404" s="47" t="s">
        <v>637</v>
      </c>
      <c r="G404" s="43">
        <f>E404*1.1</f>
        <v>91.300000000000011</v>
      </c>
      <c r="H404" s="1" t="s">
        <v>638</v>
      </c>
      <c r="I404" s="5" t="str">
        <f t="shared" si="105"/>
        <v>MSE 252,ED2-MSE</v>
      </c>
      <c r="J404" s="6"/>
    </row>
    <row r="405" spans="1:13" ht="14.5" x14ac:dyDescent="0.35">
      <c r="A405" s="38" t="s">
        <v>636</v>
      </c>
      <c r="B405" s="39" t="str">
        <v>HEAT AND MASS TRANSPORT</v>
      </c>
      <c r="C405" s="7" t="str">
        <v>Agyemang Frank Ofori</v>
      </c>
      <c r="D405" s="38" t="s">
        <v>176</v>
      </c>
      <c r="E405" s="41">
        <v>57</v>
      </c>
      <c r="F405" s="47" t="s">
        <v>15</v>
      </c>
      <c r="G405" s="43">
        <f>E405*1.1</f>
        <v>62.7</v>
      </c>
      <c r="H405" s="1" t="s">
        <v>639</v>
      </c>
      <c r="I405" s="5" t="str">
        <f t="shared" si="105"/>
        <v>MSE 252,ED2-METE</v>
      </c>
      <c r="J405" s="6"/>
    </row>
    <row r="406" spans="1:13" ht="14.5" x14ac:dyDescent="0.35">
      <c r="A406" s="38" t="s">
        <v>640</v>
      </c>
      <c r="B406" s="39" t="str">
        <v>RENEWABLE ENERGY RESOURCES</v>
      </c>
      <c r="C406" s="7" t="str">
        <v>Baah-Ennumh Emmanuel Kwaku</v>
      </c>
      <c r="D406" s="38" t="s">
        <v>124</v>
      </c>
      <c r="E406" s="41">
        <v>20</v>
      </c>
      <c r="F406" s="1" t="s">
        <v>426</v>
      </c>
      <c r="G406" s="43">
        <f>E406*1.1</f>
        <v>22</v>
      </c>
      <c r="H406" s="1">
        <v>20</v>
      </c>
      <c r="I406" s="5" t="str">
        <f t="shared" si="105"/>
        <v>CHE 366,ED3-PCE</v>
      </c>
      <c r="J406" s="6"/>
    </row>
    <row r="407" spans="1:13" ht="14.5" x14ac:dyDescent="0.35">
      <c r="A407" s="38" t="s">
        <v>641</v>
      </c>
      <c r="B407" s="39" t="str">
        <v>ANTENNA THEORY AND DESIGN</v>
      </c>
      <c r="C407" s="7" t="str">
        <v>Ellis Sani Mubarak</v>
      </c>
      <c r="D407" s="38" t="s">
        <v>168</v>
      </c>
      <c r="E407" s="41">
        <v>140</v>
      </c>
      <c r="F407" s="47" t="s">
        <v>415</v>
      </c>
      <c r="G407" s="43">
        <f>E407*1.1</f>
        <v>154</v>
      </c>
      <c r="H407" s="1" t="s">
        <v>642</v>
      </c>
      <c r="I407" s="5" t="str">
        <f t="shared" si="105"/>
        <v>TE 354,ED3-TEL</v>
      </c>
      <c r="J407" s="6"/>
    </row>
    <row r="408" spans="1:13" ht="14.5" x14ac:dyDescent="0.35">
      <c r="A408" s="38" t="s">
        <v>643</v>
      </c>
      <c r="B408" s="7" t="str">
        <v>PRINCIPLES OF LAND SURVEYING AND HYDROGRAPHIC SCIENCE</v>
      </c>
      <c r="C408" s="7" t="str">
        <v>Asante Cosmas Yaw</v>
      </c>
      <c r="D408" s="47" t="s">
        <v>126</v>
      </c>
      <c r="E408" s="41">
        <v>95</v>
      </c>
      <c r="F408" s="47" t="s">
        <v>137</v>
      </c>
      <c r="G408" s="43">
        <f t="shared" si="104"/>
        <v>104.50000000000001</v>
      </c>
      <c r="H408" s="1" t="s">
        <v>644</v>
      </c>
      <c r="I408" s="5" t="str">
        <f t="shared" si="105"/>
        <v>PE 264,ED2-PE</v>
      </c>
      <c r="J408" s="6"/>
    </row>
    <row r="409" spans="1:13" ht="14.5" x14ac:dyDescent="0.35">
      <c r="A409" s="54"/>
      <c r="B409" s="56"/>
      <c r="D409" s="39" t="s">
        <v>645</v>
      </c>
      <c r="E409" s="55">
        <f>SUM(E398:E408)</f>
        <v>1085</v>
      </c>
      <c r="F409" s="56"/>
      <c r="G409" s="57"/>
      <c r="I409" s="2" t="s">
        <v>646</v>
      </c>
      <c r="J409" s="6"/>
    </row>
    <row r="410" spans="1:13" ht="14.5" x14ac:dyDescent="0.35">
      <c r="A410" s="123" t="s">
        <v>647</v>
      </c>
      <c r="B410" s="123"/>
      <c r="C410" s="123"/>
      <c r="D410" s="123"/>
      <c r="E410" s="123"/>
      <c r="F410" s="123"/>
      <c r="G410" s="123"/>
      <c r="I410" s="2" t="str">
        <f>A410</f>
        <v>Friday, 28 August 2026</v>
      </c>
      <c r="J410" s="6"/>
    </row>
    <row r="411" spans="1:13" ht="14.5" x14ac:dyDescent="0.35">
      <c r="A411" s="123" t="s">
        <v>1</v>
      </c>
      <c r="B411" s="123"/>
      <c r="C411" s="123"/>
      <c r="D411" s="123"/>
      <c r="E411" s="123"/>
      <c r="F411" s="123"/>
      <c r="G411" s="123"/>
      <c r="I411" s="2" t="str">
        <f>A411</f>
        <v>Session, 1 (8:30 AM - 10:30 AM)</v>
      </c>
      <c r="J411" s="6"/>
    </row>
    <row r="412" spans="1:13" ht="14.5" x14ac:dyDescent="0.35">
      <c r="A412" s="35" t="s">
        <v>2</v>
      </c>
      <c r="B412" s="35" t="s">
        <v>3</v>
      </c>
      <c r="C412" s="32" t="s">
        <v>4</v>
      </c>
      <c r="D412" s="35" t="s">
        <v>5</v>
      </c>
      <c r="E412" s="36" t="s">
        <v>6</v>
      </c>
      <c r="F412" s="32" t="s">
        <v>7</v>
      </c>
      <c r="G412" s="37" t="s">
        <v>8</v>
      </c>
      <c r="I412" s="2" t="s">
        <v>36</v>
      </c>
      <c r="J412" s="6"/>
    </row>
    <row r="413" spans="1:13" s="46" customFormat="1" ht="14.5" x14ac:dyDescent="0.35">
      <c r="A413" s="58" t="s">
        <v>648</v>
      </c>
      <c r="B413" s="59" t="str" cm="1">
        <f t="array" ref="B413:B425">IFERROR(VLOOKUP(I413:I425,[5]Lectures_1!A2:F534,2,FALSE),0)</f>
        <v>COMMUNICATION SKILLS II</v>
      </c>
      <c r="C413" s="59" t="str" cm="1">
        <f t="array" ref="C413:C425">IFERROR(VLOOKUP(I413:I425,[5]Lectures_1!A2:F534,3,FALSE),0)</f>
        <v>Yeboah Philomena Ama Okyeso</v>
      </c>
      <c r="D413" s="58" t="s">
        <v>305</v>
      </c>
      <c r="E413" s="62" cm="1">
        <f t="array" ref="E413:E425">IFERROR(VLOOKUP(I413:I425,[5]Lectures_1!A2:F534,4,FALSE),0)</f>
        <v>70</v>
      </c>
      <c r="F413" s="127" t="s">
        <v>39</v>
      </c>
      <c r="G413" s="63">
        <f>E413*1.1</f>
        <v>77</v>
      </c>
      <c r="H413" s="64"/>
      <c r="I413" s="44" t="str">
        <f t="shared" ref="I413:I425" si="106">CONCATENATE(A413,",",D413)</f>
        <v>ENGL 158,ED1-AERO</v>
      </c>
      <c r="J413" s="45"/>
    </row>
    <row r="414" spans="1:13" s="46" customFormat="1" ht="14.5" x14ac:dyDescent="0.35">
      <c r="A414" s="58" t="s">
        <v>648</v>
      </c>
      <c r="B414" s="59" t="str">
        <v>COMMUNICATION SKILLS II</v>
      </c>
      <c r="C414" s="59" t="str">
        <v>Yeboah Philomena Ama Okyeso</v>
      </c>
      <c r="D414" s="58" t="s">
        <v>246</v>
      </c>
      <c r="E414" s="62">
        <v>128</v>
      </c>
      <c r="F414" s="127"/>
      <c r="G414" s="63">
        <f t="shared" ref="G414:G418" si="107">E414*1.1</f>
        <v>140.80000000000001</v>
      </c>
      <c r="H414" s="64"/>
      <c r="I414" s="44" t="str">
        <f t="shared" si="106"/>
        <v>ENGL 158,ED1-AE</v>
      </c>
      <c r="J414" s="45"/>
    </row>
    <row r="415" spans="1:13" s="46" customFormat="1" ht="14.5" x14ac:dyDescent="0.35">
      <c r="A415" s="58" t="s">
        <v>648</v>
      </c>
      <c r="B415" s="59" t="str">
        <v>COMMUNICATION SKILLS II</v>
      </c>
      <c r="C415" s="59" t="str">
        <v>Yeboah Philomena Ama Okyeso</v>
      </c>
      <c r="D415" s="58" t="s">
        <v>190</v>
      </c>
      <c r="E415" s="62">
        <v>136</v>
      </c>
      <c r="F415" s="127"/>
      <c r="G415" s="63">
        <f t="shared" si="107"/>
        <v>149.60000000000002</v>
      </c>
      <c r="H415" s="64"/>
      <c r="I415" s="44" t="str">
        <f t="shared" si="106"/>
        <v>ENGL 158,ED1-BME</v>
      </c>
      <c r="J415" s="45"/>
    </row>
    <row r="416" spans="1:13" s="46" customFormat="1" ht="14.5" x14ac:dyDescent="0.35">
      <c r="A416" s="58" t="s">
        <v>648</v>
      </c>
      <c r="B416" s="59" t="str">
        <v>COMMUNICATION SKILLS II</v>
      </c>
      <c r="C416" s="60" t="str">
        <v>Patricia Gustafson-Asamoah</v>
      </c>
      <c r="D416" s="58" t="s">
        <v>67</v>
      </c>
      <c r="E416" s="62">
        <v>245</v>
      </c>
      <c r="F416" s="127"/>
      <c r="G416" s="63">
        <f>E416*1.1</f>
        <v>269.5</v>
      </c>
      <c r="H416" s="64"/>
      <c r="I416" s="44" t="str">
        <f>CONCATENATE(A416,",",D416)</f>
        <v>ENGL 158,ED1-CE</v>
      </c>
      <c r="J416" s="45"/>
    </row>
    <row r="417" spans="1:10" s="46" customFormat="1" ht="14.5" x14ac:dyDescent="0.35">
      <c r="A417" s="58" t="s">
        <v>648</v>
      </c>
      <c r="B417" s="59" t="str">
        <v>COMMUNICATION  SKILLS II</v>
      </c>
      <c r="C417" s="59" t="str">
        <v>Yeboah Philomena Ama Okyeso</v>
      </c>
      <c r="D417" s="58" t="s">
        <v>109</v>
      </c>
      <c r="E417" s="62">
        <v>120</v>
      </c>
      <c r="F417" s="127"/>
      <c r="G417" s="63">
        <f t="shared" si="107"/>
        <v>132</v>
      </c>
      <c r="H417" s="64"/>
      <c r="I417" s="44" t="str">
        <f t="shared" si="106"/>
        <v>ENGL 158,ED1-CHE</v>
      </c>
      <c r="J417" s="45"/>
    </row>
    <row r="418" spans="1:10" s="46" customFormat="1" ht="14.5" x14ac:dyDescent="0.35">
      <c r="A418" s="58" t="s">
        <v>648</v>
      </c>
      <c r="B418" s="59" t="str">
        <v>COMMUNICATION SKILLS II</v>
      </c>
      <c r="C418" s="59" t="str">
        <v>Bernard Ampong</v>
      </c>
      <c r="D418" s="58" t="s">
        <v>22</v>
      </c>
      <c r="E418" s="62">
        <v>262</v>
      </c>
      <c r="F418" s="127"/>
      <c r="G418" s="63">
        <f t="shared" si="107"/>
        <v>288.20000000000005</v>
      </c>
      <c r="H418" s="64"/>
      <c r="I418" s="44" t="str">
        <f t="shared" si="106"/>
        <v>ENGL 158,ED1-COE</v>
      </c>
      <c r="J418" s="45"/>
    </row>
    <row r="419" spans="1:10" s="53" customFormat="1" ht="14.5" x14ac:dyDescent="0.35">
      <c r="A419" s="48" t="s">
        <v>649</v>
      </c>
      <c r="B419" s="40" t="str">
        <v>AC MACHINES</v>
      </c>
      <c r="C419" s="51" t="str">
        <v>Asigri Peter</v>
      </c>
      <c r="D419" s="48" t="s">
        <v>30</v>
      </c>
      <c r="E419" s="42">
        <v>340</v>
      </c>
      <c r="F419" s="104" t="s">
        <v>23</v>
      </c>
      <c r="G419" s="49">
        <f>E419*1.1</f>
        <v>374.00000000000006</v>
      </c>
      <c r="H419" s="50" t="s">
        <v>544</v>
      </c>
      <c r="I419" s="66" t="str">
        <f t="shared" si="106"/>
        <v>EE 262,ED2-EE</v>
      </c>
      <c r="J419" s="52"/>
    </row>
    <row r="420" spans="1:10" ht="14.5" x14ac:dyDescent="0.35">
      <c r="A420" s="38" t="s">
        <v>650</v>
      </c>
      <c r="B420" s="35" t="str">
        <v>SOIL AND ROCK MECHANICS</v>
      </c>
      <c r="C420" s="7" t="str">
        <v>Frederick Owusu-Nimo</v>
      </c>
      <c r="D420" s="38" t="s">
        <v>73</v>
      </c>
      <c r="E420" s="96">
        <v>250</v>
      </c>
      <c r="F420" s="47" t="s">
        <v>19</v>
      </c>
      <c r="G420" s="43">
        <f t="shared" ref="G420:G425" si="108">E420*1.1</f>
        <v>275</v>
      </c>
      <c r="H420" s="1" t="s">
        <v>651</v>
      </c>
      <c r="I420" s="5" t="str">
        <f t="shared" si="106"/>
        <v>CE 260,ED2-CE</v>
      </c>
      <c r="J420" s="6"/>
    </row>
    <row r="421" spans="1:10" ht="14.5" x14ac:dyDescent="0.35">
      <c r="A421" s="38" t="s">
        <v>650</v>
      </c>
      <c r="B421" s="35" t="str">
        <v>SOIL AND ROCK MECHANICS</v>
      </c>
      <c r="C421" s="7" t="str">
        <v>Owusu-Nimo Frederick</v>
      </c>
      <c r="D421" s="38" t="s">
        <v>270</v>
      </c>
      <c r="E421" s="96">
        <v>132</v>
      </c>
      <c r="F421" s="21" t="s">
        <v>455</v>
      </c>
      <c r="G421" s="43">
        <f t="shared" si="108"/>
        <v>145.20000000000002</v>
      </c>
      <c r="H421" s="1" t="s">
        <v>652</v>
      </c>
      <c r="I421" s="5" t="str">
        <f t="shared" si="106"/>
        <v>CE 260,ED2-GEOM</v>
      </c>
      <c r="J421" s="6"/>
    </row>
    <row r="422" spans="1:10" ht="14.5" x14ac:dyDescent="0.35">
      <c r="A422" s="38" t="s">
        <v>653</v>
      </c>
      <c r="B422" s="7" t="str">
        <v>BIOSIGNAL PROCESSES AND ANALYSIS</v>
      </c>
      <c r="C422" s="7" t="str">
        <v>Adjei Prince Ebenezer</v>
      </c>
      <c r="D422" s="38" t="s">
        <v>130</v>
      </c>
      <c r="E422" s="41">
        <v>90</v>
      </c>
      <c r="F422" s="47" t="s">
        <v>137</v>
      </c>
      <c r="G422" s="43">
        <f t="shared" si="108"/>
        <v>99.000000000000014</v>
      </c>
      <c r="H422" s="1" t="s">
        <v>418</v>
      </c>
      <c r="I422" s="5" t="str">
        <f t="shared" si="106"/>
        <v>BME 366,ED3-BME</v>
      </c>
      <c r="J422" s="6"/>
    </row>
    <row r="423" spans="1:10" ht="14.5" x14ac:dyDescent="0.35">
      <c r="A423" s="38" t="s">
        <v>654</v>
      </c>
      <c r="B423" s="39" t="str">
        <v>OPTICAL MINERALOGY</v>
      </c>
      <c r="C423" s="7" t="str">
        <v>Wilson Matthew Coffie</v>
      </c>
      <c r="D423" s="38" t="s">
        <v>70</v>
      </c>
      <c r="E423" s="41">
        <v>150</v>
      </c>
      <c r="F423" s="21" t="s">
        <v>655</v>
      </c>
      <c r="G423" s="43">
        <f t="shared" si="108"/>
        <v>165</v>
      </c>
      <c r="H423" s="1" t="s">
        <v>656</v>
      </c>
      <c r="I423" s="5" t="str">
        <f t="shared" si="106"/>
        <v>GED 258,ED2-GEOL</v>
      </c>
      <c r="J423" s="6"/>
    </row>
    <row r="424" spans="1:10" ht="14.5" x14ac:dyDescent="0.35">
      <c r="A424" s="38" t="s">
        <v>657</v>
      </c>
      <c r="B424" s="39" t="str">
        <v>THEORY OF MACHINES</v>
      </c>
      <c r="C424" s="7" t="str">
        <v>Adam Faisal Wahib</v>
      </c>
      <c r="D424" s="38" t="s">
        <v>56</v>
      </c>
      <c r="E424" s="41">
        <v>155</v>
      </c>
      <c r="F424" s="21" t="s">
        <v>658</v>
      </c>
      <c r="G424" s="43">
        <f t="shared" si="108"/>
        <v>170.5</v>
      </c>
      <c r="H424" s="1" t="s">
        <v>659</v>
      </c>
      <c r="I424" s="5" t="str">
        <f t="shared" si="106"/>
        <v>ME 262,ED2-AE</v>
      </c>
      <c r="J424" s="6"/>
    </row>
    <row r="425" spans="1:10" ht="14.5" x14ac:dyDescent="0.35">
      <c r="A425" s="38" t="s">
        <v>660</v>
      </c>
      <c r="B425" s="39" t="str">
        <v>PACKAGING TECHNOLOGY</v>
      </c>
      <c r="C425" s="7" t="str">
        <v>Baah-Ennumh Emmanuel Kwaku</v>
      </c>
      <c r="D425" s="38" t="s">
        <v>59</v>
      </c>
      <c r="E425" s="41">
        <v>45</v>
      </c>
      <c r="F425" s="47" t="s">
        <v>50</v>
      </c>
      <c r="G425" s="43">
        <f t="shared" si="108"/>
        <v>49.500000000000007</v>
      </c>
      <c r="H425" s="1" t="s">
        <v>661</v>
      </c>
      <c r="I425" s="5" t="str">
        <f t="shared" si="106"/>
        <v>CHE 364,ED3-CHE</v>
      </c>
      <c r="J425" s="6"/>
    </row>
    <row r="426" spans="1:10" ht="14.5" x14ac:dyDescent="0.35">
      <c r="A426" s="54"/>
      <c r="B426" s="54"/>
      <c r="D426" s="39" t="s">
        <v>662</v>
      </c>
      <c r="E426" s="55">
        <f>SUM(E419:E425)</f>
        <v>1162</v>
      </c>
      <c r="F426" s="56"/>
      <c r="G426" s="57"/>
      <c r="I426" s="2"/>
      <c r="J426" s="6"/>
    </row>
    <row r="427" spans="1:10" ht="14.5" x14ac:dyDescent="0.35">
      <c r="A427" s="123" t="s">
        <v>647</v>
      </c>
      <c r="B427" s="123"/>
      <c r="C427" s="123"/>
      <c r="D427" s="123"/>
      <c r="E427" s="123"/>
      <c r="F427" s="123"/>
      <c r="G427" s="123"/>
      <c r="I427" s="2" t="str">
        <f>A427</f>
        <v>Friday, 28 August 2026</v>
      </c>
      <c r="J427" s="6"/>
    </row>
    <row r="428" spans="1:10" ht="14.5" x14ac:dyDescent="0.35">
      <c r="A428" s="123" t="s">
        <v>35</v>
      </c>
      <c r="B428" s="123"/>
      <c r="C428" s="123"/>
      <c r="D428" s="123"/>
      <c r="E428" s="123"/>
      <c r="F428" s="123"/>
      <c r="G428" s="123"/>
      <c r="I428" s="2" t="str">
        <f>A428</f>
        <v>Session, 2 (12:00 PM - 2:00 PM)</v>
      </c>
      <c r="J428" s="6"/>
    </row>
    <row r="429" spans="1:10" ht="14.5" x14ac:dyDescent="0.35">
      <c r="A429" s="35" t="s">
        <v>2</v>
      </c>
      <c r="B429" s="35" t="s">
        <v>3</v>
      </c>
      <c r="C429" s="32" t="s">
        <v>4</v>
      </c>
      <c r="D429" s="35" t="s">
        <v>5</v>
      </c>
      <c r="E429" s="36" t="s">
        <v>6</v>
      </c>
      <c r="F429" s="32" t="s">
        <v>7</v>
      </c>
      <c r="G429" s="37" t="s">
        <v>8</v>
      </c>
      <c r="I429" s="2" t="s">
        <v>36</v>
      </c>
      <c r="J429" s="6"/>
    </row>
    <row r="430" spans="1:10" s="46" customFormat="1" ht="14.5" x14ac:dyDescent="0.35">
      <c r="A430" s="58" t="s">
        <v>648</v>
      </c>
      <c r="B430" s="59" t="str" cm="1">
        <f t="array" ref="B430:B447">IFERROR(VLOOKUP(I430:I447,[5]Lectures_1!A2:F534,2,FALSE),0)</f>
        <v>COMMUNICATION SKILLS II</v>
      </c>
      <c r="C430" s="59" t="str" cm="1">
        <f t="array" ref="C430:C447">IFERROR(VLOOKUP(I430:I447,[5]Lectures_1!A2:F534,3,FALSE),0)</f>
        <v>Yeboah Philomena Ama Okyeso</v>
      </c>
      <c r="D430" s="58" t="s">
        <v>110</v>
      </c>
      <c r="E430" s="62" cm="1">
        <f t="array" ref="E430:E447">IFERROR(VLOOKUP(I430:I447,[5]Lectures_1!A2:F534,4,FALSE),0)</f>
        <v>56</v>
      </c>
      <c r="F430" s="127" t="s">
        <v>663</v>
      </c>
      <c r="G430" s="63">
        <f>E430*1.1</f>
        <v>61.600000000000009</v>
      </c>
      <c r="H430" s="64"/>
      <c r="I430" s="44" t="str">
        <f>CONCATENATE(A430,",",D430)</f>
        <v>ENGL 158,ED1-PCE</v>
      </c>
      <c r="J430" s="45"/>
    </row>
    <row r="431" spans="1:10" s="46" customFormat="1" ht="14.5" x14ac:dyDescent="0.35">
      <c r="A431" s="58" t="s">
        <v>648</v>
      </c>
      <c r="B431" s="59" t="str">
        <v>COMMUNICATION SKILLS II</v>
      </c>
      <c r="C431" s="59" t="str">
        <v>Sarfo-Adu Kwasi</v>
      </c>
      <c r="D431" s="58" t="s">
        <v>253</v>
      </c>
      <c r="E431" s="62">
        <v>85</v>
      </c>
      <c r="F431" s="127"/>
      <c r="G431" s="63">
        <f>E431*1.1</f>
        <v>93.500000000000014</v>
      </c>
      <c r="H431" s="64"/>
      <c r="I431" s="44" t="str">
        <f>CONCATENATE(A431,",",D431)</f>
        <v>ENGL 158,ED1-AUTO</v>
      </c>
      <c r="J431" s="45"/>
    </row>
    <row r="432" spans="1:10" s="46" customFormat="1" ht="14.5" x14ac:dyDescent="0.35">
      <c r="A432" s="58" t="s">
        <v>648</v>
      </c>
      <c r="B432" s="59" t="str">
        <v>COMMUNICATION SKILLS II</v>
      </c>
      <c r="C432" s="60" t="str">
        <v>Yeboah Philomena Ama Okyeso</v>
      </c>
      <c r="D432" s="58" t="s">
        <v>199</v>
      </c>
      <c r="E432" s="62">
        <v>295</v>
      </c>
      <c r="F432" s="127"/>
      <c r="G432" s="63">
        <f t="shared" ref="G432:G447" si="109">E432*1.1</f>
        <v>324.5</v>
      </c>
      <c r="H432" s="64"/>
      <c r="I432" s="44" t="str">
        <f t="shared" ref="I432:I447" si="110">CONCATENATE(A432,",",D432)</f>
        <v>ENGL 158,ED1-EE</v>
      </c>
      <c r="J432" s="45"/>
    </row>
    <row r="433" spans="1:10" s="46" customFormat="1" ht="14.5" x14ac:dyDescent="0.35">
      <c r="A433" s="58" t="s">
        <v>648</v>
      </c>
      <c r="B433" s="59" t="str">
        <v>COMMUNICATION SKILLS II</v>
      </c>
      <c r="C433" s="105" t="str">
        <v>Yeboah Philomena Ama Okyeso</v>
      </c>
      <c r="D433" s="58" t="s">
        <v>152</v>
      </c>
      <c r="E433" s="62">
        <v>83</v>
      </c>
      <c r="F433" s="127"/>
      <c r="G433" s="63">
        <f t="shared" si="109"/>
        <v>91.300000000000011</v>
      </c>
      <c r="H433" s="64"/>
      <c r="I433" s="44" t="str">
        <f t="shared" si="110"/>
        <v>ENGL 158,ED1-IND</v>
      </c>
      <c r="J433" s="45"/>
    </row>
    <row r="434" spans="1:10" s="46" customFormat="1" ht="14.5" x14ac:dyDescent="0.35">
      <c r="A434" s="58" t="s">
        <v>648</v>
      </c>
      <c r="B434" s="59" t="str">
        <v>COMMUNICATION SKILLS II</v>
      </c>
      <c r="C434" s="60" t="str">
        <v>Yeboah Philomena Ama Okyeso</v>
      </c>
      <c r="D434" s="58" t="s">
        <v>64</v>
      </c>
      <c r="E434" s="62">
        <v>125</v>
      </c>
      <c r="F434" s="127"/>
      <c r="G434" s="63">
        <f t="shared" si="109"/>
        <v>137.5</v>
      </c>
      <c r="H434" s="64"/>
      <c r="I434" s="44" t="str">
        <f t="shared" si="110"/>
        <v>ENGL 158,ED1-GEOL</v>
      </c>
      <c r="J434" s="45"/>
    </row>
    <row r="435" spans="1:10" s="46" customFormat="1" ht="14.5" x14ac:dyDescent="0.35">
      <c r="A435" s="58" t="s">
        <v>648</v>
      </c>
      <c r="B435" s="105" t="str">
        <v>COMMUNICATION SKILLS II</v>
      </c>
      <c r="C435" s="105" t="str">
        <v>Alhassan Yakubu</v>
      </c>
      <c r="D435" s="58" t="s">
        <v>161</v>
      </c>
      <c r="E435" s="106">
        <v>100</v>
      </c>
      <c r="F435" s="127"/>
      <c r="G435" s="63">
        <f t="shared" si="109"/>
        <v>110.00000000000001</v>
      </c>
      <c r="H435" s="64"/>
      <c r="I435" s="44" t="str">
        <f t="shared" si="110"/>
        <v>ENGL 158,ED1-MSE</v>
      </c>
      <c r="J435" s="45"/>
    </row>
    <row r="436" spans="1:10" s="46" customFormat="1" ht="14.5" x14ac:dyDescent="0.35">
      <c r="A436" s="58" t="s">
        <v>648</v>
      </c>
      <c r="B436" s="105" t="str">
        <v>COMMUNICATION SKILLS II</v>
      </c>
      <c r="C436" s="105" t="str">
        <v>Yeboah Philomena Ama Okyeso</v>
      </c>
      <c r="D436" s="58" t="s">
        <v>62</v>
      </c>
      <c r="E436" s="106">
        <v>103</v>
      </c>
      <c r="F436" s="127"/>
      <c r="G436" s="63">
        <f t="shared" si="109"/>
        <v>113.30000000000001</v>
      </c>
      <c r="H436" s="64"/>
      <c r="I436" s="44" t="str">
        <f t="shared" si="110"/>
        <v>ENGL 158,ED1-GEOM</v>
      </c>
      <c r="J436" s="45"/>
    </row>
    <row r="437" spans="1:10" ht="14.5" x14ac:dyDescent="0.35">
      <c r="A437" s="38" t="s">
        <v>664</v>
      </c>
      <c r="B437" s="7" t="str">
        <v>MANAGEMENT AND ENTREPRENEURSHIP DEVELOPMENT</v>
      </c>
      <c r="C437" s="7" t="str">
        <v>Aikins Stephen Hill Mends</v>
      </c>
      <c r="D437" s="38" t="s">
        <v>282</v>
      </c>
      <c r="E437" s="41">
        <v>160</v>
      </c>
      <c r="F437" s="47" t="s">
        <v>238</v>
      </c>
      <c r="G437" s="43">
        <f t="shared" si="109"/>
        <v>176</v>
      </c>
      <c r="H437" s="1" t="s">
        <v>532</v>
      </c>
      <c r="I437" s="5" t="str">
        <f t="shared" si="110"/>
        <v>ME 492,ED4-COE</v>
      </c>
      <c r="J437" s="6"/>
    </row>
    <row r="438" spans="1:10" ht="14.5" x14ac:dyDescent="0.35">
      <c r="A438" s="38" t="s">
        <v>664</v>
      </c>
      <c r="B438" s="7" t="str">
        <v>ENTREPRENEURSHIP DEVELOPMENT AND MANAGEMENT</v>
      </c>
      <c r="C438" s="7" t="str">
        <v>Mensah Lena Dzifa</v>
      </c>
      <c r="D438" s="38" t="s">
        <v>220</v>
      </c>
      <c r="E438" s="41">
        <v>205</v>
      </c>
      <c r="F438" s="82" t="s">
        <v>665</v>
      </c>
      <c r="G438" s="43">
        <f t="shared" si="109"/>
        <v>225.50000000000003</v>
      </c>
      <c r="H438" s="1" t="s">
        <v>222</v>
      </c>
      <c r="I438" s="5" t="str">
        <f t="shared" si="110"/>
        <v>ME 492,ED4-EE</v>
      </c>
      <c r="J438" s="6"/>
    </row>
    <row r="439" spans="1:10" ht="14.5" x14ac:dyDescent="0.35">
      <c r="A439" s="38" t="s">
        <v>664</v>
      </c>
      <c r="B439" s="7" t="str">
        <v xml:space="preserve">ENTREPRENEURSHIP MANAGEMENT </v>
      </c>
      <c r="C439" s="7" t="str">
        <v>Asiedu Charlotte</v>
      </c>
      <c r="D439" s="38" t="s">
        <v>185</v>
      </c>
      <c r="E439" s="41">
        <v>69</v>
      </c>
      <c r="F439" s="47" t="s">
        <v>63</v>
      </c>
      <c r="G439" s="43">
        <f t="shared" si="109"/>
        <v>75.900000000000006</v>
      </c>
      <c r="H439" s="1">
        <v>69</v>
      </c>
      <c r="I439" s="5" t="str">
        <f t="shared" si="110"/>
        <v>ME 492,ED4-IND</v>
      </c>
      <c r="J439" s="6"/>
    </row>
    <row r="440" spans="1:10" ht="14.5" x14ac:dyDescent="0.35">
      <c r="A440" s="38" t="s">
        <v>664</v>
      </c>
      <c r="B440" s="7" t="str">
        <v>MANAGEMENT AND ENTREPRENEURSHIP DEVELOPMENT</v>
      </c>
      <c r="C440" s="7" t="str">
        <v>Mensah Lena Dzifa</v>
      </c>
      <c r="D440" s="38" t="s">
        <v>82</v>
      </c>
      <c r="E440" s="41">
        <v>135</v>
      </c>
      <c r="F440" s="82" t="s">
        <v>666</v>
      </c>
      <c r="G440" s="43">
        <f t="shared" si="109"/>
        <v>148.5</v>
      </c>
      <c r="H440" s="1" t="s">
        <v>667</v>
      </c>
      <c r="I440" s="5" t="str">
        <f t="shared" si="110"/>
        <v>ME 492,ED4-ME</v>
      </c>
      <c r="J440" s="6"/>
    </row>
    <row r="441" spans="1:10" ht="14.5" x14ac:dyDescent="0.35">
      <c r="A441" s="38" t="s">
        <v>664</v>
      </c>
      <c r="B441" s="7" t="str">
        <v>MANAGEMENT AND ENTREPRENEURSHIP DEVELOPMENT</v>
      </c>
      <c r="C441" s="7" t="str">
        <v>Mensah Lena Dzifa</v>
      </c>
      <c r="D441" s="38" t="s">
        <v>195</v>
      </c>
      <c r="E441" s="41">
        <v>55</v>
      </c>
      <c r="F441" s="47" t="s">
        <v>668</v>
      </c>
      <c r="G441" s="43">
        <f t="shared" si="109"/>
        <v>60.500000000000007</v>
      </c>
      <c r="H441" s="1" t="s">
        <v>515</v>
      </c>
      <c r="I441" s="5" t="str">
        <f t="shared" si="110"/>
        <v>ME 492,ED4-METE</v>
      </c>
      <c r="J441" s="6"/>
    </row>
    <row r="442" spans="1:10" ht="14.5" x14ac:dyDescent="0.35">
      <c r="A442" s="38" t="s">
        <v>664</v>
      </c>
      <c r="B442" s="7" t="str">
        <v>MANAGEMENT AND ENTREPRENEURSHIP DEVELOPMENT</v>
      </c>
      <c r="C442" s="7" t="str">
        <v>Mensah Lena Dzifa</v>
      </c>
      <c r="D442" s="38" t="s">
        <v>172</v>
      </c>
      <c r="E442" s="41">
        <v>61</v>
      </c>
      <c r="F442" s="47" t="s">
        <v>250</v>
      </c>
      <c r="G442" s="43">
        <f t="shared" si="109"/>
        <v>67.100000000000009</v>
      </c>
      <c r="H442" s="1" t="s">
        <v>174</v>
      </c>
      <c r="I442" s="5" t="str">
        <f t="shared" si="110"/>
        <v>ME 492,ED4-AERO</v>
      </c>
      <c r="J442" s="6"/>
    </row>
    <row r="443" spans="1:10" ht="14.5" x14ac:dyDescent="0.35">
      <c r="A443" s="38" t="s">
        <v>664</v>
      </c>
      <c r="B443" s="7" t="str">
        <v>MANAGEMENT AND ENTREPRENEURSHIP DEVELOPMENT</v>
      </c>
      <c r="C443" s="7" t="str">
        <v>Mensah Lena Dzifa</v>
      </c>
      <c r="D443" s="38" t="s">
        <v>292</v>
      </c>
      <c r="E443" s="41">
        <v>32</v>
      </c>
      <c r="F443" s="47" t="s">
        <v>54</v>
      </c>
      <c r="G443" s="43">
        <f t="shared" si="109"/>
        <v>35.200000000000003</v>
      </c>
      <c r="H443" s="1">
        <v>32</v>
      </c>
      <c r="I443" s="5" t="str">
        <f t="shared" si="110"/>
        <v>ME 492,ED4-AUTO</v>
      </c>
      <c r="J443" s="6"/>
    </row>
    <row r="444" spans="1:10" ht="14.5" x14ac:dyDescent="0.35">
      <c r="A444" s="38" t="s">
        <v>664</v>
      </c>
      <c r="B444" s="7" t="str">
        <v>ENTREPRENEURSHIP DEVELOPMENT</v>
      </c>
      <c r="C444" s="7" t="str">
        <v>Aikins Stephen Hill Mends</v>
      </c>
      <c r="D444" s="38" t="s">
        <v>438</v>
      </c>
      <c r="E444" s="41">
        <v>87</v>
      </c>
      <c r="F444" s="47" t="s">
        <v>162</v>
      </c>
      <c r="G444" s="43">
        <f t="shared" si="109"/>
        <v>95.7</v>
      </c>
      <c r="H444" s="1" t="s">
        <v>669</v>
      </c>
      <c r="I444" s="5" t="str">
        <f t="shared" si="110"/>
        <v>ME 492,ED4-BME</v>
      </c>
      <c r="J444" s="6"/>
    </row>
    <row r="445" spans="1:10" ht="14.5" x14ac:dyDescent="0.35">
      <c r="A445" s="38" t="s">
        <v>664</v>
      </c>
      <c r="B445" s="7" t="str">
        <v>MANAGEMENT AND ENTREPRENEURSHIP DEVELOPMENT</v>
      </c>
      <c r="C445" s="7" t="str">
        <v>Aikins Stephen Hill Mends</v>
      </c>
      <c r="D445" s="38" t="s">
        <v>136</v>
      </c>
      <c r="E445" s="41">
        <v>103</v>
      </c>
      <c r="F445" s="47" t="s">
        <v>137</v>
      </c>
      <c r="G445" s="43">
        <f t="shared" si="109"/>
        <v>113.30000000000001</v>
      </c>
      <c r="H445" s="1" t="s">
        <v>138</v>
      </c>
      <c r="I445" s="5" t="str">
        <f t="shared" si="110"/>
        <v>ME 492,ED4-AE</v>
      </c>
      <c r="J445" s="6"/>
    </row>
    <row r="446" spans="1:10" ht="14.5" x14ac:dyDescent="0.35">
      <c r="A446" s="38" t="s">
        <v>664</v>
      </c>
      <c r="B446" s="7" t="str">
        <v>MANAGEMENT AND ENTREPRENEURSHIP DEVELOPMENT</v>
      </c>
      <c r="C446" s="7" t="str">
        <v>Mensah Lena Dzifa</v>
      </c>
      <c r="D446" s="38" t="s">
        <v>194</v>
      </c>
      <c r="E446" s="41">
        <v>60</v>
      </c>
      <c r="F446" s="47" t="s">
        <v>65</v>
      </c>
      <c r="G446" s="43">
        <f t="shared" si="109"/>
        <v>66</v>
      </c>
      <c r="H446" s="1">
        <v>60</v>
      </c>
      <c r="I446" s="5" t="str">
        <f t="shared" si="110"/>
        <v>ME 492,ED4-MSE</v>
      </c>
      <c r="J446" s="6"/>
    </row>
    <row r="447" spans="1:10" ht="14.5" x14ac:dyDescent="0.35">
      <c r="A447" s="38" t="s">
        <v>664</v>
      </c>
      <c r="B447" s="7" t="str">
        <v>MANAGEMENT AND ENTREPRENEURSHIP DEVELOPMENT</v>
      </c>
      <c r="C447" s="7" t="str">
        <v>Intsiful Araba Kwegyirba</v>
      </c>
      <c r="D447" s="38" t="s">
        <v>349</v>
      </c>
      <c r="E447" s="41">
        <v>138</v>
      </c>
      <c r="F447" s="47" t="s">
        <v>670</v>
      </c>
      <c r="G447" s="43">
        <f t="shared" si="109"/>
        <v>151.80000000000001</v>
      </c>
      <c r="H447" s="1" t="s">
        <v>671</v>
      </c>
      <c r="I447" s="5" t="str">
        <f t="shared" si="110"/>
        <v>ME 492,ED4-TEL</v>
      </c>
      <c r="J447" s="6"/>
    </row>
    <row r="448" spans="1:10" ht="14.5" x14ac:dyDescent="0.35">
      <c r="A448" s="54"/>
      <c r="B448" s="54"/>
      <c r="D448" s="39" t="s">
        <v>672</v>
      </c>
      <c r="E448" s="55">
        <f>SUM(E437:E447)</f>
        <v>1105</v>
      </c>
      <c r="F448" s="56"/>
      <c r="G448" s="57"/>
      <c r="I448" s="2" t="s">
        <v>673</v>
      </c>
      <c r="J448" s="6"/>
    </row>
    <row r="449" spans="1:10" ht="14.5" x14ac:dyDescent="0.35">
      <c r="G449" s="107"/>
      <c r="J449" s="17"/>
    </row>
    <row r="450" spans="1:10" ht="14.5" x14ac:dyDescent="0.35">
      <c r="G450" s="107"/>
      <c r="J450" s="17"/>
    </row>
    <row r="451" spans="1:10" ht="14.5" x14ac:dyDescent="0.35">
      <c r="A451" s="123" t="s">
        <v>647</v>
      </c>
      <c r="B451" s="123"/>
      <c r="C451" s="123"/>
      <c r="D451" s="123"/>
      <c r="E451" s="123"/>
      <c r="F451" s="123"/>
      <c r="G451" s="123"/>
      <c r="I451" s="2" t="str">
        <f>A451</f>
        <v>Friday, 28 August 2026</v>
      </c>
      <c r="J451" s="6"/>
    </row>
    <row r="452" spans="1:10" ht="14.5" x14ac:dyDescent="0.35">
      <c r="A452" s="123" t="s">
        <v>77</v>
      </c>
      <c r="B452" s="123"/>
      <c r="C452" s="123"/>
      <c r="D452" s="123"/>
      <c r="E452" s="123"/>
      <c r="F452" s="123"/>
      <c r="G452" s="123"/>
      <c r="I452" s="2" t="str">
        <f>A452</f>
        <v>Session, 3 (3:00 PM - 5:00 PM)</v>
      </c>
      <c r="J452" s="6"/>
    </row>
    <row r="453" spans="1:10" ht="14.5" x14ac:dyDescent="0.35">
      <c r="A453" s="35" t="s">
        <v>2</v>
      </c>
      <c r="B453" s="35" t="s">
        <v>3</v>
      </c>
      <c r="C453" s="32" t="s">
        <v>4</v>
      </c>
      <c r="D453" s="35" t="s">
        <v>5</v>
      </c>
      <c r="E453" s="36" t="s">
        <v>6</v>
      </c>
      <c r="F453" s="32" t="s">
        <v>7</v>
      </c>
      <c r="G453" s="37" t="s">
        <v>8</v>
      </c>
      <c r="I453" s="2" t="s">
        <v>36</v>
      </c>
      <c r="J453" s="6"/>
    </row>
    <row r="454" spans="1:10" s="46" customFormat="1" ht="14.5" x14ac:dyDescent="0.35">
      <c r="A454" s="58" t="s">
        <v>648</v>
      </c>
      <c r="B454" s="105" t="str" cm="1">
        <f t="array" ref="B454:B466">IFERROR(VLOOKUP(I454:I466,[5]Lectures_1!A2:F534,2,FALSE),0)</f>
        <v>COMMUNICATION SKILLS II</v>
      </c>
      <c r="C454" s="105" t="str" cm="1">
        <f t="array" ref="C454:C466">IFERROR(VLOOKUP(I454:I466,[5]Lectures_1!A2:F534,3,FALSE),0)</f>
        <v>Yeboah Philomena Ama Okyeso</v>
      </c>
      <c r="D454" s="58" t="s">
        <v>155</v>
      </c>
      <c r="E454" s="106" cm="1">
        <f t="array" ref="E454:E466">IFERROR(VLOOKUP(I454:I466,[5]Lectures_1!A2:F534,4,FALSE),0)</f>
        <v>46</v>
      </c>
      <c r="F454" s="127" t="s">
        <v>39</v>
      </c>
      <c r="G454" s="63">
        <f>E454*1.1</f>
        <v>50.6</v>
      </c>
      <c r="H454" s="64"/>
      <c r="I454" s="44" t="str">
        <f t="shared" ref="I454:I464" si="111">CONCATENATE(A454,",",D454)</f>
        <v>ENGL 158,ED1-MARI</v>
      </c>
      <c r="J454" s="45"/>
    </row>
    <row r="455" spans="1:10" s="46" customFormat="1" ht="14.5" x14ac:dyDescent="0.35">
      <c r="A455" s="58" t="s">
        <v>648</v>
      </c>
      <c r="B455" s="105" t="str">
        <v>COMMUNICATION SKILLS II</v>
      </c>
      <c r="C455" s="105" t="str">
        <v>Yeboah Philomena Ama Okyeso</v>
      </c>
      <c r="D455" s="58" t="s">
        <v>251</v>
      </c>
      <c r="E455" s="106">
        <v>225</v>
      </c>
      <c r="F455" s="127"/>
      <c r="G455" s="63">
        <f t="shared" ref="G455:G464" si="112">E455*1.1</f>
        <v>247.50000000000003</v>
      </c>
      <c r="H455" s="64"/>
      <c r="I455" s="44" t="str">
        <f t="shared" si="111"/>
        <v>ENGL 158,ED1-ME</v>
      </c>
      <c r="J455" s="45"/>
    </row>
    <row r="456" spans="1:10" s="46" customFormat="1" ht="14.5" x14ac:dyDescent="0.35">
      <c r="A456" s="58" t="s">
        <v>648</v>
      </c>
      <c r="B456" s="59" t="str">
        <v>COMMUNICATION SKILLS II</v>
      </c>
      <c r="C456" s="105" t="str">
        <v>Alhassan Yakubu</v>
      </c>
      <c r="D456" s="58" t="s">
        <v>111</v>
      </c>
      <c r="E456" s="62">
        <v>130</v>
      </c>
      <c r="F456" s="127"/>
      <c r="G456" s="63">
        <f t="shared" si="112"/>
        <v>143</v>
      </c>
      <c r="H456" s="64"/>
      <c r="I456" s="44" t="str">
        <f t="shared" si="111"/>
        <v>ENGL 158,ED1-PE</v>
      </c>
      <c r="J456" s="45"/>
    </row>
    <row r="457" spans="1:10" s="46" customFormat="1" ht="14.5" x14ac:dyDescent="0.35">
      <c r="A457" s="58" t="s">
        <v>648</v>
      </c>
      <c r="B457" s="59" t="str">
        <v>COMMUNICATION SKILLS II</v>
      </c>
      <c r="C457" s="105" t="str">
        <v>Alhassan Yakubu</v>
      </c>
      <c r="D457" s="58" t="s">
        <v>122</v>
      </c>
      <c r="E457" s="62">
        <v>130</v>
      </c>
      <c r="F457" s="127"/>
      <c r="G457" s="63">
        <f t="shared" si="112"/>
        <v>143</v>
      </c>
      <c r="H457" s="64"/>
      <c r="I457" s="44" t="str">
        <f t="shared" si="111"/>
        <v>ENGL 158,ED1-TEL</v>
      </c>
      <c r="J457" s="45"/>
    </row>
    <row r="458" spans="1:10" s="46" customFormat="1" ht="14.5" x14ac:dyDescent="0.35">
      <c r="A458" s="58" t="s">
        <v>648</v>
      </c>
      <c r="B458" s="59" t="str">
        <v>COMMUNICATION SKILLS II</v>
      </c>
      <c r="C458" s="60" t="str">
        <v>Alhassan Yakubu</v>
      </c>
      <c r="D458" s="58" t="s">
        <v>159</v>
      </c>
      <c r="E458" s="62">
        <v>75</v>
      </c>
      <c r="F458" s="127"/>
      <c r="G458" s="63">
        <f t="shared" si="112"/>
        <v>82.5</v>
      </c>
      <c r="H458" s="64"/>
      <c r="I458" s="44" t="str">
        <f t="shared" si="111"/>
        <v>ENGL 158,ED1-METE</v>
      </c>
      <c r="J458" s="45"/>
    </row>
    <row r="459" spans="1:10" ht="14.5" x14ac:dyDescent="0.35">
      <c r="A459" s="38" t="s">
        <v>674</v>
      </c>
      <c r="B459" s="39" t="str">
        <v>DIGITAL SYSTEMS DESIGN I</v>
      </c>
      <c r="C459" s="7" t="str">
        <v>Nunoo-Mensah Henry</v>
      </c>
      <c r="D459" s="38" t="s">
        <v>150</v>
      </c>
      <c r="E459" s="41">
        <v>80</v>
      </c>
      <c r="F459" s="47" t="s">
        <v>15</v>
      </c>
      <c r="G459" s="43">
        <f t="shared" si="112"/>
        <v>88</v>
      </c>
      <c r="H459" s="1" t="s">
        <v>675</v>
      </c>
      <c r="I459" s="5" t="str">
        <f t="shared" si="111"/>
        <v>COE 272,ED2-BME</v>
      </c>
      <c r="J459" s="6"/>
    </row>
    <row r="460" spans="1:10" ht="14.5" x14ac:dyDescent="0.35">
      <c r="A460" s="38" t="s">
        <v>674</v>
      </c>
      <c r="B460" s="39" t="str">
        <v>DIGITAL SYSTEMS DESIGN I</v>
      </c>
      <c r="C460" s="7" t="str">
        <v>Nunoo-Mensah Henry</v>
      </c>
      <c r="D460" s="38" t="s">
        <v>148</v>
      </c>
      <c r="E460" s="41">
        <v>255</v>
      </c>
      <c r="F460" s="47" t="s">
        <v>19</v>
      </c>
      <c r="G460" s="43">
        <f t="shared" si="112"/>
        <v>280.5</v>
      </c>
      <c r="H460" s="1" t="s">
        <v>331</v>
      </c>
      <c r="I460" s="5" t="str">
        <f t="shared" si="111"/>
        <v>COE 272,ED2-COE</v>
      </c>
      <c r="J460" s="6"/>
    </row>
    <row r="461" spans="1:10" ht="14.5" x14ac:dyDescent="0.35">
      <c r="A461" s="38" t="s">
        <v>676</v>
      </c>
      <c r="B461" s="39" t="str">
        <v>HIGHWAY ENGINEERING</v>
      </c>
      <c r="C461" s="39" t="str">
        <v>Tutu Kenneth Adomako</v>
      </c>
      <c r="D461" s="38" t="s">
        <v>86</v>
      </c>
      <c r="E461" s="41">
        <v>230</v>
      </c>
      <c r="F461" s="47" t="s">
        <v>91</v>
      </c>
      <c r="G461" s="43">
        <f t="shared" si="112"/>
        <v>253.00000000000003</v>
      </c>
      <c r="H461" s="1" t="s">
        <v>601</v>
      </c>
      <c r="I461" s="5" t="str">
        <f t="shared" si="111"/>
        <v>CE 368,ED3-CE</v>
      </c>
      <c r="J461" s="6"/>
    </row>
    <row r="462" spans="1:10" ht="14.5" x14ac:dyDescent="0.35">
      <c r="A462" s="38" t="s">
        <v>677</v>
      </c>
      <c r="B462" s="7" t="str">
        <v>MINERAL ECONOMICS AND EVALUATION</v>
      </c>
      <c r="C462" s="7" t="str">
        <v>Foli Gordon</v>
      </c>
      <c r="D462" s="38" t="s">
        <v>236</v>
      </c>
      <c r="E462" s="41">
        <v>154</v>
      </c>
      <c r="F462" s="47" t="s">
        <v>678</v>
      </c>
      <c r="G462" s="43">
        <f t="shared" si="112"/>
        <v>169.4</v>
      </c>
      <c r="H462" s="1" t="s">
        <v>679</v>
      </c>
      <c r="I462" s="5" t="str">
        <f t="shared" si="111"/>
        <v>GED 366,ED3-GEOL</v>
      </c>
      <c r="J462" s="6"/>
    </row>
    <row r="463" spans="1:10" ht="14.5" x14ac:dyDescent="0.35">
      <c r="A463" s="38" t="s">
        <v>680</v>
      </c>
      <c r="B463" s="35" t="str">
        <v>STRENGTH OF MARINE MATERIALS II</v>
      </c>
      <c r="C463" s="7" t="str">
        <v>Adam Faisal Wahib</v>
      </c>
      <c r="D463" s="47" t="s">
        <v>114</v>
      </c>
      <c r="E463" s="96">
        <v>40</v>
      </c>
      <c r="F463" s="21" t="s">
        <v>264</v>
      </c>
      <c r="G463" s="43">
        <f t="shared" si="112"/>
        <v>44</v>
      </c>
      <c r="H463" s="1">
        <v>40</v>
      </c>
      <c r="I463" s="5" t="str">
        <f t="shared" si="111"/>
        <v>MME 356,ED3-MARI</v>
      </c>
      <c r="J463" s="6"/>
    </row>
    <row r="464" spans="1:10" s="53" customFormat="1" ht="14.5" x14ac:dyDescent="0.35">
      <c r="A464" s="48" t="s">
        <v>681</v>
      </c>
      <c r="B464" s="40" t="str">
        <v>HIGH VOLTAGE ENGINEERING</v>
      </c>
      <c r="C464" s="51" t="str">
        <v>Asigri Peter</v>
      </c>
      <c r="D464" s="48" t="s">
        <v>90</v>
      </c>
      <c r="E464" s="42">
        <v>185</v>
      </c>
      <c r="F464" s="94" t="s">
        <v>419</v>
      </c>
      <c r="G464" s="49">
        <f t="shared" si="112"/>
        <v>203.50000000000003</v>
      </c>
      <c r="H464" s="50" t="s">
        <v>682</v>
      </c>
      <c r="I464" s="66" t="str">
        <f t="shared" si="111"/>
        <v>EE 360,ED3-EE</v>
      </c>
      <c r="J464" s="52"/>
    </row>
    <row r="465" spans="1:10" ht="14.5" x14ac:dyDescent="0.35">
      <c r="A465" s="38" t="s">
        <v>683</v>
      </c>
      <c r="B465" s="39" t="str">
        <v>ECONOMIC GEOLLOGY</v>
      </c>
      <c r="C465" s="7" t="str">
        <v>Mensah Emmanuel</v>
      </c>
      <c r="D465" s="80" t="s">
        <v>134</v>
      </c>
      <c r="E465" s="41">
        <v>95</v>
      </c>
      <c r="F465" s="47" t="s">
        <v>162</v>
      </c>
      <c r="G465" s="43">
        <f>E465*1.1</f>
        <v>104.50000000000001</v>
      </c>
      <c r="H465" s="1" t="s">
        <v>405</v>
      </c>
      <c r="I465" s="5" t="str">
        <f>CONCATENATE(A465,",",D465)</f>
        <v>GED 462,ED4-GEOL</v>
      </c>
      <c r="J465" s="6"/>
    </row>
    <row r="466" spans="1:10" ht="14.5" x14ac:dyDescent="0.35">
      <c r="A466" s="38" t="s">
        <v>684</v>
      </c>
      <c r="B466" s="39" t="str">
        <v>WATER RESOURCES ENGINEERING II</v>
      </c>
      <c r="C466" s="7" t="str">
        <v>Anornu Geophrey Kwame</v>
      </c>
      <c r="D466" s="38" t="s">
        <v>140</v>
      </c>
      <c r="E466" s="41">
        <v>105</v>
      </c>
      <c r="F466" s="47" t="s">
        <v>137</v>
      </c>
      <c r="G466" s="43">
        <f t="shared" ref="G466" si="113">E466*1.1</f>
        <v>115.50000000000001</v>
      </c>
      <c r="H466" s="1" t="s">
        <v>563</v>
      </c>
      <c r="I466" s="5" t="str">
        <f t="shared" ref="I466" si="114">CONCATENATE(A466,",",D466)</f>
        <v>CE 458,ED4-CE</v>
      </c>
      <c r="J466" s="6"/>
    </row>
    <row r="467" spans="1:10" ht="14.5" x14ac:dyDescent="0.35">
      <c r="A467" s="54"/>
      <c r="B467" s="54"/>
      <c r="D467" s="39" t="s">
        <v>685</v>
      </c>
      <c r="E467" s="55">
        <f>SUM(E459:E466)</f>
        <v>1144</v>
      </c>
      <c r="F467" s="56"/>
      <c r="G467" s="57"/>
      <c r="I467" s="2" t="s">
        <v>686</v>
      </c>
      <c r="J467" s="6"/>
    </row>
    <row r="468" spans="1:10" ht="14.5" x14ac:dyDescent="0.35">
      <c r="A468" s="123" t="s">
        <v>687</v>
      </c>
      <c r="B468" s="123"/>
      <c r="C468" s="123"/>
      <c r="D468" s="123"/>
      <c r="E468" s="123"/>
      <c r="F468" s="123"/>
      <c r="G468" s="123"/>
      <c r="I468" s="2" t="str">
        <f>A468</f>
        <v>Monday, 31  August 2026</v>
      </c>
      <c r="J468" s="6"/>
    </row>
    <row r="469" spans="1:10" ht="14.5" x14ac:dyDescent="0.35">
      <c r="A469" s="123" t="s">
        <v>1</v>
      </c>
      <c r="B469" s="123"/>
      <c r="C469" s="123"/>
      <c r="D469" s="123"/>
      <c r="E469" s="123"/>
      <c r="F469" s="123"/>
      <c r="G469" s="123"/>
      <c r="I469" s="2" t="str">
        <f>A469</f>
        <v>Session, 1 (8:30 AM - 10:30 AM)</v>
      </c>
      <c r="J469" s="6"/>
    </row>
    <row r="470" spans="1:10" ht="14.5" x14ac:dyDescent="0.35">
      <c r="A470" s="35" t="s">
        <v>2</v>
      </c>
      <c r="B470" s="35" t="s">
        <v>3</v>
      </c>
      <c r="C470" s="32" t="s">
        <v>4</v>
      </c>
      <c r="D470" s="35" t="s">
        <v>5</v>
      </c>
      <c r="E470" s="36" t="s">
        <v>6</v>
      </c>
      <c r="F470" s="32" t="s">
        <v>7</v>
      </c>
      <c r="G470" s="37" t="s">
        <v>8</v>
      </c>
      <c r="I470" s="2" t="s">
        <v>36</v>
      </c>
      <c r="J470" s="6"/>
    </row>
    <row r="471" spans="1:10" ht="14.5" x14ac:dyDescent="0.35">
      <c r="A471" s="38" t="s">
        <v>688</v>
      </c>
      <c r="B471" s="7" t="str" cm="1">
        <f t="array" ref="B471:B480">IFERROR(VLOOKUP(I471:I480,[5]Lectures_1!A2:F534,2,FALSE),0)</f>
        <v>STRENGTH OF MATERIALS II</v>
      </c>
      <c r="C471" s="39" t="str" cm="1">
        <f t="array" ref="C471:C480">IFERROR(VLOOKUP(I471:I480,[5]Lectures_1!A2:F534,3,FALSE),0)</f>
        <v>Tay Godwin Fabiola Kwaku</v>
      </c>
      <c r="D471" s="38" t="s">
        <v>79</v>
      </c>
      <c r="E471" s="41" cm="1">
        <f t="array" ref="E471:E480">IFERROR(VLOOKUP(I471:I480,[5]Lectures_1!A2:F534,4,FALSE),0)</f>
        <v>222</v>
      </c>
      <c r="F471" s="47" t="s">
        <v>241</v>
      </c>
      <c r="G471" s="43">
        <f>E471*1.1</f>
        <v>244.20000000000002</v>
      </c>
      <c r="H471" s="1" t="s">
        <v>689</v>
      </c>
      <c r="I471" s="5" t="str">
        <f>CONCATENATE(A471,",",D471)</f>
        <v>ME 356,ED3-ME</v>
      </c>
      <c r="J471" s="6"/>
    </row>
    <row r="472" spans="1:10" ht="14.5" x14ac:dyDescent="0.35">
      <c r="A472" s="38" t="s">
        <v>690</v>
      </c>
      <c r="B472" s="39" t="str">
        <v>PHYSICAL METALLURGY OF NON-FERROUS METALS</v>
      </c>
      <c r="C472" s="7" t="str">
        <v>Agyemang Frank Ofori</v>
      </c>
      <c r="D472" s="38" t="s">
        <v>216</v>
      </c>
      <c r="E472" s="41">
        <v>87</v>
      </c>
      <c r="F472" s="47" t="s">
        <v>117</v>
      </c>
      <c r="G472" s="43">
        <f t="shared" ref="G472:G480" si="115">E472*1.1</f>
        <v>95.7</v>
      </c>
      <c r="H472" s="1" t="s">
        <v>691</v>
      </c>
      <c r="I472" s="5" t="str">
        <f t="shared" ref="I472:I480" si="116">CONCATENATE(A472,",",D472)</f>
        <v>METE 354,ED3-METE</v>
      </c>
      <c r="J472" s="6"/>
    </row>
    <row r="473" spans="1:10" ht="14.5" x14ac:dyDescent="0.35">
      <c r="A473" s="38" t="s">
        <v>692</v>
      </c>
      <c r="B473" s="39" t="str">
        <v>COMPUTER NETWORKING</v>
      </c>
      <c r="C473" s="7" t="str">
        <v>Kwasi Adu-Boahen Opare</v>
      </c>
      <c r="D473" s="38" t="s">
        <v>168</v>
      </c>
      <c r="E473" s="41">
        <v>140</v>
      </c>
      <c r="F473" s="47" t="s">
        <v>394</v>
      </c>
      <c r="G473" s="43">
        <f t="shared" si="115"/>
        <v>154</v>
      </c>
      <c r="H473" s="1" t="s">
        <v>693</v>
      </c>
      <c r="I473" s="5" t="str">
        <f t="shared" si="116"/>
        <v>TE 374,ED3-TEL</v>
      </c>
      <c r="J473" s="6"/>
    </row>
    <row r="474" spans="1:10" ht="18" customHeight="1" x14ac:dyDescent="0.35">
      <c r="A474" s="38" t="s">
        <v>694</v>
      </c>
      <c r="B474" s="39" t="str">
        <v>BASIC MECHANICS</v>
      </c>
      <c r="C474" s="7" t="str">
        <v>Oppong David Kofi</v>
      </c>
      <c r="D474" s="38" t="s">
        <v>246</v>
      </c>
      <c r="E474" s="41">
        <v>128</v>
      </c>
      <c r="F474" s="47" t="s">
        <v>227</v>
      </c>
      <c r="G474" s="43">
        <f>E474*1.1</f>
        <v>140.80000000000001</v>
      </c>
      <c r="H474" s="1" t="s">
        <v>695</v>
      </c>
      <c r="I474" s="5" t="str">
        <f t="shared" si="116"/>
        <v>ME 162,ED1-AE</v>
      </c>
      <c r="J474" s="6"/>
    </row>
    <row r="475" spans="1:10" ht="14.5" x14ac:dyDescent="0.35">
      <c r="A475" s="38" t="s">
        <v>694</v>
      </c>
      <c r="B475" s="7" t="str">
        <v>BASIC MECHANICS</v>
      </c>
      <c r="C475" s="39" t="str">
        <v>Oppong David Kofi</v>
      </c>
      <c r="D475" s="38" t="s">
        <v>109</v>
      </c>
      <c r="E475" s="41">
        <v>120</v>
      </c>
      <c r="F475" s="47" t="s">
        <v>23</v>
      </c>
      <c r="G475" s="43">
        <f>E475*1.1</f>
        <v>132</v>
      </c>
      <c r="H475" s="12" t="s">
        <v>696</v>
      </c>
      <c r="I475" s="5" t="str">
        <f>CONCATENATE(A475,",",D475)</f>
        <v>ME 162,ED1-CHE</v>
      </c>
      <c r="J475" s="6"/>
    </row>
    <row r="476" spans="1:10" ht="14.5" x14ac:dyDescent="0.35">
      <c r="A476" s="38" t="s">
        <v>470</v>
      </c>
      <c r="B476" s="7" t="str">
        <v>STATICS OF SOLID MECHANICS</v>
      </c>
      <c r="C476" s="39" t="str">
        <v>Oppong David Kofi</v>
      </c>
      <c r="D476" s="38" t="s">
        <v>253</v>
      </c>
      <c r="E476" s="41">
        <v>85</v>
      </c>
      <c r="F476" s="47" t="s">
        <v>697</v>
      </c>
      <c r="G476" s="43">
        <f>E476*1.1</f>
        <v>93.500000000000014</v>
      </c>
      <c r="H476" s="12" t="s">
        <v>698</v>
      </c>
      <c r="I476" s="5" t="str">
        <f>CONCATENATE(A476,",",D476)</f>
        <v>ME 164,ED1-AUTO</v>
      </c>
      <c r="J476" s="6"/>
    </row>
    <row r="477" spans="1:10" ht="14.5" x14ac:dyDescent="0.35">
      <c r="A477" s="38" t="s">
        <v>699</v>
      </c>
      <c r="B477" s="39" t="str">
        <v>NATURAL GAS ENGINEERING</v>
      </c>
      <c r="C477" s="39" t="str">
        <v>Ankudey Emmanuel Godwin</v>
      </c>
      <c r="D477" s="38" t="s">
        <v>124</v>
      </c>
      <c r="E477" s="41">
        <v>53</v>
      </c>
      <c r="F477" s="47" t="s">
        <v>700</v>
      </c>
      <c r="G477" s="43">
        <f>E477*1.1</f>
        <v>58.300000000000004</v>
      </c>
      <c r="H477" s="16" t="s">
        <v>701</v>
      </c>
      <c r="I477" s="5" t="str">
        <f>CONCATENATE(A477,",",D477)</f>
        <v>PETE 450,ED3-PCE</v>
      </c>
      <c r="J477" s="6"/>
    </row>
    <row r="478" spans="1:10" ht="14.5" x14ac:dyDescent="0.35">
      <c r="A478" s="38" t="s">
        <v>702</v>
      </c>
      <c r="B478" s="7" t="str">
        <v>FLUID DYNAMICS I</v>
      </c>
      <c r="C478" s="7" t="str">
        <v>Fiagbe Yesuenyeagbe Atsu Kwabla</v>
      </c>
      <c r="D478" s="38" t="s">
        <v>43</v>
      </c>
      <c r="E478" s="41">
        <v>80</v>
      </c>
      <c r="F478" s="47" t="s">
        <v>143</v>
      </c>
      <c r="G478" s="43">
        <f t="shared" si="115"/>
        <v>88</v>
      </c>
      <c r="H478" s="1" t="s">
        <v>330</v>
      </c>
      <c r="I478" s="5" t="str">
        <f t="shared" si="116"/>
        <v>ME 252,ED2-IND</v>
      </c>
      <c r="J478" s="6"/>
    </row>
    <row r="479" spans="1:10" ht="14.5" x14ac:dyDescent="0.35">
      <c r="A479" s="38" t="s">
        <v>702</v>
      </c>
      <c r="B479" s="7" t="str">
        <v>FLUID DYNAMICS I</v>
      </c>
      <c r="C479" s="7" t="str">
        <v>Fiagbe Yesuenyeagbe Atsu Kwabla</v>
      </c>
      <c r="D479" s="38" t="s">
        <v>47</v>
      </c>
      <c r="E479" s="41">
        <v>37</v>
      </c>
      <c r="F479" s="47" t="s">
        <v>234</v>
      </c>
      <c r="G479" s="43">
        <f t="shared" si="115"/>
        <v>40.700000000000003</v>
      </c>
      <c r="H479" s="1">
        <v>37</v>
      </c>
      <c r="I479" s="5" t="str">
        <f t="shared" si="116"/>
        <v>ME 252,ED2-MARI</v>
      </c>
      <c r="J479" s="6"/>
    </row>
    <row r="480" spans="1:10" ht="14.5" x14ac:dyDescent="0.35">
      <c r="A480" s="38" t="s">
        <v>702</v>
      </c>
      <c r="B480" s="7" t="str">
        <v>FLUID DYNAMICS I</v>
      </c>
      <c r="C480" s="7" t="str">
        <v>Fiagbe Yesuenyeagbe Atsu Kwabla</v>
      </c>
      <c r="D480" s="38" t="s">
        <v>38</v>
      </c>
      <c r="E480" s="41">
        <v>240</v>
      </c>
      <c r="F480" s="47" t="s">
        <v>703</v>
      </c>
      <c r="G480" s="43">
        <f t="shared" si="115"/>
        <v>264</v>
      </c>
      <c r="H480" s="1" t="s">
        <v>704</v>
      </c>
      <c r="I480" s="5" t="str">
        <f t="shared" si="116"/>
        <v>ME 252,ED2-ME</v>
      </c>
      <c r="J480" s="6"/>
    </row>
    <row r="481" spans="1:10" ht="14.5" x14ac:dyDescent="0.35">
      <c r="A481" s="54"/>
      <c r="B481" s="54"/>
      <c r="D481" s="39" t="s">
        <v>705</v>
      </c>
      <c r="E481" s="55">
        <f>SUM(E471:E480)</f>
        <v>1192</v>
      </c>
      <c r="F481" s="56"/>
      <c r="G481" s="57"/>
      <c r="I481" s="2" t="s">
        <v>706</v>
      </c>
      <c r="J481" s="6"/>
    </row>
    <row r="482" spans="1:10" ht="14.5" x14ac:dyDescent="0.35">
      <c r="G482" s="107"/>
      <c r="J482" s="17"/>
    </row>
    <row r="483" spans="1:10" ht="15" customHeight="1" x14ac:dyDescent="0.3">
      <c r="G483" s="107"/>
    </row>
    <row r="484" spans="1:10" ht="14.5" x14ac:dyDescent="0.35">
      <c r="A484" s="123" t="s">
        <v>687</v>
      </c>
      <c r="B484" s="123"/>
      <c r="C484" s="123"/>
      <c r="D484" s="123"/>
      <c r="E484" s="123"/>
      <c r="F484" s="123"/>
      <c r="G484" s="123"/>
      <c r="I484" s="2" t="str">
        <f>A484</f>
        <v>Monday, 31  August 2026</v>
      </c>
      <c r="J484" s="6"/>
    </row>
    <row r="485" spans="1:10" ht="14.5" x14ac:dyDescent="0.35">
      <c r="A485" s="123" t="s">
        <v>35</v>
      </c>
      <c r="B485" s="123"/>
      <c r="C485" s="123"/>
      <c r="D485" s="123"/>
      <c r="E485" s="123"/>
      <c r="F485" s="123"/>
      <c r="G485" s="123"/>
      <c r="I485" s="2" t="str">
        <f>A485</f>
        <v>Session, 2 (12:00 PM - 2:00 PM)</v>
      </c>
      <c r="J485" s="6"/>
    </row>
    <row r="486" spans="1:10" ht="14.5" x14ac:dyDescent="0.35">
      <c r="A486" s="35" t="s">
        <v>2</v>
      </c>
      <c r="B486" s="35" t="s">
        <v>3</v>
      </c>
      <c r="C486" s="32" t="s">
        <v>4</v>
      </c>
      <c r="D486" s="35" t="s">
        <v>5</v>
      </c>
      <c r="E486" s="36" t="s">
        <v>6</v>
      </c>
      <c r="F486" s="32" t="s">
        <v>7</v>
      </c>
      <c r="G486" s="37" t="s">
        <v>8</v>
      </c>
      <c r="I486" s="2" t="s">
        <v>36</v>
      </c>
      <c r="J486" s="6"/>
    </row>
    <row r="487" spans="1:10" ht="14.5" x14ac:dyDescent="0.35">
      <c r="A487" s="38" t="s">
        <v>531</v>
      </c>
      <c r="B487" s="39" t="str" cm="1">
        <f t="array" ref="B487:B496">IFERROR(VLOOKUP(I487:I496,[5]Lectures_1!A2:F534,2,FALSE),0)</f>
        <v>CHEMICAL ENGINEERING THERMODYNAMICS II</v>
      </c>
      <c r="C487" s="39" t="str" cm="1">
        <f t="array" ref="C487:C496">IFERROR(VLOOKUP(I487:I496,[5]Lectures_1!A2:F534,3,FALSE),0)</f>
        <v>Eunice Sefakor Aku Dogbe</v>
      </c>
      <c r="D487" s="38" t="s">
        <v>14</v>
      </c>
      <c r="E487" s="41" cm="1">
        <f t="array" ref="E487:E496">IFERROR(VLOOKUP(I487:I496,[5]Lectures_1!A2:F534,4,FALSE),0)</f>
        <v>65</v>
      </c>
      <c r="F487" s="47" t="s">
        <v>65</v>
      </c>
      <c r="G487" s="43">
        <f t="shared" ref="G487:G496" si="117">E487*1.1</f>
        <v>71.5</v>
      </c>
      <c r="H487" s="16">
        <v>65</v>
      </c>
      <c r="I487" s="5" t="str">
        <f t="shared" ref="I487" si="118">CONCATENATE(A487,",",D487)</f>
        <v>CHE 254,ED2-PCE</v>
      </c>
      <c r="J487" s="6"/>
    </row>
    <row r="488" spans="1:10" ht="14.5" x14ac:dyDescent="0.35">
      <c r="A488" s="38" t="s">
        <v>707</v>
      </c>
      <c r="B488" s="7" t="str">
        <v>PETROLEUM ENGINEERING THERMODYNAMICS II</v>
      </c>
      <c r="C488" s="7" t="str">
        <v>Sokama-Neuyam Yen Adams</v>
      </c>
      <c r="D488" s="38" t="s">
        <v>126</v>
      </c>
      <c r="E488" s="41">
        <v>95</v>
      </c>
      <c r="F488" s="38" t="s">
        <v>137</v>
      </c>
      <c r="G488" s="43">
        <f t="shared" si="117"/>
        <v>104.50000000000001</v>
      </c>
      <c r="H488" s="1" t="s">
        <v>708</v>
      </c>
      <c r="I488" s="5" t="str">
        <f>CONCATENATE(A488,",",D488)</f>
        <v>PE 258,ED2-PE</v>
      </c>
      <c r="J488" s="6"/>
    </row>
    <row r="489" spans="1:10" ht="14.5" x14ac:dyDescent="0.35">
      <c r="A489" s="38" t="s">
        <v>709</v>
      </c>
      <c r="B489" s="39" t="str">
        <v>ROCK ENGINEERING</v>
      </c>
      <c r="C489" s="7" t="str">
        <v>Gidigasu Solomon Senyo Robert</v>
      </c>
      <c r="D489" s="38" t="s">
        <v>70</v>
      </c>
      <c r="E489" s="41">
        <v>150</v>
      </c>
      <c r="F489" s="108" t="s">
        <v>394</v>
      </c>
      <c r="G489" s="43">
        <f>E489*1.1</f>
        <v>165</v>
      </c>
      <c r="H489" s="20" t="s">
        <v>710</v>
      </c>
      <c r="I489" s="5" t="str">
        <f>CONCATENATE(A489,",",D489)</f>
        <v>GED 254,ED2-GEOL</v>
      </c>
      <c r="J489" s="6"/>
    </row>
    <row r="490" spans="1:10" ht="14.5" x14ac:dyDescent="0.35">
      <c r="A490" s="38" t="s">
        <v>694</v>
      </c>
      <c r="B490" s="39" t="str">
        <v>BASIC MECHANICS</v>
      </c>
      <c r="C490" s="39" t="str">
        <v>Quansah David Ato</v>
      </c>
      <c r="D490" s="38" t="s">
        <v>111</v>
      </c>
      <c r="E490" s="41">
        <v>130</v>
      </c>
      <c r="F490" s="47" t="s">
        <v>23</v>
      </c>
      <c r="G490" s="43">
        <f t="shared" si="117"/>
        <v>143</v>
      </c>
      <c r="H490" s="1" t="s">
        <v>711</v>
      </c>
      <c r="I490" s="5" t="str">
        <f t="shared" ref="I490:I496" si="119">CONCATENATE(A490,",",D490)</f>
        <v>ME 162,ED1-PE</v>
      </c>
      <c r="J490" s="6"/>
    </row>
    <row r="491" spans="1:10" ht="14.5" x14ac:dyDescent="0.35">
      <c r="A491" s="38" t="s">
        <v>694</v>
      </c>
      <c r="B491" s="39" t="str">
        <v>BASIC MECHANICS</v>
      </c>
      <c r="C491" s="39" t="str">
        <v>Quansah David Ato</v>
      </c>
      <c r="D491" s="38" t="s">
        <v>161</v>
      </c>
      <c r="E491" s="41">
        <v>100</v>
      </c>
      <c r="F491" s="47" t="s">
        <v>712</v>
      </c>
      <c r="G491" s="43">
        <f t="shared" si="117"/>
        <v>110.00000000000001</v>
      </c>
      <c r="H491" s="1" t="s">
        <v>713</v>
      </c>
      <c r="I491" s="5" t="str">
        <f t="shared" si="119"/>
        <v>ME 162,ED1-MSE</v>
      </c>
      <c r="J491" s="6"/>
    </row>
    <row r="492" spans="1:10" ht="14.5" x14ac:dyDescent="0.35">
      <c r="A492" s="38" t="s">
        <v>714</v>
      </c>
      <c r="B492" s="7" t="str">
        <v>STEEL AND TIMBER DESIGN</v>
      </c>
      <c r="C492" s="7" t="str">
        <v>Mark Adom-Asamoah</v>
      </c>
      <c r="D492" s="38" t="s">
        <v>86</v>
      </c>
      <c r="E492" s="41">
        <v>230</v>
      </c>
      <c r="F492" s="82" t="s">
        <v>703</v>
      </c>
      <c r="G492" s="43">
        <f>E492*1.1</f>
        <v>253.00000000000003</v>
      </c>
      <c r="H492" s="8" t="s">
        <v>715</v>
      </c>
      <c r="I492" s="5" t="str">
        <f>CONCATENATE(A492,",",D492)</f>
        <v>CE 352,ED3-CE</v>
      </c>
      <c r="J492" s="6"/>
    </row>
    <row r="493" spans="1:10" ht="14.5" x14ac:dyDescent="0.35">
      <c r="A493" s="38" t="s">
        <v>716</v>
      </c>
      <c r="B493" s="39" t="str">
        <v>MILLIMETERWAVE TECHNOLOGY</v>
      </c>
      <c r="C493" s="39" t="str">
        <v>Abdul-Rahman Ahmed</v>
      </c>
      <c r="D493" s="38" t="s">
        <v>349</v>
      </c>
      <c r="E493" s="41">
        <v>33</v>
      </c>
      <c r="F493" s="47" t="s">
        <v>524</v>
      </c>
      <c r="G493" s="43">
        <f>E493*1.1</f>
        <v>36.300000000000004</v>
      </c>
      <c r="H493" s="1">
        <v>33</v>
      </c>
      <c r="I493" s="5" t="str">
        <f>CONCATENATE(A493,",",D493)</f>
        <v>TE 468,ED4-TEL</v>
      </c>
      <c r="J493" s="6"/>
    </row>
    <row r="494" spans="1:10" ht="14.5" x14ac:dyDescent="0.35">
      <c r="A494" s="38" t="s">
        <v>717</v>
      </c>
      <c r="B494" s="39" t="str">
        <v>QUALITY ASSURANCE</v>
      </c>
      <c r="C494" s="39" t="str">
        <v>Sackey Samuel Mensah</v>
      </c>
      <c r="D494" s="38" t="s">
        <v>179</v>
      </c>
      <c r="E494" s="41">
        <v>70</v>
      </c>
      <c r="F494" s="47" t="s">
        <v>63</v>
      </c>
      <c r="G494" s="43">
        <f t="shared" si="117"/>
        <v>77</v>
      </c>
      <c r="H494" s="1">
        <v>70</v>
      </c>
      <c r="I494" s="5" t="str">
        <f t="shared" si="119"/>
        <v>IE 360,ED3-IND</v>
      </c>
      <c r="J494" s="6"/>
    </row>
    <row r="495" spans="1:10" ht="14.5" x14ac:dyDescent="0.35">
      <c r="A495" s="38" t="s">
        <v>718</v>
      </c>
      <c r="B495" s="39" t="str">
        <v>METALLURGICAL RATE PROCESSES/SURFACE PHENOMENA</v>
      </c>
      <c r="C495" s="39" t="str">
        <v>Patrick Aggrey</v>
      </c>
      <c r="D495" s="38" t="s">
        <v>176</v>
      </c>
      <c r="E495" s="41">
        <v>57</v>
      </c>
      <c r="F495" s="47" t="s">
        <v>120</v>
      </c>
      <c r="G495" s="43">
        <f t="shared" si="117"/>
        <v>62.7</v>
      </c>
      <c r="H495" s="1" t="s">
        <v>344</v>
      </c>
      <c r="I495" s="5" t="str">
        <f>CONCATENATE(A495,",",D495)</f>
        <v>METE 252,ED2-METE</v>
      </c>
      <c r="J495" s="6"/>
    </row>
    <row r="496" spans="1:10" ht="14.5" x14ac:dyDescent="0.35">
      <c r="A496" s="38" t="s">
        <v>719</v>
      </c>
      <c r="B496" s="39" t="str">
        <v>CONSTRUCTION MANAGEMENT</v>
      </c>
      <c r="C496" s="39" t="str">
        <v>Obeng Daniel Atuah</v>
      </c>
      <c r="D496" s="38" t="s">
        <v>140</v>
      </c>
      <c r="E496" s="41">
        <v>240</v>
      </c>
      <c r="F496" s="82" t="s">
        <v>703</v>
      </c>
      <c r="G496" s="43">
        <f t="shared" si="117"/>
        <v>264</v>
      </c>
      <c r="H496" s="1" t="s">
        <v>704</v>
      </c>
      <c r="I496" s="5" t="str">
        <f t="shared" si="119"/>
        <v>CE 462,ED4-CE</v>
      </c>
      <c r="J496" s="6"/>
    </row>
    <row r="497" spans="1:10" ht="14.5" x14ac:dyDescent="0.35">
      <c r="A497" s="54"/>
      <c r="B497" s="54"/>
      <c r="D497" s="39" t="s">
        <v>720</v>
      </c>
      <c r="E497" s="55">
        <f>SUM(E487:E496)</f>
        <v>1170</v>
      </c>
      <c r="F497" s="56"/>
      <c r="G497" s="57"/>
      <c r="I497" s="2"/>
      <c r="J497" s="6"/>
    </row>
    <row r="498" spans="1:10" ht="14.5" x14ac:dyDescent="0.35">
      <c r="A498" s="123" t="s">
        <v>687</v>
      </c>
      <c r="B498" s="123"/>
      <c r="C498" s="123"/>
      <c r="D498" s="123"/>
      <c r="E498" s="123"/>
      <c r="F498" s="123"/>
      <c r="G498" s="123"/>
      <c r="I498" s="2" t="str">
        <f>A498</f>
        <v>Monday, 31  August 2026</v>
      </c>
      <c r="J498" s="6"/>
    </row>
    <row r="499" spans="1:10" ht="14.5" x14ac:dyDescent="0.35">
      <c r="A499" s="123" t="s">
        <v>77</v>
      </c>
      <c r="B499" s="123"/>
      <c r="C499" s="123"/>
      <c r="D499" s="123"/>
      <c r="E499" s="123"/>
      <c r="F499" s="123"/>
      <c r="G499" s="123"/>
      <c r="I499" s="2" t="str">
        <f>A499</f>
        <v>Session, 3 (3:00 PM - 5:00 PM)</v>
      </c>
      <c r="J499" s="6"/>
    </row>
    <row r="500" spans="1:10" ht="16.5" customHeight="1" x14ac:dyDescent="0.35">
      <c r="A500" s="35" t="s">
        <v>2</v>
      </c>
      <c r="B500" s="35" t="s">
        <v>3</v>
      </c>
      <c r="C500" s="32" t="s">
        <v>4</v>
      </c>
      <c r="D500" s="35" t="s">
        <v>5</v>
      </c>
      <c r="E500" s="36" t="s">
        <v>6</v>
      </c>
      <c r="F500" s="32" t="s">
        <v>7</v>
      </c>
      <c r="G500" s="37" t="s">
        <v>8</v>
      </c>
      <c r="I500" s="2" t="s">
        <v>36</v>
      </c>
      <c r="J500" s="6"/>
    </row>
    <row r="501" spans="1:10" s="46" customFormat="1" ht="14.5" x14ac:dyDescent="0.35">
      <c r="A501" s="58" t="s">
        <v>721</v>
      </c>
      <c r="B501" s="59" t="str" cm="1">
        <f t="array" ref="B501:B517">IFERROR(VLOOKUP(I501:I517,[5]Lectures_1!A2:F534,2,FALSE),0)</f>
        <v>INTRODUCTORY ECONOMICS II</v>
      </c>
      <c r="C501" s="59" t="str" cm="1">
        <f t="array" ref="C501:C517">IFERROR(VLOOKUP(I501:I517,[5]Lectures_1!A2:F534,3,FALSE),0)</f>
        <v>Takyi Paul Owusu</v>
      </c>
      <c r="D501" s="58" t="s">
        <v>30</v>
      </c>
      <c r="E501" s="62" cm="1">
        <f t="array" ref="E501:E517">IFERROR(VLOOKUP(I501:I517,[5]Lectures_1!A2:F534,4,FALSE),0)</f>
        <v>150</v>
      </c>
      <c r="F501" s="68" t="s">
        <v>394</v>
      </c>
      <c r="G501" s="63">
        <f>E501*1.1</f>
        <v>165</v>
      </c>
      <c r="H501" s="64" t="s">
        <v>710</v>
      </c>
      <c r="I501" s="44" t="str">
        <f>CONCATENATE(A501,",",D501)</f>
        <v>ECON 152,ED2-EE</v>
      </c>
      <c r="J501" s="45"/>
    </row>
    <row r="502" spans="1:10" s="46" customFormat="1" ht="14.5" x14ac:dyDescent="0.35">
      <c r="A502" s="58" t="s">
        <v>721</v>
      </c>
      <c r="B502" s="60" t="str">
        <v>ELEMENTS OF ECONOMICS II</v>
      </c>
      <c r="C502" s="60" t="str">
        <v>Edward Yeboah</v>
      </c>
      <c r="D502" s="58" t="s">
        <v>104</v>
      </c>
      <c r="E502" s="62">
        <v>15</v>
      </c>
      <c r="F502" s="68" t="s">
        <v>722</v>
      </c>
      <c r="G502" s="63">
        <f t="shared" ref="G502:G517" si="120">E502*1.1</f>
        <v>16.5</v>
      </c>
      <c r="H502" s="65">
        <v>15</v>
      </c>
      <c r="I502" s="44" t="str">
        <f t="shared" ref="I502:I510" si="121">CONCATENATE(A502,",",D502)</f>
        <v>ECON 152,ED3-GEOM</v>
      </c>
      <c r="J502" s="45"/>
    </row>
    <row r="503" spans="1:10" s="46" customFormat="1" ht="14.5" x14ac:dyDescent="0.35">
      <c r="A503" s="58" t="s">
        <v>721</v>
      </c>
      <c r="B503" s="60" t="str">
        <v>INTRODUCTION TO ECONOMICS II</v>
      </c>
      <c r="C503" s="60" t="str">
        <v>Takyi Paul Owusu</v>
      </c>
      <c r="D503" s="58" t="s">
        <v>67</v>
      </c>
      <c r="E503" s="62">
        <v>32</v>
      </c>
      <c r="F503" s="68" t="s">
        <v>262</v>
      </c>
      <c r="G503" s="63">
        <f t="shared" si="120"/>
        <v>35.200000000000003</v>
      </c>
      <c r="H503" s="65">
        <v>32</v>
      </c>
      <c r="I503" s="44" t="str">
        <f t="shared" si="121"/>
        <v>ECON 152,ED1-CE</v>
      </c>
      <c r="J503" s="45"/>
    </row>
    <row r="504" spans="1:10" s="46" customFormat="1" ht="14.5" x14ac:dyDescent="0.35">
      <c r="A504" s="58" t="s">
        <v>721</v>
      </c>
      <c r="B504" s="60" t="str">
        <v>INTRODUCTORY ECONOMICS II</v>
      </c>
      <c r="C504" s="60" t="str">
        <v>Beatrice Sarpong-Danquah</v>
      </c>
      <c r="D504" s="58" t="s">
        <v>64</v>
      </c>
      <c r="E504" s="62">
        <v>30</v>
      </c>
      <c r="F504" s="64" t="s">
        <v>723</v>
      </c>
      <c r="G504" s="63">
        <f t="shared" si="120"/>
        <v>33</v>
      </c>
      <c r="H504" s="65">
        <v>30</v>
      </c>
      <c r="I504" s="44" t="str">
        <f t="shared" si="121"/>
        <v>ECON 152,ED1-GEOL</v>
      </c>
      <c r="J504" s="45"/>
    </row>
    <row r="505" spans="1:10" s="46" customFormat="1" ht="14.5" x14ac:dyDescent="0.35">
      <c r="A505" s="58" t="s">
        <v>721</v>
      </c>
      <c r="B505" s="60" t="str">
        <v>ELEMENTS OF ECONOMICS II</v>
      </c>
      <c r="C505" s="60" t="str">
        <v>Paul Owusu Takyi</v>
      </c>
      <c r="D505" s="58" t="s">
        <v>150</v>
      </c>
      <c r="E505" s="62">
        <v>20</v>
      </c>
      <c r="F505" s="64" t="s">
        <v>60</v>
      </c>
      <c r="G505" s="63">
        <f t="shared" si="120"/>
        <v>22</v>
      </c>
      <c r="H505" s="65">
        <v>20</v>
      </c>
      <c r="I505" s="44" t="str">
        <f t="shared" si="121"/>
        <v>ECON 152,ED2-BME</v>
      </c>
      <c r="J505" s="45"/>
    </row>
    <row r="506" spans="1:10" s="46" customFormat="1" ht="14.5" x14ac:dyDescent="0.35">
      <c r="A506" s="58" t="s">
        <v>721</v>
      </c>
      <c r="B506" s="60" t="str">
        <v>INTRODUCTION TO ECONOMICS II</v>
      </c>
      <c r="C506" s="60" t="str">
        <v>Takyi Paul Owusu</v>
      </c>
      <c r="D506" s="58" t="s">
        <v>148</v>
      </c>
      <c r="E506" s="62">
        <v>40</v>
      </c>
      <c r="F506" s="64" t="s">
        <v>264</v>
      </c>
      <c r="G506" s="63">
        <f t="shared" si="120"/>
        <v>44</v>
      </c>
      <c r="H506" s="65">
        <v>40</v>
      </c>
      <c r="I506" s="44" t="str">
        <f t="shared" si="121"/>
        <v>ECON 152,ED2-COE</v>
      </c>
      <c r="J506" s="45"/>
    </row>
    <row r="507" spans="1:10" s="46" customFormat="1" ht="14.5" x14ac:dyDescent="0.35">
      <c r="A507" s="58" t="s">
        <v>721</v>
      </c>
      <c r="B507" s="60" t="str">
        <v>INTRODUCTORY ECONOMICS II</v>
      </c>
      <c r="C507" s="60" t="str">
        <v>Takyi Paul Owusu</v>
      </c>
      <c r="D507" s="58" t="s">
        <v>273</v>
      </c>
      <c r="E507" s="62">
        <v>30</v>
      </c>
      <c r="F507" s="68" t="s">
        <v>724</v>
      </c>
      <c r="G507" s="63">
        <f t="shared" si="120"/>
        <v>33</v>
      </c>
      <c r="H507" s="65">
        <v>30</v>
      </c>
      <c r="I507" s="44" t="str">
        <f t="shared" si="121"/>
        <v>ECON 152,ED2-TEL</v>
      </c>
      <c r="J507" s="45"/>
    </row>
    <row r="508" spans="1:10" s="46" customFormat="1" ht="14.5" x14ac:dyDescent="0.35">
      <c r="A508" s="58" t="s">
        <v>721</v>
      </c>
      <c r="B508" s="60" t="str">
        <v>INTRODUCTORY ECONOMICS II</v>
      </c>
      <c r="C508" s="60" t="str">
        <v>Takyi Paul Owusu</v>
      </c>
      <c r="D508" s="58" t="s">
        <v>59</v>
      </c>
      <c r="E508" s="62">
        <v>80</v>
      </c>
      <c r="F508" s="109" t="s">
        <v>63</v>
      </c>
      <c r="G508" s="63">
        <f t="shared" si="120"/>
        <v>88</v>
      </c>
      <c r="H508" s="65">
        <v>80</v>
      </c>
      <c r="I508" s="44" t="str">
        <f t="shared" si="121"/>
        <v>ECON 152,ED3-CHE</v>
      </c>
      <c r="J508" s="45"/>
    </row>
    <row r="509" spans="1:10" ht="14.5" x14ac:dyDescent="0.35">
      <c r="A509" s="38" t="s">
        <v>725</v>
      </c>
      <c r="B509" s="7" t="str">
        <v>INTERNAL COMBUSTION ENGINES</v>
      </c>
      <c r="C509" s="7" t="str">
        <v>Forson Francis Kofi</v>
      </c>
      <c r="D509" s="38" t="s">
        <v>172</v>
      </c>
      <c r="E509" s="41">
        <v>5</v>
      </c>
      <c r="F509" s="47" t="s">
        <v>335</v>
      </c>
      <c r="G509" s="43">
        <f t="shared" si="120"/>
        <v>5.5</v>
      </c>
      <c r="H509" s="8">
        <v>5</v>
      </c>
      <c r="I509" s="5" t="str">
        <f t="shared" si="121"/>
        <v>ME 468,ED4-AERO</v>
      </c>
      <c r="J509" s="6"/>
    </row>
    <row r="510" spans="1:10" ht="14.5" x14ac:dyDescent="0.35">
      <c r="A510" s="38" t="s">
        <v>725</v>
      </c>
      <c r="B510" s="7" t="str">
        <v>INTERNAL COMBUSTION ENGINES</v>
      </c>
      <c r="C510" s="7" t="str">
        <v>Forson Francis Kofi</v>
      </c>
      <c r="D510" s="38" t="s">
        <v>82</v>
      </c>
      <c r="E510" s="41">
        <v>40</v>
      </c>
      <c r="F510" s="47" t="s">
        <v>549</v>
      </c>
      <c r="G510" s="43">
        <f t="shared" si="120"/>
        <v>44</v>
      </c>
      <c r="H510" s="8">
        <v>40</v>
      </c>
      <c r="I510" s="5" t="str">
        <f t="shared" si="121"/>
        <v>ME 468,ED4-ME</v>
      </c>
      <c r="J510" s="6"/>
    </row>
    <row r="511" spans="1:10" ht="14.5" x14ac:dyDescent="0.35">
      <c r="A511" s="38" t="s">
        <v>726</v>
      </c>
      <c r="B511" s="39" t="str">
        <v>DRILLING ENGINEERING II</v>
      </c>
      <c r="C511" s="7" t="str">
        <v>Erzuah Samuel</v>
      </c>
      <c r="D511" s="38" t="s">
        <v>101</v>
      </c>
      <c r="E511" s="41">
        <v>80</v>
      </c>
      <c r="F511" s="47" t="s">
        <v>63</v>
      </c>
      <c r="G511" s="43">
        <f t="shared" si="120"/>
        <v>88</v>
      </c>
      <c r="H511" s="8">
        <v>80</v>
      </c>
      <c r="I511" s="5" t="str">
        <f>CONCATENATE(A511,",",D511)</f>
        <v>PE 354,ED3-PE</v>
      </c>
      <c r="J511" s="6"/>
    </row>
    <row r="512" spans="1:10" s="53" customFormat="1" ht="14.5" x14ac:dyDescent="0.35">
      <c r="A512" s="48" t="s">
        <v>727</v>
      </c>
      <c r="B512" s="51" t="str">
        <v>PIPELINE ENGINEERING</v>
      </c>
      <c r="C512" s="51" t="str">
        <v>Adjei Stephen</v>
      </c>
      <c r="D512" s="48" t="s">
        <v>205</v>
      </c>
      <c r="E512" s="42">
        <v>99</v>
      </c>
      <c r="F512" s="94" t="s">
        <v>65</v>
      </c>
      <c r="G512" s="49">
        <f>E512*1.1</f>
        <v>108.9</v>
      </c>
      <c r="H512" s="95">
        <v>99</v>
      </c>
      <c r="I512" s="66" t="str">
        <f>CONCATENATE(A512,",",D512)</f>
        <v>PE 474,ED4-PE</v>
      </c>
      <c r="J512" s="52"/>
    </row>
    <row r="513" spans="1:10" ht="14.5" x14ac:dyDescent="0.35">
      <c r="A513" s="38" t="s">
        <v>728</v>
      </c>
      <c r="B513" s="39" t="str">
        <v>PETROLEUM GEOLOGY</v>
      </c>
      <c r="C513" s="39" t="str">
        <v>Foli Gordon</v>
      </c>
      <c r="D513" s="80" t="s">
        <v>134</v>
      </c>
      <c r="E513" s="41">
        <v>35</v>
      </c>
      <c r="F513" s="47" t="s">
        <v>99</v>
      </c>
      <c r="G513" s="43">
        <f>E513*1.1</f>
        <v>38.5</v>
      </c>
      <c r="H513" s="1">
        <v>35</v>
      </c>
      <c r="I513" s="5" t="str">
        <f>CONCATENATE(A513,",",D513)</f>
        <v>GED 466,ED4-GEOL</v>
      </c>
      <c r="J513" s="6"/>
    </row>
    <row r="514" spans="1:10" ht="14.5" x14ac:dyDescent="0.35">
      <c r="A514" s="38" t="s">
        <v>729</v>
      </c>
      <c r="B514" s="7" t="str">
        <v>BIOMECHANICS II</v>
      </c>
      <c r="C514" s="39" t="str">
        <v>Odame Prince</v>
      </c>
      <c r="D514" s="38" t="s">
        <v>438</v>
      </c>
      <c r="E514" s="41">
        <v>87</v>
      </c>
      <c r="F514" s="47" t="s">
        <v>137</v>
      </c>
      <c r="G514" s="43">
        <f>E514*1.1</f>
        <v>95.7</v>
      </c>
      <c r="H514" s="8" t="s">
        <v>730</v>
      </c>
      <c r="I514" s="5" t="str">
        <f>CONCATENATE(A514,",",D514)</f>
        <v>BME 462,ED4-BME</v>
      </c>
      <c r="J514" s="6"/>
    </row>
    <row r="515" spans="1:10" s="46" customFormat="1" ht="14.5" x14ac:dyDescent="0.35">
      <c r="A515" s="38" t="s">
        <v>731</v>
      </c>
      <c r="B515" s="39" t="str">
        <v>DIGITAL COMPUTER DESIGN</v>
      </c>
      <c r="C515" s="39" t="str">
        <v>Boateng Kwame Osei</v>
      </c>
      <c r="D515" s="38" t="s">
        <v>90</v>
      </c>
      <c r="E515" s="41">
        <v>29</v>
      </c>
      <c r="F515" s="47">
        <v>303</v>
      </c>
      <c r="G515" s="43">
        <f t="shared" ref="G515" si="122">E515*1.1</f>
        <v>31.900000000000002</v>
      </c>
      <c r="H515" s="65">
        <v>29</v>
      </c>
      <c r="I515" s="44" t="str">
        <f t="shared" ref="I515" si="123">CONCATENATE(A515,",",D515)</f>
        <v>COE 382,ED3-EE</v>
      </c>
      <c r="J515" s="45"/>
    </row>
    <row r="516" spans="1:10" s="46" customFormat="1" ht="14.5" x14ac:dyDescent="0.35">
      <c r="A516" s="38" t="s">
        <v>732</v>
      </c>
      <c r="B516" s="39" t="str">
        <v>DIGITAL SYSTEMS DESIGN II</v>
      </c>
      <c r="C516" s="39" t="str">
        <v>Boateng Kwame Osei</v>
      </c>
      <c r="D516" s="38" t="s">
        <v>18</v>
      </c>
      <c r="E516" s="41">
        <v>265</v>
      </c>
      <c r="F516" s="47" t="s">
        <v>703</v>
      </c>
      <c r="G516" s="43">
        <f>E516*1.1</f>
        <v>291.5</v>
      </c>
      <c r="H516" s="65" t="s">
        <v>733</v>
      </c>
      <c r="I516" s="44" t="str">
        <f>CONCATENATE(A516,",",D516)</f>
        <v>COE 372,ED3-COE</v>
      </c>
      <c r="J516" s="45"/>
    </row>
    <row r="517" spans="1:10" ht="14.5" x14ac:dyDescent="0.35">
      <c r="A517" s="38" t="s">
        <v>734</v>
      </c>
      <c r="B517" s="7" t="str">
        <v>GLASS AND CEMENT TECHNOLOGIES</v>
      </c>
      <c r="C517" s="7" t="str">
        <v>Andrews Anthony</v>
      </c>
      <c r="D517" s="38" t="s">
        <v>212</v>
      </c>
      <c r="E517" s="41">
        <v>85</v>
      </c>
      <c r="F517" s="47" t="s">
        <v>137</v>
      </c>
      <c r="G517" s="43">
        <f t="shared" si="120"/>
        <v>93.500000000000014</v>
      </c>
      <c r="H517" s="8" t="s">
        <v>735</v>
      </c>
      <c r="I517" s="5" t="str">
        <f t="shared" ref="I517" si="124">CONCATENATE(A517,",",D517)</f>
        <v>MSE 352,ED3-MSE</v>
      </c>
      <c r="J517" s="6"/>
    </row>
    <row r="518" spans="1:10" ht="14.5" x14ac:dyDescent="0.35">
      <c r="A518" s="54"/>
      <c r="B518" s="54"/>
      <c r="D518" s="39" t="s">
        <v>736</v>
      </c>
      <c r="E518" s="55">
        <f>SUM(E501:E517)</f>
        <v>1122</v>
      </c>
      <c r="F518" s="56"/>
      <c r="G518" s="57"/>
      <c r="I518" s="2" t="s">
        <v>737</v>
      </c>
      <c r="J518" s="6"/>
    </row>
    <row r="519" spans="1:10" ht="14.5" x14ac:dyDescent="0.35">
      <c r="A519" s="123" t="s">
        <v>738</v>
      </c>
      <c r="B519" s="123"/>
      <c r="C519" s="123"/>
      <c r="D519" s="123"/>
      <c r="E519" s="123"/>
      <c r="F519" s="123"/>
      <c r="G519" s="123"/>
      <c r="I519" s="2" t="str">
        <f>A519</f>
        <v>Tuesday, 1 September 2026</v>
      </c>
      <c r="J519" s="6"/>
    </row>
    <row r="520" spans="1:10" ht="14.5" x14ac:dyDescent="0.35">
      <c r="A520" s="123" t="s">
        <v>1</v>
      </c>
      <c r="B520" s="123"/>
      <c r="C520" s="123"/>
      <c r="D520" s="123"/>
      <c r="E520" s="123"/>
      <c r="F520" s="123"/>
      <c r="G520" s="123"/>
      <c r="I520" s="2" t="str">
        <f>A520</f>
        <v>Session, 1 (8:30 AM - 10:30 AM)</v>
      </c>
      <c r="J520" s="6"/>
    </row>
    <row r="521" spans="1:10" ht="14.5" x14ac:dyDescent="0.35">
      <c r="A521" s="35" t="s">
        <v>2</v>
      </c>
      <c r="B521" s="35" t="s">
        <v>3</v>
      </c>
      <c r="C521" s="32" t="s">
        <v>4</v>
      </c>
      <c r="D521" s="35" t="s">
        <v>5</v>
      </c>
      <c r="E521" s="36" t="s">
        <v>6</v>
      </c>
      <c r="F521" s="32" t="s">
        <v>7</v>
      </c>
      <c r="G521" s="37" t="s">
        <v>8</v>
      </c>
      <c r="I521" s="2" t="s">
        <v>36</v>
      </c>
      <c r="J521" s="6"/>
    </row>
    <row r="522" spans="1:10" s="46" customFormat="1" ht="14.5" x14ac:dyDescent="0.35">
      <c r="A522" s="38" t="s">
        <v>739</v>
      </c>
      <c r="B522" s="7" t="str" cm="1">
        <f t="array" ref="B522:B533">IFERROR(VLOOKUP(I522:I533,[5]Lectures_1!A2:F534,2,FALSE),0)</f>
        <v>THERMODYNAMICS I</v>
      </c>
      <c r="C522" s="39" t="str" cm="1">
        <f t="array" ref="C522:C533">IFERROR(VLOOKUP(I522:I533,[5]Lectures_1!A2:F534,3,FALSE),0)</f>
        <v>Amoabeng Kofi Owura</v>
      </c>
      <c r="D522" s="38" t="s">
        <v>43</v>
      </c>
      <c r="E522" s="41" cm="1">
        <f t="array" ref="E522:E533">IFERROR(VLOOKUP(I522:I533,[5]Lectures_1!A2:F534,4,FALSE),0)</f>
        <v>80</v>
      </c>
      <c r="F522" s="47" t="s">
        <v>358</v>
      </c>
      <c r="G522" s="43">
        <f>E522*1.1</f>
        <v>88</v>
      </c>
      <c r="H522" s="65" t="s">
        <v>260</v>
      </c>
      <c r="I522" s="44" t="str">
        <f>CONCATENATE(A522,",",D522)</f>
        <v>ME 266,ED2-IND</v>
      </c>
      <c r="J522" s="45"/>
    </row>
    <row r="523" spans="1:10" s="46" customFormat="1" ht="14.5" x14ac:dyDescent="0.35">
      <c r="A523" s="38" t="s">
        <v>739</v>
      </c>
      <c r="B523" s="7" t="str">
        <v>THERMODYNAMICS I</v>
      </c>
      <c r="C523" s="39" t="str">
        <v>Amoabeng Kofi Owura</v>
      </c>
      <c r="D523" s="38" t="s">
        <v>38</v>
      </c>
      <c r="E523" s="41">
        <v>240</v>
      </c>
      <c r="F523" s="47" t="s">
        <v>241</v>
      </c>
      <c r="G523" s="43">
        <f t="shared" ref="G523:G533" si="125">E523*1.1</f>
        <v>264</v>
      </c>
      <c r="H523" s="65" t="s">
        <v>740</v>
      </c>
      <c r="I523" s="44" t="str">
        <f t="shared" ref="I523:I533" si="126">CONCATENATE(A523,",",D523)</f>
        <v>ME 266,ED2-ME</v>
      </c>
      <c r="J523" s="45"/>
    </row>
    <row r="524" spans="1:10" s="46" customFormat="1" ht="14.5" x14ac:dyDescent="0.35">
      <c r="A524" s="38" t="s">
        <v>741</v>
      </c>
      <c r="B524" s="39" t="str">
        <v xml:space="preserve">APPLIED THERMODYNAMICS </v>
      </c>
      <c r="C524" s="7" t="str">
        <v>Amoabeng Kofi Owura</v>
      </c>
      <c r="D524" s="47" t="s">
        <v>190</v>
      </c>
      <c r="E524" s="41">
        <v>136</v>
      </c>
      <c r="F524" s="21" t="s">
        <v>394</v>
      </c>
      <c r="G524" s="43">
        <f t="shared" si="125"/>
        <v>149.60000000000002</v>
      </c>
      <c r="H524" s="21" t="s">
        <v>742</v>
      </c>
      <c r="I524" s="44" t="str">
        <f>CONCATENATE(A524,",",D524)</f>
        <v>ME 166,ED1-BME</v>
      </c>
      <c r="J524" s="45"/>
    </row>
    <row r="525" spans="1:10" ht="14.5" x14ac:dyDescent="0.35">
      <c r="A525" s="38" t="s">
        <v>743</v>
      </c>
      <c r="B525" s="39" t="str">
        <v>BASIC THERMODYNAMICS</v>
      </c>
      <c r="C525" s="7" t="str">
        <v>Samuel Boahen</v>
      </c>
      <c r="D525" s="38" t="s">
        <v>253</v>
      </c>
      <c r="E525" s="41">
        <v>85</v>
      </c>
      <c r="F525" s="21" t="s">
        <v>162</v>
      </c>
      <c r="G525" s="43">
        <f>E525*1.1</f>
        <v>93.500000000000014</v>
      </c>
      <c r="H525" s="8" t="s">
        <v>744</v>
      </c>
      <c r="I525" s="5" t="str">
        <f>CONCATENATE(A525,",",D525)</f>
        <v>AME 156,ED1-AUTO</v>
      </c>
      <c r="J525" s="6"/>
    </row>
    <row r="526" spans="1:10" ht="14.5" x14ac:dyDescent="0.35">
      <c r="A526" s="38" t="s">
        <v>739</v>
      </c>
      <c r="B526" s="7" t="str">
        <v>THERMODYNAMICS I</v>
      </c>
      <c r="C526" s="39" t="str">
        <v>Boahen Samuel</v>
      </c>
      <c r="D526" s="38" t="s">
        <v>41</v>
      </c>
      <c r="E526" s="41">
        <v>75</v>
      </c>
      <c r="F526" s="47" t="s">
        <v>63</v>
      </c>
      <c r="G526" s="43">
        <f t="shared" si="125"/>
        <v>82.5</v>
      </c>
      <c r="H526" s="8">
        <v>75</v>
      </c>
      <c r="I526" s="5" t="str">
        <f t="shared" si="126"/>
        <v>ME 266,ED2-AERO</v>
      </c>
      <c r="J526" s="6"/>
    </row>
    <row r="527" spans="1:10" ht="14.5" x14ac:dyDescent="0.35">
      <c r="A527" s="38" t="s">
        <v>741</v>
      </c>
      <c r="B527" s="7" t="str">
        <v>APPLIED THERMODYNAMICS I</v>
      </c>
      <c r="C527" s="39" t="str">
        <v>Quansah David Ato</v>
      </c>
      <c r="D527" s="38" t="s">
        <v>199</v>
      </c>
      <c r="E527" s="41">
        <v>295</v>
      </c>
      <c r="F527" s="108" t="s">
        <v>745</v>
      </c>
      <c r="G527" s="43">
        <f>E527*1.1</f>
        <v>324.5</v>
      </c>
      <c r="H527" s="9" t="s">
        <v>746</v>
      </c>
      <c r="I527" s="5" t="str">
        <f>CONCATENATE(A527,",",D527)</f>
        <v>ME 166,ED1-EE</v>
      </c>
      <c r="J527" s="6"/>
    </row>
    <row r="528" spans="1:10" ht="14.5" x14ac:dyDescent="0.35">
      <c r="A528" s="38" t="s">
        <v>747</v>
      </c>
      <c r="B528" s="7" t="str">
        <v>ENGINEERING RESEARCH AND TECHNICAL REPORT WRITING</v>
      </c>
      <c r="C528" s="39" t="str">
        <v>Obeng Kwakye Kingsford Sarkodie</v>
      </c>
      <c r="D528" s="38" t="s">
        <v>122</v>
      </c>
      <c r="E528" s="41">
        <v>130</v>
      </c>
      <c r="F528" s="47" t="s">
        <v>748</v>
      </c>
      <c r="G528" s="43">
        <f>E528*1.1</f>
        <v>143</v>
      </c>
      <c r="H528" s="8" t="s">
        <v>325</v>
      </c>
      <c r="I528" s="5" t="str">
        <f>CONCATENATE(A528,",",D528)</f>
        <v>TE 152,ED1-TEL</v>
      </c>
      <c r="J528" s="6"/>
    </row>
    <row r="529" spans="1:10" s="46" customFormat="1" ht="14.5" x14ac:dyDescent="0.35">
      <c r="A529" s="58" t="s">
        <v>749</v>
      </c>
      <c r="B529" s="59" t="str">
        <v>FINANCIAL ACCOUNTING II</v>
      </c>
      <c r="C529" s="59" t="str">
        <v>Yeboah Edward</v>
      </c>
      <c r="D529" s="58" t="s">
        <v>148</v>
      </c>
      <c r="E529" s="62">
        <v>65</v>
      </c>
      <c r="F529" s="68" t="s">
        <v>65</v>
      </c>
      <c r="G529" s="63">
        <f>E529*1.1</f>
        <v>71.5</v>
      </c>
      <c r="H529" s="65">
        <v>65</v>
      </c>
      <c r="I529" s="44" t="str">
        <f>CONCATENATE(A529,",",D529)</f>
        <v>ACF 256,ED2-COE</v>
      </c>
      <c r="J529" s="45"/>
    </row>
    <row r="530" spans="1:10" s="46" customFormat="1" ht="14.5" x14ac:dyDescent="0.35">
      <c r="A530" s="58" t="s">
        <v>749</v>
      </c>
      <c r="B530" s="59" t="str">
        <v>FINANCIAL ACCOUNTING II</v>
      </c>
      <c r="C530" s="59" t="str">
        <v>Yeboah Edward</v>
      </c>
      <c r="D530" s="58" t="s">
        <v>150</v>
      </c>
      <c r="E530" s="62">
        <v>18</v>
      </c>
      <c r="F530" s="68" t="s">
        <v>549</v>
      </c>
      <c r="G530" s="63">
        <f>E530*1.1</f>
        <v>19.8</v>
      </c>
      <c r="H530" s="65">
        <v>18</v>
      </c>
      <c r="I530" s="44" t="str">
        <f>CONCATENATE(A530,",",D530)</f>
        <v>ACF 256,ED2-BME</v>
      </c>
      <c r="J530" s="45"/>
    </row>
    <row r="531" spans="1:10" s="46" customFormat="1" ht="14.5" x14ac:dyDescent="0.35">
      <c r="A531" s="58" t="s">
        <v>749</v>
      </c>
      <c r="B531" s="59" t="str">
        <v>FINANCIAL ACCOUNTING II</v>
      </c>
      <c r="C531" s="59" t="str">
        <v>Yeboah Edward</v>
      </c>
      <c r="D531" s="58" t="s">
        <v>273</v>
      </c>
      <c r="E531" s="62">
        <v>40</v>
      </c>
      <c r="F531" s="68" t="s">
        <v>234</v>
      </c>
      <c r="G531" s="63">
        <f>E531*1.1</f>
        <v>44</v>
      </c>
      <c r="H531" s="65">
        <v>40</v>
      </c>
      <c r="I531" s="44" t="str">
        <f>CONCATENATE(A531,",",D531)</f>
        <v>ACF 256,ED2-TEL</v>
      </c>
      <c r="J531" s="45"/>
    </row>
    <row r="532" spans="1:10" s="46" customFormat="1" ht="14.5" x14ac:dyDescent="0.35">
      <c r="A532" s="58" t="s">
        <v>749</v>
      </c>
      <c r="B532" s="60" t="str">
        <v>PRINCIPLES OF ACCOUNTING II</v>
      </c>
      <c r="C532" s="59" t="str">
        <v>John Bosco Dramani</v>
      </c>
      <c r="D532" s="58" t="s">
        <v>64</v>
      </c>
      <c r="E532" s="62">
        <v>5</v>
      </c>
      <c r="F532" s="68" t="s">
        <v>750</v>
      </c>
      <c r="G532" s="63">
        <f t="shared" si="125"/>
        <v>5.5</v>
      </c>
      <c r="H532" s="65">
        <v>5</v>
      </c>
      <c r="I532" s="44" t="str">
        <f t="shared" si="126"/>
        <v>ACF 256,ED1-GEOL</v>
      </c>
      <c r="J532" s="45"/>
    </row>
    <row r="533" spans="1:10" s="46" customFormat="1" ht="14.5" x14ac:dyDescent="0.35">
      <c r="A533" s="58" t="s">
        <v>749</v>
      </c>
      <c r="B533" s="59" t="str">
        <v>PRINCIPLES OF ACCOUNTING II</v>
      </c>
      <c r="C533" s="59" t="str">
        <v>Beatrice Sarpong-Danquah</v>
      </c>
      <c r="D533" s="58" t="s">
        <v>104</v>
      </c>
      <c r="E533" s="62">
        <v>35</v>
      </c>
      <c r="F533" s="68" t="s">
        <v>723</v>
      </c>
      <c r="G533" s="63">
        <f t="shared" si="125"/>
        <v>38.5</v>
      </c>
      <c r="H533" s="65">
        <v>35</v>
      </c>
      <c r="I533" s="44" t="str">
        <f t="shared" si="126"/>
        <v>ACF 256,ED3-GEOM</v>
      </c>
      <c r="J533" s="45"/>
    </row>
    <row r="534" spans="1:10" ht="14.5" x14ac:dyDescent="0.35">
      <c r="A534" s="54"/>
      <c r="B534" s="54"/>
      <c r="D534" s="39" t="s">
        <v>751</v>
      </c>
      <c r="E534" s="55">
        <f>SUM(E522:E533)</f>
        <v>1204</v>
      </c>
      <c r="F534" s="56"/>
      <c r="G534" s="57"/>
      <c r="I534" s="2" t="s">
        <v>752</v>
      </c>
      <c r="J534" s="6"/>
    </row>
    <row r="535" spans="1:10" ht="14.5" x14ac:dyDescent="0.35">
      <c r="A535" s="123" t="s">
        <v>738</v>
      </c>
      <c r="B535" s="123"/>
      <c r="C535" s="123"/>
      <c r="D535" s="123"/>
      <c r="E535" s="123"/>
      <c r="F535" s="123"/>
      <c r="G535" s="123"/>
      <c r="I535" s="2" t="str">
        <f>A535</f>
        <v>Tuesday, 1 September 2026</v>
      </c>
      <c r="J535" s="6"/>
    </row>
    <row r="536" spans="1:10" ht="14.5" x14ac:dyDescent="0.35">
      <c r="A536" s="123" t="s">
        <v>35</v>
      </c>
      <c r="B536" s="123"/>
      <c r="C536" s="123"/>
      <c r="D536" s="123"/>
      <c r="E536" s="123"/>
      <c r="F536" s="123"/>
      <c r="G536" s="123"/>
      <c r="I536" s="2" t="str">
        <f>A536</f>
        <v>Session, 2 (12:00 PM - 2:00 PM)</v>
      </c>
      <c r="J536" s="6"/>
    </row>
    <row r="537" spans="1:10" ht="14.5" x14ac:dyDescent="0.35">
      <c r="A537" s="35" t="s">
        <v>2</v>
      </c>
      <c r="B537" s="35" t="s">
        <v>3</v>
      </c>
      <c r="C537" s="32" t="s">
        <v>4</v>
      </c>
      <c r="D537" s="35" t="s">
        <v>5</v>
      </c>
      <c r="E537" s="36" t="s">
        <v>6</v>
      </c>
      <c r="F537" s="32" t="s">
        <v>7</v>
      </c>
      <c r="G537" s="37" t="s">
        <v>8</v>
      </c>
      <c r="I537" s="2" t="s">
        <v>36</v>
      </c>
      <c r="J537" s="6"/>
    </row>
    <row r="538" spans="1:10" ht="14.5" x14ac:dyDescent="0.35">
      <c r="A538" s="38" t="s">
        <v>753</v>
      </c>
      <c r="B538" s="39" t="str" cm="1">
        <f t="array" ref="B538:B550">IFERROR(VLOOKUP(I538:I550,[5]Lectures_1!A2:F534,2,FALSE),0)</f>
        <v>HUMAN FACTORS AND ERGONOMICS</v>
      </c>
      <c r="C538" s="7" t="str" cm="1">
        <f t="array" ref="C538:C550">IFERROR(VLOOKUP(I538:I550,[5]Lectures_1!A2:F534,3,FALSE),0)</f>
        <v>Sackey Samuel Mensah</v>
      </c>
      <c r="D538" s="38" t="s">
        <v>185</v>
      </c>
      <c r="E538" s="41" cm="1">
        <f t="array" ref="E538:E550">IFERROR(VLOOKUP(I538:I550,[5]Lectures_1!A2:F534,4,FALSE),0)</f>
        <v>69</v>
      </c>
      <c r="F538" s="47" t="s">
        <v>143</v>
      </c>
      <c r="G538" s="43">
        <f>E538*1.1</f>
        <v>75.900000000000006</v>
      </c>
      <c r="H538" s="8" t="s">
        <v>754</v>
      </c>
      <c r="I538" s="5" t="str">
        <f t="shared" ref="I538:I550" si="127">CONCATENATE(A538,",",D538)</f>
        <v>IE 458,ED4-IND</v>
      </c>
      <c r="J538" s="6"/>
    </row>
    <row r="539" spans="1:10" ht="14.5" x14ac:dyDescent="0.35">
      <c r="A539" s="38" t="s">
        <v>753</v>
      </c>
      <c r="B539" s="39" t="str">
        <v>HUMAN FACTORS AND ERGONOMICS</v>
      </c>
      <c r="C539" s="7" t="str">
        <v>Sackey Samuel Mensah</v>
      </c>
      <c r="D539" s="38" t="s">
        <v>172</v>
      </c>
      <c r="E539" s="41">
        <v>5</v>
      </c>
      <c r="F539" s="47" t="s">
        <v>724</v>
      </c>
      <c r="G539" s="43">
        <f>E539*1.1</f>
        <v>5.5</v>
      </c>
      <c r="H539" s="8">
        <v>5</v>
      </c>
      <c r="I539" s="5" t="str">
        <f>CONCATENATE(A539,",",D539)</f>
        <v>IE 458,ED4-AERO</v>
      </c>
      <c r="J539" s="6"/>
    </row>
    <row r="540" spans="1:10" ht="14.5" x14ac:dyDescent="0.35">
      <c r="A540" s="38" t="s">
        <v>151</v>
      </c>
      <c r="B540" s="39" t="str">
        <v>COMPUTER PROGRAMMING FOR ENGINEERS</v>
      </c>
      <c r="C540" s="7" t="str">
        <v>Tay Godwin Fabiola Kwaku</v>
      </c>
      <c r="D540" s="38" t="s">
        <v>305</v>
      </c>
      <c r="E540" s="41">
        <v>70</v>
      </c>
      <c r="F540" s="47" t="s">
        <v>143</v>
      </c>
      <c r="G540" s="43">
        <f>E540*1.1</f>
        <v>77</v>
      </c>
      <c r="H540" s="8" t="s">
        <v>352</v>
      </c>
      <c r="I540" s="5" t="str">
        <f>CONCATENATE(A540,",",D540)</f>
        <v>ME 168,ED1-AERO</v>
      </c>
      <c r="J540" s="6"/>
    </row>
    <row r="541" spans="1:10" ht="14.5" x14ac:dyDescent="0.35">
      <c r="A541" s="38" t="s">
        <v>151</v>
      </c>
      <c r="B541" s="39" t="str">
        <v>COMPUTER PROGRAMMING FOR ENGINEERS</v>
      </c>
      <c r="C541" s="7" t="str">
        <v>Tay Godwin Fabiola Kwaku</v>
      </c>
      <c r="D541" s="38" t="s">
        <v>251</v>
      </c>
      <c r="E541" s="41">
        <v>225</v>
      </c>
      <c r="F541" s="47" t="s">
        <v>386</v>
      </c>
      <c r="G541" s="43">
        <f>E541*1.1</f>
        <v>247.50000000000003</v>
      </c>
      <c r="H541" s="8" t="s">
        <v>755</v>
      </c>
      <c r="I541" s="5" t="str">
        <f>CONCATENATE(A541,",",D541)</f>
        <v>ME 168,ED1-ME</v>
      </c>
      <c r="J541" s="6"/>
    </row>
    <row r="542" spans="1:10" ht="14.5" x14ac:dyDescent="0.35">
      <c r="A542" s="38" t="s">
        <v>756</v>
      </c>
      <c r="B542" s="39" t="str">
        <v>BIOMATERIALS I</v>
      </c>
      <c r="C542" s="7" t="str">
        <v>Odame Prince</v>
      </c>
      <c r="D542" s="38" t="s">
        <v>130</v>
      </c>
      <c r="E542" s="41">
        <v>90</v>
      </c>
      <c r="F542" s="47" t="s">
        <v>137</v>
      </c>
      <c r="G542" s="43">
        <f t="shared" ref="G542:G550" si="128">E542*1.1</f>
        <v>99.000000000000014</v>
      </c>
      <c r="H542" s="8" t="s">
        <v>757</v>
      </c>
      <c r="I542" s="5" t="str">
        <f t="shared" si="127"/>
        <v>BME 362,ED3-BME</v>
      </c>
      <c r="J542" s="6"/>
    </row>
    <row r="543" spans="1:10" s="46" customFormat="1" ht="14.5" x14ac:dyDescent="0.35">
      <c r="A543" s="38" t="s">
        <v>470</v>
      </c>
      <c r="B543" s="7" t="str">
        <v>ENGINEERING MECHANICS I:STATICS</v>
      </c>
      <c r="C543" s="7" t="str">
        <v>Amoabeng Kofi Owura</v>
      </c>
      <c r="D543" s="38" t="s">
        <v>152</v>
      </c>
      <c r="E543" s="41">
        <v>83</v>
      </c>
      <c r="F543" s="1" t="s">
        <v>341</v>
      </c>
      <c r="G543" s="43">
        <f>E543*1.1</f>
        <v>91.300000000000011</v>
      </c>
      <c r="H543" s="65" t="s">
        <v>758</v>
      </c>
      <c r="I543" s="44" t="str">
        <f t="shared" si="127"/>
        <v>ME 164,ED1-IND</v>
      </c>
      <c r="J543" s="45"/>
    </row>
    <row r="544" spans="1:10" s="46" customFormat="1" ht="14.5" x14ac:dyDescent="0.35">
      <c r="A544" s="38" t="s">
        <v>470</v>
      </c>
      <c r="B544" s="39" t="str">
        <v>ENGINEERING MECHANICS I:STATICS</v>
      </c>
      <c r="C544" s="7" t="str">
        <v>Amoabeng Kofi Owura</v>
      </c>
      <c r="D544" s="38" t="s">
        <v>155</v>
      </c>
      <c r="E544" s="41">
        <v>46</v>
      </c>
      <c r="F544" s="38" t="s">
        <v>759</v>
      </c>
      <c r="G544" s="43">
        <f>E544*1.1</f>
        <v>50.6</v>
      </c>
      <c r="H544" s="65" t="s">
        <v>249</v>
      </c>
      <c r="I544" s="44" t="str">
        <f t="shared" si="127"/>
        <v>ME 164,ED1-MARI</v>
      </c>
      <c r="J544" s="45"/>
    </row>
    <row r="545" spans="1:10" ht="14.5" x14ac:dyDescent="0.35">
      <c r="A545" s="21" t="s">
        <v>760</v>
      </c>
      <c r="B545" s="35" t="str">
        <v>FARM MACHINERY DESIGN</v>
      </c>
      <c r="C545" s="39" t="str">
        <v>Aveyire Joseph</v>
      </c>
      <c r="D545" s="21" t="s">
        <v>136</v>
      </c>
      <c r="E545" s="96">
        <v>103</v>
      </c>
      <c r="F545" s="21" t="s">
        <v>712</v>
      </c>
      <c r="G545" s="43">
        <f t="shared" si="128"/>
        <v>113.30000000000001</v>
      </c>
      <c r="H545" s="8" t="s">
        <v>761</v>
      </c>
      <c r="I545" s="5" t="str">
        <f t="shared" si="127"/>
        <v>AE 482,ED4-AE</v>
      </c>
      <c r="J545" s="6"/>
    </row>
    <row r="546" spans="1:10" ht="14.5" x14ac:dyDescent="0.35">
      <c r="A546" s="38" t="s">
        <v>762</v>
      </c>
      <c r="B546" s="7" t="str">
        <v>INTRODUCTION TO INFORMATION TECHNOLOGY</v>
      </c>
      <c r="C546" s="39" t="str">
        <v>Titus Tienaah</v>
      </c>
      <c r="D546" s="38" t="s">
        <v>62</v>
      </c>
      <c r="E546" s="41">
        <v>103</v>
      </c>
      <c r="F546" s="47" t="s">
        <v>763</v>
      </c>
      <c r="G546" s="43">
        <f>E546*1.1</f>
        <v>113.30000000000001</v>
      </c>
      <c r="H546" s="8" t="s">
        <v>764</v>
      </c>
      <c r="I546" s="5" t="str">
        <f>CONCATENATE(A546,",",D546)</f>
        <v>GE 158,ED1-GEOM</v>
      </c>
      <c r="J546" s="6"/>
    </row>
    <row r="547" spans="1:10" ht="14.5" x14ac:dyDescent="0.35">
      <c r="A547" s="38" t="s">
        <v>765</v>
      </c>
      <c r="B547" s="7" t="str">
        <v>SECURE NETWORK SYSTEMS</v>
      </c>
      <c r="C547" s="39" t="str">
        <v>Tchao Eric Tutu</v>
      </c>
      <c r="D547" s="38" t="s">
        <v>282</v>
      </c>
      <c r="E547" s="96">
        <v>90</v>
      </c>
      <c r="F547" s="47" t="s">
        <v>137</v>
      </c>
      <c r="G547" s="43">
        <f>E547*1.1</f>
        <v>99.000000000000014</v>
      </c>
      <c r="H547" s="8" t="s">
        <v>757</v>
      </c>
      <c r="I547" s="5" t="str">
        <f>CONCATENATE(A547,",",D547)</f>
        <v>COE 456,ED4-COE</v>
      </c>
      <c r="J547" s="6"/>
    </row>
    <row r="548" spans="1:10" s="53" customFormat="1" ht="14.5" x14ac:dyDescent="0.35">
      <c r="A548" s="48" t="s">
        <v>766</v>
      </c>
      <c r="B548" s="40" t="str">
        <v>AUTOMOTIVE CHASSIS</v>
      </c>
      <c r="C548" s="40" t="str">
        <v>Ayetor Godwin Kafui Kwesi</v>
      </c>
      <c r="D548" s="48" t="s">
        <v>94</v>
      </c>
      <c r="E548" s="42">
        <v>40</v>
      </c>
      <c r="F548" s="48" t="s">
        <v>63</v>
      </c>
      <c r="G548" s="49">
        <f t="shared" ref="G548" si="129">E548*1.1</f>
        <v>44</v>
      </c>
      <c r="H548" s="50">
        <v>40</v>
      </c>
      <c r="I548" s="66" t="str">
        <f>CONCATENATE(A548,",",D548)</f>
        <v>AME 376,ED3-AUTO</v>
      </c>
      <c r="J548" s="52"/>
    </row>
    <row r="549" spans="1:10" s="53" customFormat="1" ht="14.5" x14ac:dyDescent="0.35">
      <c r="A549" s="48" t="s">
        <v>767</v>
      </c>
      <c r="B549" s="40" t="str">
        <v>AUTOMOTIVE CHASSIS</v>
      </c>
      <c r="C549" s="51" t="str">
        <v>Ayetor Godwin Kafui Kwesi</v>
      </c>
      <c r="D549" s="48" t="s">
        <v>45</v>
      </c>
      <c r="E549" s="42">
        <v>82</v>
      </c>
      <c r="F549" s="48" t="s">
        <v>65</v>
      </c>
      <c r="G549" s="49">
        <f>E549*1.1</f>
        <v>90.2</v>
      </c>
      <c r="H549" s="95">
        <v>82</v>
      </c>
      <c r="I549" s="66" t="str">
        <f>CONCATENATE(A549,",",D549)</f>
        <v>AME 256,ED2-AUTO</v>
      </c>
      <c r="J549" s="52"/>
    </row>
    <row r="550" spans="1:10" s="53" customFormat="1" ht="14.5" x14ac:dyDescent="0.35">
      <c r="A550" s="48" t="s">
        <v>768</v>
      </c>
      <c r="B550" s="40" t="str">
        <v>SATELLITE COMMUNICATION AND NAVIGATION SYSTEMS</v>
      </c>
      <c r="C550" s="40" t="str">
        <v>Gadze James Dzisi</v>
      </c>
      <c r="D550" s="94" t="s">
        <v>349</v>
      </c>
      <c r="E550" s="42">
        <v>138</v>
      </c>
      <c r="F550" s="48" t="s">
        <v>23</v>
      </c>
      <c r="G550" s="49">
        <f t="shared" si="128"/>
        <v>151.80000000000001</v>
      </c>
      <c r="H550" s="95" t="s">
        <v>769</v>
      </c>
      <c r="I550" s="66" t="str">
        <f t="shared" si="127"/>
        <v>TE 456,ED4-TEL</v>
      </c>
      <c r="J550" s="52"/>
    </row>
    <row r="551" spans="1:10" ht="14.5" x14ac:dyDescent="0.35">
      <c r="A551" s="54"/>
      <c r="B551" s="54"/>
      <c r="D551" s="39" t="s">
        <v>770</v>
      </c>
      <c r="E551" s="55">
        <f>SUM(_xlfn.ANCHORARRAY(E538))</f>
        <v>1144</v>
      </c>
      <c r="F551" s="56"/>
      <c r="G551" s="57"/>
      <c r="I551" s="2"/>
      <c r="J551" s="6"/>
    </row>
    <row r="552" spans="1:10" ht="14.5" x14ac:dyDescent="0.35">
      <c r="A552" s="123" t="s">
        <v>738</v>
      </c>
      <c r="B552" s="123"/>
      <c r="C552" s="123"/>
      <c r="D552" s="123"/>
      <c r="E552" s="123"/>
      <c r="F552" s="123"/>
      <c r="G552" s="123"/>
      <c r="I552" s="2" t="str">
        <f>A552</f>
        <v>Tuesday, 1 September 2026</v>
      </c>
      <c r="J552" s="6"/>
    </row>
    <row r="553" spans="1:10" ht="14.5" x14ac:dyDescent="0.35">
      <c r="A553" s="123" t="s">
        <v>77</v>
      </c>
      <c r="B553" s="123"/>
      <c r="C553" s="123"/>
      <c r="D553" s="123"/>
      <c r="E553" s="123"/>
      <c r="F553" s="123"/>
      <c r="G553" s="123"/>
      <c r="I553" s="2" t="str">
        <f>A553</f>
        <v>Session, 3 (3:00 PM - 5:00 PM)</v>
      </c>
      <c r="J553" s="6"/>
    </row>
    <row r="554" spans="1:10" ht="14.5" x14ac:dyDescent="0.35">
      <c r="A554" s="35" t="s">
        <v>2</v>
      </c>
      <c r="B554" s="35" t="s">
        <v>3</v>
      </c>
      <c r="C554" s="32" t="s">
        <v>4</v>
      </c>
      <c r="D554" s="35" t="s">
        <v>5</v>
      </c>
      <c r="E554" s="36" t="s">
        <v>6</v>
      </c>
      <c r="F554" s="32" t="s">
        <v>7</v>
      </c>
      <c r="G554" s="37" t="s">
        <v>8</v>
      </c>
      <c r="I554" s="2" t="s">
        <v>36</v>
      </c>
      <c r="J554" s="6"/>
    </row>
    <row r="555" spans="1:10" ht="14.5" x14ac:dyDescent="0.35">
      <c r="A555" s="38" t="s">
        <v>771</v>
      </c>
      <c r="B555" s="7" t="str" cm="1">
        <f t="array" ref="B555:B569">IFERROR(VLOOKUP(I555:I569,[5]Lectures_1!A2:F534,2,FALSE),0)</f>
        <v>AIRCRAFT PERFORMANCE AND DESIGN</v>
      </c>
      <c r="C555" s="7" t="str" cm="1">
        <f t="array" ref="C555:C569">IFERROR(VLOOKUP(I555:I569,[5]Lectures_1!A2:F534,3,FALSE),0)</f>
        <v>Agyei Agyemang Anthony</v>
      </c>
      <c r="D555" s="38" t="s">
        <v>26</v>
      </c>
      <c r="E555" s="41" cm="1">
        <f t="array" ref="E555:E569">IFERROR(VLOOKUP(I555:I569,[5]Lectures_1!A2:F534,4,FALSE),0)</f>
        <v>76</v>
      </c>
      <c r="F555" s="47" t="s">
        <v>697</v>
      </c>
      <c r="G555" s="43">
        <f>E555*1.1</f>
        <v>83.600000000000009</v>
      </c>
      <c r="H555" s="8" t="s">
        <v>772</v>
      </c>
      <c r="I555" s="5" t="str">
        <f>CONCATENATE(A555,",",D555)</f>
        <v>AERO 374,ED3-AERO</v>
      </c>
      <c r="J555" s="6"/>
    </row>
    <row r="556" spans="1:10" ht="14.5" x14ac:dyDescent="0.35">
      <c r="A556" s="38" t="s">
        <v>773</v>
      </c>
      <c r="B556" s="7" t="str">
        <v>STRUCTURAL GEOLOGY</v>
      </c>
      <c r="C556" s="7" t="str">
        <v>Wilson Matthew Coffie</v>
      </c>
      <c r="D556" s="38" t="s">
        <v>236</v>
      </c>
      <c r="E556" s="41">
        <v>154</v>
      </c>
      <c r="F556" s="47" t="s">
        <v>394</v>
      </c>
      <c r="G556" s="43">
        <f t="shared" ref="G556:G569" si="130">E556*1.1</f>
        <v>169.4</v>
      </c>
      <c r="H556" s="8" t="s">
        <v>774</v>
      </c>
      <c r="I556" s="5" t="str">
        <f t="shared" ref="I556:I565" si="131">CONCATENATE(A556,",",D556)</f>
        <v>GED 364,ED3-GEOL</v>
      </c>
      <c r="J556" s="6"/>
    </row>
    <row r="557" spans="1:10" ht="14.5" x14ac:dyDescent="0.35">
      <c r="A557" s="38" t="s">
        <v>775</v>
      </c>
      <c r="B557" s="7" t="str">
        <v>ENERGY AND CLIMATE CHANGE</v>
      </c>
      <c r="C557" s="7" t="str">
        <v>Sokama-Neuyam Yen Adams</v>
      </c>
      <c r="D557" s="38" t="s">
        <v>205</v>
      </c>
      <c r="E557" s="41">
        <v>22</v>
      </c>
      <c r="F557" s="47" t="s">
        <v>776</v>
      </c>
      <c r="G557" s="43">
        <f t="shared" si="130"/>
        <v>24.200000000000003</v>
      </c>
      <c r="H557" s="8">
        <v>22</v>
      </c>
      <c r="I557" s="5" t="str">
        <f t="shared" si="131"/>
        <v>PE 476,ED4-PE</v>
      </c>
      <c r="J557" s="6"/>
    </row>
    <row r="558" spans="1:10" s="53" customFormat="1" ht="14.5" x14ac:dyDescent="0.35">
      <c r="A558" s="48" t="s">
        <v>777</v>
      </c>
      <c r="B558" s="51" t="str">
        <v>REGIONAL GEOLOGY</v>
      </c>
      <c r="C558" s="51" t="str">
        <v>Quaye Jonathan Atuquaye</v>
      </c>
      <c r="D558" s="48" t="s">
        <v>126</v>
      </c>
      <c r="E558" s="42">
        <v>95</v>
      </c>
      <c r="F558" s="94" t="s">
        <v>65</v>
      </c>
      <c r="G558" s="49">
        <f t="shared" si="130"/>
        <v>104.50000000000001</v>
      </c>
      <c r="H558" s="95">
        <v>95</v>
      </c>
      <c r="I558" s="66" t="str">
        <f t="shared" si="131"/>
        <v>PE 256,ED2-PE</v>
      </c>
      <c r="J558" s="52"/>
    </row>
    <row r="559" spans="1:10" ht="14.5" x14ac:dyDescent="0.35">
      <c r="A559" s="38" t="s">
        <v>778</v>
      </c>
      <c r="B559" s="7" t="str">
        <v>MARINE ELECTRICAL TECHNOLOGY AND ELECTRICAL MEASUREMENTS</v>
      </c>
      <c r="C559" s="7" t="str">
        <v>Frimpong Emmanuel Asuming</v>
      </c>
      <c r="D559" s="38" t="s">
        <v>114</v>
      </c>
      <c r="E559" s="41">
        <v>40</v>
      </c>
      <c r="F559" s="47" t="s">
        <v>724</v>
      </c>
      <c r="G559" s="43">
        <f t="shared" si="130"/>
        <v>44</v>
      </c>
      <c r="H559" s="8">
        <v>40</v>
      </c>
      <c r="I559" s="5" t="str">
        <f t="shared" si="131"/>
        <v>MME 386,ED3-MARI</v>
      </c>
      <c r="J559" s="6"/>
    </row>
    <row r="560" spans="1:10" ht="14.5" x14ac:dyDescent="0.35">
      <c r="A560" s="38" t="s">
        <v>779</v>
      </c>
      <c r="B560" s="7" t="str">
        <v>SURFACE TREATMENT OF MATERIALS</v>
      </c>
      <c r="C560" s="7" t="str">
        <v>Andrews Anthony</v>
      </c>
      <c r="D560" s="38" t="s">
        <v>194</v>
      </c>
      <c r="E560" s="41">
        <v>60</v>
      </c>
      <c r="F560" s="38" t="s">
        <v>63</v>
      </c>
      <c r="G560" s="43">
        <f>E560*1.1</f>
        <v>66</v>
      </c>
      <c r="H560" s="8">
        <v>60</v>
      </c>
      <c r="I560" s="5" t="str">
        <f>CONCATENATE(A560,",",D560)</f>
        <v>MSE 454,ED4-MSE</v>
      </c>
      <c r="J560" s="6"/>
    </row>
    <row r="561" spans="1:10" ht="14.5" x14ac:dyDescent="0.35">
      <c r="A561" s="38" t="s">
        <v>780</v>
      </c>
      <c r="B561" s="39" t="str">
        <v>ELECTROMETALLURGY</v>
      </c>
      <c r="C561" s="39" t="str">
        <v>Agbe Henry</v>
      </c>
      <c r="D561" s="38" t="s">
        <v>195</v>
      </c>
      <c r="E561" s="41">
        <v>55</v>
      </c>
      <c r="F561" s="47" t="s">
        <v>309</v>
      </c>
      <c r="G561" s="43">
        <f>E561*1.1</f>
        <v>60.500000000000007</v>
      </c>
      <c r="H561" s="8" t="s">
        <v>51</v>
      </c>
      <c r="I561" s="5" t="str">
        <f>CONCATENATE(A561,",",D561)</f>
        <v>METE 452,ED4-METE</v>
      </c>
      <c r="J561" s="6"/>
    </row>
    <row r="562" spans="1:10" s="46" customFormat="1" ht="14.5" x14ac:dyDescent="0.35">
      <c r="A562" s="38" t="s">
        <v>694</v>
      </c>
      <c r="B562" s="39" t="str">
        <v>BASIC MECHANICS</v>
      </c>
      <c r="C562" s="7" t="str">
        <v>Opoku Richard</v>
      </c>
      <c r="D562" s="38" t="s">
        <v>159</v>
      </c>
      <c r="E562" s="41">
        <v>75</v>
      </c>
      <c r="F562" s="47" t="s">
        <v>137</v>
      </c>
      <c r="G562" s="43">
        <f>E562*1.1</f>
        <v>82.5</v>
      </c>
      <c r="H562" s="65" t="s">
        <v>781</v>
      </c>
      <c r="I562" s="44" t="str">
        <f>CONCATENATE(A562,",",D562)</f>
        <v>ME 162,ED1-METE</v>
      </c>
      <c r="J562" s="45"/>
    </row>
    <row r="563" spans="1:10" s="46" customFormat="1" ht="14.5" x14ac:dyDescent="0.35">
      <c r="A563" s="38" t="s">
        <v>694</v>
      </c>
      <c r="B563" s="39" t="str">
        <v>BASIC MECHANICS</v>
      </c>
      <c r="C563" s="7" t="str">
        <v>Boahen Samuel</v>
      </c>
      <c r="D563" s="38" t="s">
        <v>110</v>
      </c>
      <c r="E563" s="41">
        <v>56</v>
      </c>
      <c r="F563" s="21" t="s">
        <v>143</v>
      </c>
      <c r="G563" s="43">
        <f>E563*1.1</f>
        <v>61.600000000000009</v>
      </c>
      <c r="H563" s="65" t="s">
        <v>782</v>
      </c>
      <c r="I563" s="44" t="str">
        <f>CONCATENATE(A563,",",D563)</f>
        <v>ME 162,ED1-PCE</v>
      </c>
      <c r="J563" s="45"/>
    </row>
    <row r="564" spans="1:10" ht="14.5" x14ac:dyDescent="0.35">
      <c r="A564" s="38" t="s">
        <v>783</v>
      </c>
      <c r="B564" s="39" t="str">
        <v>RELIABILITY ENGINEERING</v>
      </c>
      <c r="C564" s="39" t="str">
        <v>Takyi Gabriel</v>
      </c>
      <c r="D564" s="38" t="s">
        <v>179</v>
      </c>
      <c r="E564" s="41">
        <v>70</v>
      </c>
      <c r="F564" s="47" t="s">
        <v>63</v>
      </c>
      <c r="G564" s="43">
        <f t="shared" si="130"/>
        <v>77</v>
      </c>
      <c r="H564" s="8">
        <v>70</v>
      </c>
      <c r="I564" s="5" t="str">
        <f t="shared" ref="I564" si="132">CONCATENATE(A564,",",D564)</f>
        <v>IE 356,ED3-IND</v>
      </c>
      <c r="J564" s="6"/>
    </row>
    <row r="565" spans="1:10" ht="14.5" x14ac:dyDescent="0.35">
      <c r="A565" s="38" t="s">
        <v>784</v>
      </c>
      <c r="B565" s="39" t="str">
        <v>GROUNDWATER DEVELOPMENT</v>
      </c>
      <c r="C565" s="7" t="str">
        <v>Ali Bukari</v>
      </c>
      <c r="D565" s="38" t="s">
        <v>134</v>
      </c>
      <c r="E565" s="41">
        <v>95</v>
      </c>
      <c r="F565" s="47" t="s">
        <v>137</v>
      </c>
      <c r="G565" s="43">
        <f t="shared" si="130"/>
        <v>104.50000000000001</v>
      </c>
      <c r="H565" s="8" t="s">
        <v>708</v>
      </c>
      <c r="I565" s="5" t="str">
        <f t="shared" si="131"/>
        <v>GED 476,ED4-GEOL</v>
      </c>
      <c r="J565" s="6"/>
    </row>
    <row r="566" spans="1:10" ht="14.5" x14ac:dyDescent="0.35">
      <c r="A566" s="38" t="s">
        <v>785</v>
      </c>
      <c r="B566" s="35" t="str">
        <v>VEHICLE MAINTENANCE AND REGULATION</v>
      </c>
      <c r="C566" s="7" t="str">
        <v>Abu Frimpong Solomon</v>
      </c>
      <c r="D566" s="38" t="s">
        <v>292</v>
      </c>
      <c r="E566" s="96">
        <v>32</v>
      </c>
      <c r="F566" s="47" t="s">
        <v>262</v>
      </c>
      <c r="G566" s="43">
        <f>E566*1.1</f>
        <v>35.200000000000003</v>
      </c>
      <c r="H566" s="8">
        <v>32</v>
      </c>
      <c r="I566" s="5" t="str">
        <f>CONCATENATE(A566,",",D566)</f>
        <v>AME 496,ED4-AUTO</v>
      </c>
      <c r="J566" s="6"/>
    </row>
    <row r="567" spans="1:10" ht="14.5" x14ac:dyDescent="0.35">
      <c r="A567" s="38" t="s">
        <v>786</v>
      </c>
      <c r="B567" s="7" t="str">
        <v>INDUSTRIAL AUTOMATIC CONTROL</v>
      </c>
      <c r="C567" s="39" t="str">
        <v>Opoku Daniel</v>
      </c>
      <c r="D567" s="38" t="s">
        <v>220</v>
      </c>
      <c r="E567" s="41">
        <v>205</v>
      </c>
      <c r="F567" s="47" t="s">
        <v>787</v>
      </c>
      <c r="G567" s="43">
        <f t="shared" ref="G567" si="133">E567*1.1</f>
        <v>225.50000000000003</v>
      </c>
      <c r="H567" s="8" t="s">
        <v>788</v>
      </c>
      <c r="I567" s="5" t="str">
        <f>CONCATENATE(A567,",",D567)</f>
        <v>EE 484,ED4-EE</v>
      </c>
      <c r="J567" s="6"/>
    </row>
    <row r="568" spans="1:10" ht="14.5" x14ac:dyDescent="0.35">
      <c r="A568" s="38" t="s">
        <v>789</v>
      </c>
      <c r="B568" s="39" t="str">
        <v>PETROLEUM PRODUCTION ENGINEERING</v>
      </c>
      <c r="C568" s="7" t="str">
        <v>Ankudey Emmanuel Godwin</v>
      </c>
      <c r="D568" s="38" t="s">
        <v>124</v>
      </c>
      <c r="E568" s="41">
        <v>53</v>
      </c>
      <c r="F568" s="47" t="s">
        <v>143</v>
      </c>
      <c r="G568" s="43">
        <f t="shared" si="130"/>
        <v>58.300000000000004</v>
      </c>
      <c r="H568" s="8" t="s">
        <v>790</v>
      </c>
      <c r="I568" s="5" t="str">
        <f>CONCATENATE(A568,",",D568)</f>
        <v>PETE 354,ED3-PCE</v>
      </c>
      <c r="J568" s="6"/>
    </row>
    <row r="569" spans="1:10" ht="14.5" x14ac:dyDescent="0.35">
      <c r="A569" s="38" t="s">
        <v>791</v>
      </c>
      <c r="B569" s="7" t="str">
        <v>SHIP CONSTRUCTION</v>
      </c>
      <c r="C569" s="39" t="str">
        <v>Jehoshaphat Eyram Deh</v>
      </c>
      <c r="D569" s="38" t="s">
        <v>98</v>
      </c>
      <c r="E569" s="41">
        <v>23</v>
      </c>
      <c r="F569" s="47">
        <v>303</v>
      </c>
      <c r="G569" s="43">
        <f t="shared" si="130"/>
        <v>25.3</v>
      </c>
      <c r="H569" s="8">
        <v>23</v>
      </c>
      <c r="I569" s="5" t="str">
        <f>CONCATENATE(A569,",",D569)</f>
        <v>MME 476,ED4-MARI</v>
      </c>
      <c r="J569" s="6"/>
    </row>
    <row r="570" spans="1:10" ht="14.5" x14ac:dyDescent="0.35">
      <c r="A570" s="54"/>
      <c r="B570" s="54"/>
      <c r="D570" s="39" t="s">
        <v>792</v>
      </c>
      <c r="E570" s="55">
        <f>SUM(E555:E569)</f>
        <v>1111</v>
      </c>
      <c r="F570" s="56"/>
      <c r="G570" s="57"/>
      <c r="I570" s="2" t="s">
        <v>793</v>
      </c>
      <c r="J570" s="6"/>
    </row>
    <row r="571" spans="1:10" ht="14.5" x14ac:dyDescent="0.35">
      <c r="A571" s="123" t="s">
        <v>794</v>
      </c>
      <c r="B571" s="123"/>
      <c r="C571" s="123"/>
      <c r="D571" s="123"/>
      <c r="E571" s="123"/>
      <c r="F571" s="123"/>
      <c r="G571" s="123"/>
      <c r="I571" s="2" t="str">
        <f>A571</f>
        <v>Wednesday, 2 September 2026</v>
      </c>
      <c r="J571" s="6"/>
    </row>
    <row r="572" spans="1:10" ht="14.5" x14ac:dyDescent="0.35">
      <c r="A572" s="123" t="s">
        <v>1</v>
      </c>
      <c r="B572" s="123"/>
      <c r="C572" s="123"/>
      <c r="D572" s="123"/>
      <c r="E572" s="123"/>
      <c r="F572" s="123"/>
      <c r="G572" s="123"/>
      <c r="I572" s="2" t="str">
        <f>A572</f>
        <v>Session, 1 (8:30 AM - 10:30 AM)</v>
      </c>
      <c r="J572" s="6"/>
    </row>
    <row r="573" spans="1:10" ht="14.5" x14ac:dyDescent="0.35">
      <c r="A573" s="35" t="s">
        <v>2</v>
      </c>
      <c r="B573" s="35" t="s">
        <v>3</v>
      </c>
      <c r="C573" s="32" t="s">
        <v>4</v>
      </c>
      <c r="D573" s="35" t="s">
        <v>5</v>
      </c>
      <c r="E573" s="36" t="s">
        <v>6</v>
      </c>
      <c r="F573" s="32" t="s">
        <v>7</v>
      </c>
      <c r="G573" s="37" t="s">
        <v>8</v>
      </c>
      <c r="I573" s="2" t="s">
        <v>36</v>
      </c>
      <c r="J573" s="6"/>
    </row>
    <row r="574" spans="1:10" ht="14.5" x14ac:dyDescent="0.35">
      <c r="A574" s="38" t="s">
        <v>795</v>
      </c>
      <c r="B574" s="7" t="str" cm="1">
        <f t="array" ref="B574:B582">IFERROR(VLOOKUP(I574:I582,[5]Lectures_1!A2:F534,2,FALSE),0)</f>
        <v>ENGINEERING WORKSHOP PRACTICE</v>
      </c>
      <c r="C574" s="7" t="str" cm="1">
        <f t="array" ref="C574:C582">IFERROR(VLOOKUP(I574:I582,[5]Lectures_1!A2:F534,3,FALSE),0)</f>
        <v>Michael Adusei-Bonsu</v>
      </c>
      <c r="D574" s="38" t="s">
        <v>246</v>
      </c>
      <c r="E574" s="41" cm="1">
        <f t="array" ref="E574:E582">IFERROR(VLOOKUP(I574:I582,[5]Lectures_1!A2:F534,4,FALSE),0)</f>
        <v>128</v>
      </c>
      <c r="F574" s="47" t="s">
        <v>227</v>
      </c>
      <c r="G574" s="43">
        <f>E574*1.1</f>
        <v>140.80000000000001</v>
      </c>
      <c r="H574" s="8" t="s">
        <v>695</v>
      </c>
      <c r="I574" s="5" t="str">
        <f t="shared" ref="I574:I577" si="134">CONCATENATE(A574,",",D574)</f>
        <v>AE 196,ED1-AE</v>
      </c>
      <c r="J574" s="6"/>
    </row>
    <row r="575" spans="1:10" ht="14.5" x14ac:dyDescent="0.35">
      <c r="A575" s="38" t="s">
        <v>796</v>
      </c>
      <c r="B575" s="7" t="str">
        <v>SOIL MECHANICS APPLICATION TO MECHANISATION</v>
      </c>
      <c r="C575" s="7" t="str">
        <v>Agodzo Sampson Kwaku</v>
      </c>
      <c r="D575" s="38" t="s">
        <v>116</v>
      </c>
      <c r="E575" s="41">
        <v>101</v>
      </c>
      <c r="F575" s="47" t="s">
        <v>712</v>
      </c>
      <c r="G575" s="43">
        <f t="shared" ref="G575:G582" si="135">E575*1.1</f>
        <v>111.10000000000001</v>
      </c>
      <c r="H575" s="8" t="s">
        <v>797</v>
      </c>
      <c r="I575" s="5" t="str">
        <f t="shared" si="134"/>
        <v>AE 352,ED3-AE</v>
      </c>
      <c r="J575" s="6"/>
    </row>
    <row r="576" spans="1:10" ht="14.5" x14ac:dyDescent="0.35">
      <c r="A576" s="38" t="s">
        <v>798</v>
      </c>
      <c r="B576" s="39" t="str">
        <v>AQUATIC STROKES DEVELOPMENT AND REFINEMENT</v>
      </c>
      <c r="C576" s="39" t="str">
        <v>Afrifa Daniel</v>
      </c>
      <c r="D576" s="38" t="s">
        <v>47</v>
      </c>
      <c r="E576" s="41">
        <v>37</v>
      </c>
      <c r="F576" s="47" t="s">
        <v>54</v>
      </c>
      <c r="G576" s="43">
        <f t="shared" si="135"/>
        <v>40.700000000000003</v>
      </c>
      <c r="H576" s="1">
        <v>37</v>
      </c>
      <c r="I576" s="5" t="str">
        <f t="shared" si="134"/>
        <v>SES 172,ED2-MARI</v>
      </c>
      <c r="J576" s="6"/>
    </row>
    <row r="577" spans="1:10" ht="14.5" x14ac:dyDescent="0.35">
      <c r="A577" s="38" t="s">
        <v>799</v>
      </c>
      <c r="B577" s="39" t="str">
        <v>FLUID MACHINERY</v>
      </c>
      <c r="C577" s="7" t="str">
        <v>Opoku Richard</v>
      </c>
      <c r="D577" s="38" t="s">
        <v>82</v>
      </c>
      <c r="E577" s="41">
        <v>80</v>
      </c>
      <c r="F577" s="47" t="s">
        <v>800</v>
      </c>
      <c r="G577" s="43">
        <f t="shared" si="135"/>
        <v>88</v>
      </c>
      <c r="H577" s="8" t="s">
        <v>392</v>
      </c>
      <c r="I577" s="5" t="str">
        <f t="shared" si="134"/>
        <v>ME 452,ED4-ME</v>
      </c>
      <c r="J577" s="6"/>
    </row>
    <row r="578" spans="1:10" ht="14.5" x14ac:dyDescent="0.35">
      <c r="A578" s="38" t="s">
        <v>801</v>
      </c>
      <c r="B578" s="7" t="str">
        <v>PRINCIPLE OF DESIGN</v>
      </c>
      <c r="C578" s="39" t="str">
        <v>Ayeh Felix Jojo Fianko</v>
      </c>
      <c r="D578" s="38" t="s">
        <v>73</v>
      </c>
      <c r="E578" s="41">
        <v>250</v>
      </c>
      <c r="F578" s="108" t="s">
        <v>703</v>
      </c>
      <c r="G578" s="43">
        <f>E578*1.1</f>
        <v>275</v>
      </c>
      <c r="H578" s="9" t="s">
        <v>802</v>
      </c>
      <c r="I578" s="5" t="str">
        <f>CONCATENATE(A578,",",D578)</f>
        <v>CE 272,ED2-CE</v>
      </c>
      <c r="J578" s="6"/>
    </row>
    <row r="579" spans="1:10" ht="14.5" x14ac:dyDescent="0.35">
      <c r="A579" s="38" t="s">
        <v>803</v>
      </c>
      <c r="B579" s="39" t="str">
        <v>AEROSPACE SAFETY AND AIR SECURITY</v>
      </c>
      <c r="C579" s="7" t="str">
        <v xml:space="preserve">Peter Oppong Tawiah </v>
      </c>
      <c r="D579" s="38" t="s">
        <v>172</v>
      </c>
      <c r="E579" s="41">
        <v>61</v>
      </c>
      <c r="F579" s="38" t="s">
        <v>383</v>
      </c>
      <c r="G579" s="43">
        <f>E579*1.1</f>
        <v>67.100000000000009</v>
      </c>
      <c r="H579" s="8" t="s">
        <v>174</v>
      </c>
      <c r="I579" s="5" t="str">
        <f>CONCATENATE(A579,",",D579)</f>
        <v>AERO 492,ED4-AERO</v>
      </c>
      <c r="J579" s="6"/>
    </row>
    <row r="580" spans="1:10" s="53" customFormat="1" ht="14.5" x14ac:dyDescent="0.35">
      <c r="A580" s="48" t="s">
        <v>804</v>
      </c>
      <c r="B580" s="40" t="str">
        <v>FUNDAMENTALS OF DATA SCIENCE</v>
      </c>
      <c r="C580" s="40" t="str">
        <v>Obour Agyekum Kwame Opuni-Boachie</v>
      </c>
      <c r="D580" s="48" t="s">
        <v>273</v>
      </c>
      <c r="E580" s="42">
        <v>175</v>
      </c>
      <c r="F580" s="110" t="s">
        <v>23</v>
      </c>
      <c r="G580" s="49">
        <f>E580*1.1</f>
        <v>192.50000000000003</v>
      </c>
      <c r="H580" s="50" t="s">
        <v>805</v>
      </c>
      <c r="I580" s="66" t="str">
        <f>CONCATENATE(A580,",",D580)</f>
        <v>TE 252,ED2-TEL</v>
      </c>
      <c r="J580" s="52"/>
    </row>
    <row r="581" spans="1:10" s="15" customFormat="1" ht="14.5" x14ac:dyDescent="0.35">
      <c r="A581" s="38" t="s">
        <v>806</v>
      </c>
      <c r="B581" s="7" t="str">
        <v>ELEMENTARY FLUIDS MECHANICS</v>
      </c>
      <c r="C581" s="7" t="str">
        <v>Gyamfi Charles</v>
      </c>
      <c r="D581" s="38" t="s">
        <v>67</v>
      </c>
      <c r="E581" s="41">
        <v>245</v>
      </c>
      <c r="F581" s="70" t="s">
        <v>703</v>
      </c>
      <c r="G581" s="43">
        <f t="shared" si="135"/>
        <v>269.5</v>
      </c>
      <c r="H581" s="8" t="s">
        <v>68</v>
      </c>
      <c r="I581" s="13" t="str">
        <f t="shared" ref="I581:I582" si="136">CONCATENATE(A581,",",D581)</f>
        <v>CE 156,ED1-CE</v>
      </c>
      <c r="J581" s="14"/>
    </row>
    <row r="582" spans="1:10" ht="14.5" x14ac:dyDescent="0.35">
      <c r="A582" s="38" t="s">
        <v>806</v>
      </c>
      <c r="B582" s="39" t="str">
        <v>ELEMENTARY FLUIDS MECHANICS</v>
      </c>
      <c r="C582" s="39" t="str">
        <v>Gyamfi Charles</v>
      </c>
      <c r="D582" s="38" t="s">
        <v>64</v>
      </c>
      <c r="E582" s="41">
        <v>125</v>
      </c>
      <c r="F582" s="47" t="s">
        <v>227</v>
      </c>
      <c r="G582" s="43">
        <f t="shared" si="135"/>
        <v>137.5</v>
      </c>
      <c r="H582" s="8" t="s">
        <v>807</v>
      </c>
      <c r="I582" s="5" t="str">
        <f t="shared" si="136"/>
        <v>CE 156,ED1-GEOL</v>
      </c>
      <c r="J582" s="6"/>
    </row>
    <row r="583" spans="1:10" ht="14.5" x14ac:dyDescent="0.35">
      <c r="A583" s="54"/>
      <c r="B583" s="54"/>
      <c r="D583" s="39" t="s">
        <v>808</v>
      </c>
      <c r="E583" s="55">
        <f>SUM(E574:E582)</f>
        <v>1202</v>
      </c>
      <c r="F583" s="56"/>
      <c r="G583" s="57"/>
      <c r="I583" s="2" t="s">
        <v>809</v>
      </c>
      <c r="J583" s="6"/>
    </row>
    <row r="584" spans="1:10" ht="14.5" x14ac:dyDescent="0.35">
      <c r="A584" s="123" t="s">
        <v>794</v>
      </c>
      <c r="B584" s="123"/>
      <c r="C584" s="123"/>
      <c r="D584" s="123"/>
      <c r="E584" s="123"/>
      <c r="F584" s="123"/>
      <c r="G584" s="123"/>
      <c r="I584" s="2" t="str">
        <f>A584</f>
        <v>Wednesday, 2 September 2026</v>
      </c>
      <c r="J584" s="6"/>
    </row>
    <row r="585" spans="1:10" ht="14.5" x14ac:dyDescent="0.35">
      <c r="A585" s="123" t="s">
        <v>35</v>
      </c>
      <c r="B585" s="123"/>
      <c r="C585" s="123"/>
      <c r="D585" s="123"/>
      <c r="E585" s="123"/>
      <c r="F585" s="123"/>
      <c r="G585" s="123"/>
      <c r="I585" s="2" t="str">
        <f>A585</f>
        <v>Session, 2 (12:00 PM - 2:00 PM)</v>
      </c>
      <c r="J585" s="6"/>
    </row>
    <row r="586" spans="1:10" ht="14.5" x14ac:dyDescent="0.35">
      <c r="A586" s="35" t="s">
        <v>2</v>
      </c>
      <c r="B586" s="35" t="s">
        <v>3</v>
      </c>
      <c r="C586" s="32" t="s">
        <v>4</v>
      </c>
      <c r="D586" s="35" t="s">
        <v>5</v>
      </c>
      <c r="E586" s="36" t="s">
        <v>6</v>
      </c>
      <c r="F586" s="32" t="s">
        <v>7</v>
      </c>
      <c r="G586" s="37" t="s">
        <v>8</v>
      </c>
      <c r="I586" s="2" t="s">
        <v>36</v>
      </c>
      <c r="J586" s="6"/>
    </row>
    <row r="587" spans="1:10" ht="14.5" x14ac:dyDescent="0.35">
      <c r="A587" s="38" t="s">
        <v>810</v>
      </c>
      <c r="B587" s="7" t="str" cm="1">
        <f t="array" ref="B587:B593">IFERROR(VLOOKUP(I587:I593,[5]Lectures_1!A2:F534,2,FALSE),0)</f>
        <v>DIGITAL COMMUNICATION SYSTEMS</v>
      </c>
      <c r="C587" s="7" t="str" cm="1">
        <f t="array" ref="C587:C593">IFERROR(VLOOKUP(I587:I593,[5]Lectures_1!A2:F534,3,FALSE),0)</f>
        <v>Affum Emmanuel Ampoma</v>
      </c>
      <c r="D587" s="38" t="s">
        <v>168</v>
      </c>
      <c r="E587" s="41" cm="1">
        <f t="array" ref="E587:E593">IFERROR(VLOOKUP(I587:I593,[5]Lectures_1!A2:F534,4,FALSE),0)</f>
        <v>140</v>
      </c>
      <c r="F587" s="47" t="s">
        <v>811</v>
      </c>
      <c r="G587" s="43">
        <f t="shared" ref="G587:G593" si="137">E587*1.1</f>
        <v>154</v>
      </c>
      <c r="H587" s="8" t="s">
        <v>812</v>
      </c>
      <c r="I587" s="5" t="str">
        <f t="shared" ref="I587:I588" si="138">CONCATENATE(A587,",",D587)</f>
        <v>TE 358,ED3-TEL</v>
      </c>
      <c r="J587" s="6"/>
    </row>
    <row r="588" spans="1:10" ht="14.5" x14ac:dyDescent="0.35">
      <c r="A588" s="38" t="s">
        <v>550</v>
      </c>
      <c r="B588" s="7" t="str">
        <v>ANTENNAS AND PROPAGATION</v>
      </c>
      <c r="C588" s="7" t="str">
        <v>Ellis Sani Mubarak</v>
      </c>
      <c r="D588" s="38" t="s">
        <v>90</v>
      </c>
      <c r="E588" s="41">
        <v>170</v>
      </c>
      <c r="F588" s="47" t="s">
        <v>415</v>
      </c>
      <c r="G588" s="43">
        <f t="shared" si="137"/>
        <v>187.00000000000003</v>
      </c>
      <c r="H588" s="8" t="s">
        <v>813</v>
      </c>
      <c r="I588" s="5" t="str">
        <f t="shared" si="138"/>
        <v>TE 372,ED3-EE</v>
      </c>
      <c r="J588" s="6"/>
    </row>
    <row r="589" spans="1:10" ht="14.5" x14ac:dyDescent="0.35">
      <c r="A589" s="38" t="s">
        <v>814</v>
      </c>
      <c r="B589" s="39" t="str">
        <v>COMPUTER-AIDED DESIGN AND MODELLING</v>
      </c>
      <c r="C589" s="7" t="str">
        <v>Sackey Michael Nii</v>
      </c>
      <c r="D589" s="38" t="s">
        <v>41</v>
      </c>
      <c r="E589" s="41">
        <v>75</v>
      </c>
      <c r="F589" s="47" t="s">
        <v>137</v>
      </c>
      <c r="G589" s="43">
        <f>E589*1.1</f>
        <v>82.5</v>
      </c>
      <c r="H589" s="8" t="s">
        <v>214</v>
      </c>
      <c r="I589" s="5" t="str">
        <f>CONCATENATE(A589,",",D589)</f>
        <v>ME 258,ED2-AERO</v>
      </c>
      <c r="J589" s="6"/>
    </row>
    <row r="590" spans="1:10" ht="14.5" x14ac:dyDescent="0.35">
      <c r="A590" s="38" t="s">
        <v>815</v>
      </c>
      <c r="B590" s="39" t="str">
        <v>NUMERICAL METHODS FOR PETROLEUM ENGINEERS</v>
      </c>
      <c r="C590" s="39" t="str">
        <v>Sokama-Neuyam Yen Adams</v>
      </c>
      <c r="D590" s="38" t="s">
        <v>101</v>
      </c>
      <c r="E590" s="41">
        <v>80</v>
      </c>
      <c r="F590" s="47" t="s">
        <v>137</v>
      </c>
      <c r="G590" s="43">
        <f t="shared" si="137"/>
        <v>88</v>
      </c>
      <c r="H590" s="8" t="s">
        <v>392</v>
      </c>
      <c r="I590" s="5" t="str">
        <f t="shared" ref="I590" si="139">CONCATENATE(A590,",",D590)</f>
        <v>PE 350,ED3-PE</v>
      </c>
      <c r="J590" s="6"/>
    </row>
    <row r="591" spans="1:10" ht="14.5" x14ac:dyDescent="0.35">
      <c r="A591" s="38" t="s">
        <v>816</v>
      </c>
      <c r="B591" s="7" t="str">
        <v>HYDROGRAPHIC SURVEYING AND MARINE SCIENCE</v>
      </c>
      <c r="C591" s="39" t="str">
        <v>Asante Cosmas Yaw</v>
      </c>
      <c r="D591" s="38" t="s">
        <v>270</v>
      </c>
      <c r="E591" s="41">
        <v>132</v>
      </c>
      <c r="F591" s="47" t="s">
        <v>811</v>
      </c>
      <c r="G591" s="43">
        <f>E591*1.1</f>
        <v>145.20000000000002</v>
      </c>
      <c r="H591" s="8" t="s">
        <v>817</v>
      </c>
      <c r="I591" s="5" t="str">
        <f>CONCATENATE(A591,",",D591)</f>
        <v>GE 284,ED2-GEOM</v>
      </c>
      <c r="J591" s="6"/>
    </row>
    <row r="592" spans="1:10" s="15" customFormat="1" ht="14.5" x14ac:dyDescent="0.35">
      <c r="A592" s="38" t="s">
        <v>495</v>
      </c>
      <c r="B592" s="7" t="str">
        <v>CALCULUS WITH SEVERAL VARIABLES</v>
      </c>
      <c r="C592" s="39" t="str">
        <v>Emmanuel Kpeglo</v>
      </c>
      <c r="D592" s="38" t="s">
        <v>30</v>
      </c>
      <c r="E592" s="41">
        <v>340</v>
      </c>
      <c r="F592" s="70" t="s">
        <v>818</v>
      </c>
      <c r="G592" s="43">
        <f t="shared" si="137"/>
        <v>374.00000000000006</v>
      </c>
      <c r="H592" s="9" t="s">
        <v>819</v>
      </c>
      <c r="I592" s="13" t="str">
        <f t="shared" ref="I592" si="140">CONCATENATE(A592,",",D592)</f>
        <v>MATH 252,ED2-EE</v>
      </c>
      <c r="J592" s="14"/>
    </row>
    <row r="593" spans="1:10" s="15" customFormat="1" ht="14.5" x14ac:dyDescent="0.35">
      <c r="A593" s="38" t="s">
        <v>495</v>
      </c>
      <c r="B593" s="7" t="str">
        <v>CALCULUS OF SEVERAL VARIABLES</v>
      </c>
      <c r="C593" s="39" t="str">
        <v>Benedict Barnes</v>
      </c>
      <c r="D593" s="38" t="s">
        <v>11</v>
      </c>
      <c r="E593" s="41">
        <v>160</v>
      </c>
      <c r="F593" s="47" t="s">
        <v>486</v>
      </c>
      <c r="G593" s="43">
        <f t="shared" si="137"/>
        <v>176</v>
      </c>
      <c r="H593" s="8" t="s">
        <v>820</v>
      </c>
      <c r="I593" s="13" t="str">
        <f>CONCATENATE(A593,",",D593)</f>
        <v>MATH 252,ED2-CHE</v>
      </c>
      <c r="J593" s="14"/>
    </row>
    <row r="594" spans="1:10" ht="14.5" x14ac:dyDescent="0.35">
      <c r="A594" s="54"/>
      <c r="B594" s="54"/>
      <c r="D594" s="39" t="s">
        <v>821</v>
      </c>
      <c r="E594" s="55">
        <f>SUM(E587:E593)</f>
        <v>1097</v>
      </c>
      <c r="F594" s="56"/>
      <c r="G594" s="57"/>
      <c r="I594" s="2"/>
      <c r="J594" s="6"/>
    </row>
    <row r="595" spans="1:10" ht="14.5" x14ac:dyDescent="0.35">
      <c r="A595" s="123" t="s">
        <v>794</v>
      </c>
      <c r="B595" s="123"/>
      <c r="C595" s="123"/>
      <c r="D595" s="123"/>
      <c r="E595" s="123"/>
      <c r="F595" s="123"/>
      <c r="G595" s="123"/>
      <c r="I595" s="2" t="str">
        <f>A595</f>
        <v>Wednesday, 2 September 2026</v>
      </c>
      <c r="J595" s="6"/>
    </row>
    <row r="596" spans="1:10" ht="14.5" x14ac:dyDescent="0.35">
      <c r="A596" s="123" t="s">
        <v>77</v>
      </c>
      <c r="B596" s="123"/>
      <c r="C596" s="123"/>
      <c r="D596" s="123"/>
      <c r="E596" s="123"/>
      <c r="F596" s="123"/>
      <c r="G596" s="123"/>
      <c r="I596" s="2" t="str">
        <f>A596</f>
        <v>Session, 3 (3:00 PM - 5:00 PM)</v>
      </c>
      <c r="J596" s="6"/>
    </row>
    <row r="597" spans="1:10" ht="14.5" x14ac:dyDescent="0.35">
      <c r="A597" s="35" t="s">
        <v>2</v>
      </c>
      <c r="B597" s="35" t="s">
        <v>3</v>
      </c>
      <c r="C597" s="32" t="s">
        <v>4</v>
      </c>
      <c r="D597" s="35" t="s">
        <v>5</v>
      </c>
      <c r="E597" s="36" t="s">
        <v>6</v>
      </c>
      <c r="F597" s="32" t="s">
        <v>7</v>
      </c>
      <c r="G597" s="37" t="s">
        <v>8</v>
      </c>
      <c r="I597" s="2" t="s">
        <v>36</v>
      </c>
      <c r="J597" s="6"/>
    </row>
    <row r="598" spans="1:10" ht="14.5" x14ac:dyDescent="0.35">
      <c r="A598" s="38" t="s">
        <v>822</v>
      </c>
      <c r="B598" s="7" t="str" cm="1">
        <f t="array" ref="B598:B606">IFERROR(VLOOKUP(I598:I606,[5]Lectures_1!A2:F534,2,FALSE),0)</f>
        <v>PRINCIPLES OF VALUATION OF LAND AND BUILDING</v>
      </c>
      <c r="C598" s="7" t="str" cm="1">
        <f t="array" ref="C598:C606">IFERROR(VLOOKUP(I598:I606,[5]Lectures_1!A2:F534,3,FALSE),0)</f>
        <v>Ayitey Jonathan</v>
      </c>
      <c r="D598" s="38" t="s">
        <v>312</v>
      </c>
      <c r="E598" s="41" cm="1">
        <f t="array" ref="E598:E606">IFERROR(VLOOKUP(I598:I606,[5]Lectures_1!A2:F534,4,FALSE),0)</f>
        <v>93</v>
      </c>
      <c r="F598" s="47" t="s">
        <v>137</v>
      </c>
      <c r="G598" s="43">
        <f>E598*1.1</f>
        <v>102.30000000000001</v>
      </c>
      <c r="H598" s="8" t="s">
        <v>823</v>
      </c>
      <c r="I598" s="5" t="str">
        <f t="shared" ref="I598" si="141">CONCATENATE(A598,",",D598)</f>
        <v>GE 474,ED4-GEOM</v>
      </c>
      <c r="J598" s="6"/>
    </row>
    <row r="599" spans="1:10" ht="14.5" x14ac:dyDescent="0.35">
      <c r="A599" s="38" t="s">
        <v>824</v>
      </c>
      <c r="B599" s="35" t="str">
        <v>ELECTRICAL ENGINEERING MACHINES</v>
      </c>
      <c r="C599" s="39" t="str">
        <v>Yaw Opoku Mensah Sekyere</v>
      </c>
      <c r="D599" s="38" t="s">
        <v>79</v>
      </c>
      <c r="E599" s="41">
        <v>222</v>
      </c>
      <c r="F599" s="47" t="s">
        <v>386</v>
      </c>
      <c r="G599" s="43">
        <f>E599*1.1</f>
        <v>244.20000000000002</v>
      </c>
      <c r="H599" s="8" t="s">
        <v>825</v>
      </c>
      <c r="I599" s="5" t="str">
        <f>CONCATENATE(A599,",",D599)</f>
        <v>EE 252,ED3-ME</v>
      </c>
      <c r="J599" s="6"/>
    </row>
    <row r="600" spans="1:10" ht="14.5" x14ac:dyDescent="0.35">
      <c r="A600" s="38" t="s">
        <v>824</v>
      </c>
      <c r="B600" s="35" t="str">
        <v>ELECTRICAL ENGINEERING MACHINES</v>
      </c>
      <c r="C600" s="39" t="str">
        <v>Yaw Opoku Mensah Sekyere</v>
      </c>
      <c r="D600" s="38" t="s">
        <v>56</v>
      </c>
      <c r="E600" s="41">
        <v>155</v>
      </c>
      <c r="F600" s="47" t="s">
        <v>394</v>
      </c>
      <c r="G600" s="43">
        <f>E600*1.1</f>
        <v>170.5</v>
      </c>
      <c r="H600" s="8" t="s">
        <v>826</v>
      </c>
      <c r="I600" s="5" t="str">
        <f>CONCATENATE(A600,",",D600)</f>
        <v>EE 252,ED2-AE</v>
      </c>
      <c r="J600" s="6"/>
    </row>
    <row r="601" spans="1:10" s="53" customFormat="1" ht="14.5" x14ac:dyDescent="0.35">
      <c r="A601" s="48" t="s">
        <v>827</v>
      </c>
      <c r="B601" s="40" t="str">
        <v>ELECTRICAL MACHINES</v>
      </c>
      <c r="C601" s="40" t="str">
        <v>Asigri Peter</v>
      </c>
      <c r="D601" s="48" t="s">
        <v>22</v>
      </c>
      <c r="E601" s="42">
        <v>262</v>
      </c>
      <c r="F601" s="110" t="s">
        <v>23</v>
      </c>
      <c r="G601" s="49">
        <f t="shared" ref="G601:G606" si="142">E601*1.1</f>
        <v>288.20000000000005</v>
      </c>
      <c r="H601" s="111" t="s">
        <v>24</v>
      </c>
      <c r="I601" s="66" t="str">
        <f t="shared" ref="I601:I606" si="143">CONCATENATE(A601,",",D601)</f>
        <v>EE 172,ED1-COE</v>
      </c>
      <c r="J601" s="52"/>
    </row>
    <row r="602" spans="1:10" ht="14.5" x14ac:dyDescent="0.35">
      <c r="A602" s="38" t="s">
        <v>828</v>
      </c>
      <c r="B602" s="7" t="str">
        <v>SIMULTANEOUS HEAT/MASS TRANSFER</v>
      </c>
      <c r="C602" s="39" t="str">
        <v>Dogbe Eunice Sefakor Aku</v>
      </c>
      <c r="D602" s="38" t="s">
        <v>59</v>
      </c>
      <c r="E602" s="41">
        <v>105</v>
      </c>
      <c r="F602" s="47" t="s">
        <v>712</v>
      </c>
      <c r="G602" s="43">
        <f t="shared" si="142"/>
        <v>115.50000000000001</v>
      </c>
      <c r="H602" s="8" t="s">
        <v>829</v>
      </c>
      <c r="I602" s="5" t="str">
        <f t="shared" si="143"/>
        <v>CHE 354,ED3-CHE</v>
      </c>
      <c r="J602" s="6"/>
    </row>
    <row r="603" spans="1:10" s="46" customFormat="1" ht="14.5" x14ac:dyDescent="0.35">
      <c r="A603" s="38" t="s">
        <v>830</v>
      </c>
      <c r="B603" s="39" t="str">
        <v>STRUCTURAL DYNAMICS</v>
      </c>
      <c r="C603" s="7" t="str">
        <v>Mark Adom-Asamoah</v>
      </c>
      <c r="D603" s="38" t="s">
        <v>140</v>
      </c>
      <c r="E603" s="41">
        <v>95</v>
      </c>
      <c r="F603" s="47" t="s">
        <v>327</v>
      </c>
      <c r="G603" s="43">
        <f>E603*1.1</f>
        <v>104.50000000000001</v>
      </c>
      <c r="H603" s="65" t="s">
        <v>831</v>
      </c>
      <c r="I603" s="44" t="str">
        <f t="shared" si="143"/>
        <v>CE 456,ED4-CE</v>
      </c>
      <c r="J603" s="45"/>
    </row>
    <row r="604" spans="1:10" ht="14.5" x14ac:dyDescent="0.35">
      <c r="A604" s="38" t="s">
        <v>832</v>
      </c>
      <c r="B604" s="39" t="str">
        <v>PROCESS CONTROL AND SIMULATION</v>
      </c>
      <c r="C604" s="39" t="str">
        <v>Baah-Ennumh Emmanuel Kwaku</v>
      </c>
      <c r="D604" s="38" t="s">
        <v>53</v>
      </c>
      <c r="E604" s="41">
        <v>114</v>
      </c>
      <c r="F604" s="22" t="s">
        <v>833</v>
      </c>
      <c r="G604" s="43">
        <f>E604*1.1</f>
        <v>125.4</v>
      </c>
      <c r="H604" s="22" t="s">
        <v>834</v>
      </c>
      <c r="I604" s="5" t="str">
        <f>CONCATENATE(A604,",",D604)</f>
        <v>CHE 456,ED4-CHE</v>
      </c>
      <c r="J604" s="6"/>
    </row>
    <row r="605" spans="1:10" ht="14.5" x14ac:dyDescent="0.35">
      <c r="A605" s="38" t="s">
        <v>832</v>
      </c>
      <c r="B605" s="39" t="str">
        <v>PROCESS CONTROL AND SIMULATION</v>
      </c>
      <c r="C605" s="39" t="str">
        <v>Baidoo Martina Francisca</v>
      </c>
      <c r="D605" s="38" t="s">
        <v>49</v>
      </c>
      <c r="E605" s="41">
        <v>55</v>
      </c>
      <c r="F605" s="22" t="s">
        <v>54</v>
      </c>
      <c r="G605" s="43">
        <f>E605*1.1</f>
        <v>60.500000000000007</v>
      </c>
      <c r="H605" s="23">
        <v>55</v>
      </c>
      <c r="I605" s="5" t="str">
        <f>CONCATENATE(A605,",",D605)</f>
        <v>CHE 456,ED4-PCE</v>
      </c>
      <c r="J605" s="6"/>
    </row>
    <row r="606" spans="1:10" ht="14.5" x14ac:dyDescent="0.35">
      <c r="A606" s="38" t="s">
        <v>835</v>
      </c>
      <c r="B606" s="39" t="str">
        <v>CROP STORAGE AND STORAGE STRUCTURES</v>
      </c>
      <c r="C606" s="39" t="str">
        <v>Bart Plange Ato</v>
      </c>
      <c r="D606" s="38" t="s">
        <v>136</v>
      </c>
      <c r="E606" s="41">
        <v>103</v>
      </c>
      <c r="F606" s="47" t="s">
        <v>339</v>
      </c>
      <c r="G606" s="43">
        <f t="shared" si="142"/>
        <v>113.30000000000001</v>
      </c>
      <c r="H606" s="8" t="s">
        <v>836</v>
      </c>
      <c r="I606" s="5" t="str">
        <f t="shared" si="143"/>
        <v>AE 464,ED4-AE</v>
      </c>
      <c r="J606" s="6"/>
    </row>
    <row r="607" spans="1:10" ht="14.5" x14ac:dyDescent="0.35">
      <c r="A607" s="54"/>
      <c r="B607" s="54"/>
      <c r="D607" s="39" t="s">
        <v>837</v>
      </c>
      <c r="E607" s="55">
        <f>SUM(E598:E606)</f>
        <v>1204</v>
      </c>
      <c r="F607" s="56"/>
      <c r="G607" s="57"/>
      <c r="I607" s="2" t="s">
        <v>838</v>
      </c>
      <c r="J607" s="6"/>
    </row>
    <row r="608" spans="1:10" ht="14.5" x14ac:dyDescent="0.35">
      <c r="A608" s="123" t="s">
        <v>839</v>
      </c>
      <c r="B608" s="123"/>
      <c r="C608" s="123"/>
      <c r="D608" s="123"/>
      <c r="E608" s="123"/>
      <c r="F608" s="123"/>
      <c r="G608" s="123"/>
      <c r="I608" s="2" t="str">
        <f>A608</f>
        <v>Thursday, 3 September 2026</v>
      </c>
      <c r="J608" s="6"/>
    </row>
    <row r="609" spans="1:10" ht="14.5" x14ac:dyDescent="0.35">
      <c r="A609" s="123" t="s">
        <v>1</v>
      </c>
      <c r="B609" s="123"/>
      <c r="C609" s="123"/>
      <c r="D609" s="123"/>
      <c r="E609" s="123"/>
      <c r="F609" s="123"/>
      <c r="G609" s="123"/>
      <c r="I609" s="2" t="str">
        <f>A609</f>
        <v>Session, 1 (8:30 AM - 10:30 AM)</v>
      </c>
      <c r="J609" s="6"/>
    </row>
    <row r="610" spans="1:10" ht="14.5" x14ac:dyDescent="0.35">
      <c r="A610" s="35" t="s">
        <v>2</v>
      </c>
      <c r="B610" s="35" t="s">
        <v>3</v>
      </c>
      <c r="C610" s="32" t="s">
        <v>4</v>
      </c>
      <c r="D610" s="35" t="s">
        <v>5</v>
      </c>
      <c r="E610" s="36" t="s">
        <v>6</v>
      </c>
      <c r="F610" s="32" t="s">
        <v>7</v>
      </c>
      <c r="G610" s="37" t="s">
        <v>8</v>
      </c>
      <c r="I610" s="2" t="s">
        <v>36</v>
      </c>
      <c r="J610" s="6"/>
    </row>
    <row r="611" spans="1:10" ht="14.5" x14ac:dyDescent="0.35">
      <c r="A611" s="38" t="s">
        <v>840</v>
      </c>
      <c r="B611" s="7" t="str" cm="1">
        <f t="array" ref="B611:B620">IFERROR(VLOOKUP(I611:I620,[5]Lectures_1!A2:F534,2,FALSE),0)</f>
        <v>LOGISTICS AND SUPPLY CHAIN ENGINEERING</v>
      </c>
      <c r="C611" s="39" t="str" cm="1">
        <f t="array" ref="C611:C620">IFERROR(VLOOKUP(I611:I620,[5]Lectures_1!A2:F534,3,FALSE),0)</f>
        <v>Asiedu Charlotte</v>
      </c>
      <c r="D611" s="38" t="s">
        <v>179</v>
      </c>
      <c r="E611" s="41" cm="1">
        <f t="array" ref="E611:E620">IFERROR(VLOOKUP(I611:I620,[5]Lectures_1!A2:F534,4,FALSE),0)</f>
        <v>70</v>
      </c>
      <c r="F611" s="38" t="s">
        <v>209</v>
      </c>
      <c r="G611" s="43">
        <f t="shared" ref="G611:G620" si="144">E611*1.1</f>
        <v>77</v>
      </c>
      <c r="H611" s="8" t="s">
        <v>841</v>
      </c>
      <c r="I611" s="5" t="str">
        <f t="shared" ref="I611:I620" si="145">CONCATENATE(A611,",",D611)</f>
        <v>IE 354,ED3-IND</v>
      </c>
      <c r="J611" s="6"/>
    </row>
    <row r="612" spans="1:10" s="115" customFormat="1" ht="14.5" x14ac:dyDescent="0.35">
      <c r="A612" s="38" t="s">
        <v>842</v>
      </c>
      <c r="B612" s="39" t="str">
        <v>AEROSPACE DESIGN PROJECT I</v>
      </c>
      <c r="C612" s="7" t="str">
        <v>Afriyie Nyarko Frank Kwabena</v>
      </c>
      <c r="D612" s="38" t="s">
        <v>305</v>
      </c>
      <c r="E612" s="41">
        <v>70</v>
      </c>
      <c r="F612" s="47" t="s">
        <v>137</v>
      </c>
      <c r="G612" s="43">
        <f t="shared" si="144"/>
        <v>77</v>
      </c>
      <c r="H612" s="112" t="s">
        <v>841</v>
      </c>
      <c r="I612" s="113" t="str">
        <f t="shared" si="145"/>
        <v>AERO 174,ED1-AERO</v>
      </c>
      <c r="J612" s="114"/>
    </row>
    <row r="613" spans="1:10" s="115" customFormat="1" ht="14.5" x14ac:dyDescent="0.35">
      <c r="A613" s="38" t="s">
        <v>843</v>
      </c>
      <c r="B613" s="7" t="str">
        <v>FIRST YEAR DESIGN PROJECT</v>
      </c>
      <c r="C613" s="39" t="str">
        <v>Afriyie Nyarko Frank Kwabena</v>
      </c>
      <c r="D613" s="38" t="s">
        <v>152</v>
      </c>
      <c r="E613" s="41">
        <v>83</v>
      </c>
      <c r="F613" s="47" t="s">
        <v>697</v>
      </c>
      <c r="G613" s="43">
        <f t="shared" si="144"/>
        <v>91.300000000000011</v>
      </c>
      <c r="H613" s="112" t="s">
        <v>844</v>
      </c>
      <c r="I613" s="113" t="str">
        <f t="shared" si="145"/>
        <v>IE 174,ED1-IND</v>
      </c>
      <c r="J613" s="114"/>
    </row>
    <row r="614" spans="1:10" s="115" customFormat="1" ht="14.5" x14ac:dyDescent="0.35">
      <c r="A614" s="38" t="s">
        <v>845</v>
      </c>
      <c r="B614" s="7" t="str">
        <v>MARINE ENGINEERING DESIGN PROJECT I</v>
      </c>
      <c r="C614" s="39" t="str">
        <v>Afriyie Nyarko Frank Kwabena</v>
      </c>
      <c r="D614" s="38" t="s">
        <v>155</v>
      </c>
      <c r="E614" s="96">
        <v>46</v>
      </c>
      <c r="F614" s="47" t="s">
        <v>248</v>
      </c>
      <c r="G614" s="43">
        <f t="shared" si="144"/>
        <v>50.6</v>
      </c>
      <c r="H614" s="112" t="s">
        <v>846</v>
      </c>
      <c r="I614" s="113" t="str">
        <f t="shared" si="145"/>
        <v>MME 174,ED1-MARI</v>
      </c>
      <c r="J614" s="114"/>
    </row>
    <row r="615" spans="1:10" s="115" customFormat="1" ht="14.5" x14ac:dyDescent="0.35">
      <c r="A615" s="38" t="s">
        <v>847</v>
      </c>
      <c r="B615" s="7" t="str">
        <v>PRODUCT DESIGN AND MANUFACTURING</v>
      </c>
      <c r="C615" s="7" t="str">
        <v>Afriyie Nyarko Frank Kwabena</v>
      </c>
      <c r="D615" s="38" t="s">
        <v>251</v>
      </c>
      <c r="E615" s="41">
        <v>225</v>
      </c>
      <c r="F615" s="116" t="s">
        <v>386</v>
      </c>
      <c r="G615" s="43">
        <f t="shared" si="144"/>
        <v>247.50000000000003</v>
      </c>
      <c r="H615" s="112" t="s">
        <v>755</v>
      </c>
      <c r="I615" s="113" t="str">
        <f t="shared" si="145"/>
        <v>ME 174,ED1-ME</v>
      </c>
      <c r="J615" s="114"/>
    </row>
    <row r="616" spans="1:10" s="115" customFormat="1" ht="14.5" x14ac:dyDescent="0.35">
      <c r="A616" s="38" t="s">
        <v>847</v>
      </c>
      <c r="B616" s="7" t="str">
        <v>PRODUCT DESIGN AND MANUFACTURING</v>
      </c>
      <c r="C616" s="7" t="str">
        <v>Afriyie Nyarko Frank Kwabena</v>
      </c>
      <c r="D616" s="38" t="s">
        <v>253</v>
      </c>
      <c r="E616" s="41">
        <v>85</v>
      </c>
      <c r="F616" s="47" t="s">
        <v>697</v>
      </c>
      <c r="G616" s="43">
        <f t="shared" si="144"/>
        <v>93.500000000000014</v>
      </c>
      <c r="H616" s="112" t="s">
        <v>698</v>
      </c>
      <c r="I616" s="113" t="str">
        <f t="shared" si="145"/>
        <v>ME 174,ED1-AUTO</v>
      </c>
      <c r="J616" s="114"/>
    </row>
    <row r="617" spans="1:10" ht="14.5" x14ac:dyDescent="0.35">
      <c r="A617" s="38" t="s">
        <v>848</v>
      </c>
      <c r="B617" s="39" t="str">
        <v>PHYSICAL CHEMISTRY FOR ENGINEERS</v>
      </c>
      <c r="C617" s="7" t="str">
        <v>Boakye Patrick</v>
      </c>
      <c r="D617" s="38" t="s">
        <v>111</v>
      </c>
      <c r="E617" s="41">
        <v>130</v>
      </c>
      <c r="F617" s="47" t="s">
        <v>23</v>
      </c>
      <c r="G617" s="43">
        <f t="shared" si="144"/>
        <v>143</v>
      </c>
      <c r="H617" s="8" t="s">
        <v>711</v>
      </c>
      <c r="I617" s="5" t="str">
        <f t="shared" si="145"/>
        <v>PE 156,ED1-PE</v>
      </c>
      <c r="J617" s="6"/>
    </row>
    <row r="618" spans="1:10" ht="14.5" x14ac:dyDescent="0.35">
      <c r="A618" s="38" t="s">
        <v>538</v>
      </c>
      <c r="B618" s="39" t="str">
        <v>PHYSICAL CHEMISTRY FOR ENGINEERS</v>
      </c>
      <c r="C618" s="39" t="str">
        <v>Boakye Patrick</v>
      </c>
      <c r="D618" s="38" t="s">
        <v>110</v>
      </c>
      <c r="E618" s="41">
        <v>56</v>
      </c>
      <c r="F618" s="47" t="s">
        <v>849</v>
      </c>
      <c r="G618" s="43">
        <f t="shared" si="144"/>
        <v>61.600000000000009</v>
      </c>
      <c r="H618" s="8" t="s">
        <v>850</v>
      </c>
      <c r="I618" s="5" t="str">
        <f t="shared" si="145"/>
        <v>CHE 156,ED1-PCE</v>
      </c>
      <c r="J618" s="6"/>
    </row>
    <row r="619" spans="1:10" ht="14.5" x14ac:dyDescent="0.35">
      <c r="A619" s="38" t="s">
        <v>851</v>
      </c>
      <c r="B619" s="39" t="str">
        <v>LARGE SCALE SURVEYING</v>
      </c>
      <c r="C619" s="39" t="str">
        <v>Dadzie Isaac</v>
      </c>
      <c r="D619" s="38" t="s">
        <v>73</v>
      </c>
      <c r="E619" s="41">
        <v>250</v>
      </c>
      <c r="F619" s="47" t="s">
        <v>703</v>
      </c>
      <c r="G619" s="43">
        <f t="shared" si="144"/>
        <v>275</v>
      </c>
      <c r="H619" s="8" t="s">
        <v>802</v>
      </c>
      <c r="I619" s="5" t="str">
        <f t="shared" si="145"/>
        <v>GE 282,ED2-CE</v>
      </c>
      <c r="J619" s="6"/>
    </row>
    <row r="620" spans="1:10" ht="14.5" x14ac:dyDescent="0.35">
      <c r="A620" s="38" t="s">
        <v>851</v>
      </c>
      <c r="B620" s="39" t="str">
        <v>LARGE SCALE SURVEYING</v>
      </c>
      <c r="C620" s="39" t="str">
        <v>Dadzie Isaac</v>
      </c>
      <c r="D620" s="38" t="s">
        <v>70</v>
      </c>
      <c r="E620" s="41">
        <v>150</v>
      </c>
      <c r="F620" s="47" t="s">
        <v>23</v>
      </c>
      <c r="G620" s="43">
        <f t="shared" si="144"/>
        <v>165</v>
      </c>
      <c r="H620" s="8" t="s">
        <v>370</v>
      </c>
      <c r="I620" s="5" t="str">
        <f t="shared" si="145"/>
        <v>GE 282,ED2-GEOL</v>
      </c>
      <c r="J620" s="6"/>
    </row>
    <row r="621" spans="1:10" ht="14.5" x14ac:dyDescent="0.35">
      <c r="A621" s="54"/>
      <c r="B621" s="54"/>
      <c r="D621" s="39" t="s">
        <v>852</v>
      </c>
      <c r="E621" s="55">
        <f>SUM(E611:E620)</f>
        <v>1165</v>
      </c>
      <c r="F621" s="56"/>
      <c r="G621" s="57"/>
      <c r="I621" s="2" t="s">
        <v>853</v>
      </c>
      <c r="J621" s="6"/>
    </row>
    <row r="622" spans="1:10" ht="14.5" x14ac:dyDescent="0.35">
      <c r="G622" s="107"/>
      <c r="J622" s="17"/>
    </row>
    <row r="623" spans="1:10" x14ac:dyDescent="0.3">
      <c r="G623" s="107"/>
    </row>
    <row r="624" spans="1:10" ht="14.5" x14ac:dyDescent="0.35">
      <c r="A624" s="123" t="s">
        <v>839</v>
      </c>
      <c r="B624" s="123"/>
      <c r="C624" s="123"/>
      <c r="D624" s="123"/>
      <c r="E624" s="123"/>
      <c r="F624" s="123"/>
      <c r="G624" s="123"/>
      <c r="I624" s="2" t="str">
        <f>A624</f>
        <v>Thursday, 3 September 2026</v>
      </c>
      <c r="J624" s="6"/>
    </row>
    <row r="625" spans="1:10" ht="14.5" x14ac:dyDescent="0.35">
      <c r="A625" s="123" t="s">
        <v>35</v>
      </c>
      <c r="B625" s="123"/>
      <c r="C625" s="123"/>
      <c r="D625" s="123"/>
      <c r="E625" s="123"/>
      <c r="F625" s="123"/>
      <c r="G625" s="123"/>
      <c r="I625" s="2" t="str">
        <f>A625</f>
        <v>Session, 2 (12:00 PM - 2:00 PM)</v>
      </c>
      <c r="J625" s="6"/>
    </row>
    <row r="626" spans="1:10" ht="14.5" x14ac:dyDescent="0.35">
      <c r="A626" s="35" t="s">
        <v>2</v>
      </c>
      <c r="B626" s="35" t="s">
        <v>3</v>
      </c>
      <c r="C626" s="32" t="s">
        <v>4</v>
      </c>
      <c r="D626" s="35" t="s">
        <v>5</v>
      </c>
      <c r="E626" s="36" t="s">
        <v>6</v>
      </c>
      <c r="F626" s="32" t="s">
        <v>7</v>
      </c>
      <c r="G626" s="37" t="s">
        <v>8</v>
      </c>
      <c r="I626" s="2" t="s">
        <v>36</v>
      </c>
      <c r="J626" s="6"/>
    </row>
    <row r="627" spans="1:10" s="53" customFormat="1" ht="14.5" x14ac:dyDescent="0.35">
      <c r="A627" s="48" t="s">
        <v>854</v>
      </c>
      <c r="B627" s="40" t="str" cm="1">
        <f t="array" ref="B627:B639">IFERROR(VLOOKUP(I627:I639,[5]Lectures_1!A2:F534,2,FALSE),0)</f>
        <v>INTRODUCTION TO PROGRAMMING - I</v>
      </c>
      <c r="C627" s="40" t="str" cm="1">
        <f t="array" ref="C627:C639">IFERROR(VLOOKUP(I627:I639,[5]Lectures_1!A2:F534,3,FALSE),0)</f>
        <v>Agyemang Justice Owusu</v>
      </c>
      <c r="D627" s="48" t="s">
        <v>122</v>
      </c>
      <c r="E627" s="42" cm="1">
        <f t="array" ref="E627:E639">IFERROR(VLOOKUP(I627:I639,[5]Lectures_1!A2:F534,4,FALSE),0)</f>
        <v>130</v>
      </c>
      <c r="F627" s="118" t="s">
        <v>23</v>
      </c>
      <c r="G627" s="49">
        <f>E627*1.1</f>
        <v>143</v>
      </c>
      <c r="H627" s="111" t="s">
        <v>855</v>
      </c>
      <c r="I627" s="66" t="str">
        <f t="shared" ref="I627:I628" si="146">CONCATENATE(A627,",",D627)</f>
        <v>TE 158,ED1-TEL</v>
      </c>
      <c r="J627" s="52"/>
    </row>
    <row r="628" spans="1:10" s="53" customFormat="1" ht="14.5" x14ac:dyDescent="0.35">
      <c r="A628" s="48" t="s">
        <v>856</v>
      </c>
      <c r="B628" s="51" t="str">
        <v>AUTOMOTIVE ELECTRICAL SYSTEMS AND ELECTRONICS</v>
      </c>
      <c r="C628" s="51" t="str">
        <v>Ayetor Godwin Kafui Kwesi</v>
      </c>
      <c r="D628" s="48" t="s">
        <v>45</v>
      </c>
      <c r="E628" s="42">
        <v>82</v>
      </c>
      <c r="F628" s="48" t="s">
        <v>65</v>
      </c>
      <c r="G628" s="49">
        <f t="shared" ref="G628" si="147">E628*1.1</f>
        <v>90.2</v>
      </c>
      <c r="H628" s="95">
        <v>82</v>
      </c>
      <c r="I628" s="66" t="str">
        <f t="shared" si="146"/>
        <v>AME 252,ED2-AUTO</v>
      </c>
      <c r="J628" s="52"/>
    </row>
    <row r="629" spans="1:10" ht="14.5" x14ac:dyDescent="0.35">
      <c r="A629" s="38" t="s">
        <v>857</v>
      </c>
      <c r="B629" s="39" t="str">
        <v>RESERVOIR FLUID PROPERTIES</v>
      </c>
      <c r="C629" s="39" t="str">
        <v>Casper Daniel Adenutsi</v>
      </c>
      <c r="D629" s="38" t="s">
        <v>126</v>
      </c>
      <c r="E629" s="41">
        <v>95</v>
      </c>
      <c r="F629" s="47" t="s">
        <v>137</v>
      </c>
      <c r="G629" s="43">
        <f>E629*1.1</f>
        <v>104.50000000000001</v>
      </c>
      <c r="H629" s="8" t="s">
        <v>708</v>
      </c>
      <c r="I629" s="5" t="str">
        <f>CONCATENATE(A629,",",D629)</f>
        <v>PE 260,ED2-PE</v>
      </c>
      <c r="J629" s="6"/>
    </row>
    <row r="630" spans="1:10" ht="14.5" x14ac:dyDescent="0.35">
      <c r="A630" s="38" t="s">
        <v>858</v>
      </c>
      <c r="B630" s="117" t="str">
        <v>KINETICS AND REACTIONS ENGINEERING</v>
      </c>
      <c r="C630" s="39" t="str">
        <v>Augustine Ntiamoah</v>
      </c>
      <c r="D630" s="38" t="s">
        <v>124</v>
      </c>
      <c r="E630" s="41">
        <v>53</v>
      </c>
      <c r="F630" s="22" t="s">
        <v>54</v>
      </c>
      <c r="G630" s="43">
        <f>E630*1.1</f>
        <v>58.300000000000004</v>
      </c>
      <c r="H630" s="10">
        <v>53</v>
      </c>
      <c r="I630" s="5" t="str">
        <f>CONCATENATE(A630,",",D630)</f>
        <v>PCE 350,ED3-PCE</v>
      </c>
      <c r="J630" s="6"/>
    </row>
    <row r="631" spans="1:10" ht="14.5" x14ac:dyDescent="0.35">
      <c r="A631" s="38" t="s">
        <v>859</v>
      </c>
      <c r="B631" s="39" t="str">
        <v>MINING PRINCIPLES AND SYSTEMS</v>
      </c>
      <c r="C631" s="39" t="str">
        <v>Owusu-Sarpong Seth</v>
      </c>
      <c r="D631" s="38" t="s">
        <v>236</v>
      </c>
      <c r="E631" s="41">
        <v>154</v>
      </c>
      <c r="F631" s="47" t="s">
        <v>394</v>
      </c>
      <c r="G631" s="43">
        <f>E631*1.1</f>
        <v>169.4</v>
      </c>
      <c r="H631" s="8" t="s">
        <v>860</v>
      </c>
      <c r="I631" s="5" t="str">
        <f t="shared" ref="I631" si="148">CONCATENATE(A631,",",D631)</f>
        <v>GED 342,ED3-GEOL</v>
      </c>
      <c r="J631" s="6"/>
    </row>
    <row r="632" spans="1:10" ht="14.5" x14ac:dyDescent="0.35">
      <c r="A632" s="38" t="s">
        <v>861</v>
      </c>
      <c r="B632" s="7" t="str">
        <v>RESEARCH METHODS FOR ENGINEERS</v>
      </c>
      <c r="C632" s="39" t="str">
        <v>Amponsah William</v>
      </c>
      <c r="D632" s="38" t="s">
        <v>116</v>
      </c>
      <c r="E632" s="41">
        <v>101</v>
      </c>
      <c r="F632" s="47" t="s">
        <v>162</v>
      </c>
      <c r="G632" s="43">
        <f>E632*1.1</f>
        <v>111.10000000000001</v>
      </c>
      <c r="H632" s="8" t="s">
        <v>467</v>
      </c>
      <c r="I632" s="5" t="str">
        <f>CONCATENATE(A632,",",D632)</f>
        <v>AE 362,ED3-AE</v>
      </c>
      <c r="J632" s="6"/>
    </row>
    <row r="633" spans="1:10" ht="14.5" x14ac:dyDescent="0.35">
      <c r="A633" s="38" t="s">
        <v>862</v>
      </c>
      <c r="B633" s="7" t="str">
        <v>NUMERICAL METHODS FOR ENGINEERS</v>
      </c>
      <c r="C633" s="7" t="str">
        <v>Nartey Martinson Addo</v>
      </c>
      <c r="D633" s="38" t="s">
        <v>216</v>
      </c>
      <c r="E633" s="41">
        <v>87</v>
      </c>
      <c r="F633" s="38" t="s">
        <v>863</v>
      </c>
      <c r="G633" s="43">
        <f t="shared" ref="G633:G635" si="149">E633*1.1</f>
        <v>95.7</v>
      </c>
      <c r="H633" s="8" t="s">
        <v>864</v>
      </c>
      <c r="I633" s="5" t="str">
        <f t="shared" ref="I633:I635" si="150">CONCATENATE(A633,",",D633)</f>
        <v>MSE 358,ED3-METE</v>
      </c>
      <c r="J633" s="6"/>
    </row>
    <row r="634" spans="1:10" ht="14.5" x14ac:dyDescent="0.35">
      <c r="A634" s="38" t="s">
        <v>862</v>
      </c>
      <c r="B634" s="7" t="str">
        <v>NUMERICAL METHODS FOR ENGINEERS</v>
      </c>
      <c r="C634" s="7" t="str">
        <v>Nartey Martinson Addo</v>
      </c>
      <c r="D634" s="38" t="s">
        <v>212</v>
      </c>
      <c r="E634" s="41">
        <v>85</v>
      </c>
      <c r="F634" s="38" t="s">
        <v>865</v>
      </c>
      <c r="G634" s="43">
        <f t="shared" si="149"/>
        <v>93.500000000000014</v>
      </c>
      <c r="H634" s="8" t="s">
        <v>866</v>
      </c>
      <c r="I634" s="5" t="str">
        <f t="shared" si="150"/>
        <v>MSE 358,ED3-MSE</v>
      </c>
      <c r="J634" s="6"/>
    </row>
    <row r="635" spans="1:10" ht="14.5" x14ac:dyDescent="0.35">
      <c r="A635" s="38" t="s">
        <v>867</v>
      </c>
      <c r="B635" s="7" t="str">
        <v>INTRODUCTION TO POLYMERIC MATERIALS</v>
      </c>
      <c r="C635" s="39" t="str">
        <v>Asare Eric Kwame Anokye</v>
      </c>
      <c r="D635" s="38" t="s">
        <v>208</v>
      </c>
      <c r="E635" s="41">
        <v>83</v>
      </c>
      <c r="F635" s="47" t="s">
        <v>127</v>
      </c>
      <c r="G635" s="43">
        <f t="shared" si="149"/>
        <v>91.300000000000011</v>
      </c>
      <c r="H635" s="8" t="s">
        <v>868</v>
      </c>
      <c r="I635" s="5" t="str">
        <f t="shared" si="150"/>
        <v>MSE 256,ED2-MSE</v>
      </c>
      <c r="J635" s="6"/>
    </row>
    <row r="636" spans="1:10" s="77" customFormat="1" ht="14.5" x14ac:dyDescent="0.35">
      <c r="A636" s="38" t="s">
        <v>869</v>
      </c>
      <c r="B636" s="39" t="str">
        <v>GEOSTATISTICS</v>
      </c>
      <c r="C636" s="39" t="str">
        <v>Mustapha Hameed</v>
      </c>
      <c r="D636" s="38" t="s">
        <v>101</v>
      </c>
      <c r="E636" s="41">
        <v>80</v>
      </c>
      <c r="F636" s="47" t="s">
        <v>383</v>
      </c>
      <c r="G636" s="43">
        <f>E636*1.1</f>
        <v>88</v>
      </c>
      <c r="H636" s="8" t="s">
        <v>102</v>
      </c>
      <c r="I636" s="5" t="str">
        <f>CONCATENATE(A636,",",D636)</f>
        <v>PE 362,ED3-PE</v>
      </c>
      <c r="J636" s="6"/>
    </row>
    <row r="637" spans="1:10" ht="14.5" x14ac:dyDescent="0.35">
      <c r="A637" s="38" t="s">
        <v>870</v>
      </c>
      <c r="B637" s="7" t="str">
        <v>ORE BENEFICIATION</v>
      </c>
      <c r="C637" s="7" t="str">
        <v>Koomson Bennetta</v>
      </c>
      <c r="D637" s="38" t="s">
        <v>176</v>
      </c>
      <c r="E637" s="41">
        <v>57</v>
      </c>
      <c r="F637" s="22" t="s">
        <v>871</v>
      </c>
      <c r="G637" s="43">
        <f>E637*1.1</f>
        <v>62.7</v>
      </c>
      <c r="H637" s="22" t="s">
        <v>872</v>
      </c>
      <c r="I637" s="5" t="str">
        <f t="shared" ref="I637:I639" si="151">CONCATENATE(A637,",",D637)</f>
        <v>METE 254,ED2-METE</v>
      </c>
      <c r="J637" s="6"/>
    </row>
    <row r="638" spans="1:10" ht="14.25" customHeight="1" x14ac:dyDescent="0.35">
      <c r="A638" s="38" t="s">
        <v>873</v>
      </c>
      <c r="B638" s="7" t="str">
        <v>ENVIRONMENTAL SCIENCE</v>
      </c>
      <c r="C638" s="39" t="str">
        <v>Koomson Bennetta</v>
      </c>
      <c r="D638" s="38" t="s">
        <v>159</v>
      </c>
      <c r="E638" s="41">
        <v>75</v>
      </c>
      <c r="F638" s="47" t="s">
        <v>874</v>
      </c>
      <c r="G638" s="43">
        <f t="shared" ref="G638:G639" si="152">E638*1.1</f>
        <v>82.5</v>
      </c>
      <c r="H638" s="8" t="s">
        <v>875</v>
      </c>
      <c r="I638" s="5" t="str">
        <f t="shared" si="151"/>
        <v>METE 154,ED1-METE</v>
      </c>
      <c r="J638" s="6"/>
    </row>
    <row r="639" spans="1:10" ht="14.5" x14ac:dyDescent="0.35">
      <c r="A639" s="38" t="s">
        <v>873</v>
      </c>
      <c r="B639" s="7" t="str">
        <v>ENVIRONMENTAL SCIENCE</v>
      </c>
      <c r="C639" s="39" t="str">
        <v>Koomson Bennetta</v>
      </c>
      <c r="D639" s="38" t="s">
        <v>161</v>
      </c>
      <c r="E639" s="41">
        <v>100</v>
      </c>
      <c r="F639" s="47" t="s">
        <v>876</v>
      </c>
      <c r="G639" s="43">
        <f t="shared" si="152"/>
        <v>110.00000000000001</v>
      </c>
      <c r="H639" s="8" t="s">
        <v>877</v>
      </c>
      <c r="I639" s="5" t="str">
        <f t="shared" si="151"/>
        <v>METE 154,ED1-MSE</v>
      </c>
      <c r="J639" s="6"/>
    </row>
    <row r="640" spans="1:10" ht="14.5" x14ac:dyDescent="0.35">
      <c r="A640" s="54"/>
      <c r="B640" s="54"/>
      <c r="D640" s="39" t="s">
        <v>878</v>
      </c>
      <c r="E640" s="55">
        <f>SUM(E627:E639)</f>
        <v>1182</v>
      </c>
      <c r="F640" s="56"/>
      <c r="G640" s="57"/>
      <c r="I640" s="2"/>
      <c r="J640" s="6"/>
    </row>
    <row r="641" spans="1:10" x14ac:dyDescent="0.3">
      <c r="G641" s="107"/>
    </row>
    <row r="642" spans="1:10" ht="14.5" x14ac:dyDescent="0.35">
      <c r="A642" s="123" t="s">
        <v>839</v>
      </c>
      <c r="B642" s="123"/>
      <c r="C642" s="123"/>
      <c r="D642" s="123"/>
      <c r="E642" s="123"/>
      <c r="F642" s="123"/>
      <c r="G642" s="123"/>
      <c r="I642" s="2" t="str">
        <f>A642</f>
        <v>Thursday, 3 September 2026</v>
      </c>
      <c r="J642" s="6"/>
    </row>
    <row r="643" spans="1:10" ht="14.5" x14ac:dyDescent="0.35">
      <c r="A643" s="123" t="s">
        <v>77</v>
      </c>
      <c r="B643" s="123"/>
      <c r="C643" s="123"/>
      <c r="D643" s="123"/>
      <c r="E643" s="123"/>
      <c r="F643" s="123"/>
      <c r="G643" s="123"/>
      <c r="I643" s="2" t="str">
        <f>A643</f>
        <v>Session, 3 (3:00 PM - 5:00 PM)</v>
      </c>
      <c r="J643" s="6"/>
    </row>
    <row r="644" spans="1:10" ht="14.5" x14ac:dyDescent="0.35">
      <c r="A644" s="35" t="s">
        <v>2</v>
      </c>
      <c r="B644" s="35" t="s">
        <v>3</v>
      </c>
      <c r="C644" s="32" t="s">
        <v>4</v>
      </c>
      <c r="D644" s="35" t="s">
        <v>5</v>
      </c>
      <c r="E644" s="36" t="s">
        <v>6</v>
      </c>
      <c r="F644" s="32" t="s">
        <v>7</v>
      </c>
      <c r="G644" s="37" t="s">
        <v>8</v>
      </c>
      <c r="H644" s="10"/>
      <c r="I644" s="2" t="s">
        <v>36</v>
      </c>
      <c r="J644" s="6"/>
    </row>
    <row r="645" spans="1:10" ht="14.5" x14ac:dyDescent="0.35">
      <c r="A645" s="38" t="s">
        <v>879</v>
      </c>
      <c r="B645" s="39" t="str" cm="1">
        <f t="array" ref="B645:B657">IFERROR(VLOOKUP(I645:I657,[5]Lectures_1!A2:F534,2,FALSE),0)</f>
        <v>WELL COMPLETION AND STIMULATION</v>
      </c>
      <c r="C645" s="39" t="str" cm="1">
        <f t="array" ref="C645:C657">IFERROR(VLOOKUP(I645:I657,[5]Lectures_1!A2:F534,3,FALSE),0)</f>
        <v>Erzuah Samuel</v>
      </c>
      <c r="D645" s="38" t="s">
        <v>205</v>
      </c>
      <c r="E645" s="41" cm="1">
        <f t="array" ref="E645:E657">IFERROR(VLOOKUP(I645:I657,[5]Lectures_1!A2:F534,4,FALSE),0)</f>
        <v>99</v>
      </c>
      <c r="F645" s="22" t="s">
        <v>162</v>
      </c>
      <c r="G645" s="43">
        <f t="shared" ref="G645:G657" si="153">E645*1.1</f>
        <v>108.9</v>
      </c>
      <c r="H645" s="22" t="s">
        <v>880</v>
      </c>
      <c r="I645" s="5" t="str">
        <f t="shared" ref="I645" si="154">CONCATENATE(A645,",",D645)</f>
        <v>PE 456,ED4-PE</v>
      </c>
      <c r="J645" s="6"/>
    </row>
    <row r="646" spans="1:10" ht="14.5" x14ac:dyDescent="0.35">
      <c r="A646" s="38" t="s">
        <v>881</v>
      </c>
      <c r="B646" s="39" t="str">
        <v>BIOMEDICAL OPTICS</v>
      </c>
      <c r="C646" s="39" t="str">
        <v>Kotei Addison Eric Clement</v>
      </c>
      <c r="D646" s="38" t="s">
        <v>130</v>
      </c>
      <c r="E646" s="41">
        <v>90</v>
      </c>
      <c r="F646" s="22" t="s">
        <v>863</v>
      </c>
      <c r="G646" s="43">
        <f t="shared" si="153"/>
        <v>99.000000000000014</v>
      </c>
      <c r="H646" s="22" t="s">
        <v>882</v>
      </c>
      <c r="I646" s="5" t="str">
        <f>CONCATENATE(A646,",",D646)</f>
        <v>BME 374,ED3-BME</v>
      </c>
      <c r="J646" s="6"/>
    </row>
    <row r="647" spans="1:10" ht="14.5" x14ac:dyDescent="0.35">
      <c r="A647" s="38" t="s">
        <v>883</v>
      </c>
      <c r="B647" s="39" t="str">
        <v>INTRODUCTION TO VLSI</v>
      </c>
      <c r="C647" s="7" t="str">
        <v>Agbemenu Andrew Selasi</v>
      </c>
      <c r="D647" s="38" t="s">
        <v>220</v>
      </c>
      <c r="E647" s="41">
        <v>15</v>
      </c>
      <c r="F647" s="47" t="s">
        <v>884</v>
      </c>
      <c r="G647" s="43">
        <f>E647*1.1</f>
        <v>16.5</v>
      </c>
      <c r="H647" s="8">
        <v>15</v>
      </c>
      <c r="I647" s="5" t="str">
        <f>CONCATENATE(A647,",",D647)</f>
        <v>COE 486,ED4-EE</v>
      </c>
      <c r="J647" s="6"/>
    </row>
    <row r="648" spans="1:10" s="46" customFormat="1" ht="14.5" x14ac:dyDescent="0.35">
      <c r="A648" s="38" t="s">
        <v>883</v>
      </c>
      <c r="B648" s="39" t="str">
        <v>VLSI CIRCUIT DESIGN</v>
      </c>
      <c r="C648" s="7" t="str">
        <v>Agbemenu Andrew Selasi</v>
      </c>
      <c r="D648" s="119" t="s">
        <v>282</v>
      </c>
      <c r="E648" s="41">
        <v>20</v>
      </c>
      <c r="F648" s="47" t="s">
        <v>262</v>
      </c>
      <c r="G648" s="43">
        <f>E648*1.1</f>
        <v>22</v>
      </c>
      <c r="H648" s="8">
        <v>20</v>
      </c>
      <c r="I648" s="44" t="str">
        <f>CONCATENATE(A648,",",D648)</f>
        <v>COE 486,ED4-COE</v>
      </c>
      <c r="J648" s="45"/>
    </row>
    <row r="649" spans="1:10" ht="14.5" x14ac:dyDescent="0.35">
      <c r="A649" s="38" t="s">
        <v>885</v>
      </c>
      <c r="B649" s="39" t="str">
        <v>SHIP OPERATION, REGULATION AND MANAGEMENT</v>
      </c>
      <c r="C649" s="7" t="str">
        <v>Sackey Michael Nii</v>
      </c>
      <c r="D649" s="38" t="s">
        <v>98</v>
      </c>
      <c r="E649" s="41">
        <v>23</v>
      </c>
      <c r="F649" s="22" t="s">
        <v>723</v>
      </c>
      <c r="G649" s="43">
        <f t="shared" ref="G649:G653" si="155">E649*1.1</f>
        <v>25.3</v>
      </c>
      <c r="H649" s="10">
        <v>23</v>
      </c>
      <c r="I649" s="5" t="str">
        <f t="shared" ref="I649" si="156">CONCATENATE(A649,",",D649)</f>
        <v>MME 492,ED4-MARI</v>
      </c>
      <c r="J649" s="6"/>
    </row>
    <row r="650" spans="1:10" ht="14.5" x14ac:dyDescent="0.35">
      <c r="A650" s="38" t="s">
        <v>886</v>
      </c>
      <c r="B650" s="39" t="str">
        <v>TELECOMMUNICATION POLICY AND REGULATION</v>
      </c>
      <c r="C650" s="7" t="str">
        <v>Kingsford Sarkodie Obeng Kwakye</v>
      </c>
      <c r="D650" s="38" t="s">
        <v>349</v>
      </c>
      <c r="E650" s="41">
        <v>138</v>
      </c>
      <c r="F650" s="22" t="s">
        <v>23</v>
      </c>
      <c r="G650" s="43">
        <f t="shared" si="155"/>
        <v>151.80000000000001</v>
      </c>
      <c r="H650" s="10" t="s">
        <v>769</v>
      </c>
      <c r="I650" s="5" t="str">
        <f>CONCATENATE(A650,",",D650)</f>
        <v>TE 452,ED4-TEL</v>
      </c>
      <c r="J650" s="6"/>
    </row>
    <row r="651" spans="1:10" ht="14.5" x14ac:dyDescent="0.35">
      <c r="A651" s="38" t="s">
        <v>887</v>
      </c>
      <c r="B651" s="39" t="str">
        <v>PRODUCTION PLANNING AND CONTROL</v>
      </c>
      <c r="C651" s="7" t="str">
        <v>Dzebre Denis Edem Kwame</v>
      </c>
      <c r="D651" s="38" t="s">
        <v>185</v>
      </c>
      <c r="E651" s="41">
        <v>69</v>
      </c>
      <c r="F651" s="47" t="s">
        <v>888</v>
      </c>
      <c r="G651" s="43">
        <f t="shared" si="155"/>
        <v>75.900000000000006</v>
      </c>
      <c r="H651" s="8" t="s">
        <v>889</v>
      </c>
      <c r="I651" s="5" t="str">
        <f t="shared" ref="I651" si="157">CONCATENATE(A651,",",D651)</f>
        <v>IE 454,ED4-IND</v>
      </c>
      <c r="J651" s="6"/>
    </row>
    <row r="652" spans="1:10" s="46" customFormat="1" ht="14.5" x14ac:dyDescent="0.35">
      <c r="A652" s="38" t="s">
        <v>890</v>
      </c>
      <c r="B652" s="7" t="str">
        <v>ENGINEERING MANAGEMENT</v>
      </c>
      <c r="C652" s="7" t="str">
        <v>Takyi Gabriel</v>
      </c>
      <c r="D652" s="38" t="s">
        <v>134</v>
      </c>
      <c r="E652" s="41">
        <v>95</v>
      </c>
      <c r="F652" s="47" t="s">
        <v>863</v>
      </c>
      <c r="G652" s="43">
        <f t="shared" si="155"/>
        <v>104.50000000000001</v>
      </c>
      <c r="H652" s="65" t="s">
        <v>891</v>
      </c>
      <c r="I652" s="44" t="str">
        <f>CONCATENATE(A652,",",D652)</f>
        <v>GED 464,ED4-GEOL</v>
      </c>
      <c r="J652" s="45"/>
    </row>
    <row r="653" spans="1:10" ht="14.5" x14ac:dyDescent="0.35">
      <c r="A653" s="38" t="s">
        <v>676</v>
      </c>
      <c r="B653" s="7" t="str">
        <v xml:space="preserve"> HIGHWAY ENGINEERING</v>
      </c>
      <c r="C653" s="39" t="str">
        <v>Ababio-Donkor Augustus</v>
      </c>
      <c r="D653" s="38" t="s">
        <v>104</v>
      </c>
      <c r="E653" s="41">
        <v>122</v>
      </c>
      <c r="F653" s="47" t="s">
        <v>892</v>
      </c>
      <c r="G653" s="43">
        <f t="shared" si="155"/>
        <v>134.20000000000002</v>
      </c>
      <c r="H653" s="8" t="s">
        <v>893</v>
      </c>
      <c r="I653" s="5" t="str">
        <f>CONCATENATE(A653,",",D653)</f>
        <v>CE 368,ED3-GEOM</v>
      </c>
      <c r="J653" s="6"/>
    </row>
    <row r="654" spans="1:10" ht="14.5" x14ac:dyDescent="0.35">
      <c r="A654" s="38" t="s">
        <v>894</v>
      </c>
      <c r="B654" s="39" t="str">
        <v>HEAT TRANSPORT PROCESSES</v>
      </c>
      <c r="C654" s="7" t="str">
        <v>Ohemeng-Boahen Godfred</v>
      </c>
      <c r="D654" s="47" t="s">
        <v>14</v>
      </c>
      <c r="E654" s="41">
        <v>65</v>
      </c>
      <c r="F654" s="47" t="s">
        <v>250</v>
      </c>
      <c r="G654" s="43">
        <f>E654*1.1</f>
        <v>71.5</v>
      </c>
      <c r="H654" s="1" t="s">
        <v>895</v>
      </c>
      <c r="I654" s="5" t="str">
        <f>CONCATENATE(A654,",",D654)</f>
        <v>CHE 256,ED2-PCE</v>
      </c>
      <c r="J654" s="6"/>
    </row>
    <row r="655" spans="1:10" s="46" customFormat="1" ht="14.5" x14ac:dyDescent="0.35">
      <c r="A655" s="38" t="s">
        <v>894</v>
      </c>
      <c r="B655" s="39" t="str">
        <v>HEAT TRANSPORT PROCESSES</v>
      </c>
      <c r="C655" s="7" t="str">
        <v>Momade Zsuzsanna Gál</v>
      </c>
      <c r="D655" s="38" t="s">
        <v>11</v>
      </c>
      <c r="E655" s="41">
        <v>160</v>
      </c>
      <c r="F655" s="47" t="s">
        <v>419</v>
      </c>
      <c r="G655" s="43">
        <f>E655*1.1</f>
        <v>176</v>
      </c>
      <c r="H655" s="1" t="s">
        <v>420</v>
      </c>
      <c r="I655" s="44" t="str">
        <f>CONCATENATE(A655,",",D655)</f>
        <v>CHE 256,ED2-CHE</v>
      </c>
      <c r="J655" s="45"/>
    </row>
    <row r="656" spans="1:10" ht="14.5" x14ac:dyDescent="0.35">
      <c r="A656" s="38" t="s">
        <v>896</v>
      </c>
      <c r="B656" s="7" t="str">
        <v>COMPUTER APPLICATIONS</v>
      </c>
      <c r="C656" s="7" t="str">
        <v>Albert Kwame Kwaw</v>
      </c>
      <c r="D656" s="38" t="s">
        <v>64</v>
      </c>
      <c r="E656" s="41">
        <v>125</v>
      </c>
      <c r="F656" s="22" t="s">
        <v>897</v>
      </c>
      <c r="G656" s="43">
        <f t="shared" si="153"/>
        <v>137.5</v>
      </c>
      <c r="H656" s="22" t="s">
        <v>898</v>
      </c>
      <c r="I656" s="5" t="str">
        <f t="shared" ref="I656:I657" si="158">CONCATENATE(A656,",",D656)</f>
        <v>GED 164,ED1-GEOL</v>
      </c>
      <c r="J656" s="6"/>
    </row>
    <row r="657" spans="1:10" ht="14.5" x14ac:dyDescent="0.35">
      <c r="A657" s="38" t="s">
        <v>899</v>
      </c>
      <c r="B657" s="7" t="str">
        <v>LARGE SCALE SURVEYING</v>
      </c>
      <c r="C657" s="7" t="str">
        <v>Ayer John Wise Divine</v>
      </c>
      <c r="D657" s="38" t="s">
        <v>62</v>
      </c>
      <c r="E657" s="41">
        <v>103</v>
      </c>
      <c r="F657" s="22" t="s">
        <v>227</v>
      </c>
      <c r="G657" s="43">
        <f t="shared" si="153"/>
        <v>113.30000000000001</v>
      </c>
      <c r="H657" s="22" t="s">
        <v>900</v>
      </c>
      <c r="I657" s="5" t="str">
        <f t="shared" si="158"/>
        <v>GE 162,ED1-GEOM</v>
      </c>
      <c r="J657" s="6"/>
    </row>
    <row r="658" spans="1:10" ht="14.5" x14ac:dyDescent="0.35">
      <c r="A658" s="54"/>
      <c r="B658" s="54"/>
      <c r="D658" s="39" t="s">
        <v>901</v>
      </c>
      <c r="E658" s="55">
        <f>SUM(E645:E657)</f>
        <v>1124</v>
      </c>
      <c r="F658" s="56"/>
      <c r="G658" s="57"/>
      <c r="I658" s="2" t="s">
        <v>902</v>
      </c>
      <c r="J658" s="6"/>
    </row>
    <row r="659" spans="1:10" ht="14.5" x14ac:dyDescent="0.35">
      <c r="A659" s="54"/>
      <c r="B659" s="54"/>
      <c r="D659" s="39"/>
      <c r="E659" s="55"/>
      <c r="F659" s="56"/>
      <c r="G659" s="57"/>
      <c r="I659" s="2"/>
      <c r="J659" s="6"/>
    </row>
    <row r="660" spans="1:10" ht="14.5" x14ac:dyDescent="0.35">
      <c r="A660" s="124" t="s">
        <v>903</v>
      </c>
      <c r="B660" s="125"/>
      <c r="C660" s="125"/>
      <c r="D660" s="125"/>
      <c r="E660" s="125"/>
      <c r="F660" s="125"/>
      <c r="G660" s="126"/>
      <c r="I660" s="2" t="str">
        <f>A660</f>
        <v>Friday, 4 September 2026</v>
      </c>
      <c r="J660" s="6"/>
    </row>
    <row r="661" spans="1:10" ht="14.5" x14ac:dyDescent="0.35">
      <c r="A661" s="124" t="s">
        <v>1</v>
      </c>
      <c r="B661" s="125"/>
      <c r="C661" s="125"/>
      <c r="D661" s="125"/>
      <c r="E661" s="125"/>
      <c r="F661" s="125"/>
      <c r="G661" s="126"/>
      <c r="I661" s="2" t="str">
        <f>A661</f>
        <v>Session, 1 (8:30 AM - 10:30 AM)</v>
      </c>
      <c r="J661" s="6"/>
    </row>
    <row r="662" spans="1:10" ht="14.5" x14ac:dyDescent="0.35">
      <c r="A662" s="35" t="s">
        <v>2</v>
      </c>
      <c r="B662" s="35" t="s">
        <v>3</v>
      </c>
      <c r="C662" s="32" t="s">
        <v>4</v>
      </c>
      <c r="D662" s="35" t="s">
        <v>5</v>
      </c>
      <c r="E662" s="36" t="s">
        <v>6</v>
      </c>
      <c r="F662" s="32" t="s">
        <v>7</v>
      </c>
      <c r="G662" s="37" t="s">
        <v>8</v>
      </c>
      <c r="H662" s="10"/>
      <c r="I662" s="2" t="s">
        <v>36</v>
      </c>
      <c r="J662" s="6"/>
    </row>
    <row r="663" spans="1:10" s="46" customFormat="1" ht="14.5" x14ac:dyDescent="0.35">
      <c r="A663" s="58" t="s">
        <v>904</v>
      </c>
      <c r="B663" s="59" t="str" cm="1">
        <f t="array" ref="B663:B671">IFERROR(VLOOKUP(I663:I671,[5]Lectures_1!A2:F534,2,FALSE),0)</f>
        <v>CALCULUS WITH ANALYSIS</v>
      </c>
      <c r="C663" s="60" t="str" cm="1">
        <f t="array" ref="C663:C671">IFERROR(VLOOKUP(I663:I671,[5]Lectures_1!A2:F534,3,FALSE),0)</f>
        <v>Kwabi Prince Amponsah</v>
      </c>
      <c r="D663" s="68" t="s">
        <v>111</v>
      </c>
      <c r="E663" s="62" cm="1">
        <f t="array" ref="E663:E671">IFERROR(VLOOKUP(I663:I671,[5]Lectures_1!A2:F534,4,FALSE),0)</f>
        <v>130</v>
      </c>
      <c r="F663" s="120" t="s">
        <v>23</v>
      </c>
      <c r="G663" s="63">
        <f t="shared" ref="G663:G670" si="159">E663*1.1</f>
        <v>143</v>
      </c>
      <c r="H663" s="120" t="s">
        <v>855</v>
      </c>
      <c r="I663" s="44" t="str">
        <f t="shared" ref="I663" si="160">CONCATENATE(A663,",",D663)</f>
        <v>MATH 152,ED1-PE</v>
      </c>
      <c r="J663" s="45"/>
    </row>
    <row r="664" spans="1:10" s="46" customFormat="1" ht="14.5" x14ac:dyDescent="0.35">
      <c r="A664" s="58" t="s">
        <v>904</v>
      </c>
      <c r="B664" s="59" t="str">
        <v>CALCULUS WITH ANALYSIS</v>
      </c>
      <c r="C664" s="59" t="str">
        <v>Kwabi Prince Amponsah</v>
      </c>
      <c r="D664" s="58" t="s">
        <v>64</v>
      </c>
      <c r="E664" s="62">
        <v>125</v>
      </c>
      <c r="F664" s="120" t="s">
        <v>905</v>
      </c>
      <c r="G664" s="63">
        <f t="shared" si="159"/>
        <v>137.5</v>
      </c>
      <c r="H664" s="120" t="s">
        <v>906</v>
      </c>
      <c r="I664" s="44" t="str">
        <f>CONCATENATE(A664,",",D664)</f>
        <v>MATH 152,ED1-GEOL</v>
      </c>
      <c r="J664" s="45"/>
    </row>
    <row r="665" spans="1:10" s="46" customFormat="1" ht="14.5" x14ac:dyDescent="0.35">
      <c r="A665" s="58" t="s">
        <v>904</v>
      </c>
      <c r="B665" s="59" t="str">
        <v>CALCULUS WITH ANALYSIS</v>
      </c>
      <c r="C665" s="59" t="str">
        <v>Ezearn Jeffery</v>
      </c>
      <c r="D665" s="58" t="s">
        <v>246</v>
      </c>
      <c r="E665" s="62">
        <v>128</v>
      </c>
      <c r="F665" s="58" t="s">
        <v>892</v>
      </c>
      <c r="G665" s="63">
        <f t="shared" si="159"/>
        <v>140.80000000000001</v>
      </c>
      <c r="H665" s="81" t="s">
        <v>907</v>
      </c>
      <c r="I665" s="44" t="str">
        <f t="shared" ref="I665:I668" si="161">CONCATENATE(A665,",",D665)</f>
        <v>MATH 152,ED1-AE</v>
      </c>
      <c r="J665" s="45"/>
    </row>
    <row r="666" spans="1:10" s="46" customFormat="1" ht="14.5" x14ac:dyDescent="0.35">
      <c r="A666" s="58" t="s">
        <v>904</v>
      </c>
      <c r="B666" s="59" t="str">
        <v>CALCULUS WITH ANALYSIS</v>
      </c>
      <c r="C666" s="59" t="str">
        <v>Ezearn Jeffery</v>
      </c>
      <c r="D666" s="58" t="s">
        <v>190</v>
      </c>
      <c r="E666" s="62">
        <v>136</v>
      </c>
      <c r="F666" s="58" t="s">
        <v>419</v>
      </c>
      <c r="G666" s="63">
        <f t="shared" si="159"/>
        <v>149.60000000000002</v>
      </c>
      <c r="H666" s="81" t="s">
        <v>557</v>
      </c>
      <c r="I666" s="44" t="str">
        <f t="shared" si="161"/>
        <v>MATH 152,ED1-BME</v>
      </c>
      <c r="J666" s="45"/>
    </row>
    <row r="667" spans="1:10" s="46" customFormat="1" ht="14.5" x14ac:dyDescent="0.35">
      <c r="A667" s="58" t="s">
        <v>904</v>
      </c>
      <c r="B667" s="60" t="str">
        <v>CALCULUS WITH ANALYSIS</v>
      </c>
      <c r="C667" s="59" t="str">
        <v>Ezearn Jeffery</v>
      </c>
      <c r="D667" s="58" t="s">
        <v>305</v>
      </c>
      <c r="E667" s="62">
        <v>70</v>
      </c>
      <c r="F667" s="120" t="s">
        <v>908</v>
      </c>
      <c r="G667" s="63">
        <f t="shared" si="159"/>
        <v>77</v>
      </c>
      <c r="H667" s="81" t="s">
        <v>909</v>
      </c>
      <c r="I667" s="44" t="str">
        <f t="shared" si="161"/>
        <v>MATH 152,ED1-AERO</v>
      </c>
      <c r="J667" s="45"/>
    </row>
    <row r="668" spans="1:10" s="46" customFormat="1" ht="14.5" x14ac:dyDescent="0.35">
      <c r="A668" s="58" t="s">
        <v>904</v>
      </c>
      <c r="B668" s="60" t="str">
        <v>CALCULUS WITH ANALYSIS</v>
      </c>
      <c r="C668" s="59" t="str">
        <v>Ezearn Jeffery</v>
      </c>
      <c r="D668" s="58" t="s">
        <v>152</v>
      </c>
      <c r="E668" s="62">
        <v>83</v>
      </c>
      <c r="F668" s="120" t="s">
        <v>137</v>
      </c>
      <c r="G668" s="63">
        <f t="shared" si="159"/>
        <v>91.300000000000011</v>
      </c>
      <c r="H668" s="81" t="s">
        <v>138</v>
      </c>
      <c r="I668" s="44" t="str">
        <f t="shared" si="161"/>
        <v>MATH 152,ED1-IND</v>
      </c>
      <c r="J668" s="45"/>
    </row>
    <row r="669" spans="1:10" s="46" customFormat="1" ht="14.5" x14ac:dyDescent="0.35">
      <c r="A669" s="58" t="s">
        <v>904</v>
      </c>
      <c r="B669" s="60" t="str">
        <v>CALCULUS WITH ANALYSIS</v>
      </c>
      <c r="C669" s="59" t="str">
        <v>Ezearn Jeffery</v>
      </c>
      <c r="D669" s="58" t="s">
        <v>67</v>
      </c>
      <c r="E669" s="62">
        <v>245</v>
      </c>
      <c r="F669" s="58" t="s">
        <v>703</v>
      </c>
      <c r="G669" s="63">
        <f t="shared" si="159"/>
        <v>269.5</v>
      </c>
      <c r="H669" s="81" t="s">
        <v>68</v>
      </c>
      <c r="I669" s="44" t="str">
        <f>CONCATENATE(A669,",",D669)</f>
        <v>MATH 152,ED1-CE</v>
      </c>
      <c r="J669" s="45"/>
    </row>
    <row r="670" spans="1:10" s="46" customFormat="1" ht="14.5" x14ac:dyDescent="0.35">
      <c r="A670" s="58" t="s">
        <v>904</v>
      </c>
      <c r="B670" s="60" t="str">
        <v>CALCULUS WITH ANALYSIS</v>
      </c>
      <c r="C670" s="59" t="str">
        <v>Ezearn Jeffery</v>
      </c>
      <c r="D670" s="58" t="s">
        <v>155</v>
      </c>
      <c r="E670" s="62">
        <v>46</v>
      </c>
      <c r="F670" s="120" t="s">
        <v>54</v>
      </c>
      <c r="G670" s="63">
        <f t="shared" si="159"/>
        <v>50.6</v>
      </c>
      <c r="H670" s="64">
        <v>46</v>
      </c>
      <c r="I670" s="44" t="str">
        <f>CONCATENATE(A670,",",D670)</f>
        <v>MATH 152,ED1-MARI</v>
      </c>
      <c r="J670" s="45"/>
    </row>
    <row r="671" spans="1:10" s="46" customFormat="1" ht="14.5" x14ac:dyDescent="0.35">
      <c r="A671" s="58" t="s">
        <v>904</v>
      </c>
      <c r="B671" s="59" t="str">
        <v>CALCULUS WITH ANALYSIS</v>
      </c>
      <c r="C671" s="60" t="str">
        <v>Ezearn Jeffery</v>
      </c>
      <c r="D671" s="58" t="s">
        <v>22</v>
      </c>
      <c r="E671" s="62">
        <v>262</v>
      </c>
      <c r="F671" s="58" t="s">
        <v>703</v>
      </c>
      <c r="G671" s="63">
        <f>E671*1.1</f>
        <v>288.20000000000005</v>
      </c>
      <c r="H671" s="65" t="s">
        <v>910</v>
      </c>
      <c r="I671" s="44" t="str">
        <f>CONCATENATE(A671,",",D671)</f>
        <v>MATH 152,ED1-COE</v>
      </c>
      <c r="J671" s="45"/>
    </row>
    <row r="672" spans="1:10" ht="14.5" x14ac:dyDescent="0.35">
      <c r="A672" s="54"/>
      <c r="B672" s="54"/>
      <c r="D672" s="39" t="s">
        <v>911</v>
      </c>
      <c r="E672" s="55">
        <f>SUM(E663:E671)</f>
        <v>1225</v>
      </c>
      <c r="F672" s="56"/>
      <c r="G672" s="57"/>
      <c r="I672" s="2" t="s">
        <v>912</v>
      </c>
      <c r="J672" s="6"/>
    </row>
    <row r="673" spans="1:10" ht="14.5" x14ac:dyDescent="0.35">
      <c r="A673" s="54"/>
      <c r="B673" s="54"/>
      <c r="D673" s="39"/>
      <c r="E673" s="55"/>
      <c r="F673" s="56"/>
      <c r="G673" s="57"/>
      <c r="I673" s="2"/>
      <c r="J673" s="6"/>
    </row>
    <row r="674" spans="1:10" ht="14.5" x14ac:dyDescent="0.35">
      <c r="A674" s="124" t="s">
        <v>903</v>
      </c>
      <c r="B674" s="125"/>
      <c r="C674" s="125"/>
      <c r="D674" s="125"/>
      <c r="E674" s="125"/>
      <c r="F674" s="125"/>
      <c r="G674" s="126"/>
      <c r="I674" s="2" t="str">
        <f>A674</f>
        <v>Friday, 4 September 2026</v>
      </c>
      <c r="J674" s="6"/>
    </row>
    <row r="675" spans="1:10" ht="14.5" x14ac:dyDescent="0.35">
      <c r="A675" s="123" t="s">
        <v>35</v>
      </c>
      <c r="B675" s="123"/>
      <c r="C675" s="123"/>
      <c r="D675" s="123"/>
      <c r="E675" s="123"/>
      <c r="F675" s="123"/>
      <c r="G675" s="123"/>
      <c r="I675" s="2" t="str">
        <f>A675</f>
        <v>Session, 2 (12:00 PM - 2:00 PM)</v>
      </c>
      <c r="J675" s="6"/>
    </row>
    <row r="676" spans="1:10" ht="14.5" x14ac:dyDescent="0.35">
      <c r="A676" s="35" t="s">
        <v>2</v>
      </c>
      <c r="B676" s="35" t="s">
        <v>3</v>
      </c>
      <c r="C676" s="32" t="s">
        <v>4</v>
      </c>
      <c r="D676" s="35" t="s">
        <v>5</v>
      </c>
      <c r="E676" s="36" t="s">
        <v>6</v>
      </c>
      <c r="F676" s="32" t="s">
        <v>7</v>
      </c>
      <c r="G676" s="37" t="s">
        <v>8</v>
      </c>
      <c r="H676" s="10"/>
      <c r="I676" s="2" t="s">
        <v>36</v>
      </c>
      <c r="J676" s="6"/>
    </row>
    <row r="677" spans="1:10" s="46" customFormat="1" ht="14.5" x14ac:dyDescent="0.35">
      <c r="A677" s="58" t="s">
        <v>904</v>
      </c>
      <c r="B677" s="59" t="str" cm="1">
        <f t="array" ref="B677:B685">IFERROR(VLOOKUP(I677:I685,[5]Lectures_1!A2:F534,2,FALSE),0)</f>
        <v>CALCULUS WITH ANALYSIS</v>
      </c>
      <c r="C677" s="59" t="str" cm="1">
        <f t="array" ref="C677:C685">IFERROR(VLOOKUP(I677:I685,[5]Lectures_1!A2:F534,3,FALSE),0)</f>
        <v>Ayekple Yao Elikem</v>
      </c>
      <c r="D677" s="58" t="s">
        <v>199</v>
      </c>
      <c r="E677" s="62" cm="1">
        <f t="array" ref="E677:E685">IFERROR(VLOOKUP(I677:I685,[5]Lectures_1!A2:F534,4,FALSE),0)</f>
        <v>295</v>
      </c>
      <c r="F677" s="120" t="s">
        <v>913</v>
      </c>
      <c r="G677" s="63">
        <f t="shared" ref="G677:G685" si="162">E677*1.1</f>
        <v>324.5</v>
      </c>
      <c r="H677" s="120" t="s">
        <v>201</v>
      </c>
      <c r="I677" s="44" t="str">
        <f>CONCATENATE(A677,",",D677)</f>
        <v>MATH 152,ED1-EE</v>
      </c>
      <c r="J677" s="45"/>
    </row>
    <row r="678" spans="1:10" s="46" customFormat="1" ht="14.5" x14ac:dyDescent="0.35">
      <c r="A678" s="58" t="s">
        <v>904</v>
      </c>
      <c r="B678" s="60" t="str">
        <v>CALCULUS WITH ANALYSIS</v>
      </c>
      <c r="C678" s="59" t="str">
        <v>Lawton Adu-Ansah</v>
      </c>
      <c r="D678" s="58" t="s">
        <v>253</v>
      </c>
      <c r="E678" s="62">
        <v>85</v>
      </c>
      <c r="F678" s="58" t="s">
        <v>137</v>
      </c>
      <c r="G678" s="63">
        <f t="shared" si="162"/>
        <v>93.500000000000014</v>
      </c>
      <c r="H678" s="121" t="s">
        <v>503</v>
      </c>
      <c r="I678" s="44" t="str">
        <f t="shared" ref="I678:I685" si="163">CONCATENATE(A678,",",D678)</f>
        <v>MATH 152,ED1-AUTO</v>
      </c>
      <c r="J678" s="45"/>
    </row>
    <row r="679" spans="1:10" s="46" customFormat="1" ht="14.5" x14ac:dyDescent="0.35">
      <c r="A679" s="58" t="s">
        <v>904</v>
      </c>
      <c r="B679" s="59" t="str">
        <v>CALCULUS WITH ANALYSIS</v>
      </c>
      <c r="C679" s="59" t="str">
        <v>Lawton Adu-Ansah</v>
      </c>
      <c r="D679" s="58" t="s">
        <v>251</v>
      </c>
      <c r="E679" s="62">
        <v>225</v>
      </c>
      <c r="F679" s="58" t="s">
        <v>386</v>
      </c>
      <c r="G679" s="63">
        <f t="shared" si="162"/>
        <v>247.50000000000003</v>
      </c>
      <c r="H679" s="64" t="s">
        <v>755</v>
      </c>
      <c r="I679" s="44" t="str">
        <f t="shared" si="163"/>
        <v>MATH 152,ED1-ME</v>
      </c>
      <c r="J679" s="45"/>
    </row>
    <row r="680" spans="1:10" s="46" customFormat="1" ht="14.5" x14ac:dyDescent="0.35">
      <c r="A680" s="58" t="s">
        <v>904</v>
      </c>
      <c r="B680" s="60" t="str">
        <v>CALCULUS WITH ANALYSIS</v>
      </c>
      <c r="C680" s="59" t="str">
        <v>Lawton Adu-Ansah</v>
      </c>
      <c r="D680" s="58" t="s">
        <v>122</v>
      </c>
      <c r="E680" s="62">
        <v>130</v>
      </c>
      <c r="F680" s="68" t="s">
        <v>23</v>
      </c>
      <c r="G680" s="63">
        <f>E680*1.1</f>
        <v>143</v>
      </c>
      <c r="H680" s="64" t="s">
        <v>855</v>
      </c>
      <c r="I680" s="44" t="str">
        <f>CONCATENATE(A680,",",D680)</f>
        <v>MATH 152,ED1-TEL</v>
      </c>
      <c r="J680" s="45"/>
    </row>
    <row r="681" spans="1:10" s="46" customFormat="1" ht="14.5" x14ac:dyDescent="0.35">
      <c r="A681" s="58" t="s">
        <v>904</v>
      </c>
      <c r="B681" s="60" t="str">
        <v>CALCULUS WITH ANALYSIS</v>
      </c>
      <c r="C681" s="59" t="str">
        <v>Lawton Adu-Ansah</v>
      </c>
      <c r="D681" s="58" t="s">
        <v>62</v>
      </c>
      <c r="E681" s="62">
        <v>103</v>
      </c>
      <c r="F681" s="58" t="s">
        <v>131</v>
      </c>
      <c r="G681" s="63">
        <f t="shared" ref="G681:G682" si="164">E681*1.1</f>
        <v>113.30000000000001</v>
      </c>
      <c r="H681" s="64" t="s">
        <v>914</v>
      </c>
      <c r="I681" s="44" t="str">
        <f>CONCATENATE(A681,",",D681)</f>
        <v>MATH 152,ED1-GEOM</v>
      </c>
      <c r="J681" s="45"/>
    </row>
    <row r="682" spans="1:10" s="46" customFormat="1" ht="14.5" x14ac:dyDescent="0.35">
      <c r="A682" s="58" t="s">
        <v>904</v>
      </c>
      <c r="B682" s="60" t="str">
        <v>CALCULUS WITH ANALYSIS</v>
      </c>
      <c r="C682" s="59" t="str">
        <v>Emmanuel Kpeglo</v>
      </c>
      <c r="D682" s="58" t="s">
        <v>161</v>
      </c>
      <c r="E682" s="62">
        <v>100</v>
      </c>
      <c r="F682" s="58" t="s">
        <v>162</v>
      </c>
      <c r="G682" s="63">
        <f t="shared" si="164"/>
        <v>110.00000000000001</v>
      </c>
      <c r="H682" s="64" t="s">
        <v>163</v>
      </c>
      <c r="I682" s="44" t="str">
        <f t="shared" ref="I682" si="165">CONCATENATE(A682,",",D682)</f>
        <v>MATH 152,ED1-MSE</v>
      </c>
      <c r="J682" s="45"/>
    </row>
    <row r="683" spans="1:10" s="46" customFormat="1" ht="14.5" x14ac:dyDescent="0.35">
      <c r="A683" s="58" t="s">
        <v>904</v>
      </c>
      <c r="B683" s="60" t="str">
        <v>CALCULUS WITH ANALYSIS</v>
      </c>
      <c r="C683" s="59" t="str">
        <v>Emmanuel Kpeglo</v>
      </c>
      <c r="D683" s="58" t="s">
        <v>159</v>
      </c>
      <c r="E683" s="62">
        <v>75</v>
      </c>
      <c r="F683" s="58" t="s">
        <v>63</v>
      </c>
      <c r="G683" s="63">
        <f>E683*1.1</f>
        <v>82.5</v>
      </c>
      <c r="H683" s="64">
        <v>75</v>
      </c>
      <c r="I683" s="44" t="str">
        <f>CONCATENATE(A683,",",D683)</f>
        <v>MATH 152,ED1-METE</v>
      </c>
      <c r="J683" s="45"/>
    </row>
    <row r="684" spans="1:10" s="46" customFormat="1" ht="14.5" x14ac:dyDescent="0.35">
      <c r="A684" s="58" t="s">
        <v>904</v>
      </c>
      <c r="B684" s="60" t="str">
        <v>CALCULUS WITH ANALYSIS</v>
      </c>
      <c r="C684" s="59" t="str">
        <v>Isaac Azure</v>
      </c>
      <c r="D684" s="58" t="s">
        <v>109</v>
      </c>
      <c r="E684" s="62">
        <v>120</v>
      </c>
      <c r="F684" s="58" t="s">
        <v>915</v>
      </c>
      <c r="G684" s="63">
        <f>E684*1.1</f>
        <v>132</v>
      </c>
      <c r="H684" s="64" t="s">
        <v>916</v>
      </c>
      <c r="I684" s="44" t="str">
        <f t="shared" si="163"/>
        <v>MATH 152,ED1-CHE</v>
      </c>
      <c r="J684" s="45"/>
    </row>
    <row r="685" spans="1:10" s="46" customFormat="1" ht="14.5" x14ac:dyDescent="0.35">
      <c r="A685" s="58" t="s">
        <v>904</v>
      </c>
      <c r="B685" s="59" t="str">
        <v>CALCULUS WITH ANALYSIS</v>
      </c>
      <c r="C685" s="59" t="str">
        <v>Isaac Azure</v>
      </c>
      <c r="D685" s="58" t="s">
        <v>110</v>
      </c>
      <c r="E685" s="62">
        <v>56</v>
      </c>
      <c r="F685" s="68" t="s">
        <v>65</v>
      </c>
      <c r="G685" s="63">
        <f t="shared" si="162"/>
        <v>61.600000000000009</v>
      </c>
      <c r="H685" s="65">
        <v>56</v>
      </c>
      <c r="I685" s="44" t="str">
        <f t="shared" si="163"/>
        <v>MATH 152,ED1-PCE</v>
      </c>
      <c r="J685" s="45"/>
    </row>
    <row r="686" spans="1:10" ht="14.5" x14ac:dyDescent="0.35">
      <c r="A686" s="54"/>
      <c r="B686" s="54"/>
      <c r="D686" s="39" t="s">
        <v>911</v>
      </c>
      <c r="E686" s="55">
        <f>SUM(_xlfn.ANCHORARRAY(E677))</f>
        <v>1189</v>
      </c>
      <c r="F686" s="56"/>
      <c r="G686" s="57"/>
      <c r="H686" s="24"/>
      <c r="I686" s="2" t="s">
        <v>912</v>
      </c>
      <c r="J686" s="6"/>
    </row>
    <row r="687" spans="1:10" ht="14.5" x14ac:dyDescent="0.35">
      <c r="A687" s="124" t="s">
        <v>903</v>
      </c>
      <c r="B687" s="125"/>
      <c r="C687" s="125"/>
      <c r="D687" s="125"/>
      <c r="E687" s="125"/>
      <c r="F687" s="125"/>
      <c r="G687" s="126"/>
      <c r="I687" s="2" t="str">
        <f>A687</f>
        <v>Friday, 4 September 2026</v>
      </c>
      <c r="J687" s="6"/>
    </row>
    <row r="688" spans="1:10" ht="14.5" x14ac:dyDescent="0.35">
      <c r="A688" s="123" t="s">
        <v>77</v>
      </c>
      <c r="B688" s="123"/>
      <c r="C688" s="123"/>
      <c r="D688" s="123"/>
      <c r="E688" s="123"/>
      <c r="F688" s="123"/>
      <c r="G688" s="123"/>
      <c r="I688" s="2" t="str">
        <f>A688</f>
        <v>Session, 3 (3:00 PM - 5:00 PM)</v>
      </c>
      <c r="J688" s="6"/>
    </row>
    <row r="689" spans="1:10" ht="14.5" x14ac:dyDescent="0.35">
      <c r="A689" s="35" t="s">
        <v>2</v>
      </c>
      <c r="B689" s="35" t="s">
        <v>3</v>
      </c>
      <c r="C689" s="32" t="s">
        <v>4</v>
      </c>
      <c r="D689" s="35" t="s">
        <v>5</v>
      </c>
      <c r="E689" s="36" t="s">
        <v>6</v>
      </c>
      <c r="F689" s="32" t="s">
        <v>7</v>
      </c>
      <c r="G689" s="37" t="s">
        <v>8</v>
      </c>
      <c r="H689" s="10"/>
      <c r="I689" s="2" t="s">
        <v>36</v>
      </c>
      <c r="J689" s="6"/>
    </row>
    <row r="690" spans="1:10" s="46" customFormat="1" ht="14.5" x14ac:dyDescent="0.35">
      <c r="A690" s="58" t="s">
        <v>917</v>
      </c>
      <c r="B690" s="59" t="str" cm="1">
        <f t="array" ref="B690:B698">IFERROR(VLOOKUP(I690:I698,[5]Lectures_1!A2:F534,2,FALSE),0)</f>
        <v>SOFTWARE ENGINEERING</v>
      </c>
      <c r="C690" s="59" t="str" cm="1">
        <f t="array" ref="C690:C698">IFERROR(VLOOKUP(I690:I698,[5]Lectures_1!A2:F534,3,FALSE),0)</f>
        <v>Keelson Eliel</v>
      </c>
      <c r="D690" s="58" t="s">
        <v>282</v>
      </c>
      <c r="E690" s="62" cm="1">
        <f t="array" ref="E690:E698">IFERROR(VLOOKUP(I690:I698,[5]Lectures_1!A2:F534,4,FALSE),0)</f>
        <v>115</v>
      </c>
      <c r="F690" s="120" t="s">
        <v>54</v>
      </c>
      <c r="G690" s="63">
        <f t="shared" ref="G690:G698" si="166">E690*1.1</f>
        <v>126.50000000000001</v>
      </c>
      <c r="H690" s="122">
        <v>115</v>
      </c>
      <c r="I690" s="44" t="str">
        <f t="shared" ref="I690:I698" si="167">CONCATENATE(A690,",",D690)</f>
        <v>COE 454,ED4-COE</v>
      </c>
      <c r="J690" s="45"/>
    </row>
    <row r="691" spans="1:10" ht="14.5" x14ac:dyDescent="0.35">
      <c r="A691" s="38" t="s">
        <v>918</v>
      </c>
      <c r="B691" s="39" t="str">
        <v>CHEMICAL REACTION ENGINEERING</v>
      </c>
      <c r="C691" s="39" t="str">
        <v>Bonsu Jude Kwaku</v>
      </c>
      <c r="D691" s="38" t="s">
        <v>59</v>
      </c>
      <c r="E691" s="41">
        <v>105</v>
      </c>
      <c r="F691" s="47" t="s">
        <v>137</v>
      </c>
      <c r="G691" s="43">
        <f t="shared" si="166"/>
        <v>115.50000000000001</v>
      </c>
      <c r="H691" s="8" t="s">
        <v>563</v>
      </c>
      <c r="I691" s="5" t="str">
        <f t="shared" si="167"/>
        <v>CHE 352,ED3-CHE</v>
      </c>
      <c r="J691" s="6"/>
    </row>
    <row r="692" spans="1:10" ht="14.5" x14ac:dyDescent="0.35">
      <c r="A692" s="38" t="s">
        <v>919</v>
      </c>
      <c r="B692" s="39" t="str">
        <v>POWER SYSTEMS ANALYSIS</v>
      </c>
      <c r="C692" s="39" t="str">
        <v>Twumasi Elvis</v>
      </c>
      <c r="D692" s="38" t="s">
        <v>90</v>
      </c>
      <c r="E692" s="41">
        <v>240</v>
      </c>
      <c r="F692" s="47" t="s">
        <v>703</v>
      </c>
      <c r="G692" s="43">
        <f t="shared" si="166"/>
        <v>264</v>
      </c>
      <c r="H692" s="8" t="s">
        <v>704</v>
      </c>
      <c r="I692" s="5" t="str">
        <f t="shared" si="167"/>
        <v>EE 368,ED3-EE</v>
      </c>
      <c r="J692" s="6"/>
    </row>
    <row r="693" spans="1:10" s="53" customFormat="1" ht="14.5" x14ac:dyDescent="0.35">
      <c r="A693" s="48" t="s">
        <v>920</v>
      </c>
      <c r="B693" s="40" t="str">
        <v>ELECTRICAL MEASUREMENT AND INSTRUMENTATION</v>
      </c>
      <c r="C693" s="51" t="str">
        <v>Klogo Griffith Selorm</v>
      </c>
      <c r="D693" s="48" t="s">
        <v>148</v>
      </c>
      <c r="E693" s="42">
        <v>255</v>
      </c>
      <c r="F693" s="118" t="s">
        <v>23</v>
      </c>
      <c r="G693" s="49">
        <f t="shared" si="166"/>
        <v>280.5</v>
      </c>
      <c r="H693" s="111" t="s">
        <v>921</v>
      </c>
      <c r="I693" s="66" t="str">
        <f t="shared" si="167"/>
        <v>EE 288,ED2-COE</v>
      </c>
      <c r="J693" s="52"/>
    </row>
    <row r="694" spans="1:10" ht="14.5" x14ac:dyDescent="0.35">
      <c r="A694" s="38" t="s">
        <v>922</v>
      </c>
      <c r="B694" s="39" t="str">
        <v>VIBRATIONS I</v>
      </c>
      <c r="C694" s="39" t="str">
        <v>Adam Faisal Wahib</v>
      </c>
      <c r="D694" s="38" t="s">
        <v>26</v>
      </c>
      <c r="E694" s="41">
        <v>76</v>
      </c>
      <c r="F694" s="47" t="s">
        <v>697</v>
      </c>
      <c r="G694" s="43">
        <f t="shared" si="166"/>
        <v>83.600000000000009</v>
      </c>
      <c r="H694" s="8" t="s">
        <v>772</v>
      </c>
      <c r="I694" s="5" t="str">
        <f t="shared" si="167"/>
        <v>ME 362,ED3-AERO</v>
      </c>
      <c r="J694" s="6"/>
    </row>
    <row r="695" spans="1:10" ht="14.5" x14ac:dyDescent="0.35">
      <c r="A695" s="38" t="s">
        <v>922</v>
      </c>
      <c r="B695" s="39" t="str">
        <v>VIBRATIONS I</v>
      </c>
      <c r="C695" s="39" t="str">
        <v>Adam Faisal Wahib</v>
      </c>
      <c r="D695" s="38" t="s">
        <v>79</v>
      </c>
      <c r="E695" s="41">
        <v>222</v>
      </c>
      <c r="F695" s="47" t="s">
        <v>386</v>
      </c>
      <c r="G695" s="43">
        <f t="shared" si="166"/>
        <v>244.20000000000002</v>
      </c>
      <c r="H695" s="8" t="s">
        <v>825</v>
      </c>
      <c r="I695" s="5" t="str">
        <f t="shared" si="167"/>
        <v>ME 362,ED3-ME</v>
      </c>
      <c r="J695" s="6"/>
    </row>
    <row r="696" spans="1:10" ht="14.5" x14ac:dyDescent="0.35">
      <c r="A696" s="38" t="s">
        <v>922</v>
      </c>
      <c r="B696" s="39" t="str">
        <v>VIBRATIONS I</v>
      </c>
      <c r="C696" s="39" t="str">
        <v>Adam Faisal Wahib</v>
      </c>
      <c r="D696" s="38" t="s">
        <v>114</v>
      </c>
      <c r="E696" s="41">
        <v>40</v>
      </c>
      <c r="F696" s="47" t="s">
        <v>234</v>
      </c>
      <c r="G696" s="43">
        <f t="shared" si="166"/>
        <v>44</v>
      </c>
      <c r="H696" s="8">
        <v>40</v>
      </c>
      <c r="I696" s="5" t="str">
        <f t="shared" si="167"/>
        <v>ME 362,ED3-MARI</v>
      </c>
      <c r="J696" s="6"/>
    </row>
    <row r="697" spans="1:10" ht="14.5" x14ac:dyDescent="0.35">
      <c r="A697" s="38" t="s">
        <v>923</v>
      </c>
      <c r="B697" s="39" t="str">
        <v>VIBRATIONS FOR AUTOMOBILE ENGINEERS</v>
      </c>
      <c r="C697" s="39" t="str">
        <v>Adam Faisal Wahib</v>
      </c>
      <c r="D697" s="38" t="s">
        <v>94</v>
      </c>
      <c r="E697" s="41">
        <v>40</v>
      </c>
      <c r="F697" s="47" t="s">
        <v>514</v>
      </c>
      <c r="G697" s="43">
        <f t="shared" si="166"/>
        <v>44</v>
      </c>
      <c r="H697" s="8" t="s">
        <v>96</v>
      </c>
      <c r="I697" s="5" t="str">
        <f t="shared" si="167"/>
        <v>AME 362,ED3-AUTO</v>
      </c>
      <c r="J697" s="6"/>
    </row>
    <row r="698" spans="1:10" ht="14.5" x14ac:dyDescent="0.35">
      <c r="A698" s="38" t="s">
        <v>924</v>
      </c>
      <c r="B698" s="39" t="str">
        <v>ANATOMY AND PHYSIOLOGY FOR ENGINEERS II</v>
      </c>
      <c r="C698" s="39" t="str">
        <v>Agyapong Dorothy Araba Yakoba</v>
      </c>
      <c r="D698" s="38" t="s">
        <v>150</v>
      </c>
      <c r="E698" s="41">
        <v>80</v>
      </c>
      <c r="F698" s="47" t="s">
        <v>925</v>
      </c>
      <c r="G698" s="43">
        <f t="shared" si="166"/>
        <v>88</v>
      </c>
      <c r="H698" s="8" t="s">
        <v>392</v>
      </c>
      <c r="I698" s="5" t="str">
        <f t="shared" si="167"/>
        <v>BME 286,ED2-BME</v>
      </c>
      <c r="J698" s="6"/>
    </row>
    <row r="699" spans="1:10" ht="14.5" x14ac:dyDescent="0.35">
      <c r="A699" s="54"/>
      <c r="B699" s="54"/>
      <c r="D699" s="39" t="s">
        <v>911</v>
      </c>
      <c r="E699" s="55">
        <f>SUM(_xlfn.ANCHORARRAY(E690))</f>
        <v>1173</v>
      </c>
      <c r="F699" s="56"/>
      <c r="G699" s="57"/>
      <c r="H699" s="24"/>
      <c r="I699" s="2" t="s">
        <v>912</v>
      </c>
      <c r="J699" s="6"/>
    </row>
    <row r="700" spans="1:10" s="29" customFormat="1" ht="14.5" x14ac:dyDescent="0.35">
      <c r="A700" s="25"/>
      <c r="B700" s="25"/>
      <c r="C700" s="25"/>
      <c r="D700" s="25"/>
      <c r="E700" s="26"/>
      <c r="F700" s="27"/>
      <c r="G700" s="28"/>
      <c r="H700" s="24"/>
    </row>
    <row r="701" spans="1:10" s="29" customFormat="1" ht="14.5" x14ac:dyDescent="0.35">
      <c r="A701" s="27"/>
      <c r="B701" s="27"/>
      <c r="C701" s="27"/>
      <c r="D701" s="27"/>
      <c r="E701" s="30"/>
      <c r="F701" s="27"/>
      <c r="G701" s="31"/>
      <c r="H701" s="24"/>
    </row>
    <row r="702" spans="1:10" s="29" customFormat="1" ht="14.5" x14ac:dyDescent="0.35">
      <c r="A702" s="27"/>
      <c r="B702" s="27"/>
      <c r="C702" s="27"/>
      <c r="D702" s="27"/>
      <c r="E702" s="30"/>
      <c r="F702" s="27"/>
      <c r="G702" s="31"/>
      <c r="H702" s="24"/>
    </row>
    <row r="703" spans="1:10" s="29" customFormat="1" ht="14.5" x14ac:dyDescent="0.35">
      <c r="A703" s="27"/>
      <c r="B703" s="27"/>
      <c r="C703" s="27"/>
      <c r="D703" s="27"/>
      <c r="E703" s="30"/>
      <c r="F703" s="27"/>
      <c r="G703" s="31"/>
      <c r="H703" s="24"/>
    </row>
    <row r="704" spans="1:10" s="29" customFormat="1" ht="14.5" x14ac:dyDescent="0.35">
      <c r="A704" s="27"/>
      <c r="B704" s="27"/>
      <c r="C704" s="27"/>
      <c r="D704" s="27"/>
      <c r="E704" s="30"/>
      <c r="F704" s="27"/>
      <c r="G704" s="31"/>
      <c r="H704" s="1"/>
    </row>
  </sheetData>
  <mergeCells count="97">
    <mergeCell ref="A31:G31"/>
    <mergeCell ref="A1:G1"/>
    <mergeCell ref="A2:G2"/>
    <mergeCell ref="A12:G12"/>
    <mergeCell ref="A13:G13"/>
    <mergeCell ref="F15:F19"/>
    <mergeCell ref="A110:G110"/>
    <mergeCell ref="A32:G32"/>
    <mergeCell ref="A44:G44"/>
    <mergeCell ref="A45:G45"/>
    <mergeCell ref="F47:F49"/>
    <mergeCell ref="A64:G64"/>
    <mergeCell ref="A65:G65"/>
    <mergeCell ref="A82:G82"/>
    <mergeCell ref="A83:G83"/>
    <mergeCell ref="A96:G96"/>
    <mergeCell ref="A97:G97"/>
    <mergeCell ref="A109:G109"/>
    <mergeCell ref="A199:G199"/>
    <mergeCell ref="A124:G124"/>
    <mergeCell ref="A125:G125"/>
    <mergeCell ref="A136:G136"/>
    <mergeCell ref="A137:G137"/>
    <mergeCell ref="F139:F140"/>
    <mergeCell ref="A153:G153"/>
    <mergeCell ref="A154:G154"/>
    <mergeCell ref="A166:G166"/>
    <mergeCell ref="A167:G167"/>
    <mergeCell ref="A182:G182"/>
    <mergeCell ref="A183:G183"/>
    <mergeCell ref="A284:G284"/>
    <mergeCell ref="A200:G200"/>
    <mergeCell ref="A210:G210"/>
    <mergeCell ref="A211:G211"/>
    <mergeCell ref="A222:G222"/>
    <mergeCell ref="A223:G223"/>
    <mergeCell ref="A241:G241"/>
    <mergeCell ref="A242:G242"/>
    <mergeCell ref="A256:G256"/>
    <mergeCell ref="A257:G257"/>
    <mergeCell ref="A270:G270"/>
    <mergeCell ref="A271:G271"/>
    <mergeCell ref="A368:G368"/>
    <mergeCell ref="A285:G285"/>
    <mergeCell ref="A300:G300"/>
    <mergeCell ref="A301:G301"/>
    <mergeCell ref="A313:G313"/>
    <mergeCell ref="A314:G314"/>
    <mergeCell ref="F316:F329"/>
    <mergeCell ref="A339:G339"/>
    <mergeCell ref="A340:G340"/>
    <mergeCell ref="A354:G354"/>
    <mergeCell ref="A355:G355"/>
    <mergeCell ref="A367:G367"/>
    <mergeCell ref="A452:G452"/>
    <mergeCell ref="A379:G379"/>
    <mergeCell ref="A380:G380"/>
    <mergeCell ref="A395:G395"/>
    <mergeCell ref="A396:G396"/>
    <mergeCell ref="A410:G410"/>
    <mergeCell ref="A411:G411"/>
    <mergeCell ref="F413:F418"/>
    <mergeCell ref="A427:G427"/>
    <mergeCell ref="A428:G428"/>
    <mergeCell ref="F430:F436"/>
    <mergeCell ref="A451:G451"/>
    <mergeCell ref="A552:G552"/>
    <mergeCell ref="F454:F458"/>
    <mergeCell ref="A468:G468"/>
    <mergeCell ref="A469:G469"/>
    <mergeCell ref="A484:G484"/>
    <mergeCell ref="A485:G485"/>
    <mergeCell ref="A498:G498"/>
    <mergeCell ref="A499:G499"/>
    <mergeCell ref="A519:G519"/>
    <mergeCell ref="A520:G520"/>
    <mergeCell ref="A535:G535"/>
    <mergeCell ref="A536:G536"/>
    <mergeCell ref="A642:G642"/>
    <mergeCell ref="A553:G553"/>
    <mergeCell ref="A571:G571"/>
    <mergeCell ref="A572:G572"/>
    <mergeCell ref="A584:G584"/>
    <mergeCell ref="A585:G585"/>
    <mergeCell ref="A595:G595"/>
    <mergeCell ref="A596:G596"/>
    <mergeCell ref="A608:G608"/>
    <mergeCell ref="A609:G609"/>
    <mergeCell ref="A624:G624"/>
    <mergeCell ref="A625:G625"/>
    <mergeCell ref="A688:G688"/>
    <mergeCell ref="A643:G643"/>
    <mergeCell ref="A660:G660"/>
    <mergeCell ref="A661:G661"/>
    <mergeCell ref="A674:G674"/>
    <mergeCell ref="A675:G675"/>
    <mergeCell ref="A687:G687"/>
  </mergeCells>
  <conditionalFormatting sqref="D34">
    <cfRule type="duplicateValues" dxfId="158" priority="145"/>
  </conditionalFormatting>
  <conditionalFormatting sqref="D550">
    <cfRule type="duplicateValues" dxfId="157" priority="150"/>
  </conditionalFormatting>
  <conditionalFormatting sqref="D663 D524">
    <cfRule type="duplicateValues" dxfId="156" priority="155"/>
  </conditionalFormatting>
  <conditionalFormatting sqref="I22">
    <cfRule type="duplicateValues" dxfId="155" priority="3"/>
    <cfRule type="duplicateValues" dxfId="154" priority="4"/>
  </conditionalFormatting>
  <conditionalFormatting sqref="I23">
    <cfRule type="duplicateValues" dxfId="153" priority="44"/>
    <cfRule type="duplicateValues" dxfId="152" priority="43"/>
  </conditionalFormatting>
  <conditionalFormatting sqref="I24">
    <cfRule type="duplicateValues" dxfId="151" priority="27"/>
    <cfRule type="duplicateValues" dxfId="150" priority="28"/>
  </conditionalFormatting>
  <conditionalFormatting sqref="I25">
    <cfRule type="duplicateValues" dxfId="149" priority="29"/>
    <cfRule type="duplicateValues" dxfId="148" priority="30"/>
  </conditionalFormatting>
  <conditionalFormatting sqref="I37">
    <cfRule type="duplicateValues" dxfId="147" priority="56"/>
    <cfRule type="duplicateValues" dxfId="146" priority="55"/>
  </conditionalFormatting>
  <conditionalFormatting sqref="I42:I43 I31:I33">
    <cfRule type="duplicateValues" dxfId="145" priority="148"/>
    <cfRule type="duplicateValues" dxfId="144" priority="149"/>
  </conditionalFormatting>
  <conditionalFormatting sqref="I58">
    <cfRule type="duplicateValues" dxfId="143" priority="15"/>
    <cfRule type="duplicateValues" dxfId="142" priority="16"/>
  </conditionalFormatting>
  <conditionalFormatting sqref="I77">
    <cfRule type="duplicateValues" dxfId="141" priority="108"/>
    <cfRule type="duplicateValues" dxfId="140" priority="107"/>
  </conditionalFormatting>
  <conditionalFormatting sqref="I79">
    <cfRule type="duplicateValues" dxfId="139" priority="9"/>
    <cfRule type="duplicateValues" dxfId="138" priority="10"/>
  </conditionalFormatting>
  <conditionalFormatting sqref="I90">
    <cfRule type="duplicateValues" dxfId="137" priority="18"/>
    <cfRule type="duplicateValues" dxfId="136" priority="17"/>
  </conditionalFormatting>
  <conditionalFormatting sqref="I91">
    <cfRule type="duplicateValues" dxfId="135" priority="80"/>
    <cfRule type="duplicateValues" dxfId="134" priority="79"/>
  </conditionalFormatting>
  <conditionalFormatting sqref="I129">
    <cfRule type="duplicateValues" dxfId="133" priority="48"/>
    <cfRule type="duplicateValues" dxfId="132" priority="47"/>
  </conditionalFormatting>
  <conditionalFormatting sqref="I130">
    <cfRule type="duplicateValues" dxfId="131" priority="54"/>
    <cfRule type="duplicateValues" dxfId="130" priority="53"/>
  </conditionalFormatting>
  <conditionalFormatting sqref="I143">
    <cfRule type="duplicateValues" dxfId="129" priority="62"/>
    <cfRule type="duplicateValues" dxfId="128" priority="61"/>
  </conditionalFormatting>
  <conditionalFormatting sqref="I144">
    <cfRule type="duplicateValues" dxfId="127" priority="63"/>
    <cfRule type="duplicateValues" dxfId="126" priority="64"/>
  </conditionalFormatting>
  <conditionalFormatting sqref="I147">
    <cfRule type="duplicateValues" dxfId="125" priority="93"/>
    <cfRule type="duplicateValues" dxfId="124" priority="94"/>
  </conditionalFormatting>
  <conditionalFormatting sqref="I148">
    <cfRule type="duplicateValues" dxfId="123" priority="59"/>
    <cfRule type="duplicateValues" dxfId="122" priority="60"/>
  </conditionalFormatting>
  <conditionalFormatting sqref="I149">
    <cfRule type="duplicateValues" dxfId="121" priority="5"/>
    <cfRule type="duplicateValues" dxfId="120" priority="6"/>
  </conditionalFormatting>
  <conditionalFormatting sqref="I162">
    <cfRule type="duplicateValues" dxfId="119" priority="109"/>
    <cfRule type="duplicateValues" dxfId="118" priority="110"/>
  </conditionalFormatting>
  <conditionalFormatting sqref="I163">
    <cfRule type="duplicateValues" dxfId="117" priority="90"/>
    <cfRule type="duplicateValues" dxfId="116" priority="89"/>
  </conditionalFormatting>
  <conditionalFormatting sqref="I171:I172 I153:I160 I164:I165">
    <cfRule type="duplicateValues" dxfId="115" priority="158"/>
    <cfRule type="duplicateValues" dxfId="114" priority="159"/>
  </conditionalFormatting>
  <conditionalFormatting sqref="I189">
    <cfRule type="duplicateValues" dxfId="113" priority="116"/>
    <cfRule type="duplicateValues" dxfId="112" priority="115"/>
  </conditionalFormatting>
  <conditionalFormatting sqref="I193">
    <cfRule type="duplicateValues" dxfId="111" priority="46"/>
    <cfRule type="duplicateValues" dxfId="110" priority="45"/>
  </conditionalFormatting>
  <conditionalFormatting sqref="I195">
    <cfRule type="duplicateValues" dxfId="109" priority="74"/>
    <cfRule type="duplicateValues" dxfId="108" priority="73"/>
  </conditionalFormatting>
  <conditionalFormatting sqref="I196">
    <cfRule type="duplicateValues" dxfId="107" priority="51"/>
    <cfRule type="duplicateValues" dxfId="106" priority="52"/>
  </conditionalFormatting>
  <conditionalFormatting sqref="I204">
    <cfRule type="duplicateValues" dxfId="105" priority="76"/>
    <cfRule type="duplicateValues" dxfId="104" priority="75"/>
  </conditionalFormatting>
  <conditionalFormatting sqref="I207">
    <cfRule type="duplicateValues" dxfId="103" priority="87"/>
    <cfRule type="duplicateValues" dxfId="102" priority="88"/>
  </conditionalFormatting>
  <conditionalFormatting sqref="I236">
    <cfRule type="duplicateValues" dxfId="101" priority="13"/>
    <cfRule type="duplicateValues" dxfId="100" priority="14"/>
  </conditionalFormatting>
  <conditionalFormatting sqref="I246">
    <cfRule type="duplicateValues" dxfId="99" priority="31"/>
    <cfRule type="duplicateValues" dxfId="98" priority="32"/>
  </conditionalFormatting>
  <conditionalFormatting sqref="I249">
    <cfRule type="duplicateValues" dxfId="97" priority="22"/>
    <cfRule type="duplicateValues" dxfId="96" priority="21"/>
  </conditionalFormatting>
  <conditionalFormatting sqref="I251">
    <cfRule type="duplicateValues" dxfId="95" priority="40"/>
    <cfRule type="duplicateValues" dxfId="94" priority="39"/>
  </conditionalFormatting>
  <conditionalFormatting sqref="I252">
    <cfRule type="duplicateValues" dxfId="93" priority="106"/>
    <cfRule type="duplicateValues" dxfId="92" priority="105"/>
  </conditionalFormatting>
  <conditionalFormatting sqref="I253">
    <cfRule type="duplicateValues" dxfId="91" priority="35"/>
    <cfRule type="duplicateValues" dxfId="90" priority="36"/>
  </conditionalFormatting>
  <conditionalFormatting sqref="I264">
    <cfRule type="duplicateValues" dxfId="89" priority="2"/>
    <cfRule type="duplicateValues" dxfId="88" priority="1"/>
  </conditionalFormatting>
  <conditionalFormatting sqref="I278">
    <cfRule type="duplicateValues" dxfId="87" priority="58"/>
    <cfRule type="duplicateValues" dxfId="86" priority="57"/>
  </conditionalFormatting>
  <conditionalFormatting sqref="I280">
    <cfRule type="duplicateValues" dxfId="85" priority="85"/>
    <cfRule type="duplicateValues" dxfId="84" priority="86"/>
  </conditionalFormatting>
  <conditionalFormatting sqref="I293">
    <cfRule type="duplicateValues" dxfId="83" priority="95"/>
    <cfRule type="duplicateValues" dxfId="82" priority="96"/>
  </conditionalFormatting>
  <conditionalFormatting sqref="I294">
    <cfRule type="duplicateValues" dxfId="81" priority="104"/>
    <cfRule type="duplicateValues" dxfId="80" priority="103"/>
  </conditionalFormatting>
  <conditionalFormatting sqref="I295">
    <cfRule type="duplicateValues" dxfId="79" priority="37"/>
    <cfRule type="duplicateValues" dxfId="78" priority="38"/>
  </conditionalFormatting>
  <conditionalFormatting sqref="I310">
    <cfRule type="duplicateValues" dxfId="77" priority="25"/>
    <cfRule type="duplicateValues" dxfId="76" priority="26"/>
  </conditionalFormatting>
  <conditionalFormatting sqref="I332">
    <cfRule type="duplicateValues" dxfId="75" priority="69"/>
    <cfRule type="duplicateValues" dxfId="74" priority="70"/>
  </conditionalFormatting>
  <conditionalFormatting sqref="I333">
    <cfRule type="duplicateValues" dxfId="73" priority="78"/>
    <cfRule type="duplicateValues" dxfId="72" priority="77"/>
  </conditionalFormatting>
  <conditionalFormatting sqref="I361">
    <cfRule type="duplicateValues" dxfId="71" priority="81"/>
    <cfRule type="duplicateValues" dxfId="70" priority="82"/>
  </conditionalFormatting>
  <conditionalFormatting sqref="I362">
    <cfRule type="duplicateValues" dxfId="69" priority="8"/>
    <cfRule type="duplicateValues" dxfId="68" priority="7"/>
  </conditionalFormatting>
  <conditionalFormatting sqref="I392">
    <cfRule type="duplicateValues" dxfId="67" priority="33"/>
    <cfRule type="duplicateValues" dxfId="66" priority="34"/>
  </conditionalFormatting>
  <conditionalFormatting sqref="I423">
    <cfRule type="duplicateValues" dxfId="65" priority="41"/>
    <cfRule type="duplicateValues" dxfId="64" priority="42"/>
  </conditionalFormatting>
  <conditionalFormatting sqref="I433">
    <cfRule type="duplicateValues" dxfId="63" priority="144"/>
    <cfRule type="duplicateValues" dxfId="62" priority="143"/>
  </conditionalFormatting>
  <conditionalFormatting sqref="I436">
    <cfRule type="duplicateValues" dxfId="61" priority="113"/>
    <cfRule type="duplicateValues" dxfId="60" priority="114"/>
  </conditionalFormatting>
  <conditionalFormatting sqref="I446">
    <cfRule type="duplicateValues" dxfId="59" priority="101"/>
    <cfRule type="duplicateValues" dxfId="58" priority="102"/>
  </conditionalFormatting>
  <conditionalFormatting sqref="I465">
    <cfRule type="duplicateValues" dxfId="57" priority="127"/>
    <cfRule type="duplicateValues" dxfId="56" priority="128"/>
  </conditionalFormatting>
  <conditionalFormatting sqref="I493">
    <cfRule type="duplicateValues" dxfId="55" priority="49"/>
    <cfRule type="duplicateValues" dxfId="54" priority="50"/>
  </conditionalFormatting>
  <conditionalFormatting sqref="I527">
    <cfRule type="duplicateValues" dxfId="53" priority="83"/>
    <cfRule type="duplicateValues" dxfId="52" priority="84"/>
  </conditionalFormatting>
  <conditionalFormatting sqref="I530">
    <cfRule type="duplicateValues" dxfId="51" priority="123"/>
    <cfRule type="duplicateValues" dxfId="50" priority="124"/>
  </conditionalFormatting>
  <conditionalFormatting sqref="I539">
    <cfRule type="duplicateValues" dxfId="49" priority="91"/>
    <cfRule type="duplicateValues" dxfId="48" priority="92"/>
  </conditionalFormatting>
  <conditionalFormatting sqref="I540">
    <cfRule type="duplicateValues" dxfId="47" priority="97"/>
    <cfRule type="duplicateValues" dxfId="46" priority="98"/>
  </conditionalFormatting>
  <conditionalFormatting sqref="I549">
    <cfRule type="duplicateValues" dxfId="45" priority="68"/>
    <cfRule type="duplicateValues" dxfId="44" priority="67"/>
  </conditionalFormatting>
  <conditionalFormatting sqref="I567">
    <cfRule type="duplicateValues" dxfId="43" priority="72"/>
    <cfRule type="duplicateValues" dxfId="42" priority="71"/>
  </conditionalFormatting>
  <conditionalFormatting sqref="I604">
    <cfRule type="duplicateValues" dxfId="41" priority="12"/>
    <cfRule type="duplicateValues" dxfId="40" priority="11"/>
  </conditionalFormatting>
  <conditionalFormatting sqref="I628">
    <cfRule type="duplicateValues" dxfId="39" priority="65"/>
    <cfRule type="duplicateValues" dxfId="38" priority="66"/>
  </conditionalFormatting>
  <conditionalFormatting sqref="I635">
    <cfRule type="duplicateValues" dxfId="37" priority="100"/>
    <cfRule type="duplicateValues" dxfId="36" priority="99"/>
  </conditionalFormatting>
  <conditionalFormatting sqref="I649">
    <cfRule type="duplicateValues" dxfId="35" priority="126"/>
    <cfRule type="duplicateValues" dxfId="34" priority="125"/>
  </conditionalFormatting>
  <conditionalFormatting sqref="I665">
    <cfRule type="duplicateValues" dxfId="33" priority="23"/>
    <cfRule type="duplicateValues" dxfId="32" priority="24"/>
  </conditionalFormatting>
  <conditionalFormatting sqref="I666">
    <cfRule type="duplicateValues" dxfId="31" priority="121"/>
    <cfRule type="duplicateValues" dxfId="30" priority="122"/>
  </conditionalFormatting>
  <conditionalFormatting sqref="I670">
    <cfRule type="duplicateValues" dxfId="29" priority="117"/>
    <cfRule type="duplicateValues" dxfId="28" priority="118"/>
  </conditionalFormatting>
  <conditionalFormatting sqref="I674">
    <cfRule type="duplicateValues" dxfId="27" priority="135"/>
    <cfRule type="duplicateValues" dxfId="26" priority="136"/>
  </conditionalFormatting>
  <conditionalFormatting sqref="I675">
    <cfRule type="duplicateValues" dxfId="25" priority="131"/>
    <cfRule type="duplicateValues" dxfId="24" priority="132"/>
  </conditionalFormatting>
  <conditionalFormatting sqref="I676">
    <cfRule type="duplicateValues" dxfId="23" priority="129"/>
    <cfRule type="duplicateValues" dxfId="22" priority="130"/>
  </conditionalFormatting>
  <conditionalFormatting sqref="I678:I679 I681 I683:I684 I199:I202 I192 I208:I209">
    <cfRule type="duplicateValues" dxfId="21" priority="151"/>
    <cfRule type="duplicateValues" dxfId="20" priority="152"/>
  </conditionalFormatting>
  <conditionalFormatting sqref="I682">
    <cfRule type="duplicateValues" dxfId="19" priority="119"/>
    <cfRule type="duplicateValues" dxfId="18" priority="120"/>
  </conditionalFormatting>
  <conditionalFormatting sqref="I685 I664 I677">
    <cfRule type="duplicateValues" dxfId="17" priority="153"/>
    <cfRule type="duplicateValues" dxfId="16" priority="154"/>
  </conditionalFormatting>
  <conditionalFormatting sqref="I686">
    <cfRule type="duplicateValues" dxfId="15" priority="134"/>
    <cfRule type="duplicateValues" dxfId="14" priority="133"/>
  </conditionalFormatting>
  <conditionalFormatting sqref="I687">
    <cfRule type="duplicateValues" dxfId="13" priority="146"/>
    <cfRule type="duplicateValues" dxfId="12" priority="147"/>
  </conditionalFormatting>
  <conditionalFormatting sqref="I688">
    <cfRule type="duplicateValues" dxfId="11" priority="139"/>
    <cfRule type="duplicateValues" dxfId="10" priority="140"/>
  </conditionalFormatting>
  <conditionalFormatting sqref="I689">
    <cfRule type="duplicateValues" dxfId="9" priority="138"/>
    <cfRule type="duplicateValues" dxfId="8" priority="137"/>
  </conditionalFormatting>
  <conditionalFormatting sqref="I691">
    <cfRule type="duplicateValues" dxfId="7" priority="19"/>
    <cfRule type="duplicateValues" dxfId="6" priority="20"/>
  </conditionalFormatting>
  <conditionalFormatting sqref="I697">
    <cfRule type="duplicateValues" dxfId="5" priority="111"/>
    <cfRule type="duplicateValues" dxfId="4" priority="112"/>
  </conditionalFormatting>
  <conditionalFormatting sqref="I699">
    <cfRule type="duplicateValues" dxfId="3" priority="141"/>
    <cfRule type="duplicateValues" dxfId="2" priority="142"/>
  </conditionalFormatting>
  <conditionalFormatting sqref="I700:I1048576 I667:I669 I680 I434:I435 I166:I170 I437:I445 I203 I671:I673 I161 I150:I152 I190:I191 I447:I464 I466:I492 I494:I526 I531:I538 I281:I292 I279 I296:I309 I205:I206 I528:I529 I550:I566 I629:I634 I650:I663 I636:I648 I197:I198 I541:I548 I34:I36 I44:I57 I78 I690 I698 I38:I41 I424:I432 I334:I360 I393:I422 I363:I391 I194 I247:I248 I26:I30 I311:I331 I250 I210:I235 I568:I603 I605:I627 I237:I245 I692:I696 I92:I128 I254:I263 I80:I89 I59:I76 I131:I142 I145:I146 I173:I188 I1:I21 I265:I277">
    <cfRule type="duplicateValues" dxfId="1" priority="156"/>
    <cfRule type="duplicateValues" dxfId="0" priority="157"/>
  </conditionalFormatting>
  <pageMargins left="0.70866141732283472" right="0.70866141732283472" top="0.74803149606299213" bottom="0.74803149606299213" header="0.31496062992125984" footer="0.31496062992125984"/>
  <pageSetup paperSize="9" scale="55" fitToHeight="0" orientation="landscape" r:id="rId1"/>
  <headerFooter>
    <oddHeader>&amp;C&amp;"Times New Roman,Bold"&amp;12COLLEGE OF ENGINEERING             
DRAFT EXAMINATION TIMETABLE FOR THE SECOND SEMESTER, 2025/2026 ACADEMIC YEAR
&amp;G</oddHeader>
    <oddFooter>&amp;C&amp;"Times New Roman,Regular"&amp;18&amp;KFF0000For computer based exams, venues will be communicated.</oddFooter>
  </headerFooter>
  <rowBreaks count="44" manualBreakCount="44">
    <brk id="11" max="7" man="1"/>
    <brk id="30" max="7" man="1"/>
    <brk id="43" max="7" man="1"/>
    <brk id="63" max="7" man="1"/>
    <brk id="81" max="16383" man="1"/>
    <brk id="95" max="16383" man="1"/>
    <brk id="108" max="16383" man="1"/>
    <brk id="123" max="16383" man="1"/>
    <brk id="135" max="16383" man="1"/>
    <brk id="152" max="7" man="1"/>
    <brk id="165" max="16383" man="1"/>
    <brk id="181" max="16383" man="1"/>
    <brk id="198" max="16383" man="1"/>
    <brk id="209" max="16383" man="1"/>
    <brk id="221" max="16383" man="1"/>
    <brk id="240" max="16383" man="1"/>
    <brk id="255" max="16383" man="1"/>
    <brk id="269" max="16383" man="1"/>
    <brk id="283" max="16383" man="1"/>
    <brk id="299" max="16383" man="1"/>
    <brk id="312" max="16383" man="1"/>
    <brk id="338" max="16383" man="1"/>
    <brk id="353" max="7" man="1"/>
    <brk id="366" max="16383" man="1"/>
    <brk id="378" max="16383" man="1"/>
    <brk id="394" max="16383" man="1"/>
    <brk id="409" max="16383" man="1"/>
    <brk id="426" max="16383" man="1"/>
    <brk id="450" max="7" man="1"/>
    <brk id="467" max="16383" man="1"/>
    <brk id="483" max="7" man="1"/>
    <brk id="497" max="16383" man="1"/>
    <brk id="518" max="16383" man="1"/>
    <brk id="534" max="16383" man="1"/>
    <brk id="551" max="16383" man="1"/>
    <brk id="570" max="16383" man="1"/>
    <brk id="583" max="16383" man="1"/>
    <brk id="594" max="16383" man="1"/>
    <brk id="607" max="16383" man="1"/>
    <brk id="623" max="7" man="1"/>
    <brk id="641" max="16383" man="1"/>
    <brk id="659" max="7" man="1"/>
    <brk id="672" max="16383" man="1"/>
    <brk id="686" max="7" man="1"/>
  </rowBreaks>
  <colBreaks count="1" manualBreakCount="1">
    <brk id="8" max="1048575" man="1"/>
  </col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29D55-7D41-4180-AD0B-98CBA1D3D809}">
  <dimension ref="A1:H699"/>
  <sheetViews>
    <sheetView tabSelected="1" topLeftCell="B616" workbookViewId="0">
      <selection activeCell="F699" activeCellId="1" sqref="F454:F458 F699"/>
    </sheetView>
  </sheetViews>
  <sheetFormatPr defaultRowHeight="14.5" x14ac:dyDescent="0.35"/>
  <cols>
    <col min="1" max="1" width="27.36328125" bestFit="1" customWidth="1"/>
    <col min="2" max="2" width="63" bestFit="1" customWidth="1"/>
    <col min="3" max="3" width="41.54296875" bestFit="1" customWidth="1"/>
    <col min="4" max="4" width="10.08984375" bestFit="1" customWidth="1"/>
    <col min="5" max="5" width="6.36328125" bestFit="1" customWidth="1"/>
    <col min="6" max="6" width="64.453125" bestFit="1" customWidth="1"/>
    <col min="7" max="7" width="6.81640625" bestFit="1" customWidth="1"/>
    <col min="8" max="8" width="28.54296875" bestFit="1" customWidth="1"/>
  </cols>
  <sheetData>
    <row r="1" spans="1:8" x14ac:dyDescent="0.35">
      <c r="A1" t="s">
        <v>0</v>
      </c>
    </row>
    <row r="2" spans="1:8" x14ac:dyDescent="0.35">
      <c r="A2" t="s">
        <v>1</v>
      </c>
    </row>
    <row r="3" spans="1:8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8" x14ac:dyDescent="0.35">
      <c r="A4" t="s">
        <v>10</v>
      </c>
      <c r="B4" t="s">
        <v>926</v>
      </c>
      <c r="C4" t="s">
        <v>927</v>
      </c>
      <c r="D4" t="s">
        <v>11</v>
      </c>
      <c r="E4">
        <v>160</v>
      </c>
      <c r="F4" t="s">
        <v>12</v>
      </c>
      <c r="G4">
        <v>176</v>
      </c>
      <c r="H4" t="s">
        <v>13</v>
      </c>
    </row>
    <row r="5" spans="1:8" x14ac:dyDescent="0.35">
      <c r="A5" t="s">
        <v>10</v>
      </c>
      <c r="B5" t="s">
        <v>926</v>
      </c>
      <c r="C5" t="s">
        <v>927</v>
      </c>
      <c r="D5" t="s">
        <v>14</v>
      </c>
      <c r="E5">
        <v>65</v>
      </c>
      <c r="F5" t="s">
        <v>15</v>
      </c>
      <c r="G5">
        <v>71.5</v>
      </c>
      <c r="H5" t="s">
        <v>16</v>
      </c>
    </row>
    <row r="6" spans="1:8" x14ac:dyDescent="0.35">
      <c r="A6" t="s">
        <v>17</v>
      </c>
      <c r="B6" t="s">
        <v>928</v>
      </c>
      <c r="C6" t="s">
        <v>929</v>
      </c>
      <c r="D6" t="s">
        <v>18</v>
      </c>
      <c r="E6">
        <v>265</v>
      </c>
      <c r="F6" t="s">
        <v>19</v>
      </c>
      <c r="G6">
        <v>291.5</v>
      </c>
      <c r="H6" t="s">
        <v>20</v>
      </c>
    </row>
    <row r="7" spans="1:8" x14ac:dyDescent="0.35">
      <c r="A7" t="s">
        <v>21</v>
      </c>
      <c r="B7" t="s">
        <v>930</v>
      </c>
      <c r="C7" t="s">
        <v>931</v>
      </c>
      <c r="D7" t="s">
        <v>22</v>
      </c>
      <c r="E7">
        <v>262</v>
      </c>
      <c r="F7" t="s">
        <v>23</v>
      </c>
      <c r="G7">
        <v>288.20000000000005</v>
      </c>
      <c r="H7" t="s">
        <v>24</v>
      </c>
    </row>
    <row r="8" spans="1:8" x14ac:dyDescent="0.35">
      <c r="A8" t="s">
        <v>25</v>
      </c>
      <c r="B8" t="s">
        <v>932</v>
      </c>
      <c r="C8" t="s">
        <v>933</v>
      </c>
      <c r="D8" t="s">
        <v>26</v>
      </c>
      <c r="E8">
        <v>76</v>
      </c>
      <c r="F8" t="s">
        <v>27</v>
      </c>
      <c r="G8">
        <v>83.600000000000009</v>
      </c>
      <c r="H8" t="s">
        <v>28</v>
      </c>
    </row>
    <row r="9" spans="1:8" x14ac:dyDescent="0.35">
      <c r="A9" t="s">
        <v>29</v>
      </c>
      <c r="B9" t="s">
        <v>934</v>
      </c>
      <c r="C9" t="s">
        <v>935</v>
      </c>
      <c r="D9" t="s">
        <v>30</v>
      </c>
      <c r="E9">
        <v>340</v>
      </c>
      <c r="F9" t="s">
        <v>31</v>
      </c>
      <c r="G9">
        <v>374.00000000000006</v>
      </c>
      <c r="H9" t="s">
        <v>32</v>
      </c>
    </row>
    <row r="10" spans="1:8" x14ac:dyDescent="0.35">
      <c r="D10" t="s">
        <v>33</v>
      </c>
      <c r="E10">
        <v>1168</v>
      </c>
    </row>
    <row r="12" spans="1:8" x14ac:dyDescent="0.35">
      <c r="A12" t="s">
        <v>0</v>
      </c>
    </row>
    <row r="13" spans="1:8" x14ac:dyDescent="0.35">
      <c r="A13" t="s">
        <v>35</v>
      </c>
    </row>
    <row r="14" spans="1:8" x14ac:dyDescent="0.35">
      <c r="A14" t="s">
        <v>2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</row>
    <row r="15" spans="1:8" x14ac:dyDescent="0.35">
      <c r="A15" t="s">
        <v>37</v>
      </c>
      <c r="B15" t="s">
        <v>936</v>
      </c>
      <c r="C15" t="s">
        <v>937</v>
      </c>
      <c r="D15" t="s">
        <v>38</v>
      </c>
      <c r="E15">
        <v>240</v>
      </c>
      <c r="F15" t="s">
        <v>39</v>
      </c>
      <c r="G15">
        <v>264</v>
      </c>
    </row>
    <row r="16" spans="1:8" x14ac:dyDescent="0.35">
      <c r="A16" t="s">
        <v>40</v>
      </c>
      <c r="B16" t="s">
        <v>938</v>
      </c>
      <c r="C16" t="s">
        <v>937</v>
      </c>
      <c r="D16" t="s">
        <v>41</v>
      </c>
      <c r="E16">
        <v>75</v>
      </c>
      <c r="F16" t="s">
        <v>39</v>
      </c>
      <c r="G16">
        <v>82.5</v>
      </c>
    </row>
    <row r="17" spans="1:8" x14ac:dyDescent="0.35">
      <c r="A17" t="s">
        <v>42</v>
      </c>
      <c r="B17" t="s">
        <v>939</v>
      </c>
      <c r="C17" t="s">
        <v>937</v>
      </c>
      <c r="D17" t="s">
        <v>43</v>
      </c>
      <c r="E17">
        <v>80</v>
      </c>
      <c r="F17" t="s">
        <v>39</v>
      </c>
      <c r="G17">
        <v>88</v>
      </c>
    </row>
    <row r="18" spans="1:8" x14ac:dyDescent="0.35">
      <c r="A18" t="s">
        <v>44</v>
      </c>
      <c r="B18" t="s">
        <v>940</v>
      </c>
      <c r="C18" t="s">
        <v>937</v>
      </c>
      <c r="D18" t="s">
        <v>45</v>
      </c>
      <c r="E18">
        <v>82</v>
      </c>
      <c r="F18" t="s">
        <v>39</v>
      </c>
      <c r="G18">
        <v>90.2</v>
      </c>
    </row>
    <row r="19" spans="1:8" x14ac:dyDescent="0.35">
      <c r="A19" t="s">
        <v>46</v>
      </c>
      <c r="B19" t="s">
        <v>941</v>
      </c>
      <c r="C19" t="s">
        <v>937</v>
      </c>
      <c r="D19" t="s">
        <v>47</v>
      </c>
      <c r="E19">
        <v>37</v>
      </c>
      <c r="F19" t="s">
        <v>39</v>
      </c>
      <c r="G19">
        <v>40.700000000000003</v>
      </c>
    </row>
    <row r="20" spans="1:8" x14ac:dyDescent="0.35">
      <c r="A20" t="s">
        <v>48</v>
      </c>
      <c r="B20" t="s">
        <v>942</v>
      </c>
      <c r="C20" t="s">
        <v>943</v>
      </c>
      <c r="D20" t="s">
        <v>49</v>
      </c>
      <c r="E20">
        <v>55</v>
      </c>
      <c r="F20" t="s">
        <v>50</v>
      </c>
      <c r="G20">
        <v>60.500000000000007</v>
      </c>
      <c r="H20" t="s">
        <v>51</v>
      </c>
    </row>
    <row r="21" spans="1:8" x14ac:dyDescent="0.35">
      <c r="A21" t="s">
        <v>52</v>
      </c>
      <c r="B21" t="s">
        <v>944</v>
      </c>
      <c r="C21" t="s">
        <v>943</v>
      </c>
      <c r="D21" t="s">
        <v>53</v>
      </c>
      <c r="E21">
        <v>50</v>
      </c>
      <c r="F21" t="s">
        <v>54</v>
      </c>
      <c r="G21">
        <v>55.000000000000007</v>
      </c>
      <c r="H21">
        <v>50</v>
      </c>
    </row>
    <row r="22" spans="1:8" x14ac:dyDescent="0.35">
      <c r="A22" t="s">
        <v>55</v>
      </c>
      <c r="B22" t="s">
        <v>945</v>
      </c>
      <c r="C22" t="s">
        <v>946</v>
      </c>
      <c r="D22" t="s">
        <v>56</v>
      </c>
      <c r="E22">
        <v>155</v>
      </c>
      <c r="F22" t="s">
        <v>12</v>
      </c>
      <c r="G22">
        <v>170.5</v>
      </c>
      <c r="H22" t="s">
        <v>57</v>
      </c>
    </row>
    <row r="23" spans="1:8" x14ac:dyDescent="0.35">
      <c r="A23" t="s">
        <v>58</v>
      </c>
      <c r="B23" t="s">
        <v>947</v>
      </c>
      <c r="C23" t="s">
        <v>948</v>
      </c>
      <c r="D23" t="s">
        <v>59</v>
      </c>
      <c r="E23">
        <v>15</v>
      </c>
      <c r="F23" t="s">
        <v>60</v>
      </c>
      <c r="G23">
        <v>16.5</v>
      </c>
      <c r="H23">
        <v>15</v>
      </c>
    </row>
    <row r="24" spans="1:8" x14ac:dyDescent="0.35">
      <c r="A24" t="s">
        <v>61</v>
      </c>
      <c r="B24" t="s">
        <v>949</v>
      </c>
      <c r="C24" t="s">
        <v>931</v>
      </c>
      <c r="D24" t="s">
        <v>62</v>
      </c>
      <c r="E24">
        <v>103</v>
      </c>
      <c r="F24" t="s">
        <v>63</v>
      </c>
      <c r="G24">
        <v>113.30000000000001</v>
      </c>
      <c r="H24">
        <v>103</v>
      </c>
    </row>
    <row r="25" spans="1:8" x14ac:dyDescent="0.35">
      <c r="A25" t="s">
        <v>61</v>
      </c>
      <c r="B25" t="s">
        <v>949</v>
      </c>
      <c r="C25" t="s">
        <v>931</v>
      </c>
      <c r="D25" t="s">
        <v>64</v>
      </c>
      <c r="E25">
        <v>125</v>
      </c>
      <c r="F25" t="s">
        <v>65</v>
      </c>
      <c r="G25">
        <v>137.5</v>
      </c>
      <c r="H25">
        <v>125</v>
      </c>
    </row>
    <row r="26" spans="1:8" x14ac:dyDescent="0.35">
      <c r="A26" t="s">
        <v>66</v>
      </c>
      <c r="B26" t="s">
        <v>950</v>
      </c>
      <c r="C26" t="s">
        <v>951</v>
      </c>
      <c r="D26" t="s">
        <v>67</v>
      </c>
      <c r="E26">
        <v>245</v>
      </c>
      <c r="F26" t="s">
        <v>19</v>
      </c>
      <c r="G26">
        <v>269.5</v>
      </c>
      <c r="H26" t="s">
        <v>68</v>
      </c>
    </row>
    <row r="27" spans="1:8" x14ac:dyDescent="0.35">
      <c r="A27" t="s">
        <v>69</v>
      </c>
      <c r="B27" t="s">
        <v>952</v>
      </c>
      <c r="C27" t="s">
        <v>953</v>
      </c>
      <c r="D27" t="s">
        <v>70</v>
      </c>
      <c r="E27">
        <v>150</v>
      </c>
      <c r="F27" t="s">
        <v>71</v>
      </c>
      <c r="G27">
        <v>165</v>
      </c>
      <c r="H27" t="s">
        <v>72</v>
      </c>
    </row>
    <row r="28" spans="1:8" x14ac:dyDescent="0.35">
      <c r="A28" t="s">
        <v>69</v>
      </c>
      <c r="B28" t="s">
        <v>952</v>
      </c>
      <c r="C28" t="s">
        <v>953</v>
      </c>
      <c r="D28" t="s">
        <v>73</v>
      </c>
      <c r="E28">
        <v>250</v>
      </c>
      <c r="F28" t="s">
        <v>19</v>
      </c>
      <c r="G28">
        <v>275</v>
      </c>
      <c r="H28" t="s">
        <v>74</v>
      </c>
    </row>
    <row r="29" spans="1:8" x14ac:dyDescent="0.35">
      <c r="D29" t="s">
        <v>75</v>
      </c>
      <c r="E29">
        <v>1148</v>
      </c>
    </row>
    <row r="31" spans="1:8" x14ac:dyDescent="0.35">
      <c r="A31" t="s">
        <v>0</v>
      </c>
    </row>
    <row r="32" spans="1:8" x14ac:dyDescent="0.35">
      <c r="A32" t="s">
        <v>77</v>
      </c>
    </row>
    <row r="33" spans="1:8" x14ac:dyDescent="0.35">
      <c r="A33" t="s">
        <v>2</v>
      </c>
      <c r="B33" t="s">
        <v>3</v>
      </c>
      <c r="C33" t="s">
        <v>4</v>
      </c>
      <c r="D33" t="s">
        <v>5</v>
      </c>
      <c r="E33" t="s">
        <v>6</v>
      </c>
      <c r="F33" t="s">
        <v>7</v>
      </c>
      <c r="G33" t="s">
        <v>8</v>
      </c>
    </row>
    <row r="34" spans="1:8" x14ac:dyDescent="0.35">
      <c r="A34" t="s">
        <v>78</v>
      </c>
      <c r="B34" t="s">
        <v>954</v>
      </c>
      <c r="C34" t="s">
        <v>937</v>
      </c>
      <c r="D34" t="s">
        <v>79</v>
      </c>
      <c r="E34">
        <v>222</v>
      </c>
      <c r="F34" t="s">
        <v>80</v>
      </c>
      <c r="G34">
        <v>244.20000000000002</v>
      </c>
    </row>
    <row r="35" spans="1:8" x14ac:dyDescent="0.35">
      <c r="A35" t="s">
        <v>81</v>
      </c>
      <c r="B35" t="s">
        <v>955</v>
      </c>
      <c r="C35" t="s">
        <v>956</v>
      </c>
      <c r="D35" t="s">
        <v>82</v>
      </c>
      <c r="E35">
        <v>135</v>
      </c>
      <c r="F35" t="s">
        <v>83</v>
      </c>
      <c r="G35">
        <v>148.5</v>
      </c>
      <c r="H35" t="s">
        <v>84</v>
      </c>
    </row>
    <row r="36" spans="1:8" x14ac:dyDescent="0.35">
      <c r="A36" t="s">
        <v>85</v>
      </c>
      <c r="B36" t="s">
        <v>957</v>
      </c>
      <c r="C36" t="s">
        <v>958</v>
      </c>
      <c r="D36" t="s">
        <v>86</v>
      </c>
      <c r="E36">
        <v>230</v>
      </c>
      <c r="F36" t="s">
        <v>87</v>
      </c>
      <c r="G36">
        <v>253.00000000000003</v>
      </c>
      <c r="H36" t="s">
        <v>88</v>
      </c>
    </row>
    <row r="37" spans="1:8" x14ac:dyDescent="0.35">
      <c r="A37" t="s">
        <v>89</v>
      </c>
      <c r="B37" t="s">
        <v>959</v>
      </c>
      <c r="C37" t="s">
        <v>960</v>
      </c>
      <c r="D37" t="s">
        <v>90</v>
      </c>
      <c r="E37">
        <v>240</v>
      </c>
      <c r="F37" t="s">
        <v>91</v>
      </c>
      <c r="G37">
        <v>264</v>
      </c>
      <c r="H37" t="s">
        <v>92</v>
      </c>
    </row>
    <row r="38" spans="1:8" x14ac:dyDescent="0.35">
      <c r="A38" t="s">
        <v>93</v>
      </c>
      <c r="B38" t="s">
        <v>961</v>
      </c>
      <c r="C38" t="s">
        <v>962</v>
      </c>
      <c r="D38" t="s">
        <v>94</v>
      </c>
      <c r="E38">
        <v>40</v>
      </c>
      <c r="F38" t="s">
        <v>95</v>
      </c>
      <c r="G38">
        <v>44</v>
      </c>
      <c r="H38" t="s">
        <v>96</v>
      </c>
    </row>
    <row r="39" spans="1:8" x14ac:dyDescent="0.35">
      <c r="A39" t="s">
        <v>97</v>
      </c>
      <c r="B39" t="s">
        <v>963</v>
      </c>
      <c r="C39" t="s">
        <v>964</v>
      </c>
      <c r="D39" t="s">
        <v>98</v>
      </c>
      <c r="E39">
        <v>23</v>
      </c>
      <c r="F39" t="s">
        <v>99</v>
      </c>
      <c r="G39">
        <v>25.3</v>
      </c>
      <c r="H39">
        <v>23</v>
      </c>
    </row>
    <row r="40" spans="1:8" x14ac:dyDescent="0.35">
      <c r="A40" t="s">
        <v>100</v>
      </c>
      <c r="B40" t="s">
        <v>965</v>
      </c>
      <c r="C40" t="s">
        <v>966</v>
      </c>
      <c r="D40" t="s">
        <v>101</v>
      </c>
      <c r="E40">
        <v>80</v>
      </c>
      <c r="F40" t="s">
        <v>23</v>
      </c>
      <c r="G40">
        <v>88</v>
      </c>
      <c r="H40" t="s">
        <v>102</v>
      </c>
    </row>
    <row r="41" spans="1:8" x14ac:dyDescent="0.35">
      <c r="A41" t="s">
        <v>103</v>
      </c>
      <c r="B41" t="s">
        <v>967</v>
      </c>
      <c r="C41" t="s">
        <v>968</v>
      </c>
      <c r="D41" t="s">
        <v>104</v>
      </c>
      <c r="E41">
        <v>122</v>
      </c>
      <c r="F41" t="s">
        <v>105</v>
      </c>
      <c r="G41">
        <v>134.20000000000002</v>
      </c>
      <c r="H41" t="s">
        <v>106</v>
      </c>
    </row>
    <row r="42" spans="1:8" x14ac:dyDescent="0.35">
      <c r="D42" t="s">
        <v>75</v>
      </c>
      <c r="E42">
        <v>1092</v>
      </c>
    </row>
    <row r="44" spans="1:8" x14ac:dyDescent="0.35">
      <c r="A44" t="s">
        <v>107</v>
      </c>
    </row>
    <row r="45" spans="1:8" x14ac:dyDescent="0.35">
      <c r="A45" t="s">
        <v>1</v>
      </c>
    </row>
    <row r="46" spans="1:8" x14ac:dyDescent="0.35">
      <c r="A46" t="s">
        <v>2</v>
      </c>
      <c r="B46" t="s">
        <v>3</v>
      </c>
      <c r="C46" t="s">
        <v>4</v>
      </c>
      <c r="D46" t="s">
        <v>5</v>
      </c>
      <c r="E46" t="s">
        <v>6</v>
      </c>
      <c r="F46" t="s">
        <v>7</v>
      </c>
      <c r="G46" t="s">
        <v>8</v>
      </c>
    </row>
    <row r="47" spans="1:8" x14ac:dyDescent="0.35">
      <c r="A47" t="s">
        <v>108</v>
      </c>
      <c r="B47" t="s">
        <v>969</v>
      </c>
      <c r="C47" t="s">
        <v>970</v>
      </c>
      <c r="D47" t="s">
        <v>109</v>
      </c>
      <c r="E47">
        <v>120</v>
      </c>
      <c r="F47" t="s">
        <v>39</v>
      </c>
      <c r="G47">
        <v>132</v>
      </c>
    </row>
    <row r="48" spans="1:8" x14ac:dyDescent="0.35">
      <c r="A48" t="s">
        <v>108</v>
      </c>
      <c r="B48" t="s">
        <v>969</v>
      </c>
      <c r="C48" t="s">
        <v>971</v>
      </c>
      <c r="D48" t="s">
        <v>110</v>
      </c>
      <c r="E48">
        <v>56</v>
      </c>
      <c r="F48" t="s">
        <v>39</v>
      </c>
      <c r="G48">
        <v>61.600000000000009</v>
      </c>
    </row>
    <row r="49" spans="1:8" x14ac:dyDescent="0.35">
      <c r="A49" t="s">
        <v>108</v>
      </c>
      <c r="B49" t="s">
        <v>969</v>
      </c>
      <c r="C49" t="s">
        <v>970</v>
      </c>
      <c r="D49" t="s">
        <v>111</v>
      </c>
      <c r="E49">
        <v>130</v>
      </c>
      <c r="F49" t="s">
        <v>39</v>
      </c>
      <c r="G49">
        <v>143</v>
      </c>
    </row>
    <row r="50" spans="1:8" x14ac:dyDescent="0.35">
      <c r="A50" t="s">
        <v>112</v>
      </c>
      <c r="B50" t="s">
        <v>972</v>
      </c>
      <c r="C50" t="s">
        <v>973</v>
      </c>
      <c r="D50" t="s">
        <v>47</v>
      </c>
      <c r="E50">
        <v>37</v>
      </c>
      <c r="F50" t="s">
        <v>99</v>
      </c>
      <c r="G50">
        <v>40.700000000000003</v>
      </c>
      <c r="H50">
        <v>37</v>
      </c>
    </row>
    <row r="51" spans="1:8" x14ac:dyDescent="0.35">
      <c r="A51" t="s">
        <v>113</v>
      </c>
      <c r="B51" t="s">
        <v>974</v>
      </c>
      <c r="C51" t="s">
        <v>975</v>
      </c>
      <c r="D51" t="s">
        <v>114</v>
      </c>
      <c r="E51">
        <v>40</v>
      </c>
      <c r="F51" t="s">
        <v>54</v>
      </c>
      <c r="G51">
        <v>44</v>
      </c>
      <c r="H51">
        <v>40</v>
      </c>
    </row>
    <row r="52" spans="1:8" x14ac:dyDescent="0.35">
      <c r="A52" t="s">
        <v>115</v>
      </c>
      <c r="B52" t="s">
        <v>976</v>
      </c>
      <c r="C52" t="s">
        <v>977</v>
      </c>
      <c r="D52" t="s">
        <v>116</v>
      </c>
      <c r="E52">
        <v>101</v>
      </c>
      <c r="F52" t="s">
        <v>117</v>
      </c>
      <c r="G52">
        <v>111.10000000000001</v>
      </c>
      <c r="H52" t="s">
        <v>118</v>
      </c>
    </row>
    <row r="53" spans="1:8" x14ac:dyDescent="0.35">
      <c r="A53" t="s">
        <v>119</v>
      </c>
      <c r="B53" t="s">
        <v>978</v>
      </c>
      <c r="C53" t="s">
        <v>979</v>
      </c>
      <c r="D53" t="s">
        <v>67</v>
      </c>
      <c r="E53">
        <v>55</v>
      </c>
      <c r="F53" t="s">
        <v>120</v>
      </c>
      <c r="G53">
        <v>60.500000000000007</v>
      </c>
      <c r="H53" t="s">
        <v>51</v>
      </c>
    </row>
    <row r="54" spans="1:8" x14ac:dyDescent="0.35">
      <c r="A54" t="s">
        <v>121</v>
      </c>
      <c r="B54" t="s">
        <v>980</v>
      </c>
      <c r="C54" t="s">
        <v>981</v>
      </c>
      <c r="D54" t="s">
        <v>122</v>
      </c>
      <c r="E54">
        <v>130</v>
      </c>
      <c r="F54" t="s">
        <v>65</v>
      </c>
      <c r="G54">
        <v>143</v>
      </c>
      <c r="H54">
        <v>130</v>
      </c>
    </row>
    <row r="55" spans="1:8" x14ac:dyDescent="0.35">
      <c r="A55" t="s">
        <v>123</v>
      </c>
      <c r="B55" t="s">
        <v>982</v>
      </c>
      <c r="C55" t="s">
        <v>983</v>
      </c>
      <c r="D55" t="s">
        <v>124</v>
      </c>
      <c r="E55">
        <v>53</v>
      </c>
      <c r="F55" t="s">
        <v>63</v>
      </c>
      <c r="G55">
        <v>58.300000000000004</v>
      </c>
      <c r="H55">
        <v>53</v>
      </c>
    </row>
    <row r="56" spans="1:8" x14ac:dyDescent="0.35">
      <c r="A56" t="s">
        <v>125</v>
      </c>
      <c r="B56" t="s">
        <v>926</v>
      </c>
      <c r="C56" t="s">
        <v>984</v>
      </c>
      <c r="D56" t="s">
        <v>126</v>
      </c>
      <c r="E56">
        <v>95</v>
      </c>
      <c r="F56" t="s">
        <v>127</v>
      </c>
      <c r="G56">
        <v>104.50000000000001</v>
      </c>
      <c r="H56" t="s">
        <v>128</v>
      </c>
    </row>
    <row r="57" spans="1:8" x14ac:dyDescent="0.35">
      <c r="A57" t="s">
        <v>129</v>
      </c>
      <c r="B57" t="s">
        <v>985</v>
      </c>
      <c r="C57" t="s">
        <v>986</v>
      </c>
      <c r="D57" t="s">
        <v>130</v>
      </c>
      <c r="E57">
        <v>90</v>
      </c>
      <c r="F57" t="s">
        <v>131</v>
      </c>
      <c r="G57">
        <v>99.000000000000014</v>
      </c>
      <c r="H57" t="s">
        <v>132</v>
      </c>
    </row>
    <row r="58" spans="1:8" x14ac:dyDescent="0.35">
      <c r="A58" t="s">
        <v>133</v>
      </c>
      <c r="B58" t="s">
        <v>987</v>
      </c>
      <c r="C58" t="s">
        <v>988</v>
      </c>
      <c r="D58" t="s">
        <v>134</v>
      </c>
      <c r="E58">
        <v>72</v>
      </c>
      <c r="F58" t="s">
        <v>63</v>
      </c>
      <c r="G58">
        <v>79.2</v>
      </c>
      <c r="H58">
        <v>72</v>
      </c>
    </row>
    <row r="59" spans="1:8" x14ac:dyDescent="0.35">
      <c r="A59" t="s">
        <v>135</v>
      </c>
      <c r="B59" t="s">
        <v>989</v>
      </c>
      <c r="C59" t="s">
        <v>990</v>
      </c>
      <c r="D59" t="s">
        <v>136</v>
      </c>
      <c r="E59">
        <v>103</v>
      </c>
      <c r="F59" t="s">
        <v>137</v>
      </c>
      <c r="G59">
        <v>113.30000000000001</v>
      </c>
      <c r="H59" t="s">
        <v>138</v>
      </c>
    </row>
    <row r="60" spans="1:8" x14ac:dyDescent="0.35">
      <c r="A60" t="s">
        <v>139</v>
      </c>
      <c r="B60" t="s">
        <v>991</v>
      </c>
      <c r="C60" t="s">
        <v>992</v>
      </c>
      <c r="D60" t="s">
        <v>140</v>
      </c>
      <c r="E60">
        <v>115</v>
      </c>
      <c r="F60" t="s">
        <v>131</v>
      </c>
      <c r="G60">
        <v>126.50000000000001</v>
      </c>
      <c r="H60" t="s">
        <v>141</v>
      </c>
    </row>
    <row r="61" spans="1:8" x14ac:dyDescent="0.35">
      <c r="A61" t="s">
        <v>142</v>
      </c>
      <c r="B61" t="s">
        <v>993</v>
      </c>
      <c r="C61" t="s">
        <v>994</v>
      </c>
      <c r="D61" t="s">
        <v>26</v>
      </c>
      <c r="E61">
        <v>76</v>
      </c>
      <c r="F61" t="s">
        <v>143</v>
      </c>
      <c r="G61">
        <v>83.600000000000009</v>
      </c>
      <c r="H61" t="s">
        <v>144</v>
      </c>
    </row>
    <row r="62" spans="1:8" x14ac:dyDescent="0.35">
      <c r="D62" t="s">
        <v>145</v>
      </c>
      <c r="E62">
        <v>967</v>
      </c>
    </row>
    <row r="64" spans="1:8" x14ac:dyDescent="0.35">
      <c r="A64" t="s">
        <v>107</v>
      </c>
    </row>
    <row r="65" spans="1:8" x14ac:dyDescent="0.35">
      <c r="A65" t="s">
        <v>35</v>
      </c>
    </row>
    <row r="66" spans="1:8" x14ac:dyDescent="0.35">
      <c r="A66" t="s">
        <v>2</v>
      </c>
      <c r="B66" t="s">
        <v>3</v>
      </c>
      <c r="C66" t="s">
        <v>4</v>
      </c>
      <c r="D66" t="s">
        <v>5</v>
      </c>
      <c r="E66" t="s">
        <v>6</v>
      </c>
      <c r="F66" t="s">
        <v>7</v>
      </c>
      <c r="G66" t="s">
        <v>8</v>
      </c>
    </row>
    <row r="67" spans="1:8" x14ac:dyDescent="0.35">
      <c r="A67" t="s">
        <v>147</v>
      </c>
      <c r="B67" t="s">
        <v>995</v>
      </c>
      <c r="C67" t="s">
        <v>996</v>
      </c>
      <c r="D67" t="s">
        <v>148</v>
      </c>
      <c r="E67">
        <v>255</v>
      </c>
      <c r="F67" t="s">
        <v>23</v>
      </c>
      <c r="G67">
        <v>280.5</v>
      </c>
      <c r="H67" t="s">
        <v>149</v>
      </c>
    </row>
    <row r="68" spans="1:8" x14ac:dyDescent="0.35">
      <c r="A68" t="s">
        <v>147</v>
      </c>
      <c r="B68" t="s">
        <v>995</v>
      </c>
      <c r="C68" t="s">
        <v>996</v>
      </c>
      <c r="D68" t="s">
        <v>150</v>
      </c>
      <c r="E68">
        <v>80</v>
      </c>
      <c r="F68" t="s">
        <v>63</v>
      </c>
      <c r="G68">
        <v>88</v>
      </c>
      <c r="H68">
        <v>80</v>
      </c>
    </row>
    <row r="69" spans="1:8" x14ac:dyDescent="0.35">
      <c r="A69" t="s">
        <v>151</v>
      </c>
      <c r="B69" t="s">
        <v>997</v>
      </c>
      <c r="C69" t="s">
        <v>998</v>
      </c>
      <c r="D69" t="s">
        <v>152</v>
      </c>
      <c r="E69">
        <v>83</v>
      </c>
      <c r="F69" t="s">
        <v>153</v>
      </c>
      <c r="G69">
        <v>91.300000000000011</v>
      </c>
      <c r="H69" t="s">
        <v>154</v>
      </c>
    </row>
    <row r="70" spans="1:8" x14ac:dyDescent="0.35">
      <c r="A70" t="s">
        <v>151</v>
      </c>
      <c r="B70" t="s">
        <v>997</v>
      </c>
      <c r="C70" t="s">
        <v>998</v>
      </c>
      <c r="D70" t="s">
        <v>155</v>
      </c>
      <c r="E70">
        <v>46</v>
      </c>
      <c r="F70" t="s">
        <v>156</v>
      </c>
      <c r="G70">
        <v>50.6</v>
      </c>
      <c r="H70" t="s">
        <v>157</v>
      </c>
    </row>
    <row r="71" spans="1:8" x14ac:dyDescent="0.35">
      <c r="A71" t="s">
        <v>158</v>
      </c>
      <c r="B71" t="s">
        <v>999</v>
      </c>
      <c r="C71" t="s">
        <v>1000</v>
      </c>
      <c r="D71" t="s">
        <v>159</v>
      </c>
      <c r="E71">
        <v>75</v>
      </c>
      <c r="F71" t="s">
        <v>15</v>
      </c>
      <c r="G71">
        <v>82.5</v>
      </c>
      <c r="H71" t="s">
        <v>160</v>
      </c>
    </row>
    <row r="72" spans="1:8" x14ac:dyDescent="0.35">
      <c r="A72" t="s">
        <v>158</v>
      </c>
      <c r="B72" t="s">
        <v>999</v>
      </c>
      <c r="C72" t="s">
        <v>1000</v>
      </c>
      <c r="D72" t="s">
        <v>161</v>
      </c>
      <c r="E72">
        <v>100</v>
      </c>
      <c r="F72" t="s">
        <v>162</v>
      </c>
      <c r="G72">
        <v>110.00000000000001</v>
      </c>
      <c r="H72" t="s">
        <v>163</v>
      </c>
    </row>
    <row r="73" spans="1:8" x14ac:dyDescent="0.35">
      <c r="A73" t="s">
        <v>164</v>
      </c>
      <c r="B73" t="s">
        <v>1001</v>
      </c>
      <c r="C73" t="s">
        <v>1002</v>
      </c>
      <c r="D73" t="s">
        <v>82</v>
      </c>
      <c r="E73">
        <v>55</v>
      </c>
      <c r="F73" t="s">
        <v>50</v>
      </c>
      <c r="G73">
        <v>60.500000000000007</v>
      </c>
      <c r="H73" t="s">
        <v>51</v>
      </c>
    </row>
    <row r="74" spans="1:8" x14ac:dyDescent="0.35">
      <c r="A74" t="s">
        <v>165</v>
      </c>
      <c r="B74" t="s">
        <v>1003</v>
      </c>
      <c r="C74" t="s">
        <v>1004</v>
      </c>
      <c r="D74" t="s">
        <v>90</v>
      </c>
      <c r="E74">
        <v>10</v>
      </c>
      <c r="F74" t="s">
        <v>166</v>
      </c>
      <c r="G74">
        <v>11</v>
      </c>
      <c r="H74">
        <v>10</v>
      </c>
    </row>
    <row r="75" spans="1:8" x14ac:dyDescent="0.35">
      <c r="A75" t="s">
        <v>167</v>
      </c>
      <c r="B75" t="s">
        <v>1003</v>
      </c>
      <c r="C75" t="s">
        <v>1005</v>
      </c>
      <c r="D75" t="s">
        <v>168</v>
      </c>
      <c r="E75">
        <v>140</v>
      </c>
      <c r="F75" t="s">
        <v>169</v>
      </c>
      <c r="G75">
        <v>154</v>
      </c>
      <c r="H75" t="s">
        <v>170</v>
      </c>
    </row>
    <row r="76" spans="1:8" x14ac:dyDescent="0.35">
      <c r="A76" t="s">
        <v>171</v>
      </c>
      <c r="B76" t="s">
        <v>1006</v>
      </c>
      <c r="C76" t="s">
        <v>933</v>
      </c>
      <c r="D76" t="s">
        <v>172</v>
      </c>
      <c r="E76">
        <v>61</v>
      </c>
      <c r="F76" t="s">
        <v>173</v>
      </c>
      <c r="G76">
        <v>67.100000000000009</v>
      </c>
      <c r="H76" t="s">
        <v>174</v>
      </c>
    </row>
    <row r="77" spans="1:8" x14ac:dyDescent="0.35">
      <c r="A77" t="s">
        <v>175</v>
      </c>
      <c r="B77" t="s">
        <v>1007</v>
      </c>
      <c r="C77" t="s">
        <v>1008</v>
      </c>
      <c r="D77" t="s">
        <v>176</v>
      </c>
      <c r="E77">
        <v>57</v>
      </c>
      <c r="F77" t="s">
        <v>27</v>
      </c>
      <c r="G77">
        <v>62.7</v>
      </c>
      <c r="H77" t="s">
        <v>177</v>
      </c>
    </row>
    <row r="78" spans="1:8" x14ac:dyDescent="0.35">
      <c r="A78" t="s">
        <v>178</v>
      </c>
      <c r="B78" t="s">
        <v>1009</v>
      </c>
      <c r="C78" t="s">
        <v>1010</v>
      </c>
      <c r="D78" t="s">
        <v>179</v>
      </c>
      <c r="E78">
        <v>70</v>
      </c>
      <c r="F78" t="s">
        <v>95</v>
      </c>
      <c r="G78">
        <v>77</v>
      </c>
      <c r="H78" t="s">
        <v>180</v>
      </c>
    </row>
    <row r="79" spans="1:8" x14ac:dyDescent="0.35">
      <c r="A79" t="s">
        <v>181</v>
      </c>
      <c r="B79" t="s">
        <v>1011</v>
      </c>
      <c r="C79" t="s">
        <v>1012</v>
      </c>
      <c r="D79" t="s">
        <v>59</v>
      </c>
      <c r="E79">
        <v>50</v>
      </c>
      <c r="F79" t="s">
        <v>182</v>
      </c>
      <c r="G79">
        <v>55.000000000000007</v>
      </c>
      <c r="H79" t="s">
        <v>183</v>
      </c>
    </row>
    <row r="80" spans="1:8" x14ac:dyDescent="0.35">
      <c r="A80" t="s">
        <v>184</v>
      </c>
      <c r="B80" t="s">
        <v>1013</v>
      </c>
      <c r="C80" t="s">
        <v>1002</v>
      </c>
      <c r="D80" t="s">
        <v>185</v>
      </c>
      <c r="E80">
        <v>69</v>
      </c>
      <c r="F80" t="s">
        <v>186</v>
      </c>
      <c r="G80">
        <v>75.900000000000006</v>
      </c>
      <c r="H80" t="s">
        <v>187</v>
      </c>
    </row>
    <row r="81" spans="1:8" x14ac:dyDescent="0.35">
      <c r="D81" t="s">
        <v>188</v>
      </c>
      <c r="E81">
        <v>1151</v>
      </c>
    </row>
    <row r="82" spans="1:8" x14ac:dyDescent="0.35">
      <c r="A82" t="s">
        <v>107</v>
      </c>
    </row>
    <row r="83" spans="1:8" x14ac:dyDescent="0.35">
      <c r="A83" t="s">
        <v>77</v>
      </c>
    </row>
    <row r="84" spans="1:8" x14ac:dyDescent="0.35">
      <c r="A84" t="s">
        <v>2</v>
      </c>
      <c r="B84" t="s">
        <v>3</v>
      </c>
      <c r="C84" t="s">
        <v>4</v>
      </c>
      <c r="D84" t="s">
        <v>5</v>
      </c>
      <c r="E84" t="s">
        <v>6</v>
      </c>
      <c r="F84" t="s">
        <v>7</v>
      </c>
      <c r="G84" t="s">
        <v>8</v>
      </c>
    </row>
    <row r="85" spans="1:8" x14ac:dyDescent="0.35">
      <c r="A85" t="s">
        <v>189</v>
      </c>
      <c r="B85" t="s">
        <v>1014</v>
      </c>
      <c r="C85" t="s">
        <v>1015</v>
      </c>
      <c r="D85" t="s">
        <v>190</v>
      </c>
      <c r="E85">
        <v>136</v>
      </c>
      <c r="F85" t="s">
        <v>191</v>
      </c>
      <c r="G85">
        <v>149.60000000000002</v>
      </c>
      <c r="H85" t="s">
        <v>192</v>
      </c>
    </row>
    <row r="86" spans="1:8" x14ac:dyDescent="0.35">
      <c r="A86" t="s">
        <v>193</v>
      </c>
      <c r="B86" t="s">
        <v>1016</v>
      </c>
      <c r="C86" t="s">
        <v>1017</v>
      </c>
      <c r="D86" t="s">
        <v>194</v>
      </c>
      <c r="E86">
        <v>60</v>
      </c>
      <c r="F86" t="s">
        <v>63</v>
      </c>
      <c r="G86">
        <v>66</v>
      </c>
      <c r="H86">
        <v>60</v>
      </c>
    </row>
    <row r="87" spans="1:8" x14ac:dyDescent="0.35">
      <c r="A87" t="s">
        <v>193</v>
      </c>
      <c r="B87" t="s">
        <v>1018</v>
      </c>
      <c r="C87" t="s">
        <v>1017</v>
      </c>
      <c r="D87" t="s">
        <v>195</v>
      </c>
      <c r="E87">
        <v>55</v>
      </c>
      <c r="F87" t="s">
        <v>196</v>
      </c>
      <c r="G87">
        <v>60.500000000000007</v>
      </c>
      <c r="H87" t="s">
        <v>197</v>
      </c>
    </row>
    <row r="88" spans="1:8" x14ac:dyDescent="0.35">
      <c r="A88" t="s">
        <v>198</v>
      </c>
      <c r="B88" t="s">
        <v>1019</v>
      </c>
      <c r="C88" t="s">
        <v>1020</v>
      </c>
      <c r="D88" t="s">
        <v>199</v>
      </c>
      <c r="E88">
        <v>295</v>
      </c>
      <c r="F88" t="s">
        <v>200</v>
      </c>
      <c r="G88">
        <v>324.5</v>
      </c>
      <c r="H88" t="s">
        <v>201</v>
      </c>
    </row>
    <row r="89" spans="1:8" x14ac:dyDescent="0.35">
      <c r="A89" t="s">
        <v>202</v>
      </c>
      <c r="B89" t="s">
        <v>1021</v>
      </c>
      <c r="C89" t="s">
        <v>1022</v>
      </c>
      <c r="D89" t="s">
        <v>56</v>
      </c>
      <c r="E89">
        <v>155</v>
      </c>
      <c r="F89" t="s">
        <v>203</v>
      </c>
      <c r="G89">
        <v>170.5</v>
      </c>
      <c r="H89" t="s">
        <v>57</v>
      </c>
    </row>
    <row r="90" spans="1:8" x14ac:dyDescent="0.35">
      <c r="A90" t="s">
        <v>204</v>
      </c>
      <c r="B90" t="s">
        <v>1023</v>
      </c>
      <c r="C90" t="s">
        <v>1024</v>
      </c>
      <c r="D90" t="s">
        <v>205</v>
      </c>
      <c r="E90">
        <v>99</v>
      </c>
      <c r="F90" t="s">
        <v>137</v>
      </c>
      <c r="G90">
        <v>108.9</v>
      </c>
      <c r="H90" t="s">
        <v>206</v>
      </c>
    </row>
    <row r="91" spans="1:8" x14ac:dyDescent="0.35">
      <c r="A91" t="s">
        <v>207</v>
      </c>
      <c r="B91" t="s">
        <v>1025</v>
      </c>
      <c r="C91" t="s">
        <v>1026</v>
      </c>
      <c r="D91" t="s">
        <v>208</v>
      </c>
      <c r="E91">
        <v>83</v>
      </c>
      <c r="F91" t="s">
        <v>209</v>
      </c>
      <c r="G91">
        <v>91.300000000000011</v>
      </c>
      <c r="H91" t="s">
        <v>210</v>
      </c>
    </row>
    <row r="92" spans="1:8" x14ac:dyDescent="0.35">
      <c r="A92" t="s">
        <v>211</v>
      </c>
      <c r="B92" t="s">
        <v>1027</v>
      </c>
      <c r="C92" t="s">
        <v>1028</v>
      </c>
      <c r="D92" t="s">
        <v>212</v>
      </c>
      <c r="E92">
        <v>85</v>
      </c>
      <c r="F92" t="s">
        <v>213</v>
      </c>
      <c r="G92">
        <v>93.500000000000014</v>
      </c>
      <c r="H92" t="s">
        <v>214</v>
      </c>
    </row>
    <row r="93" spans="1:8" x14ac:dyDescent="0.35">
      <c r="A93" t="s">
        <v>215</v>
      </c>
      <c r="B93" t="s">
        <v>1029</v>
      </c>
      <c r="C93" t="s">
        <v>1028</v>
      </c>
      <c r="D93" t="s">
        <v>216</v>
      </c>
      <c r="E93">
        <v>87</v>
      </c>
      <c r="F93" t="s">
        <v>217</v>
      </c>
      <c r="G93">
        <v>95.7</v>
      </c>
      <c r="H93" t="s">
        <v>218</v>
      </c>
    </row>
    <row r="94" spans="1:8" x14ac:dyDescent="0.35">
      <c r="A94" t="s">
        <v>219</v>
      </c>
      <c r="B94" t="s">
        <v>1030</v>
      </c>
      <c r="C94" t="s">
        <v>1031</v>
      </c>
      <c r="D94" t="s">
        <v>220</v>
      </c>
      <c r="E94">
        <v>205</v>
      </c>
      <c r="F94" t="s">
        <v>221</v>
      </c>
      <c r="G94">
        <v>225.50000000000003</v>
      </c>
      <c r="H94" t="s">
        <v>222</v>
      </c>
    </row>
    <row r="95" spans="1:8" x14ac:dyDescent="0.35">
      <c r="D95" t="s">
        <v>223</v>
      </c>
      <c r="E95">
        <v>1124</v>
      </c>
    </row>
    <row r="96" spans="1:8" x14ac:dyDescent="0.35">
      <c r="A96" t="s">
        <v>225</v>
      </c>
    </row>
    <row r="97" spans="1:8" x14ac:dyDescent="0.35">
      <c r="A97" t="s">
        <v>1</v>
      </c>
    </row>
    <row r="98" spans="1:8" x14ac:dyDescent="0.35">
      <c r="A98" t="s">
        <v>2</v>
      </c>
      <c r="B98" t="s">
        <v>3</v>
      </c>
      <c r="C98" t="s">
        <v>4</v>
      </c>
      <c r="D98" t="s">
        <v>5</v>
      </c>
      <c r="E98" t="s">
        <v>6</v>
      </c>
      <c r="F98" t="s">
        <v>7</v>
      </c>
      <c r="G98" t="s">
        <v>8</v>
      </c>
    </row>
    <row r="99" spans="1:8" x14ac:dyDescent="0.35">
      <c r="A99" t="s">
        <v>226</v>
      </c>
      <c r="B99" t="s">
        <v>1032</v>
      </c>
      <c r="C99" t="s">
        <v>1033</v>
      </c>
      <c r="D99" t="s">
        <v>104</v>
      </c>
      <c r="E99">
        <v>122</v>
      </c>
      <c r="F99" t="s">
        <v>227</v>
      </c>
      <c r="G99">
        <v>134.20000000000002</v>
      </c>
      <c r="H99" t="s">
        <v>106</v>
      </c>
    </row>
    <row r="100" spans="1:8" x14ac:dyDescent="0.35">
      <c r="A100" t="s">
        <v>228</v>
      </c>
      <c r="B100" t="s">
        <v>1034</v>
      </c>
      <c r="C100" t="s">
        <v>1035</v>
      </c>
      <c r="D100" t="s">
        <v>38</v>
      </c>
      <c r="E100">
        <v>240</v>
      </c>
      <c r="F100" t="s">
        <v>19</v>
      </c>
      <c r="G100">
        <v>264</v>
      </c>
      <c r="H100" t="s">
        <v>229</v>
      </c>
    </row>
    <row r="101" spans="1:8" x14ac:dyDescent="0.35">
      <c r="A101" t="s">
        <v>228</v>
      </c>
      <c r="B101" t="s">
        <v>1034</v>
      </c>
      <c r="C101" t="s">
        <v>1035</v>
      </c>
      <c r="D101" t="s">
        <v>41</v>
      </c>
      <c r="E101">
        <v>75</v>
      </c>
      <c r="F101" t="s">
        <v>65</v>
      </c>
      <c r="G101">
        <v>82.5</v>
      </c>
      <c r="H101">
        <v>75</v>
      </c>
    </row>
    <row r="102" spans="1:8" x14ac:dyDescent="0.35">
      <c r="A102" t="s">
        <v>228</v>
      </c>
      <c r="B102" t="s">
        <v>1034</v>
      </c>
      <c r="C102" t="s">
        <v>1035</v>
      </c>
      <c r="D102" t="s">
        <v>43</v>
      </c>
      <c r="E102">
        <v>80</v>
      </c>
      <c r="F102" t="s">
        <v>153</v>
      </c>
      <c r="G102">
        <v>88</v>
      </c>
      <c r="H102" t="s">
        <v>230</v>
      </c>
    </row>
    <row r="103" spans="1:8" x14ac:dyDescent="0.35">
      <c r="A103" t="s">
        <v>228</v>
      </c>
      <c r="B103" t="s">
        <v>1034</v>
      </c>
      <c r="C103" t="s">
        <v>1035</v>
      </c>
      <c r="D103" t="s">
        <v>45</v>
      </c>
      <c r="E103">
        <v>82</v>
      </c>
      <c r="F103" t="s">
        <v>231</v>
      </c>
      <c r="G103">
        <v>90.2</v>
      </c>
      <c r="H103" t="s">
        <v>232</v>
      </c>
    </row>
    <row r="104" spans="1:8" x14ac:dyDescent="0.35">
      <c r="A104" t="s">
        <v>233</v>
      </c>
      <c r="B104" t="s">
        <v>1036</v>
      </c>
      <c r="C104" t="s">
        <v>1035</v>
      </c>
      <c r="D104" t="s">
        <v>47</v>
      </c>
      <c r="E104">
        <v>37</v>
      </c>
      <c r="F104" t="s">
        <v>234</v>
      </c>
      <c r="G104">
        <v>40.700000000000003</v>
      </c>
      <c r="H104">
        <v>37</v>
      </c>
    </row>
    <row r="105" spans="1:8" x14ac:dyDescent="0.35">
      <c r="A105" t="s">
        <v>235</v>
      </c>
      <c r="B105" t="s">
        <v>1037</v>
      </c>
      <c r="C105" t="s">
        <v>1038</v>
      </c>
      <c r="D105" t="s">
        <v>236</v>
      </c>
      <c r="E105">
        <v>154</v>
      </c>
      <c r="F105" t="s">
        <v>203</v>
      </c>
      <c r="G105">
        <v>169.4</v>
      </c>
      <c r="H105" t="s">
        <v>57</v>
      </c>
    </row>
    <row r="106" spans="1:8" x14ac:dyDescent="0.35">
      <c r="A106" t="s">
        <v>237</v>
      </c>
      <c r="B106" t="s">
        <v>1039</v>
      </c>
      <c r="C106" t="s">
        <v>1040</v>
      </c>
      <c r="D106" t="s">
        <v>140</v>
      </c>
      <c r="E106">
        <v>150</v>
      </c>
      <c r="F106" t="s">
        <v>238</v>
      </c>
      <c r="G106">
        <v>165</v>
      </c>
      <c r="H106" t="s">
        <v>239</v>
      </c>
    </row>
    <row r="107" spans="1:8" x14ac:dyDescent="0.35">
      <c r="A107" t="s">
        <v>240</v>
      </c>
      <c r="B107" t="s">
        <v>1041</v>
      </c>
      <c r="C107" t="s">
        <v>992</v>
      </c>
      <c r="D107" t="s">
        <v>86</v>
      </c>
      <c r="E107">
        <v>230</v>
      </c>
      <c r="F107" t="s">
        <v>241</v>
      </c>
      <c r="G107">
        <v>253.00000000000003</v>
      </c>
      <c r="H107" t="s">
        <v>242</v>
      </c>
    </row>
    <row r="108" spans="1:8" x14ac:dyDescent="0.35">
      <c r="D108" t="s">
        <v>243</v>
      </c>
      <c r="E108">
        <v>1170</v>
      </c>
    </row>
    <row r="109" spans="1:8" x14ac:dyDescent="0.35">
      <c r="A109" t="s">
        <v>225</v>
      </c>
    </row>
    <row r="110" spans="1:8" x14ac:dyDescent="0.35">
      <c r="A110" t="s">
        <v>35</v>
      </c>
    </row>
    <row r="111" spans="1:8" x14ac:dyDescent="0.35">
      <c r="A111" t="s">
        <v>2</v>
      </c>
      <c r="B111" t="s">
        <v>3</v>
      </c>
      <c r="C111" t="s">
        <v>4</v>
      </c>
      <c r="D111" t="s">
        <v>5</v>
      </c>
      <c r="E111" t="s">
        <v>6</v>
      </c>
      <c r="F111" t="s">
        <v>7</v>
      </c>
      <c r="G111" t="s">
        <v>8</v>
      </c>
    </row>
    <row r="112" spans="1:8" x14ac:dyDescent="0.35">
      <c r="A112" t="s">
        <v>245</v>
      </c>
      <c r="B112" t="s">
        <v>1042</v>
      </c>
      <c r="C112" t="s">
        <v>1043</v>
      </c>
      <c r="D112" t="s">
        <v>246</v>
      </c>
      <c r="E112">
        <v>128</v>
      </c>
      <c r="F112" t="s">
        <v>83</v>
      </c>
      <c r="G112">
        <v>140.80000000000001</v>
      </c>
      <c r="H112" t="s">
        <v>247</v>
      </c>
    </row>
    <row r="113" spans="1:8" x14ac:dyDescent="0.35">
      <c r="A113" t="s">
        <v>245</v>
      </c>
      <c r="B113" t="s">
        <v>1042</v>
      </c>
      <c r="C113" t="s">
        <v>1044</v>
      </c>
      <c r="D113" t="s">
        <v>155</v>
      </c>
      <c r="E113">
        <v>46</v>
      </c>
      <c r="F113" t="s">
        <v>248</v>
      </c>
      <c r="G113">
        <v>50.6</v>
      </c>
      <c r="H113" t="s">
        <v>249</v>
      </c>
    </row>
    <row r="114" spans="1:8" x14ac:dyDescent="0.35">
      <c r="A114" t="s">
        <v>245</v>
      </c>
      <c r="B114" t="s">
        <v>1042</v>
      </c>
      <c r="C114" t="s">
        <v>1043</v>
      </c>
      <c r="D114" t="s">
        <v>159</v>
      </c>
      <c r="E114">
        <v>75</v>
      </c>
      <c r="F114" t="s">
        <v>250</v>
      </c>
      <c r="G114">
        <v>82.5</v>
      </c>
      <c r="H114" t="s">
        <v>180</v>
      </c>
    </row>
    <row r="115" spans="1:8" x14ac:dyDescent="0.35">
      <c r="A115" t="s">
        <v>245</v>
      </c>
      <c r="B115" t="s">
        <v>1042</v>
      </c>
      <c r="C115" t="s">
        <v>1045</v>
      </c>
      <c r="D115" t="s">
        <v>161</v>
      </c>
      <c r="E115">
        <v>100</v>
      </c>
      <c r="F115" t="s">
        <v>162</v>
      </c>
      <c r="G115">
        <v>110.00000000000001</v>
      </c>
      <c r="H115" t="s">
        <v>163</v>
      </c>
    </row>
    <row r="116" spans="1:8" x14ac:dyDescent="0.35">
      <c r="A116" t="s">
        <v>245</v>
      </c>
      <c r="B116" t="s">
        <v>1042</v>
      </c>
      <c r="C116" t="s">
        <v>1046</v>
      </c>
      <c r="D116" t="s">
        <v>251</v>
      </c>
      <c r="E116">
        <v>225</v>
      </c>
      <c r="F116" t="s">
        <v>241</v>
      </c>
      <c r="G116">
        <v>247.50000000000003</v>
      </c>
      <c r="H116" t="s">
        <v>252</v>
      </c>
    </row>
    <row r="117" spans="1:8" x14ac:dyDescent="0.35">
      <c r="A117" t="s">
        <v>245</v>
      </c>
      <c r="B117" t="s">
        <v>1042</v>
      </c>
      <c r="C117" t="s">
        <v>1044</v>
      </c>
      <c r="D117" t="s">
        <v>253</v>
      </c>
      <c r="E117">
        <v>85</v>
      </c>
      <c r="F117" t="s">
        <v>254</v>
      </c>
      <c r="G117">
        <v>93.500000000000014</v>
      </c>
      <c r="H117" t="s">
        <v>255</v>
      </c>
    </row>
    <row r="118" spans="1:8" x14ac:dyDescent="0.35">
      <c r="A118" t="s">
        <v>245</v>
      </c>
      <c r="B118" t="s">
        <v>1042</v>
      </c>
      <c r="C118" t="s">
        <v>1044</v>
      </c>
      <c r="D118" t="s">
        <v>152</v>
      </c>
      <c r="E118">
        <v>83</v>
      </c>
      <c r="F118" t="s">
        <v>256</v>
      </c>
      <c r="G118">
        <v>91.300000000000011</v>
      </c>
      <c r="H118" t="s">
        <v>257</v>
      </c>
    </row>
    <row r="119" spans="1:8" x14ac:dyDescent="0.35">
      <c r="A119" t="s">
        <v>258</v>
      </c>
      <c r="B119" t="s">
        <v>1047</v>
      </c>
      <c r="C119" t="s">
        <v>1048</v>
      </c>
      <c r="D119" t="s">
        <v>101</v>
      </c>
      <c r="E119">
        <v>80</v>
      </c>
      <c r="F119" t="s">
        <v>259</v>
      </c>
      <c r="G119">
        <v>88</v>
      </c>
      <c r="H119" t="s">
        <v>260</v>
      </c>
    </row>
    <row r="120" spans="1:8" x14ac:dyDescent="0.35">
      <c r="A120" t="s">
        <v>261</v>
      </c>
      <c r="B120" t="s">
        <v>1049</v>
      </c>
      <c r="C120" t="s">
        <v>1050</v>
      </c>
      <c r="D120" t="s">
        <v>98</v>
      </c>
      <c r="E120">
        <v>23</v>
      </c>
      <c r="F120" t="s">
        <v>262</v>
      </c>
      <c r="G120">
        <v>25.3</v>
      </c>
      <c r="H120">
        <v>23</v>
      </c>
    </row>
    <row r="121" spans="1:8" x14ac:dyDescent="0.35">
      <c r="A121" t="s">
        <v>263</v>
      </c>
      <c r="B121" t="s">
        <v>1051</v>
      </c>
      <c r="C121" t="s">
        <v>962</v>
      </c>
      <c r="D121" t="s">
        <v>94</v>
      </c>
      <c r="E121">
        <v>40</v>
      </c>
      <c r="F121" t="s">
        <v>264</v>
      </c>
      <c r="G121">
        <v>44</v>
      </c>
      <c r="H121">
        <v>40</v>
      </c>
    </row>
    <row r="122" spans="1:8" x14ac:dyDescent="0.35">
      <c r="A122" t="s">
        <v>265</v>
      </c>
      <c r="B122" t="s">
        <v>1052</v>
      </c>
      <c r="C122" t="s">
        <v>1053</v>
      </c>
      <c r="D122" t="s">
        <v>148</v>
      </c>
      <c r="E122">
        <v>255</v>
      </c>
      <c r="F122" t="s">
        <v>19</v>
      </c>
      <c r="G122">
        <v>280.5</v>
      </c>
      <c r="H122" t="s">
        <v>266</v>
      </c>
    </row>
    <row r="123" spans="1:8" x14ac:dyDescent="0.35">
      <c r="D123" t="s">
        <v>267</v>
      </c>
      <c r="E123">
        <v>1140</v>
      </c>
    </row>
    <row r="124" spans="1:8" x14ac:dyDescent="0.35">
      <c r="A124" t="s">
        <v>225</v>
      </c>
    </row>
    <row r="125" spans="1:8" x14ac:dyDescent="0.35">
      <c r="A125" t="s">
        <v>77</v>
      </c>
    </row>
    <row r="126" spans="1:8" x14ac:dyDescent="0.35">
      <c r="A126" t="s">
        <v>2</v>
      </c>
      <c r="B126" t="s">
        <v>3</v>
      </c>
      <c r="C126" t="s">
        <v>4</v>
      </c>
      <c r="D126" t="s">
        <v>5</v>
      </c>
      <c r="E126" t="s">
        <v>6</v>
      </c>
      <c r="F126" t="s">
        <v>7</v>
      </c>
      <c r="G126" t="s">
        <v>8</v>
      </c>
    </row>
    <row r="127" spans="1:8" x14ac:dyDescent="0.35">
      <c r="A127" t="s">
        <v>269</v>
      </c>
      <c r="B127" t="s">
        <v>1054</v>
      </c>
      <c r="C127" t="s">
        <v>1055</v>
      </c>
      <c r="D127" t="s">
        <v>270</v>
      </c>
      <c r="E127">
        <v>132</v>
      </c>
      <c r="F127" t="s">
        <v>83</v>
      </c>
      <c r="G127">
        <v>145.20000000000002</v>
      </c>
      <c r="H127" t="s">
        <v>271</v>
      </c>
    </row>
    <row r="128" spans="1:8" x14ac:dyDescent="0.35">
      <c r="A128" t="s">
        <v>272</v>
      </c>
      <c r="B128" t="s">
        <v>1056</v>
      </c>
      <c r="C128" t="s">
        <v>1057</v>
      </c>
      <c r="D128" t="s">
        <v>273</v>
      </c>
      <c r="E128">
        <v>175</v>
      </c>
      <c r="F128" t="s">
        <v>238</v>
      </c>
      <c r="G128">
        <v>192.50000000000003</v>
      </c>
      <c r="H128" t="s">
        <v>274</v>
      </c>
    </row>
    <row r="129" spans="1:8" x14ac:dyDescent="0.35">
      <c r="A129" t="s">
        <v>275</v>
      </c>
      <c r="B129" t="s">
        <v>1058</v>
      </c>
      <c r="C129" t="s">
        <v>1059</v>
      </c>
      <c r="D129" t="s">
        <v>22</v>
      </c>
      <c r="E129">
        <v>262</v>
      </c>
      <c r="F129" t="s">
        <v>19</v>
      </c>
      <c r="G129">
        <v>288.20000000000005</v>
      </c>
      <c r="H129" t="s">
        <v>276</v>
      </c>
    </row>
    <row r="130" spans="1:8" x14ac:dyDescent="0.35">
      <c r="A130" t="s">
        <v>277</v>
      </c>
      <c r="B130" t="s">
        <v>1060</v>
      </c>
      <c r="C130" t="s">
        <v>1061</v>
      </c>
      <c r="D130" t="s">
        <v>14</v>
      </c>
      <c r="E130">
        <v>65</v>
      </c>
      <c r="F130" t="s">
        <v>27</v>
      </c>
      <c r="G130">
        <v>71.5</v>
      </c>
      <c r="H130" t="s">
        <v>278</v>
      </c>
    </row>
    <row r="131" spans="1:8" x14ac:dyDescent="0.35">
      <c r="A131" t="s">
        <v>277</v>
      </c>
      <c r="B131" t="s">
        <v>1060</v>
      </c>
      <c r="C131" t="s">
        <v>1061</v>
      </c>
      <c r="D131" t="s">
        <v>11</v>
      </c>
      <c r="E131">
        <v>160</v>
      </c>
      <c r="F131" t="s">
        <v>279</v>
      </c>
      <c r="G131">
        <v>176</v>
      </c>
      <c r="H131" t="s">
        <v>280</v>
      </c>
    </row>
    <row r="132" spans="1:8" x14ac:dyDescent="0.35">
      <c r="A132" t="s">
        <v>281</v>
      </c>
      <c r="B132" t="s">
        <v>1062</v>
      </c>
      <c r="C132" t="s">
        <v>1063</v>
      </c>
      <c r="D132" t="s">
        <v>282</v>
      </c>
      <c r="E132">
        <v>70</v>
      </c>
      <c r="F132" t="s">
        <v>283</v>
      </c>
      <c r="G132">
        <v>77</v>
      </c>
      <c r="H132" t="s">
        <v>284</v>
      </c>
    </row>
    <row r="133" spans="1:8" x14ac:dyDescent="0.35">
      <c r="A133" t="s">
        <v>285</v>
      </c>
      <c r="B133" t="s">
        <v>1064</v>
      </c>
      <c r="C133" t="s">
        <v>1046</v>
      </c>
      <c r="D133" t="s">
        <v>79</v>
      </c>
      <c r="E133">
        <v>222</v>
      </c>
      <c r="F133" t="s">
        <v>241</v>
      </c>
      <c r="G133">
        <v>244.20000000000002</v>
      </c>
      <c r="H133" t="s">
        <v>286</v>
      </c>
    </row>
    <row r="134" spans="1:8" x14ac:dyDescent="0.35">
      <c r="A134" t="s">
        <v>285</v>
      </c>
      <c r="B134" t="s">
        <v>1065</v>
      </c>
      <c r="C134" t="s">
        <v>975</v>
      </c>
      <c r="D134" t="s">
        <v>114</v>
      </c>
      <c r="E134">
        <v>40</v>
      </c>
      <c r="F134" t="s">
        <v>264</v>
      </c>
      <c r="G134">
        <v>44</v>
      </c>
      <c r="H134">
        <v>40</v>
      </c>
    </row>
    <row r="135" spans="1:8" x14ac:dyDescent="0.35">
      <c r="D135" t="s">
        <v>287</v>
      </c>
      <c r="E135">
        <v>1126</v>
      </c>
    </row>
    <row r="136" spans="1:8" x14ac:dyDescent="0.35">
      <c r="A136" t="s">
        <v>289</v>
      </c>
    </row>
    <row r="137" spans="1:8" x14ac:dyDescent="0.35">
      <c r="A137" t="s">
        <v>1</v>
      </c>
    </row>
    <row r="138" spans="1:8" x14ac:dyDescent="0.35">
      <c r="A138" t="s">
        <v>2</v>
      </c>
      <c r="B138" t="s">
        <v>3</v>
      </c>
      <c r="C138" t="s">
        <v>4</v>
      </c>
      <c r="D138" t="s">
        <v>5</v>
      </c>
      <c r="E138" t="s">
        <v>6</v>
      </c>
      <c r="F138" t="s">
        <v>7</v>
      </c>
      <c r="G138" t="s">
        <v>8</v>
      </c>
    </row>
    <row r="139" spans="1:8" x14ac:dyDescent="0.35">
      <c r="A139" t="s">
        <v>290</v>
      </c>
      <c r="B139" t="s">
        <v>1066</v>
      </c>
      <c r="C139" t="s">
        <v>958</v>
      </c>
      <c r="D139" t="s">
        <v>64</v>
      </c>
      <c r="E139">
        <v>125</v>
      </c>
      <c r="F139" t="s">
        <v>39</v>
      </c>
      <c r="G139">
        <v>137.5</v>
      </c>
    </row>
    <row r="140" spans="1:8" x14ac:dyDescent="0.35">
      <c r="A140" t="s">
        <v>291</v>
      </c>
      <c r="B140" t="s">
        <v>1067</v>
      </c>
      <c r="C140" t="s">
        <v>937</v>
      </c>
      <c r="D140" t="s">
        <v>292</v>
      </c>
      <c r="E140">
        <v>32</v>
      </c>
      <c r="F140" t="s">
        <v>39</v>
      </c>
      <c r="G140">
        <v>35.200000000000003</v>
      </c>
    </row>
    <row r="141" spans="1:8" x14ac:dyDescent="0.35">
      <c r="A141" t="s">
        <v>78</v>
      </c>
      <c r="B141" t="s">
        <v>1068</v>
      </c>
      <c r="C141" t="s">
        <v>1069</v>
      </c>
      <c r="D141" t="s">
        <v>116</v>
      </c>
      <c r="E141">
        <v>101</v>
      </c>
      <c r="F141" t="s">
        <v>137</v>
      </c>
      <c r="G141">
        <v>111.10000000000001</v>
      </c>
      <c r="H141" t="s">
        <v>293</v>
      </c>
    </row>
    <row r="142" spans="1:8" x14ac:dyDescent="0.35">
      <c r="A142" t="s">
        <v>294</v>
      </c>
      <c r="B142" t="s">
        <v>1070</v>
      </c>
      <c r="C142" t="s">
        <v>1071</v>
      </c>
      <c r="D142" t="s">
        <v>199</v>
      </c>
      <c r="E142">
        <v>295</v>
      </c>
      <c r="F142" t="s">
        <v>295</v>
      </c>
      <c r="G142">
        <v>324.5</v>
      </c>
      <c r="H142" t="s">
        <v>296</v>
      </c>
    </row>
    <row r="143" spans="1:8" x14ac:dyDescent="0.35">
      <c r="A143" t="s">
        <v>297</v>
      </c>
      <c r="B143" t="s">
        <v>1058</v>
      </c>
      <c r="C143" t="s">
        <v>1072</v>
      </c>
      <c r="D143" t="s">
        <v>110</v>
      </c>
      <c r="E143">
        <v>56</v>
      </c>
      <c r="F143" t="s">
        <v>63</v>
      </c>
      <c r="G143">
        <v>61.600000000000009</v>
      </c>
      <c r="H143">
        <v>56</v>
      </c>
    </row>
    <row r="144" spans="1:8" x14ac:dyDescent="0.35">
      <c r="A144" t="s">
        <v>298</v>
      </c>
      <c r="B144" t="s">
        <v>1058</v>
      </c>
      <c r="C144" t="s">
        <v>1072</v>
      </c>
      <c r="D144" t="s">
        <v>109</v>
      </c>
      <c r="E144">
        <v>120</v>
      </c>
      <c r="F144" t="s">
        <v>65</v>
      </c>
      <c r="G144">
        <v>132</v>
      </c>
      <c r="H144">
        <v>120</v>
      </c>
    </row>
    <row r="145" spans="1:8" x14ac:dyDescent="0.35">
      <c r="A145" t="s">
        <v>299</v>
      </c>
      <c r="B145" t="s">
        <v>1073</v>
      </c>
      <c r="C145" t="s">
        <v>1074</v>
      </c>
      <c r="D145" t="s">
        <v>168</v>
      </c>
      <c r="E145">
        <v>140</v>
      </c>
      <c r="F145" t="s">
        <v>169</v>
      </c>
      <c r="G145">
        <v>154</v>
      </c>
      <c r="H145" t="s">
        <v>170</v>
      </c>
    </row>
    <row r="146" spans="1:8" x14ac:dyDescent="0.35">
      <c r="A146" t="s">
        <v>300</v>
      </c>
      <c r="B146" t="s">
        <v>1075</v>
      </c>
      <c r="C146" t="s">
        <v>1048</v>
      </c>
      <c r="D146" t="s">
        <v>111</v>
      </c>
      <c r="E146">
        <v>130</v>
      </c>
      <c r="F146" t="s">
        <v>83</v>
      </c>
      <c r="G146">
        <v>143</v>
      </c>
      <c r="H146" t="s">
        <v>301</v>
      </c>
    </row>
    <row r="147" spans="1:8" x14ac:dyDescent="0.35">
      <c r="A147" t="s">
        <v>302</v>
      </c>
      <c r="B147" t="s">
        <v>1076</v>
      </c>
      <c r="C147" t="s">
        <v>1077</v>
      </c>
      <c r="D147" t="s">
        <v>82</v>
      </c>
      <c r="E147">
        <v>40</v>
      </c>
      <c r="F147" t="s">
        <v>283</v>
      </c>
      <c r="G147">
        <v>44</v>
      </c>
      <c r="H147" t="s">
        <v>303</v>
      </c>
    </row>
    <row r="148" spans="1:8" x14ac:dyDescent="0.35">
      <c r="A148" t="s">
        <v>304</v>
      </c>
      <c r="B148" t="s">
        <v>1078</v>
      </c>
      <c r="C148" t="s">
        <v>1079</v>
      </c>
      <c r="D148" t="s">
        <v>305</v>
      </c>
      <c r="E148">
        <v>70</v>
      </c>
      <c r="F148" t="s">
        <v>15</v>
      </c>
      <c r="G148">
        <v>77</v>
      </c>
      <c r="H148" t="s">
        <v>306</v>
      </c>
    </row>
    <row r="149" spans="1:8" x14ac:dyDescent="0.35">
      <c r="A149" t="s">
        <v>307</v>
      </c>
      <c r="B149" t="s">
        <v>1080</v>
      </c>
      <c r="C149" t="s">
        <v>975</v>
      </c>
      <c r="D149" t="s">
        <v>185</v>
      </c>
      <c r="E149">
        <v>69</v>
      </c>
      <c r="F149" t="s">
        <v>63</v>
      </c>
      <c r="G149">
        <v>75.900000000000006</v>
      </c>
      <c r="H149">
        <v>69</v>
      </c>
    </row>
    <row r="150" spans="1:8" x14ac:dyDescent="0.35">
      <c r="A150" t="s">
        <v>308</v>
      </c>
      <c r="B150" t="s">
        <v>1081</v>
      </c>
      <c r="C150" t="s">
        <v>1082</v>
      </c>
      <c r="D150" t="s">
        <v>172</v>
      </c>
      <c r="E150">
        <v>61</v>
      </c>
      <c r="F150" t="s">
        <v>309</v>
      </c>
      <c r="G150">
        <v>67.100000000000009</v>
      </c>
      <c r="H150" t="s">
        <v>310</v>
      </c>
    </row>
    <row r="151" spans="1:8" x14ac:dyDescent="0.35">
      <c r="A151" t="s">
        <v>311</v>
      </c>
      <c r="B151" t="s">
        <v>1083</v>
      </c>
      <c r="C151" t="s">
        <v>1084</v>
      </c>
      <c r="D151" t="s">
        <v>312</v>
      </c>
      <c r="E151">
        <v>93</v>
      </c>
      <c r="F151" t="s">
        <v>313</v>
      </c>
      <c r="G151">
        <v>102.30000000000001</v>
      </c>
      <c r="H151" t="s">
        <v>314</v>
      </c>
    </row>
    <row r="152" spans="1:8" x14ac:dyDescent="0.35">
      <c r="D152" t="s">
        <v>315</v>
      </c>
      <c r="E152">
        <v>1175</v>
      </c>
    </row>
    <row r="153" spans="1:8" x14ac:dyDescent="0.35">
      <c r="A153" t="s">
        <v>289</v>
      </c>
    </row>
    <row r="154" spans="1:8" x14ac:dyDescent="0.35">
      <c r="A154" t="s">
        <v>35</v>
      </c>
    </row>
    <row r="155" spans="1:8" x14ac:dyDescent="0.35">
      <c r="A155" t="s">
        <v>2</v>
      </c>
      <c r="B155" t="s">
        <v>3</v>
      </c>
      <c r="C155" t="s">
        <v>4</v>
      </c>
      <c r="D155" t="s">
        <v>5</v>
      </c>
      <c r="E155" t="s">
        <v>6</v>
      </c>
      <c r="F155" t="s">
        <v>7</v>
      </c>
      <c r="G155" t="s">
        <v>8</v>
      </c>
    </row>
    <row r="156" spans="1:8" x14ac:dyDescent="0.35">
      <c r="A156" t="s">
        <v>290</v>
      </c>
      <c r="B156" t="s">
        <v>1066</v>
      </c>
      <c r="C156" t="s">
        <v>958</v>
      </c>
      <c r="D156" t="s">
        <v>67</v>
      </c>
      <c r="E156">
        <v>245</v>
      </c>
      <c r="F156" t="s">
        <v>39</v>
      </c>
      <c r="G156">
        <v>269.5</v>
      </c>
    </row>
    <row r="157" spans="1:8" x14ac:dyDescent="0.35">
      <c r="A157" t="s">
        <v>317</v>
      </c>
      <c r="B157" t="s">
        <v>1085</v>
      </c>
      <c r="C157" t="s">
        <v>1086</v>
      </c>
      <c r="D157" t="s">
        <v>190</v>
      </c>
      <c r="E157">
        <v>136</v>
      </c>
      <c r="F157" t="s">
        <v>169</v>
      </c>
      <c r="G157">
        <v>149.60000000000002</v>
      </c>
      <c r="H157" t="s">
        <v>192</v>
      </c>
    </row>
    <row r="158" spans="1:8" x14ac:dyDescent="0.35">
      <c r="A158" t="s">
        <v>318</v>
      </c>
      <c r="B158" t="s">
        <v>1087</v>
      </c>
      <c r="C158" t="s">
        <v>1088</v>
      </c>
      <c r="D158" t="s">
        <v>18</v>
      </c>
      <c r="E158">
        <v>265</v>
      </c>
      <c r="F158" t="s">
        <v>23</v>
      </c>
      <c r="G158">
        <v>291.5</v>
      </c>
      <c r="H158" t="s">
        <v>319</v>
      </c>
    </row>
    <row r="159" spans="1:8" x14ac:dyDescent="0.35">
      <c r="A159" t="s">
        <v>320</v>
      </c>
      <c r="B159" t="s">
        <v>1089</v>
      </c>
      <c r="C159" t="s">
        <v>1090</v>
      </c>
      <c r="D159" t="s">
        <v>59</v>
      </c>
      <c r="E159">
        <v>105</v>
      </c>
      <c r="F159" t="s">
        <v>321</v>
      </c>
      <c r="G159">
        <v>115.50000000000001</v>
      </c>
      <c r="H159" t="s">
        <v>322</v>
      </c>
    </row>
    <row r="160" spans="1:8" x14ac:dyDescent="0.35">
      <c r="A160" t="s">
        <v>320</v>
      </c>
      <c r="B160" t="s">
        <v>1089</v>
      </c>
      <c r="C160" t="s">
        <v>1012</v>
      </c>
      <c r="D160" t="s">
        <v>124</v>
      </c>
      <c r="E160">
        <v>53</v>
      </c>
      <c r="F160" t="s">
        <v>27</v>
      </c>
      <c r="G160">
        <v>58.300000000000004</v>
      </c>
      <c r="H160" t="s">
        <v>323</v>
      </c>
    </row>
    <row r="161" spans="1:8" x14ac:dyDescent="0.35">
      <c r="A161" t="s">
        <v>324</v>
      </c>
      <c r="B161" t="s">
        <v>1091</v>
      </c>
      <c r="C161" t="s">
        <v>1092</v>
      </c>
      <c r="D161" t="s">
        <v>122</v>
      </c>
      <c r="E161">
        <v>130</v>
      </c>
      <c r="F161" t="s">
        <v>83</v>
      </c>
      <c r="G161">
        <v>143</v>
      </c>
      <c r="H161" t="s">
        <v>325</v>
      </c>
    </row>
    <row r="162" spans="1:8" x14ac:dyDescent="0.35">
      <c r="A162" t="s">
        <v>326</v>
      </c>
      <c r="B162" t="s">
        <v>1093</v>
      </c>
      <c r="C162" t="s">
        <v>1094</v>
      </c>
      <c r="D162" t="s">
        <v>62</v>
      </c>
      <c r="E162">
        <v>103</v>
      </c>
      <c r="F162" t="s">
        <v>327</v>
      </c>
      <c r="G162">
        <v>113.30000000000001</v>
      </c>
      <c r="H162" t="s">
        <v>328</v>
      </c>
    </row>
    <row r="163" spans="1:8" x14ac:dyDescent="0.35">
      <c r="A163" t="s">
        <v>329</v>
      </c>
      <c r="B163" t="s">
        <v>1070</v>
      </c>
      <c r="C163" t="s">
        <v>1053</v>
      </c>
      <c r="D163" t="s">
        <v>150</v>
      </c>
      <c r="E163">
        <v>80</v>
      </c>
      <c r="F163" t="s">
        <v>143</v>
      </c>
      <c r="G163">
        <v>88</v>
      </c>
      <c r="H163" t="s">
        <v>330</v>
      </c>
    </row>
    <row r="164" spans="1:8" x14ac:dyDescent="0.35">
      <c r="A164" t="s">
        <v>329</v>
      </c>
      <c r="B164" t="s">
        <v>1070</v>
      </c>
      <c r="C164" t="s">
        <v>1053</v>
      </c>
      <c r="D164" t="s">
        <v>148</v>
      </c>
      <c r="E164">
        <v>255</v>
      </c>
      <c r="F164" t="s">
        <v>19</v>
      </c>
      <c r="G164">
        <v>280.5</v>
      </c>
      <c r="H164" t="s">
        <v>331</v>
      </c>
    </row>
    <row r="165" spans="1:8" x14ac:dyDescent="0.35">
      <c r="D165" t="s">
        <v>332</v>
      </c>
      <c r="E165">
        <v>1127</v>
      </c>
    </row>
    <row r="166" spans="1:8" x14ac:dyDescent="0.35">
      <c r="A166" t="s">
        <v>289</v>
      </c>
    </row>
    <row r="167" spans="1:8" x14ac:dyDescent="0.35">
      <c r="A167" t="s">
        <v>77</v>
      </c>
    </row>
    <row r="168" spans="1:8" x14ac:dyDescent="0.35">
      <c r="A168" t="s">
        <v>2</v>
      </c>
      <c r="B168" t="s">
        <v>3</v>
      </c>
      <c r="C168" t="s">
        <v>4</v>
      </c>
      <c r="D168" t="s">
        <v>5</v>
      </c>
      <c r="E168" t="s">
        <v>6</v>
      </c>
      <c r="F168" t="s">
        <v>7</v>
      </c>
      <c r="G168" t="s">
        <v>8</v>
      </c>
    </row>
    <row r="169" spans="1:8" x14ac:dyDescent="0.35">
      <c r="A169" t="s">
        <v>334</v>
      </c>
      <c r="B169" t="s">
        <v>1095</v>
      </c>
      <c r="C169" t="s">
        <v>1096</v>
      </c>
      <c r="D169" t="s">
        <v>140</v>
      </c>
      <c r="E169">
        <v>18</v>
      </c>
      <c r="F169" t="s">
        <v>335</v>
      </c>
      <c r="G169">
        <v>19.8</v>
      </c>
      <c r="H169">
        <v>18</v>
      </c>
    </row>
    <row r="170" spans="1:8" x14ac:dyDescent="0.35">
      <c r="A170" t="s">
        <v>336</v>
      </c>
      <c r="B170" t="s">
        <v>1097</v>
      </c>
      <c r="C170" t="s">
        <v>966</v>
      </c>
      <c r="D170" t="s">
        <v>205</v>
      </c>
      <c r="E170">
        <v>99</v>
      </c>
      <c r="F170" t="s">
        <v>321</v>
      </c>
      <c r="G170">
        <v>108.9</v>
      </c>
      <c r="H170" t="s">
        <v>337</v>
      </c>
    </row>
    <row r="171" spans="1:8" x14ac:dyDescent="0.35">
      <c r="A171" t="s">
        <v>338</v>
      </c>
      <c r="B171" t="s">
        <v>1098</v>
      </c>
      <c r="C171" t="s">
        <v>1099</v>
      </c>
      <c r="D171" t="s">
        <v>212</v>
      </c>
      <c r="E171">
        <v>85</v>
      </c>
      <c r="F171" t="s">
        <v>339</v>
      </c>
      <c r="G171">
        <v>93.500000000000014</v>
      </c>
      <c r="H171" t="s">
        <v>340</v>
      </c>
    </row>
    <row r="172" spans="1:8" x14ac:dyDescent="0.35">
      <c r="A172" t="s">
        <v>338</v>
      </c>
      <c r="B172" t="s">
        <v>1098</v>
      </c>
      <c r="C172" t="s">
        <v>1099</v>
      </c>
      <c r="D172" t="s">
        <v>216</v>
      </c>
      <c r="E172">
        <v>87</v>
      </c>
      <c r="F172" t="s">
        <v>341</v>
      </c>
      <c r="G172">
        <v>95.7</v>
      </c>
      <c r="H172" t="s">
        <v>342</v>
      </c>
    </row>
    <row r="173" spans="1:8" x14ac:dyDescent="0.35">
      <c r="A173" t="s">
        <v>343</v>
      </c>
      <c r="B173" t="s">
        <v>1100</v>
      </c>
      <c r="C173" t="s">
        <v>1101</v>
      </c>
      <c r="D173" t="s">
        <v>176</v>
      </c>
      <c r="E173">
        <v>57</v>
      </c>
      <c r="F173" t="s">
        <v>143</v>
      </c>
      <c r="G173">
        <v>62.7</v>
      </c>
      <c r="H173" t="s">
        <v>344</v>
      </c>
    </row>
    <row r="174" spans="1:8" x14ac:dyDescent="0.35">
      <c r="A174" t="s">
        <v>343</v>
      </c>
      <c r="B174" t="s">
        <v>1100</v>
      </c>
      <c r="C174" t="s">
        <v>1101</v>
      </c>
      <c r="D174" t="s">
        <v>208</v>
      </c>
      <c r="E174">
        <v>83</v>
      </c>
      <c r="F174" t="s">
        <v>137</v>
      </c>
      <c r="G174">
        <v>91.300000000000011</v>
      </c>
      <c r="H174" t="s">
        <v>345</v>
      </c>
    </row>
    <row r="175" spans="1:8" x14ac:dyDescent="0.35">
      <c r="A175" t="s">
        <v>346</v>
      </c>
      <c r="B175" t="s">
        <v>1102</v>
      </c>
      <c r="C175" t="s">
        <v>1103</v>
      </c>
      <c r="D175" t="s">
        <v>101</v>
      </c>
      <c r="E175">
        <v>80</v>
      </c>
      <c r="F175" t="s">
        <v>63</v>
      </c>
      <c r="G175">
        <v>88</v>
      </c>
      <c r="H175">
        <v>80</v>
      </c>
    </row>
    <row r="176" spans="1:8" x14ac:dyDescent="0.35">
      <c r="A176" t="s">
        <v>347</v>
      </c>
      <c r="B176" t="s">
        <v>1104</v>
      </c>
      <c r="C176" t="s">
        <v>1103</v>
      </c>
      <c r="D176" t="s">
        <v>126</v>
      </c>
      <c r="E176">
        <v>95</v>
      </c>
      <c r="F176" t="s">
        <v>65</v>
      </c>
      <c r="G176">
        <v>104.50000000000001</v>
      </c>
      <c r="H176">
        <v>95</v>
      </c>
    </row>
    <row r="177" spans="1:8" x14ac:dyDescent="0.35">
      <c r="A177" t="s">
        <v>348</v>
      </c>
      <c r="B177" t="s">
        <v>1105</v>
      </c>
      <c r="C177" t="s">
        <v>1106</v>
      </c>
      <c r="D177" t="s">
        <v>349</v>
      </c>
      <c r="E177">
        <v>105</v>
      </c>
      <c r="F177" t="s">
        <v>313</v>
      </c>
      <c r="G177">
        <v>115.50000000000001</v>
      </c>
      <c r="H177" t="s">
        <v>322</v>
      </c>
    </row>
    <row r="178" spans="1:8" x14ac:dyDescent="0.35">
      <c r="A178" t="s">
        <v>350</v>
      </c>
      <c r="B178" t="s">
        <v>1107</v>
      </c>
      <c r="C178" t="s">
        <v>1108</v>
      </c>
      <c r="D178" t="s">
        <v>136</v>
      </c>
      <c r="E178">
        <v>103</v>
      </c>
      <c r="F178" t="s">
        <v>162</v>
      </c>
      <c r="G178">
        <v>113.30000000000001</v>
      </c>
      <c r="H178" t="s">
        <v>328</v>
      </c>
    </row>
    <row r="179" spans="1:8" x14ac:dyDescent="0.35">
      <c r="A179" t="s">
        <v>351</v>
      </c>
      <c r="B179" t="s">
        <v>1109</v>
      </c>
      <c r="C179" t="s">
        <v>1110</v>
      </c>
      <c r="D179" t="s">
        <v>53</v>
      </c>
      <c r="E179">
        <v>70</v>
      </c>
      <c r="F179" t="s">
        <v>143</v>
      </c>
      <c r="G179">
        <v>77</v>
      </c>
      <c r="H179" t="s">
        <v>352</v>
      </c>
    </row>
    <row r="180" spans="1:8" x14ac:dyDescent="0.35">
      <c r="A180" t="s">
        <v>353</v>
      </c>
      <c r="B180" t="s">
        <v>1111</v>
      </c>
      <c r="C180" t="s">
        <v>951</v>
      </c>
      <c r="D180" t="s">
        <v>73</v>
      </c>
      <c r="E180">
        <v>250</v>
      </c>
      <c r="F180" t="s">
        <v>91</v>
      </c>
      <c r="G180">
        <v>275</v>
      </c>
      <c r="H180" t="s">
        <v>354</v>
      </c>
    </row>
    <row r="181" spans="1:8" x14ac:dyDescent="0.35">
      <c r="D181" t="s">
        <v>332</v>
      </c>
      <c r="E181">
        <v>1132</v>
      </c>
    </row>
    <row r="182" spans="1:8" x14ac:dyDescent="0.35">
      <c r="A182" t="s">
        <v>355</v>
      </c>
    </row>
    <row r="183" spans="1:8" x14ac:dyDescent="0.35">
      <c r="A183" t="s">
        <v>1</v>
      </c>
    </row>
    <row r="184" spans="1:8" x14ac:dyDescent="0.35">
      <c r="A184" t="s">
        <v>2</v>
      </c>
      <c r="B184" t="s">
        <v>3</v>
      </c>
      <c r="C184" t="s">
        <v>4</v>
      </c>
      <c r="D184" t="s">
        <v>5</v>
      </c>
      <c r="E184" t="s">
        <v>6</v>
      </c>
      <c r="F184" t="s">
        <v>7</v>
      </c>
      <c r="G184" t="s">
        <v>8</v>
      </c>
    </row>
    <row r="185" spans="1:8" x14ac:dyDescent="0.35">
      <c r="A185" t="s">
        <v>356</v>
      </c>
      <c r="B185" t="s">
        <v>1112</v>
      </c>
      <c r="C185" t="s">
        <v>1113</v>
      </c>
      <c r="D185" t="s">
        <v>270</v>
      </c>
      <c r="E185">
        <v>132</v>
      </c>
      <c r="F185" t="s">
        <v>313</v>
      </c>
      <c r="G185">
        <v>145.20000000000002</v>
      </c>
      <c r="H185" t="s">
        <v>271</v>
      </c>
    </row>
    <row r="186" spans="1:8" x14ac:dyDescent="0.35">
      <c r="A186" t="s">
        <v>357</v>
      </c>
      <c r="B186" t="s">
        <v>1114</v>
      </c>
      <c r="C186" t="s">
        <v>1115</v>
      </c>
      <c r="D186" t="s">
        <v>116</v>
      </c>
      <c r="E186">
        <v>101</v>
      </c>
      <c r="F186" t="s">
        <v>358</v>
      </c>
      <c r="G186">
        <v>111.10000000000001</v>
      </c>
      <c r="H186" t="s">
        <v>359</v>
      </c>
    </row>
    <row r="187" spans="1:8" x14ac:dyDescent="0.35">
      <c r="A187" t="s">
        <v>360</v>
      </c>
      <c r="B187" t="s">
        <v>1116</v>
      </c>
      <c r="C187" t="s">
        <v>1117</v>
      </c>
      <c r="D187" t="s">
        <v>104</v>
      </c>
      <c r="E187">
        <v>122</v>
      </c>
      <c r="F187" t="s">
        <v>361</v>
      </c>
      <c r="G187">
        <v>134.20000000000002</v>
      </c>
      <c r="H187" t="s">
        <v>362</v>
      </c>
    </row>
    <row r="188" spans="1:8" x14ac:dyDescent="0.35">
      <c r="A188" t="s">
        <v>363</v>
      </c>
      <c r="B188" t="s">
        <v>1118</v>
      </c>
      <c r="C188" t="s">
        <v>1119</v>
      </c>
      <c r="D188" t="s">
        <v>236</v>
      </c>
      <c r="E188">
        <v>154</v>
      </c>
      <c r="F188" t="s">
        <v>364</v>
      </c>
      <c r="G188">
        <v>169.4</v>
      </c>
      <c r="H188" t="s">
        <v>365</v>
      </c>
    </row>
    <row r="189" spans="1:8" x14ac:dyDescent="0.35">
      <c r="A189" t="s">
        <v>366</v>
      </c>
      <c r="B189" t="s">
        <v>1120</v>
      </c>
      <c r="C189" t="s">
        <v>1028</v>
      </c>
      <c r="D189" t="s">
        <v>195</v>
      </c>
      <c r="E189">
        <v>55</v>
      </c>
      <c r="F189" t="s">
        <v>50</v>
      </c>
      <c r="G189">
        <v>60.500000000000007</v>
      </c>
      <c r="H189" t="s">
        <v>367</v>
      </c>
    </row>
    <row r="190" spans="1:8" x14ac:dyDescent="0.35">
      <c r="A190" t="s">
        <v>366</v>
      </c>
      <c r="B190" t="s">
        <v>1120</v>
      </c>
      <c r="C190" t="s">
        <v>1028</v>
      </c>
      <c r="D190" t="s">
        <v>194</v>
      </c>
      <c r="E190">
        <v>60</v>
      </c>
      <c r="F190" t="s">
        <v>156</v>
      </c>
      <c r="G190">
        <v>66</v>
      </c>
      <c r="H190" t="s">
        <v>368</v>
      </c>
    </row>
    <row r="191" spans="1:8" x14ac:dyDescent="0.35">
      <c r="A191" t="s">
        <v>369</v>
      </c>
      <c r="B191" t="s">
        <v>1121</v>
      </c>
      <c r="C191" t="s">
        <v>1122</v>
      </c>
      <c r="D191" t="s">
        <v>70</v>
      </c>
      <c r="E191">
        <v>150</v>
      </c>
      <c r="F191" t="s">
        <v>23</v>
      </c>
      <c r="G191">
        <v>165</v>
      </c>
      <c r="H191" t="s">
        <v>370</v>
      </c>
    </row>
    <row r="192" spans="1:8" x14ac:dyDescent="0.35">
      <c r="A192" t="s">
        <v>371</v>
      </c>
      <c r="B192" t="s">
        <v>1123</v>
      </c>
      <c r="C192" t="s">
        <v>1124</v>
      </c>
      <c r="D192" t="s">
        <v>43</v>
      </c>
      <c r="E192">
        <v>80</v>
      </c>
      <c r="F192" t="s">
        <v>143</v>
      </c>
      <c r="G192">
        <v>88</v>
      </c>
      <c r="H192" t="s">
        <v>330</v>
      </c>
    </row>
    <row r="193" spans="1:8" x14ac:dyDescent="0.35">
      <c r="A193" t="s">
        <v>372</v>
      </c>
      <c r="B193" t="s">
        <v>1125</v>
      </c>
      <c r="C193" t="s">
        <v>973</v>
      </c>
      <c r="D193" t="s">
        <v>98</v>
      </c>
      <c r="E193">
        <v>23</v>
      </c>
      <c r="F193" t="s">
        <v>234</v>
      </c>
      <c r="G193">
        <v>25.3</v>
      </c>
      <c r="H193">
        <v>23</v>
      </c>
    </row>
    <row r="194" spans="1:8" x14ac:dyDescent="0.35">
      <c r="A194" t="s">
        <v>373</v>
      </c>
      <c r="B194" t="s">
        <v>1126</v>
      </c>
      <c r="C194" t="s">
        <v>1127</v>
      </c>
      <c r="D194" t="s">
        <v>130</v>
      </c>
      <c r="E194">
        <v>90</v>
      </c>
      <c r="F194" t="s">
        <v>256</v>
      </c>
      <c r="G194">
        <v>99.000000000000014</v>
      </c>
      <c r="H194" t="s">
        <v>374</v>
      </c>
    </row>
    <row r="195" spans="1:8" x14ac:dyDescent="0.35">
      <c r="A195" t="s">
        <v>375</v>
      </c>
      <c r="B195" t="s">
        <v>1128</v>
      </c>
      <c r="C195" t="s">
        <v>1129</v>
      </c>
      <c r="D195" t="s">
        <v>246</v>
      </c>
      <c r="E195">
        <v>128</v>
      </c>
      <c r="F195" t="s">
        <v>376</v>
      </c>
      <c r="G195">
        <v>140.80000000000001</v>
      </c>
      <c r="H195" t="s">
        <v>377</v>
      </c>
    </row>
    <row r="196" spans="1:8" x14ac:dyDescent="0.35">
      <c r="A196" t="s">
        <v>378</v>
      </c>
      <c r="B196" t="s">
        <v>1130</v>
      </c>
      <c r="C196" t="s">
        <v>994</v>
      </c>
      <c r="D196" t="s">
        <v>179</v>
      </c>
      <c r="E196">
        <v>70</v>
      </c>
      <c r="F196" t="s">
        <v>65</v>
      </c>
      <c r="G196">
        <v>77</v>
      </c>
      <c r="H196">
        <v>70</v>
      </c>
    </row>
    <row r="197" spans="1:8" x14ac:dyDescent="0.35">
      <c r="A197" t="s">
        <v>379</v>
      </c>
      <c r="B197" t="s">
        <v>1131</v>
      </c>
      <c r="C197" t="s">
        <v>1124</v>
      </c>
      <c r="D197" t="s">
        <v>47</v>
      </c>
      <c r="E197">
        <v>37</v>
      </c>
      <c r="F197" t="s">
        <v>54</v>
      </c>
      <c r="G197">
        <v>40.700000000000003</v>
      </c>
      <c r="H197">
        <v>37</v>
      </c>
    </row>
    <row r="198" spans="1:8" x14ac:dyDescent="0.35">
      <c r="D198" t="s">
        <v>380</v>
      </c>
      <c r="E198">
        <v>1202</v>
      </c>
    </row>
    <row r="199" spans="1:8" x14ac:dyDescent="0.35">
      <c r="A199" t="s">
        <v>355</v>
      </c>
    </row>
    <row r="200" spans="1:8" x14ac:dyDescent="0.35">
      <c r="A200" t="s">
        <v>35</v>
      </c>
    </row>
    <row r="201" spans="1:8" x14ac:dyDescent="0.35">
      <c r="A201" t="s">
        <v>2</v>
      </c>
      <c r="B201" t="s">
        <v>3</v>
      </c>
      <c r="C201" t="s">
        <v>4</v>
      </c>
      <c r="D201" t="s">
        <v>5</v>
      </c>
      <c r="E201" t="s">
        <v>6</v>
      </c>
      <c r="F201" t="s">
        <v>7</v>
      </c>
      <c r="G201" t="s">
        <v>8</v>
      </c>
    </row>
    <row r="202" spans="1:8" x14ac:dyDescent="0.35">
      <c r="A202" t="s">
        <v>382</v>
      </c>
      <c r="B202" t="s">
        <v>1132</v>
      </c>
      <c r="C202" t="s">
        <v>935</v>
      </c>
      <c r="D202" t="s">
        <v>90</v>
      </c>
      <c r="E202">
        <v>70</v>
      </c>
      <c r="F202" t="s">
        <v>383</v>
      </c>
      <c r="G202">
        <v>77</v>
      </c>
      <c r="H202" t="s">
        <v>180</v>
      </c>
    </row>
    <row r="203" spans="1:8" x14ac:dyDescent="0.35">
      <c r="A203" t="s">
        <v>61</v>
      </c>
      <c r="B203" t="s">
        <v>949</v>
      </c>
      <c r="C203" t="s">
        <v>931</v>
      </c>
      <c r="D203" t="s">
        <v>67</v>
      </c>
      <c r="E203">
        <v>245</v>
      </c>
      <c r="F203" t="s">
        <v>23</v>
      </c>
      <c r="G203">
        <v>269.5</v>
      </c>
      <c r="H203" t="s">
        <v>384</v>
      </c>
    </row>
    <row r="204" spans="1:8" x14ac:dyDescent="0.35">
      <c r="A204" t="s">
        <v>385</v>
      </c>
      <c r="B204" t="s">
        <v>1052</v>
      </c>
      <c r="C204" t="s">
        <v>1133</v>
      </c>
      <c r="D204" t="s">
        <v>30</v>
      </c>
      <c r="E204">
        <v>340</v>
      </c>
      <c r="F204" t="s">
        <v>386</v>
      </c>
      <c r="G204">
        <v>374.00000000000006</v>
      </c>
      <c r="H204" t="s">
        <v>387</v>
      </c>
    </row>
    <row r="205" spans="1:8" x14ac:dyDescent="0.35">
      <c r="A205" t="s">
        <v>385</v>
      </c>
      <c r="B205" t="s">
        <v>1134</v>
      </c>
      <c r="C205" t="s">
        <v>1133</v>
      </c>
      <c r="D205" t="s">
        <v>273</v>
      </c>
      <c r="E205">
        <v>175</v>
      </c>
      <c r="F205" t="s">
        <v>388</v>
      </c>
      <c r="G205">
        <v>192.50000000000003</v>
      </c>
      <c r="H205" t="s">
        <v>389</v>
      </c>
    </row>
    <row r="206" spans="1:8" x14ac:dyDescent="0.35">
      <c r="A206" t="s">
        <v>390</v>
      </c>
      <c r="B206" t="s">
        <v>1135</v>
      </c>
      <c r="C206" t="s">
        <v>1113</v>
      </c>
      <c r="D206" t="s">
        <v>312</v>
      </c>
      <c r="E206">
        <v>93</v>
      </c>
      <c r="F206" t="s">
        <v>137</v>
      </c>
      <c r="G206">
        <v>102.30000000000001</v>
      </c>
      <c r="H206" t="s">
        <v>391</v>
      </c>
    </row>
    <row r="207" spans="1:8" x14ac:dyDescent="0.35">
      <c r="A207" t="s">
        <v>158</v>
      </c>
      <c r="B207" t="s">
        <v>1136</v>
      </c>
      <c r="C207" t="s">
        <v>1137</v>
      </c>
      <c r="D207" t="s">
        <v>150</v>
      </c>
      <c r="E207">
        <v>80</v>
      </c>
      <c r="F207" t="s">
        <v>137</v>
      </c>
      <c r="G207">
        <v>88</v>
      </c>
      <c r="H207" t="s">
        <v>392</v>
      </c>
    </row>
    <row r="208" spans="1:8" x14ac:dyDescent="0.35">
      <c r="A208" t="s">
        <v>393</v>
      </c>
      <c r="B208" t="s">
        <v>1138</v>
      </c>
      <c r="C208" t="s">
        <v>1137</v>
      </c>
      <c r="D208" t="s">
        <v>56</v>
      </c>
      <c r="E208">
        <v>155</v>
      </c>
      <c r="F208" t="s">
        <v>394</v>
      </c>
      <c r="G208">
        <v>170.5</v>
      </c>
      <c r="H208" t="s">
        <v>395</v>
      </c>
    </row>
    <row r="209" spans="1:8" x14ac:dyDescent="0.35">
      <c r="D209" t="s">
        <v>396</v>
      </c>
      <c r="E209">
        <v>1158</v>
      </c>
    </row>
    <row r="210" spans="1:8" x14ac:dyDescent="0.35">
      <c r="A210" t="s">
        <v>355</v>
      </c>
    </row>
    <row r="211" spans="1:8" x14ac:dyDescent="0.35">
      <c r="A211" t="s">
        <v>77</v>
      </c>
    </row>
    <row r="212" spans="1:8" x14ac:dyDescent="0.35">
      <c r="A212" t="s">
        <v>2</v>
      </c>
      <c r="B212" t="s">
        <v>3</v>
      </c>
      <c r="C212" t="s">
        <v>4</v>
      </c>
      <c r="D212" t="s">
        <v>5</v>
      </c>
      <c r="E212" t="s">
        <v>6</v>
      </c>
      <c r="F212" t="s">
        <v>7</v>
      </c>
      <c r="G212" t="s">
        <v>8</v>
      </c>
    </row>
    <row r="213" spans="1:8" x14ac:dyDescent="0.35">
      <c r="A213" t="s">
        <v>397</v>
      </c>
      <c r="B213" t="s">
        <v>1139</v>
      </c>
      <c r="C213" t="s">
        <v>1140</v>
      </c>
      <c r="D213" t="s">
        <v>114</v>
      </c>
      <c r="E213">
        <v>40</v>
      </c>
      <c r="F213" t="s">
        <v>398</v>
      </c>
      <c r="G213">
        <v>44</v>
      </c>
      <c r="H213" t="s">
        <v>96</v>
      </c>
    </row>
    <row r="214" spans="1:8" x14ac:dyDescent="0.35">
      <c r="A214" t="s">
        <v>399</v>
      </c>
      <c r="B214" t="s">
        <v>1141</v>
      </c>
      <c r="C214" t="s">
        <v>1140</v>
      </c>
      <c r="D214" t="s">
        <v>26</v>
      </c>
      <c r="E214">
        <v>76</v>
      </c>
      <c r="F214" t="s">
        <v>400</v>
      </c>
      <c r="G214">
        <v>83.600000000000009</v>
      </c>
      <c r="H214" t="s">
        <v>401</v>
      </c>
    </row>
    <row r="215" spans="1:8" x14ac:dyDescent="0.35">
      <c r="A215" t="s">
        <v>402</v>
      </c>
      <c r="B215" t="s">
        <v>1141</v>
      </c>
      <c r="C215" t="s">
        <v>1140</v>
      </c>
      <c r="D215" t="s">
        <v>38</v>
      </c>
      <c r="E215">
        <v>240</v>
      </c>
      <c r="F215" t="s">
        <v>19</v>
      </c>
      <c r="G215">
        <v>264</v>
      </c>
      <c r="H215" t="s">
        <v>229</v>
      </c>
    </row>
    <row r="216" spans="1:8" x14ac:dyDescent="0.35">
      <c r="A216" t="s">
        <v>403</v>
      </c>
      <c r="B216" t="s">
        <v>1141</v>
      </c>
      <c r="C216" t="s">
        <v>1140</v>
      </c>
      <c r="D216" t="s">
        <v>94</v>
      </c>
      <c r="E216">
        <v>40</v>
      </c>
      <c r="F216" t="s">
        <v>264</v>
      </c>
      <c r="G216">
        <v>44</v>
      </c>
      <c r="H216">
        <v>40</v>
      </c>
    </row>
    <row r="217" spans="1:8" x14ac:dyDescent="0.35">
      <c r="A217" t="s">
        <v>404</v>
      </c>
      <c r="B217" t="s">
        <v>1142</v>
      </c>
      <c r="C217" t="s">
        <v>1143</v>
      </c>
      <c r="D217" t="s">
        <v>134</v>
      </c>
      <c r="E217">
        <v>95</v>
      </c>
      <c r="F217" t="s">
        <v>162</v>
      </c>
      <c r="G217">
        <v>104.50000000000001</v>
      </c>
      <c r="H217" t="s">
        <v>405</v>
      </c>
    </row>
    <row r="218" spans="1:8" x14ac:dyDescent="0.35">
      <c r="A218" t="s">
        <v>61</v>
      </c>
      <c r="B218" t="s">
        <v>949</v>
      </c>
      <c r="C218" t="s">
        <v>1144</v>
      </c>
      <c r="D218" t="s">
        <v>109</v>
      </c>
      <c r="E218">
        <v>120</v>
      </c>
      <c r="F218" t="s">
        <v>227</v>
      </c>
      <c r="G218">
        <v>132</v>
      </c>
      <c r="H218" t="s">
        <v>406</v>
      </c>
    </row>
    <row r="219" spans="1:8" x14ac:dyDescent="0.35">
      <c r="A219" t="s">
        <v>61</v>
      </c>
      <c r="B219" t="s">
        <v>949</v>
      </c>
      <c r="C219" t="s">
        <v>1144</v>
      </c>
      <c r="D219" t="s">
        <v>199</v>
      </c>
      <c r="E219">
        <v>295</v>
      </c>
      <c r="F219" t="s">
        <v>407</v>
      </c>
      <c r="G219">
        <v>324.5</v>
      </c>
      <c r="H219" t="s">
        <v>408</v>
      </c>
    </row>
    <row r="220" spans="1:8" x14ac:dyDescent="0.35">
      <c r="A220" t="s">
        <v>61</v>
      </c>
      <c r="B220" t="s">
        <v>949</v>
      </c>
      <c r="C220" t="s">
        <v>1144</v>
      </c>
      <c r="D220" t="s">
        <v>251</v>
      </c>
      <c r="E220">
        <v>225</v>
      </c>
      <c r="F220" t="s">
        <v>409</v>
      </c>
      <c r="G220">
        <v>247.50000000000003</v>
      </c>
      <c r="H220" t="s">
        <v>410</v>
      </c>
    </row>
    <row r="221" spans="1:8" x14ac:dyDescent="0.35">
      <c r="D221" t="s">
        <v>396</v>
      </c>
      <c r="E221">
        <v>1131</v>
      </c>
    </row>
    <row r="222" spans="1:8" x14ac:dyDescent="0.35">
      <c r="A222" t="s">
        <v>411</v>
      </c>
    </row>
    <row r="223" spans="1:8" x14ac:dyDescent="0.35">
      <c r="A223" t="s">
        <v>1</v>
      </c>
    </row>
    <row r="224" spans="1:8" x14ac:dyDescent="0.35">
      <c r="A224" t="s">
        <v>2</v>
      </c>
      <c r="B224" t="s">
        <v>3</v>
      </c>
      <c r="C224" t="s">
        <v>4</v>
      </c>
      <c r="D224" t="s">
        <v>5</v>
      </c>
      <c r="E224" t="s">
        <v>6</v>
      </c>
      <c r="F224" t="s">
        <v>7</v>
      </c>
      <c r="G224" t="s">
        <v>8</v>
      </c>
    </row>
    <row r="225" spans="1:8" x14ac:dyDescent="0.35">
      <c r="A225" t="s">
        <v>412</v>
      </c>
      <c r="B225" t="s">
        <v>1145</v>
      </c>
      <c r="C225" t="s">
        <v>1146</v>
      </c>
      <c r="D225" t="s">
        <v>273</v>
      </c>
      <c r="E225">
        <v>103</v>
      </c>
      <c r="F225" t="s">
        <v>162</v>
      </c>
      <c r="G225">
        <v>113.30000000000001</v>
      </c>
      <c r="H225" t="s">
        <v>328</v>
      </c>
    </row>
    <row r="226" spans="1:8" x14ac:dyDescent="0.35">
      <c r="A226" t="s">
        <v>412</v>
      </c>
      <c r="B226" t="s">
        <v>1145</v>
      </c>
      <c r="C226" t="s">
        <v>1147</v>
      </c>
      <c r="D226" t="s">
        <v>59</v>
      </c>
      <c r="E226">
        <v>55</v>
      </c>
      <c r="F226" t="s">
        <v>413</v>
      </c>
      <c r="G226">
        <v>60.500000000000007</v>
      </c>
      <c r="H226" t="s">
        <v>197</v>
      </c>
    </row>
    <row r="227" spans="1:8" x14ac:dyDescent="0.35">
      <c r="A227" t="s">
        <v>412</v>
      </c>
      <c r="B227" t="s">
        <v>1148</v>
      </c>
      <c r="C227" t="s">
        <v>1149</v>
      </c>
      <c r="D227" t="s">
        <v>104</v>
      </c>
      <c r="E227">
        <v>65</v>
      </c>
      <c r="F227" t="s">
        <v>414</v>
      </c>
      <c r="G227">
        <v>71.5</v>
      </c>
      <c r="H227">
        <v>65</v>
      </c>
    </row>
    <row r="228" spans="1:8" x14ac:dyDescent="0.35">
      <c r="A228" t="s">
        <v>412</v>
      </c>
      <c r="B228" t="s">
        <v>1145</v>
      </c>
      <c r="C228" t="s">
        <v>1147</v>
      </c>
      <c r="D228" t="s">
        <v>30</v>
      </c>
      <c r="E228">
        <v>170</v>
      </c>
      <c r="F228" t="s">
        <v>415</v>
      </c>
      <c r="G228">
        <v>187.00000000000003</v>
      </c>
      <c r="H228" t="s">
        <v>416</v>
      </c>
    </row>
    <row r="229" spans="1:8" x14ac:dyDescent="0.35">
      <c r="A229" t="s">
        <v>412</v>
      </c>
      <c r="B229" t="s">
        <v>1145</v>
      </c>
      <c r="C229" t="s">
        <v>1146</v>
      </c>
      <c r="D229" t="s">
        <v>64</v>
      </c>
      <c r="E229">
        <v>90</v>
      </c>
      <c r="F229" t="s">
        <v>417</v>
      </c>
      <c r="G229">
        <v>99.000000000000014</v>
      </c>
      <c r="H229" t="s">
        <v>418</v>
      </c>
    </row>
    <row r="230" spans="1:8" x14ac:dyDescent="0.35">
      <c r="A230" t="s">
        <v>412</v>
      </c>
      <c r="B230" t="s">
        <v>1145</v>
      </c>
      <c r="C230" t="s">
        <v>1146</v>
      </c>
      <c r="D230" t="s">
        <v>67</v>
      </c>
      <c r="E230">
        <v>160</v>
      </c>
      <c r="F230" t="s">
        <v>419</v>
      </c>
      <c r="G230">
        <v>176</v>
      </c>
      <c r="H230" t="s">
        <v>420</v>
      </c>
    </row>
    <row r="231" spans="1:8" x14ac:dyDescent="0.35">
      <c r="A231" t="s">
        <v>412</v>
      </c>
      <c r="B231" t="s">
        <v>1145</v>
      </c>
      <c r="C231" t="s">
        <v>1146</v>
      </c>
      <c r="D231" t="s">
        <v>155</v>
      </c>
      <c r="E231">
        <v>46</v>
      </c>
      <c r="F231" t="s">
        <v>54</v>
      </c>
      <c r="G231">
        <v>50.6</v>
      </c>
      <c r="H231">
        <v>46</v>
      </c>
    </row>
    <row r="232" spans="1:8" x14ac:dyDescent="0.35">
      <c r="A232" t="s">
        <v>412</v>
      </c>
      <c r="B232" t="s">
        <v>1145</v>
      </c>
      <c r="C232" t="s">
        <v>1149</v>
      </c>
      <c r="D232" t="s">
        <v>150</v>
      </c>
      <c r="E232">
        <v>43</v>
      </c>
      <c r="F232" t="s">
        <v>421</v>
      </c>
      <c r="G232">
        <v>47.300000000000004</v>
      </c>
      <c r="H232" t="s">
        <v>422</v>
      </c>
    </row>
    <row r="233" spans="1:8" x14ac:dyDescent="0.35">
      <c r="A233" t="s">
        <v>412</v>
      </c>
      <c r="B233" t="s">
        <v>1150</v>
      </c>
      <c r="C233" t="s">
        <v>1149</v>
      </c>
      <c r="D233" t="s">
        <v>148</v>
      </c>
      <c r="E233">
        <v>150</v>
      </c>
      <c r="F233" t="s">
        <v>423</v>
      </c>
      <c r="G233">
        <v>165</v>
      </c>
      <c r="H233" t="s">
        <v>424</v>
      </c>
    </row>
    <row r="234" spans="1:8" x14ac:dyDescent="0.35">
      <c r="A234" t="s">
        <v>425</v>
      </c>
      <c r="B234" t="s">
        <v>1151</v>
      </c>
      <c r="C234" t="s">
        <v>1152</v>
      </c>
      <c r="D234" t="s">
        <v>134</v>
      </c>
      <c r="E234">
        <v>2</v>
      </c>
      <c r="F234" t="s">
        <v>426</v>
      </c>
      <c r="G234">
        <v>2.2000000000000002</v>
      </c>
      <c r="H234">
        <v>2</v>
      </c>
    </row>
    <row r="235" spans="1:8" x14ac:dyDescent="0.35">
      <c r="A235" t="s">
        <v>425</v>
      </c>
      <c r="B235" t="s">
        <v>1151</v>
      </c>
      <c r="C235" t="s">
        <v>1152</v>
      </c>
      <c r="D235" t="s">
        <v>140</v>
      </c>
      <c r="E235">
        <v>60</v>
      </c>
      <c r="F235" t="s">
        <v>120</v>
      </c>
      <c r="G235">
        <v>66</v>
      </c>
      <c r="H235" t="s">
        <v>427</v>
      </c>
    </row>
    <row r="236" spans="1:8" x14ac:dyDescent="0.35">
      <c r="A236" t="s">
        <v>428</v>
      </c>
      <c r="B236" t="s">
        <v>1153</v>
      </c>
      <c r="C236" t="s">
        <v>1154</v>
      </c>
      <c r="D236" t="s">
        <v>124</v>
      </c>
      <c r="E236">
        <v>53</v>
      </c>
      <c r="F236" t="s">
        <v>429</v>
      </c>
      <c r="G236">
        <v>58.300000000000004</v>
      </c>
      <c r="H236" t="s">
        <v>323</v>
      </c>
    </row>
    <row r="237" spans="1:8" x14ac:dyDescent="0.35">
      <c r="A237" t="s">
        <v>430</v>
      </c>
      <c r="B237" t="s">
        <v>1155</v>
      </c>
      <c r="C237" t="s">
        <v>1156</v>
      </c>
      <c r="D237" t="s">
        <v>49</v>
      </c>
      <c r="E237">
        <v>40</v>
      </c>
      <c r="F237" t="s">
        <v>54</v>
      </c>
      <c r="G237">
        <v>44</v>
      </c>
      <c r="H237">
        <v>40</v>
      </c>
    </row>
    <row r="238" spans="1:8" x14ac:dyDescent="0.35">
      <c r="A238" t="s">
        <v>431</v>
      </c>
      <c r="B238" t="s">
        <v>1157</v>
      </c>
      <c r="C238" t="s">
        <v>1158</v>
      </c>
      <c r="D238" t="s">
        <v>53</v>
      </c>
      <c r="E238">
        <v>71</v>
      </c>
      <c r="F238" t="s">
        <v>65</v>
      </c>
      <c r="G238">
        <v>78.100000000000009</v>
      </c>
      <c r="H238">
        <v>71</v>
      </c>
    </row>
    <row r="239" spans="1:8" x14ac:dyDescent="0.35">
      <c r="A239" t="s">
        <v>432</v>
      </c>
      <c r="B239" t="s">
        <v>1159</v>
      </c>
      <c r="C239" t="s">
        <v>1160</v>
      </c>
      <c r="D239" t="s">
        <v>53</v>
      </c>
      <c r="E239">
        <v>54</v>
      </c>
      <c r="F239" t="s">
        <v>433</v>
      </c>
      <c r="G239">
        <v>59.400000000000006</v>
      </c>
      <c r="H239" t="s">
        <v>434</v>
      </c>
    </row>
    <row r="240" spans="1:8" x14ac:dyDescent="0.35">
      <c r="D240" t="s">
        <v>435</v>
      </c>
      <c r="E240">
        <v>1162</v>
      </c>
    </row>
    <row r="241" spans="1:8" x14ac:dyDescent="0.35">
      <c r="A241" t="s">
        <v>411</v>
      </c>
    </row>
    <row r="242" spans="1:8" x14ac:dyDescent="0.35">
      <c r="A242" t="s">
        <v>35</v>
      </c>
    </row>
    <row r="243" spans="1:8" x14ac:dyDescent="0.35">
      <c r="A243" t="s">
        <v>2</v>
      </c>
      <c r="B243" t="s">
        <v>3</v>
      </c>
      <c r="C243" t="s">
        <v>4</v>
      </c>
      <c r="D243" t="s">
        <v>5</v>
      </c>
      <c r="E243" t="s">
        <v>6</v>
      </c>
      <c r="F243" t="s">
        <v>7</v>
      </c>
      <c r="G243" t="s">
        <v>8</v>
      </c>
    </row>
    <row r="244" spans="1:8" x14ac:dyDescent="0.35">
      <c r="A244" t="s">
        <v>437</v>
      </c>
      <c r="B244" t="s">
        <v>1161</v>
      </c>
      <c r="C244" t="s">
        <v>1162</v>
      </c>
      <c r="D244" t="s">
        <v>282</v>
      </c>
      <c r="E244">
        <v>160</v>
      </c>
      <c r="F244" t="s">
        <v>39</v>
      </c>
      <c r="G244">
        <v>176</v>
      </c>
    </row>
    <row r="245" spans="1:8" x14ac:dyDescent="0.35">
      <c r="A245" t="s">
        <v>437</v>
      </c>
      <c r="B245" t="s">
        <v>1161</v>
      </c>
      <c r="C245" t="s">
        <v>1163</v>
      </c>
      <c r="D245" t="s">
        <v>438</v>
      </c>
      <c r="E245">
        <v>87</v>
      </c>
      <c r="F245" t="s">
        <v>439</v>
      </c>
      <c r="G245">
        <v>95.7</v>
      </c>
      <c r="H245" t="s">
        <v>440</v>
      </c>
    </row>
    <row r="246" spans="1:8" x14ac:dyDescent="0.35">
      <c r="A246" t="s">
        <v>21</v>
      </c>
      <c r="B246" t="s">
        <v>930</v>
      </c>
      <c r="C246" t="s">
        <v>931</v>
      </c>
      <c r="D246" t="s">
        <v>199</v>
      </c>
      <c r="E246">
        <v>295</v>
      </c>
      <c r="F246" t="s">
        <v>23</v>
      </c>
      <c r="G246">
        <v>324.5</v>
      </c>
      <c r="H246" t="s">
        <v>441</v>
      </c>
    </row>
    <row r="247" spans="1:8" x14ac:dyDescent="0.35">
      <c r="A247" t="s">
        <v>442</v>
      </c>
      <c r="B247" t="s">
        <v>1164</v>
      </c>
      <c r="C247" t="s">
        <v>1165</v>
      </c>
      <c r="D247" t="s">
        <v>208</v>
      </c>
      <c r="E247">
        <v>83</v>
      </c>
      <c r="F247" t="s">
        <v>443</v>
      </c>
      <c r="G247">
        <v>91.300000000000011</v>
      </c>
      <c r="H247" t="s">
        <v>444</v>
      </c>
    </row>
    <row r="248" spans="1:8" x14ac:dyDescent="0.35">
      <c r="A248" t="s">
        <v>442</v>
      </c>
      <c r="B248" t="s">
        <v>1164</v>
      </c>
      <c r="C248" t="s">
        <v>1165</v>
      </c>
      <c r="D248" t="s">
        <v>176</v>
      </c>
      <c r="E248">
        <v>57</v>
      </c>
      <c r="F248" t="s">
        <v>15</v>
      </c>
      <c r="G248">
        <v>62.7</v>
      </c>
      <c r="H248" t="s">
        <v>445</v>
      </c>
    </row>
    <row r="249" spans="1:8" x14ac:dyDescent="0.35">
      <c r="A249" t="s">
        <v>446</v>
      </c>
      <c r="B249" t="s">
        <v>1166</v>
      </c>
      <c r="C249" t="s">
        <v>1167</v>
      </c>
      <c r="D249" t="s">
        <v>70</v>
      </c>
      <c r="E249">
        <v>150</v>
      </c>
      <c r="F249" t="s">
        <v>423</v>
      </c>
      <c r="G249">
        <v>165</v>
      </c>
      <c r="H249" t="s">
        <v>424</v>
      </c>
    </row>
    <row r="250" spans="1:8" x14ac:dyDescent="0.35">
      <c r="A250" t="s">
        <v>447</v>
      </c>
      <c r="B250" t="s">
        <v>1168</v>
      </c>
      <c r="C250" t="s">
        <v>1169</v>
      </c>
      <c r="D250" t="s">
        <v>172</v>
      </c>
      <c r="E250">
        <v>17</v>
      </c>
      <c r="F250" t="s">
        <v>448</v>
      </c>
      <c r="G250">
        <v>18.700000000000003</v>
      </c>
      <c r="H250">
        <v>17</v>
      </c>
    </row>
    <row r="251" spans="1:8" x14ac:dyDescent="0.35">
      <c r="A251" t="s">
        <v>449</v>
      </c>
      <c r="B251" t="s">
        <v>1170</v>
      </c>
      <c r="C251" t="s">
        <v>1156</v>
      </c>
      <c r="D251" t="s">
        <v>14</v>
      </c>
      <c r="E251">
        <v>65</v>
      </c>
      <c r="F251" t="s">
        <v>143</v>
      </c>
      <c r="G251">
        <v>71.5</v>
      </c>
      <c r="H251" t="s">
        <v>278</v>
      </c>
    </row>
    <row r="252" spans="1:8" x14ac:dyDescent="0.35">
      <c r="A252" t="s">
        <v>449</v>
      </c>
      <c r="B252" t="s">
        <v>1170</v>
      </c>
      <c r="C252" t="s">
        <v>1110</v>
      </c>
      <c r="D252" t="s">
        <v>11</v>
      </c>
      <c r="E252">
        <v>160</v>
      </c>
      <c r="F252" t="s">
        <v>415</v>
      </c>
      <c r="G252">
        <v>176</v>
      </c>
      <c r="H252" t="s">
        <v>450</v>
      </c>
    </row>
    <row r="253" spans="1:8" x14ac:dyDescent="0.35">
      <c r="A253" t="s">
        <v>451</v>
      </c>
      <c r="B253" t="s">
        <v>1171</v>
      </c>
      <c r="C253" t="s">
        <v>1172</v>
      </c>
      <c r="D253" t="s">
        <v>212</v>
      </c>
      <c r="E253">
        <v>85</v>
      </c>
      <c r="F253" t="s">
        <v>452</v>
      </c>
      <c r="G253">
        <v>93.500000000000014</v>
      </c>
      <c r="H253" t="s">
        <v>453</v>
      </c>
    </row>
    <row r="254" spans="1:8" x14ac:dyDescent="0.35">
      <c r="A254" t="s">
        <v>454</v>
      </c>
      <c r="B254" t="s">
        <v>949</v>
      </c>
      <c r="C254" t="s">
        <v>1059</v>
      </c>
      <c r="D254" t="s">
        <v>190</v>
      </c>
      <c r="E254">
        <v>136</v>
      </c>
      <c r="F254" t="s">
        <v>455</v>
      </c>
      <c r="G254">
        <v>149.60000000000002</v>
      </c>
      <c r="H254" t="s">
        <v>456</v>
      </c>
    </row>
    <row r="255" spans="1:8" x14ac:dyDescent="0.35">
      <c r="D255" t="s">
        <v>457</v>
      </c>
      <c r="E255">
        <v>1135</v>
      </c>
    </row>
    <row r="256" spans="1:8" x14ac:dyDescent="0.35">
      <c r="A256" t="s">
        <v>411</v>
      </c>
    </row>
    <row r="257" spans="1:8" x14ac:dyDescent="0.35">
      <c r="A257" t="s">
        <v>77</v>
      </c>
    </row>
    <row r="258" spans="1:8" x14ac:dyDescent="0.35">
      <c r="A258" t="s">
        <v>2</v>
      </c>
      <c r="B258" t="s">
        <v>3</v>
      </c>
      <c r="C258" t="s">
        <v>4</v>
      </c>
      <c r="D258" t="s">
        <v>5</v>
      </c>
      <c r="E258" t="s">
        <v>6</v>
      </c>
      <c r="F258" t="s">
        <v>7</v>
      </c>
      <c r="G258" t="s">
        <v>8</v>
      </c>
    </row>
    <row r="259" spans="1:8" x14ac:dyDescent="0.35">
      <c r="A259" t="s">
        <v>459</v>
      </c>
      <c r="B259" t="s">
        <v>1173</v>
      </c>
      <c r="C259" t="s">
        <v>1174</v>
      </c>
      <c r="D259" t="s">
        <v>126</v>
      </c>
      <c r="E259">
        <v>95</v>
      </c>
      <c r="F259" t="s">
        <v>137</v>
      </c>
      <c r="G259">
        <v>104.50000000000001</v>
      </c>
      <c r="H259" t="s">
        <v>460</v>
      </c>
    </row>
    <row r="260" spans="1:8" x14ac:dyDescent="0.35">
      <c r="A260" t="s">
        <v>461</v>
      </c>
      <c r="B260" t="s">
        <v>1175</v>
      </c>
      <c r="C260" t="s">
        <v>1176</v>
      </c>
      <c r="D260" t="s">
        <v>205</v>
      </c>
      <c r="E260">
        <v>99</v>
      </c>
      <c r="F260" t="s">
        <v>462</v>
      </c>
      <c r="G260">
        <v>108.9</v>
      </c>
      <c r="H260" t="s">
        <v>463</v>
      </c>
    </row>
    <row r="261" spans="1:8" x14ac:dyDescent="0.35">
      <c r="A261" t="s">
        <v>464</v>
      </c>
      <c r="B261" t="s">
        <v>1177</v>
      </c>
      <c r="C261" t="s">
        <v>1069</v>
      </c>
      <c r="D261" t="s">
        <v>179</v>
      </c>
      <c r="E261">
        <v>70</v>
      </c>
      <c r="F261" t="s">
        <v>143</v>
      </c>
      <c r="G261">
        <v>77</v>
      </c>
      <c r="H261" t="s">
        <v>465</v>
      </c>
    </row>
    <row r="262" spans="1:8" x14ac:dyDescent="0.35">
      <c r="A262" t="s">
        <v>466</v>
      </c>
      <c r="B262" t="s">
        <v>1178</v>
      </c>
      <c r="C262" t="s">
        <v>1069</v>
      </c>
      <c r="D262" t="s">
        <v>116</v>
      </c>
      <c r="E262">
        <v>101</v>
      </c>
      <c r="F262" t="s">
        <v>162</v>
      </c>
      <c r="G262">
        <v>111.10000000000001</v>
      </c>
      <c r="H262" t="s">
        <v>467</v>
      </c>
    </row>
    <row r="263" spans="1:8" x14ac:dyDescent="0.35">
      <c r="A263" t="s">
        <v>468</v>
      </c>
      <c r="B263" t="s">
        <v>1179</v>
      </c>
      <c r="C263" t="s">
        <v>1180</v>
      </c>
      <c r="D263" t="s">
        <v>220</v>
      </c>
      <c r="E263">
        <v>189</v>
      </c>
      <c r="F263" t="s">
        <v>23</v>
      </c>
      <c r="G263">
        <v>207.9</v>
      </c>
      <c r="H263" t="s">
        <v>469</v>
      </c>
    </row>
    <row r="264" spans="1:8" x14ac:dyDescent="0.35">
      <c r="A264" t="s">
        <v>470</v>
      </c>
      <c r="B264" t="s">
        <v>1181</v>
      </c>
      <c r="C264" t="s">
        <v>998</v>
      </c>
      <c r="D264" t="s">
        <v>305</v>
      </c>
      <c r="E264">
        <v>70</v>
      </c>
      <c r="F264" t="s">
        <v>15</v>
      </c>
      <c r="G264">
        <v>77</v>
      </c>
      <c r="H264" t="s">
        <v>306</v>
      </c>
    </row>
    <row r="265" spans="1:8" x14ac:dyDescent="0.35">
      <c r="A265" t="s">
        <v>471</v>
      </c>
      <c r="B265" t="s">
        <v>1182</v>
      </c>
      <c r="C265" t="s">
        <v>1183</v>
      </c>
      <c r="D265" t="s">
        <v>349</v>
      </c>
      <c r="E265">
        <v>138</v>
      </c>
      <c r="F265" t="s">
        <v>455</v>
      </c>
      <c r="G265">
        <v>151.80000000000001</v>
      </c>
      <c r="H265" t="s">
        <v>472</v>
      </c>
    </row>
    <row r="266" spans="1:8" x14ac:dyDescent="0.35">
      <c r="A266" t="s">
        <v>470</v>
      </c>
      <c r="B266" t="s">
        <v>1184</v>
      </c>
      <c r="C266" t="s">
        <v>998</v>
      </c>
      <c r="D266" t="s">
        <v>251</v>
      </c>
      <c r="E266">
        <v>225</v>
      </c>
      <c r="F266" t="s">
        <v>473</v>
      </c>
      <c r="G266">
        <v>247.50000000000003</v>
      </c>
      <c r="H266" t="s">
        <v>474</v>
      </c>
    </row>
    <row r="267" spans="1:8" x14ac:dyDescent="0.35">
      <c r="A267" t="s">
        <v>475</v>
      </c>
      <c r="B267" t="s">
        <v>1185</v>
      </c>
      <c r="C267" t="s">
        <v>1186</v>
      </c>
      <c r="D267" t="s">
        <v>216</v>
      </c>
      <c r="E267">
        <v>87</v>
      </c>
      <c r="F267" t="s">
        <v>476</v>
      </c>
      <c r="G267">
        <v>95.7</v>
      </c>
      <c r="H267" t="s">
        <v>477</v>
      </c>
    </row>
    <row r="268" spans="1:8" x14ac:dyDescent="0.35">
      <c r="A268" t="s">
        <v>478</v>
      </c>
      <c r="B268" t="s">
        <v>1187</v>
      </c>
      <c r="C268" t="s">
        <v>1188</v>
      </c>
      <c r="D268" t="s">
        <v>236</v>
      </c>
      <c r="E268">
        <v>154</v>
      </c>
      <c r="F268" t="s">
        <v>415</v>
      </c>
      <c r="G268">
        <v>169.4</v>
      </c>
      <c r="H268" t="s">
        <v>479</v>
      </c>
    </row>
    <row r="269" spans="1:8" x14ac:dyDescent="0.35">
      <c r="D269" t="s">
        <v>480</v>
      </c>
      <c r="E269">
        <v>1228</v>
      </c>
    </row>
    <row r="270" spans="1:8" x14ac:dyDescent="0.35">
      <c r="A270" t="s">
        <v>482</v>
      </c>
    </row>
    <row r="271" spans="1:8" x14ac:dyDescent="0.35">
      <c r="A271" t="s">
        <v>1</v>
      </c>
    </row>
    <row r="272" spans="1:8" x14ac:dyDescent="0.35">
      <c r="A272" t="s">
        <v>2</v>
      </c>
      <c r="B272" t="s">
        <v>3</v>
      </c>
      <c r="C272" t="s">
        <v>4</v>
      </c>
      <c r="D272" t="s">
        <v>5</v>
      </c>
      <c r="E272" t="s">
        <v>6</v>
      </c>
      <c r="F272" t="s">
        <v>7</v>
      </c>
      <c r="G272" t="s">
        <v>8</v>
      </c>
    </row>
    <row r="273" spans="1:8" x14ac:dyDescent="0.35">
      <c r="A273" t="s">
        <v>483</v>
      </c>
      <c r="B273" t="s">
        <v>1189</v>
      </c>
      <c r="C273" t="s">
        <v>1190</v>
      </c>
      <c r="D273" t="s">
        <v>56</v>
      </c>
      <c r="E273">
        <v>155</v>
      </c>
      <c r="F273" t="s">
        <v>484</v>
      </c>
      <c r="G273">
        <v>170.5</v>
      </c>
      <c r="H273" t="s">
        <v>485</v>
      </c>
    </row>
    <row r="274" spans="1:8" x14ac:dyDescent="0.35">
      <c r="A274" t="s">
        <v>483</v>
      </c>
      <c r="B274" t="s">
        <v>1189</v>
      </c>
      <c r="C274" t="s">
        <v>1190</v>
      </c>
      <c r="D274" t="s">
        <v>41</v>
      </c>
      <c r="E274">
        <v>75</v>
      </c>
      <c r="F274" t="s">
        <v>63</v>
      </c>
      <c r="G274">
        <v>82.5</v>
      </c>
      <c r="H274">
        <v>75</v>
      </c>
    </row>
    <row r="275" spans="1:8" x14ac:dyDescent="0.35">
      <c r="A275" t="s">
        <v>483</v>
      </c>
      <c r="B275" t="s">
        <v>1189</v>
      </c>
      <c r="C275" t="s">
        <v>1190</v>
      </c>
      <c r="D275" t="s">
        <v>270</v>
      </c>
      <c r="E275">
        <v>132</v>
      </c>
      <c r="F275" t="s">
        <v>486</v>
      </c>
      <c r="G275">
        <v>145.20000000000002</v>
      </c>
      <c r="H275" t="s">
        <v>487</v>
      </c>
    </row>
    <row r="276" spans="1:8" x14ac:dyDescent="0.35">
      <c r="A276" t="s">
        <v>483</v>
      </c>
      <c r="B276" t="s">
        <v>1189</v>
      </c>
      <c r="C276" t="s">
        <v>1190</v>
      </c>
      <c r="D276" t="s">
        <v>43</v>
      </c>
      <c r="E276">
        <v>80</v>
      </c>
      <c r="F276" t="s">
        <v>443</v>
      </c>
      <c r="G276">
        <v>88</v>
      </c>
      <c r="H276" t="s">
        <v>392</v>
      </c>
    </row>
    <row r="277" spans="1:8" x14ac:dyDescent="0.35">
      <c r="A277" t="s">
        <v>488</v>
      </c>
      <c r="B277" t="s">
        <v>1191</v>
      </c>
      <c r="C277" t="s">
        <v>994</v>
      </c>
      <c r="D277" t="s">
        <v>26</v>
      </c>
      <c r="E277">
        <v>76</v>
      </c>
      <c r="F277" t="s">
        <v>65</v>
      </c>
      <c r="G277">
        <v>83.600000000000009</v>
      </c>
      <c r="H277">
        <v>76</v>
      </c>
    </row>
    <row r="278" spans="1:8" x14ac:dyDescent="0.35">
      <c r="A278" t="s">
        <v>489</v>
      </c>
      <c r="B278" t="s">
        <v>1192</v>
      </c>
      <c r="C278" t="s">
        <v>1193</v>
      </c>
      <c r="D278" t="s">
        <v>292</v>
      </c>
      <c r="E278">
        <v>32</v>
      </c>
      <c r="F278" t="s">
        <v>65</v>
      </c>
      <c r="G278">
        <v>35.200000000000003</v>
      </c>
      <c r="H278">
        <v>32</v>
      </c>
    </row>
    <row r="279" spans="1:8" x14ac:dyDescent="0.35">
      <c r="A279" t="s">
        <v>490</v>
      </c>
      <c r="B279" t="s">
        <v>1194</v>
      </c>
      <c r="C279" t="s">
        <v>1195</v>
      </c>
      <c r="D279" t="s">
        <v>101</v>
      </c>
      <c r="E279">
        <v>80</v>
      </c>
      <c r="F279" t="s">
        <v>491</v>
      </c>
      <c r="G279">
        <v>88</v>
      </c>
      <c r="H279" t="s">
        <v>492</v>
      </c>
    </row>
    <row r="280" spans="1:8" x14ac:dyDescent="0.35">
      <c r="A280" t="s">
        <v>493</v>
      </c>
      <c r="B280" t="s">
        <v>1196</v>
      </c>
      <c r="C280" t="s">
        <v>1197</v>
      </c>
      <c r="D280" t="s">
        <v>73</v>
      </c>
      <c r="E280">
        <v>250</v>
      </c>
      <c r="F280" t="s">
        <v>19</v>
      </c>
      <c r="G280">
        <v>275</v>
      </c>
      <c r="H280" t="s">
        <v>494</v>
      </c>
    </row>
    <row r="281" spans="1:8" x14ac:dyDescent="0.35">
      <c r="A281" t="s">
        <v>495</v>
      </c>
      <c r="B281" t="s">
        <v>1198</v>
      </c>
      <c r="C281" t="s">
        <v>1199</v>
      </c>
      <c r="D281" t="s">
        <v>47</v>
      </c>
      <c r="E281">
        <v>37</v>
      </c>
      <c r="F281" t="s">
        <v>234</v>
      </c>
      <c r="G281">
        <v>40.700000000000003</v>
      </c>
      <c r="H281">
        <v>37</v>
      </c>
    </row>
    <row r="282" spans="1:8" x14ac:dyDescent="0.35">
      <c r="A282" t="s">
        <v>495</v>
      </c>
      <c r="B282" t="s">
        <v>1198</v>
      </c>
      <c r="C282" t="s">
        <v>1199</v>
      </c>
      <c r="D282" t="s">
        <v>38</v>
      </c>
      <c r="E282">
        <v>240</v>
      </c>
      <c r="F282" t="s">
        <v>91</v>
      </c>
      <c r="G282">
        <v>264</v>
      </c>
      <c r="H282" t="s">
        <v>496</v>
      </c>
    </row>
    <row r="283" spans="1:8" x14ac:dyDescent="0.35">
      <c r="D283" t="s">
        <v>497</v>
      </c>
      <c r="E283">
        <v>1157</v>
      </c>
    </row>
    <row r="284" spans="1:8" x14ac:dyDescent="0.35">
      <c r="A284" t="s">
        <v>482</v>
      </c>
    </row>
    <row r="285" spans="1:8" x14ac:dyDescent="0.35">
      <c r="A285" t="s">
        <v>35</v>
      </c>
    </row>
    <row r="286" spans="1:8" x14ac:dyDescent="0.35">
      <c r="A286" t="s">
        <v>2</v>
      </c>
      <c r="B286" t="s">
        <v>3</v>
      </c>
      <c r="C286" t="s">
        <v>4</v>
      </c>
      <c r="D286" t="s">
        <v>5</v>
      </c>
      <c r="E286" t="s">
        <v>6</v>
      </c>
      <c r="F286" t="s">
        <v>7</v>
      </c>
      <c r="G286" t="s">
        <v>8</v>
      </c>
    </row>
    <row r="287" spans="1:8" x14ac:dyDescent="0.35">
      <c r="A287" t="s">
        <v>61</v>
      </c>
      <c r="B287" t="s">
        <v>949</v>
      </c>
      <c r="C287" t="s">
        <v>1020</v>
      </c>
      <c r="D287" t="s">
        <v>305</v>
      </c>
      <c r="E287">
        <v>70</v>
      </c>
      <c r="F287" t="s">
        <v>143</v>
      </c>
      <c r="G287">
        <v>77</v>
      </c>
      <c r="H287" t="s">
        <v>352</v>
      </c>
    </row>
    <row r="288" spans="1:8" x14ac:dyDescent="0.35">
      <c r="A288" t="s">
        <v>61</v>
      </c>
      <c r="B288" t="s">
        <v>949</v>
      </c>
      <c r="C288" t="s">
        <v>1020</v>
      </c>
      <c r="D288" t="s">
        <v>155</v>
      </c>
      <c r="E288">
        <v>46</v>
      </c>
      <c r="F288" t="s">
        <v>499</v>
      </c>
      <c r="G288">
        <v>50.6</v>
      </c>
      <c r="H288" t="s">
        <v>500</v>
      </c>
    </row>
    <row r="289" spans="1:8" x14ac:dyDescent="0.35">
      <c r="A289" t="s">
        <v>61</v>
      </c>
      <c r="B289" t="s">
        <v>949</v>
      </c>
      <c r="C289" t="s">
        <v>1020</v>
      </c>
      <c r="D289" t="s">
        <v>152</v>
      </c>
      <c r="E289">
        <v>83</v>
      </c>
      <c r="F289" t="s">
        <v>501</v>
      </c>
      <c r="G289">
        <v>91.300000000000011</v>
      </c>
      <c r="H289" t="s">
        <v>502</v>
      </c>
    </row>
    <row r="290" spans="1:8" x14ac:dyDescent="0.35">
      <c r="A290" t="s">
        <v>61</v>
      </c>
      <c r="B290" t="s">
        <v>949</v>
      </c>
      <c r="C290" t="s">
        <v>1020</v>
      </c>
      <c r="D290" t="s">
        <v>253</v>
      </c>
      <c r="E290">
        <v>85</v>
      </c>
      <c r="F290" t="s">
        <v>137</v>
      </c>
      <c r="G290">
        <v>93.500000000000014</v>
      </c>
      <c r="H290" t="s">
        <v>503</v>
      </c>
    </row>
    <row r="291" spans="1:8" x14ac:dyDescent="0.35">
      <c r="A291" t="s">
        <v>61</v>
      </c>
      <c r="B291" t="s">
        <v>949</v>
      </c>
      <c r="C291" t="s">
        <v>1071</v>
      </c>
      <c r="D291" t="s">
        <v>110</v>
      </c>
      <c r="E291">
        <v>56</v>
      </c>
      <c r="F291" t="s">
        <v>504</v>
      </c>
      <c r="G291">
        <v>61.600000000000009</v>
      </c>
      <c r="H291" t="s">
        <v>505</v>
      </c>
    </row>
    <row r="292" spans="1:8" x14ac:dyDescent="0.35">
      <c r="A292" t="s">
        <v>61</v>
      </c>
      <c r="B292" t="s">
        <v>949</v>
      </c>
      <c r="C292" t="s">
        <v>1071</v>
      </c>
      <c r="D292" t="s">
        <v>111</v>
      </c>
      <c r="E292">
        <v>130</v>
      </c>
      <c r="F292" t="s">
        <v>506</v>
      </c>
      <c r="G292">
        <v>143</v>
      </c>
      <c r="H292" t="s">
        <v>507</v>
      </c>
    </row>
    <row r="293" spans="1:8" x14ac:dyDescent="0.35">
      <c r="A293" t="s">
        <v>61</v>
      </c>
      <c r="B293" t="s">
        <v>949</v>
      </c>
      <c r="C293" t="s">
        <v>1020</v>
      </c>
      <c r="D293" t="s">
        <v>246</v>
      </c>
      <c r="E293">
        <v>128</v>
      </c>
      <c r="F293" t="s">
        <v>455</v>
      </c>
      <c r="G293">
        <v>140.80000000000001</v>
      </c>
      <c r="H293" t="s">
        <v>508</v>
      </c>
    </row>
    <row r="294" spans="1:8" x14ac:dyDescent="0.35">
      <c r="A294" t="s">
        <v>61</v>
      </c>
      <c r="B294" t="s">
        <v>949</v>
      </c>
      <c r="C294" t="s">
        <v>1200</v>
      </c>
      <c r="D294" t="s">
        <v>122</v>
      </c>
      <c r="E294">
        <v>130</v>
      </c>
      <c r="F294" t="s">
        <v>509</v>
      </c>
      <c r="G294">
        <v>143</v>
      </c>
      <c r="H294" t="s">
        <v>510</v>
      </c>
    </row>
    <row r="295" spans="1:8" x14ac:dyDescent="0.35">
      <c r="A295" t="s">
        <v>454</v>
      </c>
      <c r="B295" t="s">
        <v>949</v>
      </c>
      <c r="C295" t="s">
        <v>1201</v>
      </c>
      <c r="D295" t="s">
        <v>22</v>
      </c>
      <c r="E295">
        <v>262</v>
      </c>
      <c r="F295" t="s">
        <v>23</v>
      </c>
      <c r="G295">
        <v>288.20000000000005</v>
      </c>
      <c r="H295" t="s">
        <v>24</v>
      </c>
    </row>
    <row r="296" spans="1:8" x14ac:dyDescent="0.35">
      <c r="A296" t="s">
        <v>511</v>
      </c>
      <c r="B296" t="s">
        <v>1202</v>
      </c>
      <c r="C296" t="s">
        <v>1008</v>
      </c>
      <c r="D296" t="s">
        <v>194</v>
      </c>
      <c r="E296">
        <v>60</v>
      </c>
      <c r="F296" t="s">
        <v>15</v>
      </c>
      <c r="G296">
        <v>66</v>
      </c>
      <c r="H296" t="s">
        <v>512</v>
      </c>
    </row>
    <row r="297" spans="1:8" x14ac:dyDescent="0.35">
      <c r="A297" t="s">
        <v>513</v>
      </c>
      <c r="B297" t="s">
        <v>1203</v>
      </c>
      <c r="C297" t="s">
        <v>1008</v>
      </c>
      <c r="D297" t="s">
        <v>195</v>
      </c>
      <c r="E297">
        <v>55</v>
      </c>
      <c r="F297" t="s">
        <v>514</v>
      </c>
      <c r="G297">
        <v>60.500000000000007</v>
      </c>
      <c r="H297" t="s">
        <v>515</v>
      </c>
    </row>
    <row r="298" spans="1:8" x14ac:dyDescent="0.35">
      <c r="A298" t="s">
        <v>516</v>
      </c>
      <c r="B298" t="s">
        <v>1204</v>
      </c>
      <c r="C298" t="s">
        <v>1079</v>
      </c>
      <c r="D298" t="s">
        <v>94</v>
      </c>
      <c r="E298">
        <v>40</v>
      </c>
      <c r="F298" t="s">
        <v>234</v>
      </c>
      <c r="G298">
        <v>44</v>
      </c>
      <c r="H298">
        <v>40</v>
      </c>
    </row>
    <row r="299" spans="1:8" x14ac:dyDescent="0.35">
      <c r="D299" t="s">
        <v>517</v>
      </c>
      <c r="E299">
        <v>1145</v>
      </c>
    </row>
    <row r="300" spans="1:8" x14ac:dyDescent="0.35">
      <c r="A300" t="s">
        <v>482</v>
      </c>
    </row>
    <row r="301" spans="1:8" x14ac:dyDescent="0.35">
      <c r="A301" t="s">
        <v>77</v>
      </c>
    </row>
    <row r="302" spans="1:8" x14ac:dyDescent="0.35">
      <c r="A302" t="s">
        <v>2</v>
      </c>
      <c r="B302" t="s">
        <v>3</v>
      </c>
      <c r="C302" t="s">
        <v>4</v>
      </c>
      <c r="D302" t="s">
        <v>5</v>
      </c>
      <c r="E302" t="s">
        <v>6</v>
      </c>
      <c r="F302" t="s">
        <v>7</v>
      </c>
      <c r="G302" t="s">
        <v>8</v>
      </c>
    </row>
    <row r="303" spans="1:8" x14ac:dyDescent="0.35">
      <c r="A303" t="s">
        <v>519</v>
      </c>
      <c r="B303" t="s">
        <v>1205</v>
      </c>
      <c r="C303" t="s">
        <v>1160</v>
      </c>
      <c r="D303" t="s">
        <v>124</v>
      </c>
      <c r="E303">
        <v>30</v>
      </c>
      <c r="F303" t="s">
        <v>54</v>
      </c>
      <c r="G303">
        <v>33</v>
      </c>
      <c r="H303">
        <v>30</v>
      </c>
    </row>
    <row r="304" spans="1:8" x14ac:dyDescent="0.35">
      <c r="A304" t="s">
        <v>520</v>
      </c>
      <c r="B304" t="s">
        <v>1206</v>
      </c>
      <c r="C304" t="s">
        <v>1207</v>
      </c>
      <c r="D304" t="s">
        <v>86</v>
      </c>
      <c r="E304">
        <v>230</v>
      </c>
      <c r="F304" t="s">
        <v>521</v>
      </c>
      <c r="G304">
        <v>253.00000000000003</v>
      </c>
      <c r="H304" t="s">
        <v>522</v>
      </c>
    </row>
    <row r="305" spans="1:8" x14ac:dyDescent="0.35">
      <c r="A305" t="s">
        <v>523</v>
      </c>
      <c r="B305" t="s">
        <v>1208</v>
      </c>
      <c r="C305" t="s">
        <v>1209</v>
      </c>
      <c r="D305" t="s">
        <v>98</v>
      </c>
      <c r="E305">
        <v>23</v>
      </c>
      <c r="F305" t="s">
        <v>524</v>
      </c>
      <c r="G305">
        <v>25.3</v>
      </c>
      <c r="H305">
        <v>23</v>
      </c>
    </row>
    <row r="306" spans="1:8" x14ac:dyDescent="0.35">
      <c r="A306" t="s">
        <v>525</v>
      </c>
      <c r="B306" t="s">
        <v>1210</v>
      </c>
      <c r="C306" t="s">
        <v>1209</v>
      </c>
      <c r="D306" t="s">
        <v>82</v>
      </c>
      <c r="E306">
        <v>135</v>
      </c>
      <c r="F306" t="s">
        <v>455</v>
      </c>
      <c r="G306">
        <v>148.5</v>
      </c>
      <c r="H306" t="s">
        <v>526</v>
      </c>
    </row>
    <row r="307" spans="1:8" x14ac:dyDescent="0.35">
      <c r="A307" t="s">
        <v>525</v>
      </c>
      <c r="B307" t="s">
        <v>1210</v>
      </c>
      <c r="C307" t="s">
        <v>1209</v>
      </c>
      <c r="D307" t="s">
        <v>185</v>
      </c>
      <c r="E307">
        <v>69</v>
      </c>
      <c r="F307" t="s">
        <v>283</v>
      </c>
      <c r="G307">
        <v>75.900000000000006</v>
      </c>
      <c r="H307" t="s">
        <v>527</v>
      </c>
    </row>
    <row r="308" spans="1:8" x14ac:dyDescent="0.35">
      <c r="A308" t="s">
        <v>528</v>
      </c>
      <c r="B308" t="s">
        <v>1211</v>
      </c>
      <c r="C308" t="s">
        <v>1212</v>
      </c>
      <c r="D308" t="s">
        <v>161</v>
      </c>
      <c r="E308">
        <v>100</v>
      </c>
      <c r="F308" t="s">
        <v>137</v>
      </c>
      <c r="G308">
        <v>110.00000000000001</v>
      </c>
      <c r="H308" t="s">
        <v>206</v>
      </c>
    </row>
    <row r="309" spans="1:8" x14ac:dyDescent="0.35">
      <c r="A309" t="s">
        <v>529</v>
      </c>
      <c r="B309" t="s">
        <v>1213</v>
      </c>
      <c r="C309" t="s">
        <v>1212</v>
      </c>
      <c r="D309" t="s">
        <v>159</v>
      </c>
      <c r="E309">
        <v>75</v>
      </c>
      <c r="F309" t="s">
        <v>143</v>
      </c>
      <c r="G309">
        <v>82.5</v>
      </c>
      <c r="H309" t="s">
        <v>530</v>
      </c>
    </row>
    <row r="310" spans="1:8" x14ac:dyDescent="0.35">
      <c r="A310" t="s">
        <v>531</v>
      </c>
      <c r="B310" t="s">
        <v>1214</v>
      </c>
      <c r="C310" t="s">
        <v>983</v>
      </c>
      <c r="D310" t="s">
        <v>11</v>
      </c>
      <c r="E310">
        <v>160</v>
      </c>
      <c r="F310" t="s">
        <v>238</v>
      </c>
      <c r="G310">
        <v>176</v>
      </c>
      <c r="H310" t="s">
        <v>532</v>
      </c>
    </row>
    <row r="311" spans="1:8" x14ac:dyDescent="0.35">
      <c r="A311" t="s">
        <v>533</v>
      </c>
      <c r="B311" t="s">
        <v>1215</v>
      </c>
      <c r="C311" t="s">
        <v>1180</v>
      </c>
      <c r="D311" t="s">
        <v>90</v>
      </c>
      <c r="E311">
        <v>240</v>
      </c>
      <c r="F311" t="s">
        <v>23</v>
      </c>
      <c r="G311">
        <v>264</v>
      </c>
      <c r="H311" t="s">
        <v>534</v>
      </c>
    </row>
    <row r="312" spans="1:8" x14ac:dyDescent="0.35">
      <c r="D312" t="s">
        <v>535</v>
      </c>
      <c r="E312">
        <v>1062</v>
      </c>
    </row>
    <row r="313" spans="1:8" x14ac:dyDescent="0.35">
      <c r="A313" t="s">
        <v>537</v>
      </c>
    </row>
    <row r="314" spans="1:8" x14ac:dyDescent="0.35">
      <c r="A314" t="s">
        <v>1</v>
      </c>
    </row>
    <row r="315" spans="1:8" x14ac:dyDescent="0.35">
      <c r="A315" t="s">
        <v>2</v>
      </c>
      <c r="B315" t="s">
        <v>3</v>
      </c>
      <c r="C315" t="s">
        <v>4</v>
      </c>
      <c r="D315" t="s">
        <v>5</v>
      </c>
      <c r="E315" t="s">
        <v>6</v>
      </c>
      <c r="F315" t="s">
        <v>7</v>
      </c>
      <c r="G315" t="s">
        <v>8</v>
      </c>
    </row>
    <row r="316" spans="1:8" x14ac:dyDescent="0.35">
      <c r="A316" t="s">
        <v>495</v>
      </c>
      <c r="B316" t="s">
        <v>1198</v>
      </c>
      <c r="C316" t="s">
        <v>1216</v>
      </c>
      <c r="D316" t="s">
        <v>150</v>
      </c>
      <c r="E316">
        <v>80</v>
      </c>
      <c r="F316" t="s">
        <v>39</v>
      </c>
      <c r="G316">
        <v>88</v>
      </c>
    </row>
    <row r="317" spans="1:8" x14ac:dyDescent="0.35">
      <c r="A317" t="s">
        <v>495</v>
      </c>
      <c r="B317" t="s">
        <v>1198</v>
      </c>
      <c r="C317" t="s">
        <v>1216</v>
      </c>
      <c r="D317" t="s">
        <v>45</v>
      </c>
      <c r="E317">
        <v>82</v>
      </c>
      <c r="F317" t="s">
        <v>39</v>
      </c>
      <c r="G317">
        <v>90.2</v>
      </c>
    </row>
    <row r="318" spans="1:8" x14ac:dyDescent="0.35">
      <c r="A318" t="s">
        <v>495</v>
      </c>
      <c r="B318" t="s">
        <v>1198</v>
      </c>
      <c r="C318" t="s">
        <v>1217</v>
      </c>
      <c r="D318" t="s">
        <v>73</v>
      </c>
      <c r="E318">
        <v>250</v>
      </c>
      <c r="F318" t="s">
        <v>39</v>
      </c>
      <c r="G318">
        <v>275</v>
      </c>
    </row>
    <row r="319" spans="1:8" x14ac:dyDescent="0.35">
      <c r="A319" t="s">
        <v>495</v>
      </c>
      <c r="B319" t="s">
        <v>1218</v>
      </c>
      <c r="C319" t="s">
        <v>1216</v>
      </c>
      <c r="D319" t="s">
        <v>14</v>
      </c>
      <c r="E319">
        <v>65</v>
      </c>
      <c r="F319" t="s">
        <v>39</v>
      </c>
      <c r="G319">
        <v>71.5</v>
      </c>
    </row>
    <row r="320" spans="1:8" x14ac:dyDescent="0.35">
      <c r="A320" t="s">
        <v>495</v>
      </c>
      <c r="B320" t="s">
        <v>1218</v>
      </c>
      <c r="C320" t="s">
        <v>1216</v>
      </c>
      <c r="D320" t="s">
        <v>126</v>
      </c>
      <c r="E320">
        <v>95</v>
      </c>
      <c r="F320" t="s">
        <v>39</v>
      </c>
      <c r="G320">
        <v>104.50000000000001</v>
      </c>
    </row>
    <row r="321" spans="1:8" x14ac:dyDescent="0.35">
      <c r="A321" t="s">
        <v>495</v>
      </c>
      <c r="B321" t="s">
        <v>1198</v>
      </c>
      <c r="C321" t="s">
        <v>1219</v>
      </c>
      <c r="D321" t="s">
        <v>270</v>
      </c>
      <c r="E321">
        <v>132</v>
      </c>
      <c r="F321" t="s">
        <v>39</v>
      </c>
      <c r="G321">
        <v>145.20000000000002</v>
      </c>
    </row>
    <row r="322" spans="1:8" x14ac:dyDescent="0.35">
      <c r="A322" t="s">
        <v>495</v>
      </c>
      <c r="B322" t="s">
        <v>1198</v>
      </c>
      <c r="C322" t="s">
        <v>1219</v>
      </c>
      <c r="D322" t="s">
        <v>208</v>
      </c>
      <c r="E322">
        <v>83</v>
      </c>
      <c r="F322" t="s">
        <v>39</v>
      </c>
      <c r="G322">
        <v>91.300000000000011</v>
      </c>
    </row>
    <row r="323" spans="1:8" x14ac:dyDescent="0.35">
      <c r="A323" t="s">
        <v>495</v>
      </c>
      <c r="B323" t="s">
        <v>1198</v>
      </c>
      <c r="C323" t="s">
        <v>1219</v>
      </c>
      <c r="D323" t="s">
        <v>176</v>
      </c>
      <c r="E323">
        <v>57</v>
      </c>
      <c r="F323" t="s">
        <v>39</v>
      </c>
      <c r="G323">
        <v>62.7</v>
      </c>
    </row>
    <row r="324" spans="1:8" x14ac:dyDescent="0.35">
      <c r="A324" t="s">
        <v>495</v>
      </c>
      <c r="B324" t="s">
        <v>1198</v>
      </c>
      <c r="C324" t="s">
        <v>1220</v>
      </c>
      <c r="D324" t="s">
        <v>148</v>
      </c>
      <c r="E324">
        <v>255</v>
      </c>
      <c r="F324" t="s">
        <v>39</v>
      </c>
      <c r="G324">
        <v>280.5</v>
      </c>
    </row>
    <row r="325" spans="1:8" x14ac:dyDescent="0.35">
      <c r="A325" t="s">
        <v>495</v>
      </c>
      <c r="B325" t="s">
        <v>1198</v>
      </c>
      <c r="C325" t="s">
        <v>1220</v>
      </c>
      <c r="D325" t="s">
        <v>70</v>
      </c>
      <c r="E325">
        <v>150</v>
      </c>
      <c r="F325" t="s">
        <v>39</v>
      </c>
      <c r="G325">
        <v>165</v>
      </c>
    </row>
    <row r="326" spans="1:8" x14ac:dyDescent="0.35">
      <c r="A326" t="s">
        <v>495</v>
      </c>
      <c r="B326" t="s">
        <v>1198</v>
      </c>
      <c r="C326" t="s">
        <v>1220</v>
      </c>
      <c r="D326" t="s">
        <v>273</v>
      </c>
      <c r="E326">
        <v>175</v>
      </c>
      <c r="F326" t="s">
        <v>39</v>
      </c>
      <c r="G326">
        <v>192.50000000000003</v>
      </c>
    </row>
    <row r="327" spans="1:8" x14ac:dyDescent="0.35">
      <c r="A327" t="s">
        <v>495</v>
      </c>
      <c r="B327" t="s">
        <v>1198</v>
      </c>
      <c r="C327" t="s">
        <v>1220</v>
      </c>
      <c r="D327" t="s">
        <v>56</v>
      </c>
      <c r="E327">
        <v>155</v>
      </c>
      <c r="F327" t="s">
        <v>39</v>
      </c>
      <c r="G327">
        <v>170.5</v>
      </c>
    </row>
    <row r="328" spans="1:8" x14ac:dyDescent="0.35">
      <c r="A328" t="s">
        <v>495</v>
      </c>
      <c r="B328" t="s">
        <v>1198</v>
      </c>
      <c r="C328" t="s">
        <v>1220</v>
      </c>
      <c r="D328" t="s">
        <v>41</v>
      </c>
      <c r="E328">
        <v>75</v>
      </c>
      <c r="F328" t="s">
        <v>39</v>
      </c>
      <c r="G328">
        <v>82.5</v>
      </c>
    </row>
    <row r="329" spans="1:8" x14ac:dyDescent="0.35">
      <c r="A329" t="s">
        <v>495</v>
      </c>
      <c r="B329" t="s">
        <v>1198</v>
      </c>
      <c r="C329" t="s">
        <v>1220</v>
      </c>
      <c r="D329" t="s">
        <v>43</v>
      </c>
      <c r="E329">
        <v>80</v>
      </c>
      <c r="F329" t="s">
        <v>39</v>
      </c>
      <c r="G329">
        <v>88</v>
      </c>
    </row>
    <row r="330" spans="1:8" x14ac:dyDescent="0.35">
      <c r="A330" t="s">
        <v>538</v>
      </c>
      <c r="B330" t="s">
        <v>1221</v>
      </c>
      <c r="C330" t="s">
        <v>1012</v>
      </c>
      <c r="D330" t="s">
        <v>109</v>
      </c>
      <c r="E330">
        <v>120</v>
      </c>
      <c r="F330" t="s">
        <v>539</v>
      </c>
      <c r="G330">
        <v>132</v>
      </c>
      <c r="H330" t="s">
        <v>540</v>
      </c>
    </row>
    <row r="331" spans="1:8" x14ac:dyDescent="0.35">
      <c r="A331" t="s">
        <v>541</v>
      </c>
      <c r="B331" t="s">
        <v>1222</v>
      </c>
      <c r="C331" t="s">
        <v>1223</v>
      </c>
      <c r="D331" t="s">
        <v>116</v>
      </c>
      <c r="E331">
        <v>101</v>
      </c>
      <c r="F331" t="s">
        <v>137</v>
      </c>
      <c r="G331">
        <v>111.10000000000001</v>
      </c>
      <c r="H331" t="s">
        <v>293</v>
      </c>
    </row>
    <row r="332" spans="1:8" x14ac:dyDescent="0.35">
      <c r="A332" t="s">
        <v>542</v>
      </c>
      <c r="B332" t="s">
        <v>1224</v>
      </c>
      <c r="C332" t="s">
        <v>964</v>
      </c>
      <c r="D332" t="s">
        <v>114</v>
      </c>
      <c r="E332">
        <v>40</v>
      </c>
      <c r="F332" t="s">
        <v>54</v>
      </c>
      <c r="G332">
        <v>44</v>
      </c>
      <c r="H332">
        <v>40</v>
      </c>
    </row>
    <row r="333" spans="1:8" x14ac:dyDescent="0.35">
      <c r="A333" t="s">
        <v>543</v>
      </c>
      <c r="B333" t="s">
        <v>1225</v>
      </c>
      <c r="C333" t="s">
        <v>1180</v>
      </c>
      <c r="D333" t="s">
        <v>30</v>
      </c>
      <c r="E333">
        <v>340</v>
      </c>
      <c r="F333" t="s">
        <v>23</v>
      </c>
      <c r="G333">
        <v>374.00000000000006</v>
      </c>
      <c r="H333" t="s">
        <v>544</v>
      </c>
    </row>
    <row r="334" spans="1:8" x14ac:dyDescent="0.35">
      <c r="A334" t="s">
        <v>545</v>
      </c>
      <c r="B334" t="s">
        <v>1161</v>
      </c>
      <c r="C334" t="s">
        <v>1226</v>
      </c>
      <c r="D334" t="s">
        <v>349</v>
      </c>
      <c r="E334">
        <v>138</v>
      </c>
      <c r="F334" t="s">
        <v>546</v>
      </c>
      <c r="G334">
        <v>151.80000000000001</v>
      </c>
      <c r="H334" t="s">
        <v>547</v>
      </c>
    </row>
    <row r="335" spans="1:8" x14ac:dyDescent="0.35">
      <c r="A335" t="s">
        <v>548</v>
      </c>
      <c r="B335" t="s">
        <v>1161</v>
      </c>
      <c r="C335" t="s">
        <v>1226</v>
      </c>
      <c r="D335" t="s">
        <v>220</v>
      </c>
      <c r="E335">
        <v>12</v>
      </c>
      <c r="F335" t="s">
        <v>549</v>
      </c>
      <c r="G335">
        <v>13.200000000000001</v>
      </c>
      <c r="H335">
        <v>12</v>
      </c>
    </row>
    <row r="336" spans="1:8" x14ac:dyDescent="0.35">
      <c r="A336" t="s">
        <v>550</v>
      </c>
      <c r="B336" t="s">
        <v>1227</v>
      </c>
      <c r="C336" t="s">
        <v>1005</v>
      </c>
      <c r="D336" t="s">
        <v>168</v>
      </c>
      <c r="E336">
        <v>140</v>
      </c>
      <c r="F336" t="s">
        <v>551</v>
      </c>
      <c r="G336">
        <v>154</v>
      </c>
      <c r="H336" t="s">
        <v>170</v>
      </c>
    </row>
    <row r="337" spans="1:8" x14ac:dyDescent="0.35">
      <c r="A337" t="s">
        <v>552</v>
      </c>
      <c r="B337" t="s">
        <v>1228</v>
      </c>
      <c r="C337" t="s">
        <v>1229</v>
      </c>
      <c r="D337" t="s">
        <v>79</v>
      </c>
      <c r="E337">
        <v>222</v>
      </c>
      <c r="F337" t="s">
        <v>521</v>
      </c>
      <c r="G337">
        <v>244.20000000000002</v>
      </c>
      <c r="H337" t="s">
        <v>553</v>
      </c>
    </row>
    <row r="338" spans="1:8" x14ac:dyDescent="0.35">
      <c r="D338" t="s">
        <v>554</v>
      </c>
      <c r="E338">
        <v>1113</v>
      </c>
    </row>
    <row r="339" spans="1:8" x14ac:dyDescent="0.35">
      <c r="A339" t="s">
        <v>537</v>
      </c>
    </row>
    <row r="340" spans="1:8" x14ac:dyDescent="0.35">
      <c r="A340" t="s">
        <v>35</v>
      </c>
    </row>
    <row r="341" spans="1:8" x14ac:dyDescent="0.35">
      <c r="A341" t="s">
        <v>2</v>
      </c>
      <c r="B341" t="s">
        <v>3</v>
      </c>
      <c r="C341" t="s">
        <v>4</v>
      </c>
      <c r="D341" t="s">
        <v>5</v>
      </c>
      <c r="E341" t="s">
        <v>6</v>
      </c>
      <c r="F341" t="s">
        <v>7</v>
      </c>
      <c r="G341" t="s">
        <v>8</v>
      </c>
    </row>
    <row r="342" spans="1:8" x14ac:dyDescent="0.35">
      <c r="A342" t="s">
        <v>556</v>
      </c>
      <c r="B342" t="s">
        <v>1230</v>
      </c>
      <c r="C342" t="s">
        <v>1231</v>
      </c>
      <c r="D342" t="s">
        <v>190</v>
      </c>
      <c r="E342">
        <v>136</v>
      </c>
      <c r="F342" t="s">
        <v>419</v>
      </c>
      <c r="G342">
        <v>149.60000000000002</v>
      </c>
      <c r="H342" t="s">
        <v>557</v>
      </c>
    </row>
    <row r="343" spans="1:8" x14ac:dyDescent="0.35">
      <c r="A343" t="s">
        <v>558</v>
      </c>
      <c r="B343" t="s">
        <v>1058</v>
      </c>
      <c r="C343" t="s">
        <v>1129</v>
      </c>
      <c r="D343" t="s">
        <v>246</v>
      </c>
      <c r="E343">
        <v>128</v>
      </c>
      <c r="F343" t="s">
        <v>23</v>
      </c>
      <c r="G343">
        <v>140.80000000000001</v>
      </c>
      <c r="H343" t="s">
        <v>559</v>
      </c>
    </row>
    <row r="344" spans="1:8" x14ac:dyDescent="0.35">
      <c r="A344" t="s">
        <v>560</v>
      </c>
      <c r="B344" t="s">
        <v>1232</v>
      </c>
      <c r="C344" t="s">
        <v>1233</v>
      </c>
      <c r="D344" t="s">
        <v>124</v>
      </c>
      <c r="E344">
        <v>53</v>
      </c>
      <c r="F344" t="s">
        <v>561</v>
      </c>
      <c r="G344">
        <v>58.300000000000004</v>
      </c>
      <c r="H344" t="s">
        <v>562</v>
      </c>
    </row>
    <row r="345" spans="1:8" x14ac:dyDescent="0.35">
      <c r="A345" t="s">
        <v>560</v>
      </c>
      <c r="B345" t="s">
        <v>1232</v>
      </c>
      <c r="C345" t="s">
        <v>1233</v>
      </c>
      <c r="D345" t="s">
        <v>59</v>
      </c>
      <c r="E345">
        <v>105</v>
      </c>
      <c r="F345" t="s">
        <v>209</v>
      </c>
      <c r="G345">
        <v>115.50000000000001</v>
      </c>
      <c r="H345" t="s">
        <v>563</v>
      </c>
    </row>
    <row r="346" spans="1:8" x14ac:dyDescent="0.35">
      <c r="A346" t="s">
        <v>564</v>
      </c>
      <c r="B346" t="s">
        <v>1234</v>
      </c>
      <c r="C346" t="s">
        <v>1235</v>
      </c>
      <c r="D346" t="s">
        <v>134</v>
      </c>
      <c r="E346">
        <v>95</v>
      </c>
      <c r="F346" t="s">
        <v>491</v>
      </c>
      <c r="G346">
        <v>104.50000000000001</v>
      </c>
      <c r="H346" t="s">
        <v>565</v>
      </c>
    </row>
    <row r="347" spans="1:8" x14ac:dyDescent="0.35">
      <c r="A347" t="s">
        <v>566</v>
      </c>
      <c r="B347" t="s">
        <v>1236</v>
      </c>
      <c r="C347" t="s">
        <v>929</v>
      </c>
      <c r="D347" t="s">
        <v>18</v>
      </c>
      <c r="E347">
        <v>265</v>
      </c>
      <c r="F347" t="s">
        <v>19</v>
      </c>
      <c r="G347">
        <v>291.5</v>
      </c>
      <c r="H347" t="s">
        <v>567</v>
      </c>
    </row>
    <row r="348" spans="1:8" x14ac:dyDescent="0.35">
      <c r="A348" t="s">
        <v>566</v>
      </c>
      <c r="B348" t="s">
        <v>1236</v>
      </c>
      <c r="C348" t="s">
        <v>929</v>
      </c>
      <c r="D348" t="s">
        <v>130</v>
      </c>
      <c r="E348">
        <v>90</v>
      </c>
      <c r="F348" t="s">
        <v>568</v>
      </c>
      <c r="G348">
        <v>99.000000000000014</v>
      </c>
      <c r="H348" t="s">
        <v>418</v>
      </c>
    </row>
    <row r="349" spans="1:8" x14ac:dyDescent="0.35">
      <c r="A349" t="s">
        <v>569</v>
      </c>
      <c r="B349" t="s">
        <v>1237</v>
      </c>
      <c r="C349" t="s">
        <v>1099</v>
      </c>
      <c r="D349" t="s">
        <v>216</v>
      </c>
      <c r="E349">
        <v>87</v>
      </c>
      <c r="F349" t="s">
        <v>570</v>
      </c>
      <c r="G349">
        <v>95.7</v>
      </c>
      <c r="H349" t="s">
        <v>571</v>
      </c>
    </row>
    <row r="350" spans="1:8" x14ac:dyDescent="0.35">
      <c r="A350" t="s">
        <v>572</v>
      </c>
      <c r="B350" t="s">
        <v>1237</v>
      </c>
      <c r="C350" t="s">
        <v>1099</v>
      </c>
      <c r="D350" t="s">
        <v>212</v>
      </c>
      <c r="E350">
        <v>85</v>
      </c>
      <c r="F350" t="s">
        <v>162</v>
      </c>
      <c r="G350">
        <v>93.500000000000014</v>
      </c>
      <c r="H350" t="s">
        <v>573</v>
      </c>
    </row>
    <row r="351" spans="1:8" x14ac:dyDescent="0.35">
      <c r="D351" t="s">
        <v>574</v>
      </c>
      <c r="E351">
        <v>1044</v>
      </c>
    </row>
    <row r="354" spans="1:8" x14ac:dyDescent="0.35">
      <c r="A354" t="s">
        <v>537</v>
      </c>
    </row>
    <row r="355" spans="1:8" x14ac:dyDescent="0.35">
      <c r="A355" t="s">
        <v>77</v>
      </c>
    </row>
    <row r="356" spans="1:8" x14ac:dyDescent="0.35">
      <c r="A356" t="s">
        <v>2</v>
      </c>
      <c r="B356" t="s">
        <v>3</v>
      </c>
      <c r="C356" t="s">
        <v>4</v>
      </c>
      <c r="D356" t="s">
        <v>5</v>
      </c>
      <c r="E356" t="s">
        <v>6</v>
      </c>
      <c r="F356" t="s">
        <v>7</v>
      </c>
      <c r="G356" t="s">
        <v>8</v>
      </c>
    </row>
    <row r="357" spans="1:8" x14ac:dyDescent="0.35">
      <c r="A357" t="s">
        <v>576</v>
      </c>
      <c r="B357" t="s">
        <v>1238</v>
      </c>
      <c r="C357" t="s">
        <v>966</v>
      </c>
      <c r="D357" t="s">
        <v>205</v>
      </c>
      <c r="E357">
        <v>99</v>
      </c>
      <c r="F357" t="s">
        <v>577</v>
      </c>
      <c r="G357">
        <v>108.9</v>
      </c>
      <c r="H357" t="s">
        <v>578</v>
      </c>
    </row>
    <row r="358" spans="1:8" x14ac:dyDescent="0.35">
      <c r="A358" t="s">
        <v>579</v>
      </c>
      <c r="B358" t="s">
        <v>1239</v>
      </c>
      <c r="C358" t="s">
        <v>1240</v>
      </c>
      <c r="D358" t="s">
        <v>136</v>
      </c>
      <c r="E358">
        <v>103</v>
      </c>
      <c r="F358" t="s">
        <v>580</v>
      </c>
      <c r="G358">
        <v>113.30000000000001</v>
      </c>
      <c r="H358" t="s">
        <v>581</v>
      </c>
    </row>
    <row r="359" spans="1:8" x14ac:dyDescent="0.35">
      <c r="A359" t="s">
        <v>582</v>
      </c>
      <c r="B359" t="s">
        <v>1241</v>
      </c>
      <c r="C359" t="s">
        <v>1077</v>
      </c>
      <c r="D359" t="s">
        <v>82</v>
      </c>
      <c r="E359">
        <v>54</v>
      </c>
      <c r="F359" t="s">
        <v>143</v>
      </c>
      <c r="G359">
        <v>59.400000000000006</v>
      </c>
      <c r="H359" t="s">
        <v>583</v>
      </c>
    </row>
    <row r="360" spans="1:8" x14ac:dyDescent="0.35">
      <c r="A360" t="s">
        <v>582</v>
      </c>
      <c r="B360" t="s">
        <v>1241</v>
      </c>
      <c r="C360" t="s">
        <v>1077</v>
      </c>
      <c r="D360" t="s">
        <v>172</v>
      </c>
      <c r="E360">
        <v>52</v>
      </c>
      <c r="F360" t="s">
        <v>561</v>
      </c>
      <c r="G360">
        <v>57.2</v>
      </c>
      <c r="H360" t="s">
        <v>584</v>
      </c>
    </row>
    <row r="361" spans="1:8" x14ac:dyDescent="0.35">
      <c r="A361" t="s">
        <v>585</v>
      </c>
      <c r="B361" t="s">
        <v>1242</v>
      </c>
      <c r="C361" t="s">
        <v>1243</v>
      </c>
      <c r="D361" t="s">
        <v>140</v>
      </c>
      <c r="E361">
        <v>240</v>
      </c>
      <c r="F361" t="s">
        <v>91</v>
      </c>
      <c r="G361">
        <v>264</v>
      </c>
      <c r="H361" t="s">
        <v>496</v>
      </c>
    </row>
    <row r="362" spans="1:8" x14ac:dyDescent="0.35">
      <c r="A362" t="s">
        <v>586</v>
      </c>
      <c r="B362" t="s">
        <v>1244</v>
      </c>
      <c r="C362" t="s">
        <v>1245</v>
      </c>
      <c r="D362" t="s">
        <v>312</v>
      </c>
      <c r="E362">
        <v>93</v>
      </c>
      <c r="F362" t="s">
        <v>162</v>
      </c>
      <c r="G362">
        <v>102.30000000000001</v>
      </c>
      <c r="H362" t="s">
        <v>587</v>
      </c>
    </row>
    <row r="363" spans="1:8" x14ac:dyDescent="0.35">
      <c r="A363" t="s">
        <v>588</v>
      </c>
      <c r="B363" t="s">
        <v>1246</v>
      </c>
      <c r="C363" t="s">
        <v>986</v>
      </c>
      <c r="D363" t="s">
        <v>438</v>
      </c>
      <c r="E363">
        <v>87</v>
      </c>
      <c r="F363" t="s">
        <v>570</v>
      </c>
      <c r="G363">
        <v>95.7</v>
      </c>
      <c r="H363" t="s">
        <v>589</v>
      </c>
    </row>
    <row r="364" spans="1:8" x14ac:dyDescent="0.35">
      <c r="A364" t="s">
        <v>590</v>
      </c>
      <c r="B364" t="s">
        <v>1247</v>
      </c>
      <c r="C364" t="s">
        <v>1248</v>
      </c>
      <c r="D364" t="s">
        <v>90</v>
      </c>
      <c r="E364">
        <v>240</v>
      </c>
      <c r="F364" t="s">
        <v>23</v>
      </c>
      <c r="G364">
        <v>264</v>
      </c>
      <c r="H364" t="s">
        <v>534</v>
      </c>
    </row>
    <row r="365" spans="1:8" x14ac:dyDescent="0.35">
      <c r="A365" t="s">
        <v>591</v>
      </c>
      <c r="B365" t="s">
        <v>1249</v>
      </c>
      <c r="C365" t="s">
        <v>1250</v>
      </c>
      <c r="D365" t="s">
        <v>104</v>
      </c>
      <c r="E365">
        <v>122</v>
      </c>
      <c r="F365" t="s">
        <v>592</v>
      </c>
      <c r="G365">
        <v>134.20000000000002</v>
      </c>
      <c r="H365" t="s">
        <v>593</v>
      </c>
    </row>
    <row r="366" spans="1:8" x14ac:dyDescent="0.35">
      <c r="D366" t="s">
        <v>594</v>
      </c>
      <c r="E366">
        <v>1090</v>
      </c>
    </row>
    <row r="367" spans="1:8" x14ac:dyDescent="0.35">
      <c r="A367" t="s">
        <v>596</v>
      </c>
    </row>
    <row r="368" spans="1:8" x14ac:dyDescent="0.35">
      <c r="A368" t="s">
        <v>1</v>
      </c>
    </row>
    <row r="369" spans="1:8" x14ac:dyDescent="0.35">
      <c r="A369" t="s">
        <v>2</v>
      </c>
      <c r="B369" t="s">
        <v>3</v>
      </c>
      <c r="C369" t="s">
        <v>4</v>
      </c>
      <c r="D369" t="s">
        <v>5</v>
      </c>
      <c r="E369" t="s">
        <v>6</v>
      </c>
      <c r="F369" t="s">
        <v>7</v>
      </c>
      <c r="G369" t="s">
        <v>8</v>
      </c>
    </row>
    <row r="370" spans="1:8" x14ac:dyDescent="0.35">
      <c r="A370" t="s">
        <v>597</v>
      </c>
      <c r="B370" t="s">
        <v>1251</v>
      </c>
      <c r="C370" t="s">
        <v>1167</v>
      </c>
      <c r="D370" t="s">
        <v>236</v>
      </c>
      <c r="E370">
        <v>154</v>
      </c>
      <c r="F370" t="s">
        <v>598</v>
      </c>
      <c r="G370">
        <v>169.4</v>
      </c>
      <c r="H370" t="s">
        <v>599</v>
      </c>
    </row>
    <row r="371" spans="1:8" x14ac:dyDescent="0.35">
      <c r="A371" t="s">
        <v>600</v>
      </c>
      <c r="B371" t="s">
        <v>1251</v>
      </c>
      <c r="C371" t="s">
        <v>1252</v>
      </c>
      <c r="D371" t="s">
        <v>86</v>
      </c>
      <c r="E371">
        <v>230</v>
      </c>
      <c r="F371" t="s">
        <v>91</v>
      </c>
      <c r="G371">
        <v>253.00000000000003</v>
      </c>
      <c r="H371" t="s">
        <v>601</v>
      </c>
    </row>
    <row r="372" spans="1:8" x14ac:dyDescent="0.35">
      <c r="A372" t="s">
        <v>602</v>
      </c>
      <c r="B372" t="s">
        <v>1228</v>
      </c>
      <c r="C372" t="s">
        <v>946</v>
      </c>
      <c r="D372" t="s">
        <v>43</v>
      </c>
      <c r="E372">
        <v>80</v>
      </c>
      <c r="F372" t="s">
        <v>143</v>
      </c>
      <c r="G372">
        <v>88</v>
      </c>
      <c r="H372" t="s">
        <v>330</v>
      </c>
    </row>
    <row r="373" spans="1:8" x14ac:dyDescent="0.35">
      <c r="A373" t="s">
        <v>602</v>
      </c>
      <c r="B373" t="s">
        <v>1228</v>
      </c>
      <c r="C373" t="s">
        <v>946</v>
      </c>
      <c r="D373" t="s">
        <v>47</v>
      </c>
      <c r="E373">
        <v>37</v>
      </c>
      <c r="F373" t="s">
        <v>603</v>
      </c>
      <c r="G373">
        <v>40.700000000000003</v>
      </c>
      <c r="H373">
        <v>37</v>
      </c>
    </row>
    <row r="374" spans="1:8" x14ac:dyDescent="0.35">
      <c r="A374" t="s">
        <v>602</v>
      </c>
      <c r="B374" t="s">
        <v>1228</v>
      </c>
      <c r="C374" t="s">
        <v>946</v>
      </c>
      <c r="D374" t="s">
        <v>45</v>
      </c>
      <c r="E374">
        <v>82</v>
      </c>
      <c r="F374" t="s">
        <v>137</v>
      </c>
      <c r="G374">
        <v>90.2</v>
      </c>
      <c r="H374" t="s">
        <v>604</v>
      </c>
    </row>
    <row r="375" spans="1:8" x14ac:dyDescent="0.35">
      <c r="A375" t="s">
        <v>605</v>
      </c>
      <c r="B375" t="s">
        <v>1253</v>
      </c>
      <c r="C375" t="s">
        <v>1012</v>
      </c>
      <c r="D375" t="s">
        <v>11</v>
      </c>
      <c r="E375">
        <v>160</v>
      </c>
      <c r="F375" t="s">
        <v>484</v>
      </c>
      <c r="G375">
        <v>176</v>
      </c>
      <c r="H375" t="s">
        <v>606</v>
      </c>
    </row>
    <row r="376" spans="1:8" x14ac:dyDescent="0.35">
      <c r="A376" t="s">
        <v>607</v>
      </c>
      <c r="B376" t="s">
        <v>1254</v>
      </c>
      <c r="C376" t="s">
        <v>1248</v>
      </c>
      <c r="D376" t="s">
        <v>199</v>
      </c>
      <c r="E376">
        <v>340</v>
      </c>
      <c r="F376" t="s">
        <v>23</v>
      </c>
      <c r="G376">
        <v>374.00000000000006</v>
      </c>
      <c r="H376" t="s">
        <v>544</v>
      </c>
    </row>
    <row r="377" spans="1:8" x14ac:dyDescent="0.35">
      <c r="A377" t="s">
        <v>608</v>
      </c>
      <c r="B377" t="s">
        <v>1255</v>
      </c>
      <c r="C377" t="s">
        <v>1256</v>
      </c>
      <c r="D377" t="s">
        <v>179</v>
      </c>
      <c r="E377">
        <v>70</v>
      </c>
      <c r="F377" t="s">
        <v>15</v>
      </c>
      <c r="G377">
        <v>77</v>
      </c>
      <c r="H377" t="s">
        <v>306</v>
      </c>
    </row>
    <row r="378" spans="1:8" x14ac:dyDescent="0.35">
      <c r="D378" t="s">
        <v>609</v>
      </c>
      <c r="E378">
        <v>1153</v>
      </c>
    </row>
    <row r="379" spans="1:8" x14ac:dyDescent="0.35">
      <c r="A379" t="s">
        <v>596</v>
      </c>
    </row>
    <row r="380" spans="1:8" x14ac:dyDescent="0.35">
      <c r="A380" t="s">
        <v>35</v>
      </c>
    </row>
    <row r="381" spans="1:8" x14ac:dyDescent="0.35">
      <c r="A381" t="s">
        <v>2</v>
      </c>
      <c r="B381" t="s">
        <v>3</v>
      </c>
      <c r="C381" t="s">
        <v>4</v>
      </c>
      <c r="D381" t="s">
        <v>5</v>
      </c>
      <c r="E381" t="s">
        <v>6</v>
      </c>
      <c r="F381" t="s">
        <v>7</v>
      </c>
      <c r="G381" t="s">
        <v>8</v>
      </c>
    </row>
    <row r="382" spans="1:8" x14ac:dyDescent="0.35">
      <c r="A382" t="s">
        <v>198</v>
      </c>
      <c r="B382" t="s">
        <v>1257</v>
      </c>
      <c r="C382" t="s">
        <v>1258</v>
      </c>
      <c r="D382" t="s">
        <v>122</v>
      </c>
      <c r="E382">
        <v>130</v>
      </c>
      <c r="F382" t="s">
        <v>455</v>
      </c>
      <c r="G382">
        <v>143</v>
      </c>
      <c r="H382" t="s">
        <v>325</v>
      </c>
    </row>
    <row r="383" spans="1:8" x14ac:dyDescent="0.35">
      <c r="A383" t="s">
        <v>611</v>
      </c>
      <c r="B383" t="s">
        <v>1259</v>
      </c>
      <c r="C383" t="s">
        <v>1260</v>
      </c>
      <c r="D383" t="s">
        <v>53</v>
      </c>
      <c r="E383">
        <v>114</v>
      </c>
      <c r="F383" t="s">
        <v>612</v>
      </c>
      <c r="G383">
        <v>125.4</v>
      </c>
      <c r="H383" t="s">
        <v>613</v>
      </c>
    </row>
    <row r="384" spans="1:8" x14ac:dyDescent="0.35">
      <c r="A384" t="s">
        <v>611</v>
      </c>
      <c r="B384" t="s">
        <v>1259</v>
      </c>
      <c r="C384" t="s">
        <v>1260</v>
      </c>
      <c r="D384" t="s">
        <v>49</v>
      </c>
      <c r="E384">
        <v>55</v>
      </c>
      <c r="F384" t="s">
        <v>63</v>
      </c>
      <c r="G384">
        <v>60.500000000000007</v>
      </c>
      <c r="H384">
        <v>55</v>
      </c>
    </row>
    <row r="385" spans="1:8" x14ac:dyDescent="0.35">
      <c r="A385" t="s">
        <v>614</v>
      </c>
      <c r="B385" t="s">
        <v>1261</v>
      </c>
      <c r="C385" t="s">
        <v>958</v>
      </c>
      <c r="D385" t="s">
        <v>140</v>
      </c>
      <c r="E385">
        <v>115</v>
      </c>
      <c r="F385" t="s">
        <v>615</v>
      </c>
      <c r="G385">
        <v>126.50000000000001</v>
      </c>
      <c r="H385" t="s">
        <v>616</v>
      </c>
    </row>
    <row r="386" spans="1:8" x14ac:dyDescent="0.35">
      <c r="A386" t="s">
        <v>617</v>
      </c>
      <c r="B386" t="s">
        <v>1262</v>
      </c>
      <c r="C386" t="s">
        <v>1263</v>
      </c>
      <c r="D386" t="s">
        <v>79</v>
      </c>
      <c r="E386">
        <v>222</v>
      </c>
      <c r="F386" t="s">
        <v>91</v>
      </c>
      <c r="G386">
        <v>244.20000000000002</v>
      </c>
      <c r="H386" t="s">
        <v>618</v>
      </c>
    </row>
    <row r="387" spans="1:8" x14ac:dyDescent="0.35">
      <c r="A387" t="s">
        <v>617</v>
      </c>
      <c r="B387" t="s">
        <v>1262</v>
      </c>
      <c r="C387" t="s">
        <v>1263</v>
      </c>
      <c r="D387" t="s">
        <v>26</v>
      </c>
      <c r="E387">
        <v>76</v>
      </c>
      <c r="F387" t="s">
        <v>143</v>
      </c>
      <c r="G387">
        <v>83.600000000000009</v>
      </c>
      <c r="H387" t="s">
        <v>28</v>
      </c>
    </row>
    <row r="388" spans="1:8" x14ac:dyDescent="0.35">
      <c r="A388" t="s">
        <v>617</v>
      </c>
      <c r="B388" t="s">
        <v>1262</v>
      </c>
      <c r="C388" t="s">
        <v>1263</v>
      </c>
      <c r="D388" t="s">
        <v>116</v>
      </c>
      <c r="E388">
        <v>101</v>
      </c>
      <c r="F388" t="s">
        <v>209</v>
      </c>
      <c r="G388">
        <v>111.10000000000001</v>
      </c>
      <c r="H388" t="s">
        <v>293</v>
      </c>
    </row>
    <row r="389" spans="1:8" x14ac:dyDescent="0.35">
      <c r="A389" t="s">
        <v>617</v>
      </c>
      <c r="B389" t="s">
        <v>1262</v>
      </c>
      <c r="C389" t="s">
        <v>1263</v>
      </c>
      <c r="D389" t="s">
        <v>114</v>
      </c>
      <c r="E389">
        <v>40</v>
      </c>
      <c r="F389" t="s">
        <v>99</v>
      </c>
      <c r="G389">
        <v>44</v>
      </c>
      <c r="H389">
        <v>40</v>
      </c>
    </row>
    <row r="390" spans="1:8" x14ac:dyDescent="0.35">
      <c r="A390" t="s">
        <v>619</v>
      </c>
      <c r="B390" t="s">
        <v>1264</v>
      </c>
      <c r="C390" t="s">
        <v>1201</v>
      </c>
      <c r="D390" t="s">
        <v>282</v>
      </c>
      <c r="E390">
        <v>45</v>
      </c>
      <c r="F390" t="s">
        <v>54</v>
      </c>
      <c r="G390">
        <v>49.500000000000007</v>
      </c>
      <c r="H390">
        <v>45</v>
      </c>
    </row>
    <row r="391" spans="1:8" x14ac:dyDescent="0.35">
      <c r="A391" t="s">
        <v>620</v>
      </c>
      <c r="B391" t="s">
        <v>1265</v>
      </c>
      <c r="C391" t="s">
        <v>1038</v>
      </c>
      <c r="D391" t="s">
        <v>159</v>
      </c>
      <c r="E391">
        <v>75</v>
      </c>
      <c r="F391" t="s">
        <v>65</v>
      </c>
      <c r="G391">
        <v>82.5</v>
      </c>
      <c r="H391">
        <v>75</v>
      </c>
    </row>
    <row r="392" spans="1:8" x14ac:dyDescent="0.35">
      <c r="A392" t="s">
        <v>621</v>
      </c>
      <c r="B392" t="s">
        <v>1266</v>
      </c>
      <c r="C392" t="s">
        <v>1267</v>
      </c>
      <c r="D392" t="s">
        <v>205</v>
      </c>
      <c r="E392">
        <v>77</v>
      </c>
      <c r="F392" t="s">
        <v>65</v>
      </c>
      <c r="G392">
        <v>84.7</v>
      </c>
      <c r="H392">
        <v>77</v>
      </c>
    </row>
    <row r="393" spans="1:8" x14ac:dyDescent="0.35">
      <c r="A393" t="s">
        <v>622</v>
      </c>
      <c r="B393" t="s">
        <v>1268</v>
      </c>
      <c r="C393" t="s">
        <v>1267</v>
      </c>
      <c r="D393" t="s">
        <v>101</v>
      </c>
      <c r="E393">
        <v>80</v>
      </c>
      <c r="F393" t="s">
        <v>63</v>
      </c>
      <c r="G393">
        <v>88</v>
      </c>
      <c r="H393">
        <v>80</v>
      </c>
    </row>
    <row r="394" spans="1:8" x14ac:dyDescent="0.35">
      <c r="D394" t="s">
        <v>623</v>
      </c>
      <c r="E394">
        <v>1130</v>
      </c>
    </row>
    <row r="395" spans="1:8" x14ac:dyDescent="0.35">
      <c r="A395" t="s">
        <v>596</v>
      </c>
    </row>
    <row r="396" spans="1:8" x14ac:dyDescent="0.35">
      <c r="A396" t="s">
        <v>77</v>
      </c>
    </row>
    <row r="397" spans="1:8" x14ac:dyDescent="0.35">
      <c r="A397" t="s">
        <v>2</v>
      </c>
      <c r="B397" t="s">
        <v>3</v>
      </c>
      <c r="C397" t="s">
        <v>4</v>
      </c>
      <c r="D397" t="s">
        <v>5</v>
      </c>
      <c r="E397" t="s">
        <v>6</v>
      </c>
      <c r="F397" t="s">
        <v>7</v>
      </c>
      <c r="G397" t="s">
        <v>8</v>
      </c>
    </row>
    <row r="398" spans="1:8" x14ac:dyDescent="0.35">
      <c r="A398" t="s">
        <v>625</v>
      </c>
      <c r="B398" t="s">
        <v>1269</v>
      </c>
      <c r="C398" t="s">
        <v>981</v>
      </c>
      <c r="D398" t="s">
        <v>273</v>
      </c>
      <c r="E398">
        <v>175</v>
      </c>
      <c r="F398" t="s">
        <v>419</v>
      </c>
      <c r="G398">
        <v>192.50000000000003</v>
      </c>
      <c r="H398" t="s">
        <v>626</v>
      </c>
    </row>
    <row r="399" spans="1:8" x14ac:dyDescent="0.35">
      <c r="A399" t="s">
        <v>605</v>
      </c>
      <c r="B399" t="s">
        <v>1253</v>
      </c>
      <c r="C399" t="s">
        <v>1072</v>
      </c>
      <c r="D399" t="s">
        <v>14</v>
      </c>
      <c r="E399">
        <v>65</v>
      </c>
      <c r="F399" t="s">
        <v>65</v>
      </c>
      <c r="G399">
        <v>71.5</v>
      </c>
      <c r="H399">
        <v>65</v>
      </c>
    </row>
    <row r="400" spans="1:8" x14ac:dyDescent="0.35">
      <c r="A400" t="s">
        <v>627</v>
      </c>
      <c r="B400" t="s">
        <v>1270</v>
      </c>
      <c r="C400" t="s">
        <v>960</v>
      </c>
      <c r="D400" t="s">
        <v>220</v>
      </c>
      <c r="E400">
        <v>165</v>
      </c>
      <c r="F400" t="s">
        <v>415</v>
      </c>
      <c r="G400">
        <v>181.50000000000003</v>
      </c>
      <c r="H400" t="s">
        <v>628</v>
      </c>
    </row>
    <row r="401" spans="1:8" x14ac:dyDescent="0.35">
      <c r="A401" t="s">
        <v>629</v>
      </c>
      <c r="B401" t="s">
        <v>1271</v>
      </c>
      <c r="C401" t="s">
        <v>1119</v>
      </c>
      <c r="D401" t="s">
        <v>64</v>
      </c>
      <c r="E401">
        <v>125</v>
      </c>
      <c r="F401" t="s">
        <v>630</v>
      </c>
      <c r="G401">
        <v>137.5</v>
      </c>
      <c r="H401" t="s">
        <v>631</v>
      </c>
    </row>
    <row r="402" spans="1:8" x14ac:dyDescent="0.35">
      <c r="A402" t="s">
        <v>632</v>
      </c>
      <c r="B402" t="s">
        <v>1272</v>
      </c>
      <c r="C402" t="s">
        <v>1273</v>
      </c>
      <c r="D402" t="s">
        <v>41</v>
      </c>
      <c r="E402">
        <v>75</v>
      </c>
      <c r="F402" t="s">
        <v>143</v>
      </c>
      <c r="G402">
        <v>82.5</v>
      </c>
      <c r="H402" t="s">
        <v>633</v>
      </c>
    </row>
    <row r="403" spans="1:8" x14ac:dyDescent="0.35">
      <c r="A403" t="s">
        <v>634</v>
      </c>
      <c r="B403" t="s">
        <v>1274</v>
      </c>
      <c r="C403" t="s">
        <v>1101</v>
      </c>
      <c r="D403" t="s">
        <v>212</v>
      </c>
      <c r="E403">
        <v>85</v>
      </c>
      <c r="F403" t="s">
        <v>568</v>
      </c>
      <c r="G403">
        <v>93.500000000000014</v>
      </c>
      <c r="H403" t="s">
        <v>635</v>
      </c>
    </row>
    <row r="404" spans="1:8" x14ac:dyDescent="0.35">
      <c r="A404" t="s">
        <v>636</v>
      </c>
      <c r="B404" t="s">
        <v>1275</v>
      </c>
      <c r="C404" t="s">
        <v>1137</v>
      </c>
      <c r="D404" t="s">
        <v>208</v>
      </c>
      <c r="E404">
        <v>83</v>
      </c>
      <c r="F404" t="s">
        <v>637</v>
      </c>
      <c r="G404">
        <v>91.300000000000011</v>
      </c>
      <c r="H404" t="s">
        <v>638</v>
      </c>
    </row>
    <row r="405" spans="1:8" x14ac:dyDescent="0.35">
      <c r="A405" t="s">
        <v>636</v>
      </c>
      <c r="B405" t="s">
        <v>1275</v>
      </c>
      <c r="C405" t="s">
        <v>1137</v>
      </c>
      <c r="D405" t="s">
        <v>176</v>
      </c>
      <c r="E405">
        <v>57</v>
      </c>
      <c r="F405" t="s">
        <v>15</v>
      </c>
      <c r="G405">
        <v>62.7</v>
      </c>
      <c r="H405" t="s">
        <v>639</v>
      </c>
    </row>
    <row r="406" spans="1:8" x14ac:dyDescent="0.35">
      <c r="A406" t="s">
        <v>640</v>
      </c>
      <c r="B406" t="s">
        <v>1276</v>
      </c>
      <c r="C406" t="s">
        <v>1277</v>
      </c>
      <c r="D406" t="s">
        <v>124</v>
      </c>
      <c r="E406">
        <v>20</v>
      </c>
      <c r="F406" t="s">
        <v>426</v>
      </c>
      <c r="G406">
        <v>22</v>
      </c>
      <c r="H406">
        <v>20</v>
      </c>
    </row>
    <row r="407" spans="1:8" x14ac:dyDescent="0.35">
      <c r="A407" t="s">
        <v>641</v>
      </c>
      <c r="B407" t="s">
        <v>1278</v>
      </c>
      <c r="C407" t="s">
        <v>1279</v>
      </c>
      <c r="D407" t="s">
        <v>168</v>
      </c>
      <c r="E407">
        <v>140</v>
      </c>
      <c r="F407" t="s">
        <v>415</v>
      </c>
      <c r="G407">
        <v>154</v>
      </c>
      <c r="H407" t="s">
        <v>642</v>
      </c>
    </row>
    <row r="408" spans="1:8" x14ac:dyDescent="0.35">
      <c r="A408" t="s">
        <v>643</v>
      </c>
      <c r="B408" t="s">
        <v>1280</v>
      </c>
      <c r="C408" t="s">
        <v>1281</v>
      </c>
      <c r="D408" t="s">
        <v>126</v>
      </c>
      <c r="E408">
        <v>95</v>
      </c>
      <c r="F408" t="s">
        <v>137</v>
      </c>
      <c r="G408">
        <v>104.50000000000001</v>
      </c>
      <c r="H408" t="s">
        <v>644</v>
      </c>
    </row>
    <row r="409" spans="1:8" x14ac:dyDescent="0.35">
      <c r="D409" t="s">
        <v>645</v>
      </c>
      <c r="E409">
        <v>1085</v>
      </c>
    </row>
    <row r="410" spans="1:8" x14ac:dyDescent="0.35">
      <c r="A410" t="s">
        <v>647</v>
      </c>
    </row>
    <row r="411" spans="1:8" x14ac:dyDescent="0.35">
      <c r="A411" t="s">
        <v>1</v>
      </c>
    </row>
    <row r="412" spans="1:8" x14ac:dyDescent="0.35">
      <c r="A412" t="s">
        <v>2</v>
      </c>
      <c r="B412" t="s">
        <v>3</v>
      </c>
      <c r="C412" t="s">
        <v>4</v>
      </c>
      <c r="D412" t="s">
        <v>5</v>
      </c>
      <c r="E412" t="s">
        <v>6</v>
      </c>
      <c r="F412" t="s">
        <v>7</v>
      </c>
      <c r="G412" t="s">
        <v>8</v>
      </c>
    </row>
    <row r="413" spans="1:8" x14ac:dyDescent="0.35">
      <c r="A413" t="s">
        <v>648</v>
      </c>
      <c r="B413" t="s">
        <v>1282</v>
      </c>
      <c r="C413" t="s">
        <v>1190</v>
      </c>
      <c r="D413" t="s">
        <v>305</v>
      </c>
      <c r="E413">
        <v>70</v>
      </c>
      <c r="F413" t="s">
        <v>39</v>
      </c>
      <c r="G413">
        <v>77</v>
      </c>
    </row>
    <row r="414" spans="1:8" x14ac:dyDescent="0.35">
      <c r="A414" t="s">
        <v>648</v>
      </c>
      <c r="B414" t="s">
        <v>1282</v>
      </c>
      <c r="C414" t="s">
        <v>1190</v>
      </c>
      <c r="D414" t="s">
        <v>246</v>
      </c>
      <c r="E414">
        <v>128</v>
      </c>
      <c r="F414" t="s">
        <v>39</v>
      </c>
      <c r="G414">
        <v>140.80000000000001</v>
      </c>
    </row>
    <row r="415" spans="1:8" x14ac:dyDescent="0.35">
      <c r="A415" t="s">
        <v>648</v>
      </c>
      <c r="B415" t="s">
        <v>1282</v>
      </c>
      <c r="C415" t="s">
        <v>1190</v>
      </c>
      <c r="D415" t="s">
        <v>190</v>
      </c>
      <c r="E415">
        <v>136</v>
      </c>
      <c r="F415" t="s">
        <v>39</v>
      </c>
      <c r="G415">
        <v>149.60000000000002</v>
      </c>
    </row>
    <row r="416" spans="1:8" x14ac:dyDescent="0.35">
      <c r="A416" t="s">
        <v>648</v>
      </c>
      <c r="B416" t="s">
        <v>1282</v>
      </c>
      <c r="C416" t="s">
        <v>1283</v>
      </c>
      <c r="D416" t="s">
        <v>67</v>
      </c>
      <c r="E416">
        <v>245</v>
      </c>
      <c r="F416" t="s">
        <v>39</v>
      </c>
      <c r="G416">
        <v>269.5</v>
      </c>
    </row>
    <row r="417" spans="1:8" x14ac:dyDescent="0.35">
      <c r="A417" t="s">
        <v>648</v>
      </c>
      <c r="B417" t="s">
        <v>1284</v>
      </c>
      <c r="C417" t="s">
        <v>1190</v>
      </c>
      <c r="D417" t="s">
        <v>109</v>
      </c>
      <c r="E417">
        <v>120</v>
      </c>
      <c r="F417" t="s">
        <v>39</v>
      </c>
      <c r="G417">
        <v>132</v>
      </c>
    </row>
    <row r="418" spans="1:8" x14ac:dyDescent="0.35">
      <c r="A418" t="s">
        <v>648</v>
      </c>
      <c r="B418" t="s">
        <v>1282</v>
      </c>
      <c r="C418" t="s">
        <v>1285</v>
      </c>
      <c r="D418" t="s">
        <v>22</v>
      </c>
      <c r="E418">
        <v>262</v>
      </c>
      <c r="F418" t="s">
        <v>39</v>
      </c>
      <c r="G418">
        <v>288.20000000000005</v>
      </c>
    </row>
    <row r="419" spans="1:8" x14ac:dyDescent="0.35">
      <c r="A419" t="s">
        <v>649</v>
      </c>
      <c r="B419" t="s">
        <v>1286</v>
      </c>
      <c r="C419" t="s">
        <v>1287</v>
      </c>
      <c r="D419" t="s">
        <v>30</v>
      </c>
      <c r="E419">
        <v>340</v>
      </c>
      <c r="F419" t="s">
        <v>23</v>
      </c>
      <c r="G419">
        <v>374.00000000000006</v>
      </c>
      <c r="H419" t="s">
        <v>544</v>
      </c>
    </row>
    <row r="420" spans="1:8" x14ac:dyDescent="0.35">
      <c r="A420" t="s">
        <v>650</v>
      </c>
      <c r="B420" t="s">
        <v>1288</v>
      </c>
      <c r="C420" t="s">
        <v>1289</v>
      </c>
      <c r="D420" t="s">
        <v>73</v>
      </c>
      <c r="E420">
        <v>250</v>
      </c>
      <c r="F420" t="s">
        <v>19</v>
      </c>
      <c r="G420">
        <v>275</v>
      </c>
      <c r="H420" t="s">
        <v>651</v>
      </c>
    </row>
    <row r="421" spans="1:8" x14ac:dyDescent="0.35">
      <c r="A421" t="s">
        <v>650</v>
      </c>
      <c r="B421" t="s">
        <v>1288</v>
      </c>
      <c r="C421" t="s">
        <v>1290</v>
      </c>
      <c r="D421" t="s">
        <v>270</v>
      </c>
      <c r="E421">
        <v>132</v>
      </c>
      <c r="F421" t="s">
        <v>455</v>
      </c>
      <c r="G421">
        <v>145.20000000000002</v>
      </c>
      <c r="H421" t="s">
        <v>652</v>
      </c>
    </row>
    <row r="422" spans="1:8" x14ac:dyDescent="0.35">
      <c r="A422" t="s">
        <v>653</v>
      </c>
      <c r="B422" t="s">
        <v>1291</v>
      </c>
      <c r="C422" t="s">
        <v>1163</v>
      </c>
      <c r="D422" t="s">
        <v>130</v>
      </c>
      <c r="E422">
        <v>90</v>
      </c>
      <c r="F422" t="s">
        <v>137</v>
      </c>
      <c r="G422">
        <v>99.000000000000014</v>
      </c>
      <c r="H422" t="s">
        <v>418</v>
      </c>
    </row>
    <row r="423" spans="1:8" x14ac:dyDescent="0.35">
      <c r="A423" t="s">
        <v>654</v>
      </c>
      <c r="B423" t="s">
        <v>1292</v>
      </c>
      <c r="C423" t="s">
        <v>1293</v>
      </c>
      <c r="D423" t="s">
        <v>70</v>
      </c>
      <c r="E423">
        <v>150</v>
      </c>
      <c r="F423" t="s">
        <v>655</v>
      </c>
      <c r="G423">
        <v>165</v>
      </c>
      <c r="H423" t="s">
        <v>656</v>
      </c>
    </row>
    <row r="424" spans="1:8" x14ac:dyDescent="0.35">
      <c r="A424" t="s">
        <v>657</v>
      </c>
      <c r="B424" t="s">
        <v>1294</v>
      </c>
      <c r="C424" t="s">
        <v>956</v>
      </c>
      <c r="D424" t="s">
        <v>56</v>
      </c>
      <c r="E424">
        <v>155</v>
      </c>
      <c r="F424" t="s">
        <v>658</v>
      </c>
      <c r="G424">
        <v>170.5</v>
      </c>
      <c r="H424" t="s">
        <v>659</v>
      </c>
    </row>
    <row r="425" spans="1:8" x14ac:dyDescent="0.35">
      <c r="A425" t="s">
        <v>660</v>
      </c>
      <c r="B425" t="s">
        <v>1295</v>
      </c>
      <c r="C425" t="s">
        <v>1277</v>
      </c>
      <c r="D425" t="s">
        <v>59</v>
      </c>
      <c r="E425">
        <v>45</v>
      </c>
      <c r="F425" t="s">
        <v>50</v>
      </c>
      <c r="G425">
        <v>49.500000000000007</v>
      </c>
      <c r="H425" t="s">
        <v>661</v>
      </c>
    </row>
    <row r="426" spans="1:8" x14ac:dyDescent="0.35">
      <c r="D426" t="s">
        <v>662</v>
      </c>
      <c r="E426">
        <v>1162</v>
      </c>
    </row>
    <row r="427" spans="1:8" x14ac:dyDescent="0.35">
      <c r="A427" t="s">
        <v>647</v>
      </c>
    </row>
    <row r="428" spans="1:8" x14ac:dyDescent="0.35">
      <c r="A428" t="s">
        <v>35</v>
      </c>
    </row>
    <row r="429" spans="1:8" x14ac:dyDescent="0.35">
      <c r="A429" t="s">
        <v>2</v>
      </c>
      <c r="B429" t="s">
        <v>3</v>
      </c>
      <c r="C429" t="s">
        <v>4</v>
      </c>
      <c r="D429" t="s">
        <v>5</v>
      </c>
      <c r="E429" t="s">
        <v>6</v>
      </c>
      <c r="F429" t="s">
        <v>7</v>
      </c>
      <c r="G429" t="s">
        <v>8</v>
      </c>
    </row>
    <row r="430" spans="1:8" x14ac:dyDescent="0.35">
      <c r="A430" t="s">
        <v>648</v>
      </c>
      <c r="B430" t="s">
        <v>1282</v>
      </c>
      <c r="C430" t="s">
        <v>1190</v>
      </c>
      <c r="D430" t="s">
        <v>110</v>
      </c>
      <c r="E430">
        <v>56</v>
      </c>
      <c r="F430" t="s">
        <v>663</v>
      </c>
      <c r="G430">
        <v>61.600000000000009</v>
      </c>
    </row>
    <row r="431" spans="1:8" x14ac:dyDescent="0.35">
      <c r="A431" t="s">
        <v>648</v>
      </c>
      <c r="B431" t="s">
        <v>1282</v>
      </c>
      <c r="C431" t="s">
        <v>1296</v>
      </c>
      <c r="D431" t="s">
        <v>253</v>
      </c>
      <c r="E431">
        <v>85</v>
      </c>
      <c r="F431" t="s">
        <v>663</v>
      </c>
      <c r="G431">
        <v>93.500000000000014</v>
      </c>
    </row>
    <row r="432" spans="1:8" x14ac:dyDescent="0.35">
      <c r="A432" t="s">
        <v>648</v>
      </c>
      <c r="B432" t="s">
        <v>1282</v>
      </c>
      <c r="C432" t="s">
        <v>1190</v>
      </c>
      <c r="D432" t="s">
        <v>199</v>
      </c>
      <c r="E432">
        <v>295</v>
      </c>
      <c r="F432" t="s">
        <v>663</v>
      </c>
      <c r="G432">
        <v>324.5</v>
      </c>
    </row>
    <row r="433" spans="1:8" x14ac:dyDescent="0.35">
      <c r="A433" t="s">
        <v>648</v>
      </c>
      <c r="B433" t="s">
        <v>1282</v>
      </c>
      <c r="C433" t="s">
        <v>1190</v>
      </c>
      <c r="D433" t="s">
        <v>152</v>
      </c>
      <c r="E433">
        <v>83</v>
      </c>
      <c r="F433" t="s">
        <v>663</v>
      </c>
      <c r="G433">
        <v>91.300000000000011</v>
      </c>
    </row>
    <row r="434" spans="1:8" x14ac:dyDescent="0.35">
      <c r="A434" t="s">
        <v>648</v>
      </c>
      <c r="B434" t="s">
        <v>1282</v>
      </c>
      <c r="C434" t="s">
        <v>1190</v>
      </c>
      <c r="D434" t="s">
        <v>64</v>
      </c>
      <c r="E434">
        <v>125</v>
      </c>
      <c r="F434" t="s">
        <v>663</v>
      </c>
      <c r="G434">
        <v>137.5</v>
      </c>
    </row>
    <row r="435" spans="1:8" x14ac:dyDescent="0.35">
      <c r="A435" t="s">
        <v>648</v>
      </c>
      <c r="B435" t="s">
        <v>1282</v>
      </c>
      <c r="C435" t="s">
        <v>1297</v>
      </c>
      <c r="D435" t="s">
        <v>161</v>
      </c>
      <c r="E435">
        <v>100</v>
      </c>
      <c r="F435" t="s">
        <v>663</v>
      </c>
      <c r="G435">
        <v>110.00000000000001</v>
      </c>
    </row>
    <row r="436" spans="1:8" x14ac:dyDescent="0.35">
      <c r="A436" t="s">
        <v>648</v>
      </c>
      <c r="B436" t="s">
        <v>1282</v>
      </c>
      <c r="C436" t="s">
        <v>1190</v>
      </c>
      <c r="D436" t="s">
        <v>62</v>
      </c>
      <c r="E436">
        <v>103</v>
      </c>
      <c r="F436" t="s">
        <v>663</v>
      </c>
      <c r="G436">
        <v>113.30000000000001</v>
      </c>
    </row>
    <row r="437" spans="1:8" x14ac:dyDescent="0.35">
      <c r="A437" t="s">
        <v>664</v>
      </c>
      <c r="B437" t="s">
        <v>1298</v>
      </c>
      <c r="C437" t="s">
        <v>1223</v>
      </c>
      <c r="D437" t="s">
        <v>282</v>
      </c>
      <c r="E437">
        <v>160</v>
      </c>
      <c r="F437" t="s">
        <v>238</v>
      </c>
      <c r="G437">
        <v>176</v>
      </c>
      <c r="H437" t="s">
        <v>532</v>
      </c>
    </row>
    <row r="438" spans="1:8" x14ac:dyDescent="0.35">
      <c r="A438" t="s">
        <v>664</v>
      </c>
      <c r="B438" t="s">
        <v>1299</v>
      </c>
      <c r="C438" t="s">
        <v>1140</v>
      </c>
      <c r="D438" t="s">
        <v>220</v>
      </c>
      <c r="E438">
        <v>205</v>
      </c>
      <c r="F438" t="s">
        <v>665</v>
      </c>
      <c r="G438">
        <v>225.50000000000003</v>
      </c>
      <c r="H438" t="s">
        <v>222</v>
      </c>
    </row>
    <row r="439" spans="1:8" x14ac:dyDescent="0.35">
      <c r="A439" t="s">
        <v>664</v>
      </c>
      <c r="B439" t="s">
        <v>1300</v>
      </c>
      <c r="C439" t="s">
        <v>1010</v>
      </c>
      <c r="D439" t="s">
        <v>185</v>
      </c>
      <c r="E439">
        <v>69</v>
      </c>
      <c r="F439" t="s">
        <v>63</v>
      </c>
      <c r="G439">
        <v>75.900000000000006</v>
      </c>
      <c r="H439">
        <v>69</v>
      </c>
    </row>
    <row r="440" spans="1:8" x14ac:dyDescent="0.35">
      <c r="A440" t="s">
        <v>664</v>
      </c>
      <c r="B440" t="s">
        <v>1298</v>
      </c>
      <c r="C440" t="s">
        <v>1140</v>
      </c>
      <c r="D440" t="s">
        <v>82</v>
      </c>
      <c r="E440">
        <v>135</v>
      </c>
      <c r="F440" t="s">
        <v>666</v>
      </c>
      <c r="G440">
        <v>148.5</v>
      </c>
      <c r="H440" t="s">
        <v>667</v>
      </c>
    </row>
    <row r="441" spans="1:8" x14ac:dyDescent="0.35">
      <c r="A441" t="s">
        <v>664</v>
      </c>
      <c r="B441" t="s">
        <v>1298</v>
      </c>
      <c r="C441" t="s">
        <v>1140</v>
      </c>
      <c r="D441" t="s">
        <v>195</v>
      </c>
      <c r="E441">
        <v>55</v>
      </c>
      <c r="F441" t="s">
        <v>668</v>
      </c>
      <c r="G441">
        <v>60.500000000000007</v>
      </c>
      <c r="H441" t="s">
        <v>515</v>
      </c>
    </row>
    <row r="442" spans="1:8" x14ac:dyDescent="0.35">
      <c r="A442" t="s">
        <v>664</v>
      </c>
      <c r="B442" t="s">
        <v>1298</v>
      </c>
      <c r="C442" t="s">
        <v>1140</v>
      </c>
      <c r="D442" t="s">
        <v>172</v>
      </c>
      <c r="E442">
        <v>61</v>
      </c>
      <c r="F442" t="s">
        <v>250</v>
      </c>
      <c r="G442">
        <v>67.100000000000009</v>
      </c>
      <c r="H442" t="s">
        <v>174</v>
      </c>
    </row>
    <row r="443" spans="1:8" x14ac:dyDescent="0.35">
      <c r="A443" t="s">
        <v>664</v>
      </c>
      <c r="B443" t="s">
        <v>1298</v>
      </c>
      <c r="C443" t="s">
        <v>1140</v>
      </c>
      <c r="D443" t="s">
        <v>292</v>
      </c>
      <c r="E443">
        <v>32</v>
      </c>
      <c r="F443" t="s">
        <v>54</v>
      </c>
      <c r="G443">
        <v>35.200000000000003</v>
      </c>
      <c r="H443">
        <v>32</v>
      </c>
    </row>
    <row r="444" spans="1:8" x14ac:dyDescent="0.35">
      <c r="A444" t="s">
        <v>664</v>
      </c>
      <c r="B444" t="s">
        <v>1301</v>
      </c>
      <c r="C444" t="s">
        <v>1223</v>
      </c>
      <c r="D444" t="s">
        <v>438</v>
      </c>
      <c r="E444">
        <v>87</v>
      </c>
      <c r="F444" t="s">
        <v>162</v>
      </c>
      <c r="G444">
        <v>95.7</v>
      </c>
      <c r="H444" t="s">
        <v>669</v>
      </c>
    </row>
    <row r="445" spans="1:8" x14ac:dyDescent="0.35">
      <c r="A445" t="s">
        <v>664</v>
      </c>
      <c r="B445" t="s">
        <v>1298</v>
      </c>
      <c r="C445" t="s">
        <v>1223</v>
      </c>
      <c r="D445" t="s">
        <v>136</v>
      </c>
      <c r="E445">
        <v>103</v>
      </c>
      <c r="F445" t="s">
        <v>137</v>
      </c>
      <c r="G445">
        <v>113.30000000000001</v>
      </c>
      <c r="H445" t="s">
        <v>138</v>
      </c>
    </row>
    <row r="446" spans="1:8" x14ac:dyDescent="0.35">
      <c r="A446" t="s">
        <v>664</v>
      </c>
      <c r="B446" t="s">
        <v>1298</v>
      </c>
      <c r="C446" t="s">
        <v>1140</v>
      </c>
      <c r="D446" t="s">
        <v>194</v>
      </c>
      <c r="E446">
        <v>60</v>
      </c>
      <c r="F446" t="s">
        <v>65</v>
      </c>
      <c r="G446">
        <v>66</v>
      </c>
      <c r="H446">
        <v>60</v>
      </c>
    </row>
    <row r="447" spans="1:8" x14ac:dyDescent="0.35">
      <c r="A447" t="s">
        <v>664</v>
      </c>
      <c r="B447" t="s">
        <v>1298</v>
      </c>
      <c r="C447" t="s">
        <v>1302</v>
      </c>
      <c r="D447" t="s">
        <v>349</v>
      </c>
      <c r="E447">
        <v>138</v>
      </c>
      <c r="F447" t="s">
        <v>670</v>
      </c>
      <c r="G447">
        <v>151.80000000000001</v>
      </c>
      <c r="H447" t="s">
        <v>671</v>
      </c>
    </row>
    <row r="448" spans="1:8" x14ac:dyDescent="0.35">
      <c r="D448" t="s">
        <v>672</v>
      </c>
      <c r="E448">
        <v>1105</v>
      </c>
    </row>
    <row r="451" spans="1:8" x14ac:dyDescent="0.35">
      <c r="A451" t="s">
        <v>647</v>
      </c>
    </row>
    <row r="452" spans="1:8" x14ac:dyDescent="0.35">
      <c r="A452" t="s">
        <v>77</v>
      </c>
    </row>
    <row r="453" spans="1:8" x14ac:dyDescent="0.35">
      <c r="A453" t="s">
        <v>2</v>
      </c>
      <c r="B453" t="s">
        <v>3</v>
      </c>
      <c r="C453" t="s">
        <v>4</v>
      </c>
      <c r="D453" t="s">
        <v>5</v>
      </c>
      <c r="E453" t="s">
        <v>6</v>
      </c>
      <c r="F453" t="s">
        <v>7</v>
      </c>
      <c r="G453" t="s">
        <v>8</v>
      </c>
    </row>
    <row r="454" spans="1:8" x14ac:dyDescent="0.35">
      <c r="A454" t="s">
        <v>648</v>
      </c>
      <c r="B454" t="s">
        <v>1282</v>
      </c>
      <c r="C454" t="s">
        <v>1190</v>
      </c>
      <c r="D454" t="s">
        <v>155</v>
      </c>
      <c r="E454">
        <v>46</v>
      </c>
      <c r="F454" t="s">
        <v>39</v>
      </c>
      <c r="G454">
        <v>50.6</v>
      </c>
    </row>
    <row r="455" spans="1:8" x14ac:dyDescent="0.35">
      <c r="A455" t="s">
        <v>648</v>
      </c>
      <c r="B455" t="s">
        <v>1282</v>
      </c>
      <c r="C455" t="s">
        <v>1190</v>
      </c>
      <c r="D455" t="s">
        <v>251</v>
      </c>
      <c r="E455">
        <v>225</v>
      </c>
      <c r="F455" t="s">
        <v>39</v>
      </c>
      <c r="G455">
        <v>247.50000000000003</v>
      </c>
    </row>
    <row r="456" spans="1:8" x14ac:dyDescent="0.35">
      <c r="A456" t="s">
        <v>648</v>
      </c>
      <c r="B456" t="s">
        <v>1282</v>
      </c>
      <c r="C456" t="s">
        <v>1297</v>
      </c>
      <c r="D456" t="s">
        <v>111</v>
      </c>
      <c r="E456">
        <v>130</v>
      </c>
      <c r="F456" t="s">
        <v>39</v>
      </c>
      <c r="G456">
        <v>143</v>
      </c>
    </row>
    <row r="457" spans="1:8" x14ac:dyDescent="0.35">
      <c r="A457" t="s">
        <v>648</v>
      </c>
      <c r="B457" t="s">
        <v>1282</v>
      </c>
      <c r="C457" t="s">
        <v>1297</v>
      </c>
      <c r="D457" t="s">
        <v>122</v>
      </c>
      <c r="E457">
        <v>130</v>
      </c>
      <c r="F457" t="s">
        <v>39</v>
      </c>
      <c r="G457">
        <v>143</v>
      </c>
    </row>
    <row r="458" spans="1:8" x14ac:dyDescent="0.35">
      <c r="A458" t="s">
        <v>648</v>
      </c>
      <c r="B458" t="s">
        <v>1282</v>
      </c>
      <c r="C458" t="s">
        <v>1297</v>
      </c>
      <c r="D458" t="s">
        <v>159</v>
      </c>
      <c r="E458">
        <v>75</v>
      </c>
      <c r="F458" t="s">
        <v>39</v>
      </c>
      <c r="G458">
        <v>82.5</v>
      </c>
    </row>
    <row r="459" spans="1:8" x14ac:dyDescent="0.35">
      <c r="A459" t="s">
        <v>674</v>
      </c>
      <c r="B459" t="s">
        <v>1303</v>
      </c>
      <c r="C459" t="s">
        <v>1304</v>
      </c>
      <c r="D459" t="s">
        <v>150</v>
      </c>
      <c r="E459">
        <v>80</v>
      </c>
      <c r="F459" t="s">
        <v>15</v>
      </c>
      <c r="G459">
        <v>88</v>
      </c>
      <c r="H459" t="s">
        <v>675</v>
      </c>
    </row>
    <row r="460" spans="1:8" x14ac:dyDescent="0.35">
      <c r="A460" t="s">
        <v>674</v>
      </c>
      <c r="B460" t="s">
        <v>1303</v>
      </c>
      <c r="C460" t="s">
        <v>1304</v>
      </c>
      <c r="D460" t="s">
        <v>148</v>
      </c>
      <c r="E460">
        <v>255</v>
      </c>
      <c r="F460" t="s">
        <v>19</v>
      </c>
      <c r="G460">
        <v>280.5</v>
      </c>
      <c r="H460" t="s">
        <v>331</v>
      </c>
    </row>
    <row r="461" spans="1:8" x14ac:dyDescent="0.35">
      <c r="A461" t="s">
        <v>676</v>
      </c>
      <c r="B461" t="s">
        <v>1305</v>
      </c>
      <c r="C461" t="s">
        <v>1306</v>
      </c>
      <c r="D461" t="s">
        <v>86</v>
      </c>
      <c r="E461">
        <v>230</v>
      </c>
      <c r="F461" t="s">
        <v>91</v>
      </c>
      <c r="G461">
        <v>253.00000000000003</v>
      </c>
      <c r="H461" t="s">
        <v>601</v>
      </c>
    </row>
    <row r="462" spans="1:8" x14ac:dyDescent="0.35">
      <c r="A462" t="s">
        <v>677</v>
      </c>
      <c r="B462" t="s">
        <v>1307</v>
      </c>
      <c r="C462" t="s">
        <v>1235</v>
      </c>
      <c r="D462" t="s">
        <v>236</v>
      </c>
      <c r="E462">
        <v>154</v>
      </c>
      <c r="F462" t="s">
        <v>678</v>
      </c>
      <c r="G462">
        <v>169.4</v>
      </c>
      <c r="H462" t="s">
        <v>679</v>
      </c>
    </row>
    <row r="463" spans="1:8" x14ac:dyDescent="0.35">
      <c r="A463" t="s">
        <v>680</v>
      </c>
      <c r="B463" t="s">
        <v>1308</v>
      </c>
      <c r="C463" t="s">
        <v>956</v>
      </c>
      <c r="D463" t="s">
        <v>114</v>
      </c>
      <c r="E463">
        <v>40</v>
      </c>
      <c r="F463" t="s">
        <v>264</v>
      </c>
      <c r="G463">
        <v>44</v>
      </c>
      <c r="H463">
        <v>40</v>
      </c>
    </row>
    <row r="464" spans="1:8" x14ac:dyDescent="0.35">
      <c r="A464" t="s">
        <v>681</v>
      </c>
      <c r="B464" t="s">
        <v>1309</v>
      </c>
      <c r="C464" t="s">
        <v>1287</v>
      </c>
      <c r="D464" t="s">
        <v>90</v>
      </c>
      <c r="E464">
        <v>185</v>
      </c>
      <c r="F464" t="s">
        <v>419</v>
      </c>
      <c r="G464">
        <v>203.50000000000003</v>
      </c>
      <c r="H464" t="s">
        <v>682</v>
      </c>
    </row>
    <row r="465" spans="1:8" x14ac:dyDescent="0.35">
      <c r="A465" t="s">
        <v>683</v>
      </c>
      <c r="B465" t="s">
        <v>1310</v>
      </c>
      <c r="C465" t="s">
        <v>1311</v>
      </c>
      <c r="D465" t="s">
        <v>134</v>
      </c>
      <c r="E465">
        <v>95</v>
      </c>
      <c r="F465" t="s">
        <v>162</v>
      </c>
      <c r="G465">
        <v>104.50000000000001</v>
      </c>
      <c r="H465" t="s">
        <v>405</v>
      </c>
    </row>
    <row r="466" spans="1:8" x14ac:dyDescent="0.35">
      <c r="A466" t="s">
        <v>684</v>
      </c>
      <c r="B466" t="s">
        <v>1312</v>
      </c>
      <c r="C466" t="s">
        <v>953</v>
      </c>
      <c r="D466" t="s">
        <v>140</v>
      </c>
      <c r="E466">
        <v>105</v>
      </c>
      <c r="F466" t="s">
        <v>137</v>
      </c>
      <c r="G466">
        <v>115.50000000000001</v>
      </c>
      <c r="H466" t="s">
        <v>563</v>
      </c>
    </row>
    <row r="467" spans="1:8" x14ac:dyDescent="0.35">
      <c r="D467" t="s">
        <v>685</v>
      </c>
      <c r="E467">
        <v>1144</v>
      </c>
    </row>
    <row r="468" spans="1:8" x14ac:dyDescent="0.35">
      <c r="A468" t="s">
        <v>687</v>
      </c>
    </row>
    <row r="469" spans="1:8" x14ac:dyDescent="0.35">
      <c r="A469" t="s">
        <v>1</v>
      </c>
    </row>
    <row r="470" spans="1:8" x14ac:dyDescent="0.35">
      <c r="A470" t="s">
        <v>2</v>
      </c>
      <c r="B470" t="s">
        <v>3</v>
      </c>
      <c r="C470" t="s">
        <v>4</v>
      </c>
      <c r="D470" t="s">
        <v>5</v>
      </c>
      <c r="E470" t="s">
        <v>6</v>
      </c>
      <c r="F470" t="s">
        <v>7</v>
      </c>
      <c r="G470" t="s">
        <v>8</v>
      </c>
    </row>
    <row r="471" spans="1:8" x14ac:dyDescent="0.35">
      <c r="A471" t="s">
        <v>688</v>
      </c>
      <c r="B471" t="s">
        <v>1313</v>
      </c>
      <c r="C471" t="s">
        <v>975</v>
      </c>
      <c r="D471" t="s">
        <v>79</v>
      </c>
      <c r="E471">
        <v>222</v>
      </c>
      <c r="F471" t="s">
        <v>241</v>
      </c>
      <c r="G471">
        <v>244.20000000000002</v>
      </c>
      <c r="H471" t="s">
        <v>689</v>
      </c>
    </row>
    <row r="472" spans="1:8" x14ac:dyDescent="0.35">
      <c r="A472" t="s">
        <v>690</v>
      </c>
      <c r="B472" t="s">
        <v>1314</v>
      </c>
      <c r="C472" t="s">
        <v>1137</v>
      </c>
      <c r="D472" t="s">
        <v>216</v>
      </c>
      <c r="E472">
        <v>87</v>
      </c>
      <c r="F472" t="s">
        <v>117</v>
      </c>
      <c r="G472">
        <v>95.7</v>
      </c>
      <c r="H472" t="s">
        <v>691</v>
      </c>
    </row>
    <row r="473" spans="1:8" x14ac:dyDescent="0.35">
      <c r="A473" t="s">
        <v>692</v>
      </c>
      <c r="B473" t="s">
        <v>1315</v>
      </c>
      <c r="C473" t="s">
        <v>1183</v>
      </c>
      <c r="D473" t="s">
        <v>168</v>
      </c>
      <c r="E473">
        <v>140</v>
      </c>
      <c r="F473" t="s">
        <v>394</v>
      </c>
      <c r="G473">
        <v>154</v>
      </c>
      <c r="H473" t="s">
        <v>693</v>
      </c>
    </row>
    <row r="474" spans="1:8" x14ac:dyDescent="0.35">
      <c r="A474" t="s">
        <v>694</v>
      </c>
      <c r="B474" t="s">
        <v>1316</v>
      </c>
      <c r="C474" t="s">
        <v>994</v>
      </c>
      <c r="D474" t="s">
        <v>246</v>
      </c>
      <c r="E474">
        <v>128</v>
      </c>
      <c r="F474" t="s">
        <v>227</v>
      </c>
      <c r="G474">
        <v>140.80000000000001</v>
      </c>
      <c r="H474" t="s">
        <v>695</v>
      </c>
    </row>
    <row r="475" spans="1:8" x14ac:dyDescent="0.35">
      <c r="A475" t="s">
        <v>694</v>
      </c>
      <c r="B475" t="s">
        <v>1316</v>
      </c>
      <c r="C475" t="s">
        <v>994</v>
      </c>
      <c r="D475" t="s">
        <v>109</v>
      </c>
      <c r="E475">
        <v>120</v>
      </c>
      <c r="F475" t="s">
        <v>23</v>
      </c>
      <c r="G475">
        <v>132</v>
      </c>
      <c r="H475" t="s">
        <v>696</v>
      </c>
    </row>
    <row r="476" spans="1:8" x14ac:dyDescent="0.35">
      <c r="A476" t="s">
        <v>470</v>
      </c>
      <c r="B476" t="s">
        <v>1181</v>
      </c>
      <c r="C476" t="s">
        <v>994</v>
      </c>
      <c r="D476" t="s">
        <v>253</v>
      </c>
      <c r="E476">
        <v>85</v>
      </c>
      <c r="F476" t="s">
        <v>697</v>
      </c>
      <c r="G476">
        <v>93.500000000000014</v>
      </c>
      <c r="H476" t="s">
        <v>698</v>
      </c>
    </row>
    <row r="477" spans="1:8" x14ac:dyDescent="0.35">
      <c r="A477" t="s">
        <v>699</v>
      </c>
      <c r="B477" t="s">
        <v>1317</v>
      </c>
      <c r="C477" t="s">
        <v>1318</v>
      </c>
      <c r="D477" t="s">
        <v>124</v>
      </c>
      <c r="E477">
        <v>53</v>
      </c>
      <c r="F477" t="s">
        <v>700</v>
      </c>
      <c r="G477">
        <v>58.300000000000004</v>
      </c>
      <c r="H477" t="s">
        <v>701</v>
      </c>
    </row>
    <row r="478" spans="1:8" x14ac:dyDescent="0.35">
      <c r="A478" t="s">
        <v>702</v>
      </c>
      <c r="B478" t="s">
        <v>1319</v>
      </c>
      <c r="C478" t="s">
        <v>1124</v>
      </c>
      <c r="D478" t="s">
        <v>43</v>
      </c>
      <c r="E478">
        <v>80</v>
      </c>
      <c r="F478" t="s">
        <v>143</v>
      </c>
      <c r="G478">
        <v>88</v>
      </c>
      <c r="H478" t="s">
        <v>330</v>
      </c>
    </row>
    <row r="479" spans="1:8" x14ac:dyDescent="0.35">
      <c r="A479" t="s">
        <v>702</v>
      </c>
      <c r="B479" t="s">
        <v>1319</v>
      </c>
      <c r="C479" t="s">
        <v>1124</v>
      </c>
      <c r="D479" t="s">
        <v>47</v>
      </c>
      <c r="E479">
        <v>37</v>
      </c>
      <c r="F479" t="s">
        <v>234</v>
      </c>
      <c r="G479">
        <v>40.700000000000003</v>
      </c>
      <c r="H479">
        <v>37</v>
      </c>
    </row>
    <row r="480" spans="1:8" x14ac:dyDescent="0.35">
      <c r="A480" t="s">
        <v>702</v>
      </c>
      <c r="B480" t="s">
        <v>1319</v>
      </c>
      <c r="C480" t="s">
        <v>1124</v>
      </c>
      <c r="D480" t="s">
        <v>38</v>
      </c>
      <c r="E480">
        <v>240</v>
      </c>
      <c r="F480" t="s">
        <v>703</v>
      </c>
      <c r="G480">
        <v>264</v>
      </c>
      <c r="H480" t="s">
        <v>704</v>
      </c>
    </row>
    <row r="481" spans="1:8" x14ac:dyDescent="0.35">
      <c r="D481" t="s">
        <v>705</v>
      </c>
      <c r="E481">
        <v>1192</v>
      </c>
    </row>
    <row r="484" spans="1:8" x14ac:dyDescent="0.35">
      <c r="A484" t="s">
        <v>687</v>
      </c>
    </row>
    <row r="485" spans="1:8" x14ac:dyDescent="0.35">
      <c r="A485" t="s">
        <v>35</v>
      </c>
    </row>
    <row r="486" spans="1:8" x14ac:dyDescent="0.35">
      <c r="A486" t="s">
        <v>2</v>
      </c>
      <c r="B486" t="s">
        <v>3</v>
      </c>
      <c r="C486" t="s">
        <v>4</v>
      </c>
      <c r="D486" t="s">
        <v>5</v>
      </c>
      <c r="E486" t="s">
        <v>6</v>
      </c>
      <c r="F486" t="s">
        <v>7</v>
      </c>
      <c r="G486" t="s">
        <v>8</v>
      </c>
    </row>
    <row r="487" spans="1:8" x14ac:dyDescent="0.35">
      <c r="A487" t="s">
        <v>531</v>
      </c>
      <c r="B487" t="s">
        <v>1214</v>
      </c>
      <c r="C487" t="s">
        <v>1320</v>
      </c>
      <c r="D487" t="s">
        <v>14</v>
      </c>
      <c r="E487">
        <v>65</v>
      </c>
      <c r="F487" t="s">
        <v>65</v>
      </c>
      <c r="G487">
        <v>71.5</v>
      </c>
      <c r="H487">
        <v>65</v>
      </c>
    </row>
    <row r="488" spans="1:8" x14ac:dyDescent="0.35">
      <c r="A488" t="s">
        <v>707</v>
      </c>
      <c r="B488" t="s">
        <v>1321</v>
      </c>
      <c r="C488" t="s">
        <v>1174</v>
      </c>
      <c r="D488" t="s">
        <v>126</v>
      </c>
      <c r="E488">
        <v>95</v>
      </c>
      <c r="F488" t="s">
        <v>137</v>
      </c>
      <c r="G488">
        <v>104.50000000000001</v>
      </c>
      <c r="H488" t="s">
        <v>708</v>
      </c>
    </row>
    <row r="489" spans="1:8" x14ac:dyDescent="0.35">
      <c r="A489" t="s">
        <v>709</v>
      </c>
      <c r="B489" t="s">
        <v>1322</v>
      </c>
      <c r="C489" t="s">
        <v>1143</v>
      </c>
      <c r="D489" t="s">
        <v>70</v>
      </c>
      <c r="E489">
        <v>150</v>
      </c>
      <c r="F489" t="s">
        <v>394</v>
      </c>
      <c r="G489">
        <v>165</v>
      </c>
      <c r="H489" t="s">
        <v>710</v>
      </c>
    </row>
    <row r="490" spans="1:8" x14ac:dyDescent="0.35">
      <c r="A490" t="s">
        <v>694</v>
      </c>
      <c r="B490" t="s">
        <v>1316</v>
      </c>
      <c r="C490" t="s">
        <v>1323</v>
      </c>
      <c r="D490" t="s">
        <v>111</v>
      </c>
      <c r="E490">
        <v>130</v>
      </c>
      <c r="F490" t="s">
        <v>23</v>
      </c>
      <c r="G490">
        <v>143</v>
      </c>
      <c r="H490" t="s">
        <v>711</v>
      </c>
    </row>
    <row r="491" spans="1:8" x14ac:dyDescent="0.35">
      <c r="A491" t="s">
        <v>694</v>
      </c>
      <c r="B491" t="s">
        <v>1316</v>
      </c>
      <c r="C491" t="s">
        <v>1323</v>
      </c>
      <c r="D491" t="s">
        <v>161</v>
      </c>
      <c r="E491">
        <v>100</v>
      </c>
      <c r="F491" t="s">
        <v>712</v>
      </c>
      <c r="G491">
        <v>110.00000000000001</v>
      </c>
      <c r="H491" t="s">
        <v>713</v>
      </c>
    </row>
    <row r="492" spans="1:8" x14ac:dyDescent="0.35">
      <c r="A492" t="s">
        <v>714</v>
      </c>
      <c r="B492" t="s">
        <v>1324</v>
      </c>
      <c r="C492" t="s">
        <v>1325</v>
      </c>
      <c r="D492" t="s">
        <v>86</v>
      </c>
      <c r="E492">
        <v>230</v>
      </c>
      <c r="F492" t="s">
        <v>703</v>
      </c>
      <c r="G492">
        <v>253.00000000000003</v>
      </c>
      <c r="H492" t="s">
        <v>715</v>
      </c>
    </row>
    <row r="493" spans="1:8" x14ac:dyDescent="0.35">
      <c r="A493" t="s">
        <v>716</v>
      </c>
      <c r="B493" t="s">
        <v>1326</v>
      </c>
      <c r="C493" t="s">
        <v>1057</v>
      </c>
      <c r="D493" t="s">
        <v>349</v>
      </c>
      <c r="E493">
        <v>33</v>
      </c>
      <c r="F493" t="s">
        <v>524</v>
      </c>
      <c r="G493">
        <v>36.300000000000004</v>
      </c>
      <c r="H493">
        <v>33</v>
      </c>
    </row>
    <row r="494" spans="1:8" x14ac:dyDescent="0.35">
      <c r="A494" t="s">
        <v>717</v>
      </c>
      <c r="B494" t="s">
        <v>1327</v>
      </c>
      <c r="C494" t="s">
        <v>1002</v>
      </c>
      <c r="D494" t="s">
        <v>179</v>
      </c>
      <c r="E494">
        <v>70</v>
      </c>
      <c r="F494" t="s">
        <v>63</v>
      </c>
      <c r="G494">
        <v>77</v>
      </c>
      <c r="H494">
        <v>70</v>
      </c>
    </row>
    <row r="495" spans="1:8" x14ac:dyDescent="0.35">
      <c r="A495" t="s">
        <v>718</v>
      </c>
      <c r="B495" t="s">
        <v>1328</v>
      </c>
      <c r="C495" t="s">
        <v>1212</v>
      </c>
      <c r="D495" t="s">
        <v>176</v>
      </c>
      <c r="E495">
        <v>57</v>
      </c>
      <c r="F495" t="s">
        <v>120</v>
      </c>
      <c r="G495">
        <v>62.7</v>
      </c>
      <c r="H495" t="s">
        <v>344</v>
      </c>
    </row>
    <row r="496" spans="1:8" x14ac:dyDescent="0.35">
      <c r="A496" t="s">
        <v>719</v>
      </c>
      <c r="B496" t="s">
        <v>1329</v>
      </c>
      <c r="C496" t="s">
        <v>1330</v>
      </c>
      <c r="D496" t="s">
        <v>140</v>
      </c>
      <c r="E496">
        <v>240</v>
      </c>
      <c r="F496" t="s">
        <v>703</v>
      </c>
      <c r="G496">
        <v>264</v>
      </c>
      <c r="H496" t="s">
        <v>704</v>
      </c>
    </row>
    <row r="497" spans="1:8" x14ac:dyDescent="0.35">
      <c r="D497" t="s">
        <v>720</v>
      </c>
      <c r="E497">
        <v>1170</v>
      </c>
    </row>
    <row r="498" spans="1:8" x14ac:dyDescent="0.35">
      <c r="A498" t="s">
        <v>687</v>
      </c>
    </row>
    <row r="499" spans="1:8" x14ac:dyDescent="0.35">
      <c r="A499" t="s">
        <v>77</v>
      </c>
    </row>
    <row r="500" spans="1:8" x14ac:dyDescent="0.35">
      <c r="A500" t="s">
        <v>2</v>
      </c>
      <c r="B500" t="s">
        <v>3</v>
      </c>
      <c r="C500" t="s">
        <v>4</v>
      </c>
      <c r="D500" t="s">
        <v>5</v>
      </c>
      <c r="E500" t="s">
        <v>6</v>
      </c>
      <c r="F500" t="s">
        <v>7</v>
      </c>
      <c r="G500" t="s">
        <v>8</v>
      </c>
    </row>
    <row r="501" spans="1:8" x14ac:dyDescent="0.35">
      <c r="A501" t="s">
        <v>721</v>
      </c>
      <c r="B501" t="s">
        <v>1331</v>
      </c>
      <c r="C501" t="s">
        <v>1332</v>
      </c>
      <c r="D501" t="s">
        <v>30</v>
      </c>
      <c r="E501">
        <v>150</v>
      </c>
      <c r="F501" t="s">
        <v>394</v>
      </c>
      <c r="G501">
        <v>165</v>
      </c>
      <c r="H501" t="s">
        <v>710</v>
      </c>
    </row>
    <row r="502" spans="1:8" x14ac:dyDescent="0.35">
      <c r="A502" t="s">
        <v>721</v>
      </c>
      <c r="B502" t="s">
        <v>1333</v>
      </c>
      <c r="C502" t="s">
        <v>1334</v>
      </c>
      <c r="D502" t="s">
        <v>104</v>
      </c>
      <c r="E502">
        <v>15</v>
      </c>
      <c r="F502" t="s">
        <v>722</v>
      </c>
      <c r="G502">
        <v>16.5</v>
      </c>
      <c r="H502">
        <v>15</v>
      </c>
    </row>
    <row r="503" spans="1:8" x14ac:dyDescent="0.35">
      <c r="A503" t="s">
        <v>721</v>
      </c>
      <c r="B503" t="s">
        <v>1335</v>
      </c>
      <c r="C503" t="s">
        <v>1332</v>
      </c>
      <c r="D503" t="s">
        <v>67</v>
      </c>
      <c r="E503">
        <v>32</v>
      </c>
      <c r="F503" t="s">
        <v>262</v>
      </c>
      <c r="G503">
        <v>35.200000000000003</v>
      </c>
      <c r="H503">
        <v>32</v>
      </c>
    </row>
    <row r="504" spans="1:8" x14ac:dyDescent="0.35">
      <c r="A504" t="s">
        <v>721</v>
      </c>
      <c r="B504" t="s">
        <v>1331</v>
      </c>
      <c r="C504" t="s">
        <v>1336</v>
      </c>
      <c r="D504" t="s">
        <v>64</v>
      </c>
      <c r="E504">
        <v>30</v>
      </c>
      <c r="F504" t="s">
        <v>723</v>
      </c>
      <c r="G504">
        <v>33</v>
      </c>
      <c r="H504">
        <v>30</v>
      </c>
    </row>
    <row r="505" spans="1:8" x14ac:dyDescent="0.35">
      <c r="A505" t="s">
        <v>721</v>
      </c>
      <c r="B505" t="s">
        <v>1333</v>
      </c>
      <c r="C505" t="s">
        <v>1337</v>
      </c>
      <c r="D505" t="s">
        <v>150</v>
      </c>
      <c r="E505">
        <v>20</v>
      </c>
      <c r="F505" t="s">
        <v>60</v>
      </c>
      <c r="G505">
        <v>22</v>
      </c>
      <c r="H505">
        <v>20</v>
      </c>
    </row>
    <row r="506" spans="1:8" x14ac:dyDescent="0.35">
      <c r="A506" t="s">
        <v>721</v>
      </c>
      <c r="B506" t="s">
        <v>1335</v>
      </c>
      <c r="C506" t="s">
        <v>1332</v>
      </c>
      <c r="D506" t="s">
        <v>148</v>
      </c>
      <c r="E506">
        <v>40</v>
      </c>
      <c r="F506" t="s">
        <v>264</v>
      </c>
      <c r="G506">
        <v>44</v>
      </c>
      <c r="H506">
        <v>40</v>
      </c>
    </row>
    <row r="507" spans="1:8" x14ac:dyDescent="0.35">
      <c r="A507" t="s">
        <v>721</v>
      </c>
      <c r="B507" t="s">
        <v>1331</v>
      </c>
      <c r="C507" t="s">
        <v>1332</v>
      </c>
      <c r="D507" t="s">
        <v>273</v>
      </c>
      <c r="E507">
        <v>30</v>
      </c>
      <c r="F507" t="s">
        <v>724</v>
      </c>
      <c r="G507">
        <v>33</v>
      </c>
      <c r="H507">
        <v>30</v>
      </c>
    </row>
    <row r="508" spans="1:8" x14ac:dyDescent="0.35">
      <c r="A508" t="s">
        <v>721</v>
      </c>
      <c r="B508" t="s">
        <v>1331</v>
      </c>
      <c r="C508" t="s">
        <v>1332</v>
      </c>
      <c r="D508" t="s">
        <v>59</v>
      </c>
      <c r="E508">
        <v>80</v>
      </c>
      <c r="F508" t="s">
        <v>63</v>
      </c>
      <c r="G508">
        <v>88</v>
      </c>
      <c r="H508">
        <v>80</v>
      </c>
    </row>
    <row r="509" spans="1:8" x14ac:dyDescent="0.35">
      <c r="A509" t="s">
        <v>725</v>
      </c>
      <c r="B509" t="s">
        <v>1338</v>
      </c>
      <c r="C509" t="s">
        <v>1263</v>
      </c>
      <c r="D509" t="s">
        <v>172</v>
      </c>
      <c r="E509">
        <v>5</v>
      </c>
      <c r="F509" t="s">
        <v>335</v>
      </c>
      <c r="G509">
        <v>5.5</v>
      </c>
      <c r="H509">
        <v>5</v>
      </c>
    </row>
    <row r="510" spans="1:8" x14ac:dyDescent="0.35">
      <c r="A510" t="s">
        <v>725</v>
      </c>
      <c r="B510" t="s">
        <v>1338</v>
      </c>
      <c r="C510" t="s">
        <v>1263</v>
      </c>
      <c r="D510" t="s">
        <v>82</v>
      </c>
      <c r="E510">
        <v>40</v>
      </c>
      <c r="F510" t="s">
        <v>549</v>
      </c>
      <c r="G510">
        <v>44</v>
      </c>
      <c r="H510">
        <v>40</v>
      </c>
    </row>
    <row r="511" spans="1:8" x14ac:dyDescent="0.35">
      <c r="A511" t="s">
        <v>726</v>
      </c>
      <c r="B511" t="s">
        <v>1339</v>
      </c>
      <c r="C511" t="s">
        <v>1048</v>
      </c>
      <c r="D511" t="s">
        <v>101</v>
      </c>
      <c r="E511">
        <v>80</v>
      </c>
      <c r="F511" t="s">
        <v>63</v>
      </c>
      <c r="G511">
        <v>88</v>
      </c>
      <c r="H511">
        <v>80</v>
      </c>
    </row>
    <row r="512" spans="1:8" x14ac:dyDescent="0.35">
      <c r="A512" t="s">
        <v>727</v>
      </c>
      <c r="B512" t="s">
        <v>1340</v>
      </c>
      <c r="C512" t="s">
        <v>1103</v>
      </c>
      <c r="D512" t="s">
        <v>205</v>
      </c>
      <c r="E512">
        <v>99</v>
      </c>
      <c r="F512" t="s">
        <v>65</v>
      </c>
      <c r="G512">
        <v>108.9</v>
      </c>
      <c r="H512">
        <v>99</v>
      </c>
    </row>
    <row r="513" spans="1:8" x14ac:dyDescent="0.35">
      <c r="A513" t="s">
        <v>728</v>
      </c>
      <c r="B513" t="s">
        <v>1194</v>
      </c>
      <c r="C513" t="s">
        <v>1235</v>
      </c>
      <c r="D513" t="s">
        <v>134</v>
      </c>
      <c r="E513">
        <v>35</v>
      </c>
      <c r="F513" t="s">
        <v>99</v>
      </c>
      <c r="G513">
        <v>38.5</v>
      </c>
      <c r="H513">
        <v>35</v>
      </c>
    </row>
    <row r="514" spans="1:8" x14ac:dyDescent="0.35">
      <c r="A514" t="s">
        <v>729</v>
      </c>
      <c r="B514" t="s">
        <v>1341</v>
      </c>
      <c r="C514" t="s">
        <v>1342</v>
      </c>
      <c r="D514" t="s">
        <v>438</v>
      </c>
      <c r="E514">
        <v>87</v>
      </c>
      <c r="F514" t="s">
        <v>137</v>
      </c>
      <c r="G514">
        <v>95.7</v>
      </c>
      <c r="H514" t="s">
        <v>730</v>
      </c>
    </row>
    <row r="515" spans="1:8" x14ac:dyDescent="0.35">
      <c r="A515" t="s">
        <v>731</v>
      </c>
      <c r="B515" t="s">
        <v>1343</v>
      </c>
      <c r="C515" t="s">
        <v>1344</v>
      </c>
      <c r="D515" t="s">
        <v>90</v>
      </c>
      <c r="E515">
        <v>29</v>
      </c>
      <c r="F515">
        <v>303</v>
      </c>
      <c r="G515">
        <v>31.900000000000002</v>
      </c>
      <c r="H515">
        <v>29</v>
      </c>
    </row>
    <row r="516" spans="1:8" x14ac:dyDescent="0.35">
      <c r="A516" t="s">
        <v>732</v>
      </c>
      <c r="B516" t="s">
        <v>1345</v>
      </c>
      <c r="C516" t="s">
        <v>1344</v>
      </c>
      <c r="D516" t="s">
        <v>18</v>
      </c>
      <c r="E516">
        <v>265</v>
      </c>
      <c r="F516" t="s">
        <v>703</v>
      </c>
      <c r="G516">
        <v>291.5</v>
      </c>
      <c r="H516" t="s">
        <v>733</v>
      </c>
    </row>
    <row r="517" spans="1:8" x14ac:dyDescent="0.35">
      <c r="A517" t="s">
        <v>734</v>
      </c>
      <c r="B517" t="s">
        <v>1346</v>
      </c>
      <c r="C517" t="s">
        <v>1026</v>
      </c>
      <c r="D517" t="s">
        <v>212</v>
      </c>
      <c r="E517">
        <v>85</v>
      </c>
      <c r="F517" t="s">
        <v>137</v>
      </c>
      <c r="G517">
        <v>93.500000000000014</v>
      </c>
      <c r="H517" t="s">
        <v>735</v>
      </c>
    </row>
    <row r="518" spans="1:8" x14ac:dyDescent="0.35">
      <c r="D518" t="s">
        <v>736</v>
      </c>
      <c r="E518">
        <v>1122</v>
      </c>
    </row>
    <row r="519" spans="1:8" x14ac:dyDescent="0.35">
      <c r="A519" t="s">
        <v>738</v>
      </c>
    </row>
    <row r="520" spans="1:8" x14ac:dyDescent="0.35">
      <c r="A520" t="s">
        <v>1</v>
      </c>
    </row>
    <row r="521" spans="1:8" x14ac:dyDescent="0.35">
      <c r="A521" t="s">
        <v>2</v>
      </c>
      <c r="B521" t="s">
        <v>3</v>
      </c>
      <c r="C521" t="s">
        <v>4</v>
      </c>
      <c r="D521" t="s">
        <v>5</v>
      </c>
      <c r="E521" t="s">
        <v>6</v>
      </c>
      <c r="F521" t="s">
        <v>7</v>
      </c>
      <c r="G521" t="s">
        <v>8</v>
      </c>
    </row>
    <row r="522" spans="1:8" x14ac:dyDescent="0.35">
      <c r="A522" t="s">
        <v>739</v>
      </c>
      <c r="B522" t="s">
        <v>1347</v>
      </c>
      <c r="C522" t="s">
        <v>1348</v>
      </c>
      <c r="D522" t="s">
        <v>43</v>
      </c>
      <c r="E522">
        <v>80</v>
      </c>
      <c r="F522" t="s">
        <v>358</v>
      </c>
      <c r="G522">
        <v>88</v>
      </c>
      <c r="H522" t="s">
        <v>260</v>
      </c>
    </row>
    <row r="523" spans="1:8" x14ac:dyDescent="0.35">
      <c r="A523" t="s">
        <v>739</v>
      </c>
      <c r="B523" t="s">
        <v>1347</v>
      </c>
      <c r="C523" t="s">
        <v>1348</v>
      </c>
      <c r="D523" t="s">
        <v>38</v>
      </c>
      <c r="E523">
        <v>240</v>
      </c>
      <c r="F523" t="s">
        <v>241</v>
      </c>
      <c r="G523">
        <v>264</v>
      </c>
      <c r="H523" t="s">
        <v>740</v>
      </c>
    </row>
    <row r="524" spans="1:8" x14ac:dyDescent="0.35">
      <c r="A524" t="s">
        <v>741</v>
      </c>
      <c r="B524" t="s">
        <v>1349</v>
      </c>
      <c r="C524" t="s">
        <v>1348</v>
      </c>
      <c r="D524" t="s">
        <v>190</v>
      </c>
      <c r="E524">
        <v>136</v>
      </c>
      <c r="F524" t="s">
        <v>394</v>
      </c>
      <c r="G524">
        <v>149.60000000000002</v>
      </c>
      <c r="H524" t="s">
        <v>742</v>
      </c>
    </row>
    <row r="525" spans="1:8" x14ac:dyDescent="0.35">
      <c r="A525" t="s">
        <v>743</v>
      </c>
      <c r="B525" t="s">
        <v>1350</v>
      </c>
      <c r="C525" t="s">
        <v>1351</v>
      </c>
      <c r="D525" t="s">
        <v>253</v>
      </c>
      <c r="E525">
        <v>85</v>
      </c>
      <c r="F525" t="s">
        <v>162</v>
      </c>
      <c r="G525">
        <v>93.500000000000014</v>
      </c>
      <c r="H525" t="s">
        <v>744</v>
      </c>
    </row>
    <row r="526" spans="1:8" x14ac:dyDescent="0.35">
      <c r="A526" t="s">
        <v>739</v>
      </c>
      <c r="B526" t="s">
        <v>1347</v>
      </c>
      <c r="C526" t="s">
        <v>946</v>
      </c>
      <c r="D526" t="s">
        <v>41</v>
      </c>
      <c r="E526">
        <v>75</v>
      </c>
      <c r="F526" t="s">
        <v>63</v>
      </c>
      <c r="G526">
        <v>82.5</v>
      </c>
      <c r="H526">
        <v>75</v>
      </c>
    </row>
    <row r="527" spans="1:8" x14ac:dyDescent="0.35">
      <c r="A527" t="s">
        <v>741</v>
      </c>
      <c r="B527" t="s">
        <v>1352</v>
      </c>
      <c r="C527" t="s">
        <v>1323</v>
      </c>
      <c r="D527" t="s">
        <v>199</v>
      </c>
      <c r="E527">
        <v>295</v>
      </c>
      <c r="F527" t="s">
        <v>745</v>
      </c>
      <c r="G527">
        <v>324.5</v>
      </c>
      <c r="H527" t="s">
        <v>746</v>
      </c>
    </row>
    <row r="528" spans="1:8" x14ac:dyDescent="0.35">
      <c r="A528" t="s">
        <v>747</v>
      </c>
      <c r="B528" t="s">
        <v>1353</v>
      </c>
      <c r="C528" t="s">
        <v>1258</v>
      </c>
      <c r="D528" t="s">
        <v>122</v>
      </c>
      <c r="E528">
        <v>130</v>
      </c>
      <c r="F528" t="s">
        <v>748</v>
      </c>
      <c r="G528">
        <v>143</v>
      </c>
      <c r="H528" t="s">
        <v>325</v>
      </c>
    </row>
    <row r="529" spans="1:8" x14ac:dyDescent="0.35">
      <c r="A529" t="s">
        <v>749</v>
      </c>
      <c r="B529" t="s">
        <v>1354</v>
      </c>
      <c r="C529" t="s">
        <v>1355</v>
      </c>
      <c r="D529" t="s">
        <v>148</v>
      </c>
      <c r="E529">
        <v>65</v>
      </c>
      <c r="F529" t="s">
        <v>65</v>
      </c>
      <c r="G529">
        <v>71.5</v>
      </c>
      <c r="H529">
        <v>65</v>
      </c>
    </row>
    <row r="530" spans="1:8" x14ac:dyDescent="0.35">
      <c r="A530" t="s">
        <v>749</v>
      </c>
      <c r="B530" t="s">
        <v>1354</v>
      </c>
      <c r="C530" t="s">
        <v>1355</v>
      </c>
      <c r="D530" t="s">
        <v>150</v>
      </c>
      <c r="E530">
        <v>18</v>
      </c>
      <c r="F530" t="s">
        <v>549</v>
      </c>
      <c r="G530">
        <v>19.8</v>
      </c>
      <c r="H530">
        <v>18</v>
      </c>
    </row>
    <row r="531" spans="1:8" x14ac:dyDescent="0.35">
      <c r="A531" t="s">
        <v>749</v>
      </c>
      <c r="B531" t="s">
        <v>1354</v>
      </c>
      <c r="C531" t="s">
        <v>1355</v>
      </c>
      <c r="D531" t="s">
        <v>273</v>
      </c>
      <c r="E531">
        <v>40</v>
      </c>
      <c r="F531" t="s">
        <v>234</v>
      </c>
      <c r="G531">
        <v>44</v>
      </c>
      <c r="H531">
        <v>40</v>
      </c>
    </row>
    <row r="532" spans="1:8" x14ac:dyDescent="0.35">
      <c r="A532" t="s">
        <v>749</v>
      </c>
      <c r="B532" t="s">
        <v>1356</v>
      </c>
      <c r="C532" t="s">
        <v>1357</v>
      </c>
      <c r="D532" t="s">
        <v>64</v>
      </c>
      <c r="E532">
        <v>5</v>
      </c>
      <c r="F532" t="s">
        <v>750</v>
      </c>
      <c r="G532">
        <v>5.5</v>
      </c>
      <c r="H532">
        <v>5</v>
      </c>
    </row>
    <row r="533" spans="1:8" x14ac:dyDescent="0.35">
      <c r="A533" t="s">
        <v>749</v>
      </c>
      <c r="B533" t="s">
        <v>1356</v>
      </c>
      <c r="C533" t="s">
        <v>1336</v>
      </c>
      <c r="D533" t="s">
        <v>104</v>
      </c>
      <c r="E533">
        <v>35</v>
      </c>
      <c r="F533" t="s">
        <v>723</v>
      </c>
      <c r="G533">
        <v>38.5</v>
      </c>
      <c r="H533">
        <v>35</v>
      </c>
    </row>
    <row r="534" spans="1:8" x14ac:dyDescent="0.35">
      <c r="D534" t="s">
        <v>751</v>
      </c>
      <c r="E534">
        <v>1204</v>
      </c>
    </row>
    <row r="535" spans="1:8" x14ac:dyDescent="0.35">
      <c r="A535" t="s">
        <v>738</v>
      </c>
    </row>
    <row r="536" spans="1:8" x14ac:dyDescent="0.35">
      <c r="A536" t="s">
        <v>35</v>
      </c>
    </row>
    <row r="537" spans="1:8" x14ac:dyDescent="0.35">
      <c r="A537" t="s">
        <v>2</v>
      </c>
      <c r="B537" t="s">
        <v>3</v>
      </c>
      <c r="C537" t="s">
        <v>4</v>
      </c>
      <c r="D537" t="s">
        <v>5</v>
      </c>
      <c r="E537" t="s">
        <v>6</v>
      </c>
      <c r="F537" t="s">
        <v>7</v>
      </c>
      <c r="G537" t="s">
        <v>8</v>
      </c>
    </row>
    <row r="538" spans="1:8" x14ac:dyDescent="0.35">
      <c r="A538" t="s">
        <v>753</v>
      </c>
      <c r="B538" t="s">
        <v>1358</v>
      </c>
      <c r="C538" t="s">
        <v>1002</v>
      </c>
      <c r="D538" t="s">
        <v>185</v>
      </c>
      <c r="E538">
        <v>69</v>
      </c>
      <c r="F538" t="s">
        <v>143</v>
      </c>
      <c r="G538">
        <v>75.900000000000006</v>
      </c>
      <c r="H538" t="s">
        <v>754</v>
      </c>
    </row>
    <row r="539" spans="1:8" x14ac:dyDescent="0.35">
      <c r="A539" t="s">
        <v>753</v>
      </c>
      <c r="B539" t="s">
        <v>1358</v>
      </c>
      <c r="C539" t="s">
        <v>1002</v>
      </c>
      <c r="D539" t="s">
        <v>172</v>
      </c>
      <c r="E539">
        <v>5</v>
      </c>
      <c r="F539" t="s">
        <v>724</v>
      </c>
      <c r="G539">
        <v>5.5</v>
      </c>
      <c r="H539">
        <v>5</v>
      </c>
    </row>
    <row r="540" spans="1:8" x14ac:dyDescent="0.35">
      <c r="A540" t="s">
        <v>151</v>
      </c>
      <c r="B540" t="s">
        <v>997</v>
      </c>
      <c r="C540" t="s">
        <v>975</v>
      </c>
      <c r="D540" t="s">
        <v>305</v>
      </c>
      <c r="E540">
        <v>70</v>
      </c>
      <c r="F540" t="s">
        <v>143</v>
      </c>
      <c r="G540">
        <v>77</v>
      </c>
      <c r="H540" t="s">
        <v>352</v>
      </c>
    </row>
    <row r="541" spans="1:8" x14ac:dyDescent="0.35">
      <c r="A541" t="s">
        <v>151</v>
      </c>
      <c r="B541" t="s">
        <v>997</v>
      </c>
      <c r="C541" t="s">
        <v>975</v>
      </c>
      <c r="D541" t="s">
        <v>251</v>
      </c>
      <c r="E541">
        <v>225</v>
      </c>
      <c r="F541" t="s">
        <v>386</v>
      </c>
      <c r="G541">
        <v>247.50000000000003</v>
      </c>
      <c r="H541" t="s">
        <v>755</v>
      </c>
    </row>
    <row r="542" spans="1:8" x14ac:dyDescent="0.35">
      <c r="A542" t="s">
        <v>756</v>
      </c>
      <c r="B542" t="s">
        <v>1359</v>
      </c>
      <c r="C542" t="s">
        <v>1342</v>
      </c>
      <c r="D542" t="s">
        <v>130</v>
      </c>
      <c r="E542">
        <v>90</v>
      </c>
      <c r="F542" t="s">
        <v>137</v>
      </c>
      <c r="G542">
        <v>99.000000000000014</v>
      </c>
      <c r="H542" t="s">
        <v>757</v>
      </c>
    </row>
    <row r="543" spans="1:8" x14ac:dyDescent="0.35">
      <c r="A543" t="s">
        <v>470</v>
      </c>
      <c r="B543" t="s">
        <v>1360</v>
      </c>
      <c r="C543" t="s">
        <v>1348</v>
      </c>
      <c r="D543" t="s">
        <v>152</v>
      </c>
      <c r="E543">
        <v>83</v>
      </c>
      <c r="F543" t="s">
        <v>341</v>
      </c>
      <c r="G543">
        <v>91.300000000000011</v>
      </c>
      <c r="H543" t="s">
        <v>758</v>
      </c>
    </row>
    <row r="544" spans="1:8" x14ac:dyDescent="0.35">
      <c r="A544" t="s">
        <v>470</v>
      </c>
      <c r="B544" t="s">
        <v>1360</v>
      </c>
      <c r="C544" t="s">
        <v>1348</v>
      </c>
      <c r="D544" t="s">
        <v>155</v>
      </c>
      <c r="E544">
        <v>46</v>
      </c>
      <c r="F544" t="s">
        <v>759</v>
      </c>
      <c r="G544">
        <v>50.6</v>
      </c>
      <c r="H544" t="s">
        <v>249</v>
      </c>
    </row>
    <row r="545" spans="1:8" x14ac:dyDescent="0.35">
      <c r="A545" t="s">
        <v>760</v>
      </c>
      <c r="B545" t="s">
        <v>1361</v>
      </c>
      <c r="C545" t="s">
        <v>1043</v>
      </c>
      <c r="D545" t="s">
        <v>136</v>
      </c>
      <c r="E545">
        <v>103</v>
      </c>
      <c r="F545" t="s">
        <v>712</v>
      </c>
      <c r="G545">
        <v>113.30000000000001</v>
      </c>
      <c r="H545" t="s">
        <v>761</v>
      </c>
    </row>
    <row r="546" spans="1:8" x14ac:dyDescent="0.35">
      <c r="A546" t="s">
        <v>762</v>
      </c>
      <c r="B546" t="s">
        <v>1058</v>
      </c>
      <c r="C546" t="s">
        <v>1362</v>
      </c>
      <c r="D546" t="s">
        <v>62</v>
      </c>
      <c r="E546">
        <v>103</v>
      </c>
      <c r="F546" t="s">
        <v>763</v>
      </c>
      <c r="G546">
        <v>113.30000000000001</v>
      </c>
      <c r="H546" t="s">
        <v>764</v>
      </c>
    </row>
    <row r="547" spans="1:8" x14ac:dyDescent="0.35">
      <c r="A547" t="s">
        <v>765</v>
      </c>
      <c r="B547" t="s">
        <v>1363</v>
      </c>
      <c r="C547" t="s">
        <v>1364</v>
      </c>
      <c r="D547" t="s">
        <v>282</v>
      </c>
      <c r="E547">
        <v>90</v>
      </c>
      <c r="F547" t="s">
        <v>137</v>
      </c>
      <c r="G547">
        <v>99.000000000000014</v>
      </c>
      <c r="H547" t="s">
        <v>757</v>
      </c>
    </row>
    <row r="548" spans="1:8" x14ac:dyDescent="0.35">
      <c r="A548" t="s">
        <v>766</v>
      </c>
      <c r="B548" t="s">
        <v>1365</v>
      </c>
      <c r="C548" t="s">
        <v>1193</v>
      </c>
      <c r="D548" t="s">
        <v>94</v>
      </c>
      <c r="E548">
        <v>40</v>
      </c>
      <c r="F548" t="s">
        <v>63</v>
      </c>
      <c r="G548">
        <v>44</v>
      </c>
      <c r="H548">
        <v>40</v>
      </c>
    </row>
    <row r="549" spans="1:8" x14ac:dyDescent="0.35">
      <c r="A549" t="s">
        <v>767</v>
      </c>
      <c r="B549" t="s">
        <v>1365</v>
      </c>
      <c r="C549" t="s">
        <v>1193</v>
      </c>
      <c r="D549" t="s">
        <v>45</v>
      </c>
      <c r="E549">
        <v>82</v>
      </c>
      <c r="F549" t="s">
        <v>65</v>
      </c>
      <c r="G549">
        <v>90.2</v>
      </c>
      <c r="H549">
        <v>82</v>
      </c>
    </row>
    <row r="550" spans="1:8" x14ac:dyDescent="0.35">
      <c r="A550" t="s">
        <v>768</v>
      </c>
      <c r="B550" t="s">
        <v>1366</v>
      </c>
      <c r="C550" t="s">
        <v>1074</v>
      </c>
      <c r="D550" t="s">
        <v>349</v>
      </c>
      <c r="E550">
        <v>138</v>
      </c>
      <c r="F550" t="s">
        <v>23</v>
      </c>
      <c r="G550">
        <v>151.80000000000001</v>
      </c>
      <c r="H550" t="s">
        <v>769</v>
      </c>
    </row>
    <row r="551" spans="1:8" x14ac:dyDescent="0.35">
      <c r="D551" t="s">
        <v>770</v>
      </c>
      <c r="E551">
        <v>1144</v>
      </c>
    </row>
    <row r="552" spans="1:8" x14ac:dyDescent="0.35">
      <c r="A552" t="s">
        <v>738</v>
      </c>
    </row>
    <row r="553" spans="1:8" x14ac:dyDescent="0.35">
      <c r="A553" t="s">
        <v>77</v>
      </c>
    </row>
    <row r="554" spans="1:8" x14ac:dyDescent="0.35">
      <c r="A554" t="s">
        <v>2</v>
      </c>
      <c r="B554" t="s">
        <v>3</v>
      </c>
      <c r="C554" t="s">
        <v>4</v>
      </c>
      <c r="D554" t="s">
        <v>5</v>
      </c>
      <c r="E554" t="s">
        <v>6</v>
      </c>
      <c r="F554" t="s">
        <v>7</v>
      </c>
      <c r="G554" t="s">
        <v>8</v>
      </c>
    </row>
    <row r="555" spans="1:8" x14ac:dyDescent="0.35">
      <c r="A555" t="s">
        <v>771</v>
      </c>
      <c r="B555" t="s">
        <v>1367</v>
      </c>
      <c r="C555" t="s">
        <v>1273</v>
      </c>
      <c r="D555" t="s">
        <v>26</v>
      </c>
      <c r="E555">
        <v>76</v>
      </c>
      <c r="F555" t="s">
        <v>697</v>
      </c>
      <c r="G555">
        <v>83.600000000000009</v>
      </c>
      <c r="H555" t="s">
        <v>772</v>
      </c>
    </row>
    <row r="556" spans="1:8" x14ac:dyDescent="0.35">
      <c r="A556" t="s">
        <v>773</v>
      </c>
      <c r="B556" t="s">
        <v>1368</v>
      </c>
      <c r="C556" t="s">
        <v>1293</v>
      </c>
      <c r="D556" t="s">
        <v>236</v>
      </c>
      <c r="E556">
        <v>154</v>
      </c>
      <c r="F556" t="s">
        <v>394</v>
      </c>
      <c r="G556">
        <v>169.4</v>
      </c>
      <c r="H556" t="s">
        <v>774</v>
      </c>
    </row>
    <row r="557" spans="1:8" x14ac:dyDescent="0.35">
      <c r="A557" t="s">
        <v>775</v>
      </c>
      <c r="B557" t="s">
        <v>1369</v>
      </c>
      <c r="C557" t="s">
        <v>1174</v>
      </c>
      <c r="D557" t="s">
        <v>205</v>
      </c>
      <c r="E557">
        <v>22</v>
      </c>
      <c r="F557" t="s">
        <v>776</v>
      </c>
      <c r="G557">
        <v>24.200000000000003</v>
      </c>
      <c r="H557">
        <v>22</v>
      </c>
    </row>
    <row r="558" spans="1:8" x14ac:dyDescent="0.35">
      <c r="A558" t="s">
        <v>777</v>
      </c>
      <c r="B558" t="s">
        <v>1370</v>
      </c>
      <c r="C558" t="s">
        <v>1267</v>
      </c>
      <c r="D558" t="s">
        <v>126</v>
      </c>
      <c r="E558">
        <v>95</v>
      </c>
      <c r="F558" t="s">
        <v>65</v>
      </c>
      <c r="G558">
        <v>104.50000000000001</v>
      </c>
      <c r="H558">
        <v>95</v>
      </c>
    </row>
    <row r="559" spans="1:8" x14ac:dyDescent="0.35">
      <c r="A559" t="s">
        <v>778</v>
      </c>
      <c r="B559" t="s">
        <v>1371</v>
      </c>
      <c r="C559" t="s">
        <v>1031</v>
      </c>
      <c r="D559" t="s">
        <v>114</v>
      </c>
      <c r="E559">
        <v>40</v>
      </c>
      <c r="F559" t="s">
        <v>724</v>
      </c>
      <c r="G559">
        <v>44</v>
      </c>
      <c r="H559">
        <v>40</v>
      </c>
    </row>
    <row r="560" spans="1:8" x14ac:dyDescent="0.35">
      <c r="A560" t="s">
        <v>779</v>
      </c>
      <c r="B560" t="s">
        <v>1372</v>
      </c>
      <c r="C560" t="s">
        <v>1026</v>
      </c>
      <c r="D560" t="s">
        <v>194</v>
      </c>
      <c r="E560">
        <v>60</v>
      </c>
      <c r="F560" t="s">
        <v>63</v>
      </c>
      <c r="G560">
        <v>66</v>
      </c>
      <c r="H560">
        <v>60</v>
      </c>
    </row>
    <row r="561" spans="1:8" x14ac:dyDescent="0.35">
      <c r="A561" t="s">
        <v>780</v>
      </c>
      <c r="B561" t="s">
        <v>1373</v>
      </c>
      <c r="C561" t="s">
        <v>1186</v>
      </c>
      <c r="D561" t="s">
        <v>195</v>
      </c>
      <c r="E561">
        <v>55</v>
      </c>
      <c r="F561" t="s">
        <v>309</v>
      </c>
      <c r="G561">
        <v>60.500000000000007</v>
      </c>
      <c r="H561" t="s">
        <v>51</v>
      </c>
    </row>
    <row r="562" spans="1:8" x14ac:dyDescent="0.35">
      <c r="A562" t="s">
        <v>694</v>
      </c>
      <c r="B562" t="s">
        <v>1316</v>
      </c>
      <c r="C562" t="s">
        <v>1374</v>
      </c>
      <c r="D562" t="s">
        <v>159</v>
      </c>
      <c r="E562">
        <v>75</v>
      </c>
      <c r="F562" t="s">
        <v>137</v>
      </c>
      <c r="G562">
        <v>82.5</v>
      </c>
      <c r="H562" t="s">
        <v>781</v>
      </c>
    </row>
    <row r="563" spans="1:8" x14ac:dyDescent="0.35">
      <c r="A563" t="s">
        <v>694</v>
      </c>
      <c r="B563" t="s">
        <v>1316</v>
      </c>
      <c r="C563" t="s">
        <v>946</v>
      </c>
      <c r="D563" t="s">
        <v>110</v>
      </c>
      <c r="E563">
        <v>56</v>
      </c>
      <c r="F563" t="s">
        <v>143</v>
      </c>
      <c r="G563">
        <v>61.600000000000009</v>
      </c>
      <c r="H563" t="s">
        <v>782</v>
      </c>
    </row>
    <row r="564" spans="1:8" x14ac:dyDescent="0.35">
      <c r="A564" t="s">
        <v>783</v>
      </c>
      <c r="B564" t="s">
        <v>1375</v>
      </c>
      <c r="C564" t="s">
        <v>1256</v>
      </c>
      <c r="D564" t="s">
        <v>179</v>
      </c>
      <c r="E564">
        <v>70</v>
      </c>
      <c r="F564" t="s">
        <v>63</v>
      </c>
      <c r="G564">
        <v>77</v>
      </c>
      <c r="H564">
        <v>70</v>
      </c>
    </row>
    <row r="565" spans="1:8" x14ac:dyDescent="0.35">
      <c r="A565" t="s">
        <v>784</v>
      </c>
      <c r="B565" t="s">
        <v>1376</v>
      </c>
      <c r="C565" t="s">
        <v>1188</v>
      </c>
      <c r="D565" t="s">
        <v>134</v>
      </c>
      <c r="E565">
        <v>95</v>
      </c>
      <c r="F565" t="s">
        <v>137</v>
      </c>
      <c r="G565">
        <v>104.50000000000001</v>
      </c>
      <c r="H565" t="s">
        <v>708</v>
      </c>
    </row>
    <row r="566" spans="1:8" x14ac:dyDescent="0.35">
      <c r="A566" t="s">
        <v>785</v>
      </c>
      <c r="B566" t="s">
        <v>1377</v>
      </c>
      <c r="C566" t="s">
        <v>962</v>
      </c>
      <c r="D566" t="s">
        <v>292</v>
      </c>
      <c r="E566">
        <v>32</v>
      </c>
      <c r="F566" t="s">
        <v>262</v>
      </c>
      <c r="G566">
        <v>35.200000000000003</v>
      </c>
      <c r="H566">
        <v>32</v>
      </c>
    </row>
    <row r="567" spans="1:8" x14ac:dyDescent="0.35">
      <c r="A567" t="s">
        <v>786</v>
      </c>
      <c r="B567" t="s">
        <v>1378</v>
      </c>
      <c r="C567" t="s">
        <v>935</v>
      </c>
      <c r="D567" t="s">
        <v>220</v>
      </c>
      <c r="E567">
        <v>205</v>
      </c>
      <c r="F567" t="s">
        <v>787</v>
      </c>
      <c r="G567">
        <v>225.50000000000003</v>
      </c>
      <c r="H567" t="s">
        <v>788</v>
      </c>
    </row>
    <row r="568" spans="1:8" x14ac:dyDescent="0.35">
      <c r="A568" t="s">
        <v>789</v>
      </c>
      <c r="B568" t="s">
        <v>1379</v>
      </c>
      <c r="C568" t="s">
        <v>1318</v>
      </c>
      <c r="D568" t="s">
        <v>124</v>
      </c>
      <c r="E568">
        <v>53</v>
      </c>
      <c r="F568" t="s">
        <v>143</v>
      </c>
      <c r="G568">
        <v>58.300000000000004</v>
      </c>
      <c r="H568" t="s">
        <v>790</v>
      </c>
    </row>
    <row r="569" spans="1:8" x14ac:dyDescent="0.35">
      <c r="A569" t="s">
        <v>791</v>
      </c>
      <c r="B569" t="s">
        <v>1380</v>
      </c>
      <c r="C569" t="s">
        <v>1381</v>
      </c>
      <c r="D569" t="s">
        <v>98</v>
      </c>
      <c r="E569">
        <v>23</v>
      </c>
      <c r="F569">
        <v>303</v>
      </c>
      <c r="G569">
        <v>25.3</v>
      </c>
      <c r="H569">
        <v>23</v>
      </c>
    </row>
    <row r="570" spans="1:8" x14ac:dyDescent="0.35">
      <c r="D570" t="s">
        <v>792</v>
      </c>
      <c r="E570">
        <v>1111</v>
      </c>
    </row>
    <row r="571" spans="1:8" x14ac:dyDescent="0.35">
      <c r="A571" t="s">
        <v>794</v>
      </c>
    </row>
    <row r="572" spans="1:8" x14ac:dyDescent="0.35">
      <c r="A572" t="s">
        <v>1</v>
      </c>
    </row>
    <row r="573" spans="1:8" x14ac:dyDescent="0.35">
      <c r="A573" t="s">
        <v>2</v>
      </c>
      <c r="B573" t="s">
        <v>3</v>
      </c>
      <c r="C573" t="s">
        <v>4</v>
      </c>
      <c r="D573" t="s">
        <v>5</v>
      </c>
      <c r="E573" t="s">
        <v>6</v>
      </c>
      <c r="F573" t="s">
        <v>7</v>
      </c>
      <c r="G573" t="s">
        <v>8</v>
      </c>
    </row>
    <row r="574" spans="1:8" x14ac:dyDescent="0.35">
      <c r="A574" t="s">
        <v>795</v>
      </c>
      <c r="B574" t="s">
        <v>1382</v>
      </c>
      <c r="C574" t="s">
        <v>1383</v>
      </c>
      <c r="D574" t="s">
        <v>246</v>
      </c>
      <c r="E574">
        <v>128</v>
      </c>
      <c r="F574" t="s">
        <v>227</v>
      </c>
      <c r="G574">
        <v>140.80000000000001</v>
      </c>
      <c r="H574" t="s">
        <v>695</v>
      </c>
    </row>
    <row r="575" spans="1:8" x14ac:dyDescent="0.35">
      <c r="A575" t="s">
        <v>796</v>
      </c>
      <c r="B575" t="s">
        <v>1384</v>
      </c>
      <c r="C575" t="s">
        <v>1385</v>
      </c>
      <c r="D575" t="s">
        <v>116</v>
      </c>
      <c r="E575">
        <v>101</v>
      </c>
      <c r="F575" t="s">
        <v>712</v>
      </c>
      <c r="G575">
        <v>111.10000000000001</v>
      </c>
      <c r="H575" t="s">
        <v>797</v>
      </c>
    </row>
    <row r="576" spans="1:8" x14ac:dyDescent="0.35">
      <c r="A576" t="s">
        <v>798</v>
      </c>
      <c r="B576" t="s">
        <v>1386</v>
      </c>
      <c r="C576" t="s">
        <v>1387</v>
      </c>
      <c r="D576" t="s">
        <v>47</v>
      </c>
      <c r="E576">
        <v>37</v>
      </c>
      <c r="F576" t="s">
        <v>54</v>
      </c>
      <c r="G576">
        <v>40.700000000000003</v>
      </c>
      <c r="H576">
        <v>37</v>
      </c>
    </row>
    <row r="577" spans="1:8" x14ac:dyDescent="0.35">
      <c r="A577" t="s">
        <v>799</v>
      </c>
      <c r="B577" t="s">
        <v>1388</v>
      </c>
      <c r="C577" t="s">
        <v>1374</v>
      </c>
      <c r="D577" t="s">
        <v>82</v>
      </c>
      <c r="E577">
        <v>80</v>
      </c>
      <c r="F577" t="s">
        <v>800</v>
      </c>
      <c r="G577">
        <v>88</v>
      </c>
      <c r="H577" t="s">
        <v>392</v>
      </c>
    </row>
    <row r="578" spans="1:8" x14ac:dyDescent="0.35">
      <c r="A578" t="s">
        <v>801</v>
      </c>
      <c r="B578" t="s">
        <v>1389</v>
      </c>
      <c r="C578" t="s">
        <v>1243</v>
      </c>
      <c r="D578" t="s">
        <v>73</v>
      </c>
      <c r="E578">
        <v>250</v>
      </c>
      <c r="F578" t="s">
        <v>703</v>
      </c>
      <c r="G578">
        <v>275</v>
      </c>
      <c r="H578" t="s">
        <v>802</v>
      </c>
    </row>
    <row r="579" spans="1:8" x14ac:dyDescent="0.35">
      <c r="A579" t="s">
        <v>803</v>
      </c>
      <c r="B579" t="s">
        <v>1390</v>
      </c>
      <c r="C579" t="s">
        <v>1209</v>
      </c>
      <c r="D579" t="s">
        <v>172</v>
      </c>
      <c r="E579">
        <v>61</v>
      </c>
      <c r="F579" t="s">
        <v>383</v>
      </c>
      <c r="G579">
        <v>67.100000000000009</v>
      </c>
      <c r="H579" t="s">
        <v>174</v>
      </c>
    </row>
    <row r="580" spans="1:8" x14ac:dyDescent="0.35">
      <c r="A580" t="s">
        <v>804</v>
      </c>
      <c r="B580" t="s">
        <v>1391</v>
      </c>
      <c r="C580" t="s">
        <v>1004</v>
      </c>
      <c r="D580" t="s">
        <v>273</v>
      </c>
      <c r="E580">
        <v>175</v>
      </c>
      <c r="F580" t="s">
        <v>23</v>
      </c>
      <c r="G580">
        <v>192.50000000000003</v>
      </c>
      <c r="H580" t="s">
        <v>805</v>
      </c>
    </row>
    <row r="581" spans="1:8" x14ac:dyDescent="0.35">
      <c r="A581" t="s">
        <v>806</v>
      </c>
      <c r="B581" t="s">
        <v>1392</v>
      </c>
      <c r="C581" t="s">
        <v>1393</v>
      </c>
      <c r="D581" t="s">
        <v>67</v>
      </c>
      <c r="E581">
        <v>245</v>
      </c>
      <c r="F581" t="s">
        <v>703</v>
      </c>
      <c r="G581">
        <v>269.5</v>
      </c>
      <c r="H581" t="s">
        <v>68</v>
      </c>
    </row>
    <row r="582" spans="1:8" x14ac:dyDescent="0.35">
      <c r="A582" t="s">
        <v>806</v>
      </c>
      <c r="B582" t="s">
        <v>1392</v>
      </c>
      <c r="C582" t="s">
        <v>1393</v>
      </c>
      <c r="D582" t="s">
        <v>64</v>
      </c>
      <c r="E582">
        <v>125</v>
      </c>
      <c r="F582" t="s">
        <v>227</v>
      </c>
      <c r="G582">
        <v>137.5</v>
      </c>
      <c r="H582" t="s">
        <v>807</v>
      </c>
    </row>
    <row r="583" spans="1:8" x14ac:dyDescent="0.35">
      <c r="D583" t="s">
        <v>808</v>
      </c>
      <c r="E583">
        <v>1202</v>
      </c>
    </row>
    <row r="584" spans="1:8" x14ac:dyDescent="0.35">
      <c r="A584" t="s">
        <v>794</v>
      </c>
    </row>
    <row r="585" spans="1:8" x14ac:dyDescent="0.35">
      <c r="A585" t="s">
        <v>35</v>
      </c>
    </row>
    <row r="586" spans="1:8" x14ac:dyDescent="0.35">
      <c r="A586" t="s">
        <v>2</v>
      </c>
      <c r="B586" t="s">
        <v>3</v>
      </c>
      <c r="C586" t="s">
        <v>4</v>
      </c>
      <c r="D586" t="s">
        <v>5</v>
      </c>
      <c r="E586" t="s">
        <v>6</v>
      </c>
      <c r="F586" t="s">
        <v>7</v>
      </c>
      <c r="G586" t="s">
        <v>8</v>
      </c>
    </row>
    <row r="587" spans="1:8" x14ac:dyDescent="0.35">
      <c r="A587" t="s">
        <v>810</v>
      </c>
      <c r="B587" t="s">
        <v>1247</v>
      </c>
      <c r="C587" t="s">
        <v>1200</v>
      </c>
      <c r="D587" t="s">
        <v>168</v>
      </c>
      <c r="E587">
        <v>140</v>
      </c>
      <c r="F587" t="s">
        <v>811</v>
      </c>
      <c r="G587">
        <v>154</v>
      </c>
      <c r="H587" t="s">
        <v>812</v>
      </c>
    </row>
    <row r="588" spans="1:8" x14ac:dyDescent="0.35">
      <c r="A588" t="s">
        <v>550</v>
      </c>
      <c r="B588" t="s">
        <v>1394</v>
      </c>
      <c r="C588" t="s">
        <v>1279</v>
      </c>
      <c r="D588" t="s">
        <v>90</v>
      </c>
      <c r="E588">
        <v>170</v>
      </c>
      <c r="F588" t="s">
        <v>415</v>
      </c>
      <c r="G588">
        <v>187.00000000000003</v>
      </c>
      <c r="H588" t="s">
        <v>813</v>
      </c>
    </row>
    <row r="589" spans="1:8" x14ac:dyDescent="0.35">
      <c r="A589" t="s">
        <v>814</v>
      </c>
      <c r="B589" t="s">
        <v>1395</v>
      </c>
      <c r="C589" t="s">
        <v>1079</v>
      </c>
      <c r="D589" t="s">
        <v>41</v>
      </c>
      <c r="E589">
        <v>75</v>
      </c>
      <c r="F589" t="s">
        <v>137</v>
      </c>
      <c r="G589">
        <v>82.5</v>
      </c>
      <c r="H589" t="s">
        <v>214</v>
      </c>
    </row>
    <row r="590" spans="1:8" x14ac:dyDescent="0.35">
      <c r="A590" t="s">
        <v>815</v>
      </c>
      <c r="B590" t="s">
        <v>1396</v>
      </c>
      <c r="C590" t="s">
        <v>1174</v>
      </c>
      <c r="D590" t="s">
        <v>101</v>
      </c>
      <c r="E590">
        <v>80</v>
      </c>
      <c r="F590" t="s">
        <v>137</v>
      </c>
      <c r="G590">
        <v>88</v>
      </c>
      <c r="H590" t="s">
        <v>392</v>
      </c>
    </row>
    <row r="591" spans="1:8" x14ac:dyDescent="0.35">
      <c r="A591" t="s">
        <v>816</v>
      </c>
      <c r="B591" t="s">
        <v>1397</v>
      </c>
      <c r="C591" t="s">
        <v>1281</v>
      </c>
      <c r="D591" t="s">
        <v>270</v>
      </c>
      <c r="E591">
        <v>132</v>
      </c>
      <c r="F591" t="s">
        <v>811</v>
      </c>
      <c r="G591">
        <v>145.20000000000002</v>
      </c>
      <c r="H591" t="s">
        <v>817</v>
      </c>
    </row>
    <row r="592" spans="1:8" x14ac:dyDescent="0.35">
      <c r="A592" t="s">
        <v>495</v>
      </c>
      <c r="B592" t="s">
        <v>1198</v>
      </c>
      <c r="C592" t="s">
        <v>1398</v>
      </c>
      <c r="D592" t="s">
        <v>30</v>
      </c>
      <c r="E592">
        <v>340</v>
      </c>
      <c r="F592" t="s">
        <v>818</v>
      </c>
      <c r="G592">
        <v>374.00000000000006</v>
      </c>
      <c r="H592" t="s">
        <v>819</v>
      </c>
    </row>
    <row r="593" spans="1:8" x14ac:dyDescent="0.35">
      <c r="A593" t="s">
        <v>495</v>
      </c>
      <c r="B593" t="s">
        <v>1218</v>
      </c>
      <c r="C593" t="s">
        <v>1399</v>
      </c>
      <c r="D593" t="s">
        <v>11</v>
      </c>
      <c r="E593">
        <v>160</v>
      </c>
      <c r="F593" t="s">
        <v>486</v>
      </c>
      <c r="G593">
        <v>176</v>
      </c>
      <c r="H593" t="s">
        <v>820</v>
      </c>
    </row>
    <row r="594" spans="1:8" x14ac:dyDescent="0.35">
      <c r="D594" t="s">
        <v>821</v>
      </c>
      <c r="E594">
        <v>1097</v>
      </c>
    </row>
    <row r="595" spans="1:8" x14ac:dyDescent="0.35">
      <c r="A595" t="s">
        <v>794</v>
      </c>
    </row>
    <row r="596" spans="1:8" x14ac:dyDescent="0.35">
      <c r="A596" t="s">
        <v>77</v>
      </c>
    </row>
    <row r="597" spans="1:8" x14ac:dyDescent="0.35">
      <c r="A597" t="s">
        <v>2</v>
      </c>
      <c r="B597" t="s">
        <v>3</v>
      </c>
      <c r="C597" t="s">
        <v>4</v>
      </c>
      <c r="D597" t="s">
        <v>5</v>
      </c>
      <c r="E597" t="s">
        <v>6</v>
      </c>
      <c r="F597" t="s">
        <v>7</v>
      </c>
      <c r="G597" t="s">
        <v>8</v>
      </c>
    </row>
    <row r="598" spans="1:8" x14ac:dyDescent="0.35">
      <c r="A598" t="s">
        <v>822</v>
      </c>
      <c r="B598" t="s">
        <v>1400</v>
      </c>
      <c r="C598" t="s">
        <v>1401</v>
      </c>
      <c r="D598" t="s">
        <v>312</v>
      </c>
      <c r="E598">
        <v>93</v>
      </c>
      <c r="F598" t="s">
        <v>137</v>
      </c>
      <c r="G598">
        <v>102.30000000000001</v>
      </c>
      <c r="H598" t="s">
        <v>823</v>
      </c>
    </row>
    <row r="599" spans="1:8" x14ac:dyDescent="0.35">
      <c r="A599" t="s">
        <v>824</v>
      </c>
      <c r="B599" t="s">
        <v>1402</v>
      </c>
      <c r="C599" t="s">
        <v>1144</v>
      </c>
      <c r="D599" t="s">
        <v>79</v>
      </c>
      <c r="E599">
        <v>222</v>
      </c>
      <c r="F599" t="s">
        <v>386</v>
      </c>
      <c r="G599">
        <v>244.20000000000002</v>
      </c>
      <c r="H599" t="s">
        <v>825</v>
      </c>
    </row>
    <row r="600" spans="1:8" x14ac:dyDescent="0.35">
      <c r="A600" t="s">
        <v>824</v>
      </c>
      <c r="B600" t="s">
        <v>1402</v>
      </c>
      <c r="C600" t="s">
        <v>1144</v>
      </c>
      <c r="D600" t="s">
        <v>56</v>
      </c>
      <c r="E600">
        <v>155</v>
      </c>
      <c r="F600" t="s">
        <v>394</v>
      </c>
      <c r="G600">
        <v>170.5</v>
      </c>
      <c r="H600" t="s">
        <v>826</v>
      </c>
    </row>
    <row r="601" spans="1:8" x14ac:dyDescent="0.35">
      <c r="A601" t="s">
        <v>827</v>
      </c>
      <c r="B601" t="s">
        <v>1403</v>
      </c>
      <c r="C601" t="s">
        <v>1287</v>
      </c>
      <c r="D601" t="s">
        <v>22</v>
      </c>
      <c r="E601">
        <v>262</v>
      </c>
      <c r="F601" t="s">
        <v>23</v>
      </c>
      <c r="G601">
        <v>288.20000000000005</v>
      </c>
      <c r="H601" t="s">
        <v>24</v>
      </c>
    </row>
    <row r="602" spans="1:8" x14ac:dyDescent="0.35">
      <c r="A602" t="s">
        <v>828</v>
      </c>
      <c r="B602" t="s">
        <v>1404</v>
      </c>
      <c r="C602" t="s">
        <v>1405</v>
      </c>
      <c r="D602" t="s">
        <v>59</v>
      </c>
      <c r="E602">
        <v>105</v>
      </c>
      <c r="F602" t="s">
        <v>712</v>
      </c>
      <c r="G602">
        <v>115.50000000000001</v>
      </c>
      <c r="H602" t="s">
        <v>829</v>
      </c>
    </row>
    <row r="603" spans="1:8" x14ac:dyDescent="0.35">
      <c r="A603" t="s">
        <v>830</v>
      </c>
      <c r="B603" t="s">
        <v>1406</v>
      </c>
      <c r="C603" t="s">
        <v>1325</v>
      </c>
      <c r="D603" t="s">
        <v>140</v>
      </c>
      <c r="E603">
        <v>95</v>
      </c>
      <c r="F603" t="s">
        <v>327</v>
      </c>
      <c r="G603">
        <v>104.50000000000001</v>
      </c>
      <c r="H603" t="s">
        <v>831</v>
      </c>
    </row>
    <row r="604" spans="1:8" x14ac:dyDescent="0.35">
      <c r="A604" t="s">
        <v>832</v>
      </c>
      <c r="B604" t="s">
        <v>1407</v>
      </c>
      <c r="C604" t="s">
        <v>1277</v>
      </c>
      <c r="D604" t="s">
        <v>53</v>
      </c>
      <c r="E604">
        <v>114</v>
      </c>
      <c r="F604" t="s">
        <v>833</v>
      </c>
      <c r="G604">
        <v>125.4</v>
      </c>
      <c r="H604" t="s">
        <v>834</v>
      </c>
    </row>
    <row r="605" spans="1:8" x14ac:dyDescent="0.35">
      <c r="A605" t="s">
        <v>832</v>
      </c>
      <c r="B605" t="s">
        <v>1407</v>
      </c>
      <c r="C605" t="s">
        <v>1072</v>
      </c>
      <c r="D605" t="s">
        <v>49</v>
      </c>
      <c r="E605">
        <v>55</v>
      </c>
      <c r="F605" t="s">
        <v>54</v>
      </c>
      <c r="G605">
        <v>60.500000000000007</v>
      </c>
      <c r="H605">
        <v>55</v>
      </c>
    </row>
    <row r="606" spans="1:8" x14ac:dyDescent="0.35">
      <c r="A606" t="s">
        <v>835</v>
      </c>
      <c r="B606" t="s">
        <v>1408</v>
      </c>
      <c r="C606" t="s">
        <v>1409</v>
      </c>
      <c r="D606" t="s">
        <v>136</v>
      </c>
      <c r="E606">
        <v>103</v>
      </c>
      <c r="F606" t="s">
        <v>339</v>
      </c>
      <c r="G606">
        <v>113.30000000000001</v>
      </c>
      <c r="H606" t="s">
        <v>836</v>
      </c>
    </row>
    <row r="607" spans="1:8" x14ac:dyDescent="0.35">
      <c r="D607" t="s">
        <v>837</v>
      </c>
      <c r="E607">
        <v>1204</v>
      </c>
    </row>
    <row r="608" spans="1:8" x14ac:dyDescent="0.35">
      <c r="A608" t="s">
        <v>839</v>
      </c>
    </row>
    <row r="609" spans="1:8" x14ac:dyDescent="0.35">
      <c r="A609" t="s">
        <v>1</v>
      </c>
    </row>
    <row r="610" spans="1:8" x14ac:dyDescent="0.35">
      <c r="A610" t="s">
        <v>2</v>
      </c>
      <c r="B610" t="s">
        <v>3</v>
      </c>
      <c r="C610" t="s">
        <v>4</v>
      </c>
      <c r="D610" t="s">
        <v>5</v>
      </c>
      <c r="E610" t="s">
        <v>6</v>
      </c>
      <c r="F610" t="s">
        <v>7</v>
      </c>
      <c r="G610" t="s">
        <v>8</v>
      </c>
    </row>
    <row r="611" spans="1:8" x14ac:dyDescent="0.35">
      <c r="A611" t="s">
        <v>840</v>
      </c>
      <c r="B611" t="s">
        <v>1410</v>
      </c>
      <c r="C611" t="s">
        <v>1010</v>
      </c>
      <c r="D611" t="s">
        <v>179</v>
      </c>
      <c r="E611">
        <v>70</v>
      </c>
      <c r="F611" t="s">
        <v>209</v>
      </c>
      <c r="G611">
        <v>77</v>
      </c>
      <c r="H611" t="s">
        <v>841</v>
      </c>
    </row>
    <row r="612" spans="1:8" x14ac:dyDescent="0.35">
      <c r="A612" t="s">
        <v>842</v>
      </c>
      <c r="B612" t="s">
        <v>1411</v>
      </c>
      <c r="C612" t="s">
        <v>1069</v>
      </c>
      <c r="D612" t="s">
        <v>305</v>
      </c>
      <c r="E612">
        <v>70</v>
      </c>
      <c r="F612" t="s">
        <v>137</v>
      </c>
      <c r="G612">
        <v>77</v>
      </c>
      <c r="H612" t="s">
        <v>841</v>
      </c>
    </row>
    <row r="613" spans="1:8" x14ac:dyDescent="0.35">
      <c r="A613" t="s">
        <v>843</v>
      </c>
      <c r="B613" t="s">
        <v>1412</v>
      </c>
      <c r="C613" t="s">
        <v>1069</v>
      </c>
      <c r="D613" t="s">
        <v>152</v>
      </c>
      <c r="E613">
        <v>83</v>
      </c>
      <c r="F613" t="s">
        <v>697</v>
      </c>
      <c r="G613">
        <v>91.300000000000011</v>
      </c>
      <c r="H613" t="s">
        <v>844</v>
      </c>
    </row>
    <row r="614" spans="1:8" x14ac:dyDescent="0.35">
      <c r="A614" t="s">
        <v>845</v>
      </c>
      <c r="B614" t="s">
        <v>1413</v>
      </c>
      <c r="C614" t="s">
        <v>1069</v>
      </c>
      <c r="D614" t="s">
        <v>155</v>
      </c>
      <c r="E614">
        <v>46</v>
      </c>
      <c r="F614" t="s">
        <v>248</v>
      </c>
      <c r="G614">
        <v>50.6</v>
      </c>
      <c r="H614" t="s">
        <v>846</v>
      </c>
    </row>
    <row r="615" spans="1:8" x14ac:dyDescent="0.35">
      <c r="A615" t="s">
        <v>847</v>
      </c>
      <c r="B615" t="s">
        <v>1414</v>
      </c>
      <c r="C615" t="s">
        <v>1069</v>
      </c>
      <c r="D615" t="s">
        <v>251</v>
      </c>
      <c r="E615">
        <v>225</v>
      </c>
      <c r="F615" t="s">
        <v>386</v>
      </c>
      <c r="G615">
        <v>247.50000000000003</v>
      </c>
      <c r="H615" t="s">
        <v>755</v>
      </c>
    </row>
    <row r="616" spans="1:8" x14ac:dyDescent="0.35">
      <c r="A616" t="s">
        <v>847</v>
      </c>
      <c r="B616" t="s">
        <v>1414</v>
      </c>
      <c r="C616" t="s">
        <v>1069</v>
      </c>
      <c r="D616" t="s">
        <v>253</v>
      </c>
      <c r="E616">
        <v>85</v>
      </c>
      <c r="F616" t="s">
        <v>697</v>
      </c>
      <c r="G616">
        <v>93.500000000000014</v>
      </c>
      <c r="H616" t="s">
        <v>698</v>
      </c>
    </row>
    <row r="617" spans="1:8" x14ac:dyDescent="0.35">
      <c r="A617" t="s">
        <v>848</v>
      </c>
      <c r="B617" t="s">
        <v>1221</v>
      </c>
      <c r="C617" t="s">
        <v>1415</v>
      </c>
      <c r="D617" t="s">
        <v>111</v>
      </c>
      <c r="E617">
        <v>130</v>
      </c>
      <c r="F617" t="s">
        <v>23</v>
      </c>
      <c r="G617">
        <v>143</v>
      </c>
      <c r="H617" t="s">
        <v>711</v>
      </c>
    </row>
    <row r="618" spans="1:8" x14ac:dyDescent="0.35">
      <c r="A618" t="s">
        <v>538</v>
      </c>
      <c r="B618" t="s">
        <v>1221</v>
      </c>
      <c r="C618" t="s">
        <v>1415</v>
      </c>
      <c r="D618" t="s">
        <v>110</v>
      </c>
      <c r="E618">
        <v>56</v>
      </c>
      <c r="F618" t="s">
        <v>849</v>
      </c>
      <c r="G618">
        <v>61.600000000000009</v>
      </c>
      <c r="H618" t="s">
        <v>850</v>
      </c>
    </row>
    <row r="619" spans="1:8" x14ac:dyDescent="0.35">
      <c r="A619" t="s">
        <v>851</v>
      </c>
      <c r="B619" t="s">
        <v>1416</v>
      </c>
      <c r="C619" t="s">
        <v>1417</v>
      </c>
      <c r="D619" t="s">
        <v>73</v>
      </c>
      <c r="E619">
        <v>250</v>
      </c>
      <c r="F619" t="s">
        <v>703</v>
      </c>
      <c r="G619">
        <v>275</v>
      </c>
      <c r="H619" t="s">
        <v>802</v>
      </c>
    </row>
    <row r="620" spans="1:8" x14ac:dyDescent="0.35">
      <c r="A620" t="s">
        <v>851</v>
      </c>
      <c r="B620" t="s">
        <v>1416</v>
      </c>
      <c r="C620" t="s">
        <v>1417</v>
      </c>
      <c r="D620" t="s">
        <v>70</v>
      </c>
      <c r="E620">
        <v>150</v>
      </c>
      <c r="F620" t="s">
        <v>23</v>
      </c>
      <c r="G620">
        <v>165</v>
      </c>
      <c r="H620" t="s">
        <v>370</v>
      </c>
    </row>
    <row r="621" spans="1:8" x14ac:dyDescent="0.35">
      <c r="D621" t="s">
        <v>852</v>
      </c>
      <c r="E621">
        <v>1165</v>
      </c>
    </row>
    <row r="624" spans="1:8" x14ac:dyDescent="0.35">
      <c r="A624" t="s">
        <v>839</v>
      </c>
    </row>
    <row r="625" spans="1:8" x14ac:dyDescent="0.35">
      <c r="A625" t="s">
        <v>35</v>
      </c>
    </row>
    <row r="626" spans="1:8" x14ac:dyDescent="0.35">
      <c r="A626" t="s">
        <v>2</v>
      </c>
      <c r="B626" t="s">
        <v>3</v>
      </c>
      <c r="C626" t="s">
        <v>4</v>
      </c>
      <c r="D626" t="s">
        <v>5</v>
      </c>
      <c r="E626" t="s">
        <v>6</v>
      </c>
      <c r="F626" t="s">
        <v>7</v>
      </c>
      <c r="G626" t="s">
        <v>8</v>
      </c>
    </row>
    <row r="627" spans="1:8" x14ac:dyDescent="0.35">
      <c r="A627" t="s">
        <v>854</v>
      </c>
      <c r="B627" t="s">
        <v>1418</v>
      </c>
      <c r="C627" t="s">
        <v>981</v>
      </c>
      <c r="D627" t="s">
        <v>122</v>
      </c>
      <c r="E627">
        <v>130</v>
      </c>
      <c r="F627" t="s">
        <v>23</v>
      </c>
      <c r="G627">
        <v>143</v>
      </c>
      <c r="H627" t="s">
        <v>855</v>
      </c>
    </row>
    <row r="628" spans="1:8" x14ac:dyDescent="0.35">
      <c r="A628" t="s">
        <v>856</v>
      </c>
      <c r="B628" t="s">
        <v>1419</v>
      </c>
      <c r="C628" t="s">
        <v>1193</v>
      </c>
      <c r="D628" t="s">
        <v>45</v>
      </c>
      <c r="E628">
        <v>82</v>
      </c>
      <c r="F628" t="s">
        <v>65</v>
      </c>
      <c r="G628">
        <v>90.2</v>
      </c>
      <c r="H628">
        <v>82</v>
      </c>
    </row>
    <row r="629" spans="1:8" x14ac:dyDescent="0.35">
      <c r="A629" t="s">
        <v>857</v>
      </c>
      <c r="B629" t="s">
        <v>1420</v>
      </c>
      <c r="C629" t="s">
        <v>1421</v>
      </c>
      <c r="D629" t="s">
        <v>126</v>
      </c>
      <c r="E629">
        <v>95</v>
      </c>
      <c r="F629" t="s">
        <v>137</v>
      </c>
      <c r="G629">
        <v>104.50000000000001</v>
      </c>
      <c r="H629" t="s">
        <v>708</v>
      </c>
    </row>
    <row r="630" spans="1:8" x14ac:dyDescent="0.35">
      <c r="A630" t="s">
        <v>858</v>
      </c>
      <c r="B630" t="s">
        <v>1422</v>
      </c>
      <c r="C630" t="s">
        <v>1154</v>
      </c>
      <c r="D630" t="s">
        <v>124</v>
      </c>
      <c r="E630">
        <v>53</v>
      </c>
      <c r="F630" t="s">
        <v>54</v>
      </c>
      <c r="G630">
        <v>58.300000000000004</v>
      </c>
      <c r="H630">
        <v>53</v>
      </c>
    </row>
    <row r="631" spans="1:8" x14ac:dyDescent="0.35">
      <c r="A631" t="s">
        <v>859</v>
      </c>
      <c r="B631" t="s">
        <v>1423</v>
      </c>
      <c r="C631" t="s">
        <v>1424</v>
      </c>
      <c r="D631" t="s">
        <v>236</v>
      </c>
      <c r="E631">
        <v>154</v>
      </c>
      <c r="F631" t="s">
        <v>394</v>
      </c>
      <c r="G631">
        <v>169.4</v>
      </c>
      <c r="H631" t="s">
        <v>860</v>
      </c>
    </row>
    <row r="632" spans="1:8" x14ac:dyDescent="0.35">
      <c r="A632" t="s">
        <v>861</v>
      </c>
      <c r="B632" t="s">
        <v>1425</v>
      </c>
      <c r="C632" t="s">
        <v>1426</v>
      </c>
      <c r="D632" t="s">
        <v>116</v>
      </c>
      <c r="E632">
        <v>101</v>
      </c>
      <c r="F632" t="s">
        <v>162</v>
      </c>
      <c r="G632">
        <v>111.10000000000001</v>
      </c>
      <c r="H632" t="s">
        <v>467</v>
      </c>
    </row>
    <row r="633" spans="1:8" x14ac:dyDescent="0.35">
      <c r="A633" t="s">
        <v>862</v>
      </c>
      <c r="B633" t="s">
        <v>1427</v>
      </c>
      <c r="C633" t="s">
        <v>1000</v>
      </c>
      <c r="D633" t="s">
        <v>216</v>
      </c>
      <c r="E633">
        <v>87</v>
      </c>
      <c r="F633" t="s">
        <v>863</v>
      </c>
      <c r="G633">
        <v>95.7</v>
      </c>
      <c r="H633" t="s">
        <v>864</v>
      </c>
    </row>
    <row r="634" spans="1:8" x14ac:dyDescent="0.35">
      <c r="A634" t="s">
        <v>862</v>
      </c>
      <c r="B634" t="s">
        <v>1427</v>
      </c>
      <c r="C634" t="s">
        <v>1000</v>
      </c>
      <c r="D634" t="s">
        <v>212</v>
      </c>
      <c r="E634">
        <v>85</v>
      </c>
      <c r="F634" t="s">
        <v>865</v>
      </c>
      <c r="G634">
        <v>93.500000000000014</v>
      </c>
      <c r="H634" t="s">
        <v>866</v>
      </c>
    </row>
    <row r="635" spans="1:8" x14ac:dyDescent="0.35">
      <c r="A635" t="s">
        <v>867</v>
      </c>
      <c r="B635" t="s">
        <v>1428</v>
      </c>
      <c r="C635" t="s">
        <v>1172</v>
      </c>
      <c r="D635" t="s">
        <v>208</v>
      </c>
      <c r="E635">
        <v>83</v>
      </c>
      <c r="F635" t="s">
        <v>127</v>
      </c>
      <c r="G635">
        <v>91.300000000000011</v>
      </c>
      <c r="H635" t="s">
        <v>868</v>
      </c>
    </row>
    <row r="636" spans="1:8" x14ac:dyDescent="0.35">
      <c r="A636" t="s">
        <v>869</v>
      </c>
      <c r="B636" t="s">
        <v>987</v>
      </c>
      <c r="C636" t="s">
        <v>1429</v>
      </c>
      <c r="D636" t="s">
        <v>101</v>
      </c>
      <c r="E636">
        <v>80</v>
      </c>
      <c r="F636" t="s">
        <v>383</v>
      </c>
      <c r="G636">
        <v>88</v>
      </c>
      <c r="H636" t="s">
        <v>102</v>
      </c>
    </row>
    <row r="637" spans="1:8" x14ac:dyDescent="0.35">
      <c r="A637" t="s">
        <v>870</v>
      </c>
      <c r="B637" t="s">
        <v>1430</v>
      </c>
      <c r="C637" t="s">
        <v>1008</v>
      </c>
      <c r="D637" t="s">
        <v>176</v>
      </c>
      <c r="E637">
        <v>57</v>
      </c>
      <c r="F637" t="s">
        <v>871</v>
      </c>
      <c r="G637">
        <v>62.7</v>
      </c>
      <c r="H637" t="s">
        <v>872</v>
      </c>
    </row>
    <row r="638" spans="1:8" x14ac:dyDescent="0.35">
      <c r="A638" t="s">
        <v>873</v>
      </c>
      <c r="B638" t="s">
        <v>1431</v>
      </c>
      <c r="C638" t="s">
        <v>1008</v>
      </c>
      <c r="D638" t="s">
        <v>159</v>
      </c>
      <c r="E638">
        <v>75</v>
      </c>
      <c r="F638" t="s">
        <v>874</v>
      </c>
      <c r="G638">
        <v>82.5</v>
      </c>
      <c r="H638" t="s">
        <v>875</v>
      </c>
    </row>
    <row r="639" spans="1:8" x14ac:dyDescent="0.35">
      <c r="A639" t="s">
        <v>873</v>
      </c>
      <c r="B639" t="s">
        <v>1431</v>
      </c>
      <c r="C639" t="s">
        <v>1008</v>
      </c>
      <c r="D639" t="s">
        <v>161</v>
      </c>
      <c r="E639">
        <v>100</v>
      </c>
      <c r="F639" t="s">
        <v>876</v>
      </c>
      <c r="G639">
        <v>110.00000000000001</v>
      </c>
      <c r="H639" t="s">
        <v>877</v>
      </c>
    </row>
    <row r="640" spans="1:8" x14ac:dyDescent="0.35">
      <c r="D640" t="s">
        <v>878</v>
      </c>
      <c r="E640">
        <v>1182</v>
      </c>
    </row>
    <row r="642" spans="1:8" x14ac:dyDescent="0.35">
      <c r="A642" t="s">
        <v>839</v>
      </c>
    </row>
    <row r="643" spans="1:8" x14ac:dyDescent="0.35">
      <c r="A643" t="s">
        <v>77</v>
      </c>
    </row>
    <row r="644" spans="1:8" x14ac:dyDescent="0.35">
      <c r="A644" t="s">
        <v>2</v>
      </c>
      <c r="B644" t="s">
        <v>3</v>
      </c>
      <c r="C644" t="s">
        <v>4</v>
      </c>
      <c r="D644" t="s">
        <v>5</v>
      </c>
      <c r="E644" t="s">
        <v>6</v>
      </c>
      <c r="F644" t="s">
        <v>7</v>
      </c>
      <c r="G644" t="s">
        <v>8</v>
      </c>
    </row>
    <row r="645" spans="1:8" x14ac:dyDescent="0.35">
      <c r="A645" t="s">
        <v>879</v>
      </c>
      <c r="B645" t="s">
        <v>1432</v>
      </c>
      <c r="C645" t="s">
        <v>1048</v>
      </c>
      <c r="D645" t="s">
        <v>205</v>
      </c>
      <c r="E645">
        <v>99</v>
      </c>
      <c r="F645" t="s">
        <v>162</v>
      </c>
      <c r="G645">
        <v>108.9</v>
      </c>
      <c r="H645" t="s">
        <v>880</v>
      </c>
    </row>
    <row r="646" spans="1:8" x14ac:dyDescent="0.35">
      <c r="A646" t="s">
        <v>881</v>
      </c>
      <c r="B646" t="s">
        <v>1433</v>
      </c>
      <c r="C646" t="s">
        <v>1127</v>
      </c>
      <c r="D646" t="s">
        <v>130</v>
      </c>
      <c r="E646">
        <v>90</v>
      </c>
      <c r="F646" t="s">
        <v>863</v>
      </c>
      <c r="G646">
        <v>99.000000000000014</v>
      </c>
      <c r="H646" t="s">
        <v>882</v>
      </c>
    </row>
    <row r="647" spans="1:8" x14ac:dyDescent="0.35">
      <c r="A647" t="s">
        <v>883</v>
      </c>
      <c r="B647" t="s">
        <v>1434</v>
      </c>
      <c r="C647" t="s">
        <v>1063</v>
      </c>
      <c r="D647" t="s">
        <v>220</v>
      </c>
      <c r="E647">
        <v>15</v>
      </c>
      <c r="F647" t="s">
        <v>884</v>
      </c>
      <c r="G647">
        <v>16.5</v>
      </c>
      <c r="H647">
        <v>15</v>
      </c>
    </row>
    <row r="648" spans="1:8" x14ac:dyDescent="0.35">
      <c r="A648" t="s">
        <v>883</v>
      </c>
      <c r="B648" t="s">
        <v>1435</v>
      </c>
      <c r="C648" t="s">
        <v>1063</v>
      </c>
      <c r="D648" t="s">
        <v>282</v>
      </c>
      <c r="E648">
        <v>20</v>
      </c>
      <c r="F648" t="s">
        <v>262</v>
      </c>
      <c r="G648">
        <v>22</v>
      </c>
      <c r="H648">
        <v>20</v>
      </c>
    </row>
    <row r="649" spans="1:8" x14ac:dyDescent="0.35">
      <c r="A649" t="s">
        <v>885</v>
      </c>
      <c r="B649" t="s">
        <v>1436</v>
      </c>
      <c r="C649" t="s">
        <v>1079</v>
      </c>
      <c r="D649" t="s">
        <v>98</v>
      </c>
      <c r="E649">
        <v>23</v>
      </c>
      <c r="F649" t="s">
        <v>723</v>
      </c>
      <c r="G649">
        <v>25.3</v>
      </c>
      <c r="H649">
        <v>23</v>
      </c>
    </row>
    <row r="650" spans="1:8" x14ac:dyDescent="0.35">
      <c r="A650" t="s">
        <v>886</v>
      </c>
      <c r="B650" t="s">
        <v>1437</v>
      </c>
      <c r="C650" t="s">
        <v>1438</v>
      </c>
      <c r="D650" t="s">
        <v>349</v>
      </c>
      <c r="E650">
        <v>138</v>
      </c>
      <c r="F650" t="s">
        <v>23</v>
      </c>
      <c r="G650">
        <v>151.80000000000001</v>
      </c>
      <c r="H650" t="s">
        <v>769</v>
      </c>
    </row>
    <row r="651" spans="1:8" x14ac:dyDescent="0.35">
      <c r="A651" t="s">
        <v>887</v>
      </c>
      <c r="B651" t="s">
        <v>1439</v>
      </c>
      <c r="C651" t="s">
        <v>998</v>
      </c>
      <c r="D651" t="s">
        <v>185</v>
      </c>
      <c r="E651">
        <v>69</v>
      </c>
      <c r="F651" t="s">
        <v>888</v>
      </c>
      <c r="G651">
        <v>75.900000000000006</v>
      </c>
      <c r="H651" t="s">
        <v>889</v>
      </c>
    </row>
    <row r="652" spans="1:8" x14ac:dyDescent="0.35">
      <c r="A652" t="s">
        <v>890</v>
      </c>
      <c r="B652" t="s">
        <v>1440</v>
      </c>
      <c r="C652" t="s">
        <v>1256</v>
      </c>
      <c r="D652" t="s">
        <v>134</v>
      </c>
      <c r="E652">
        <v>95</v>
      </c>
      <c r="F652" t="s">
        <v>863</v>
      </c>
      <c r="G652">
        <v>104.50000000000001</v>
      </c>
      <c r="H652" t="s">
        <v>891</v>
      </c>
    </row>
    <row r="653" spans="1:8" x14ac:dyDescent="0.35">
      <c r="A653" t="s">
        <v>676</v>
      </c>
      <c r="B653" t="s">
        <v>1441</v>
      </c>
      <c r="C653" t="s">
        <v>1442</v>
      </c>
      <c r="D653" t="s">
        <v>104</v>
      </c>
      <c r="E653">
        <v>122</v>
      </c>
      <c r="F653" t="s">
        <v>892</v>
      </c>
      <c r="G653">
        <v>134.20000000000002</v>
      </c>
      <c r="H653" t="s">
        <v>893</v>
      </c>
    </row>
    <row r="654" spans="1:8" x14ac:dyDescent="0.35">
      <c r="A654" t="s">
        <v>894</v>
      </c>
      <c r="B654" t="s">
        <v>1104</v>
      </c>
      <c r="C654" t="s">
        <v>1156</v>
      </c>
      <c r="D654" t="s">
        <v>14</v>
      </c>
      <c r="E654">
        <v>65</v>
      </c>
      <c r="F654" t="s">
        <v>250</v>
      </c>
      <c r="G654">
        <v>71.5</v>
      </c>
      <c r="H654" t="s">
        <v>895</v>
      </c>
    </row>
    <row r="655" spans="1:8" x14ac:dyDescent="0.35">
      <c r="A655" t="s">
        <v>894</v>
      </c>
      <c r="B655" t="s">
        <v>1104</v>
      </c>
      <c r="C655" t="s">
        <v>948</v>
      </c>
      <c r="D655" t="s">
        <v>11</v>
      </c>
      <c r="E655">
        <v>160</v>
      </c>
      <c r="F655" t="s">
        <v>419</v>
      </c>
      <c r="G655">
        <v>176</v>
      </c>
      <c r="H655" t="s">
        <v>420</v>
      </c>
    </row>
    <row r="656" spans="1:8" x14ac:dyDescent="0.35">
      <c r="A656" t="s">
        <v>896</v>
      </c>
      <c r="B656" t="s">
        <v>1443</v>
      </c>
      <c r="C656" t="s">
        <v>1444</v>
      </c>
      <c r="D656" t="s">
        <v>64</v>
      </c>
      <c r="E656">
        <v>125</v>
      </c>
      <c r="F656" t="s">
        <v>897</v>
      </c>
      <c r="G656">
        <v>137.5</v>
      </c>
      <c r="H656" t="s">
        <v>898</v>
      </c>
    </row>
    <row r="657" spans="1:8" x14ac:dyDescent="0.35">
      <c r="A657" t="s">
        <v>899</v>
      </c>
      <c r="B657" t="s">
        <v>1416</v>
      </c>
      <c r="C657" t="s">
        <v>1084</v>
      </c>
      <c r="D657" t="s">
        <v>62</v>
      </c>
      <c r="E657">
        <v>103</v>
      </c>
      <c r="F657" t="s">
        <v>227</v>
      </c>
      <c r="G657">
        <v>113.30000000000001</v>
      </c>
      <c r="H657" t="s">
        <v>900</v>
      </c>
    </row>
    <row r="658" spans="1:8" x14ac:dyDescent="0.35">
      <c r="D658" t="s">
        <v>901</v>
      </c>
      <c r="E658">
        <v>1124</v>
      </c>
    </row>
    <row r="660" spans="1:8" x14ac:dyDescent="0.35">
      <c r="A660" t="s">
        <v>903</v>
      </c>
    </row>
    <row r="661" spans="1:8" x14ac:dyDescent="0.35">
      <c r="A661" t="s">
        <v>1</v>
      </c>
    </row>
    <row r="662" spans="1:8" x14ac:dyDescent="0.35">
      <c r="A662" t="s">
        <v>2</v>
      </c>
      <c r="B662" t="s">
        <v>3</v>
      </c>
      <c r="C662" t="s">
        <v>4</v>
      </c>
      <c r="D662" t="s">
        <v>5</v>
      </c>
      <c r="E662" t="s">
        <v>6</v>
      </c>
      <c r="F662" t="s">
        <v>7</v>
      </c>
      <c r="G662" t="s">
        <v>8</v>
      </c>
    </row>
    <row r="663" spans="1:8" x14ac:dyDescent="0.35">
      <c r="A663" t="s">
        <v>904</v>
      </c>
      <c r="B663" t="s">
        <v>1445</v>
      </c>
      <c r="C663" t="s">
        <v>1446</v>
      </c>
      <c r="D663" t="s">
        <v>111</v>
      </c>
      <c r="E663">
        <v>130</v>
      </c>
      <c r="F663" t="s">
        <v>23</v>
      </c>
      <c r="G663">
        <v>143</v>
      </c>
      <c r="H663" t="s">
        <v>855</v>
      </c>
    </row>
    <row r="664" spans="1:8" x14ac:dyDescent="0.35">
      <c r="A664" t="s">
        <v>904</v>
      </c>
      <c r="B664" t="s">
        <v>1445</v>
      </c>
      <c r="C664" t="s">
        <v>1446</v>
      </c>
      <c r="D664" t="s">
        <v>64</v>
      </c>
      <c r="E664">
        <v>125</v>
      </c>
      <c r="F664" t="s">
        <v>905</v>
      </c>
      <c r="G664">
        <v>137.5</v>
      </c>
      <c r="H664" t="s">
        <v>906</v>
      </c>
    </row>
    <row r="665" spans="1:8" x14ac:dyDescent="0.35">
      <c r="A665" t="s">
        <v>904</v>
      </c>
      <c r="B665" t="s">
        <v>1445</v>
      </c>
      <c r="C665" t="s">
        <v>1447</v>
      </c>
      <c r="D665" t="s">
        <v>246</v>
      </c>
      <c r="E665">
        <v>128</v>
      </c>
      <c r="F665" t="s">
        <v>892</v>
      </c>
      <c r="G665">
        <v>140.80000000000001</v>
      </c>
      <c r="H665" t="s">
        <v>907</v>
      </c>
    </row>
    <row r="666" spans="1:8" x14ac:dyDescent="0.35">
      <c r="A666" t="s">
        <v>904</v>
      </c>
      <c r="B666" t="s">
        <v>1445</v>
      </c>
      <c r="C666" t="s">
        <v>1447</v>
      </c>
      <c r="D666" t="s">
        <v>190</v>
      </c>
      <c r="E666">
        <v>136</v>
      </c>
      <c r="F666" t="s">
        <v>419</v>
      </c>
      <c r="G666">
        <v>149.60000000000002</v>
      </c>
      <c r="H666" t="s">
        <v>557</v>
      </c>
    </row>
    <row r="667" spans="1:8" x14ac:dyDescent="0.35">
      <c r="A667" t="s">
        <v>904</v>
      </c>
      <c r="B667" t="s">
        <v>1445</v>
      </c>
      <c r="C667" t="s">
        <v>1447</v>
      </c>
      <c r="D667" t="s">
        <v>305</v>
      </c>
      <c r="E667">
        <v>70</v>
      </c>
      <c r="F667" t="s">
        <v>908</v>
      </c>
      <c r="G667">
        <v>77</v>
      </c>
      <c r="H667" t="s">
        <v>909</v>
      </c>
    </row>
    <row r="668" spans="1:8" x14ac:dyDescent="0.35">
      <c r="A668" t="s">
        <v>904</v>
      </c>
      <c r="B668" t="s">
        <v>1445</v>
      </c>
      <c r="C668" t="s">
        <v>1447</v>
      </c>
      <c r="D668" t="s">
        <v>152</v>
      </c>
      <c r="E668">
        <v>83</v>
      </c>
      <c r="F668" t="s">
        <v>137</v>
      </c>
      <c r="G668">
        <v>91.300000000000011</v>
      </c>
      <c r="H668" t="s">
        <v>138</v>
      </c>
    </row>
    <row r="669" spans="1:8" x14ac:dyDescent="0.35">
      <c r="A669" t="s">
        <v>904</v>
      </c>
      <c r="B669" t="s">
        <v>1445</v>
      </c>
      <c r="C669" t="s">
        <v>1447</v>
      </c>
      <c r="D669" t="s">
        <v>67</v>
      </c>
      <c r="E669">
        <v>245</v>
      </c>
      <c r="F669" t="s">
        <v>703</v>
      </c>
      <c r="G669">
        <v>269.5</v>
      </c>
      <c r="H669" t="s">
        <v>68</v>
      </c>
    </row>
    <row r="670" spans="1:8" x14ac:dyDescent="0.35">
      <c r="A670" t="s">
        <v>904</v>
      </c>
      <c r="B670" t="s">
        <v>1445</v>
      </c>
      <c r="C670" t="s">
        <v>1447</v>
      </c>
      <c r="D670" t="s">
        <v>155</v>
      </c>
      <c r="E670">
        <v>46</v>
      </c>
      <c r="F670" t="s">
        <v>54</v>
      </c>
      <c r="G670">
        <v>50.6</v>
      </c>
      <c r="H670">
        <v>46</v>
      </c>
    </row>
    <row r="671" spans="1:8" x14ac:dyDescent="0.35">
      <c r="A671" t="s">
        <v>904</v>
      </c>
      <c r="B671" t="s">
        <v>1445</v>
      </c>
      <c r="C671" t="s">
        <v>1447</v>
      </c>
      <c r="D671" t="s">
        <v>22</v>
      </c>
      <c r="E671">
        <v>262</v>
      </c>
      <c r="F671" t="s">
        <v>703</v>
      </c>
      <c r="G671">
        <v>288.20000000000005</v>
      </c>
      <c r="H671" t="s">
        <v>910</v>
      </c>
    </row>
    <row r="672" spans="1:8" x14ac:dyDescent="0.35">
      <c r="D672" t="s">
        <v>911</v>
      </c>
      <c r="E672">
        <v>1225</v>
      </c>
    </row>
    <row r="674" spans="1:8" x14ac:dyDescent="0.35">
      <c r="A674" t="s">
        <v>903</v>
      </c>
    </row>
    <row r="675" spans="1:8" x14ac:dyDescent="0.35">
      <c r="A675" t="s">
        <v>35</v>
      </c>
    </row>
    <row r="676" spans="1:8" x14ac:dyDescent="0.35">
      <c r="A676" t="s">
        <v>2</v>
      </c>
      <c r="B676" t="s">
        <v>3</v>
      </c>
      <c r="C676" t="s">
        <v>4</v>
      </c>
      <c r="D676" t="s">
        <v>5</v>
      </c>
      <c r="E676" t="s">
        <v>6</v>
      </c>
      <c r="F676" t="s">
        <v>7</v>
      </c>
      <c r="G676" t="s">
        <v>8</v>
      </c>
    </row>
    <row r="677" spans="1:8" x14ac:dyDescent="0.35">
      <c r="A677" t="s">
        <v>904</v>
      </c>
      <c r="B677" t="s">
        <v>1445</v>
      </c>
      <c r="C677" t="s">
        <v>1448</v>
      </c>
      <c r="D677" t="s">
        <v>199</v>
      </c>
      <c r="E677">
        <v>295</v>
      </c>
      <c r="F677" t="s">
        <v>913</v>
      </c>
      <c r="G677">
        <v>324.5</v>
      </c>
      <c r="H677" t="s">
        <v>201</v>
      </c>
    </row>
    <row r="678" spans="1:8" x14ac:dyDescent="0.35">
      <c r="A678" t="s">
        <v>904</v>
      </c>
      <c r="B678" t="s">
        <v>1445</v>
      </c>
      <c r="C678" t="s">
        <v>1449</v>
      </c>
      <c r="D678" t="s">
        <v>253</v>
      </c>
      <c r="E678">
        <v>85</v>
      </c>
      <c r="F678" t="s">
        <v>137</v>
      </c>
      <c r="G678">
        <v>93.500000000000014</v>
      </c>
      <c r="H678" t="s">
        <v>503</v>
      </c>
    </row>
    <row r="679" spans="1:8" x14ac:dyDescent="0.35">
      <c r="A679" t="s">
        <v>904</v>
      </c>
      <c r="B679" t="s">
        <v>1445</v>
      </c>
      <c r="C679" t="s">
        <v>1449</v>
      </c>
      <c r="D679" t="s">
        <v>251</v>
      </c>
      <c r="E679">
        <v>225</v>
      </c>
      <c r="F679" t="s">
        <v>386</v>
      </c>
      <c r="G679">
        <v>247.50000000000003</v>
      </c>
      <c r="H679" t="s">
        <v>755</v>
      </c>
    </row>
    <row r="680" spans="1:8" x14ac:dyDescent="0.35">
      <c r="A680" t="s">
        <v>904</v>
      </c>
      <c r="B680" t="s">
        <v>1445</v>
      </c>
      <c r="C680" t="s">
        <v>1449</v>
      </c>
      <c r="D680" t="s">
        <v>122</v>
      </c>
      <c r="E680">
        <v>130</v>
      </c>
      <c r="F680" t="s">
        <v>23</v>
      </c>
      <c r="G680">
        <v>143</v>
      </c>
      <c r="H680" t="s">
        <v>855</v>
      </c>
    </row>
    <row r="681" spans="1:8" x14ac:dyDescent="0.35">
      <c r="A681" t="s">
        <v>904</v>
      </c>
      <c r="B681" t="s">
        <v>1445</v>
      </c>
      <c r="C681" t="s">
        <v>1449</v>
      </c>
      <c r="D681" t="s">
        <v>62</v>
      </c>
      <c r="E681">
        <v>103</v>
      </c>
      <c r="F681" t="s">
        <v>131</v>
      </c>
      <c r="G681">
        <v>113.30000000000001</v>
      </c>
      <c r="H681" t="s">
        <v>914</v>
      </c>
    </row>
    <row r="682" spans="1:8" x14ac:dyDescent="0.35">
      <c r="A682" t="s">
        <v>904</v>
      </c>
      <c r="B682" t="s">
        <v>1445</v>
      </c>
      <c r="C682" t="s">
        <v>1398</v>
      </c>
      <c r="D682" t="s">
        <v>161</v>
      </c>
      <c r="E682">
        <v>100</v>
      </c>
      <c r="F682" t="s">
        <v>162</v>
      </c>
      <c r="G682">
        <v>110.00000000000001</v>
      </c>
      <c r="H682" t="s">
        <v>163</v>
      </c>
    </row>
    <row r="683" spans="1:8" x14ac:dyDescent="0.35">
      <c r="A683" t="s">
        <v>904</v>
      </c>
      <c r="B683" t="s">
        <v>1445</v>
      </c>
      <c r="C683" t="s">
        <v>1398</v>
      </c>
      <c r="D683" t="s">
        <v>159</v>
      </c>
      <c r="E683">
        <v>75</v>
      </c>
      <c r="F683" t="s">
        <v>63</v>
      </c>
      <c r="G683">
        <v>82.5</v>
      </c>
      <c r="H683">
        <v>75</v>
      </c>
    </row>
    <row r="684" spans="1:8" x14ac:dyDescent="0.35">
      <c r="A684" t="s">
        <v>904</v>
      </c>
      <c r="B684" t="s">
        <v>1445</v>
      </c>
      <c r="C684" t="s">
        <v>1450</v>
      </c>
      <c r="D684" t="s">
        <v>109</v>
      </c>
      <c r="E684">
        <v>120</v>
      </c>
      <c r="F684" t="s">
        <v>915</v>
      </c>
      <c r="G684">
        <v>132</v>
      </c>
      <c r="H684" t="s">
        <v>916</v>
      </c>
    </row>
    <row r="685" spans="1:8" x14ac:dyDescent="0.35">
      <c r="A685" t="s">
        <v>904</v>
      </c>
      <c r="B685" t="s">
        <v>1445</v>
      </c>
      <c r="C685" t="s">
        <v>1450</v>
      </c>
      <c r="D685" t="s">
        <v>110</v>
      </c>
      <c r="E685">
        <v>56</v>
      </c>
      <c r="F685" t="s">
        <v>65</v>
      </c>
      <c r="G685">
        <v>61.600000000000009</v>
      </c>
      <c r="H685">
        <v>56</v>
      </c>
    </row>
    <row r="686" spans="1:8" x14ac:dyDescent="0.35">
      <c r="D686" t="s">
        <v>911</v>
      </c>
      <c r="E686">
        <v>1189</v>
      </c>
    </row>
    <row r="687" spans="1:8" x14ac:dyDescent="0.35">
      <c r="A687" t="s">
        <v>903</v>
      </c>
    </row>
    <row r="688" spans="1:8" x14ac:dyDescent="0.35">
      <c r="A688" t="s">
        <v>77</v>
      </c>
    </row>
    <row r="689" spans="1:8" x14ac:dyDescent="0.35">
      <c r="A689" t="s">
        <v>2</v>
      </c>
      <c r="B689" t="s">
        <v>3</v>
      </c>
      <c r="C689" t="s">
        <v>4</v>
      </c>
      <c r="D689" t="s">
        <v>5</v>
      </c>
      <c r="E689" t="s">
        <v>6</v>
      </c>
      <c r="F689" t="s">
        <v>7</v>
      </c>
      <c r="G689" t="s">
        <v>8</v>
      </c>
    </row>
    <row r="690" spans="1:8" x14ac:dyDescent="0.35">
      <c r="A690" t="s">
        <v>917</v>
      </c>
      <c r="B690" t="s">
        <v>1451</v>
      </c>
      <c r="C690" t="s">
        <v>1088</v>
      </c>
      <c r="D690" t="s">
        <v>282</v>
      </c>
      <c r="E690">
        <v>115</v>
      </c>
      <c r="F690" t="s">
        <v>54</v>
      </c>
      <c r="G690">
        <v>126.50000000000001</v>
      </c>
      <c r="H690">
        <v>115</v>
      </c>
    </row>
    <row r="691" spans="1:8" x14ac:dyDescent="0.35">
      <c r="A691" t="s">
        <v>918</v>
      </c>
      <c r="B691" t="s">
        <v>1452</v>
      </c>
      <c r="C691" t="s">
        <v>983</v>
      </c>
      <c r="D691" t="s">
        <v>59</v>
      </c>
      <c r="E691">
        <v>105</v>
      </c>
      <c r="F691" t="s">
        <v>137</v>
      </c>
      <c r="G691">
        <v>115.50000000000001</v>
      </c>
      <c r="H691" t="s">
        <v>563</v>
      </c>
    </row>
    <row r="692" spans="1:8" x14ac:dyDescent="0.35">
      <c r="A692" t="s">
        <v>919</v>
      </c>
      <c r="B692" t="s">
        <v>1453</v>
      </c>
      <c r="C692" t="s">
        <v>1071</v>
      </c>
      <c r="D692" t="s">
        <v>90</v>
      </c>
      <c r="E692">
        <v>240</v>
      </c>
      <c r="F692" t="s">
        <v>703</v>
      </c>
      <c r="G692">
        <v>264</v>
      </c>
      <c r="H692" t="s">
        <v>704</v>
      </c>
    </row>
    <row r="693" spans="1:8" x14ac:dyDescent="0.35">
      <c r="A693" t="s">
        <v>920</v>
      </c>
      <c r="B693" t="s">
        <v>1257</v>
      </c>
      <c r="C693" t="s">
        <v>1201</v>
      </c>
      <c r="D693" t="s">
        <v>148</v>
      </c>
      <c r="E693">
        <v>255</v>
      </c>
      <c r="F693" t="s">
        <v>23</v>
      </c>
      <c r="G693">
        <v>280.5</v>
      </c>
      <c r="H693" t="s">
        <v>921</v>
      </c>
    </row>
    <row r="694" spans="1:8" x14ac:dyDescent="0.35">
      <c r="A694" t="s">
        <v>922</v>
      </c>
      <c r="B694" t="s">
        <v>1454</v>
      </c>
      <c r="C694" t="s">
        <v>956</v>
      </c>
      <c r="D694" t="s">
        <v>26</v>
      </c>
      <c r="E694">
        <v>76</v>
      </c>
      <c r="F694" t="s">
        <v>697</v>
      </c>
      <c r="G694">
        <v>83.600000000000009</v>
      </c>
      <c r="H694" t="s">
        <v>772</v>
      </c>
    </row>
    <row r="695" spans="1:8" x14ac:dyDescent="0.35">
      <c r="A695" t="s">
        <v>922</v>
      </c>
      <c r="B695" t="s">
        <v>1454</v>
      </c>
      <c r="C695" t="s">
        <v>956</v>
      </c>
      <c r="D695" t="s">
        <v>79</v>
      </c>
      <c r="E695">
        <v>222</v>
      </c>
      <c r="F695" t="s">
        <v>386</v>
      </c>
      <c r="G695">
        <v>244.20000000000002</v>
      </c>
      <c r="H695" t="s">
        <v>825</v>
      </c>
    </row>
    <row r="696" spans="1:8" x14ac:dyDescent="0.35">
      <c r="A696" t="s">
        <v>922</v>
      </c>
      <c r="B696" t="s">
        <v>1454</v>
      </c>
      <c r="C696" t="s">
        <v>956</v>
      </c>
      <c r="D696" t="s">
        <v>114</v>
      </c>
      <c r="E696">
        <v>40</v>
      </c>
      <c r="F696" t="s">
        <v>234</v>
      </c>
      <c r="G696">
        <v>44</v>
      </c>
      <c r="H696">
        <v>40</v>
      </c>
    </row>
    <row r="697" spans="1:8" x14ac:dyDescent="0.35">
      <c r="A697" t="s">
        <v>923</v>
      </c>
      <c r="B697" t="s">
        <v>1455</v>
      </c>
      <c r="C697" t="s">
        <v>956</v>
      </c>
      <c r="D697" t="s">
        <v>94</v>
      </c>
      <c r="E697">
        <v>40</v>
      </c>
      <c r="F697" t="s">
        <v>514</v>
      </c>
      <c r="G697">
        <v>44</v>
      </c>
      <c r="H697" t="s">
        <v>96</v>
      </c>
    </row>
    <row r="698" spans="1:8" x14ac:dyDescent="0.35">
      <c r="A698" t="s">
        <v>924</v>
      </c>
      <c r="B698" t="s">
        <v>1456</v>
      </c>
      <c r="C698" t="s">
        <v>1457</v>
      </c>
      <c r="D698" t="s">
        <v>150</v>
      </c>
      <c r="E698">
        <v>80</v>
      </c>
      <c r="F698" t="s">
        <v>925</v>
      </c>
      <c r="G698">
        <v>88</v>
      </c>
      <c r="H698" t="s">
        <v>392</v>
      </c>
    </row>
    <row r="699" spans="1:8" x14ac:dyDescent="0.35">
      <c r="D699" t="s">
        <v>911</v>
      </c>
      <c r="E699">
        <v>1173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41</vt:i4>
      </vt:variant>
    </vt:vector>
  </HeadingPairs>
  <TitlesOfParts>
    <vt:vector size="43" baseType="lpstr">
      <vt:lpstr>TT</vt:lpstr>
      <vt:lpstr>Sheet1</vt:lpstr>
      <vt:lpstr>TT!Print_Area</vt:lpstr>
      <vt:lpstr>Total_F1_1</vt:lpstr>
      <vt:lpstr>Total_F1_2</vt:lpstr>
      <vt:lpstr>Total_F2_1</vt:lpstr>
      <vt:lpstr>Total_F2_2</vt:lpstr>
      <vt:lpstr>Total_F2_3</vt:lpstr>
      <vt:lpstr>Total_F3_1</vt:lpstr>
      <vt:lpstr>Total_H1_1</vt:lpstr>
      <vt:lpstr>Total_H1_2</vt:lpstr>
      <vt:lpstr>Total_H2_1</vt:lpstr>
      <vt:lpstr>Total_H2_2</vt:lpstr>
      <vt:lpstr>Total_H2_3</vt:lpstr>
      <vt:lpstr>Total_H3_1</vt:lpstr>
      <vt:lpstr>Total_H3_2</vt:lpstr>
      <vt:lpstr>Total_H3_3</vt:lpstr>
      <vt:lpstr>Total_M1_1</vt:lpstr>
      <vt:lpstr>Total_M1_2</vt:lpstr>
      <vt:lpstr>Total_M2_1</vt:lpstr>
      <vt:lpstr>Total_M2_2</vt:lpstr>
      <vt:lpstr>Total_M2_3</vt:lpstr>
      <vt:lpstr>Total_M3_1</vt:lpstr>
      <vt:lpstr>Total_M3_2</vt:lpstr>
      <vt:lpstr>Total_M3_3</vt:lpstr>
      <vt:lpstr>Total_T1_1</vt:lpstr>
      <vt:lpstr>Total_T1_2</vt:lpstr>
      <vt:lpstr>Total_T1_3</vt:lpstr>
      <vt:lpstr>Total_T2_1</vt:lpstr>
      <vt:lpstr>Total_T2_2</vt:lpstr>
      <vt:lpstr>Total_T2_3</vt:lpstr>
      <vt:lpstr>Total_T3_1</vt:lpstr>
      <vt:lpstr>Total_T3_2</vt:lpstr>
      <vt:lpstr>Total_T3_3</vt:lpstr>
      <vt:lpstr>Total_W1_1</vt:lpstr>
      <vt:lpstr>Total_W1_2</vt:lpstr>
      <vt:lpstr>Total_W1_3</vt:lpstr>
      <vt:lpstr>Total_W2_1</vt:lpstr>
      <vt:lpstr>Total_W2_2</vt:lpstr>
      <vt:lpstr>Total_W2_3</vt:lpstr>
      <vt:lpstr>Total_W3_1</vt:lpstr>
      <vt:lpstr>Total_W3_2</vt:lpstr>
      <vt:lpstr>Total_W3_3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EXAMINATIONS OFFICE</dc:creator>
  <cp:lastModifiedBy>Mr Man</cp:lastModifiedBy>
  <dcterms:created xsi:type="dcterms:W3CDTF">2026-08-10T16:38:59Z</dcterms:created>
  <dcterms:modified xsi:type="dcterms:W3CDTF">2026-08-10T19:06:24Z</dcterms:modified>
</cp:coreProperties>
</file>