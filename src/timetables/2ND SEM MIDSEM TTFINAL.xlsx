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_man\Desktop\invigilation-auto\src\timetables\"/>
    </mc:Choice>
  </mc:AlternateContent>
  <xr:revisionPtr revIDLastSave="0" documentId="13_ncr:1_{9D39E506-9F82-4486-8771-09E0D69158FA}" xr6:coauthVersionLast="47" xr6:coauthVersionMax="47" xr10:uidLastSave="{00000000-0000-0000-0000-000000000000}"/>
  <bookViews>
    <workbookView xWindow="-110" yWindow="-110" windowWidth="19420" windowHeight="11020" activeTab="1" xr2:uid="{BAA7DC1F-44F3-48DE-B08E-9546EE0DB641}"/>
  </bookViews>
  <sheets>
    <sheet name="TTFINAL" sheetId="2" r:id="rId1"/>
    <sheet name="Sheet1" sheetId="1" r:id="rId2"/>
  </sheets>
  <externalReferences>
    <externalReference r:id="rId3"/>
    <externalReference r:id="rId4"/>
    <externalReference r:id="rId5"/>
  </externalReferences>
  <definedNames>
    <definedName name="_xlnm._FilterDatabase" localSheetId="0" hidden="1">TTFINAL!#REF!</definedName>
    <definedName name="CLASS" localSheetId="0">TTFINAL!$D$219:$D$471</definedName>
    <definedName name="CODE">#REF!</definedName>
    <definedName name="COURSE_NAME">#REF!</definedName>
    <definedName name="EA">#REF!</definedName>
    <definedName name="ED3_PCE" localSheetId="0">TTFINAL!$D$281:$D$617</definedName>
    <definedName name="ED3_TEL" localSheetId="0">TTFINAL!#REF!</definedName>
    <definedName name="ED3_TEL">[1]TT!#REF!</definedName>
    <definedName name="ED4_IND" localSheetId="0">TTFINAL!#REF!</definedName>
    <definedName name="ED4_IND">[1]TT!#REF!</definedName>
    <definedName name="EXAMINER">#REF!</definedName>
    <definedName name="hy">#REF!</definedName>
    <definedName name="po">#REF!</definedName>
    <definedName name="_xlnm.Print_Area" localSheetId="0">TTFINAL!$A$1:$G$648</definedName>
    <definedName name="room_no">#REF!</definedName>
    <definedName name="ROOM_NO.">#REF!</definedName>
    <definedName name="STDS">#REF!</definedName>
    <definedName name="TO_PRT">#REF!</definedName>
    <definedName name="Total_F1" localSheetId="0">TTFINAL!$D$518:$D$641</definedName>
    <definedName name="Total_F1_1">[2]TT!$D$206:$D$219</definedName>
    <definedName name="Total_F1_2">[2]TT!$D$225:$D$227</definedName>
    <definedName name="Total_F1_3">[2]TT!$D$245:$D$261</definedName>
    <definedName name="Total_F2" localSheetId="0">TTFINAL!$D$539:$D$566</definedName>
    <definedName name="Total_F2_1">[2]TT!$D$503:$D$520</definedName>
    <definedName name="Total_F2_2">[2]TT!$D$526:$D$536</definedName>
    <definedName name="Total_F2_3">[2]TT!$D$542:$D$559</definedName>
    <definedName name="Total_F3" localSheetId="0">TTFINAL!$D$572:$D$577</definedName>
    <definedName name="Total_F3_1">[2]TT!$D$801:$D$817</definedName>
    <definedName name="Total_F3_2">[2]TT!$D$823:$D$836</definedName>
    <definedName name="Total_F3_3">[2]TT!$D$842:$D$858</definedName>
    <definedName name="Total_F4" localSheetId="0">TTFINAL!$D$589:$D$602</definedName>
    <definedName name="Total_F5" localSheetId="0">TTFINAL!$D$608:$D$649</definedName>
    <definedName name="Total_F6" localSheetId="0">TTFINAL!$D$633:$D$646</definedName>
    <definedName name="Total_F7" localSheetId="0">TTFINAL!$D$649:$D$649</definedName>
    <definedName name="Total_H1" localSheetId="0">TTFINAL!$D$397:$D$411</definedName>
    <definedName name="Total_H1_1">[2]TT!$D$147:$D$161</definedName>
    <definedName name="Total_H1_2">[2]TT!$D$167:$D$178</definedName>
    <definedName name="Total_H1_3">[2]TT!$D$184:$D$239</definedName>
    <definedName name="Total_H2" localSheetId="0">TTFINAL!$D$417:$D$429</definedName>
    <definedName name="Total_H2_1">[2]TT!$D$450:$D$709</definedName>
    <definedName name="Total_H2_2">[2]TT!$D$470:$D$692</definedName>
    <definedName name="Total_H2_3">[2]TT!$D$486:$D$696</definedName>
    <definedName name="Total_H3" localSheetId="0">TTFINAL!$D$435:$D$445</definedName>
    <definedName name="Total_H3_1">[2]TT!$D$744:$D$760</definedName>
    <definedName name="Total_H3_2">[2]TT!$D$766:$D$775</definedName>
    <definedName name="Total_H3_3">[2]TT!$D$781:$D$795</definedName>
    <definedName name="Total_H4" localSheetId="0">TTFINAL!$D$451:$D$470</definedName>
    <definedName name="Total_H5" localSheetId="0">TTFINAL!$D$476:$D$490</definedName>
    <definedName name="Total_H6" localSheetId="0">TTFINAL!#REF!</definedName>
    <definedName name="Total_H6">[1]TT!#REF!</definedName>
    <definedName name="Total_H7" localSheetId="0">TTFINAL!#REF!</definedName>
    <definedName name="Total_H7">[1]TT!#REF!</definedName>
    <definedName name="Total_M1" localSheetId="0">TTFINAL!#REF!</definedName>
    <definedName name="Total_M1">[1]TT!#REF!</definedName>
    <definedName name="Total_M1_1">[2]TT!$D$3:$D$13</definedName>
    <definedName name="Total_M1_2">[2]TT!$D$19:$D$29</definedName>
    <definedName name="Total_M1_3">[2]TT!$D$35:$D$45</definedName>
    <definedName name="Total_M2" localSheetId="0">TTFINAL!$D$30:$D$54</definedName>
    <definedName name="Total_M2_1">[2]TT!$D$267:$D$285</definedName>
    <definedName name="Total_M2_2">[2]TT!$D$291:$D$442</definedName>
    <definedName name="Total_M2_3">[2]TT!$D$311:$D$325</definedName>
    <definedName name="Total_M3" localSheetId="0">TTFINAL!$D$60:$D$75</definedName>
    <definedName name="Total_M3_1">[2]TT!$D$565:$D$577</definedName>
    <definedName name="Total_M3_2">[2]TT!$D$583:$D$595</definedName>
    <definedName name="Total_M3_3">[2]TT!$D$601:$D$621</definedName>
    <definedName name="Total_M4" localSheetId="0">TTFINAL!$D$81:$D$96</definedName>
    <definedName name="Total_M5" localSheetId="0">TTFINAL!$D$102:$D$202</definedName>
    <definedName name="Total_M6" localSheetId="0">TTFINAL!$D$123:$D$139</definedName>
    <definedName name="Total_M7" localSheetId="0">TTFINAL!$D$141:$D$192</definedName>
    <definedName name="Total_T1" localSheetId="0">TTFINAL!$D$145:$D$158</definedName>
    <definedName name="Total_T1_1">[2]TT!$D$51:$D$61</definedName>
    <definedName name="Total_T1_2">[2]TT!$D$67:$D$77</definedName>
    <definedName name="Total_T1_3">[2]TT!$D$83:$D$93</definedName>
    <definedName name="Total_T2" localSheetId="0">TTFINAL!$D$164:$D$177</definedName>
    <definedName name="Total_T2_1">[2]TT!$D$331:$D$346</definedName>
    <definedName name="Total_T2_2">[2]TT!$D$352:$D$365</definedName>
    <definedName name="Total_T2_3">[2]TT!$D$371:$D$381</definedName>
    <definedName name="Total_T3" localSheetId="0">TTFINAL!$D$183:$D$649</definedName>
    <definedName name="Total_T3_1">[2]TT!$D$627:$D$642</definedName>
    <definedName name="Total_T3_2">[2]TT!$D$648:$D$659</definedName>
    <definedName name="Total_T3_3">[2]TT!$D$665:$D$680</definedName>
    <definedName name="Total_T4" localSheetId="0">TTFINAL!$D$201:$D$212</definedName>
    <definedName name="Total_T5" localSheetId="0">TTFINAL!$D$218:$D$234</definedName>
    <definedName name="Total_T6" localSheetId="0">TTFINAL!$D$240:$D$248</definedName>
    <definedName name="Total_T7" localSheetId="0">TTFINAL!#REF!</definedName>
    <definedName name="Total_T7">[1]TT!#REF!</definedName>
    <definedName name="Total_W1" localSheetId="0">TTFINAL!$D$260:$D$316</definedName>
    <definedName name="Total_W1_1">[2]TT!$D$99:$D$109</definedName>
    <definedName name="Total_W1_2">[2]TT!$D$115:$D$125</definedName>
    <definedName name="Total_W1_3">[2]TT!$D$131:$D$141</definedName>
    <definedName name="Total_W2" localSheetId="0">TTFINAL!$D$281:$D$294</definedName>
    <definedName name="Total_W2_1">[2]TT!$D$387:$D$405</definedName>
    <definedName name="Total_W2_2">[2]TT!$D$411:$D$424</definedName>
    <definedName name="Total_W2_3">[2]TT!$D$430:$D$444</definedName>
    <definedName name="Total_W3" localSheetId="0">TTFINAL!$D$300:$D$316</definedName>
    <definedName name="Total_W3_1">[2]TT!$D$686:$D$696</definedName>
    <definedName name="Total_W3_2">[2]TT!$D$702:$D$753</definedName>
    <definedName name="Total_W3_3">[2]TT!$D$722:$D$738</definedName>
    <definedName name="Total_W4" localSheetId="0">TTFINAL!$D$323:$D$338</definedName>
    <definedName name="Total_W5" localSheetId="0">TTFINAL!$D$344:$D$361</definedName>
    <definedName name="Total_W6" localSheetId="0">TTFINAL!$D$367:$D$391</definedName>
    <definedName name="Total_W7" localSheetId="0">TTFINAL!#REF!</definedName>
    <definedName name="Total_W7">[1]TT!#REF!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" l="1"/>
  <c r="A2" i="2"/>
  <c r="I2" i="2"/>
  <c r="I3" i="2"/>
  <c r="I4" i="2"/>
  <c r="C4" i="2" s="1" a="1"/>
  <c r="C4" i="2" s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8" i="2"/>
  <c r="A29" i="2"/>
  <c r="I29" i="2"/>
  <c r="I30" i="2"/>
  <c r="I31" i="2"/>
  <c r="B31" i="2" s="1" a="1"/>
  <c r="B31" i="2" s="1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A59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A80" i="2"/>
  <c r="I80" i="2"/>
  <c r="I81" i="2"/>
  <c r="I82" i="2"/>
  <c r="C82" i="2" s="1" a="1"/>
  <c r="C82" i="2" s="1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A101" i="2"/>
  <c r="I101" i="2"/>
  <c r="I102" i="2"/>
  <c r="I103" i="2"/>
  <c r="B103" i="2" s="1" a="1"/>
  <c r="B103" i="2" s="1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21" i="2"/>
  <c r="A122" i="2"/>
  <c r="I122" i="2" s="1"/>
  <c r="I123" i="2"/>
  <c r="I124" i="2"/>
  <c r="B124" i="2" s="1" a="1"/>
  <c r="B124" i="2" s="1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A144" i="2"/>
  <c r="I144" i="2"/>
  <c r="I145" i="2"/>
  <c r="I146" i="2"/>
  <c r="I147" i="2"/>
  <c r="C146" i="2" s="1" a="1"/>
  <c r="C146" i="2" s="1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A163" i="2"/>
  <c r="I163" i="2"/>
  <c r="I164" i="2"/>
  <c r="B165" i="2" a="1"/>
  <c r="B165" i="2"/>
  <c r="I165" i="2"/>
  <c r="I166" i="2"/>
  <c r="C165" i="2" s="1" a="1"/>
  <c r="C165" i="2" s="1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A182" i="2"/>
  <c r="I182" i="2"/>
  <c r="I183" i="2"/>
  <c r="I184" i="2"/>
  <c r="I185" i="2"/>
  <c r="I186" i="2"/>
  <c r="C184" i="2" s="1" a="1"/>
  <c r="C184" i="2" s="1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A200" i="2"/>
  <c r="I200" i="2"/>
  <c r="I201" i="2"/>
  <c r="I202" i="2"/>
  <c r="I203" i="2"/>
  <c r="I204" i="2"/>
  <c r="B202" i="2" s="1" a="1"/>
  <c r="B202" i="2" s="1"/>
  <c r="I205" i="2"/>
  <c r="I206" i="2"/>
  <c r="I207" i="2"/>
  <c r="I208" i="2"/>
  <c r="I209" i="2"/>
  <c r="I210" i="2"/>
  <c r="I211" i="2"/>
  <c r="I212" i="2"/>
  <c r="I213" i="2"/>
  <c r="I214" i="2"/>
  <c r="I215" i="2"/>
  <c r="I216" i="2"/>
  <c r="A217" i="2"/>
  <c r="I217" i="2" s="1"/>
  <c r="I218" i="2"/>
  <c r="E219" i="2" a="1"/>
  <c r="G229" i="2" s="1"/>
  <c r="I219" i="2"/>
  <c r="I220" i="2"/>
  <c r="I221" i="2"/>
  <c r="I222" i="2"/>
  <c r="I223" i="2"/>
  <c r="I224" i="2"/>
  <c r="C219" i="2" s="1" a="1"/>
  <c r="C219" i="2" s="1"/>
  <c r="I225" i="2"/>
  <c r="I226" i="2"/>
  <c r="I227" i="2"/>
  <c r="I228" i="2"/>
  <c r="B219" i="2" s="1" a="1"/>
  <c r="B219" i="2" s="1"/>
  <c r="I229" i="2"/>
  <c r="I230" i="2"/>
  <c r="I231" i="2"/>
  <c r="I232" i="2"/>
  <c r="I233" i="2"/>
  <c r="I234" i="2"/>
  <c r="I235" i="2"/>
  <c r="I236" i="2"/>
  <c r="I237" i="2"/>
  <c r="I238" i="2"/>
  <c r="A239" i="2"/>
  <c r="I239" i="2" s="1"/>
  <c r="I240" i="2"/>
  <c r="C241" i="2" a="1"/>
  <c r="C241" i="2" s="1"/>
  <c r="E241" i="2" a="1"/>
  <c r="G243" i="2" s="1"/>
  <c r="I241" i="2"/>
  <c r="I242" i="2"/>
  <c r="I243" i="2"/>
  <c r="I244" i="2"/>
  <c r="I245" i="2"/>
  <c r="I246" i="2"/>
  <c r="I247" i="2"/>
  <c r="I248" i="2"/>
  <c r="I249" i="2"/>
  <c r="B241" i="2" s="1" a="1"/>
  <c r="B241" i="2" s="1"/>
  <c r="I250" i="2"/>
  <c r="I251" i="2"/>
  <c r="I252" i="2"/>
  <c r="I253" i="2"/>
  <c r="I254" i="2"/>
  <c r="I255" i="2"/>
  <c r="I256" i="2"/>
  <c r="I257" i="2"/>
  <c r="I258" i="2"/>
  <c r="A259" i="2"/>
  <c r="I259" i="2"/>
  <c r="I260" i="2"/>
  <c r="I261" i="2"/>
  <c r="I262" i="2"/>
  <c r="B261" i="2" s="1" a="1"/>
  <c r="B261" i="2" s="1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A280" i="2"/>
  <c r="I280" i="2" s="1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A299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A322" i="2"/>
  <c r="I322" i="2"/>
  <c r="I323" i="2"/>
  <c r="I324" i="2"/>
  <c r="B324" i="2" s="1" a="1"/>
  <c r="B324" i="2" s="1"/>
  <c r="I325" i="2"/>
  <c r="E324" i="2" s="1" a="1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A343" i="2"/>
  <c r="I343" i="2"/>
  <c r="I344" i="2"/>
  <c r="I345" i="2"/>
  <c r="C345" i="2" s="1" a="1"/>
  <c r="C345" i="2" s="1"/>
  <c r="I346" i="2"/>
  <c r="I347" i="2"/>
  <c r="I348" i="2"/>
  <c r="I349" i="2"/>
  <c r="I350" i="2"/>
  <c r="I351" i="2"/>
  <c r="I352" i="2"/>
  <c r="I353" i="2"/>
  <c r="B345" i="2" s="1" a="1"/>
  <c r="B345" i="2" s="1"/>
  <c r="I354" i="2"/>
  <c r="I355" i="2"/>
  <c r="I356" i="2"/>
  <c r="I357" i="2"/>
  <c r="I358" i="2"/>
  <c r="I359" i="2"/>
  <c r="I360" i="2"/>
  <c r="I361" i="2"/>
  <c r="I362" i="2"/>
  <c r="I363" i="2"/>
  <c r="I364" i="2"/>
  <c r="I365" i="2"/>
  <c r="A366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A396" i="2"/>
  <c r="I396" i="2" s="1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A416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A434" i="2"/>
  <c r="I434" i="2" s="1"/>
  <c r="I435" i="2"/>
  <c r="I436" i="2"/>
  <c r="I437" i="2"/>
  <c r="I438" i="2"/>
  <c r="I439" i="2"/>
  <c r="I440" i="2"/>
  <c r="I441" i="2"/>
  <c r="I442" i="2"/>
  <c r="I443" i="2"/>
  <c r="I444" i="2"/>
  <c r="I445" i="2"/>
  <c r="I446" i="2"/>
  <c r="I449" i="2"/>
  <c r="A450" i="2"/>
  <c r="I450" i="2"/>
  <c r="I451" i="2"/>
  <c r="I452" i="2"/>
  <c r="I453" i="2"/>
  <c r="I454" i="2"/>
  <c r="B452" i="2" s="1" a="1"/>
  <c r="B452" i="2" s="1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4" i="2"/>
  <c r="A475" i="2"/>
  <c r="I475" i="2"/>
  <c r="I476" i="2"/>
  <c r="I477" i="2"/>
  <c r="E477" i="2" s="1" a="1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4" i="2"/>
  <c r="I495" i="2"/>
  <c r="I496" i="2"/>
  <c r="I497" i="2"/>
  <c r="I498" i="2"/>
  <c r="E497" i="2" s="1" a="1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6" i="2"/>
  <c r="A517" i="2"/>
  <c r="I517" i="2"/>
  <c r="I518" i="2"/>
  <c r="I519" i="2"/>
  <c r="C519" i="2" s="1" a="1"/>
  <c r="C519" i="2" s="1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A538" i="2"/>
  <c r="I538" i="2"/>
  <c r="I539" i="2"/>
  <c r="I540" i="2"/>
  <c r="C540" i="2" s="1" a="1"/>
  <c r="C540" i="2" s="1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A571" i="2"/>
  <c r="I571" i="2"/>
  <c r="I572" i="2"/>
  <c r="I573" i="2"/>
  <c r="B573" i="2" s="1" a="1"/>
  <c r="B573" i="2" s="1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A588" i="2"/>
  <c r="I588" i="2"/>
  <c r="I589" i="2"/>
  <c r="I590" i="2"/>
  <c r="I591" i="2"/>
  <c r="C590" i="2" s="1" a="1"/>
  <c r="C590" i="2" s="1"/>
  <c r="I592" i="2"/>
  <c r="I593" i="2"/>
  <c r="I594" i="2"/>
  <c r="I595" i="2"/>
  <c r="I596" i="2"/>
  <c r="I597" i="2"/>
  <c r="I598" i="2"/>
  <c r="B590" i="2" s="1" a="1"/>
  <c r="B590" i="2" s="1"/>
  <c r="I599" i="2"/>
  <c r="I600" i="2"/>
  <c r="I601" i="2"/>
  <c r="I602" i="2"/>
  <c r="I603" i="2"/>
  <c r="I604" i="2"/>
  <c r="I605" i="2"/>
  <c r="I606" i="2"/>
  <c r="A607" i="2"/>
  <c r="I607" i="2"/>
  <c r="I608" i="2"/>
  <c r="I609" i="2"/>
  <c r="I610" i="2"/>
  <c r="I611" i="2"/>
  <c r="I612" i="2"/>
  <c r="I613" i="2"/>
  <c r="I614" i="2"/>
  <c r="I615" i="2"/>
  <c r="I616" i="2"/>
  <c r="I617" i="2"/>
  <c r="B609" i="2" s="1" a="1"/>
  <c r="B609" i="2" s="1"/>
  <c r="I618" i="2"/>
  <c r="I619" i="2"/>
  <c r="I620" i="2"/>
  <c r="C609" i="2" s="1" a="1"/>
  <c r="C609" i="2" s="1"/>
  <c r="I621" i="2"/>
  <c r="I622" i="2"/>
  <c r="I623" i="2"/>
  <c r="I624" i="2"/>
  <c r="I625" i="2"/>
  <c r="I626" i="2"/>
  <c r="I627" i="2"/>
  <c r="I628" i="2"/>
  <c r="I629" i="2"/>
  <c r="I630" i="2"/>
  <c r="I631" i="2"/>
  <c r="A632" i="2"/>
  <c r="I632" i="2"/>
  <c r="I633" i="2"/>
  <c r="I634" i="2"/>
  <c r="B634" i="2" s="1" a="1"/>
  <c r="B634" i="2" s="1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G327" i="2" l="1"/>
  <c r="G337" i="2"/>
  <c r="G329" i="2"/>
  <c r="G328" i="2"/>
  <c r="G338" i="2"/>
  <c r="G333" i="2"/>
  <c r="E324" i="2"/>
  <c r="G335" i="2"/>
  <c r="G334" i="2"/>
  <c r="G332" i="2"/>
  <c r="G325" i="2"/>
  <c r="G326" i="2"/>
  <c r="G336" i="2"/>
  <c r="G330" i="2"/>
  <c r="G331" i="2"/>
  <c r="G503" i="2"/>
  <c r="G504" i="2"/>
  <c r="G501" i="2"/>
  <c r="G512" i="2"/>
  <c r="G508" i="2"/>
  <c r="G510" i="2"/>
  <c r="G511" i="2"/>
  <c r="G502" i="2"/>
  <c r="G500" i="2"/>
  <c r="G506" i="2"/>
  <c r="G507" i="2"/>
  <c r="G505" i="2"/>
  <c r="E497" i="2"/>
  <c r="G498" i="2"/>
  <c r="G509" i="2"/>
  <c r="G499" i="2"/>
  <c r="G482" i="2"/>
  <c r="G483" i="2"/>
  <c r="G479" i="2"/>
  <c r="G490" i="2"/>
  <c r="G486" i="2"/>
  <c r="E477" i="2"/>
  <c r="G488" i="2"/>
  <c r="G478" i="2"/>
  <c r="G489" i="2"/>
  <c r="G480" i="2"/>
  <c r="G481" i="2"/>
  <c r="G485" i="2"/>
  <c r="G484" i="2"/>
  <c r="G487" i="2"/>
  <c r="G233" i="2"/>
  <c r="G223" i="2"/>
  <c r="G232" i="2"/>
  <c r="G222" i="2"/>
  <c r="B497" i="2" a="1"/>
  <c r="B497" i="2" s="1"/>
  <c r="G227" i="2"/>
  <c r="E184" i="2" a="1"/>
  <c r="B398" i="2" a="1"/>
  <c r="B398" i="2" s="1"/>
  <c r="C398" i="2" a="1"/>
  <c r="C398" i="2" s="1"/>
  <c r="C261" i="2" a="1"/>
  <c r="C261" i="2" s="1"/>
  <c r="G249" i="2"/>
  <c r="C477" i="2" a="1"/>
  <c r="C477" i="2" s="1"/>
  <c r="B418" i="2" a="1"/>
  <c r="B418" i="2" s="1"/>
  <c r="G248" i="2"/>
  <c r="B540" i="2" a="1"/>
  <c r="B540" i="2" s="1"/>
  <c r="B519" i="2" a="1"/>
  <c r="B519" i="2" s="1"/>
  <c r="C452" i="2" a="1"/>
  <c r="C452" i="2" s="1"/>
  <c r="C418" i="2" a="1"/>
  <c r="C418" i="2" s="1"/>
  <c r="E146" i="2" a="1"/>
  <c r="E82" i="2" a="1"/>
  <c r="E4" i="2" a="1"/>
  <c r="B184" i="2" a="1"/>
  <c r="B184" i="2" s="1"/>
  <c r="E519" i="2" a="1"/>
  <c r="B477" i="2" a="1"/>
  <c r="B477" i="2" s="1"/>
  <c r="E418" i="2" a="1"/>
  <c r="E124" i="2" a="1"/>
  <c r="C103" i="2" a="1"/>
  <c r="C103" i="2" s="1"/>
  <c r="G225" i="2"/>
  <c r="G246" i="2"/>
  <c r="C61" i="2" a="1"/>
  <c r="C61" i="2" s="1"/>
  <c r="B61" i="2" a="1"/>
  <c r="B61" i="2" s="1"/>
  <c r="E634" i="2" a="1"/>
  <c r="G234" i="2"/>
  <c r="G230" i="2"/>
  <c r="B4" i="2" a="1"/>
  <c r="B4" i="2" s="1"/>
  <c r="E103" i="2" a="1"/>
  <c r="G245" i="2"/>
  <c r="B146" i="2" a="1"/>
  <c r="B146" i="2" s="1"/>
  <c r="E398" i="2" a="1"/>
  <c r="B282" i="2" a="1"/>
  <c r="B282" i="2" s="1"/>
  <c r="E282" i="2" a="1"/>
  <c r="C282" i="2" a="1"/>
  <c r="C282" i="2" s="1"/>
  <c r="G226" i="2"/>
  <c r="C497" i="2" a="1"/>
  <c r="C497" i="2" s="1"/>
  <c r="C124" i="2" a="1"/>
  <c r="C124" i="2" s="1"/>
  <c r="B436" i="2" a="1"/>
  <c r="B436" i="2" s="1"/>
  <c r="C436" i="2" a="1"/>
  <c r="C436" i="2" s="1"/>
  <c r="B301" i="2" a="1"/>
  <c r="B301" i="2" s="1"/>
  <c r="C301" i="2" a="1"/>
  <c r="C301" i="2" s="1"/>
  <c r="E301" i="2" a="1"/>
  <c r="G220" i="2"/>
  <c r="B82" i="2" a="1"/>
  <c r="B82" i="2" s="1"/>
  <c r="E540" i="2" a="1"/>
  <c r="G247" i="2"/>
  <c r="E452" i="2" a="1"/>
  <c r="G244" i="2"/>
  <c r="E590" i="2" a="1"/>
  <c r="E345" i="2" a="1"/>
  <c r="G254" i="2"/>
  <c r="E609" i="2" a="1"/>
  <c r="E261" i="2" a="1"/>
  <c r="G228" i="2"/>
  <c r="E202" i="2" a="1"/>
  <c r="C202" i="2" a="1"/>
  <c r="C202" i="2" s="1"/>
  <c r="E61" i="2" a="1"/>
  <c r="C634" i="2" a="1"/>
  <c r="C634" i="2" s="1"/>
  <c r="B368" i="2" a="1"/>
  <c r="B368" i="2" s="1"/>
  <c r="E368" i="2" a="1"/>
  <c r="C368" i="2" a="1"/>
  <c r="C368" i="2" s="1"/>
  <c r="C324" i="2" a="1"/>
  <c r="C324" i="2" s="1"/>
  <c r="G231" i="2"/>
  <c r="E165" i="2" a="1"/>
  <c r="E241" i="2"/>
  <c r="G242" i="2"/>
  <c r="G252" i="2"/>
  <c r="G251" i="2"/>
  <c r="G250" i="2"/>
  <c r="C31" i="2" a="1"/>
  <c r="C31" i="2" s="1"/>
  <c r="E31" i="2" a="1"/>
  <c r="C573" i="2" a="1"/>
  <c r="C573" i="2" s="1"/>
  <c r="E573" i="2" a="1"/>
  <c r="E436" i="2" a="1"/>
  <c r="G253" i="2"/>
  <c r="E219" i="2"/>
  <c r="G639" i="2" l="1"/>
  <c r="G638" i="2"/>
  <c r="G642" i="2"/>
  <c r="G643" i="2"/>
  <c r="G644" i="2"/>
  <c r="G636" i="2"/>
  <c r="E634" i="2"/>
  <c r="G635" i="2"/>
  <c r="G646" i="2"/>
  <c r="G645" i="2"/>
  <c r="G637" i="2"/>
  <c r="G641" i="2"/>
  <c r="G640" i="2"/>
  <c r="G477" i="2"/>
  <c r="E491" i="2"/>
  <c r="G219" i="2"/>
  <c r="E235" i="2"/>
  <c r="E202" i="2"/>
  <c r="G203" i="2"/>
  <c r="G212" i="2"/>
  <c r="G206" i="2"/>
  <c r="G209" i="2"/>
  <c r="G211" i="2"/>
  <c r="G210" i="2"/>
  <c r="G204" i="2"/>
  <c r="G208" i="2"/>
  <c r="G205" i="2"/>
  <c r="G207" i="2"/>
  <c r="G523" i="2"/>
  <c r="G533" i="2"/>
  <c r="G524" i="2"/>
  <c r="E534" i="2"/>
  <c r="E519" i="2"/>
  <c r="G519" i="2" s="1"/>
  <c r="G520" i="2"/>
  <c r="G521" i="2"/>
  <c r="G525" i="2"/>
  <c r="G528" i="2"/>
  <c r="G529" i="2"/>
  <c r="G526" i="2"/>
  <c r="G522" i="2"/>
  <c r="G527" i="2"/>
  <c r="G530" i="2"/>
  <c r="G531" i="2"/>
  <c r="G532" i="2"/>
  <c r="E513" i="2"/>
  <c r="G497" i="2"/>
  <c r="G69" i="2"/>
  <c r="G68" i="2"/>
  <c r="G71" i="2"/>
  <c r="G70" i="2"/>
  <c r="G63" i="2"/>
  <c r="G74" i="2"/>
  <c r="G67" i="2"/>
  <c r="G62" i="2"/>
  <c r="G73" i="2"/>
  <c r="E61" i="2"/>
  <c r="G61" i="2" s="1"/>
  <c r="G72" i="2"/>
  <c r="G65" i="2"/>
  <c r="E76" i="2"/>
  <c r="G64" i="2"/>
  <c r="G75" i="2"/>
  <c r="G66" i="2"/>
  <c r="G442" i="2"/>
  <c r="G443" i="2"/>
  <c r="G444" i="2"/>
  <c r="G445" i="2"/>
  <c r="E436" i="2"/>
  <c r="G437" i="2"/>
  <c r="G440" i="2"/>
  <c r="G439" i="2"/>
  <c r="G438" i="2"/>
  <c r="G441" i="2"/>
  <c r="E339" i="2"/>
  <c r="G324" i="2"/>
  <c r="G542" i="2"/>
  <c r="G552" i="2"/>
  <c r="G562" i="2"/>
  <c r="G543" i="2"/>
  <c r="G553" i="2"/>
  <c r="G563" i="2"/>
  <c r="E540" i="2"/>
  <c r="G540" i="2" s="1"/>
  <c r="G541" i="2"/>
  <c r="G564" i="2"/>
  <c r="G545" i="2"/>
  <c r="G556" i="2"/>
  <c r="E567" i="2"/>
  <c r="G558" i="2"/>
  <c r="G557" i="2"/>
  <c r="G546" i="2"/>
  <c r="G549" i="2"/>
  <c r="G560" i="2"/>
  <c r="G550" i="2"/>
  <c r="G561" i="2"/>
  <c r="G547" i="2"/>
  <c r="G548" i="2"/>
  <c r="G559" i="2"/>
  <c r="G544" i="2"/>
  <c r="G566" i="2"/>
  <c r="G551" i="2"/>
  <c r="G565" i="2"/>
  <c r="G555" i="2"/>
  <c r="G554" i="2"/>
  <c r="G375" i="2"/>
  <c r="G385" i="2"/>
  <c r="G376" i="2"/>
  <c r="G386" i="2"/>
  <c r="G377" i="2"/>
  <c r="G387" i="2"/>
  <c r="E368" i="2"/>
  <c r="G368" i="2" s="1"/>
  <c r="G379" i="2"/>
  <c r="G389" i="2"/>
  <c r="G391" i="2"/>
  <c r="G380" i="2"/>
  <c r="E392" i="2"/>
  <c r="G381" i="2"/>
  <c r="G372" i="2"/>
  <c r="G369" i="2"/>
  <c r="G383" i="2"/>
  <c r="G373" i="2"/>
  <c r="G382" i="2"/>
  <c r="G370" i="2"/>
  <c r="G384" i="2"/>
  <c r="G371" i="2"/>
  <c r="G388" i="2"/>
  <c r="G390" i="2"/>
  <c r="G374" i="2"/>
  <c r="G378" i="2"/>
  <c r="G308" i="2"/>
  <c r="G310" i="2"/>
  <c r="G309" i="2"/>
  <c r="E301" i="2"/>
  <c r="G312" i="2"/>
  <c r="G311" i="2"/>
  <c r="G302" i="2"/>
  <c r="G314" i="2"/>
  <c r="G305" i="2"/>
  <c r="G313" i="2"/>
  <c r="G317" i="2"/>
  <c r="G303" i="2"/>
  <c r="G304" i="2"/>
  <c r="G316" i="2"/>
  <c r="G315" i="2"/>
  <c r="G306" i="2"/>
  <c r="G307" i="2"/>
  <c r="G9" i="2"/>
  <c r="G19" i="2"/>
  <c r="G11" i="2"/>
  <c r="G21" i="2"/>
  <c r="G10" i="2"/>
  <c r="G20" i="2"/>
  <c r="G13" i="2"/>
  <c r="E25" i="2"/>
  <c r="G23" i="2"/>
  <c r="G12" i="2"/>
  <c r="G24" i="2"/>
  <c r="G5" i="2"/>
  <c r="G17" i="2"/>
  <c r="E4" i="2"/>
  <c r="G4" i="2" s="1"/>
  <c r="G22" i="2"/>
  <c r="G15" i="2"/>
  <c r="G14" i="2"/>
  <c r="G16" i="2"/>
  <c r="G18" i="2"/>
  <c r="G7" i="2"/>
  <c r="G6" i="2"/>
  <c r="G8" i="2"/>
  <c r="G462" i="2"/>
  <c r="G453" i="2"/>
  <c r="G463" i="2"/>
  <c r="G454" i="2"/>
  <c r="G458" i="2"/>
  <c r="G469" i="2"/>
  <c r="G466" i="2"/>
  <c r="G456" i="2"/>
  <c r="G457" i="2"/>
  <c r="G459" i="2"/>
  <c r="G470" i="2"/>
  <c r="G460" i="2"/>
  <c r="G468" i="2"/>
  <c r="E452" i="2"/>
  <c r="G464" i="2"/>
  <c r="G461" i="2"/>
  <c r="G467" i="2"/>
  <c r="G465" i="2"/>
  <c r="G455" i="2"/>
  <c r="G241" i="2"/>
  <c r="E255" i="2"/>
  <c r="G175" i="2"/>
  <c r="G174" i="2"/>
  <c r="E165" i="2"/>
  <c r="G176" i="2"/>
  <c r="G166" i="2"/>
  <c r="G177" i="2"/>
  <c r="G167" i="2"/>
  <c r="G168" i="2"/>
  <c r="G169" i="2"/>
  <c r="G170" i="2"/>
  <c r="G173" i="2"/>
  <c r="G171" i="2"/>
  <c r="G172" i="2"/>
  <c r="G423" i="2"/>
  <c r="G424" i="2"/>
  <c r="G425" i="2"/>
  <c r="G421" i="2"/>
  <c r="G426" i="2"/>
  <c r="E418" i="2"/>
  <c r="G428" i="2"/>
  <c r="G427" i="2"/>
  <c r="G422" i="2"/>
  <c r="G429" i="2"/>
  <c r="G420" i="2"/>
  <c r="G419" i="2"/>
  <c r="G271" i="2"/>
  <c r="G270" i="2"/>
  <c r="E261" i="2"/>
  <c r="G261" i="2" s="1"/>
  <c r="G264" i="2"/>
  <c r="G275" i="2"/>
  <c r="G272" i="2"/>
  <c r="G263" i="2"/>
  <c r="G265" i="2"/>
  <c r="E276" i="2"/>
  <c r="G273" i="2"/>
  <c r="G266" i="2"/>
  <c r="G269" i="2"/>
  <c r="G267" i="2"/>
  <c r="G268" i="2"/>
  <c r="G274" i="2"/>
  <c r="G262" i="2"/>
  <c r="G40" i="2"/>
  <c r="G50" i="2"/>
  <c r="E31" i="2"/>
  <c r="G31" i="2" s="1"/>
  <c r="G39" i="2"/>
  <c r="G49" i="2"/>
  <c r="G35" i="2"/>
  <c r="G46" i="2"/>
  <c r="G37" i="2"/>
  <c r="G48" i="2"/>
  <c r="G36" i="2"/>
  <c r="G47" i="2"/>
  <c r="G41" i="2"/>
  <c r="G52" i="2"/>
  <c r="G45" i="2"/>
  <c r="G51" i="2"/>
  <c r="G38" i="2"/>
  <c r="G32" i="2"/>
  <c r="G43" i="2"/>
  <c r="G54" i="2"/>
  <c r="G42" i="2"/>
  <c r="G53" i="2"/>
  <c r="G34" i="2"/>
  <c r="G33" i="2"/>
  <c r="G44" i="2"/>
  <c r="E55" i="2"/>
  <c r="G156" i="2"/>
  <c r="G155" i="2"/>
  <c r="E146" i="2"/>
  <c r="G153" i="2"/>
  <c r="G150" i="2"/>
  <c r="G151" i="2"/>
  <c r="G154" i="2"/>
  <c r="G157" i="2"/>
  <c r="G148" i="2"/>
  <c r="G147" i="2"/>
  <c r="G158" i="2"/>
  <c r="G149" i="2"/>
  <c r="G152" i="2"/>
  <c r="E590" i="2"/>
  <c r="G600" i="2"/>
  <c r="G591" i="2"/>
  <c r="G601" i="2"/>
  <c r="G599" i="2"/>
  <c r="G595" i="2"/>
  <c r="G596" i="2"/>
  <c r="G602" i="2"/>
  <c r="G598" i="2"/>
  <c r="G593" i="2"/>
  <c r="G594" i="2"/>
  <c r="G592" i="2"/>
  <c r="G597" i="2"/>
  <c r="G194" i="2"/>
  <c r="G193" i="2"/>
  <c r="E184" i="2"/>
  <c r="G187" i="2"/>
  <c r="G185" i="2"/>
  <c r="G189" i="2"/>
  <c r="G190" i="2"/>
  <c r="G191" i="2"/>
  <c r="G188" i="2"/>
  <c r="G192" i="2"/>
  <c r="G195" i="2"/>
  <c r="G186" i="2"/>
  <c r="G127" i="2"/>
  <c r="G137" i="2"/>
  <c r="G126" i="2"/>
  <c r="G136" i="2"/>
  <c r="G131" i="2"/>
  <c r="G128" i="2"/>
  <c r="G132" i="2"/>
  <c r="G133" i="2"/>
  <c r="G135" i="2"/>
  <c r="G129" i="2"/>
  <c r="G125" i="2"/>
  <c r="G134" i="2"/>
  <c r="G138" i="2"/>
  <c r="E124" i="2"/>
  <c r="G124" i="2" s="1"/>
  <c r="G139" i="2"/>
  <c r="E140" i="2"/>
  <c r="G130" i="2"/>
  <c r="G581" i="2"/>
  <c r="G582" i="2"/>
  <c r="G576" i="2"/>
  <c r="G578" i="2"/>
  <c r="G579" i="2"/>
  <c r="E573" i="2"/>
  <c r="G583" i="2"/>
  <c r="G577" i="2"/>
  <c r="G580" i="2"/>
  <c r="G575" i="2"/>
  <c r="G574" i="2"/>
  <c r="G289" i="2"/>
  <c r="G290" i="2"/>
  <c r="G291" i="2"/>
  <c r="G287" i="2"/>
  <c r="G284" i="2"/>
  <c r="G288" i="2"/>
  <c r="G286" i="2"/>
  <c r="E282" i="2"/>
  <c r="G294" i="2"/>
  <c r="G285" i="2"/>
  <c r="G293" i="2"/>
  <c r="G292" i="2"/>
  <c r="G283" i="2"/>
  <c r="E609" i="2"/>
  <c r="G619" i="2"/>
  <c r="G610" i="2"/>
  <c r="G620" i="2"/>
  <c r="G617" i="2"/>
  <c r="G611" i="2"/>
  <c r="G622" i="2"/>
  <c r="G623" i="2"/>
  <c r="G612" i="2"/>
  <c r="G616" i="2"/>
  <c r="G627" i="2"/>
  <c r="G624" i="2"/>
  <c r="G614" i="2"/>
  <c r="G625" i="2"/>
  <c r="G615" i="2"/>
  <c r="G626" i="2"/>
  <c r="G621" i="2"/>
  <c r="G613" i="2"/>
  <c r="G618" i="2"/>
  <c r="G88" i="2"/>
  <c r="G87" i="2"/>
  <c r="G89" i="2"/>
  <c r="G91" i="2"/>
  <c r="G93" i="2"/>
  <c r="G90" i="2"/>
  <c r="G83" i="2"/>
  <c r="G94" i="2"/>
  <c r="E82" i="2"/>
  <c r="G92" i="2"/>
  <c r="G85" i="2"/>
  <c r="G96" i="2"/>
  <c r="G84" i="2"/>
  <c r="G95" i="2"/>
  <c r="G86" i="2"/>
  <c r="G404" i="2"/>
  <c r="G405" i="2"/>
  <c r="G406" i="2"/>
  <c r="G400" i="2"/>
  <c r="G402" i="2"/>
  <c r="G408" i="2"/>
  <c r="G403" i="2"/>
  <c r="G407" i="2"/>
  <c r="G411" i="2"/>
  <c r="G401" i="2"/>
  <c r="E398" i="2"/>
  <c r="G409" i="2"/>
  <c r="G410" i="2"/>
  <c r="G399" i="2"/>
  <c r="G346" i="2"/>
  <c r="G356" i="2"/>
  <c r="G348" i="2"/>
  <c r="G358" i="2"/>
  <c r="G347" i="2"/>
  <c r="G357" i="2"/>
  <c r="G353" i="2"/>
  <c r="G355" i="2"/>
  <c r="G360" i="2"/>
  <c r="G361" i="2"/>
  <c r="E345" i="2"/>
  <c r="G350" i="2"/>
  <c r="G359" i="2"/>
  <c r="G349" i="2"/>
  <c r="G354" i="2"/>
  <c r="G352" i="2"/>
  <c r="G351" i="2"/>
  <c r="G107" i="2"/>
  <c r="G117" i="2"/>
  <c r="G106" i="2"/>
  <c r="G116" i="2"/>
  <c r="G109" i="2"/>
  <c r="G110" i="2"/>
  <c r="G105" i="2"/>
  <c r="G111" i="2"/>
  <c r="G113" i="2"/>
  <c r="E103" i="2"/>
  <c r="G112" i="2"/>
  <c r="G114" i="2"/>
  <c r="G104" i="2"/>
  <c r="G115" i="2"/>
  <c r="G108" i="2"/>
  <c r="E97" i="2" l="1"/>
  <c r="G82" i="2"/>
  <c r="G452" i="2"/>
  <c r="E471" i="2"/>
  <c r="G345" i="2"/>
  <c r="E362" i="2"/>
  <c r="E318" i="2"/>
  <c r="G301" i="2"/>
  <c r="G165" i="2"/>
  <c r="E178" i="2"/>
  <c r="E213" i="2"/>
  <c r="G202" i="2"/>
  <c r="G398" i="2"/>
  <c r="E412" i="2"/>
  <c r="G103" i="2"/>
  <c r="E118" i="2"/>
  <c r="G282" i="2"/>
  <c r="E295" i="2"/>
  <c r="G590" i="2"/>
  <c r="E603" i="2"/>
  <c r="G436" i="2"/>
  <c r="E446" i="2"/>
  <c r="E647" i="2"/>
  <c r="G634" i="2"/>
  <c r="G146" i="2"/>
  <c r="E159" i="2"/>
  <c r="G609" i="2"/>
  <c r="E628" i="2"/>
  <c r="G418" i="2"/>
  <c r="E430" i="2"/>
  <c r="G184" i="2"/>
  <c r="E196" i="2"/>
  <c r="G573" i="2"/>
  <c r="E58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<sst xmlns="http://schemas.openxmlformats.org/spreadsheetml/2006/main" count="5012" uniqueCount="1431">
  <si>
    <t>Total F6</t>
  </si>
  <si>
    <t>25/30/20/20</t>
  </si>
  <si>
    <t>303/N1/RMA//RMB</t>
  </si>
  <si>
    <t>ED4-GEOL</t>
  </si>
  <si>
    <t>GED 464</t>
  </si>
  <si>
    <t>40/30/25/20</t>
  </si>
  <si>
    <t>NAF1/VCR/EA/A110</t>
  </si>
  <si>
    <t>ED4-CE</t>
  </si>
  <si>
    <t>CE 476</t>
  </si>
  <si>
    <t>45/25/20/20/20/20</t>
  </si>
  <si>
    <t>VSLA/303/N1/206/N2</t>
  </si>
  <si>
    <t>ED2-GEOL</t>
  </si>
  <si>
    <t>GE 282</t>
  </si>
  <si>
    <t>85/85/55/25</t>
  </si>
  <si>
    <t>NEB-TF/NEB-SF/NEB-FF1/NEB-FF2</t>
  </si>
  <si>
    <t>ED2-CE</t>
  </si>
  <si>
    <t>43/25/24/22/22</t>
  </si>
  <si>
    <t>VSLA/RMA/RMB/206/304</t>
  </si>
  <si>
    <t>ED1-BME</t>
  </si>
  <si>
    <t>ME 166</t>
  </si>
  <si>
    <t>NEB-FF2/NEB-FF1</t>
  </si>
  <si>
    <t>ED2-AERO</t>
  </si>
  <si>
    <t>ME 266</t>
  </si>
  <si>
    <t>38/38/38/38/38/28/22</t>
  </si>
  <si>
    <t>PB001/PB014/PB020/PB201/PB214/PB008/PB212</t>
  </si>
  <si>
    <t>ED2-ME</t>
  </si>
  <si>
    <t>NEB-SF</t>
  </si>
  <si>
    <t>ED2-IND</t>
  </si>
  <si>
    <t>NEB-TF</t>
  </si>
  <si>
    <t>ED3-AERO</t>
  </si>
  <si>
    <t>AERO 362</t>
  </si>
  <si>
    <t>PB212/PB208</t>
  </si>
  <si>
    <t>ED3-PCE</t>
  </si>
  <si>
    <t>PETE 450</t>
  </si>
  <si>
    <t>20/25/20</t>
  </si>
  <si>
    <t>304/N2/LT</t>
  </si>
  <si>
    <t>ED2-PCE</t>
  </si>
  <si>
    <t>CHE 254</t>
  </si>
  <si>
    <t>38/38/38/38/38/28/24/20</t>
  </si>
  <si>
    <t>PB001/PB014/PB020/PB0201/PB214/PB008/PB208</t>
  </si>
  <si>
    <t>ED1-COE</t>
  </si>
  <si>
    <t>COE 158</t>
  </si>
  <si>
    <t>43/30/30</t>
  </si>
  <si>
    <t>EA/A110/NAF1</t>
  </si>
  <si>
    <t>ED1-GEOM</t>
  </si>
  <si>
    <t>GE 158</t>
  </si>
  <si>
    <t>TO PRT</t>
  </si>
  <si>
    <t>ROOM NO.</t>
  </si>
  <si>
    <t># STDS</t>
  </si>
  <si>
    <t>CLASS</t>
  </si>
  <si>
    <t xml:space="preserve">EXAMINER </t>
  </si>
  <si>
    <t xml:space="preserve">COURSE NAME </t>
  </si>
  <si>
    <t xml:space="preserve">CODE </t>
  </si>
  <si>
    <t>Friday, 10 July 2026</t>
  </si>
  <si>
    <t>Total F5</t>
  </si>
  <si>
    <t>50/30</t>
  </si>
  <si>
    <t>NEB-FF1/NEB-FF2</t>
  </si>
  <si>
    <t>ED3-PE</t>
  </si>
  <si>
    <t>PE 350</t>
  </si>
  <si>
    <t>ED1-PCE</t>
  </si>
  <si>
    <t>PCE 158</t>
  </si>
  <si>
    <t>ED1-CHE</t>
  </si>
  <si>
    <t>CHE 158</t>
  </si>
  <si>
    <t>40</t>
  </si>
  <si>
    <t>ED3-AUTO</t>
  </si>
  <si>
    <t>AME 376</t>
  </si>
  <si>
    <t>82</t>
  </si>
  <si>
    <t>ED2-AUTO</t>
  </si>
  <si>
    <t>AME 256</t>
  </si>
  <si>
    <t>36/25</t>
  </si>
  <si>
    <t>PB214/PB208</t>
  </si>
  <si>
    <t>ED4-AERO</t>
  </si>
  <si>
    <t>AERO 492</t>
  </si>
  <si>
    <t>20/20/17</t>
  </si>
  <si>
    <t>304/N1/N2</t>
  </si>
  <si>
    <t>ED2-METE</t>
  </si>
  <si>
    <t>METE 254</t>
  </si>
  <si>
    <t>40/40/30/25</t>
  </si>
  <si>
    <t>PB201/PB214/PB208/PB212</t>
  </si>
  <si>
    <t>ED4-ME</t>
  </si>
  <si>
    <t>ME 464</t>
  </si>
  <si>
    <t>40/25/24/23/20</t>
  </si>
  <si>
    <t>VSLA/LT/RMA/RMB/206</t>
  </si>
  <si>
    <t>ED2-GEOM</t>
  </si>
  <si>
    <t>GE 284</t>
  </si>
  <si>
    <t>VSLA/LT/RMA/RMB/206/303</t>
  </si>
  <si>
    <t>ED2-COE</t>
  </si>
  <si>
    <t>FC 182</t>
  </si>
  <si>
    <t>20/23</t>
  </si>
  <si>
    <t>304/N2</t>
  </si>
  <si>
    <t>ED2-BME</t>
  </si>
  <si>
    <t>26/20</t>
  </si>
  <si>
    <t>A110/VCR</t>
  </si>
  <si>
    <t>ED1-MARI</t>
  </si>
  <si>
    <t>40/40/40/40</t>
  </si>
  <si>
    <t>PB001/PB020/PB014/PB201</t>
  </si>
  <si>
    <t>ED1-CE</t>
  </si>
  <si>
    <t>45/25/20</t>
  </si>
  <si>
    <t>NAF1/EA/VCR</t>
  </si>
  <si>
    <t>ED1-GEOL</t>
  </si>
  <si>
    <t>40/40/40/30/20</t>
  </si>
  <si>
    <t>PB001/PB020/PB014/PB008/PB212</t>
  </si>
  <si>
    <t>ED2-EE</t>
  </si>
  <si>
    <t>40/25</t>
  </si>
  <si>
    <t>ED3-GEOM</t>
  </si>
  <si>
    <t>30/25</t>
  </si>
  <si>
    <t>303/N1</t>
  </si>
  <si>
    <t>ED3-CHE</t>
  </si>
  <si>
    <t>NAF1/EA/A110</t>
  </si>
  <si>
    <t>ED2-TEL</t>
  </si>
  <si>
    <t>Total F4</t>
  </si>
  <si>
    <t>45/30/24</t>
  </si>
  <si>
    <t>ED4-PE</t>
  </si>
  <si>
    <t>PE 456</t>
  </si>
  <si>
    <t>40/20</t>
  </si>
  <si>
    <t>PB214/PB212</t>
  </si>
  <si>
    <t>ED4-MSE</t>
  </si>
  <si>
    <t>MSE 452</t>
  </si>
  <si>
    <t>35/20</t>
  </si>
  <si>
    <t>PB201/PB208</t>
  </si>
  <si>
    <t>ED4-METE</t>
  </si>
  <si>
    <t>METE 454</t>
  </si>
  <si>
    <t>55/20</t>
  </si>
  <si>
    <t>ED1-METE</t>
  </si>
  <si>
    <t>METE 152</t>
  </si>
  <si>
    <t>40/30/30</t>
  </si>
  <si>
    <t>ED1-MSE</t>
  </si>
  <si>
    <t>MSE 152</t>
  </si>
  <si>
    <t>38/38/38/38/38/28/28/24/25</t>
  </si>
  <si>
    <t>PB001/PB020/PB014/PB201/PB214/PB008/PB208/PB212/NEB-FF2</t>
  </si>
  <si>
    <t>ED1-EE</t>
  </si>
  <si>
    <t>EE 166</t>
  </si>
  <si>
    <t>VCR</t>
  </si>
  <si>
    <t>ED4-EE</t>
  </si>
  <si>
    <t>TE 472</t>
  </si>
  <si>
    <t>55/30</t>
  </si>
  <si>
    <t>NEB-FF1/A110</t>
  </si>
  <si>
    <t>ED3-MSE</t>
  </si>
  <si>
    <t>MSE 356</t>
  </si>
  <si>
    <t>45/25/24/20/20/20</t>
  </si>
  <si>
    <t>ED3-GEOL</t>
  </si>
  <si>
    <t>GED 354</t>
  </si>
  <si>
    <t>38/30/19</t>
  </si>
  <si>
    <t>PB020/PB014/PB008</t>
  </si>
  <si>
    <t>ED1-AUTO</t>
  </si>
  <si>
    <t>AME 156</t>
  </si>
  <si>
    <t>PB001</t>
  </si>
  <si>
    <t>ED3-MARI</t>
  </si>
  <si>
    <t>MME 386</t>
  </si>
  <si>
    <t>120/120</t>
  </si>
  <si>
    <t>NEB-TF/NEB-SF</t>
  </si>
  <si>
    <t>ED3-EE</t>
  </si>
  <si>
    <t>TE 386</t>
  </si>
  <si>
    <t>43/25/23/23/23/23</t>
  </si>
  <si>
    <t>ED2-CHE</t>
  </si>
  <si>
    <t>Total F3</t>
  </si>
  <si>
    <t>20/15</t>
  </si>
  <si>
    <t>N1/N2</t>
  </si>
  <si>
    <t>GED 466</t>
  </si>
  <si>
    <t>133/132</t>
  </si>
  <si>
    <t>ED3-COE</t>
  </si>
  <si>
    <t>COE 368</t>
  </si>
  <si>
    <t>40/40/40/40/40/22</t>
  </si>
  <si>
    <t>PB001/PB020/PB014/PB201/PB214/PB008/PB208</t>
  </si>
  <si>
    <t>ED3-ME</t>
  </si>
  <si>
    <t>ME 370</t>
  </si>
  <si>
    <t>40/40/40/40/40/30</t>
  </si>
  <si>
    <t>ED3-CE</t>
  </si>
  <si>
    <t>CE 360</t>
  </si>
  <si>
    <t>50/20</t>
  </si>
  <si>
    <t>ED3-IND</t>
  </si>
  <si>
    <t>IE 360</t>
  </si>
  <si>
    <t>24/22/24/20</t>
  </si>
  <si>
    <t>A110/206/303/N1</t>
  </si>
  <si>
    <t>ED3-BME</t>
  </si>
  <si>
    <t>BME 372</t>
  </si>
  <si>
    <t>NEB-FF1</t>
  </si>
  <si>
    <t>PETE 354</t>
  </si>
  <si>
    <t>44/30/30/24</t>
  </si>
  <si>
    <t>NAF1/EA/A110/VCR</t>
  </si>
  <si>
    <t>ED1-AE</t>
  </si>
  <si>
    <t>AE 162</t>
  </si>
  <si>
    <t>43/30/20</t>
  </si>
  <si>
    <t>ED4-GEOM</t>
  </si>
  <si>
    <t>GE 474</t>
  </si>
  <si>
    <t>40/25/22/22/22/21</t>
  </si>
  <si>
    <t>CE 468</t>
  </si>
  <si>
    <t>40/23/20/20</t>
  </si>
  <si>
    <t>VSLA/LT/RMA/RMB</t>
  </si>
  <si>
    <t>ED3-AE</t>
  </si>
  <si>
    <t>AE 362</t>
  </si>
  <si>
    <t>Total F2</t>
  </si>
  <si>
    <t>NAF1</t>
  </si>
  <si>
    <t>ME 468</t>
  </si>
  <si>
    <t>EA</t>
  </si>
  <si>
    <t>ED4-MARI</t>
  </si>
  <si>
    <t>MME 486</t>
  </si>
  <si>
    <t>85/55</t>
  </si>
  <si>
    <t>NEB-SF/NEB-FF1</t>
  </si>
  <si>
    <t>ED3-TEL</t>
  </si>
  <si>
    <t>TE 372</t>
  </si>
  <si>
    <t>ED4-AE</t>
  </si>
  <si>
    <t>AE 464</t>
  </si>
  <si>
    <t>ED4-TEL</t>
  </si>
  <si>
    <t>TE 456</t>
  </si>
  <si>
    <t>32</t>
  </si>
  <si>
    <t>ED4-AUTO</t>
  </si>
  <si>
    <t>AME 476</t>
  </si>
  <si>
    <t>28/28/20</t>
  </si>
  <si>
    <t>EA/A110/VCR</t>
  </si>
  <si>
    <t>AERO 374</t>
  </si>
  <si>
    <t>PE 354</t>
  </si>
  <si>
    <t>20/20</t>
  </si>
  <si>
    <t>303/206</t>
  </si>
  <si>
    <t>AME 356</t>
  </si>
  <si>
    <t>40/40/40/40/40/30/30/25/55</t>
  </si>
  <si>
    <t>PB001/PB020/PB014/PB201/PB214/PB008/PB208/PB212/NEB-FF1</t>
  </si>
  <si>
    <t>EE 262</t>
  </si>
  <si>
    <t>MATH 252</t>
  </si>
  <si>
    <t>20/17</t>
  </si>
  <si>
    <t>ED2-MARI</t>
  </si>
  <si>
    <t>42/24/24/22/20</t>
  </si>
  <si>
    <t>ED2-AE</t>
  </si>
  <si>
    <t>ED2-MSE</t>
  </si>
  <si>
    <t>ED2-PE</t>
  </si>
  <si>
    <t>Computer Based</t>
  </si>
  <si>
    <t>Total F1</t>
  </si>
  <si>
    <t>45/20/22</t>
  </si>
  <si>
    <t>VSLA/LT/RMA</t>
  </si>
  <si>
    <t>ED3-METE</t>
  </si>
  <si>
    <t>MSE 358</t>
  </si>
  <si>
    <t>22/22/26/15</t>
  </si>
  <si>
    <t>RMB/206/303/304</t>
  </si>
  <si>
    <t>45/30/30/25</t>
  </si>
  <si>
    <t>ED1-PE</t>
  </si>
  <si>
    <t>PE 154</t>
  </si>
  <si>
    <t>ED1-TEL</t>
  </si>
  <si>
    <t>TE 152</t>
  </si>
  <si>
    <t>40/25/22/22/22/25</t>
  </si>
  <si>
    <t>GED 342</t>
  </si>
  <si>
    <t>EE 368</t>
  </si>
  <si>
    <t>PB001/PB020/PB014/PB201/PB214/PB008/PB208/PB212</t>
  </si>
  <si>
    <t>COE 152</t>
  </si>
  <si>
    <t>85/51</t>
  </si>
  <si>
    <t>PE 468</t>
  </si>
  <si>
    <t>PB212</t>
  </si>
  <si>
    <t>CSM 158</t>
  </si>
  <si>
    <t>NEB-FF2</t>
  </si>
  <si>
    <t>ACF 256</t>
  </si>
  <si>
    <t>ED4-COE</t>
  </si>
  <si>
    <t>COE 472</t>
  </si>
  <si>
    <t>Total H5</t>
  </si>
  <si>
    <t>PE 476</t>
  </si>
  <si>
    <t>40/40/23</t>
  </si>
  <si>
    <t>PB201/PB214/PB208</t>
  </si>
  <si>
    <t>GE 162</t>
  </si>
  <si>
    <t>30/20/25</t>
  </si>
  <si>
    <t>303/304/N1</t>
  </si>
  <si>
    <t>ME 160</t>
  </si>
  <si>
    <t>42/23/22/21/20</t>
  </si>
  <si>
    <t>ED1-IND</t>
  </si>
  <si>
    <t>40/40/40/40/40/25</t>
  </si>
  <si>
    <t>PB001/PB020/PB014/PB201/PB214/PB008</t>
  </si>
  <si>
    <t>ED1-ME</t>
  </si>
  <si>
    <t>38/38/24</t>
  </si>
  <si>
    <t>PB001/PB020/PB008</t>
  </si>
  <si>
    <t>30/15</t>
  </si>
  <si>
    <t>PB014/PB212</t>
  </si>
  <si>
    <t>CHE 364</t>
  </si>
  <si>
    <t>85/85/55/30</t>
  </si>
  <si>
    <t>EE 288</t>
  </si>
  <si>
    <t>45/25/20/20/20</t>
  </si>
  <si>
    <t>EE 188</t>
  </si>
  <si>
    <t>45/25/25</t>
  </si>
  <si>
    <t>PE 254</t>
  </si>
  <si>
    <t>ARC 156</t>
  </si>
  <si>
    <t>30/20/20</t>
  </si>
  <si>
    <t>ED1-AERO</t>
  </si>
  <si>
    <t>AERO 174</t>
  </si>
  <si>
    <t>40/27/20</t>
  </si>
  <si>
    <t>ED4-BME</t>
  </si>
  <si>
    <t>Session, 6 (5:00 PM - 6:00 PM)</t>
  </si>
  <si>
    <t>Thursday, 9 July 2026</t>
  </si>
  <si>
    <t>PB208/PB212</t>
  </si>
  <si>
    <t>ME 352</t>
  </si>
  <si>
    <t>MSE 396</t>
  </si>
  <si>
    <t>30/25/32</t>
  </si>
  <si>
    <t>A110/304/N1</t>
  </si>
  <si>
    <t>METE 356</t>
  </si>
  <si>
    <t>53/23</t>
  </si>
  <si>
    <t>AERO 368</t>
  </si>
  <si>
    <t>PE 364</t>
  </si>
  <si>
    <t>175/90</t>
  </si>
  <si>
    <t>COE 356</t>
  </si>
  <si>
    <t>40/28/28/23/20</t>
  </si>
  <si>
    <t>NAF1/EA/A110/VCR/303</t>
  </si>
  <si>
    <t>PHY 154</t>
  </si>
  <si>
    <t>CE 368</t>
  </si>
  <si>
    <t>40/25/22/22/22/20</t>
  </si>
  <si>
    <t>GED 258</t>
  </si>
  <si>
    <t>PB208</t>
  </si>
  <si>
    <t>CHE 366</t>
  </si>
  <si>
    <t>EE 472</t>
  </si>
  <si>
    <t>45/25/24/24/20</t>
  </si>
  <si>
    <t>TE 454</t>
  </si>
  <si>
    <t>GE 476</t>
  </si>
  <si>
    <t>Total H4</t>
  </si>
  <si>
    <t>45/25/24/20/20</t>
  </si>
  <si>
    <t>GE 262</t>
  </si>
  <si>
    <t>38/23</t>
  </si>
  <si>
    <t>AERO 456</t>
  </si>
  <si>
    <t>PB014</t>
  </si>
  <si>
    <t>AME 496</t>
  </si>
  <si>
    <t>40/30</t>
  </si>
  <si>
    <t>IE 358</t>
  </si>
  <si>
    <t>40/40/21</t>
  </si>
  <si>
    <t>ME 376</t>
  </si>
  <si>
    <t>ME 452</t>
  </si>
  <si>
    <t>37/20</t>
  </si>
  <si>
    <t>PB001/PB208</t>
  </si>
  <si>
    <t>MSE 252</t>
  </si>
  <si>
    <t>53/30</t>
  </si>
  <si>
    <t>PB020</t>
  </si>
  <si>
    <t>ME 270</t>
  </si>
  <si>
    <t>303/304</t>
  </si>
  <si>
    <t>AME 386</t>
  </si>
  <si>
    <t>39/30</t>
  </si>
  <si>
    <t>PB014/PB008</t>
  </si>
  <si>
    <t>ED4-IND</t>
  </si>
  <si>
    <t>IE 454</t>
  </si>
  <si>
    <t>40/40/15</t>
  </si>
  <si>
    <t>PB201/PB214/PB212</t>
  </si>
  <si>
    <t>CE 456</t>
  </si>
  <si>
    <t>45/30/30/22</t>
  </si>
  <si>
    <t>GE 362</t>
  </si>
  <si>
    <t>70/70</t>
  </si>
  <si>
    <t>TE 352</t>
  </si>
  <si>
    <t>40/23/22/20</t>
  </si>
  <si>
    <t>AE 452</t>
  </si>
  <si>
    <t>20/25/10</t>
  </si>
  <si>
    <t>206/303/304</t>
  </si>
  <si>
    <t>ED4-PCE</t>
  </si>
  <si>
    <t>CHE 458</t>
  </si>
  <si>
    <t>40/25/25/24</t>
  </si>
  <si>
    <t>ED4-CHE</t>
  </si>
  <si>
    <t>Total H3</t>
  </si>
  <si>
    <t>45/30/20</t>
  </si>
  <si>
    <t>GED 462</t>
  </si>
  <si>
    <t>MSE 456</t>
  </si>
  <si>
    <t>NAF1/EA</t>
  </si>
  <si>
    <t>ME 262</t>
  </si>
  <si>
    <t>45/30</t>
  </si>
  <si>
    <t>AERO 256</t>
  </si>
  <si>
    <t>85/85/55/20</t>
  </si>
  <si>
    <t>EE 362</t>
  </si>
  <si>
    <t>45/22/22/22/22/25/20/20</t>
  </si>
  <si>
    <t>VSLA/LT/RMA/RMB/206/303/304/N1</t>
  </si>
  <si>
    <t>TE 256</t>
  </si>
  <si>
    <t>80/80</t>
  </si>
  <si>
    <t>40/40/40/40/40/30/20</t>
  </si>
  <si>
    <t>PB001/PB020/PB014/PB201/PB214/PB008/PB212</t>
  </si>
  <si>
    <t>CE 258</t>
  </si>
  <si>
    <t>Total H2</t>
  </si>
  <si>
    <t>30/24/24/21</t>
  </si>
  <si>
    <t>303/RMA/RMB/N1</t>
  </si>
  <si>
    <t>PE 458</t>
  </si>
  <si>
    <t>80</t>
  </si>
  <si>
    <t>PE 362</t>
  </si>
  <si>
    <t>45/20</t>
  </si>
  <si>
    <t xml:space="preserve">VSLA/304 </t>
  </si>
  <si>
    <t>CHE 256</t>
  </si>
  <si>
    <t>170/52</t>
  </si>
  <si>
    <t>ME 374</t>
  </si>
  <si>
    <t>30/50</t>
  </si>
  <si>
    <t>COE 272</t>
  </si>
  <si>
    <t>37/37/37/37/37/26/27/20</t>
  </si>
  <si>
    <t>PB001/PB014/PB020/PB201/PB214/PB008/PB208/PB212</t>
  </si>
  <si>
    <t>25/20/20/20/10</t>
  </si>
  <si>
    <t>LT/RMB/RMA/N2/304</t>
  </si>
  <si>
    <t>PE 260</t>
  </si>
  <si>
    <t>20/25/25/35</t>
  </si>
  <si>
    <t>VCR/EA/A110/NAF1</t>
  </si>
  <si>
    <t>CHE 358</t>
  </si>
  <si>
    <t>53</t>
  </si>
  <si>
    <t>25/30/30/40</t>
  </si>
  <si>
    <t>MATH 152</t>
  </si>
  <si>
    <t>40/30/25/25/10</t>
  </si>
  <si>
    <t>VSLA/303/N1/LT/N2</t>
  </si>
  <si>
    <t>38/38/38/38/38/28/27/25/25</t>
  </si>
  <si>
    <t>PB001/PB014/PB020/PB201/PB214/PB008/PB208/PB212/NEB-FF2</t>
  </si>
  <si>
    <t>Total H1</t>
  </si>
  <si>
    <t>29/29/43</t>
  </si>
  <si>
    <t>A110/EA/NAF1</t>
  </si>
  <si>
    <t>AE 356</t>
  </si>
  <si>
    <t>80/20</t>
  </si>
  <si>
    <t>NEB-SF/NEB-FF2</t>
  </si>
  <si>
    <t>30/25/20</t>
  </si>
  <si>
    <t>303/LT/304</t>
  </si>
  <si>
    <t>38/38/38/37/37/27/27/20</t>
  </si>
  <si>
    <t>84/84/52/25</t>
  </si>
  <si>
    <t>23/23</t>
  </si>
  <si>
    <t>RMA/RMB</t>
  </si>
  <si>
    <t>20/20/43</t>
  </si>
  <si>
    <t>N2/304/VSLA</t>
  </si>
  <si>
    <t>25/20/25</t>
  </si>
  <si>
    <t>LT/304/N1</t>
  </si>
  <si>
    <t>28/28</t>
  </si>
  <si>
    <t>PB008/PB208</t>
  </si>
  <si>
    <t>45/30/25/20</t>
  </si>
  <si>
    <t>VSLA/303/N1/206</t>
  </si>
  <si>
    <t>PB001/PB014/PB020/PB201/PB214/PB212</t>
  </si>
  <si>
    <t>80/50</t>
  </si>
  <si>
    <t>NEB-TF/NEB-FF1</t>
  </si>
  <si>
    <t>23/22/20/20</t>
  </si>
  <si>
    <t>RMB/RMA/206/N2</t>
  </si>
  <si>
    <t>30/30/43</t>
  </si>
  <si>
    <t>Total W6</t>
  </si>
  <si>
    <t>40/30/20</t>
  </si>
  <si>
    <t>BME 362</t>
  </si>
  <si>
    <t>PB001/PB014/PB020/PB201/PB214/PB008</t>
  </si>
  <si>
    <t>CE 376</t>
  </si>
  <si>
    <t>95</t>
  </si>
  <si>
    <t>PE 252</t>
  </si>
  <si>
    <t>85/177</t>
  </si>
  <si>
    <t>NEB-SF/NEB-TF</t>
  </si>
  <si>
    <t>EE 156</t>
  </si>
  <si>
    <t>23</t>
  </si>
  <si>
    <t>MME 462</t>
  </si>
  <si>
    <t>30/42</t>
  </si>
  <si>
    <t>303/VSLA</t>
  </si>
  <si>
    <t>GED 468</t>
  </si>
  <si>
    <t>PE 360</t>
  </si>
  <si>
    <t>MSE 362</t>
  </si>
  <si>
    <t>25/20/42</t>
  </si>
  <si>
    <t>N1/304/VSLA</t>
  </si>
  <si>
    <t>28/28/43</t>
  </si>
  <si>
    <t>PE 452</t>
  </si>
  <si>
    <t>24/24/22</t>
  </si>
  <si>
    <t>RMA/RMB/206</t>
  </si>
  <si>
    <t>ME 164</t>
  </si>
  <si>
    <t>39/39/39/39/39/30</t>
  </si>
  <si>
    <t xml:space="preserve">PB001/PB014/PB020/PB201/PB214/PB208 </t>
  </si>
  <si>
    <t>25/27</t>
  </si>
  <si>
    <t xml:space="preserve">N1/303 </t>
  </si>
  <si>
    <t>ME 472</t>
  </si>
  <si>
    <t>27/27</t>
  </si>
  <si>
    <t xml:space="preserve">PB008/PB208 </t>
  </si>
  <si>
    <t>30</t>
  </si>
  <si>
    <t>A110</t>
  </si>
  <si>
    <t>CHE 370</t>
  </si>
  <si>
    <t>IE 368</t>
  </si>
  <si>
    <t>ME 274</t>
  </si>
  <si>
    <t>MME 274</t>
  </si>
  <si>
    <t>IE 274</t>
  </si>
  <si>
    <t>AME 274</t>
  </si>
  <si>
    <t>AERO 274</t>
  </si>
  <si>
    <t>PHY 170</t>
  </si>
  <si>
    <t>Wednesday, 8 July 2026</t>
  </si>
  <si>
    <t>Total W5</t>
  </si>
  <si>
    <t>45/24/24/24/20/17</t>
  </si>
  <si>
    <t>VSLA/RMB/N1/LT/N2/304</t>
  </si>
  <si>
    <t>GED 366</t>
  </si>
  <si>
    <t>30/30/25/43</t>
  </si>
  <si>
    <t>EA/A110/VCR/NAF1</t>
  </si>
  <si>
    <t>AE 158</t>
  </si>
  <si>
    <t>NAF1/EA/A110/303</t>
  </si>
  <si>
    <t>TE 458</t>
  </si>
  <si>
    <t>RMA</t>
  </si>
  <si>
    <t>CE 480</t>
  </si>
  <si>
    <t>CE 264</t>
  </si>
  <si>
    <t>147/148</t>
  </si>
  <si>
    <t>43/30/25/25/20/17</t>
  </si>
  <si>
    <t>VSLA/303/N1/LT/N2/304</t>
  </si>
  <si>
    <t>CHE 252</t>
  </si>
  <si>
    <t>25/40</t>
  </si>
  <si>
    <t>30/25/28</t>
  </si>
  <si>
    <t>PB008/PB212/PB208</t>
  </si>
  <si>
    <t>MSE 256</t>
  </si>
  <si>
    <t>ECON 152</t>
  </si>
  <si>
    <t xml:space="preserve">RMB/RMA </t>
  </si>
  <si>
    <t>20</t>
  </si>
  <si>
    <t>PB214</t>
  </si>
  <si>
    <t>15</t>
  </si>
  <si>
    <t>38/38/38/36</t>
  </si>
  <si>
    <t>PB001/PB014/PB020/PB201</t>
  </si>
  <si>
    <t>Total W4</t>
  </si>
  <si>
    <t>80/50/20</t>
  </si>
  <si>
    <t xml:space="preserve">NEB-SF/NEB-FF1/NEB-FF2 </t>
  </si>
  <si>
    <t>GED 254</t>
  </si>
  <si>
    <t>AE 458</t>
  </si>
  <si>
    <t>40/40/30/30</t>
  </si>
  <si>
    <t>PB201/PB214/PB008/PB208</t>
  </si>
  <si>
    <t>TE 358</t>
  </si>
  <si>
    <t>38/38/38/28/23</t>
  </si>
  <si>
    <t>PB001/PB014/PB020/PB208/PB212</t>
  </si>
  <si>
    <t>EE 466</t>
  </si>
  <si>
    <t>25/30/38</t>
  </si>
  <si>
    <t>N1/303/VSLA</t>
  </si>
  <si>
    <t>GE 464</t>
  </si>
  <si>
    <t>RMA/RMB/N2</t>
  </si>
  <si>
    <t>METE 256</t>
  </si>
  <si>
    <t>303/304/N2</t>
  </si>
  <si>
    <t>METE 154</t>
  </si>
  <si>
    <t>75</t>
  </si>
  <si>
    <t>EE 366</t>
  </si>
  <si>
    <t>20/12</t>
  </si>
  <si>
    <t>LT/206</t>
  </si>
  <si>
    <t>AME 482</t>
  </si>
  <si>
    <t>40/21/20/20</t>
  </si>
  <si>
    <t>VSLA/RMA/304/206</t>
  </si>
  <si>
    <t>AE 352</t>
  </si>
  <si>
    <t>130</t>
  </si>
  <si>
    <t>TE 156</t>
  </si>
  <si>
    <t>GE 152</t>
  </si>
  <si>
    <t>56/31</t>
  </si>
  <si>
    <t>BME 454</t>
  </si>
  <si>
    <t>20/20/20</t>
  </si>
  <si>
    <t>RMB/N2/LT</t>
  </si>
  <si>
    <t>MSE 454</t>
  </si>
  <si>
    <t>ROOM</t>
  </si>
  <si>
    <t>Total W3</t>
  </si>
  <si>
    <t>VSLA/LT/303</t>
  </si>
  <si>
    <t>PE 258</t>
  </si>
  <si>
    <t>25/20/23/22</t>
  </si>
  <si>
    <t>N1/N2/RMA/206</t>
  </si>
  <si>
    <t>COE 358</t>
  </si>
  <si>
    <t>38/38/38/38/38/27/27/21</t>
  </si>
  <si>
    <t>20/20/30</t>
  </si>
  <si>
    <t>COE 480</t>
  </si>
  <si>
    <t>20/30</t>
  </si>
  <si>
    <t>VCR/NAF1</t>
  </si>
  <si>
    <t>PCE 464</t>
  </si>
  <si>
    <t>55</t>
  </si>
  <si>
    <t>PCE 450</t>
  </si>
  <si>
    <t>PE 358</t>
  </si>
  <si>
    <t>25/25/20</t>
  </si>
  <si>
    <t>PB008/PB208/PB212</t>
  </si>
  <si>
    <t>IE 356</t>
  </si>
  <si>
    <t>23/22/20/22</t>
  </si>
  <si>
    <t>RMA/RMB/304/206</t>
  </si>
  <si>
    <t>METE 362</t>
  </si>
  <si>
    <t>85</t>
  </si>
  <si>
    <t>MSE 354</t>
  </si>
  <si>
    <t>37</t>
  </si>
  <si>
    <t xml:space="preserve">PB020 </t>
  </si>
  <si>
    <t>SES 172</t>
  </si>
  <si>
    <t>35/34</t>
  </si>
  <si>
    <t>PB201/PB214</t>
  </si>
  <si>
    <t>ME 494</t>
  </si>
  <si>
    <t>40/30/25/25/15</t>
  </si>
  <si>
    <t>VSLA/303/LT/N1/N2</t>
  </si>
  <si>
    <t>AME 362</t>
  </si>
  <si>
    <t>ME 362</t>
  </si>
  <si>
    <t>80/50/30/62</t>
  </si>
  <si>
    <t>NEB-SF/NEB-FF1/NEB-FF2/NEB-TF</t>
  </si>
  <si>
    <t xml:space="preserve">EA/A110/VCR </t>
  </si>
  <si>
    <t>Total W2</t>
  </si>
  <si>
    <t>38/38/38/38/38/20/20</t>
  </si>
  <si>
    <t>CE 364</t>
  </si>
  <si>
    <t>30/30/25/40</t>
  </si>
  <si>
    <t>GED 152</t>
  </si>
  <si>
    <t>65</t>
  </si>
  <si>
    <t>CHE 250</t>
  </si>
  <si>
    <t>45/20/25/25/20/25</t>
  </si>
  <si>
    <t>VSLA/304/LT/N1/N2/303</t>
  </si>
  <si>
    <t>38/38/38/38/38/28/25/52</t>
  </si>
  <si>
    <t>PB001/PB014/PB020/PB201/PB214/PB208/PB212/NEB-FF1</t>
  </si>
  <si>
    <t>2</t>
  </si>
  <si>
    <t>CE 478</t>
  </si>
  <si>
    <t>30/30</t>
  </si>
  <si>
    <t>PB208/PB008</t>
  </si>
  <si>
    <t>42/30/30/20</t>
  </si>
  <si>
    <t>83</t>
  </si>
  <si>
    <t>MSE 254</t>
  </si>
  <si>
    <t>ENGL 264</t>
  </si>
  <si>
    <t>70/62</t>
  </si>
  <si>
    <t>24/24/27</t>
  </si>
  <si>
    <t>RMA/RMB/303</t>
  </si>
  <si>
    <t>41/24/25/25/20/20</t>
  </si>
  <si>
    <t>VSLA/206/LT/N1/N2/304</t>
  </si>
  <si>
    <t>Total W1</t>
  </si>
  <si>
    <t>101</t>
  </si>
  <si>
    <t>65/65</t>
  </si>
  <si>
    <t>TE 158</t>
  </si>
  <si>
    <t>AME 252</t>
  </si>
  <si>
    <t>28/25</t>
  </si>
  <si>
    <t>A110/EA</t>
  </si>
  <si>
    <t>PCE 350</t>
  </si>
  <si>
    <t>28/22</t>
  </si>
  <si>
    <t xml:space="preserve">303/LT </t>
  </si>
  <si>
    <t>CHE 368</t>
  </si>
  <si>
    <t>33</t>
  </si>
  <si>
    <t>TE 468</t>
  </si>
  <si>
    <t>20/20/16</t>
  </si>
  <si>
    <t>N1/N2/304</t>
  </si>
  <si>
    <t>CHE 156</t>
  </si>
  <si>
    <t>NAF1/A110/EA/VCR</t>
  </si>
  <si>
    <t>PE 156</t>
  </si>
  <si>
    <t>45/30/25/25/24/21/20/202/20/20</t>
  </si>
  <si>
    <t>VSLA/303/LT/N1/RMA/RMB/206/N2/304/VCR</t>
  </si>
  <si>
    <t>CE 272</t>
  </si>
  <si>
    <t>PB001/PB014/PB020/PB201/PB214/PB008/PB208/PB212/NEB-FF1</t>
  </si>
  <si>
    <t>EE 272</t>
  </si>
  <si>
    <t>COE 288</t>
  </si>
  <si>
    <t>37/37/37/37/37/25/25/20</t>
  </si>
  <si>
    <t>40/20/15</t>
  </si>
  <si>
    <t>VSLA/RMA/RMB</t>
  </si>
  <si>
    <t>GED 162</t>
  </si>
  <si>
    <t>Total T6</t>
  </si>
  <si>
    <t>44/29/25/25/15</t>
  </si>
  <si>
    <t>VSLA/303/LT/N1/304</t>
  </si>
  <si>
    <t>TE 452</t>
  </si>
  <si>
    <t>170/170</t>
  </si>
  <si>
    <t>EE 158</t>
  </si>
  <si>
    <t>25/20/20/20</t>
  </si>
  <si>
    <t>LT/RMB/RMA/206</t>
  </si>
  <si>
    <t>MSE 360</t>
  </si>
  <si>
    <t>PSYC 154</t>
  </si>
  <si>
    <t>PB020/PB008</t>
  </si>
  <si>
    <t>ME 158</t>
  </si>
  <si>
    <t>38/38/25</t>
  </si>
  <si>
    <t>PB214/PB201/PB008</t>
  </si>
  <si>
    <t>AE 360</t>
  </si>
  <si>
    <t>40/38/37</t>
  </si>
  <si>
    <t>PB214/PB001/PB014</t>
  </si>
  <si>
    <t>CE 464</t>
  </si>
  <si>
    <t>40/40/38/36</t>
  </si>
  <si>
    <t>GED 364</t>
  </si>
  <si>
    <t>55/25</t>
  </si>
  <si>
    <t>BME 286</t>
  </si>
  <si>
    <t>20/25/20/40</t>
  </si>
  <si>
    <t>N1/303/304/VSLA</t>
  </si>
  <si>
    <t>CHE 352</t>
  </si>
  <si>
    <t>CHE 456</t>
  </si>
  <si>
    <t>28/28/20/38</t>
  </si>
  <si>
    <t>24/22</t>
  </si>
  <si>
    <t>Tuesday, 7 July 2026</t>
  </si>
  <si>
    <t>Total T5</t>
  </si>
  <si>
    <t>20/22/22/23</t>
  </si>
  <si>
    <t>304/RMA/RMB/N1</t>
  </si>
  <si>
    <t>METE 352</t>
  </si>
  <si>
    <t>PCE 352</t>
  </si>
  <si>
    <t>40/40/30/26</t>
  </si>
  <si>
    <t>PB214/PB201/PB208/NEB-FF2</t>
  </si>
  <si>
    <t>BME 166</t>
  </si>
  <si>
    <t>40/30/25</t>
  </si>
  <si>
    <t>PB214/PB208/PB212</t>
  </si>
  <si>
    <t>GED 454</t>
  </si>
  <si>
    <t>24/20/23/23</t>
  </si>
  <si>
    <t>COE 456</t>
  </si>
  <si>
    <t>25/20/40</t>
  </si>
  <si>
    <t>303/LT/VSLA</t>
  </si>
  <si>
    <t>30/34/34/30</t>
  </si>
  <si>
    <t>PB008/PB001/PB014/PB020</t>
  </si>
  <si>
    <t>ME 162</t>
  </si>
  <si>
    <t>43/28/28/21</t>
  </si>
  <si>
    <t>25/31</t>
  </si>
  <si>
    <t>PB212/PB201</t>
  </si>
  <si>
    <t>44/30/25</t>
  </si>
  <si>
    <t>VSLA/303/LT</t>
  </si>
  <si>
    <t>PE 466</t>
  </si>
  <si>
    <t>35/35/35/20</t>
  </si>
  <si>
    <t>PB001/PB014/PB020/PB008</t>
  </si>
  <si>
    <t>CE 156</t>
  </si>
  <si>
    <t>85/55/30/75</t>
  </si>
  <si>
    <t>70</t>
  </si>
  <si>
    <t>IE 354</t>
  </si>
  <si>
    <t>43/28/28/23</t>
  </si>
  <si>
    <t>GE 372</t>
  </si>
  <si>
    <t>23/22/20</t>
  </si>
  <si>
    <t>RMB/206/304</t>
  </si>
  <si>
    <t>METE 452</t>
  </si>
  <si>
    <t>Total T4</t>
  </si>
  <si>
    <t>80/80/25/45</t>
  </si>
  <si>
    <t>NEB-SF/NEB-TF/NEB-FF2/NEB-FF1</t>
  </si>
  <si>
    <t>CE 356</t>
  </si>
  <si>
    <t>38/38/38/38/38/28/27/20</t>
  </si>
  <si>
    <t>COE 354</t>
  </si>
  <si>
    <t>44/28/24/24/20/20</t>
  </si>
  <si>
    <t>VSLA/303/LT/N1/N2/RMA</t>
  </si>
  <si>
    <t>40/25/25</t>
  </si>
  <si>
    <t>BME 366</t>
  </si>
  <si>
    <t>N2/RMB</t>
  </si>
  <si>
    <t>MME 392</t>
  </si>
  <si>
    <t>AME 392</t>
  </si>
  <si>
    <t>80/80/50/30</t>
  </si>
  <si>
    <t>NEB-SF/NEB-TF/NEB-FF1/NEB-FF2</t>
  </si>
  <si>
    <t>ME 292</t>
  </si>
  <si>
    <t>A110/EA/VCR</t>
  </si>
  <si>
    <t>ME 392</t>
  </si>
  <si>
    <t>41/25/22/22/20/20</t>
  </si>
  <si>
    <t>VSLA/303/LT/N1/N2/RMB</t>
  </si>
  <si>
    <t>CE 256</t>
  </si>
  <si>
    <t>38/38/38/38/38/20/20/20</t>
  </si>
  <si>
    <t>PB001/PB014/PB020/PB201/PB214/PB008/PB212/PB208</t>
  </si>
  <si>
    <t>MME 494</t>
  </si>
  <si>
    <t>Total T3</t>
  </si>
  <si>
    <t>20/37</t>
  </si>
  <si>
    <t>MSE 260</t>
  </si>
  <si>
    <t>TE 258</t>
  </si>
  <si>
    <t>28/27</t>
  </si>
  <si>
    <t>ME 482</t>
  </si>
  <si>
    <t>40/40/40/40/40/30/25/30/55</t>
  </si>
  <si>
    <t>PB001/PB014/PB020/PB201/PB214/PB008/PB212/NEB-FF2/NEB-FF1</t>
  </si>
  <si>
    <t>EE 258</t>
  </si>
  <si>
    <t>45/30/25/25/20/20/20</t>
  </si>
  <si>
    <t>VSLA/303/LT/N1/N2/RMA/RMB</t>
  </si>
  <si>
    <t>EE 360</t>
  </si>
  <si>
    <t>24/24/21</t>
  </si>
  <si>
    <t>IE 452</t>
  </si>
  <si>
    <t>45/30/30</t>
  </si>
  <si>
    <t>CE 458</t>
  </si>
  <si>
    <t>30/24</t>
  </si>
  <si>
    <t>CHE 468</t>
  </si>
  <si>
    <t>AE 460</t>
  </si>
  <si>
    <t>40/28/23/23/20/20</t>
  </si>
  <si>
    <t xml:space="preserve">VSLA/303/LT/N1/N2/RMA </t>
  </si>
  <si>
    <t>GED 352</t>
  </si>
  <si>
    <t>38/38/38/38/37</t>
  </si>
  <si>
    <t xml:space="preserve">PB001/PB014/PB020/PB201/PB214 </t>
  </si>
  <si>
    <t>EE 462</t>
  </si>
  <si>
    <t>Total T2</t>
  </si>
  <si>
    <t>30/30/20/25</t>
  </si>
  <si>
    <t>EA/A110/VCR/NEB-FF2</t>
  </si>
  <si>
    <t>CHE 354</t>
  </si>
  <si>
    <t>20/20/21/21</t>
  </si>
  <si>
    <t>304/N2/RMA/RMB</t>
  </si>
  <si>
    <t>ME 264</t>
  </si>
  <si>
    <t>VSLA/LT/206</t>
  </si>
  <si>
    <t>39/39/39/39/30/30/24</t>
  </si>
  <si>
    <t>PB001/PB014/PB201/PB214/PB008/PB208/PB212</t>
  </si>
  <si>
    <t>MME 264</t>
  </si>
  <si>
    <t>30/25/44</t>
  </si>
  <si>
    <t>303/N1/NAF1</t>
  </si>
  <si>
    <t>PE 450</t>
  </si>
  <si>
    <t>42/28/28/24</t>
  </si>
  <si>
    <t>GE 354</t>
  </si>
  <si>
    <t>EE 152</t>
  </si>
  <si>
    <t>38/38/38/38/38/22/25/25</t>
  </si>
  <si>
    <t>PB001/PB014/PB020/PB201/PB214/PB212/PB208/PB008</t>
  </si>
  <si>
    <t>EE 172</t>
  </si>
  <si>
    <t>42/30/25/25/20/20/20/20/20</t>
  </si>
  <si>
    <t>VSLA/303/LT/N1/RMB/304/206/N2/RMA</t>
  </si>
  <si>
    <t>EE 252</t>
  </si>
  <si>
    <t>65/40/50</t>
  </si>
  <si>
    <t>NEB-SF/NEB-TF/NEB-FF1</t>
  </si>
  <si>
    <t>Total T1</t>
  </si>
  <si>
    <t>30/53</t>
  </si>
  <si>
    <t>42/30/25/25/22/20/22/20/21</t>
  </si>
  <si>
    <t>45/30/30/23</t>
  </si>
  <si>
    <t>45/22/22/20/21</t>
  </si>
  <si>
    <t>VSLA/RMA/RMB/304/206</t>
  </si>
  <si>
    <t>38/38/38/38/38/30/30/25</t>
  </si>
  <si>
    <t>PB001/PB014/PB020/PB201/PB214/PB208/PB008/NEB-FF2</t>
  </si>
  <si>
    <t>37/19</t>
  </si>
  <si>
    <t>PB020/PB212</t>
  </si>
  <si>
    <t>28/22/20</t>
  </si>
  <si>
    <t>303/LT/N1</t>
  </si>
  <si>
    <t>39/39/28/24</t>
  </si>
  <si>
    <t>PB201/PB214/PB008/PB212</t>
  </si>
  <si>
    <t>35/35/15</t>
  </si>
  <si>
    <t>PB001/PB014/PB208</t>
  </si>
  <si>
    <t>28/28/24/40</t>
  </si>
  <si>
    <t>A110/EA/VCR/NAF1</t>
  </si>
  <si>
    <t>170/75</t>
  </si>
  <si>
    <t>PE 256</t>
  </si>
  <si>
    <t>Total M6</t>
  </si>
  <si>
    <t>40/25/20/20/17/17/16</t>
  </si>
  <si>
    <t>VSLA/303/304/LT/RMA/RMB/N2</t>
  </si>
  <si>
    <t>ME 282</t>
  </si>
  <si>
    <t>MSE 154</t>
  </si>
  <si>
    <t>PE 474</t>
  </si>
  <si>
    <t>PE 366</t>
  </si>
  <si>
    <t>PCE 354</t>
  </si>
  <si>
    <t>ME 168</t>
  </si>
  <si>
    <t>PB212/PB020</t>
  </si>
  <si>
    <t>METE 252</t>
  </si>
  <si>
    <t>40/40/40/40/40/28/27</t>
  </si>
  <si>
    <t>PB001/PB014/PB020/PB201/PB214/PB008/PB208</t>
  </si>
  <si>
    <t>TE 262</t>
  </si>
  <si>
    <t>35/25/22</t>
  </si>
  <si>
    <t>ME 252</t>
  </si>
  <si>
    <t>N1/206</t>
  </si>
  <si>
    <t>ME 456</t>
  </si>
  <si>
    <t>Monday, 6 July 2026</t>
  </si>
  <si>
    <t>Total M5</t>
  </si>
  <si>
    <t>40/28/27</t>
  </si>
  <si>
    <t>GED 452</t>
  </si>
  <si>
    <t>25/75</t>
  </si>
  <si>
    <t>NEB-FF2/NEB-SF</t>
  </si>
  <si>
    <t>28/25/22</t>
  </si>
  <si>
    <t>303/N1/LT</t>
  </si>
  <si>
    <t>ME 366</t>
  </si>
  <si>
    <t>30/30/41</t>
  </si>
  <si>
    <t>38/38/38/38/25/25/20</t>
  </si>
  <si>
    <t>CHE 362</t>
  </si>
  <si>
    <t>CHE 464</t>
  </si>
  <si>
    <t>COE 458</t>
  </si>
  <si>
    <t>40/30/25/20/20/20</t>
  </si>
  <si>
    <t>VSLA/303/LT/304/RMA/RMB</t>
  </si>
  <si>
    <t>GED 370</t>
  </si>
  <si>
    <t>82/51/30/82</t>
  </si>
  <si>
    <t>NEB-TF/NEB-FF1/NEB-FF2/NEB-SF</t>
  </si>
  <si>
    <t>CE 154</t>
  </si>
  <si>
    <t>38/30/27</t>
  </si>
  <si>
    <t>PB014/PB208/PB008</t>
  </si>
  <si>
    <t>PE 262</t>
  </si>
  <si>
    <t>43/20/20/20/22</t>
  </si>
  <si>
    <t>VSLA/N2/304/RMA/N1</t>
  </si>
  <si>
    <t>GED 164</t>
  </si>
  <si>
    <t>38/38/37/37</t>
  </si>
  <si>
    <t>PB201/PB214/PB020/PB001</t>
  </si>
  <si>
    <t>GED 262</t>
  </si>
  <si>
    <t>Total M4</t>
  </si>
  <si>
    <t>38/38/38/38/38/25/25</t>
  </si>
  <si>
    <t>PB001/PB014/PB020/PB201/PB214/PB212/PB208</t>
  </si>
  <si>
    <t>CE 452</t>
  </si>
  <si>
    <t>25/20/18/40</t>
  </si>
  <si>
    <t>LT/RMA/RMB/VSLA</t>
  </si>
  <si>
    <t>AE 482</t>
  </si>
  <si>
    <t>IE 366</t>
  </si>
  <si>
    <t>ME 258</t>
  </si>
  <si>
    <t>206/304</t>
  </si>
  <si>
    <t>AME 384</t>
  </si>
  <si>
    <t>38/38/38/26</t>
  </si>
  <si>
    <t>TE 356</t>
  </si>
  <si>
    <t>TE 384</t>
  </si>
  <si>
    <t>CHE 466</t>
  </si>
  <si>
    <t>BME 364</t>
  </si>
  <si>
    <t>40/28/20/20/20</t>
  </si>
  <si>
    <t>VSLA/303/LT/RMA/RMB</t>
  </si>
  <si>
    <t>AE 196</t>
  </si>
  <si>
    <t>28/28/25/40</t>
  </si>
  <si>
    <t>N1/206/304/N2</t>
  </si>
  <si>
    <t>MSE 352</t>
  </si>
  <si>
    <t>38/38/28/28</t>
  </si>
  <si>
    <t>CE 260</t>
  </si>
  <si>
    <t>85/85/30/50</t>
  </si>
  <si>
    <t>NEB-TF/NEB-SF/NEB-FF2/NEB-FF1</t>
  </si>
  <si>
    <t>24/18/27</t>
  </si>
  <si>
    <t>N1/N2/303</t>
  </si>
  <si>
    <t>IE 458</t>
  </si>
  <si>
    <t>Total M3</t>
  </si>
  <si>
    <t>20/20/20/20</t>
  </si>
  <si>
    <t>RMA/304/206/RMB</t>
  </si>
  <si>
    <t>PE 352</t>
  </si>
  <si>
    <t>170/85</t>
  </si>
  <si>
    <t>COE 254</t>
  </si>
  <si>
    <t>40/30/25/20/20/20/20</t>
  </si>
  <si>
    <t>VSLA/303/N1/N2/304/206/RMA</t>
  </si>
  <si>
    <t>TE 254</t>
  </si>
  <si>
    <t>40/40/40/40/40/30/30/30/50</t>
  </si>
  <si>
    <t>PB001/PB014/PB020/PB201/PB214/PB008/PB208/NEB-FF2/NEB-FF1</t>
  </si>
  <si>
    <t>PL 252</t>
  </si>
  <si>
    <t>22/22/20/19</t>
  </si>
  <si>
    <t>N1/LT/RMB/N2</t>
  </si>
  <si>
    <t>MSE 262</t>
  </si>
  <si>
    <t>40/17</t>
  </si>
  <si>
    <t>MME 492</t>
  </si>
  <si>
    <t>37/37/37/37/37/25/20</t>
  </si>
  <si>
    <t>CE 352</t>
  </si>
  <si>
    <t>40/25/22</t>
  </si>
  <si>
    <t>METE 354</t>
  </si>
  <si>
    <t>40/30/23</t>
  </si>
  <si>
    <t>GE 472</t>
  </si>
  <si>
    <t>ENGL 158</t>
  </si>
  <si>
    <t>Total M2</t>
  </si>
  <si>
    <t>29/70</t>
  </si>
  <si>
    <t>NEB-FF2/NEB-TF</t>
  </si>
  <si>
    <t>PE 472</t>
  </si>
  <si>
    <t>EA/A110</t>
  </si>
  <si>
    <t>MSE 458</t>
  </si>
  <si>
    <t>206/RMA/RMB</t>
  </si>
  <si>
    <t>38/38/38/38/25/20/25</t>
  </si>
  <si>
    <t>PB001/PB014/PB201/PB214/PB008/PB212/PB208</t>
  </si>
  <si>
    <t>ME 356</t>
  </si>
  <si>
    <t>MME 356</t>
  </si>
  <si>
    <t>40/30/20/20/20/20</t>
  </si>
  <si>
    <t>VSLA/303/LT/RMA/RMB/304</t>
  </si>
  <si>
    <t>GED 252</t>
  </si>
  <si>
    <t>26/75</t>
  </si>
  <si>
    <t>AE 358</t>
  </si>
  <si>
    <t>ME 478</t>
  </si>
  <si>
    <t>CHE 258</t>
  </si>
  <si>
    <t>CHE 350</t>
  </si>
  <si>
    <t>35/25/25/20</t>
  </si>
  <si>
    <t>PB020/PB008/PB208/PB212</t>
  </si>
  <si>
    <t>NAF1/A110/VCR</t>
  </si>
  <si>
    <t>BME 462</t>
  </si>
  <si>
    <t>28/25/42</t>
  </si>
  <si>
    <t>GED 476</t>
  </si>
  <si>
    <t>39/39/38/38</t>
  </si>
  <si>
    <t>PB001/PB014/PB201/PB214</t>
  </si>
  <si>
    <t>GED 368</t>
  </si>
  <si>
    <t>304/206</t>
  </si>
  <si>
    <t>MME 292</t>
  </si>
  <si>
    <t>Total M1</t>
  </si>
  <si>
    <t>30/25/25/20/40</t>
  </si>
  <si>
    <t>303/LT/N1/N2/VSLA</t>
  </si>
  <si>
    <t>TE 374</t>
  </si>
  <si>
    <t>25/46</t>
  </si>
  <si>
    <t>CHE 470</t>
  </si>
  <si>
    <t>40/30/21/21/20</t>
  </si>
  <si>
    <t>VSLA/303/LT/RMA/304</t>
  </si>
  <si>
    <t>GE 272</t>
  </si>
  <si>
    <t>RMB</t>
  </si>
  <si>
    <t>COE 486</t>
  </si>
  <si>
    <t>COE 382</t>
  </si>
  <si>
    <t>COE 372</t>
  </si>
  <si>
    <t>27/27/36</t>
  </si>
  <si>
    <t>BME 374</t>
  </si>
  <si>
    <t>22/18</t>
  </si>
  <si>
    <t>AME 368</t>
  </si>
  <si>
    <t>20/20/21</t>
  </si>
  <si>
    <t>RMB/206/N1</t>
  </si>
  <si>
    <t>AERO 452</t>
  </si>
  <si>
    <t>80/80/30/55</t>
  </si>
  <si>
    <t>CE 462</t>
  </si>
  <si>
    <t>35/35/35/35/35/28/27/20</t>
  </si>
  <si>
    <t>CE 262</t>
  </si>
  <si>
    <t>PE 264</t>
  </si>
  <si>
    <t>78/77</t>
  </si>
  <si>
    <t>NEB-SF-NEB-TF</t>
  </si>
  <si>
    <t>GE 286</t>
  </si>
  <si>
    <t>Session, 1 (8:15 AM - 9:15 AM)</t>
  </si>
  <si>
    <t>COMMUNICATION SKILLS II</t>
  </si>
  <si>
    <t>Yeboah Philomena Ama Okyeso</t>
  </si>
  <si>
    <t>COMMUNICATION  SKILLS II</t>
  </si>
  <si>
    <t>Bernard Ampong</t>
  </si>
  <si>
    <t>Patricia Gustafson-Asamoah</t>
  </si>
  <si>
    <t>PRINCIPLES OF SURVEYING</t>
  </si>
  <si>
    <t>Akwasi Afrifa Acheampong</t>
  </si>
  <si>
    <t>PRINCIPLES OF LAND SURVEYING AND HYDROGRAPHIC SCIENCE</t>
  </si>
  <si>
    <t>Asante Cosmas Yaw</t>
  </si>
  <si>
    <t>SOIL AND ROCKS MECHANICS LABORATORY</t>
  </si>
  <si>
    <t>Dzikunu-Bansah Nancy Anataba Kyorku</t>
  </si>
  <si>
    <t>CONSTRUCTION MANAGEMENT</t>
  </si>
  <si>
    <t>Obeng Daniel Atuah</t>
  </si>
  <si>
    <t>AERODYNAMICS II</t>
  </si>
  <si>
    <t>Bofah Kwasi Kete</t>
  </si>
  <si>
    <t>AUTOMOTIVE SPARK-IGNITION ENGINES</t>
  </si>
  <si>
    <t>Abu Frimpong Solomon</t>
  </si>
  <si>
    <t>BIOMEDICAL OPTICS</t>
  </si>
  <si>
    <t>Kotei Addison Eric Clement</t>
  </si>
  <si>
    <t>DIGITAL SYSTEMS DESIGN II</t>
  </si>
  <si>
    <t>Boateng Kwame Osei</t>
  </si>
  <si>
    <t>DIGITAL COMPUTER DESIGN</t>
  </si>
  <si>
    <t>INTRODUCTION TO VLSI</t>
  </si>
  <si>
    <t>Agbemenu Andrew Selasi</t>
  </si>
  <si>
    <t>VLSI CIRCUIT DESIGN</t>
  </si>
  <si>
    <t>ENGINEERING SURVEY II</t>
  </si>
  <si>
    <t>Arko-Adjei Anthony</t>
  </si>
  <si>
    <t>PHARMACEUTICAL TECHNOLOGY</t>
  </si>
  <si>
    <t>Johnson Raphael</t>
  </si>
  <si>
    <t>COMPUTER NETWORKING</t>
  </si>
  <si>
    <t>Kwasi Adu-Boahen Opare</t>
  </si>
  <si>
    <t>Session, 2 (10:00 AM - 11:00 AM)</t>
  </si>
  <si>
    <t>Sarfo-Adu Kwasi</t>
  </si>
  <si>
    <t>Alhassan Yakubu</t>
  </si>
  <si>
    <t>SEAMANSHIP</t>
  </si>
  <si>
    <t>Larkai Francis Laako</t>
  </si>
  <si>
    <t>GIS APPLICATIONS</t>
  </si>
  <si>
    <t>Appiah-Adjei Emmanuel Kwame</t>
  </si>
  <si>
    <t>GROUNDWATER DEVELOPMENT</t>
  </si>
  <si>
    <t>Ali Bukari</t>
  </si>
  <si>
    <t>BIOMECHANICS II</t>
  </si>
  <si>
    <t>Odame Prince</t>
  </si>
  <si>
    <t>MATERIALS SCIENCE</t>
  </si>
  <si>
    <t>Patrick Boakye</t>
  </si>
  <si>
    <t>Anang Daniel Adjah</t>
  </si>
  <si>
    <t>DRAWING FOR ENGINEERS</t>
  </si>
  <si>
    <t>Darkwah Lawrence</t>
  </si>
  <si>
    <t>PRODUCTION ENGINEERING II</t>
  </si>
  <si>
    <t>Obeng George Yaw</t>
  </si>
  <si>
    <t>RENEWABLE ENERGY SYSTEMS AND MANAGEMENT</t>
  </si>
  <si>
    <t>Kemausuor Francis</t>
  </si>
  <si>
    <t>STRATIGRAPHY</t>
  </si>
  <si>
    <t>Amedjoe Godfrey Chiri</t>
  </si>
  <si>
    <t>STRENGTH OF MARINE MATERIALS II</t>
  </si>
  <si>
    <t>Adam Faisal Wahib</t>
  </si>
  <si>
    <t>STRENGTH OF MATERIALS II</t>
  </si>
  <si>
    <t>Tay Godwin Fabiola Kwaku</t>
  </si>
  <si>
    <t>PROCESS DYNAMICS AND CONTROL</t>
  </si>
  <si>
    <t>Adjaottor Albert Amatey</t>
  </si>
  <si>
    <t>PROCESS DYNANICS AND CONTROL</t>
  </si>
  <si>
    <t>NATURAL GAS ENGINEERING II</t>
  </si>
  <si>
    <t>Sarkodie Kwame</t>
  </si>
  <si>
    <t>Session, 3 (11:45 AM - 12:45 PM)</t>
  </si>
  <si>
    <t>LAND LAW AND REGISTRATION</t>
  </si>
  <si>
    <t>PHYSICAL METALLURGY OF NON-FERROUS METALS</t>
  </si>
  <si>
    <t>Agyemang Frank Ofori</t>
  </si>
  <si>
    <t>STEEL AND TIMBER DESIGN</t>
  </si>
  <si>
    <t>Mark Adom-Asamoah</t>
  </si>
  <si>
    <t>SHIP OPERATION, REGULATION AND MANAGEMENT</t>
  </si>
  <si>
    <t>Sackey Michael Nii</t>
  </si>
  <si>
    <t>STRESS AND STRAIN ANALYSIS OF RIGID BODIES</t>
  </si>
  <si>
    <t>Mensah-Darkwa Kwadwo</t>
  </si>
  <si>
    <t>PLANNING THE PHYSICAL ENVIRONMENT</t>
  </si>
  <si>
    <t>Aboagye Prince Anokye</t>
  </si>
  <si>
    <t>ELECTROMAGNETIC FIELDS</t>
  </si>
  <si>
    <t>Kwame Oteng Gyasi</t>
  </si>
  <si>
    <t>ELECTROMAGNETIC FIELD THEORY</t>
  </si>
  <si>
    <t>OBJECT-ORIENTED PROGRAMMING</t>
  </si>
  <si>
    <t>Adjaidoo Theresa-Samuelle Maame Atwemaah</t>
  </si>
  <si>
    <t>PETROLEUM GEOLOGY</t>
  </si>
  <si>
    <t>Borkloe Julius Kwame</t>
  </si>
  <si>
    <t>Session, 4 (1:30 PM - 2:30 PM)</t>
  </si>
  <si>
    <t>HUMAN FACTORS AND ERGONOMICS</t>
  </si>
  <si>
    <t>Sackey Samuel Mensah</t>
  </si>
  <si>
    <t>SOIL AND ROCK MECHANICS</t>
  </si>
  <si>
    <t>Frederick Owusu-Nimo</t>
  </si>
  <si>
    <t>Owusu-Nimo Frederick</t>
  </si>
  <si>
    <t>GLASS AND CEMENT TECHNOLOGIES</t>
  </si>
  <si>
    <t>Andrews Anthony</t>
  </si>
  <si>
    <t>PHYSICAL CHEMISTRY FOR ENGINEERS</t>
  </si>
  <si>
    <t>ENGINEERING WORKSHOP PRACTICE</t>
  </si>
  <si>
    <t>Michael Adusei-Bonsu</t>
  </si>
  <si>
    <t>MEDICAL IMAGING I</t>
  </si>
  <si>
    <t>PULP AND PAPER TECHNOLOGY</t>
  </si>
  <si>
    <t>Rockson Mizpah Ama Dziedzorm</t>
  </si>
  <si>
    <t>SWITCHING ENGINEERING IN COMMUNICATION</t>
  </si>
  <si>
    <t>Obour Agyekum Kwame Opuni-Boachie</t>
  </si>
  <si>
    <t>Agyekum Kwame Agyeman-Prempeh</t>
  </si>
  <si>
    <t>MICROPROCESSORS AND MECHATRONICS APPLICATIONS</t>
  </si>
  <si>
    <t>COMPUTER-AIDED DESIGN AND MODELLING</t>
  </si>
  <si>
    <t>ADVANCED MANUFACTURING TECHNOLOGY I</t>
  </si>
  <si>
    <t>Takyi Gabriel</t>
  </si>
  <si>
    <t>FARM MACHINERY DESIGN</t>
  </si>
  <si>
    <t>Aveyire Joseph</t>
  </si>
  <si>
    <t>COMPUTER APPLICATIONS IN CIVIL ENGINEERING</t>
  </si>
  <si>
    <t>Ayeh Felix Jojo Fianko</t>
  </si>
  <si>
    <t>Session, 5 (3:15 PM - 4:15 PM)</t>
  </si>
  <si>
    <t>INTRODUCTION TO SOIL MECHANICS</t>
  </si>
  <si>
    <t>Amenuvor Andrew Cudzo</t>
  </si>
  <si>
    <t>COMPUTER APPLICATIONS</t>
  </si>
  <si>
    <t>Albert Kwame Kwaw</t>
  </si>
  <si>
    <t>COMPUTER PROGRAMMING IN OIL AND GAS</t>
  </si>
  <si>
    <t>Sokama-Neuyam Yen Adams</t>
  </si>
  <si>
    <t>PROPERTIES OF CIVIL ENGINEERING MATERIAL</t>
  </si>
  <si>
    <t>Kankam Charles Kwame</t>
  </si>
  <si>
    <t>FOUNDATION ENGINEERING</t>
  </si>
  <si>
    <t>ROBOTICS AND COMPUTER VISION</t>
  </si>
  <si>
    <t>Klogo Griffith Selorm</t>
  </si>
  <si>
    <t>ADSORPTION SEPARATION PROCESS TECHNOLOGY</t>
  </si>
  <si>
    <t>Ohemeng-Boahen Godfred</t>
  </si>
  <si>
    <t>SILICATE TECHNOLOGY II</t>
  </si>
  <si>
    <t>Momade Zsuzsanna Gál</t>
  </si>
  <si>
    <t>HEAT TRANSFER</t>
  </si>
  <si>
    <t>Forson Francis Kofi</t>
  </si>
  <si>
    <t>OPTICAL AND THERMAL BEHAVIOUR OF MATERIALS</t>
  </si>
  <si>
    <t>Nartey Martinson Addo</t>
  </si>
  <si>
    <t>ADVANCED ENGINEERING GEOLLOGY</t>
  </si>
  <si>
    <t>Gidigasu Solomon Senyo Robert</t>
  </si>
  <si>
    <t>INTRODUCTION TO FINITE ELEMENT</t>
  </si>
  <si>
    <t>Andoh Prince Yaw</t>
  </si>
  <si>
    <t>FLUID DYNAMICS I</t>
  </si>
  <si>
    <t>Fiagbe Yesuenyeagbe Atsu Kwabla</t>
  </si>
  <si>
    <t>Yeboah-Akowuah Bright</t>
  </si>
  <si>
    <t>METALLURGICAL RATE PROCESSES/SURFACE PHENOMENA</t>
  </si>
  <si>
    <t>Patrick Aggrey</t>
  </si>
  <si>
    <t>COMPUTER PROGRAMMING FOR ENGINEERS</t>
  </si>
  <si>
    <t>Dzebre Denis Edem Kwame</t>
  </si>
  <si>
    <t>PETROCHEMICAL ENGINEERING LABORATORY II</t>
  </si>
  <si>
    <t>Bonsu Jude Kwaku</t>
  </si>
  <si>
    <t>HEALTH SAFETY AND ENVIRONMENT</t>
  </si>
  <si>
    <t>Adjei Stephen</t>
  </si>
  <si>
    <t>PIPELINE ENGINEERING</t>
  </si>
  <si>
    <t>PRINCIPLES OF MATERIAL SCIENCE</t>
  </si>
  <si>
    <t>MECHANICAL ENGINEERING MATERIALS II</t>
  </si>
  <si>
    <t>REGIONAL GEOLOGY</t>
  </si>
  <si>
    <t>Quaye Jonathan Atuquaye</t>
  </si>
  <si>
    <t>BASIC ELECTRONICS</t>
  </si>
  <si>
    <t>Kwegyir Daniel</t>
  </si>
  <si>
    <t>Yaw Opoku Mensah Sekyere</t>
  </si>
  <si>
    <t>Nicholas Kwesi Prah II</t>
  </si>
  <si>
    <t>Twumasi Elvis</t>
  </si>
  <si>
    <t>Affum Emmanuel Ampoma</t>
  </si>
  <si>
    <t>ELECTRICAL ENGINEERING MACHINES</t>
  </si>
  <si>
    <t>ELECTRICAL MACHINES</t>
  </si>
  <si>
    <t>Asigri Peter</t>
  </si>
  <si>
    <t>SATELLITE SURVEYING</t>
  </si>
  <si>
    <t>Andam-Akorful Samuel Ato</t>
  </si>
  <si>
    <t>RESERVOIR RECOVERY TECHNIQUES</t>
  </si>
  <si>
    <t>Adenutsi Caspar Daniel</t>
  </si>
  <si>
    <t>MARINE MECHANISMS, SYSTHESIS AND ANALYSIS</t>
  </si>
  <si>
    <t>Ampofo Joshua</t>
  </si>
  <si>
    <t>MECHANISMS SYNTHESIS AND ANALYSIS I</t>
  </si>
  <si>
    <t>SIMULTANEOUS HEAT/MASS TRANSFER</t>
  </si>
  <si>
    <t>Dogbe Eunice Sefakor Aku</t>
  </si>
  <si>
    <t>ELECTRIC DRIVES</t>
  </si>
  <si>
    <t>Effah Francis Boafo</t>
  </si>
  <si>
    <t>PRINCIPLES OF GEOLCHEMISTRY</t>
  </si>
  <si>
    <t>Gawu Simon Kafui Yawo</t>
  </si>
  <si>
    <t>MAINTENANCE AND REPAIRS OF AGRIC. MACHINERY</t>
  </si>
  <si>
    <t>Bobobee Emmanuel Yaovi Hunnuor</t>
  </si>
  <si>
    <t>ENVIRONMENTAL ENG. TECHNOLOGY</t>
  </si>
  <si>
    <t>Afotey Benjamin</t>
  </si>
  <si>
    <t>WATER RESOURCES ENGINEERING II</t>
  </si>
  <si>
    <t>Anornu Geophrey Kwame</t>
  </si>
  <si>
    <t>AUTOMATION AND PRODUCTION SYSTEM</t>
  </si>
  <si>
    <t>HIGH VOLTAGE ENGINEERING</t>
  </si>
  <si>
    <t>POWER SUPPLY ELECTRONICS</t>
  </si>
  <si>
    <t>MECHANICAL ENGINEERING MATERIALS III</t>
  </si>
  <si>
    <t>MICROPROCESSORS</t>
  </si>
  <si>
    <t>Agyemang Justice Owusu</t>
  </si>
  <si>
    <t>PHASE TRANSFORMATIONS</t>
  </si>
  <si>
    <t>Gikunoo Emmanuel</t>
  </si>
  <si>
    <t>MARINE MAINTENANCE ENGINEERING</t>
  </si>
  <si>
    <t xml:space="preserve">Peter Oppong Tawiah </t>
  </si>
  <si>
    <t>FLUID MECHANICS</t>
  </si>
  <si>
    <t>INDUSTRIAL ENGINEERING AND ERGONOMICS</t>
  </si>
  <si>
    <t>Mensah Lena Dzifa</t>
  </si>
  <si>
    <t>MARINE INDUSTRIAL ENGINEERING AND ERGONOMICS</t>
  </si>
  <si>
    <t>BIOSIGNAL PROCESSES AND ANALYSIS</t>
  </si>
  <si>
    <t>Adjei Prince Ebenezer</t>
  </si>
  <si>
    <t>HEAT TRANSPORT PROCESSES</t>
  </si>
  <si>
    <t>OPERATING SYSTEMS</t>
  </si>
  <si>
    <t>Kommey Benjamin</t>
  </si>
  <si>
    <t>HYDRAULIC ENGINEERING</t>
  </si>
  <si>
    <t>Adjei Kwaku Amaning</t>
  </si>
  <si>
    <t>ELECTROMETALLURGY</t>
  </si>
  <si>
    <t>Agbe Henry</t>
  </si>
  <si>
    <t>ANALYSIS OF ERRORS</t>
  </si>
  <si>
    <t>Collins Fosu</t>
  </si>
  <si>
    <t>LOGISTICS AND SUPPLY CHAIN ENGINEERING</t>
  </si>
  <si>
    <t>Asiedu Charlotte</t>
  </si>
  <si>
    <t>ELEMENTARY FLUIDS MECHANICS</t>
  </si>
  <si>
    <t>Gyamfi Charles</t>
  </si>
  <si>
    <t>FUNDAMENTALS OF PETROLEUM LAW</t>
  </si>
  <si>
    <t>Amoah Enoch Kwabena</t>
  </si>
  <si>
    <t>BASIC MECHANICS</t>
  </si>
  <si>
    <t>Opoku Richard</t>
  </si>
  <si>
    <t>Boahen Samuel</t>
  </si>
  <si>
    <t>Oppong David Kofi</t>
  </si>
  <si>
    <t>STATICS OF SOLID MECHANICS</t>
  </si>
  <si>
    <t>SECURE NETWORK SYSTEMS</t>
  </si>
  <si>
    <t>Tchao Eric Tutu</t>
  </si>
  <si>
    <t>ENVIRONMENTAL GEOLLOGY</t>
  </si>
  <si>
    <t>Foli Gordon</t>
  </si>
  <si>
    <t>BIOCHEMISTRY</t>
  </si>
  <si>
    <t>Charles Apprey</t>
  </si>
  <si>
    <t>SEPARATION PROCESSES II</t>
  </si>
  <si>
    <t>Augustine Ntiamoah</t>
  </si>
  <si>
    <t>HYDROMETALLURGICAL APPLICATIONS</t>
  </si>
  <si>
    <t>ENGINEERING MECHANICS I:STATICS</t>
  </si>
  <si>
    <t>Amoabeng Kofi Owura</t>
  </si>
  <si>
    <t>PROCESS CONTROL AND SIMULATION</t>
  </si>
  <si>
    <t>Baah-Ennumh Emmanuel Kwaku</t>
  </si>
  <si>
    <t>Baidoo Martina Francisca</t>
  </si>
  <si>
    <t>CHEMICAL REACTION ENGINEERING</t>
  </si>
  <si>
    <t>ANATOMY AND PHYSIOLOGY FOR ENGINEERS II</t>
  </si>
  <si>
    <t>Agyapong Dorothy Araba Yakoba</t>
  </si>
  <si>
    <t>STRUCTURAL GEOLOGY</t>
  </si>
  <si>
    <t>Wilson Matthew Coffie</t>
  </si>
  <si>
    <t>ENVIRONMENTAL QUALITY ENGINEERING II</t>
  </si>
  <si>
    <t>Appiah-Effah Eugene</t>
  </si>
  <si>
    <t>RURAL ENGINEERING</t>
  </si>
  <si>
    <t>Mensah Ebenezer</t>
  </si>
  <si>
    <t>ENGINEERING GRAPHICS</t>
  </si>
  <si>
    <t>INTRODUCTION TO PSYCHOLOGY</t>
  </si>
  <si>
    <t>Sarfo Fordjour Elizabeth Anokyewaa</t>
  </si>
  <si>
    <t>MECHANICS OF MATERIALS</t>
  </si>
  <si>
    <t>INTRO TO PYTHON &amp; COMPUTER NETWORKING</t>
  </si>
  <si>
    <t>Charles Mawutor Adrah</t>
  </si>
  <si>
    <t>TELECOMMUNICATION POLICY AND REGULATION</t>
  </si>
  <si>
    <t>Kingsford Sarkodie Obeng Kwakye</t>
  </si>
  <si>
    <t>CALCULUS WITH ANALYSIS</t>
  </si>
  <si>
    <t>Asamoah Joshua Kiddy Kwasi</t>
  </si>
  <si>
    <t>BASIC GEOLOGY</t>
  </si>
  <si>
    <t>CIRCUIT THEORY</t>
  </si>
  <si>
    <t>DIGITAL SYSTEMS</t>
  </si>
  <si>
    <t>Opoku Daniel</t>
  </si>
  <si>
    <t>PRINCIPLE OF DESIGN</t>
  </si>
  <si>
    <t>Boakye Patrick</t>
  </si>
  <si>
    <t>MILLIMETERWAVE TECHNOLOGY</t>
  </si>
  <si>
    <t>Abdul-Rahman Ahmed</t>
  </si>
  <si>
    <t>FOOD PROCESSING TECHNOLOGY</t>
  </si>
  <si>
    <t>KINETICS AND REACTIONS ENGINEERING</t>
  </si>
  <si>
    <t>AUTOMOTIVE ELECTRICAL SYSTEMS AND ELECTRONICS</t>
  </si>
  <si>
    <t>Ayetor Godwin Kafui Kwesi</t>
  </si>
  <si>
    <t>INTRODUCTION TO PROGRAMMING - I</t>
  </si>
  <si>
    <t>MACHINE DESIGN II</t>
  </si>
  <si>
    <t>Afriyie Nyarko Frank Kwabena</t>
  </si>
  <si>
    <t>LITERATURE IN ENGLISH II</t>
  </si>
  <si>
    <t>INTRODUCTION TO CERAMICS</t>
  </si>
  <si>
    <t xml:space="preserve"> HIGHWAY ENGINEERING</t>
  </si>
  <si>
    <t>Ababio-Donkor Augustus</t>
  </si>
  <si>
    <t>GROUND ENGINEERING</t>
  </si>
  <si>
    <t>Samuel Innocent Kofi Ampadu</t>
  </si>
  <si>
    <t>ELECTRICAL MEASUREMENTS &amp; INSTRUMENTATION</t>
  </si>
  <si>
    <t>STRENGTH OF MATERIALS FOR CHEMICAL ENGINEERS</t>
  </si>
  <si>
    <t>BASIC MINERAL SCIENCE</t>
  </si>
  <si>
    <t>ENVIRONMENTAL QUALITY ENGINEERING</t>
  </si>
  <si>
    <t>VIBRATIONS I</t>
  </si>
  <si>
    <t>VIBRATIONS FOR AUTOMOBILE ENGINEERS</t>
  </si>
  <si>
    <t>MAINTENANCE ENGINEERING</t>
  </si>
  <si>
    <t>AQUATIC STROKES DEVELOPMENT AND REFINEMENT</t>
  </si>
  <si>
    <t>Afrifa Daniel</t>
  </si>
  <si>
    <t>PHYSICAL METALLURGY OF FERROUS METALS</t>
  </si>
  <si>
    <t>Kwofie Samuel</t>
  </si>
  <si>
    <t>RELIABILITY ENGINEERING</t>
  </si>
  <si>
    <t>PETROLEUM PRODUCTION ENGINEERING II</t>
  </si>
  <si>
    <t>PETROLEUM REFINING ENGINEERING</t>
  </si>
  <si>
    <t>Kwao-Boateng Emmanuela</t>
  </si>
  <si>
    <t>REFINING PROCESSES TECHNOLOGY</t>
  </si>
  <si>
    <t>FAULT DIAGNOSIS AND FAILURE TOLERANCE</t>
  </si>
  <si>
    <t>EMBEDDED SYSTEMS</t>
  </si>
  <si>
    <t>PETROLEUM ENGINEERING THERMODYNAMICS II</t>
  </si>
  <si>
    <t>SURFACE TREATMENT OF MATERIALS</t>
  </si>
  <si>
    <t>MEDICAL DEVICE REGULATION</t>
  </si>
  <si>
    <t>Acquah Isaac</t>
  </si>
  <si>
    <t>REPRODUCTION CARTOGRAPHY</t>
  </si>
  <si>
    <t>Quaye-Ballard Jonathan Arthur</t>
  </si>
  <si>
    <t>INTRODUCTION TO COMMUNICATION NETWORKS</t>
  </si>
  <si>
    <t>SOIL MECHANICS APPLICATION TO MECHANISATION</t>
  </si>
  <si>
    <t>Agodzo Sampson Kwaku</t>
  </si>
  <si>
    <t>SPECIAL VEHICLE DESIGN</t>
  </si>
  <si>
    <t>POWER ELECTRONICS</t>
  </si>
  <si>
    <t>ENVIRONMENTAL SCIENCE</t>
  </si>
  <si>
    <t>Koomson Bennetta</t>
  </si>
  <si>
    <t>ASSAYING</t>
  </si>
  <si>
    <t>DATABASE SYSTEMS</t>
  </si>
  <si>
    <t>Ayer John Wise Divine</t>
  </si>
  <si>
    <t>POWER SYSTEMS PLANNING AND OPTIMIZATION</t>
  </si>
  <si>
    <t>Antoh Emmanuel Kwaku</t>
  </si>
  <si>
    <t>DIGITAL COMMUNICATION SYSTEMS</t>
  </si>
  <si>
    <t>CROP LOSSES AND THEIR CONTROL</t>
  </si>
  <si>
    <t xml:space="preserve">Darko Joseph Ofei </t>
  </si>
  <si>
    <t>ROCK ENGINEERING</t>
  </si>
  <si>
    <t>INTRODUCTORY ECONOMICS II</t>
  </si>
  <si>
    <t>Takyi Paul Owusu</t>
  </si>
  <si>
    <t>ELEMENTS OF ECONOMICS II</t>
  </si>
  <si>
    <t>Edward Yeboah</t>
  </si>
  <si>
    <t>INTRODUCTION TO ECONOMICS II</t>
  </si>
  <si>
    <t>Beatrice Sarpong-Danquah</t>
  </si>
  <si>
    <t>Paul Owusu Takyi</t>
  </si>
  <si>
    <t>INTRODUCTION TO POLYMERIC MATERIALS</t>
  </si>
  <si>
    <t>Asare Eric Kwame Anokye</t>
  </si>
  <si>
    <t>CHEMICAL PROCESS CALCULATIONS II</t>
  </si>
  <si>
    <t>ELECTRICAL ENG. DRAWING</t>
  </si>
  <si>
    <t>INTRO TO ENVIRONMENTAL ENG.</t>
  </si>
  <si>
    <t>Essandoh Helen Michelle Korkor</t>
  </si>
  <si>
    <t>FINITE ELEMENT ANALYSIS</t>
  </si>
  <si>
    <t>Jones Owusu Twumasi</t>
  </si>
  <si>
    <t>NETWORK PLANNING AND OPTIMIZATION</t>
  </si>
  <si>
    <t>INTRODUCTION TO INFORMATION TECHNOLOGY</t>
  </si>
  <si>
    <t>Bessah Enoch</t>
  </si>
  <si>
    <t>MINERAL ECONOMICS AND EVALUATION</t>
  </si>
  <si>
    <t>GENERAL PHYSICS</t>
  </si>
  <si>
    <t>Boateng Cyril Dziedzorm</t>
  </si>
  <si>
    <t>Abavare Eric Kwabena Kyeh</t>
  </si>
  <si>
    <t>AEROSPACE DESIGN PROJECT II</t>
  </si>
  <si>
    <t>AUTOMOTIVE DESIGN PROJECT</t>
  </si>
  <si>
    <t>SECOND YEAR DESIGN PROJECT</t>
  </si>
  <si>
    <t>MARINE ENGINEERING DESIGN PROJECT II</t>
  </si>
  <si>
    <t>MACHINE DESIGN PROJECT</t>
  </si>
  <si>
    <t>OPERATIONS RESEARCH II</t>
  </si>
  <si>
    <t>ENVIRONMENTAL IMPACT ASSESSMENT</t>
  </si>
  <si>
    <t>MACHINE SHOP AND FACTORY DESIGN</t>
  </si>
  <si>
    <t>ENGINEERING MECHANICS I: STATICS</t>
  </si>
  <si>
    <t>PETROLEUM PROJECT EVALUATION</t>
  </si>
  <si>
    <t>MATERIALS JOINING PROCESSES</t>
  </si>
  <si>
    <t>WELL TESTING</t>
  </si>
  <si>
    <t>GEOSTATISTICS</t>
  </si>
  <si>
    <t>Nuamah Daniel Oduro Boatey</t>
  </si>
  <si>
    <t>MARINE CONTROL ENGINEERING AND AUTOMATION</t>
  </si>
  <si>
    <t>Adjei Eunice Akyereko</t>
  </si>
  <si>
    <t>QUANTITIES AND COST ESTIMATION IN CIVIL ENGINEERING</t>
  </si>
  <si>
    <t>Osei Jack Banahene</t>
  </si>
  <si>
    <t>BIOMATERIALS I</t>
  </si>
  <si>
    <t>Lawton Adu-Ansah</t>
  </si>
  <si>
    <t>Isaac Azure</t>
  </si>
  <si>
    <t>CALCULUS OF SEVERAL VARIABLES</t>
  </si>
  <si>
    <t>Ezearn Jeffery</t>
  </si>
  <si>
    <t>CALCULUS WITH SEVERAL VARIABLES</t>
  </si>
  <si>
    <t>FARM POWER AND MACHINERY</t>
  </si>
  <si>
    <t>Aikins Stephen Hill Mends</t>
  </si>
  <si>
    <t>Ayekple Yao Elikem</t>
  </si>
  <si>
    <t>Kwabi Prince Amponsah</t>
  </si>
  <si>
    <t>NUMERICAL METHODS FOR CHEMICAL ENGINEERS</t>
  </si>
  <si>
    <t>Mensah Mary</t>
  </si>
  <si>
    <t>RESERVOIR FLUID PROPERTIES</t>
  </si>
  <si>
    <t>Casper Daniel Adenutsi</t>
  </si>
  <si>
    <t>DIGITAL SYSTEMS DESIGN I</t>
  </si>
  <si>
    <t>Nunoo-Mensah Henry</t>
  </si>
  <si>
    <t>MACHINE ELEMENTS DESIGN II</t>
  </si>
  <si>
    <t>Mustapha Hameed</t>
  </si>
  <si>
    <t>OILFIELD GEOLCHEMISTRY</t>
  </si>
  <si>
    <t>STRUCTURAL ANALYSIS</t>
  </si>
  <si>
    <t>Benedict Barnes</t>
  </si>
  <si>
    <t>Emmanuel Mensah</t>
  </si>
  <si>
    <t>COMMUNICATION CIRCUITS</t>
  </si>
  <si>
    <t>SUBSTATIONS AND TRANSMISSION LINE DESIGN</t>
  </si>
  <si>
    <t>AEROSPACE STRUCTURES</t>
  </si>
  <si>
    <t>Agyei Agyemang Anthony</t>
  </si>
  <si>
    <t>THEORY OF MACHINES</t>
  </si>
  <si>
    <t>MATERIALS QUALITY CONTROL, ASSURRANCE AND SELECTION</t>
  </si>
  <si>
    <t>Arthur Emmanuel Kwesi</t>
  </si>
  <si>
    <t>ECONOMIC GEOLLOGY</t>
  </si>
  <si>
    <t>Mensah Emmanuel</t>
  </si>
  <si>
    <t>ENTREPRENEURSHIP AND BUSINESS DEVELOPMENT</t>
  </si>
  <si>
    <t>Asamoah Boateng Kenneth</t>
  </si>
  <si>
    <t>SOIL AND WATER ENGINEERING II</t>
  </si>
  <si>
    <t>Agyare Wilson Agyei</t>
  </si>
  <si>
    <t>DATA COMMUNICATION PRINCIPLES</t>
  </si>
  <si>
    <t>Gadze James Dzisi</t>
  </si>
  <si>
    <t>PRINCIPLES OF GIS</t>
  </si>
  <si>
    <t>Forkuo Eric Kwabena</t>
  </si>
  <si>
    <t>STRUCTURAL DYNAMICS</t>
  </si>
  <si>
    <t>PRODUCTION PLANNING AND CONTROL</t>
  </si>
  <si>
    <t>MANUAL POWER TRAIN</t>
  </si>
  <si>
    <t>MANUFACTURING TECHNOLOGY</t>
  </si>
  <si>
    <t>HEAT AND MASS TRANSPORT</t>
  </si>
  <si>
    <t>FLUID MACHINERY</t>
  </si>
  <si>
    <t>INTRODUCTION TO CAD/CAM</t>
  </si>
  <si>
    <t>COMPUTER-AIDED DESIGN AND MANUFACTURING</t>
  </si>
  <si>
    <t>VEHICLE MAINTENANCE AND REGULATION</t>
  </si>
  <si>
    <t>APPLIED METEOROLOGY</t>
  </si>
  <si>
    <t>Prince Junior Asilevi</t>
  </si>
  <si>
    <t>PRINCIPLES OF REMOTE SENSING</t>
  </si>
  <si>
    <t>Yaw Mensah Asare</t>
  </si>
  <si>
    <t>PROFESSIONAL STUDIES AND DEVELOPMENT</t>
  </si>
  <si>
    <t>Akrofi Emmanuel Offei</t>
  </si>
  <si>
    <t>DIGITAL SIGNAL PROCESSING</t>
  </si>
  <si>
    <t>Kponyo Jerry John</t>
  </si>
  <si>
    <t>RENEWABLE ENERGY RESOURCES</t>
  </si>
  <si>
    <t>OPTICAL MINERALOGY</t>
  </si>
  <si>
    <t>HIGHWAY ENGINEERING</t>
  </si>
  <si>
    <t>Tutu Kenneth Adomako</t>
  </si>
  <si>
    <t>PROPERTIES OF MATTER</t>
  </si>
  <si>
    <t>Reginald Mensah Noye</t>
  </si>
  <si>
    <t>INTRODUCTION TO SOFTWARE ENG.</t>
  </si>
  <si>
    <t>OIL &amp; GAS GEOLPHYSICS</t>
  </si>
  <si>
    <t>PROPULSION</t>
  </si>
  <si>
    <t>THIRD YEAR DESIGN PROJECT</t>
  </si>
  <si>
    <t>Bota Osei Sekyere</t>
  </si>
  <si>
    <t>FLUID DYNAMICS  II</t>
  </si>
  <si>
    <t>A. K. Sunnu</t>
  </si>
  <si>
    <t>FLUID DYNAMICS II</t>
  </si>
  <si>
    <t>AEROSPACE DESIGN PROJECT I</t>
  </si>
  <si>
    <t>INTRODUCTION TO LIGHTING AND ACOUSTICS</t>
  </si>
  <si>
    <t>Amos-Abanyie Samuel</t>
  </si>
  <si>
    <t>Jones Twumasi</t>
  </si>
  <si>
    <t>ELECTRICAL MEASUREMENT AND INSTRUMENTATION</t>
  </si>
  <si>
    <t>Obeng Kwakye Kingsford Sarkodie</t>
  </si>
  <si>
    <t>PACKAGING TECHNOLOGY</t>
  </si>
  <si>
    <t>ENGINEERING DRAWING</t>
  </si>
  <si>
    <t>Peter Oppong Tawiah</t>
  </si>
  <si>
    <t>Sekyere Charles Kofi Kafui</t>
  </si>
  <si>
    <t>LARGE SCALE SURVEYING</t>
  </si>
  <si>
    <t>ENERGY AND CLIMATE CHANGE</t>
  </si>
  <si>
    <t>Akowuah Emmanuel Kofi</t>
  </si>
  <si>
    <t>FINANCIAL ACCOUNTING II</t>
  </si>
  <si>
    <t>Yeboah Edward</t>
  </si>
  <si>
    <t>ACCOUNTING II</t>
  </si>
  <si>
    <t>PRINCIPLES OF ACCOUNTING II</t>
  </si>
  <si>
    <t>John Bosco Dramani</t>
  </si>
  <si>
    <t>PETROLEUM BUSINESS: STRUCTURES, LOGISTICS</t>
  </si>
  <si>
    <t>Addo Daniel Akwei</t>
  </si>
  <si>
    <t>POWER SYSTEMS ANALYSIS</t>
  </si>
  <si>
    <t>MINING PRINCIPLES AND SYSTEMS</t>
  </si>
  <si>
    <t>Owusu-Sarpong Seth</t>
  </si>
  <si>
    <t>ENGINEERING RESEARCH AND TECHNICAL REPORT WRITING</t>
  </si>
  <si>
    <t>INTRODUCTION TO PETROLEUM ENGINEERING</t>
  </si>
  <si>
    <t>Erzuah Samuel</t>
  </si>
  <si>
    <t>NUMERICAL METHODS FOR ENGINEERS</t>
  </si>
  <si>
    <t>Eghan Rhydal Esi</t>
  </si>
  <si>
    <t>Wireko Fredrick Asenso</t>
  </si>
  <si>
    <t>ANALYSIS IV</t>
  </si>
  <si>
    <t>Reindorf Nartey Borkor</t>
  </si>
  <si>
    <t>Boateng Maxwell Akwasi</t>
  </si>
  <si>
    <t>AC MACHINES</t>
  </si>
  <si>
    <t>LAND VEHICLE STRUCTURES</t>
  </si>
  <si>
    <t>DRILLING ENGINEERING II</t>
  </si>
  <si>
    <t>AIRCRAFT PERFORMANCE AND DESIGN</t>
  </si>
  <si>
    <t>MODERN AUTOMOBILE TECHNOLOGY</t>
  </si>
  <si>
    <t>SATELLITE COMMUNICATION AND NAVIGATION SYSTEMS</t>
  </si>
  <si>
    <t>CROP STORAGE AND STORAGE STRUCTURES</t>
  </si>
  <si>
    <t>Bart Plange Ato</t>
  </si>
  <si>
    <t>ENGINEERING PROJECT DESIGN AND MANAGEMENT</t>
  </si>
  <si>
    <t>SHIP SAFETY, ENVIRONMENTAL PROTECTION AND SAFE WATCH KEEPING</t>
  </si>
  <si>
    <t>INTERNAL COMBUSTION ENGINES</t>
  </si>
  <si>
    <t>RESEARCH METHODS FOR ENGINEERS</t>
  </si>
  <si>
    <t>Amponsah William</t>
  </si>
  <si>
    <t>TRANSPORTATION ENGINEERING</t>
  </si>
  <si>
    <t>Tuffour Yaw Adubofour</t>
  </si>
  <si>
    <t>PRINCIPLES OF VALUATION OF LAND AND BUILDING</t>
  </si>
  <si>
    <t>Ayitey Jonathan</t>
  </si>
  <si>
    <t>BASIC AGRICULTURE</t>
  </si>
  <si>
    <t>PETROLEUM PRODUCTION ENGINEERING</t>
  </si>
  <si>
    <t>Ankudey Emmanuel Godwin</t>
  </si>
  <si>
    <t>BIOINSTRUMENTATION I</t>
  </si>
  <si>
    <t>QUALITY ASSURANCE</t>
  </si>
  <si>
    <t>Acquaah Vincent Kofi Abaka</t>
  </si>
  <si>
    <t>Francis Davis</t>
  </si>
  <si>
    <t>DATABASE AND INFORMATION RETRIEVAL</t>
  </si>
  <si>
    <t>Keelson Eliel</t>
  </si>
  <si>
    <t>CHEMICAL ENGINEERING THERMODYNAMICS II</t>
  </si>
  <si>
    <t>MARINE ELECTRICAL TECHNOLOGY AND ELECTRICAL MEASUREMENTS</t>
  </si>
  <si>
    <t>Frimpong Emmanuel Asuming</t>
  </si>
  <si>
    <t>BASIC THERMODYNAMICS</t>
  </si>
  <si>
    <t>Samuel Boahen</t>
  </si>
  <si>
    <t>PRINCIPLES OF GEOPHYSICS</t>
  </si>
  <si>
    <t>ENGINEERING PROPERTIES OF POLYMERS</t>
  </si>
  <si>
    <t>MOBILE AND SATELLITE COMMUNICATION SYSTEM</t>
  </si>
  <si>
    <t>KINETICS OF CHEMICAL REACTIONS</t>
  </si>
  <si>
    <t>CHEMISTRY FOR METALLURGICAL ENGINEERS</t>
  </si>
  <si>
    <t>METALLURGICAL WASTE MANAGEMENT</t>
  </si>
  <si>
    <t>WASTE MANAGEMENT</t>
  </si>
  <si>
    <t>WELL COMPLETION AND STIMULATION</t>
  </si>
  <si>
    <t>FRENCH FOR COMMUNICATION II</t>
  </si>
  <si>
    <t>Boakye-Agyeman Candy</t>
  </si>
  <si>
    <t>Alexander Ocloo</t>
  </si>
  <si>
    <t>FRENCH FOR COMMUNICATION  II</t>
  </si>
  <si>
    <t>Pharis Jeel Darko</t>
  </si>
  <si>
    <t>FRENCH FOR COMMUNICATION</t>
  </si>
  <si>
    <t>HYDROGRAPHIC SURVEYING AND MARINE SCIENCE</t>
  </si>
  <si>
    <t>INSTRUMENTATION</t>
  </si>
  <si>
    <t>ORE BENEFICIATION</t>
  </si>
  <si>
    <t>AEROSPACE SAFETY AND AIR SECURITY</t>
  </si>
  <si>
    <t>AUTOMOTIVE CHASSIS</t>
  </si>
  <si>
    <t>AIR VEHICLE STABILITY AND CONTROL</t>
  </si>
  <si>
    <t>NUMERICAL METHODS FOR PETROLEUM ENGINEERS</t>
  </si>
  <si>
    <t>Titus Tienaah</t>
  </si>
  <si>
    <t>Eunice Sefakor Aku Dogbe</t>
  </si>
  <si>
    <t>NATURAL GAS ENGINEERING</t>
  </si>
  <si>
    <t>THERMODYNAMICS I</t>
  </si>
  <si>
    <t xml:space="preserve">APPLIED THERMODYNAMICS </t>
  </si>
  <si>
    <t>Dadzie Isaac</t>
  </si>
  <si>
    <t>SYSTEM ENGINEERING II</t>
  </si>
  <si>
    <t>ENGINEERING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</si>
</sst>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"/>
      <family val="2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  <charset val="1"/>
    </font>
    <font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Fill="0" applyAlignment="0" applyProtection="0"/>
  </cellStyleXfs>
  <cellXfs count="95">
    <xf numFmtId="0" fontId="0" fillId="0" borderId="0" xfId="0"/>
    <xf numFmtId="49" fontId="0" fillId="0" borderId="2" xfId="0" applyNumberFormat="1" applyBorder="1" applyAlignment="1">
      <alignment horizontal="left"/>
    </xf>
    <xf numFmtId="0" fontId="0" fillId="0" borderId="2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/>
    <xf numFmtId="0" fontId="3" fillId="0" borderId="2" xfId="0" applyFont="1" applyBorder="1"/>
    <xf numFmtId="0" fontId="5" fillId="0" borderId="2" xfId="0" applyFont="1" applyBorder="1" applyAlignment="1">
      <alignment vertical="center"/>
    </xf>
    <xf numFmtId="49" fontId="4" fillId="0" borderId="2" xfId="0" applyNumberFormat="1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6" fillId="0" borderId="0" xfId="0" applyFont="1"/>
    <xf numFmtId="49" fontId="7" fillId="0" borderId="2" xfId="0" applyNumberFormat="1" applyFont="1" applyBorder="1" applyAlignment="1">
      <alignment horizontal="left" vertical="center"/>
    </xf>
    <xf numFmtId="1" fontId="7" fillId="0" borderId="4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0" fontId="5" fillId="0" borderId="2" xfId="0" applyFont="1" applyBorder="1" applyAlignment="1">
      <alignment horizontal="left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9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4" xfId="0" applyFont="1" applyBorder="1" applyAlignment="1">
      <alignment horizontal="left"/>
    </xf>
    <xf numFmtId="0" fontId="4" fillId="0" borderId="6" xfId="0" applyFont="1" applyBorder="1" applyAlignment="1">
      <alignment vertical="center"/>
    </xf>
    <xf numFmtId="0" fontId="4" fillId="0" borderId="3" xfId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vertical="center"/>
    </xf>
    <xf numFmtId="0" fontId="4" fillId="0" borderId="0" xfId="1" applyFont="1" applyFill="1" applyAlignment="1">
      <alignment horizontal="left"/>
    </xf>
    <xf numFmtId="0" fontId="11" fillId="0" borderId="0" xfId="0" applyFont="1"/>
    <xf numFmtId="0" fontId="4" fillId="0" borderId="4" xfId="0" applyFont="1" applyBorder="1" applyAlignment="1">
      <alignment vertical="center" wrapText="1"/>
    </xf>
    <xf numFmtId="0" fontId="4" fillId="0" borderId="14" xfId="2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4" fillId="0" borderId="14" xfId="2" applyFont="1" applyFill="1" applyBorder="1" applyAlignment="1">
      <alignment horizontal="left" vertical="center"/>
    </xf>
    <xf numFmtId="0" fontId="5" fillId="0" borderId="14" xfId="2" applyFont="1" applyFill="1" applyBorder="1" applyAlignment="1">
      <alignment horizontal="left" vertical="center"/>
    </xf>
    <xf numFmtId="0" fontId="3" fillId="0" borderId="15" xfId="0" applyFont="1" applyBorder="1"/>
    <xf numFmtId="0" fontId="4" fillId="0" borderId="16" xfId="0" applyFont="1" applyBorder="1" applyAlignment="1">
      <alignment horizontal="left" vertical="center"/>
    </xf>
    <xf numFmtId="0" fontId="3" fillId="0" borderId="0" xfId="0" applyFont="1"/>
    <xf numFmtId="0" fontId="5" fillId="0" borderId="2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2" xfId="0" applyNumberFormat="1" applyFont="1" applyBorder="1"/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5" fillId="0" borderId="20" xfId="0" applyFont="1" applyBorder="1"/>
    <xf numFmtId="0" fontId="5" fillId="0" borderId="20" xfId="0" applyFont="1" applyBorder="1" applyAlignment="1">
      <alignment horizontal="left"/>
    </xf>
    <xf numFmtId="49" fontId="10" fillId="0" borderId="2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vertical="center"/>
    </xf>
    <xf numFmtId="0" fontId="13" fillId="0" borderId="0" xfId="0" applyFont="1"/>
    <xf numFmtId="49" fontId="14" fillId="0" borderId="2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 vertical="top"/>
    </xf>
  </cellXfs>
  <cellStyles count="3">
    <cellStyle name="Good" xfId="1" builtinId="26"/>
    <cellStyle name="Input 2" xfId="2" xr:uid="{D07613F3-4791-4184-B52C-EEF0960687BF}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ropbox/Exams%20Office_kmd/Examinations/Time%20Table/Exams/SS/2025-26/mid-sem/Second%20Semester%20Midsem%20Timetable%202025-26.xlsx" TargetMode="External"/><Relationship Id="rId1" Type="http://schemas.openxmlformats.org/officeDocument/2006/relationships/externalLinkPath" Target="/Users/user/Dropbox/Exams%20Office_kmd/Examinations/Time%20Table/Exams/SS/2025-26/mid-sem/Second%20Semester%20Midsem%20Timetable%2020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XAMINATION%20OFFICE/Dropbox/Exams%20Office_kmd/Examinations/Time%20Table/Exams/SS/2022_23_Exams%20TT/exams/Examtt2k22_23_ss_FINAL.xlsx" TargetMode="External"/><Relationship Id="rId1" Type="http://schemas.openxmlformats.org/officeDocument/2006/relationships/externalLinkPath" Target="/Users/EXAMINATION%20OFFICE/Dropbox/Exams%20Office_kmd/Examinations/Time%20Table/Exams/SS/2022_23_Exams%20TT/exams/Examtt2k22_23_ss_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ropbox/Exams%20Office_kmd/Examinations/Time%20Table/Exams/SS/2024-2025_Exams%20TT/Mid%20sem/MidExamtt2k22_24ss.xlsx" TargetMode="External"/><Relationship Id="rId1" Type="http://schemas.openxmlformats.org/officeDocument/2006/relationships/externalLinkPath" Target="/Users/user/Dropbox/Exams%20Office_kmd/Examinations/Time%20Table/Exams/SS/2024-2025_Exams%20TT/Mid%20sem/MidExamtt2k22_24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1.0"/>
      <sheetName val="TT"/>
      <sheetName val="TALLY"/>
      <sheetName val="Lectures"/>
      <sheetName val="Lectures_1"/>
      <sheetName val="ROOMS"/>
      <sheetName val="WATER (2)"/>
    </sheetNames>
    <sheetDataSet>
      <sheetData sheetId="0"/>
      <sheetData sheetId="1"/>
      <sheetData sheetId="2"/>
      <sheetData sheetId="3"/>
      <sheetData sheetId="4">
        <row r="2">
          <cell r="A2" t="str">
            <v>AE 158,ED1-AE</v>
          </cell>
          <cell r="B2" t="str">
            <v>INTRODUCTION TO INFORMATION TECHNOLOGY</v>
          </cell>
          <cell r="C2" t="str">
            <v>Bessah Enoch</v>
          </cell>
          <cell r="D2">
            <v>128</v>
          </cell>
          <cell r="E2" t="str">
            <v>ED1-AE</v>
          </cell>
          <cell r="F2" t="str">
            <v>AE 158</v>
          </cell>
        </row>
        <row r="3">
          <cell r="A3" t="str">
            <v>AE 162,ED1-AE</v>
          </cell>
          <cell r="B3" t="str">
            <v>BASIC AGRICULTURE</v>
          </cell>
          <cell r="C3" t="str">
            <v>Bessah Enoch</v>
          </cell>
          <cell r="D3">
            <v>128</v>
          </cell>
          <cell r="E3" t="str">
            <v>ED1-AE</v>
          </cell>
          <cell r="F3" t="str">
            <v>AE 162</v>
          </cell>
        </row>
        <row r="4">
          <cell r="A4" t="str">
            <v>AE 196,ED1-AE</v>
          </cell>
          <cell r="B4" t="str">
            <v>ENGINEERING WORKSHOP PRACTICE</v>
          </cell>
          <cell r="C4" t="str">
            <v>Michael Adusei-Bonsu</v>
          </cell>
          <cell r="D4">
            <v>128</v>
          </cell>
          <cell r="E4" t="str">
            <v>ED1-AE</v>
          </cell>
          <cell r="F4" t="str">
            <v>AE 196</v>
          </cell>
        </row>
        <row r="5">
          <cell r="A5" t="str">
            <v>EE 152,ED1-AE</v>
          </cell>
          <cell r="B5" t="str">
            <v>BASIC ELECTRONICS</v>
          </cell>
          <cell r="C5" t="str">
            <v>Nicholas Kwesi Prah II</v>
          </cell>
          <cell r="D5">
            <v>128</v>
          </cell>
          <cell r="E5" t="str">
            <v>ED1-AE</v>
          </cell>
          <cell r="F5" t="str">
            <v>EE 152</v>
          </cell>
        </row>
        <row r="6">
          <cell r="A6" t="str">
            <v>ENGL 158,ED1-AE</v>
          </cell>
          <cell r="B6" t="str">
            <v>COMMUNICATION SKILLS II</v>
          </cell>
          <cell r="C6" t="str">
            <v>Yeboah Philomena Ama Okyeso</v>
          </cell>
          <cell r="D6">
            <v>128</v>
          </cell>
          <cell r="E6" t="str">
            <v>ED1-AE</v>
          </cell>
          <cell r="F6" t="str">
            <v>ENGL 158</v>
          </cell>
        </row>
        <row r="7">
          <cell r="A7" t="str">
            <v>MATH 152,ED1-AE</v>
          </cell>
          <cell r="B7" t="str">
            <v>CALCULUS WITH ANALYSIS</v>
          </cell>
          <cell r="C7" t="str">
            <v>Asamoah Joshua Kiddy Kwasi</v>
          </cell>
          <cell r="D7">
            <v>128</v>
          </cell>
          <cell r="E7" t="str">
            <v>ED1-AE</v>
          </cell>
          <cell r="F7" t="str">
            <v>MATH 152</v>
          </cell>
        </row>
        <row r="8">
          <cell r="A8" t="str">
            <v>ME 160,ED1-AE</v>
          </cell>
          <cell r="B8" t="str">
            <v>ENGINEERING DRAWING</v>
          </cell>
          <cell r="C8" t="str">
            <v>Aveyire Joseph</v>
          </cell>
          <cell r="D8">
            <v>128</v>
          </cell>
          <cell r="E8" t="str">
            <v>ED1-AE</v>
          </cell>
          <cell r="F8" t="str">
            <v>ME 160</v>
          </cell>
        </row>
        <row r="9">
          <cell r="A9" t="str">
            <v>ME 162,ED1-AE</v>
          </cell>
          <cell r="B9" t="str">
            <v>BASIC MECHANICS</v>
          </cell>
          <cell r="C9" t="str">
            <v>Oppong David Kofi</v>
          </cell>
          <cell r="D9">
            <v>128</v>
          </cell>
          <cell r="E9" t="str">
            <v>ED1-AE</v>
          </cell>
          <cell r="F9" t="str">
            <v>ME 162</v>
          </cell>
        </row>
        <row r="10">
          <cell r="A10" t="str">
            <v>EE 252,ED2-AE</v>
          </cell>
          <cell r="B10" t="str">
            <v>ELECTRICAL ENGINEERING MACHINES</v>
          </cell>
          <cell r="C10" t="str">
            <v>Yaw Opoku Mensah Sekyere</v>
          </cell>
          <cell r="D10">
            <v>155</v>
          </cell>
          <cell r="E10" t="str">
            <v>ED2-AE</v>
          </cell>
          <cell r="F10" t="str">
            <v>EE 252</v>
          </cell>
        </row>
        <row r="11">
          <cell r="A11" t="str">
            <v>ENGL 264,ED2-AE</v>
          </cell>
          <cell r="B11" t="str">
            <v>LITERATURE IN ENGLISH II</v>
          </cell>
          <cell r="C11" t="str">
            <v>Yeboah Philomena Ama Okyeso</v>
          </cell>
          <cell r="D11">
            <v>155</v>
          </cell>
          <cell r="E11" t="str">
            <v>ED2-AE</v>
          </cell>
          <cell r="F11" t="str">
            <v>ENGL 264</v>
          </cell>
        </row>
        <row r="12">
          <cell r="A12" t="str">
            <v>GE 286,ED2-AE</v>
          </cell>
          <cell r="B12" t="str">
            <v>PRINCIPLES OF SURVEYING</v>
          </cell>
          <cell r="C12" t="str">
            <v>Akwasi Afrifa Acheampong</v>
          </cell>
          <cell r="D12">
            <v>155</v>
          </cell>
          <cell r="E12" t="str">
            <v>ED2-AE</v>
          </cell>
          <cell r="F12" t="str">
            <v>GE 286</v>
          </cell>
        </row>
        <row r="13">
          <cell r="A13" t="str">
            <v>MATH 252,ED2-AE</v>
          </cell>
          <cell r="B13" t="str">
            <v>CALCULUS WITH SEVERAL VARIABLES</v>
          </cell>
          <cell r="C13" t="str">
            <v>Wireko Fredrick Asenso</v>
          </cell>
          <cell r="D13">
            <v>155</v>
          </cell>
          <cell r="E13" t="str">
            <v>ED2-AE</v>
          </cell>
          <cell r="F13" t="str">
            <v>MATH 252</v>
          </cell>
        </row>
        <row r="14">
          <cell r="A14" t="str">
            <v>ME 262,ED2-AE</v>
          </cell>
          <cell r="B14" t="str">
            <v>THEORY OF MACHINES</v>
          </cell>
          <cell r="C14" t="str">
            <v>Adam Faisal Wahib</v>
          </cell>
          <cell r="D14">
            <v>155</v>
          </cell>
          <cell r="E14" t="str">
            <v>ED2-AE</v>
          </cell>
          <cell r="F14" t="str">
            <v>ME 262</v>
          </cell>
        </row>
        <row r="15">
          <cell r="A15" t="str">
            <v>ME 282,ED2-AE</v>
          </cell>
          <cell r="B15" t="str">
            <v>MECHANICAL ENGINEERING MATERIALS II</v>
          </cell>
          <cell r="C15" t="str">
            <v>Agyemang Frank Ofori</v>
          </cell>
          <cell r="D15">
            <v>155</v>
          </cell>
          <cell r="E15" t="str">
            <v>ED2-AE</v>
          </cell>
          <cell r="F15" t="str">
            <v>ME 282</v>
          </cell>
        </row>
        <row r="16">
          <cell r="A16" t="str">
            <v>ME 296,ED2-AE</v>
          </cell>
          <cell r="B16" t="str">
            <v>MECHANICAL ENGINEERING LAB. II</v>
          </cell>
          <cell r="C16" t="str">
            <v>Boahen Samuel</v>
          </cell>
          <cell r="D16">
            <v>155</v>
          </cell>
          <cell r="E16" t="str">
            <v>ED2-AE</v>
          </cell>
          <cell r="F16" t="str">
            <v>ME 296</v>
          </cell>
        </row>
        <row r="17">
          <cell r="A17" t="str">
            <v>AE 352,ED3-AE</v>
          </cell>
          <cell r="B17" t="str">
            <v>SOIL MECHANICS APPLICATION TO MECHANISATION</v>
          </cell>
          <cell r="C17" t="str">
            <v>Agodzo Sampson Kwaku</v>
          </cell>
          <cell r="D17">
            <v>101</v>
          </cell>
          <cell r="E17" t="str">
            <v>ED3-AE</v>
          </cell>
          <cell r="F17" t="str">
            <v>AE 352</v>
          </cell>
        </row>
        <row r="18">
          <cell r="A18" t="str">
            <v>AE 356,ED3-AE</v>
          </cell>
          <cell r="B18" t="str">
            <v>FARM POWER AND MACHINERY</v>
          </cell>
          <cell r="C18" t="str">
            <v>Aikins Stephen Hill Mends</v>
          </cell>
          <cell r="D18">
            <v>101</v>
          </cell>
          <cell r="E18" t="str">
            <v>ED3-AE</v>
          </cell>
          <cell r="F18" t="str">
            <v>AE 356</v>
          </cell>
        </row>
        <row r="19">
          <cell r="A19" t="str">
            <v>AE 358,ED3-AE</v>
          </cell>
          <cell r="B19" t="str">
            <v>RENEWABLE ENERGY SYSTEMS AND MANAGEMENT</v>
          </cell>
          <cell r="C19" t="str">
            <v>Kemausuor Francis</v>
          </cell>
          <cell r="D19">
            <v>101</v>
          </cell>
          <cell r="E19" t="str">
            <v>ED3-AE</v>
          </cell>
          <cell r="F19" t="str">
            <v>AE 358</v>
          </cell>
        </row>
        <row r="20">
          <cell r="A20" t="str">
            <v>AE 360,ED3-AE</v>
          </cell>
          <cell r="B20" t="str">
            <v>RURAL ENGINEERING</v>
          </cell>
          <cell r="C20" t="str">
            <v>Mensah Ebenezer</v>
          </cell>
          <cell r="D20">
            <v>101</v>
          </cell>
          <cell r="E20" t="str">
            <v>ED3-AE</v>
          </cell>
          <cell r="F20" t="str">
            <v>AE 360</v>
          </cell>
        </row>
        <row r="21">
          <cell r="A21" t="str">
            <v>AE 362,ED3-AE</v>
          </cell>
          <cell r="B21" t="str">
            <v>RESEARCH METHODS FOR ENGINEERS</v>
          </cell>
          <cell r="C21" t="str">
            <v>Amponsah William</v>
          </cell>
          <cell r="D21">
            <v>101</v>
          </cell>
          <cell r="E21" t="str">
            <v>ED3-AE</v>
          </cell>
          <cell r="F21" t="str">
            <v>AE 362</v>
          </cell>
        </row>
        <row r="22">
          <cell r="A22" t="str">
            <v>ME 366,ED3-AE</v>
          </cell>
          <cell r="B22" t="str">
            <v>HEAT TRANSFER</v>
          </cell>
          <cell r="C22" t="str">
            <v>Forson Francis Kofi</v>
          </cell>
          <cell r="D22">
            <v>101</v>
          </cell>
          <cell r="E22" t="str">
            <v>ED3-AE</v>
          </cell>
          <cell r="F22" t="str">
            <v>ME 366</v>
          </cell>
        </row>
        <row r="23">
          <cell r="A23" t="str">
            <v>ME 374,ED3-AE</v>
          </cell>
          <cell r="B23" t="str">
            <v>MACHINE DESIGN II</v>
          </cell>
          <cell r="C23" t="str">
            <v>Afriyie Nyarko Frank Kwabena</v>
          </cell>
          <cell r="D23">
            <v>101</v>
          </cell>
          <cell r="E23" t="str">
            <v>ED3-AE</v>
          </cell>
          <cell r="F23" t="str">
            <v>ME 374</v>
          </cell>
        </row>
        <row r="24">
          <cell r="A24" t="str">
            <v>ME 376,ED3-AE</v>
          </cell>
          <cell r="B24" t="str">
            <v>INTRODUCTION TO CAD/CAM</v>
          </cell>
          <cell r="C24" t="str">
            <v>Afriyie Nyarko Frank Kwabena</v>
          </cell>
          <cell r="D24">
            <v>101</v>
          </cell>
          <cell r="E24" t="str">
            <v>ED3-AE</v>
          </cell>
          <cell r="F24" t="str">
            <v>ME 376</v>
          </cell>
        </row>
        <row r="25">
          <cell r="A25" t="str">
            <v>AE 452,ED4-AE</v>
          </cell>
          <cell r="B25" t="str">
            <v>SOIL AND WATER ENGINEERING II</v>
          </cell>
          <cell r="C25" t="str">
            <v>Agyare Wilson Agyei</v>
          </cell>
          <cell r="D25">
            <v>103</v>
          </cell>
          <cell r="E25" t="str">
            <v>ED4-AE</v>
          </cell>
          <cell r="F25" t="str">
            <v>AE 452</v>
          </cell>
        </row>
        <row r="26">
          <cell r="A26" t="str">
            <v>AE 458,ED4-AE</v>
          </cell>
          <cell r="B26" t="str">
            <v>CROP LOSSES AND THEIR CONTROL</v>
          </cell>
          <cell r="C26" t="str">
            <v xml:space="preserve">Darko Joseph Ofei </v>
          </cell>
          <cell r="D26">
            <v>103</v>
          </cell>
          <cell r="E26" t="str">
            <v>ED4-AE</v>
          </cell>
          <cell r="F26" t="str">
            <v>AE 458</v>
          </cell>
        </row>
        <row r="27">
          <cell r="A27" t="str">
            <v>AE 460,ED4-AE</v>
          </cell>
          <cell r="B27" t="str">
            <v>MAINTENANCE AND REPAIRS OF AGRIC. MACHINERY</v>
          </cell>
          <cell r="C27" t="str">
            <v>Bobobee Emmanuel Yaovi Hunnuor</v>
          </cell>
          <cell r="D27">
            <v>103</v>
          </cell>
          <cell r="E27" t="str">
            <v>ED4-AE</v>
          </cell>
          <cell r="F27" t="str">
            <v>AE 460</v>
          </cell>
        </row>
        <row r="28">
          <cell r="A28" t="str">
            <v>AE 464,ED4-AE</v>
          </cell>
          <cell r="B28" t="str">
            <v>CROP STORAGE AND STORAGE STRUCTURES</v>
          </cell>
          <cell r="C28" t="str">
            <v>Bart Plange Ato</v>
          </cell>
          <cell r="D28">
            <v>103</v>
          </cell>
          <cell r="E28" t="str">
            <v>ED4-AE</v>
          </cell>
          <cell r="F28" t="str">
            <v>AE 464</v>
          </cell>
        </row>
        <row r="29">
          <cell r="A29" t="str">
            <v>AE 482,ED4-AE</v>
          </cell>
          <cell r="B29" t="str">
            <v>FARM MACHINERY DESIGN</v>
          </cell>
          <cell r="C29" t="str">
            <v>Aveyire Joseph</v>
          </cell>
          <cell r="D29">
            <v>103</v>
          </cell>
          <cell r="E29" t="str">
            <v>ED4-AE</v>
          </cell>
          <cell r="F29" t="str">
            <v>AE 482</v>
          </cell>
        </row>
        <row r="30">
          <cell r="A30" t="str">
            <v>ME 492,ED4-AE</v>
          </cell>
          <cell r="B30" t="str">
            <v>MANAGEMENT AND ENTREPRENEURSHIP DEVELOPMENT</v>
          </cell>
          <cell r="C30" t="str">
            <v>Aikins Stephen Hill Mends</v>
          </cell>
          <cell r="D30">
            <v>103</v>
          </cell>
          <cell r="E30" t="str">
            <v>ED4-AE</v>
          </cell>
          <cell r="F30" t="str">
            <v>ME 492</v>
          </cell>
        </row>
        <row r="31">
          <cell r="A31" t="str">
            <v>AERO 174,ED1-AERO</v>
          </cell>
          <cell r="B31" t="str">
            <v>AEROSPACE DESIGN PROJECT I</v>
          </cell>
          <cell r="C31" t="str">
            <v>Afriyie Nyarko Frank Kwabena</v>
          </cell>
          <cell r="D31">
            <v>70</v>
          </cell>
          <cell r="E31" t="str">
            <v>ED1-AERO</v>
          </cell>
          <cell r="F31" t="str">
            <v>AERO 174</v>
          </cell>
        </row>
        <row r="32">
          <cell r="A32" t="str">
            <v>EE 152,ED1-AERO</v>
          </cell>
          <cell r="B32" t="str">
            <v>BASIC ELECTRONICS</v>
          </cell>
          <cell r="C32" t="str">
            <v>Nicholas Kwesi Prah II</v>
          </cell>
          <cell r="D32">
            <v>70</v>
          </cell>
          <cell r="E32" t="str">
            <v>ED1-AERO</v>
          </cell>
          <cell r="F32" t="str">
            <v>EE 152</v>
          </cell>
        </row>
        <row r="33">
          <cell r="A33" t="str">
            <v>ENGL 158,ED1-AERO</v>
          </cell>
          <cell r="B33" t="str">
            <v>COMMUNICATION SKILLS II</v>
          </cell>
          <cell r="C33" t="str">
            <v>Yeboah Philomena Ama Okyeso</v>
          </cell>
          <cell r="D33">
            <v>70</v>
          </cell>
          <cell r="E33" t="str">
            <v>ED1-AERO</v>
          </cell>
          <cell r="F33" t="str">
            <v>ENGL 158</v>
          </cell>
        </row>
        <row r="34">
          <cell r="A34" t="str">
            <v>MATH 152,ED1-AERO</v>
          </cell>
          <cell r="B34" t="str">
            <v>CALCULUS WITH ANALYSIS</v>
          </cell>
          <cell r="C34" t="str">
            <v>Ezearn Jeffery</v>
          </cell>
          <cell r="D34">
            <v>70</v>
          </cell>
          <cell r="E34" t="str">
            <v>ED1-AERO</v>
          </cell>
          <cell r="F34" t="str">
            <v>MATH 152</v>
          </cell>
        </row>
        <row r="35">
          <cell r="A35" t="str">
            <v>ME 158,ED1-AERO</v>
          </cell>
          <cell r="B35" t="str">
            <v>ENGINEERING GRAPHICS</v>
          </cell>
          <cell r="C35" t="str">
            <v>Sackey Michael Nii</v>
          </cell>
          <cell r="D35">
            <v>70</v>
          </cell>
          <cell r="E35" t="str">
            <v>ED1-AERO</v>
          </cell>
          <cell r="F35" t="str">
            <v>ME 158</v>
          </cell>
        </row>
        <row r="36">
          <cell r="A36" t="str">
            <v>ME 164,ED1-AERO</v>
          </cell>
          <cell r="B36" t="str">
            <v>STATICS OF SOLID MECHANICS</v>
          </cell>
          <cell r="C36" t="str">
            <v>Dzebre Denis Edem Kwame</v>
          </cell>
          <cell r="D36">
            <v>70</v>
          </cell>
          <cell r="E36" t="str">
            <v>ED1-AERO</v>
          </cell>
          <cell r="F36" t="str">
            <v>ME 164</v>
          </cell>
        </row>
        <row r="37">
          <cell r="A37" t="str">
            <v>ME 168,ED1-AERO</v>
          </cell>
          <cell r="B37" t="str">
            <v>COMPUTER PROGRAMMING FOR ENGINEERS</v>
          </cell>
          <cell r="C37" t="str">
            <v>Tay Godwin Fabiola Kwaku</v>
          </cell>
          <cell r="D37">
            <v>70</v>
          </cell>
          <cell r="E37" t="str">
            <v>ED1-AERO</v>
          </cell>
          <cell r="F37" t="str">
            <v>ME 168</v>
          </cell>
        </row>
        <row r="38">
          <cell r="A38" t="str">
            <v>AERO 256,ED2-AERO</v>
          </cell>
          <cell r="B38" t="str">
            <v>AEROSPACE STRUCTURES</v>
          </cell>
          <cell r="C38" t="str">
            <v>Agyei Agyemang Anthony</v>
          </cell>
          <cell r="D38">
            <v>75</v>
          </cell>
          <cell r="E38" t="str">
            <v>ED2-AERO</v>
          </cell>
          <cell r="F38" t="str">
            <v>AERO 256</v>
          </cell>
        </row>
        <row r="39">
          <cell r="A39" t="str">
            <v>AERO 274,ED2-AERO</v>
          </cell>
          <cell r="B39" t="str">
            <v>AEROSPACE DESIGN PROJECT II</v>
          </cell>
          <cell r="C39" t="str">
            <v>Andoh Prince Yaw</v>
          </cell>
          <cell r="D39">
            <v>75</v>
          </cell>
          <cell r="E39" t="str">
            <v>ED2-AERO</v>
          </cell>
          <cell r="F39" t="str">
            <v>AERO 274</v>
          </cell>
        </row>
        <row r="40">
          <cell r="A40" t="str">
            <v>ENGL 264,ED2-AERO</v>
          </cell>
          <cell r="B40" t="str">
            <v>LITERATURE IN ENGLISH II</v>
          </cell>
          <cell r="C40" t="str">
            <v>Yeboah Philomena Ama Okyeso</v>
          </cell>
          <cell r="D40">
            <v>75</v>
          </cell>
          <cell r="E40" t="str">
            <v>ED2-AERO</v>
          </cell>
          <cell r="F40" t="str">
            <v>ENGL 264</v>
          </cell>
        </row>
        <row r="41">
          <cell r="A41" t="str">
            <v>MATH 252,ED2-AERO</v>
          </cell>
          <cell r="B41" t="str">
            <v>CALCULUS WITH SEVERAL VARIABLES</v>
          </cell>
          <cell r="C41" t="str">
            <v>Wireko Fredrick Asenso</v>
          </cell>
          <cell r="D41">
            <v>75</v>
          </cell>
          <cell r="E41" t="str">
            <v>ED2-AERO</v>
          </cell>
          <cell r="F41" t="str">
            <v>MATH 252</v>
          </cell>
        </row>
        <row r="42">
          <cell r="A42" t="str">
            <v>ME 258,ED2-AERO</v>
          </cell>
          <cell r="B42" t="str">
            <v>COMPUTER-AIDED DESIGN AND MODELLING</v>
          </cell>
          <cell r="C42" t="str">
            <v>Sackey Michael Nii</v>
          </cell>
          <cell r="D42">
            <v>75</v>
          </cell>
          <cell r="E42" t="str">
            <v>ED2-AERO</v>
          </cell>
          <cell r="F42" t="str">
            <v>ME 258</v>
          </cell>
        </row>
        <row r="43">
          <cell r="A43" t="str">
            <v>ME 264,ED2-AERO</v>
          </cell>
          <cell r="B43" t="str">
            <v>MECHANISMS SYNTHESIS AND ANALYSIS I</v>
          </cell>
          <cell r="C43" t="str">
            <v>Ampofo Joshua</v>
          </cell>
          <cell r="D43">
            <v>75</v>
          </cell>
          <cell r="E43" t="str">
            <v>ED2-AERO</v>
          </cell>
          <cell r="F43" t="str">
            <v>ME 264</v>
          </cell>
        </row>
        <row r="44">
          <cell r="A44" t="str">
            <v>ME 266,ED2-AERO</v>
          </cell>
          <cell r="B44" t="str">
            <v>THERMODYNAMICS I</v>
          </cell>
          <cell r="C44" t="str">
            <v>Boahen Samuel</v>
          </cell>
          <cell r="D44">
            <v>75</v>
          </cell>
          <cell r="E44" t="str">
            <v>ED2-AERO</v>
          </cell>
          <cell r="F44" t="str">
            <v>ME 266</v>
          </cell>
        </row>
        <row r="45">
          <cell r="A45" t="str">
            <v>AERO 362,ED3-AERO</v>
          </cell>
          <cell r="B45" t="str">
            <v>AIR VEHICLE STABILITY AND CONTROL</v>
          </cell>
          <cell r="C45" t="str">
            <v>Oppong David Kofi</v>
          </cell>
          <cell r="D45">
            <v>76</v>
          </cell>
          <cell r="E45" t="str">
            <v>ED3-AERO</v>
          </cell>
          <cell r="F45" t="str">
            <v>AERO 362</v>
          </cell>
        </row>
        <row r="46">
          <cell r="A46" t="str">
            <v>AERO 368,ED3-AERO</v>
          </cell>
          <cell r="B46" t="str">
            <v>PROPULSION</v>
          </cell>
          <cell r="C46" t="str">
            <v>Bofah Kwasi Kete</v>
          </cell>
          <cell r="D46">
            <v>76</v>
          </cell>
          <cell r="E46" t="str">
            <v>ED3-AERO</v>
          </cell>
          <cell r="F46" t="str">
            <v>AERO 368</v>
          </cell>
        </row>
        <row r="47">
          <cell r="A47" t="str">
            <v>AERO 374,ED3-AERO</v>
          </cell>
          <cell r="B47" t="str">
            <v>AIRCRAFT PERFORMANCE AND DESIGN</v>
          </cell>
          <cell r="C47" t="str">
            <v>Agyei Agyemang Anthony</v>
          </cell>
          <cell r="D47">
            <v>76</v>
          </cell>
          <cell r="E47" t="str">
            <v>ED3-AERO</v>
          </cell>
          <cell r="F47" t="str">
            <v>AERO 374</v>
          </cell>
        </row>
        <row r="48">
          <cell r="A48" t="str">
            <v>AERO 396,ED3-AERO</v>
          </cell>
          <cell r="B48" t="str">
            <v>AEROSPACE ENGINEERING LAB II</v>
          </cell>
          <cell r="C48" t="str">
            <v>Oppong David Kofi</v>
          </cell>
          <cell r="D48">
            <v>76</v>
          </cell>
          <cell r="E48" t="str">
            <v>ED3-AERO</v>
          </cell>
          <cell r="F48" t="str">
            <v>AERO 396</v>
          </cell>
        </row>
        <row r="49">
          <cell r="A49" t="str">
            <v>ME 362,ED3-AERO</v>
          </cell>
          <cell r="B49" t="str">
            <v>VIBRATIONS I</v>
          </cell>
          <cell r="C49" t="str">
            <v>Adam Faisal Wahib</v>
          </cell>
          <cell r="D49">
            <v>76</v>
          </cell>
          <cell r="E49" t="str">
            <v>ED3-AERO</v>
          </cell>
          <cell r="F49" t="str">
            <v>ME 362</v>
          </cell>
        </row>
        <row r="50">
          <cell r="A50" t="str">
            <v>ME 366,ED3-AERO</v>
          </cell>
          <cell r="B50" t="str">
            <v>HEAT TRANSFER</v>
          </cell>
          <cell r="C50" t="str">
            <v>Forson Francis Kofi</v>
          </cell>
          <cell r="D50">
            <v>76</v>
          </cell>
          <cell r="E50" t="str">
            <v>ED3-AERO</v>
          </cell>
          <cell r="F50" t="str">
            <v>ME 366</v>
          </cell>
        </row>
        <row r="51">
          <cell r="A51" t="str">
            <v>ME 392,ED3-AERO</v>
          </cell>
          <cell r="B51" t="str">
            <v>INDUSTRIAL ENGINEERING AND ERGONOMICS</v>
          </cell>
          <cell r="C51" t="str">
            <v>Mensah Lena Dzifa</v>
          </cell>
          <cell r="D51">
            <v>76</v>
          </cell>
          <cell r="E51" t="str">
            <v>ED3-AERO</v>
          </cell>
          <cell r="F51" t="str">
            <v>ME 392</v>
          </cell>
        </row>
        <row r="52">
          <cell r="A52" t="str">
            <v>AERO 452,ED4-AERO</v>
          </cell>
          <cell r="B52" t="str">
            <v>AERODYNAMICS II</v>
          </cell>
          <cell r="C52" t="str">
            <v>Bofah Kwasi Kete</v>
          </cell>
          <cell r="D52">
            <v>61</v>
          </cell>
          <cell r="E52" t="str">
            <v>ED4-AERO</v>
          </cell>
          <cell r="F52" t="str">
            <v>AERO 452</v>
          </cell>
        </row>
        <row r="53">
          <cell r="A53" t="str">
            <v>AERO 456,ED4-AERO</v>
          </cell>
          <cell r="B53" t="str">
            <v>APPLIED METEOROLOGY</v>
          </cell>
          <cell r="C53" t="str">
            <v>Prince Junior Asilevi</v>
          </cell>
          <cell r="D53">
            <v>61</v>
          </cell>
          <cell r="E53" t="str">
            <v>ED4-AERO</v>
          </cell>
          <cell r="F53" t="str">
            <v>AERO 456</v>
          </cell>
        </row>
        <row r="54">
          <cell r="A54" t="str">
            <v>AERO 492,ED4-AERO</v>
          </cell>
          <cell r="B54" t="str">
            <v>AEROSPACE SAFETY AND AIR SECURITY</v>
          </cell>
          <cell r="C54" t="str">
            <v xml:space="preserve">Peter Oppong Tawiah </v>
          </cell>
          <cell r="D54">
            <v>61</v>
          </cell>
          <cell r="E54" t="str">
            <v>ED4-AERO</v>
          </cell>
          <cell r="F54" t="str">
            <v>AERO 492</v>
          </cell>
        </row>
        <row r="55">
          <cell r="A55" t="str">
            <v>ME 462,ED4-AERO</v>
          </cell>
          <cell r="B55" t="str">
            <v>MECHANISMS SYNTHESIS AND ANALYSIS II</v>
          </cell>
          <cell r="C55" t="str">
            <v>David Kofi Oppong</v>
          </cell>
          <cell r="D55">
            <v>17</v>
          </cell>
          <cell r="E55" t="str">
            <v>ED4-AERO</v>
          </cell>
          <cell r="F55" t="str">
            <v>ME 462</v>
          </cell>
        </row>
        <row r="56">
          <cell r="A56" t="str">
            <v>ME 468,ED4-AERO</v>
          </cell>
          <cell r="B56" t="str">
            <v>INTERNAL COMBUSTION ENGINES</v>
          </cell>
          <cell r="C56" t="str">
            <v>Forson Francis Kofi</v>
          </cell>
          <cell r="D56">
            <v>5</v>
          </cell>
          <cell r="E56" t="str">
            <v>ED4-AERO</v>
          </cell>
          <cell r="F56" t="str">
            <v>ME 468</v>
          </cell>
        </row>
        <row r="57">
          <cell r="A57" t="str">
            <v>ME 472,ED4-AERO</v>
          </cell>
          <cell r="B57" t="str">
            <v>MACHINE SHOP AND FACTORY DESIGN</v>
          </cell>
          <cell r="C57" t="str">
            <v>Obeng George Yaw</v>
          </cell>
          <cell r="D57">
            <v>52</v>
          </cell>
          <cell r="E57" t="str">
            <v>ED4-AERO</v>
          </cell>
          <cell r="F57" t="str">
            <v>ME 472</v>
          </cell>
        </row>
        <row r="58">
          <cell r="A58" t="str">
            <v>ME 492,ED4-AERO</v>
          </cell>
          <cell r="B58" t="str">
            <v>MANAGEMENT AND ENTREPRENEURSHIP DEVELOPMENT</v>
          </cell>
          <cell r="C58" t="str">
            <v>Mensah Lena Dzifa</v>
          </cell>
          <cell r="D58">
            <v>61</v>
          </cell>
          <cell r="E58" t="str">
            <v>ED4-AERO</v>
          </cell>
          <cell r="F58" t="str">
            <v>ME 492</v>
          </cell>
        </row>
        <row r="59">
          <cell r="A59" t="str">
            <v>IE 458,ED4-AERO</v>
          </cell>
          <cell r="B59" t="str">
            <v>HUMAN FACTORS AND ERGONOMICS</v>
          </cell>
          <cell r="C59" t="str">
            <v>Sackey Samuel Mensah</v>
          </cell>
          <cell r="D59">
            <v>5</v>
          </cell>
          <cell r="E59" t="str">
            <v>ED4-AERO</v>
          </cell>
          <cell r="F59" t="str">
            <v>IE 458</v>
          </cell>
        </row>
        <row r="60">
          <cell r="A60" t="str">
            <v>EE 152,ED1-AUTO</v>
          </cell>
          <cell r="B60" t="str">
            <v>BASIC ELECTRONICS</v>
          </cell>
          <cell r="C60" t="str">
            <v>Kwegyir Daniel</v>
          </cell>
          <cell r="D60">
            <v>85</v>
          </cell>
          <cell r="E60" t="str">
            <v>ED1-AUTO</v>
          </cell>
          <cell r="F60" t="str">
            <v>EE 152</v>
          </cell>
        </row>
        <row r="61">
          <cell r="A61" t="str">
            <v>ENGL 158,ED1-AUTO</v>
          </cell>
          <cell r="B61" t="str">
            <v>COMMUNICATION SKILLS II</v>
          </cell>
          <cell r="C61" t="str">
            <v>Sarfo-Adu Kwasi</v>
          </cell>
          <cell r="D61">
            <v>85</v>
          </cell>
          <cell r="E61" t="str">
            <v>ED1-AUTO</v>
          </cell>
          <cell r="F61" t="str">
            <v>ENGL 158</v>
          </cell>
        </row>
        <row r="62">
          <cell r="A62" t="str">
            <v>MATH 152,ED1-AUTO</v>
          </cell>
          <cell r="B62" t="str">
            <v>CALCULUS WITH ANALYSIS</v>
          </cell>
          <cell r="C62" t="str">
            <v>Lawton Adu-Ansah</v>
          </cell>
          <cell r="D62">
            <v>85</v>
          </cell>
          <cell r="E62" t="str">
            <v>ED1-AUTO</v>
          </cell>
          <cell r="F62" t="str">
            <v>MATH 152</v>
          </cell>
        </row>
        <row r="63">
          <cell r="A63" t="str">
            <v>ME 160,ED1-AUTO</v>
          </cell>
          <cell r="B63" t="str">
            <v>ENGINEERING DRAWING</v>
          </cell>
          <cell r="C63" t="str">
            <v>Sekyere Charles Kofi Kafui</v>
          </cell>
          <cell r="D63">
            <v>85</v>
          </cell>
          <cell r="E63" t="str">
            <v>ED1-AUTO</v>
          </cell>
          <cell r="F63" t="str">
            <v>ME 160</v>
          </cell>
        </row>
        <row r="64">
          <cell r="A64" t="str">
            <v>ME 164,ED1-AUTO</v>
          </cell>
          <cell r="B64" t="str">
            <v>STATICS OF SOLID MECHANICS</v>
          </cell>
          <cell r="C64" t="str">
            <v>Oppong David Kofi</v>
          </cell>
          <cell r="D64">
            <v>85</v>
          </cell>
          <cell r="E64" t="str">
            <v>ED1-AUTO</v>
          </cell>
          <cell r="F64" t="str">
            <v>ME 164</v>
          </cell>
        </row>
        <row r="65">
          <cell r="A65" t="str">
            <v>ME 174,ED1-AUTO</v>
          </cell>
          <cell r="B65" t="str">
            <v>PRODUCT DESIGN AND MANUFACTURING</v>
          </cell>
          <cell r="C65" t="str">
            <v>Afriyie Nyarko Frank Kwabena</v>
          </cell>
          <cell r="D65">
            <v>85</v>
          </cell>
          <cell r="E65" t="str">
            <v>ED1-AUTO</v>
          </cell>
          <cell r="F65" t="str">
            <v>ME 174</v>
          </cell>
        </row>
        <row r="66">
          <cell r="A66" t="str">
            <v>AME 156,ED1-AUTO</v>
          </cell>
          <cell r="B66" t="str">
            <v>BASIC THERMODYNAMICS</v>
          </cell>
          <cell r="C66" t="str">
            <v>Samuel Boahen</v>
          </cell>
          <cell r="D66">
            <v>85</v>
          </cell>
          <cell r="E66" t="str">
            <v>ED1-AUTO</v>
          </cell>
          <cell r="F66" t="str">
            <v>AME 156</v>
          </cell>
        </row>
        <row r="67">
          <cell r="A67" t="str">
            <v>AME 274,ED2-AUTO</v>
          </cell>
          <cell r="B67" t="str">
            <v>AUTOMOTIVE DESIGN PROJECT</v>
          </cell>
          <cell r="C67" t="str">
            <v>Andoh Prince Yaw</v>
          </cell>
          <cell r="D67">
            <v>82</v>
          </cell>
          <cell r="E67" t="str">
            <v>ED2-AUTO</v>
          </cell>
          <cell r="F67" t="str">
            <v>AME 274</v>
          </cell>
        </row>
        <row r="68">
          <cell r="A68" t="str">
            <v>AME 256,ED2-AUTO</v>
          </cell>
          <cell r="B68" t="str">
            <v>AUTOMOTIVE CHASSIS</v>
          </cell>
          <cell r="C68" t="str">
            <v>Ayetor Godwin Kafui Kwesi</v>
          </cell>
          <cell r="D68">
            <v>82</v>
          </cell>
          <cell r="E68" t="str">
            <v>ED2-AUTO</v>
          </cell>
          <cell r="F68" t="str">
            <v>AME 256</v>
          </cell>
        </row>
        <row r="69">
          <cell r="A69" t="str">
            <v>AME 252,ED2-AUTO</v>
          </cell>
          <cell r="B69" t="str">
            <v>AUTOMOTIVE ELECTRICAL SYSTEMS AND ELECTRONICS</v>
          </cell>
          <cell r="C69" t="str">
            <v>Ayetor Godwin Kafui Kwesi</v>
          </cell>
          <cell r="D69">
            <v>82</v>
          </cell>
          <cell r="E69" t="str">
            <v>ED2-AUTO</v>
          </cell>
          <cell r="F69" t="str">
            <v>AME 252</v>
          </cell>
        </row>
        <row r="70">
          <cell r="A70" t="str">
            <v>AME 296,ED2-AUTO</v>
          </cell>
          <cell r="B70" t="str">
            <v>AUTOMOBILE ENGINEERING LABORATORY II</v>
          </cell>
          <cell r="C70" t="str">
            <v>Ayetor Godwin Kafui Kwesi</v>
          </cell>
          <cell r="D70">
            <v>82</v>
          </cell>
          <cell r="E70" t="str">
            <v>ED2-AUTO</v>
          </cell>
          <cell r="F70" t="str">
            <v>AME 296</v>
          </cell>
        </row>
        <row r="71">
          <cell r="A71" t="str">
            <v>MATH 252,ED2-AUTO</v>
          </cell>
          <cell r="B71" t="str">
            <v>CALCULUS WITH SEVERAL VARIABLES</v>
          </cell>
          <cell r="C71" t="str">
            <v>Eghan Rhydal Esi</v>
          </cell>
          <cell r="D71">
            <v>82</v>
          </cell>
          <cell r="E71" t="str">
            <v>ED2-AUTO</v>
          </cell>
          <cell r="F71" t="str">
            <v>MATH 252</v>
          </cell>
        </row>
        <row r="72">
          <cell r="A72" t="str">
            <v>ME 252,ED2-AUTO</v>
          </cell>
          <cell r="B72" t="str">
            <v>FLUID DYNAMICS I</v>
          </cell>
          <cell r="C72" t="str">
            <v>Fiagbe Yesuenyeagbe Atsu Kwabla</v>
          </cell>
          <cell r="D72">
            <v>82</v>
          </cell>
          <cell r="E72" t="str">
            <v>ED2-AUTO</v>
          </cell>
          <cell r="F72" t="str">
            <v>ME 252</v>
          </cell>
        </row>
        <row r="73">
          <cell r="A73" t="str">
            <v>ME 264,ED2-AUTO</v>
          </cell>
          <cell r="B73" t="str">
            <v>MECHANISMS SYNTHESIS AND ANALYSIS I</v>
          </cell>
          <cell r="C73" t="str">
            <v>Ampofo Joshua</v>
          </cell>
          <cell r="D73">
            <v>82</v>
          </cell>
          <cell r="E73" t="str">
            <v>ED2-AUTO</v>
          </cell>
          <cell r="F73" t="str">
            <v>ME 264</v>
          </cell>
        </row>
        <row r="74">
          <cell r="A74" t="str">
            <v>ME 270,ED2-AUTO</v>
          </cell>
          <cell r="B74" t="str">
            <v>MANUFACTURING TECHNOLOGY</v>
          </cell>
          <cell r="C74" t="str">
            <v>Boahen Samuel</v>
          </cell>
          <cell r="D74">
            <v>82</v>
          </cell>
          <cell r="E74" t="str">
            <v>ED2-AUTO</v>
          </cell>
          <cell r="F74" t="str">
            <v>ME 270</v>
          </cell>
        </row>
        <row r="75">
          <cell r="A75" t="str">
            <v>AME 356,ED3-AUTO</v>
          </cell>
          <cell r="B75" t="str">
            <v>LAND VEHICLE STRUCTURES</v>
          </cell>
          <cell r="C75" t="str">
            <v>Ayetor Godwin Kafui Kwesi</v>
          </cell>
          <cell r="D75">
            <v>40</v>
          </cell>
          <cell r="E75" t="str">
            <v>ED3-AUTO</v>
          </cell>
          <cell r="F75" t="str">
            <v>AME 356</v>
          </cell>
        </row>
        <row r="76">
          <cell r="A76" t="str">
            <v>AME 362,ED3-AUTO</v>
          </cell>
          <cell r="B76" t="str">
            <v>VIBRATIONS FOR AUTOMOBILE ENGINEERS</v>
          </cell>
          <cell r="C76" t="str">
            <v>Adam Faisal Wahib</v>
          </cell>
          <cell r="D76">
            <v>40</v>
          </cell>
          <cell r="E76" t="str">
            <v>ED3-AUTO</v>
          </cell>
          <cell r="F76" t="str">
            <v>AME 362</v>
          </cell>
        </row>
        <row r="77">
          <cell r="A77" t="str">
            <v>AME 368,ED3-AUTO</v>
          </cell>
          <cell r="B77" t="str">
            <v>AUTOMOTIVE SPARK-IGNITION ENGINES</v>
          </cell>
          <cell r="C77" t="str">
            <v>Abu Frimpong Solomon</v>
          </cell>
          <cell r="D77">
            <v>40</v>
          </cell>
          <cell r="E77" t="str">
            <v>ED3-AUTO</v>
          </cell>
          <cell r="F77" t="str">
            <v>AME 368</v>
          </cell>
        </row>
        <row r="78">
          <cell r="A78" t="str">
            <v>AME 376,ED3-AUTO</v>
          </cell>
          <cell r="B78" t="str">
            <v>AUTOMOTIVE CHASSIS</v>
          </cell>
          <cell r="C78" t="str">
            <v>Ayetor Godwin Kafui Kwesi</v>
          </cell>
          <cell r="D78">
            <v>40</v>
          </cell>
          <cell r="E78" t="str">
            <v>ED3-AUTO</v>
          </cell>
          <cell r="F78" t="str">
            <v>AME 376</v>
          </cell>
        </row>
        <row r="79">
          <cell r="A79" t="str">
            <v>AME 384,ED3-AUTO</v>
          </cell>
          <cell r="B79" t="str">
            <v>MICROPROCESSORS AND MECHATRONICS APPLICATIONS</v>
          </cell>
          <cell r="C79" t="str">
            <v>Sackey Michael Nii</v>
          </cell>
          <cell r="D79">
            <v>40</v>
          </cell>
          <cell r="E79" t="str">
            <v>ED3-AUTO</v>
          </cell>
          <cell r="F79" t="str">
            <v>AME 384</v>
          </cell>
        </row>
        <row r="80">
          <cell r="A80" t="str">
            <v>AME 386,ED3-AUTO</v>
          </cell>
          <cell r="B80" t="str">
            <v>MANUAL POWER TRAIN</v>
          </cell>
          <cell r="C80" t="str">
            <v>Abu Frimpong Solomon</v>
          </cell>
          <cell r="D80">
            <v>40</v>
          </cell>
          <cell r="E80" t="str">
            <v>ED3-AUTO</v>
          </cell>
          <cell r="F80" t="str">
            <v>AME 386</v>
          </cell>
        </row>
        <row r="81">
          <cell r="A81" t="str">
            <v>AME 392,ED3-AUTO</v>
          </cell>
          <cell r="B81" t="str">
            <v>INDUSTRIAL ENGINEERING AND ERGONOMICS</v>
          </cell>
          <cell r="C81" t="str">
            <v>Mensah Lena Dzifa</v>
          </cell>
          <cell r="D81">
            <v>40</v>
          </cell>
          <cell r="E81" t="str">
            <v>ED3-AUTO</v>
          </cell>
          <cell r="F81" t="str">
            <v>AME 392</v>
          </cell>
        </row>
        <row r="82">
          <cell r="A82" t="str">
            <v>AME 396,ED3-AUTO</v>
          </cell>
          <cell r="B82" t="str">
            <v>AUTOMOBILE ENGINEERING LABORATORY IV</v>
          </cell>
          <cell r="C82" t="str">
            <v>Ayetor Godwin Kafui Kwesi</v>
          </cell>
          <cell r="D82">
            <v>40</v>
          </cell>
          <cell r="E82" t="str">
            <v>ED3-AUTO</v>
          </cell>
          <cell r="F82" t="str">
            <v>AME 396</v>
          </cell>
        </row>
        <row r="83">
          <cell r="A83" t="str">
            <v>AME 476,ED4-AUTO</v>
          </cell>
          <cell r="B83" t="str">
            <v>MODERN AUTOMOBILE TECHNOLOGY</v>
          </cell>
          <cell r="C83" t="str">
            <v>Ayetor Godwin Kafui Kwesi</v>
          </cell>
          <cell r="D83">
            <v>32</v>
          </cell>
          <cell r="E83" t="str">
            <v>ED4-AUTO</v>
          </cell>
          <cell r="F83" t="str">
            <v>AME 476</v>
          </cell>
        </row>
        <row r="84">
          <cell r="A84" t="str">
            <v>AME 482,ED4-AUTO</v>
          </cell>
          <cell r="B84" t="str">
            <v>SPECIAL VEHICLE DESIGN</v>
          </cell>
          <cell r="C84" t="str">
            <v>Ayetor Godwin Kafui Kwesi</v>
          </cell>
          <cell r="D84">
            <v>32</v>
          </cell>
          <cell r="E84" t="str">
            <v>ED4-AUTO</v>
          </cell>
          <cell r="F84" t="str">
            <v>AME 482</v>
          </cell>
        </row>
        <row r="85">
          <cell r="A85" t="str">
            <v>AME 496,ED4-AUTO</v>
          </cell>
          <cell r="B85" t="str">
            <v>VEHICLE MAINTENANCE AND REGULATION</v>
          </cell>
          <cell r="C85" t="str">
            <v>Abu Frimpong Solomon</v>
          </cell>
          <cell r="D85">
            <v>32</v>
          </cell>
          <cell r="E85" t="str">
            <v>ED4-AUTO</v>
          </cell>
          <cell r="F85" t="str">
            <v>AME 496</v>
          </cell>
        </row>
        <row r="86">
          <cell r="A86" t="str">
            <v>AME 498,ED4-AUTO</v>
          </cell>
          <cell r="B86" t="str">
            <v>FINAL YEAR PROJECT II</v>
          </cell>
          <cell r="D86">
            <v>32</v>
          </cell>
          <cell r="E86" t="str">
            <v>ED4-AUTO</v>
          </cell>
          <cell r="F86" t="str">
            <v>AME 498</v>
          </cell>
        </row>
        <row r="87">
          <cell r="A87" t="str">
            <v>ME 456,ED4-AUTO</v>
          </cell>
          <cell r="B87" t="str">
            <v>INTRODUCTION TO FINITE ELEMENT</v>
          </cell>
          <cell r="C87" t="str">
            <v>Andoh Prince Yaw</v>
          </cell>
          <cell r="D87">
            <v>32</v>
          </cell>
          <cell r="E87" t="str">
            <v>ED4-AUTO</v>
          </cell>
          <cell r="F87" t="str">
            <v>ME 456</v>
          </cell>
        </row>
        <row r="88">
          <cell r="A88" t="str">
            <v>ME 492,ED4-AUTO</v>
          </cell>
          <cell r="B88" t="str">
            <v>MANAGEMENT AND ENTREPRENEURSHIP DEVELOPMENT</v>
          </cell>
          <cell r="C88" t="str">
            <v>Mensah Lena Dzifa</v>
          </cell>
          <cell r="D88">
            <v>32</v>
          </cell>
          <cell r="E88" t="str">
            <v>ED4-AUTO</v>
          </cell>
          <cell r="F88" t="str">
            <v>ME 492</v>
          </cell>
        </row>
        <row r="89">
          <cell r="A89" t="str">
            <v>COE 152,ED1-BME</v>
          </cell>
          <cell r="B89" t="str">
            <v>BASIC ELECTRONICS</v>
          </cell>
          <cell r="C89" t="str">
            <v>Addo Daniel Akwei</v>
          </cell>
          <cell r="D89">
            <v>136</v>
          </cell>
          <cell r="E89" t="str">
            <v>ED1-BME</v>
          </cell>
          <cell r="F89" t="str">
            <v>COE 152</v>
          </cell>
        </row>
        <row r="90">
          <cell r="A90" t="str">
            <v>ENGL 158,ED1-BME</v>
          </cell>
          <cell r="B90" t="str">
            <v>COMMUNICATION SKILLS II</v>
          </cell>
          <cell r="C90" t="str">
            <v>Yeboah Philomena Ama Okyeso</v>
          </cell>
          <cell r="D90">
            <v>136</v>
          </cell>
          <cell r="E90" t="str">
            <v>ED1-BME</v>
          </cell>
          <cell r="F90" t="str">
            <v>ENGL 158</v>
          </cell>
        </row>
        <row r="91">
          <cell r="A91" t="str">
            <v>MATH 152,ED1-BME</v>
          </cell>
          <cell r="B91" t="str">
            <v>CALCULUS WITH ANALYSIS</v>
          </cell>
          <cell r="C91" t="str">
            <v>Asamoah Joshua Kiddy Kwasi</v>
          </cell>
          <cell r="D91">
            <v>136</v>
          </cell>
          <cell r="E91" t="str">
            <v>ED1-BME</v>
          </cell>
          <cell r="F91" t="str">
            <v>MATH 152</v>
          </cell>
        </row>
        <row r="92">
          <cell r="A92" t="str">
            <v>PHY 154,ED1-BME</v>
          </cell>
          <cell r="B92" t="str">
            <v>PROPERTIES OF MATTER</v>
          </cell>
          <cell r="C92" t="str">
            <v>Reginald Mensah Noye</v>
          </cell>
          <cell r="D92">
            <v>136</v>
          </cell>
          <cell r="E92" t="str">
            <v>ED1-BME</v>
          </cell>
          <cell r="F92" t="str">
            <v>PHY 154</v>
          </cell>
        </row>
        <row r="93">
          <cell r="A93" t="str">
            <v>SOC 152,ED1-BME</v>
          </cell>
          <cell r="B93" t="str">
            <v>INTRODUCTION TO SOCIOLOGY II</v>
          </cell>
          <cell r="C93" t="str">
            <v>Jones Opoku-Ware</v>
          </cell>
          <cell r="D93">
            <v>136</v>
          </cell>
          <cell r="E93" t="str">
            <v>ED1-BME</v>
          </cell>
          <cell r="F93" t="str">
            <v>SOC 152</v>
          </cell>
        </row>
        <row r="94">
          <cell r="A94" t="str">
            <v>BME 166,ED1-BME</v>
          </cell>
          <cell r="B94" t="str">
            <v>BIOCHEMISTRY</v>
          </cell>
          <cell r="C94" t="str">
            <v>Charles Apprey</v>
          </cell>
          <cell r="D94">
            <v>136</v>
          </cell>
          <cell r="E94" t="str">
            <v>ED1-BME</v>
          </cell>
          <cell r="F94" t="str">
            <v>BME 166</v>
          </cell>
        </row>
        <row r="95">
          <cell r="A95" t="str">
            <v>ME 166,ED1-BME</v>
          </cell>
          <cell r="B95" t="str">
            <v xml:space="preserve">APPLIED THERMODYNAMICS </v>
          </cell>
          <cell r="C95" t="str">
            <v>Amoabeng Kofi Owura</v>
          </cell>
          <cell r="D95">
            <v>136</v>
          </cell>
          <cell r="E95" t="str">
            <v>ED1-BME</v>
          </cell>
          <cell r="F95" t="str">
            <v>ME 166</v>
          </cell>
        </row>
        <row r="96">
          <cell r="A96" t="str">
            <v>CSM 158,ED2-BME</v>
          </cell>
          <cell r="B96" t="str">
            <v>FINANCIAL ACCOUNTING II</v>
          </cell>
          <cell r="C96" t="str">
            <v>Yeboah Edward</v>
          </cell>
          <cell r="D96">
            <v>18</v>
          </cell>
          <cell r="E96" t="str">
            <v>ED2-BME</v>
          </cell>
          <cell r="F96" t="str">
            <v>CSM 158</v>
          </cell>
        </row>
        <row r="97">
          <cell r="A97" t="str">
            <v>BME 286,ED2-BME</v>
          </cell>
          <cell r="B97" t="str">
            <v>ANATOMY AND PHYSIOLOGY FOR ENGINEERS II</v>
          </cell>
          <cell r="C97" t="str">
            <v>Agyapong Dorothy Araba Yakoba</v>
          </cell>
          <cell r="D97">
            <v>80</v>
          </cell>
          <cell r="E97" t="str">
            <v>ED2-BME</v>
          </cell>
          <cell r="F97" t="str">
            <v>BME 286</v>
          </cell>
        </row>
        <row r="98">
          <cell r="A98" t="str">
            <v>COE 288,ED2-BME</v>
          </cell>
          <cell r="B98" t="str">
            <v>CIRCUIT THEORY</v>
          </cell>
          <cell r="C98" t="str">
            <v>Yeboah-Akowuah Bright</v>
          </cell>
          <cell r="D98">
            <v>80</v>
          </cell>
          <cell r="E98" t="str">
            <v>ED2-BME</v>
          </cell>
          <cell r="F98" t="str">
            <v>COE 288</v>
          </cell>
        </row>
        <row r="99">
          <cell r="A99" t="str">
            <v>COE 254,ED2-BME</v>
          </cell>
          <cell r="B99" t="str">
            <v>OBJECT-ORIENTED PROGRAMMING</v>
          </cell>
          <cell r="C99" t="str">
            <v>Adjaidoo Theresa-Samuelle Maame Atwemaah</v>
          </cell>
          <cell r="D99">
            <v>80</v>
          </cell>
          <cell r="E99" t="str">
            <v>ED2-BME</v>
          </cell>
          <cell r="F99" t="str">
            <v>COE 254</v>
          </cell>
        </row>
        <row r="100">
          <cell r="A100" t="str">
            <v>COE 272,ED2-BME</v>
          </cell>
          <cell r="B100" t="str">
            <v>DIGITAL SYSTEMS DESIGN I</v>
          </cell>
          <cell r="C100" t="str">
            <v>Nunoo-Mensah Henry</v>
          </cell>
          <cell r="D100">
            <v>80</v>
          </cell>
          <cell r="E100" t="str">
            <v>ED2-BME</v>
          </cell>
          <cell r="F100" t="str">
            <v>COE 272</v>
          </cell>
        </row>
        <row r="101">
          <cell r="A101" t="str">
            <v>ECON 152,ED2-BME</v>
          </cell>
          <cell r="B101" t="str">
            <v>ELEMENTS OF ECONOMICS II</v>
          </cell>
          <cell r="C101" t="str">
            <v>Paul Owusu Takyi</v>
          </cell>
          <cell r="D101">
            <v>20</v>
          </cell>
          <cell r="E101" t="str">
            <v>ED2-BME</v>
          </cell>
          <cell r="F101" t="str">
            <v>ECON 152</v>
          </cell>
        </row>
        <row r="102">
          <cell r="A102" t="str">
            <v>FC 182,ED2-BME</v>
          </cell>
          <cell r="B102" t="str">
            <v>FRENCH FOR COMMUNICATION II</v>
          </cell>
          <cell r="C102" t="str">
            <v>Pharis Jeel Darko</v>
          </cell>
          <cell r="D102">
            <v>43</v>
          </cell>
          <cell r="E102" t="str">
            <v>ED2-BME</v>
          </cell>
          <cell r="F102" t="str">
            <v>FC 182</v>
          </cell>
        </row>
        <row r="103">
          <cell r="A103" t="str">
            <v>MATH 252,ED2-BME</v>
          </cell>
          <cell r="B103" t="str">
            <v>CALCULUS WITH SEVERAL VARIABLES</v>
          </cell>
          <cell r="C103" t="str">
            <v>Eghan Rhydal Esi</v>
          </cell>
          <cell r="D103">
            <v>80</v>
          </cell>
          <cell r="E103" t="str">
            <v>ED2-BME</v>
          </cell>
          <cell r="F103" t="str">
            <v>MATH 252</v>
          </cell>
        </row>
        <row r="104">
          <cell r="A104" t="str">
            <v>MSE 154,ED2-BME</v>
          </cell>
          <cell r="B104" t="str">
            <v>PRINCIPLES OF MATERIAL SCIENCE</v>
          </cell>
          <cell r="C104" t="str">
            <v>Agyemang Frank Ofori</v>
          </cell>
          <cell r="D104">
            <v>80</v>
          </cell>
          <cell r="E104" t="str">
            <v>ED2-BME</v>
          </cell>
          <cell r="F104" t="str">
            <v>MSE 154</v>
          </cell>
        </row>
        <row r="105">
          <cell r="A105" t="str">
            <v>BME 362,ED3-BME</v>
          </cell>
          <cell r="B105" t="str">
            <v>BIOMATERIALS I</v>
          </cell>
          <cell r="C105" t="str">
            <v>Odame Prince</v>
          </cell>
          <cell r="D105">
            <v>90</v>
          </cell>
          <cell r="E105" t="str">
            <v>ED3-BME</v>
          </cell>
          <cell r="F105" t="str">
            <v>BME 362</v>
          </cell>
        </row>
        <row r="106">
          <cell r="A106" t="str">
            <v>BME 364,ED3-BME</v>
          </cell>
          <cell r="B106" t="str">
            <v>MEDICAL IMAGING I</v>
          </cell>
          <cell r="C106" t="str">
            <v>Kotei Addison Eric Clement</v>
          </cell>
          <cell r="D106">
            <v>90</v>
          </cell>
          <cell r="E106" t="str">
            <v>ED3-BME</v>
          </cell>
          <cell r="F106" t="str">
            <v>BME 364</v>
          </cell>
        </row>
        <row r="107">
          <cell r="A107" t="str">
            <v>BME 366,ED3-BME</v>
          </cell>
          <cell r="B107" t="str">
            <v>BIOSIGNAL PROCESSES AND ANALYSIS</v>
          </cell>
          <cell r="C107" t="str">
            <v>Adjei Prince Ebenezer</v>
          </cell>
          <cell r="D107">
            <v>90</v>
          </cell>
          <cell r="E107" t="str">
            <v>ED3-BME</v>
          </cell>
          <cell r="F107" t="str">
            <v>BME 366</v>
          </cell>
        </row>
        <row r="108">
          <cell r="A108" t="str">
            <v>BME 372,ED3-BME</v>
          </cell>
          <cell r="B108" t="str">
            <v>BIOINSTRUMENTATION I</v>
          </cell>
          <cell r="C108" t="str">
            <v>Acquah Isaac</v>
          </cell>
          <cell r="D108">
            <v>90</v>
          </cell>
          <cell r="E108" t="str">
            <v>ED3-BME</v>
          </cell>
          <cell r="F108" t="str">
            <v>BME 372</v>
          </cell>
        </row>
        <row r="109">
          <cell r="A109" t="str">
            <v>BME 374,ED3-BME</v>
          </cell>
          <cell r="B109" t="str">
            <v>BIOMEDICAL OPTICS</v>
          </cell>
          <cell r="C109" t="str">
            <v>Kotei Addison Eric Clement</v>
          </cell>
          <cell r="D109">
            <v>90</v>
          </cell>
          <cell r="E109" t="str">
            <v>ED3-BME</v>
          </cell>
          <cell r="F109" t="str">
            <v>BME 374</v>
          </cell>
        </row>
        <row r="110">
          <cell r="A110" t="str">
            <v>COE 358,ED3-BME</v>
          </cell>
          <cell r="B110" t="str">
            <v>EMBEDDED SYSTEMS</v>
          </cell>
          <cell r="C110" t="str">
            <v>Kommey Benjamin</v>
          </cell>
          <cell r="D110">
            <v>90</v>
          </cell>
          <cell r="E110" t="str">
            <v>ED3-BME</v>
          </cell>
          <cell r="F110" t="str">
            <v>COE 358</v>
          </cell>
        </row>
        <row r="111">
          <cell r="A111" t="str">
            <v>BME 454,ED4-BME</v>
          </cell>
          <cell r="B111" t="str">
            <v>MEDICAL DEVICE REGULATION</v>
          </cell>
          <cell r="C111" t="str">
            <v>Acquah Isaac</v>
          </cell>
          <cell r="D111">
            <v>87</v>
          </cell>
          <cell r="E111" t="str">
            <v>ED4-BME</v>
          </cell>
          <cell r="F111" t="str">
            <v>BME 454</v>
          </cell>
        </row>
        <row r="112">
          <cell r="A112" t="str">
            <v>BME 462,ED4-BME</v>
          </cell>
          <cell r="B112" t="str">
            <v>BIOMECHANICS II</v>
          </cell>
          <cell r="C112" t="str">
            <v>Odame Prince</v>
          </cell>
          <cell r="D112">
            <v>87</v>
          </cell>
          <cell r="E112" t="str">
            <v>ED4-BME</v>
          </cell>
          <cell r="F112" t="str">
            <v>BME 462</v>
          </cell>
        </row>
        <row r="113">
          <cell r="A113" t="str">
            <v>COE 472,ED4-BME</v>
          </cell>
          <cell r="B113" t="str">
            <v>DIGITAL SIGNAL PROCESSING</v>
          </cell>
          <cell r="C113" t="str">
            <v>Adjei Prince Ebenezer</v>
          </cell>
          <cell r="D113">
            <v>87</v>
          </cell>
          <cell r="E113" t="str">
            <v>ED4-BME</v>
          </cell>
          <cell r="F113" t="str">
            <v>COE 472</v>
          </cell>
        </row>
        <row r="114">
          <cell r="A114" t="str">
            <v>ME 492,ED4-BME</v>
          </cell>
          <cell r="B114" t="str">
            <v>ENTREPRENEURSHIP DEVELOPMENT</v>
          </cell>
          <cell r="C114" t="str">
            <v>Aikins Stephen Hill Mends</v>
          </cell>
          <cell r="D114">
            <v>87</v>
          </cell>
          <cell r="E114" t="str">
            <v>ED4-BME</v>
          </cell>
          <cell r="F114" t="str">
            <v>ME 492</v>
          </cell>
        </row>
        <row r="115">
          <cell r="A115" t="str">
            <v>ARC 156,ED1-CE</v>
          </cell>
          <cell r="B115" t="str">
            <v>INTRODUCTION TO LIGHTING AND ACOUSTICS</v>
          </cell>
          <cell r="C115" t="str">
            <v>Amos-Abanyie Samuel</v>
          </cell>
          <cell r="D115">
            <v>55</v>
          </cell>
          <cell r="E115" t="str">
            <v>ED1-CE</v>
          </cell>
          <cell r="F115" t="str">
            <v>ARC 156</v>
          </cell>
        </row>
        <row r="116">
          <cell r="A116" t="str">
            <v>CE 154,ED1-CE</v>
          </cell>
          <cell r="B116" t="str">
            <v>PROPERTIES OF CIVIL ENGINEERING MATERIAL</v>
          </cell>
          <cell r="C116" t="str">
            <v>Kankam Charles Kwame</v>
          </cell>
          <cell r="D116">
            <v>245</v>
          </cell>
          <cell r="E116" t="str">
            <v>ED1-CE</v>
          </cell>
          <cell r="F116" t="str">
            <v>CE 154</v>
          </cell>
        </row>
        <row r="117">
          <cell r="A117" t="str">
            <v>CE 156,ED1-CE</v>
          </cell>
          <cell r="B117" t="str">
            <v>ELEMENTARY FLUIDS MECHANICS</v>
          </cell>
          <cell r="C117" t="str">
            <v>Gyamfi Charles</v>
          </cell>
          <cell r="D117">
            <v>245</v>
          </cell>
          <cell r="E117" t="str">
            <v>ED1-CE</v>
          </cell>
          <cell r="F117" t="str">
            <v>CE 156</v>
          </cell>
        </row>
        <row r="118">
          <cell r="A118" t="str">
            <v>CE 164,ED1-CE</v>
          </cell>
          <cell r="B118" t="str">
            <v>CIVIL ENGINEERING DRAWING</v>
          </cell>
          <cell r="C118" t="str">
            <v>Osei Jack Banahene</v>
          </cell>
          <cell r="D118">
            <v>245</v>
          </cell>
          <cell r="E118" t="str">
            <v>ED1-CE</v>
          </cell>
          <cell r="F118" t="str">
            <v>CE 164</v>
          </cell>
        </row>
        <row r="119">
          <cell r="A119" t="str">
            <v>ECON 152,ED1-CE</v>
          </cell>
          <cell r="B119" t="str">
            <v>INTRODUCTION TO ECONOMICS II</v>
          </cell>
          <cell r="C119" t="str">
            <v>Takyi Paul Owusu</v>
          </cell>
          <cell r="D119">
            <v>32</v>
          </cell>
          <cell r="E119" t="str">
            <v>ED1-CE</v>
          </cell>
          <cell r="F119" t="str">
            <v>ECON 152</v>
          </cell>
        </row>
        <row r="120">
          <cell r="A120" t="str">
            <v>EE 152,ED1-CE</v>
          </cell>
          <cell r="B120" t="str">
            <v>BASIC ELECTRONICS</v>
          </cell>
          <cell r="C120" t="str">
            <v>Kwegyir Daniel</v>
          </cell>
          <cell r="D120">
            <v>245</v>
          </cell>
          <cell r="E120" t="str">
            <v>ED1-CE</v>
          </cell>
          <cell r="F120" t="str">
            <v>EE 152</v>
          </cell>
        </row>
        <row r="121">
          <cell r="A121" t="str">
            <v>ENGL 158,ED1-CE</v>
          </cell>
          <cell r="B121" t="str">
            <v>COMMUNICATION SKILLS II</v>
          </cell>
          <cell r="C121" t="str">
            <v>Patricia Gustafson-Asamoah</v>
          </cell>
          <cell r="D121">
            <v>245</v>
          </cell>
          <cell r="E121" t="str">
            <v>ED1-CE</v>
          </cell>
          <cell r="F121" t="str">
            <v>ENGL 158</v>
          </cell>
        </row>
        <row r="122">
          <cell r="A122" t="str">
            <v>FC 182,ED1-CE</v>
          </cell>
          <cell r="B122" t="str">
            <v>FRENCH FOR COMMUNICATION II</v>
          </cell>
          <cell r="C122" t="str">
            <v>Boakye-Agyeman Candy</v>
          </cell>
          <cell r="D122">
            <v>160</v>
          </cell>
          <cell r="E122" t="str">
            <v>ED1-CE</v>
          </cell>
          <cell r="F122" t="str">
            <v>FC 182</v>
          </cell>
        </row>
        <row r="123">
          <cell r="A123" t="str">
            <v>MATH 152,ED1-CE</v>
          </cell>
          <cell r="B123" t="str">
            <v>CALCULUS WITH SEVERAL VARIABLES</v>
          </cell>
          <cell r="C123" t="str">
            <v>Ezearn Jeffery</v>
          </cell>
          <cell r="D123">
            <v>245</v>
          </cell>
          <cell r="E123" t="str">
            <v>ED1-CE</v>
          </cell>
          <cell r="F123" t="str">
            <v>MATH 152</v>
          </cell>
        </row>
        <row r="124">
          <cell r="A124" t="str">
            <v>CE 256,ED2-CE</v>
          </cell>
          <cell r="B124" t="str">
            <v>FLUID MECHANICS</v>
          </cell>
          <cell r="C124" t="str">
            <v>Anornu Geophrey Kwame</v>
          </cell>
          <cell r="D124">
            <v>250</v>
          </cell>
          <cell r="E124" t="str">
            <v>ED2-CE</v>
          </cell>
          <cell r="F124" t="str">
            <v>CE 256</v>
          </cell>
        </row>
        <row r="125">
          <cell r="A125" t="str">
            <v>CE 258,ED2-CE</v>
          </cell>
          <cell r="B125" t="str">
            <v>STRUCTURAL ANALYSIS</v>
          </cell>
          <cell r="C125" t="str">
            <v>Kankam Charles Kwame</v>
          </cell>
          <cell r="D125">
            <v>250</v>
          </cell>
          <cell r="E125" t="str">
            <v>ED2-CE</v>
          </cell>
          <cell r="F125" t="str">
            <v>CE 258</v>
          </cell>
        </row>
        <row r="126">
          <cell r="A126" t="str">
            <v>CE 260,ED2-CE</v>
          </cell>
          <cell r="B126" t="str">
            <v>SOIL AND ROCK MECHANICS</v>
          </cell>
          <cell r="C126" t="str">
            <v>Frederick Owusu-Nimo</v>
          </cell>
          <cell r="D126">
            <v>250</v>
          </cell>
          <cell r="E126" t="str">
            <v>ED2-CE</v>
          </cell>
          <cell r="F126" t="str">
            <v>CE 260</v>
          </cell>
        </row>
        <row r="127">
          <cell r="A127" t="str">
            <v>CE 262,ED2-CE</v>
          </cell>
          <cell r="B127" t="str">
            <v>SOIL AND ROCKS MECHANICS LABORATORY</v>
          </cell>
          <cell r="C127" t="str">
            <v>Dzikunu-Bansah Nancy Anataba Kyorku</v>
          </cell>
          <cell r="D127">
            <v>250</v>
          </cell>
          <cell r="E127" t="str">
            <v>ED2-CE</v>
          </cell>
          <cell r="F127" t="str">
            <v>CE 262</v>
          </cell>
        </row>
        <row r="128">
          <cell r="A128" t="str">
            <v>CE 264,ED2-CE</v>
          </cell>
          <cell r="B128" t="str">
            <v>INTRO TO ENVIRONMENTAL ENG.</v>
          </cell>
          <cell r="C128" t="str">
            <v>Essandoh Helen Michelle Korkor</v>
          </cell>
          <cell r="D128">
            <v>250</v>
          </cell>
          <cell r="E128" t="str">
            <v>ED2-CE</v>
          </cell>
          <cell r="F128" t="str">
            <v>CE 264</v>
          </cell>
        </row>
        <row r="129">
          <cell r="A129" t="str">
            <v>CE 272,ED2-CE</v>
          </cell>
          <cell r="B129" t="str">
            <v>PRINCIPLE OF DESIGN</v>
          </cell>
          <cell r="C129" t="str">
            <v>Ayeh Felix Jojo Fianko</v>
          </cell>
          <cell r="D129">
            <v>250</v>
          </cell>
          <cell r="E129" t="str">
            <v>ED2-CE</v>
          </cell>
          <cell r="F129" t="str">
            <v>CE 272</v>
          </cell>
        </row>
        <row r="130">
          <cell r="A130" t="str">
            <v>GE 282,ED2-CE</v>
          </cell>
          <cell r="B130" t="str">
            <v>LARGE SCALE SURVEYING</v>
          </cell>
          <cell r="C130" t="str">
            <v>Dadzie Isaac</v>
          </cell>
          <cell r="D130">
            <v>250</v>
          </cell>
          <cell r="E130" t="str">
            <v>ED2-CE</v>
          </cell>
          <cell r="F130" t="str">
            <v>GE 282</v>
          </cell>
        </row>
        <row r="131">
          <cell r="A131" t="str">
            <v>MATH 252,ED2-CE</v>
          </cell>
          <cell r="B131" t="str">
            <v>CALCULUS WITH SEVERAL VARIABLES</v>
          </cell>
          <cell r="C131" t="str">
            <v>Reindorf Nartey Borkor</v>
          </cell>
          <cell r="D131">
            <v>250</v>
          </cell>
          <cell r="E131" t="str">
            <v>ED2-CE</v>
          </cell>
          <cell r="F131" t="str">
            <v>MATH 252</v>
          </cell>
        </row>
        <row r="132">
          <cell r="A132" t="str">
            <v>CE 352,ED3-CE</v>
          </cell>
          <cell r="B132" t="str">
            <v>STEEL AND TIMBER DESIGN</v>
          </cell>
          <cell r="C132" t="str">
            <v>Mark Adom-Asamoah</v>
          </cell>
          <cell r="D132">
            <v>230</v>
          </cell>
          <cell r="E132" t="str">
            <v>ED3-CE</v>
          </cell>
          <cell r="F132" t="str">
            <v>CE 352</v>
          </cell>
        </row>
        <row r="133">
          <cell r="A133" t="str">
            <v>CE 356,ED3-CE</v>
          </cell>
          <cell r="B133" t="str">
            <v>HYDRAULIC ENGINEERING</v>
          </cell>
          <cell r="C133" t="str">
            <v>Adjei Kwaku Amaning</v>
          </cell>
          <cell r="D133">
            <v>230</v>
          </cell>
          <cell r="E133" t="str">
            <v>ED3-CE</v>
          </cell>
          <cell r="F133" t="str">
            <v>CE 356</v>
          </cell>
        </row>
        <row r="134">
          <cell r="A134" t="str">
            <v>CE 360,ED3-CE</v>
          </cell>
          <cell r="B134" t="str">
            <v>FOUNDATION ENGINEERING</v>
          </cell>
          <cell r="C134" t="str">
            <v>Acquaah Vincent Kofi Abaka</v>
          </cell>
          <cell r="D134">
            <v>230</v>
          </cell>
          <cell r="E134" t="str">
            <v>ED3-CE</v>
          </cell>
          <cell r="F134" t="str">
            <v>CE 360</v>
          </cell>
        </row>
        <row r="135">
          <cell r="A135" t="str">
            <v>CE 364,ED3-CE</v>
          </cell>
          <cell r="B135" t="str">
            <v>ENVIRONMENTAL QUALITY ENGINEERING</v>
          </cell>
          <cell r="C135" t="str">
            <v>Appiah-Effah Eugene</v>
          </cell>
          <cell r="D135">
            <v>230</v>
          </cell>
          <cell r="E135" t="str">
            <v>ED3-CE</v>
          </cell>
          <cell r="F135" t="str">
            <v>CE 364</v>
          </cell>
        </row>
        <row r="136">
          <cell r="A136" t="str">
            <v>CE 368,ED3-CE</v>
          </cell>
          <cell r="B136" t="str">
            <v>HIGHWAY ENGINEERING</v>
          </cell>
          <cell r="C136" t="str">
            <v>Tutu Kenneth Adomako</v>
          </cell>
          <cell r="D136">
            <v>230</v>
          </cell>
          <cell r="E136" t="str">
            <v>ED3-CE</v>
          </cell>
          <cell r="F136" t="str">
            <v>CE 368</v>
          </cell>
        </row>
        <row r="137">
          <cell r="A137" t="str">
            <v>CE 376,ED3-CE</v>
          </cell>
          <cell r="B137" t="str">
            <v>QUANTITIES AND COST ESTIMATION IN CIVIL ENGINEERING</v>
          </cell>
          <cell r="C137" t="str">
            <v>Osei Jack Banahene</v>
          </cell>
          <cell r="D137">
            <v>230</v>
          </cell>
          <cell r="E137" t="str">
            <v>ED3-CE</v>
          </cell>
          <cell r="F137" t="str">
            <v>CE 376</v>
          </cell>
        </row>
        <row r="138">
          <cell r="A138" t="str">
            <v>CE 378,ED3-CE</v>
          </cell>
          <cell r="B138" t="str">
            <v>INTEGRATED DESIGN</v>
          </cell>
          <cell r="C138" t="str">
            <v>Ayeh Felix Jojo Fianko</v>
          </cell>
          <cell r="D138">
            <v>230</v>
          </cell>
          <cell r="E138" t="str">
            <v>ED3-CE</v>
          </cell>
          <cell r="F138" t="str">
            <v>CE 378</v>
          </cell>
        </row>
        <row r="139">
          <cell r="A139" t="str">
            <v>CE 390,ED3-CE</v>
          </cell>
          <cell r="B139" t="str">
            <v>ROAD DESIGN AND MATERIAL EVOLOUTION LABORATORY</v>
          </cell>
          <cell r="C139" t="str">
            <v>Tutu Kenneth Adomako</v>
          </cell>
          <cell r="D139">
            <v>230</v>
          </cell>
          <cell r="E139" t="str">
            <v>ED3-CE</v>
          </cell>
          <cell r="F139" t="str">
            <v>CE 390</v>
          </cell>
        </row>
        <row r="140">
          <cell r="A140" t="str">
            <v>CE 452,ED4-CE</v>
          </cell>
          <cell r="B140" t="str">
            <v>COMPUTER APPLICATIONS IN CIVIL ENGINEERING</v>
          </cell>
          <cell r="C140" t="str">
            <v>Ayeh Felix Jojo Fianko</v>
          </cell>
          <cell r="D140">
            <v>240</v>
          </cell>
          <cell r="E140" t="str">
            <v>ED4-CE</v>
          </cell>
          <cell r="F140" t="str">
            <v>CE 452</v>
          </cell>
        </row>
        <row r="141">
          <cell r="A141" t="str">
            <v>CE 456,ED4-CE</v>
          </cell>
          <cell r="B141" t="str">
            <v>STRUCTURAL DYNAMICS</v>
          </cell>
          <cell r="C141" t="str">
            <v>Mark Adom-Asamoah</v>
          </cell>
          <cell r="D141">
            <v>95</v>
          </cell>
          <cell r="E141" t="str">
            <v>ED4-CE</v>
          </cell>
          <cell r="F141" t="str">
            <v>CE 456</v>
          </cell>
        </row>
        <row r="142">
          <cell r="A142" t="str">
            <v>CE 458,ED4-CE</v>
          </cell>
          <cell r="B142" t="str">
            <v>WATER RESOURCES ENGINEERING II</v>
          </cell>
          <cell r="C142" t="str">
            <v>Anornu Geophrey Kwame</v>
          </cell>
          <cell r="D142">
            <v>105</v>
          </cell>
          <cell r="E142" t="str">
            <v>ED4-CE</v>
          </cell>
          <cell r="F142" t="str">
            <v>CE 458</v>
          </cell>
        </row>
        <row r="143">
          <cell r="A143" t="str">
            <v>CE 462,ED4-CE</v>
          </cell>
          <cell r="B143" t="str">
            <v>CONSTRUCTION MANAGEMENT</v>
          </cell>
          <cell r="C143" t="str">
            <v>Obeng Daniel Atuah</v>
          </cell>
          <cell r="D143">
            <v>240</v>
          </cell>
          <cell r="E143" t="str">
            <v>ED4-CE</v>
          </cell>
          <cell r="F143" t="str">
            <v>CE 462</v>
          </cell>
        </row>
        <row r="144">
          <cell r="A144" t="str">
            <v>CE 464,ED4-CE</v>
          </cell>
          <cell r="B144" t="str">
            <v>ENVIRONMENTAL QUALITY ENGINEERING II</v>
          </cell>
          <cell r="C144" t="str">
            <v>Appiah-Effah Eugene</v>
          </cell>
          <cell r="D144">
            <v>115</v>
          </cell>
          <cell r="E144" t="str">
            <v>ED4-CE</v>
          </cell>
          <cell r="F144" t="str">
            <v>CE 464</v>
          </cell>
        </row>
        <row r="145">
          <cell r="A145" t="str">
            <v>CE 468,ED4-CE</v>
          </cell>
          <cell r="B145" t="str">
            <v>TRANSPORTATION ENGINEERING</v>
          </cell>
          <cell r="C145" t="str">
            <v>Tuffour Yaw Adubofour</v>
          </cell>
          <cell r="D145">
            <v>150</v>
          </cell>
          <cell r="E145" t="str">
            <v>ED4-CE</v>
          </cell>
          <cell r="F145" t="str">
            <v>CE 468</v>
          </cell>
        </row>
        <row r="146">
          <cell r="A146" t="str">
            <v>CE 476,ED4-CE</v>
          </cell>
          <cell r="B146" t="str">
            <v>SYSTEM ENGINEERING II</v>
          </cell>
          <cell r="C146" t="str">
            <v>Osei Jack Banahene</v>
          </cell>
          <cell r="D146">
            <v>115</v>
          </cell>
          <cell r="E146" t="str">
            <v>ED4-CE</v>
          </cell>
          <cell r="F146" t="str">
            <v>CE 476</v>
          </cell>
        </row>
        <row r="147">
          <cell r="A147" t="str">
            <v>CE 478,ED4-CE</v>
          </cell>
          <cell r="B147" t="str">
            <v>GROUND ENGINEERING</v>
          </cell>
          <cell r="C147" t="str">
            <v>Samuel Innocent Kofi Ampadu</v>
          </cell>
          <cell r="D147">
            <v>60</v>
          </cell>
          <cell r="E147" t="str">
            <v>ED4-CE</v>
          </cell>
          <cell r="F147" t="str">
            <v>CE 478</v>
          </cell>
        </row>
        <row r="148">
          <cell r="A148" t="str">
            <v>CE 480,ED4-CE</v>
          </cell>
          <cell r="B148" t="str">
            <v>FINITE ELEMENT ANALYSIS</v>
          </cell>
          <cell r="C148" t="str">
            <v>Jones Owusu Twumasi</v>
          </cell>
          <cell r="D148">
            <v>18</v>
          </cell>
          <cell r="E148" t="str">
            <v>ED4-CE</v>
          </cell>
          <cell r="F148" t="str">
            <v>CE 480</v>
          </cell>
        </row>
        <row r="149">
          <cell r="A149" t="str">
            <v>CHE 156,ED1-CHE</v>
          </cell>
          <cell r="B149" t="str">
            <v>PHYSICAL CHEMISTRY FOR ENGINEERS</v>
          </cell>
          <cell r="C149" t="str">
            <v>Anang Daniel Adjah</v>
          </cell>
          <cell r="D149">
            <v>120</v>
          </cell>
          <cell r="E149" t="str">
            <v>ED1-CHE</v>
          </cell>
          <cell r="F149" t="str">
            <v>CHE 156</v>
          </cell>
        </row>
        <row r="150">
          <cell r="A150" t="str">
            <v>CHE 158,ED1-CHE</v>
          </cell>
          <cell r="B150" t="str">
            <v>INTRODUCTION TO INFORMATION TECHNOLOGY</v>
          </cell>
          <cell r="C150" t="str">
            <v>Baidoo Martina Francisca</v>
          </cell>
          <cell r="D150">
            <v>120</v>
          </cell>
          <cell r="E150" t="str">
            <v>ED1-CHE</v>
          </cell>
          <cell r="F150" t="str">
            <v>CHE 158</v>
          </cell>
        </row>
        <row r="151">
          <cell r="A151" t="str">
            <v>EE 152,ED1-CHE</v>
          </cell>
          <cell r="B151" t="str">
            <v>BASIC ELECTRONICS</v>
          </cell>
          <cell r="C151" t="str">
            <v>Yaw Opoku Mensah Sekyere</v>
          </cell>
          <cell r="D151">
            <v>120</v>
          </cell>
          <cell r="E151" t="str">
            <v>ED1-CHE</v>
          </cell>
          <cell r="F151" t="str">
            <v>EE 152</v>
          </cell>
        </row>
        <row r="152">
          <cell r="A152" t="str">
            <v>ENGL 158,ED1-CHE</v>
          </cell>
          <cell r="B152" t="str">
            <v>COMMUNICATION  SKILLS II</v>
          </cell>
          <cell r="C152" t="str">
            <v>Yeboah Philomena Ama Okyeso</v>
          </cell>
          <cell r="D152">
            <v>120</v>
          </cell>
          <cell r="E152" t="str">
            <v>ED1-CHE</v>
          </cell>
          <cell r="F152" t="str">
            <v>ENGL 158</v>
          </cell>
        </row>
        <row r="153">
          <cell r="A153" t="str">
            <v>MATH 152,ED1-CHE</v>
          </cell>
          <cell r="B153" t="str">
            <v>CALCULUS WITH ANALYSIS</v>
          </cell>
          <cell r="C153" t="str">
            <v>Isaac Azure</v>
          </cell>
          <cell r="D153">
            <v>120</v>
          </cell>
          <cell r="E153" t="str">
            <v>ED1-CHE</v>
          </cell>
          <cell r="F153" t="str">
            <v>MATH 152</v>
          </cell>
        </row>
        <row r="154">
          <cell r="A154" t="str">
            <v>ME 162,ED1-CHE</v>
          </cell>
          <cell r="B154" t="str">
            <v>BASIC MECHANICS</v>
          </cell>
          <cell r="C154" t="str">
            <v>Oppong David Kofi</v>
          </cell>
          <cell r="D154">
            <v>120</v>
          </cell>
          <cell r="E154" t="str">
            <v>ED1-CHE</v>
          </cell>
          <cell r="F154" t="str">
            <v>ME 162</v>
          </cell>
        </row>
        <row r="155">
          <cell r="A155" t="str">
            <v>PHY 170,ED1-CHE</v>
          </cell>
          <cell r="B155" t="str">
            <v>GENERAL PHYSICS</v>
          </cell>
          <cell r="C155" t="str">
            <v>Boateng Cyril Dziedzorm</v>
          </cell>
          <cell r="D155">
            <v>120</v>
          </cell>
          <cell r="E155" t="str">
            <v>ED1-CHE</v>
          </cell>
          <cell r="F155" t="str">
            <v>PHY 170</v>
          </cell>
        </row>
        <row r="156">
          <cell r="A156" t="str">
            <v>CHE 250,ED2-CHE</v>
          </cell>
          <cell r="B156" t="str">
            <v>STRENGTH OF MATERIALS FOR CHEMICAL ENGINEERS</v>
          </cell>
          <cell r="C156" t="str">
            <v>Anang Daniel Adjah</v>
          </cell>
          <cell r="D156">
            <v>160</v>
          </cell>
          <cell r="E156" t="str">
            <v>ED2-CHE</v>
          </cell>
          <cell r="F156" t="str">
            <v>CHE 250</v>
          </cell>
        </row>
        <row r="157">
          <cell r="A157" t="str">
            <v>CHE 252,ED2-CHE</v>
          </cell>
          <cell r="B157" t="str">
            <v>CHEMICAL PROCESS CALCULATIONS II</v>
          </cell>
          <cell r="C157" t="str">
            <v>Rockson Mizpah Ama Dziedzorm</v>
          </cell>
          <cell r="D157">
            <v>160</v>
          </cell>
          <cell r="E157" t="str">
            <v>ED2-CHE</v>
          </cell>
          <cell r="F157" t="str">
            <v>CHE 252</v>
          </cell>
        </row>
        <row r="158">
          <cell r="A158" t="str">
            <v>CHE 254,ED2-CHE</v>
          </cell>
          <cell r="B158" t="str">
            <v>CHEMICAL ENGINEERING THERMODYNAMICS II</v>
          </cell>
          <cell r="C158" t="str">
            <v>Bonsu Jude Kwaku</v>
          </cell>
          <cell r="D158">
            <v>160</v>
          </cell>
          <cell r="E158" t="str">
            <v>ED2-CHE</v>
          </cell>
          <cell r="F158" t="str">
            <v>CHE 254</v>
          </cell>
        </row>
        <row r="159">
          <cell r="A159" t="str">
            <v>CHE 256,ED2-CHE</v>
          </cell>
          <cell r="B159" t="str">
            <v>HEAT TRANSPORT PROCESSES</v>
          </cell>
          <cell r="C159" t="str">
            <v>Momade Zsuzsanna Gál</v>
          </cell>
          <cell r="D159">
            <v>160</v>
          </cell>
          <cell r="E159" t="str">
            <v>ED2-CHE</v>
          </cell>
          <cell r="F159" t="str">
            <v>CHE 256</v>
          </cell>
        </row>
        <row r="160">
          <cell r="A160" t="str">
            <v>CHE 258,ED2-CHE</v>
          </cell>
          <cell r="B160" t="str">
            <v>DRAWING FOR ENGINEERS</v>
          </cell>
          <cell r="C160" t="str">
            <v>Darkwah Lawrence</v>
          </cell>
          <cell r="D160">
            <v>160</v>
          </cell>
          <cell r="E160" t="str">
            <v>ED2-CHE</v>
          </cell>
          <cell r="F160" t="str">
            <v>CHE 258</v>
          </cell>
        </row>
        <row r="161">
          <cell r="A161" t="str">
            <v>CHEM 280,ED2-CHE</v>
          </cell>
          <cell r="B161" t="str">
            <v>PRACTICAL CHEMISTRY II</v>
          </cell>
          <cell r="C161" t="str">
            <v>Opoku Francis</v>
          </cell>
          <cell r="D161">
            <v>160</v>
          </cell>
          <cell r="E161" t="str">
            <v>ED2-CHE</v>
          </cell>
          <cell r="F161" t="str">
            <v>CHEM 280</v>
          </cell>
        </row>
        <row r="162">
          <cell r="A162" t="str">
            <v>MATH 252,ED2-CHE</v>
          </cell>
          <cell r="B162" t="str">
            <v>CALCULUS OF SEVERAL VARIABLES</v>
          </cell>
          <cell r="C162" t="str">
            <v>Benedict Barnes</v>
          </cell>
          <cell r="D162">
            <v>160</v>
          </cell>
          <cell r="E162" t="str">
            <v>ED2-CHE</v>
          </cell>
          <cell r="F162" t="str">
            <v>MATH 252</v>
          </cell>
        </row>
        <row r="163">
          <cell r="A163" t="str">
            <v>CHE 350,ED3-CHE</v>
          </cell>
          <cell r="B163" t="str">
            <v>MATERIALS SCIENCE</v>
          </cell>
          <cell r="C163" t="str">
            <v>Patrick Boakye</v>
          </cell>
          <cell r="D163">
            <v>105</v>
          </cell>
          <cell r="E163" t="str">
            <v>ED3-CHE</v>
          </cell>
          <cell r="F163" t="str">
            <v>CHE 350</v>
          </cell>
        </row>
        <row r="164">
          <cell r="A164" t="str">
            <v>CHE 352,ED3-CHE</v>
          </cell>
          <cell r="B164" t="str">
            <v>CHEMICAL REACTION ENGINEERING</v>
          </cell>
          <cell r="C164" t="str">
            <v>Bonsu Jude Kwaku</v>
          </cell>
          <cell r="D164">
            <v>105</v>
          </cell>
          <cell r="E164" t="str">
            <v>ED3-CHE</v>
          </cell>
          <cell r="F164" t="str">
            <v>CHE 352</v>
          </cell>
        </row>
        <row r="165">
          <cell r="A165" t="str">
            <v>CHE 354,ED3-CHE</v>
          </cell>
          <cell r="B165" t="str">
            <v>SIMULTANEOUS HEAT/MASS TRANSFER</v>
          </cell>
          <cell r="C165" t="str">
            <v>Dogbe Eunice Sefakor Aku</v>
          </cell>
          <cell r="D165">
            <v>105</v>
          </cell>
          <cell r="E165" t="str">
            <v>ED3-CHE</v>
          </cell>
          <cell r="F165" t="str">
            <v>CHE 354</v>
          </cell>
        </row>
        <row r="166">
          <cell r="A166" t="str">
            <v>CHE 358,ED3-CHE</v>
          </cell>
          <cell r="B166" t="str">
            <v>NUMERICAL METHODS FOR CHEMICAL ENGINEERS</v>
          </cell>
          <cell r="C166" t="str">
            <v>Mensah Mary</v>
          </cell>
          <cell r="D166">
            <v>105</v>
          </cell>
          <cell r="E166" t="str">
            <v>ED3-CHE</v>
          </cell>
          <cell r="F166" t="str">
            <v>CHE 358</v>
          </cell>
        </row>
        <row r="167">
          <cell r="A167" t="str">
            <v>CHE 362,ED3-CHE</v>
          </cell>
          <cell r="B167" t="str">
            <v>SILICATE TECHNOLOGY II</v>
          </cell>
          <cell r="C167" t="str">
            <v>Momade Zsuzsanna Gál</v>
          </cell>
          <cell r="D167">
            <v>15</v>
          </cell>
          <cell r="E167" t="str">
            <v>ED3-CHE</v>
          </cell>
          <cell r="F167" t="str">
            <v>CHE 362</v>
          </cell>
        </row>
        <row r="168">
          <cell r="A168" t="str">
            <v>CHE 364,ED3-CHE</v>
          </cell>
          <cell r="B168" t="str">
            <v>PACKAGING TECHNOLOGY</v>
          </cell>
          <cell r="C168" t="str">
            <v>Baah-Ennumh Emmanuel Kwaku</v>
          </cell>
          <cell r="D168">
            <v>45</v>
          </cell>
          <cell r="E168" t="str">
            <v>ED3-CHE</v>
          </cell>
          <cell r="F168" t="str">
            <v>CHE 364</v>
          </cell>
        </row>
        <row r="169">
          <cell r="A169" t="str">
            <v>CHE 368,ED3-CHE</v>
          </cell>
          <cell r="B169" t="str">
            <v>FOOD PROCESSING TECHNOLOGY</v>
          </cell>
          <cell r="C169" t="str">
            <v>Anang Daniel Adjah</v>
          </cell>
          <cell r="D169">
            <v>50</v>
          </cell>
          <cell r="E169" t="str">
            <v>ED3-CHE</v>
          </cell>
          <cell r="F169" t="str">
            <v>CHE 368</v>
          </cell>
        </row>
        <row r="170">
          <cell r="A170" t="str">
            <v>ECON 152,ED3-CHE</v>
          </cell>
          <cell r="B170" t="str">
            <v>INTRODUCTORY ECONOMICS II</v>
          </cell>
          <cell r="C170" t="str">
            <v>Takyi Paul Owusu</v>
          </cell>
          <cell r="D170">
            <v>80</v>
          </cell>
          <cell r="E170" t="str">
            <v>ED3-CHE</v>
          </cell>
          <cell r="F170" t="str">
            <v>ECON 152</v>
          </cell>
        </row>
        <row r="171">
          <cell r="A171" t="str">
            <v>FC 182,ED3-CHE</v>
          </cell>
          <cell r="B171" t="str">
            <v>FRENCH FOR COMMUNICATION II</v>
          </cell>
          <cell r="C171" t="str">
            <v>Alexander Ocloo</v>
          </cell>
          <cell r="D171">
            <v>55</v>
          </cell>
          <cell r="E171" t="str">
            <v>ED3-CHE</v>
          </cell>
          <cell r="F171" t="str">
            <v>FC 182</v>
          </cell>
        </row>
        <row r="172">
          <cell r="A172" t="str">
            <v>CHE 456,ED4-CHE</v>
          </cell>
          <cell r="B172" t="str">
            <v>PROCESS CONTROL AND SIMULATION</v>
          </cell>
          <cell r="C172" t="str">
            <v>Baah-Ennumh Emmanuel Kwaku</v>
          </cell>
          <cell r="D172">
            <v>114</v>
          </cell>
          <cell r="E172" t="str">
            <v>ED4-CHE</v>
          </cell>
          <cell r="F172" t="str">
            <v>CHE 456</v>
          </cell>
        </row>
        <row r="173">
          <cell r="A173" t="str">
            <v>CHE 458,ED4-CHE</v>
          </cell>
          <cell r="B173" t="str">
            <v>ENTREPRENEURSHIP AND BUSINESS DEVELOPMENT</v>
          </cell>
          <cell r="C173" t="str">
            <v>Asamoah Boateng Kenneth</v>
          </cell>
          <cell r="D173">
            <v>114</v>
          </cell>
          <cell r="E173" t="str">
            <v>ED4-CHE</v>
          </cell>
          <cell r="F173" t="str">
            <v>CHE 458</v>
          </cell>
        </row>
        <row r="174">
          <cell r="A174" t="str">
            <v>CHE 466,ED4-CHE</v>
          </cell>
          <cell r="B174" t="str">
            <v>PULP AND PAPER TECHNOLOGY</v>
          </cell>
          <cell r="C174" t="str">
            <v>Rockson Mizpah Ama Dziedzorm</v>
          </cell>
          <cell r="D174">
            <v>70</v>
          </cell>
          <cell r="E174" t="str">
            <v>ED4-CHE</v>
          </cell>
          <cell r="F174" t="str">
            <v>CHE 466</v>
          </cell>
        </row>
        <row r="175">
          <cell r="A175" t="str">
            <v>CHE 468,ED4-CHE</v>
          </cell>
          <cell r="B175" t="str">
            <v>ENVIRONMENTAL ENG. TECHNOLOGY</v>
          </cell>
          <cell r="C175" t="str">
            <v>Afotey Benjamin</v>
          </cell>
          <cell r="D175">
            <v>54</v>
          </cell>
          <cell r="E175" t="str">
            <v>ED4-CHE</v>
          </cell>
          <cell r="F175" t="str">
            <v>CHE 468</v>
          </cell>
        </row>
        <row r="176">
          <cell r="A176" t="str">
            <v>CHE 470,ED4-CHE</v>
          </cell>
          <cell r="B176" t="str">
            <v>PHARMACEUTICAL TECHNOLOGY</v>
          </cell>
          <cell r="C176" t="str">
            <v>Johnson Raphael</v>
          </cell>
          <cell r="D176">
            <v>71</v>
          </cell>
          <cell r="E176" t="str">
            <v>ED4-CHE</v>
          </cell>
          <cell r="F176" t="str">
            <v>CHE 470</v>
          </cell>
        </row>
        <row r="177">
          <cell r="A177" t="str">
            <v>PCE 464,ED4-CHE</v>
          </cell>
          <cell r="B177" t="str">
            <v>REFINING PROCESSES TECHNOLOGY</v>
          </cell>
          <cell r="C177" t="str">
            <v>Kwao-Boateng Emmanuela</v>
          </cell>
          <cell r="D177">
            <v>50</v>
          </cell>
          <cell r="E177" t="str">
            <v>ED4-CHE</v>
          </cell>
          <cell r="F177" t="str">
            <v>PCE 464</v>
          </cell>
        </row>
        <row r="178">
          <cell r="A178" t="str">
            <v>COE 152,ED1-COE</v>
          </cell>
          <cell r="B178" t="str">
            <v>BASIC ELECTRONICS</v>
          </cell>
          <cell r="C178" t="str">
            <v>Klogo Griffith Selorm</v>
          </cell>
          <cell r="D178">
            <v>262</v>
          </cell>
          <cell r="E178" t="str">
            <v>ED1-COE</v>
          </cell>
          <cell r="F178" t="str">
            <v>COE 152</v>
          </cell>
        </row>
        <row r="179">
          <cell r="A179" t="str">
            <v>COE 158,ED1-COE</v>
          </cell>
          <cell r="B179" t="str">
            <v>INTRODUCTION TO INFORMATION TECHNOLOGY</v>
          </cell>
          <cell r="C179" t="str">
            <v>Addo Daniel Akwei</v>
          </cell>
          <cell r="D179">
            <v>262</v>
          </cell>
          <cell r="E179" t="str">
            <v>ED1-COE</v>
          </cell>
          <cell r="F179" t="str">
            <v>COE 158</v>
          </cell>
        </row>
        <row r="180">
          <cell r="A180" t="str">
            <v>EE 156,ED1-COE</v>
          </cell>
          <cell r="B180" t="str">
            <v>ELECTRICAL ENG. DRAWING</v>
          </cell>
          <cell r="C180" t="str">
            <v>Kwegyir Daniel</v>
          </cell>
          <cell r="D180">
            <v>262</v>
          </cell>
          <cell r="E180" t="str">
            <v>ED1-COE</v>
          </cell>
          <cell r="F180" t="str">
            <v>EE 156</v>
          </cell>
        </row>
        <row r="181">
          <cell r="A181" t="str">
            <v>EE 172,ED1-COE</v>
          </cell>
          <cell r="B181" t="str">
            <v>ELECTRICAL MACHINES</v>
          </cell>
          <cell r="C181" t="str">
            <v>Asigri Peter</v>
          </cell>
          <cell r="D181">
            <v>262</v>
          </cell>
          <cell r="E181" t="str">
            <v>ED1-COE</v>
          </cell>
          <cell r="F181" t="str">
            <v>EE 172</v>
          </cell>
        </row>
        <row r="182">
          <cell r="A182" t="str">
            <v>ENGL 158,ED1-COE</v>
          </cell>
          <cell r="B182" t="str">
            <v>COMMUNICATION SKILLS II</v>
          </cell>
          <cell r="C182" t="str">
            <v>Bernard Ampong</v>
          </cell>
          <cell r="D182">
            <v>262</v>
          </cell>
          <cell r="E182" t="str">
            <v>ED1-COE</v>
          </cell>
          <cell r="F182" t="str">
            <v>ENGL 158</v>
          </cell>
        </row>
        <row r="183">
          <cell r="A183" t="str">
            <v>MATH 152,ED1-COE</v>
          </cell>
          <cell r="B183" t="str">
            <v>CALCULUS WITH ANALYSIS</v>
          </cell>
          <cell r="C183" t="str">
            <v>Ezearn Jeffery</v>
          </cell>
          <cell r="D183">
            <v>262</v>
          </cell>
          <cell r="E183" t="str">
            <v>ED1-COE</v>
          </cell>
          <cell r="F183" t="str">
            <v>MATH 152</v>
          </cell>
        </row>
        <row r="184">
          <cell r="A184" t="str">
            <v>ACF 256,ED2-COE</v>
          </cell>
          <cell r="B184" t="str">
            <v>FINANCIAL ACCOUNTING II</v>
          </cell>
          <cell r="C184" t="str">
            <v>Yeboah Edward</v>
          </cell>
          <cell r="D184">
            <v>65</v>
          </cell>
          <cell r="E184" t="str">
            <v>ED2-COE</v>
          </cell>
          <cell r="F184" t="str">
            <v>ACF 256</v>
          </cell>
        </row>
        <row r="185">
          <cell r="A185" t="str">
            <v>COE 254,ED2-COE</v>
          </cell>
          <cell r="B185" t="str">
            <v>OBJECT-ORIENTED PROGRAMMING</v>
          </cell>
          <cell r="C185" t="str">
            <v>Adjaidoo Theresa-Samuelle Maame Atwemaah</v>
          </cell>
          <cell r="D185">
            <v>255</v>
          </cell>
          <cell r="E185" t="str">
            <v>ED2-COE</v>
          </cell>
          <cell r="F185" t="str">
            <v>COE 254</v>
          </cell>
        </row>
        <row r="186">
          <cell r="A186" t="str">
            <v>COE 272,ED2-COE</v>
          </cell>
          <cell r="B186" t="str">
            <v>DIGITAL SYSTEMS DESIGN I</v>
          </cell>
          <cell r="C186" t="str">
            <v>Nunoo-Mensah Henry</v>
          </cell>
          <cell r="D186">
            <v>255</v>
          </cell>
          <cell r="E186" t="str">
            <v>ED2-COE</v>
          </cell>
          <cell r="F186" t="str">
            <v>COE 272</v>
          </cell>
        </row>
        <row r="187">
          <cell r="A187" t="str">
            <v>COE 288,ED2-COE</v>
          </cell>
          <cell r="B187" t="str">
            <v>CIRCUIT THEORY</v>
          </cell>
          <cell r="C187" t="str">
            <v>Yeboah-Akowuah Bright</v>
          </cell>
          <cell r="D187">
            <v>255</v>
          </cell>
          <cell r="E187" t="str">
            <v>ED2-COE</v>
          </cell>
          <cell r="F187" t="str">
            <v>COE 288</v>
          </cell>
        </row>
        <row r="188">
          <cell r="A188" t="str">
            <v>COE 292,ED2-COE</v>
          </cell>
          <cell r="B188" t="str">
            <v>COMPUTER ENGINEERING LAB II</v>
          </cell>
          <cell r="C188" t="str">
            <v>Kommey Benjamin</v>
          </cell>
          <cell r="D188">
            <v>255</v>
          </cell>
          <cell r="E188" t="str">
            <v>ED2-COE</v>
          </cell>
          <cell r="F188" t="str">
            <v>COE 292</v>
          </cell>
        </row>
        <row r="189">
          <cell r="A189" t="str">
            <v>ECON 152,ED2-COE</v>
          </cell>
          <cell r="B189" t="str">
            <v>INTRODUCTION TO ECONOMICS II</v>
          </cell>
          <cell r="C189" t="str">
            <v>Takyi Paul Owusu</v>
          </cell>
          <cell r="D189">
            <v>40</v>
          </cell>
          <cell r="E189" t="str">
            <v>ED2-COE</v>
          </cell>
          <cell r="F189" t="str">
            <v>ECON 152</v>
          </cell>
        </row>
        <row r="190">
          <cell r="A190" t="str">
            <v>EE 288,ED2-COE</v>
          </cell>
          <cell r="B190" t="str">
            <v>ELECTRICAL MEASUREMENT AND INSTRUMENTATION</v>
          </cell>
          <cell r="C190" t="str">
            <v>Klogo Griffith Selorm</v>
          </cell>
          <cell r="D190">
            <v>255</v>
          </cell>
          <cell r="E190" t="str">
            <v>ED2-COE</v>
          </cell>
          <cell r="F190" t="str">
            <v>EE 288</v>
          </cell>
        </row>
        <row r="191">
          <cell r="A191" t="str">
            <v>FC 182,ED2-COE</v>
          </cell>
          <cell r="B191" t="str">
            <v>FRENCH FOR COMMUNICATION</v>
          </cell>
          <cell r="C191" t="str">
            <v>Pharis Jeel Darko</v>
          </cell>
          <cell r="D191">
            <v>150</v>
          </cell>
          <cell r="E191" t="str">
            <v>ED2-COE</v>
          </cell>
          <cell r="F191" t="str">
            <v>FC 182</v>
          </cell>
        </row>
        <row r="192">
          <cell r="A192" t="str">
            <v>MATH 252,ED2-COE</v>
          </cell>
          <cell r="B192" t="str">
            <v>CALCULUS WITH SEVERAL VARIABLES</v>
          </cell>
          <cell r="C192" t="str">
            <v>Wireko Fredrick Asenso</v>
          </cell>
          <cell r="D192">
            <v>255</v>
          </cell>
          <cell r="E192" t="str">
            <v>ED2-COE</v>
          </cell>
          <cell r="F192" t="str">
            <v>MATH 252</v>
          </cell>
        </row>
        <row r="193">
          <cell r="A193" t="str">
            <v>TE 262,ED2-COE</v>
          </cell>
          <cell r="B193" t="str">
            <v>ELECTROMAGNETIC FIELDS</v>
          </cell>
          <cell r="C193" t="str">
            <v>Yeboah-Akowuah Bright</v>
          </cell>
          <cell r="D193">
            <v>255</v>
          </cell>
          <cell r="E193" t="str">
            <v>ED2-COE</v>
          </cell>
          <cell r="F193" t="str">
            <v>TE 262</v>
          </cell>
        </row>
        <row r="194">
          <cell r="A194" t="str">
            <v>COE 354,ED3-COE</v>
          </cell>
          <cell r="B194" t="str">
            <v>OPERATING SYSTEMS</v>
          </cell>
          <cell r="C194" t="str">
            <v>Kommey Benjamin</v>
          </cell>
          <cell r="D194">
            <v>265</v>
          </cell>
          <cell r="E194" t="str">
            <v>ED3-COE</v>
          </cell>
          <cell r="F194" t="str">
            <v>COE 354</v>
          </cell>
        </row>
        <row r="195">
          <cell r="A195" t="str">
            <v>COE 356,ED3-COE</v>
          </cell>
          <cell r="B195" t="str">
            <v>INTRODUCTION TO SOFTWARE ENG.</v>
          </cell>
          <cell r="C195" t="str">
            <v>Adjaidoo Theresa-Samuelle Maame Atwemaah</v>
          </cell>
          <cell r="D195">
            <v>265</v>
          </cell>
          <cell r="E195" t="str">
            <v>ED3-COE</v>
          </cell>
          <cell r="F195" t="str">
            <v>COE 356</v>
          </cell>
        </row>
        <row r="196">
          <cell r="A196" t="str">
            <v>COE 358,ED3-COE</v>
          </cell>
          <cell r="B196" t="str">
            <v>EMBEDDED SYSTEMS</v>
          </cell>
          <cell r="C196" t="str">
            <v>Kommey Benjamin</v>
          </cell>
          <cell r="D196">
            <v>265</v>
          </cell>
          <cell r="E196" t="str">
            <v>ED3-COE</v>
          </cell>
          <cell r="F196" t="str">
            <v>COE 358</v>
          </cell>
        </row>
        <row r="197">
          <cell r="A197" t="str">
            <v>COE 368,ED3-COE</v>
          </cell>
          <cell r="B197" t="str">
            <v>DATABASE AND INFORMATION RETRIEVAL</v>
          </cell>
          <cell r="C197" t="str">
            <v>Keelson Eliel</v>
          </cell>
          <cell r="D197">
            <v>265</v>
          </cell>
          <cell r="E197" t="str">
            <v>ED3-COE</v>
          </cell>
          <cell r="F197" t="str">
            <v>COE 368</v>
          </cell>
        </row>
        <row r="198">
          <cell r="A198" t="str">
            <v>COE 372,ED3-COE</v>
          </cell>
          <cell r="B198" t="str">
            <v>DIGITAL SYSTEMS DESIGN II</v>
          </cell>
          <cell r="C198" t="str">
            <v>Boateng Kwame Osei</v>
          </cell>
          <cell r="D198">
            <v>265</v>
          </cell>
          <cell r="E198" t="str">
            <v>ED3-COE</v>
          </cell>
          <cell r="F198" t="str">
            <v>COE 372</v>
          </cell>
        </row>
        <row r="199">
          <cell r="A199" t="str">
            <v>COE 392,ED3-COE</v>
          </cell>
          <cell r="B199" t="str">
            <v>AUTOTRONIC LAB.</v>
          </cell>
          <cell r="C199" t="str">
            <v>Kommey Benjamin</v>
          </cell>
          <cell r="D199">
            <v>265</v>
          </cell>
          <cell r="E199" t="str">
            <v>ED3-COE</v>
          </cell>
          <cell r="F199" t="str">
            <v>COE 392</v>
          </cell>
        </row>
        <row r="200">
          <cell r="A200" t="str">
            <v>COE 454,ED4-COE</v>
          </cell>
          <cell r="B200" t="str">
            <v>SOFTWARE ENGINEERING</v>
          </cell>
          <cell r="C200" t="str">
            <v>Keelson Eliel</v>
          </cell>
          <cell r="D200">
            <v>115</v>
          </cell>
          <cell r="E200" t="str">
            <v>ED4-COE</v>
          </cell>
          <cell r="F200" t="str">
            <v>COE 454</v>
          </cell>
        </row>
        <row r="201">
          <cell r="A201" t="str">
            <v>COE 456,ED4-COE</v>
          </cell>
          <cell r="B201" t="str">
            <v>SECURE NETWORK SYSTEMS</v>
          </cell>
          <cell r="C201" t="str">
            <v>Tchao Eric Tutu</v>
          </cell>
          <cell r="D201">
            <v>90</v>
          </cell>
          <cell r="E201" t="str">
            <v>ED4-COE</v>
          </cell>
          <cell r="F201" t="str">
            <v>COE 456</v>
          </cell>
        </row>
        <row r="202">
          <cell r="A202" t="str">
            <v>COE 458,ED4-COE</v>
          </cell>
          <cell r="B202" t="str">
            <v>ROBOTICS AND COMPUTER VISION</v>
          </cell>
          <cell r="C202" t="str">
            <v>Klogo Griffith Selorm</v>
          </cell>
          <cell r="D202">
            <v>45</v>
          </cell>
          <cell r="E202" t="str">
            <v>ED4-COE</v>
          </cell>
          <cell r="F202" t="str">
            <v>COE 458</v>
          </cell>
        </row>
        <row r="203">
          <cell r="A203" t="str">
            <v>COE 472,ED4-COE</v>
          </cell>
          <cell r="B203" t="str">
            <v>DIGITAL SIGNAL PROCESSING</v>
          </cell>
          <cell r="C203" t="str">
            <v>Akowuah Emmanuel Kofi</v>
          </cell>
          <cell r="D203">
            <v>160</v>
          </cell>
          <cell r="E203" t="str">
            <v>ED4-COE</v>
          </cell>
          <cell r="F203" t="str">
            <v>COE 472</v>
          </cell>
        </row>
        <row r="204">
          <cell r="A204" t="str">
            <v>COE 480,ED4-COE</v>
          </cell>
          <cell r="B204" t="str">
            <v>FAULT DIAGNOSIS AND FAILURE TOLERANCE</v>
          </cell>
          <cell r="C204" t="str">
            <v>Agbemenu Andrew Selasi</v>
          </cell>
          <cell r="D204">
            <v>70</v>
          </cell>
          <cell r="E204" t="str">
            <v>ED4-COE</v>
          </cell>
          <cell r="F204" t="str">
            <v>COE 480</v>
          </cell>
        </row>
        <row r="205">
          <cell r="A205" t="str">
            <v>COE 486,ED4-COE</v>
          </cell>
          <cell r="B205" t="str">
            <v>VLSI CIRCUIT DESIGN</v>
          </cell>
          <cell r="C205" t="str">
            <v>Agbemenu Andrew Selasi</v>
          </cell>
          <cell r="D205">
            <v>20</v>
          </cell>
          <cell r="E205" t="str">
            <v>ED4-COE</v>
          </cell>
          <cell r="F205" t="str">
            <v>COE 486</v>
          </cell>
        </row>
        <row r="206">
          <cell r="A206" t="str">
            <v>ME 492,ED4-COE</v>
          </cell>
          <cell r="B206" t="str">
            <v>MANAGEMENT AND ENTREPRENEURSHIP DEVELOPMENT</v>
          </cell>
          <cell r="C206" t="str">
            <v>Aikins Stephen Hill Mends</v>
          </cell>
          <cell r="D206">
            <v>160</v>
          </cell>
          <cell r="E206" t="str">
            <v>ED4-COE</v>
          </cell>
          <cell r="F206" t="str">
            <v>ME 492</v>
          </cell>
        </row>
        <row r="207">
          <cell r="A207" t="str">
            <v>COE 482,ED4-COE</v>
          </cell>
          <cell r="B207" t="str">
            <v>DIGITAL CONTROL SYSTEMS</v>
          </cell>
          <cell r="C207" t="str">
            <v>Daniel Opoku</v>
          </cell>
          <cell r="D207">
            <v>76</v>
          </cell>
          <cell r="E207" t="str">
            <v>ED4-COE</v>
          </cell>
          <cell r="F207" t="str">
            <v>COE 482</v>
          </cell>
        </row>
        <row r="208">
          <cell r="A208" t="str">
            <v>EE 158,ED1-EE</v>
          </cell>
          <cell r="B208" t="str">
            <v>INTRO TO PYTHON &amp; COMPUTER NETWORKING</v>
          </cell>
          <cell r="C208" t="str">
            <v>Charles Mawutor Adrah</v>
          </cell>
          <cell r="D208">
            <v>340</v>
          </cell>
          <cell r="E208" t="str">
            <v>ED1-EE</v>
          </cell>
          <cell r="F208" t="str">
            <v>EE 158</v>
          </cell>
        </row>
        <row r="209">
          <cell r="A209" t="str">
            <v>EE 152,ED1-EE</v>
          </cell>
          <cell r="B209" t="str">
            <v>BASIC ELECTRONICS</v>
          </cell>
          <cell r="C209" t="str">
            <v>Yaw Opoku Mensah Sekyere</v>
          </cell>
          <cell r="D209">
            <v>295</v>
          </cell>
          <cell r="E209" t="str">
            <v>ED1-EE</v>
          </cell>
          <cell r="F209" t="str">
            <v>EE 152</v>
          </cell>
        </row>
        <row r="210">
          <cell r="A210" t="str">
            <v>EE 166,ED1-EE</v>
          </cell>
          <cell r="B210" t="str">
            <v>CIRCUIT THEORY</v>
          </cell>
          <cell r="C210" t="str">
            <v>Twumasi Elvis</v>
          </cell>
          <cell r="D210">
            <v>295</v>
          </cell>
          <cell r="E210" t="str">
            <v>ED1-EE</v>
          </cell>
          <cell r="F210" t="str">
            <v>EE 166</v>
          </cell>
        </row>
        <row r="211">
          <cell r="A211" t="str">
            <v>EE 188,ED1-EE</v>
          </cell>
          <cell r="B211" t="str">
            <v>ELECTRICAL MEASUREMENTS &amp; INSTRUMENTATION</v>
          </cell>
          <cell r="C211" t="str">
            <v>Nicholas Kwesi Prah II</v>
          </cell>
          <cell r="D211">
            <v>295</v>
          </cell>
          <cell r="E211" t="str">
            <v>ED1-EE</v>
          </cell>
          <cell r="F211" t="str">
            <v>EE 188</v>
          </cell>
        </row>
        <row r="212">
          <cell r="A212" t="str">
            <v>ENGL 158,ED1-EE</v>
          </cell>
          <cell r="B212" t="str">
            <v>COMMUNICATION SKILLS II</v>
          </cell>
          <cell r="C212" t="str">
            <v>Yeboah Philomena Ama Okyeso</v>
          </cell>
          <cell r="D212">
            <v>295</v>
          </cell>
          <cell r="E212" t="str">
            <v>ED1-EE</v>
          </cell>
          <cell r="F212" t="str">
            <v>ENGL 158</v>
          </cell>
        </row>
        <row r="213">
          <cell r="A213" t="str">
            <v>MATH 152,ED1-EE</v>
          </cell>
          <cell r="B213" t="str">
            <v>CALCULUS WITH ANALYSIS</v>
          </cell>
          <cell r="C213" t="str">
            <v>Ayekple Yao Elikem</v>
          </cell>
          <cell r="D213">
            <v>295</v>
          </cell>
          <cell r="E213" t="str">
            <v>ED1-EE</v>
          </cell>
          <cell r="F213" t="str">
            <v>MATH 152</v>
          </cell>
        </row>
        <row r="214">
          <cell r="A214" t="str">
            <v>EE 156,ED1-EE</v>
          </cell>
          <cell r="B214" t="str">
            <v>ELECTRICAL ENG. DRAWING</v>
          </cell>
          <cell r="C214" t="str">
            <v>Kwegyir Daniel</v>
          </cell>
          <cell r="D214">
            <v>295</v>
          </cell>
          <cell r="E214" t="str">
            <v>ED1-EE</v>
          </cell>
          <cell r="F214" t="str">
            <v>EE 156</v>
          </cell>
        </row>
        <row r="215">
          <cell r="A215" t="str">
            <v>ME 166,ED1-EE</v>
          </cell>
          <cell r="B215" t="str">
            <v>APPLIED THERMODYNAMICS I</v>
          </cell>
          <cell r="C215" t="str">
            <v>Quansah David Ato</v>
          </cell>
          <cell r="D215">
            <v>295</v>
          </cell>
          <cell r="E215" t="str">
            <v>ED1-EE</v>
          </cell>
          <cell r="F215" t="str">
            <v>ME 166</v>
          </cell>
        </row>
        <row r="216">
          <cell r="A216" t="str">
            <v>ECON 152,ED2-EE</v>
          </cell>
          <cell r="B216" t="str">
            <v>INTRODUCTORY ECONOMICS II</v>
          </cell>
          <cell r="C216" t="str">
            <v>Takyi Paul Owusu</v>
          </cell>
          <cell r="D216">
            <v>150</v>
          </cell>
          <cell r="E216" t="str">
            <v>ED2-EE</v>
          </cell>
          <cell r="F216" t="str">
            <v>ECON 152</v>
          </cell>
        </row>
        <row r="217">
          <cell r="A217" t="str">
            <v>EE 258,ED2-EE</v>
          </cell>
          <cell r="B217" t="str">
            <v>POWER SUPPLY ELECTRONICS</v>
          </cell>
          <cell r="C217" t="str">
            <v>Effah Francis Boafo</v>
          </cell>
          <cell r="D217">
            <v>340</v>
          </cell>
          <cell r="E217" t="str">
            <v>ED2-EE</v>
          </cell>
          <cell r="F217" t="str">
            <v>EE 258</v>
          </cell>
        </row>
        <row r="218">
          <cell r="A218" t="str">
            <v>EE 262,ED2-EE</v>
          </cell>
          <cell r="B218" t="str">
            <v>AC MACHINES</v>
          </cell>
          <cell r="C218" t="str">
            <v>Asigri Peter</v>
          </cell>
          <cell r="D218">
            <v>340</v>
          </cell>
          <cell r="E218" t="str">
            <v>ED2-EE</v>
          </cell>
          <cell r="F218" t="str">
            <v>EE 262</v>
          </cell>
        </row>
        <row r="219">
          <cell r="A219" t="str">
            <v>EE 272,ED2-EE</v>
          </cell>
          <cell r="B219" t="str">
            <v>DIGITAL SYSTEMS</v>
          </cell>
          <cell r="C219" t="str">
            <v>Opoku Daniel</v>
          </cell>
          <cell r="D219">
            <v>340</v>
          </cell>
          <cell r="E219" t="str">
            <v>ED2-EE</v>
          </cell>
          <cell r="F219" t="str">
            <v>EE 272</v>
          </cell>
        </row>
        <row r="220">
          <cell r="A220" t="str">
            <v>EE 292,ED2-EE</v>
          </cell>
          <cell r="B220" t="str">
            <v>ELECTRICAL ENGINEERING LAB. II</v>
          </cell>
          <cell r="C220" t="str">
            <v>Frimpong Emmanuel Asuming</v>
          </cell>
          <cell r="D220">
            <v>340</v>
          </cell>
          <cell r="E220" t="str">
            <v>ED2-EE</v>
          </cell>
          <cell r="F220" t="str">
            <v>EE 292</v>
          </cell>
        </row>
        <row r="221">
          <cell r="A221" t="str">
            <v>FC 182,ED2-EE</v>
          </cell>
          <cell r="B221" t="str">
            <v>FRENCH FOR COMMUNICATION II</v>
          </cell>
          <cell r="C221" t="str">
            <v>Alexander Ocloo</v>
          </cell>
          <cell r="D221">
            <v>170</v>
          </cell>
          <cell r="E221" t="str">
            <v>ED2-EE</v>
          </cell>
          <cell r="F221" t="str">
            <v>FC 182</v>
          </cell>
        </row>
        <row r="222">
          <cell r="A222" t="str">
            <v>MATH 252,ED2-EE</v>
          </cell>
          <cell r="B222" t="str">
            <v>CALCULUS WITH SEVERAL VARIABLES</v>
          </cell>
          <cell r="C222" t="str">
            <v>Emmanuel Mensah</v>
          </cell>
          <cell r="D222">
            <v>340</v>
          </cell>
          <cell r="E222" t="str">
            <v>ED2-EE</v>
          </cell>
          <cell r="F222" t="str">
            <v>MATH 252</v>
          </cell>
        </row>
        <row r="223">
          <cell r="A223" t="str">
            <v>TE 262,ED2-EE</v>
          </cell>
          <cell r="B223" t="str">
            <v>ELECTROMAGNETIC FIELDS</v>
          </cell>
          <cell r="C223" t="str">
            <v>Kwame Oteng Gyasi</v>
          </cell>
          <cell r="D223">
            <v>340</v>
          </cell>
          <cell r="E223" t="str">
            <v>ED2-EE</v>
          </cell>
          <cell r="F223" t="str">
            <v>TE 262</v>
          </cell>
        </row>
        <row r="224">
          <cell r="A224" t="str">
            <v>COE 382,ED3-EE</v>
          </cell>
          <cell r="B224" t="str">
            <v>DIGITAL COMPUTER DESIGN</v>
          </cell>
          <cell r="C224" t="str">
            <v>Boateng Kwame Osei</v>
          </cell>
          <cell r="D224">
            <v>29</v>
          </cell>
          <cell r="E224" t="str">
            <v>ED3-EE</v>
          </cell>
          <cell r="F224" t="str">
            <v>COE 382</v>
          </cell>
        </row>
        <row r="225">
          <cell r="A225" t="str">
            <v>EE 360,ED3-EE</v>
          </cell>
          <cell r="B225" t="str">
            <v>HIGH VOLTAGE ENGINEERING</v>
          </cell>
          <cell r="C225" t="str">
            <v>Asigri Peter</v>
          </cell>
          <cell r="D225">
            <v>185</v>
          </cell>
          <cell r="E225" t="str">
            <v>ED3-EE</v>
          </cell>
          <cell r="F225" t="str">
            <v>EE 360</v>
          </cell>
        </row>
        <row r="226">
          <cell r="A226" t="str">
            <v>EE 362,ED3-EE</v>
          </cell>
          <cell r="B226" t="str">
            <v>SUBSTATIONS AND TRANSMISSION LINE DESIGN</v>
          </cell>
          <cell r="C226" t="str">
            <v>Antoh Emmanuel Kwaku</v>
          </cell>
          <cell r="D226">
            <v>240</v>
          </cell>
          <cell r="E226" t="str">
            <v>ED3-EE</v>
          </cell>
          <cell r="F226" t="str">
            <v>EE 362</v>
          </cell>
        </row>
        <row r="227">
          <cell r="A227" t="str">
            <v>EE 366,ED3-EE</v>
          </cell>
          <cell r="B227" t="str">
            <v>POWER ELECTRONICS</v>
          </cell>
          <cell r="C227" t="str">
            <v>Effah Francis Boafo</v>
          </cell>
          <cell r="D227">
            <v>240</v>
          </cell>
          <cell r="E227" t="str">
            <v>ED3-EE</v>
          </cell>
          <cell r="F227" t="str">
            <v>EE 366</v>
          </cell>
        </row>
        <row r="228">
          <cell r="A228" t="str">
            <v>EE 368,ED3-EE</v>
          </cell>
          <cell r="B228" t="str">
            <v>POWER SYSTEMS ANALYSIS</v>
          </cell>
          <cell r="C228" t="str">
            <v>Twumasi Elvis</v>
          </cell>
          <cell r="D228">
            <v>240</v>
          </cell>
          <cell r="E228" t="str">
            <v>ED3-EE</v>
          </cell>
          <cell r="F228" t="str">
            <v>EE 368</v>
          </cell>
        </row>
        <row r="229">
          <cell r="A229" t="str">
            <v>EE 380,ED3-EE</v>
          </cell>
          <cell r="B229" t="str">
            <v>DIGITAL CONTROL SYSTEMS</v>
          </cell>
          <cell r="C229" t="str">
            <v>Opoku Daniel</v>
          </cell>
          <cell r="D229">
            <v>70</v>
          </cell>
          <cell r="E229" t="str">
            <v>ED3-EE</v>
          </cell>
          <cell r="F229" t="str">
            <v>EE 380</v>
          </cell>
        </row>
        <row r="230">
          <cell r="A230" t="str">
            <v>EE 392,ED3-EE</v>
          </cell>
          <cell r="B230" t="str">
            <v>ELECTRICAL ENGINEERING LAB. III</v>
          </cell>
          <cell r="C230" t="str">
            <v>Emmanuel Kwaku Antoh</v>
          </cell>
          <cell r="D230">
            <v>240</v>
          </cell>
          <cell r="E230" t="str">
            <v>ED3-EE</v>
          </cell>
          <cell r="F230" t="str">
            <v>EE 392</v>
          </cell>
        </row>
        <row r="231">
          <cell r="A231" t="str">
            <v>TE 372,ED3-EE</v>
          </cell>
          <cell r="B231" t="str">
            <v>ANTENNAS AND PROPAGATION</v>
          </cell>
          <cell r="C231" t="str">
            <v>Ellis Sani Mubarak</v>
          </cell>
          <cell r="D231">
            <v>170</v>
          </cell>
          <cell r="E231" t="str">
            <v>ED3-EE</v>
          </cell>
          <cell r="F231" t="str">
            <v>TE 372</v>
          </cell>
        </row>
        <row r="232">
          <cell r="A232" t="str">
            <v>TE 384,ED3-EE</v>
          </cell>
          <cell r="B232" t="str">
            <v>SWITCHING ENGINEERING IN COMMUNICATION</v>
          </cell>
          <cell r="C232" t="str">
            <v>Obour Agyekum Kwame Opuni-Boachie</v>
          </cell>
          <cell r="D232">
            <v>10</v>
          </cell>
          <cell r="E232" t="str">
            <v>ED3-EE</v>
          </cell>
          <cell r="F232" t="str">
            <v>TE 384</v>
          </cell>
        </row>
        <row r="233">
          <cell r="A233" t="str">
            <v>TE 386,ED3-EE</v>
          </cell>
          <cell r="B233" t="str">
            <v>DIGITAL COMMUNICATION SYSTEMS</v>
          </cell>
          <cell r="C233" t="str">
            <v>Charles Mawutor Adrah</v>
          </cell>
          <cell r="D233">
            <v>240</v>
          </cell>
          <cell r="E233" t="str">
            <v>ED3-EE</v>
          </cell>
          <cell r="F233" t="str">
            <v>TE 386</v>
          </cell>
        </row>
        <row r="234">
          <cell r="A234" t="str">
            <v>EE 484,ED4-EE</v>
          </cell>
          <cell r="B234" t="str">
            <v>INDUSTRIAL AUTOMATIC CONTROL</v>
          </cell>
          <cell r="C234" t="str">
            <v>Opoku Daniel</v>
          </cell>
          <cell r="D234">
            <v>205</v>
          </cell>
          <cell r="E234" t="str">
            <v>ED4-EE</v>
          </cell>
          <cell r="F234" t="str">
            <v>EE 484</v>
          </cell>
        </row>
        <row r="235">
          <cell r="A235" t="str">
            <v>COE 486,ED4-EE</v>
          </cell>
          <cell r="B235" t="str">
            <v>INTRODUCTION TO VLSI</v>
          </cell>
          <cell r="C235" t="str">
            <v>Agbemenu Andrew Selasi</v>
          </cell>
          <cell r="D235">
            <v>15</v>
          </cell>
          <cell r="E235" t="str">
            <v>ED4-EE</v>
          </cell>
          <cell r="F235" t="str">
            <v>COE 486</v>
          </cell>
        </row>
        <row r="236">
          <cell r="A236" t="str">
            <v>EE 462,ED4-EE</v>
          </cell>
          <cell r="B236" t="str">
            <v>ELECTRIC DRIVES</v>
          </cell>
          <cell r="C236" t="str">
            <v>Effah Francis Boafo</v>
          </cell>
          <cell r="D236">
            <v>189</v>
          </cell>
          <cell r="E236" t="str">
            <v>ED4-EE</v>
          </cell>
          <cell r="F236" t="str">
            <v>EE 462</v>
          </cell>
        </row>
        <row r="237">
          <cell r="A237" t="str">
            <v>EE 466,ED4-EE</v>
          </cell>
          <cell r="B237" t="str">
            <v>POWER SYSTEMS PLANNING AND OPTIMIZATION</v>
          </cell>
          <cell r="C237" t="str">
            <v>Antoh Emmanuel Kwaku</v>
          </cell>
          <cell r="D237">
            <v>165</v>
          </cell>
          <cell r="E237" t="str">
            <v>ED4-EE</v>
          </cell>
          <cell r="F237" t="str">
            <v>EE 466</v>
          </cell>
        </row>
        <row r="238">
          <cell r="A238" t="str">
            <v>EE 468,ED4-EE</v>
          </cell>
          <cell r="B238" t="str">
            <v>POWER SYSTEMS PROTECTION</v>
          </cell>
          <cell r="C238" t="str">
            <v>Frimpong Emmanuel Asuming</v>
          </cell>
          <cell r="D238">
            <v>205</v>
          </cell>
          <cell r="E238" t="str">
            <v>ED4-EE</v>
          </cell>
          <cell r="F238" t="str">
            <v>EE 468</v>
          </cell>
        </row>
        <row r="239">
          <cell r="A239" t="str">
            <v>EE 472,ED4-EE</v>
          </cell>
          <cell r="B239" t="str">
            <v>DIGITAL SIGNAL PROCESSING</v>
          </cell>
          <cell r="C239" t="str">
            <v>Kponyo Jerry John</v>
          </cell>
          <cell r="D239">
            <v>12</v>
          </cell>
          <cell r="E239" t="str">
            <v>ED4-EE</v>
          </cell>
          <cell r="F239" t="str">
            <v>EE 472</v>
          </cell>
        </row>
        <row r="240">
          <cell r="A240" t="str">
            <v>ME 492,ED4-EE</v>
          </cell>
          <cell r="B240" t="str">
            <v>ENTREPRENEURSHIP DEVELOPMENT AND MANAGEMENT</v>
          </cell>
          <cell r="C240" t="str">
            <v>Mensah Lena Dzifa</v>
          </cell>
          <cell r="D240">
            <v>205</v>
          </cell>
          <cell r="E240" t="str">
            <v>ED4-EE</v>
          </cell>
          <cell r="F240" t="str">
            <v>ME 492</v>
          </cell>
        </row>
        <row r="241">
          <cell r="A241" t="str">
            <v>TE 472,ED4-EE</v>
          </cell>
          <cell r="B241" t="str">
            <v>MOBILE AND SATELLITE COMMUNICATION SYSTEM</v>
          </cell>
          <cell r="C241" t="str">
            <v>Gadze James Dzisi</v>
          </cell>
          <cell r="D241">
            <v>4</v>
          </cell>
          <cell r="E241" t="str">
            <v>ED4-EE</v>
          </cell>
          <cell r="F241" t="str">
            <v>TE 472</v>
          </cell>
        </row>
        <row r="242">
          <cell r="A242" t="str">
            <v>CE 156,ED1-GEOL</v>
          </cell>
          <cell r="B242" t="str">
            <v>ELEMENTARY FLUIDS MECHANICS</v>
          </cell>
          <cell r="C242" t="str">
            <v>Gyamfi Charles</v>
          </cell>
          <cell r="D242">
            <v>125</v>
          </cell>
          <cell r="E242" t="str">
            <v>ED1-GEOL</v>
          </cell>
          <cell r="F242" t="str">
            <v>CE 156</v>
          </cell>
        </row>
        <row r="243">
          <cell r="A243" t="str">
            <v>CE 164,ED1-GEOL</v>
          </cell>
          <cell r="B243" t="str">
            <v>CIVIL ENGINEERING DRAWING</v>
          </cell>
          <cell r="C243" t="str">
            <v>Osei Jack Banahene</v>
          </cell>
          <cell r="D243">
            <v>125</v>
          </cell>
          <cell r="E243" t="str">
            <v>ED1-GEOL</v>
          </cell>
          <cell r="F243" t="str">
            <v>CE 164</v>
          </cell>
        </row>
        <row r="244">
          <cell r="A244" t="str">
            <v>CSM 158,ED1-GEOL</v>
          </cell>
          <cell r="B244" t="str">
            <v>PRINCIPLES OF ACCOUNTING II</v>
          </cell>
          <cell r="C244" t="str">
            <v>John Bosco Dramani</v>
          </cell>
          <cell r="D244">
            <v>5</v>
          </cell>
          <cell r="E244" t="str">
            <v>ED1-GEOL</v>
          </cell>
          <cell r="F244" t="str">
            <v>CSM 158</v>
          </cell>
        </row>
        <row r="245">
          <cell r="A245" t="str">
            <v>ECON 152,ED1-GEOL</v>
          </cell>
          <cell r="B245" t="str">
            <v>INTRODUCTORY ECONOMICS II</v>
          </cell>
          <cell r="C245" t="str">
            <v>Beatrice Sarpong-Danquah</v>
          </cell>
          <cell r="D245">
            <v>30</v>
          </cell>
          <cell r="E245" t="str">
            <v>ED1-GEOL</v>
          </cell>
          <cell r="F245" t="str">
            <v>ECON 152</v>
          </cell>
        </row>
        <row r="246">
          <cell r="A246" t="str">
            <v>EE 152,ED1-GEOL</v>
          </cell>
          <cell r="B246" t="str">
            <v>BASIC ELECTRONICS</v>
          </cell>
          <cell r="C246" t="str">
            <v>Kwegyir Daniel</v>
          </cell>
          <cell r="D246">
            <v>125</v>
          </cell>
          <cell r="E246" t="str">
            <v>ED1-GEOL</v>
          </cell>
          <cell r="F246" t="str">
            <v>EE 152</v>
          </cell>
        </row>
        <row r="247">
          <cell r="A247" t="str">
            <v>ENGL 158,ED1-GEOL</v>
          </cell>
          <cell r="B247" t="str">
            <v>COMMUNICATION SKILLS II</v>
          </cell>
          <cell r="C247" t="str">
            <v>Yeboah Philomena Ama Okyeso</v>
          </cell>
          <cell r="D247">
            <v>125</v>
          </cell>
          <cell r="E247" t="str">
            <v>ED1-GEOL</v>
          </cell>
          <cell r="F247" t="str">
            <v>ENGL 158</v>
          </cell>
        </row>
        <row r="248">
          <cell r="A248" t="str">
            <v>FC 182,ED1-GEOL</v>
          </cell>
          <cell r="B248" t="str">
            <v>FRENCH FOR COMMUNICATION II</v>
          </cell>
          <cell r="C248" t="str">
            <v>Boakye-Agyeman Candy</v>
          </cell>
          <cell r="D248">
            <v>90</v>
          </cell>
          <cell r="E248" t="str">
            <v>ED1-GEOL</v>
          </cell>
          <cell r="F248" t="str">
            <v>FC 182</v>
          </cell>
        </row>
        <row r="249">
          <cell r="A249" t="str">
            <v>GED 152,ED1-GEOL</v>
          </cell>
          <cell r="B249" t="str">
            <v>BASIC MINERAL SCIENCE</v>
          </cell>
          <cell r="C249" t="str">
            <v>Appiah-Adjei Emmanuel Kwame</v>
          </cell>
          <cell r="D249">
            <v>125</v>
          </cell>
          <cell r="E249" t="str">
            <v>ED1-GEOL</v>
          </cell>
          <cell r="F249" t="str">
            <v>GED 152</v>
          </cell>
        </row>
        <row r="250">
          <cell r="A250" t="str">
            <v>GED 164,ED1-GEOL</v>
          </cell>
          <cell r="B250" t="str">
            <v>COMPUTER APPLICATIONS</v>
          </cell>
          <cell r="C250" t="str">
            <v>Albert Kwame Kwaw</v>
          </cell>
          <cell r="D250">
            <v>125</v>
          </cell>
          <cell r="E250" t="str">
            <v>ED1-GEOL</v>
          </cell>
          <cell r="F250" t="str">
            <v>GED 164</v>
          </cell>
        </row>
        <row r="251">
          <cell r="A251" t="str">
            <v>MATH 152,ED1-GEOL</v>
          </cell>
          <cell r="B251" t="str">
            <v>CALCULUS WITH SEVERAL VARIABLES</v>
          </cell>
          <cell r="C251" t="str">
            <v>Kwabi Prince Amponsah</v>
          </cell>
          <cell r="D251">
            <v>125</v>
          </cell>
          <cell r="E251" t="str">
            <v>ED1-GEOL</v>
          </cell>
          <cell r="F251" t="str">
            <v>MATH 152</v>
          </cell>
        </row>
        <row r="252">
          <cell r="A252" t="str">
            <v>CE 256,ED2-GEOL</v>
          </cell>
          <cell r="B252" t="str">
            <v>FLUID MECHANICS</v>
          </cell>
          <cell r="C252" t="str">
            <v>Anornu Geophrey Kwame</v>
          </cell>
          <cell r="D252">
            <v>150</v>
          </cell>
          <cell r="E252" t="str">
            <v>ED2-GEOL</v>
          </cell>
          <cell r="F252" t="str">
            <v>CE 256</v>
          </cell>
        </row>
        <row r="253">
          <cell r="A253" t="str">
            <v>GE 282,ED2-GEOL</v>
          </cell>
          <cell r="B253" t="str">
            <v>LARGE SCALE SURVEYING</v>
          </cell>
          <cell r="C253" t="str">
            <v>Dadzie Isaac</v>
          </cell>
          <cell r="D253">
            <v>150</v>
          </cell>
          <cell r="E253" t="str">
            <v>ED2-GEOL</v>
          </cell>
          <cell r="F253" t="str">
            <v>GE 282</v>
          </cell>
        </row>
        <row r="254">
          <cell r="A254" t="str">
            <v>GED 252,ED2-GEOL</v>
          </cell>
          <cell r="B254" t="str">
            <v>STRATIGRAPHY</v>
          </cell>
          <cell r="C254" t="str">
            <v>Amedjoe Godfrey Chiri</v>
          </cell>
          <cell r="D254">
            <v>150</v>
          </cell>
          <cell r="E254" t="str">
            <v>ED2-GEOL</v>
          </cell>
          <cell r="F254" t="str">
            <v>GED 252</v>
          </cell>
        </row>
        <row r="255">
          <cell r="A255" t="str">
            <v>GED 254,ED2-GEOL</v>
          </cell>
          <cell r="B255" t="str">
            <v>ROCK ENGINEERING</v>
          </cell>
          <cell r="C255" t="str">
            <v>Gidigasu Solomon Senyo Robert</v>
          </cell>
          <cell r="D255">
            <v>150</v>
          </cell>
          <cell r="E255" t="str">
            <v>ED2-GEOL</v>
          </cell>
          <cell r="F255" t="str">
            <v>GED 254</v>
          </cell>
        </row>
        <row r="256">
          <cell r="A256" t="str">
            <v>GED 258,ED2-GEOL</v>
          </cell>
          <cell r="B256" t="str">
            <v>OPTICAL MINERALOGY</v>
          </cell>
          <cell r="C256" t="str">
            <v>Wilson Matthew Coffie</v>
          </cell>
          <cell r="D256">
            <v>150</v>
          </cell>
          <cell r="E256" t="str">
            <v>ED2-GEOL</v>
          </cell>
          <cell r="F256" t="str">
            <v>GED 258</v>
          </cell>
        </row>
        <row r="257">
          <cell r="A257" t="str">
            <v>GED 262,ED2-GEOL</v>
          </cell>
          <cell r="B257" t="str">
            <v>INTRODUCTION TO SOIL MECHANICS</v>
          </cell>
          <cell r="C257" t="str">
            <v>Amenuvor Andrew Cudzo</v>
          </cell>
          <cell r="D257">
            <v>150</v>
          </cell>
          <cell r="E257" t="str">
            <v>ED2-GEOL</v>
          </cell>
          <cell r="F257" t="str">
            <v>GED 262</v>
          </cell>
        </row>
        <row r="258">
          <cell r="A258" t="str">
            <v>MATH 252,ED2-GEOL</v>
          </cell>
          <cell r="B258" t="str">
            <v>ANALYSIS IV</v>
          </cell>
          <cell r="C258" t="str">
            <v>Wireko Fredrick Asenso</v>
          </cell>
          <cell r="D258">
            <v>150</v>
          </cell>
          <cell r="E258" t="str">
            <v>ED2-GEOL</v>
          </cell>
          <cell r="F258" t="str">
            <v>MATH 252</v>
          </cell>
        </row>
        <row r="259">
          <cell r="A259" t="str">
            <v>GED 342,ED3-GEOL</v>
          </cell>
          <cell r="B259" t="str">
            <v>MINING PRINCIPLES AND SYSTEMS</v>
          </cell>
          <cell r="C259" t="str">
            <v>Owusu-Sarpong Seth</v>
          </cell>
          <cell r="D259">
            <v>154</v>
          </cell>
          <cell r="E259" t="str">
            <v>ED3-GEOL</v>
          </cell>
          <cell r="F259" t="str">
            <v>GED 342</v>
          </cell>
        </row>
        <row r="260">
          <cell r="A260" t="str">
            <v>GED 352,ED3-GEOL</v>
          </cell>
          <cell r="B260" t="str">
            <v>PRINCIPLES OF GEOLCHEMISTRY</v>
          </cell>
          <cell r="C260" t="str">
            <v>Gawu Simon Kafui Yawo</v>
          </cell>
          <cell r="D260">
            <v>154</v>
          </cell>
          <cell r="E260" t="str">
            <v>ED3-GEOL</v>
          </cell>
          <cell r="F260" t="str">
            <v>GED 352</v>
          </cell>
        </row>
        <row r="261">
          <cell r="A261" t="str">
            <v>GED 354,ED3-GEOL</v>
          </cell>
          <cell r="B261" t="str">
            <v>PRINCIPLES OF GEOPHYSICS</v>
          </cell>
          <cell r="C261" t="str">
            <v>Ali Bukari</v>
          </cell>
          <cell r="D261">
            <v>154</v>
          </cell>
          <cell r="E261" t="str">
            <v>ED3-GEOL</v>
          </cell>
          <cell r="F261" t="str">
            <v>GED 354</v>
          </cell>
        </row>
        <row r="262">
          <cell r="A262" t="str">
            <v>GED 364,ED3-GEOL</v>
          </cell>
          <cell r="B262" t="str">
            <v>STRUCTURAL GEOLOGY</v>
          </cell>
          <cell r="C262" t="str">
            <v>Wilson Matthew Coffie</v>
          </cell>
          <cell r="D262">
            <v>154</v>
          </cell>
          <cell r="E262" t="str">
            <v>ED3-GEOL</v>
          </cell>
          <cell r="F262" t="str">
            <v>GED 364</v>
          </cell>
        </row>
        <row r="263">
          <cell r="A263" t="str">
            <v>GED 366,ED3-GEOL</v>
          </cell>
          <cell r="B263" t="str">
            <v>MINERAL ECONOMICS AND EVALUATION</v>
          </cell>
          <cell r="C263" t="str">
            <v>Foli Gordon</v>
          </cell>
          <cell r="D263">
            <v>154</v>
          </cell>
          <cell r="E263" t="str">
            <v>ED3-GEOL</v>
          </cell>
          <cell r="F263" t="str">
            <v>GED 366</v>
          </cell>
        </row>
        <row r="264">
          <cell r="A264" t="str">
            <v>GED 368,ED3-GEOL</v>
          </cell>
          <cell r="B264" t="str">
            <v>GIS APPLICATIONS</v>
          </cell>
          <cell r="C264" t="str">
            <v>Appiah-Adjei Emmanuel Kwame</v>
          </cell>
          <cell r="D264">
            <v>154</v>
          </cell>
          <cell r="E264" t="str">
            <v>ED3-GEOL</v>
          </cell>
          <cell r="F264" t="str">
            <v>GED 368</v>
          </cell>
        </row>
        <row r="265">
          <cell r="A265" t="str">
            <v>GED 370,ED3-GEOL</v>
          </cell>
          <cell r="B265" t="str">
            <v>FOUNDATION ENGINEERING</v>
          </cell>
          <cell r="C265" t="str">
            <v>Amenuvor Andrew Cudzo</v>
          </cell>
          <cell r="D265">
            <v>154</v>
          </cell>
          <cell r="E265" t="str">
            <v>ED3-GEOL</v>
          </cell>
          <cell r="F265" t="str">
            <v>GED 370</v>
          </cell>
        </row>
        <row r="266">
          <cell r="A266" t="str">
            <v>CE 478,ED4-GEOL</v>
          </cell>
          <cell r="B266" t="str">
            <v>GROUND ENGINEERING</v>
          </cell>
          <cell r="C266" t="str">
            <v>Samuel Innocent Kofi Ampadu</v>
          </cell>
          <cell r="D266">
            <v>2</v>
          </cell>
          <cell r="E266" t="str">
            <v>ED4-GEOL</v>
          </cell>
          <cell r="F266" t="str">
            <v>CE 478</v>
          </cell>
        </row>
        <row r="267">
          <cell r="A267" t="str">
            <v>GED 452,ED4-GEOL</v>
          </cell>
          <cell r="B267" t="str">
            <v>ADVANCED ENGINEERING GEOLLOGY</v>
          </cell>
          <cell r="C267" t="str">
            <v>Gidigasu Solomon Senyo Robert</v>
          </cell>
          <cell r="D267">
            <v>95</v>
          </cell>
          <cell r="E267" t="str">
            <v>ED4-GEOL</v>
          </cell>
          <cell r="F267" t="str">
            <v>GED 452</v>
          </cell>
        </row>
        <row r="268">
          <cell r="A268" t="str">
            <v>GED 454,ED4-GEOL</v>
          </cell>
          <cell r="B268" t="str">
            <v>ENVIRONMENTAL GEOLLOGY</v>
          </cell>
          <cell r="C268" t="str">
            <v>Foli Gordon</v>
          </cell>
          <cell r="D268">
            <v>95</v>
          </cell>
          <cell r="E268" t="str">
            <v>ED4-GEOL</v>
          </cell>
          <cell r="F268" t="str">
            <v>GED 454</v>
          </cell>
        </row>
        <row r="269">
          <cell r="A269" t="str">
            <v>GED 462,ED4-GEOL</v>
          </cell>
          <cell r="B269" t="str">
            <v>ECONOMIC GEOLLOGY</v>
          </cell>
          <cell r="C269" t="str">
            <v>Mensah Emmanuel</v>
          </cell>
          <cell r="D269">
            <v>95</v>
          </cell>
          <cell r="E269" t="str">
            <v>ED4-GEOL</v>
          </cell>
          <cell r="F269" t="str">
            <v>GED 462</v>
          </cell>
        </row>
        <row r="270">
          <cell r="A270" t="str">
            <v>GED 464,ED4-GEOL</v>
          </cell>
          <cell r="B270" t="str">
            <v>ENGINEERING MANAGEMENT</v>
          </cell>
          <cell r="C270" t="str">
            <v>Takyi Gabriel</v>
          </cell>
          <cell r="D270">
            <v>95</v>
          </cell>
          <cell r="E270" t="str">
            <v>ED4-GEOL</v>
          </cell>
          <cell r="F270" t="str">
            <v>GED 464</v>
          </cell>
        </row>
        <row r="271">
          <cell r="A271" t="str">
            <v>GED 466,ED4-GEOL</v>
          </cell>
          <cell r="B271" t="str">
            <v>PETROLEUM GEOLOGY</v>
          </cell>
          <cell r="C271" t="str">
            <v>Foli Gordon</v>
          </cell>
          <cell r="D271">
            <v>35</v>
          </cell>
          <cell r="E271" t="str">
            <v>ED4-GEOL</v>
          </cell>
          <cell r="F271" t="str">
            <v>GED 466</v>
          </cell>
        </row>
        <row r="272">
          <cell r="A272" t="str">
            <v>GED 468,ED4-GEOL</v>
          </cell>
          <cell r="B272" t="str">
            <v>GEOSTATISTICS</v>
          </cell>
          <cell r="C272" t="str">
            <v>Nuamah Daniel Oduro Boatey</v>
          </cell>
          <cell r="D272">
            <v>72</v>
          </cell>
          <cell r="E272" t="str">
            <v>ED4-GEOL</v>
          </cell>
          <cell r="F272" t="str">
            <v>GED 468</v>
          </cell>
        </row>
        <row r="273">
          <cell r="A273" t="str">
            <v>GED 476,ED4-GEOL</v>
          </cell>
          <cell r="B273" t="str">
            <v>GROUNDWATER DEVELOPMENT</v>
          </cell>
          <cell r="C273" t="str">
            <v>Ali Bukari</v>
          </cell>
          <cell r="D273">
            <v>95</v>
          </cell>
          <cell r="E273" t="str">
            <v>ED4-GEOL</v>
          </cell>
          <cell r="F273" t="str">
            <v>GED 476</v>
          </cell>
        </row>
        <row r="274">
          <cell r="A274" t="str">
            <v>EE 152,ED1-GEOM</v>
          </cell>
          <cell r="B274" t="str">
            <v>BASIC ELECTRONICS</v>
          </cell>
          <cell r="C274" t="str">
            <v>Kwegyir Daniel</v>
          </cell>
          <cell r="D274">
            <v>103</v>
          </cell>
          <cell r="E274" t="str">
            <v>ED1-GEOM</v>
          </cell>
          <cell r="F274" t="str">
            <v>EE 152</v>
          </cell>
        </row>
        <row r="275">
          <cell r="A275" t="str">
            <v>ENGL 158,ED1-GEOM</v>
          </cell>
          <cell r="B275" t="str">
            <v>COMMUNICATION SKILLS II</v>
          </cell>
          <cell r="C275" t="str">
            <v>Yeboah Philomena Ama Okyeso</v>
          </cell>
          <cell r="D275">
            <v>103</v>
          </cell>
          <cell r="E275" t="str">
            <v>ED1-GEOM</v>
          </cell>
          <cell r="F275" t="str">
            <v>ENGL 158</v>
          </cell>
        </row>
        <row r="276">
          <cell r="A276" t="str">
            <v>GE 152,ED1-GEOM</v>
          </cell>
          <cell r="B276" t="str">
            <v>REPRODUCTION CARTOGRAPHY</v>
          </cell>
          <cell r="C276" t="str">
            <v>Quaye-Ballard Jonathan Arthur</v>
          </cell>
          <cell r="D276">
            <v>103</v>
          </cell>
          <cell r="E276" t="str">
            <v>ED1-GEOM</v>
          </cell>
          <cell r="F276" t="str">
            <v>GE 152</v>
          </cell>
        </row>
        <row r="277">
          <cell r="A277" t="str">
            <v>GE 158,ED1-GEOM</v>
          </cell>
          <cell r="B277" t="str">
            <v>INTRODUCTION TO INFORMATION TECHNOLOGY</v>
          </cell>
          <cell r="C277" t="str">
            <v>Titus Tienaah</v>
          </cell>
          <cell r="D277">
            <v>103</v>
          </cell>
          <cell r="E277" t="str">
            <v>ED1-GEOM</v>
          </cell>
          <cell r="F277" t="str">
            <v>GE 158</v>
          </cell>
        </row>
        <row r="278">
          <cell r="A278" t="str">
            <v>GE 162,ED1-GEOM</v>
          </cell>
          <cell r="B278" t="str">
            <v>LARGE SCALE SURVEYING</v>
          </cell>
          <cell r="C278" t="str">
            <v>Ayer John Wise Divine</v>
          </cell>
          <cell r="D278">
            <v>103</v>
          </cell>
          <cell r="E278" t="str">
            <v>ED1-GEOM</v>
          </cell>
          <cell r="F278" t="str">
            <v>GE 162</v>
          </cell>
        </row>
        <row r="279">
          <cell r="A279" t="str">
            <v>MATH 152,ED1-GEOM</v>
          </cell>
          <cell r="B279" t="str">
            <v>CALCULUS WITH ANALYSIS</v>
          </cell>
          <cell r="C279" t="str">
            <v>Lawton Adu-Ansah</v>
          </cell>
          <cell r="D279">
            <v>103</v>
          </cell>
          <cell r="E279" t="str">
            <v>ED1-GEOM</v>
          </cell>
          <cell r="F279" t="str">
            <v>MATH 152</v>
          </cell>
        </row>
        <row r="280">
          <cell r="A280" t="str">
            <v>CE 260,ED2-GEOM</v>
          </cell>
          <cell r="B280" t="str">
            <v>SOIL AND ROCK MECHANICS</v>
          </cell>
          <cell r="C280" t="str">
            <v>Owusu-Nimo Frederick</v>
          </cell>
          <cell r="D280">
            <v>132</v>
          </cell>
          <cell r="E280" t="str">
            <v>ED2-GEOM</v>
          </cell>
          <cell r="F280" t="str">
            <v>CE 260</v>
          </cell>
        </row>
        <row r="281">
          <cell r="A281" t="str">
            <v>ENGL 264,ED2-GEOM</v>
          </cell>
          <cell r="B281" t="str">
            <v>LITERATURE IN ENGLISH II</v>
          </cell>
          <cell r="C281" t="str">
            <v>Yeboah Philomena Ama Okyeso</v>
          </cell>
          <cell r="D281">
            <v>132</v>
          </cell>
          <cell r="E281" t="str">
            <v>ED2-GEOM</v>
          </cell>
          <cell r="F281" t="str">
            <v>ENGL 264</v>
          </cell>
        </row>
        <row r="282">
          <cell r="A282" t="str">
            <v>GE 262,ED2-GEOM</v>
          </cell>
          <cell r="B282" t="str">
            <v>PRINCIPLES OF REMOTE SENSING</v>
          </cell>
          <cell r="C282" t="str">
            <v>Yaw Mensah Asare</v>
          </cell>
          <cell r="D282">
            <v>132</v>
          </cell>
          <cell r="E282" t="str">
            <v>ED2-GEOM</v>
          </cell>
          <cell r="F282" t="str">
            <v>GE 262</v>
          </cell>
        </row>
        <row r="283">
          <cell r="A283" t="str">
            <v>GE 272,ED2-GEOM</v>
          </cell>
          <cell r="B283" t="str">
            <v>ENGINEERING SURVEY II</v>
          </cell>
          <cell r="C283" t="str">
            <v>Arko-Adjei Anthony</v>
          </cell>
          <cell r="D283">
            <v>132</v>
          </cell>
          <cell r="E283" t="str">
            <v>ED2-GEOM</v>
          </cell>
          <cell r="F283" t="str">
            <v>GE 272</v>
          </cell>
        </row>
        <row r="284">
          <cell r="A284" t="str">
            <v>GE 284,ED2-GEOM</v>
          </cell>
          <cell r="B284" t="str">
            <v>HYDROGRAPHIC SURVEYING AND MARINE SCIENCE</v>
          </cell>
          <cell r="C284" t="str">
            <v>Asante Cosmas Yaw</v>
          </cell>
          <cell r="D284">
            <v>132</v>
          </cell>
          <cell r="E284" t="str">
            <v>ED2-GEOM</v>
          </cell>
          <cell r="F284" t="str">
            <v>GE 284</v>
          </cell>
        </row>
        <row r="285">
          <cell r="A285" t="str">
            <v>MATH 252,ED2-GEOM</v>
          </cell>
          <cell r="B285" t="str">
            <v>CALCULUS WITH SEVERAL VARIABLES</v>
          </cell>
          <cell r="C285" t="str">
            <v>Asamoah Joshua Kiddy Kwasi</v>
          </cell>
          <cell r="D285">
            <v>132</v>
          </cell>
          <cell r="E285" t="str">
            <v>ED2-GEOM</v>
          </cell>
          <cell r="F285" t="str">
            <v>MATH 252</v>
          </cell>
        </row>
        <row r="286">
          <cell r="A286" t="str">
            <v>CE 368,ED3-GEOM</v>
          </cell>
          <cell r="B286" t="str">
            <v xml:space="preserve"> HIGHWAY ENGINEERING</v>
          </cell>
          <cell r="C286" t="str">
            <v>Ababio-Donkor Augustus</v>
          </cell>
          <cell r="D286">
            <v>122</v>
          </cell>
          <cell r="E286" t="str">
            <v>ED3-GEOM</v>
          </cell>
          <cell r="F286" t="str">
            <v>CE 368</v>
          </cell>
        </row>
        <row r="287">
          <cell r="A287" t="str">
            <v>CE 390,ED3-GEOM</v>
          </cell>
          <cell r="B287" t="str">
            <v>ROAD DESIGN AND MATERIAL EVALUATION LABORATORY</v>
          </cell>
          <cell r="C287" t="str">
            <v>Ababio-Donkor Augustus</v>
          </cell>
          <cell r="D287">
            <v>122</v>
          </cell>
          <cell r="E287" t="str">
            <v>ED3-GEOM</v>
          </cell>
          <cell r="F287" t="str">
            <v>CE 390</v>
          </cell>
        </row>
        <row r="288">
          <cell r="A288" t="str">
            <v>CSM 158,ED3-GEOM</v>
          </cell>
          <cell r="B288" t="str">
            <v>ACCOUNTING II</v>
          </cell>
          <cell r="C288" t="str">
            <v>Beatrice Sarpong-Danquah</v>
          </cell>
          <cell r="D288">
            <v>35</v>
          </cell>
          <cell r="E288" t="str">
            <v>ED3-GEOM</v>
          </cell>
          <cell r="F288" t="str">
            <v>CSM 158</v>
          </cell>
        </row>
        <row r="289">
          <cell r="A289" t="str">
            <v>ECON 152,ED3-GEOM</v>
          </cell>
          <cell r="B289" t="str">
            <v>ELEMENTS OF ECONOMICS II</v>
          </cell>
          <cell r="C289" t="str">
            <v>Edward Yeboah</v>
          </cell>
          <cell r="D289">
            <v>15</v>
          </cell>
          <cell r="E289" t="str">
            <v>ED3-GEOM</v>
          </cell>
          <cell r="F289" t="str">
            <v>ECON 152</v>
          </cell>
        </row>
        <row r="290">
          <cell r="A290" t="str">
            <v>FC 182,ED3-GEOM</v>
          </cell>
          <cell r="B290" t="str">
            <v>FRENCH FOR COMMUNICATION  II</v>
          </cell>
          <cell r="C290" t="str">
            <v>Pharis Jeel Darko</v>
          </cell>
          <cell r="D290">
            <v>65</v>
          </cell>
          <cell r="E290" t="str">
            <v>ED3-GEOM</v>
          </cell>
          <cell r="F290" t="str">
            <v>FC 182</v>
          </cell>
        </row>
        <row r="291">
          <cell r="A291" t="str">
            <v>GE 354,ED3-GEOM</v>
          </cell>
          <cell r="B291" t="str">
            <v>SATELLITE SURVEYING</v>
          </cell>
          <cell r="C291" t="str">
            <v>Andam-Akorful Samuel Ato</v>
          </cell>
          <cell r="D291">
            <v>122</v>
          </cell>
          <cell r="E291" t="str">
            <v>ED3-GEOM</v>
          </cell>
          <cell r="F291" t="str">
            <v>GE 354</v>
          </cell>
        </row>
        <row r="292">
          <cell r="A292" t="str">
            <v>GE 362,ED3-GEOM</v>
          </cell>
          <cell r="B292" t="str">
            <v>PRINCIPLES OF GIS</v>
          </cell>
          <cell r="C292" t="str">
            <v>Forkuo Eric Kwabena</v>
          </cell>
          <cell r="D292">
            <v>122</v>
          </cell>
          <cell r="E292" t="str">
            <v>ED3-GEOM</v>
          </cell>
          <cell r="F292" t="str">
            <v>GE 362</v>
          </cell>
        </row>
        <row r="293">
          <cell r="A293" t="str">
            <v>GE 372,ED3-GEOM</v>
          </cell>
          <cell r="B293" t="str">
            <v>ANALYSIS OF ERRORS</v>
          </cell>
          <cell r="C293" t="str">
            <v>Collins Fosu</v>
          </cell>
          <cell r="D293">
            <v>122</v>
          </cell>
          <cell r="E293" t="str">
            <v>ED3-GEOM</v>
          </cell>
          <cell r="F293" t="str">
            <v>GE 372</v>
          </cell>
        </row>
        <row r="294">
          <cell r="A294" t="str">
            <v>PL 252,ED3-GEOM</v>
          </cell>
          <cell r="B294" t="str">
            <v>PLANNING THE PHYSICAL ENVIRONMENT</v>
          </cell>
          <cell r="C294" t="str">
            <v>Aboagye Prince Anokye</v>
          </cell>
          <cell r="D294">
            <v>122</v>
          </cell>
          <cell r="E294" t="str">
            <v>ED3-GEOM</v>
          </cell>
          <cell r="F294" t="str">
            <v>PL 252</v>
          </cell>
        </row>
        <row r="295">
          <cell r="A295" t="str">
            <v>GE 464,ED4-GEOM</v>
          </cell>
          <cell r="B295" t="str">
            <v>DATABASE SYSTEMS</v>
          </cell>
          <cell r="C295" t="str">
            <v>Ayer John Wise Divine</v>
          </cell>
          <cell r="D295">
            <v>93</v>
          </cell>
          <cell r="E295" t="str">
            <v>ED4-GEOM</v>
          </cell>
          <cell r="F295" t="str">
            <v>GE 464</v>
          </cell>
        </row>
        <row r="296">
          <cell r="A296" t="str">
            <v>GE 472,ED4-GEOM</v>
          </cell>
          <cell r="B296" t="str">
            <v>LAND LAW AND REGISTRATION</v>
          </cell>
          <cell r="C296" t="str">
            <v>Arko-Adjei Anthony</v>
          </cell>
          <cell r="D296">
            <v>93</v>
          </cell>
          <cell r="E296" t="str">
            <v>ED4-GEOM</v>
          </cell>
          <cell r="F296" t="str">
            <v>GE 472</v>
          </cell>
        </row>
        <row r="297">
          <cell r="A297" t="str">
            <v>GE 474,ED4-GEOM</v>
          </cell>
          <cell r="B297" t="str">
            <v>PRINCIPLES OF VALUATION OF LAND AND BUILDING</v>
          </cell>
          <cell r="C297" t="str">
            <v>Ayitey Jonathan</v>
          </cell>
          <cell r="D297">
            <v>93</v>
          </cell>
          <cell r="E297" t="str">
            <v>ED4-GEOM</v>
          </cell>
          <cell r="F297" t="str">
            <v>GE 474</v>
          </cell>
        </row>
        <row r="298">
          <cell r="A298" t="str">
            <v>GE 476,ED4-GEOM</v>
          </cell>
          <cell r="B298" t="str">
            <v>PROFESSIONAL STUDIES AND DEVELOPMENT</v>
          </cell>
          <cell r="C298" t="str">
            <v>Akrofi Emmanuel Offei</v>
          </cell>
          <cell r="D298">
            <v>93</v>
          </cell>
          <cell r="E298" t="str">
            <v>ED4-GEOM</v>
          </cell>
          <cell r="F298" t="str">
            <v>GE 476</v>
          </cell>
        </row>
        <row r="299">
          <cell r="A299" t="str">
            <v>EE 152,ED1-IND</v>
          </cell>
          <cell r="B299" t="str">
            <v>BASIC ELECTRONICS</v>
          </cell>
          <cell r="C299" t="str">
            <v>Nicholas Kwesi Prah II</v>
          </cell>
          <cell r="D299">
            <v>83</v>
          </cell>
          <cell r="E299" t="str">
            <v>ED1-IND</v>
          </cell>
          <cell r="F299" t="str">
            <v>EE 152</v>
          </cell>
        </row>
        <row r="300">
          <cell r="A300" t="str">
            <v>ENGL 158,ED1-IND</v>
          </cell>
          <cell r="B300" t="str">
            <v>COMMUNICATION SKILLS II</v>
          </cell>
          <cell r="C300" t="str">
            <v>Yeboah Philomena Ama Okyeso</v>
          </cell>
          <cell r="D300">
            <v>83</v>
          </cell>
          <cell r="E300" t="str">
            <v>ED1-IND</v>
          </cell>
          <cell r="F300" t="str">
            <v>ENGL 158</v>
          </cell>
        </row>
        <row r="301">
          <cell r="A301" t="str">
            <v>IE 174,ED1-IND</v>
          </cell>
          <cell r="B301" t="str">
            <v>FIRST YEAR DESIGN PROJECT</v>
          </cell>
          <cell r="C301" t="str">
            <v>Afriyie Nyarko Frank Kwabena</v>
          </cell>
          <cell r="D301">
            <v>83</v>
          </cell>
          <cell r="E301" t="str">
            <v>ED1-IND</v>
          </cell>
          <cell r="F301" t="str">
            <v>IE 174</v>
          </cell>
        </row>
        <row r="302">
          <cell r="A302" t="str">
            <v>MATH 152,ED1-IND</v>
          </cell>
          <cell r="B302" t="str">
            <v>CALCULUS WITH ANALYSIS</v>
          </cell>
          <cell r="C302" t="str">
            <v>Ezearn Jeffery</v>
          </cell>
          <cell r="D302">
            <v>83</v>
          </cell>
          <cell r="E302" t="str">
            <v>ED1-IND</v>
          </cell>
          <cell r="F302" t="str">
            <v>MATH 152</v>
          </cell>
        </row>
        <row r="303">
          <cell r="A303" t="str">
            <v>ME 160,ED1-IND</v>
          </cell>
          <cell r="B303" t="str">
            <v>ENGINEERING DRAWING</v>
          </cell>
          <cell r="C303" t="str">
            <v>Sekyere Charles Kofi Kafui</v>
          </cell>
          <cell r="D303">
            <v>83</v>
          </cell>
          <cell r="E303" t="str">
            <v>ED1-IND</v>
          </cell>
          <cell r="F303" t="str">
            <v>ME 160</v>
          </cell>
        </row>
        <row r="304">
          <cell r="A304" t="str">
            <v>ME 164,ED1-IND</v>
          </cell>
          <cell r="B304" t="str">
            <v>ENGINEERING MECHANICS I:STATICS</v>
          </cell>
          <cell r="C304" t="str">
            <v>Amoabeng Kofi Owura</v>
          </cell>
          <cell r="D304">
            <v>83</v>
          </cell>
          <cell r="E304" t="str">
            <v>ED1-IND</v>
          </cell>
          <cell r="F304" t="str">
            <v>ME 164</v>
          </cell>
        </row>
        <row r="305">
          <cell r="A305" t="str">
            <v>ME 168,ED1-IND</v>
          </cell>
          <cell r="B305" t="str">
            <v>COMPUTER PROGRAMMING FOR ENGINEERS</v>
          </cell>
          <cell r="C305" t="str">
            <v>Dzebre Denis Edem Kwame</v>
          </cell>
          <cell r="D305">
            <v>83</v>
          </cell>
          <cell r="E305" t="str">
            <v>ED1-IND</v>
          </cell>
          <cell r="F305" t="str">
            <v>ME 168</v>
          </cell>
        </row>
        <row r="306">
          <cell r="A306" t="str">
            <v>ENGL 264,ED2-IND</v>
          </cell>
          <cell r="B306" t="str">
            <v>LITERATURE IN ENGLISH II</v>
          </cell>
          <cell r="C306" t="str">
            <v>Yeboah Philomena Ama Okyeso</v>
          </cell>
          <cell r="D306">
            <v>80</v>
          </cell>
          <cell r="E306" t="str">
            <v>ED2-IND</v>
          </cell>
          <cell r="F306" t="str">
            <v>ENGL 264</v>
          </cell>
        </row>
        <row r="307">
          <cell r="A307" t="str">
            <v>IE 296,ED2-IND</v>
          </cell>
          <cell r="B307" t="str">
            <v>INDUSTRIAL ENGINEEGING LABORATORY II</v>
          </cell>
          <cell r="C307" t="str">
            <v>Fiagbe Yesuenyeagbe Atsu Kwabla</v>
          </cell>
          <cell r="D307">
            <v>80</v>
          </cell>
          <cell r="E307" t="str">
            <v>ED2-IND</v>
          </cell>
          <cell r="F307" t="str">
            <v>IE 296</v>
          </cell>
        </row>
        <row r="308">
          <cell r="A308" t="str">
            <v>MATH 252,ED2-IND</v>
          </cell>
          <cell r="B308" t="str">
            <v>CALCULUS WITH SEVERAL VARIABLES</v>
          </cell>
          <cell r="C308" t="str">
            <v>Wireko Fredrick Asenso</v>
          </cell>
          <cell r="D308">
            <v>80</v>
          </cell>
          <cell r="E308" t="str">
            <v>ED2-IND</v>
          </cell>
          <cell r="F308" t="str">
            <v>MATH 252</v>
          </cell>
        </row>
        <row r="309">
          <cell r="A309" t="str">
            <v>ME 252,ED2-IND</v>
          </cell>
          <cell r="B309" t="str">
            <v>FLUID DYNAMICS I</v>
          </cell>
          <cell r="C309" t="str">
            <v>Fiagbe Yesuenyeagbe Atsu Kwabla</v>
          </cell>
          <cell r="D309">
            <v>80</v>
          </cell>
          <cell r="E309" t="str">
            <v>ED2-IND</v>
          </cell>
          <cell r="F309" t="str">
            <v>ME 252</v>
          </cell>
        </row>
        <row r="310">
          <cell r="A310" t="str">
            <v>ME 264,ED2-IND</v>
          </cell>
          <cell r="B310" t="str">
            <v>MECHANISMS SYNTHESIS AND ANALYSIS I</v>
          </cell>
          <cell r="C310" t="str">
            <v>Ampofo Joshua</v>
          </cell>
          <cell r="D310">
            <v>80</v>
          </cell>
          <cell r="E310" t="str">
            <v>ED2-IND</v>
          </cell>
          <cell r="F310" t="str">
            <v>ME 264</v>
          </cell>
        </row>
        <row r="311">
          <cell r="A311" t="str">
            <v>ME 266,ED2-IND</v>
          </cell>
          <cell r="B311" t="str">
            <v>THERMODYNAMICS I</v>
          </cell>
          <cell r="C311" t="str">
            <v>Amoabeng Kofi Owura</v>
          </cell>
          <cell r="D311">
            <v>80</v>
          </cell>
          <cell r="E311" t="str">
            <v>ED2-IND</v>
          </cell>
          <cell r="F311" t="str">
            <v>ME 266</v>
          </cell>
        </row>
        <row r="312">
          <cell r="A312" t="str">
            <v>IE 274,ED2-IND</v>
          </cell>
          <cell r="B312" t="str">
            <v>SECOND YEAR DESIGN PROJECT</v>
          </cell>
          <cell r="C312" t="str">
            <v>Andoh Prince Yaw</v>
          </cell>
          <cell r="D312">
            <v>80</v>
          </cell>
          <cell r="E312" t="str">
            <v>ED2-IND</v>
          </cell>
          <cell r="F312" t="str">
            <v>IE 274</v>
          </cell>
        </row>
        <row r="313">
          <cell r="A313" t="str">
            <v>ME 270,ED2-IND</v>
          </cell>
          <cell r="B313" t="str">
            <v>MANUFACTURING TECHNOLOGY</v>
          </cell>
          <cell r="C313" t="str">
            <v>Boahen Samuel</v>
          </cell>
          <cell r="D313">
            <v>80</v>
          </cell>
          <cell r="E313" t="str">
            <v>ED2-IND</v>
          </cell>
          <cell r="F313" t="str">
            <v>ME 270</v>
          </cell>
        </row>
        <row r="314">
          <cell r="A314" t="str">
            <v>IE 354,ED3-IND</v>
          </cell>
          <cell r="B314" t="str">
            <v>LOGISTICS AND SUPPLY CHAIN ENGINEERING</v>
          </cell>
          <cell r="C314" t="str">
            <v>Asiedu Charlotte</v>
          </cell>
          <cell r="D314">
            <v>70</v>
          </cell>
          <cell r="E314" t="str">
            <v>ED3-IND</v>
          </cell>
          <cell r="F314" t="str">
            <v>IE 354</v>
          </cell>
        </row>
        <row r="315">
          <cell r="A315" t="str">
            <v>IE 356,ED3-IND</v>
          </cell>
          <cell r="B315" t="str">
            <v>RELIABILITY ENGINEERING</v>
          </cell>
          <cell r="C315" t="str">
            <v>Takyi Gabriel</v>
          </cell>
          <cell r="D315">
            <v>70</v>
          </cell>
          <cell r="E315" t="str">
            <v>ED3-IND</v>
          </cell>
          <cell r="F315" t="str">
            <v>IE 356</v>
          </cell>
        </row>
        <row r="316">
          <cell r="A316" t="str">
            <v>IE 358,ED3-IND</v>
          </cell>
          <cell r="B316" t="str">
            <v>COMPUTER-AIDED DESIGN AND MANUFACTURING</v>
          </cell>
          <cell r="C316" t="str">
            <v>Afriyie Nyarko Frank Kwabena</v>
          </cell>
          <cell r="D316">
            <v>70</v>
          </cell>
          <cell r="E316" t="str">
            <v>ED3-IND</v>
          </cell>
          <cell r="F316" t="str">
            <v>IE 358</v>
          </cell>
        </row>
        <row r="317">
          <cell r="A317" t="str">
            <v>IE 360,ED3-IND</v>
          </cell>
          <cell r="B317" t="str">
            <v>QUALITY ASSURANCE</v>
          </cell>
          <cell r="C317" t="str">
            <v>Sackey Samuel Mensah</v>
          </cell>
          <cell r="D317">
            <v>70</v>
          </cell>
          <cell r="E317" t="str">
            <v>ED3-IND</v>
          </cell>
          <cell r="F317" t="str">
            <v>IE 360</v>
          </cell>
        </row>
        <row r="318">
          <cell r="A318" t="str">
            <v>IE 362,ED3-IND</v>
          </cell>
          <cell r="B318" t="str">
            <v>INDUSTRIAL ENGINEERING LAB III</v>
          </cell>
          <cell r="C318" t="str">
            <v>Oppong David Kofi</v>
          </cell>
          <cell r="D318">
            <v>70</v>
          </cell>
          <cell r="E318" t="str">
            <v>ED3-IND</v>
          </cell>
          <cell r="F318" t="str">
            <v>IE 362</v>
          </cell>
        </row>
        <row r="319">
          <cell r="A319" t="str">
            <v>IE 366,ED3-IND</v>
          </cell>
          <cell r="B319" t="str">
            <v>ADVANCED MANUFACTURING TECHNOLOGY I</v>
          </cell>
          <cell r="C319" t="str">
            <v>Takyi Gabriel</v>
          </cell>
          <cell r="D319">
            <v>70</v>
          </cell>
          <cell r="E319" t="str">
            <v>ED3-IND</v>
          </cell>
          <cell r="F319" t="str">
            <v>IE 366</v>
          </cell>
        </row>
        <row r="320">
          <cell r="A320" t="str">
            <v>IE 368,ED3-IND</v>
          </cell>
          <cell r="B320" t="str">
            <v>OPERATIONS RESEARCH II</v>
          </cell>
          <cell r="C320" t="str">
            <v>Asiedu Charlotte</v>
          </cell>
          <cell r="D320">
            <v>70</v>
          </cell>
          <cell r="E320" t="str">
            <v>ED3-IND</v>
          </cell>
          <cell r="F320" t="str">
            <v>IE 368</v>
          </cell>
        </row>
        <row r="321">
          <cell r="A321" t="str">
            <v>IE 452,ED4-IND</v>
          </cell>
          <cell r="B321" t="str">
            <v>AUTOMATION AND PRODUCTION SYSTEM</v>
          </cell>
          <cell r="C321" t="str">
            <v>Sackey Samuel Mensah</v>
          </cell>
          <cell r="D321">
            <v>69</v>
          </cell>
          <cell r="E321" t="str">
            <v>ED4-IND</v>
          </cell>
          <cell r="F321" t="str">
            <v>IE 452</v>
          </cell>
        </row>
        <row r="322">
          <cell r="A322" t="str">
            <v>IE 454,ED4-IND</v>
          </cell>
          <cell r="B322" t="str">
            <v>PRODUCTION PLANNING AND CONTROL</v>
          </cell>
          <cell r="C322" t="str">
            <v>Dzebre Denis Edem Kwame</v>
          </cell>
          <cell r="D322">
            <v>69</v>
          </cell>
          <cell r="E322" t="str">
            <v>ED4-IND</v>
          </cell>
          <cell r="F322" t="str">
            <v>IE 454</v>
          </cell>
        </row>
        <row r="323">
          <cell r="A323" t="str">
            <v>IE 456,ED4-IND</v>
          </cell>
          <cell r="B323" t="str">
            <v>SYSTEMS INTEGRATION</v>
          </cell>
          <cell r="C323" t="str">
            <v>Tay Godwin Fabiola Kwaku</v>
          </cell>
          <cell r="D323">
            <v>69</v>
          </cell>
          <cell r="E323" t="str">
            <v>ED4-IND</v>
          </cell>
          <cell r="F323" t="str">
            <v>IE 456</v>
          </cell>
        </row>
        <row r="324">
          <cell r="A324" t="str">
            <v>IE 458,ED4-IND</v>
          </cell>
          <cell r="B324" t="str">
            <v>HUMAN FACTORS AND ERGONOMICS</v>
          </cell>
          <cell r="C324" t="str">
            <v>Sackey Samuel Mensah</v>
          </cell>
          <cell r="D324">
            <v>69</v>
          </cell>
          <cell r="E324" t="str">
            <v>ED4-IND</v>
          </cell>
          <cell r="F324" t="str">
            <v>IE 458</v>
          </cell>
        </row>
        <row r="325">
          <cell r="A325" t="str">
            <v>ME 492,ED4-IND</v>
          </cell>
          <cell r="B325" t="str">
            <v xml:space="preserve">ENTREPRENEURSHIP MANAGEMENT </v>
          </cell>
          <cell r="C325" t="str">
            <v>Asiedu Charlotte</v>
          </cell>
          <cell r="D325">
            <v>69</v>
          </cell>
          <cell r="E325" t="str">
            <v>ED4-IND</v>
          </cell>
          <cell r="F325" t="str">
            <v>ME 492</v>
          </cell>
        </row>
        <row r="326">
          <cell r="A326" t="str">
            <v>ME 494,ED4-IND</v>
          </cell>
          <cell r="B326" t="str">
            <v>MAINTENANCE ENGINEERING</v>
          </cell>
          <cell r="C326" t="str">
            <v xml:space="preserve">Peter Oppong Tawiah </v>
          </cell>
          <cell r="D326">
            <v>69</v>
          </cell>
          <cell r="E326" t="str">
            <v>ED4-IND</v>
          </cell>
          <cell r="F326" t="str">
            <v>ME 494</v>
          </cell>
        </row>
        <row r="327">
          <cell r="A327" t="str">
            <v>EE 152,ED1-MARI</v>
          </cell>
          <cell r="B327" t="str">
            <v>BASIC ELECTRONICS</v>
          </cell>
          <cell r="C327" t="str">
            <v>Nicholas Kwesi Prah II</v>
          </cell>
          <cell r="D327">
            <v>46</v>
          </cell>
          <cell r="E327" t="str">
            <v>ED1-MARI</v>
          </cell>
          <cell r="F327" t="str">
            <v>EE 152</v>
          </cell>
        </row>
        <row r="328">
          <cell r="A328" t="str">
            <v>ENGL 158,ED1-MARI</v>
          </cell>
          <cell r="B328" t="str">
            <v>COMMUNICATION SKILLS II</v>
          </cell>
          <cell r="C328" t="str">
            <v>Yeboah Philomena Ama Okyeso</v>
          </cell>
          <cell r="D328">
            <v>46</v>
          </cell>
          <cell r="E328" t="str">
            <v>ED1-MARI</v>
          </cell>
          <cell r="F328" t="str">
            <v>ENGL 158</v>
          </cell>
        </row>
        <row r="329">
          <cell r="A329" t="str">
            <v>FC 182,ED1-MARI</v>
          </cell>
          <cell r="B329" t="str">
            <v>FRENCH FOR COMMUNICATION II</v>
          </cell>
          <cell r="C329" t="str">
            <v>Boakye-Agyeman Candy</v>
          </cell>
          <cell r="D329">
            <v>46</v>
          </cell>
          <cell r="E329" t="str">
            <v>ED1-MARI</v>
          </cell>
          <cell r="F329" t="str">
            <v>FC 182</v>
          </cell>
        </row>
        <row r="330">
          <cell r="A330" t="str">
            <v>MATH 152,ED1-MARI</v>
          </cell>
          <cell r="B330" t="str">
            <v>CALCULUS WITH ANALYSIS</v>
          </cell>
          <cell r="C330" t="str">
            <v>Ezearn Jeffery</v>
          </cell>
          <cell r="D330">
            <v>46</v>
          </cell>
          <cell r="E330" t="str">
            <v>ED1-MARI</v>
          </cell>
          <cell r="F330" t="str">
            <v>MATH 152</v>
          </cell>
        </row>
        <row r="331">
          <cell r="A331" t="str">
            <v>ME 160,ED1-MARI</v>
          </cell>
          <cell r="B331" t="str">
            <v>ENGINEERING DRAWING</v>
          </cell>
          <cell r="C331" t="str">
            <v>Sekyere Charles Kofi Kafui</v>
          </cell>
          <cell r="D331">
            <v>46</v>
          </cell>
          <cell r="E331" t="str">
            <v>ED1-MARI</v>
          </cell>
          <cell r="F331" t="str">
            <v>ME 160</v>
          </cell>
        </row>
        <row r="332">
          <cell r="A332" t="str">
            <v>ME 164,ED1-MARI</v>
          </cell>
          <cell r="B332" t="str">
            <v>ENGINEERING MECHANICS I:STATICS</v>
          </cell>
          <cell r="C332" t="str">
            <v>Amoabeng Kofi Owura</v>
          </cell>
          <cell r="D332">
            <v>46</v>
          </cell>
          <cell r="E332" t="str">
            <v>ED1-MARI</v>
          </cell>
          <cell r="F332" t="str">
            <v>ME 164</v>
          </cell>
        </row>
        <row r="333">
          <cell r="A333" t="str">
            <v>ME 168,ED1-MARI</v>
          </cell>
          <cell r="B333" t="str">
            <v>COMPUTER PROGRAMMING FOR ENGINEERS</v>
          </cell>
          <cell r="C333" t="str">
            <v>Dzebre Denis Edem Kwame</v>
          </cell>
          <cell r="D333">
            <v>46</v>
          </cell>
          <cell r="E333" t="str">
            <v>ED1-MARI</v>
          </cell>
          <cell r="F333" t="str">
            <v>ME 168</v>
          </cell>
        </row>
        <row r="334">
          <cell r="A334" t="str">
            <v>MME 174,ED1-MARI</v>
          </cell>
          <cell r="B334" t="str">
            <v>MARINE ENGINEERING DESIGN PROJECT I</v>
          </cell>
          <cell r="C334" t="str">
            <v>Afriyie Nyarko Frank Kwabena</v>
          </cell>
          <cell r="D334">
            <v>46</v>
          </cell>
          <cell r="E334" t="str">
            <v>ED1-MARI</v>
          </cell>
          <cell r="F334" t="str">
            <v>MME 174</v>
          </cell>
        </row>
        <row r="335">
          <cell r="A335" t="str">
            <v>MATH 252,ED2-MARI</v>
          </cell>
          <cell r="B335" t="str">
            <v>CALCULUS WITH SEVERAL VARIABLES</v>
          </cell>
          <cell r="C335" t="str">
            <v>Boateng Maxwell Akwasi</v>
          </cell>
          <cell r="D335">
            <v>37</v>
          </cell>
          <cell r="E335" t="str">
            <v>ED2-MARI</v>
          </cell>
          <cell r="F335" t="str">
            <v>MATH 252</v>
          </cell>
        </row>
        <row r="336">
          <cell r="A336" t="str">
            <v>ME 252,ED2-MARI</v>
          </cell>
          <cell r="B336" t="str">
            <v>FLUID DYNAMICS I</v>
          </cell>
          <cell r="C336" t="str">
            <v>Fiagbe Yesuenyeagbe Atsu Kwabla</v>
          </cell>
          <cell r="D336">
            <v>37</v>
          </cell>
          <cell r="E336" t="str">
            <v>ED2-MARI</v>
          </cell>
          <cell r="F336" t="str">
            <v>ME 252</v>
          </cell>
        </row>
        <row r="337">
          <cell r="A337" t="str">
            <v>ME 270,ED2-MARI</v>
          </cell>
          <cell r="B337" t="str">
            <v>MANUFACTURING TECHNOLOGY</v>
          </cell>
          <cell r="C337" t="str">
            <v>Boahen Samuel</v>
          </cell>
          <cell r="D337">
            <v>37</v>
          </cell>
          <cell r="E337" t="str">
            <v>ED2-MARI</v>
          </cell>
          <cell r="F337" t="str">
            <v>ME 270</v>
          </cell>
        </row>
        <row r="338">
          <cell r="A338" t="str">
            <v>MME 264,ED2-MARI</v>
          </cell>
          <cell r="B338" t="str">
            <v>MARINE MECHANISMS, SYSTHESIS AND ANALYSIS</v>
          </cell>
          <cell r="C338" t="str">
            <v>Ampofo Joshua</v>
          </cell>
          <cell r="D338">
            <v>37</v>
          </cell>
          <cell r="E338" t="str">
            <v>ED2-MARI</v>
          </cell>
          <cell r="F338" t="str">
            <v>MME 264</v>
          </cell>
        </row>
        <row r="339">
          <cell r="A339" t="str">
            <v>MME 274,ED2-MARI</v>
          </cell>
          <cell r="B339" t="str">
            <v>MARINE ENGINEERING DESIGN PROJECT II</v>
          </cell>
          <cell r="C339" t="str">
            <v>Andoh Prince Yaw</v>
          </cell>
          <cell r="D339">
            <v>37</v>
          </cell>
          <cell r="E339" t="str">
            <v>ED2-MARI</v>
          </cell>
          <cell r="F339" t="str">
            <v>MME 274</v>
          </cell>
        </row>
        <row r="340">
          <cell r="A340" t="str">
            <v>MME 292,ED2-MARI</v>
          </cell>
          <cell r="B340" t="str">
            <v>SEAMANSHIP</v>
          </cell>
          <cell r="C340" t="str">
            <v>Larkai Francis Laako</v>
          </cell>
          <cell r="D340">
            <v>37</v>
          </cell>
          <cell r="E340" t="str">
            <v>ED2-MARI</v>
          </cell>
          <cell r="F340" t="str">
            <v>MME 292</v>
          </cell>
        </row>
        <row r="341">
          <cell r="A341" t="str">
            <v>MME 296,ED2-MARI</v>
          </cell>
          <cell r="B341" t="str">
            <v>MARINE ENGINEERING LABORATORY I</v>
          </cell>
          <cell r="C341" t="str">
            <v>Fiagbe Yesuenyeagbe Atsu Kwabla</v>
          </cell>
          <cell r="D341">
            <v>37</v>
          </cell>
          <cell r="E341" t="str">
            <v>ED2-MARI</v>
          </cell>
          <cell r="F341" t="str">
            <v>MME 296</v>
          </cell>
        </row>
        <row r="342">
          <cell r="A342" t="str">
            <v>SES 172,ED2-MARI</v>
          </cell>
          <cell r="B342" t="str">
            <v>AQUATIC STROKES DEVELOPMENT AND REFINEMENT</v>
          </cell>
          <cell r="C342" t="str">
            <v>Afrifa Daniel</v>
          </cell>
          <cell r="D342">
            <v>37</v>
          </cell>
          <cell r="E342" t="str">
            <v>ED2-MARI</v>
          </cell>
          <cell r="F342" t="str">
            <v>SES 172</v>
          </cell>
        </row>
        <row r="343">
          <cell r="A343" t="str">
            <v>ME 352,ED3-MARI</v>
          </cell>
          <cell r="B343" t="str">
            <v>FLUID DYNAMICS II</v>
          </cell>
          <cell r="C343" t="str">
            <v>Tay Godwin Fabiola Kwaku</v>
          </cell>
          <cell r="D343">
            <v>40</v>
          </cell>
          <cell r="E343" t="str">
            <v>ED3-MARI</v>
          </cell>
          <cell r="F343" t="str">
            <v>ME 352</v>
          </cell>
        </row>
        <row r="344">
          <cell r="A344" t="str">
            <v>ME 362,ED3-MARI</v>
          </cell>
          <cell r="B344" t="str">
            <v>VIBRATIONS I</v>
          </cell>
          <cell r="C344" t="str">
            <v>Adam Faisal Wahib</v>
          </cell>
          <cell r="D344">
            <v>40</v>
          </cell>
          <cell r="E344" t="str">
            <v>ED3-MARI</v>
          </cell>
          <cell r="F344" t="str">
            <v>ME 362</v>
          </cell>
        </row>
        <row r="345">
          <cell r="A345" t="str">
            <v>ME 366,ED3-MARI</v>
          </cell>
          <cell r="B345" t="str">
            <v>HEAT TRANSFER</v>
          </cell>
          <cell r="C345" t="str">
            <v>Forson Francis Kofi</v>
          </cell>
          <cell r="D345">
            <v>40</v>
          </cell>
          <cell r="E345" t="str">
            <v>ED3-MARI</v>
          </cell>
          <cell r="F345" t="str">
            <v>ME 366</v>
          </cell>
        </row>
        <row r="346">
          <cell r="A346" t="str">
            <v>MME 356,ED3-MARI</v>
          </cell>
          <cell r="B346" t="str">
            <v>STRENGTH OF MARINE MATERIALS II</v>
          </cell>
          <cell r="C346" t="str">
            <v>Adam Faisal Wahib</v>
          </cell>
          <cell r="D346">
            <v>40</v>
          </cell>
          <cell r="E346" t="str">
            <v>ED3-MARI</v>
          </cell>
          <cell r="F346" t="str">
            <v>MME 356</v>
          </cell>
        </row>
        <row r="347">
          <cell r="A347" t="str">
            <v>MME 382,ED3-MARI</v>
          </cell>
          <cell r="B347" t="str">
            <v>NAVAL ARCHITECTURE I</v>
          </cell>
          <cell r="C347" t="str">
            <v>Kudzedzi Emmanuel Yaw Mawuko</v>
          </cell>
          <cell r="D347">
            <v>40</v>
          </cell>
          <cell r="E347" t="str">
            <v>ED3-MARI</v>
          </cell>
          <cell r="F347" t="str">
            <v>MME 382</v>
          </cell>
        </row>
        <row r="348">
          <cell r="A348" t="str">
            <v>MME 386,ED3-MARI</v>
          </cell>
          <cell r="B348" t="str">
            <v>MARINE ELECTRICAL TECHNOLOGY AND ELECTRICAL MEASUREMENTS</v>
          </cell>
          <cell r="C348" t="str">
            <v>Frimpong Emmanuel Asuming</v>
          </cell>
          <cell r="D348">
            <v>40</v>
          </cell>
          <cell r="E348" t="str">
            <v>ED3-MARI</v>
          </cell>
          <cell r="F348" t="str">
            <v>MME 386</v>
          </cell>
        </row>
        <row r="349">
          <cell r="A349" t="str">
            <v>MME 392,ED3-MARI</v>
          </cell>
          <cell r="B349" t="str">
            <v>MARINE INDUSTRIAL ENGINEERING AND ERGONOMICS</v>
          </cell>
          <cell r="C349" t="str">
            <v>Mensah Lena Dzifa</v>
          </cell>
          <cell r="D349">
            <v>40</v>
          </cell>
          <cell r="E349" t="str">
            <v>ED3-MARI</v>
          </cell>
          <cell r="F349" t="str">
            <v>MME 392</v>
          </cell>
        </row>
        <row r="350">
          <cell r="A350" t="str">
            <v>MME 396,ED3-MARI</v>
          </cell>
          <cell r="B350" t="str">
            <v>MARINE ENGINEERING LABORATORY III</v>
          </cell>
          <cell r="C350" t="str">
            <v>Tay Godwin Fabiola Kwaku</v>
          </cell>
          <cell r="D350">
            <v>40</v>
          </cell>
          <cell r="E350" t="str">
            <v>ED3-MARI</v>
          </cell>
          <cell r="F350" t="str">
            <v>MME 396</v>
          </cell>
        </row>
        <row r="351">
          <cell r="A351" t="str">
            <v>MME 462,ED4-MARI</v>
          </cell>
          <cell r="B351" t="str">
            <v>MARINE CONTROL ENGINEERING AND AUTOMATION</v>
          </cell>
          <cell r="C351" t="str">
            <v>Adjei Eunice Akyereko</v>
          </cell>
          <cell r="D351">
            <v>23</v>
          </cell>
          <cell r="E351" t="str">
            <v>ED4-MARI</v>
          </cell>
          <cell r="F351" t="str">
            <v>MME 462</v>
          </cell>
        </row>
        <row r="352">
          <cell r="A352" t="str">
            <v>MME 476,ED4-MARI</v>
          </cell>
          <cell r="B352" t="str">
            <v>SHIP CONSTRUCTION</v>
          </cell>
          <cell r="C352" t="str">
            <v>Jehoshaphat Eyram Deh</v>
          </cell>
          <cell r="D352">
            <v>23</v>
          </cell>
          <cell r="E352" t="str">
            <v>ED4-MARI</v>
          </cell>
          <cell r="F352" t="str">
            <v>MME 476</v>
          </cell>
        </row>
        <row r="353">
          <cell r="A353" t="str">
            <v>MME 482,ED4-MARI</v>
          </cell>
          <cell r="B353" t="str">
            <v>NAVAL ARCHITECTURE II</v>
          </cell>
          <cell r="C353" t="str">
            <v>Kudzedzi Emmanuel Yaw Mawuko</v>
          </cell>
          <cell r="D353">
            <v>23</v>
          </cell>
          <cell r="E353" t="str">
            <v>ED4-MARI</v>
          </cell>
          <cell r="F353" t="str">
            <v>MME 482</v>
          </cell>
        </row>
        <row r="354">
          <cell r="A354" t="str">
            <v>MME 486,ED4-MARI</v>
          </cell>
          <cell r="B354" t="str">
            <v>SHIP SAFETY, ENVIRONMENTAL PROTECTION AND SAFE WATCH KEEPING</v>
          </cell>
          <cell r="C354" t="str">
            <v>Larkai Francis Laako</v>
          </cell>
          <cell r="D354">
            <v>23</v>
          </cell>
          <cell r="E354" t="str">
            <v>ED4-MARI</v>
          </cell>
          <cell r="F354" t="str">
            <v>MME 486</v>
          </cell>
        </row>
        <row r="355">
          <cell r="A355" t="str">
            <v>MME 492,ED4-MARI</v>
          </cell>
          <cell r="B355" t="str">
            <v>SHIP OPERATION, REGULATION AND MANAGEMENT</v>
          </cell>
          <cell r="C355" t="str">
            <v>Sackey Michael Nii</v>
          </cell>
          <cell r="D355">
            <v>23</v>
          </cell>
          <cell r="E355" t="str">
            <v>ED4-MARI</v>
          </cell>
          <cell r="F355" t="str">
            <v>MME 492</v>
          </cell>
        </row>
        <row r="356">
          <cell r="A356" t="str">
            <v>MME 494,ED4-MARI</v>
          </cell>
          <cell r="B356" t="str">
            <v>MARINE MAINTENANCE ENGINEERING</v>
          </cell>
          <cell r="C356" t="str">
            <v xml:space="preserve">Peter Oppong Tawiah </v>
          </cell>
          <cell r="D356">
            <v>23</v>
          </cell>
          <cell r="E356" t="str">
            <v>ED4-MARI</v>
          </cell>
          <cell r="F356" t="str">
            <v>MME 494</v>
          </cell>
        </row>
        <row r="357">
          <cell r="A357" t="str">
            <v>METE 154,ED1-MSE</v>
          </cell>
          <cell r="B357" t="str">
            <v>ENVIRONMENTAL SCIENCE</v>
          </cell>
          <cell r="C357" t="str">
            <v>Koomson Bennetta</v>
          </cell>
          <cell r="D357">
            <v>100</v>
          </cell>
          <cell r="E357" t="str">
            <v>ED1-MSE</v>
          </cell>
          <cell r="F357" t="str">
            <v>METE 154</v>
          </cell>
        </row>
        <row r="358">
          <cell r="A358" t="str">
            <v>ENGL 158,ED1-MSE</v>
          </cell>
          <cell r="B358" t="str">
            <v>COMMUNICATION SKILLS II</v>
          </cell>
          <cell r="C358" t="str">
            <v>Alhassan Yakubu</v>
          </cell>
          <cell r="D358">
            <v>100</v>
          </cell>
          <cell r="E358" t="str">
            <v>ED1-MSE</v>
          </cell>
          <cell r="F358" t="str">
            <v>ENGL 158</v>
          </cell>
        </row>
        <row r="359">
          <cell r="A359" t="str">
            <v>MATH 152,ED1-MSE</v>
          </cell>
          <cell r="B359" t="str">
            <v>CALCULUS WITH ANALYSIS</v>
          </cell>
          <cell r="C359" t="str">
            <v>Isaac Azure</v>
          </cell>
          <cell r="D359">
            <v>100</v>
          </cell>
          <cell r="E359" t="str">
            <v>ED1-MSE</v>
          </cell>
          <cell r="F359" t="str">
            <v>MATH 152</v>
          </cell>
        </row>
        <row r="360">
          <cell r="A360" t="str">
            <v>ME 160,ED1-MSE</v>
          </cell>
          <cell r="B360" t="str">
            <v>ENGINEERING DRAWING</v>
          </cell>
          <cell r="C360" t="str">
            <v>Peter Oppong Tawiah</v>
          </cell>
          <cell r="D360">
            <v>100</v>
          </cell>
          <cell r="E360" t="str">
            <v>ED1-MSE</v>
          </cell>
          <cell r="F360" t="str">
            <v>ME 160</v>
          </cell>
        </row>
        <row r="361">
          <cell r="A361" t="str">
            <v>ME 162,ED1-MSE</v>
          </cell>
          <cell r="B361" t="str">
            <v>BASIC MECHANICS</v>
          </cell>
          <cell r="C361" t="str">
            <v>Quansah David Ato</v>
          </cell>
          <cell r="D361">
            <v>100</v>
          </cell>
          <cell r="E361" t="str">
            <v>ED1-MSE</v>
          </cell>
          <cell r="F361" t="str">
            <v>ME 162</v>
          </cell>
        </row>
        <row r="362">
          <cell r="A362" t="str">
            <v>MSE 152,ED1-MSE</v>
          </cell>
          <cell r="B362" t="str">
            <v>KINETICS OF CHEMICAL REACTIONS</v>
          </cell>
          <cell r="C362" t="str">
            <v>Patrick Aggrey</v>
          </cell>
          <cell r="D362">
            <v>100</v>
          </cell>
          <cell r="E362" t="str">
            <v>ED1-MSE</v>
          </cell>
          <cell r="F362" t="str">
            <v>MSE 152</v>
          </cell>
        </row>
        <row r="363">
          <cell r="A363" t="str">
            <v>MSE 154,ED1-MSE</v>
          </cell>
          <cell r="B363" t="str">
            <v>OPTICAL AND THERMAL BEHAVIOUR OF MATERIALS</v>
          </cell>
          <cell r="C363" t="str">
            <v>Nartey Martinson Addo</v>
          </cell>
          <cell r="D363">
            <v>100</v>
          </cell>
          <cell r="E363" t="str">
            <v>ED1-MSE</v>
          </cell>
          <cell r="F363" t="str">
            <v>MSE 154</v>
          </cell>
        </row>
        <row r="364">
          <cell r="A364" t="str">
            <v>MATH 252,ED2-MSE</v>
          </cell>
          <cell r="B364" t="str">
            <v>CALCULUS WITH SEVERAL VARIABLES</v>
          </cell>
          <cell r="C364" t="str">
            <v>Asamoah Joshua Kiddy Kwasi</v>
          </cell>
          <cell r="D364">
            <v>83</v>
          </cell>
          <cell r="E364" t="str">
            <v>ED2-MSE</v>
          </cell>
          <cell r="F364" t="str">
            <v>MATH 252</v>
          </cell>
        </row>
        <row r="365">
          <cell r="A365" t="str">
            <v>MSE 252,ED2-MSE</v>
          </cell>
          <cell r="B365" t="str">
            <v>HEAT AND MASS TRANSPORT</v>
          </cell>
          <cell r="C365" t="str">
            <v>Agyemang Frank Ofori</v>
          </cell>
          <cell r="D365">
            <v>83</v>
          </cell>
          <cell r="E365" t="str">
            <v>ED2-MSE</v>
          </cell>
          <cell r="F365" t="str">
            <v>MSE 252</v>
          </cell>
        </row>
        <row r="366">
          <cell r="A366" t="str">
            <v>MSE 254,ED2-MSE</v>
          </cell>
          <cell r="B366" t="str">
            <v>INTRODUCTION TO CERAMICS</v>
          </cell>
          <cell r="C366" t="str">
            <v>Andrews Anthony</v>
          </cell>
          <cell r="D366">
            <v>83</v>
          </cell>
          <cell r="E366" t="str">
            <v>ED2-MSE</v>
          </cell>
          <cell r="F366" t="str">
            <v>MSE 254</v>
          </cell>
        </row>
        <row r="367">
          <cell r="A367" t="str">
            <v>MSE 256,ED2-MSE</v>
          </cell>
          <cell r="B367" t="str">
            <v>INTRODUCTION TO POLYMERIC MATERIALS</v>
          </cell>
          <cell r="C367" t="str">
            <v>Asare Eric Kwame Anokye</v>
          </cell>
          <cell r="D367">
            <v>83</v>
          </cell>
          <cell r="E367" t="str">
            <v>ED2-MSE</v>
          </cell>
          <cell r="F367" t="str">
            <v>MSE 256</v>
          </cell>
        </row>
        <row r="368">
          <cell r="A368" t="str">
            <v>MSE 258,ED2-MSE</v>
          </cell>
          <cell r="B368" t="str">
            <v>PHYSICAL METALLURGY OF NON-FERROUS METALS</v>
          </cell>
          <cell r="C368" t="str">
            <v>Arthur Emmanuel Kwesi</v>
          </cell>
          <cell r="D368">
            <v>83</v>
          </cell>
          <cell r="E368" t="str">
            <v>ED2-MSE</v>
          </cell>
          <cell r="F368" t="str">
            <v>MSE 258</v>
          </cell>
        </row>
        <row r="369">
          <cell r="A369" t="str">
            <v>MSE 260,ED2-MSE</v>
          </cell>
          <cell r="B369" t="str">
            <v>PHASE TRANSFORMATIONS</v>
          </cell>
          <cell r="C369" t="str">
            <v>Gikunoo Emmanuel</v>
          </cell>
          <cell r="D369">
            <v>83</v>
          </cell>
          <cell r="E369" t="str">
            <v>ED2-MSE</v>
          </cell>
          <cell r="F369" t="str">
            <v>MSE 260</v>
          </cell>
        </row>
        <row r="370">
          <cell r="A370" t="str">
            <v>MSE 262,ED2-MSE</v>
          </cell>
          <cell r="B370" t="str">
            <v>STRESS AND STRAIN ANALYSIS OF RIGID BODIES</v>
          </cell>
          <cell r="C370" t="str">
            <v>Mensah-Darkwa Kwadwo</v>
          </cell>
          <cell r="D370">
            <v>83</v>
          </cell>
          <cell r="E370" t="str">
            <v>ED2-MSE</v>
          </cell>
          <cell r="F370" t="str">
            <v>MSE 262</v>
          </cell>
        </row>
        <row r="371">
          <cell r="A371" t="str">
            <v>MSE 352,ED3-MSE</v>
          </cell>
          <cell r="B371" t="str">
            <v>GLASS AND CEMENT TECHNOLOGIES</v>
          </cell>
          <cell r="C371" t="str">
            <v>Andrews Anthony</v>
          </cell>
          <cell r="D371">
            <v>85</v>
          </cell>
          <cell r="E371" t="str">
            <v>ED3-MSE</v>
          </cell>
          <cell r="F371" t="str">
            <v>MSE 352</v>
          </cell>
        </row>
        <row r="372">
          <cell r="A372" t="str">
            <v>MSE 354,ED3-MSE</v>
          </cell>
          <cell r="B372" t="str">
            <v>PHYSICAL METALLURGY OF FERROUS METALS</v>
          </cell>
          <cell r="C372" t="str">
            <v>Kwofie Samuel</v>
          </cell>
          <cell r="D372">
            <v>85</v>
          </cell>
          <cell r="E372" t="str">
            <v>ED3-MSE</v>
          </cell>
          <cell r="F372" t="str">
            <v>MSE 354</v>
          </cell>
        </row>
        <row r="373">
          <cell r="A373" t="str">
            <v>MSE 356,ED3-MSE</v>
          </cell>
          <cell r="B373" t="str">
            <v>ENGINEERING PROPERTIES OF POLYMERS</v>
          </cell>
          <cell r="C373" t="str">
            <v>Asare Eric Kwame Anokye</v>
          </cell>
          <cell r="D373">
            <v>85</v>
          </cell>
          <cell r="E373" t="str">
            <v>ED3-MSE</v>
          </cell>
          <cell r="F373" t="str">
            <v>MSE 356</v>
          </cell>
        </row>
        <row r="374">
          <cell r="A374" t="str">
            <v>MSE 358,ED3-MSE</v>
          </cell>
          <cell r="B374" t="str">
            <v>NUMERICAL METHODS FOR ENGINEERS</v>
          </cell>
          <cell r="C374" t="str">
            <v>Nartey Martinson Addo</v>
          </cell>
          <cell r="D374">
            <v>85</v>
          </cell>
          <cell r="E374" t="str">
            <v>ED3-MSE</v>
          </cell>
          <cell r="F374" t="str">
            <v>MSE 358</v>
          </cell>
        </row>
        <row r="375">
          <cell r="A375" t="str">
            <v>MSE 360,ED3-MSE</v>
          </cell>
          <cell r="B375" t="str">
            <v>MECHANICS OF MATERIALS</v>
          </cell>
          <cell r="C375" t="str">
            <v>Mensah-Darkwa Kwadwo</v>
          </cell>
          <cell r="D375">
            <v>85</v>
          </cell>
          <cell r="E375" t="str">
            <v>ED3-MSE</v>
          </cell>
          <cell r="F375" t="str">
            <v>MSE 360</v>
          </cell>
        </row>
        <row r="376">
          <cell r="A376" t="str">
            <v>MSE 362,ED3-MSE</v>
          </cell>
          <cell r="B376" t="str">
            <v>MATERIALS JOINING PROCESSES</v>
          </cell>
          <cell r="C376" t="str">
            <v>Kwofie Samuel</v>
          </cell>
          <cell r="D376">
            <v>85</v>
          </cell>
          <cell r="E376" t="str">
            <v>ED3-MSE</v>
          </cell>
          <cell r="F376" t="str">
            <v>MSE 362</v>
          </cell>
        </row>
        <row r="377">
          <cell r="A377" t="str">
            <v>MSE 364,ED3-MSE</v>
          </cell>
          <cell r="B377" t="str">
            <v>MATERIALS CHARACTERIZATION LABORATORY</v>
          </cell>
          <cell r="C377" t="str">
            <v>Arthur Emmanuel Kwesi</v>
          </cell>
          <cell r="D377">
            <v>85</v>
          </cell>
          <cell r="E377" t="str">
            <v>ED3-MSE</v>
          </cell>
          <cell r="F377" t="str">
            <v>MSE 364</v>
          </cell>
        </row>
        <row r="378">
          <cell r="A378" t="str">
            <v>MSE 396,ED3-MSE</v>
          </cell>
          <cell r="B378" t="str">
            <v>THIRD YEAR DESIGN PROJECT</v>
          </cell>
          <cell r="C378" t="str">
            <v>Bota Osei Sekyere</v>
          </cell>
          <cell r="D378">
            <v>85</v>
          </cell>
          <cell r="E378" t="str">
            <v>ED3-MSE</v>
          </cell>
          <cell r="F378" t="str">
            <v>MSE 396</v>
          </cell>
        </row>
        <row r="379">
          <cell r="A379" t="str">
            <v>ME 492,ED4-MSE</v>
          </cell>
          <cell r="B379" t="str">
            <v>MANAGEMENT AND ENTREPRENEURSHIP DEVELOPMENT</v>
          </cell>
          <cell r="C379" t="str">
            <v>Mensah Lena Dzifa</v>
          </cell>
          <cell r="D379">
            <v>60</v>
          </cell>
          <cell r="E379" t="str">
            <v>ED4-MSE</v>
          </cell>
          <cell r="F379" t="str">
            <v>ME 492</v>
          </cell>
        </row>
        <row r="380">
          <cell r="A380" t="str">
            <v>MSE 452,ED4-MSE</v>
          </cell>
          <cell r="B380" t="str">
            <v>WASTE MANAGEMENT</v>
          </cell>
          <cell r="C380" t="str">
            <v>Koomson Bennetta</v>
          </cell>
          <cell r="D380">
            <v>60</v>
          </cell>
          <cell r="E380" t="str">
            <v>ED4-MSE</v>
          </cell>
          <cell r="F380" t="str">
            <v>MSE 452</v>
          </cell>
        </row>
        <row r="381">
          <cell r="A381" t="str">
            <v>MSE 454,ED4-MSE</v>
          </cell>
          <cell r="B381" t="str">
            <v>SURFACE TREATMENT OF MATERIALS</v>
          </cell>
          <cell r="C381" t="str">
            <v>Andrews Anthony</v>
          </cell>
          <cell r="D381">
            <v>60</v>
          </cell>
          <cell r="E381" t="str">
            <v>ED4-MSE</v>
          </cell>
          <cell r="F381" t="str">
            <v>MSE 454</v>
          </cell>
        </row>
        <row r="382">
          <cell r="A382" t="str">
            <v>MSE 456,ED4-MSE</v>
          </cell>
          <cell r="B382" t="str">
            <v>MATERIALS QUALITY CONTROL, ASSURRANCE AND SELECTION</v>
          </cell>
          <cell r="C382" t="str">
            <v>Arthur Emmanuel Kwesi</v>
          </cell>
          <cell r="D382">
            <v>60</v>
          </cell>
          <cell r="E382" t="str">
            <v>ED4-MSE</v>
          </cell>
          <cell r="F382" t="str">
            <v>MSE 456</v>
          </cell>
        </row>
        <row r="383">
          <cell r="A383" t="str">
            <v>MSE 458,ED4-MSE</v>
          </cell>
          <cell r="B383" t="str">
            <v>PROCESS DYNAMICS AND CONTROL</v>
          </cell>
          <cell r="C383" t="str">
            <v>Adjaottor Albert Amatey</v>
          </cell>
          <cell r="D383">
            <v>60</v>
          </cell>
          <cell r="E383" t="str">
            <v>ED4-MSE</v>
          </cell>
          <cell r="F383" t="str">
            <v>MSE 458</v>
          </cell>
        </row>
        <row r="384">
          <cell r="A384" t="str">
            <v>EE 152,ED1-ME</v>
          </cell>
          <cell r="B384" t="str">
            <v>BASIC ELECTRONICS</v>
          </cell>
          <cell r="C384" t="str">
            <v>Yaw Opoku Mensah Sekyere</v>
          </cell>
          <cell r="D384">
            <v>225</v>
          </cell>
          <cell r="E384" t="str">
            <v>ED1-ME</v>
          </cell>
          <cell r="F384" t="str">
            <v>EE 152</v>
          </cell>
        </row>
        <row r="385">
          <cell r="A385" t="str">
            <v>ENGL 158,ED1-ME</v>
          </cell>
          <cell r="B385" t="str">
            <v>COMMUNICATION SKILLS II</v>
          </cell>
          <cell r="C385" t="str">
            <v>Yeboah Philomena Ama Okyeso</v>
          </cell>
          <cell r="D385">
            <v>225</v>
          </cell>
          <cell r="E385" t="str">
            <v>ED1-ME</v>
          </cell>
          <cell r="F385" t="str">
            <v>ENGL 158</v>
          </cell>
        </row>
        <row r="386">
          <cell r="A386" t="str">
            <v>MATH 152,ED1-ME</v>
          </cell>
          <cell r="B386" t="str">
            <v>CALCULUS WITH ANALYSIS</v>
          </cell>
          <cell r="C386" t="str">
            <v>Lawton Adu-Ansah</v>
          </cell>
          <cell r="D386">
            <v>225</v>
          </cell>
          <cell r="E386" t="str">
            <v>ED1-ME</v>
          </cell>
          <cell r="F386" t="str">
            <v>MATH 152</v>
          </cell>
        </row>
        <row r="387">
          <cell r="A387" t="str">
            <v>ME 160,ED1-ME</v>
          </cell>
          <cell r="B387" t="str">
            <v>ENGINEERING DRAWING</v>
          </cell>
          <cell r="C387" t="str">
            <v>A. K. Sunnu</v>
          </cell>
          <cell r="D387">
            <v>225</v>
          </cell>
          <cell r="E387" t="str">
            <v>ED1-ME</v>
          </cell>
          <cell r="F387" t="str">
            <v>ME 160</v>
          </cell>
        </row>
        <row r="388">
          <cell r="A388" t="str">
            <v>ME 164,ED1-ME</v>
          </cell>
          <cell r="B388" t="str">
            <v>ENGINEERING MECHANICS I: STATICS</v>
          </cell>
          <cell r="C388" t="str">
            <v>Dzebre Denis Edem Kwame</v>
          </cell>
          <cell r="D388">
            <v>225</v>
          </cell>
          <cell r="E388" t="str">
            <v>ED1-ME</v>
          </cell>
          <cell r="F388" t="str">
            <v>ME 164</v>
          </cell>
        </row>
        <row r="389">
          <cell r="A389" t="str">
            <v>ME 168,ED1-ME</v>
          </cell>
          <cell r="B389" t="str">
            <v>COMPUTER PROGRAMMING FOR ENGINEERS</v>
          </cell>
          <cell r="C389" t="str">
            <v>Tay Godwin Fabiola Kwaku</v>
          </cell>
          <cell r="D389">
            <v>225</v>
          </cell>
          <cell r="E389" t="str">
            <v>ED1-ME</v>
          </cell>
          <cell r="F389" t="str">
            <v>ME 168</v>
          </cell>
        </row>
        <row r="390">
          <cell r="A390" t="str">
            <v>ME 174,ED1-ME</v>
          </cell>
          <cell r="B390" t="str">
            <v>PRODUCT DESIGN AND MANUFACTURING</v>
          </cell>
          <cell r="C390" t="str">
            <v>Afriyie Nyarko Frank Kwabena</v>
          </cell>
          <cell r="D390">
            <v>225</v>
          </cell>
          <cell r="E390" t="str">
            <v>ED1-ME</v>
          </cell>
          <cell r="F390" t="str">
            <v>ME 174</v>
          </cell>
        </row>
        <row r="391">
          <cell r="A391" t="str">
            <v>MATH 252,ED2-ME</v>
          </cell>
          <cell r="B391" t="str">
            <v>CALCULUS WITH SEVERAL VARIABLES</v>
          </cell>
          <cell r="C391" t="str">
            <v>Boateng Maxwell Akwasi</v>
          </cell>
          <cell r="D391">
            <v>240</v>
          </cell>
          <cell r="E391" t="str">
            <v>ED2-ME</v>
          </cell>
          <cell r="F391" t="str">
            <v>MATH 252</v>
          </cell>
        </row>
        <row r="392">
          <cell r="A392" t="str">
            <v>ME 252,ED2-ME</v>
          </cell>
          <cell r="B392" t="str">
            <v>FLUID DYNAMICS I</v>
          </cell>
          <cell r="C392" t="str">
            <v>Fiagbe Yesuenyeagbe Atsu Kwabla</v>
          </cell>
          <cell r="D392">
            <v>240</v>
          </cell>
          <cell r="E392" t="str">
            <v>ED2-ME</v>
          </cell>
          <cell r="F392" t="str">
            <v>ME 252</v>
          </cell>
        </row>
        <row r="393">
          <cell r="A393" t="str">
            <v>ME 264,ED2-ME</v>
          </cell>
          <cell r="B393" t="str">
            <v>MECHANISMS SYNTHESIS AND ANALYSIS I</v>
          </cell>
          <cell r="C393" t="str">
            <v>Ampofo Joshua</v>
          </cell>
          <cell r="D393">
            <v>240</v>
          </cell>
          <cell r="E393" t="str">
            <v>ED2-ME</v>
          </cell>
          <cell r="F393" t="str">
            <v>ME 264</v>
          </cell>
        </row>
        <row r="394">
          <cell r="A394" t="str">
            <v>ME 266,ED2-ME</v>
          </cell>
          <cell r="B394" t="str">
            <v>THERMODYNAMICS I</v>
          </cell>
          <cell r="C394" t="str">
            <v>Amoabeng Kofi Owura</v>
          </cell>
          <cell r="D394">
            <v>240</v>
          </cell>
          <cell r="E394" t="str">
            <v>ED2-ME</v>
          </cell>
          <cell r="F394" t="str">
            <v>ME 266</v>
          </cell>
        </row>
        <row r="395">
          <cell r="A395" t="str">
            <v>ME 274,ED2-ME</v>
          </cell>
          <cell r="B395" t="str">
            <v>MACHINE DESIGN PROJECT</v>
          </cell>
          <cell r="C395" t="str">
            <v>Andoh Prince Yaw</v>
          </cell>
          <cell r="D395">
            <v>240</v>
          </cell>
          <cell r="E395" t="str">
            <v>ED2-ME</v>
          </cell>
          <cell r="F395" t="str">
            <v>ME 274</v>
          </cell>
        </row>
        <row r="396">
          <cell r="A396" t="str">
            <v>ME 292,ED2-ME</v>
          </cell>
          <cell r="B396" t="str">
            <v>INDUSTRIAL ENGINEERING AND ERGONOMICS</v>
          </cell>
          <cell r="C396" t="str">
            <v>Mensah Lena Dzifa</v>
          </cell>
          <cell r="D396">
            <v>240</v>
          </cell>
          <cell r="E396" t="str">
            <v>ED2-ME</v>
          </cell>
          <cell r="F396" t="str">
            <v>ME 292</v>
          </cell>
        </row>
        <row r="397">
          <cell r="A397" t="str">
            <v>ME 296,ED2-ME</v>
          </cell>
          <cell r="B397" t="str">
            <v>MECHANICAL ENGINEERING LAB. II</v>
          </cell>
          <cell r="C397" t="str">
            <v>Amoabeng Kofi Owura</v>
          </cell>
          <cell r="D397">
            <v>240</v>
          </cell>
          <cell r="E397" t="str">
            <v>ED2-ME</v>
          </cell>
          <cell r="F397" t="str">
            <v>ME 296</v>
          </cell>
        </row>
        <row r="398">
          <cell r="A398" t="str">
            <v>EE 252,ED3-ME</v>
          </cell>
          <cell r="B398" t="str">
            <v>ELECTRICAL ENGINEERING MACHINES</v>
          </cell>
          <cell r="C398" t="str">
            <v>Yaw Opoku Mensah Sekyere</v>
          </cell>
          <cell r="D398">
            <v>222</v>
          </cell>
          <cell r="E398" t="str">
            <v>ED3-ME</v>
          </cell>
          <cell r="F398" t="str">
            <v>EE 252</v>
          </cell>
        </row>
        <row r="399">
          <cell r="A399" t="str">
            <v>ME 352,ED3-ME</v>
          </cell>
          <cell r="B399" t="str">
            <v>FLUID DYNAMICS  II</v>
          </cell>
          <cell r="C399" t="str">
            <v>A. K. Sunnu</v>
          </cell>
          <cell r="D399">
            <v>222</v>
          </cell>
          <cell r="E399" t="str">
            <v>ED3-ME</v>
          </cell>
          <cell r="F399" t="str">
            <v>ME 352</v>
          </cell>
        </row>
        <row r="400">
          <cell r="A400" t="str">
            <v>ME 356,ED3-ME</v>
          </cell>
          <cell r="B400" t="str">
            <v>STRENGTH OF MATERIALS II</v>
          </cell>
          <cell r="C400" t="str">
            <v>Tay Godwin Fabiola Kwaku</v>
          </cell>
          <cell r="D400">
            <v>222</v>
          </cell>
          <cell r="E400" t="str">
            <v>ED3-ME</v>
          </cell>
          <cell r="F400" t="str">
            <v>ME 356</v>
          </cell>
        </row>
        <row r="401">
          <cell r="A401" t="str">
            <v>ME 370,ED3-ME</v>
          </cell>
          <cell r="B401" t="str">
            <v>MANUFACTURING TECHNOLOGY</v>
          </cell>
          <cell r="C401" t="str">
            <v>Francis Davis</v>
          </cell>
          <cell r="D401">
            <v>222</v>
          </cell>
          <cell r="E401" t="str">
            <v>ED3-ME</v>
          </cell>
          <cell r="F401" t="str">
            <v>ME 370</v>
          </cell>
        </row>
        <row r="402">
          <cell r="A402" t="str">
            <v>ME 362,ED3-ME</v>
          </cell>
          <cell r="B402" t="str">
            <v>VIBRATIONS I</v>
          </cell>
          <cell r="C402" t="str">
            <v>Adam Faisal Wahib</v>
          </cell>
          <cell r="D402">
            <v>222</v>
          </cell>
          <cell r="E402" t="str">
            <v>ED3-ME</v>
          </cell>
          <cell r="F402" t="str">
            <v>ME 362</v>
          </cell>
        </row>
        <row r="403">
          <cell r="A403" t="str">
            <v>ME 366,ED3-ME</v>
          </cell>
          <cell r="B403" t="str">
            <v>HEAT TRANSFER</v>
          </cell>
          <cell r="C403" t="str">
            <v>Forson Francis Kofi</v>
          </cell>
          <cell r="D403">
            <v>222</v>
          </cell>
          <cell r="E403" t="str">
            <v>ED3-ME</v>
          </cell>
          <cell r="F403" t="str">
            <v>ME 366</v>
          </cell>
        </row>
        <row r="404">
          <cell r="A404" t="str">
            <v>ME 374,ED3-ME</v>
          </cell>
          <cell r="B404" t="str">
            <v>MACHINE ELEMENTS DESIGN II</v>
          </cell>
          <cell r="C404" t="str">
            <v>Andoh Prince Yaw</v>
          </cell>
          <cell r="D404">
            <v>222</v>
          </cell>
          <cell r="E404" t="str">
            <v>ED3-ME</v>
          </cell>
          <cell r="F404" t="str">
            <v>ME 374</v>
          </cell>
        </row>
        <row r="405">
          <cell r="A405" t="str">
            <v>ME 396,ED3-ME</v>
          </cell>
          <cell r="B405" t="str">
            <v>MECHANICAL ENGINEERING LABORATORY IV</v>
          </cell>
          <cell r="C405" t="str">
            <v>Dzebre Denis Edem Kwame</v>
          </cell>
          <cell r="D405">
            <v>222</v>
          </cell>
          <cell r="E405" t="str">
            <v>ED3-ME</v>
          </cell>
          <cell r="F405" t="str">
            <v>ME 396</v>
          </cell>
        </row>
        <row r="406">
          <cell r="A406" t="str">
            <v>ME 452,ED4-ME</v>
          </cell>
          <cell r="B406" t="str">
            <v>FLUID MACHINERY</v>
          </cell>
          <cell r="C406" t="str">
            <v>Opoku Richard</v>
          </cell>
          <cell r="D406">
            <v>80</v>
          </cell>
          <cell r="E406" t="str">
            <v>ED4-ME</v>
          </cell>
          <cell r="F406" t="str">
            <v>ME 452</v>
          </cell>
        </row>
        <row r="407">
          <cell r="A407" t="str">
            <v>ME 464,ED4-ME</v>
          </cell>
          <cell r="B407" t="str">
            <v>INSTRUMENTATION</v>
          </cell>
          <cell r="C407" t="str">
            <v>Adam Faisal Wahib</v>
          </cell>
          <cell r="D407">
            <v>135</v>
          </cell>
          <cell r="E407" t="str">
            <v>ED4-ME</v>
          </cell>
          <cell r="F407" t="str">
            <v>ME 464</v>
          </cell>
        </row>
        <row r="408">
          <cell r="A408" t="str">
            <v>ME 468,ED4-ME</v>
          </cell>
          <cell r="B408" t="str">
            <v>INTERNAL COMBUSTION ENGINES</v>
          </cell>
          <cell r="C408" t="str">
            <v>Forson Francis Kofi</v>
          </cell>
          <cell r="D408">
            <v>40</v>
          </cell>
          <cell r="E408" t="str">
            <v>ED4-ME</v>
          </cell>
          <cell r="F408" t="str">
            <v>ME 468</v>
          </cell>
        </row>
        <row r="409">
          <cell r="A409" t="str">
            <v>ME 472,ED4-ME</v>
          </cell>
          <cell r="B409" t="str">
            <v>MACHINE SHOP AND FACTORY DESIGN</v>
          </cell>
          <cell r="C409" t="str">
            <v>Obeng George Yaw</v>
          </cell>
          <cell r="D409">
            <v>54</v>
          </cell>
          <cell r="E409" t="str">
            <v>ED4-ME</v>
          </cell>
          <cell r="F409" t="str">
            <v>ME 472</v>
          </cell>
        </row>
        <row r="410">
          <cell r="A410" t="str">
            <v>ME 478,ED4-ME</v>
          </cell>
          <cell r="B410" t="str">
            <v>PRODUCTION ENGINEERING II</v>
          </cell>
          <cell r="C410" t="str">
            <v>Obeng George Yaw</v>
          </cell>
          <cell r="D410">
            <v>40</v>
          </cell>
          <cell r="E410" t="str">
            <v>ED4-ME</v>
          </cell>
          <cell r="F410" t="str">
            <v>ME 478</v>
          </cell>
        </row>
        <row r="411">
          <cell r="A411" t="str">
            <v>ME 482,ED4-ME</v>
          </cell>
          <cell r="B411" t="str">
            <v>MECHANICAL ENGINEERING MATERIALS III</v>
          </cell>
          <cell r="C411" t="str">
            <v>Sackey Samuel Mensah</v>
          </cell>
          <cell r="D411">
            <v>55</v>
          </cell>
          <cell r="E411" t="str">
            <v>ED4-ME</v>
          </cell>
          <cell r="F411" t="str">
            <v>ME 482</v>
          </cell>
        </row>
        <row r="412">
          <cell r="A412" t="str">
            <v>ME 492,ED4-ME</v>
          </cell>
          <cell r="B412" t="str">
            <v>MANAGEMENT AND ENTREPRENEURSHIP DEVELOPMENT</v>
          </cell>
          <cell r="C412" t="str">
            <v>Mensah Lena Dzifa</v>
          </cell>
          <cell r="D412">
            <v>135</v>
          </cell>
          <cell r="E412" t="str">
            <v>ED4-ME</v>
          </cell>
          <cell r="F412" t="str">
            <v>ME 492</v>
          </cell>
        </row>
        <row r="413">
          <cell r="A413" t="str">
            <v>ME 494,ED4-ME</v>
          </cell>
          <cell r="B413" t="str">
            <v>MAINTENANCE ENGINEERING</v>
          </cell>
          <cell r="C413" t="str">
            <v xml:space="preserve">Peter Oppong Tawiah </v>
          </cell>
          <cell r="D413">
            <v>135</v>
          </cell>
          <cell r="E413" t="str">
            <v>ED4-ME</v>
          </cell>
          <cell r="F413" t="str">
            <v>ME 494</v>
          </cell>
        </row>
        <row r="414">
          <cell r="A414" t="str">
            <v>ENGL 158,ED1-METE</v>
          </cell>
          <cell r="B414" t="str">
            <v>COMMUNICATION SKILLS II</v>
          </cell>
          <cell r="C414" t="str">
            <v>Alhassan Yakubu</v>
          </cell>
          <cell r="D414">
            <v>75</v>
          </cell>
          <cell r="E414" t="str">
            <v>ED1-METE</v>
          </cell>
          <cell r="F414" t="str">
            <v>ENGL 158</v>
          </cell>
        </row>
        <row r="415">
          <cell r="A415" t="str">
            <v>MATH 152,ED1-METE</v>
          </cell>
          <cell r="B415" t="str">
            <v>CALCULUS WITH ANALYSIS</v>
          </cell>
          <cell r="C415" t="str">
            <v>Isaac Azure</v>
          </cell>
          <cell r="D415">
            <v>75</v>
          </cell>
          <cell r="E415" t="str">
            <v>ED1-METE</v>
          </cell>
          <cell r="F415" t="str">
            <v>MATH 152</v>
          </cell>
        </row>
        <row r="416">
          <cell r="A416" t="str">
            <v>ME 160,ED1-METE</v>
          </cell>
          <cell r="B416" t="str">
            <v>ENGINEERING DRAWING</v>
          </cell>
          <cell r="C416" t="str">
            <v>Aveyire Joseph</v>
          </cell>
          <cell r="D416">
            <v>75</v>
          </cell>
          <cell r="E416" t="str">
            <v>ED1-METE</v>
          </cell>
          <cell r="F416" t="str">
            <v>ME 160</v>
          </cell>
        </row>
        <row r="417">
          <cell r="A417" t="str">
            <v>ME 162,ED1-METE</v>
          </cell>
          <cell r="B417" t="str">
            <v>BASIC MECHANICS</v>
          </cell>
          <cell r="C417" t="str">
            <v>Opoku Richard</v>
          </cell>
          <cell r="D417">
            <v>75</v>
          </cell>
          <cell r="E417" t="str">
            <v>ED1-METE</v>
          </cell>
          <cell r="F417" t="str">
            <v>ME 162</v>
          </cell>
        </row>
        <row r="418">
          <cell r="A418" t="str">
            <v>METE 152,ED1-METE</v>
          </cell>
          <cell r="B418" t="str">
            <v>CHEMISTRY FOR METALLURGICAL ENGINEERS</v>
          </cell>
          <cell r="C418" t="str">
            <v>Patrick Aggrey</v>
          </cell>
          <cell r="D418">
            <v>75</v>
          </cell>
          <cell r="E418" t="str">
            <v>ED1-METE</v>
          </cell>
          <cell r="F418" t="str">
            <v>METE 152</v>
          </cell>
        </row>
        <row r="419">
          <cell r="A419" t="str">
            <v>METE 154,ED1-METE</v>
          </cell>
          <cell r="B419" t="str">
            <v>ENVIRONMENTAL SCIENCE</v>
          </cell>
          <cell r="C419" t="str">
            <v>Koomson Bennetta</v>
          </cell>
          <cell r="D419">
            <v>75</v>
          </cell>
          <cell r="E419" t="str">
            <v>ED1-METE</v>
          </cell>
          <cell r="F419" t="str">
            <v>METE 154</v>
          </cell>
        </row>
        <row r="420">
          <cell r="A420" t="str">
            <v>MSE 154,ED1-METE</v>
          </cell>
          <cell r="B420" t="str">
            <v>OPTICAL AND THERMAL BEHAVIOUR OF MATERIALS</v>
          </cell>
          <cell r="C420" t="str">
            <v>Nartey Martinson Addo</v>
          </cell>
          <cell r="D420">
            <v>75</v>
          </cell>
          <cell r="E420" t="str">
            <v>ED1-METE</v>
          </cell>
          <cell r="F420" t="str">
            <v>MSE 154</v>
          </cell>
        </row>
        <row r="421">
          <cell r="A421" t="str">
            <v>GED 162,ED1-METE</v>
          </cell>
          <cell r="B421" t="str">
            <v>BASIC GEOLOGY</v>
          </cell>
          <cell r="C421" t="str">
            <v>Gawu Simon Kafui Yawo</v>
          </cell>
          <cell r="D421">
            <v>75</v>
          </cell>
          <cell r="E421" t="str">
            <v>ED1-METE</v>
          </cell>
          <cell r="F421" t="str">
            <v>GED 162</v>
          </cell>
        </row>
        <row r="422">
          <cell r="A422" t="str">
            <v>MATH 252,ED2-METE</v>
          </cell>
          <cell r="B422" t="str">
            <v>CALCULUS WITH SEVERAL VARIABLES</v>
          </cell>
          <cell r="C422" t="str">
            <v>Asamoah Joshua Kiddy Kwasi</v>
          </cell>
          <cell r="D422">
            <v>57</v>
          </cell>
          <cell r="E422" t="str">
            <v>ED2-METE</v>
          </cell>
          <cell r="F422" t="str">
            <v>MATH 252</v>
          </cell>
        </row>
        <row r="423">
          <cell r="A423" t="str">
            <v>METE 252,ED2-METE</v>
          </cell>
          <cell r="B423" t="str">
            <v>METALLURGICAL RATE PROCESSES/SURFACE PHENOMENA</v>
          </cell>
          <cell r="C423" t="str">
            <v>Patrick Aggrey</v>
          </cell>
          <cell r="D423">
            <v>57</v>
          </cell>
          <cell r="E423" t="str">
            <v>ED2-METE</v>
          </cell>
          <cell r="F423" t="str">
            <v>METE 252</v>
          </cell>
        </row>
        <row r="424">
          <cell r="A424" t="str">
            <v>METE 254,ED2-METE</v>
          </cell>
          <cell r="B424" t="str">
            <v>ORE BENEFICIATION</v>
          </cell>
          <cell r="C424" t="str">
            <v>Koomson Bennetta</v>
          </cell>
          <cell r="D424">
            <v>57</v>
          </cell>
          <cell r="E424" t="str">
            <v>ED2-METE</v>
          </cell>
          <cell r="F424" t="str">
            <v>METE 254</v>
          </cell>
        </row>
        <row r="425">
          <cell r="A425" t="str">
            <v>METE 256,ED2-METE</v>
          </cell>
          <cell r="B425" t="str">
            <v>ASSAYING</v>
          </cell>
          <cell r="C425" t="str">
            <v>Koomson Bennetta</v>
          </cell>
          <cell r="D425">
            <v>57</v>
          </cell>
          <cell r="E425" t="str">
            <v>ED2-METE</v>
          </cell>
          <cell r="F425" t="str">
            <v>METE 256</v>
          </cell>
        </row>
        <row r="426">
          <cell r="A426" t="str">
            <v>MSE 262,ED2-METE</v>
          </cell>
          <cell r="B426" t="str">
            <v>STRESS AND STRAIN ANALYSIS OF RIGID BODIES</v>
          </cell>
          <cell r="C426" t="str">
            <v>Mensah-Darkwa Kwadwo</v>
          </cell>
          <cell r="D426">
            <v>57</v>
          </cell>
          <cell r="E426" t="str">
            <v>ED2-METE</v>
          </cell>
          <cell r="F426" t="str">
            <v>MSE 262</v>
          </cell>
        </row>
        <row r="427">
          <cell r="A427" t="str">
            <v>MSE 252,ED2-METE</v>
          </cell>
          <cell r="B427" t="str">
            <v>HEAT AND MASS TRANSPORT</v>
          </cell>
          <cell r="C427" t="str">
            <v>Agyemang Frank Ofori</v>
          </cell>
          <cell r="D427">
            <v>57</v>
          </cell>
          <cell r="E427" t="str">
            <v>ED2-METE</v>
          </cell>
          <cell r="F427" t="str">
            <v>MSE 252</v>
          </cell>
        </row>
        <row r="428">
          <cell r="A428" t="str">
            <v>MSE 260,ED2-METE</v>
          </cell>
          <cell r="B428" t="str">
            <v>PHASE TRANSFORMATIONS</v>
          </cell>
          <cell r="C428" t="str">
            <v>Gikunoo Emmanuel</v>
          </cell>
          <cell r="D428">
            <v>57</v>
          </cell>
          <cell r="E428" t="str">
            <v>ED2-METE</v>
          </cell>
          <cell r="F428" t="str">
            <v>MSE 260</v>
          </cell>
        </row>
        <row r="429">
          <cell r="A429" t="str">
            <v>MSE 258,ED2-METE</v>
          </cell>
          <cell r="B429" t="str">
            <v>PHYSICAL METALLURGY OF NON-FERROUS METALS</v>
          </cell>
          <cell r="C429" t="str">
            <v>Arthur Emmanuel Kwesi</v>
          </cell>
          <cell r="D429">
            <v>57</v>
          </cell>
          <cell r="E429" t="str">
            <v>ED2-METE</v>
          </cell>
          <cell r="F429" t="str">
            <v>MSE 258</v>
          </cell>
        </row>
        <row r="430">
          <cell r="A430" t="str">
            <v>METE 352,ED3-METE</v>
          </cell>
          <cell r="B430" t="str">
            <v>HYDROMETALLURGICAL APPLICATIONS</v>
          </cell>
          <cell r="C430" t="str">
            <v>Agbe Henry</v>
          </cell>
          <cell r="D430">
            <v>87</v>
          </cell>
          <cell r="E430" t="str">
            <v>ED3-METE</v>
          </cell>
          <cell r="F430" t="str">
            <v>METE 352</v>
          </cell>
        </row>
        <row r="431">
          <cell r="A431" t="str">
            <v>METE 354,ED3-METE</v>
          </cell>
          <cell r="B431" t="str">
            <v>PHYSICAL METALLURGY OF NON-FERROUS METALS</v>
          </cell>
          <cell r="C431" t="str">
            <v>Agyemang Frank Ofori</v>
          </cell>
          <cell r="D431">
            <v>87</v>
          </cell>
          <cell r="E431" t="str">
            <v>ED3-METE</v>
          </cell>
          <cell r="F431" t="str">
            <v>METE 354</v>
          </cell>
        </row>
        <row r="432">
          <cell r="A432" t="str">
            <v>METE 356,ED3-METE</v>
          </cell>
          <cell r="B432" t="str">
            <v>THIRD YEAR DESIGN PROJECT</v>
          </cell>
          <cell r="C432" t="str">
            <v>Bota Osei Sekyere</v>
          </cell>
          <cell r="D432">
            <v>87</v>
          </cell>
          <cell r="E432" t="str">
            <v>ED3-METE</v>
          </cell>
          <cell r="F432" t="str">
            <v>METE 356</v>
          </cell>
        </row>
        <row r="433">
          <cell r="A433" t="str">
            <v>METE 358,ED3-METE</v>
          </cell>
          <cell r="B433" t="str">
            <v>METALLURGICAL CHARACTERIZATION LABORATORY</v>
          </cell>
          <cell r="C433" t="str">
            <v>Arthur Emmanuel Kwesi</v>
          </cell>
          <cell r="D433">
            <v>87</v>
          </cell>
          <cell r="E433" t="str">
            <v>ED3-METE</v>
          </cell>
          <cell r="F433" t="str">
            <v>METE 358</v>
          </cell>
        </row>
        <row r="434">
          <cell r="A434" t="str">
            <v>METE 362,ED3-METE</v>
          </cell>
          <cell r="B434" t="str">
            <v>PHYSICAL METALLURGY OF FERROUS METALS</v>
          </cell>
          <cell r="C434" t="str">
            <v>Kwofie Samuel</v>
          </cell>
          <cell r="D434">
            <v>87</v>
          </cell>
          <cell r="E434" t="str">
            <v>ED3-METE</v>
          </cell>
          <cell r="F434" t="str">
            <v>METE 362</v>
          </cell>
        </row>
        <row r="435">
          <cell r="A435" t="str">
            <v>MSE 356,ED3-METE</v>
          </cell>
          <cell r="B435" t="str">
            <v>THIRD YEAR DESIGN PROJECT</v>
          </cell>
          <cell r="C435" t="str">
            <v>Bota Osei Sekyere</v>
          </cell>
          <cell r="D435">
            <v>87</v>
          </cell>
          <cell r="E435" t="str">
            <v>ED3-METE</v>
          </cell>
          <cell r="F435" t="str">
            <v>MSE 356</v>
          </cell>
        </row>
        <row r="436">
          <cell r="A436" t="str">
            <v>MSE 358,ED3-METE</v>
          </cell>
          <cell r="B436" t="str">
            <v>NUMERICAL METHODS FOR ENGINEERS</v>
          </cell>
          <cell r="C436" t="str">
            <v>Nartey Martinson Addo</v>
          </cell>
          <cell r="D436">
            <v>87</v>
          </cell>
          <cell r="E436" t="str">
            <v>ED3-METE</v>
          </cell>
          <cell r="F436" t="str">
            <v>MSE 358</v>
          </cell>
        </row>
        <row r="437">
          <cell r="A437" t="str">
            <v>MSE 362,ED3-METE</v>
          </cell>
          <cell r="B437" t="str">
            <v>MATERIALS JOINING PROCESSES</v>
          </cell>
          <cell r="C437" t="str">
            <v>Kwofie Samuel</v>
          </cell>
          <cell r="D437">
            <v>87</v>
          </cell>
          <cell r="E437" t="str">
            <v>ED3-METE</v>
          </cell>
          <cell r="F437" t="str">
            <v>MSE 362</v>
          </cell>
        </row>
        <row r="438">
          <cell r="A438" t="str">
            <v>ME 492,ED4-METE</v>
          </cell>
          <cell r="B438" t="str">
            <v>MANAGEMENT AND ENTREPRENEURSHIP DEVELOPMENT</v>
          </cell>
          <cell r="C438" t="str">
            <v>Mensah Lena Dzifa</v>
          </cell>
          <cell r="D438">
            <v>55</v>
          </cell>
          <cell r="E438" t="str">
            <v>ED4-METE</v>
          </cell>
          <cell r="F438" t="str">
            <v>ME 492</v>
          </cell>
        </row>
        <row r="439">
          <cell r="A439" t="str">
            <v>METE 452,ED4-METE</v>
          </cell>
          <cell r="B439" t="str">
            <v>ELECTROMETALLURGY</v>
          </cell>
          <cell r="C439" t="str">
            <v>Agbe Henry</v>
          </cell>
          <cell r="D439">
            <v>55</v>
          </cell>
          <cell r="E439" t="str">
            <v>ED4-METE</v>
          </cell>
          <cell r="F439" t="str">
            <v>METE 452</v>
          </cell>
        </row>
        <row r="440">
          <cell r="A440" t="str">
            <v>METE 454,ED4-METE</v>
          </cell>
          <cell r="B440" t="str">
            <v>METALLURGICAL WASTE MANAGEMENT</v>
          </cell>
          <cell r="C440" t="str">
            <v>Koomson Bennetta</v>
          </cell>
          <cell r="D440">
            <v>55</v>
          </cell>
          <cell r="E440" t="str">
            <v>ED4-METE</v>
          </cell>
          <cell r="F440" t="str">
            <v>METE 454</v>
          </cell>
        </row>
        <row r="441">
          <cell r="A441" t="str">
            <v>MSE 456,ED4-METE</v>
          </cell>
          <cell r="B441" t="str">
            <v>MATERIALS QUALITY CONTROL, ASSURRANCE AND SELECTION</v>
          </cell>
          <cell r="C441" t="str">
            <v>Arthur Emmanuel Kwesi</v>
          </cell>
          <cell r="D441">
            <v>55</v>
          </cell>
          <cell r="E441" t="str">
            <v>ED4-METE</v>
          </cell>
          <cell r="F441" t="str">
            <v>MSE 456</v>
          </cell>
        </row>
        <row r="442">
          <cell r="A442" t="str">
            <v>MSE 458,ED4-METE</v>
          </cell>
          <cell r="B442" t="str">
            <v>PROCESS DYNANICS AND CONTROL</v>
          </cell>
          <cell r="C442" t="str">
            <v>Adjaottor Albert Amatey</v>
          </cell>
          <cell r="D442">
            <v>55</v>
          </cell>
          <cell r="E442" t="str">
            <v>ED4-METE</v>
          </cell>
          <cell r="F442" t="str">
            <v>MSE 458</v>
          </cell>
        </row>
        <row r="443">
          <cell r="A443" t="str">
            <v>CHE 156,ED1-PCE</v>
          </cell>
          <cell r="B443" t="str">
            <v>PHYSICAL CHEMISTRY FOR ENGINEERS</v>
          </cell>
          <cell r="C443" t="str">
            <v>Boakye Patrick</v>
          </cell>
          <cell r="D443">
            <v>56</v>
          </cell>
          <cell r="E443" t="str">
            <v>ED1-PCE</v>
          </cell>
          <cell r="F443" t="str">
            <v>CHE 156</v>
          </cell>
        </row>
        <row r="444">
          <cell r="A444" t="str">
            <v>EE 152,ED1-PCE</v>
          </cell>
          <cell r="B444" t="str">
            <v>BASIC ELECTRONICS</v>
          </cell>
          <cell r="C444" t="str">
            <v>Twumasi Elvis</v>
          </cell>
          <cell r="D444">
            <v>56</v>
          </cell>
          <cell r="E444" t="str">
            <v>ED1-PCE</v>
          </cell>
          <cell r="F444" t="str">
            <v>EE 152</v>
          </cell>
        </row>
        <row r="445">
          <cell r="A445" t="str">
            <v>ENGL 158,ED1-PCE</v>
          </cell>
          <cell r="B445" t="str">
            <v>COMMUNICATION SKILLS II</v>
          </cell>
          <cell r="C445" t="str">
            <v>Yeboah Philomena Ama Okyeso</v>
          </cell>
          <cell r="D445">
            <v>56</v>
          </cell>
          <cell r="E445" t="str">
            <v>ED1-PCE</v>
          </cell>
          <cell r="F445" t="str">
            <v>ENGL 158</v>
          </cell>
        </row>
        <row r="446">
          <cell r="A446" t="str">
            <v>MATH 152,ED1-PCE</v>
          </cell>
          <cell r="B446" t="str">
            <v>CALCULUS OF SEVERAL VARIABLES</v>
          </cell>
          <cell r="C446" t="str">
            <v>Isaac Azure</v>
          </cell>
          <cell r="D446">
            <v>56</v>
          </cell>
          <cell r="E446" t="str">
            <v>ED1-PCE</v>
          </cell>
          <cell r="F446" t="str">
            <v>MATH 152</v>
          </cell>
        </row>
        <row r="447">
          <cell r="A447" t="str">
            <v>ME 162,ED1-PCE</v>
          </cell>
          <cell r="B447" t="str">
            <v>BASIC MECHANICS</v>
          </cell>
          <cell r="C447" t="str">
            <v>Boahen Samuel</v>
          </cell>
          <cell r="D447">
            <v>56</v>
          </cell>
          <cell r="E447" t="str">
            <v>ED1-PCE</v>
          </cell>
          <cell r="F447" t="str">
            <v>ME 162</v>
          </cell>
        </row>
        <row r="448">
          <cell r="A448" t="str">
            <v>PCE 158,ED1-PCE</v>
          </cell>
          <cell r="B448" t="str">
            <v>INTRODUCTION TO INFORMATION TECHNOLOGY</v>
          </cell>
          <cell r="C448" t="str">
            <v>Baidoo Martina Francisca</v>
          </cell>
          <cell r="D448">
            <v>56</v>
          </cell>
          <cell r="E448" t="str">
            <v>ED1-PCE</v>
          </cell>
          <cell r="F448" t="str">
            <v>PCE 158</v>
          </cell>
        </row>
        <row r="449">
          <cell r="A449" t="str">
            <v>PHY 170,ED1-PCE</v>
          </cell>
          <cell r="B449" t="str">
            <v>GENERAL PHYSICS</v>
          </cell>
          <cell r="C449" t="str">
            <v>Abavare Eric Kwabena Kyeh</v>
          </cell>
          <cell r="D449">
            <v>56</v>
          </cell>
          <cell r="E449" t="str">
            <v>ED1-PCE</v>
          </cell>
          <cell r="F449" t="str">
            <v>PHY 170</v>
          </cell>
        </row>
        <row r="450">
          <cell r="A450" t="str">
            <v>CHE 250,ED2-PCE</v>
          </cell>
          <cell r="B450" t="str">
            <v>STRENGTH OF MATERIALS FOR CHEMICAL ENGINEERS</v>
          </cell>
          <cell r="C450" t="str">
            <v>Baidoo Martina Francisca</v>
          </cell>
          <cell r="D450">
            <v>65</v>
          </cell>
          <cell r="E450" t="str">
            <v>ED2-PCE</v>
          </cell>
          <cell r="F450" t="str">
            <v>CHE 250</v>
          </cell>
        </row>
        <row r="451">
          <cell r="A451" t="str">
            <v>CHE 252,ED2-PCE</v>
          </cell>
          <cell r="B451" t="str">
            <v>CHEMICAL PROCESS CALCULATIONS II</v>
          </cell>
          <cell r="C451" t="str">
            <v>Ohemeng-Boahen Godfred</v>
          </cell>
          <cell r="D451">
            <v>65</v>
          </cell>
          <cell r="E451" t="str">
            <v>ED2-PCE</v>
          </cell>
          <cell r="F451" t="str">
            <v>CHE 252</v>
          </cell>
        </row>
        <row r="452">
          <cell r="A452" t="str">
            <v>CHE 254,ED2-PCE</v>
          </cell>
          <cell r="B452" t="str">
            <v>CHEMICAL ENGINEERING THERMODYNAMICS II</v>
          </cell>
          <cell r="C452" t="str">
            <v>Eunice Sefakor Aku Dogbe</v>
          </cell>
          <cell r="D452">
            <v>65</v>
          </cell>
          <cell r="E452" t="str">
            <v>ED2-PCE</v>
          </cell>
          <cell r="F452" t="str">
            <v>CHE 254</v>
          </cell>
        </row>
        <row r="453">
          <cell r="A453" t="str">
            <v>CHE 256,ED2-PCE</v>
          </cell>
          <cell r="B453" t="str">
            <v>HEAT TRANSPORT PROCESSES</v>
          </cell>
          <cell r="C453" t="str">
            <v>Ohemeng-Boahen Godfred</v>
          </cell>
          <cell r="D453">
            <v>65</v>
          </cell>
          <cell r="E453" t="str">
            <v>ED2-PCE</v>
          </cell>
          <cell r="F453" t="str">
            <v>CHE 256</v>
          </cell>
        </row>
        <row r="454">
          <cell r="A454" t="str">
            <v>CHE 258,ED2-PCE</v>
          </cell>
          <cell r="B454" t="str">
            <v>DRAWING FOR ENGINEERS</v>
          </cell>
          <cell r="C454" t="str">
            <v>Darkwah Lawrence</v>
          </cell>
          <cell r="D454">
            <v>65</v>
          </cell>
          <cell r="E454" t="str">
            <v>ED2-PCE</v>
          </cell>
          <cell r="F454" t="str">
            <v>CHE 258</v>
          </cell>
        </row>
        <row r="455">
          <cell r="A455" t="str">
            <v>CHEM 280,ED2-PCE</v>
          </cell>
          <cell r="B455" t="str">
            <v>PRACTICAL CHEMISTRY II</v>
          </cell>
          <cell r="C455" t="str">
            <v>Opoku Francis</v>
          </cell>
          <cell r="D455">
            <v>65</v>
          </cell>
          <cell r="E455" t="str">
            <v>ED2-PCE</v>
          </cell>
          <cell r="F455" t="str">
            <v>CHEM 280</v>
          </cell>
        </row>
        <row r="456">
          <cell r="A456" t="str">
            <v>MATH 252,ED2-PCE</v>
          </cell>
          <cell r="B456" t="str">
            <v>CALCULUS OF SEVERAL VARIABLES</v>
          </cell>
          <cell r="C456" t="str">
            <v>Eghan Rhydal Esi</v>
          </cell>
          <cell r="D456">
            <v>65</v>
          </cell>
          <cell r="E456" t="str">
            <v>ED2-PCE</v>
          </cell>
          <cell r="F456" t="str">
            <v>MATH 252</v>
          </cell>
        </row>
        <row r="457">
          <cell r="A457" t="str">
            <v>CHE 350,ED3-PCE</v>
          </cell>
          <cell r="B457" t="str">
            <v>MATERIALS SCIENCE</v>
          </cell>
          <cell r="C457" t="str">
            <v>Anang Daniel Adjah</v>
          </cell>
          <cell r="D457">
            <v>53</v>
          </cell>
          <cell r="E457" t="str">
            <v>ED3-PCE</v>
          </cell>
          <cell r="F457" t="str">
            <v>CHE 350</v>
          </cell>
        </row>
        <row r="458">
          <cell r="A458" t="str">
            <v>CHE 358,ED3-PCE</v>
          </cell>
          <cell r="B458" t="str">
            <v>NUMERICAL METHODS FOR CHEMICAL ENGINEERS</v>
          </cell>
          <cell r="C458" t="str">
            <v>Mensah Mary</v>
          </cell>
          <cell r="D458">
            <v>53</v>
          </cell>
          <cell r="E458" t="str">
            <v>ED3-PCE</v>
          </cell>
          <cell r="F458" t="str">
            <v>CHE 358</v>
          </cell>
        </row>
        <row r="459">
          <cell r="A459" t="str">
            <v>CHE 366,ED3-PCE</v>
          </cell>
          <cell r="B459" t="str">
            <v>RENEWABLE ENERGY RESOURCES</v>
          </cell>
          <cell r="C459" t="str">
            <v>Baah-Ennumh Emmanuel Kwaku</v>
          </cell>
          <cell r="D459">
            <v>20</v>
          </cell>
          <cell r="E459" t="str">
            <v>ED3-PCE</v>
          </cell>
          <cell r="F459" t="str">
            <v>CHE 366</v>
          </cell>
        </row>
        <row r="460">
          <cell r="A460" t="str">
            <v>CHE 370,ED3-PCE</v>
          </cell>
          <cell r="B460" t="str">
            <v>ENVIRONMENTAL IMPACT ASSESSMENT</v>
          </cell>
          <cell r="C460" t="str">
            <v>Afotey Benjamin</v>
          </cell>
          <cell r="D460">
            <v>30</v>
          </cell>
          <cell r="E460" t="str">
            <v>ED3-PCE</v>
          </cell>
          <cell r="F460" t="str">
            <v>CHE 370</v>
          </cell>
        </row>
        <row r="461">
          <cell r="A461" t="str">
            <v>PCE 350,ED3-PCE</v>
          </cell>
          <cell r="B461" t="str">
            <v>KINETICS AND REACTIONS ENGINEERING</v>
          </cell>
          <cell r="C461" t="str">
            <v>Augustine Ntiamoah</v>
          </cell>
          <cell r="D461">
            <v>53</v>
          </cell>
          <cell r="E461" t="str">
            <v>ED3-PCE</v>
          </cell>
          <cell r="F461" t="str">
            <v>PCE 350</v>
          </cell>
        </row>
        <row r="462">
          <cell r="A462" t="str">
            <v>PCE 352,ED3-PCE</v>
          </cell>
          <cell r="B462" t="str">
            <v>SEPARATION PROCESSES II</v>
          </cell>
          <cell r="C462" t="str">
            <v>Augustine Ntiamoah</v>
          </cell>
          <cell r="D462">
            <v>53</v>
          </cell>
          <cell r="E462" t="str">
            <v>ED3-PCE</v>
          </cell>
          <cell r="F462" t="str">
            <v>PCE 352</v>
          </cell>
        </row>
        <row r="463">
          <cell r="A463" t="str">
            <v>PCE 354,ED3-PCE</v>
          </cell>
          <cell r="B463" t="str">
            <v>PETROCHEMICAL ENGINEERING LABORATORY II</v>
          </cell>
          <cell r="C463" t="str">
            <v>Bonsu Jude Kwaku</v>
          </cell>
          <cell r="D463">
            <v>53</v>
          </cell>
          <cell r="E463" t="str">
            <v>ED3-PCE</v>
          </cell>
          <cell r="F463" t="str">
            <v>PCE 354</v>
          </cell>
        </row>
        <row r="464">
          <cell r="A464" t="str">
            <v>PETE 354,ED3-PCE</v>
          </cell>
          <cell r="B464" t="str">
            <v>PETROLEUM PRODUCTION ENGINEERING</v>
          </cell>
          <cell r="C464" t="str">
            <v>Ankudey Emmanuel Godwin</v>
          </cell>
          <cell r="D464">
            <v>53</v>
          </cell>
          <cell r="E464" t="str">
            <v>ED3-PCE</v>
          </cell>
          <cell r="F464" t="str">
            <v>PETE 354</v>
          </cell>
        </row>
        <row r="465">
          <cell r="A465" t="str">
            <v>PETE 450,ED3-PCE</v>
          </cell>
          <cell r="B465" t="str">
            <v>NATURAL GAS ENGINEERING</v>
          </cell>
          <cell r="C465" t="str">
            <v>Ankudey Emmanuel Godwin</v>
          </cell>
          <cell r="D465">
            <v>53</v>
          </cell>
          <cell r="E465" t="str">
            <v>ED3-PCE</v>
          </cell>
          <cell r="F465" t="str">
            <v>PETE 450</v>
          </cell>
        </row>
        <row r="466">
          <cell r="A466" t="str">
            <v>CHE 456,ED4-PCE</v>
          </cell>
          <cell r="B466" t="str">
            <v>PROCESS CONTROL AND SIMULATION</v>
          </cell>
          <cell r="C466" t="str">
            <v>Baidoo Martina Francisca</v>
          </cell>
          <cell r="D466">
            <v>55</v>
          </cell>
          <cell r="E466" t="str">
            <v>ED4-PCE</v>
          </cell>
          <cell r="F466" t="str">
            <v>CHE 456</v>
          </cell>
        </row>
        <row r="467">
          <cell r="A467" t="str">
            <v>CHE 458,ED4-PCE</v>
          </cell>
          <cell r="B467" t="str">
            <v>ENTREPRENEURSHIP AND BUSINESS DEVELOPMENT</v>
          </cell>
          <cell r="C467" t="str">
            <v>Asamoah Boateng Kenneth</v>
          </cell>
          <cell r="D467">
            <v>55</v>
          </cell>
          <cell r="E467" t="str">
            <v>ED4-PCE</v>
          </cell>
          <cell r="F467" t="str">
            <v>CHE 458</v>
          </cell>
        </row>
        <row r="468">
          <cell r="A468" t="str">
            <v>CHE 464,ED4-PCE</v>
          </cell>
          <cell r="B468" t="str">
            <v>ADSORPTION SEPARATION PROCESS TECHNOLOGY</v>
          </cell>
          <cell r="C468" t="str">
            <v>Ohemeng-Boahen Godfred</v>
          </cell>
          <cell r="D468">
            <v>40</v>
          </cell>
          <cell r="E468" t="str">
            <v>ED4-PCE</v>
          </cell>
          <cell r="F468" t="str">
            <v>CHE 464</v>
          </cell>
        </row>
        <row r="469">
          <cell r="A469" t="str">
            <v>MSE 356,ED4-PCE</v>
          </cell>
          <cell r="B469" t="str">
            <v>ENGINEERING PROPERTIES OF POLYMERS</v>
          </cell>
          <cell r="C469" t="str">
            <v>Asare Eric Kwame Anokye</v>
          </cell>
          <cell r="D469">
            <v>0</v>
          </cell>
          <cell r="E469" t="str">
            <v>ED4-PCE</v>
          </cell>
          <cell r="F469" t="str">
            <v>MSE 356</v>
          </cell>
        </row>
        <row r="470">
          <cell r="A470" t="str">
            <v>PCE 450,ED4-PCE</v>
          </cell>
          <cell r="B470" t="str">
            <v>PETROLEUM REFINING ENGINEERING</v>
          </cell>
          <cell r="C470" t="str">
            <v>Kwao-Boateng Emmanuela</v>
          </cell>
          <cell r="D470">
            <v>55</v>
          </cell>
          <cell r="E470" t="str">
            <v>ED4-PCE</v>
          </cell>
          <cell r="F470" t="str">
            <v>PCE 450</v>
          </cell>
        </row>
        <row r="471">
          <cell r="A471" t="str">
            <v>EE 152,ED1-PE</v>
          </cell>
          <cell r="B471" t="str">
            <v>BASIC ELECTRONICS</v>
          </cell>
          <cell r="C471" t="str">
            <v>Twumasi Elvis</v>
          </cell>
          <cell r="D471">
            <v>130</v>
          </cell>
          <cell r="E471" t="str">
            <v>ED1-PE</v>
          </cell>
          <cell r="F471" t="str">
            <v>EE 152</v>
          </cell>
        </row>
        <row r="472">
          <cell r="A472" t="str">
            <v>ENGL 158,ED1-PE</v>
          </cell>
          <cell r="B472" t="str">
            <v>COMMUNICATION SKILLS II</v>
          </cell>
          <cell r="C472" t="str">
            <v>Alhassan Yakubu</v>
          </cell>
          <cell r="D472">
            <v>130</v>
          </cell>
          <cell r="E472" t="str">
            <v>ED1-PE</v>
          </cell>
          <cell r="F472" t="str">
            <v>ENGL 158</v>
          </cell>
        </row>
        <row r="473">
          <cell r="A473" t="str">
            <v>MATH 152,ED1-PE</v>
          </cell>
          <cell r="B473" t="str">
            <v>CALCULUS WITH ANALYSIS</v>
          </cell>
          <cell r="C473" t="str">
            <v>Kwabi Prince Amponsah</v>
          </cell>
          <cell r="D473">
            <v>130</v>
          </cell>
          <cell r="E473" t="str">
            <v>ED1-PE</v>
          </cell>
          <cell r="F473" t="str">
            <v>MATH 152</v>
          </cell>
        </row>
        <row r="474">
          <cell r="A474" t="str">
            <v>ME 162,ED1-PE</v>
          </cell>
          <cell r="B474" t="str">
            <v>BASIC MECHANICS</v>
          </cell>
          <cell r="C474" t="str">
            <v>Quansah David Ato</v>
          </cell>
          <cell r="D474">
            <v>130</v>
          </cell>
          <cell r="E474" t="str">
            <v>ED1-PE</v>
          </cell>
          <cell r="F474" t="str">
            <v>ME 162</v>
          </cell>
        </row>
        <row r="475">
          <cell r="A475" t="str">
            <v>PE 154,ED1-PE</v>
          </cell>
          <cell r="B475" t="str">
            <v>INTRODUCTION TO PETROLEUM ENGINEERING</v>
          </cell>
          <cell r="C475" t="str">
            <v>Erzuah Samuel</v>
          </cell>
          <cell r="D475">
            <v>130</v>
          </cell>
          <cell r="E475" t="str">
            <v>ED1-PE</v>
          </cell>
          <cell r="F475" t="str">
            <v>PE 154</v>
          </cell>
        </row>
        <row r="476">
          <cell r="A476" t="str">
            <v>PE 156,ED1-PE</v>
          </cell>
          <cell r="B476" t="str">
            <v>PHYSICAL CHEMISTRY FOR ENGINEERS</v>
          </cell>
          <cell r="C476" t="str">
            <v>Boakye Patrick</v>
          </cell>
          <cell r="D476">
            <v>130</v>
          </cell>
          <cell r="E476" t="str">
            <v>ED1-PE</v>
          </cell>
          <cell r="F476" t="str">
            <v>PE 156</v>
          </cell>
        </row>
        <row r="477">
          <cell r="A477" t="str">
            <v>PHY 170,ED1-PE</v>
          </cell>
          <cell r="B477" t="str">
            <v>GENERAL PHYSICS</v>
          </cell>
          <cell r="C477" t="str">
            <v>Boateng Cyril Dziedzorm</v>
          </cell>
          <cell r="D477">
            <v>130</v>
          </cell>
          <cell r="E477" t="str">
            <v>ED1-PE</v>
          </cell>
          <cell r="F477" t="str">
            <v>PHY 170</v>
          </cell>
        </row>
        <row r="478">
          <cell r="A478" t="str">
            <v>MATH 252,ED2-PE</v>
          </cell>
          <cell r="B478" t="str">
            <v>CALCULUS OF SEVERAL VARIABLES</v>
          </cell>
          <cell r="C478" t="str">
            <v>Eghan Rhydal Esi</v>
          </cell>
          <cell r="D478">
            <v>95</v>
          </cell>
          <cell r="E478" t="str">
            <v>ED2-PE</v>
          </cell>
          <cell r="F478" t="str">
            <v>MATH 252</v>
          </cell>
        </row>
        <row r="479">
          <cell r="A479" t="str">
            <v>PE 252,ED2-PE</v>
          </cell>
          <cell r="B479" t="str">
            <v>HEAT TRANSPORT PROCESSES</v>
          </cell>
          <cell r="C479" t="str">
            <v>Adjei Stephen</v>
          </cell>
          <cell r="D479">
            <v>95</v>
          </cell>
          <cell r="E479" t="str">
            <v>ED2-PE</v>
          </cell>
          <cell r="F479" t="str">
            <v>PE 252</v>
          </cell>
        </row>
        <row r="480">
          <cell r="A480" t="str">
            <v>PE 254,ED2-PE</v>
          </cell>
          <cell r="B480" t="str">
            <v>DRAWING FOR ENGINEERS</v>
          </cell>
          <cell r="C480" t="str">
            <v>Jones Twumasi</v>
          </cell>
          <cell r="D480">
            <v>95</v>
          </cell>
          <cell r="E480" t="str">
            <v>ED2-PE</v>
          </cell>
          <cell r="F480" t="str">
            <v>PE 254</v>
          </cell>
        </row>
        <row r="481">
          <cell r="A481" t="str">
            <v>PE 256,ED2-PE</v>
          </cell>
          <cell r="B481" t="str">
            <v>REGIONAL GEOLOGY</v>
          </cell>
          <cell r="C481" t="str">
            <v>Quaye Jonathan Atuquaye</v>
          </cell>
          <cell r="D481">
            <v>95</v>
          </cell>
          <cell r="E481" t="str">
            <v>ED2-PE</v>
          </cell>
          <cell r="F481" t="str">
            <v>PE 256</v>
          </cell>
        </row>
        <row r="482">
          <cell r="A482" t="str">
            <v>PE 258,ED2-PE</v>
          </cell>
          <cell r="B482" t="str">
            <v>PETROLEUM ENGINEERING THERMODYNAMICS II</v>
          </cell>
          <cell r="C482" t="str">
            <v>Sokama-Neuyam Yen Adams</v>
          </cell>
          <cell r="D482">
            <v>95</v>
          </cell>
          <cell r="E482" t="str">
            <v>ED2-PE</v>
          </cell>
          <cell r="F482" t="str">
            <v>PE 258</v>
          </cell>
        </row>
        <row r="483">
          <cell r="A483" t="str">
            <v>PE 260,ED2-PE</v>
          </cell>
          <cell r="B483" t="str">
            <v>RESERVOIR FLUID PROPERTIES</v>
          </cell>
          <cell r="C483" t="str">
            <v>Casper Daniel Adenutsi</v>
          </cell>
          <cell r="D483">
            <v>95</v>
          </cell>
          <cell r="E483" t="str">
            <v>ED2-PE</v>
          </cell>
          <cell r="F483" t="str">
            <v>PE 260</v>
          </cell>
        </row>
        <row r="484">
          <cell r="A484" t="str">
            <v>PE 262,ED2-PE</v>
          </cell>
          <cell r="B484" t="str">
            <v>COMPUTER PROGRAMMING IN OIL AND GAS</v>
          </cell>
          <cell r="C484" t="str">
            <v>Sokama-Neuyam Yen Adams</v>
          </cell>
          <cell r="D484">
            <v>95</v>
          </cell>
          <cell r="E484" t="str">
            <v>ED2-PE</v>
          </cell>
          <cell r="F484" t="str">
            <v>PE 262</v>
          </cell>
        </row>
        <row r="485">
          <cell r="A485" t="str">
            <v>PE 264,ED2-PE</v>
          </cell>
          <cell r="B485" t="str">
            <v>PRINCIPLES OF LAND SURVEYING AND HYDROGRAPHIC SCIENCE</v>
          </cell>
          <cell r="C485" t="str">
            <v>Asante Cosmas Yaw</v>
          </cell>
          <cell r="D485">
            <v>95</v>
          </cell>
          <cell r="E485" t="str">
            <v>ED2-PE</v>
          </cell>
          <cell r="F485" t="str">
            <v>PE 264</v>
          </cell>
        </row>
        <row r="486">
          <cell r="A486" t="str">
            <v>PE 350,ED3-PE</v>
          </cell>
          <cell r="B486" t="str">
            <v>NUMERICAL METHODS FOR PETROLEUM ENGINEERS</v>
          </cell>
          <cell r="C486" t="str">
            <v>Sokama-Neuyam Yen Adams</v>
          </cell>
          <cell r="D486">
            <v>80</v>
          </cell>
          <cell r="E486" t="str">
            <v>ED3-PE</v>
          </cell>
          <cell r="F486" t="str">
            <v>PE 350</v>
          </cell>
        </row>
        <row r="487">
          <cell r="A487" t="str">
            <v>PE 352,ED3-PE</v>
          </cell>
          <cell r="B487" t="str">
            <v>PETROLEUM GEOLOGY</v>
          </cell>
          <cell r="C487" t="str">
            <v>Borkloe Julius Kwame</v>
          </cell>
          <cell r="D487">
            <v>80</v>
          </cell>
          <cell r="E487" t="str">
            <v>ED3-PE</v>
          </cell>
          <cell r="F487" t="str">
            <v>PE 352</v>
          </cell>
        </row>
        <row r="488">
          <cell r="A488" t="str">
            <v>PE 354,ED3-PE</v>
          </cell>
          <cell r="B488" t="str">
            <v>DRILLING ENGINEERING II</v>
          </cell>
          <cell r="C488" t="str">
            <v>Erzuah Samuel</v>
          </cell>
          <cell r="D488">
            <v>80</v>
          </cell>
          <cell r="E488" t="str">
            <v>ED3-PE</v>
          </cell>
          <cell r="F488" t="str">
            <v>PE 354</v>
          </cell>
        </row>
        <row r="489">
          <cell r="A489" t="str">
            <v>PE 356,ED3-PE</v>
          </cell>
          <cell r="B489" t="str">
            <v>PETROLEUM ENGINEERING LAB II</v>
          </cell>
          <cell r="C489" t="str">
            <v>Erzuah Samuel</v>
          </cell>
          <cell r="D489">
            <v>80</v>
          </cell>
          <cell r="E489" t="str">
            <v>ED3-PE</v>
          </cell>
          <cell r="F489" t="str">
            <v>PE 356</v>
          </cell>
        </row>
        <row r="490">
          <cell r="A490" t="str">
            <v>PE 358,ED3-PE</v>
          </cell>
          <cell r="B490" t="str">
            <v>PETROLEUM PRODUCTION ENGINEERING II</v>
          </cell>
          <cell r="C490" t="str">
            <v>Sarkodie Kwame</v>
          </cell>
          <cell r="D490">
            <v>80</v>
          </cell>
          <cell r="E490" t="str">
            <v>ED3-PE</v>
          </cell>
          <cell r="F490" t="str">
            <v>PE 358</v>
          </cell>
        </row>
        <row r="491">
          <cell r="A491" t="str">
            <v>PE 360,ED3-PE</v>
          </cell>
          <cell r="B491" t="str">
            <v>WELL TESTING</v>
          </cell>
          <cell r="C491" t="str">
            <v>Adenutsi Caspar Daniel</v>
          </cell>
          <cell r="D491">
            <v>80</v>
          </cell>
          <cell r="E491" t="str">
            <v>ED3-PE</v>
          </cell>
          <cell r="F491" t="str">
            <v>PE 360</v>
          </cell>
        </row>
        <row r="492">
          <cell r="A492" t="str">
            <v>PE 362,ED3-PE</v>
          </cell>
          <cell r="B492" t="str">
            <v>GEOSTATISTICS</v>
          </cell>
          <cell r="C492" t="str">
            <v>Mustapha Hameed</v>
          </cell>
          <cell r="D492">
            <v>80</v>
          </cell>
          <cell r="E492" t="str">
            <v>ED3-PE</v>
          </cell>
          <cell r="F492" t="str">
            <v>PE 362</v>
          </cell>
        </row>
        <row r="493">
          <cell r="A493" t="str">
            <v>PE 364,ED3-PE</v>
          </cell>
          <cell r="B493" t="str">
            <v>OIL &amp; GAS GEOLPHYSICS</v>
          </cell>
          <cell r="C493" t="str">
            <v>Quaye Jonathan Atuquaye</v>
          </cell>
          <cell r="D493">
            <v>80</v>
          </cell>
          <cell r="E493" t="str">
            <v>ED3-PE</v>
          </cell>
          <cell r="F493" t="str">
            <v>PE 364</v>
          </cell>
        </row>
        <row r="494">
          <cell r="A494" t="str">
            <v>PE 366,ED3-PE</v>
          </cell>
          <cell r="B494" t="str">
            <v>HEALTH SAFETY AND ENVIRONMENT</v>
          </cell>
          <cell r="C494" t="str">
            <v>Adjei Stephen</v>
          </cell>
          <cell r="D494">
            <v>80</v>
          </cell>
          <cell r="E494" t="str">
            <v>ED3-PE</v>
          </cell>
          <cell r="F494" t="str">
            <v>PE 366</v>
          </cell>
        </row>
        <row r="495">
          <cell r="A495" t="str">
            <v>PE 450,ED4-PE</v>
          </cell>
          <cell r="B495" t="str">
            <v>RESERVOIR RECOVERY TECHNIQUES</v>
          </cell>
          <cell r="C495" t="str">
            <v>Adenutsi Caspar Daniel</v>
          </cell>
          <cell r="D495">
            <v>99</v>
          </cell>
          <cell r="E495" t="str">
            <v>ED4-PE</v>
          </cell>
          <cell r="F495" t="str">
            <v>PE 450</v>
          </cell>
        </row>
        <row r="496">
          <cell r="A496" t="str">
            <v>PE 452,ED4-PE</v>
          </cell>
          <cell r="B496" t="str">
            <v>PETROLEUM PROJECT EVALUATION</v>
          </cell>
          <cell r="C496" t="str">
            <v>Sarkodie Kwame</v>
          </cell>
          <cell r="D496">
            <v>99</v>
          </cell>
          <cell r="E496" t="str">
            <v>ED4-PE</v>
          </cell>
          <cell r="F496" t="str">
            <v>PE 452</v>
          </cell>
        </row>
        <row r="497">
          <cell r="A497" t="str">
            <v>PE 456,ED4-PE</v>
          </cell>
          <cell r="B497" t="str">
            <v>WELL COMPLETION AND STIMULATION</v>
          </cell>
          <cell r="C497" t="str">
            <v>Erzuah Samuel</v>
          </cell>
          <cell r="D497">
            <v>99</v>
          </cell>
          <cell r="E497" t="str">
            <v>ED4-PE</v>
          </cell>
          <cell r="F497" t="str">
            <v>PE 456</v>
          </cell>
        </row>
        <row r="498">
          <cell r="A498" t="str">
            <v>PE 458,ED4-PE</v>
          </cell>
          <cell r="B498" t="str">
            <v>OILFIELD GEOLCHEMISTRY</v>
          </cell>
          <cell r="C498" t="str">
            <v>Adenutsi Caspar Daniel</v>
          </cell>
          <cell r="D498">
            <v>99</v>
          </cell>
          <cell r="E498" t="str">
            <v>ED4-PE</v>
          </cell>
          <cell r="F498" t="str">
            <v>PE 458</v>
          </cell>
        </row>
        <row r="499">
          <cell r="A499" t="str">
            <v>PE 464,ED4-PE</v>
          </cell>
          <cell r="B499" t="str">
            <v>REFINING PROCESS TECHNOLOGY</v>
          </cell>
          <cell r="C499" t="str">
            <v>Kwao-Boateng Emmanuela</v>
          </cell>
          <cell r="D499">
            <v>99</v>
          </cell>
          <cell r="E499" t="str">
            <v>ED4-PE</v>
          </cell>
          <cell r="F499" t="str">
            <v>PE 464</v>
          </cell>
        </row>
        <row r="500">
          <cell r="A500" t="str">
            <v>PE 466,ED4-PE</v>
          </cell>
          <cell r="B500" t="str">
            <v>FUNDAMENTALS OF PETROLEUM LAW</v>
          </cell>
          <cell r="C500" t="str">
            <v>Amoah Enoch Kwabena</v>
          </cell>
          <cell r="D500">
            <v>99</v>
          </cell>
          <cell r="E500" t="str">
            <v>ED4-PE</v>
          </cell>
          <cell r="F500" t="str">
            <v>PE 466</v>
          </cell>
        </row>
        <row r="501">
          <cell r="A501" t="str">
            <v>PE 468,ED4-PE</v>
          </cell>
          <cell r="B501" t="str">
            <v>PETROLEUM BUSINESS: STRUCTURES, LOGISTICS</v>
          </cell>
          <cell r="C501" t="str">
            <v>Quaye Jonathan Atuquaye</v>
          </cell>
          <cell r="D501">
            <v>77</v>
          </cell>
          <cell r="E501" t="str">
            <v>ED4-PE</v>
          </cell>
          <cell r="F501" t="str">
            <v>PE 468</v>
          </cell>
        </row>
        <row r="502">
          <cell r="A502" t="str">
            <v>PE 472,ED4-PE</v>
          </cell>
          <cell r="B502" t="str">
            <v>NATURAL GAS ENGINEERING II</v>
          </cell>
          <cell r="C502" t="str">
            <v>Sarkodie Kwame</v>
          </cell>
          <cell r="D502">
            <v>99</v>
          </cell>
          <cell r="E502" t="str">
            <v>ED4-PE</v>
          </cell>
          <cell r="F502" t="str">
            <v>PE 472</v>
          </cell>
        </row>
        <row r="503">
          <cell r="A503" t="str">
            <v>PE 474,ED4-PE</v>
          </cell>
          <cell r="B503" t="str">
            <v>PIPELINE ENGINEERING</v>
          </cell>
          <cell r="C503" t="str">
            <v>Adjei Stephen</v>
          </cell>
          <cell r="D503">
            <v>99</v>
          </cell>
          <cell r="E503" t="str">
            <v>ED4-PE</v>
          </cell>
          <cell r="F503" t="str">
            <v>PE 474</v>
          </cell>
        </row>
        <row r="504">
          <cell r="A504" t="str">
            <v>PE 476,ED4-PE</v>
          </cell>
          <cell r="B504" t="str">
            <v>ENERGY AND CLIMATE CHANGE</v>
          </cell>
          <cell r="C504" t="str">
            <v>Sokama-Neuyam Yen Adams</v>
          </cell>
          <cell r="D504">
            <v>22</v>
          </cell>
          <cell r="E504" t="str">
            <v>ED4-PE</v>
          </cell>
          <cell r="F504" t="str">
            <v>PE 476</v>
          </cell>
        </row>
        <row r="505">
          <cell r="A505" t="str">
            <v>EE 152,ED1-TEL</v>
          </cell>
          <cell r="B505" t="str">
            <v>BASIC ELECTRONICS</v>
          </cell>
          <cell r="C505" t="str">
            <v>Affum Emmanuel Ampoma</v>
          </cell>
          <cell r="D505">
            <v>130</v>
          </cell>
          <cell r="E505" t="str">
            <v>ED1-TEL</v>
          </cell>
          <cell r="F505" t="str">
            <v>EE 152</v>
          </cell>
        </row>
        <row r="506">
          <cell r="A506" t="str">
            <v>EE 188,ED1-TEL</v>
          </cell>
          <cell r="B506" t="str">
            <v>ELECTRICAL MEASUREMENT AND INSTRUMENTATION</v>
          </cell>
          <cell r="C506" t="str">
            <v>Obeng Kwakye Kingsford Sarkodie</v>
          </cell>
          <cell r="D506">
            <v>130</v>
          </cell>
          <cell r="E506" t="str">
            <v>ED1-TEL</v>
          </cell>
          <cell r="F506" t="str">
            <v>EE 188</v>
          </cell>
        </row>
        <row r="507">
          <cell r="A507" t="str">
            <v>ENGL 158,ED1-TEL</v>
          </cell>
          <cell r="B507" t="str">
            <v>COMMUNICATION SKILLS II</v>
          </cell>
          <cell r="C507" t="str">
            <v>Alhassan Yakubu</v>
          </cell>
          <cell r="D507">
            <v>130</v>
          </cell>
          <cell r="E507" t="str">
            <v>ED1-TEL</v>
          </cell>
          <cell r="F507" t="str">
            <v>ENGL 158</v>
          </cell>
        </row>
        <row r="508">
          <cell r="A508" t="str">
            <v>MATH 152,ED1-TEL</v>
          </cell>
          <cell r="B508" t="str">
            <v>CALCULUS WITH ANALYSIS</v>
          </cell>
          <cell r="C508" t="str">
            <v>Lawton Adu-Ansah</v>
          </cell>
          <cell r="D508">
            <v>130</v>
          </cell>
          <cell r="E508" t="str">
            <v>ED1-TEL</v>
          </cell>
          <cell r="F508" t="str">
            <v>MATH 152</v>
          </cell>
        </row>
        <row r="509">
          <cell r="A509" t="str">
            <v>PSYC 154,ED1-TEL</v>
          </cell>
          <cell r="B509" t="str">
            <v>INTRODUCTION TO PSYCHOLOGY</v>
          </cell>
          <cell r="C509" t="str">
            <v>Sarfo Fordjour Elizabeth Anokyewaa</v>
          </cell>
          <cell r="D509">
            <v>130</v>
          </cell>
          <cell r="E509" t="str">
            <v>ED1-TEL</v>
          </cell>
          <cell r="F509" t="str">
            <v>PSYC 154</v>
          </cell>
        </row>
        <row r="510">
          <cell r="A510" t="str">
            <v>TE 152,ED1-TEL</v>
          </cell>
          <cell r="B510" t="str">
            <v>ENGINEERING RESEARCH AND TECHNICAL REPORT WRITING</v>
          </cell>
          <cell r="C510" t="str">
            <v>Obeng Kwakye Kingsford Sarkodie</v>
          </cell>
          <cell r="D510">
            <v>130</v>
          </cell>
          <cell r="E510" t="str">
            <v>ED1-TEL</v>
          </cell>
          <cell r="F510" t="str">
            <v>TE 152</v>
          </cell>
        </row>
        <row r="511">
          <cell r="A511" t="str">
            <v>TE 156,ED1-TEL</v>
          </cell>
          <cell r="B511" t="str">
            <v>INTRODUCTION TO COMMUNICATION NETWORKS</v>
          </cell>
          <cell r="C511" t="str">
            <v>Agyemang Justice Owusu</v>
          </cell>
          <cell r="D511">
            <v>130</v>
          </cell>
          <cell r="E511" t="str">
            <v>ED1-TEL</v>
          </cell>
          <cell r="F511" t="str">
            <v>TE 156</v>
          </cell>
        </row>
        <row r="512">
          <cell r="A512" t="str">
            <v>TE 158,ED1-TEL</v>
          </cell>
          <cell r="B512" t="str">
            <v>INTRODUCTION TO PROGRAMMING - I</v>
          </cell>
          <cell r="C512" t="str">
            <v>Agyemang Justice Owusu</v>
          </cell>
          <cell r="D512">
            <v>130</v>
          </cell>
          <cell r="E512" t="str">
            <v>ED1-TEL</v>
          </cell>
          <cell r="F512" t="str">
            <v>TE 158</v>
          </cell>
        </row>
        <row r="513">
          <cell r="A513" t="str">
            <v>ACF 256,ED2-TEL</v>
          </cell>
          <cell r="B513" t="str">
            <v>FINANCIAL ACCOUNTING II</v>
          </cell>
          <cell r="C513" t="str">
            <v>Yeboah Edward</v>
          </cell>
          <cell r="D513">
            <v>40</v>
          </cell>
          <cell r="E513" t="str">
            <v>ED2-TEL</v>
          </cell>
          <cell r="F513" t="str">
            <v>ACF 256</v>
          </cell>
        </row>
        <row r="514">
          <cell r="A514" t="str">
            <v>ECON 152,ED2-TEL</v>
          </cell>
          <cell r="B514" t="str">
            <v>INTRODUCTORY ECONOMICS II</v>
          </cell>
          <cell r="C514" t="str">
            <v>Takyi Paul Owusu</v>
          </cell>
          <cell r="D514">
            <v>30</v>
          </cell>
          <cell r="E514" t="str">
            <v>ED2-TEL</v>
          </cell>
          <cell r="F514" t="str">
            <v>ECON 152</v>
          </cell>
        </row>
        <row r="515">
          <cell r="A515" t="str">
            <v>FC 182,ED2-TEL</v>
          </cell>
          <cell r="B515" t="str">
            <v>FRENCH FOR COMMUNICATION II</v>
          </cell>
          <cell r="C515" t="str">
            <v>Boakye-Agyeman Candy</v>
          </cell>
          <cell r="D515">
            <v>103</v>
          </cell>
          <cell r="E515" t="str">
            <v>ED2-TEL</v>
          </cell>
          <cell r="F515" t="str">
            <v>FC 182</v>
          </cell>
        </row>
        <row r="516">
          <cell r="A516" t="str">
            <v>MATH 252,ED2-TEL</v>
          </cell>
          <cell r="B516" t="str">
            <v>CALCULUS WITH SEVERAL VARIABLES</v>
          </cell>
          <cell r="C516" t="str">
            <v>Wireko Fredrick Asenso</v>
          </cell>
          <cell r="D516">
            <v>175</v>
          </cell>
          <cell r="E516" t="str">
            <v>ED2-TEL</v>
          </cell>
          <cell r="F516" t="str">
            <v>MATH 252</v>
          </cell>
        </row>
        <row r="517">
          <cell r="A517" t="str">
            <v>TE 252,ED2-TEL</v>
          </cell>
          <cell r="B517" t="str">
            <v>FUNDAMENTALS OF DATA SCIENCE</v>
          </cell>
          <cell r="C517" t="str">
            <v>Obour Agyekum Kwame Opuni-Boachie</v>
          </cell>
          <cell r="D517">
            <v>175</v>
          </cell>
          <cell r="E517" t="str">
            <v>ED2-TEL</v>
          </cell>
          <cell r="F517" t="str">
            <v>TE 252</v>
          </cell>
        </row>
        <row r="518">
          <cell r="A518" t="str">
            <v>TE 254,ED2-TEL</v>
          </cell>
          <cell r="B518" t="str">
            <v>ELECTROMAGNETIC FIELD THEORY</v>
          </cell>
          <cell r="C518" t="str">
            <v>Kwame Oteng Gyasi</v>
          </cell>
          <cell r="D518">
            <v>175</v>
          </cell>
          <cell r="E518" t="str">
            <v>ED2-TEL</v>
          </cell>
          <cell r="F518" t="str">
            <v>TE 254</v>
          </cell>
        </row>
        <row r="519">
          <cell r="A519" t="str">
            <v>TE 256,ED2-TEL</v>
          </cell>
          <cell r="B519" t="str">
            <v>COMMUNICATION CIRCUITS</v>
          </cell>
          <cell r="C519" t="str">
            <v>Abdul-Rahman Ahmed</v>
          </cell>
          <cell r="D519">
            <v>175</v>
          </cell>
          <cell r="E519" t="str">
            <v>ED2-TEL</v>
          </cell>
          <cell r="F519" t="str">
            <v>TE 256</v>
          </cell>
        </row>
        <row r="520">
          <cell r="A520" t="str">
            <v>TE 258,ED2-TEL</v>
          </cell>
          <cell r="B520" t="str">
            <v>MICROPROCESSORS</v>
          </cell>
          <cell r="C520" t="str">
            <v>Agyemang Justice Owusu</v>
          </cell>
          <cell r="D520">
            <v>175</v>
          </cell>
          <cell r="E520" t="str">
            <v>ED2-TEL</v>
          </cell>
          <cell r="F520" t="str">
            <v>TE 258</v>
          </cell>
        </row>
        <row r="521">
          <cell r="A521" t="str">
            <v>TE 292,ED2-TEL</v>
          </cell>
          <cell r="B521" t="str">
            <v>DIGITAL ELECTRONICS AND MICROPROCESSORS LAB</v>
          </cell>
          <cell r="C521" t="str">
            <v>Obour Agyekum Kwame Opuni-Boachie</v>
          </cell>
          <cell r="D521">
            <v>175</v>
          </cell>
          <cell r="E521" t="str">
            <v>ED2-TEL</v>
          </cell>
          <cell r="F521" t="str">
            <v>TE 292</v>
          </cell>
        </row>
        <row r="522">
          <cell r="A522" t="str">
            <v>TE 374,ED3-TEL</v>
          </cell>
          <cell r="B522" t="str">
            <v>COMPUTER NETWORKING</v>
          </cell>
          <cell r="C522" t="str">
            <v>Kwasi Adu-Boahen Opare</v>
          </cell>
          <cell r="D522">
            <v>140</v>
          </cell>
          <cell r="E522" t="str">
            <v>ED3-TEL</v>
          </cell>
          <cell r="F522" t="str">
            <v>TE 374</v>
          </cell>
        </row>
        <row r="523">
          <cell r="A523" t="str">
            <v>TE 354,ED3-TEL</v>
          </cell>
          <cell r="B523" t="str">
            <v>ANTENNA THEORY AND DESIGN</v>
          </cell>
          <cell r="C523" t="str">
            <v>Ellis Sani Mubarak</v>
          </cell>
          <cell r="D523">
            <v>140</v>
          </cell>
          <cell r="E523" t="str">
            <v>ED3-TEL</v>
          </cell>
          <cell r="F523" t="str">
            <v>TE 354</v>
          </cell>
        </row>
        <row r="524">
          <cell r="A524" t="str">
            <v>TE 372,ED3-TEL</v>
          </cell>
          <cell r="B524" t="str">
            <v>ENGINEERING PROJECT DESIGN AND MANAGEMENT</v>
          </cell>
          <cell r="C524" t="str">
            <v>Agyekum Kwame Agyeman-Prempeh</v>
          </cell>
          <cell r="D524">
            <v>140</v>
          </cell>
          <cell r="E524" t="str">
            <v>ED3-TEL</v>
          </cell>
          <cell r="F524" t="str">
            <v>TE 372</v>
          </cell>
        </row>
        <row r="525">
          <cell r="A525" t="str">
            <v>TE 352,ED3-TEL</v>
          </cell>
          <cell r="B525" t="str">
            <v>DATA COMMUNICATION PRINCIPLES</v>
          </cell>
          <cell r="C525" t="str">
            <v>Gadze James Dzisi</v>
          </cell>
          <cell r="D525">
            <v>140</v>
          </cell>
          <cell r="E525" t="str">
            <v>ED3-TEL</v>
          </cell>
          <cell r="F525" t="str">
            <v>TE 352</v>
          </cell>
        </row>
        <row r="526">
          <cell r="A526" t="str">
            <v>TE 356,ED3-TEL</v>
          </cell>
          <cell r="B526" t="str">
            <v>SWITCHING ENGINEERING IN COMMUNICATION</v>
          </cell>
          <cell r="C526" t="str">
            <v>Agyekum Kwame Agyeman-Prempeh</v>
          </cell>
          <cell r="D526">
            <v>140</v>
          </cell>
          <cell r="E526" t="str">
            <v>ED3-TEL</v>
          </cell>
          <cell r="F526" t="str">
            <v>TE 356</v>
          </cell>
        </row>
        <row r="527">
          <cell r="A527" t="str">
            <v>TE 358,ED3-TEL</v>
          </cell>
          <cell r="B527" t="str">
            <v>DIGITAL COMMUNICATION SYSTEMS</v>
          </cell>
          <cell r="C527" t="str">
            <v>Affum Emmanuel Ampoma</v>
          </cell>
          <cell r="D527">
            <v>140</v>
          </cell>
          <cell r="E527" t="str">
            <v>ED3-TEL</v>
          </cell>
          <cell r="F527" t="str">
            <v>TE 358</v>
          </cell>
        </row>
        <row r="528">
          <cell r="A528" t="str">
            <v>TE 392,ED3-TEL</v>
          </cell>
          <cell r="B528" t="str">
            <v xml:space="preserve">COMMUNICATION SYSTEMS LAB </v>
          </cell>
          <cell r="C528" t="str">
            <v>Agyekum Kwame Agyeman-Prempeh</v>
          </cell>
          <cell r="D528">
            <v>140</v>
          </cell>
          <cell r="E528" t="str">
            <v>ED3-TEL</v>
          </cell>
          <cell r="F528" t="str">
            <v>TE 392</v>
          </cell>
        </row>
        <row r="529">
          <cell r="A529" t="str">
            <v>TE 454,ED4-TEL</v>
          </cell>
          <cell r="B529" t="str">
            <v>DIGITAL SIGNAL PROCESSING</v>
          </cell>
          <cell r="C529" t="str">
            <v>Kponyo Jerry John</v>
          </cell>
          <cell r="D529">
            <v>138</v>
          </cell>
          <cell r="E529" t="str">
            <v>ED4-TEL</v>
          </cell>
          <cell r="F529" t="str">
            <v>TE 454</v>
          </cell>
        </row>
        <row r="530">
          <cell r="A530" t="str">
            <v>ME 492,ED4-TEL</v>
          </cell>
          <cell r="B530" t="str">
            <v>MANAGEMENT AND ENTREPRENEURSHIP DEVELOPMENT</v>
          </cell>
          <cell r="C530" t="str">
            <v>Intsiful Araba Kwegyirba</v>
          </cell>
          <cell r="D530">
            <v>138</v>
          </cell>
          <cell r="E530" t="str">
            <v>ED4-TEL</v>
          </cell>
          <cell r="F530" t="str">
            <v>ME 492</v>
          </cell>
        </row>
        <row r="531">
          <cell r="A531" t="str">
            <v>TE 452,ED4-TEL</v>
          </cell>
          <cell r="B531" t="str">
            <v>TELECOMMUNICATION POLICY AND REGULATION</v>
          </cell>
          <cell r="C531" t="str">
            <v>Kingsford Sarkodie Obeng Kwakye</v>
          </cell>
          <cell r="D531">
            <v>138</v>
          </cell>
          <cell r="E531" t="str">
            <v>ED4-TEL</v>
          </cell>
          <cell r="F531" t="str">
            <v>TE 452</v>
          </cell>
        </row>
        <row r="532">
          <cell r="A532" t="str">
            <v>TE 456,ED4-TEL</v>
          </cell>
          <cell r="B532" t="str">
            <v>SATELLITE COMMUNICATION AND NAVIGATION SYSTEMS</v>
          </cell>
          <cell r="C532" t="str">
            <v>Gadze James Dzisi</v>
          </cell>
          <cell r="D532">
            <v>138</v>
          </cell>
          <cell r="E532" t="str">
            <v>ED4-TEL</v>
          </cell>
          <cell r="F532" t="str">
            <v>TE 456</v>
          </cell>
        </row>
        <row r="533">
          <cell r="A533" t="str">
            <v>TE 458,ED4-TEL</v>
          </cell>
          <cell r="B533" t="str">
            <v>NETWORK PLANNING AND OPTIMIZATION</v>
          </cell>
          <cell r="C533" t="str">
            <v>Kwasi Adu-Boahen Opare</v>
          </cell>
          <cell r="D533">
            <v>138</v>
          </cell>
          <cell r="E533" t="str">
            <v>ED4-TEL</v>
          </cell>
          <cell r="F533" t="str">
            <v>TE 458</v>
          </cell>
        </row>
        <row r="534">
          <cell r="A534" t="str">
            <v>TE 464,ED4-TEL</v>
          </cell>
          <cell r="B534" t="str">
            <v>RADAR COMMUNICATIONS</v>
          </cell>
          <cell r="C534" t="str">
            <v>ELLis Sani Mubarak</v>
          </cell>
          <cell r="D534">
            <v>105</v>
          </cell>
          <cell r="E534" t="str">
            <v>ED4-TEL</v>
          </cell>
          <cell r="F534" t="str">
            <v>TE 464</v>
          </cell>
        </row>
        <row r="535">
          <cell r="A535" t="str">
            <v>TE 468,ED4-TEL</v>
          </cell>
          <cell r="B535" t="str">
            <v>MILLIMETERWAVE TECHNOLOGY</v>
          </cell>
          <cell r="C535" t="str">
            <v>Abdul-Rahman Ahmed</v>
          </cell>
          <cell r="D535">
            <v>33</v>
          </cell>
          <cell r="E535" t="str">
            <v>ED4-TEL</v>
          </cell>
          <cell r="F535" t="str">
            <v>TE 468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2)"/>
      <sheetName val="TT"/>
      <sheetName val="TT (Values)"/>
      <sheetName val="Sheet2"/>
      <sheetName val="FREQ"/>
      <sheetName val="TALLY"/>
      <sheetName val="ROOMS"/>
      <sheetName val="WATER"/>
      <sheetName val="SESSIONS"/>
      <sheetName val="COURSES"/>
      <sheetName val="TEO_fred"/>
      <sheetName val="Collection_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heet3"/>
      <sheetName val="tt_rm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 refreshError="1"/>
      <sheetData sheetId="1" refreshError="1">
        <row r="1">
          <cell r="I1" t="str">
            <v>Monday, 7 August 2023,,</v>
          </cell>
        </row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9">
          <cell r="D19" t="str">
            <v>CLASS</v>
          </cell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67">
          <cell r="D67" t="str">
            <v>CLASS</v>
          </cell>
        </row>
        <row r="83">
          <cell r="D83" t="str">
            <v>CLASS</v>
          </cell>
        </row>
        <row r="84">
          <cell r="D84" t="str">
            <v>ED3-PCE</v>
          </cell>
        </row>
        <row r="99">
          <cell r="D99" t="str">
            <v>CLASS</v>
          </cell>
        </row>
        <row r="100">
          <cell r="D100" t="str">
            <v>ED3-GEOL</v>
          </cell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31">
          <cell r="D131" t="str">
            <v>CLASS</v>
          </cell>
        </row>
        <row r="132">
          <cell r="D132" t="str">
            <v>ED3-IND</v>
          </cell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78">
          <cell r="D178" t="str">
            <v>Total H1-2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0">
          <cell r="D200" t="str">
            <v>Total H1-3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19">
          <cell r="D219" t="str">
            <v>Total F1-1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39">
          <cell r="D239" t="str">
            <v>Total F1-2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1">
          <cell r="D261" t="str">
            <v>Total F1-3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85">
          <cell r="D285" t="str">
            <v>Total M2-1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05">
          <cell r="D305" t="str">
            <v>Total M2-2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25">
          <cell r="D325" t="str">
            <v>Total M2-3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46">
          <cell r="D346" t="str">
            <v>Total T2-1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65">
          <cell r="D365" t="str">
            <v>Total T2-2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1">
          <cell r="D381" t="str">
            <v>Total T2-3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05">
          <cell r="D405" t="str">
            <v>Total W2-1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4">
          <cell r="D424" t="str">
            <v>Total W2-2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4">
          <cell r="D444" t="str">
            <v>Total W2-3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4">
          <cell r="D464" t="str">
            <v>Total H2-1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0">
          <cell r="D480" t="str">
            <v>Total H2-2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497">
          <cell r="D497" t="str">
            <v>Total H2-3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0">
          <cell r="D520" t="str">
            <v>Total F2-1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36">
          <cell r="D536" t="str">
            <v>Total F2-2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59">
          <cell r="D559" t="str">
            <v>Total F2-3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77">
          <cell r="D577" t="str">
            <v>Total M3-1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595">
          <cell r="D595" t="str">
            <v>Total M3-2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1">
          <cell r="D621" t="str">
            <v>Total M3-3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2">
          <cell r="D642" t="str">
            <v>Total T3-1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59">
          <cell r="D659" t="str">
            <v>Total T3-2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0">
          <cell r="D680" t="str">
            <v>Total T3-3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696">
          <cell r="D696" t="str">
            <v>Total W3-1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16">
          <cell r="D716" t="str">
            <v>Total W3-2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38">
          <cell r="D738" t="str">
            <v>Total W3-3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0">
          <cell r="D760" t="str">
            <v>Total H3-1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75">
          <cell r="D775" t="str">
            <v>Total H3-2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795">
          <cell r="D795" t="str">
            <v>Total H3-3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17">
          <cell r="D817" t="str">
            <v>Total F3-1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36">
          <cell r="D836" t="str">
            <v>Total F3-2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  <row r="858">
          <cell r="D858" t="str">
            <v>Total F3-3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"/>
      <sheetName val="TALLY"/>
      <sheetName val="Tally sheet(TAs)"/>
      <sheetName val="WATER (2)"/>
      <sheetName val="TT (Values)"/>
      <sheetName val="FREQ"/>
      <sheetName val="ROOMS"/>
      <sheetName val="ROOMS (2)"/>
      <sheetName val="SESSIONS"/>
      <sheetName val="COURSES"/>
      <sheetName val="TEO_fred"/>
    </sheetNames>
    <sheetDataSet>
      <sheetData sheetId="0">
        <row r="3">
          <cell r="D3" t="str">
            <v>CLASS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1420</v>
          </cell>
        </row>
      </sheetData>
      <sheetData sheetId="6" refreshError="1"/>
      <sheetData sheetId="7" refreshError="1"/>
      <sheetData sheetId="8">
        <row r="1">
          <cell r="K1" t="str">
            <v>Session, 1 (8:15 AM - 9:15 AM)</v>
          </cell>
        </row>
        <row r="2">
          <cell r="K2" t="str">
            <v>Session, 2 (10:00 AM - 11:00 AM)</v>
          </cell>
        </row>
        <row r="3">
          <cell r="K3" t="str">
            <v>Session, 3 (11:45 AM - 12:45 PM)</v>
          </cell>
        </row>
        <row r="4">
          <cell r="K4" t="str">
            <v>Session, 4 (1:30 PM - 2:30 PM)</v>
          </cell>
        </row>
        <row r="5">
          <cell r="K5" t="str">
            <v>Session, 5 (3:15 PM - 4:15 PM)</v>
          </cell>
        </row>
        <row r="6">
          <cell r="K6" t="str">
            <v>Session, 6 (5:00 PM - 6:00 PM)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D5FE-CC2C-4E85-B8E3-4026A0ED8F08}">
  <sheetPr>
    <pageSetUpPr fitToPage="1"/>
  </sheetPr>
  <dimension ref="A1:J655"/>
  <sheetViews>
    <sheetView showWhiteSpace="0" view="pageBreakPreview" topLeftCell="B2" zoomScaleNormal="100" zoomScaleSheetLayoutView="100" zoomScalePageLayoutView="90" workbookViewId="0">
      <selection activeCell="A3" sqref="A1:H1048576"/>
    </sheetView>
  </sheetViews>
  <sheetFormatPr defaultColWidth="8.81640625" defaultRowHeight="14.5" x14ac:dyDescent="0.35"/>
  <cols>
    <col min="1" max="1" width="9.7265625" bestFit="1" customWidth="1"/>
    <col min="2" max="2" width="71.81640625" bestFit="1" customWidth="1"/>
    <col min="3" max="3" width="46.54296875" style="4" customWidth="1"/>
    <col min="4" max="4" width="10.54296875" bestFit="1" customWidth="1"/>
    <col min="5" max="5" width="8.453125" bestFit="1" customWidth="1"/>
    <col min="6" max="6" width="58" style="3" customWidth="1"/>
    <col min="7" max="7" width="9.453125" style="2" customWidth="1"/>
    <col min="8" max="8" width="36.26953125" style="1" customWidth="1"/>
    <col min="9" max="9" width="37.453125" customWidth="1"/>
    <col min="10" max="10" width="46.81640625" customWidth="1"/>
  </cols>
  <sheetData>
    <row r="1" spans="1:10" ht="19.5" customHeight="1" x14ac:dyDescent="0.35">
      <c r="A1" s="93" t="s">
        <v>784</v>
      </c>
      <c r="B1" s="93"/>
      <c r="C1" s="93"/>
      <c r="D1" s="93"/>
      <c r="E1" s="93"/>
      <c r="F1" s="93"/>
      <c r="G1" s="93"/>
      <c r="H1" s="19"/>
      <c r="I1" t="str">
        <f t="shared" ref="I1:I26" si="0">CONCATENATE(A1,",",D1)</f>
        <v>Monday, 6 July 2026,</v>
      </c>
      <c r="J1" s="27"/>
    </row>
    <row r="2" spans="1:10" x14ac:dyDescent="0.35">
      <c r="A2" s="82" t="str">
        <f>[3]SESSIONS!$K$1</f>
        <v>Session, 1 (8:15 AM - 9:15 AM)</v>
      </c>
      <c r="B2" s="83"/>
      <c r="C2" s="83"/>
      <c r="D2" s="83"/>
      <c r="E2" s="83"/>
      <c r="F2" s="83"/>
      <c r="G2" s="84"/>
      <c r="H2" s="19"/>
      <c r="I2" t="str">
        <f t="shared" si="0"/>
        <v>Session, 1 (8:15 AM - 9:15 AM),</v>
      </c>
      <c r="J2" s="27"/>
    </row>
    <row r="3" spans="1:10" s="52" customFormat="1" x14ac:dyDescent="0.35">
      <c r="A3" s="22" t="s">
        <v>52</v>
      </c>
      <c r="B3" s="22" t="s">
        <v>51</v>
      </c>
      <c r="C3" s="31" t="s">
        <v>50</v>
      </c>
      <c r="D3" s="22" t="s">
        <v>49</v>
      </c>
      <c r="E3" s="22" t="s">
        <v>48</v>
      </c>
      <c r="F3" s="39"/>
      <c r="G3" s="20" t="s">
        <v>46</v>
      </c>
      <c r="H3" s="19"/>
      <c r="I3" t="str">
        <f t="shared" si="0"/>
        <v>CODE ,CLASS</v>
      </c>
      <c r="J3" s="27"/>
    </row>
    <row r="4" spans="1:10" s="52" customFormat="1" x14ac:dyDescent="0.35">
      <c r="A4" s="11" t="s">
        <v>865</v>
      </c>
      <c r="B4" s="11" t="str" cm="1">
        <f t="array" ref="B4:B24">IFERROR(VLOOKUP(I4:I24,[1]Lectures_1!A2:F535,2,FALSE),0)</f>
        <v>COMMUNICATION SKILLS II</v>
      </c>
      <c r="C4" s="7" t="str" cm="1">
        <f t="array" ref="C4:C24">IFERROR(VLOOKUP(I4:I24,[1]Lectures_1!A2:F535,3,FALSE),0)</f>
        <v>Yeboah Philomena Ama Okyeso</v>
      </c>
      <c r="D4" s="11" t="s">
        <v>277</v>
      </c>
      <c r="E4" s="11" cm="1">
        <f t="array" ref="E4:E24">IFERROR(VLOOKUP(I4:I24,[1]Lectures_1!A2:F535,4,FALSE),0)</f>
        <v>70</v>
      </c>
      <c r="F4" s="85" t="s">
        <v>225</v>
      </c>
      <c r="G4" s="9">
        <f t="shared" ref="G4:G24" si="1">E4*1.09</f>
        <v>76.300000000000011</v>
      </c>
      <c r="H4" s="8"/>
      <c r="I4" t="str">
        <f t="shared" si="0"/>
        <v>ENGL 158,ED1-AERO</v>
      </c>
      <c r="J4" s="27"/>
    </row>
    <row r="5" spans="1:10" x14ac:dyDescent="0.35">
      <c r="A5" s="11" t="s">
        <v>865</v>
      </c>
      <c r="B5" s="11" t="str">
        <v>COMMUNICATION SKILLS II</v>
      </c>
      <c r="C5" s="7" t="str">
        <v>Yeboah Philomena Ama Okyeso</v>
      </c>
      <c r="D5" s="11" t="s">
        <v>180</v>
      </c>
      <c r="E5" s="11">
        <v>128</v>
      </c>
      <c r="F5" s="86"/>
      <c r="G5" s="9">
        <f t="shared" si="1"/>
        <v>139.52000000000001</v>
      </c>
      <c r="H5" s="8"/>
      <c r="I5" t="str">
        <f t="shared" si="0"/>
        <v>ENGL 158,ED1-AE</v>
      </c>
      <c r="J5" s="27"/>
    </row>
    <row r="6" spans="1:10" x14ac:dyDescent="0.35">
      <c r="A6" s="11" t="s">
        <v>865</v>
      </c>
      <c r="B6" s="11" t="str">
        <v>COMMUNICATION SKILLS II</v>
      </c>
      <c r="C6" s="7" t="str">
        <v>Yeboah Philomena Ama Okyeso</v>
      </c>
      <c r="D6" s="11" t="s">
        <v>18</v>
      </c>
      <c r="E6" s="11">
        <v>136</v>
      </c>
      <c r="F6" s="86"/>
      <c r="G6" s="9">
        <f t="shared" si="1"/>
        <v>148.24</v>
      </c>
      <c r="H6" s="8"/>
      <c r="I6" t="str">
        <f t="shared" si="0"/>
        <v>ENGL 158,ED1-BME</v>
      </c>
      <c r="J6" s="27"/>
    </row>
    <row r="7" spans="1:10" x14ac:dyDescent="0.35">
      <c r="A7" s="11" t="s">
        <v>865</v>
      </c>
      <c r="B7" s="11" t="str">
        <v>COMMUNICATION  SKILLS II</v>
      </c>
      <c r="C7" s="7" t="str">
        <v>Yeboah Philomena Ama Okyeso</v>
      </c>
      <c r="D7" s="11" t="s">
        <v>61</v>
      </c>
      <c r="E7" s="11">
        <v>120</v>
      </c>
      <c r="F7" s="86"/>
      <c r="G7" s="9">
        <f t="shared" si="1"/>
        <v>130.80000000000001</v>
      </c>
      <c r="H7" s="8"/>
      <c r="I7" t="str">
        <f t="shared" si="0"/>
        <v>ENGL 158,ED1-CHE</v>
      </c>
      <c r="J7" s="27"/>
    </row>
    <row r="8" spans="1:10" x14ac:dyDescent="0.35">
      <c r="A8" s="11" t="s">
        <v>865</v>
      </c>
      <c r="B8" s="11" t="str">
        <v>COMMUNICATION SKILLS II</v>
      </c>
      <c r="C8" s="7" t="str">
        <v>Bernard Ampong</v>
      </c>
      <c r="D8" s="11" t="s">
        <v>40</v>
      </c>
      <c r="E8" s="11">
        <v>262</v>
      </c>
      <c r="F8" s="86"/>
      <c r="G8" s="9">
        <f t="shared" si="1"/>
        <v>285.58000000000004</v>
      </c>
      <c r="H8" s="8"/>
      <c r="I8" t="str">
        <f t="shared" si="0"/>
        <v>ENGL 158,ED1-COE</v>
      </c>
      <c r="J8" s="27"/>
    </row>
    <row r="9" spans="1:10" x14ac:dyDescent="0.35">
      <c r="A9" s="11" t="s">
        <v>865</v>
      </c>
      <c r="B9" s="11" t="str">
        <v>COMMUNICATION SKILLS II</v>
      </c>
      <c r="C9" s="7" t="str">
        <v>Yeboah Philomena Ama Okyeso</v>
      </c>
      <c r="D9" s="11" t="s">
        <v>260</v>
      </c>
      <c r="E9" s="11">
        <v>83</v>
      </c>
      <c r="F9" s="86"/>
      <c r="G9" s="9">
        <f t="shared" si="1"/>
        <v>90.470000000000013</v>
      </c>
      <c r="H9" s="8"/>
      <c r="I9" t="str">
        <f t="shared" si="0"/>
        <v>ENGL 158,ED1-IND</v>
      </c>
      <c r="J9" s="27"/>
    </row>
    <row r="10" spans="1:10" x14ac:dyDescent="0.35">
      <c r="A10" s="11" t="s">
        <v>865</v>
      </c>
      <c r="B10" s="11" t="str">
        <v>COMMUNICATION SKILLS II</v>
      </c>
      <c r="C10" s="7" t="str">
        <v>Patricia Gustafson-Asamoah</v>
      </c>
      <c r="D10" s="11" t="s">
        <v>96</v>
      </c>
      <c r="E10" s="11">
        <v>245</v>
      </c>
      <c r="F10" s="90"/>
      <c r="G10" s="9">
        <f t="shared" si="1"/>
        <v>267.05</v>
      </c>
      <c r="H10" s="8"/>
      <c r="I10" t="str">
        <f t="shared" si="0"/>
        <v>ENGL 158,ED1-CE</v>
      </c>
      <c r="J10" s="27"/>
    </row>
    <row r="11" spans="1:10" x14ac:dyDescent="0.35">
      <c r="A11" s="11" t="s">
        <v>923</v>
      </c>
      <c r="B11" s="11" t="str">
        <v>PRINCIPLES OF SURVEYING</v>
      </c>
      <c r="C11" s="7" t="str">
        <v>Akwasi Afrifa Acheampong</v>
      </c>
      <c r="D11" s="2" t="s">
        <v>222</v>
      </c>
      <c r="E11" s="11">
        <v>155</v>
      </c>
      <c r="F11" s="12" t="s">
        <v>922</v>
      </c>
      <c r="G11" s="9">
        <f t="shared" si="1"/>
        <v>168.95000000000002</v>
      </c>
      <c r="H11" s="75" t="s">
        <v>921</v>
      </c>
      <c r="I11" t="str">
        <f t="shared" si="0"/>
        <v>GE 286,ED2-AE</v>
      </c>
      <c r="J11" s="27"/>
    </row>
    <row r="12" spans="1:10" x14ac:dyDescent="0.35">
      <c r="A12" s="11" t="s">
        <v>920</v>
      </c>
      <c r="B12" s="11" t="str">
        <v>PRINCIPLES OF LAND SURVEYING AND HYDROGRAPHIC SCIENCE</v>
      </c>
      <c r="C12" s="7" t="str">
        <v>Asante Cosmas Yaw</v>
      </c>
      <c r="D12" s="33" t="s">
        <v>224</v>
      </c>
      <c r="E12" s="11">
        <v>95</v>
      </c>
      <c r="F12" s="51" t="s">
        <v>98</v>
      </c>
      <c r="G12" s="9">
        <f t="shared" si="1"/>
        <v>103.55000000000001</v>
      </c>
      <c r="H12" s="75" t="s">
        <v>645</v>
      </c>
      <c r="I12" t="str">
        <f t="shared" si="0"/>
        <v>PE 264,ED2-PE</v>
      </c>
      <c r="J12" s="27"/>
    </row>
    <row r="13" spans="1:10" x14ac:dyDescent="0.35">
      <c r="A13" s="11" t="s">
        <v>919</v>
      </c>
      <c r="B13" s="11" t="str">
        <v>SOIL AND ROCKS MECHANICS LABORATORY</v>
      </c>
      <c r="C13" s="7" t="str">
        <v>Dzikunu-Bansah Nancy Anataba Kyorku</v>
      </c>
      <c r="D13" s="11" t="s">
        <v>15</v>
      </c>
      <c r="E13" s="11">
        <v>250</v>
      </c>
      <c r="F13" s="24" t="s">
        <v>376</v>
      </c>
      <c r="G13" s="9">
        <f t="shared" si="1"/>
        <v>272.5</v>
      </c>
      <c r="H13" s="75" t="s">
        <v>918</v>
      </c>
      <c r="I13" t="str">
        <f t="shared" si="0"/>
        <v>CE 262,ED2-CE</v>
      </c>
      <c r="J13" s="27"/>
    </row>
    <row r="14" spans="1:10" x14ac:dyDescent="0.35">
      <c r="A14" s="11" t="s">
        <v>917</v>
      </c>
      <c r="B14" s="11" t="str">
        <v>CONSTRUCTION MANAGEMENT</v>
      </c>
      <c r="C14" s="7" t="str">
        <v>Obeng Daniel Atuah</v>
      </c>
      <c r="D14" s="11" t="s">
        <v>7</v>
      </c>
      <c r="E14" s="11">
        <v>240</v>
      </c>
      <c r="F14" s="12" t="s">
        <v>838</v>
      </c>
      <c r="G14" s="9">
        <f t="shared" si="1"/>
        <v>261.60000000000002</v>
      </c>
      <c r="H14" s="75" t="s">
        <v>916</v>
      </c>
      <c r="I14" t="str">
        <f t="shared" si="0"/>
        <v>CE 462,ED4-CE</v>
      </c>
      <c r="J14" s="27"/>
    </row>
    <row r="15" spans="1:10" x14ac:dyDescent="0.35">
      <c r="A15" s="11" t="s">
        <v>915</v>
      </c>
      <c r="B15" s="11" t="str">
        <v>AERODYNAMICS II</v>
      </c>
      <c r="C15" s="7" t="str">
        <v>Bofah Kwasi Kete</v>
      </c>
      <c r="D15" s="11" t="s">
        <v>71</v>
      </c>
      <c r="E15" s="11">
        <v>61</v>
      </c>
      <c r="F15" s="12" t="s">
        <v>914</v>
      </c>
      <c r="G15" s="9">
        <f t="shared" si="1"/>
        <v>66.490000000000009</v>
      </c>
      <c r="H15" s="75" t="s">
        <v>913</v>
      </c>
      <c r="I15" t="str">
        <f t="shared" si="0"/>
        <v>AERO 452,ED4-AERO</v>
      </c>
      <c r="J15" s="27"/>
    </row>
    <row r="16" spans="1:10" ht="15.75" customHeight="1" x14ac:dyDescent="0.35">
      <c r="A16" s="11" t="s">
        <v>912</v>
      </c>
      <c r="B16" s="11" t="str">
        <v>AUTOMOTIVE SPARK-IGNITION ENGINES</v>
      </c>
      <c r="C16" s="7" t="str">
        <v>Abu Frimpong Solomon</v>
      </c>
      <c r="D16" s="11" t="s">
        <v>64</v>
      </c>
      <c r="E16" s="11">
        <v>40</v>
      </c>
      <c r="F16" s="12" t="s">
        <v>822</v>
      </c>
      <c r="G16" s="9">
        <f t="shared" si="1"/>
        <v>43.6</v>
      </c>
      <c r="H16" s="75" t="s">
        <v>911</v>
      </c>
      <c r="I16" t="str">
        <f t="shared" si="0"/>
        <v>AME 368,ED3-AUTO</v>
      </c>
      <c r="J16" s="27"/>
    </row>
    <row r="17" spans="1:10" x14ac:dyDescent="0.35">
      <c r="A17" s="11" t="s">
        <v>910</v>
      </c>
      <c r="B17" s="11" t="str">
        <v>BIOMEDICAL OPTICS</v>
      </c>
      <c r="C17" s="7" t="str">
        <v>Kotei Addison Eric Clement</v>
      </c>
      <c r="D17" s="11" t="s">
        <v>174</v>
      </c>
      <c r="E17" s="11">
        <v>90</v>
      </c>
      <c r="F17" s="12" t="s">
        <v>43</v>
      </c>
      <c r="G17" s="9">
        <f t="shared" si="1"/>
        <v>98.100000000000009</v>
      </c>
      <c r="H17" s="75" t="s">
        <v>909</v>
      </c>
      <c r="I17" t="str">
        <f t="shared" si="0"/>
        <v>BME 374,ED3-BME</v>
      </c>
      <c r="J17" s="27"/>
    </row>
    <row r="18" spans="1:10" x14ac:dyDescent="0.35">
      <c r="A18" s="11" t="s">
        <v>908</v>
      </c>
      <c r="B18" s="11" t="str">
        <v>DIGITAL SYSTEMS DESIGN II</v>
      </c>
      <c r="C18" s="7" t="str">
        <v>Boateng Kwame Osei</v>
      </c>
      <c r="D18" s="11" t="s">
        <v>160</v>
      </c>
      <c r="E18" s="11">
        <v>265</v>
      </c>
      <c r="F18" s="24" t="s">
        <v>376</v>
      </c>
      <c r="G18" s="9">
        <f t="shared" si="1"/>
        <v>288.85000000000002</v>
      </c>
      <c r="H18" s="75" t="s">
        <v>676</v>
      </c>
      <c r="I18" t="str">
        <f t="shared" si="0"/>
        <v>COE 372,ED3-COE</v>
      </c>
      <c r="J18" s="27"/>
    </row>
    <row r="19" spans="1:10" x14ac:dyDescent="0.35">
      <c r="A19" s="11" t="s">
        <v>907</v>
      </c>
      <c r="B19" s="11" t="str">
        <v>DIGITAL COMPUTER DESIGN</v>
      </c>
      <c r="C19" s="7" t="str">
        <v>Boateng Kwame Osei</v>
      </c>
      <c r="D19" s="11" t="s">
        <v>151</v>
      </c>
      <c r="E19" s="11">
        <v>29</v>
      </c>
      <c r="F19" s="12" t="s">
        <v>448</v>
      </c>
      <c r="G19" s="9">
        <f t="shared" si="1"/>
        <v>31.610000000000003</v>
      </c>
      <c r="H19" s="75">
        <v>29</v>
      </c>
      <c r="I19" t="str">
        <f t="shared" si="0"/>
        <v>COE 382,ED3-EE</v>
      </c>
      <c r="J19" s="27"/>
    </row>
    <row r="20" spans="1:10" x14ac:dyDescent="0.35">
      <c r="A20" s="11" t="s">
        <v>906</v>
      </c>
      <c r="B20" s="11" t="str">
        <v>INTRODUCTION TO VLSI</v>
      </c>
      <c r="C20" s="7" t="str">
        <v>Agbemenu Andrew Selasi</v>
      </c>
      <c r="D20" s="11" t="s">
        <v>133</v>
      </c>
      <c r="E20" s="11">
        <v>15</v>
      </c>
      <c r="F20" s="12" t="s">
        <v>467</v>
      </c>
      <c r="G20" s="9">
        <f t="shared" si="1"/>
        <v>16.350000000000001</v>
      </c>
      <c r="H20" s="75">
        <v>15</v>
      </c>
      <c r="I20" t="str">
        <f t="shared" si="0"/>
        <v>COE 486,ED4-EE</v>
      </c>
      <c r="J20" s="27"/>
    </row>
    <row r="21" spans="1:10" x14ac:dyDescent="0.35">
      <c r="A21" s="11" t="s">
        <v>906</v>
      </c>
      <c r="B21" s="11" t="str">
        <v>VLSI CIRCUIT DESIGN</v>
      </c>
      <c r="C21" s="7" t="str">
        <v>Agbemenu Andrew Selasi</v>
      </c>
      <c r="D21" s="11" t="s">
        <v>249</v>
      </c>
      <c r="E21" s="11">
        <v>20</v>
      </c>
      <c r="F21" s="12" t="s">
        <v>905</v>
      </c>
      <c r="G21" s="9">
        <f t="shared" si="1"/>
        <v>21.8</v>
      </c>
      <c r="H21" s="75">
        <v>20</v>
      </c>
      <c r="I21" t="str">
        <f t="shared" si="0"/>
        <v>COE 486,ED4-COE</v>
      </c>
      <c r="J21" s="27"/>
    </row>
    <row r="22" spans="1:10" x14ac:dyDescent="0.35">
      <c r="A22" s="11" t="s">
        <v>904</v>
      </c>
      <c r="B22" s="11" t="str">
        <v>ENGINEERING SURVEY II</v>
      </c>
      <c r="C22" s="7" t="str">
        <v>Arko-Adjei Anthony</v>
      </c>
      <c r="D22" s="11" t="s">
        <v>83</v>
      </c>
      <c r="E22" s="11">
        <v>132</v>
      </c>
      <c r="F22" s="40" t="s">
        <v>903</v>
      </c>
      <c r="G22" s="9">
        <f t="shared" si="1"/>
        <v>143.88000000000002</v>
      </c>
      <c r="H22" s="75" t="s">
        <v>902</v>
      </c>
      <c r="I22" t="str">
        <f t="shared" si="0"/>
        <v>GE 272,ED2-GEOM</v>
      </c>
      <c r="J22" s="27"/>
    </row>
    <row r="23" spans="1:10" x14ac:dyDescent="0.35">
      <c r="A23" s="11" t="s">
        <v>901</v>
      </c>
      <c r="B23" s="11" t="str">
        <v>PHARMACEUTICAL TECHNOLOGY</v>
      </c>
      <c r="C23" s="7" t="str">
        <v>Johnson Raphael</v>
      </c>
      <c r="D23" s="11" t="s">
        <v>344</v>
      </c>
      <c r="E23" s="11">
        <v>71</v>
      </c>
      <c r="F23" s="12" t="s">
        <v>20</v>
      </c>
      <c r="G23" s="9">
        <f t="shared" si="1"/>
        <v>77.39</v>
      </c>
      <c r="H23" s="75" t="s">
        <v>900</v>
      </c>
      <c r="I23" t="str">
        <f t="shared" si="0"/>
        <v>CHE 470,ED4-CHE</v>
      </c>
      <c r="J23" s="27"/>
    </row>
    <row r="24" spans="1:10" x14ac:dyDescent="0.35">
      <c r="A24" s="11" t="s">
        <v>899</v>
      </c>
      <c r="B24" s="11" t="str">
        <v>COMPUTER NETWORKING</v>
      </c>
      <c r="C24" s="7" t="str">
        <v>Kwasi Adu-Boahen Opare</v>
      </c>
      <c r="D24" s="11" t="s">
        <v>199</v>
      </c>
      <c r="E24" s="11">
        <v>140</v>
      </c>
      <c r="F24" s="12" t="s">
        <v>898</v>
      </c>
      <c r="G24" s="9">
        <f t="shared" si="1"/>
        <v>152.60000000000002</v>
      </c>
      <c r="H24" s="8" t="s">
        <v>897</v>
      </c>
      <c r="I24" t="str">
        <f t="shared" si="0"/>
        <v>TE 374,ED3-TEL</v>
      </c>
      <c r="J24" s="27"/>
    </row>
    <row r="25" spans="1:10" x14ac:dyDescent="0.35">
      <c r="D25" s="7" t="s">
        <v>896</v>
      </c>
      <c r="E25" s="6">
        <f>SUM(E11:E24)</f>
        <v>1603</v>
      </c>
      <c r="I25" t="str">
        <f t="shared" si="0"/>
        <v>,Total M1</v>
      </c>
      <c r="J25" s="27"/>
    </row>
    <row r="26" spans="1:10" x14ac:dyDescent="0.35">
      <c r="I26" t="str">
        <f t="shared" si="0"/>
        <v>,</v>
      </c>
      <c r="J26" s="27"/>
    </row>
    <row r="27" spans="1:10" x14ac:dyDescent="0.35">
      <c r="J27" s="27"/>
    </row>
    <row r="28" spans="1:10" x14ac:dyDescent="0.35">
      <c r="A28" s="93" t="s">
        <v>784</v>
      </c>
      <c r="B28" s="93"/>
      <c r="C28" s="93"/>
      <c r="D28" s="93"/>
      <c r="E28" s="93"/>
      <c r="F28" s="93"/>
      <c r="G28" s="93"/>
      <c r="H28" s="19"/>
      <c r="I28" t="str">
        <f t="shared" ref="I28:I59" si="2">CONCATENATE(A28,",",D28)</f>
        <v>Monday, 6 July 2026,</v>
      </c>
      <c r="J28" s="27"/>
    </row>
    <row r="29" spans="1:10" x14ac:dyDescent="0.35">
      <c r="A29" s="82" t="str">
        <f>[3]SESSIONS!$K$2</f>
        <v>Session, 2 (10:00 AM - 11:00 AM)</v>
      </c>
      <c r="B29" s="83"/>
      <c r="C29" s="83"/>
      <c r="D29" s="83"/>
      <c r="E29" s="83"/>
      <c r="F29" s="83"/>
      <c r="G29" s="84"/>
      <c r="H29" s="19"/>
      <c r="I29" t="str">
        <f t="shared" si="2"/>
        <v>Session, 2 (10:00 AM - 11:00 AM),</v>
      </c>
      <c r="J29" s="27"/>
    </row>
    <row r="30" spans="1:10" x14ac:dyDescent="0.35">
      <c r="A30" s="22" t="s">
        <v>52</v>
      </c>
      <c r="B30" s="22" t="s">
        <v>51</v>
      </c>
      <c r="C30" s="31" t="s">
        <v>50</v>
      </c>
      <c r="D30" s="22" t="s">
        <v>49</v>
      </c>
      <c r="E30" s="22" t="s">
        <v>48</v>
      </c>
      <c r="F30" s="21" t="s">
        <v>47</v>
      </c>
      <c r="G30" s="20" t="s">
        <v>46</v>
      </c>
      <c r="H30" s="19"/>
      <c r="I30" t="str">
        <f t="shared" si="2"/>
        <v>CODE ,CLASS</v>
      </c>
      <c r="J30" s="27"/>
    </row>
    <row r="31" spans="1:10" x14ac:dyDescent="0.35">
      <c r="A31" s="11" t="s">
        <v>865</v>
      </c>
      <c r="B31" s="11" t="str" cm="1">
        <f t="array" ref="B31:B54">IFERROR(VLOOKUP(I31:I54,[1]Lectures_1!A2:F535,2,FALSE),0)</f>
        <v>COMMUNICATION SKILLS II</v>
      </c>
      <c r="C31" s="7" t="str" cm="1">
        <f t="array" ref="C31:C54">IFERROR(VLOOKUP(I31:I54,[1]Lectures_1!A2:F535,3,FALSE),0)</f>
        <v>Yeboah Philomena Ama Okyeso</v>
      </c>
      <c r="D31" s="11" t="s">
        <v>130</v>
      </c>
      <c r="E31" s="11" cm="1">
        <f t="array" ref="E31:E54">IFERROR(VLOOKUP(I31:I54,[1]Lectures_1!A2:F535,4,FALSE),0)</f>
        <v>295</v>
      </c>
      <c r="F31" s="85" t="s">
        <v>225</v>
      </c>
      <c r="G31" s="9">
        <f t="shared" ref="G31:G54" si="3">E31*1.09</f>
        <v>321.55</v>
      </c>
      <c r="H31" s="8"/>
      <c r="I31" t="str">
        <f t="shared" si="2"/>
        <v>ENGL 158,ED1-EE</v>
      </c>
      <c r="J31" s="27"/>
    </row>
    <row r="32" spans="1:10" x14ac:dyDescent="0.35">
      <c r="A32" s="11" t="s">
        <v>865</v>
      </c>
      <c r="B32" s="11" t="str">
        <v>COMMUNICATION SKILLS II</v>
      </c>
      <c r="C32" s="7" t="str">
        <v>Sarfo-Adu Kwasi</v>
      </c>
      <c r="D32" s="11" t="s">
        <v>144</v>
      </c>
      <c r="E32" s="11">
        <v>85</v>
      </c>
      <c r="F32" s="86"/>
      <c r="G32" s="9">
        <f t="shared" si="3"/>
        <v>92.65</v>
      </c>
      <c r="H32" s="8"/>
      <c r="I32" t="str">
        <f t="shared" si="2"/>
        <v>ENGL 158,ED1-AUTO</v>
      </c>
      <c r="J32" s="27"/>
    </row>
    <row r="33" spans="1:10" x14ac:dyDescent="0.35">
      <c r="A33" s="11" t="s">
        <v>865</v>
      </c>
      <c r="B33" s="11" t="str">
        <v>COMMUNICATION SKILLS II</v>
      </c>
      <c r="C33" s="7" t="str">
        <v>Yeboah Philomena Ama Okyeso</v>
      </c>
      <c r="D33" s="11" t="s">
        <v>99</v>
      </c>
      <c r="E33" s="11">
        <v>125</v>
      </c>
      <c r="F33" s="86"/>
      <c r="G33" s="9">
        <f t="shared" si="3"/>
        <v>136.25</v>
      </c>
      <c r="H33" s="8"/>
      <c r="I33" t="str">
        <f t="shared" si="2"/>
        <v>ENGL 158,ED1-GEOL</v>
      </c>
      <c r="J33" s="27"/>
    </row>
    <row r="34" spans="1:10" x14ac:dyDescent="0.35">
      <c r="A34" s="11" t="s">
        <v>865</v>
      </c>
      <c r="B34" s="11" t="str">
        <v>COMMUNICATION SKILLS II</v>
      </c>
      <c r="C34" s="7" t="str">
        <v>Yeboah Philomena Ama Okyeso</v>
      </c>
      <c r="D34" s="11" t="s">
        <v>59</v>
      </c>
      <c r="E34" s="11">
        <v>56</v>
      </c>
      <c r="F34" s="86"/>
      <c r="G34" s="9">
        <f t="shared" si="3"/>
        <v>61.040000000000006</v>
      </c>
      <c r="H34" s="8"/>
      <c r="I34" t="str">
        <f t="shared" si="2"/>
        <v>ENGL 158,ED1-PCE</v>
      </c>
      <c r="J34" s="27"/>
    </row>
    <row r="35" spans="1:10" x14ac:dyDescent="0.35">
      <c r="A35" s="11" t="s">
        <v>865</v>
      </c>
      <c r="B35" s="11" t="str">
        <v>COMMUNICATION SKILLS II</v>
      </c>
      <c r="C35" s="7" t="str">
        <v>Yeboah Philomena Ama Okyeso</v>
      </c>
      <c r="D35" s="11" t="s">
        <v>44</v>
      </c>
      <c r="E35" s="11">
        <v>103</v>
      </c>
      <c r="F35" s="86"/>
      <c r="G35" s="9">
        <f t="shared" si="3"/>
        <v>112.27000000000001</v>
      </c>
      <c r="H35" s="8"/>
      <c r="I35" t="str">
        <f t="shared" si="2"/>
        <v>ENGL 158,ED1-GEOM</v>
      </c>
      <c r="J35" s="27"/>
    </row>
    <row r="36" spans="1:10" x14ac:dyDescent="0.35">
      <c r="A36" s="11" t="s">
        <v>865</v>
      </c>
      <c r="B36" s="11" t="str">
        <v>COMMUNICATION SKILLS II</v>
      </c>
      <c r="C36" s="7" t="str">
        <v>Alhassan Yakubu</v>
      </c>
      <c r="D36" s="11" t="s">
        <v>123</v>
      </c>
      <c r="E36" s="11">
        <v>75</v>
      </c>
      <c r="F36" s="86"/>
      <c r="G36" s="9">
        <f t="shared" si="3"/>
        <v>81.75</v>
      </c>
      <c r="H36" s="8"/>
      <c r="I36" t="str">
        <f t="shared" si="2"/>
        <v>ENGL 158,ED1-METE</v>
      </c>
      <c r="J36" s="27"/>
    </row>
    <row r="37" spans="1:10" x14ac:dyDescent="0.35">
      <c r="A37" s="11" t="s">
        <v>865</v>
      </c>
      <c r="B37" s="11" t="str">
        <v>COMMUNICATION SKILLS II</v>
      </c>
      <c r="C37" s="7" t="str">
        <v>Alhassan Yakubu</v>
      </c>
      <c r="D37" s="11" t="s">
        <v>126</v>
      </c>
      <c r="E37" s="11">
        <v>100</v>
      </c>
      <c r="F37" s="86"/>
      <c r="G37" s="9">
        <f t="shared" si="3"/>
        <v>109.00000000000001</v>
      </c>
      <c r="H37" s="8"/>
      <c r="I37" t="str">
        <f t="shared" si="2"/>
        <v>ENGL 158,ED1-MSE</v>
      </c>
      <c r="J37" s="27"/>
    </row>
    <row r="38" spans="1:10" x14ac:dyDescent="0.35">
      <c r="A38" s="11" t="s">
        <v>865</v>
      </c>
      <c r="B38" s="11" t="str">
        <v>COMMUNICATION SKILLS II</v>
      </c>
      <c r="C38" s="7" t="str">
        <v>Yeboah Philomena Ama Okyeso</v>
      </c>
      <c r="D38" s="11" t="s">
        <v>263</v>
      </c>
      <c r="E38" s="11">
        <v>225</v>
      </c>
      <c r="F38" s="90"/>
      <c r="G38" s="9">
        <f t="shared" si="3"/>
        <v>245.25000000000003</v>
      </c>
      <c r="H38" s="8"/>
      <c r="I38" t="str">
        <f t="shared" si="2"/>
        <v>ENGL 158,ED1-ME</v>
      </c>
      <c r="J38" s="27"/>
    </row>
    <row r="39" spans="1:10" x14ac:dyDescent="0.35">
      <c r="A39" s="11" t="s">
        <v>895</v>
      </c>
      <c r="B39" s="11" t="str">
        <v>SEAMANSHIP</v>
      </c>
      <c r="C39" s="7" t="str">
        <v>Larkai Francis Laako</v>
      </c>
      <c r="D39" s="11" t="s">
        <v>220</v>
      </c>
      <c r="E39" s="11">
        <v>37</v>
      </c>
      <c r="F39" s="66" t="s">
        <v>894</v>
      </c>
      <c r="G39" s="9">
        <f t="shared" si="3"/>
        <v>40.330000000000005</v>
      </c>
      <c r="H39" s="75" t="s">
        <v>219</v>
      </c>
      <c r="I39" t="str">
        <f t="shared" si="2"/>
        <v>MME 292,ED2-MARI</v>
      </c>
      <c r="J39" s="27"/>
    </row>
    <row r="40" spans="1:10" x14ac:dyDescent="0.35">
      <c r="A40" s="11" t="s">
        <v>893</v>
      </c>
      <c r="B40" s="11" t="str">
        <v>GIS APPLICATIONS</v>
      </c>
      <c r="C40" s="7" t="str">
        <v>Appiah-Adjei Emmanuel Kwame</v>
      </c>
      <c r="D40" s="11" t="s">
        <v>140</v>
      </c>
      <c r="E40" s="11">
        <v>154</v>
      </c>
      <c r="F40" s="12" t="s">
        <v>892</v>
      </c>
      <c r="G40" s="9">
        <f t="shared" si="3"/>
        <v>167.86</v>
      </c>
      <c r="H40" s="75" t="s">
        <v>891</v>
      </c>
      <c r="I40" t="str">
        <f t="shared" si="2"/>
        <v>GED 368,ED3-GEOL</v>
      </c>
      <c r="J40" s="27"/>
    </row>
    <row r="41" spans="1:10" x14ac:dyDescent="0.35">
      <c r="A41" s="11" t="s">
        <v>890</v>
      </c>
      <c r="B41" s="11" t="str">
        <v>GROUNDWATER DEVELOPMENT</v>
      </c>
      <c r="C41" s="7" t="str">
        <v>Ali Bukari</v>
      </c>
      <c r="D41" s="11" t="s">
        <v>3</v>
      </c>
      <c r="E41" s="11">
        <v>95</v>
      </c>
      <c r="F41" s="12" t="s">
        <v>651</v>
      </c>
      <c r="G41" s="9">
        <f t="shared" si="3"/>
        <v>103.55000000000001</v>
      </c>
      <c r="H41" s="75" t="s">
        <v>889</v>
      </c>
      <c r="I41" t="str">
        <f t="shared" si="2"/>
        <v>GED 476,ED4-GEOL</v>
      </c>
      <c r="J41" s="27"/>
    </row>
    <row r="42" spans="1:10" x14ac:dyDescent="0.35">
      <c r="A42" s="11" t="s">
        <v>888</v>
      </c>
      <c r="B42" s="11" t="str">
        <v>BIOMECHANICS II</v>
      </c>
      <c r="C42" s="7" t="str">
        <v>Odame Prince</v>
      </c>
      <c r="D42" s="11" t="s">
        <v>280</v>
      </c>
      <c r="E42" s="11">
        <v>87</v>
      </c>
      <c r="F42" s="67" t="s">
        <v>887</v>
      </c>
      <c r="G42" s="9">
        <f t="shared" si="3"/>
        <v>94.830000000000013</v>
      </c>
      <c r="H42" s="75" t="s">
        <v>279</v>
      </c>
      <c r="I42" t="str">
        <f t="shared" si="2"/>
        <v>BME 462,ED4-BME</v>
      </c>
      <c r="J42" s="27"/>
    </row>
    <row r="43" spans="1:10" x14ac:dyDescent="0.35">
      <c r="A43" s="11" t="s">
        <v>884</v>
      </c>
      <c r="B43" s="11" t="str">
        <v>MATERIALS SCIENCE</v>
      </c>
      <c r="C43" s="7" t="str">
        <v>Patrick Boakye</v>
      </c>
      <c r="D43" s="11" t="s">
        <v>107</v>
      </c>
      <c r="E43" s="11">
        <v>105</v>
      </c>
      <c r="F43" s="12" t="s">
        <v>886</v>
      </c>
      <c r="G43" s="9">
        <f t="shared" si="3"/>
        <v>114.45</v>
      </c>
      <c r="H43" s="75" t="s">
        <v>885</v>
      </c>
      <c r="I43" t="str">
        <f t="shared" si="2"/>
        <v>CHE 350,ED3-CHE</v>
      </c>
      <c r="J43" s="27"/>
    </row>
    <row r="44" spans="1:10" x14ac:dyDescent="0.35">
      <c r="A44" s="11" t="s">
        <v>884</v>
      </c>
      <c r="B44" s="11" t="str">
        <v>MATERIALS SCIENCE</v>
      </c>
      <c r="C44" s="7" t="str">
        <v>Anang Daniel Adjah</v>
      </c>
      <c r="D44" s="11" t="s">
        <v>32</v>
      </c>
      <c r="E44" s="11">
        <v>53</v>
      </c>
      <c r="F44" s="12" t="s">
        <v>176</v>
      </c>
      <c r="G44" s="9">
        <f t="shared" si="3"/>
        <v>57.77</v>
      </c>
      <c r="H44" s="75">
        <v>53</v>
      </c>
      <c r="I44" t="str">
        <f t="shared" si="2"/>
        <v>CHE 350,ED3-PCE</v>
      </c>
      <c r="J44" s="27"/>
    </row>
    <row r="45" spans="1:10" x14ac:dyDescent="0.35">
      <c r="A45" s="11" t="s">
        <v>883</v>
      </c>
      <c r="B45" s="11" t="str">
        <v>DRAWING FOR ENGINEERS</v>
      </c>
      <c r="C45" s="7" t="str">
        <v>Darkwah Lawrence</v>
      </c>
      <c r="D45" s="11" t="s">
        <v>154</v>
      </c>
      <c r="E45" s="11">
        <v>160</v>
      </c>
      <c r="F45" s="12" t="s">
        <v>150</v>
      </c>
      <c r="G45" s="9">
        <f t="shared" si="3"/>
        <v>174.4</v>
      </c>
      <c r="H45" s="75" t="s">
        <v>358</v>
      </c>
      <c r="I45" t="str">
        <f t="shared" si="2"/>
        <v>CHE 258,ED2-CHE</v>
      </c>
      <c r="J45" s="27"/>
    </row>
    <row r="46" spans="1:10" x14ac:dyDescent="0.35">
      <c r="A46" s="11" t="s">
        <v>883</v>
      </c>
      <c r="B46" s="11" t="str">
        <v>DRAWING FOR ENGINEERS</v>
      </c>
      <c r="C46" s="7" t="str">
        <v>Darkwah Lawrence</v>
      </c>
      <c r="D46" s="11" t="s">
        <v>36</v>
      </c>
      <c r="E46" s="11">
        <v>65</v>
      </c>
      <c r="F46" s="12" t="s">
        <v>349</v>
      </c>
      <c r="G46" s="9">
        <f t="shared" si="3"/>
        <v>70.850000000000009</v>
      </c>
      <c r="H46" s="75" t="s">
        <v>103</v>
      </c>
      <c r="I46" t="str">
        <f t="shared" si="2"/>
        <v>CHE 258,ED2-PCE</v>
      </c>
      <c r="J46" s="27"/>
    </row>
    <row r="47" spans="1:10" x14ac:dyDescent="0.35">
      <c r="A47" s="11" t="s">
        <v>882</v>
      </c>
      <c r="B47" s="11" t="str">
        <v>PRODUCTION ENGINEERING II</v>
      </c>
      <c r="C47" s="7" t="str">
        <v>Obeng George Yaw</v>
      </c>
      <c r="D47" s="11" t="s">
        <v>79</v>
      </c>
      <c r="E47" s="11">
        <v>40</v>
      </c>
      <c r="F47" s="12" t="s">
        <v>176</v>
      </c>
      <c r="G47" s="9">
        <f t="shared" si="3"/>
        <v>43.6</v>
      </c>
      <c r="H47" s="75">
        <v>40</v>
      </c>
      <c r="I47" t="str">
        <f t="shared" si="2"/>
        <v>ME 478,ED4-ME</v>
      </c>
      <c r="J47" s="27"/>
    </row>
    <row r="48" spans="1:10" x14ac:dyDescent="0.35">
      <c r="A48" s="11" t="s">
        <v>881</v>
      </c>
      <c r="B48" s="11" t="str">
        <v>RENEWABLE ENERGY SYSTEMS AND MANAGEMENT</v>
      </c>
      <c r="C48" s="7" t="str">
        <v>Kemausuor Francis</v>
      </c>
      <c r="D48" s="11" t="s">
        <v>189</v>
      </c>
      <c r="E48" s="11">
        <v>101</v>
      </c>
      <c r="F48" s="45" t="s">
        <v>789</v>
      </c>
      <c r="G48" s="9">
        <f t="shared" si="3"/>
        <v>110.09</v>
      </c>
      <c r="H48" s="75" t="s">
        <v>880</v>
      </c>
      <c r="I48" t="str">
        <f t="shared" si="2"/>
        <v>AE 358,ED3-AE</v>
      </c>
      <c r="J48" s="27"/>
    </row>
    <row r="49" spans="1:10" x14ac:dyDescent="0.35">
      <c r="A49" s="11" t="s">
        <v>879</v>
      </c>
      <c r="B49" s="11" t="str">
        <v>STRATIGRAPHY</v>
      </c>
      <c r="C49" s="7" t="str">
        <v>Amedjoe Godfrey Chiri</v>
      </c>
      <c r="D49" s="11" t="s">
        <v>11</v>
      </c>
      <c r="E49" s="11">
        <v>150</v>
      </c>
      <c r="F49" s="12" t="s">
        <v>878</v>
      </c>
      <c r="G49" s="9">
        <f t="shared" si="3"/>
        <v>163.5</v>
      </c>
      <c r="H49" s="75" t="s">
        <v>877</v>
      </c>
      <c r="I49" t="str">
        <f t="shared" si="2"/>
        <v>GED 252,ED2-GEOL</v>
      </c>
      <c r="J49" s="27"/>
    </row>
    <row r="50" spans="1:10" x14ac:dyDescent="0.35">
      <c r="A50" s="11" t="s">
        <v>876</v>
      </c>
      <c r="B50" s="11" t="str">
        <v>STRENGTH OF MARINE MATERIALS II</v>
      </c>
      <c r="C50" s="7" t="str">
        <v>Adam Faisal Wahib</v>
      </c>
      <c r="D50" s="33" t="s">
        <v>147</v>
      </c>
      <c r="E50" s="11">
        <v>40</v>
      </c>
      <c r="F50" s="12" t="s">
        <v>322</v>
      </c>
      <c r="G50" s="9">
        <f t="shared" si="3"/>
        <v>43.6</v>
      </c>
      <c r="H50" s="75">
        <v>40</v>
      </c>
      <c r="I50" t="str">
        <f t="shared" si="2"/>
        <v>MME 356,ED3-MARI</v>
      </c>
      <c r="J50" s="27"/>
    </row>
    <row r="51" spans="1:10" x14ac:dyDescent="0.35">
      <c r="A51" s="11" t="s">
        <v>875</v>
      </c>
      <c r="B51" s="11" t="str">
        <v>STRENGTH OF MATERIALS II</v>
      </c>
      <c r="C51" s="7" t="str">
        <v>Tay Godwin Fabiola Kwaku</v>
      </c>
      <c r="D51" s="11" t="s">
        <v>164</v>
      </c>
      <c r="E51" s="11">
        <v>222</v>
      </c>
      <c r="F51" s="81" t="s">
        <v>874</v>
      </c>
      <c r="G51" s="9">
        <f t="shared" si="3"/>
        <v>241.98000000000002</v>
      </c>
      <c r="H51" s="75" t="s">
        <v>873</v>
      </c>
      <c r="I51" t="str">
        <f t="shared" si="2"/>
        <v>ME 356,ED3-ME</v>
      </c>
      <c r="J51" s="27"/>
    </row>
    <row r="52" spans="1:10" x14ac:dyDescent="0.35">
      <c r="A52" s="11" t="s">
        <v>871</v>
      </c>
      <c r="B52" s="11" t="str">
        <v>PROCESS DYNAMICS AND CONTROL</v>
      </c>
      <c r="C52" s="7" t="str">
        <v>Adjaottor Albert Amatey</v>
      </c>
      <c r="D52" s="11" t="s">
        <v>116</v>
      </c>
      <c r="E52" s="11">
        <v>60</v>
      </c>
      <c r="F52" s="12" t="s">
        <v>872</v>
      </c>
      <c r="G52" s="9">
        <f t="shared" si="3"/>
        <v>65.400000000000006</v>
      </c>
      <c r="H52" s="75" t="s">
        <v>516</v>
      </c>
      <c r="I52" t="str">
        <f t="shared" si="2"/>
        <v>MSE 458,ED4-MSE</v>
      </c>
      <c r="J52" s="27"/>
    </row>
    <row r="53" spans="1:10" x14ac:dyDescent="0.35">
      <c r="A53" s="11" t="s">
        <v>871</v>
      </c>
      <c r="B53" s="11" t="str">
        <v>PROCESS DYNANICS AND CONTROL</v>
      </c>
      <c r="C53" s="7" t="str">
        <v>Adjaottor Albert Amatey</v>
      </c>
      <c r="D53" s="11" t="s">
        <v>120</v>
      </c>
      <c r="E53" s="11">
        <v>55</v>
      </c>
      <c r="F53" s="12" t="s">
        <v>870</v>
      </c>
      <c r="G53" s="9">
        <f t="shared" si="3"/>
        <v>59.95</v>
      </c>
      <c r="H53" s="75" t="s">
        <v>105</v>
      </c>
      <c r="I53" t="str">
        <f t="shared" si="2"/>
        <v>MSE 458,ED4-METE</v>
      </c>
      <c r="J53" s="27"/>
    </row>
    <row r="54" spans="1:10" x14ac:dyDescent="0.35">
      <c r="A54" s="11" t="s">
        <v>869</v>
      </c>
      <c r="B54" s="11" t="str">
        <v>NATURAL GAS ENGINEERING II</v>
      </c>
      <c r="C54" s="7" t="str">
        <v>Sarkodie Kwame</v>
      </c>
      <c r="D54" s="11" t="s">
        <v>112</v>
      </c>
      <c r="E54" s="11">
        <v>99</v>
      </c>
      <c r="F54" s="12" t="s">
        <v>868</v>
      </c>
      <c r="G54" s="9">
        <f t="shared" si="3"/>
        <v>107.91000000000001</v>
      </c>
      <c r="H54" s="75" t="s">
        <v>867</v>
      </c>
      <c r="I54" t="str">
        <f t="shared" si="2"/>
        <v>PE 472,ED4-PE</v>
      </c>
      <c r="J54" s="27"/>
    </row>
    <row r="55" spans="1:10" x14ac:dyDescent="0.35">
      <c r="D55" s="7" t="s">
        <v>866</v>
      </c>
      <c r="E55" s="6">
        <f>SUM(E39:E54)</f>
        <v>1523</v>
      </c>
      <c r="I55" t="str">
        <f t="shared" si="2"/>
        <v>,Total M2</v>
      </c>
      <c r="J55" s="27"/>
    </row>
    <row r="56" spans="1:10" ht="14.25" customHeight="1" x14ac:dyDescent="0.35">
      <c r="I56" t="str">
        <f t="shared" si="2"/>
        <v>,</v>
      </c>
      <c r="J56" s="27"/>
    </row>
    <row r="57" spans="1:10" x14ac:dyDescent="0.35">
      <c r="I57" t="str">
        <f t="shared" si="2"/>
        <v>,</v>
      </c>
      <c r="J57" s="27"/>
    </row>
    <row r="58" spans="1:10" x14ac:dyDescent="0.35">
      <c r="A58" s="93" t="s">
        <v>784</v>
      </c>
      <c r="B58" s="93"/>
      <c r="C58" s="93"/>
      <c r="D58" s="93"/>
      <c r="E58" s="93"/>
      <c r="F58" s="93"/>
      <c r="G58" s="93"/>
      <c r="H58" s="19"/>
      <c r="I58" t="str">
        <f t="shared" si="2"/>
        <v>Monday, 6 July 2026,</v>
      </c>
      <c r="J58" s="27"/>
    </row>
    <row r="59" spans="1:10" x14ac:dyDescent="0.35">
      <c r="A59" s="82" t="str">
        <f>[3]SESSIONS!$K$3</f>
        <v>Session, 3 (11:45 AM - 12:45 PM)</v>
      </c>
      <c r="B59" s="83"/>
      <c r="C59" s="83"/>
      <c r="D59" s="83"/>
      <c r="E59" s="83"/>
      <c r="F59" s="83"/>
      <c r="G59" s="84"/>
      <c r="H59" s="19"/>
      <c r="I59" t="str">
        <f t="shared" si="2"/>
        <v>Session, 3 (11:45 AM - 12:45 PM),</v>
      </c>
      <c r="J59" s="27"/>
    </row>
    <row r="60" spans="1:10" x14ac:dyDescent="0.35">
      <c r="A60" s="22" t="s">
        <v>52</v>
      </c>
      <c r="B60" s="22" t="s">
        <v>51</v>
      </c>
      <c r="C60" s="23" t="s">
        <v>50</v>
      </c>
      <c r="D60" s="22" t="s">
        <v>49</v>
      </c>
      <c r="E60" s="22" t="s">
        <v>48</v>
      </c>
      <c r="F60" s="21" t="s">
        <v>47</v>
      </c>
      <c r="G60" s="20" t="s">
        <v>46</v>
      </c>
      <c r="H60" s="19"/>
      <c r="I60" t="str">
        <f t="shared" ref="I60:I91" si="4">CONCATENATE(A60,",",D60)</f>
        <v>CODE ,CLASS</v>
      </c>
      <c r="J60" s="27"/>
    </row>
    <row r="61" spans="1:10" x14ac:dyDescent="0.35">
      <c r="A61" s="11" t="s">
        <v>865</v>
      </c>
      <c r="B61" s="11" t="str" cm="1">
        <f t="array" ref="B61:B75">IFERROR(VLOOKUP(I61:I75,[1]Lectures_1!A2:F535,2,FALSE),0)</f>
        <v>COMMUNICATION SKILLS II</v>
      </c>
      <c r="C61" s="7" t="str" cm="1">
        <f t="array" ref="C61:C75">IFERROR(VLOOKUP(I61:I75,[1]Lectures_1!A2:F535,3,FALSE),0)</f>
        <v>Yeboah Philomena Ama Okyeso</v>
      </c>
      <c r="D61" s="11" t="s">
        <v>93</v>
      </c>
      <c r="E61" s="11" cm="1">
        <f t="array" ref="E61:E75">IFERROR(VLOOKUP(I61:I75,[1]Lectures_1!A2:F535,4,FALSE),0)</f>
        <v>46</v>
      </c>
      <c r="F61" s="85" t="s">
        <v>225</v>
      </c>
      <c r="G61" s="9">
        <f t="shared" ref="G61:G75" si="5">E61*1.09</f>
        <v>50.14</v>
      </c>
      <c r="H61" s="8"/>
      <c r="I61" t="str">
        <f t="shared" si="4"/>
        <v>ENGL 158,ED1-MARI</v>
      </c>
      <c r="J61" s="27"/>
    </row>
    <row r="62" spans="1:10" x14ac:dyDescent="0.35">
      <c r="A62" s="11" t="s">
        <v>865</v>
      </c>
      <c r="B62" s="11" t="str">
        <v>COMMUNICATION SKILLS II</v>
      </c>
      <c r="C62" s="7" t="str">
        <v>Alhassan Yakubu</v>
      </c>
      <c r="D62" s="11" t="s">
        <v>234</v>
      </c>
      <c r="E62" s="11">
        <v>130</v>
      </c>
      <c r="F62" s="86"/>
      <c r="G62" s="9">
        <f t="shared" si="5"/>
        <v>141.70000000000002</v>
      </c>
      <c r="H62" s="8"/>
      <c r="I62" t="str">
        <f t="shared" si="4"/>
        <v>ENGL 158,ED1-PE</v>
      </c>
      <c r="J62" s="27"/>
    </row>
    <row r="63" spans="1:10" x14ac:dyDescent="0.35">
      <c r="A63" s="11" t="s">
        <v>865</v>
      </c>
      <c r="B63" s="11" t="str">
        <v>COMMUNICATION SKILLS II</v>
      </c>
      <c r="C63" s="7" t="str">
        <v>Alhassan Yakubu</v>
      </c>
      <c r="D63" s="11" t="s">
        <v>236</v>
      </c>
      <c r="E63" s="11">
        <v>130</v>
      </c>
      <c r="F63" s="90"/>
      <c r="G63" s="9">
        <f t="shared" si="5"/>
        <v>141.70000000000002</v>
      </c>
      <c r="H63" s="8"/>
      <c r="I63" t="str">
        <f t="shared" si="4"/>
        <v>ENGL 158,ED1-TEL</v>
      </c>
      <c r="J63" s="27"/>
    </row>
    <row r="64" spans="1:10" x14ac:dyDescent="0.35">
      <c r="A64" s="11" t="s">
        <v>864</v>
      </c>
      <c r="B64" s="11" t="str">
        <v>LAND LAW AND REGISTRATION</v>
      </c>
      <c r="C64" s="7" t="str">
        <v>Arko-Adjei Anthony</v>
      </c>
      <c r="D64" s="11" t="s">
        <v>183</v>
      </c>
      <c r="E64" s="11">
        <v>93</v>
      </c>
      <c r="F64" s="12" t="s">
        <v>659</v>
      </c>
      <c r="G64" s="9">
        <f t="shared" si="5"/>
        <v>101.37</v>
      </c>
      <c r="H64" s="75" t="s">
        <v>863</v>
      </c>
      <c r="I64" t="str">
        <f t="shared" si="4"/>
        <v>GE 472,ED4-GEOM</v>
      </c>
      <c r="J64" s="27"/>
    </row>
    <row r="65" spans="1:10" x14ac:dyDescent="0.35">
      <c r="A65" s="11" t="s">
        <v>862</v>
      </c>
      <c r="B65" s="11" t="str">
        <v>PHYSICAL METALLURGY OF NON-FERROUS METALS</v>
      </c>
      <c r="C65" s="7" t="str">
        <v>Agyemang Frank Ofori</v>
      </c>
      <c r="D65" s="11" t="s">
        <v>229</v>
      </c>
      <c r="E65" s="11">
        <v>87</v>
      </c>
      <c r="F65" s="12" t="s">
        <v>108</v>
      </c>
      <c r="G65" s="9">
        <f t="shared" si="5"/>
        <v>94.830000000000013</v>
      </c>
      <c r="H65" s="75" t="s">
        <v>861</v>
      </c>
      <c r="I65" t="str">
        <f t="shared" si="4"/>
        <v>METE 354,ED3-METE</v>
      </c>
      <c r="J65" s="27"/>
    </row>
    <row r="66" spans="1:10" x14ac:dyDescent="0.35">
      <c r="A66" s="11" t="s">
        <v>860</v>
      </c>
      <c r="B66" s="11" t="str">
        <v>STEEL AND TIMBER DESIGN</v>
      </c>
      <c r="C66" s="7" t="str">
        <v>Mark Adom-Asamoah</v>
      </c>
      <c r="D66" s="11" t="s">
        <v>167</v>
      </c>
      <c r="E66" s="11">
        <v>230</v>
      </c>
      <c r="F66" s="12" t="s">
        <v>778</v>
      </c>
      <c r="G66" s="9">
        <f t="shared" si="5"/>
        <v>250.70000000000002</v>
      </c>
      <c r="H66" s="75" t="s">
        <v>859</v>
      </c>
      <c r="I66" t="str">
        <f t="shared" si="4"/>
        <v>CE 352,ED3-CE</v>
      </c>
      <c r="J66" s="27"/>
    </row>
    <row r="67" spans="1:10" x14ac:dyDescent="0.35">
      <c r="A67" s="11" t="s">
        <v>858</v>
      </c>
      <c r="B67" s="11" t="str">
        <v>SHIP OPERATION, REGULATION AND MANAGEMENT</v>
      </c>
      <c r="C67" s="7" t="str">
        <v>Sackey Michael Nii</v>
      </c>
      <c r="D67" s="11" t="s">
        <v>195</v>
      </c>
      <c r="E67" s="11">
        <v>23</v>
      </c>
      <c r="F67" s="12" t="s">
        <v>132</v>
      </c>
      <c r="G67" s="9">
        <f t="shared" si="5"/>
        <v>25.07</v>
      </c>
      <c r="H67" s="75">
        <v>23</v>
      </c>
      <c r="I67" t="str">
        <f t="shared" si="4"/>
        <v>MME 492,ED4-MARI</v>
      </c>
      <c r="J67" s="27"/>
    </row>
    <row r="68" spans="1:10" x14ac:dyDescent="0.35">
      <c r="A68" s="11" t="s">
        <v>856</v>
      </c>
      <c r="B68" s="11" t="str">
        <v>STRESS AND STRAIN ANALYSIS OF RIGID BODIES</v>
      </c>
      <c r="C68" s="7" t="str">
        <v>Mensah-Darkwa Kwadwo</v>
      </c>
      <c r="D68" s="11" t="s">
        <v>75</v>
      </c>
      <c r="E68" s="11">
        <v>57</v>
      </c>
      <c r="F68" s="12" t="s">
        <v>56</v>
      </c>
      <c r="G68" s="9">
        <f t="shared" si="5"/>
        <v>62.13</v>
      </c>
      <c r="H68" s="75" t="s">
        <v>857</v>
      </c>
      <c r="I68" t="str">
        <f t="shared" si="4"/>
        <v>MSE 262,ED2-METE</v>
      </c>
      <c r="J68" s="27"/>
    </row>
    <row r="69" spans="1:10" x14ac:dyDescent="0.35">
      <c r="A69" s="11" t="s">
        <v>856</v>
      </c>
      <c r="B69" s="11" t="str">
        <v>STRESS AND STRAIN ANALYSIS OF RIGID BODIES</v>
      </c>
      <c r="C69" s="7" t="str">
        <v>Mensah-Darkwa Kwadwo</v>
      </c>
      <c r="D69" s="11" t="s">
        <v>223</v>
      </c>
      <c r="E69" s="11">
        <v>83</v>
      </c>
      <c r="F69" s="57" t="s">
        <v>855</v>
      </c>
      <c r="G69" s="9">
        <f t="shared" si="5"/>
        <v>90.470000000000013</v>
      </c>
      <c r="H69" s="75" t="s">
        <v>854</v>
      </c>
      <c r="I69" t="str">
        <f t="shared" si="4"/>
        <v>MSE 262,ED2-MSE</v>
      </c>
      <c r="J69" s="27"/>
    </row>
    <row r="70" spans="1:10" x14ac:dyDescent="0.35">
      <c r="A70" s="11" t="s">
        <v>853</v>
      </c>
      <c r="B70" s="11" t="str">
        <v>PLANNING THE PHYSICAL ENVIRONMENT</v>
      </c>
      <c r="C70" s="7" t="str">
        <v>Aboagye Prince Anokye</v>
      </c>
      <c r="D70" s="11" t="s">
        <v>104</v>
      </c>
      <c r="E70" s="11">
        <v>122</v>
      </c>
      <c r="F70" s="12" t="s">
        <v>179</v>
      </c>
      <c r="G70" s="9">
        <f t="shared" si="5"/>
        <v>132.98000000000002</v>
      </c>
      <c r="H70" s="75" t="s">
        <v>571</v>
      </c>
      <c r="I70" t="str">
        <f t="shared" si="4"/>
        <v>PL 252,ED3-GEOM</v>
      </c>
      <c r="J70" s="27"/>
    </row>
    <row r="71" spans="1:10" x14ac:dyDescent="0.35">
      <c r="A71" s="11" t="s">
        <v>779</v>
      </c>
      <c r="B71" s="11" t="str">
        <v>ELECTROMAGNETIC FIELDS</v>
      </c>
      <c r="C71" s="7" t="str">
        <v>Kwame Oteng Gyasi</v>
      </c>
      <c r="D71" s="11" t="s">
        <v>102</v>
      </c>
      <c r="E71" s="11">
        <v>340</v>
      </c>
      <c r="F71" s="12" t="s">
        <v>852</v>
      </c>
      <c r="G71" s="9">
        <f t="shared" si="5"/>
        <v>370.6</v>
      </c>
      <c r="H71" s="75" t="s">
        <v>851</v>
      </c>
      <c r="I71" t="str">
        <f t="shared" si="4"/>
        <v>TE 262,ED2-EE</v>
      </c>
      <c r="J71" s="27"/>
    </row>
    <row r="72" spans="1:10" x14ac:dyDescent="0.35">
      <c r="A72" s="11" t="s">
        <v>850</v>
      </c>
      <c r="B72" s="11" t="str">
        <v>ELECTROMAGNETIC FIELD THEORY</v>
      </c>
      <c r="C72" s="7" t="str">
        <v>Kwame Oteng Gyasi</v>
      </c>
      <c r="D72" s="11" t="s">
        <v>109</v>
      </c>
      <c r="E72" s="11">
        <v>175</v>
      </c>
      <c r="F72" s="12" t="s">
        <v>849</v>
      </c>
      <c r="G72" s="9">
        <f t="shared" si="5"/>
        <v>190.75</v>
      </c>
      <c r="H72" s="75" t="s">
        <v>848</v>
      </c>
      <c r="I72" t="str">
        <f t="shared" si="4"/>
        <v>TE 254,ED2-TEL</v>
      </c>
      <c r="J72" s="27"/>
    </row>
    <row r="73" spans="1:10" x14ac:dyDescent="0.35">
      <c r="A73" s="11" t="s">
        <v>847</v>
      </c>
      <c r="B73" s="11" t="str">
        <v>OBJECT-ORIENTED PROGRAMMING</v>
      </c>
      <c r="C73" s="7" t="str">
        <v>Adjaidoo Theresa-Samuelle Maame Atwemaah</v>
      </c>
      <c r="D73" s="11" t="s">
        <v>90</v>
      </c>
      <c r="E73" s="11">
        <v>80</v>
      </c>
      <c r="F73" s="51" t="s">
        <v>28</v>
      </c>
      <c r="G73" s="9">
        <f t="shared" si="5"/>
        <v>87.2</v>
      </c>
      <c r="H73" s="75">
        <v>80</v>
      </c>
      <c r="I73" t="str">
        <f t="shared" si="4"/>
        <v>COE 254,ED2-BME</v>
      </c>
      <c r="J73" s="27"/>
    </row>
    <row r="74" spans="1:10" x14ac:dyDescent="0.35">
      <c r="A74" s="11" t="s">
        <v>847</v>
      </c>
      <c r="B74" s="11" t="str">
        <v>OBJECT-ORIENTED PROGRAMMING</v>
      </c>
      <c r="C74" s="7" t="str">
        <v>Adjaidoo Theresa-Samuelle Maame Atwemaah</v>
      </c>
      <c r="D74" s="11" t="s">
        <v>86</v>
      </c>
      <c r="E74" s="11">
        <v>255</v>
      </c>
      <c r="F74" s="51" t="s">
        <v>424</v>
      </c>
      <c r="G74" s="9">
        <f t="shared" si="5"/>
        <v>277.95000000000005</v>
      </c>
      <c r="H74" s="75" t="s">
        <v>846</v>
      </c>
      <c r="I74" t="str">
        <f t="shared" si="4"/>
        <v>COE 254,ED2-COE</v>
      </c>
      <c r="J74" s="27"/>
    </row>
    <row r="75" spans="1:10" x14ac:dyDescent="0.35">
      <c r="A75" s="11" t="s">
        <v>845</v>
      </c>
      <c r="B75" s="11" t="str">
        <v>PETROLEUM GEOLOGY</v>
      </c>
      <c r="C75" s="7" t="str">
        <v>Borkloe Julius Kwame</v>
      </c>
      <c r="D75" s="11" t="s">
        <v>57</v>
      </c>
      <c r="E75" s="11">
        <v>80</v>
      </c>
      <c r="F75" s="12" t="s">
        <v>844</v>
      </c>
      <c r="G75" s="9">
        <f t="shared" si="5"/>
        <v>87.2</v>
      </c>
      <c r="H75" s="75" t="s">
        <v>843</v>
      </c>
      <c r="I75" t="str">
        <f t="shared" si="4"/>
        <v>PE 352,ED3-PE</v>
      </c>
      <c r="J75" s="27"/>
    </row>
    <row r="76" spans="1:10" x14ac:dyDescent="0.35">
      <c r="D76" s="7" t="s">
        <v>842</v>
      </c>
      <c r="E76" s="6">
        <f>SUM(E64:E75)</f>
        <v>1625</v>
      </c>
      <c r="I76" t="str">
        <f t="shared" si="4"/>
        <v>,Total M3</v>
      </c>
      <c r="J76" s="27"/>
    </row>
    <row r="77" spans="1:10" x14ac:dyDescent="0.35">
      <c r="I77" t="str">
        <f t="shared" si="4"/>
        <v>,</v>
      </c>
      <c r="J77" s="27"/>
    </row>
    <row r="78" spans="1:10" x14ac:dyDescent="0.35">
      <c r="C78" s="80"/>
      <c r="I78" t="str">
        <f t="shared" si="4"/>
        <v>,</v>
      </c>
      <c r="J78" s="27"/>
    </row>
    <row r="79" spans="1:10" x14ac:dyDescent="0.35">
      <c r="A79" s="93" t="s">
        <v>784</v>
      </c>
      <c r="B79" s="93"/>
      <c r="C79" s="93"/>
      <c r="D79" s="93"/>
      <c r="E79" s="93"/>
      <c r="F79" s="93"/>
      <c r="G79" s="93"/>
      <c r="H79" s="19"/>
      <c r="I79" t="str">
        <f t="shared" si="4"/>
        <v>Monday, 6 July 2026,</v>
      </c>
      <c r="J79" s="27"/>
    </row>
    <row r="80" spans="1:10" x14ac:dyDescent="0.35">
      <c r="A80" s="82" t="str">
        <f>[3]SESSIONS!$K$4</f>
        <v>Session, 4 (1:30 PM - 2:30 PM)</v>
      </c>
      <c r="B80" s="83"/>
      <c r="C80" s="83"/>
      <c r="D80" s="83"/>
      <c r="E80" s="83"/>
      <c r="F80" s="83"/>
      <c r="G80" s="84"/>
      <c r="H80" s="19"/>
      <c r="I80" t="str">
        <f t="shared" si="4"/>
        <v>Session, 4 (1:30 PM - 2:30 PM),</v>
      </c>
      <c r="J80" s="27"/>
    </row>
    <row r="81" spans="1:10" x14ac:dyDescent="0.35">
      <c r="A81" s="22" t="s">
        <v>52</v>
      </c>
      <c r="B81" s="22" t="s">
        <v>51</v>
      </c>
      <c r="C81" s="31" t="s">
        <v>50</v>
      </c>
      <c r="D81" s="22" t="s">
        <v>49</v>
      </c>
      <c r="E81" s="22" t="s">
        <v>48</v>
      </c>
      <c r="F81" s="21" t="s">
        <v>47</v>
      </c>
      <c r="G81" s="20" t="s">
        <v>46</v>
      </c>
      <c r="H81" s="19"/>
      <c r="I81" t="str">
        <f t="shared" si="4"/>
        <v>CODE ,CLASS</v>
      </c>
      <c r="J81" s="27"/>
    </row>
    <row r="82" spans="1:10" x14ac:dyDescent="0.35">
      <c r="A82" s="11" t="s">
        <v>841</v>
      </c>
      <c r="B82" s="11" t="str" cm="1">
        <f t="array" ref="B82:B96">IFERROR(VLOOKUP(I82:I96,[1]Lectures_1!A2:F535,2,FALSE),0)</f>
        <v>HUMAN FACTORS AND ERGONOMICS</v>
      </c>
      <c r="C82" s="7" t="str" cm="1">
        <f t="array" ref="C82:C96">IFERROR(VLOOKUP(I82:I96,[1]Lectures_1!A2:F535,3,FALSE),0)</f>
        <v>Sackey Samuel Mensah</v>
      </c>
      <c r="D82" s="11" t="s">
        <v>328</v>
      </c>
      <c r="E82" s="11" cm="1">
        <f t="array" ref="E82:E96">IFERROR(VLOOKUP(I82:I96,[1]Lectures_1!A2:F535,4,FALSE),0)</f>
        <v>69</v>
      </c>
      <c r="F82" s="12" t="s">
        <v>840</v>
      </c>
      <c r="G82" s="9">
        <f t="shared" ref="G82:G96" si="6">E82*1.09</f>
        <v>75.210000000000008</v>
      </c>
      <c r="H82" s="75" t="s">
        <v>839</v>
      </c>
      <c r="I82" t="str">
        <f t="shared" si="4"/>
        <v>IE 458,ED4-IND</v>
      </c>
      <c r="J82" s="27"/>
    </row>
    <row r="83" spans="1:10" x14ac:dyDescent="0.35">
      <c r="A83" s="11" t="s">
        <v>836</v>
      </c>
      <c r="B83" s="11" t="str">
        <v>SOIL AND ROCK MECHANICS</v>
      </c>
      <c r="C83" s="7" t="str">
        <v>Frederick Owusu-Nimo</v>
      </c>
      <c r="D83" s="11" t="s">
        <v>15</v>
      </c>
      <c r="E83" s="11">
        <v>250</v>
      </c>
      <c r="F83" s="12" t="s">
        <v>838</v>
      </c>
      <c r="G83" s="9">
        <f t="shared" si="6"/>
        <v>272.5</v>
      </c>
      <c r="H83" s="75" t="s">
        <v>837</v>
      </c>
      <c r="I83" t="str">
        <f t="shared" si="4"/>
        <v>CE 260,ED2-CE</v>
      </c>
      <c r="J83" s="27"/>
    </row>
    <row r="84" spans="1:10" s="74" customFormat="1" x14ac:dyDescent="0.35">
      <c r="A84" s="11" t="s">
        <v>836</v>
      </c>
      <c r="B84" s="11" t="str">
        <v>SOIL AND ROCK MECHANICS</v>
      </c>
      <c r="C84" s="7" t="str">
        <v>Owusu-Nimo Frederick</v>
      </c>
      <c r="D84" s="11" t="s">
        <v>83</v>
      </c>
      <c r="E84" s="11">
        <v>132</v>
      </c>
      <c r="F84" s="12" t="s">
        <v>491</v>
      </c>
      <c r="G84" s="9">
        <f t="shared" si="6"/>
        <v>143.88000000000002</v>
      </c>
      <c r="H84" s="75" t="s">
        <v>835</v>
      </c>
      <c r="I84" t="str">
        <f t="shared" si="4"/>
        <v>CE 260,ED2-GEOM</v>
      </c>
      <c r="J84" s="27"/>
    </row>
    <row r="85" spans="1:10" x14ac:dyDescent="0.35">
      <c r="A85" s="11" t="s">
        <v>834</v>
      </c>
      <c r="B85" s="11" t="str">
        <v>GLASS AND CEMENT TECHNOLOGIES</v>
      </c>
      <c r="C85" s="7" t="str">
        <v>Andrews Anthony</v>
      </c>
      <c r="D85" s="11" t="s">
        <v>137</v>
      </c>
      <c r="E85" s="11">
        <v>85</v>
      </c>
      <c r="F85" s="12" t="s">
        <v>833</v>
      </c>
      <c r="G85" s="9">
        <f t="shared" si="6"/>
        <v>92.65</v>
      </c>
      <c r="H85" s="75" t="s">
        <v>614</v>
      </c>
      <c r="I85" t="str">
        <f t="shared" si="4"/>
        <v>MSE 352,ED3-MSE</v>
      </c>
      <c r="J85" s="27"/>
    </row>
    <row r="86" spans="1:10" x14ac:dyDescent="0.35">
      <c r="A86" s="11" t="s">
        <v>595</v>
      </c>
      <c r="B86" s="11" t="str">
        <v>PHYSICAL CHEMISTRY FOR ENGINEERS</v>
      </c>
      <c r="C86" s="7" t="str">
        <v>Anang Daniel Adjah</v>
      </c>
      <c r="D86" s="11" t="s">
        <v>61</v>
      </c>
      <c r="E86" s="11">
        <v>120</v>
      </c>
      <c r="F86" s="12" t="s">
        <v>463</v>
      </c>
      <c r="G86" s="9">
        <f t="shared" si="6"/>
        <v>130.80000000000001</v>
      </c>
      <c r="H86" s="75" t="s">
        <v>832</v>
      </c>
      <c r="I86" t="str">
        <f t="shared" si="4"/>
        <v>CHE 156,ED1-CHE</v>
      </c>
      <c r="J86" s="27"/>
    </row>
    <row r="87" spans="1:10" x14ac:dyDescent="0.35">
      <c r="A87" s="11" t="s">
        <v>831</v>
      </c>
      <c r="B87" s="11" t="str">
        <v>ENGINEERING WORKSHOP PRACTICE</v>
      </c>
      <c r="C87" s="7" t="str">
        <v>Michael Adusei-Bonsu</v>
      </c>
      <c r="D87" s="11" t="s">
        <v>180</v>
      </c>
      <c r="E87" s="11">
        <v>128</v>
      </c>
      <c r="F87" s="12" t="s">
        <v>830</v>
      </c>
      <c r="G87" s="9">
        <f t="shared" si="6"/>
        <v>139.52000000000001</v>
      </c>
      <c r="H87" s="75" t="s">
        <v>829</v>
      </c>
      <c r="I87" t="str">
        <f t="shared" si="4"/>
        <v>AE 196,ED1-AE</v>
      </c>
      <c r="J87" s="27"/>
    </row>
    <row r="88" spans="1:10" x14ac:dyDescent="0.35">
      <c r="A88" s="11" t="s">
        <v>828</v>
      </c>
      <c r="B88" s="11" t="str">
        <v>MEDICAL IMAGING I</v>
      </c>
      <c r="C88" s="7" t="str">
        <v>Kotei Addison Eric Clement</v>
      </c>
      <c r="D88" s="11" t="s">
        <v>174</v>
      </c>
      <c r="E88" s="11">
        <v>90</v>
      </c>
      <c r="F88" s="24" t="s">
        <v>108</v>
      </c>
      <c r="G88" s="9">
        <f t="shared" si="6"/>
        <v>98.100000000000009</v>
      </c>
      <c r="H88" s="75" t="s">
        <v>680</v>
      </c>
      <c r="I88" t="str">
        <f t="shared" si="4"/>
        <v>BME 364,ED3-BME</v>
      </c>
      <c r="J88" s="27"/>
    </row>
    <row r="89" spans="1:10" x14ac:dyDescent="0.35">
      <c r="A89" s="11" t="s">
        <v>827</v>
      </c>
      <c r="B89" s="11" t="str">
        <v>PULP AND PAPER TECHNOLOGY</v>
      </c>
      <c r="C89" s="7" t="str">
        <v>Rockson Mizpah Ama Dziedzorm</v>
      </c>
      <c r="D89" s="33" t="s">
        <v>344</v>
      </c>
      <c r="E89" s="11">
        <v>70</v>
      </c>
      <c r="F89" s="12" t="s">
        <v>56</v>
      </c>
      <c r="G89" s="9">
        <f t="shared" si="6"/>
        <v>76.300000000000011</v>
      </c>
      <c r="H89" s="75" t="s">
        <v>169</v>
      </c>
      <c r="I89" t="str">
        <f t="shared" si="4"/>
        <v>CHE 466,ED4-CHE</v>
      </c>
      <c r="J89" s="27"/>
    </row>
    <row r="90" spans="1:10" x14ac:dyDescent="0.35">
      <c r="A90" s="11" t="s">
        <v>826</v>
      </c>
      <c r="B90" s="11" t="str">
        <v>SWITCHING ENGINEERING IN COMMUNICATION</v>
      </c>
      <c r="C90" s="7" t="str">
        <v>Obour Agyekum Kwame Opuni-Boachie</v>
      </c>
      <c r="D90" s="11" t="s">
        <v>151</v>
      </c>
      <c r="E90" s="11">
        <v>10</v>
      </c>
      <c r="F90" s="57" t="s">
        <v>132</v>
      </c>
      <c r="G90" s="9">
        <f t="shared" si="6"/>
        <v>10.9</v>
      </c>
      <c r="H90" s="75">
        <v>10</v>
      </c>
      <c r="I90" t="str">
        <f t="shared" si="4"/>
        <v>TE 384,ED3-EE</v>
      </c>
      <c r="J90" s="27"/>
    </row>
    <row r="91" spans="1:10" x14ac:dyDescent="0.35">
      <c r="A91" s="11" t="s">
        <v>825</v>
      </c>
      <c r="B91" s="11" t="str">
        <v>SWITCHING ENGINEERING IN COMMUNICATION</v>
      </c>
      <c r="C91" s="7" t="str">
        <v>Agyekum Kwame Agyeman-Prempeh</v>
      </c>
      <c r="D91" s="11" t="s">
        <v>199</v>
      </c>
      <c r="E91" s="11">
        <v>140</v>
      </c>
      <c r="F91" s="57" t="s">
        <v>662</v>
      </c>
      <c r="G91" s="9">
        <f t="shared" si="6"/>
        <v>152.60000000000002</v>
      </c>
      <c r="H91" s="75" t="s">
        <v>824</v>
      </c>
      <c r="I91" t="str">
        <f t="shared" si="4"/>
        <v>TE 356,ED3-TEL</v>
      </c>
      <c r="J91" s="27"/>
    </row>
    <row r="92" spans="1:10" x14ac:dyDescent="0.35">
      <c r="A92" s="11" t="s">
        <v>823</v>
      </c>
      <c r="B92" s="5" t="str">
        <v>MICROPROCESSORS AND MECHATRONICS APPLICATIONS</v>
      </c>
      <c r="C92" s="52" t="str">
        <v>Sackey Michael Nii</v>
      </c>
      <c r="D92" s="11" t="s">
        <v>64</v>
      </c>
      <c r="E92" s="11">
        <v>40</v>
      </c>
      <c r="F92" s="12" t="s">
        <v>822</v>
      </c>
      <c r="G92" s="9">
        <f t="shared" si="6"/>
        <v>43.6</v>
      </c>
      <c r="H92" s="75" t="s">
        <v>212</v>
      </c>
      <c r="I92" t="str">
        <f t="shared" ref="I92:I118" si="7">CONCATENATE(A92,",",D92)</f>
        <v>AME 384,ED3-AUTO</v>
      </c>
      <c r="J92" s="27"/>
    </row>
    <row r="93" spans="1:10" x14ac:dyDescent="0.35">
      <c r="A93" s="11" t="s">
        <v>821</v>
      </c>
      <c r="B93" s="11" t="str">
        <v>COMPUTER-AIDED DESIGN AND MODELLING</v>
      </c>
      <c r="C93" s="7" t="str">
        <v>Sackey Michael Nii</v>
      </c>
      <c r="D93" s="11" t="s">
        <v>21</v>
      </c>
      <c r="E93" s="11">
        <v>75</v>
      </c>
      <c r="F93" s="12" t="s">
        <v>28</v>
      </c>
      <c r="G93" s="9">
        <f t="shared" si="6"/>
        <v>81.75</v>
      </c>
      <c r="H93" s="75">
        <v>75</v>
      </c>
      <c r="I93" t="str">
        <f t="shared" si="7"/>
        <v>ME 258,ED2-AERO</v>
      </c>
      <c r="J93" s="27"/>
    </row>
    <row r="94" spans="1:10" x14ac:dyDescent="0.35">
      <c r="A94" s="11" t="s">
        <v>820</v>
      </c>
      <c r="B94" s="11" t="str">
        <v>ADVANCED MANUFACTURING TECHNOLOGY I</v>
      </c>
      <c r="C94" s="7" t="str">
        <v>Takyi Gabriel</v>
      </c>
      <c r="D94" s="11" t="s">
        <v>170</v>
      </c>
      <c r="E94" s="11">
        <v>70</v>
      </c>
      <c r="F94" s="12" t="s">
        <v>26</v>
      </c>
      <c r="G94" s="9">
        <f t="shared" si="6"/>
        <v>76.300000000000011</v>
      </c>
      <c r="H94" s="75">
        <v>70</v>
      </c>
      <c r="I94" t="str">
        <f t="shared" si="7"/>
        <v>IE 366,ED3-IND</v>
      </c>
      <c r="J94" s="27"/>
    </row>
    <row r="95" spans="1:10" x14ac:dyDescent="0.35">
      <c r="A95" s="28" t="s">
        <v>819</v>
      </c>
      <c r="B95" s="11" t="str">
        <v>FARM MACHINERY DESIGN</v>
      </c>
      <c r="C95" s="7" t="str">
        <v>Aveyire Joseph</v>
      </c>
      <c r="D95" s="28" t="s">
        <v>201</v>
      </c>
      <c r="E95" s="11">
        <v>103</v>
      </c>
      <c r="F95" s="5" t="s">
        <v>818</v>
      </c>
      <c r="G95" s="9">
        <f t="shared" si="6"/>
        <v>112.27000000000001</v>
      </c>
      <c r="H95" s="75" t="s">
        <v>817</v>
      </c>
      <c r="I95" t="str">
        <f t="shared" si="7"/>
        <v>AE 482,ED4-AE</v>
      </c>
      <c r="J95" s="27"/>
    </row>
    <row r="96" spans="1:10" x14ac:dyDescent="0.35">
      <c r="A96" s="11" t="s">
        <v>816</v>
      </c>
      <c r="B96" s="11" t="str">
        <v>COMPUTER APPLICATIONS IN CIVIL ENGINEERING</v>
      </c>
      <c r="C96" s="7" t="str">
        <v>Ayeh Felix Jojo Fianko</v>
      </c>
      <c r="D96" s="11" t="s">
        <v>7</v>
      </c>
      <c r="E96" s="11">
        <v>240</v>
      </c>
      <c r="F96" s="12" t="s">
        <v>815</v>
      </c>
      <c r="G96" s="9">
        <f t="shared" si="6"/>
        <v>261.60000000000002</v>
      </c>
      <c r="H96" s="75" t="s">
        <v>814</v>
      </c>
      <c r="I96" t="str">
        <f t="shared" si="7"/>
        <v>CE 452,ED4-CE</v>
      </c>
      <c r="J96" s="27"/>
    </row>
    <row r="97" spans="1:10" x14ac:dyDescent="0.35">
      <c r="D97" s="7" t="s">
        <v>813</v>
      </c>
      <c r="E97" s="6">
        <f>SUM(E82:E96)</f>
        <v>1622</v>
      </c>
      <c r="I97" t="str">
        <f t="shared" si="7"/>
        <v>,Total M4</v>
      </c>
      <c r="J97" s="27"/>
    </row>
    <row r="98" spans="1:10" x14ac:dyDescent="0.35">
      <c r="I98" t="str">
        <f t="shared" si="7"/>
        <v>,</v>
      </c>
      <c r="J98" s="27"/>
    </row>
    <row r="99" spans="1:10" x14ac:dyDescent="0.35">
      <c r="I99" t="str">
        <f t="shared" si="7"/>
        <v>,</v>
      </c>
      <c r="J99" s="27"/>
    </row>
    <row r="100" spans="1:10" x14ac:dyDescent="0.35">
      <c r="A100" s="93" t="s">
        <v>784</v>
      </c>
      <c r="B100" s="93"/>
      <c r="C100" s="93"/>
      <c r="D100" s="93"/>
      <c r="E100" s="93"/>
      <c r="F100" s="93"/>
      <c r="G100" s="93"/>
      <c r="H100" s="19"/>
      <c r="I100" t="str">
        <f t="shared" si="7"/>
        <v>Monday, 6 July 2026,</v>
      </c>
      <c r="J100" s="27"/>
    </row>
    <row r="101" spans="1:10" x14ac:dyDescent="0.35">
      <c r="A101" s="82" t="str">
        <f>[3]SESSIONS!$K$5</f>
        <v>Session, 5 (3:15 PM - 4:15 PM)</v>
      </c>
      <c r="B101" s="83"/>
      <c r="C101" s="83"/>
      <c r="D101" s="83"/>
      <c r="E101" s="83"/>
      <c r="F101" s="83"/>
      <c r="G101" s="84"/>
      <c r="H101" s="19"/>
      <c r="I101" t="str">
        <f t="shared" si="7"/>
        <v>Session, 5 (3:15 PM - 4:15 PM),</v>
      </c>
      <c r="J101" s="27"/>
    </row>
    <row r="102" spans="1:10" x14ac:dyDescent="0.35">
      <c r="A102" s="22" t="s">
        <v>52</v>
      </c>
      <c r="B102" s="22" t="s">
        <v>51</v>
      </c>
      <c r="C102" s="31" t="s">
        <v>50</v>
      </c>
      <c r="D102" s="22" t="s">
        <v>49</v>
      </c>
      <c r="E102" s="22" t="s">
        <v>48</v>
      </c>
      <c r="F102" s="21" t="s">
        <v>47</v>
      </c>
      <c r="G102" s="20" t="s">
        <v>46</v>
      </c>
      <c r="H102" s="19"/>
      <c r="I102" t="str">
        <f t="shared" si="7"/>
        <v>CODE ,CLASS</v>
      </c>
      <c r="J102" s="27"/>
    </row>
    <row r="103" spans="1:10" x14ac:dyDescent="0.35">
      <c r="A103" s="11" t="s">
        <v>812</v>
      </c>
      <c r="B103" s="11" t="str" cm="1">
        <f t="array" ref="B103:B117">IFERROR(VLOOKUP(I103:I117,[1]Lectures_1!A2:F535,2,FALSE),0)</f>
        <v>INTRODUCTION TO SOIL MECHANICS</v>
      </c>
      <c r="C103" s="7" t="str" cm="1">
        <f t="array" ref="C103:C117">IFERROR(VLOOKUP(I103:I117,[1]Lectures_1!A2:F535,3,FALSE),0)</f>
        <v>Amenuvor Andrew Cudzo</v>
      </c>
      <c r="D103" s="11" t="s">
        <v>11</v>
      </c>
      <c r="E103" s="11" cm="1">
        <f t="array" ref="E103:E117">IFERROR(VLOOKUP(I103:I117,[1]Lectures_1!A2:F535,4,FALSE),0)</f>
        <v>150</v>
      </c>
      <c r="F103" s="51" t="s">
        <v>811</v>
      </c>
      <c r="G103" s="9">
        <f t="shared" ref="G103:G117" si="8">E103*1.09</f>
        <v>163.5</v>
      </c>
      <c r="H103" s="75" t="s">
        <v>810</v>
      </c>
      <c r="I103" t="str">
        <f t="shared" si="7"/>
        <v>GED 262,ED2-GEOL</v>
      </c>
      <c r="J103" s="27"/>
    </row>
    <row r="104" spans="1:10" x14ac:dyDescent="0.35">
      <c r="A104" s="11" t="s">
        <v>809</v>
      </c>
      <c r="B104" s="11" t="str">
        <v>COMPUTER APPLICATIONS</v>
      </c>
      <c r="C104" s="7" t="str">
        <v>Albert Kwame Kwaw</v>
      </c>
      <c r="D104" s="11" t="s">
        <v>99</v>
      </c>
      <c r="E104" s="11">
        <v>125</v>
      </c>
      <c r="F104" s="51" t="s">
        <v>808</v>
      </c>
      <c r="G104" s="9">
        <f t="shared" si="8"/>
        <v>136.25</v>
      </c>
      <c r="H104" s="75" t="s">
        <v>807</v>
      </c>
      <c r="I104" t="str">
        <f t="shared" si="7"/>
        <v>GED 164,ED1-GEOL</v>
      </c>
      <c r="J104" s="27"/>
    </row>
    <row r="105" spans="1:10" x14ac:dyDescent="0.35">
      <c r="A105" s="11" t="s">
        <v>806</v>
      </c>
      <c r="B105" s="11" t="str">
        <v>COMPUTER PROGRAMMING IN OIL AND GAS</v>
      </c>
      <c r="C105" s="7" t="str">
        <v>Sokama-Neuyam Yen Adams</v>
      </c>
      <c r="D105" s="11" t="s">
        <v>224</v>
      </c>
      <c r="E105" s="11">
        <v>95</v>
      </c>
      <c r="F105" s="12" t="s">
        <v>805</v>
      </c>
      <c r="G105" s="9">
        <f t="shared" si="8"/>
        <v>103.55000000000001</v>
      </c>
      <c r="H105" s="75" t="s">
        <v>804</v>
      </c>
      <c r="I105" t="str">
        <f t="shared" si="7"/>
        <v>PE 262,ED2-PE</v>
      </c>
      <c r="J105" s="27"/>
    </row>
    <row r="106" spans="1:10" x14ac:dyDescent="0.35">
      <c r="A106" s="11" t="s">
        <v>803</v>
      </c>
      <c r="B106" s="11" t="str">
        <v>PROPERTIES OF CIVIL ENGINEERING MATERIAL</v>
      </c>
      <c r="C106" s="7" t="str">
        <v>Kankam Charles Kwame</v>
      </c>
      <c r="D106" s="11" t="s">
        <v>96</v>
      </c>
      <c r="E106" s="11">
        <v>245</v>
      </c>
      <c r="F106" s="12" t="s">
        <v>802</v>
      </c>
      <c r="G106" s="9">
        <f t="shared" si="8"/>
        <v>267.05</v>
      </c>
      <c r="H106" s="75" t="s">
        <v>801</v>
      </c>
      <c r="I106" t="str">
        <f t="shared" si="7"/>
        <v>CE 154,ED1-CE</v>
      </c>
      <c r="J106" s="27"/>
    </row>
    <row r="107" spans="1:10" x14ac:dyDescent="0.35">
      <c r="A107" s="11" t="s">
        <v>800</v>
      </c>
      <c r="B107" s="11" t="str">
        <v>FOUNDATION ENGINEERING</v>
      </c>
      <c r="C107" s="7" t="str">
        <v>Amenuvor Andrew Cudzo</v>
      </c>
      <c r="D107" s="11" t="s">
        <v>140</v>
      </c>
      <c r="E107" s="11">
        <v>154</v>
      </c>
      <c r="F107" s="51" t="s">
        <v>799</v>
      </c>
      <c r="G107" s="9">
        <f t="shared" si="8"/>
        <v>167.86</v>
      </c>
      <c r="H107" s="75" t="s">
        <v>798</v>
      </c>
      <c r="I107" t="str">
        <f t="shared" si="7"/>
        <v>GED 370,ED3-GEOL</v>
      </c>
      <c r="J107" s="27"/>
    </row>
    <row r="108" spans="1:10" x14ac:dyDescent="0.35">
      <c r="A108" s="11" t="s">
        <v>797</v>
      </c>
      <c r="B108" s="11" t="str">
        <v>ROBOTICS AND COMPUTER VISION</v>
      </c>
      <c r="C108" s="7" t="str">
        <v>Klogo Griffith Selorm</v>
      </c>
      <c r="D108" s="11" t="s">
        <v>249</v>
      </c>
      <c r="E108" s="11">
        <v>45</v>
      </c>
      <c r="F108" s="24" t="s">
        <v>176</v>
      </c>
      <c r="G108" s="9">
        <f t="shared" si="8"/>
        <v>49.050000000000004</v>
      </c>
      <c r="H108" s="75">
        <v>45</v>
      </c>
      <c r="I108" t="str">
        <f t="shared" si="7"/>
        <v>COE 458,ED4-COE</v>
      </c>
      <c r="J108" s="27"/>
    </row>
    <row r="109" spans="1:10" x14ac:dyDescent="0.35">
      <c r="A109" s="11" t="s">
        <v>796</v>
      </c>
      <c r="B109" s="11" t="str">
        <v>ADSORPTION SEPARATION PROCESS TECHNOLOGY</v>
      </c>
      <c r="C109" s="7" t="str">
        <v>Ohemeng-Boahen Godfred</v>
      </c>
      <c r="D109" s="11" t="s">
        <v>341</v>
      </c>
      <c r="E109" s="11">
        <v>40</v>
      </c>
      <c r="F109" s="12" t="s">
        <v>682</v>
      </c>
      <c r="G109" s="9">
        <f t="shared" si="8"/>
        <v>43.6</v>
      </c>
      <c r="H109" s="75" t="s">
        <v>212</v>
      </c>
      <c r="I109" t="str">
        <f t="shared" si="7"/>
        <v>CHE 464,ED4-PCE</v>
      </c>
      <c r="J109" s="27"/>
    </row>
    <row r="110" spans="1:10" x14ac:dyDescent="0.35">
      <c r="A110" s="47" t="s">
        <v>795</v>
      </c>
      <c r="B110" s="47" t="str">
        <v>SILICATE TECHNOLOGY II</v>
      </c>
      <c r="C110" s="73" t="str">
        <v>Momade Zsuzsanna Gál</v>
      </c>
      <c r="D110" s="47" t="s">
        <v>107</v>
      </c>
      <c r="E110" s="47">
        <v>15</v>
      </c>
      <c r="F110" s="57" t="s">
        <v>245</v>
      </c>
      <c r="G110" s="72">
        <f t="shared" si="8"/>
        <v>16.350000000000001</v>
      </c>
      <c r="H110" s="79">
        <v>15</v>
      </c>
      <c r="I110" t="str">
        <f t="shared" si="7"/>
        <v>CHE 362,ED3-CHE</v>
      </c>
      <c r="J110" s="27"/>
    </row>
    <row r="111" spans="1:10" x14ac:dyDescent="0.35">
      <c r="A111" s="11" t="s">
        <v>792</v>
      </c>
      <c r="B111" s="11" t="str">
        <v>HEAT TRANSFER</v>
      </c>
      <c r="C111" s="7" t="str">
        <v>Forson Francis Kofi</v>
      </c>
      <c r="D111" s="11" t="s">
        <v>164</v>
      </c>
      <c r="E111" s="11">
        <v>222</v>
      </c>
      <c r="F111" s="12" t="s">
        <v>730</v>
      </c>
      <c r="G111" s="9">
        <f t="shared" si="8"/>
        <v>241.98000000000002</v>
      </c>
      <c r="H111" s="75" t="s">
        <v>794</v>
      </c>
      <c r="I111" t="str">
        <f t="shared" si="7"/>
        <v>ME 366,ED3-ME</v>
      </c>
      <c r="J111" s="27"/>
    </row>
    <row r="112" spans="1:10" x14ac:dyDescent="0.35">
      <c r="A112" s="11" t="s">
        <v>792</v>
      </c>
      <c r="B112" s="11" t="str">
        <v>HEAT TRANSFER</v>
      </c>
      <c r="C112" s="7" t="str">
        <v>Forson Francis Kofi</v>
      </c>
      <c r="D112" s="11" t="s">
        <v>29</v>
      </c>
      <c r="E112" s="11">
        <v>76</v>
      </c>
      <c r="F112" s="57" t="s">
        <v>28</v>
      </c>
      <c r="G112" s="9">
        <f t="shared" si="8"/>
        <v>82.84</v>
      </c>
      <c r="H112" s="75">
        <v>76</v>
      </c>
      <c r="I112" t="str">
        <f t="shared" si="7"/>
        <v>ME 366,ED3-AERO</v>
      </c>
      <c r="J112" s="27"/>
    </row>
    <row r="113" spans="1:10" x14ac:dyDescent="0.35">
      <c r="A113" s="11" t="s">
        <v>792</v>
      </c>
      <c r="B113" s="11" t="str">
        <v>HEAT TRANSFER</v>
      </c>
      <c r="C113" s="7" t="str">
        <v>Forson Francis Kofi</v>
      </c>
      <c r="D113" s="11" t="s">
        <v>189</v>
      </c>
      <c r="E113" s="11">
        <v>101</v>
      </c>
      <c r="F113" s="57" t="s">
        <v>43</v>
      </c>
      <c r="G113" s="9">
        <f t="shared" si="8"/>
        <v>110.09</v>
      </c>
      <c r="H113" s="75" t="s">
        <v>793</v>
      </c>
      <c r="I113" t="str">
        <f t="shared" si="7"/>
        <v>ME 366,ED3-AE</v>
      </c>
      <c r="J113" s="27"/>
    </row>
    <row r="114" spans="1:10" x14ac:dyDescent="0.35">
      <c r="A114" s="11" t="s">
        <v>792</v>
      </c>
      <c r="B114" s="11" t="str">
        <v>HEAT TRANSFER</v>
      </c>
      <c r="C114" s="7" t="str">
        <v>Forson Francis Kofi</v>
      </c>
      <c r="D114" s="11" t="s">
        <v>147</v>
      </c>
      <c r="E114" s="11">
        <v>40</v>
      </c>
      <c r="F114" s="3" t="s">
        <v>322</v>
      </c>
      <c r="G114" s="9">
        <f t="shared" si="8"/>
        <v>43.6</v>
      </c>
      <c r="H114" s="75">
        <v>40</v>
      </c>
      <c r="I114" t="str">
        <f t="shared" si="7"/>
        <v>ME 366,ED3-MARI</v>
      </c>
      <c r="J114" s="27"/>
    </row>
    <row r="115" spans="1:10" x14ac:dyDescent="0.35">
      <c r="A115" s="11" t="s">
        <v>770</v>
      </c>
      <c r="B115" s="11" t="str">
        <v>OPTICAL AND THERMAL BEHAVIOUR OF MATERIALS</v>
      </c>
      <c r="C115" s="7" t="str">
        <v>Nartey Martinson Addo</v>
      </c>
      <c r="D115" s="11" t="s">
        <v>123</v>
      </c>
      <c r="E115" s="11">
        <v>75</v>
      </c>
      <c r="F115" s="78" t="s">
        <v>791</v>
      </c>
      <c r="G115" s="9">
        <f t="shared" si="8"/>
        <v>81.75</v>
      </c>
      <c r="H115" s="75" t="s">
        <v>790</v>
      </c>
      <c r="I115" t="str">
        <f t="shared" si="7"/>
        <v>MSE 154,ED1-METE</v>
      </c>
      <c r="J115" s="27"/>
    </row>
    <row r="116" spans="1:10" x14ac:dyDescent="0.35">
      <c r="A116" s="11" t="s">
        <v>770</v>
      </c>
      <c r="B116" s="11" t="str">
        <v>OPTICAL AND THERMAL BEHAVIOUR OF MATERIALS</v>
      </c>
      <c r="C116" s="7" t="str">
        <v>Nartey Martinson Addo</v>
      </c>
      <c r="D116" s="11" t="s">
        <v>126</v>
      </c>
      <c r="E116" s="11">
        <v>100</v>
      </c>
      <c r="F116" s="32" t="s">
        <v>789</v>
      </c>
      <c r="G116" s="9">
        <f t="shared" si="8"/>
        <v>109.00000000000001</v>
      </c>
      <c r="H116" s="75" t="s">
        <v>788</v>
      </c>
      <c r="I116" t="str">
        <f t="shared" si="7"/>
        <v>MSE 154,ED1-MSE</v>
      </c>
      <c r="J116" s="27"/>
    </row>
    <row r="117" spans="1:10" x14ac:dyDescent="0.35">
      <c r="A117" s="11" t="s">
        <v>787</v>
      </c>
      <c r="B117" s="11" t="str">
        <v>ADVANCED ENGINEERING GEOLLOGY</v>
      </c>
      <c r="C117" s="7" t="str">
        <v>Gidigasu Solomon Senyo Robert</v>
      </c>
      <c r="D117" s="11" t="s">
        <v>3</v>
      </c>
      <c r="E117" s="11">
        <v>95</v>
      </c>
      <c r="F117" s="12" t="s">
        <v>108</v>
      </c>
      <c r="G117" s="9">
        <f t="shared" si="8"/>
        <v>103.55000000000001</v>
      </c>
      <c r="H117" s="75" t="s">
        <v>786</v>
      </c>
      <c r="I117" t="str">
        <f t="shared" si="7"/>
        <v>GED 452,ED4-GEOL</v>
      </c>
      <c r="J117" s="27"/>
    </row>
    <row r="118" spans="1:10" x14ac:dyDescent="0.35">
      <c r="D118" s="7" t="s">
        <v>785</v>
      </c>
      <c r="E118" s="6">
        <f>SUM(E103:E117)</f>
        <v>1578</v>
      </c>
      <c r="I118" t="str">
        <f t="shared" si="7"/>
        <v>,Total M5</v>
      </c>
      <c r="J118" s="27"/>
    </row>
    <row r="119" spans="1:10" x14ac:dyDescent="0.35">
      <c r="J119" s="27"/>
    </row>
    <row r="120" spans="1:10" x14ac:dyDescent="0.35">
      <c r="J120" s="27"/>
    </row>
    <row r="121" spans="1:10" x14ac:dyDescent="0.35">
      <c r="A121" s="93" t="s">
        <v>784</v>
      </c>
      <c r="B121" s="93"/>
      <c r="C121" s="93"/>
      <c r="D121" s="93"/>
      <c r="E121" s="93"/>
      <c r="F121" s="93"/>
      <c r="G121" s="93"/>
      <c r="H121" s="19"/>
      <c r="I121" t="str">
        <f t="shared" ref="I121:I152" si="9">CONCATENATE(A121,",",D121)</f>
        <v>Monday, 6 July 2026,</v>
      </c>
      <c r="J121" s="27"/>
    </row>
    <row r="122" spans="1:10" x14ac:dyDescent="0.35">
      <c r="A122" s="82" t="str">
        <f>[3]SESSIONS!$K$6</f>
        <v>Session, 6 (5:00 PM - 6:00 PM)</v>
      </c>
      <c r="B122" s="83"/>
      <c r="C122" s="83"/>
      <c r="D122" s="83"/>
      <c r="E122" s="83"/>
      <c r="F122" s="83"/>
      <c r="G122" s="84"/>
      <c r="H122" s="19"/>
      <c r="I122" t="str">
        <f t="shared" si="9"/>
        <v>Session, 6 (5:00 PM - 6:00 PM),</v>
      </c>
      <c r="J122" s="27"/>
    </row>
    <row r="123" spans="1:10" x14ac:dyDescent="0.35">
      <c r="A123" s="22" t="s">
        <v>52</v>
      </c>
      <c r="B123" s="22" t="s">
        <v>51</v>
      </c>
      <c r="C123" s="31" t="s">
        <v>50</v>
      </c>
      <c r="D123" s="22" t="s">
        <v>49</v>
      </c>
      <c r="E123" s="22" t="s">
        <v>48</v>
      </c>
      <c r="F123" s="21" t="s">
        <v>47</v>
      </c>
      <c r="G123" s="20" t="s">
        <v>46</v>
      </c>
      <c r="H123" s="19"/>
      <c r="I123" t="str">
        <f t="shared" si="9"/>
        <v>CODE ,CLASS</v>
      </c>
      <c r="J123" s="27"/>
    </row>
    <row r="124" spans="1:10" x14ac:dyDescent="0.35">
      <c r="A124" s="11" t="s">
        <v>783</v>
      </c>
      <c r="B124" s="11" t="str" cm="1">
        <f t="array" ref="B124:B139">IFERROR(VLOOKUP(I124:I139,[1]Lectures_1!A2:F535,2,FALSE),0)</f>
        <v>INTRODUCTION TO FINITE ELEMENT</v>
      </c>
      <c r="C124" s="7" t="str" cm="1">
        <f t="array" ref="C124:C139">IFERROR(VLOOKUP(I124:I139,[1]Lectures_1!A2:F535,3,FALSE),0)</f>
        <v>Andoh Prince Yaw</v>
      </c>
      <c r="D124" s="11" t="s">
        <v>206</v>
      </c>
      <c r="E124" s="11" cm="1">
        <f t="array" ref="E124:E139">IFERROR(VLOOKUP(I124:I139,[1]Lectures_1!A2:F535,4,FALSE),0)</f>
        <v>32</v>
      </c>
      <c r="F124" s="38" t="s">
        <v>225</v>
      </c>
      <c r="G124" s="9">
        <f t="shared" ref="G124:G139" si="10">E124*1.09</f>
        <v>34.880000000000003</v>
      </c>
      <c r="H124" s="8"/>
      <c r="I124" t="str">
        <f t="shared" si="9"/>
        <v>ME 456,ED4-AUTO</v>
      </c>
      <c r="J124" s="27"/>
    </row>
    <row r="125" spans="1:10" x14ac:dyDescent="0.35">
      <c r="A125" s="11" t="s">
        <v>781</v>
      </c>
      <c r="B125" s="11" t="str">
        <v>FLUID DYNAMICS I</v>
      </c>
      <c r="C125" s="7" t="str">
        <v>Fiagbe Yesuenyeagbe Atsu Kwabla</v>
      </c>
      <c r="D125" s="11" t="s">
        <v>27</v>
      </c>
      <c r="E125" s="11">
        <v>80</v>
      </c>
      <c r="F125" s="12" t="s">
        <v>20</v>
      </c>
      <c r="G125" s="9">
        <f t="shared" si="10"/>
        <v>87.2</v>
      </c>
      <c r="H125" s="75" t="s">
        <v>373</v>
      </c>
      <c r="I125" t="str">
        <f t="shared" si="9"/>
        <v>ME 252,ED2-IND</v>
      </c>
      <c r="J125" s="27"/>
    </row>
    <row r="126" spans="1:10" x14ac:dyDescent="0.35">
      <c r="A126" s="11" t="s">
        <v>781</v>
      </c>
      <c r="B126" s="11" t="str">
        <v>FLUID DYNAMICS I</v>
      </c>
      <c r="C126" s="7" t="str">
        <v>Fiagbe Yesuenyeagbe Atsu Kwabla</v>
      </c>
      <c r="D126" s="11" t="s">
        <v>220</v>
      </c>
      <c r="E126" s="11">
        <v>37</v>
      </c>
      <c r="F126" s="12" t="s">
        <v>782</v>
      </c>
      <c r="G126" s="9">
        <f t="shared" si="10"/>
        <v>40.330000000000005</v>
      </c>
      <c r="H126" s="75" t="s">
        <v>219</v>
      </c>
      <c r="I126" t="str">
        <f t="shared" si="9"/>
        <v>ME 252,ED2-MARI</v>
      </c>
      <c r="J126" s="27"/>
    </row>
    <row r="127" spans="1:10" x14ac:dyDescent="0.35">
      <c r="A127" s="11" t="s">
        <v>781</v>
      </c>
      <c r="B127" s="11" t="str">
        <v>FLUID DYNAMICS I</v>
      </c>
      <c r="C127" s="7" t="str">
        <v>Fiagbe Yesuenyeagbe Atsu Kwabla</v>
      </c>
      <c r="D127" s="11" t="s">
        <v>25</v>
      </c>
      <c r="E127" s="11">
        <v>240</v>
      </c>
      <c r="F127" s="12" t="s">
        <v>730</v>
      </c>
      <c r="G127" s="9">
        <f t="shared" si="10"/>
        <v>261.60000000000002</v>
      </c>
      <c r="H127" s="75" t="s">
        <v>729</v>
      </c>
      <c r="I127" t="str">
        <f t="shared" si="9"/>
        <v>ME 252,ED2-ME</v>
      </c>
      <c r="J127" s="27"/>
    </row>
    <row r="128" spans="1:10" ht="16.5" customHeight="1" x14ac:dyDescent="0.35">
      <c r="A128" s="11" t="s">
        <v>781</v>
      </c>
      <c r="B128" s="11" t="str">
        <v>FLUID DYNAMICS I</v>
      </c>
      <c r="C128" s="7" t="str">
        <v>Fiagbe Yesuenyeagbe Atsu Kwabla</v>
      </c>
      <c r="D128" s="11" t="s">
        <v>67</v>
      </c>
      <c r="E128" s="11">
        <v>82</v>
      </c>
      <c r="F128" s="12" t="s">
        <v>98</v>
      </c>
      <c r="G128" s="9">
        <f t="shared" si="10"/>
        <v>89.38000000000001</v>
      </c>
      <c r="H128" s="75" t="s">
        <v>780</v>
      </c>
      <c r="I128" t="str">
        <f t="shared" si="9"/>
        <v>ME 252,ED2-AUTO</v>
      </c>
      <c r="J128" s="27"/>
    </row>
    <row r="129" spans="1:10" x14ac:dyDescent="0.35">
      <c r="A129" s="11" t="s">
        <v>779</v>
      </c>
      <c r="B129" s="11" t="str">
        <v>ELECTROMAGNETIC FIELDS</v>
      </c>
      <c r="C129" s="7" t="str">
        <v>Yeboah-Akowuah Bright</v>
      </c>
      <c r="D129" s="11" t="s">
        <v>86</v>
      </c>
      <c r="E129" s="11">
        <v>255</v>
      </c>
      <c r="F129" s="12" t="s">
        <v>778</v>
      </c>
      <c r="G129" s="9">
        <f t="shared" si="10"/>
        <v>277.95000000000005</v>
      </c>
      <c r="H129" s="75" t="s">
        <v>777</v>
      </c>
      <c r="I129" t="str">
        <f t="shared" si="9"/>
        <v>TE 262,ED2-COE</v>
      </c>
      <c r="J129" s="27"/>
    </row>
    <row r="130" spans="1:10" x14ac:dyDescent="0.35">
      <c r="A130" s="47" t="s">
        <v>776</v>
      </c>
      <c r="B130" s="11" t="str">
        <v>METALLURGICAL RATE PROCESSES/SURFACE PHENOMENA</v>
      </c>
      <c r="C130" s="7" t="str">
        <v>Patrick Aggrey</v>
      </c>
      <c r="D130" s="11" t="s">
        <v>75</v>
      </c>
      <c r="E130" s="11">
        <v>57</v>
      </c>
      <c r="F130" s="12" t="s">
        <v>775</v>
      </c>
      <c r="G130" s="9">
        <f t="shared" si="10"/>
        <v>62.13</v>
      </c>
      <c r="H130" s="75" t="s">
        <v>697</v>
      </c>
      <c r="I130" t="str">
        <f t="shared" si="9"/>
        <v>METE 252,ED2-METE</v>
      </c>
      <c r="J130" s="27"/>
    </row>
    <row r="131" spans="1:10" x14ac:dyDescent="0.35">
      <c r="A131" s="11" t="s">
        <v>774</v>
      </c>
      <c r="B131" s="11" t="str">
        <v>COMPUTER PROGRAMMING FOR ENGINEERS</v>
      </c>
      <c r="C131" s="7" t="str">
        <v>Dzebre Denis Edem Kwame</v>
      </c>
      <c r="D131" s="11" t="s">
        <v>260</v>
      </c>
      <c r="E131" s="11">
        <v>83</v>
      </c>
      <c r="F131" s="12" t="s">
        <v>26</v>
      </c>
      <c r="G131" s="9">
        <f t="shared" si="10"/>
        <v>90.470000000000013</v>
      </c>
      <c r="H131" s="75">
        <v>83</v>
      </c>
      <c r="I131" t="str">
        <f t="shared" si="9"/>
        <v>ME 168,ED1-IND</v>
      </c>
      <c r="J131" s="27"/>
    </row>
    <row r="132" spans="1:10" x14ac:dyDescent="0.35">
      <c r="A132" s="11" t="s">
        <v>774</v>
      </c>
      <c r="B132" s="11" t="str">
        <v>COMPUTER PROGRAMMING FOR ENGINEERS</v>
      </c>
      <c r="C132" s="7" t="str">
        <v>Dzebre Denis Edem Kwame</v>
      </c>
      <c r="D132" s="11" t="s">
        <v>93</v>
      </c>
      <c r="E132" s="11">
        <v>46</v>
      </c>
      <c r="F132" s="12" t="s">
        <v>192</v>
      </c>
      <c r="G132" s="9">
        <f t="shared" si="10"/>
        <v>50.14</v>
      </c>
      <c r="H132" s="75">
        <v>46</v>
      </c>
      <c r="I132" t="str">
        <f t="shared" si="9"/>
        <v>ME 168,ED1-MARI</v>
      </c>
      <c r="J132" s="27"/>
    </row>
    <row r="133" spans="1:10" x14ac:dyDescent="0.35">
      <c r="A133" s="11" t="s">
        <v>774</v>
      </c>
      <c r="B133" s="11" t="str">
        <v>COMPUTER PROGRAMMING FOR ENGINEERS</v>
      </c>
      <c r="C133" s="7" t="str">
        <v>Tay Godwin Fabiola Kwaku</v>
      </c>
      <c r="D133" s="11" t="s">
        <v>277</v>
      </c>
      <c r="E133" s="11">
        <v>70</v>
      </c>
      <c r="F133" s="12" t="s">
        <v>688</v>
      </c>
      <c r="G133" s="9">
        <f t="shared" si="10"/>
        <v>76.300000000000011</v>
      </c>
      <c r="H133" s="75" t="s">
        <v>535</v>
      </c>
      <c r="I133" t="str">
        <f t="shared" si="9"/>
        <v>ME 168,ED1-AERO</v>
      </c>
      <c r="J133" s="27"/>
    </row>
    <row r="134" spans="1:10" x14ac:dyDescent="0.35">
      <c r="A134" s="11" t="s">
        <v>774</v>
      </c>
      <c r="B134" s="11" t="str">
        <v>COMPUTER PROGRAMMING FOR ENGINEERS</v>
      </c>
      <c r="C134" s="7" t="str">
        <v>Tay Godwin Fabiola Kwaku</v>
      </c>
      <c r="D134" s="11" t="s">
        <v>263</v>
      </c>
      <c r="E134" s="11">
        <v>225</v>
      </c>
      <c r="F134" s="12" t="s">
        <v>742</v>
      </c>
      <c r="G134" s="9">
        <f t="shared" si="10"/>
        <v>245.25000000000003</v>
      </c>
      <c r="H134" s="75" t="s">
        <v>741</v>
      </c>
      <c r="I134" t="str">
        <f t="shared" si="9"/>
        <v>ME 168,ED1-ME</v>
      </c>
      <c r="J134" s="27"/>
    </row>
    <row r="135" spans="1:10" x14ac:dyDescent="0.35">
      <c r="A135" s="11" t="s">
        <v>773</v>
      </c>
      <c r="B135" s="11" t="str">
        <v>PETROCHEMICAL ENGINEERING LABORATORY II</v>
      </c>
      <c r="C135" s="7" t="str">
        <v>Bonsu Jude Kwaku</v>
      </c>
      <c r="D135" s="11" t="s">
        <v>32</v>
      </c>
      <c r="E135" s="11">
        <v>53</v>
      </c>
      <c r="F135" s="12" t="s">
        <v>28</v>
      </c>
      <c r="G135" s="9">
        <f t="shared" si="10"/>
        <v>57.77</v>
      </c>
      <c r="H135" s="75">
        <v>53</v>
      </c>
      <c r="I135" t="str">
        <f t="shared" si="9"/>
        <v>PCE 354,ED3-PCE</v>
      </c>
      <c r="J135" s="27"/>
    </row>
    <row r="136" spans="1:10" x14ac:dyDescent="0.35">
      <c r="A136" s="11" t="s">
        <v>772</v>
      </c>
      <c r="B136" s="11" t="str">
        <v>HEALTH SAFETY AND ENVIRONMENT</v>
      </c>
      <c r="C136" s="7" t="str">
        <v>Adjei Stephen</v>
      </c>
      <c r="D136" s="11" t="s">
        <v>57</v>
      </c>
      <c r="E136" s="11">
        <v>80</v>
      </c>
      <c r="F136" s="77" t="s">
        <v>26</v>
      </c>
      <c r="G136" s="9">
        <f t="shared" si="10"/>
        <v>87.2</v>
      </c>
      <c r="H136" s="75">
        <v>80</v>
      </c>
      <c r="I136" t="str">
        <f t="shared" si="9"/>
        <v>PE 366,ED3-PE</v>
      </c>
      <c r="J136" s="27"/>
    </row>
    <row r="137" spans="1:10" x14ac:dyDescent="0.35">
      <c r="A137" s="11" t="s">
        <v>771</v>
      </c>
      <c r="B137" s="11" t="str">
        <v>PIPELINE ENGINEERING</v>
      </c>
      <c r="C137" s="7" t="str">
        <v>Adjei Stephen</v>
      </c>
      <c r="D137" s="11" t="s">
        <v>112</v>
      </c>
      <c r="E137" s="11">
        <v>99</v>
      </c>
      <c r="F137" s="51" t="s">
        <v>28</v>
      </c>
      <c r="G137" s="9">
        <f t="shared" si="10"/>
        <v>107.91000000000001</v>
      </c>
      <c r="H137" s="75">
        <v>99</v>
      </c>
      <c r="I137" t="str">
        <f t="shared" si="9"/>
        <v>PE 474,ED4-PE</v>
      </c>
      <c r="J137" s="27"/>
    </row>
    <row r="138" spans="1:10" x14ac:dyDescent="0.35">
      <c r="A138" s="11" t="s">
        <v>770</v>
      </c>
      <c r="B138" s="11" t="str">
        <v>PRINCIPLES OF MATERIAL SCIENCE</v>
      </c>
      <c r="C138" s="7" t="str">
        <v>Agyemang Frank Ofori</v>
      </c>
      <c r="D138" s="11" t="s">
        <v>90</v>
      </c>
      <c r="E138" s="11">
        <v>80</v>
      </c>
      <c r="F138" s="57" t="s">
        <v>20</v>
      </c>
      <c r="G138" s="9">
        <f t="shared" si="10"/>
        <v>87.2</v>
      </c>
      <c r="H138" s="8" t="s">
        <v>373</v>
      </c>
      <c r="I138" t="str">
        <f t="shared" si="9"/>
        <v>MSE 154,ED2-BME</v>
      </c>
      <c r="J138" s="27"/>
    </row>
    <row r="139" spans="1:10" x14ac:dyDescent="0.35">
      <c r="A139" s="11" t="s">
        <v>769</v>
      </c>
      <c r="B139" s="11" t="str">
        <v>MECHANICAL ENGINEERING MATERIALS II</v>
      </c>
      <c r="C139" s="7" t="str">
        <v>Agyemang Frank Ofori</v>
      </c>
      <c r="D139" s="11" t="s">
        <v>222</v>
      </c>
      <c r="E139" s="11">
        <v>155</v>
      </c>
      <c r="F139" s="12" t="s">
        <v>768</v>
      </c>
      <c r="G139" s="9">
        <f t="shared" si="10"/>
        <v>168.95000000000002</v>
      </c>
      <c r="H139" s="75" t="s">
        <v>767</v>
      </c>
      <c r="I139" t="str">
        <f t="shared" si="9"/>
        <v>ME 282,ED2-AE</v>
      </c>
      <c r="J139" s="27"/>
    </row>
    <row r="140" spans="1:10" x14ac:dyDescent="0.35">
      <c r="D140" s="7" t="s">
        <v>766</v>
      </c>
      <c r="E140" s="6">
        <f>SUM(E125:E139)</f>
        <v>1642</v>
      </c>
      <c r="I140" t="str">
        <f t="shared" si="9"/>
        <v>,Total M6</v>
      </c>
      <c r="J140" s="27"/>
    </row>
    <row r="141" spans="1:10" x14ac:dyDescent="0.35">
      <c r="D141" s="35"/>
      <c r="E141" s="52"/>
      <c r="I141" t="str">
        <f t="shared" si="9"/>
        <v>,</v>
      </c>
      <c r="J141" s="27"/>
    </row>
    <row r="142" spans="1:10" x14ac:dyDescent="0.35">
      <c r="D142" s="35"/>
      <c r="E142" s="52"/>
      <c r="I142" t="str">
        <f t="shared" si="9"/>
        <v>,</v>
      </c>
      <c r="J142" s="27"/>
    </row>
    <row r="143" spans="1:10" x14ac:dyDescent="0.35">
      <c r="A143" s="93" t="s">
        <v>636</v>
      </c>
      <c r="B143" s="93"/>
      <c r="C143" s="93"/>
      <c r="D143" s="93"/>
      <c r="E143" s="93"/>
      <c r="F143" s="93"/>
      <c r="G143" s="93"/>
      <c r="H143" s="19"/>
      <c r="I143" t="str">
        <f t="shared" si="9"/>
        <v>Tuesday, 7 July 2026,</v>
      </c>
      <c r="J143" s="27"/>
    </row>
    <row r="144" spans="1:10" x14ac:dyDescent="0.35">
      <c r="A144" s="82" t="str">
        <f>[3]SESSIONS!$K$1</f>
        <v>Session, 1 (8:15 AM - 9:15 AM)</v>
      </c>
      <c r="B144" s="83"/>
      <c r="C144" s="83"/>
      <c r="D144" s="83"/>
      <c r="E144" s="83"/>
      <c r="F144" s="83"/>
      <c r="G144" s="84"/>
      <c r="H144" s="19"/>
      <c r="I144" t="str">
        <f t="shared" si="9"/>
        <v>Session, 1 (8:15 AM - 9:15 AM),</v>
      </c>
      <c r="J144" s="27"/>
    </row>
    <row r="145" spans="1:10" x14ac:dyDescent="0.35">
      <c r="A145" s="22" t="s">
        <v>52</v>
      </c>
      <c r="B145" s="22" t="s">
        <v>51</v>
      </c>
      <c r="C145" s="31" t="s">
        <v>50</v>
      </c>
      <c r="D145" s="22" t="s">
        <v>49</v>
      </c>
      <c r="E145" s="22" t="s">
        <v>48</v>
      </c>
      <c r="F145" s="21" t="s">
        <v>47</v>
      </c>
      <c r="G145" s="20" t="s">
        <v>46</v>
      </c>
      <c r="H145" s="19"/>
      <c r="I145" t="str">
        <f t="shared" si="9"/>
        <v>CODE ,CLASS</v>
      </c>
      <c r="J145" s="27"/>
    </row>
    <row r="146" spans="1:10" x14ac:dyDescent="0.35">
      <c r="A146" s="11" t="s">
        <v>765</v>
      </c>
      <c r="B146" s="11" t="str" cm="1">
        <f t="array" ref="B146:B158">IFERROR(VLOOKUP(I146:I158,[1]Lectures_1!A2:F535,2,FALSE),0)</f>
        <v>REGIONAL GEOLOGY</v>
      </c>
      <c r="C146" s="7" t="str" cm="1">
        <f t="array" ref="C146:C158">IFERROR(VLOOKUP(I146:I158,[1]Lectures_1!A2:F535,3,FALSE),0)</f>
        <v>Quaye Jonathan Atuquaye</v>
      </c>
      <c r="D146" s="11" t="s">
        <v>224</v>
      </c>
      <c r="E146" s="11" cm="1">
        <f t="array" ref="E146:E158">IFERROR(VLOOKUP(I146:I158,[1]Lectures_1!A2:F535,4,FALSE),0)</f>
        <v>95</v>
      </c>
      <c r="F146" s="67" t="s">
        <v>28</v>
      </c>
      <c r="G146" s="9">
        <f t="shared" ref="G146:G158" si="11">E146*1.09</f>
        <v>103.55000000000001</v>
      </c>
      <c r="H146" s="75">
        <v>95</v>
      </c>
      <c r="I146" t="str">
        <f t="shared" si="9"/>
        <v>PE 256,ED2-PE</v>
      </c>
      <c r="J146" s="27"/>
    </row>
    <row r="147" spans="1:10" x14ac:dyDescent="0.35">
      <c r="A147" s="11" t="s">
        <v>737</v>
      </c>
      <c r="B147" s="11" t="str">
        <v>BASIC ELECTRONICS</v>
      </c>
      <c r="C147" s="7" t="str">
        <v>Kwegyir Daniel</v>
      </c>
      <c r="D147" s="11" t="s">
        <v>96</v>
      </c>
      <c r="E147" s="11">
        <v>245</v>
      </c>
      <c r="F147" s="76" t="s">
        <v>424</v>
      </c>
      <c r="G147" s="9">
        <f t="shared" si="11"/>
        <v>267.05</v>
      </c>
      <c r="H147" s="75" t="s">
        <v>764</v>
      </c>
      <c r="I147" t="str">
        <f t="shared" si="9"/>
        <v>EE 152,ED1-CE</v>
      </c>
      <c r="J147" s="27"/>
    </row>
    <row r="148" spans="1:10" x14ac:dyDescent="0.35">
      <c r="A148" s="11" t="s">
        <v>737</v>
      </c>
      <c r="B148" s="11" t="str">
        <v>BASIC ELECTRONICS</v>
      </c>
      <c r="C148" s="7" t="str">
        <v>Yaw Opoku Mensah Sekyere</v>
      </c>
      <c r="D148" s="11" t="s">
        <v>61</v>
      </c>
      <c r="E148" s="11">
        <v>120</v>
      </c>
      <c r="F148" s="12" t="s">
        <v>763</v>
      </c>
      <c r="G148" s="9">
        <f t="shared" si="11"/>
        <v>130.80000000000001</v>
      </c>
      <c r="H148" s="75" t="s">
        <v>762</v>
      </c>
      <c r="I148" t="str">
        <f t="shared" si="9"/>
        <v>EE 152,ED1-CHE</v>
      </c>
      <c r="J148" s="27"/>
    </row>
    <row r="149" spans="1:10" x14ac:dyDescent="0.35">
      <c r="A149" s="11" t="s">
        <v>737</v>
      </c>
      <c r="B149" s="11" t="str">
        <v>BASIC ELECTRONICS</v>
      </c>
      <c r="C149" s="7" t="str">
        <v>Nicholas Kwesi Prah II</v>
      </c>
      <c r="D149" s="11" t="s">
        <v>93</v>
      </c>
      <c r="E149" s="11">
        <v>46</v>
      </c>
      <c r="F149" s="12" t="s">
        <v>176</v>
      </c>
      <c r="G149" s="9">
        <f t="shared" si="11"/>
        <v>50.14</v>
      </c>
      <c r="H149" s="75">
        <v>46</v>
      </c>
      <c r="I149" t="str">
        <f t="shared" si="9"/>
        <v>EE 152,ED1-MARI</v>
      </c>
      <c r="J149" s="27"/>
    </row>
    <row r="150" spans="1:10" x14ac:dyDescent="0.35">
      <c r="A150" s="11" t="s">
        <v>737</v>
      </c>
      <c r="B150" s="11" t="str">
        <v>BASIC ELECTRONICS</v>
      </c>
      <c r="C150" s="7" t="str">
        <v>Kwegyir Daniel</v>
      </c>
      <c r="D150" s="11" t="s">
        <v>144</v>
      </c>
      <c r="E150" s="11">
        <v>85</v>
      </c>
      <c r="F150" s="12" t="s">
        <v>761</v>
      </c>
      <c r="G150" s="9">
        <f t="shared" si="11"/>
        <v>92.65</v>
      </c>
      <c r="H150" s="75" t="s">
        <v>760</v>
      </c>
      <c r="I150" t="str">
        <f t="shared" si="9"/>
        <v>EE 152,ED1-AUTO</v>
      </c>
      <c r="J150" s="27"/>
    </row>
    <row r="151" spans="1:10" x14ac:dyDescent="0.35">
      <c r="A151" s="11" t="s">
        <v>737</v>
      </c>
      <c r="B151" s="11" t="str">
        <v>BASIC ELECTRONICS</v>
      </c>
      <c r="C151" s="7" t="str">
        <v>Twumasi Elvis</v>
      </c>
      <c r="D151" s="11" t="s">
        <v>234</v>
      </c>
      <c r="E151" s="11">
        <v>130</v>
      </c>
      <c r="F151" s="12" t="s">
        <v>759</v>
      </c>
      <c r="G151" s="9">
        <f t="shared" si="11"/>
        <v>141.70000000000002</v>
      </c>
      <c r="H151" s="75" t="s">
        <v>758</v>
      </c>
      <c r="I151" t="str">
        <f t="shared" si="9"/>
        <v>EE 152,ED1-PE</v>
      </c>
      <c r="J151" s="27"/>
    </row>
    <row r="152" spans="1:10" x14ac:dyDescent="0.35">
      <c r="A152" s="11" t="s">
        <v>737</v>
      </c>
      <c r="B152" s="11" t="str">
        <v>BASIC ELECTRONICS</v>
      </c>
      <c r="C152" s="7" t="str">
        <v>Nicholas Kwesi Prah II</v>
      </c>
      <c r="D152" s="11" t="s">
        <v>277</v>
      </c>
      <c r="E152" s="11">
        <v>70</v>
      </c>
      <c r="F152" s="12" t="s">
        <v>757</v>
      </c>
      <c r="G152" s="9">
        <f t="shared" si="11"/>
        <v>76.300000000000011</v>
      </c>
      <c r="H152" s="75" t="s">
        <v>756</v>
      </c>
      <c r="I152" t="str">
        <f t="shared" si="9"/>
        <v>EE 152,ED1-AERO</v>
      </c>
      <c r="J152" s="27"/>
    </row>
    <row r="153" spans="1:10" x14ac:dyDescent="0.35">
      <c r="A153" s="11" t="s">
        <v>737</v>
      </c>
      <c r="B153" s="11" t="str">
        <v>BASIC ELECTRONICS</v>
      </c>
      <c r="C153" s="7" t="str">
        <v>Twumasi Elvis</v>
      </c>
      <c r="D153" s="11" t="s">
        <v>59</v>
      </c>
      <c r="E153" s="11">
        <v>56</v>
      </c>
      <c r="F153" s="12" t="s">
        <v>755</v>
      </c>
      <c r="G153" s="9">
        <f t="shared" si="11"/>
        <v>61.040000000000006</v>
      </c>
      <c r="H153" s="75" t="s">
        <v>754</v>
      </c>
      <c r="I153" t="str">
        <f t="shared" ref="I153:I184" si="12">CONCATENATE(A153,",",D153)</f>
        <v>EE 152,ED1-PCE</v>
      </c>
      <c r="J153" s="27"/>
    </row>
    <row r="154" spans="1:10" x14ac:dyDescent="0.35">
      <c r="A154" s="11" t="s">
        <v>737</v>
      </c>
      <c r="B154" s="11" t="str">
        <v>BASIC ELECTRONICS</v>
      </c>
      <c r="C154" s="7" t="str">
        <v>Yaw Opoku Mensah Sekyere</v>
      </c>
      <c r="D154" s="11" t="s">
        <v>130</v>
      </c>
      <c r="E154" s="11">
        <v>295</v>
      </c>
      <c r="F154" s="45" t="s">
        <v>753</v>
      </c>
      <c r="G154" s="9">
        <f t="shared" si="11"/>
        <v>321.55</v>
      </c>
      <c r="H154" s="75" t="s">
        <v>752</v>
      </c>
      <c r="I154" t="str">
        <f t="shared" si="12"/>
        <v>EE 152,ED1-EE</v>
      </c>
      <c r="J154" s="27"/>
    </row>
    <row r="155" spans="1:10" x14ac:dyDescent="0.35">
      <c r="A155" s="11" t="s">
        <v>737</v>
      </c>
      <c r="B155" s="11" t="str">
        <v>BASIC ELECTRONICS</v>
      </c>
      <c r="C155" s="7" t="str">
        <v>Affum Emmanuel Ampoma</v>
      </c>
      <c r="D155" s="11" t="s">
        <v>236</v>
      </c>
      <c r="E155" s="11">
        <v>130</v>
      </c>
      <c r="F155" s="12" t="s">
        <v>751</v>
      </c>
      <c r="G155" s="9">
        <f t="shared" si="11"/>
        <v>141.70000000000002</v>
      </c>
      <c r="H155" s="75" t="s">
        <v>750</v>
      </c>
      <c r="I155" t="str">
        <f t="shared" si="12"/>
        <v>EE 152,ED1-TEL</v>
      </c>
      <c r="J155" s="27"/>
    </row>
    <row r="156" spans="1:10" x14ac:dyDescent="0.35">
      <c r="A156" s="11" t="s">
        <v>737</v>
      </c>
      <c r="B156" s="11" t="str">
        <v>BASIC ELECTRONICS</v>
      </c>
      <c r="C156" s="7" t="str">
        <v>Nicholas Kwesi Prah II</v>
      </c>
      <c r="D156" s="11" t="s">
        <v>180</v>
      </c>
      <c r="E156" s="11">
        <v>128</v>
      </c>
      <c r="F156" s="12" t="s">
        <v>596</v>
      </c>
      <c r="G156" s="9">
        <f t="shared" si="11"/>
        <v>139.52000000000001</v>
      </c>
      <c r="H156" s="75" t="s">
        <v>749</v>
      </c>
      <c r="I156" t="str">
        <f t="shared" si="12"/>
        <v>EE 152,ED1-AE</v>
      </c>
      <c r="J156" s="27"/>
    </row>
    <row r="157" spans="1:10" x14ac:dyDescent="0.35">
      <c r="A157" s="11" t="s">
        <v>737</v>
      </c>
      <c r="B157" s="11" t="str">
        <v>BASIC ELECTRONICS</v>
      </c>
      <c r="C157" s="7" t="str">
        <v>Yaw Opoku Mensah Sekyere</v>
      </c>
      <c r="D157" s="11" t="s">
        <v>263</v>
      </c>
      <c r="E157" s="11">
        <v>225</v>
      </c>
      <c r="F157" s="12" t="s">
        <v>742</v>
      </c>
      <c r="G157" s="9">
        <f t="shared" si="11"/>
        <v>245.25000000000003</v>
      </c>
      <c r="H157" s="75" t="s">
        <v>748</v>
      </c>
      <c r="I157" t="str">
        <f t="shared" si="12"/>
        <v>EE 152,ED1-ME</v>
      </c>
      <c r="J157" s="27"/>
    </row>
    <row r="158" spans="1:10" x14ac:dyDescent="0.35">
      <c r="A158" s="11" t="s">
        <v>737</v>
      </c>
      <c r="B158" s="11" t="str">
        <v>BASIC ELECTRONICS</v>
      </c>
      <c r="C158" s="7" t="str">
        <v>Nicholas Kwesi Prah II</v>
      </c>
      <c r="D158" s="11" t="s">
        <v>260</v>
      </c>
      <c r="E158" s="11">
        <v>83</v>
      </c>
      <c r="F158" s="57" t="s">
        <v>20</v>
      </c>
      <c r="G158" s="9">
        <f t="shared" si="11"/>
        <v>90.470000000000013</v>
      </c>
      <c r="H158" s="75" t="s">
        <v>747</v>
      </c>
      <c r="I158" t="str">
        <f t="shared" si="12"/>
        <v>EE 152,ED1-IND</v>
      </c>
      <c r="J158" s="27"/>
    </row>
    <row r="159" spans="1:10" x14ac:dyDescent="0.35">
      <c r="D159" s="7" t="s">
        <v>746</v>
      </c>
      <c r="E159" s="6">
        <f>SUM(E146:E158)</f>
        <v>1708</v>
      </c>
      <c r="I159" t="str">
        <f t="shared" si="12"/>
        <v>,Total T1</v>
      </c>
      <c r="J159" s="27"/>
    </row>
    <row r="160" spans="1:10" x14ac:dyDescent="0.35">
      <c r="D160" s="35"/>
      <c r="E160" s="52"/>
      <c r="I160" t="str">
        <f t="shared" si="12"/>
        <v>,</v>
      </c>
      <c r="J160" s="27"/>
    </row>
    <row r="161" spans="1:10" x14ac:dyDescent="0.35">
      <c r="I161" t="str">
        <f t="shared" si="12"/>
        <v>,</v>
      </c>
      <c r="J161" s="27"/>
    </row>
    <row r="162" spans="1:10" x14ac:dyDescent="0.35">
      <c r="A162" s="93" t="s">
        <v>636</v>
      </c>
      <c r="B162" s="93"/>
      <c r="C162" s="93"/>
      <c r="D162" s="93"/>
      <c r="E162" s="93"/>
      <c r="F162" s="93"/>
      <c r="G162" s="93"/>
      <c r="H162" s="19"/>
      <c r="I162" t="str">
        <f t="shared" si="12"/>
        <v>Tuesday, 7 July 2026,</v>
      </c>
      <c r="J162" s="27"/>
    </row>
    <row r="163" spans="1:10" x14ac:dyDescent="0.35">
      <c r="A163" s="82" t="str">
        <f>[3]SESSIONS!$K$2</f>
        <v>Session, 2 (10:00 AM - 11:00 AM)</v>
      </c>
      <c r="B163" s="83"/>
      <c r="C163" s="83"/>
      <c r="D163" s="83"/>
      <c r="E163" s="83"/>
      <c r="F163" s="83"/>
      <c r="G163" s="84"/>
      <c r="H163" s="19"/>
      <c r="I163" t="str">
        <f t="shared" si="12"/>
        <v>Session, 2 (10:00 AM - 11:00 AM),</v>
      </c>
      <c r="J163" s="27"/>
    </row>
    <row r="164" spans="1:10" x14ac:dyDescent="0.35">
      <c r="A164" s="22" t="s">
        <v>52</v>
      </c>
      <c r="B164" s="22" t="s">
        <v>51</v>
      </c>
      <c r="C164" s="31" t="s">
        <v>50</v>
      </c>
      <c r="D164" s="22" t="s">
        <v>49</v>
      </c>
      <c r="E164" s="22" t="s">
        <v>48</v>
      </c>
      <c r="F164" s="21" t="s">
        <v>47</v>
      </c>
      <c r="G164" s="20" t="s">
        <v>46</v>
      </c>
      <c r="H164" s="19"/>
      <c r="I164" t="str">
        <f t="shared" si="12"/>
        <v>CODE ,CLASS</v>
      </c>
      <c r="J164" s="27"/>
    </row>
    <row r="165" spans="1:10" x14ac:dyDescent="0.35">
      <c r="A165" s="11" t="s">
        <v>743</v>
      </c>
      <c r="B165" s="11" t="str" cm="1">
        <f t="array" ref="B165:B177">IFERROR(VLOOKUP(I165:I177,[1]Lectures_1!A2:F535,2,FALSE),0)</f>
        <v>ELECTRICAL ENGINEERING MACHINES</v>
      </c>
      <c r="C165" s="7" t="str" cm="1">
        <f t="array" ref="C165:C177">IFERROR(VLOOKUP(I165:I177,[1]Lectures_1!A2:F535,3,FALSE),0)</f>
        <v>Yaw Opoku Mensah Sekyere</v>
      </c>
      <c r="D165" s="11" t="s">
        <v>222</v>
      </c>
      <c r="E165" s="11" cm="1">
        <f t="array" ref="E165:E177">IFERROR(VLOOKUP(I165:I177,[1]Lectures_1!A2:F535,4,FALSE),0)</f>
        <v>155</v>
      </c>
      <c r="F165" s="12" t="s">
        <v>745</v>
      </c>
      <c r="G165" s="9">
        <f t="shared" ref="G165:G177" si="13">E165*1.09</f>
        <v>168.95000000000002</v>
      </c>
      <c r="H165" s="75" t="s">
        <v>744</v>
      </c>
      <c r="I165" t="str">
        <f t="shared" si="12"/>
        <v>EE 252,ED2-AE</v>
      </c>
      <c r="J165" s="27"/>
    </row>
    <row r="166" spans="1:10" x14ac:dyDescent="0.35">
      <c r="A166" s="11" t="s">
        <v>743</v>
      </c>
      <c r="B166" s="11" t="str">
        <v>ELECTRICAL ENGINEERING MACHINES</v>
      </c>
      <c r="C166" s="7" t="str">
        <v>Yaw Opoku Mensah Sekyere</v>
      </c>
      <c r="D166" s="11" t="s">
        <v>164</v>
      </c>
      <c r="E166" s="11">
        <v>222</v>
      </c>
      <c r="F166" s="12" t="s">
        <v>742</v>
      </c>
      <c r="G166" s="9">
        <f t="shared" si="13"/>
        <v>241.98000000000002</v>
      </c>
      <c r="H166" s="75" t="s">
        <v>741</v>
      </c>
      <c r="I166" t="str">
        <f t="shared" si="12"/>
        <v>EE 252,ED3-ME</v>
      </c>
      <c r="J166" s="27"/>
    </row>
    <row r="167" spans="1:10" x14ac:dyDescent="0.35">
      <c r="A167" s="11" t="s">
        <v>740</v>
      </c>
      <c r="B167" s="11" t="str">
        <v>ELECTRICAL MACHINES</v>
      </c>
      <c r="C167" s="7" t="str">
        <v>Asigri Peter</v>
      </c>
      <c r="D167" s="11" t="s">
        <v>40</v>
      </c>
      <c r="E167" s="11">
        <v>262</v>
      </c>
      <c r="F167" s="12" t="s">
        <v>739</v>
      </c>
      <c r="G167" s="9">
        <f t="shared" si="13"/>
        <v>285.58000000000004</v>
      </c>
      <c r="H167" s="75" t="s">
        <v>738</v>
      </c>
      <c r="I167" t="str">
        <f t="shared" si="12"/>
        <v>EE 172,ED1-COE</v>
      </c>
      <c r="J167" s="27"/>
    </row>
    <row r="168" spans="1:10" x14ac:dyDescent="0.35">
      <c r="A168" s="11" t="s">
        <v>737</v>
      </c>
      <c r="B168" s="11" t="str">
        <v>BASIC ELECTRONICS</v>
      </c>
      <c r="C168" s="7" t="str">
        <v>Kwegyir Daniel</v>
      </c>
      <c r="D168" s="11" t="s">
        <v>99</v>
      </c>
      <c r="E168" s="11">
        <v>125</v>
      </c>
      <c r="F168" s="67" t="s">
        <v>28</v>
      </c>
      <c r="G168" s="9">
        <f t="shared" si="13"/>
        <v>136.25</v>
      </c>
      <c r="H168" s="75">
        <v>125</v>
      </c>
      <c r="I168" t="str">
        <f t="shared" si="12"/>
        <v>EE 152,ED1-GEOL</v>
      </c>
      <c r="J168" s="27"/>
    </row>
    <row r="169" spans="1:10" x14ac:dyDescent="0.35">
      <c r="A169" s="11" t="s">
        <v>737</v>
      </c>
      <c r="B169" s="11" t="str">
        <v>BASIC ELECTRONICS</v>
      </c>
      <c r="C169" s="7" t="str">
        <v>Kwegyir Daniel</v>
      </c>
      <c r="D169" s="11" t="s">
        <v>44</v>
      </c>
      <c r="E169" s="11">
        <v>103</v>
      </c>
      <c r="F169" s="76" t="s">
        <v>26</v>
      </c>
      <c r="G169" s="9">
        <f t="shared" si="13"/>
        <v>112.27000000000001</v>
      </c>
      <c r="H169" s="75">
        <v>103</v>
      </c>
      <c r="I169" t="str">
        <f t="shared" si="12"/>
        <v>EE 152,ED1-GEOM</v>
      </c>
      <c r="J169" s="27"/>
    </row>
    <row r="170" spans="1:10" x14ac:dyDescent="0.35">
      <c r="A170" s="11" t="s">
        <v>736</v>
      </c>
      <c r="B170" s="11" t="str">
        <v>SATELLITE SURVEYING</v>
      </c>
      <c r="C170" s="7" t="str">
        <v>Andam-Akorful Samuel Ato</v>
      </c>
      <c r="D170" s="11" t="s">
        <v>104</v>
      </c>
      <c r="E170" s="11">
        <v>122</v>
      </c>
      <c r="F170" s="66" t="s">
        <v>596</v>
      </c>
      <c r="G170" s="9">
        <f t="shared" si="13"/>
        <v>132.98000000000002</v>
      </c>
      <c r="H170" s="75" t="s">
        <v>735</v>
      </c>
      <c r="I170" t="str">
        <f t="shared" si="12"/>
        <v>GE 354,ED3-GEOM</v>
      </c>
      <c r="J170" s="27"/>
    </row>
    <row r="171" spans="1:10" x14ac:dyDescent="0.35">
      <c r="A171" s="11" t="s">
        <v>734</v>
      </c>
      <c r="B171" s="11" t="str">
        <v>RESERVOIR RECOVERY TECHNIQUES</v>
      </c>
      <c r="C171" s="7" t="str">
        <v>Adenutsi Caspar Daniel</v>
      </c>
      <c r="D171" s="11" t="s">
        <v>112</v>
      </c>
      <c r="E171" s="11">
        <v>99</v>
      </c>
      <c r="F171" s="12" t="s">
        <v>733</v>
      </c>
      <c r="G171" s="9">
        <f t="shared" si="13"/>
        <v>107.91000000000001</v>
      </c>
      <c r="H171" s="75" t="s">
        <v>732</v>
      </c>
      <c r="I171" t="str">
        <f t="shared" si="12"/>
        <v>PE 450,ED4-PE</v>
      </c>
      <c r="J171" s="27"/>
    </row>
    <row r="172" spans="1:10" x14ac:dyDescent="0.35">
      <c r="A172" s="11" t="s">
        <v>731</v>
      </c>
      <c r="B172" s="11" t="str">
        <v>MARINE MECHANISMS, SYSTHESIS AND ANALYSIS</v>
      </c>
      <c r="C172" s="7" t="str">
        <v>Ampofo Joshua</v>
      </c>
      <c r="D172" s="11" t="s">
        <v>220</v>
      </c>
      <c r="E172" s="11">
        <v>37</v>
      </c>
      <c r="F172" s="40" t="s">
        <v>322</v>
      </c>
      <c r="G172" s="9">
        <f t="shared" si="13"/>
        <v>40.330000000000005</v>
      </c>
      <c r="H172" s="75">
        <v>37</v>
      </c>
      <c r="I172" t="str">
        <f t="shared" si="12"/>
        <v>MME 264,ED2-MARI</v>
      </c>
      <c r="J172" s="27"/>
    </row>
    <row r="173" spans="1:10" x14ac:dyDescent="0.35">
      <c r="A173" s="11" t="s">
        <v>727</v>
      </c>
      <c r="B173" s="11" t="str">
        <v>MECHANISMS SYNTHESIS AND ANALYSIS I</v>
      </c>
      <c r="C173" s="7" t="str">
        <v>Ampofo Joshua</v>
      </c>
      <c r="D173" s="11" t="s">
        <v>25</v>
      </c>
      <c r="E173" s="11">
        <v>240</v>
      </c>
      <c r="F173" s="12" t="s">
        <v>730</v>
      </c>
      <c r="G173" s="9">
        <f t="shared" si="13"/>
        <v>261.60000000000002</v>
      </c>
      <c r="H173" s="75" t="s">
        <v>729</v>
      </c>
      <c r="I173" t="str">
        <f t="shared" si="12"/>
        <v>ME 264,ED2-ME</v>
      </c>
      <c r="J173" s="27"/>
    </row>
    <row r="174" spans="1:10" x14ac:dyDescent="0.35">
      <c r="A174" s="11" t="s">
        <v>727</v>
      </c>
      <c r="B174" s="11" t="str">
        <v>MECHANISMS SYNTHESIS AND ANALYSIS I</v>
      </c>
      <c r="C174" s="7" t="str">
        <v>Ampofo Joshua</v>
      </c>
      <c r="D174" s="11" t="s">
        <v>21</v>
      </c>
      <c r="E174" s="11">
        <v>75</v>
      </c>
      <c r="F174" s="24" t="s">
        <v>728</v>
      </c>
      <c r="G174" s="9">
        <f t="shared" si="13"/>
        <v>81.75</v>
      </c>
      <c r="H174" s="75" t="s">
        <v>605</v>
      </c>
      <c r="I174" t="str">
        <f t="shared" si="12"/>
        <v>ME 264,ED2-AERO</v>
      </c>
      <c r="J174" s="27"/>
    </row>
    <row r="175" spans="1:10" x14ac:dyDescent="0.35">
      <c r="A175" s="11" t="s">
        <v>727</v>
      </c>
      <c r="B175" s="11" t="str">
        <v>MECHANISMS SYNTHESIS AND ANALYSIS I</v>
      </c>
      <c r="C175" s="7" t="str">
        <v>Ampofo Joshua</v>
      </c>
      <c r="D175" s="11" t="s">
        <v>27</v>
      </c>
      <c r="E175" s="11">
        <v>80</v>
      </c>
      <c r="F175" s="12" t="s">
        <v>20</v>
      </c>
      <c r="G175" s="9">
        <f t="shared" si="13"/>
        <v>87.2</v>
      </c>
      <c r="H175" s="75" t="s">
        <v>373</v>
      </c>
      <c r="I175" t="str">
        <f t="shared" si="12"/>
        <v>ME 264,ED2-IND</v>
      </c>
      <c r="J175" s="27"/>
    </row>
    <row r="176" spans="1:10" x14ac:dyDescent="0.35">
      <c r="A176" s="11" t="s">
        <v>727</v>
      </c>
      <c r="B176" s="11" t="str">
        <v>MECHANISMS SYNTHESIS AND ANALYSIS I</v>
      </c>
      <c r="C176" s="7" t="str">
        <v>Ampofo Joshua</v>
      </c>
      <c r="D176" s="11" t="s">
        <v>67</v>
      </c>
      <c r="E176" s="11">
        <v>82</v>
      </c>
      <c r="F176" s="12" t="s">
        <v>726</v>
      </c>
      <c r="G176" s="9">
        <f t="shared" si="13"/>
        <v>89.38000000000001</v>
      </c>
      <c r="H176" s="75" t="s">
        <v>725</v>
      </c>
      <c r="I176" t="str">
        <f t="shared" si="12"/>
        <v>ME 264,ED2-AUTO</v>
      </c>
      <c r="J176" s="27"/>
    </row>
    <row r="177" spans="1:10" x14ac:dyDescent="0.35">
      <c r="A177" s="11" t="s">
        <v>724</v>
      </c>
      <c r="B177" s="11" t="str">
        <v>SIMULTANEOUS HEAT/MASS TRANSFER</v>
      </c>
      <c r="C177" s="7" t="str">
        <v>Dogbe Eunice Sefakor Aku</v>
      </c>
      <c r="D177" s="11" t="s">
        <v>107</v>
      </c>
      <c r="E177" s="11">
        <v>105</v>
      </c>
      <c r="F177" s="12" t="s">
        <v>723</v>
      </c>
      <c r="G177" s="9">
        <f t="shared" si="13"/>
        <v>114.45</v>
      </c>
      <c r="H177" s="75" t="s">
        <v>722</v>
      </c>
      <c r="I177" t="str">
        <f t="shared" si="12"/>
        <v>CHE 354,ED3-CHE</v>
      </c>
      <c r="J177" s="27"/>
    </row>
    <row r="178" spans="1:10" x14ac:dyDescent="0.35">
      <c r="D178" s="7" t="s">
        <v>721</v>
      </c>
      <c r="E178" s="6">
        <f>SUM(E165:E177)</f>
        <v>1707</v>
      </c>
      <c r="I178" t="str">
        <f t="shared" si="12"/>
        <v>,Total T2</v>
      </c>
      <c r="J178" s="27"/>
    </row>
    <row r="179" spans="1:10" x14ac:dyDescent="0.35">
      <c r="I179" t="str">
        <f t="shared" si="12"/>
        <v>,</v>
      </c>
      <c r="J179" s="27"/>
    </row>
    <row r="180" spans="1:10" x14ac:dyDescent="0.35">
      <c r="I180" t="str">
        <f t="shared" si="12"/>
        <v>,</v>
      </c>
      <c r="J180" s="27"/>
    </row>
    <row r="181" spans="1:10" x14ac:dyDescent="0.35">
      <c r="A181" s="93" t="s">
        <v>636</v>
      </c>
      <c r="B181" s="93"/>
      <c r="C181" s="93"/>
      <c r="D181" s="93"/>
      <c r="E181" s="93"/>
      <c r="F181" s="93"/>
      <c r="G181" s="93"/>
      <c r="H181" s="19"/>
      <c r="I181" t="str">
        <f t="shared" si="12"/>
        <v>Tuesday, 7 July 2026,</v>
      </c>
      <c r="J181" s="27"/>
    </row>
    <row r="182" spans="1:10" x14ac:dyDescent="0.35">
      <c r="A182" s="82" t="str">
        <f>[3]SESSIONS!$K$3</f>
        <v>Session, 3 (11:45 AM - 12:45 PM)</v>
      </c>
      <c r="B182" s="83"/>
      <c r="C182" s="83"/>
      <c r="D182" s="83"/>
      <c r="E182" s="83"/>
      <c r="F182" s="83"/>
      <c r="G182" s="84"/>
      <c r="H182" s="19"/>
      <c r="I182" t="str">
        <f t="shared" si="12"/>
        <v>Session, 3 (11:45 AM - 12:45 PM),</v>
      </c>
      <c r="J182" s="27"/>
    </row>
    <row r="183" spans="1:10" x14ac:dyDescent="0.35">
      <c r="A183" s="22" t="s">
        <v>52</v>
      </c>
      <c r="B183" s="22" t="s">
        <v>51</v>
      </c>
      <c r="C183" s="31" t="s">
        <v>50</v>
      </c>
      <c r="D183" s="22" t="s">
        <v>49</v>
      </c>
      <c r="E183" s="22" t="s">
        <v>48</v>
      </c>
      <c r="F183" s="21" t="s">
        <v>47</v>
      </c>
      <c r="G183" s="20" t="s">
        <v>46</v>
      </c>
      <c r="H183" s="19"/>
      <c r="I183" t="str">
        <f t="shared" si="12"/>
        <v>CODE ,CLASS</v>
      </c>
      <c r="J183" s="27"/>
    </row>
    <row r="184" spans="1:10" x14ac:dyDescent="0.35">
      <c r="A184" s="11" t="s">
        <v>720</v>
      </c>
      <c r="B184" s="11" t="str" cm="1">
        <f t="array" ref="B184:B195">IFERROR(VLOOKUP(I184:I195,[1]Lectures_1!A2:F535,2,FALSE),0)</f>
        <v>ELECTRIC DRIVES</v>
      </c>
      <c r="C184" s="7" t="str" cm="1">
        <f t="array" ref="C184:C195">IFERROR(VLOOKUP(I184:I195,[1]Lectures_1!A2:F535,3,FALSE),0)</f>
        <v>Effah Francis Boafo</v>
      </c>
      <c r="D184" s="11" t="s">
        <v>133</v>
      </c>
      <c r="E184" s="11" cm="1">
        <f t="array" ref="E184:E195">IFERROR(VLOOKUP(I184:I195,[1]Lectures_1!A2:F535,4,FALSE),0)</f>
        <v>189</v>
      </c>
      <c r="F184" s="12" t="s">
        <v>719</v>
      </c>
      <c r="G184" s="9">
        <f t="shared" ref="G184:G195" si="14">E184*1.09</f>
        <v>206.01000000000002</v>
      </c>
      <c r="H184" s="8" t="s">
        <v>718</v>
      </c>
      <c r="I184" t="str">
        <f t="shared" si="12"/>
        <v>EE 462,ED4-EE</v>
      </c>
      <c r="J184" s="27"/>
    </row>
    <row r="185" spans="1:10" x14ac:dyDescent="0.35">
      <c r="A185" s="11" t="s">
        <v>717</v>
      </c>
      <c r="B185" s="11" t="str">
        <v>PRINCIPLES OF GEOLCHEMISTRY</v>
      </c>
      <c r="C185" s="7" t="str">
        <v>Gawu Simon Kafui Yawo</v>
      </c>
      <c r="D185" s="11" t="s">
        <v>140</v>
      </c>
      <c r="E185" s="11">
        <v>154</v>
      </c>
      <c r="F185" s="12" t="s">
        <v>716</v>
      </c>
      <c r="G185" s="9">
        <f t="shared" si="14"/>
        <v>167.86</v>
      </c>
      <c r="H185" s="8" t="s">
        <v>715</v>
      </c>
      <c r="I185" t="str">
        <f t="shared" ref="I185:I216" si="15">CONCATENATE(A185,",",D185)</f>
        <v>GED 352,ED3-GEOL</v>
      </c>
      <c r="J185" s="27"/>
    </row>
    <row r="186" spans="1:10" x14ac:dyDescent="0.35">
      <c r="A186" s="11" t="s">
        <v>714</v>
      </c>
      <c r="B186" s="11" t="str">
        <v>MAINTENANCE AND REPAIRS OF AGRIC. MACHINERY</v>
      </c>
      <c r="C186" s="7" t="str">
        <v>Bobobee Emmanuel Yaovi Hunnuor</v>
      </c>
      <c r="D186" s="11" t="s">
        <v>201</v>
      </c>
      <c r="E186" s="11">
        <v>103</v>
      </c>
      <c r="F186" s="12" t="s">
        <v>392</v>
      </c>
      <c r="G186" s="9">
        <f t="shared" si="14"/>
        <v>112.27000000000001</v>
      </c>
      <c r="H186" s="8" t="s">
        <v>415</v>
      </c>
      <c r="I186" t="str">
        <f t="shared" si="15"/>
        <v>AE 460,ED4-AE</v>
      </c>
      <c r="J186" s="27"/>
    </row>
    <row r="187" spans="1:10" x14ac:dyDescent="0.35">
      <c r="A187" s="11" t="s">
        <v>713</v>
      </c>
      <c r="B187" s="11" t="str">
        <v>ENVIRONMENTAL ENG. TECHNOLOGY</v>
      </c>
      <c r="C187" s="7" t="str">
        <v>Afotey Benjamin</v>
      </c>
      <c r="D187" s="11" t="s">
        <v>344</v>
      </c>
      <c r="E187" s="11">
        <v>54</v>
      </c>
      <c r="F187" s="12" t="s">
        <v>283</v>
      </c>
      <c r="G187" s="9">
        <f t="shared" si="14"/>
        <v>58.860000000000007</v>
      </c>
      <c r="H187" s="8" t="s">
        <v>712</v>
      </c>
      <c r="I187" t="str">
        <f t="shared" si="15"/>
        <v>CHE 468,ED4-CHE</v>
      </c>
      <c r="J187" s="27"/>
    </row>
    <row r="188" spans="1:10" x14ac:dyDescent="0.35">
      <c r="A188" s="47" t="s">
        <v>711</v>
      </c>
      <c r="B188" s="11" t="str">
        <v>WATER RESOURCES ENGINEERING II</v>
      </c>
      <c r="C188" s="7" t="str">
        <v>Anornu Geophrey Kwame</v>
      </c>
      <c r="D188" s="11" t="s">
        <v>7</v>
      </c>
      <c r="E188" s="11">
        <v>105</v>
      </c>
      <c r="F188" s="45" t="s">
        <v>108</v>
      </c>
      <c r="G188" s="9">
        <f t="shared" si="14"/>
        <v>114.45</v>
      </c>
      <c r="H188" s="8" t="s">
        <v>710</v>
      </c>
      <c r="I188" t="str">
        <f t="shared" si="15"/>
        <v>CE 458,ED4-CE</v>
      </c>
      <c r="J188" s="27"/>
    </row>
    <row r="189" spans="1:10" x14ac:dyDescent="0.35">
      <c r="A189" s="11" t="s">
        <v>709</v>
      </c>
      <c r="B189" s="11" t="str">
        <v>AUTOMATION AND PRODUCTION SYSTEM</v>
      </c>
      <c r="C189" s="7" t="str">
        <v>Sackey Samuel Mensah</v>
      </c>
      <c r="D189" s="11" t="s">
        <v>328</v>
      </c>
      <c r="E189" s="11">
        <v>69</v>
      </c>
      <c r="F189" s="12" t="s">
        <v>670</v>
      </c>
      <c r="G189" s="9">
        <f t="shared" si="14"/>
        <v>75.210000000000008</v>
      </c>
      <c r="H189" s="8" t="s">
        <v>708</v>
      </c>
      <c r="I189" t="str">
        <f t="shared" si="15"/>
        <v>IE 452,ED4-IND</v>
      </c>
      <c r="J189" s="27"/>
    </row>
    <row r="190" spans="1:10" x14ac:dyDescent="0.35">
      <c r="A190" s="11" t="s">
        <v>707</v>
      </c>
      <c r="B190" s="11" t="str">
        <v>HIGH VOLTAGE ENGINEERING</v>
      </c>
      <c r="C190" s="7" t="str">
        <v>Asigri Peter</v>
      </c>
      <c r="D190" s="11" t="s">
        <v>151</v>
      </c>
      <c r="E190" s="11">
        <v>185</v>
      </c>
      <c r="F190" s="12" t="s">
        <v>706</v>
      </c>
      <c r="G190" s="9">
        <f t="shared" si="14"/>
        <v>201.65</v>
      </c>
      <c r="H190" s="8" t="s">
        <v>705</v>
      </c>
      <c r="I190" t="str">
        <f t="shared" si="15"/>
        <v>EE 360,ED3-EE</v>
      </c>
      <c r="J190" s="27"/>
    </row>
    <row r="191" spans="1:10" x14ac:dyDescent="0.35">
      <c r="A191" s="11" t="s">
        <v>704</v>
      </c>
      <c r="B191" s="11" t="str">
        <v>POWER SUPPLY ELECTRONICS</v>
      </c>
      <c r="C191" s="7" t="str">
        <v>Effah Francis Boafo</v>
      </c>
      <c r="D191" s="11" t="s">
        <v>102</v>
      </c>
      <c r="E191" s="11">
        <v>340</v>
      </c>
      <c r="F191" s="12" t="s">
        <v>703</v>
      </c>
      <c r="G191" s="9">
        <f t="shared" si="14"/>
        <v>370.6</v>
      </c>
      <c r="H191" s="8" t="s">
        <v>702</v>
      </c>
      <c r="I191" t="str">
        <f t="shared" si="15"/>
        <v>EE 258,ED2-EE</v>
      </c>
      <c r="J191" s="27"/>
    </row>
    <row r="192" spans="1:10" x14ac:dyDescent="0.35">
      <c r="A192" s="11" t="s">
        <v>701</v>
      </c>
      <c r="B192" s="11" t="str">
        <v>MECHANICAL ENGINEERING MATERIALS III</v>
      </c>
      <c r="C192" s="7" t="str">
        <v>Sackey Samuel Mensah</v>
      </c>
      <c r="D192" s="11" t="s">
        <v>79</v>
      </c>
      <c r="E192" s="11">
        <v>55</v>
      </c>
      <c r="F192" s="12" t="s">
        <v>570</v>
      </c>
      <c r="G192" s="9">
        <f t="shared" si="14"/>
        <v>59.95</v>
      </c>
      <c r="H192" s="8" t="s">
        <v>700</v>
      </c>
      <c r="I192" t="str">
        <f t="shared" si="15"/>
        <v>ME 482,ED4-ME</v>
      </c>
      <c r="J192" s="27"/>
    </row>
    <row r="193" spans="1:10" x14ac:dyDescent="0.35">
      <c r="A193" s="11" t="s">
        <v>699</v>
      </c>
      <c r="B193" s="11" t="str">
        <v>MICROPROCESSORS</v>
      </c>
      <c r="C193" s="7" t="str">
        <v>Agyemang Justice Owusu</v>
      </c>
      <c r="D193" s="11" t="s">
        <v>109</v>
      </c>
      <c r="E193" s="11">
        <v>175</v>
      </c>
      <c r="F193" s="55" t="s">
        <v>28</v>
      </c>
      <c r="G193" s="9">
        <f t="shared" si="14"/>
        <v>190.75</v>
      </c>
      <c r="H193" s="8">
        <v>175</v>
      </c>
      <c r="I193" t="str">
        <f t="shared" si="15"/>
        <v>TE 258,ED2-TEL</v>
      </c>
      <c r="J193" s="27"/>
    </row>
    <row r="194" spans="1:10" x14ac:dyDescent="0.35">
      <c r="A194" s="11" t="s">
        <v>698</v>
      </c>
      <c r="B194" s="11" t="str">
        <v>PHASE TRANSFORMATIONS</v>
      </c>
      <c r="C194" s="7" t="str">
        <v>Gikunoo Emmanuel</v>
      </c>
      <c r="D194" s="11" t="s">
        <v>223</v>
      </c>
      <c r="E194" s="11">
        <v>83</v>
      </c>
      <c r="F194" s="12" t="s">
        <v>26</v>
      </c>
      <c r="G194" s="9">
        <f t="shared" si="14"/>
        <v>90.470000000000013</v>
      </c>
      <c r="H194" s="8" t="s">
        <v>572</v>
      </c>
      <c r="I194" t="str">
        <f t="shared" si="15"/>
        <v>MSE 260,ED2-MSE</v>
      </c>
      <c r="J194" s="27"/>
    </row>
    <row r="195" spans="1:10" x14ac:dyDescent="0.35">
      <c r="A195" s="11" t="s">
        <v>698</v>
      </c>
      <c r="B195" s="11" t="str">
        <v>PHASE TRANSFORMATIONS</v>
      </c>
      <c r="C195" s="7" t="str">
        <v>Gikunoo Emmanuel</v>
      </c>
      <c r="D195" s="11" t="s">
        <v>75</v>
      </c>
      <c r="E195" s="11">
        <v>57</v>
      </c>
      <c r="F195" s="12" t="s">
        <v>20</v>
      </c>
      <c r="G195" s="9">
        <f t="shared" si="14"/>
        <v>62.13</v>
      </c>
      <c r="H195" s="8" t="s">
        <v>697</v>
      </c>
      <c r="I195" t="str">
        <f t="shared" si="15"/>
        <v>MSE 260,ED2-METE</v>
      </c>
      <c r="J195" s="27"/>
    </row>
    <row r="196" spans="1:10" x14ac:dyDescent="0.35">
      <c r="D196" s="7" t="s">
        <v>696</v>
      </c>
      <c r="E196" s="6">
        <f>SUM(E184:E195)</f>
        <v>1569</v>
      </c>
      <c r="I196" t="str">
        <f t="shared" si="15"/>
        <v>,Total T3</v>
      </c>
      <c r="J196" s="27"/>
    </row>
    <row r="197" spans="1:10" x14ac:dyDescent="0.35">
      <c r="I197" t="str">
        <f t="shared" si="15"/>
        <v>,</v>
      </c>
      <c r="J197" s="27"/>
    </row>
    <row r="198" spans="1:10" x14ac:dyDescent="0.35">
      <c r="I198" t="str">
        <f t="shared" si="15"/>
        <v>,</v>
      </c>
      <c r="J198" s="27"/>
    </row>
    <row r="199" spans="1:10" x14ac:dyDescent="0.35">
      <c r="A199" s="93" t="s">
        <v>636</v>
      </c>
      <c r="B199" s="93"/>
      <c r="C199" s="93"/>
      <c r="D199" s="93"/>
      <c r="E199" s="93"/>
      <c r="F199" s="93"/>
      <c r="G199" s="93"/>
      <c r="H199" s="19"/>
      <c r="I199" t="str">
        <f t="shared" si="15"/>
        <v>Tuesday, 7 July 2026,</v>
      </c>
      <c r="J199" s="27"/>
    </row>
    <row r="200" spans="1:10" x14ac:dyDescent="0.35">
      <c r="A200" s="82" t="str">
        <f>[3]SESSIONS!$K$4</f>
        <v>Session, 4 (1:30 PM - 2:30 PM)</v>
      </c>
      <c r="B200" s="83"/>
      <c r="C200" s="83"/>
      <c r="D200" s="83"/>
      <c r="E200" s="83"/>
      <c r="F200" s="83"/>
      <c r="G200" s="84"/>
      <c r="H200" s="19"/>
      <c r="I200" t="str">
        <f t="shared" si="15"/>
        <v>Session, 4 (1:30 PM - 2:30 PM),</v>
      </c>
      <c r="J200" s="27"/>
    </row>
    <row r="201" spans="1:10" s="74" customFormat="1" x14ac:dyDescent="0.35">
      <c r="A201" s="22" t="s">
        <v>52</v>
      </c>
      <c r="B201" s="22" t="s">
        <v>51</v>
      </c>
      <c r="C201" s="31" t="s">
        <v>50</v>
      </c>
      <c r="D201" s="22" t="s">
        <v>49</v>
      </c>
      <c r="E201" s="22" t="s">
        <v>48</v>
      </c>
      <c r="F201" s="21" t="s">
        <v>47</v>
      </c>
      <c r="G201" s="20" t="s">
        <v>46</v>
      </c>
      <c r="H201" s="19"/>
      <c r="I201" t="str">
        <f t="shared" si="15"/>
        <v>CODE ,CLASS</v>
      </c>
      <c r="J201" s="27"/>
    </row>
    <row r="202" spans="1:10" x14ac:dyDescent="0.35">
      <c r="A202" s="11" t="s">
        <v>695</v>
      </c>
      <c r="B202" s="11" t="str" cm="1">
        <f t="array" ref="B202:B212">IFERROR(VLOOKUP(I202:I212,[1]Lectures_1!A2:F535,2,FALSE),0)</f>
        <v>MARINE MAINTENANCE ENGINEERING</v>
      </c>
      <c r="C202" s="7" t="str" cm="1">
        <f t="array" ref="C202:C212">IFERROR(VLOOKUP(I202:I212,[1]Lectures_1!A2:F535,3,FALSE),0)</f>
        <v xml:space="preserve">Peter Oppong Tawiah </v>
      </c>
      <c r="D202" s="11" t="s">
        <v>195</v>
      </c>
      <c r="E202" s="11" cm="1">
        <f t="array" ref="E202:E212">IFERROR(VLOOKUP(I202:I212,[1]Lectures_1!A2:F535,4,FALSE),0)</f>
        <v>23</v>
      </c>
      <c r="F202" s="12" t="s">
        <v>132</v>
      </c>
      <c r="G202" s="9">
        <f t="shared" ref="G202:G212" si="16">E202*1.09</f>
        <v>25.07</v>
      </c>
      <c r="H202" s="8" t="s">
        <v>426</v>
      </c>
      <c r="I202" t="str">
        <f t="shared" si="15"/>
        <v>MME 494,ED4-MARI</v>
      </c>
      <c r="J202" s="27"/>
    </row>
    <row r="203" spans="1:10" x14ac:dyDescent="0.35">
      <c r="A203" s="11" t="s">
        <v>692</v>
      </c>
      <c r="B203" s="11" t="str">
        <v>FLUID MECHANICS</v>
      </c>
      <c r="C203" s="7" t="str">
        <v>Anornu Geophrey Kwame</v>
      </c>
      <c r="D203" s="11" t="s">
        <v>15</v>
      </c>
      <c r="E203" s="11">
        <v>250</v>
      </c>
      <c r="F203" s="45" t="s">
        <v>694</v>
      </c>
      <c r="G203" s="9">
        <f t="shared" si="16"/>
        <v>272.5</v>
      </c>
      <c r="H203" s="8" t="s">
        <v>693</v>
      </c>
      <c r="I203" t="str">
        <f t="shared" si="15"/>
        <v>CE 256,ED2-CE</v>
      </c>
      <c r="J203" s="27"/>
    </row>
    <row r="204" spans="1:10" x14ac:dyDescent="0.35">
      <c r="A204" s="11" t="s">
        <v>692</v>
      </c>
      <c r="B204" s="11" t="str">
        <v>FLUID MECHANICS</v>
      </c>
      <c r="C204" s="7" t="str">
        <v>Anornu Geophrey Kwame</v>
      </c>
      <c r="D204" s="11" t="s">
        <v>11</v>
      </c>
      <c r="E204" s="11">
        <v>150</v>
      </c>
      <c r="F204" s="12" t="s">
        <v>691</v>
      </c>
      <c r="G204" s="9">
        <f t="shared" si="16"/>
        <v>163.5</v>
      </c>
      <c r="H204" s="8" t="s">
        <v>690</v>
      </c>
      <c r="I204" t="str">
        <f t="shared" si="15"/>
        <v>CE 256,ED2-GEOL</v>
      </c>
      <c r="J204" s="27"/>
    </row>
    <row r="205" spans="1:10" x14ac:dyDescent="0.35">
      <c r="A205" s="11" t="s">
        <v>689</v>
      </c>
      <c r="B205" s="11" t="str">
        <v>INDUSTRIAL ENGINEERING AND ERGONOMICS</v>
      </c>
      <c r="C205" s="7" t="str">
        <v>Mensah Lena Dzifa</v>
      </c>
      <c r="D205" s="11" t="s">
        <v>29</v>
      </c>
      <c r="E205" s="11">
        <v>76</v>
      </c>
      <c r="F205" s="12" t="s">
        <v>688</v>
      </c>
      <c r="G205" s="9">
        <f t="shared" si="16"/>
        <v>82.84</v>
      </c>
      <c r="H205" s="8" t="s">
        <v>208</v>
      </c>
      <c r="I205" t="str">
        <f t="shared" si="15"/>
        <v>ME 392,ED3-AERO</v>
      </c>
      <c r="J205" s="27"/>
    </row>
    <row r="206" spans="1:10" x14ac:dyDescent="0.35">
      <c r="A206" s="11" t="s">
        <v>687</v>
      </c>
      <c r="B206" s="11" t="str">
        <v>INDUSTRIAL ENGINEERING AND ERGONOMICS</v>
      </c>
      <c r="C206" s="7" t="str">
        <v>Mensah Lena Dzifa</v>
      </c>
      <c r="D206" s="11" t="s">
        <v>25</v>
      </c>
      <c r="E206" s="11">
        <v>240</v>
      </c>
      <c r="F206" s="12" t="s">
        <v>686</v>
      </c>
      <c r="G206" s="9">
        <f t="shared" si="16"/>
        <v>261.60000000000002</v>
      </c>
      <c r="H206" s="8" t="s">
        <v>685</v>
      </c>
      <c r="I206" t="str">
        <f t="shared" si="15"/>
        <v>ME 292,ED2-ME</v>
      </c>
      <c r="J206" s="27"/>
    </row>
    <row r="207" spans="1:10" x14ac:dyDescent="0.35">
      <c r="A207" s="11" t="s">
        <v>684</v>
      </c>
      <c r="B207" s="11" t="str">
        <v>INDUSTRIAL ENGINEERING AND ERGONOMICS</v>
      </c>
      <c r="C207" s="7" t="str">
        <v>Mensah Lena Dzifa</v>
      </c>
      <c r="D207" s="11" t="s">
        <v>64</v>
      </c>
      <c r="E207" s="11">
        <v>40</v>
      </c>
      <c r="F207" s="12" t="s">
        <v>192</v>
      </c>
      <c r="G207" s="9">
        <f t="shared" si="16"/>
        <v>43.6</v>
      </c>
      <c r="H207" s="8" t="s">
        <v>63</v>
      </c>
      <c r="I207" t="str">
        <f t="shared" si="15"/>
        <v>AME 392,ED3-AUTO</v>
      </c>
      <c r="J207" s="27"/>
    </row>
    <row r="208" spans="1:10" x14ac:dyDescent="0.35">
      <c r="A208" s="11" t="s">
        <v>683</v>
      </c>
      <c r="B208" s="11" t="str">
        <v>MARINE INDUSTRIAL ENGINEERING AND ERGONOMICS</v>
      </c>
      <c r="C208" s="7" t="str">
        <v>Mensah Lena Dzifa</v>
      </c>
      <c r="D208" s="11" t="s">
        <v>147</v>
      </c>
      <c r="E208" s="11">
        <v>40</v>
      </c>
      <c r="F208" s="10" t="s">
        <v>682</v>
      </c>
      <c r="G208" s="9">
        <f t="shared" si="16"/>
        <v>43.6</v>
      </c>
      <c r="H208" s="8" t="s">
        <v>212</v>
      </c>
      <c r="I208" t="str">
        <f t="shared" si="15"/>
        <v>MME 392,ED3-MARI</v>
      </c>
      <c r="J208" s="27"/>
    </row>
    <row r="209" spans="1:10" x14ac:dyDescent="0.35">
      <c r="A209" s="11" t="s">
        <v>681</v>
      </c>
      <c r="B209" s="11" t="str">
        <v>BIOSIGNAL PROCESSES AND ANALYSIS</v>
      </c>
      <c r="C209" s="7" t="str">
        <v>Adjei Prince Ebenezer</v>
      </c>
      <c r="D209" s="11" t="s">
        <v>174</v>
      </c>
      <c r="E209" s="11">
        <v>90</v>
      </c>
      <c r="F209" s="12" t="s">
        <v>108</v>
      </c>
      <c r="G209" s="9">
        <f t="shared" si="16"/>
        <v>98.100000000000009</v>
      </c>
      <c r="H209" s="8" t="s">
        <v>680</v>
      </c>
      <c r="I209" t="str">
        <f t="shared" si="15"/>
        <v>BME 366,ED3-BME</v>
      </c>
      <c r="J209" s="27"/>
    </row>
    <row r="210" spans="1:10" x14ac:dyDescent="0.35">
      <c r="A210" s="11" t="s">
        <v>370</v>
      </c>
      <c r="B210" s="11" t="str">
        <v>HEAT TRANSPORT PROCESSES</v>
      </c>
      <c r="C210" s="7" t="str">
        <v>Momade Zsuzsanna Gál</v>
      </c>
      <c r="D210" s="11" t="s">
        <v>154</v>
      </c>
      <c r="E210" s="11">
        <v>160</v>
      </c>
      <c r="F210" s="12" t="s">
        <v>679</v>
      </c>
      <c r="G210" s="9">
        <f t="shared" si="16"/>
        <v>174.4</v>
      </c>
      <c r="H210" s="8" t="s">
        <v>678</v>
      </c>
      <c r="I210" t="str">
        <f t="shared" si="15"/>
        <v>CHE 256,ED2-CHE</v>
      </c>
      <c r="J210" s="27"/>
    </row>
    <row r="211" spans="1:10" x14ac:dyDescent="0.35">
      <c r="A211" s="11" t="s">
        <v>677</v>
      </c>
      <c r="B211" s="11" t="str">
        <v>OPERATING SYSTEMS</v>
      </c>
      <c r="C211" s="7" t="str">
        <v>Kommey Benjamin</v>
      </c>
      <c r="D211" s="11" t="s">
        <v>160</v>
      </c>
      <c r="E211" s="11">
        <v>265</v>
      </c>
      <c r="F211" s="12" t="s">
        <v>376</v>
      </c>
      <c r="G211" s="9">
        <f t="shared" si="16"/>
        <v>288.85000000000002</v>
      </c>
      <c r="H211" s="8" t="s">
        <v>676</v>
      </c>
      <c r="I211" t="str">
        <f t="shared" si="15"/>
        <v>COE 354,ED3-COE</v>
      </c>
      <c r="J211" s="27"/>
    </row>
    <row r="212" spans="1:10" x14ac:dyDescent="0.35">
      <c r="A212" s="11" t="s">
        <v>675</v>
      </c>
      <c r="B212" s="11" t="str">
        <v>HYDRAULIC ENGINEERING</v>
      </c>
      <c r="C212" s="7" t="str">
        <v>Adjei Kwaku Amaning</v>
      </c>
      <c r="D212" s="11" t="s">
        <v>167</v>
      </c>
      <c r="E212" s="11">
        <v>230</v>
      </c>
      <c r="F212" s="45" t="s">
        <v>674</v>
      </c>
      <c r="G212" s="9">
        <f t="shared" si="16"/>
        <v>250.70000000000002</v>
      </c>
      <c r="H212" s="8" t="s">
        <v>673</v>
      </c>
      <c r="I212" t="str">
        <f t="shared" si="15"/>
        <v>CE 356,ED3-CE</v>
      </c>
      <c r="J212" s="27"/>
    </row>
    <row r="213" spans="1:10" x14ac:dyDescent="0.35">
      <c r="D213" s="7" t="s">
        <v>672</v>
      </c>
      <c r="E213" s="50">
        <f>SUM(E202:E212)</f>
        <v>1564</v>
      </c>
      <c r="I213" t="str">
        <f t="shared" si="15"/>
        <v>,Total T4</v>
      </c>
      <c r="J213" s="27"/>
    </row>
    <row r="214" spans="1:10" x14ac:dyDescent="0.35">
      <c r="D214" s="35"/>
      <c r="E214" s="52"/>
      <c r="I214" t="str">
        <f t="shared" si="15"/>
        <v>,</v>
      </c>
      <c r="J214" s="27"/>
    </row>
    <row r="215" spans="1:10" x14ac:dyDescent="0.35">
      <c r="D215" s="35"/>
      <c r="E215" s="52"/>
      <c r="I215" t="str">
        <f t="shared" si="15"/>
        <v>,</v>
      </c>
      <c r="J215" s="27"/>
    </row>
    <row r="216" spans="1:10" x14ac:dyDescent="0.35">
      <c r="A216" s="93" t="s">
        <v>636</v>
      </c>
      <c r="B216" s="93"/>
      <c r="C216" s="93"/>
      <c r="D216" s="93"/>
      <c r="E216" s="93"/>
      <c r="F216" s="93"/>
      <c r="G216" s="93"/>
      <c r="H216" s="19"/>
      <c r="I216" t="str">
        <f t="shared" si="15"/>
        <v>Tuesday, 7 July 2026,</v>
      </c>
      <c r="J216" s="27"/>
    </row>
    <row r="217" spans="1:10" x14ac:dyDescent="0.35">
      <c r="A217" s="82" t="str">
        <f>[3]SESSIONS!$K$5</f>
        <v>Session, 5 (3:15 PM - 4:15 PM)</v>
      </c>
      <c r="B217" s="83"/>
      <c r="C217" s="83"/>
      <c r="D217" s="83"/>
      <c r="E217" s="83"/>
      <c r="F217" s="83"/>
      <c r="G217" s="84"/>
      <c r="H217" s="19"/>
      <c r="I217" t="str">
        <f t="shared" ref="I217:I248" si="17">CONCATENATE(A217,",",D217)</f>
        <v>Session, 5 (3:15 PM - 4:15 PM),</v>
      </c>
      <c r="J217" s="27"/>
    </row>
    <row r="218" spans="1:10" x14ac:dyDescent="0.35">
      <c r="A218" s="22" t="s">
        <v>52</v>
      </c>
      <c r="B218" s="22" t="s">
        <v>51</v>
      </c>
      <c r="C218" s="31" t="s">
        <v>50</v>
      </c>
      <c r="D218" s="22" t="s">
        <v>49</v>
      </c>
      <c r="E218" s="22" t="s">
        <v>48</v>
      </c>
      <c r="F218" s="21" t="s">
        <v>47</v>
      </c>
      <c r="G218" s="20" t="s">
        <v>46</v>
      </c>
      <c r="H218" s="19"/>
      <c r="I218" t="str">
        <f t="shared" si="17"/>
        <v>CODE ,CLASS</v>
      </c>
      <c r="J218" s="27"/>
    </row>
    <row r="219" spans="1:10" x14ac:dyDescent="0.35">
      <c r="A219" s="11" t="s">
        <v>671</v>
      </c>
      <c r="B219" s="11" t="str" cm="1">
        <f t="array" ref="B219:B234">IFERROR(VLOOKUP(I219:I234,[1]Lectures_1!A2:F535,2,FALSE),0)</f>
        <v>ELECTROMETALLURGY</v>
      </c>
      <c r="C219" s="7" t="str" cm="1">
        <f t="array" ref="C219:C234">IFERROR(VLOOKUP(I219:I234,[1]Lectures_1!A2:F535,3,FALSE),0)</f>
        <v>Agbe Henry</v>
      </c>
      <c r="D219" s="11" t="s">
        <v>120</v>
      </c>
      <c r="E219" s="11" cm="1">
        <f t="array" ref="E219:E234">IFERROR(VLOOKUP(I219:I234,[1]Lectures_1!A2:F535,4,FALSE),0)</f>
        <v>55</v>
      </c>
      <c r="F219" s="12" t="s">
        <v>670</v>
      </c>
      <c r="G219" s="9">
        <f>E219*1.09</f>
        <v>59.95</v>
      </c>
      <c r="H219" s="8" t="s">
        <v>669</v>
      </c>
      <c r="I219" t="str">
        <f t="shared" si="17"/>
        <v>METE 452,ED4-METE</v>
      </c>
      <c r="J219" s="27"/>
    </row>
    <row r="220" spans="1:10" x14ac:dyDescent="0.35">
      <c r="A220" s="11" t="s">
        <v>668</v>
      </c>
      <c r="B220" s="11" t="str">
        <v>ANALYSIS OF ERRORS</v>
      </c>
      <c r="C220" s="7" t="str">
        <v>Collins Fosu</v>
      </c>
      <c r="D220" s="11" t="s">
        <v>104</v>
      </c>
      <c r="E220" s="11">
        <v>122</v>
      </c>
      <c r="F220" s="12" t="s">
        <v>596</v>
      </c>
      <c r="G220" s="9">
        <f>E220*1.09</f>
        <v>132.98000000000002</v>
      </c>
      <c r="H220" s="8" t="s">
        <v>667</v>
      </c>
      <c r="I220" t="str">
        <f t="shared" si="17"/>
        <v>GE 372,ED3-GEOM</v>
      </c>
      <c r="J220" s="27"/>
    </row>
    <row r="221" spans="1:10" x14ac:dyDescent="0.35">
      <c r="A221" s="11" t="s">
        <v>666</v>
      </c>
      <c r="B221" s="11" t="str">
        <v>LOGISTICS AND SUPPLY CHAIN ENGINEERING</v>
      </c>
      <c r="C221" s="7" t="str">
        <v>Asiedu Charlotte</v>
      </c>
      <c r="D221" s="11" t="s">
        <v>170</v>
      </c>
      <c r="E221" s="11">
        <v>70</v>
      </c>
      <c r="F221" s="12" t="s">
        <v>28</v>
      </c>
      <c r="G221" s="9"/>
      <c r="H221" s="8" t="s">
        <v>665</v>
      </c>
      <c r="I221" t="str">
        <f t="shared" si="17"/>
        <v>IE 354,ED3-IND</v>
      </c>
      <c r="J221" s="27"/>
    </row>
    <row r="222" spans="1:10" x14ac:dyDescent="0.35">
      <c r="A222" s="11" t="s">
        <v>663</v>
      </c>
      <c r="B222" s="11" t="str">
        <v>ELEMENTARY FLUIDS MECHANICS</v>
      </c>
      <c r="C222" s="7" t="str">
        <v>Gyamfi Charles</v>
      </c>
      <c r="D222" s="11" t="s">
        <v>96</v>
      </c>
      <c r="E222" s="11">
        <v>245</v>
      </c>
      <c r="F222" s="45" t="s">
        <v>554</v>
      </c>
      <c r="G222" s="9">
        <f>E222*1.09</f>
        <v>267.05</v>
      </c>
      <c r="H222" s="8" t="s">
        <v>664</v>
      </c>
      <c r="I222" t="str">
        <f t="shared" si="17"/>
        <v>CE 156,ED1-CE</v>
      </c>
      <c r="J222" s="27"/>
    </row>
    <row r="223" spans="1:10" x14ac:dyDescent="0.35">
      <c r="A223" s="11" t="s">
        <v>663</v>
      </c>
      <c r="B223" s="11" t="str">
        <v>ELEMENTARY FLUIDS MECHANICS</v>
      </c>
      <c r="C223" s="7" t="str">
        <v>Gyamfi Charles</v>
      </c>
      <c r="D223" s="11" t="s">
        <v>99</v>
      </c>
      <c r="E223" s="11">
        <v>125</v>
      </c>
      <c r="F223" s="12" t="s">
        <v>662</v>
      </c>
      <c r="G223" s="9">
        <f>E223*1.09</f>
        <v>136.25</v>
      </c>
      <c r="H223" s="8" t="s">
        <v>661</v>
      </c>
      <c r="I223" t="str">
        <f t="shared" si="17"/>
        <v>CE 156,ED1-GEOL</v>
      </c>
      <c r="J223" s="27"/>
    </row>
    <row r="224" spans="1:10" x14ac:dyDescent="0.35">
      <c r="A224" s="11" t="s">
        <v>660</v>
      </c>
      <c r="B224" s="11" t="str">
        <v>FUNDAMENTALS OF PETROLEUM LAW</v>
      </c>
      <c r="C224" s="7" t="str">
        <v>Amoah Enoch Kwabena</v>
      </c>
      <c r="D224" s="11" t="s">
        <v>112</v>
      </c>
      <c r="E224" s="11">
        <v>99</v>
      </c>
      <c r="F224" s="12" t="s">
        <v>659</v>
      </c>
      <c r="G224" s="9"/>
      <c r="H224" s="8" t="s">
        <v>658</v>
      </c>
      <c r="I224" t="str">
        <f t="shared" si="17"/>
        <v>PE 466,ED4-PE</v>
      </c>
      <c r="J224" s="27"/>
    </row>
    <row r="225" spans="1:10" x14ac:dyDescent="0.35">
      <c r="A225" s="11" t="s">
        <v>654</v>
      </c>
      <c r="B225" s="11" t="str">
        <v>BASIC MECHANICS</v>
      </c>
      <c r="C225" s="7" t="str">
        <v>Opoku Richard</v>
      </c>
      <c r="D225" s="11" t="s">
        <v>123</v>
      </c>
      <c r="E225" s="11">
        <v>75</v>
      </c>
      <c r="F225" s="12" t="s">
        <v>26</v>
      </c>
      <c r="G225" s="9">
        <f t="shared" ref="G225:G234" si="18">E225*1.09</f>
        <v>81.75</v>
      </c>
      <c r="H225" s="8" t="s">
        <v>503</v>
      </c>
      <c r="I225" t="str">
        <f t="shared" si="17"/>
        <v>ME 162,ED1-METE</v>
      </c>
      <c r="J225" s="27"/>
    </row>
    <row r="226" spans="1:10" x14ac:dyDescent="0.35">
      <c r="A226" s="11" t="s">
        <v>654</v>
      </c>
      <c r="B226" s="11" t="str">
        <v>BASIC MECHANICS</v>
      </c>
      <c r="C226" s="7" t="str">
        <v>Boahen Samuel</v>
      </c>
      <c r="D226" s="11" t="s">
        <v>59</v>
      </c>
      <c r="E226" s="11">
        <v>56</v>
      </c>
      <c r="F226" s="12" t="s">
        <v>657</v>
      </c>
      <c r="G226" s="9">
        <f t="shared" si="18"/>
        <v>61.040000000000006</v>
      </c>
      <c r="H226" s="8" t="s">
        <v>656</v>
      </c>
      <c r="I226" t="str">
        <f t="shared" si="17"/>
        <v>ME 162,ED1-PCE</v>
      </c>
      <c r="J226" s="27"/>
    </row>
    <row r="227" spans="1:10" x14ac:dyDescent="0.35">
      <c r="A227" s="47" t="s">
        <v>654</v>
      </c>
      <c r="B227" s="47" t="str">
        <v>BASIC MECHANICS</v>
      </c>
      <c r="C227" s="73" t="str">
        <v>Oppong David Kofi</v>
      </c>
      <c r="D227" s="47" t="s">
        <v>61</v>
      </c>
      <c r="E227" s="47">
        <v>120</v>
      </c>
      <c r="F227" s="57" t="s">
        <v>179</v>
      </c>
      <c r="G227" s="72">
        <f t="shared" si="18"/>
        <v>130.80000000000001</v>
      </c>
      <c r="H227" s="71" t="s">
        <v>655</v>
      </c>
      <c r="I227" t="str">
        <f t="shared" si="17"/>
        <v>ME 162,ED1-CHE</v>
      </c>
      <c r="J227" s="27"/>
    </row>
    <row r="228" spans="1:10" x14ac:dyDescent="0.35">
      <c r="A228" s="11" t="s">
        <v>654</v>
      </c>
      <c r="B228" s="11" t="str">
        <v>BASIC MECHANICS</v>
      </c>
      <c r="C228" s="7" t="str">
        <v>Oppong David Kofi</v>
      </c>
      <c r="D228" s="11" t="s">
        <v>180</v>
      </c>
      <c r="E228" s="11">
        <v>128</v>
      </c>
      <c r="F228" s="12" t="s">
        <v>653</v>
      </c>
      <c r="G228" s="9">
        <f t="shared" si="18"/>
        <v>139.52000000000001</v>
      </c>
      <c r="H228" s="8" t="s">
        <v>652</v>
      </c>
      <c r="I228" t="str">
        <f t="shared" si="17"/>
        <v>ME 162,ED1-AE</v>
      </c>
      <c r="J228" s="27"/>
    </row>
    <row r="229" spans="1:10" x14ac:dyDescent="0.35">
      <c r="A229" s="11" t="s">
        <v>439</v>
      </c>
      <c r="B229" s="11" t="str">
        <v>STATICS OF SOLID MECHANICS</v>
      </c>
      <c r="C229" s="7" t="str">
        <v>Oppong David Kofi</v>
      </c>
      <c r="D229" s="11" t="s">
        <v>144</v>
      </c>
      <c r="E229" s="11">
        <v>85</v>
      </c>
      <c r="F229" s="45" t="s">
        <v>651</v>
      </c>
      <c r="G229" s="9">
        <f t="shared" si="18"/>
        <v>92.65</v>
      </c>
      <c r="H229" s="8" t="s">
        <v>650</v>
      </c>
      <c r="I229" t="str">
        <f t="shared" si="17"/>
        <v>ME 164,ED1-AUTO</v>
      </c>
      <c r="J229" s="27"/>
    </row>
    <row r="230" spans="1:10" x14ac:dyDescent="0.35">
      <c r="A230" s="11" t="s">
        <v>649</v>
      </c>
      <c r="B230" s="11" t="str">
        <v>SECURE NETWORK SYSTEMS</v>
      </c>
      <c r="C230" s="7" t="str">
        <v>Tchao Eric Tutu</v>
      </c>
      <c r="D230" s="11" t="s">
        <v>249</v>
      </c>
      <c r="E230" s="11">
        <v>90</v>
      </c>
      <c r="F230" s="12" t="s">
        <v>524</v>
      </c>
      <c r="G230" s="9">
        <f t="shared" si="18"/>
        <v>98.100000000000009</v>
      </c>
      <c r="H230" s="8" t="s">
        <v>648</v>
      </c>
      <c r="I230" t="str">
        <f t="shared" si="17"/>
        <v>COE 456,ED4-COE</v>
      </c>
      <c r="J230" s="27"/>
    </row>
    <row r="231" spans="1:10" x14ac:dyDescent="0.35">
      <c r="A231" s="11" t="s">
        <v>647</v>
      </c>
      <c r="B231" s="11" t="str">
        <v>ENVIRONMENTAL GEOLLOGY</v>
      </c>
      <c r="C231" s="7" t="str">
        <v>Foli Gordon</v>
      </c>
      <c r="D231" s="11" t="s">
        <v>3</v>
      </c>
      <c r="E231" s="11">
        <v>95</v>
      </c>
      <c r="F231" s="12" t="s">
        <v>646</v>
      </c>
      <c r="G231" s="9">
        <f t="shared" si="18"/>
        <v>103.55000000000001</v>
      </c>
      <c r="H231" s="8" t="s">
        <v>645</v>
      </c>
      <c r="I231" t="str">
        <f t="shared" si="17"/>
        <v>GED 454,ED4-GEOL</v>
      </c>
      <c r="J231" s="27"/>
    </row>
    <row r="232" spans="1:10" x14ac:dyDescent="0.35">
      <c r="A232" s="11" t="s">
        <v>644</v>
      </c>
      <c r="B232" s="11" t="str">
        <v>BIOCHEMISTRY</v>
      </c>
      <c r="C232" s="7" t="str">
        <v>Charles Apprey</v>
      </c>
      <c r="D232" s="11" t="s">
        <v>18</v>
      </c>
      <c r="E232" s="11">
        <v>136</v>
      </c>
      <c r="F232" s="66" t="s">
        <v>643</v>
      </c>
      <c r="G232" s="9">
        <f t="shared" si="18"/>
        <v>148.24</v>
      </c>
      <c r="H232" s="8" t="s">
        <v>642</v>
      </c>
      <c r="I232" t="str">
        <f t="shared" si="17"/>
        <v>BME 166,ED1-BME</v>
      </c>
      <c r="J232" s="27"/>
    </row>
    <row r="233" spans="1:10" x14ac:dyDescent="0.35">
      <c r="A233" s="11" t="s">
        <v>641</v>
      </c>
      <c r="B233" s="11" t="str">
        <v>SEPARATION PROCESSES II</v>
      </c>
      <c r="C233" s="7" t="str">
        <v>Augustine Ntiamoah</v>
      </c>
      <c r="D233" s="11" t="s">
        <v>32</v>
      </c>
      <c r="E233" s="11">
        <v>53</v>
      </c>
      <c r="F233" s="12" t="s">
        <v>176</v>
      </c>
      <c r="G233" s="9">
        <f t="shared" si="18"/>
        <v>57.77</v>
      </c>
      <c r="H233" s="8" t="s">
        <v>383</v>
      </c>
      <c r="I233" t="str">
        <f t="shared" si="17"/>
        <v>PCE 352,ED3-PCE</v>
      </c>
      <c r="J233" s="27"/>
    </row>
    <row r="234" spans="1:10" x14ac:dyDescent="0.35">
      <c r="A234" s="11" t="s">
        <v>640</v>
      </c>
      <c r="B234" s="11" t="str">
        <v>HYDROMETALLURGICAL APPLICATIONS</v>
      </c>
      <c r="C234" s="7" t="str">
        <v>Agbe Henry</v>
      </c>
      <c r="D234" s="11" t="s">
        <v>229</v>
      </c>
      <c r="E234" s="11">
        <v>87</v>
      </c>
      <c r="F234" s="12" t="s">
        <v>639</v>
      </c>
      <c r="G234" s="9">
        <f t="shared" si="18"/>
        <v>94.830000000000013</v>
      </c>
      <c r="H234" s="8" t="s">
        <v>638</v>
      </c>
      <c r="I234" t="str">
        <f t="shared" si="17"/>
        <v>METE 352,ED3-METE</v>
      </c>
      <c r="J234" s="27"/>
    </row>
    <row r="235" spans="1:10" x14ac:dyDescent="0.35">
      <c r="D235" s="7" t="s">
        <v>637</v>
      </c>
      <c r="E235" s="6">
        <f>SUM(E219:E234)</f>
        <v>1641</v>
      </c>
      <c r="I235" t="str">
        <f t="shared" si="17"/>
        <v>,Total T5</v>
      </c>
      <c r="J235" s="27"/>
    </row>
    <row r="236" spans="1:10" x14ac:dyDescent="0.35">
      <c r="I236" t="str">
        <f t="shared" si="17"/>
        <v>,</v>
      </c>
      <c r="J236" s="27"/>
    </row>
    <row r="237" spans="1:10" x14ac:dyDescent="0.35">
      <c r="I237" t="str">
        <f t="shared" si="17"/>
        <v>,</v>
      </c>
      <c r="J237" s="27"/>
    </row>
    <row r="238" spans="1:10" x14ac:dyDescent="0.35">
      <c r="A238" s="82" t="s">
        <v>636</v>
      </c>
      <c r="B238" s="83"/>
      <c r="C238" s="83"/>
      <c r="D238" s="83"/>
      <c r="E238" s="83"/>
      <c r="F238" s="83"/>
      <c r="G238" s="84"/>
      <c r="H238" s="19"/>
      <c r="I238" t="str">
        <f t="shared" si="17"/>
        <v>Tuesday, 7 July 2026,</v>
      </c>
      <c r="J238" s="27"/>
    </row>
    <row r="239" spans="1:10" x14ac:dyDescent="0.35">
      <c r="A239" s="82" t="str">
        <f>[3]SESSIONS!$K$6</f>
        <v>Session, 6 (5:00 PM - 6:00 PM)</v>
      </c>
      <c r="B239" s="83"/>
      <c r="C239" s="83"/>
      <c r="D239" s="83"/>
      <c r="E239" s="83"/>
      <c r="F239" s="83"/>
      <c r="G239" s="84"/>
      <c r="H239" s="19"/>
      <c r="I239" t="str">
        <f t="shared" si="17"/>
        <v>Session, 6 (5:00 PM - 6:00 PM),</v>
      </c>
      <c r="J239" s="27"/>
    </row>
    <row r="240" spans="1:10" x14ac:dyDescent="0.35">
      <c r="A240" s="69" t="s">
        <v>52</v>
      </c>
      <c r="B240" s="69" t="s">
        <v>51</v>
      </c>
      <c r="C240" s="70" t="s">
        <v>50</v>
      </c>
      <c r="D240" s="69" t="s">
        <v>49</v>
      </c>
      <c r="E240" s="69" t="s">
        <v>48</v>
      </c>
      <c r="F240" s="68" t="s">
        <v>47</v>
      </c>
      <c r="G240" s="20" t="s">
        <v>46</v>
      </c>
      <c r="H240" s="19"/>
      <c r="I240" t="str">
        <f t="shared" si="17"/>
        <v>CODE ,CLASS</v>
      </c>
      <c r="J240" s="27"/>
    </row>
    <row r="241" spans="1:10" x14ac:dyDescent="0.35">
      <c r="A241" s="11" t="s">
        <v>439</v>
      </c>
      <c r="B241" s="11" t="str" cm="1">
        <f t="array" ref="B241:B254">IFERROR(VLOOKUP(I241:I254,[1]Lectures_1!A2:F535,2,FALSE),0)</f>
        <v>ENGINEERING MECHANICS I:STATICS</v>
      </c>
      <c r="C241" s="7" t="str" cm="1">
        <f t="array" ref="C241:C254">IFERROR(VLOOKUP(I241:I254,[1]Lectures_1!A2:F535,3,FALSE),0)</f>
        <v>Amoabeng Kofi Owura</v>
      </c>
      <c r="D241" s="11" t="s">
        <v>260</v>
      </c>
      <c r="E241" s="11" cm="1">
        <f t="array" ref="E241:E254">IFERROR(VLOOKUP(I241:I254,[1]Lectures_1!A2:F535,4,FALSE),0)</f>
        <v>83</v>
      </c>
      <c r="F241" s="12" t="s">
        <v>56</v>
      </c>
      <c r="G241" s="9">
        <f t="shared" ref="G241:G254" si="19">E241*1.09</f>
        <v>90.470000000000013</v>
      </c>
      <c r="H241" s="8" t="s">
        <v>321</v>
      </c>
      <c r="I241" t="str">
        <f t="shared" si="17"/>
        <v>ME 164,ED1-IND</v>
      </c>
      <c r="J241" s="27"/>
    </row>
    <row r="242" spans="1:10" x14ac:dyDescent="0.35">
      <c r="A242" s="11" t="s">
        <v>439</v>
      </c>
      <c r="B242" s="11" t="str">
        <v>ENGINEERING MECHANICS I:STATICS</v>
      </c>
      <c r="C242" s="7" t="str">
        <v>Amoabeng Kofi Owura</v>
      </c>
      <c r="D242" s="11" t="s">
        <v>93</v>
      </c>
      <c r="E242" s="11">
        <v>46</v>
      </c>
      <c r="F242" s="12" t="s">
        <v>401</v>
      </c>
      <c r="G242" s="9">
        <f t="shared" si="19"/>
        <v>50.14</v>
      </c>
      <c r="H242" s="8" t="s">
        <v>635</v>
      </c>
      <c r="I242" t="str">
        <f t="shared" si="17"/>
        <v>ME 164,ED1-MARI</v>
      </c>
      <c r="J242" s="27"/>
    </row>
    <row r="243" spans="1:10" x14ac:dyDescent="0.35">
      <c r="A243" s="11" t="s">
        <v>633</v>
      </c>
      <c r="B243" s="11" t="str">
        <v>PROCESS CONTROL AND SIMULATION</v>
      </c>
      <c r="C243" s="7" t="str">
        <v>Baah-Ennumh Emmanuel Kwaku</v>
      </c>
      <c r="D243" s="11" t="s">
        <v>344</v>
      </c>
      <c r="E243" s="11">
        <v>114</v>
      </c>
      <c r="F243" s="12" t="s">
        <v>463</v>
      </c>
      <c r="G243" s="9">
        <f t="shared" si="19"/>
        <v>124.26</v>
      </c>
      <c r="H243" s="8" t="s">
        <v>634</v>
      </c>
      <c r="I243" t="str">
        <f t="shared" si="17"/>
        <v>CHE 456,ED4-CHE</v>
      </c>
      <c r="J243" s="27"/>
    </row>
    <row r="244" spans="1:10" x14ac:dyDescent="0.35">
      <c r="A244" s="11" t="s">
        <v>633</v>
      </c>
      <c r="B244" s="11" t="str">
        <v>PROCESS CONTROL AND SIMULATION</v>
      </c>
      <c r="C244" s="7" t="str">
        <v>Baidoo Martina Francisca</v>
      </c>
      <c r="D244" s="11" t="s">
        <v>341</v>
      </c>
      <c r="E244" s="11">
        <v>55</v>
      </c>
      <c r="F244" s="67" t="s">
        <v>283</v>
      </c>
      <c r="G244" s="9">
        <f t="shared" si="19"/>
        <v>59.95</v>
      </c>
      <c r="H244" s="8" t="s">
        <v>105</v>
      </c>
      <c r="I244" t="str">
        <f t="shared" si="17"/>
        <v>CHE 456,ED4-PCE</v>
      </c>
      <c r="J244" s="27"/>
    </row>
    <row r="245" spans="1:10" x14ac:dyDescent="0.35">
      <c r="A245" s="11" t="s">
        <v>632</v>
      </c>
      <c r="B245" s="11" t="str">
        <v>CHEMICAL REACTION ENGINEERING</v>
      </c>
      <c r="C245" s="7" t="str">
        <v>Bonsu Jude Kwaku</v>
      </c>
      <c r="D245" s="33" t="s">
        <v>107</v>
      </c>
      <c r="E245" s="11">
        <v>105</v>
      </c>
      <c r="F245" s="67" t="s">
        <v>631</v>
      </c>
      <c r="G245" s="9">
        <f t="shared" si="19"/>
        <v>114.45</v>
      </c>
      <c r="H245" s="8" t="s">
        <v>630</v>
      </c>
      <c r="I245" t="str">
        <f t="shared" si="17"/>
        <v>CHE 352,ED3-CHE</v>
      </c>
      <c r="J245" s="27"/>
    </row>
    <row r="246" spans="1:10" x14ac:dyDescent="0.35">
      <c r="A246" s="11" t="s">
        <v>629</v>
      </c>
      <c r="B246" s="11" t="str">
        <v>ANATOMY AND PHYSIOLOGY FOR ENGINEERS II</v>
      </c>
      <c r="C246" s="7" t="str">
        <v>Agyapong Dorothy Araba Yakoba</v>
      </c>
      <c r="D246" s="11" t="s">
        <v>90</v>
      </c>
      <c r="E246" s="11">
        <v>80</v>
      </c>
      <c r="F246" s="12" t="s">
        <v>56</v>
      </c>
      <c r="G246" s="9">
        <f t="shared" si="19"/>
        <v>87.2</v>
      </c>
      <c r="H246" s="8" t="s">
        <v>628</v>
      </c>
      <c r="I246" t="str">
        <f t="shared" si="17"/>
        <v>BME 286,ED2-BME</v>
      </c>
      <c r="J246" s="27"/>
    </row>
    <row r="247" spans="1:10" x14ac:dyDescent="0.35">
      <c r="A247" s="11" t="s">
        <v>627</v>
      </c>
      <c r="B247" s="11" t="str">
        <v>STRUCTURAL GEOLOGY</v>
      </c>
      <c r="C247" s="7" t="str">
        <v>Wilson Matthew Coffie</v>
      </c>
      <c r="D247" s="11" t="s">
        <v>140</v>
      </c>
      <c r="E247" s="11">
        <v>154</v>
      </c>
      <c r="F247" s="12" t="s">
        <v>484</v>
      </c>
      <c r="G247" s="9">
        <f t="shared" si="19"/>
        <v>167.86</v>
      </c>
      <c r="H247" s="8" t="s">
        <v>626</v>
      </c>
      <c r="I247" t="str">
        <f t="shared" si="17"/>
        <v>GED 364,ED3-GEOL</v>
      </c>
      <c r="J247" s="27"/>
    </row>
    <row r="248" spans="1:10" x14ac:dyDescent="0.35">
      <c r="A248" s="11" t="s">
        <v>625</v>
      </c>
      <c r="B248" s="11" t="str">
        <v>ENVIRONMENTAL QUALITY ENGINEERING II</v>
      </c>
      <c r="C248" s="7" t="str">
        <v>Appiah-Effah Eugene</v>
      </c>
      <c r="D248" s="11" t="s">
        <v>7</v>
      </c>
      <c r="E248" s="11">
        <v>115</v>
      </c>
      <c r="F248" s="45" t="s">
        <v>624</v>
      </c>
      <c r="G248" s="9">
        <f t="shared" si="19"/>
        <v>125.35000000000001</v>
      </c>
      <c r="H248" s="8" t="s">
        <v>623</v>
      </c>
      <c r="I248" t="str">
        <f t="shared" si="17"/>
        <v>CE 464,ED4-CE</v>
      </c>
      <c r="J248" s="27"/>
    </row>
    <row r="249" spans="1:10" x14ac:dyDescent="0.35">
      <c r="A249" s="11" t="s">
        <v>622</v>
      </c>
      <c r="B249" s="11" t="str">
        <v>RURAL ENGINEERING</v>
      </c>
      <c r="C249" s="7" t="str">
        <v>Mensah Ebenezer</v>
      </c>
      <c r="D249" s="11" t="s">
        <v>189</v>
      </c>
      <c r="E249" s="11">
        <v>101</v>
      </c>
      <c r="F249" s="66" t="s">
        <v>621</v>
      </c>
      <c r="G249" s="9">
        <f t="shared" si="19"/>
        <v>110.09</v>
      </c>
      <c r="H249" s="8" t="s">
        <v>620</v>
      </c>
      <c r="I249" t="str">
        <f t="shared" ref="I249:I278" si="20">CONCATENATE(A249,",",D249)</f>
        <v>AE 360,ED3-AE</v>
      </c>
      <c r="J249" s="27"/>
    </row>
    <row r="250" spans="1:10" x14ac:dyDescent="0.35">
      <c r="A250" s="11" t="s">
        <v>619</v>
      </c>
      <c r="B250" s="11" t="str">
        <v>ENGINEERING GRAPHICS</v>
      </c>
      <c r="C250" s="7" t="str">
        <v>Sackey Michael Nii</v>
      </c>
      <c r="D250" s="11" t="s">
        <v>277</v>
      </c>
      <c r="E250" s="11">
        <v>70</v>
      </c>
      <c r="F250" s="12" t="s">
        <v>618</v>
      </c>
      <c r="G250" s="9">
        <f t="shared" si="19"/>
        <v>76.300000000000011</v>
      </c>
      <c r="H250" s="8" t="s">
        <v>313</v>
      </c>
      <c r="I250" t="str">
        <f t="shared" si="20"/>
        <v>ME 158,ED1-AERO</v>
      </c>
      <c r="J250" s="27"/>
    </row>
    <row r="251" spans="1:10" x14ac:dyDescent="0.35">
      <c r="A251" s="11" t="s">
        <v>617</v>
      </c>
      <c r="B251" s="11" t="str">
        <v>INTRODUCTION TO PSYCHOLOGY</v>
      </c>
      <c r="C251" s="7" t="str">
        <v>Sarfo Fordjour Elizabeth Anokyewaa</v>
      </c>
      <c r="D251" s="11" t="s">
        <v>236</v>
      </c>
      <c r="E251" s="11">
        <v>130</v>
      </c>
      <c r="F251" s="12" t="s">
        <v>179</v>
      </c>
      <c r="G251" s="9">
        <f t="shared" si="19"/>
        <v>141.70000000000002</v>
      </c>
      <c r="H251" s="8" t="s">
        <v>233</v>
      </c>
      <c r="I251" t="str">
        <f t="shared" si="20"/>
        <v>PSYC 154,ED1-TEL</v>
      </c>
    </row>
    <row r="252" spans="1:10" x14ac:dyDescent="0.35">
      <c r="A252" s="11" t="s">
        <v>616</v>
      </c>
      <c r="B252" s="11" t="str">
        <v>MECHANICS OF MATERIALS</v>
      </c>
      <c r="C252" s="7" t="str">
        <v>Mensah-Darkwa Kwadwo</v>
      </c>
      <c r="D252" s="11" t="s">
        <v>137</v>
      </c>
      <c r="E252" s="11">
        <v>85</v>
      </c>
      <c r="F252" s="12" t="s">
        <v>615</v>
      </c>
      <c r="G252" s="9">
        <f t="shared" si="19"/>
        <v>92.65</v>
      </c>
      <c r="H252" s="8" t="s">
        <v>614</v>
      </c>
      <c r="I252" t="str">
        <f t="shared" si="20"/>
        <v>MSE 360,ED3-MSE</v>
      </c>
      <c r="J252" s="27"/>
    </row>
    <row r="253" spans="1:10" x14ac:dyDescent="0.35">
      <c r="A253" s="11" t="s">
        <v>613</v>
      </c>
      <c r="B253" s="11" t="str">
        <v>INTRO TO PYTHON &amp; COMPUTER NETWORKING</v>
      </c>
      <c r="C253" s="7" t="str">
        <v>Charles Mawutor Adrah</v>
      </c>
      <c r="D253" s="11" t="s">
        <v>130</v>
      </c>
      <c r="E253" s="11">
        <v>340</v>
      </c>
      <c r="F253" s="12" t="s">
        <v>150</v>
      </c>
      <c r="G253" s="9">
        <f t="shared" si="19"/>
        <v>370.6</v>
      </c>
      <c r="H253" s="8" t="s">
        <v>612</v>
      </c>
      <c r="I253" t="str">
        <f t="shared" si="20"/>
        <v>EE 158,ED1-EE</v>
      </c>
      <c r="J253" s="27"/>
    </row>
    <row r="254" spans="1:10" x14ac:dyDescent="0.35">
      <c r="A254" s="11" t="s">
        <v>611</v>
      </c>
      <c r="B254" s="11" t="str">
        <v>TELECOMMUNICATION POLICY AND REGULATION</v>
      </c>
      <c r="C254" s="7" t="str">
        <v>Kingsford Sarkodie Obeng Kwakye</v>
      </c>
      <c r="D254" s="11" t="s">
        <v>203</v>
      </c>
      <c r="E254" s="11">
        <v>138</v>
      </c>
      <c r="F254" s="24" t="s">
        <v>610</v>
      </c>
      <c r="G254" s="9">
        <f t="shared" si="19"/>
        <v>150.42000000000002</v>
      </c>
      <c r="H254" s="8" t="s">
        <v>609</v>
      </c>
      <c r="I254" t="str">
        <f t="shared" si="20"/>
        <v>TE 452,ED4-TEL</v>
      </c>
      <c r="J254" s="27"/>
    </row>
    <row r="255" spans="1:10" x14ac:dyDescent="0.35">
      <c r="D255" s="7" t="s">
        <v>608</v>
      </c>
      <c r="E255" s="6">
        <f>SUM(E241:E254)</f>
        <v>1616</v>
      </c>
      <c r="I255" t="str">
        <f t="shared" si="20"/>
        <v>,Total T6</v>
      </c>
      <c r="J255" s="27"/>
    </row>
    <row r="256" spans="1:10" x14ac:dyDescent="0.35">
      <c r="D256" s="35"/>
      <c r="E256" s="52"/>
      <c r="I256" t="str">
        <f t="shared" si="20"/>
        <v>,</v>
      </c>
      <c r="J256" s="27"/>
    </row>
    <row r="257" spans="1:10" x14ac:dyDescent="0.35">
      <c r="I257" t="str">
        <f t="shared" si="20"/>
        <v>,</v>
      </c>
      <c r="J257" s="27"/>
    </row>
    <row r="258" spans="1:10" x14ac:dyDescent="0.35">
      <c r="A258" s="82" t="s">
        <v>457</v>
      </c>
      <c r="B258" s="83"/>
      <c r="C258" s="83"/>
      <c r="D258" s="83"/>
      <c r="E258" s="83"/>
      <c r="F258" s="83"/>
      <c r="G258" s="84"/>
      <c r="H258" s="19"/>
      <c r="I258" t="str">
        <f t="shared" si="20"/>
        <v>Wednesday, 8 July 2026,</v>
      </c>
      <c r="J258" s="27"/>
    </row>
    <row r="259" spans="1:10" x14ac:dyDescent="0.35">
      <c r="A259" s="82" t="str">
        <f>[3]SESSIONS!$K$1</f>
        <v>Session, 1 (8:15 AM - 9:15 AM)</v>
      </c>
      <c r="B259" s="83"/>
      <c r="C259" s="83"/>
      <c r="D259" s="83"/>
      <c r="E259" s="83"/>
      <c r="F259" s="83"/>
      <c r="G259" s="84"/>
      <c r="H259" s="19"/>
      <c r="I259" t="str">
        <f t="shared" si="20"/>
        <v>Session, 1 (8:15 AM - 9:15 AM),</v>
      </c>
      <c r="J259" s="27"/>
    </row>
    <row r="260" spans="1:10" x14ac:dyDescent="0.35">
      <c r="A260" s="22" t="s">
        <v>52</v>
      </c>
      <c r="B260" s="22" t="s">
        <v>51</v>
      </c>
      <c r="C260" s="23" t="s">
        <v>50</v>
      </c>
      <c r="D260" s="22" t="s">
        <v>49</v>
      </c>
      <c r="E260" s="22" t="s">
        <v>48</v>
      </c>
      <c r="F260" s="21" t="s">
        <v>47</v>
      </c>
      <c r="G260" s="20" t="s">
        <v>46</v>
      </c>
      <c r="H260" s="19"/>
      <c r="I260" t="str">
        <f t="shared" si="20"/>
        <v>CODE ,CLASS</v>
      </c>
      <c r="J260" s="27"/>
    </row>
    <row r="261" spans="1:10" x14ac:dyDescent="0.35">
      <c r="A261" s="11" t="s">
        <v>385</v>
      </c>
      <c r="B261" s="11" t="str" cm="1">
        <f t="array" ref="B261:B275">IFERROR(VLOOKUP(I261:I275,[1]Lectures_1!A2:F535,2,FALSE),0)</f>
        <v>CALCULUS WITH ANALYSIS</v>
      </c>
      <c r="C261" s="7" t="str" cm="1">
        <f t="array" ref="C261:C275">IFERROR(VLOOKUP(I261:I275,[1]Lectures_1!A2:F535,3,FALSE),0)</f>
        <v>Asamoah Joshua Kiddy Kwasi</v>
      </c>
      <c r="D261" s="11" t="s">
        <v>18</v>
      </c>
      <c r="E261" s="11" cm="1">
        <f t="array" ref="E261:E275">IFERROR(VLOOKUP(I261:I275,[1]Lectures_1!A2:F535,4,FALSE),0)</f>
        <v>136</v>
      </c>
      <c r="F261" s="85" t="s">
        <v>225</v>
      </c>
      <c r="G261" s="9">
        <f t="shared" ref="G261:G275" si="21">E261*1.09</f>
        <v>148.24</v>
      </c>
      <c r="H261" s="8"/>
      <c r="I261" t="str">
        <f t="shared" si="20"/>
        <v>MATH 152,ED1-BME</v>
      </c>
      <c r="J261" s="27"/>
    </row>
    <row r="262" spans="1:10" x14ac:dyDescent="0.35">
      <c r="A262" s="11" t="s">
        <v>385</v>
      </c>
      <c r="B262" s="11" t="str">
        <v>CALCULUS WITH ANALYSIS</v>
      </c>
      <c r="C262" s="7" t="str">
        <v>Asamoah Joshua Kiddy Kwasi</v>
      </c>
      <c r="D262" s="11" t="s">
        <v>180</v>
      </c>
      <c r="E262" s="11">
        <v>128</v>
      </c>
      <c r="F262" s="86"/>
      <c r="G262" s="9">
        <f t="shared" si="21"/>
        <v>139.52000000000001</v>
      </c>
      <c r="H262" s="8"/>
      <c r="I262" t="str">
        <f t="shared" si="20"/>
        <v>MATH 152,ED1-AE</v>
      </c>
      <c r="J262" s="27"/>
    </row>
    <row r="263" spans="1:10" x14ac:dyDescent="0.35">
      <c r="A263" s="11" t="s">
        <v>607</v>
      </c>
      <c r="B263" s="11" t="str">
        <v>BASIC GEOLOGY</v>
      </c>
      <c r="C263" s="7" t="str">
        <v>Gawu Simon Kafui Yawo</v>
      </c>
      <c r="D263" s="11" t="s">
        <v>123</v>
      </c>
      <c r="E263" s="11">
        <v>75</v>
      </c>
      <c r="F263" s="12" t="s">
        <v>606</v>
      </c>
      <c r="G263" s="9">
        <f t="shared" si="21"/>
        <v>81.75</v>
      </c>
      <c r="H263" s="8" t="s">
        <v>605</v>
      </c>
      <c r="I263" t="str">
        <f t="shared" si="20"/>
        <v>GED 162,ED1-METE</v>
      </c>
      <c r="J263" s="27"/>
    </row>
    <row r="264" spans="1:10" x14ac:dyDescent="0.35">
      <c r="A264" s="11" t="s">
        <v>603</v>
      </c>
      <c r="B264" s="11" t="str">
        <v>CIRCUIT THEORY</v>
      </c>
      <c r="C264" s="7" t="str">
        <v>Yeboah-Akowuah Bright</v>
      </c>
      <c r="D264" s="11" t="s">
        <v>86</v>
      </c>
      <c r="E264" s="11">
        <v>255</v>
      </c>
      <c r="F264" s="45" t="s">
        <v>376</v>
      </c>
      <c r="G264" s="9">
        <f t="shared" si="21"/>
        <v>277.95000000000005</v>
      </c>
      <c r="H264" s="8" t="s">
        <v>604</v>
      </c>
      <c r="I264" t="str">
        <f t="shared" si="20"/>
        <v>COE 288,ED2-COE</v>
      </c>
      <c r="J264" s="27"/>
    </row>
    <row r="265" spans="1:10" x14ac:dyDescent="0.35">
      <c r="A265" s="11" t="s">
        <v>603</v>
      </c>
      <c r="B265" s="11" t="str">
        <v>CIRCUIT THEORY</v>
      </c>
      <c r="C265" s="7" t="str">
        <v>Yeboah-Akowuah Bright</v>
      </c>
      <c r="D265" s="11" t="s">
        <v>90</v>
      </c>
      <c r="E265" s="11">
        <v>80</v>
      </c>
      <c r="F265" s="12" t="s">
        <v>20</v>
      </c>
      <c r="G265" s="9">
        <f t="shared" si="21"/>
        <v>87.2</v>
      </c>
      <c r="H265" s="8" t="s">
        <v>373</v>
      </c>
      <c r="I265" t="str">
        <f t="shared" si="20"/>
        <v>COE 288,ED2-BME</v>
      </c>
      <c r="J265" s="27"/>
    </row>
    <row r="266" spans="1:10" x14ac:dyDescent="0.35">
      <c r="A266" s="11" t="s">
        <v>602</v>
      </c>
      <c r="B266" s="11" t="str">
        <v>DIGITAL SYSTEMS</v>
      </c>
      <c r="C266" s="7" t="str">
        <v>Opoku Daniel</v>
      </c>
      <c r="D266" s="11" t="s">
        <v>102</v>
      </c>
      <c r="E266" s="11">
        <v>340</v>
      </c>
      <c r="F266" s="12" t="s">
        <v>601</v>
      </c>
      <c r="G266" s="9">
        <f t="shared" si="21"/>
        <v>370.6</v>
      </c>
      <c r="H266" s="8" t="s">
        <v>215</v>
      </c>
      <c r="I266" t="str">
        <f t="shared" si="20"/>
        <v>EE 272,ED2-EE</v>
      </c>
      <c r="J266" s="27"/>
    </row>
    <row r="267" spans="1:10" x14ac:dyDescent="0.35">
      <c r="A267" s="11" t="s">
        <v>600</v>
      </c>
      <c r="B267" s="11" t="str">
        <v>PRINCIPLE OF DESIGN</v>
      </c>
      <c r="C267" s="7" t="str">
        <v>Ayeh Felix Jojo Fianko</v>
      </c>
      <c r="D267" s="11" t="s">
        <v>15</v>
      </c>
      <c r="E267" s="11">
        <v>250</v>
      </c>
      <c r="F267" s="10" t="s">
        <v>599</v>
      </c>
      <c r="G267" s="9">
        <f t="shared" si="21"/>
        <v>272.5</v>
      </c>
      <c r="H267" s="8" t="s">
        <v>598</v>
      </c>
      <c r="I267" t="str">
        <f t="shared" si="20"/>
        <v>CE 272,ED2-CE</v>
      </c>
      <c r="J267" s="27"/>
    </row>
    <row r="268" spans="1:10" x14ac:dyDescent="0.35">
      <c r="A268" s="11" t="s">
        <v>597</v>
      </c>
      <c r="B268" s="11" t="str">
        <v>PHYSICAL CHEMISTRY FOR ENGINEERS</v>
      </c>
      <c r="C268" s="7" t="str">
        <v>Boakye Patrick</v>
      </c>
      <c r="D268" s="11" t="s">
        <v>234</v>
      </c>
      <c r="E268" s="11">
        <v>130</v>
      </c>
      <c r="F268" s="12" t="s">
        <v>596</v>
      </c>
      <c r="G268" s="9">
        <f t="shared" si="21"/>
        <v>141.70000000000002</v>
      </c>
      <c r="H268" s="8" t="s">
        <v>233</v>
      </c>
      <c r="I268" t="str">
        <f t="shared" si="20"/>
        <v>PE 156,ED1-PE</v>
      </c>
      <c r="J268" s="27"/>
    </row>
    <row r="269" spans="1:10" x14ac:dyDescent="0.35">
      <c r="A269" s="11" t="s">
        <v>595</v>
      </c>
      <c r="B269" s="11" t="str">
        <v>PHYSICAL CHEMISTRY FOR ENGINEERS</v>
      </c>
      <c r="C269" s="7" t="str">
        <v>Boakye Patrick</v>
      </c>
      <c r="D269" s="11" t="s">
        <v>59</v>
      </c>
      <c r="E269" s="11">
        <v>56</v>
      </c>
      <c r="F269" s="12" t="s">
        <v>594</v>
      </c>
      <c r="G269" s="9">
        <f t="shared" si="21"/>
        <v>61.040000000000006</v>
      </c>
      <c r="H269" s="8" t="s">
        <v>593</v>
      </c>
      <c r="I269" t="str">
        <f t="shared" si="20"/>
        <v>CHE 156,ED1-PCE</v>
      </c>
      <c r="J269" s="27"/>
    </row>
    <row r="270" spans="1:10" x14ac:dyDescent="0.35">
      <c r="A270" s="11" t="s">
        <v>592</v>
      </c>
      <c r="B270" s="11" t="str">
        <v>MILLIMETERWAVE TECHNOLOGY</v>
      </c>
      <c r="C270" s="7" t="str">
        <v>Abdul-Rahman Ahmed</v>
      </c>
      <c r="D270" s="11" t="s">
        <v>203</v>
      </c>
      <c r="E270" s="11">
        <v>33</v>
      </c>
      <c r="F270" s="45" t="s">
        <v>192</v>
      </c>
      <c r="G270" s="9">
        <f t="shared" si="21"/>
        <v>35.970000000000006</v>
      </c>
      <c r="H270" s="8" t="s">
        <v>591</v>
      </c>
      <c r="I270" t="str">
        <f t="shared" si="20"/>
        <v>TE 468,ED4-TEL</v>
      </c>
      <c r="J270" s="27"/>
    </row>
    <row r="271" spans="1:10" x14ac:dyDescent="0.35">
      <c r="A271" s="11" t="s">
        <v>590</v>
      </c>
      <c r="B271" s="11" t="str">
        <v>FOOD PROCESSING TECHNOLOGY</v>
      </c>
      <c r="C271" s="7" t="str">
        <v>Anang Daniel Adjah</v>
      </c>
      <c r="D271" s="11" t="s">
        <v>107</v>
      </c>
      <c r="E271" s="11">
        <v>50</v>
      </c>
      <c r="F271" s="12" t="s">
        <v>589</v>
      </c>
      <c r="G271" s="9">
        <f t="shared" si="21"/>
        <v>54.500000000000007</v>
      </c>
      <c r="H271" s="8" t="s">
        <v>588</v>
      </c>
      <c r="I271" t="str">
        <f t="shared" si="20"/>
        <v>CHE 368,ED3-CHE</v>
      </c>
      <c r="J271" s="27"/>
    </row>
    <row r="272" spans="1:10" x14ac:dyDescent="0.35">
      <c r="A272" s="11" t="s">
        <v>587</v>
      </c>
      <c r="B272" s="11" t="str">
        <v>KINETICS AND REACTIONS ENGINEERING</v>
      </c>
      <c r="C272" s="7" t="str">
        <v>Augustine Ntiamoah</v>
      </c>
      <c r="D272" s="11" t="s">
        <v>32</v>
      </c>
      <c r="E272" s="11">
        <v>53</v>
      </c>
      <c r="F272" s="65" t="s">
        <v>586</v>
      </c>
      <c r="G272" s="9">
        <f t="shared" si="21"/>
        <v>57.77</v>
      </c>
      <c r="H272" s="8" t="s">
        <v>585</v>
      </c>
      <c r="I272" t="str">
        <f t="shared" si="20"/>
        <v>PCE 350,ED3-PCE</v>
      </c>
      <c r="J272" s="27"/>
    </row>
    <row r="273" spans="1:10" x14ac:dyDescent="0.35">
      <c r="A273" s="11" t="s">
        <v>584</v>
      </c>
      <c r="B273" s="11" t="str">
        <v>AUTOMOTIVE ELECTRICAL SYSTEMS AND ELECTRONICS</v>
      </c>
      <c r="C273" s="7" t="str">
        <v>Ayetor Godwin Kafui Kwesi</v>
      </c>
      <c r="D273" s="11" t="s">
        <v>67</v>
      </c>
      <c r="E273" s="11">
        <v>82</v>
      </c>
      <c r="F273" s="24" t="s">
        <v>28</v>
      </c>
      <c r="G273" s="9">
        <f t="shared" si="21"/>
        <v>89.38000000000001</v>
      </c>
      <c r="H273" s="8" t="s">
        <v>66</v>
      </c>
      <c r="I273" t="str">
        <f t="shared" si="20"/>
        <v>AME 252,ED2-AUTO</v>
      </c>
      <c r="J273" s="27"/>
    </row>
    <row r="274" spans="1:10" x14ac:dyDescent="0.35">
      <c r="A274" s="11" t="s">
        <v>583</v>
      </c>
      <c r="B274" s="11" t="str">
        <v>INTRODUCTION TO PROGRAMMING - I</v>
      </c>
      <c r="C274" s="7" t="str">
        <v>Agyemang Justice Owusu</v>
      </c>
      <c r="D274" s="11" t="s">
        <v>236</v>
      </c>
      <c r="E274" s="11">
        <v>130</v>
      </c>
      <c r="F274" s="24" t="s">
        <v>150</v>
      </c>
      <c r="G274" s="9">
        <f t="shared" si="21"/>
        <v>141.70000000000002</v>
      </c>
      <c r="H274" s="8" t="s">
        <v>582</v>
      </c>
      <c r="I274" t="str">
        <f t="shared" si="20"/>
        <v>TE 158,ED1-TEL</v>
      </c>
      <c r="J274" s="27"/>
    </row>
    <row r="275" spans="1:10" x14ac:dyDescent="0.35">
      <c r="A275" s="47" t="s">
        <v>372</v>
      </c>
      <c r="B275" s="11" t="str">
        <v>MACHINE DESIGN II</v>
      </c>
      <c r="C275" s="7" t="str">
        <v>Afriyie Nyarko Frank Kwabena</v>
      </c>
      <c r="D275" s="11" t="s">
        <v>189</v>
      </c>
      <c r="E275" s="11">
        <v>101</v>
      </c>
      <c r="F275" s="24" t="s">
        <v>26</v>
      </c>
      <c r="G275" s="9">
        <f t="shared" si="21"/>
        <v>110.09</v>
      </c>
      <c r="H275" s="8" t="s">
        <v>581</v>
      </c>
      <c r="I275" t="str">
        <f t="shared" si="20"/>
        <v>ME 374,ED3-AE</v>
      </c>
      <c r="J275" s="27"/>
    </row>
    <row r="276" spans="1:10" x14ac:dyDescent="0.35">
      <c r="D276" s="7" t="s">
        <v>580</v>
      </c>
      <c r="E276" s="6">
        <f>SUM(E263:E275)</f>
        <v>1635</v>
      </c>
      <c r="I276" t="str">
        <f t="shared" si="20"/>
        <v>,Total W1</v>
      </c>
      <c r="J276" s="27"/>
    </row>
    <row r="277" spans="1:10" x14ac:dyDescent="0.35">
      <c r="I277" t="str">
        <f t="shared" si="20"/>
        <v>,</v>
      </c>
      <c r="J277" s="27"/>
    </row>
    <row r="278" spans="1:10" x14ac:dyDescent="0.35">
      <c r="I278" t="str">
        <f t="shared" si="20"/>
        <v>,</v>
      </c>
      <c r="J278" s="27"/>
    </row>
    <row r="279" spans="1:10" s="20" customFormat="1" ht="15" customHeight="1" x14ac:dyDescent="0.3">
      <c r="A279" s="91" t="s">
        <v>457</v>
      </c>
      <c r="B279" s="92"/>
      <c r="C279" s="92"/>
      <c r="D279" s="92"/>
      <c r="E279" s="92"/>
      <c r="F279" s="92"/>
      <c r="G279" s="92"/>
      <c r="H279" s="64"/>
      <c r="I279" s="63"/>
      <c r="J279" s="63"/>
    </row>
    <row r="280" spans="1:10" x14ac:dyDescent="0.35">
      <c r="A280" s="82" t="str">
        <f>[3]SESSIONS!$K$2</f>
        <v>Session, 2 (10:00 AM - 11:00 AM)</v>
      </c>
      <c r="B280" s="83"/>
      <c r="C280" s="83"/>
      <c r="D280" s="83"/>
      <c r="E280" s="83"/>
      <c r="F280" s="83"/>
      <c r="G280" s="84"/>
      <c r="H280" s="19"/>
      <c r="I280" t="str">
        <f t="shared" ref="I280:I311" si="22">CONCATENATE(A280,",",D280)</f>
        <v>Session, 2 (10:00 AM - 11:00 AM),</v>
      </c>
      <c r="J280" s="27"/>
    </row>
    <row r="281" spans="1:10" x14ac:dyDescent="0.35">
      <c r="A281" s="22" t="s">
        <v>52</v>
      </c>
      <c r="B281" s="22" t="s">
        <v>51</v>
      </c>
      <c r="C281" s="31" t="s">
        <v>50</v>
      </c>
      <c r="D281" s="22" t="s">
        <v>49</v>
      </c>
      <c r="E281" s="22" t="s">
        <v>48</v>
      </c>
      <c r="F281" s="21" t="s">
        <v>47</v>
      </c>
      <c r="G281" s="20" t="s">
        <v>46</v>
      </c>
      <c r="H281" s="19"/>
      <c r="I281" t="str">
        <f t="shared" si="22"/>
        <v>CODE ,CLASS</v>
      </c>
      <c r="J281" s="27"/>
    </row>
    <row r="282" spans="1:10" x14ac:dyDescent="0.35">
      <c r="A282" s="11" t="s">
        <v>574</v>
      </c>
      <c r="B282" s="11" t="str" cm="1">
        <f t="array" ref="B282:B294">IFERROR(VLOOKUP(I282:I294,[1]Lectures_1!A2:F535,2,FALSE),0)</f>
        <v>LITERATURE IN ENGLISH II</v>
      </c>
      <c r="C282" s="7" t="str" cm="1">
        <f t="array" ref="C282:C294">IFERROR(VLOOKUP(I282:I294,[1]Lectures_1!A2:F535,3,FALSE),0)</f>
        <v>Yeboah Philomena Ama Okyeso</v>
      </c>
      <c r="D282" s="11" t="s">
        <v>222</v>
      </c>
      <c r="E282" s="11" cm="1">
        <f t="array" ref="E282:E294">IFERROR(VLOOKUP(I282:I294,[1]Lectures_1!A2:F535,4,FALSE),0)</f>
        <v>155</v>
      </c>
      <c r="F282" s="45" t="s">
        <v>579</v>
      </c>
      <c r="G282" s="9">
        <f t="shared" ref="G282:G294" si="23">E282*1.09</f>
        <v>168.95000000000002</v>
      </c>
      <c r="H282" s="8" t="s">
        <v>578</v>
      </c>
      <c r="I282" t="str">
        <f t="shared" si="22"/>
        <v>ENGL 264,ED2-AE</v>
      </c>
      <c r="J282" s="27"/>
    </row>
    <row r="283" spans="1:10" x14ac:dyDescent="0.35">
      <c r="A283" s="11" t="s">
        <v>574</v>
      </c>
      <c r="B283" s="11" t="str">
        <v>LITERATURE IN ENGLISH II</v>
      </c>
      <c r="C283" s="7" t="str">
        <v>Yeboah Philomena Ama Okyeso</v>
      </c>
      <c r="D283" s="11" t="s">
        <v>21</v>
      </c>
      <c r="E283" s="11">
        <v>75</v>
      </c>
      <c r="F283" s="45" t="s">
        <v>577</v>
      </c>
      <c r="G283" s="9">
        <f t="shared" si="23"/>
        <v>81.75</v>
      </c>
      <c r="H283" s="8" t="s">
        <v>576</v>
      </c>
      <c r="I283" t="str">
        <f t="shared" si="22"/>
        <v>ENGL 264,ED2-AERO</v>
      </c>
      <c r="J283" s="27"/>
    </row>
    <row r="284" spans="1:10" x14ac:dyDescent="0.35">
      <c r="A284" s="11" t="s">
        <v>574</v>
      </c>
      <c r="B284" s="11" t="str">
        <v>LITERATURE IN ENGLISH II</v>
      </c>
      <c r="C284" s="7" t="str">
        <v>Yeboah Philomena Ama Okyeso</v>
      </c>
      <c r="D284" s="11" t="s">
        <v>83</v>
      </c>
      <c r="E284" s="11">
        <v>132</v>
      </c>
      <c r="F284" s="45" t="s">
        <v>424</v>
      </c>
      <c r="G284" s="9">
        <f t="shared" si="23"/>
        <v>143.88000000000002</v>
      </c>
      <c r="H284" s="8" t="s">
        <v>575</v>
      </c>
      <c r="I284" t="str">
        <f t="shared" si="22"/>
        <v>ENGL 264,ED2-GEOM</v>
      </c>
      <c r="J284" s="27"/>
    </row>
    <row r="285" spans="1:10" x14ac:dyDescent="0.35">
      <c r="A285" s="11" t="s">
        <v>574</v>
      </c>
      <c r="B285" s="11" t="str">
        <v>LITERATURE IN ENGLISH II</v>
      </c>
      <c r="C285" s="7" t="str">
        <v>Yeboah Philomena Ama Okyeso</v>
      </c>
      <c r="D285" s="11" t="s">
        <v>27</v>
      </c>
      <c r="E285" s="11">
        <v>80</v>
      </c>
      <c r="F285" s="45" t="s">
        <v>56</v>
      </c>
      <c r="G285" s="9">
        <f t="shared" si="23"/>
        <v>87.2</v>
      </c>
      <c r="H285" s="8" t="s">
        <v>55</v>
      </c>
      <c r="I285" t="str">
        <f t="shared" si="22"/>
        <v>ENGL 264,ED2-IND</v>
      </c>
      <c r="J285" s="27"/>
    </row>
    <row r="286" spans="1:10" x14ac:dyDescent="0.35">
      <c r="A286" s="11" t="s">
        <v>573</v>
      </c>
      <c r="B286" s="11" t="str">
        <v>INTRODUCTION TO CERAMICS</v>
      </c>
      <c r="C286" s="7" t="str">
        <v>Andrews Anthony</v>
      </c>
      <c r="D286" s="11" t="s">
        <v>223</v>
      </c>
      <c r="E286" s="11">
        <v>83</v>
      </c>
      <c r="F286" s="36" t="s">
        <v>26</v>
      </c>
      <c r="G286" s="9">
        <f t="shared" si="23"/>
        <v>90.470000000000013</v>
      </c>
      <c r="H286" s="8" t="s">
        <v>572</v>
      </c>
      <c r="I286" t="str">
        <f t="shared" si="22"/>
        <v>MSE 254,ED2-MSE</v>
      </c>
      <c r="J286" s="27"/>
    </row>
    <row r="287" spans="1:10" x14ac:dyDescent="0.35">
      <c r="A287" s="11" t="s">
        <v>297</v>
      </c>
      <c r="B287" s="11" t="str">
        <v xml:space="preserve"> HIGHWAY ENGINEERING</v>
      </c>
      <c r="C287" s="7" t="str">
        <v>Ababio-Donkor Augustus</v>
      </c>
      <c r="D287" s="11" t="s">
        <v>104</v>
      </c>
      <c r="E287" s="11">
        <v>122</v>
      </c>
      <c r="F287" s="24" t="s">
        <v>179</v>
      </c>
      <c r="G287" s="9">
        <f t="shared" si="23"/>
        <v>132.98000000000002</v>
      </c>
      <c r="H287" s="8" t="s">
        <v>571</v>
      </c>
      <c r="I287" t="str">
        <f t="shared" si="22"/>
        <v>CE 368,ED3-GEOM</v>
      </c>
      <c r="J287" s="27"/>
    </row>
    <row r="288" spans="1:10" x14ac:dyDescent="0.35">
      <c r="A288" s="11" t="s">
        <v>568</v>
      </c>
      <c r="B288" s="11" t="str">
        <v>GROUND ENGINEERING</v>
      </c>
      <c r="C288" s="7" t="str">
        <v>Samuel Innocent Kofi Ampadu</v>
      </c>
      <c r="D288" s="11" t="s">
        <v>7</v>
      </c>
      <c r="E288" s="11">
        <v>60</v>
      </c>
      <c r="F288" s="12" t="s">
        <v>570</v>
      </c>
      <c r="G288" s="9">
        <f t="shared" si="23"/>
        <v>65.400000000000006</v>
      </c>
      <c r="H288" s="8" t="s">
        <v>569</v>
      </c>
      <c r="I288" t="str">
        <f t="shared" si="22"/>
        <v>CE 478,ED4-CE</v>
      </c>
      <c r="J288" s="27"/>
    </row>
    <row r="289" spans="1:10" x14ac:dyDescent="0.35">
      <c r="A289" s="11" t="s">
        <v>568</v>
      </c>
      <c r="B289" s="11" t="str">
        <v>GROUND ENGINEERING</v>
      </c>
      <c r="C289" s="7" t="str">
        <v>Samuel Innocent Kofi Ampadu</v>
      </c>
      <c r="D289" s="11" t="s">
        <v>3</v>
      </c>
      <c r="E289" s="11">
        <v>2</v>
      </c>
      <c r="F289" s="12" t="s">
        <v>467</v>
      </c>
      <c r="G289" s="9">
        <f t="shared" si="23"/>
        <v>2.1800000000000002</v>
      </c>
      <c r="H289" s="8" t="s">
        <v>567</v>
      </c>
      <c r="I289" t="str">
        <f t="shared" si="22"/>
        <v>CE 478,ED4-GEOL</v>
      </c>
      <c r="J289" s="27"/>
    </row>
    <row r="290" spans="1:10" x14ac:dyDescent="0.35">
      <c r="A290" s="11" t="s">
        <v>272</v>
      </c>
      <c r="B290" t="str">
        <v>ELECTRICAL MEASUREMENTS &amp; INSTRUMENTATION</v>
      </c>
      <c r="C290" s="7" t="str">
        <v>Nicholas Kwesi Prah II</v>
      </c>
      <c r="D290" s="11" t="s">
        <v>130</v>
      </c>
      <c r="E290" s="11">
        <v>295</v>
      </c>
      <c r="F290" s="12" t="s">
        <v>566</v>
      </c>
      <c r="G290" s="9">
        <f t="shared" si="23"/>
        <v>321.55</v>
      </c>
      <c r="H290" s="8" t="s">
        <v>565</v>
      </c>
      <c r="I290" t="str">
        <f t="shared" si="22"/>
        <v>EE 188,ED1-EE</v>
      </c>
      <c r="J290" s="27"/>
    </row>
    <row r="291" spans="1:10" x14ac:dyDescent="0.35">
      <c r="A291" s="11" t="s">
        <v>562</v>
      </c>
      <c r="B291" s="11" t="str">
        <v>STRENGTH OF MATERIALS FOR CHEMICAL ENGINEERS</v>
      </c>
      <c r="C291" s="7" t="str">
        <v>Anang Daniel Adjah</v>
      </c>
      <c r="D291" s="11" t="s">
        <v>154</v>
      </c>
      <c r="E291" s="11">
        <v>160</v>
      </c>
      <c r="F291" s="45" t="s">
        <v>564</v>
      </c>
      <c r="G291" s="9">
        <f t="shared" si="23"/>
        <v>174.4</v>
      </c>
      <c r="H291" s="8" t="s">
        <v>563</v>
      </c>
      <c r="I291" t="str">
        <f t="shared" si="22"/>
        <v>CHE 250,ED2-CHE</v>
      </c>
      <c r="J291" s="27"/>
    </row>
    <row r="292" spans="1:10" x14ac:dyDescent="0.35">
      <c r="A292" s="11" t="s">
        <v>562</v>
      </c>
      <c r="B292" s="11" t="str">
        <v>STRENGTH OF MATERIALS FOR CHEMICAL ENGINEERS</v>
      </c>
      <c r="C292" s="7" t="str">
        <v>Baidoo Martina Francisca</v>
      </c>
      <c r="D292" s="11" t="s">
        <v>36</v>
      </c>
      <c r="E292" s="11">
        <v>65</v>
      </c>
      <c r="F292" s="12" t="s">
        <v>28</v>
      </c>
      <c r="G292" s="9">
        <f t="shared" si="23"/>
        <v>70.850000000000009</v>
      </c>
      <c r="H292" s="8" t="s">
        <v>561</v>
      </c>
      <c r="I292" t="str">
        <f t="shared" si="22"/>
        <v>CHE 250,ED2-PCE</v>
      </c>
      <c r="J292" s="27"/>
    </row>
    <row r="293" spans="1:10" x14ac:dyDescent="0.35">
      <c r="A293" s="11" t="s">
        <v>560</v>
      </c>
      <c r="B293" s="11" t="str">
        <v>BASIC MINERAL SCIENCE</v>
      </c>
      <c r="C293" s="7" t="str">
        <v>Appiah-Adjei Emmanuel Kwame</v>
      </c>
      <c r="D293" s="11" t="s">
        <v>99</v>
      </c>
      <c r="E293" s="11">
        <v>125</v>
      </c>
      <c r="F293" s="12" t="s">
        <v>463</v>
      </c>
      <c r="G293" s="9">
        <f t="shared" si="23"/>
        <v>136.25</v>
      </c>
      <c r="H293" s="8" t="s">
        <v>559</v>
      </c>
      <c r="I293" t="str">
        <f t="shared" si="22"/>
        <v>GED 152,ED1-GEOL</v>
      </c>
      <c r="J293" s="27"/>
    </row>
    <row r="294" spans="1:10" x14ac:dyDescent="0.35">
      <c r="A294" s="11" t="s">
        <v>558</v>
      </c>
      <c r="B294" s="11" t="str">
        <v>ENVIRONMENTAL QUALITY ENGINEERING</v>
      </c>
      <c r="C294" s="7" t="str">
        <v>Appiah-Effah Eugene</v>
      </c>
      <c r="D294" s="11" t="s">
        <v>167</v>
      </c>
      <c r="E294" s="11">
        <v>230</v>
      </c>
      <c r="F294" s="12" t="s">
        <v>24</v>
      </c>
      <c r="G294" s="9">
        <f t="shared" si="23"/>
        <v>250.70000000000002</v>
      </c>
      <c r="H294" s="8" t="s">
        <v>557</v>
      </c>
      <c r="I294" t="str">
        <f t="shared" si="22"/>
        <v>CE 364,ED3-CE</v>
      </c>
      <c r="J294" s="27"/>
    </row>
    <row r="295" spans="1:10" x14ac:dyDescent="0.35">
      <c r="D295" s="7" t="s">
        <v>556</v>
      </c>
      <c r="E295" s="6">
        <f>SUM(E282:E294)</f>
        <v>1584</v>
      </c>
      <c r="I295" t="str">
        <f t="shared" si="22"/>
        <v>,Total W2</v>
      </c>
      <c r="J295" s="27"/>
    </row>
    <row r="296" spans="1:10" x14ac:dyDescent="0.35">
      <c r="I296" t="str">
        <f t="shared" si="22"/>
        <v>,</v>
      </c>
      <c r="J296" s="27"/>
    </row>
    <row r="297" spans="1:10" x14ac:dyDescent="0.35">
      <c r="I297" t="str">
        <f t="shared" si="22"/>
        <v>,</v>
      </c>
      <c r="J297" s="27"/>
    </row>
    <row r="298" spans="1:10" x14ac:dyDescent="0.35">
      <c r="A298" s="82" t="s">
        <v>457</v>
      </c>
      <c r="B298" s="83"/>
      <c r="C298" s="83"/>
      <c r="D298" s="83"/>
      <c r="E298" s="83"/>
      <c r="F298" s="83"/>
      <c r="G298" s="84"/>
      <c r="H298" s="19"/>
      <c r="I298" t="str">
        <f t="shared" si="22"/>
        <v>Wednesday, 8 July 2026,</v>
      </c>
      <c r="J298" s="27"/>
    </row>
    <row r="299" spans="1:10" x14ac:dyDescent="0.35">
      <c r="A299" s="82" t="str">
        <f>[3]SESSIONS!$K$3</f>
        <v>Session, 3 (11:45 AM - 12:45 PM)</v>
      </c>
      <c r="B299" s="83"/>
      <c r="C299" s="83"/>
      <c r="D299" s="83"/>
      <c r="E299" s="83"/>
      <c r="F299" s="83"/>
      <c r="G299" s="84"/>
      <c r="H299" s="19"/>
      <c r="I299" t="str">
        <f t="shared" si="22"/>
        <v>Session, 3 (11:45 AM - 12:45 PM),</v>
      </c>
      <c r="J299" s="27"/>
    </row>
    <row r="300" spans="1:10" x14ac:dyDescent="0.35">
      <c r="A300" s="22" t="s">
        <v>52</v>
      </c>
      <c r="B300" s="22" t="s">
        <v>51</v>
      </c>
      <c r="C300" s="31" t="s">
        <v>50</v>
      </c>
      <c r="D300" s="22" t="s">
        <v>49</v>
      </c>
      <c r="E300" s="22" t="s">
        <v>48</v>
      </c>
      <c r="F300" s="21" t="s">
        <v>47</v>
      </c>
      <c r="G300" s="20" t="s">
        <v>46</v>
      </c>
      <c r="H300" s="19"/>
      <c r="I300" t="str">
        <f t="shared" si="22"/>
        <v>CODE ,CLASS</v>
      </c>
      <c r="J300" s="27"/>
    </row>
    <row r="301" spans="1:10" x14ac:dyDescent="0.35">
      <c r="A301" s="11" t="s">
        <v>552</v>
      </c>
      <c r="B301" s="11" t="str" cm="1">
        <f t="array" ref="B301:B317">IFERROR(VLOOKUP(I301:I317,[1]Lectures_1!A2:F535,2,FALSE),0)</f>
        <v>VIBRATIONS I</v>
      </c>
      <c r="C301" s="7" t="str" cm="1">
        <f t="array" ref="C301:C317">IFERROR(VLOOKUP(I301:I317,[1]Lectures_1!A2:F535,3,FALSE),0)</f>
        <v>Adam Faisal Wahib</v>
      </c>
      <c r="D301" s="11" t="s">
        <v>29</v>
      </c>
      <c r="E301" s="11" cm="1">
        <f t="array" ref="E301:E317">IFERROR(VLOOKUP(I301:I317,[1]Lectures_1!A2:F535,4,FALSE),0)</f>
        <v>76</v>
      </c>
      <c r="F301" s="12" t="s">
        <v>555</v>
      </c>
      <c r="G301" s="9">
        <f t="shared" ref="G301:G317" si="24">E301*1.09</f>
        <v>82.84</v>
      </c>
      <c r="H301" s="8" t="s">
        <v>208</v>
      </c>
      <c r="I301" t="str">
        <f t="shared" si="22"/>
        <v>ME 362,ED3-AERO</v>
      </c>
      <c r="J301" s="27"/>
    </row>
    <row r="302" spans="1:10" x14ac:dyDescent="0.35">
      <c r="A302" s="11" t="s">
        <v>552</v>
      </c>
      <c r="B302" s="11" t="str">
        <v>VIBRATIONS I</v>
      </c>
      <c r="C302" s="7" t="str">
        <v>Adam Faisal Wahib</v>
      </c>
      <c r="D302" s="11" t="s">
        <v>164</v>
      </c>
      <c r="E302" s="11">
        <v>222</v>
      </c>
      <c r="F302" s="24" t="s">
        <v>554</v>
      </c>
      <c r="G302" s="9">
        <f t="shared" si="24"/>
        <v>241.98000000000002</v>
      </c>
      <c r="H302" s="8" t="s">
        <v>553</v>
      </c>
      <c r="I302" t="str">
        <f t="shared" si="22"/>
        <v>ME 362,ED3-ME</v>
      </c>
      <c r="J302" s="27"/>
    </row>
    <row r="303" spans="1:10" x14ac:dyDescent="0.35">
      <c r="A303" s="11" t="s">
        <v>552</v>
      </c>
      <c r="B303" s="11" t="str">
        <v>VIBRATIONS I</v>
      </c>
      <c r="C303" s="7" t="str">
        <v>Adam Faisal Wahib</v>
      </c>
      <c r="D303" s="11" t="s">
        <v>147</v>
      </c>
      <c r="E303" s="11">
        <v>40</v>
      </c>
      <c r="F303" s="12" t="s">
        <v>146</v>
      </c>
      <c r="G303" s="9">
        <f t="shared" si="24"/>
        <v>43.6</v>
      </c>
      <c r="H303" s="8" t="s">
        <v>63</v>
      </c>
      <c r="I303" t="str">
        <f t="shared" si="22"/>
        <v>ME 362,ED3-MARI</v>
      </c>
      <c r="J303" s="27"/>
    </row>
    <row r="304" spans="1:10" x14ac:dyDescent="0.35">
      <c r="A304" s="11" t="s">
        <v>551</v>
      </c>
      <c r="B304" s="11" t="str">
        <v>VIBRATIONS FOR AUTOMOBILE ENGINEERS</v>
      </c>
      <c r="C304" s="7" t="str">
        <v>Adam Faisal Wahib</v>
      </c>
      <c r="D304" s="11" t="s">
        <v>64</v>
      </c>
      <c r="E304" s="11">
        <v>40</v>
      </c>
      <c r="F304" s="12" t="s">
        <v>311</v>
      </c>
      <c r="G304" s="9">
        <f t="shared" si="24"/>
        <v>43.6</v>
      </c>
      <c r="H304" s="8" t="s">
        <v>63</v>
      </c>
      <c r="I304" t="str">
        <f t="shared" si="22"/>
        <v>AME 362,ED3-AUTO</v>
      </c>
      <c r="J304" s="27"/>
    </row>
    <row r="305" spans="1:10" x14ac:dyDescent="0.35">
      <c r="A305" s="11" t="s">
        <v>548</v>
      </c>
      <c r="B305" s="11" t="str">
        <v>MAINTENANCE ENGINEERING</v>
      </c>
      <c r="C305" s="7" t="str">
        <v xml:space="preserve">Peter Oppong Tawiah </v>
      </c>
      <c r="D305" s="11" t="s">
        <v>79</v>
      </c>
      <c r="E305" s="11">
        <v>135</v>
      </c>
      <c r="F305" s="12" t="s">
        <v>550</v>
      </c>
      <c r="G305" s="9">
        <f t="shared" si="24"/>
        <v>147.15</v>
      </c>
      <c r="H305" s="8" t="s">
        <v>549</v>
      </c>
      <c r="I305" t="str">
        <f t="shared" si="22"/>
        <v>ME 494,ED4-ME</v>
      </c>
      <c r="J305" s="27"/>
    </row>
    <row r="306" spans="1:10" x14ac:dyDescent="0.35">
      <c r="A306" s="11" t="s">
        <v>548</v>
      </c>
      <c r="B306" s="11" t="str">
        <v>MAINTENANCE ENGINEERING</v>
      </c>
      <c r="C306" s="7" t="str">
        <v xml:space="preserve">Peter Oppong Tawiah </v>
      </c>
      <c r="D306" s="11" t="s">
        <v>328</v>
      </c>
      <c r="E306" s="11">
        <v>69</v>
      </c>
      <c r="F306" s="12" t="s">
        <v>547</v>
      </c>
      <c r="G306" s="9">
        <f t="shared" si="24"/>
        <v>75.210000000000008</v>
      </c>
      <c r="H306" s="8" t="s">
        <v>546</v>
      </c>
      <c r="I306" t="str">
        <f t="shared" si="22"/>
        <v>ME 494,ED4-IND</v>
      </c>
      <c r="J306" s="27"/>
    </row>
    <row r="307" spans="1:10" x14ac:dyDescent="0.35">
      <c r="A307" s="11" t="s">
        <v>545</v>
      </c>
      <c r="B307" s="11" t="str">
        <v>AQUATIC STROKES DEVELOPMENT AND REFINEMENT</v>
      </c>
      <c r="C307" s="7" t="str">
        <v>Afrifa Daniel</v>
      </c>
      <c r="D307" s="11" t="s">
        <v>220</v>
      </c>
      <c r="E307" s="11">
        <v>37</v>
      </c>
      <c r="F307" s="12" t="s">
        <v>544</v>
      </c>
      <c r="G307" s="9">
        <f t="shared" si="24"/>
        <v>40.330000000000005</v>
      </c>
      <c r="H307" s="8" t="s">
        <v>543</v>
      </c>
      <c r="I307" t="str">
        <f t="shared" si="22"/>
        <v>SES 172,ED2-MARI</v>
      </c>
      <c r="J307" s="27"/>
    </row>
    <row r="308" spans="1:10" x14ac:dyDescent="0.35">
      <c r="A308" s="11" t="s">
        <v>542</v>
      </c>
      <c r="B308" s="11" t="str">
        <v>PHYSICAL METALLURGY OF FERROUS METALS</v>
      </c>
      <c r="C308" s="7" t="str">
        <v>Kwofie Samuel</v>
      </c>
      <c r="D308" s="11" t="s">
        <v>137</v>
      </c>
      <c r="E308" s="11">
        <v>85</v>
      </c>
      <c r="F308" s="12" t="s">
        <v>28</v>
      </c>
      <c r="G308" s="9">
        <f t="shared" si="24"/>
        <v>92.65</v>
      </c>
      <c r="H308" s="8" t="s">
        <v>541</v>
      </c>
      <c r="I308" t="str">
        <f t="shared" si="22"/>
        <v>MSE 354,ED3-MSE</v>
      </c>
      <c r="J308" s="27"/>
    </row>
    <row r="309" spans="1:10" x14ac:dyDescent="0.35">
      <c r="A309" s="11" t="s">
        <v>540</v>
      </c>
      <c r="B309" s="11" t="str">
        <v>PHYSICAL METALLURGY OF FERROUS METALS</v>
      </c>
      <c r="C309" s="7" t="str">
        <v>Kwofie Samuel</v>
      </c>
      <c r="D309" s="11" t="s">
        <v>229</v>
      </c>
      <c r="E309" s="11">
        <v>87</v>
      </c>
      <c r="F309" s="12" t="s">
        <v>539</v>
      </c>
      <c r="G309" s="9">
        <f t="shared" si="24"/>
        <v>94.830000000000013</v>
      </c>
      <c r="H309" s="8" t="s">
        <v>538</v>
      </c>
      <c r="I309" t="str">
        <f t="shared" si="22"/>
        <v>METE 362,ED3-METE</v>
      </c>
      <c r="J309" s="27"/>
    </row>
    <row r="310" spans="1:10" x14ac:dyDescent="0.35">
      <c r="A310" s="11" t="s">
        <v>537</v>
      </c>
      <c r="B310" s="11" t="str">
        <v>RELIABILITY ENGINEERING</v>
      </c>
      <c r="C310" s="7" t="str">
        <v>Takyi Gabriel</v>
      </c>
      <c r="D310" s="11" t="s">
        <v>170</v>
      </c>
      <c r="E310" s="11">
        <v>70</v>
      </c>
      <c r="F310" s="12" t="s">
        <v>536</v>
      </c>
      <c r="G310" s="9">
        <f t="shared" si="24"/>
        <v>76.300000000000011</v>
      </c>
      <c r="H310" s="8" t="s">
        <v>535</v>
      </c>
      <c r="I310" t="str">
        <f t="shared" si="22"/>
        <v>IE 356,ED3-IND</v>
      </c>
      <c r="J310" s="27"/>
    </row>
    <row r="311" spans="1:10" x14ac:dyDescent="0.35">
      <c r="A311" s="11" t="s">
        <v>534</v>
      </c>
      <c r="B311" s="11" t="str">
        <v>PETROLEUM PRODUCTION ENGINEERING II</v>
      </c>
      <c r="C311" s="7" t="str">
        <v>Sarkodie Kwame</v>
      </c>
      <c r="D311" s="11" t="s">
        <v>57</v>
      </c>
      <c r="E311" s="11">
        <v>80</v>
      </c>
      <c r="F311" s="10" t="s">
        <v>26</v>
      </c>
      <c r="G311" s="9">
        <f t="shared" si="24"/>
        <v>87.2</v>
      </c>
      <c r="H311" s="8" t="s">
        <v>366</v>
      </c>
      <c r="I311" t="str">
        <f t="shared" si="22"/>
        <v>PE 358,ED3-PE</v>
      </c>
      <c r="J311" s="27"/>
    </row>
    <row r="312" spans="1:10" x14ac:dyDescent="0.35">
      <c r="A312" s="11" t="s">
        <v>533</v>
      </c>
      <c r="B312" s="11" t="str">
        <v>PETROLEUM REFINING ENGINEERING</v>
      </c>
      <c r="C312" s="7" t="str">
        <v>Kwao-Boateng Emmanuela</v>
      </c>
      <c r="D312" s="11" t="s">
        <v>341</v>
      </c>
      <c r="E312" s="11">
        <v>55</v>
      </c>
      <c r="F312" s="3" t="s">
        <v>176</v>
      </c>
      <c r="G312" s="9">
        <f t="shared" si="24"/>
        <v>59.95</v>
      </c>
      <c r="H312" s="8" t="s">
        <v>532</v>
      </c>
      <c r="I312" t="str">
        <f t="shared" ref="I312:I343" si="25">CONCATENATE(A312,",",D312)</f>
        <v>PCE 450,ED4-PCE</v>
      </c>
      <c r="J312" s="27"/>
    </row>
    <row r="313" spans="1:10" x14ac:dyDescent="0.35">
      <c r="A313" s="11" t="s">
        <v>531</v>
      </c>
      <c r="B313" s="11" t="str">
        <v>REFINING PROCESSES TECHNOLOGY</v>
      </c>
      <c r="C313" s="7" t="str">
        <v>Kwao-Boateng Emmanuela</v>
      </c>
      <c r="D313" s="11" t="s">
        <v>344</v>
      </c>
      <c r="E313" s="11">
        <v>50</v>
      </c>
      <c r="F313" s="24" t="s">
        <v>530</v>
      </c>
      <c r="G313" s="9">
        <f t="shared" si="24"/>
        <v>54.500000000000007</v>
      </c>
      <c r="H313" s="8" t="s">
        <v>529</v>
      </c>
      <c r="I313" t="str">
        <f t="shared" si="25"/>
        <v>PCE 464,ED4-CHE</v>
      </c>
      <c r="J313" s="27"/>
    </row>
    <row r="314" spans="1:10" x14ac:dyDescent="0.35">
      <c r="A314" s="11" t="s">
        <v>528</v>
      </c>
      <c r="B314" s="11" t="str">
        <v>FAULT DIAGNOSIS AND FAILURE TOLERANCE</v>
      </c>
      <c r="C314" s="7" t="str">
        <v>Agbemenu Andrew Selasi</v>
      </c>
      <c r="D314" s="11" t="s">
        <v>249</v>
      </c>
      <c r="E314" s="11">
        <v>70</v>
      </c>
      <c r="F314" s="24" t="s">
        <v>43</v>
      </c>
      <c r="G314" s="9">
        <f t="shared" si="24"/>
        <v>76.300000000000011</v>
      </c>
      <c r="H314" s="8" t="s">
        <v>527</v>
      </c>
      <c r="I314" t="str">
        <f t="shared" si="25"/>
        <v>COE 480,ED4-COE</v>
      </c>
      <c r="J314" s="27"/>
    </row>
    <row r="315" spans="1:10" x14ac:dyDescent="0.35">
      <c r="A315" s="11" t="s">
        <v>525</v>
      </c>
      <c r="B315" s="11" t="str">
        <v>EMBEDDED SYSTEMS</v>
      </c>
      <c r="C315" s="7" t="str">
        <v>Kommey Benjamin</v>
      </c>
      <c r="D315" s="11" t="s">
        <v>160</v>
      </c>
      <c r="E315" s="11">
        <v>265</v>
      </c>
      <c r="F315" s="24" t="s">
        <v>376</v>
      </c>
      <c r="G315" s="9">
        <f t="shared" si="24"/>
        <v>288.85000000000002</v>
      </c>
      <c r="H315" s="8" t="s">
        <v>526</v>
      </c>
      <c r="I315" t="str">
        <f t="shared" si="25"/>
        <v>COE 358,ED3-COE</v>
      </c>
      <c r="J315" s="27"/>
    </row>
    <row r="316" spans="1:10" x14ac:dyDescent="0.35">
      <c r="A316" s="11" t="s">
        <v>525</v>
      </c>
      <c r="B316" s="11" t="str">
        <v>EMBEDDED SYSTEMS</v>
      </c>
      <c r="C316" s="7" t="str">
        <v>Kommey Benjamin</v>
      </c>
      <c r="D316" s="11" t="s">
        <v>174</v>
      </c>
      <c r="E316" s="11">
        <v>90</v>
      </c>
      <c r="F316" s="12" t="s">
        <v>524</v>
      </c>
      <c r="G316" s="9">
        <f t="shared" si="24"/>
        <v>98.100000000000009</v>
      </c>
      <c r="H316" s="8" t="s">
        <v>523</v>
      </c>
      <c r="I316" t="str">
        <f t="shared" si="25"/>
        <v>COE 358,ED3-BME</v>
      </c>
      <c r="J316" s="27"/>
    </row>
    <row r="317" spans="1:10" x14ac:dyDescent="0.35">
      <c r="A317" s="11" t="s">
        <v>522</v>
      </c>
      <c r="B317" s="11" t="str">
        <v>PETROLEUM ENGINEERING THERMODYNAMICS II</v>
      </c>
      <c r="C317" s="7" t="str">
        <v>Sokama-Neuyam Yen Adams</v>
      </c>
      <c r="D317" s="11" t="s">
        <v>224</v>
      </c>
      <c r="E317" s="11">
        <v>95</v>
      </c>
      <c r="F317" s="24" t="s">
        <v>521</v>
      </c>
      <c r="G317" s="9">
        <f t="shared" si="24"/>
        <v>103.55000000000001</v>
      </c>
      <c r="H317" s="8" t="s">
        <v>273</v>
      </c>
      <c r="I317" t="str">
        <f t="shared" si="25"/>
        <v>PE 258,ED2-PE</v>
      </c>
      <c r="J317" s="27"/>
    </row>
    <row r="318" spans="1:10" x14ac:dyDescent="0.35">
      <c r="D318" s="7" t="s">
        <v>520</v>
      </c>
      <c r="E318" s="6">
        <f>SUM(E301:E317)</f>
        <v>1566</v>
      </c>
      <c r="I318" t="str">
        <f t="shared" si="25"/>
        <v>,Total W3</v>
      </c>
      <c r="J318" s="27"/>
    </row>
    <row r="319" spans="1:10" x14ac:dyDescent="0.35">
      <c r="I319" t="str">
        <f t="shared" si="25"/>
        <v>,</v>
      </c>
      <c r="J319" s="27"/>
    </row>
    <row r="320" spans="1:10" x14ac:dyDescent="0.35">
      <c r="I320" t="str">
        <f t="shared" si="25"/>
        <v>,</v>
      </c>
      <c r="J320" s="27"/>
    </row>
    <row r="321" spans="1:10" x14ac:dyDescent="0.35">
      <c r="A321" s="82" t="s">
        <v>457</v>
      </c>
      <c r="B321" s="83"/>
      <c r="C321" s="83"/>
      <c r="D321" s="83"/>
      <c r="E321" s="83"/>
      <c r="F321" s="83"/>
      <c r="G321" s="84"/>
      <c r="H321" s="19"/>
      <c r="I321" t="str">
        <f t="shared" si="25"/>
        <v>Wednesday, 8 July 2026,</v>
      </c>
      <c r="J321" s="27"/>
    </row>
    <row r="322" spans="1:10" x14ac:dyDescent="0.35">
      <c r="A322" s="87" t="str">
        <f>[3]SESSIONS!$K$4</f>
        <v>Session, 4 (1:30 PM - 2:30 PM)</v>
      </c>
      <c r="B322" s="88"/>
      <c r="C322" s="88"/>
      <c r="D322" s="88"/>
      <c r="E322" s="88"/>
      <c r="F322" s="88"/>
      <c r="G322" s="89"/>
      <c r="H322" s="19"/>
      <c r="I322" t="str">
        <f t="shared" si="25"/>
        <v>Session, 4 (1:30 PM - 2:30 PM),</v>
      </c>
      <c r="J322" s="27"/>
    </row>
    <row r="323" spans="1:10" x14ac:dyDescent="0.35">
      <c r="A323" s="22" t="s">
        <v>52</v>
      </c>
      <c r="B323" s="22" t="s">
        <v>51</v>
      </c>
      <c r="C323" s="31" t="s">
        <v>50</v>
      </c>
      <c r="D323" s="22" t="s">
        <v>49</v>
      </c>
      <c r="E323" s="22" t="s">
        <v>48</v>
      </c>
      <c r="F323" s="56" t="s">
        <v>519</v>
      </c>
      <c r="G323" s="20" t="s">
        <v>46</v>
      </c>
      <c r="H323" s="19"/>
      <c r="I323" t="str">
        <f t="shared" si="25"/>
        <v>CODE ,CLASS</v>
      </c>
      <c r="J323" s="27"/>
    </row>
    <row r="324" spans="1:10" x14ac:dyDescent="0.35">
      <c r="A324" s="11" t="s">
        <v>518</v>
      </c>
      <c r="B324" s="11" t="str" cm="1">
        <f t="array" ref="B324:B338">IFERROR(VLOOKUP(I324:I338,[1]Lectures_1!A2:F535,2,FALSE),0)</f>
        <v>SURFACE TREATMENT OF MATERIALS</v>
      </c>
      <c r="C324" s="7" t="str" cm="1">
        <f t="array" ref="C324:C338">IFERROR(VLOOKUP(I324:I338,[1]Lectures_1!A2:F535,3,FALSE),0)</f>
        <v>Andrews Anthony</v>
      </c>
      <c r="D324" s="11" t="s">
        <v>116</v>
      </c>
      <c r="E324" s="11" cm="1">
        <f t="array" ref="E324:E338">IFERROR(VLOOKUP(I324:I338,[1]Lectures_1!A2:F535,4,FALSE),0)</f>
        <v>60</v>
      </c>
      <c r="F324" s="57" t="s">
        <v>517</v>
      </c>
      <c r="G324" s="9">
        <f t="shared" ref="G324:G338" si="26">E324*1.09</f>
        <v>65.400000000000006</v>
      </c>
      <c r="H324" s="8" t="s">
        <v>516</v>
      </c>
      <c r="I324" t="str">
        <f t="shared" si="25"/>
        <v>MSE 454,ED4-MSE</v>
      </c>
      <c r="J324" s="27"/>
    </row>
    <row r="325" spans="1:10" x14ac:dyDescent="0.35">
      <c r="A325" s="11" t="s">
        <v>515</v>
      </c>
      <c r="B325" s="11" t="str">
        <v>MEDICAL DEVICE REGULATION</v>
      </c>
      <c r="C325" s="7" t="str">
        <v>Acquah Isaac</v>
      </c>
      <c r="D325" s="11" t="s">
        <v>280</v>
      </c>
      <c r="E325" s="11">
        <v>87</v>
      </c>
      <c r="F325" s="57" t="s">
        <v>56</v>
      </c>
      <c r="G325" s="9">
        <f t="shared" si="26"/>
        <v>94.830000000000013</v>
      </c>
      <c r="H325" s="8" t="s">
        <v>514</v>
      </c>
      <c r="I325" t="str">
        <f t="shared" si="25"/>
        <v>BME 454,ED4-BME</v>
      </c>
      <c r="J325" s="27"/>
    </row>
    <row r="326" spans="1:10" x14ac:dyDescent="0.35">
      <c r="A326" s="11" t="s">
        <v>513</v>
      </c>
      <c r="B326" s="11" t="str">
        <v>REPRODUCTION CARTOGRAPHY</v>
      </c>
      <c r="C326" s="7" t="str">
        <v>Quaye-Ballard Jonathan Arthur</v>
      </c>
      <c r="D326" s="11" t="s">
        <v>44</v>
      </c>
      <c r="E326" s="11">
        <v>103</v>
      </c>
      <c r="F326" s="57" t="s">
        <v>43</v>
      </c>
      <c r="G326" s="9">
        <f t="shared" si="26"/>
        <v>112.27000000000001</v>
      </c>
      <c r="H326" s="8" t="s">
        <v>415</v>
      </c>
      <c r="I326" t="str">
        <f t="shared" si="25"/>
        <v>GE 152,ED1-GEOM</v>
      </c>
      <c r="J326" s="27"/>
    </row>
    <row r="327" spans="1:10" x14ac:dyDescent="0.35">
      <c r="A327" s="11" t="s">
        <v>512</v>
      </c>
      <c r="B327" s="11" t="str">
        <v>INTRODUCTION TO COMMUNICATION NETWORKS</v>
      </c>
      <c r="C327" s="7" t="str">
        <v>Agyemang Justice Owusu</v>
      </c>
      <c r="D327" s="11" t="s">
        <v>236</v>
      </c>
      <c r="E327" s="11">
        <v>130</v>
      </c>
      <c r="F327" s="57" t="s">
        <v>28</v>
      </c>
      <c r="G327" s="9">
        <f t="shared" si="26"/>
        <v>141.70000000000002</v>
      </c>
      <c r="H327" s="8" t="s">
        <v>511</v>
      </c>
      <c r="I327" t="str">
        <f t="shared" si="25"/>
        <v>TE 156,ED1-TEL</v>
      </c>
      <c r="J327" s="27"/>
    </row>
    <row r="328" spans="1:10" x14ac:dyDescent="0.35">
      <c r="A328" s="11" t="s">
        <v>510</v>
      </c>
      <c r="B328" s="11" t="str">
        <v>SOIL MECHANICS APPLICATION TO MECHANISATION</v>
      </c>
      <c r="C328" s="7" t="str">
        <v>Agodzo Sampson Kwaku</v>
      </c>
      <c r="D328" s="11" t="s">
        <v>189</v>
      </c>
      <c r="E328" s="11">
        <v>101</v>
      </c>
      <c r="F328" s="57" t="s">
        <v>509</v>
      </c>
      <c r="G328" s="9">
        <f t="shared" si="26"/>
        <v>110.09</v>
      </c>
      <c r="H328" s="8" t="s">
        <v>508</v>
      </c>
      <c r="I328" t="str">
        <f t="shared" si="25"/>
        <v>AE 352,ED3-AE</v>
      </c>
      <c r="J328" s="27"/>
    </row>
    <row r="329" spans="1:10" x14ac:dyDescent="0.35">
      <c r="A329" s="5" t="s">
        <v>507</v>
      </c>
      <c r="B329" s="11" t="str">
        <v>SPECIAL VEHICLE DESIGN</v>
      </c>
      <c r="C329" s="4" t="str">
        <v>Ayetor Godwin Kafui Kwesi</v>
      </c>
      <c r="D329" s="28" t="s">
        <v>206</v>
      </c>
      <c r="E329" s="28">
        <v>32</v>
      </c>
      <c r="F329" s="62" t="s">
        <v>506</v>
      </c>
      <c r="G329" s="9">
        <f t="shared" si="26"/>
        <v>34.880000000000003</v>
      </c>
      <c r="H329" s="8" t="s">
        <v>505</v>
      </c>
      <c r="I329" t="str">
        <f t="shared" si="25"/>
        <v>AME 482,ED4-AUTO</v>
      </c>
      <c r="J329" s="27"/>
    </row>
    <row r="330" spans="1:10" x14ac:dyDescent="0.35">
      <c r="A330" s="11" t="s">
        <v>504</v>
      </c>
      <c r="B330" s="11" t="str">
        <v>POWER ELECTRONICS</v>
      </c>
      <c r="C330" s="7" t="str">
        <v>Effah Francis Boafo</v>
      </c>
      <c r="D330" s="11" t="s">
        <v>151</v>
      </c>
      <c r="E330" s="11">
        <v>240</v>
      </c>
      <c r="F330" s="57" t="s">
        <v>24</v>
      </c>
      <c r="G330" s="9">
        <f t="shared" si="26"/>
        <v>261.60000000000002</v>
      </c>
      <c r="H330" s="8" t="s">
        <v>23</v>
      </c>
      <c r="I330" t="str">
        <f t="shared" si="25"/>
        <v>EE 366,ED3-EE</v>
      </c>
      <c r="J330" s="27"/>
    </row>
    <row r="331" spans="1:10" x14ac:dyDescent="0.35">
      <c r="A331" s="11" t="s">
        <v>502</v>
      </c>
      <c r="B331" s="11" t="str">
        <v>ENVIRONMENTAL SCIENCE</v>
      </c>
      <c r="C331" s="7" t="str">
        <v>Koomson Bennetta</v>
      </c>
      <c r="D331" s="11" t="s">
        <v>123</v>
      </c>
      <c r="E331" s="11">
        <v>75</v>
      </c>
      <c r="F331" s="57" t="s">
        <v>26</v>
      </c>
      <c r="G331" s="9">
        <f t="shared" si="26"/>
        <v>81.75</v>
      </c>
      <c r="H331" s="8" t="s">
        <v>503</v>
      </c>
      <c r="I331" t="str">
        <f t="shared" si="25"/>
        <v>METE 154,ED1-METE</v>
      </c>
      <c r="J331" s="27"/>
    </row>
    <row r="332" spans="1:10" x14ac:dyDescent="0.35">
      <c r="A332" s="11" t="s">
        <v>502</v>
      </c>
      <c r="B332" s="11" t="str">
        <v>ENVIRONMENTAL SCIENCE</v>
      </c>
      <c r="C332" s="7" t="str">
        <v>Koomson Bennetta</v>
      </c>
      <c r="D332" s="11" t="s">
        <v>126</v>
      </c>
      <c r="E332" s="11">
        <v>100</v>
      </c>
      <c r="F332" s="57" t="s">
        <v>501</v>
      </c>
      <c r="G332" s="9">
        <f t="shared" si="26"/>
        <v>109.00000000000001</v>
      </c>
      <c r="H332" s="8" t="s">
        <v>276</v>
      </c>
      <c r="I332" t="str">
        <f t="shared" si="25"/>
        <v>METE 154,ED1-MSE</v>
      </c>
      <c r="J332" s="27"/>
    </row>
    <row r="333" spans="1:10" x14ac:dyDescent="0.35">
      <c r="A333" s="11" t="s">
        <v>500</v>
      </c>
      <c r="B333" s="11" t="str">
        <v>ASSAYING</v>
      </c>
      <c r="C333" s="7" t="str">
        <v>Koomson Bennetta</v>
      </c>
      <c r="D333" s="11" t="s">
        <v>75</v>
      </c>
      <c r="E333" s="11">
        <v>57</v>
      </c>
      <c r="F333" s="57" t="s">
        <v>499</v>
      </c>
      <c r="G333" s="9">
        <f t="shared" si="26"/>
        <v>62.13</v>
      </c>
      <c r="H333" s="8" t="s">
        <v>73</v>
      </c>
      <c r="I333" t="str">
        <f t="shared" si="25"/>
        <v>METE 256,ED2-METE</v>
      </c>
      <c r="J333" s="27"/>
    </row>
    <row r="334" spans="1:10" x14ac:dyDescent="0.35">
      <c r="A334" s="11" t="s">
        <v>498</v>
      </c>
      <c r="B334" s="11" t="str">
        <v>DATABASE SYSTEMS</v>
      </c>
      <c r="C334" s="7" t="str">
        <v>Ayer John Wise Divine</v>
      </c>
      <c r="D334" s="11" t="s">
        <v>183</v>
      </c>
      <c r="E334" s="11">
        <v>93</v>
      </c>
      <c r="F334" s="61" t="s">
        <v>497</v>
      </c>
      <c r="G334" s="9">
        <f t="shared" si="26"/>
        <v>101.37</v>
      </c>
      <c r="H334" s="8" t="s">
        <v>496</v>
      </c>
      <c r="I334" t="str">
        <f t="shared" si="25"/>
        <v>GE 464,ED4-GEOM</v>
      </c>
      <c r="J334" s="27"/>
    </row>
    <row r="335" spans="1:10" x14ac:dyDescent="0.35">
      <c r="A335" s="11" t="s">
        <v>495</v>
      </c>
      <c r="B335" s="11" t="str">
        <v>POWER SYSTEMS PLANNING AND OPTIMIZATION</v>
      </c>
      <c r="C335" s="7" t="str">
        <v>Antoh Emmanuel Kwaku</v>
      </c>
      <c r="D335" s="11" t="s">
        <v>133</v>
      </c>
      <c r="E335" s="11">
        <v>165</v>
      </c>
      <c r="F335" s="60" t="s">
        <v>494</v>
      </c>
      <c r="G335" s="9">
        <f t="shared" si="26"/>
        <v>179.85000000000002</v>
      </c>
      <c r="H335" s="8" t="s">
        <v>493</v>
      </c>
      <c r="I335" t="str">
        <f t="shared" si="25"/>
        <v>EE 466,ED4-EE</v>
      </c>
      <c r="J335" s="27"/>
    </row>
    <row r="336" spans="1:10" x14ac:dyDescent="0.35">
      <c r="A336" s="11" t="s">
        <v>492</v>
      </c>
      <c r="B336" s="11" t="str">
        <v>DIGITAL COMMUNICATION SYSTEMS</v>
      </c>
      <c r="C336" s="7" t="str">
        <v>Affum Emmanuel Ampoma</v>
      </c>
      <c r="D336" s="11" t="s">
        <v>199</v>
      </c>
      <c r="E336" s="11">
        <v>140</v>
      </c>
      <c r="F336" s="59" t="s">
        <v>491</v>
      </c>
      <c r="G336" s="9">
        <f t="shared" si="26"/>
        <v>152.60000000000002</v>
      </c>
      <c r="H336" s="8" t="s">
        <v>490</v>
      </c>
      <c r="I336" t="str">
        <f t="shared" si="25"/>
        <v>TE 358,ED3-TEL</v>
      </c>
      <c r="J336" s="27"/>
    </row>
    <row r="337" spans="1:10" x14ac:dyDescent="0.35">
      <c r="A337" s="11" t="s">
        <v>489</v>
      </c>
      <c r="B337" s="11" t="str">
        <v>CROP LOSSES AND THEIR CONTROL</v>
      </c>
      <c r="C337" s="7" t="str">
        <v xml:space="preserve">Darko Joseph Ofei </v>
      </c>
      <c r="D337" s="11" t="s">
        <v>201</v>
      </c>
      <c r="E337" s="11">
        <v>103</v>
      </c>
      <c r="F337" s="58" t="s">
        <v>108</v>
      </c>
      <c r="G337" s="9">
        <f t="shared" si="26"/>
        <v>112.27000000000001</v>
      </c>
      <c r="H337" s="8" t="s">
        <v>42</v>
      </c>
      <c r="I337" t="str">
        <f t="shared" si="25"/>
        <v>AE 458,ED4-AE</v>
      </c>
      <c r="J337" s="27"/>
    </row>
    <row r="338" spans="1:10" x14ac:dyDescent="0.35">
      <c r="A338" s="11" t="s">
        <v>488</v>
      </c>
      <c r="B338" s="11" t="str">
        <v>ROCK ENGINEERING</v>
      </c>
      <c r="C338" s="7" t="str">
        <v>Gidigasu Solomon Senyo Robert</v>
      </c>
      <c r="D338" s="11" t="s">
        <v>11</v>
      </c>
      <c r="E338" s="11">
        <v>150</v>
      </c>
      <c r="F338" s="57" t="s">
        <v>487</v>
      </c>
      <c r="G338" s="9">
        <f t="shared" si="26"/>
        <v>163.5</v>
      </c>
      <c r="H338" s="8" t="s">
        <v>486</v>
      </c>
      <c r="I338" t="str">
        <f t="shared" si="25"/>
        <v>GED 254,ED2-GEOL</v>
      </c>
      <c r="J338" s="27"/>
    </row>
    <row r="339" spans="1:10" x14ac:dyDescent="0.35">
      <c r="D339" s="7" t="s">
        <v>485</v>
      </c>
      <c r="E339" s="6">
        <f>SUM(E324:E338)</f>
        <v>1636</v>
      </c>
      <c r="I339" t="str">
        <f t="shared" si="25"/>
        <v>,Total W4</v>
      </c>
      <c r="J339" s="27"/>
    </row>
    <row r="340" spans="1:10" x14ac:dyDescent="0.35">
      <c r="I340" t="str">
        <f t="shared" si="25"/>
        <v>,</v>
      </c>
      <c r="J340" s="27"/>
    </row>
    <row r="341" spans="1:10" x14ac:dyDescent="0.35">
      <c r="I341" t="str">
        <f t="shared" si="25"/>
        <v>,</v>
      </c>
      <c r="J341" s="27"/>
    </row>
    <row r="342" spans="1:10" x14ac:dyDescent="0.35">
      <c r="A342" s="82" t="s">
        <v>457</v>
      </c>
      <c r="B342" s="83"/>
      <c r="C342" s="83"/>
      <c r="D342" s="83"/>
      <c r="E342" s="83"/>
      <c r="F342" s="83"/>
      <c r="G342" s="84"/>
      <c r="H342" s="19"/>
      <c r="I342" t="str">
        <f t="shared" si="25"/>
        <v>Wednesday, 8 July 2026,</v>
      </c>
      <c r="J342" s="27"/>
    </row>
    <row r="343" spans="1:10" x14ac:dyDescent="0.35">
      <c r="A343" s="87" t="str">
        <f>[3]SESSIONS!$K$5</f>
        <v>Session, 5 (3:15 PM - 4:15 PM)</v>
      </c>
      <c r="B343" s="88"/>
      <c r="C343" s="88"/>
      <c r="D343" s="88"/>
      <c r="E343" s="88"/>
      <c r="F343" s="88"/>
      <c r="G343" s="89"/>
      <c r="H343" s="19"/>
      <c r="I343" t="str">
        <f t="shared" si="25"/>
        <v>Session, 5 (3:15 PM - 4:15 PM),</v>
      </c>
      <c r="J343" s="27"/>
    </row>
    <row r="344" spans="1:10" x14ac:dyDescent="0.35">
      <c r="A344" s="22" t="s">
        <v>52</v>
      </c>
      <c r="B344" s="22" t="s">
        <v>51</v>
      </c>
      <c r="C344" s="31" t="s">
        <v>50</v>
      </c>
      <c r="D344" s="22" t="s">
        <v>49</v>
      </c>
      <c r="E344" s="22" t="s">
        <v>48</v>
      </c>
      <c r="F344" s="56" t="s">
        <v>47</v>
      </c>
      <c r="G344" s="20" t="s">
        <v>46</v>
      </c>
      <c r="H344" s="19"/>
      <c r="I344" t="str">
        <f t="shared" ref="I344:I375" si="27">CONCATENATE(A344,",",D344)</f>
        <v>CODE ,CLASS</v>
      </c>
      <c r="J344" s="27"/>
    </row>
    <row r="345" spans="1:10" x14ac:dyDescent="0.35">
      <c r="A345" s="11" t="s">
        <v>478</v>
      </c>
      <c r="B345" s="11" t="str" cm="1">
        <f t="array" ref="B345:B361">IFERROR(VLOOKUP(I345:I361,[1]Lectures_1!A2:F535,2,FALSE),0)</f>
        <v>INTRODUCTORY ECONOMICS II</v>
      </c>
      <c r="C345" s="7" t="str" cm="1">
        <f t="array" ref="C345:C361">IFERROR(VLOOKUP(I345:I361,[1]Lectures_1!A2:F535,3,FALSE),0)</f>
        <v>Takyi Paul Owusu</v>
      </c>
      <c r="D345" s="11" t="s">
        <v>102</v>
      </c>
      <c r="E345" s="11" cm="1">
        <f t="array" ref="E345:E361">IFERROR(VLOOKUP(I345:I361,[1]Lectures_1!A2:F535,4,FALSE),0)</f>
        <v>150</v>
      </c>
      <c r="F345" s="40" t="s">
        <v>484</v>
      </c>
      <c r="G345" s="9">
        <f t="shared" ref="G345:G361" si="28">E345*1.09</f>
        <v>163.5</v>
      </c>
      <c r="H345" s="8" t="s">
        <v>483</v>
      </c>
      <c r="I345" t="str">
        <f t="shared" si="27"/>
        <v>ECON 152,ED2-EE</v>
      </c>
      <c r="J345" s="27"/>
    </row>
    <row r="346" spans="1:10" x14ac:dyDescent="0.35">
      <c r="A346" s="11" t="s">
        <v>478</v>
      </c>
      <c r="B346" s="11" t="str">
        <v>ELEMENTS OF ECONOMICS II</v>
      </c>
      <c r="C346" s="7" t="str">
        <v>Edward Yeboah</v>
      </c>
      <c r="D346" s="11" t="s">
        <v>104</v>
      </c>
      <c r="E346" s="11">
        <v>15</v>
      </c>
      <c r="F346" s="12">
        <v>206</v>
      </c>
      <c r="G346" s="9">
        <f t="shared" si="28"/>
        <v>16.350000000000001</v>
      </c>
      <c r="H346" s="8" t="s">
        <v>482</v>
      </c>
      <c r="I346" t="str">
        <f t="shared" si="27"/>
        <v>ECON 152,ED3-GEOM</v>
      </c>
      <c r="J346" s="27"/>
    </row>
    <row r="347" spans="1:10" x14ac:dyDescent="0.35">
      <c r="A347" s="11" t="s">
        <v>478</v>
      </c>
      <c r="B347" s="11" t="str">
        <v>INTRODUCTION TO ECONOMICS II</v>
      </c>
      <c r="C347" s="7" t="str">
        <v>Takyi Paul Owusu</v>
      </c>
      <c r="D347" s="11" t="s">
        <v>96</v>
      </c>
      <c r="E347" s="11">
        <v>32</v>
      </c>
      <c r="F347" s="12" t="s">
        <v>481</v>
      </c>
      <c r="G347" s="9">
        <f t="shared" si="28"/>
        <v>34.880000000000003</v>
      </c>
      <c r="H347" s="8" t="s">
        <v>205</v>
      </c>
      <c r="I347" t="str">
        <f t="shared" si="27"/>
        <v>ECON 152,ED1-CE</v>
      </c>
      <c r="J347" s="27"/>
    </row>
    <row r="348" spans="1:10" x14ac:dyDescent="0.35">
      <c r="A348" s="11" t="s">
        <v>478</v>
      </c>
      <c r="B348" s="11" t="str">
        <v>INTRODUCTORY ECONOMICS II</v>
      </c>
      <c r="C348" s="7" t="str">
        <v>Beatrice Sarpong-Danquah</v>
      </c>
      <c r="D348" s="11" t="s">
        <v>99</v>
      </c>
      <c r="E348" s="11">
        <v>30</v>
      </c>
      <c r="F348" s="12" t="s">
        <v>300</v>
      </c>
      <c r="G348" s="9">
        <f t="shared" si="28"/>
        <v>32.700000000000003</v>
      </c>
      <c r="H348" s="8" t="s">
        <v>447</v>
      </c>
      <c r="I348" t="str">
        <f t="shared" si="27"/>
        <v>ECON 152,ED1-GEOL</v>
      </c>
      <c r="J348" s="27"/>
    </row>
    <row r="349" spans="1:10" x14ac:dyDescent="0.35">
      <c r="A349" s="11" t="s">
        <v>478</v>
      </c>
      <c r="B349" s="11" t="str">
        <v>ELEMENTS OF ECONOMICS II</v>
      </c>
      <c r="C349" s="7" t="str">
        <v>Paul Owusu Takyi</v>
      </c>
      <c r="D349" s="11" t="s">
        <v>90</v>
      </c>
      <c r="E349" s="11">
        <v>20</v>
      </c>
      <c r="F349" s="12" t="s">
        <v>132</v>
      </c>
      <c r="G349" s="9">
        <f t="shared" si="28"/>
        <v>21.8</v>
      </c>
      <c r="H349" s="8" t="s">
        <v>480</v>
      </c>
      <c r="I349" t="str">
        <f t="shared" si="27"/>
        <v>ECON 152,ED2-BME</v>
      </c>
      <c r="J349" s="27"/>
    </row>
    <row r="350" spans="1:10" x14ac:dyDescent="0.35">
      <c r="A350" s="11" t="s">
        <v>478</v>
      </c>
      <c r="B350" s="11" t="str">
        <v>INTRODUCTION TO ECONOMICS II</v>
      </c>
      <c r="C350" s="7" t="str">
        <v>Takyi Paul Owusu</v>
      </c>
      <c r="D350" s="11" t="s">
        <v>86</v>
      </c>
      <c r="E350" s="11">
        <v>40</v>
      </c>
      <c r="F350" s="12" t="s">
        <v>479</v>
      </c>
      <c r="G350" s="9">
        <f t="shared" si="28"/>
        <v>43.6</v>
      </c>
      <c r="H350" s="8" t="s">
        <v>212</v>
      </c>
      <c r="I350" t="str">
        <f t="shared" si="27"/>
        <v>ECON 152,ED2-COE</v>
      </c>
      <c r="J350" s="27"/>
    </row>
    <row r="351" spans="1:10" x14ac:dyDescent="0.35">
      <c r="A351" s="11" t="s">
        <v>478</v>
      </c>
      <c r="B351" s="11" t="str">
        <v>INTRODUCTORY ECONOMICS II</v>
      </c>
      <c r="C351" s="7" t="str">
        <v>Takyi Paul Owusu</v>
      </c>
      <c r="D351" s="11" t="s">
        <v>109</v>
      </c>
      <c r="E351" s="11">
        <v>30</v>
      </c>
      <c r="F351" s="12">
        <v>206</v>
      </c>
      <c r="G351" s="9">
        <f t="shared" si="28"/>
        <v>32.700000000000003</v>
      </c>
      <c r="H351" s="8" t="s">
        <v>447</v>
      </c>
      <c r="I351" t="str">
        <f t="shared" si="27"/>
        <v>ECON 152,ED2-TEL</v>
      </c>
      <c r="J351" s="27"/>
    </row>
    <row r="352" spans="1:10" x14ac:dyDescent="0.35">
      <c r="A352" s="11" t="s">
        <v>478</v>
      </c>
      <c r="B352" s="11" t="str">
        <v>INTRODUCTORY ECONOMICS II</v>
      </c>
      <c r="C352" s="7" t="str">
        <v>Takyi Paul Owusu</v>
      </c>
      <c r="D352" s="11" t="s">
        <v>107</v>
      </c>
      <c r="E352" s="11">
        <v>80</v>
      </c>
      <c r="F352" s="12" t="s">
        <v>20</v>
      </c>
      <c r="G352" s="9">
        <f t="shared" si="28"/>
        <v>87.2</v>
      </c>
      <c r="H352" s="8" t="s">
        <v>373</v>
      </c>
      <c r="I352" t="str">
        <f t="shared" si="27"/>
        <v>ECON 152,ED3-CHE</v>
      </c>
      <c r="J352" s="27"/>
    </row>
    <row r="353" spans="1:10" x14ac:dyDescent="0.35">
      <c r="A353" s="11" t="s">
        <v>477</v>
      </c>
      <c r="B353" s="11" t="str">
        <v>INTRODUCTION TO POLYMERIC MATERIALS</v>
      </c>
      <c r="C353" s="7" t="str">
        <v>Asare Eric Kwame Anokye</v>
      </c>
      <c r="D353" s="11" t="s">
        <v>223</v>
      </c>
      <c r="E353" s="11">
        <v>83</v>
      </c>
      <c r="F353" s="12" t="s">
        <v>476</v>
      </c>
      <c r="G353" s="9">
        <f t="shared" si="28"/>
        <v>90.470000000000013</v>
      </c>
      <c r="H353" s="8" t="s">
        <v>475</v>
      </c>
      <c r="I353" t="str">
        <f t="shared" si="27"/>
        <v>MSE 256,ED2-MSE</v>
      </c>
      <c r="J353" s="27"/>
    </row>
    <row r="354" spans="1:10" x14ac:dyDescent="0.35">
      <c r="A354" s="11" t="s">
        <v>473</v>
      </c>
      <c r="B354" s="11" t="str">
        <v>CHEMICAL PROCESS CALCULATIONS II</v>
      </c>
      <c r="C354" s="7" t="str">
        <v>Ohemeng-Boahen Godfred</v>
      </c>
      <c r="D354" s="11" t="s">
        <v>36</v>
      </c>
      <c r="E354" s="11">
        <v>65</v>
      </c>
      <c r="F354" s="24" t="s">
        <v>20</v>
      </c>
      <c r="G354" s="9">
        <f t="shared" si="28"/>
        <v>70.850000000000009</v>
      </c>
      <c r="H354" s="8" t="s">
        <v>474</v>
      </c>
      <c r="I354" t="str">
        <f t="shared" si="27"/>
        <v>CHE 252,ED2-PCE</v>
      </c>
      <c r="J354" s="27"/>
    </row>
    <row r="355" spans="1:10" x14ac:dyDescent="0.35">
      <c r="A355" s="11" t="s">
        <v>473</v>
      </c>
      <c r="B355" s="11" t="str">
        <v>CHEMICAL PROCESS CALCULATIONS II</v>
      </c>
      <c r="C355" s="7" t="str">
        <v>Rockson Mizpah Ama Dziedzorm</v>
      </c>
      <c r="D355" s="11" t="s">
        <v>154</v>
      </c>
      <c r="E355" s="11">
        <v>160</v>
      </c>
      <c r="F355" s="12" t="s">
        <v>472</v>
      </c>
      <c r="G355" s="9">
        <f t="shared" si="28"/>
        <v>174.4</v>
      </c>
      <c r="H355" s="8" t="s">
        <v>471</v>
      </c>
      <c r="I355" t="str">
        <f t="shared" si="27"/>
        <v>CHE 252,ED2-CHE</v>
      </c>
      <c r="J355" s="27"/>
    </row>
    <row r="356" spans="1:10" x14ac:dyDescent="0.35">
      <c r="A356" s="35" t="s">
        <v>425</v>
      </c>
      <c r="B356" s="11" t="str">
        <v>ELECTRICAL ENG. DRAWING</v>
      </c>
      <c r="C356" s="34" t="str">
        <v>Kwegyir Daniel</v>
      </c>
      <c r="D356" s="29" t="s">
        <v>130</v>
      </c>
      <c r="E356" s="29">
        <v>295</v>
      </c>
      <c r="F356" s="54" t="s">
        <v>150</v>
      </c>
      <c r="G356" s="9">
        <f t="shared" si="28"/>
        <v>321.55</v>
      </c>
      <c r="H356" s="8" t="s">
        <v>470</v>
      </c>
      <c r="I356" t="str">
        <f t="shared" si="27"/>
        <v>EE 156,ED1-EE</v>
      </c>
      <c r="J356" s="27"/>
    </row>
    <row r="357" spans="1:10" x14ac:dyDescent="0.35">
      <c r="A357" s="11" t="s">
        <v>469</v>
      </c>
      <c r="B357" s="11" t="str">
        <v>INTRO TO ENVIRONMENTAL ENG.</v>
      </c>
      <c r="C357" s="7" t="str">
        <v>Essandoh Helen Michelle Korkor</v>
      </c>
      <c r="D357" s="11" t="s">
        <v>15</v>
      </c>
      <c r="E357" s="11">
        <v>250</v>
      </c>
      <c r="F357" s="24" t="s">
        <v>24</v>
      </c>
      <c r="G357" s="9">
        <f t="shared" si="28"/>
        <v>272.5</v>
      </c>
      <c r="H357" s="8" t="s">
        <v>359</v>
      </c>
      <c r="I357" t="str">
        <f t="shared" si="27"/>
        <v>CE 264,ED2-CE</v>
      </c>
      <c r="J357" s="27"/>
    </row>
    <row r="358" spans="1:10" x14ac:dyDescent="0.35">
      <c r="A358" s="11" t="s">
        <v>468</v>
      </c>
      <c r="B358" s="11" t="str">
        <v>FINITE ELEMENT ANALYSIS</v>
      </c>
      <c r="C358" s="7" t="str">
        <v>Jones Owusu Twumasi</v>
      </c>
      <c r="D358" s="11" t="s">
        <v>7</v>
      </c>
      <c r="E358" s="11">
        <v>18</v>
      </c>
      <c r="F358" s="12" t="s">
        <v>467</v>
      </c>
      <c r="G358" s="9">
        <f t="shared" si="28"/>
        <v>19.62</v>
      </c>
      <c r="H358" s="8"/>
      <c r="I358" t="str">
        <f t="shared" si="27"/>
        <v>CE 480,ED4-CE</v>
      </c>
      <c r="J358" s="27"/>
    </row>
    <row r="359" spans="1:10" x14ac:dyDescent="0.35">
      <c r="A359" s="47" t="s">
        <v>466</v>
      </c>
      <c r="B359" s="11" t="str">
        <v>NETWORK PLANNING AND OPTIMIZATION</v>
      </c>
      <c r="C359" s="7" t="str">
        <v>Kwasi Adu-Boahen Opare</v>
      </c>
      <c r="D359" s="11" t="s">
        <v>203</v>
      </c>
      <c r="E359" s="11">
        <v>138</v>
      </c>
      <c r="F359" s="12" t="s">
        <v>465</v>
      </c>
      <c r="G359" s="9">
        <f t="shared" si="28"/>
        <v>150.42000000000002</v>
      </c>
      <c r="H359" s="8"/>
      <c r="I359" t="str">
        <f t="shared" si="27"/>
        <v>TE 458,ED4-TEL</v>
      </c>
      <c r="J359" s="27"/>
    </row>
    <row r="360" spans="1:10" x14ac:dyDescent="0.35">
      <c r="A360" s="11" t="s">
        <v>464</v>
      </c>
      <c r="B360" s="11" t="str">
        <v>INTRODUCTION TO INFORMATION TECHNOLOGY</v>
      </c>
      <c r="C360" s="7" t="str">
        <v>Bessah Enoch</v>
      </c>
      <c r="D360" s="11" t="s">
        <v>180</v>
      </c>
      <c r="E360" s="11">
        <v>128</v>
      </c>
      <c r="F360" s="10" t="s">
        <v>463</v>
      </c>
      <c r="G360" s="9">
        <f t="shared" si="28"/>
        <v>139.52000000000001</v>
      </c>
      <c r="H360" s="8" t="s">
        <v>462</v>
      </c>
      <c r="I360" t="str">
        <f t="shared" si="27"/>
        <v>AE 158,ED1-AE</v>
      </c>
      <c r="J360" s="27"/>
    </row>
    <row r="361" spans="1:10" x14ac:dyDescent="0.35">
      <c r="A361" s="11" t="s">
        <v>461</v>
      </c>
      <c r="B361" s="11" t="str">
        <v>MINERAL ECONOMICS AND EVALUATION</v>
      </c>
      <c r="C361" s="7" t="str">
        <v>Foli Gordon</v>
      </c>
      <c r="D361" s="11" t="s">
        <v>140</v>
      </c>
      <c r="E361" s="11">
        <v>154</v>
      </c>
      <c r="F361" s="12" t="s">
        <v>460</v>
      </c>
      <c r="G361" s="9">
        <f t="shared" si="28"/>
        <v>167.86</v>
      </c>
      <c r="H361" s="8" t="s">
        <v>459</v>
      </c>
      <c r="I361" t="str">
        <f t="shared" si="27"/>
        <v>GED 366,ED3-GEOL</v>
      </c>
      <c r="J361" s="27"/>
    </row>
    <row r="362" spans="1:10" x14ac:dyDescent="0.35">
      <c r="D362" s="7" t="s">
        <v>458</v>
      </c>
      <c r="E362" s="6">
        <f>SUM(E345:E361)</f>
        <v>1688</v>
      </c>
      <c r="I362" t="str">
        <f t="shared" si="27"/>
        <v>,Total W5</v>
      </c>
      <c r="J362" s="27"/>
    </row>
    <row r="363" spans="1:10" x14ac:dyDescent="0.35">
      <c r="D363" s="35"/>
      <c r="E363" s="52"/>
      <c r="I363" t="str">
        <f t="shared" si="27"/>
        <v>,</v>
      </c>
      <c r="J363" s="27"/>
    </row>
    <row r="364" spans="1:10" x14ac:dyDescent="0.35">
      <c r="D364" s="35"/>
      <c r="E364" s="52"/>
      <c r="I364" t="str">
        <f t="shared" si="27"/>
        <v>,</v>
      </c>
      <c r="J364" s="27"/>
    </row>
    <row r="365" spans="1:10" x14ac:dyDescent="0.35">
      <c r="A365" s="82" t="s">
        <v>457</v>
      </c>
      <c r="B365" s="83"/>
      <c r="C365" s="83"/>
      <c r="D365" s="83"/>
      <c r="E365" s="83"/>
      <c r="F365" s="83"/>
      <c r="G365" s="84"/>
      <c r="H365" s="19"/>
      <c r="I365" t="str">
        <f t="shared" si="27"/>
        <v>Wednesday, 8 July 2026,</v>
      </c>
      <c r="J365" s="27"/>
    </row>
    <row r="366" spans="1:10" x14ac:dyDescent="0.35">
      <c r="A366" s="82" t="str">
        <f>[3]SESSIONS!$K$6</f>
        <v>Session, 6 (5:00 PM - 6:00 PM)</v>
      </c>
      <c r="B366" s="83"/>
      <c r="C366" s="83"/>
      <c r="D366" s="83"/>
      <c r="E366" s="83"/>
      <c r="F366" s="83"/>
      <c r="G366" s="84"/>
      <c r="H366" s="19"/>
      <c r="I366" t="str">
        <f t="shared" si="27"/>
        <v>Session, 6 (5:00 PM - 6:00 PM),</v>
      </c>
      <c r="J366" s="27"/>
    </row>
    <row r="367" spans="1:10" x14ac:dyDescent="0.35">
      <c r="A367" s="22" t="s">
        <v>52</v>
      </c>
      <c r="B367" s="22" t="s">
        <v>51</v>
      </c>
      <c r="C367" s="31" t="s">
        <v>50</v>
      </c>
      <c r="D367" s="22" t="s">
        <v>49</v>
      </c>
      <c r="E367" s="22" t="s">
        <v>48</v>
      </c>
      <c r="F367" s="21" t="s">
        <v>47</v>
      </c>
      <c r="G367" s="20" t="s">
        <v>46</v>
      </c>
      <c r="H367" s="19"/>
      <c r="I367" t="str">
        <f t="shared" si="27"/>
        <v>CODE ,CLASS</v>
      </c>
      <c r="J367" s="27"/>
    </row>
    <row r="368" spans="1:10" x14ac:dyDescent="0.35">
      <c r="A368" s="11" t="s">
        <v>456</v>
      </c>
      <c r="B368" s="11" t="str" cm="1">
        <f t="array" ref="B368:B391">IFERROR(VLOOKUP(I368:I391,[1]Lectures_1!A2:F535,2,FALSE),0)</f>
        <v>GENERAL PHYSICS</v>
      </c>
      <c r="C368" s="7" t="str" cm="1">
        <f t="array" ref="C368:C391">IFERROR(VLOOKUP(I368:I391,[1]Lectures_1!A2:F535,3,FALSE),0)</f>
        <v>Boateng Cyril Dziedzorm</v>
      </c>
      <c r="D368" s="11" t="s">
        <v>234</v>
      </c>
      <c r="E368" s="11" cm="1">
        <f t="array" ref="E368:E391">IFERROR(VLOOKUP(I368:I391,[1]Lectures_1!A2:F535,4,FALSE),0)</f>
        <v>130</v>
      </c>
      <c r="F368" s="85" t="s">
        <v>225</v>
      </c>
      <c r="G368" s="9">
        <f t="shared" ref="G368:G391" si="29">E368*1.09</f>
        <v>141.70000000000002</v>
      </c>
      <c r="H368" s="8"/>
      <c r="I368" t="str">
        <f t="shared" si="27"/>
        <v>PHY 170,ED1-PE</v>
      </c>
      <c r="J368" s="27"/>
    </row>
    <row r="369" spans="1:10" x14ac:dyDescent="0.35">
      <c r="A369" s="11" t="s">
        <v>456</v>
      </c>
      <c r="B369" s="11" t="str">
        <v>GENERAL PHYSICS</v>
      </c>
      <c r="C369" s="7" t="str">
        <v>Boateng Cyril Dziedzorm</v>
      </c>
      <c r="D369" s="11" t="s">
        <v>61</v>
      </c>
      <c r="E369" s="11">
        <v>120</v>
      </c>
      <c r="F369" s="86"/>
      <c r="G369" s="9">
        <f t="shared" si="29"/>
        <v>130.80000000000001</v>
      </c>
      <c r="H369" s="8"/>
      <c r="I369" t="str">
        <f t="shared" si="27"/>
        <v>PHY 170,ED1-CHE</v>
      </c>
      <c r="J369" s="27"/>
    </row>
    <row r="370" spans="1:10" x14ac:dyDescent="0.35">
      <c r="A370" s="11" t="s">
        <v>456</v>
      </c>
      <c r="B370" s="11" t="str">
        <v>GENERAL PHYSICS</v>
      </c>
      <c r="C370" s="7" t="str">
        <v>Abavare Eric Kwabena Kyeh</v>
      </c>
      <c r="D370" s="11" t="s">
        <v>59</v>
      </c>
      <c r="E370" s="11">
        <v>56</v>
      </c>
      <c r="F370" s="86"/>
      <c r="G370" s="9">
        <f t="shared" si="29"/>
        <v>61.040000000000006</v>
      </c>
      <c r="H370" s="8"/>
      <c r="I370" t="str">
        <f t="shared" si="27"/>
        <v>PHY 170,ED1-PCE</v>
      </c>
      <c r="J370" s="27"/>
    </row>
    <row r="371" spans="1:10" x14ac:dyDescent="0.35">
      <c r="A371" s="11" t="s">
        <v>455</v>
      </c>
      <c r="B371" s="11" t="str">
        <v>AEROSPACE DESIGN PROJECT II</v>
      </c>
      <c r="C371" s="7" t="str">
        <v>Andoh Prince Yaw</v>
      </c>
      <c r="D371" s="11" t="s">
        <v>21</v>
      </c>
      <c r="E371" s="11">
        <v>75</v>
      </c>
      <c r="F371" s="86"/>
      <c r="G371" s="9">
        <f t="shared" si="29"/>
        <v>81.75</v>
      </c>
      <c r="H371" s="8"/>
      <c r="I371" t="str">
        <f t="shared" si="27"/>
        <v>AERO 274,ED2-AERO</v>
      </c>
      <c r="J371" s="27"/>
    </row>
    <row r="372" spans="1:10" x14ac:dyDescent="0.35">
      <c r="A372" s="11" t="s">
        <v>454</v>
      </c>
      <c r="B372" s="11" t="str">
        <v>AUTOMOTIVE DESIGN PROJECT</v>
      </c>
      <c r="C372" s="7" t="str">
        <v>Andoh Prince Yaw</v>
      </c>
      <c r="D372" s="11" t="s">
        <v>67</v>
      </c>
      <c r="E372" s="11">
        <v>82</v>
      </c>
      <c r="F372" s="86"/>
      <c r="G372" s="9">
        <f t="shared" si="29"/>
        <v>89.38000000000001</v>
      </c>
      <c r="H372" s="8"/>
      <c r="I372" t="str">
        <f t="shared" si="27"/>
        <v>AME 274,ED2-AUTO</v>
      </c>
      <c r="J372" s="27"/>
    </row>
    <row r="373" spans="1:10" x14ac:dyDescent="0.35">
      <c r="A373" s="47" t="s">
        <v>453</v>
      </c>
      <c r="B373" s="11" t="str">
        <v>SECOND YEAR DESIGN PROJECT</v>
      </c>
      <c r="C373" s="7" t="str">
        <v>Andoh Prince Yaw</v>
      </c>
      <c r="D373" s="11" t="s">
        <v>27</v>
      </c>
      <c r="E373" s="11">
        <v>80</v>
      </c>
      <c r="F373" s="86"/>
      <c r="G373" s="9">
        <f t="shared" si="29"/>
        <v>87.2</v>
      </c>
      <c r="H373" s="8"/>
      <c r="I373" t="str">
        <f t="shared" si="27"/>
        <v>IE 274,ED2-IND</v>
      </c>
      <c r="J373" s="27"/>
    </row>
    <row r="374" spans="1:10" x14ac:dyDescent="0.35">
      <c r="A374" s="47" t="s">
        <v>452</v>
      </c>
      <c r="B374" s="11" t="str">
        <v>MARINE ENGINEERING DESIGN PROJECT II</v>
      </c>
      <c r="C374" s="7" t="str">
        <v>Andoh Prince Yaw</v>
      </c>
      <c r="D374" s="11" t="s">
        <v>220</v>
      </c>
      <c r="E374" s="11">
        <v>37</v>
      </c>
      <c r="F374" s="86"/>
      <c r="G374" s="9">
        <f t="shared" si="29"/>
        <v>40.330000000000005</v>
      </c>
      <c r="H374" s="8"/>
      <c r="I374" t="str">
        <f t="shared" si="27"/>
        <v>MME 274,ED2-MARI</v>
      </c>
      <c r="J374" s="27"/>
    </row>
    <row r="375" spans="1:10" x14ac:dyDescent="0.35">
      <c r="A375" s="47" t="s">
        <v>451</v>
      </c>
      <c r="B375" s="11" t="str">
        <v>MACHINE DESIGN PROJECT</v>
      </c>
      <c r="C375" s="7" t="str">
        <v>Andoh Prince Yaw</v>
      </c>
      <c r="D375" s="11" t="s">
        <v>25</v>
      </c>
      <c r="E375" s="11">
        <v>240</v>
      </c>
      <c r="F375" s="90"/>
      <c r="G375" s="9">
        <f t="shared" si="29"/>
        <v>261.60000000000002</v>
      </c>
      <c r="H375" s="8"/>
      <c r="I375" t="str">
        <f t="shared" si="27"/>
        <v>ME 274,ED2-ME</v>
      </c>
      <c r="J375" s="27"/>
    </row>
    <row r="376" spans="1:10" x14ac:dyDescent="0.35">
      <c r="A376" s="11" t="s">
        <v>450</v>
      </c>
      <c r="B376" s="11" t="str">
        <v>OPERATIONS RESEARCH II</v>
      </c>
      <c r="C376" s="7" t="str">
        <v>Asiedu Charlotte</v>
      </c>
      <c r="D376" s="11" t="s">
        <v>170</v>
      </c>
      <c r="E376" s="11">
        <v>70</v>
      </c>
      <c r="F376" s="12" t="s">
        <v>438</v>
      </c>
      <c r="G376" s="9">
        <f t="shared" si="29"/>
        <v>76.300000000000011</v>
      </c>
      <c r="H376" s="8" t="s">
        <v>437</v>
      </c>
      <c r="I376" t="str">
        <f t="shared" ref="I376:I407" si="30">CONCATENATE(A376,",",D376)</f>
        <v>IE 368,ED3-IND</v>
      </c>
      <c r="J376" s="27"/>
    </row>
    <row r="377" spans="1:10" x14ac:dyDescent="0.35">
      <c r="A377" s="11" t="s">
        <v>449</v>
      </c>
      <c r="B377" s="11" t="str">
        <v>ENVIRONMENTAL IMPACT ASSESSMENT</v>
      </c>
      <c r="C377" s="7" t="str">
        <v>Afotey Benjamin</v>
      </c>
      <c r="D377" s="11" t="s">
        <v>32</v>
      </c>
      <c r="E377" s="11">
        <v>30</v>
      </c>
      <c r="F377" s="12" t="s">
        <v>448</v>
      </c>
      <c r="G377" s="9">
        <f t="shared" si="29"/>
        <v>32.700000000000003</v>
      </c>
      <c r="H377" s="8" t="s">
        <v>447</v>
      </c>
      <c r="I377" t="str">
        <f t="shared" si="30"/>
        <v>CHE 370,ED3-PCE</v>
      </c>
      <c r="J377" s="27"/>
    </row>
    <row r="378" spans="1:10" x14ac:dyDescent="0.35">
      <c r="A378" s="11" t="s">
        <v>444</v>
      </c>
      <c r="B378" s="11" t="str">
        <v>MACHINE SHOP AND FACTORY DESIGN</v>
      </c>
      <c r="C378" s="7" t="str">
        <v>Obeng George Yaw</v>
      </c>
      <c r="D378" s="11" t="s">
        <v>79</v>
      </c>
      <c r="E378" s="11">
        <v>54</v>
      </c>
      <c r="F378" s="12" t="s">
        <v>446</v>
      </c>
      <c r="G378" s="9">
        <f t="shared" si="29"/>
        <v>58.860000000000007</v>
      </c>
      <c r="H378" s="8" t="s">
        <v>445</v>
      </c>
      <c r="I378" t="str">
        <f t="shared" si="30"/>
        <v>ME 472,ED4-ME</v>
      </c>
      <c r="J378" s="27"/>
    </row>
    <row r="379" spans="1:10" x14ac:dyDescent="0.35">
      <c r="A379" s="11" t="s">
        <v>444</v>
      </c>
      <c r="B379" s="11" t="str">
        <v>MACHINE SHOP AND FACTORY DESIGN</v>
      </c>
      <c r="C379" s="7" t="str">
        <v>Obeng George Yaw</v>
      </c>
      <c r="D379" s="11" t="s">
        <v>71</v>
      </c>
      <c r="E379" s="11">
        <v>52</v>
      </c>
      <c r="F379" s="12" t="s">
        <v>443</v>
      </c>
      <c r="G379" s="9">
        <f t="shared" si="29"/>
        <v>56.680000000000007</v>
      </c>
      <c r="H379" s="8" t="s">
        <v>442</v>
      </c>
      <c r="I379" t="str">
        <f t="shared" si="30"/>
        <v>ME 472,ED4-AERO</v>
      </c>
      <c r="J379" s="27"/>
    </row>
    <row r="380" spans="1:10" x14ac:dyDescent="0.35">
      <c r="A380" s="11" t="s">
        <v>439</v>
      </c>
      <c r="B380" s="11" t="str">
        <v>ENGINEERING MECHANICS I: STATICS</v>
      </c>
      <c r="C380" s="7" t="str">
        <v>Dzebre Denis Edem Kwame</v>
      </c>
      <c r="D380" s="11" t="s">
        <v>263</v>
      </c>
      <c r="E380" s="11">
        <v>225</v>
      </c>
      <c r="F380" s="45" t="s">
        <v>441</v>
      </c>
      <c r="G380" s="9">
        <f t="shared" si="29"/>
        <v>245.25000000000003</v>
      </c>
      <c r="H380" s="8" t="s">
        <v>440</v>
      </c>
      <c r="I380" t="str">
        <f t="shared" si="30"/>
        <v>ME 164,ED1-ME</v>
      </c>
      <c r="J380" s="27"/>
    </row>
    <row r="381" spans="1:10" x14ac:dyDescent="0.35">
      <c r="A381" s="11" t="s">
        <v>439</v>
      </c>
      <c r="B381" s="11" t="str">
        <v>STATICS OF SOLID MECHANICS</v>
      </c>
      <c r="C381" s="7" t="str">
        <v>Dzebre Denis Edem Kwame</v>
      </c>
      <c r="D381" s="11" t="s">
        <v>277</v>
      </c>
      <c r="E381" s="11">
        <v>70</v>
      </c>
      <c r="F381" s="12" t="s">
        <v>438</v>
      </c>
      <c r="G381" s="9">
        <f t="shared" si="29"/>
        <v>76.300000000000011</v>
      </c>
      <c r="H381" s="8" t="s">
        <v>437</v>
      </c>
      <c r="I381" t="str">
        <f t="shared" si="30"/>
        <v>ME 164,ED1-AERO</v>
      </c>
      <c r="J381" s="27"/>
    </row>
    <row r="382" spans="1:10" x14ac:dyDescent="0.35">
      <c r="A382" s="11" t="s">
        <v>436</v>
      </c>
      <c r="B382" s="11" t="str">
        <v>PETROLEUM PROJECT EVALUATION</v>
      </c>
      <c r="C382" s="7" t="str">
        <v>Sarkodie Kwame</v>
      </c>
      <c r="D382" s="11" t="s">
        <v>112</v>
      </c>
      <c r="E382" s="11">
        <v>99</v>
      </c>
      <c r="F382" s="12" t="s">
        <v>43</v>
      </c>
      <c r="G382" s="9">
        <f t="shared" si="29"/>
        <v>107.91000000000001</v>
      </c>
      <c r="H382" s="8" t="s">
        <v>435</v>
      </c>
      <c r="I382" t="str">
        <f t="shared" si="30"/>
        <v>PE 452,ED4-PE</v>
      </c>
      <c r="J382" s="27"/>
    </row>
    <row r="383" spans="1:10" x14ac:dyDescent="0.35">
      <c r="A383" s="11" t="s">
        <v>432</v>
      </c>
      <c r="B383" s="11" t="str">
        <v>MATERIALS JOINING PROCESSES</v>
      </c>
      <c r="C383" s="7" t="str">
        <v>Kwofie Samuel</v>
      </c>
      <c r="D383" s="11" t="s">
        <v>229</v>
      </c>
      <c r="E383" s="11">
        <v>87</v>
      </c>
      <c r="F383" s="10" t="s">
        <v>434</v>
      </c>
      <c r="G383" s="9">
        <f t="shared" si="29"/>
        <v>94.830000000000013</v>
      </c>
      <c r="H383" s="8" t="s">
        <v>433</v>
      </c>
      <c r="I383" t="str">
        <f t="shared" si="30"/>
        <v>MSE 362,ED3-METE</v>
      </c>
      <c r="J383" s="27"/>
    </row>
    <row r="384" spans="1:10" x14ac:dyDescent="0.35">
      <c r="A384" s="11" t="s">
        <v>432</v>
      </c>
      <c r="B384" s="11" t="str">
        <v>MATERIALS JOINING PROCESSES</v>
      </c>
      <c r="C384" s="7" t="str">
        <v>Kwofie Samuel</v>
      </c>
      <c r="D384" s="11" t="s">
        <v>137</v>
      </c>
      <c r="E384" s="11">
        <v>85</v>
      </c>
      <c r="F384" s="10" t="s">
        <v>56</v>
      </c>
      <c r="G384" s="9">
        <f t="shared" si="29"/>
        <v>92.65</v>
      </c>
      <c r="H384" s="8" t="s">
        <v>135</v>
      </c>
      <c r="I384" t="str">
        <f t="shared" si="30"/>
        <v>MSE 362,ED3-MSE</v>
      </c>
      <c r="J384" s="27"/>
    </row>
    <row r="385" spans="1:10" x14ac:dyDescent="0.35">
      <c r="A385" s="11" t="s">
        <v>431</v>
      </c>
      <c r="B385" s="11" t="str">
        <v>WELL TESTING</v>
      </c>
      <c r="C385" s="7" t="str">
        <v>Adenutsi Caspar Daniel</v>
      </c>
      <c r="D385" s="11" t="s">
        <v>57</v>
      </c>
      <c r="E385" s="11">
        <v>80</v>
      </c>
      <c r="F385" s="12" t="s">
        <v>20</v>
      </c>
      <c r="G385" s="9">
        <f t="shared" si="29"/>
        <v>87.2</v>
      </c>
      <c r="H385" s="8" t="s">
        <v>373</v>
      </c>
      <c r="I385" t="str">
        <f t="shared" si="30"/>
        <v>PE 360,ED3-PE</v>
      </c>
      <c r="J385" s="27"/>
    </row>
    <row r="386" spans="1:10" x14ac:dyDescent="0.35">
      <c r="A386" s="47" t="s">
        <v>430</v>
      </c>
      <c r="B386" s="11" t="str">
        <v>GEOSTATISTICS</v>
      </c>
      <c r="C386" s="7" t="str">
        <v>Nuamah Daniel Oduro Boatey</v>
      </c>
      <c r="D386" s="11" t="s">
        <v>3</v>
      </c>
      <c r="E386" s="11">
        <v>72</v>
      </c>
      <c r="F386" s="12" t="s">
        <v>429</v>
      </c>
      <c r="G386" s="9">
        <f t="shared" si="29"/>
        <v>78.48</v>
      </c>
      <c r="H386" s="8" t="s">
        <v>428</v>
      </c>
      <c r="I386" t="str">
        <f t="shared" si="30"/>
        <v>GED 468,ED4-GEOL</v>
      </c>
      <c r="J386" s="27"/>
    </row>
    <row r="387" spans="1:10" x14ac:dyDescent="0.35">
      <c r="A387" s="11" t="s">
        <v>427</v>
      </c>
      <c r="B387" s="11" t="str">
        <v>MARINE CONTROL ENGINEERING AND AUTOMATION</v>
      </c>
      <c r="C387" s="7" t="str">
        <v>Adjei Eunice Akyereko</v>
      </c>
      <c r="D387" s="11" t="s">
        <v>195</v>
      </c>
      <c r="E387" s="11">
        <v>23</v>
      </c>
      <c r="F387" s="12" t="s">
        <v>132</v>
      </c>
      <c r="G387" s="9">
        <f t="shared" si="29"/>
        <v>25.07</v>
      </c>
      <c r="H387" s="8" t="s">
        <v>426</v>
      </c>
      <c r="I387" t="str">
        <f t="shared" si="30"/>
        <v>MME 462,ED4-MARI</v>
      </c>
      <c r="J387" s="27"/>
    </row>
    <row r="388" spans="1:10" x14ac:dyDescent="0.35">
      <c r="A388" s="11" t="s">
        <v>425</v>
      </c>
      <c r="B388" s="11" t="str">
        <v>ELECTRICAL ENG. DRAWING</v>
      </c>
      <c r="C388" s="7" t="str">
        <v>Kwegyir Daniel</v>
      </c>
      <c r="D388" s="11" t="s">
        <v>40</v>
      </c>
      <c r="E388" s="11">
        <v>262</v>
      </c>
      <c r="F388" s="40" t="s">
        <v>424</v>
      </c>
      <c r="G388" s="9">
        <f t="shared" si="29"/>
        <v>285.58000000000004</v>
      </c>
      <c r="H388" s="8" t="s">
        <v>423</v>
      </c>
      <c r="I388" t="str">
        <f t="shared" si="30"/>
        <v>EE 156,ED1-COE</v>
      </c>
      <c r="J388" s="27"/>
    </row>
    <row r="389" spans="1:10" x14ac:dyDescent="0.35">
      <c r="A389" s="11" t="s">
        <v>422</v>
      </c>
      <c r="B389" s="11" t="str">
        <v>HEAT TRANSPORT PROCESSES</v>
      </c>
      <c r="C389" s="7" t="str">
        <v>Adjei Stephen</v>
      </c>
      <c r="D389" s="11" t="s">
        <v>224</v>
      </c>
      <c r="E389" s="11">
        <v>95</v>
      </c>
      <c r="F389" s="54" t="s">
        <v>26</v>
      </c>
      <c r="G389" s="9">
        <f t="shared" si="29"/>
        <v>103.55000000000001</v>
      </c>
      <c r="H389" s="8" t="s">
        <v>421</v>
      </c>
      <c r="I389" t="str">
        <f t="shared" si="30"/>
        <v>PE 252,ED2-PE</v>
      </c>
      <c r="J389" s="27"/>
    </row>
    <row r="390" spans="1:10" x14ac:dyDescent="0.35">
      <c r="A390" s="11" t="s">
        <v>420</v>
      </c>
      <c r="B390" s="5" t="str">
        <v>QUANTITIES AND COST ESTIMATION IN CIVIL ENGINEERING</v>
      </c>
      <c r="C390" s="4" t="str">
        <v>Osei Jack Banahene</v>
      </c>
      <c r="D390" s="28" t="s">
        <v>167</v>
      </c>
      <c r="E390" s="28">
        <v>230</v>
      </c>
      <c r="F390" s="45" t="s">
        <v>419</v>
      </c>
      <c r="G390" s="9">
        <f t="shared" si="29"/>
        <v>250.70000000000002</v>
      </c>
      <c r="H390" s="8" t="s">
        <v>166</v>
      </c>
      <c r="I390" t="str">
        <f t="shared" si="30"/>
        <v>CE 376,ED3-CE</v>
      </c>
      <c r="J390" s="27"/>
    </row>
    <row r="391" spans="1:10" x14ac:dyDescent="0.35">
      <c r="A391" s="47" t="s">
        <v>418</v>
      </c>
      <c r="B391" s="11" t="str">
        <v>BIOMATERIALS I</v>
      </c>
      <c r="C391" s="7" t="str">
        <v>Odame Prince</v>
      </c>
      <c r="D391" s="11" t="s">
        <v>174</v>
      </c>
      <c r="E391" s="11">
        <v>90</v>
      </c>
      <c r="F391" s="12" t="s">
        <v>98</v>
      </c>
      <c r="G391" s="9">
        <f t="shared" si="29"/>
        <v>98.100000000000009</v>
      </c>
      <c r="H391" s="8" t="s">
        <v>417</v>
      </c>
      <c r="I391" t="str">
        <f t="shared" si="30"/>
        <v>BME 362,ED3-BME</v>
      </c>
      <c r="J391" s="27"/>
    </row>
    <row r="392" spans="1:10" x14ac:dyDescent="0.35">
      <c r="D392" s="7" t="s">
        <v>416</v>
      </c>
      <c r="E392" s="6">
        <f>SUM(E376:E391)</f>
        <v>1624</v>
      </c>
      <c r="I392" t="str">
        <f t="shared" si="30"/>
        <v>,Total W6</v>
      </c>
      <c r="J392" s="27"/>
    </row>
    <row r="393" spans="1:10" x14ac:dyDescent="0.35">
      <c r="I393" t="str">
        <f t="shared" si="30"/>
        <v>,</v>
      </c>
      <c r="J393" s="27"/>
    </row>
    <row r="394" spans="1:10" x14ac:dyDescent="0.35">
      <c r="I394" t="str">
        <f t="shared" si="30"/>
        <v>,</v>
      </c>
      <c r="J394" s="27"/>
    </row>
    <row r="395" spans="1:10" x14ac:dyDescent="0.35">
      <c r="A395" s="82" t="s">
        <v>282</v>
      </c>
      <c r="B395" s="83"/>
      <c r="C395" s="83"/>
      <c r="D395" s="83"/>
      <c r="E395" s="83"/>
      <c r="F395" s="83"/>
      <c r="G395" s="84"/>
      <c r="H395" s="19"/>
      <c r="I395" t="str">
        <f t="shared" si="30"/>
        <v>Thursday, 9 July 2026,</v>
      </c>
      <c r="J395" s="27"/>
    </row>
    <row r="396" spans="1:10" x14ac:dyDescent="0.35">
      <c r="A396" s="82" t="str">
        <f>[3]SESSIONS!$K$1</f>
        <v>Session, 1 (8:15 AM - 9:15 AM)</v>
      </c>
      <c r="B396" s="83"/>
      <c r="C396" s="83"/>
      <c r="D396" s="83"/>
      <c r="E396" s="83"/>
      <c r="F396" s="83"/>
      <c r="G396" s="84"/>
      <c r="H396" s="19"/>
      <c r="I396" t="str">
        <f t="shared" si="30"/>
        <v>Session, 1 (8:15 AM - 9:15 AM),</v>
      </c>
      <c r="J396" s="27"/>
    </row>
    <row r="397" spans="1:10" x14ac:dyDescent="0.35">
      <c r="A397" s="22" t="s">
        <v>52</v>
      </c>
      <c r="B397" s="22" t="s">
        <v>51</v>
      </c>
      <c r="C397" s="31" t="s">
        <v>50</v>
      </c>
      <c r="D397" s="22" t="s">
        <v>49</v>
      </c>
      <c r="E397" s="22" t="s">
        <v>48</v>
      </c>
      <c r="F397" s="21" t="s">
        <v>47</v>
      </c>
      <c r="G397" s="20" t="s">
        <v>46</v>
      </c>
      <c r="H397" s="19"/>
      <c r="I397" t="str">
        <f t="shared" si="30"/>
        <v>CODE ,CLASS</v>
      </c>
      <c r="J397" s="27"/>
    </row>
    <row r="398" spans="1:10" x14ac:dyDescent="0.35">
      <c r="A398" s="11" t="s">
        <v>385</v>
      </c>
      <c r="B398" s="11" t="str" cm="1">
        <f t="array" ref="B398:B411">IFERROR(VLOOKUP(I398:I411,[1]Lectures_1!A2:F535,2,FALSE),0)</f>
        <v>CALCULUS WITH ANALYSIS</v>
      </c>
      <c r="C398" s="7" t="str" cm="1">
        <f t="array" ref="C398:C411">IFERROR(VLOOKUP(I398:I411,[1]Lectures_1!A2:F535,3,FALSE),0)</f>
        <v>Lawton Adu-Ansah</v>
      </c>
      <c r="D398" s="11" t="s">
        <v>44</v>
      </c>
      <c r="E398" s="11" cm="1">
        <f t="array" ref="E398:E411">IFERROR(VLOOKUP(I398:I411,[1]Lectures_1!A2:F535,4,FALSE),0)</f>
        <v>103</v>
      </c>
      <c r="F398" s="12" t="s">
        <v>43</v>
      </c>
      <c r="G398" s="9">
        <f t="shared" ref="G398:G411" si="31">E398*1.09</f>
        <v>112.27000000000001</v>
      </c>
      <c r="H398" s="8" t="s">
        <v>415</v>
      </c>
      <c r="I398" t="str">
        <f t="shared" si="30"/>
        <v>MATH 152,ED1-GEOM</v>
      </c>
      <c r="J398" s="27"/>
    </row>
    <row r="399" spans="1:10" x14ac:dyDescent="0.35">
      <c r="A399" s="11" t="s">
        <v>385</v>
      </c>
      <c r="B399" s="11" t="str">
        <v>CALCULUS WITH ANALYSIS</v>
      </c>
      <c r="C399" s="7" t="str">
        <v>Lawton Adu-Ansah</v>
      </c>
      <c r="D399" s="11" t="s">
        <v>144</v>
      </c>
      <c r="E399" s="11">
        <v>85</v>
      </c>
      <c r="F399" s="12" t="s">
        <v>414</v>
      </c>
      <c r="G399" s="9">
        <f t="shared" si="31"/>
        <v>92.65</v>
      </c>
      <c r="H399" s="8" t="s">
        <v>413</v>
      </c>
      <c r="I399" t="str">
        <f t="shared" si="30"/>
        <v>MATH 152,ED1-AUTO</v>
      </c>
      <c r="J399" s="27"/>
    </row>
    <row r="400" spans="1:10" x14ac:dyDescent="0.35">
      <c r="A400" s="11" t="s">
        <v>385</v>
      </c>
      <c r="B400" s="11" t="str">
        <v>CALCULUS WITH ANALYSIS</v>
      </c>
      <c r="C400" s="7" t="str">
        <v>Lawton Adu-Ansah</v>
      </c>
      <c r="D400" s="11" t="s">
        <v>236</v>
      </c>
      <c r="E400" s="11">
        <v>130</v>
      </c>
      <c r="F400" s="12" t="s">
        <v>412</v>
      </c>
      <c r="G400" s="9">
        <f t="shared" si="31"/>
        <v>141.70000000000002</v>
      </c>
      <c r="H400" s="8" t="s">
        <v>411</v>
      </c>
      <c r="I400" t="str">
        <f t="shared" si="30"/>
        <v>MATH 152,ED1-TEL</v>
      </c>
      <c r="J400" s="27"/>
    </row>
    <row r="401" spans="1:10" x14ac:dyDescent="0.35">
      <c r="A401" s="11" t="s">
        <v>385</v>
      </c>
      <c r="B401" s="11" t="str">
        <v>CALCULUS WITH ANALYSIS</v>
      </c>
      <c r="C401" s="7" t="str">
        <v>Lawton Adu-Ansah</v>
      </c>
      <c r="D401" s="11" t="s">
        <v>263</v>
      </c>
      <c r="E401" s="11">
        <v>225</v>
      </c>
      <c r="F401" s="45" t="s">
        <v>410</v>
      </c>
      <c r="G401" s="9">
        <f t="shared" si="31"/>
        <v>245.25000000000003</v>
      </c>
      <c r="H401" s="8" t="s">
        <v>261</v>
      </c>
      <c r="I401" t="str">
        <f t="shared" si="30"/>
        <v>MATH 152,ED1-ME</v>
      </c>
      <c r="J401" s="27"/>
    </row>
    <row r="402" spans="1:10" x14ac:dyDescent="0.35">
      <c r="A402" s="11" t="s">
        <v>385</v>
      </c>
      <c r="B402" s="11" t="str">
        <v>CALCULUS WITH ANALYSIS</v>
      </c>
      <c r="C402" s="7" t="str">
        <v>Isaac Azure</v>
      </c>
      <c r="D402" s="11" t="s">
        <v>61</v>
      </c>
      <c r="E402" s="11">
        <v>120</v>
      </c>
      <c r="F402" s="24" t="s">
        <v>409</v>
      </c>
      <c r="G402" s="9">
        <f t="shared" si="31"/>
        <v>130.80000000000001</v>
      </c>
      <c r="H402" s="8" t="s">
        <v>408</v>
      </c>
      <c r="I402" t="str">
        <f t="shared" si="30"/>
        <v>MATH 152,ED1-CHE</v>
      </c>
      <c r="J402" s="27"/>
    </row>
    <row r="403" spans="1:10" x14ac:dyDescent="0.35">
      <c r="A403" s="11" t="s">
        <v>385</v>
      </c>
      <c r="B403" s="11" t="str">
        <v>CALCULUS OF SEVERAL VARIABLES</v>
      </c>
      <c r="C403" s="7" t="str">
        <v>Isaac Azure</v>
      </c>
      <c r="D403" s="11" t="s">
        <v>59</v>
      </c>
      <c r="E403" s="11">
        <v>56</v>
      </c>
      <c r="F403" s="24" t="s">
        <v>407</v>
      </c>
      <c r="G403" s="9">
        <f t="shared" si="31"/>
        <v>61.040000000000006</v>
      </c>
      <c r="H403" s="8" t="s">
        <v>406</v>
      </c>
      <c r="I403" t="str">
        <f t="shared" si="30"/>
        <v>MATH 152,ED1-PCE</v>
      </c>
      <c r="J403" s="27"/>
    </row>
    <row r="404" spans="1:10" x14ac:dyDescent="0.35">
      <c r="A404" s="11" t="s">
        <v>385</v>
      </c>
      <c r="B404" s="11" t="str">
        <v>CALCULUS WITH ANALYSIS</v>
      </c>
      <c r="C404" s="7" t="str">
        <v>Ezearn Jeffery</v>
      </c>
      <c r="D404" s="11" t="s">
        <v>277</v>
      </c>
      <c r="E404" s="11">
        <v>70</v>
      </c>
      <c r="F404" s="24" t="s">
        <v>405</v>
      </c>
      <c r="G404" s="9">
        <f t="shared" si="31"/>
        <v>76.300000000000011</v>
      </c>
      <c r="H404" s="8" t="s">
        <v>404</v>
      </c>
      <c r="I404" t="str">
        <f t="shared" si="30"/>
        <v>MATH 152,ED1-AERO</v>
      </c>
      <c r="J404" s="27"/>
    </row>
    <row r="405" spans="1:10" x14ac:dyDescent="0.35">
      <c r="A405" s="11" t="s">
        <v>385</v>
      </c>
      <c r="B405" s="11" t="str">
        <v>CALCULUS WITH ANALYSIS</v>
      </c>
      <c r="C405" s="7" t="str">
        <v>Ezearn Jeffery</v>
      </c>
      <c r="D405" s="11" t="s">
        <v>260</v>
      </c>
      <c r="E405" s="11">
        <v>83</v>
      </c>
      <c r="F405" s="12" t="s">
        <v>403</v>
      </c>
      <c r="G405" s="9">
        <f t="shared" si="31"/>
        <v>90.470000000000013</v>
      </c>
      <c r="H405" s="8" t="s">
        <v>402</v>
      </c>
      <c r="I405" t="str">
        <f t="shared" si="30"/>
        <v>MATH 152,ED1-IND</v>
      </c>
      <c r="J405" s="27"/>
    </row>
    <row r="406" spans="1:10" x14ac:dyDescent="0.35">
      <c r="A406" s="11" t="s">
        <v>385</v>
      </c>
      <c r="B406" s="11" t="str">
        <v>CALCULUS WITH ANALYSIS</v>
      </c>
      <c r="C406" s="7" t="str">
        <v>Ezearn Jeffery</v>
      </c>
      <c r="D406" s="11" t="s">
        <v>93</v>
      </c>
      <c r="E406" s="11">
        <v>46</v>
      </c>
      <c r="F406" s="24" t="s">
        <v>401</v>
      </c>
      <c r="G406" s="9">
        <f t="shared" si="31"/>
        <v>50.14</v>
      </c>
      <c r="H406" s="8" t="s">
        <v>400</v>
      </c>
      <c r="I406" t="str">
        <f t="shared" si="30"/>
        <v>MATH 152,ED1-MARI</v>
      </c>
      <c r="J406" s="27"/>
    </row>
    <row r="407" spans="1:10" x14ac:dyDescent="0.35">
      <c r="A407" s="11" t="s">
        <v>385</v>
      </c>
      <c r="B407" s="11" t="str">
        <v>CALCULUS WITH SEVERAL VARIABLES</v>
      </c>
      <c r="C407" s="7" t="str">
        <v>Ezearn Jeffery</v>
      </c>
      <c r="D407" s="11" t="s">
        <v>96</v>
      </c>
      <c r="E407" s="11">
        <v>245</v>
      </c>
      <c r="F407" s="12" t="s">
        <v>14</v>
      </c>
      <c r="G407" s="9">
        <f t="shared" si="31"/>
        <v>267.05</v>
      </c>
      <c r="H407" s="8" t="s">
        <v>399</v>
      </c>
      <c r="I407" t="str">
        <f t="shared" si="30"/>
        <v>MATH 152,ED1-CE</v>
      </c>
      <c r="J407" s="27"/>
    </row>
    <row r="408" spans="1:10" x14ac:dyDescent="0.35">
      <c r="A408" s="11" t="s">
        <v>385</v>
      </c>
      <c r="B408" s="11" t="str">
        <v>CALCULUS WITH ANALYSIS</v>
      </c>
      <c r="C408" s="7" t="str">
        <v>Ezearn Jeffery</v>
      </c>
      <c r="D408" s="11" t="s">
        <v>40</v>
      </c>
      <c r="E408" s="11">
        <v>262</v>
      </c>
      <c r="F408" s="45" t="s">
        <v>376</v>
      </c>
      <c r="G408" s="9">
        <f t="shared" si="31"/>
        <v>285.58000000000004</v>
      </c>
      <c r="H408" s="8" t="s">
        <v>398</v>
      </c>
      <c r="I408" t="str">
        <f t="shared" ref="I408:I439" si="32">CONCATENATE(A408,",",D408)</f>
        <v>MATH 152,ED1-COE</v>
      </c>
      <c r="J408" s="27"/>
    </row>
    <row r="409" spans="1:10" x14ac:dyDescent="0.35">
      <c r="A409" s="11" t="s">
        <v>385</v>
      </c>
      <c r="B409" s="11" t="str">
        <v>CALCULUS WITH ANALYSIS</v>
      </c>
      <c r="C409" s="7" t="str">
        <v>Isaac Azure</v>
      </c>
      <c r="D409" s="11" t="s">
        <v>123</v>
      </c>
      <c r="E409" s="11">
        <v>75</v>
      </c>
      <c r="F409" s="55" t="s">
        <v>397</v>
      </c>
      <c r="G409" s="9">
        <f t="shared" si="31"/>
        <v>81.75</v>
      </c>
      <c r="H409" s="8" t="s">
        <v>396</v>
      </c>
      <c r="I409" t="str">
        <f t="shared" si="32"/>
        <v>MATH 152,ED1-METE</v>
      </c>
      <c r="J409" s="27"/>
    </row>
    <row r="410" spans="1:10" x14ac:dyDescent="0.35">
      <c r="A410" s="11" t="s">
        <v>385</v>
      </c>
      <c r="B410" s="11" t="str">
        <v>CALCULUS WITH ANALYSIS</v>
      </c>
      <c r="C410" s="7" t="str">
        <v>Isaac Azure</v>
      </c>
      <c r="D410" s="11" t="s">
        <v>126</v>
      </c>
      <c r="E410" s="11">
        <v>100</v>
      </c>
      <c r="F410" s="12" t="s">
        <v>395</v>
      </c>
      <c r="G410" s="9">
        <f t="shared" si="31"/>
        <v>109.00000000000001</v>
      </c>
      <c r="H410" s="8" t="s">
        <v>394</v>
      </c>
      <c r="I410" t="str">
        <f t="shared" si="32"/>
        <v>MATH 152,ED1-MSE</v>
      </c>
      <c r="J410" s="27"/>
    </row>
    <row r="411" spans="1:10" x14ac:dyDescent="0.35">
      <c r="A411" s="11" t="s">
        <v>393</v>
      </c>
      <c r="B411" s="11" t="str">
        <v>FARM POWER AND MACHINERY</v>
      </c>
      <c r="C411" s="7" t="str">
        <v>Aikins Stephen Hill Mends</v>
      </c>
      <c r="D411" s="11" t="s">
        <v>189</v>
      </c>
      <c r="E411" s="11">
        <v>101</v>
      </c>
      <c r="F411" s="54" t="s">
        <v>392</v>
      </c>
      <c r="G411" s="9">
        <f t="shared" si="31"/>
        <v>110.09</v>
      </c>
      <c r="H411" s="8" t="s">
        <v>391</v>
      </c>
      <c r="I411" t="str">
        <f t="shared" si="32"/>
        <v>AE 356,ED3-AE</v>
      </c>
      <c r="J411" s="27"/>
    </row>
    <row r="412" spans="1:10" x14ac:dyDescent="0.35">
      <c r="D412" s="7" t="s">
        <v>390</v>
      </c>
      <c r="E412" s="6">
        <f>SUM(E398:E411)</f>
        <v>1701</v>
      </c>
      <c r="I412" t="str">
        <f t="shared" si="32"/>
        <v>,Total H1</v>
      </c>
      <c r="J412" s="27"/>
    </row>
    <row r="413" spans="1:10" x14ac:dyDescent="0.35">
      <c r="I413" t="str">
        <f t="shared" si="32"/>
        <v>,</v>
      </c>
      <c r="J413" s="27"/>
    </row>
    <row r="414" spans="1:10" x14ac:dyDescent="0.35">
      <c r="I414" t="str">
        <f t="shared" si="32"/>
        <v>,</v>
      </c>
      <c r="J414" s="27"/>
    </row>
    <row r="415" spans="1:10" x14ac:dyDescent="0.35">
      <c r="A415" s="82" t="s">
        <v>282</v>
      </c>
      <c r="B415" s="83"/>
      <c r="C415" s="83"/>
      <c r="D415" s="83"/>
      <c r="E415" s="83"/>
      <c r="F415" s="83"/>
      <c r="G415" s="84"/>
      <c r="H415" s="19"/>
      <c r="I415" t="str">
        <f t="shared" si="32"/>
        <v>Thursday, 9 July 2026,</v>
      </c>
      <c r="J415" s="27"/>
    </row>
    <row r="416" spans="1:10" x14ac:dyDescent="0.35">
      <c r="A416" s="82" t="str">
        <f>[3]SESSIONS!$K$2</f>
        <v>Session, 2 (10:00 AM - 11:00 AM)</v>
      </c>
      <c r="B416" s="83"/>
      <c r="C416" s="83"/>
      <c r="D416" s="83"/>
      <c r="E416" s="83"/>
      <c r="F416" s="83"/>
      <c r="G416" s="84"/>
      <c r="H416" s="19"/>
      <c r="I416" t="str">
        <f t="shared" si="32"/>
        <v>Session, 2 (10:00 AM - 11:00 AM),</v>
      </c>
      <c r="J416" s="27"/>
    </row>
    <row r="417" spans="1:10" x14ac:dyDescent="0.35">
      <c r="A417" s="22" t="s">
        <v>52</v>
      </c>
      <c r="B417" s="22" t="s">
        <v>51</v>
      </c>
      <c r="C417" s="31" t="s">
        <v>50</v>
      </c>
      <c r="D417" s="22" t="s">
        <v>49</v>
      </c>
      <c r="E417" s="22" t="s">
        <v>48</v>
      </c>
      <c r="F417" s="21" t="s">
        <v>47</v>
      </c>
      <c r="G417" s="20" t="s">
        <v>46</v>
      </c>
      <c r="H417" s="19"/>
      <c r="I417" t="str">
        <f t="shared" si="32"/>
        <v>CODE ,CLASS</v>
      </c>
      <c r="J417" s="27"/>
    </row>
    <row r="418" spans="1:10" x14ac:dyDescent="0.35">
      <c r="A418" s="11" t="s">
        <v>385</v>
      </c>
      <c r="B418" s="11" t="str" cm="1">
        <f t="array" ref="B418:B429">IFERROR(VLOOKUP(I418:I429,[1]Lectures_1!A2:F535,2,FALSE),0)</f>
        <v>CALCULUS WITH ANALYSIS</v>
      </c>
      <c r="C418" s="7" t="str" cm="1">
        <f t="array" ref="C418:C429">IFERROR(VLOOKUP(I418:I429,[1]Lectures_1!A2:F535,3,FALSE),0)</f>
        <v>Ayekple Yao Elikem</v>
      </c>
      <c r="D418" s="11" t="s">
        <v>130</v>
      </c>
      <c r="E418" s="11" cm="1">
        <f t="array" ref="E418:E429">IFERROR(VLOOKUP(I418:I429,[1]Lectures_1!A2:F535,4,FALSE),0)</f>
        <v>295</v>
      </c>
      <c r="F418" s="45" t="s">
        <v>389</v>
      </c>
      <c r="G418" s="9">
        <f t="shared" ref="G418:G429" si="33">E418*1.09</f>
        <v>321.55</v>
      </c>
      <c r="H418" s="8" t="s">
        <v>388</v>
      </c>
      <c r="I418" t="str">
        <f t="shared" si="32"/>
        <v>MATH 152,ED1-EE</v>
      </c>
      <c r="J418" s="27"/>
    </row>
    <row r="419" spans="1:10" x14ac:dyDescent="0.35">
      <c r="A419" s="11" t="s">
        <v>385</v>
      </c>
      <c r="B419" s="11" t="str">
        <v>CALCULUS WITH ANALYSIS</v>
      </c>
      <c r="C419" s="7" t="str">
        <v>Kwabi Prince Amponsah</v>
      </c>
      <c r="D419" s="11" t="s">
        <v>234</v>
      </c>
      <c r="E419" s="11">
        <v>130</v>
      </c>
      <c r="F419" s="12" t="s">
        <v>387</v>
      </c>
      <c r="G419" s="9">
        <f t="shared" si="33"/>
        <v>141.70000000000002</v>
      </c>
      <c r="H419" s="8" t="s">
        <v>386</v>
      </c>
      <c r="I419" t="str">
        <f t="shared" si="32"/>
        <v>MATH 152,ED1-PE</v>
      </c>
      <c r="J419" s="27"/>
    </row>
    <row r="420" spans="1:10" x14ac:dyDescent="0.35">
      <c r="A420" s="11" t="s">
        <v>385</v>
      </c>
      <c r="B420" s="11" t="str">
        <v>CALCULUS WITH SEVERAL VARIABLES</v>
      </c>
      <c r="C420" s="7" t="str">
        <v>Kwabi Prince Amponsah</v>
      </c>
      <c r="D420" s="11" t="s">
        <v>99</v>
      </c>
      <c r="E420" s="11">
        <v>125</v>
      </c>
      <c r="F420" s="10" t="s">
        <v>381</v>
      </c>
      <c r="G420" s="9">
        <f t="shared" si="33"/>
        <v>136.25</v>
      </c>
      <c r="H420" s="8" t="s">
        <v>384</v>
      </c>
      <c r="I420" t="str">
        <f t="shared" si="32"/>
        <v>MATH 152,ED1-GEOL</v>
      </c>
      <c r="J420" s="27"/>
    </row>
    <row r="421" spans="1:10" x14ac:dyDescent="0.35">
      <c r="A421" s="11" t="s">
        <v>382</v>
      </c>
      <c r="B421" s="11" t="str">
        <v>NUMERICAL METHODS FOR CHEMICAL ENGINEERS</v>
      </c>
      <c r="C421" s="7" t="str">
        <v>Mensah Mary</v>
      </c>
      <c r="D421" s="11" t="s">
        <v>32</v>
      </c>
      <c r="E421" s="11">
        <v>53</v>
      </c>
      <c r="F421" s="12" t="s">
        <v>176</v>
      </c>
      <c r="G421" s="9">
        <f t="shared" si="33"/>
        <v>57.77</v>
      </c>
      <c r="H421" s="8" t="s">
        <v>383</v>
      </c>
      <c r="I421" t="str">
        <f t="shared" si="32"/>
        <v>CHE 358,ED3-PCE</v>
      </c>
      <c r="J421" s="27"/>
    </row>
    <row r="422" spans="1:10" x14ac:dyDescent="0.35">
      <c r="A422" s="11" t="s">
        <v>382</v>
      </c>
      <c r="B422" s="11" t="str">
        <v>NUMERICAL METHODS FOR CHEMICAL ENGINEERS</v>
      </c>
      <c r="C422" s="7" t="str">
        <v>Mensah Mary</v>
      </c>
      <c r="D422" s="11" t="s">
        <v>107</v>
      </c>
      <c r="E422" s="11">
        <v>105</v>
      </c>
      <c r="F422" s="12" t="s">
        <v>381</v>
      </c>
      <c r="G422" s="9">
        <f t="shared" si="33"/>
        <v>114.45</v>
      </c>
      <c r="H422" s="8" t="s">
        <v>380</v>
      </c>
      <c r="I422" t="str">
        <f t="shared" si="32"/>
        <v>CHE 358,ED3-CHE</v>
      </c>
      <c r="J422" s="27"/>
    </row>
    <row r="423" spans="1:10" x14ac:dyDescent="0.35">
      <c r="A423" s="11" t="s">
        <v>379</v>
      </c>
      <c r="B423" s="11" t="str">
        <v>RESERVOIR FLUID PROPERTIES</v>
      </c>
      <c r="C423" s="7" t="str">
        <v>Casper Daniel Adenutsi</v>
      </c>
      <c r="D423" s="11" t="s">
        <v>224</v>
      </c>
      <c r="E423" s="11">
        <v>95</v>
      </c>
      <c r="F423" s="12" t="s">
        <v>378</v>
      </c>
      <c r="G423" s="9">
        <f t="shared" si="33"/>
        <v>103.55000000000001</v>
      </c>
      <c r="H423" s="8" t="s">
        <v>377</v>
      </c>
      <c r="I423" t="str">
        <f t="shared" si="32"/>
        <v>PE 260,ED2-PE</v>
      </c>
      <c r="J423" s="27"/>
    </row>
    <row r="424" spans="1:10" x14ac:dyDescent="0.35">
      <c r="A424" s="11" t="s">
        <v>374</v>
      </c>
      <c r="B424" s="11" t="str">
        <v>DIGITAL SYSTEMS DESIGN I</v>
      </c>
      <c r="C424" s="7" t="str">
        <v>Nunoo-Mensah Henry</v>
      </c>
      <c r="D424" s="11" t="s">
        <v>86</v>
      </c>
      <c r="E424" s="11">
        <v>255</v>
      </c>
      <c r="F424" s="45" t="s">
        <v>376</v>
      </c>
      <c r="G424" s="9">
        <f t="shared" si="33"/>
        <v>277.95000000000005</v>
      </c>
      <c r="H424" s="8" t="s">
        <v>375</v>
      </c>
      <c r="I424" t="str">
        <f t="shared" si="32"/>
        <v>COE 272,ED2-COE</v>
      </c>
      <c r="J424" s="27"/>
    </row>
    <row r="425" spans="1:10" x14ac:dyDescent="0.35">
      <c r="A425" s="11" t="s">
        <v>374</v>
      </c>
      <c r="B425" s="11" t="str">
        <v>DIGITAL SYSTEMS DESIGN I</v>
      </c>
      <c r="C425" s="7" t="str">
        <v>Nunoo-Mensah Henry</v>
      </c>
      <c r="D425" s="11" t="s">
        <v>90</v>
      </c>
      <c r="E425" s="11">
        <v>80</v>
      </c>
      <c r="F425" s="12" t="s">
        <v>20</v>
      </c>
      <c r="G425" s="9">
        <f t="shared" si="33"/>
        <v>87.2</v>
      </c>
      <c r="H425" s="8" t="s">
        <v>373</v>
      </c>
      <c r="I425" t="str">
        <f t="shared" si="32"/>
        <v>COE 272,ED2-BME</v>
      </c>
      <c r="J425" s="27"/>
    </row>
    <row r="426" spans="1:10" x14ac:dyDescent="0.35">
      <c r="A426" s="11" t="s">
        <v>372</v>
      </c>
      <c r="B426" s="11" t="str">
        <v>MACHINE ELEMENTS DESIGN II</v>
      </c>
      <c r="C426" s="7" t="str">
        <v>Andoh Prince Yaw</v>
      </c>
      <c r="D426" s="11" t="s">
        <v>164</v>
      </c>
      <c r="E426" s="11">
        <v>222</v>
      </c>
      <c r="F426" s="12" t="s">
        <v>150</v>
      </c>
      <c r="G426" s="9">
        <f t="shared" si="33"/>
        <v>241.98000000000002</v>
      </c>
      <c r="H426" s="8" t="s">
        <v>371</v>
      </c>
      <c r="I426" t="str">
        <f t="shared" si="32"/>
        <v>ME 374,ED3-ME</v>
      </c>
      <c r="J426" s="27"/>
    </row>
    <row r="427" spans="1:10" x14ac:dyDescent="0.35">
      <c r="A427" s="11" t="s">
        <v>370</v>
      </c>
      <c r="B427" s="11" t="str">
        <v>HEAT TRANSPORT PROCESSES</v>
      </c>
      <c r="C427" s="7" t="str">
        <v>Ohemeng-Boahen Godfred</v>
      </c>
      <c r="D427" s="33" t="s">
        <v>36</v>
      </c>
      <c r="E427" s="11">
        <v>65</v>
      </c>
      <c r="F427" s="12" t="s">
        <v>369</v>
      </c>
      <c r="G427" s="9">
        <f t="shared" si="33"/>
        <v>70.850000000000009</v>
      </c>
      <c r="H427" s="8" t="s">
        <v>368</v>
      </c>
      <c r="I427" t="str">
        <f t="shared" si="32"/>
        <v>CHE 256,ED2-PCE</v>
      </c>
      <c r="J427" s="27"/>
    </row>
    <row r="428" spans="1:10" x14ac:dyDescent="0.35">
      <c r="A428" s="11" t="s">
        <v>367</v>
      </c>
      <c r="B428" s="11" t="str">
        <v>GEOSTATISTICS</v>
      </c>
      <c r="C428" s="7" t="str">
        <v>Mustapha Hameed</v>
      </c>
      <c r="D428" s="33" t="s">
        <v>57</v>
      </c>
      <c r="E428" s="11">
        <v>80</v>
      </c>
      <c r="F428" s="12" t="s">
        <v>26</v>
      </c>
      <c r="G428" s="9">
        <f t="shared" si="33"/>
        <v>87.2</v>
      </c>
      <c r="H428" s="8" t="s">
        <v>366</v>
      </c>
      <c r="I428" t="str">
        <f t="shared" si="32"/>
        <v>PE 362,ED3-PE</v>
      </c>
      <c r="J428" s="27"/>
    </row>
    <row r="429" spans="1:10" x14ac:dyDescent="0.35">
      <c r="A429" s="11" t="s">
        <v>365</v>
      </c>
      <c r="B429" s="11" t="str">
        <v>OILFIELD GEOLCHEMISTRY</v>
      </c>
      <c r="C429" s="7" t="str">
        <v>Adenutsi Caspar Daniel</v>
      </c>
      <c r="D429" s="11" t="s">
        <v>112</v>
      </c>
      <c r="E429" s="11">
        <v>99</v>
      </c>
      <c r="F429" s="10" t="s">
        <v>364</v>
      </c>
      <c r="G429" s="9">
        <f t="shared" si="33"/>
        <v>107.91000000000001</v>
      </c>
      <c r="H429" s="8" t="s">
        <v>363</v>
      </c>
      <c r="I429" t="str">
        <f t="shared" si="32"/>
        <v>PE 458,ED4-PE</v>
      </c>
      <c r="J429" s="27"/>
    </row>
    <row r="430" spans="1:10" x14ac:dyDescent="0.35">
      <c r="D430" s="7" t="s">
        <v>362</v>
      </c>
      <c r="E430" s="6">
        <f>SUM(E418:E429)</f>
        <v>1604</v>
      </c>
      <c r="I430" t="str">
        <f t="shared" si="32"/>
        <v>,Total H2</v>
      </c>
      <c r="J430" s="27"/>
    </row>
    <row r="431" spans="1:10" x14ac:dyDescent="0.35">
      <c r="I431" t="str">
        <f t="shared" si="32"/>
        <v>,</v>
      </c>
      <c r="J431" s="27"/>
    </row>
    <row r="432" spans="1:10" x14ac:dyDescent="0.35">
      <c r="I432" t="str">
        <f t="shared" si="32"/>
        <v>,</v>
      </c>
      <c r="J432" s="27"/>
    </row>
    <row r="433" spans="1:10" x14ac:dyDescent="0.35">
      <c r="A433" s="82" t="s">
        <v>282</v>
      </c>
      <c r="B433" s="83"/>
      <c r="C433" s="83"/>
      <c r="D433" s="83"/>
      <c r="E433" s="83"/>
      <c r="F433" s="84"/>
      <c r="G433" s="53"/>
      <c r="H433" s="19"/>
      <c r="I433" t="str">
        <f t="shared" si="32"/>
        <v>Thursday, 9 July 2026,</v>
      </c>
      <c r="J433" s="27"/>
    </row>
    <row r="434" spans="1:10" x14ac:dyDescent="0.35">
      <c r="A434" s="82" t="str">
        <f>[3]SESSIONS!$K$3</f>
        <v>Session, 3 (11:45 AM - 12:45 PM)</v>
      </c>
      <c r="B434" s="83"/>
      <c r="C434" s="83"/>
      <c r="D434" s="83"/>
      <c r="E434" s="83"/>
      <c r="F434" s="83"/>
      <c r="G434" s="53"/>
      <c r="H434" s="19"/>
      <c r="I434" t="str">
        <f t="shared" si="32"/>
        <v>Session, 3 (11:45 AM - 12:45 PM),</v>
      </c>
      <c r="J434" s="27"/>
    </row>
    <row r="435" spans="1:10" x14ac:dyDescent="0.35">
      <c r="A435" s="22" t="s">
        <v>52</v>
      </c>
      <c r="B435" s="22" t="s">
        <v>51</v>
      </c>
      <c r="C435" s="31" t="s">
        <v>50</v>
      </c>
      <c r="D435" s="22" t="s">
        <v>49</v>
      </c>
      <c r="E435" s="22" t="s">
        <v>48</v>
      </c>
      <c r="F435" s="39" t="s">
        <v>47</v>
      </c>
      <c r="G435" s="20" t="s">
        <v>46</v>
      </c>
      <c r="H435" s="19"/>
      <c r="I435" t="str">
        <f t="shared" si="32"/>
        <v>CODE ,CLASS</v>
      </c>
      <c r="J435" s="27"/>
    </row>
    <row r="436" spans="1:10" x14ac:dyDescent="0.35">
      <c r="A436" s="11" t="s">
        <v>361</v>
      </c>
      <c r="B436" s="11" t="str" cm="1">
        <f t="array" ref="B436:B445">IFERROR(VLOOKUP(I436:I445,[1]Lectures_1!A2:F535,2,FALSE),0)</f>
        <v>STRUCTURAL ANALYSIS</v>
      </c>
      <c r="C436" s="7" t="str" cm="1">
        <f t="array" ref="C436:C445">IFERROR(VLOOKUP(I436:I445,[1]Lectures_1!A2:F535,3,FALSE),0)</f>
        <v>Kankam Charles Kwame</v>
      </c>
      <c r="D436" s="11" t="s">
        <v>15</v>
      </c>
      <c r="E436" s="11" cm="1">
        <f t="array" ref="E436:E445">IFERROR(VLOOKUP(I436:I445,[1]Lectures_1!A2:F535,4,FALSE),0)</f>
        <v>250</v>
      </c>
      <c r="F436" s="45" t="s">
        <v>360</v>
      </c>
      <c r="G436" s="9">
        <f t="shared" ref="G436:G445" si="34">E436*1.09</f>
        <v>272.5</v>
      </c>
      <c r="H436" s="8" t="s">
        <v>359</v>
      </c>
      <c r="I436" t="str">
        <f t="shared" si="32"/>
        <v>CE 258,ED2-CE</v>
      </c>
      <c r="J436" s="27"/>
    </row>
    <row r="437" spans="1:10" x14ac:dyDescent="0.35">
      <c r="A437" s="11" t="s">
        <v>218</v>
      </c>
      <c r="B437" s="11" t="str">
        <v>CALCULUS OF SEVERAL VARIABLES</v>
      </c>
      <c r="C437" s="7" t="str">
        <v>Benedict Barnes</v>
      </c>
      <c r="D437" s="11" t="s">
        <v>154</v>
      </c>
      <c r="E437" s="11">
        <v>160</v>
      </c>
      <c r="F437" s="45" t="s">
        <v>150</v>
      </c>
      <c r="G437" s="9">
        <f t="shared" si="34"/>
        <v>174.4</v>
      </c>
      <c r="H437" s="8" t="s">
        <v>358</v>
      </c>
      <c r="I437" t="str">
        <f t="shared" si="32"/>
        <v>MATH 252,ED2-CHE</v>
      </c>
      <c r="J437" s="27"/>
    </row>
    <row r="438" spans="1:10" x14ac:dyDescent="0.35">
      <c r="A438" s="11" t="s">
        <v>218</v>
      </c>
      <c r="B438" s="11" t="str">
        <v>CALCULUS WITH SEVERAL VARIABLES</v>
      </c>
      <c r="C438" s="7" t="str">
        <v>Emmanuel Mensah</v>
      </c>
      <c r="D438" s="11" t="s">
        <v>102</v>
      </c>
      <c r="E438" s="11">
        <v>340</v>
      </c>
      <c r="F438" s="45" t="s">
        <v>216</v>
      </c>
      <c r="G438" s="9">
        <f t="shared" si="34"/>
        <v>370.6</v>
      </c>
      <c r="H438" s="8" t="s">
        <v>215</v>
      </c>
      <c r="I438" t="str">
        <f t="shared" si="32"/>
        <v>MATH 252,ED2-EE</v>
      </c>
      <c r="J438" s="27"/>
    </row>
    <row r="439" spans="1:10" x14ac:dyDescent="0.35">
      <c r="A439" s="11" t="s">
        <v>357</v>
      </c>
      <c r="B439" s="11" t="str">
        <v>COMMUNICATION CIRCUITS</v>
      </c>
      <c r="C439" s="7" t="str">
        <v>Abdul-Rahman Ahmed</v>
      </c>
      <c r="D439" s="11" t="s">
        <v>109</v>
      </c>
      <c r="E439" s="11">
        <v>175</v>
      </c>
      <c r="F439" s="12" t="s">
        <v>356</v>
      </c>
      <c r="G439" s="9">
        <f t="shared" si="34"/>
        <v>190.75</v>
      </c>
      <c r="H439" s="8" t="s">
        <v>355</v>
      </c>
      <c r="I439" t="str">
        <f t="shared" si="32"/>
        <v>TE 256,ED2-TEL</v>
      </c>
      <c r="J439" s="27"/>
    </row>
    <row r="440" spans="1:10" x14ac:dyDescent="0.35">
      <c r="A440" s="11" t="s">
        <v>354</v>
      </c>
      <c r="B440" s="11" t="str">
        <v>SUBSTATIONS AND TRANSMISSION LINE DESIGN</v>
      </c>
      <c r="C440" s="7" t="str">
        <v>Antoh Emmanuel Kwaku</v>
      </c>
      <c r="D440" s="11" t="s">
        <v>151</v>
      </c>
      <c r="E440" s="11">
        <v>240</v>
      </c>
      <c r="F440" s="12" t="s">
        <v>14</v>
      </c>
      <c r="G440" s="9">
        <f t="shared" si="34"/>
        <v>261.60000000000002</v>
      </c>
      <c r="H440" s="8" t="s">
        <v>353</v>
      </c>
      <c r="I440" t="str">
        <f t="shared" ref="I440:I446" si="35">CONCATENATE(A440,",",D440)</f>
        <v>EE 362,ED3-EE</v>
      </c>
      <c r="J440" s="27"/>
    </row>
    <row r="441" spans="1:10" x14ac:dyDescent="0.35">
      <c r="A441" s="11" t="s">
        <v>352</v>
      </c>
      <c r="B441" s="11" t="str">
        <v>AEROSPACE STRUCTURES</v>
      </c>
      <c r="C441" s="7" t="str">
        <v>Agyei Agyemang Anthony</v>
      </c>
      <c r="D441" s="33" t="s">
        <v>21</v>
      </c>
      <c r="E441" s="11">
        <v>75</v>
      </c>
      <c r="F441" s="12" t="s">
        <v>56</v>
      </c>
      <c r="G441" s="9">
        <f t="shared" si="34"/>
        <v>81.75</v>
      </c>
      <c r="H441" s="8" t="s">
        <v>351</v>
      </c>
      <c r="I441" t="str">
        <f t="shared" si="35"/>
        <v>AERO 256,ED2-AERO</v>
      </c>
      <c r="J441" s="27"/>
    </row>
    <row r="442" spans="1:10" x14ac:dyDescent="0.35">
      <c r="A442" s="11" t="s">
        <v>350</v>
      </c>
      <c r="B442" s="11" t="str">
        <v>THEORY OF MACHINES</v>
      </c>
      <c r="C442" s="7" t="str">
        <v>Adam Faisal Wahib</v>
      </c>
      <c r="D442" s="11" t="s">
        <v>222</v>
      </c>
      <c r="E442" s="11">
        <v>155</v>
      </c>
      <c r="F442" s="12" t="s">
        <v>85</v>
      </c>
      <c r="G442" s="9">
        <f t="shared" si="34"/>
        <v>168.95000000000002</v>
      </c>
      <c r="H442" s="8" t="s">
        <v>238</v>
      </c>
      <c r="I442" t="str">
        <f t="shared" si="35"/>
        <v>ME 262,ED2-AE</v>
      </c>
      <c r="J442" s="27"/>
    </row>
    <row r="443" spans="1:10" x14ac:dyDescent="0.35">
      <c r="A443" s="11" t="s">
        <v>348</v>
      </c>
      <c r="B443" s="11" t="str">
        <v>MATERIALS QUALITY CONTROL, ASSURRANCE AND SELECTION</v>
      </c>
      <c r="C443" s="7" t="str">
        <v>Arthur Emmanuel Kwesi</v>
      </c>
      <c r="D443" s="11" t="s">
        <v>116</v>
      </c>
      <c r="E443" s="11">
        <v>60</v>
      </c>
      <c r="F443" s="12" t="s">
        <v>349</v>
      </c>
      <c r="G443" s="9">
        <f t="shared" si="34"/>
        <v>65.400000000000006</v>
      </c>
      <c r="H443" s="8" t="s">
        <v>114</v>
      </c>
      <c r="I443" t="str">
        <f t="shared" si="35"/>
        <v>MSE 456,ED4-MSE</v>
      </c>
      <c r="J443" s="27"/>
    </row>
    <row r="444" spans="1:10" x14ac:dyDescent="0.35">
      <c r="A444" s="11" t="s">
        <v>348</v>
      </c>
      <c r="B444" s="11" t="str">
        <v>MATERIALS QUALITY CONTROL, ASSURRANCE AND SELECTION</v>
      </c>
      <c r="C444" s="7" t="str">
        <v>Arthur Emmanuel Kwesi</v>
      </c>
      <c r="D444" s="11" t="s">
        <v>120</v>
      </c>
      <c r="E444" s="11">
        <v>55</v>
      </c>
      <c r="F444" s="12" t="s">
        <v>92</v>
      </c>
      <c r="G444" s="9">
        <f t="shared" si="34"/>
        <v>59.95</v>
      </c>
      <c r="H444" s="8" t="s">
        <v>105</v>
      </c>
      <c r="I444" t="str">
        <f t="shared" si="35"/>
        <v>MSE 456,ED4-METE</v>
      </c>
      <c r="J444" s="27"/>
    </row>
    <row r="445" spans="1:10" x14ac:dyDescent="0.35">
      <c r="A445" s="11" t="s">
        <v>347</v>
      </c>
      <c r="B445" s="11" t="str">
        <v>ECONOMIC GEOLLOGY</v>
      </c>
      <c r="C445" s="7" t="str">
        <v>Mensah Emmanuel</v>
      </c>
      <c r="D445" s="33" t="s">
        <v>3</v>
      </c>
      <c r="E445" s="11">
        <v>95</v>
      </c>
      <c r="F445" s="12" t="s">
        <v>98</v>
      </c>
      <c r="G445" s="9">
        <f t="shared" si="34"/>
        <v>103.55000000000001</v>
      </c>
      <c r="H445" s="8" t="s">
        <v>346</v>
      </c>
      <c r="I445" t="str">
        <f t="shared" si="35"/>
        <v>GED 462,ED4-GEOL</v>
      </c>
      <c r="J445" s="27"/>
    </row>
    <row r="446" spans="1:10" x14ac:dyDescent="0.35">
      <c r="D446" s="7" t="s">
        <v>345</v>
      </c>
      <c r="E446" s="6">
        <f>SUM(E436:E445)</f>
        <v>1605</v>
      </c>
      <c r="I446" t="str">
        <f t="shared" si="35"/>
        <v>,Total H3</v>
      </c>
      <c r="J446" s="27"/>
    </row>
    <row r="447" spans="1:10" x14ac:dyDescent="0.35">
      <c r="J447" s="27"/>
    </row>
    <row r="448" spans="1:10" x14ac:dyDescent="0.35">
      <c r="J448" s="27"/>
    </row>
    <row r="449" spans="1:10" x14ac:dyDescent="0.35">
      <c r="A449" s="82" t="s">
        <v>282</v>
      </c>
      <c r="B449" s="83"/>
      <c r="C449" s="83"/>
      <c r="D449" s="83"/>
      <c r="E449" s="83"/>
      <c r="F449" s="84"/>
      <c r="G449" s="53"/>
      <c r="H449" s="19"/>
      <c r="I449" t="str">
        <f t="shared" ref="I449:I471" si="36">CONCATENATE(A449,",",D449)</f>
        <v>Thursday, 9 July 2026,</v>
      </c>
      <c r="J449" s="27"/>
    </row>
    <row r="450" spans="1:10" x14ac:dyDescent="0.35">
      <c r="A450" s="82" t="str">
        <f>[3]SESSIONS!$K$4</f>
        <v>Session, 4 (1:30 PM - 2:30 PM)</v>
      </c>
      <c r="B450" s="83"/>
      <c r="C450" s="83"/>
      <c r="D450" s="83"/>
      <c r="E450" s="83"/>
      <c r="F450" s="83"/>
      <c r="G450" s="53"/>
      <c r="H450" s="19"/>
      <c r="I450" t="str">
        <f t="shared" si="36"/>
        <v>Session, 4 (1:30 PM - 2:30 PM),</v>
      </c>
      <c r="J450" s="27"/>
    </row>
    <row r="451" spans="1:10" x14ac:dyDescent="0.35">
      <c r="A451" s="22" t="s">
        <v>52</v>
      </c>
      <c r="B451" s="22" t="s">
        <v>51</v>
      </c>
      <c r="C451" s="31" t="s">
        <v>50</v>
      </c>
      <c r="D451" s="22" t="s">
        <v>49</v>
      </c>
      <c r="E451" s="22" t="s">
        <v>48</v>
      </c>
      <c r="F451" s="21" t="s">
        <v>47</v>
      </c>
      <c r="G451" s="20" t="s">
        <v>46</v>
      </c>
      <c r="H451" s="19"/>
      <c r="I451" t="str">
        <f t="shared" si="36"/>
        <v>CODE ,CLASS</v>
      </c>
      <c r="J451" s="27"/>
    </row>
    <row r="452" spans="1:10" x14ac:dyDescent="0.35">
      <c r="A452" s="11" t="s">
        <v>342</v>
      </c>
      <c r="B452" s="11" t="str" cm="1">
        <f t="array" ref="B452:B470">IFERROR(VLOOKUP(I452:I470,[1]Lectures_1!A2:F535,2,FALSE),0)</f>
        <v>ENTREPRENEURSHIP AND BUSINESS DEVELOPMENT</v>
      </c>
      <c r="C452" s="7" t="str" cm="1">
        <f t="array" ref="C452:C470">IFERROR(VLOOKUP(I452:I470,[1]Lectures_1!A2:F535,3,FALSE),0)</f>
        <v>Asamoah Boateng Kenneth</v>
      </c>
      <c r="D452" s="11" t="s">
        <v>344</v>
      </c>
      <c r="E452" s="11" cm="1">
        <f t="array" ref="E452:E470">IFERROR(VLOOKUP(I452:I470,[1]Lectures_1!A2:F535,4,FALSE),0)</f>
        <v>114</v>
      </c>
      <c r="F452" s="12" t="s">
        <v>179</v>
      </c>
      <c r="G452" s="9">
        <f t="shared" ref="G452:G470" si="37">E452*1.09</f>
        <v>124.26</v>
      </c>
      <c r="H452" s="8" t="s">
        <v>343</v>
      </c>
      <c r="I452" t="str">
        <f t="shared" si="36"/>
        <v>CHE 458,ED4-CHE</v>
      </c>
      <c r="J452" s="27"/>
    </row>
    <row r="453" spans="1:10" x14ac:dyDescent="0.35">
      <c r="A453" s="11" t="s">
        <v>342</v>
      </c>
      <c r="B453" s="11" t="str">
        <v>ENTREPRENEURSHIP AND BUSINESS DEVELOPMENT</v>
      </c>
      <c r="C453" s="7" t="str">
        <v>Asamoah Boateng Kenneth</v>
      </c>
      <c r="D453" s="11" t="s">
        <v>341</v>
      </c>
      <c r="E453" s="11">
        <v>55</v>
      </c>
      <c r="F453" s="12" t="s">
        <v>340</v>
      </c>
      <c r="G453" s="9">
        <f t="shared" si="37"/>
        <v>59.95</v>
      </c>
      <c r="H453" s="8" t="s">
        <v>339</v>
      </c>
      <c r="I453" t="str">
        <f t="shared" si="36"/>
        <v>CHE 458,ED4-PCE</v>
      </c>
      <c r="J453" s="27"/>
    </row>
    <row r="454" spans="1:10" x14ac:dyDescent="0.35">
      <c r="A454" s="11" t="s">
        <v>338</v>
      </c>
      <c r="B454" s="11" t="str">
        <v>SOIL AND WATER ENGINEERING II</v>
      </c>
      <c r="C454" s="7" t="str">
        <v>Agyare Wilson Agyei</v>
      </c>
      <c r="D454" s="11" t="s">
        <v>201</v>
      </c>
      <c r="E454" s="11">
        <v>103</v>
      </c>
      <c r="F454" s="12" t="s">
        <v>188</v>
      </c>
      <c r="G454" s="9">
        <f t="shared" si="37"/>
        <v>112.27000000000001</v>
      </c>
      <c r="H454" s="8" t="s">
        <v>337</v>
      </c>
      <c r="I454" t="str">
        <f t="shared" si="36"/>
        <v>AE 452,ED4-AE</v>
      </c>
      <c r="J454" s="27"/>
    </row>
    <row r="455" spans="1:10" x14ac:dyDescent="0.35">
      <c r="A455" s="11" t="s">
        <v>336</v>
      </c>
      <c r="B455" s="11" t="str">
        <v>DATA COMMUNICATION PRINCIPLES</v>
      </c>
      <c r="C455" s="7" t="str">
        <v>Gadze James Dzisi</v>
      </c>
      <c r="D455" s="11" t="s">
        <v>199</v>
      </c>
      <c r="E455" s="11">
        <v>140</v>
      </c>
      <c r="F455" s="12" t="s">
        <v>150</v>
      </c>
      <c r="G455" s="9">
        <f t="shared" si="37"/>
        <v>152.60000000000002</v>
      </c>
      <c r="H455" s="8" t="s">
        <v>335</v>
      </c>
      <c r="I455" t="str">
        <f t="shared" si="36"/>
        <v>TE 352,ED3-TEL</v>
      </c>
      <c r="J455" s="27"/>
    </row>
    <row r="456" spans="1:10" x14ac:dyDescent="0.35">
      <c r="A456" s="11" t="s">
        <v>334</v>
      </c>
      <c r="B456" s="11" t="str">
        <v>PRINCIPLES OF GIS</v>
      </c>
      <c r="C456" s="7" t="str">
        <v>Forkuo Eric Kwabena</v>
      </c>
      <c r="D456" s="11" t="s">
        <v>104</v>
      </c>
      <c r="E456" s="11">
        <v>122</v>
      </c>
      <c r="F456" s="12" t="s">
        <v>179</v>
      </c>
      <c r="G456" s="9">
        <f t="shared" si="37"/>
        <v>132.98000000000002</v>
      </c>
      <c r="H456" s="8" t="s">
        <v>333</v>
      </c>
      <c r="I456" t="str">
        <f t="shared" si="36"/>
        <v>GE 362,ED3-GEOM</v>
      </c>
      <c r="J456" s="27"/>
    </row>
    <row r="457" spans="1:10" x14ac:dyDescent="0.35">
      <c r="A457" s="11" t="s">
        <v>332</v>
      </c>
      <c r="B457" s="11" t="str">
        <v>STRUCTURAL DYNAMICS</v>
      </c>
      <c r="C457" s="7" t="str">
        <v>Mark Adom-Asamoah</v>
      </c>
      <c r="D457" s="11" t="s">
        <v>7</v>
      </c>
      <c r="E457" s="11">
        <v>95</v>
      </c>
      <c r="F457" s="40" t="s">
        <v>331</v>
      </c>
      <c r="G457" s="9">
        <f t="shared" si="37"/>
        <v>103.55000000000001</v>
      </c>
      <c r="H457" s="8" t="s">
        <v>330</v>
      </c>
      <c r="I457" t="str">
        <f t="shared" si="36"/>
        <v>CE 456,ED4-CE</v>
      </c>
      <c r="J457" s="27"/>
    </row>
    <row r="458" spans="1:10" x14ac:dyDescent="0.35">
      <c r="A458" s="11" t="s">
        <v>329</v>
      </c>
      <c r="B458" s="11" t="str">
        <v>PRODUCTION PLANNING AND CONTROL</v>
      </c>
      <c r="C458" s="7" t="str">
        <v>Dzebre Denis Edem Kwame</v>
      </c>
      <c r="D458" s="11" t="s">
        <v>328</v>
      </c>
      <c r="E458" s="11">
        <v>69</v>
      </c>
      <c r="F458" s="40" t="s">
        <v>327</v>
      </c>
      <c r="G458" s="9">
        <f t="shared" si="37"/>
        <v>75.210000000000008</v>
      </c>
      <c r="H458" s="8" t="s">
        <v>326</v>
      </c>
      <c r="I458" t="str">
        <f t="shared" si="36"/>
        <v>IE 454,ED4-IND</v>
      </c>
      <c r="J458" s="27"/>
    </row>
    <row r="459" spans="1:10" x14ac:dyDescent="0.35">
      <c r="A459" s="11" t="s">
        <v>325</v>
      </c>
      <c r="B459" s="11" t="str">
        <v>MANUAL POWER TRAIN</v>
      </c>
      <c r="C459" s="7" t="str">
        <v>Abu Frimpong Solomon</v>
      </c>
      <c r="D459" s="11" t="s">
        <v>64</v>
      </c>
      <c r="E459" s="11">
        <v>40</v>
      </c>
      <c r="F459" s="12" t="s">
        <v>324</v>
      </c>
      <c r="G459" s="9">
        <f t="shared" si="37"/>
        <v>43.6</v>
      </c>
      <c r="H459" s="8" t="s">
        <v>212</v>
      </c>
      <c r="I459" t="str">
        <f t="shared" si="36"/>
        <v>AME 386,ED3-AUTO</v>
      </c>
      <c r="J459" s="27"/>
    </row>
    <row r="460" spans="1:10" x14ac:dyDescent="0.35">
      <c r="A460" s="11" t="s">
        <v>323</v>
      </c>
      <c r="B460" s="11" t="str">
        <v>MANUFACTURING TECHNOLOGY</v>
      </c>
      <c r="C460" s="7" t="str">
        <v>Boahen Samuel</v>
      </c>
      <c r="D460" s="11" t="s">
        <v>27</v>
      </c>
      <c r="E460" s="11">
        <v>80</v>
      </c>
      <c r="F460" s="12" t="s">
        <v>28</v>
      </c>
      <c r="G460" s="9">
        <f t="shared" si="37"/>
        <v>87.2</v>
      </c>
      <c r="H460" s="8">
        <v>80</v>
      </c>
      <c r="I460" t="str">
        <f t="shared" si="36"/>
        <v>ME 270,ED2-IND</v>
      </c>
      <c r="J460" s="27"/>
    </row>
    <row r="461" spans="1:10" x14ac:dyDescent="0.35">
      <c r="A461" s="11" t="s">
        <v>323</v>
      </c>
      <c r="B461" s="11" t="str">
        <v>MANUFACTURING TECHNOLOGY</v>
      </c>
      <c r="C461" s="7" t="str">
        <v>Boahen Samuel</v>
      </c>
      <c r="D461" s="11" t="s">
        <v>67</v>
      </c>
      <c r="E461" s="11">
        <v>82</v>
      </c>
      <c r="F461" s="12" t="s">
        <v>26</v>
      </c>
      <c r="G461" s="9">
        <f t="shared" si="37"/>
        <v>89.38000000000001</v>
      </c>
      <c r="H461" s="8">
        <v>82</v>
      </c>
      <c r="I461" t="str">
        <f t="shared" si="36"/>
        <v>ME 270,ED2-AUTO</v>
      </c>
      <c r="J461" s="27"/>
    </row>
    <row r="462" spans="1:10" x14ac:dyDescent="0.35">
      <c r="A462" s="11" t="s">
        <v>323</v>
      </c>
      <c r="B462" s="11" t="str">
        <v>MANUFACTURING TECHNOLOGY</v>
      </c>
      <c r="C462" s="7" t="str">
        <v>Boahen Samuel</v>
      </c>
      <c r="D462" s="11" t="s">
        <v>220</v>
      </c>
      <c r="E462" s="11">
        <v>37</v>
      </c>
      <c r="F462" s="12" t="s">
        <v>322</v>
      </c>
      <c r="G462" s="9">
        <f t="shared" si="37"/>
        <v>40.330000000000005</v>
      </c>
      <c r="H462" s="8">
        <v>37</v>
      </c>
      <c r="I462" t="str">
        <f t="shared" si="36"/>
        <v>ME 270,ED2-MARI</v>
      </c>
      <c r="J462" s="27"/>
    </row>
    <row r="463" spans="1:10" x14ac:dyDescent="0.35">
      <c r="A463" s="11" t="s">
        <v>320</v>
      </c>
      <c r="B463" s="11" t="str">
        <v>HEAT AND MASS TRANSPORT</v>
      </c>
      <c r="C463" s="7" t="str">
        <v>Agyemang Frank Ofori</v>
      </c>
      <c r="D463" s="11" t="s">
        <v>223</v>
      </c>
      <c r="E463" s="11">
        <v>83</v>
      </c>
      <c r="F463" s="40" t="s">
        <v>56</v>
      </c>
      <c r="G463" s="9">
        <f t="shared" si="37"/>
        <v>90.470000000000013</v>
      </c>
      <c r="H463" s="8" t="s">
        <v>321</v>
      </c>
      <c r="I463" t="str">
        <f t="shared" si="36"/>
        <v>MSE 252,ED2-MSE</v>
      </c>
      <c r="J463" s="27"/>
    </row>
    <row r="464" spans="1:10" x14ac:dyDescent="0.35">
      <c r="A464" s="11" t="s">
        <v>320</v>
      </c>
      <c r="B464" s="11" t="str">
        <v>HEAT AND MASS TRANSPORT</v>
      </c>
      <c r="C464" s="7" t="str">
        <v>Agyemang Frank Ofori</v>
      </c>
      <c r="D464" s="11" t="s">
        <v>75</v>
      </c>
      <c r="E464" s="11">
        <v>57</v>
      </c>
      <c r="F464" s="40" t="s">
        <v>319</v>
      </c>
      <c r="G464" s="9">
        <f t="shared" si="37"/>
        <v>62.13</v>
      </c>
      <c r="H464" s="8" t="s">
        <v>318</v>
      </c>
      <c r="I464" t="str">
        <f t="shared" si="36"/>
        <v>MSE 252,ED2-METE</v>
      </c>
      <c r="J464" s="27"/>
    </row>
    <row r="465" spans="1:10" x14ac:dyDescent="0.35">
      <c r="A465" s="11" t="s">
        <v>317</v>
      </c>
      <c r="B465" s="11" t="str">
        <v>FLUID MACHINERY</v>
      </c>
      <c r="C465" s="7" t="str">
        <v>Opoku Richard</v>
      </c>
      <c r="D465" s="11" t="s">
        <v>79</v>
      </c>
      <c r="E465" s="11">
        <v>80</v>
      </c>
      <c r="F465" s="12" t="s">
        <v>56</v>
      </c>
      <c r="G465" s="9">
        <f t="shared" si="37"/>
        <v>87.2</v>
      </c>
      <c r="H465" s="8" t="s">
        <v>55</v>
      </c>
      <c r="I465" t="str">
        <f t="shared" si="36"/>
        <v>ME 452,ED4-ME</v>
      </c>
      <c r="J465" s="27"/>
    </row>
    <row r="466" spans="1:10" x14ac:dyDescent="0.35">
      <c r="A466" s="11" t="s">
        <v>316</v>
      </c>
      <c r="B466" s="11" t="str">
        <v>INTRODUCTION TO CAD/CAM</v>
      </c>
      <c r="C466" s="7" t="str">
        <v>Afriyie Nyarko Frank Kwabena</v>
      </c>
      <c r="D466" s="11" t="s">
        <v>189</v>
      </c>
      <c r="E466" s="11">
        <v>101</v>
      </c>
      <c r="F466" s="12" t="s">
        <v>265</v>
      </c>
      <c r="G466" s="9">
        <f t="shared" si="37"/>
        <v>110.09</v>
      </c>
      <c r="H466" s="8" t="s">
        <v>315</v>
      </c>
      <c r="I466" t="str">
        <f t="shared" si="36"/>
        <v>ME 376,ED3-AE</v>
      </c>
      <c r="J466" s="27"/>
    </row>
    <row r="467" spans="1:10" x14ac:dyDescent="0.35">
      <c r="A467" s="11" t="s">
        <v>314</v>
      </c>
      <c r="B467" s="11" t="str">
        <v>COMPUTER-AIDED DESIGN AND MANUFACTURING</v>
      </c>
      <c r="C467" s="7" t="str">
        <v>Afriyie Nyarko Frank Kwabena</v>
      </c>
      <c r="D467" s="11" t="s">
        <v>170</v>
      </c>
      <c r="E467" s="11">
        <v>70</v>
      </c>
      <c r="F467" s="12" t="s">
        <v>119</v>
      </c>
      <c r="G467" s="9">
        <f t="shared" si="37"/>
        <v>76.300000000000011</v>
      </c>
      <c r="H467" s="8" t="s">
        <v>313</v>
      </c>
      <c r="I467" t="str">
        <f t="shared" si="36"/>
        <v>IE 358,ED3-IND</v>
      </c>
      <c r="J467" s="27"/>
    </row>
    <row r="468" spans="1:10" x14ac:dyDescent="0.35">
      <c r="A468" s="11" t="s">
        <v>312</v>
      </c>
      <c r="B468" s="11" t="str">
        <v>VEHICLE MAINTENANCE AND REGULATION</v>
      </c>
      <c r="C468" s="7" t="str">
        <v>Abu Frimpong Solomon</v>
      </c>
      <c r="D468" s="11" t="s">
        <v>206</v>
      </c>
      <c r="E468" s="11">
        <v>32</v>
      </c>
      <c r="F468" s="12" t="s">
        <v>311</v>
      </c>
      <c r="G468" s="9">
        <f t="shared" si="37"/>
        <v>34.880000000000003</v>
      </c>
      <c r="H468" s="8">
        <v>32</v>
      </c>
      <c r="I468" t="str">
        <f t="shared" si="36"/>
        <v>AME 496,ED4-AUTO</v>
      </c>
      <c r="J468" s="27"/>
    </row>
    <row r="469" spans="1:10" x14ac:dyDescent="0.35">
      <c r="A469" s="11" t="s">
        <v>310</v>
      </c>
      <c r="B469" s="11" t="str">
        <v>APPLIED METEOROLOGY</v>
      </c>
      <c r="C469" s="7" t="str">
        <v>Prince Junior Asilevi</v>
      </c>
      <c r="D469" s="11" t="s">
        <v>71</v>
      </c>
      <c r="E469" s="11">
        <v>61</v>
      </c>
      <c r="F469" s="3" t="s">
        <v>115</v>
      </c>
      <c r="G469" s="9">
        <f t="shared" si="37"/>
        <v>66.490000000000009</v>
      </c>
      <c r="H469" s="8" t="s">
        <v>309</v>
      </c>
      <c r="I469" t="str">
        <f t="shared" si="36"/>
        <v>AERO 456,ED4-AERO</v>
      </c>
      <c r="J469" s="27"/>
    </row>
    <row r="470" spans="1:10" x14ac:dyDescent="0.35">
      <c r="A470" s="11" t="s">
        <v>308</v>
      </c>
      <c r="B470" s="11" t="str">
        <v>PRINCIPLES OF REMOTE SENSING</v>
      </c>
      <c r="C470" s="7" t="str">
        <v>Yaw Mensah Asare</v>
      </c>
      <c r="D470" s="11" t="s">
        <v>83</v>
      </c>
      <c r="E470" s="11">
        <v>132</v>
      </c>
      <c r="F470" s="12" t="s">
        <v>82</v>
      </c>
      <c r="G470" s="9">
        <f t="shared" si="37"/>
        <v>143.88000000000002</v>
      </c>
      <c r="H470" s="8" t="s">
        <v>307</v>
      </c>
      <c r="I470" t="str">
        <f t="shared" si="36"/>
        <v>GE 262,ED2-GEOM</v>
      </c>
      <c r="J470" s="27"/>
    </row>
    <row r="471" spans="1:10" x14ac:dyDescent="0.35">
      <c r="D471" s="7" t="s">
        <v>306</v>
      </c>
      <c r="E471" s="6">
        <f>SUM(E452:E470)</f>
        <v>1553</v>
      </c>
      <c r="I471" t="str">
        <f t="shared" si="36"/>
        <v>,Total H4</v>
      </c>
      <c r="J471" s="27"/>
    </row>
    <row r="472" spans="1:10" x14ac:dyDescent="0.35">
      <c r="J472" s="27"/>
    </row>
    <row r="473" spans="1:10" x14ac:dyDescent="0.35">
      <c r="J473" s="27"/>
    </row>
    <row r="474" spans="1:10" x14ac:dyDescent="0.35">
      <c r="A474" s="82" t="s">
        <v>282</v>
      </c>
      <c r="B474" s="83"/>
      <c r="C474" s="83"/>
      <c r="D474" s="83"/>
      <c r="E474" s="83"/>
      <c r="F474" s="83"/>
      <c r="G474" s="84"/>
      <c r="H474" s="19"/>
      <c r="I474" t="str">
        <f t="shared" ref="I474:I491" si="38">CONCATENATE(A474,",",D474)</f>
        <v>Thursday, 9 July 2026,</v>
      </c>
      <c r="J474" s="27"/>
    </row>
    <row r="475" spans="1:10" x14ac:dyDescent="0.35">
      <c r="A475" s="82" t="str">
        <f>[3]SESSIONS!$K$5</f>
        <v>Session, 5 (3:15 PM - 4:15 PM)</v>
      </c>
      <c r="B475" s="83"/>
      <c r="C475" s="83"/>
      <c r="D475" s="83"/>
      <c r="E475" s="83"/>
      <c r="F475" s="83"/>
      <c r="G475" s="84"/>
      <c r="H475" s="19"/>
      <c r="I475" t="str">
        <f t="shared" si="38"/>
        <v>Session, 5 (3:15 PM - 4:15 PM),</v>
      </c>
      <c r="J475" s="27"/>
    </row>
    <row r="476" spans="1:10" x14ac:dyDescent="0.35">
      <c r="A476" s="22" t="s">
        <v>52</v>
      </c>
      <c r="B476" s="22" t="s">
        <v>51</v>
      </c>
      <c r="C476" s="31" t="s">
        <v>50</v>
      </c>
      <c r="D476" s="22" t="s">
        <v>49</v>
      </c>
      <c r="E476" s="22" t="s">
        <v>48</v>
      </c>
      <c r="F476" s="21" t="s">
        <v>47</v>
      </c>
      <c r="G476" s="20" t="s">
        <v>46</v>
      </c>
      <c r="H476" s="19"/>
      <c r="I476" t="str">
        <f t="shared" si="38"/>
        <v>CODE ,CLASS</v>
      </c>
      <c r="J476" s="27"/>
    </row>
    <row r="477" spans="1:10" x14ac:dyDescent="0.35">
      <c r="A477" s="11" t="s">
        <v>305</v>
      </c>
      <c r="B477" s="11" t="str" cm="1">
        <f t="array" ref="B477:B490">IFERROR(VLOOKUP(I477:I490,[1]Lectures_1!A2:F535,2,FALSE),0)</f>
        <v>PROFESSIONAL STUDIES AND DEVELOPMENT</v>
      </c>
      <c r="C477" s="7" t="str" cm="1">
        <f t="array" ref="C477:C490">IFERROR(VLOOKUP(I477:I490,[1]Lectures_1!A2:F535,3,FALSE),0)</f>
        <v>Akrofi Emmanuel Offei</v>
      </c>
      <c r="D477" s="11" t="s">
        <v>183</v>
      </c>
      <c r="E477" s="11" cm="1">
        <f t="array" ref="E477:E490">IFERROR(VLOOKUP(I477:I490,[1]Lectures_1!A2:F535,4,FALSE),0)</f>
        <v>93</v>
      </c>
      <c r="F477" s="40" t="s">
        <v>98</v>
      </c>
      <c r="G477" s="9">
        <f t="shared" ref="G477:G490" si="39">E477*1.09</f>
        <v>101.37</v>
      </c>
      <c r="H477" s="8" t="s">
        <v>182</v>
      </c>
      <c r="I477" t="str">
        <f t="shared" si="38"/>
        <v>GE 476,ED4-GEOM</v>
      </c>
      <c r="J477" s="27"/>
    </row>
    <row r="478" spans="1:10" x14ac:dyDescent="0.35">
      <c r="A478" s="11" t="s">
        <v>304</v>
      </c>
      <c r="B478" s="11" t="str">
        <v>DIGITAL SIGNAL PROCESSING</v>
      </c>
      <c r="C478" s="7" t="str">
        <v>Kponyo Jerry John</v>
      </c>
      <c r="D478" s="11" t="s">
        <v>203</v>
      </c>
      <c r="E478" s="11">
        <v>138</v>
      </c>
      <c r="F478" s="12" t="s">
        <v>82</v>
      </c>
      <c r="G478" s="9">
        <f t="shared" si="39"/>
        <v>150.42000000000002</v>
      </c>
      <c r="H478" s="8" t="s">
        <v>303</v>
      </c>
      <c r="I478" t="str">
        <f t="shared" si="38"/>
        <v>TE 454,ED4-TEL</v>
      </c>
      <c r="J478" s="27"/>
    </row>
    <row r="479" spans="1:10" x14ac:dyDescent="0.35">
      <c r="A479" s="11" t="s">
        <v>302</v>
      </c>
      <c r="B479" s="11" t="str">
        <v>DIGITAL SIGNAL PROCESSING</v>
      </c>
      <c r="C479" s="7" t="str">
        <v>Kponyo Jerry John</v>
      </c>
      <c r="D479" s="11" t="s">
        <v>133</v>
      </c>
      <c r="E479" s="11">
        <v>12</v>
      </c>
      <c r="F479" s="40" t="s">
        <v>245</v>
      </c>
      <c r="G479" s="9">
        <f t="shared" si="39"/>
        <v>13.080000000000002</v>
      </c>
      <c r="H479" s="8">
        <v>12</v>
      </c>
      <c r="I479" t="str">
        <f t="shared" si="38"/>
        <v>EE 472,ED4-EE</v>
      </c>
      <c r="J479" s="27"/>
    </row>
    <row r="480" spans="1:10" x14ac:dyDescent="0.35">
      <c r="A480" s="11" t="s">
        <v>301</v>
      </c>
      <c r="B480" s="11" t="str">
        <v>RENEWABLE ENERGY RESOURCES</v>
      </c>
      <c r="C480" s="7" t="str">
        <v>Baah-Ennumh Emmanuel Kwaku</v>
      </c>
      <c r="D480" s="11" t="s">
        <v>32</v>
      </c>
      <c r="E480" s="11">
        <v>20</v>
      </c>
      <c r="F480" s="12" t="s">
        <v>300</v>
      </c>
      <c r="G480" s="9">
        <f t="shared" si="39"/>
        <v>21.8</v>
      </c>
      <c r="H480" s="8">
        <v>20</v>
      </c>
      <c r="I480" t="str">
        <f t="shared" si="38"/>
        <v>CHE 366,ED3-PCE</v>
      </c>
      <c r="J480" s="27"/>
    </row>
    <row r="481" spans="1:10" x14ac:dyDescent="0.35">
      <c r="A481" s="11" t="s">
        <v>299</v>
      </c>
      <c r="B481" s="11" t="str">
        <v>OPTICAL MINERALOGY</v>
      </c>
      <c r="C481" s="7" t="str">
        <v>Wilson Matthew Coffie</v>
      </c>
      <c r="D481" s="11" t="s">
        <v>11</v>
      </c>
      <c r="E481" s="11">
        <v>150</v>
      </c>
      <c r="F481" s="12" t="s">
        <v>85</v>
      </c>
      <c r="G481" s="9">
        <f t="shared" si="39"/>
        <v>163.5</v>
      </c>
      <c r="H481" s="8" t="s">
        <v>298</v>
      </c>
      <c r="I481" t="str">
        <f t="shared" si="38"/>
        <v>GED 258,ED2-GEOL</v>
      </c>
      <c r="J481" s="27"/>
    </row>
    <row r="482" spans="1:10" x14ac:dyDescent="0.35">
      <c r="A482" s="11" t="s">
        <v>297</v>
      </c>
      <c r="B482" s="11" t="str">
        <v>HIGHWAY ENGINEERING</v>
      </c>
      <c r="C482" s="7" t="str">
        <v>Tutu Kenneth Adomako</v>
      </c>
      <c r="D482" s="11" t="s">
        <v>167</v>
      </c>
      <c r="E482" s="11">
        <v>230</v>
      </c>
      <c r="F482" s="45" t="s">
        <v>262</v>
      </c>
      <c r="G482" s="9">
        <f t="shared" si="39"/>
        <v>250.70000000000002</v>
      </c>
      <c r="H482" s="8" t="s">
        <v>166</v>
      </c>
      <c r="I482" t="str">
        <f t="shared" si="38"/>
        <v>CE 368,ED3-CE</v>
      </c>
      <c r="J482" s="27"/>
    </row>
    <row r="483" spans="1:10" x14ac:dyDescent="0.35">
      <c r="A483" s="11" t="s">
        <v>296</v>
      </c>
      <c r="B483" s="11" t="str">
        <v>PROPERTIES OF MATTER</v>
      </c>
      <c r="C483" s="7" t="str">
        <v>Reginald Mensah Noye</v>
      </c>
      <c r="D483" s="11" t="s">
        <v>18</v>
      </c>
      <c r="E483" s="11">
        <v>136</v>
      </c>
      <c r="F483" s="12" t="s">
        <v>295</v>
      </c>
      <c r="G483" s="9">
        <f t="shared" si="39"/>
        <v>148.24</v>
      </c>
      <c r="H483" s="8" t="s">
        <v>294</v>
      </c>
      <c r="I483" t="str">
        <f t="shared" si="38"/>
        <v>PHY 154,ED1-BME</v>
      </c>
      <c r="J483" s="27"/>
    </row>
    <row r="484" spans="1:10" x14ac:dyDescent="0.35">
      <c r="A484" s="11" t="s">
        <v>293</v>
      </c>
      <c r="B484" s="11" t="str">
        <v>INTRODUCTION TO SOFTWARE ENG.</v>
      </c>
      <c r="C484" s="7" t="str">
        <v>Adjaidoo Theresa-Samuelle Maame Atwemaah</v>
      </c>
      <c r="D484" s="11" t="s">
        <v>160</v>
      </c>
      <c r="E484" s="11">
        <v>265</v>
      </c>
      <c r="F484" s="40" t="s">
        <v>150</v>
      </c>
      <c r="G484" s="9">
        <f t="shared" si="39"/>
        <v>288.85000000000002</v>
      </c>
      <c r="H484" s="8" t="s">
        <v>292</v>
      </c>
      <c r="I484" t="str">
        <f t="shared" si="38"/>
        <v>COE 356,ED3-COE</v>
      </c>
      <c r="J484" s="27"/>
    </row>
    <row r="485" spans="1:10" x14ac:dyDescent="0.35">
      <c r="A485" s="11" t="s">
        <v>291</v>
      </c>
      <c r="B485" s="11" t="str">
        <v>OIL &amp; GAS GEOLPHYSICS</v>
      </c>
      <c r="C485" s="7" t="str">
        <v>Quaye Jonathan Atuquaye</v>
      </c>
      <c r="D485" s="11" t="s">
        <v>57</v>
      </c>
      <c r="E485" s="11">
        <v>80</v>
      </c>
      <c r="F485" s="40" t="s">
        <v>26</v>
      </c>
      <c r="G485" s="9">
        <f t="shared" si="39"/>
        <v>87.2</v>
      </c>
      <c r="H485" s="8">
        <v>80</v>
      </c>
      <c r="I485" t="str">
        <f t="shared" si="38"/>
        <v>PE 364,ED3-PE</v>
      </c>
      <c r="J485" s="27"/>
    </row>
    <row r="486" spans="1:10" x14ac:dyDescent="0.35">
      <c r="A486" s="11" t="s">
        <v>290</v>
      </c>
      <c r="B486" s="11" t="str">
        <v>PROPULSION</v>
      </c>
      <c r="C486" s="7" t="str">
        <v>Bofah Kwasi Kete</v>
      </c>
      <c r="D486" s="11" t="s">
        <v>29</v>
      </c>
      <c r="E486" s="11">
        <v>76</v>
      </c>
      <c r="F486" s="12" t="s">
        <v>56</v>
      </c>
      <c r="G486" s="9">
        <f t="shared" si="39"/>
        <v>82.84</v>
      </c>
      <c r="H486" s="8" t="s">
        <v>289</v>
      </c>
      <c r="I486" t="str">
        <f t="shared" si="38"/>
        <v>AERO 368,ED3-AERO</v>
      </c>
      <c r="J486" s="27"/>
    </row>
    <row r="487" spans="1:10" x14ac:dyDescent="0.35">
      <c r="A487" s="11" t="s">
        <v>288</v>
      </c>
      <c r="B487" s="11" t="str">
        <v>THIRD YEAR DESIGN PROJECT</v>
      </c>
      <c r="C487" s="7" t="str">
        <v>Bota Osei Sekyere</v>
      </c>
      <c r="D487" s="11" t="s">
        <v>229</v>
      </c>
      <c r="E487" s="11">
        <v>87</v>
      </c>
      <c r="F487" s="12" t="s">
        <v>287</v>
      </c>
      <c r="G487" s="9">
        <f t="shared" si="39"/>
        <v>94.830000000000013</v>
      </c>
      <c r="H487" s="8" t="s">
        <v>286</v>
      </c>
      <c r="I487" t="str">
        <f t="shared" si="38"/>
        <v>METE 356,ED3-METE</v>
      </c>
    </row>
    <row r="488" spans="1:10" x14ac:dyDescent="0.35">
      <c r="A488" s="11" t="s">
        <v>285</v>
      </c>
      <c r="B488" s="11" t="str">
        <v>THIRD YEAR DESIGN PROJECT</v>
      </c>
      <c r="C488" s="7" t="str">
        <v>Bota Osei Sekyere</v>
      </c>
      <c r="D488" s="11" t="s">
        <v>137</v>
      </c>
      <c r="E488" s="11">
        <v>85</v>
      </c>
      <c r="F488" s="12" t="s">
        <v>56</v>
      </c>
      <c r="G488" s="9">
        <f t="shared" si="39"/>
        <v>92.65</v>
      </c>
      <c r="H488" s="8" t="s">
        <v>135</v>
      </c>
      <c r="I488" t="str">
        <f t="shared" si="38"/>
        <v>MSE 396,ED3-MSE</v>
      </c>
    </row>
    <row r="489" spans="1:10" x14ac:dyDescent="0.35">
      <c r="A489" s="11" t="s">
        <v>284</v>
      </c>
      <c r="B489" s="11" t="str">
        <v>FLUID DYNAMICS  II</v>
      </c>
      <c r="C489" s="7" t="str">
        <v>A. K. Sunnu</v>
      </c>
      <c r="D489" s="11" t="s">
        <v>164</v>
      </c>
      <c r="E489" s="11">
        <v>222</v>
      </c>
      <c r="F489" s="12" t="s">
        <v>262</v>
      </c>
      <c r="G489" s="9">
        <f t="shared" si="39"/>
        <v>241.98000000000002</v>
      </c>
      <c r="H489" s="8" t="s">
        <v>162</v>
      </c>
      <c r="I489" t="str">
        <f t="shared" si="38"/>
        <v>ME 352,ED3-ME</v>
      </c>
      <c r="J489" s="27"/>
    </row>
    <row r="490" spans="1:10" x14ac:dyDescent="0.35">
      <c r="A490" s="11" t="s">
        <v>284</v>
      </c>
      <c r="B490" s="11" t="str">
        <v>FLUID DYNAMICS II</v>
      </c>
      <c r="C490" s="7" t="str">
        <v>Tay Godwin Fabiola Kwaku</v>
      </c>
      <c r="D490" s="11" t="s">
        <v>147</v>
      </c>
      <c r="E490" s="11">
        <v>40</v>
      </c>
      <c r="F490" s="12" t="s">
        <v>283</v>
      </c>
      <c r="G490" s="9">
        <f t="shared" si="39"/>
        <v>43.6</v>
      </c>
      <c r="H490" s="8" t="s">
        <v>212</v>
      </c>
      <c r="I490" t="str">
        <f t="shared" si="38"/>
        <v>ME 352,ED3-MARI</v>
      </c>
      <c r="J490" s="27"/>
    </row>
    <row r="491" spans="1:10" x14ac:dyDescent="0.35">
      <c r="D491" s="7" t="s">
        <v>251</v>
      </c>
      <c r="E491" s="50">
        <f>SUM(E477:E490)</f>
        <v>1634</v>
      </c>
      <c r="I491" t="str">
        <f t="shared" si="38"/>
        <v>,Total H5</v>
      </c>
      <c r="J491" s="27"/>
    </row>
    <row r="492" spans="1:10" x14ac:dyDescent="0.35">
      <c r="D492" s="34"/>
      <c r="E492" s="52"/>
      <c r="J492" s="27"/>
    </row>
    <row r="493" spans="1:10" x14ac:dyDescent="0.35">
      <c r="J493" s="27"/>
    </row>
    <row r="494" spans="1:10" x14ac:dyDescent="0.35">
      <c r="A494" s="82" t="s">
        <v>282</v>
      </c>
      <c r="B494" s="83"/>
      <c r="C494" s="83"/>
      <c r="D494" s="83"/>
      <c r="E494" s="83"/>
      <c r="F494" s="83"/>
      <c r="G494" s="84"/>
      <c r="H494" s="19"/>
      <c r="I494" t="str">
        <f t="shared" ref="I494:I513" si="40">CONCATENATE(A494,",",D494)</f>
        <v>Thursday, 9 July 2026,</v>
      </c>
      <c r="J494" s="27"/>
    </row>
    <row r="495" spans="1:10" x14ac:dyDescent="0.35">
      <c r="A495" s="82" t="s">
        <v>281</v>
      </c>
      <c r="B495" s="83"/>
      <c r="C495" s="83"/>
      <c r="D495" s="83"/>
      <c r="E495" s="83"/>
      <c r="F495" s="83"/>
      <c r="G495" s="84"/>
      <c r="H495" s="19"/>
      <c r="I495" t="str">
        <f t="shared" si="40"/>
        <v>Session, 6 (5:00 PM - 6:00 PM),</v>
      </c>
      <c r="J495" s="27"/>
    </row>
    <row r="496" spans="1:10" x14ac:dyDescent="0.35">
      <c r="A496" s="22" t="s">
        <v>52</v>
      </c>
      <c r="B496" s="22" t="s">
        <v>51</v>
      </c>
      <c r="C496" s="31" t="s">
        <v>50</v>
      </c>
      <c r="D496" s="22" t="s">
        <v>49</v>
      </c>
      <c r="E496" s="22" t="s">
        <v>48</v>
      </c>
      <c r="F496" s="21" t="s">
        <v>47</v>
      </c>
      <c r="G496" s="20" t="s">
        <v>46</v>
      </c>
      <c r="H496" s="19"/>
      <c r="I496" t="str">
        <f t="shared" si="40"/>
        <v>CODE ,CLASS</v>
      </c>
      <c r="J496" s="27"/>
    </row>
    <row r="497" spans="1:10" x14ac:dyDescent="0.35">
      <c r="A497" s="11" t="s">
        <v>250</v>
      </c>
      <c r="B497" s="11" t="str" cm="1">
        <f t="array" ref="B497:B512">IFERROR(VLOOKUP(I497:I512,[1]Lectures_1!A2:F535,2,FALSE),0)</f>
        <v>DIGITAL SIGNAL PROCESSING</v>
      </c>
      <c r="C497" s="7" t="str" cm="1">
        <f t="array" ref="C497:C512">IFERROR(VLOOKUP(I497:I512,[1]Lectures_1!A2:F535,3,FALSE),0)</f>
        <v>Adjei Prince Ebenezer</v>
      </c>
      <c r="D497" s="11" t="s">
        <v>280</v>
      </c>
      <c r="E497" s="11" cm="1">
        <f t="array" ref="E497:E512">IFERROR(VLOOKUP(I497:I512,[1]Lectures_1!A2:F535,4,FALSE),0)</f>
        <v>87</v>
      </c>
      <c r="F497" s="40" t="s">
        <v>98</v>
      </c>
      <c r="G497" s="9">
        <f t="shared" ref="G497:G512" si="41">E497*1.09</f>
        <v>94.830000000000013</v>
      </c>
      <c r="H497" s="8" t="s">
        <v>279</v>
      </c>
      <c r="I497" t="str">
        <f t="shared" si="40"/>
        <v>COE 472,ED4-BME</v>
      </c>
      <c r="J497" s="27"/>
    </row>
    <row r="498" spans="1:10" x14ac:dyDescent="0.35">
      <c r="A498" s="11" t="s">
        <v>278</v>
      </c>
      <c r="B498" s="11" t="str">
        <v>AEROSPACE DESIGN PROJECT I</v>
      </c>
      <c r="C498" s="7" t="str">
        <v>Afriyie Nyarko Frank Kwabena</v>
      </c>
      <c r="D498" s="11" t="s">
        <v>277</v>
      </c>
      <c r="E498" s="11">
        <v>70</v>
      </c>
      <c r="F498" s="40" t="s">
        <v>257</v>
      </c>
      <c r="G498" s="9">
        <f t="shared" si="41"/>
        <v>76.300000000000011</v>
      </c>
      <c r="H498" s="8" t="s">
        <v>276</v>
      </c>
      <c r="I498" t="str">
        <f t="shared" si="40"/>
        <v>AERO 174,ED1-AERO</v>
      </c>
      <c r="J498" s="27"/>
    </row>
    <row r="499" spans="1:10" x14ac:dyDescent="0.35">
      <c r="A499" s="11" t="s">
        <v>275</v>
      </c>
      <c r="B499" s="11" t="str">
        <v>INTRODUCTION TO LIGHTING AND ACOUSTICS</v>
      </c>
      <c r="C499" s="7" t="str">
        <v>Amos-Abanyie Samuel</v>
      </c>
      <c r="D499" s="11" t="s">
        <v>96</v>
      </c>
      <c r="E499" s="11">
        <v>55</v>
      </c>
      <c r="F499" s="12" t="s">
        <v>92</v>
      </c>
      <c r="G499" s="9">
        <f t="shared" si="41"/>
        <v>59.95</v>
      </c>
      <c r="H499" s="8" t="s">
        <v>105</v>
      </c>
      <c r="I499" t="str">
        <f t="shared" si="40"/>
        <v>ARC 156,ED1-CE</v>
      </c>
      <c r="J499" s="27"/>
    </row>
    <row r="500" spans="1:10" x14ac:dyDescent="0.35">
      <c r="A500" s="11" t="s">
        <v>274</v>
      </c>
      <c r="B500" s="11" t="str">
        <v>DRAWING FOR ENGINEERS</v>
      </c>
      <c r="C500" s="7" t="str">
        <v>Jones Twumasi</v>
      </c>
      <c r="D500" s="11" t="s">
        <v>224</v>
      </c>
      <c r="E500" s="11">
        <v>95</v>
      </c>
      <c r="F500" s="40" t="s">
        <v>108</v>
      </c>
      <c r="G500" s="9">
        <f t="shared" si="41"/>
        <v>103.55000000000001</v>
      </c>
      <c r="H500" s="8" t="s">
        <v>273</v>
      </c>
      <c r="I500" t="str">
        <f t="shared" si="40"/>
        <v>PE 254,ED2-PE</v>
      </c>
      <c r="J500" s="27"/>
    </row>
    <row r="501" spans="1:10" x14ac:dyDescent="0.35">
      <c r="A501" s="11" t="s">
        <v>272</v>
      </c>
      <c r="B501" s="11" t="str">
        <v>ELECTRICAL MEASUREMENT AND INSTRUMENTATION</v>
      </c>
      <c r="C501" s="7" t="str">
        <v>Obeng Kwakye Kingsford Sarkodie</v>
      </c>
      <c r="D501" s="11" t="s">
        <v>236</v>
      </c>
      <c r="E501" s="11">
        <v>130</v>
      </c>
      <c r="F501" s="12" t="s">
        <v>82</v>
      </c>
      <c r="G501" s="9">
        <f t="shared" si="41"/>
        <v>141.70000000000002</v>
      </c>
      <c r="H501" s="8" t="s">
        <v>271</v>
      </c>
      <c r="I501" t="str">
        <f t="shared" si="40"/>
        <v>EE 188,ED1-TEL</v>
      </c>
      <c r="J501" s="27"/>
    </row>
    <row r="502" spans="1:10" x14ac:dyDescent="0.35">
      <c r="A502" s="11" t="s">
        <v>270</v>
      </c>
      <c r="B502" s="11" t="str">
        <v>ELECTRICAL MEASUREMENT AND INSTRUMENTATION</v>
      </c>
      <c r="C502" s="7" t="str">
        <v>Klogo Griffith Selorm</v>
      </c>
      <c r="D502" s="11" t="s">
        <v>86</v>
      </c>
      <c r="E502" s="11">
        <v>255</v>
      </c>
      <c r="F502" s="24" t="s">
        <v>14</v>
      </c>
      <c r="G502" s="9">
        <f t="shared" si="41"/>
        <v>277.95000000000005</v>
      </c>
      <c r="H502" s="8" t="s">
        <v>269</v>
      </c>
      <c r="I502" t="str">
        <f t="shared" si="40"/>
        <v>EE 288,ED2-COE</v>
      </c>
      <c r="J502" s="27"/>
    </row>
    <row r="503" spans="1:10" x14ac:dyDescent="0.35">
      <c r="A503" s="11" t="s">
        <v>268</v>
      </c>
      <c r="B503" s="11" t="str">
        <v>PACKAGING TECHNOLOGY</v>
      </c>
      <c r="C503" s="7" t="str">
        <v>Baah-Ennumh Emmanuel Kwaku</v>
      </c>
      <c r="D503" s="11" t="s">
        <v>107</v>
      </c>
      <c r="E503" s="11">
        <v>45</v>
      </c>
      <c r="F503" s="12" t="s">
        <v>267</v>
      </c>
      <c r="G503" s="9">
        <f t="shared" si="41"/>
        <v>49.050000000000004</v>
      </c>
      <c r="H503" s="8" t="s">
        <v>266</v>
      </c>
      <c r="I503" t="str">
        <f t="shared" si="40"/>
        <v>CHE 364,ED3-CHE</v>
      </c>
      <c r="J503" s="27"/>
    </row>
    <row r="504" spans="1:10" x14ac:dyDescent="0.35">
      <c r="A504" s="11" t="s">
        <v>258</v>
      </c>
      <c r="B504" s="11" t="str">
        <v>ENGINEERING DRAWING</v>
      </c>
      <c r="C504" s="7" t="str">
        <v>Peter Oppong Tawiah</v>
      </c>
      <c r="D504" s="11" t="s">
        <v>126</v>
      </c>
      <c r="E504" s="11">
        <v>100</v>
      </c>
      <c r="F504" s="51" t="s">
        <v>265</v>
      </c>
      <c r="G504" s="9">
        <f t="shared" si="41"/>
        <v>109.00000000000001</v>
      </c>
      <c r="H504" s="8" t="s">
        <v>264</v>
      </c>
      <c r="I504" t="str">
        <f t="shared" si="40"/>
        <v>ME 160,ED1-MSE</v>
      </c>
      <c r="J504" s="27"/>
    </row>
    <row r="505" spans="1:10" x14ac:dyDescent="0.35">
      <c r="A505" s="11" t="s">
        <v>258</v>
      </c>
      <c r="B505" s="11" t="str">
        <v>ENGINEERING DRAWING</v>
      </c>
      <c r="C505" s="7" t="str">
        <v>A. K. Sunnu</v>
      </c>
      <c r="D505" s="11" t="s">
        <v>263</v>
      </c>
      <c r="E505" s="11">
        <v>225</v>
      </c>
      <c r="F505" s="45" t="s">
        <v>262</v>
      </c>
      <c r="G505" s="9">
        <f t="shared" si="41"/>
        <v>245.25000000000003</v>
      </c>
      <c r="H505" s="8" t="s">
        <v>261</v>
      </c>
      <c r="I505" t="str">
        <f t="shared" si="40"/>
        <v>ME 160,ED1-ME</v>
      </c>
      <c r="J505" s="27"/>
    </row>
    <row r="506" spans="1:10" x14ac:dyDescent="0.35">
      <c r="A506" s="11" t="s">
        <v>258</v>
      </c>
      <c r="B506" s="11" t="str">
        <v>ENGINEERING DRAWING</v>
      </c>
      <c r="C506" s="7" t="str">
        <v>Sekyere Charles Kofi Kafui</v>
      </c>
      <c r="D506" s="11" t="s">
        <v>144</v>
      </c>
      <c r="E506" s="11">
        <v>85</v>
      </c>
      <c r="F506" s="51" t="s">
        <v>28</v>
      </c>
      <c r="G506" s="9">
        <f t="shared" si="41"/>
        <v>92.65</v>
      </c>
      <c r="H506" s="8">
        <v>85</v>
      </c>
      <c r="I506" t="str">
        <f t="shared" si="40"/>
        <v>ME 160,ED1-AUTO</v>
      </c>
      <c r="J506" s="27"/>
    </row>
    <row r="507" spans="1:10" x14ac:dyDescent="0.35">
      <c r="A507" s="11" t="s">
        <v>258</v>
      </c>
      <c r="B507" s="11" t="str">
        <v>ENGINEERING DRAWING</v>
      </c>
      <c r="C507" s="7" t="str">
        <v>Sekyere Charles Kofi Kafui</v>
      </c>
      <c r="D507" s="11" t="s">
        <v>93</v>
      </c>
      <c r="E507" s="11">
        <v>46</v>
      </c>
      <c r="F507" s="51" t="s">
        <v>176</v>
      </c>
      <c r="G507" s="9">
        <f t="shared" si="41"/>
        <v>50.14</v>
      </c>
      <c r="H507" s="8">
        <v>46</v>
      </c>
      <c r="I507" t="str">
        <f t="shared" si="40"/>
        <v>ME 160,ED1-MARI</v>
      </c>
      <c r="J507" s="27"/>
    </row>
    <row r="508" spans="1:10" x14ac:dyDescent="0.35">
      <c r="A508" s="11" t="s">
        <v>258</v>
      </c>
      <c r="B508" s="11" t="str">
        <v>ENGINEERING DRAWING</v>
      </c>
      <c r="C508" s="7" t="str">
        <v>Sekyere Charles Kofi Kafui</v>
      </c>
      <c r="D508" s="11" t="s">
        <v>260</v>
      </c>
      <c r="E508" s="11">
        <v>83</v>
      </c>
      <c r="F508" s="51" t="s">
        <v>26</v>
      </c>
      <c r="G508" s="9">
        <f t="shared" si="41"/>
        <v>90.470000000000013</v>
      </c>
      <c r="H508" s="8">
        <v>83</v>
      </c>
      <c r="I508" t="str">
        <f t="shared" si="40"/>
        <v>ME 160,ED1-IND</v>
      </c>
      <c r="J508" s="27"/>
    </row>
    <row r="509" spans="1:10" x14ac:dyDescent="0.35">
      <c r="A509" s="11" t="s">
        <v>258</v>
      </c>
      <c r="B509" s="11" t="str">
        <v>ENGINEERING DRAWING</v>
      </c>
      <c r="C509" s="7" t="str">
        <v>Aveyire Joseph</v>
      </c>
      <c r="D509" s="11" t="s">
        <v>180</v>
      </c>
      <c r="E509" s="11">
        <v>128</v>
      </c>
      <c r="F509" s="51" t="s">
        <v>82</v>
      </c>
      <c r="G509" s="9">
        <f t="shared" si="41"/>
        <v>139.52000000000001</v>
      </c>
      <c r="H509" s="8" t="s">
        <v>259</v>
      </c>
      <c r="I509" t="str">
        <f t="shared" si="40"/>
        <v>ME 160,ED1-AE</v>
      </c>
    </row>
    <row r="510" spans="1:10" x14ac:dyDescent="0.35">
      <c r="A510" s="11" t="s">
        <v>258</v>
      </c>
      <c r="B510" s="11" t="str">
        <v>ENGINEERING DRAWING</v>
      </c>
      <c r="C510" s="7" t="str">
        <v>Aveyire Joseph</v>
      </c>
      <c r="D510" s="11" t="s">
        <v>123</v>
      </c>
      <c r="E510" s="11">
        <v>75</v>
      </c>
      <c r="F510" s="51" t="s">
        <v>257</v>
      </c>
      <c r="G510" s="9">
        <f t="shared" si="41"/>
        <v>81.75</v>
      </c>
      <c r="H510" s="8" t="s">
        <v>256</v>
      </c>
      <c r="I510" t="str">
        <f t="shared" si="40"/>
        <v>ME 160,ED1-METE</v>
      </c>
    </row>
    <row r="511" spans="1:10" x14ac:dyDescent="0.35">
      <c r="A511" s="11" t="s">
        <v>255</v>
      </c>
      <c r="B511" s="11" t="str">
        <v>LARGE SCALE SURVEYING</v>
      </c>
      <c r="C511" s="7" t="str">
        <v>Ayer John Wise Divine</v>
      </c>
      <c r="D511" s="11" t="s">
        <v>44</v>
      </c>
      <c r="E511" s="11">
        <v>103</v>
      </c>
      <c r="F511" s="12" t="s">
        <v>254</v>
      </c>
      <c r="G511" s="9">
        <f t="shared" si="41"/>
        <v>112.27000000000001</v>
      </c>
      <c r="H511" s="8" t="s">
        <v>253</v>
      </c>
      <c r="I511" t="str">
        <f t="shared" si="40"/>
        <v>GE 162,ED1-GEOM</v>
      </c>
      <c r="J511" s="27"/>
    </row>
    <row r="512" spans="1:10" x14ac:dyDescent="0.35">
      <c r="A512" s="11" t="s">
        <v>252</v>
      </c>
      <c r="B512" s="11" t="str">
        <v>ENERGY AND CLIMATE CHANGE</v>
      </c>
      <c r="C512" s="7" t="str">
        <v>Sokama-Neuyam Yen Adams</v>
      </c>
      <c r="D512" s="11" t="s">
        <v>112</v>
      </c>
      <c r="E512" s="11">
        <v>22</v>
      </c>
      <c r="F512" s="12" t="s">
        <v>245</v>
      </c>
      <c r="G512" s="9">
        <f t="shared" si="41"/>
        <v>23.98</v>
      </c>
      <c r="H512" s="8">
        <v>22</v>
      </c>
      <c r="I512" t="str">
        <f t="shared" si="40"/>
        <v>PE 476,ED4-PE</v>
      </c>
      <c r="J512" s="27"/>
    </row>
    <row r="513" spans="1:10" x14ac:dyDescent="0.35">
      <c r="D513" s="7" t="s">
        <v>251</v>
      </c>
      <c r="E513" s="50">
        <f>SUM(E497:E512)</f>
        <v>1604</v>
      </c>
      <c r="I513" t="str">
        <f t="shared" si="40"/>
        <v>,Total H5</v>
      </c>
      <c r="J513" s="27"/>
    </row>
    <row r="514" spans="1:10" x14ac:dyDescent="0.35">
      <c r="J514" s="27"/>
    </row>
    <row r="515" spans="1:10" x14ac:dyDescent="0.35">
      <c r="J515" s="27"/>
    </row>
    <row r="516" spans="1:10" x14ac:dyDescent="0.35">
      <c r="A516" s="82" t="s">
        <v>53</v>
      </c>
      <c r="B516" s="83"/>
      <c r="C516" s="83"/>
      <c r="D516" s="83"/>
      <c r="E516" s="83"/>
      <c r="F516" s="83"/>
      <c r="G516" s="84"/>
      <c r="H516" s="19"/>
      <c r="I516" t="str">
        <f t="shared" ref="I516:I547" si="42">CONCATENATE(A516,",",D516)</f>
        <v>Friday, 10 July 2026,</v>
      </c>
      <c r="J516" s="27"/>
    </row>
    <row r="517" spans="1:10" x14ac:dyDescent="0.35">
      <c r="A517" s="82" t="str">
        <f>[3]SESSIONS!$K$1</f>
        <v>Session, 1 (8:15 AM - 9:15 AM)</v>
      </c>
      <c r="B517" s="83"/>
      <c r="C517" s="83"/>
      <c r="D517" s="83"/>
      <c r="E517" s="83"/>
      <c r="F517" s="83"/>
      <c r="G517" s="84"/>
      <c r="H517" s="19"/>
      <c r="I517" t="str">
        <f t="shared" si="42"/>
        <v>Session, 1 (8:15 AM - 9:15 AM),</v>
      </c>
      <c r="J517" s="27"/>
    </row>
    <row r="518" spans="1:10" x14ac:dyDescent="0.35">
      <c r="A518" s="22" t="s">
        <v>52</v>
      </c>
      <c r="B518" s="22" t="s">
        <v>51</v>
      </c>
      <c r="C518" s="23" t="s">
        <v>50</v>
      </c>
      <c r="D518" s="22" t="s">
        <v>49</v>
      </c>
      <c r="E518" s="22" t="s">
        <v>48</v>
      </c>
      <c r="F518" s="21" t="s">
        <v>47</v>
      </c>
      <c r="G518" s="20" t="s">
        <v>46</v>
      </c>
      <c r="H518" s="19"/>
      <c r="I518" t="str">
        <f t="shared" si="42"/>
        <v>CODE ,CLASS</v>
      </c>
      <c r="J518" s="27"/>
    </row>
    <row r="519" spans="1:10" x14ac:dyDescent="0.35">
      <c r="A519" s="47" t="s">
        <v>250</v>
      </c>
      <c r="B519" s="11" t="str" cm="1">
        <f t="array" ref="B519:B533">IFERROR(VLOOKUP(I519:I533,[1]Lectures_1!A2:F535,2,FALSE),0)</f>
        <v>DIGITAL SIGNAL PROCESSING</v>
      </c>
      <c r="C519" s="7" t="str" cm="1">
        <f t="array" ref="C519:C533">IFERROR(VLOOKUP(I519:I533,[1]Lectures_1!A2:F535,3,FALSE),0)</f>
        <v>Akowuah Emmanuel Kofi</v>
      </c>
      <c r="D519" s="33" t="s">
        <v>249</v>
      </c>
      <c r="E519" s="11" cm="1">
        <f t="array" ref="E519:E533">IFERROR(VLOOKUP(I519:I533,[1]Lectures_1!A2:F535,4,FALSE),0)</f>
        <v>160</v>
      </c>
      <c r="F519" s="49" t="s">
        <v>225</v>
      </c>
      <c r="G519" s="9">
        <f t="shared" ref="G519:G533" si="43">E519*1.09</f>
        <v>174.4</v>
      </c>
      <c r="H519" s="8"/>
      <c r="I519" t="str">
        <f t="shared" si="42"/>
        <v>COE 472,ED4-COE</v>
      </c>
      <c r="J519" s="27"/>
    </row>
    <row r="520" spans="1:10" x14ac:dyDescent="0.35">
      <c r="A520" s="47" t="s">
        <v>248</v>
      </c>
      <c r="B520" s="11" t="str">
        <v>FINANCIAL ACCOUNTING II</v>
      </c>
      <c r="C520" s="7" t="str">
        <v>Yeboah Edward</v>
      </c>
      <c r="D520" s="33" t="s">
        <v>86</v>
      </c>
      <c r="E520" s="11">
        <v>65</v>
      </c>
      <c r="F520" s="46" t="s">
        <v>26</v>
      </c>
      <c r="G520" s="9">
        <f t="shared" si="43"/>
        <v>70.850000000000009</v>
      </c>
      <c r="H520" s="8">
        <v>65</v>
      </c>
      <c r="I520" t="str">
        <f t="shared" si="42"/>
        <v>ACF 256,ED2-COE</v>
      </c>
      <c r="J520" s="27"/>
    </row>
    <row r="521" spans="1:10" x14ac:dyDescent="0.35">
      <c r="A521" s="47" t="s">
        <v>248</v>
      </c>
      <c r="B521" s="11" t="str">
        <v>FINANCIAL ACCOUNTING II</v>
      </c>
      <c r="C521" s="7" t="str">
        <v>Yeboah Edward</v>
      </c>
      <c r="D521" s="33" t="s">
        <v>109</v>
      </c>
      <c r="E521" s="11">
        <v>40</v>
      </c>
      <c r="F521" s="46" t="s">
        <v>176</v>
      </c>
      <c r="G521" s="9">
        <f t="shared" si="43"/>
        <v>43.6</v>
      </c>
      <c r="H521" s="8">
        <v>40</v>
      </c>
      <c r="I521" t="str">
        <f t="shared" si="42"/>
        <v>ACF 256,ED2-TEL</v>
      </c>
      <c r="J521" s="27"/>
    </row>
    <row r="522" spans="1:10" x14ac:dyDescent="0.35">
      <c r="A522" s="47" t="s">
        <v>246</v>
      </c>
      <c r="B522" s="11" t="str">
        <v>FINANCIAL ACCOUNTING II</v>
      </c>
      <c r="C522" s="7" t="str">
        <v>Yeboah Edward</v>
      </c>
      <c r="D522" s="33" t="s">
        <v>90</v>
      </c>
      <c r="E522" s="11">
        <v>18</v>
      </c>
      <c r="F522" s="48">
        <v>304</v>
      </c>
      <c r="G522" s="9">
        <f t="shared" si="43"/>
        <v>19.62</v>
      </c>
      <c r="H522" s="8">
        <v>18</v>
      </c>
      <c r="I522" t="str">
        <f t="shared" si="42"/>
        <v>CSM 158,ED2-BME</v>
      </c>
      <c r="J522" s="27"/>
    </row>
    <row r="523" spans="1:10" x14ac:dyDescent="0.35">
      <c r="A523" s="47" t="s">
        <v>246</v>
      </c>
      <c r="B523" s="11" t="str">
        <v>ACCOUNTING II</v>
      </c>
      <c r="C523" s="7" t="str">
        <v>Beatrice Sarpong-Danquah</v>
      </c>
      <c r="D523" s="33" t="s">
        <v>104</v>
      </c>
      <c r="E523" s="11">
        <v>35</v>
      </c>
      <c r="F523" s="46" t="s">
        <v>247</v>
      </c>
      <c r="G523" s="9">
        <f t="shared" si="43"/>
        <v>38.150000000000006</v>
      </c>
      <c r="H523" s="8">
        <v>35</v>
      </c>
      <c r="I523" t="str">
        <f t="shared" si="42"/>
        <v>CSM 158,ED3-GEOM</v>
      </c>
      <c r="J523" s="27"/>
    </row>
    <row r="524" spans="1:10" x14ac:dyDescent="0.35">
      <c r="A524" s="47" t="s">
        <v>246</v>
      </c>
      <c r="B524" s="11" t="str">
        <v>PRINCIPLES OF ACCOUNTING II</v>
      </c>
      <c r="C524" s="7" t="str">
        <v>John Bosco Dramani</v>
      </c>
      <c r="D524" s="33" t="s">
        <v>99</v>
      </c>
      <c r="E524" s="11">
        <v>5</v>
      </c>
      <c r="F524" s="46" t="s">
        <v>245</v>
      </c>
      <c r="G524" s="9">
        <f t="shared" si="43"/>
        <v>5.45</v>
      </c>
      <c r="H524" s="8">
        <v>5</v>
      </c>
      <c r="I524" t="str">
        <f t="shared" si="42"/>
        <v>CSM 158,ED1-GEOL</v>
      </c>
      <c r="J524" s="27"/>
    </row>
    <row r="525" spans="1:10" x14ac:dyDescent="0.35">
      <c r="A525" s="11" t="s">
        <v>244</v>
      </c>
      <c r="B525" s="11" t="str">
        <v>PETROLEUM BUSINESS: STRUCTURES, LOGISTICS</v>
      </c>
      <c r="C525" s="7" t="str">
        <v>Quaye Jonathan Atuquaye</v>
      </c>
      <c r="D525" s="11" t="s">
        <v>112</v>
      </c>
      <c r="E525" s="11">
        <v>77</v>
      </c>
      <c r="F525" s="3" t="s">
        <v>28</v>
      </c>
      <c r="G525" s="9">
        <f t="shared" si="43"/>
        <v>83.93</v>
      </c>
      <c r="H525" s="8">
        <v>77</v>
      </c>
      <c r="I525" t="str">
        <f t="shared" si="42"/>
        <v>PE 468,ED4-PE</v>
      </c>
      <c r="J525" s="27"/>
    </row>
    <row r="526" spans="1:10" x14ac:dyDescent="0.35">
      <c r="A526" s="11" t="s">
        <v>242</v>
      </c>
      <c r="B526" s="11" t="str">
        <v>BASIC ELECTRONICS</v>
      </c>
      <c r="C526" s="7" t="str">
        <v>Addo Daniel Akwei</v>
      </c>
      <c r="D526" s="11" t="s">
        <v>18</v>
      </c>
      <c r="E526" s="11">
        <v>136</v>
      </c>
      <c r="F526" s="12" t="s">
        <v>198</v>
      </c>
      <c r="G526" s="9">
        <f t="shared" si="43"/>
        <v>148.24</v>
      </c>
      <c r="H526" s="8" t="s">
        <v>243</v>
      </c>
      <c r="I526" t="str">
        <f t="shared" si="42"/>
        <v>COE 152,ED1-BME</v>
      </c>
      <c r="J526" s="27"/>
    </row>
    <row r="527" spans="1:10" x14ac:dyDescent="0.35">
      <c r="A527" s="11" t="s">
        <v>242</v>
      </c>
      <c r="B527" s="11" t="str">
        <v>BASIC ELECTRONICS</v>
      </c>
      <c r="C527" s="7" t="str">
        <v>Klogo Griffith Selorm</v>
      </c>
      <c r="D527" s="11" t="s">
        <v>40</v>
      </c>
      <c r="E527" s="11">
        <v>262</v>
      </c>
      <c r="F527" s="45" t="s">
        <v>241</v>
      </c>
      <c r="G527" s="9">
        <f t="shared" si="43"/>
        <v>285.58000000000004</v>
      </c>
      <c r="H527" s="8" t="s">
        <v>38</v>
      </c>
      <c r="I527" t="str">
        <f t="shared" si="42"/>
        <v>COE 152,ED1-COE</v>
      </c>
      <c r="J527" s="27"/>
    </row>
    <row r="528" spans="1:10" x14ac:dyDescent="0.35">
      <c r="A528" s="11" t="s">
        <v>240</v>
      </c>
      <c r="B528" s="11" t="str">
        <v>POWER SYSTEMS ANALYSIS</v>
      </c>
      <c r="C528" s="7" t="str">
        <v>Twumasi Elvis</v>
      </c>
      <c r="D528" s="11" t="s">
        <v>151</v>
      </c>
      <c r="E528" s="11">
        <v>240</v>
      </c>
      <c r="F528" s="10" t="s">
        <v>163</v>
      </c>
      <c r="G528" s="9">
        <f t="shared" si="43"/>
        <v>261.60000000000002</v>
      </c>
      <c r="H528" s="8" t="s">
        <v>23</v>
      </c>
      <c r="I528" t="str">
        <f t="shared" si="42"/>
        <v>EE 368,ED3-EE</v>
      </c>
      <c r="J528" s="27"/>
    </row>
    <row r="529" spans="1:10" x14ac:dyDescent="0.35">
      <c r="A529" s="11" t="s">
        <v>239</v>
      </c>
      <c r="B529" s="11" t="str">
        <v>MINING PRINCIPLES AND SYSTEMS</v>
      </c>
      <c r="C529" s="7" t="str">
        <v>Owusu-Sarpong Seth</v>
      </c>
      <c r="D529" s="11" t="s">
        <v>140</v>
      </c>
      <c r="E529" s="11">
        <v>154</v>
      </c>
      <c r="F529" s="12" t="s">
        <v>85</v>
      </c>
      <c r="G529" s="9">
        <f t="shared" si="43"/>
        <v>167.86</v>
      </c>
      <c r="H529" s="8" t="s">
        <v>238</v>
      </c>
      <c r="I529" t="str">
        <f t="shared" si="42"/>
        <v>GED 342,ED3-GEOL</v>
      </c>
      <c r="J529" s="27"/>
    </row>
    <row r="530" spans="1:10" x14ac:dyDescent="0.35">
      <c r="A530" s="11" t="s">
        <v>237</v>
      </c>
      <c r="B530" s="11" t="str">
        <v>ENGINEERING RESEARCH AND TECHNICAL REPORT WRITING</v>
      </c>
      <c r="C530" s="7" t="str">
        <v>Obeng Kwakye Kingsford Sarkodie</v>
      </c>
      <c r="D530" s="11" t="s">
        <v>236</v>
      </c>
      <c r="E530" s="11">
        <v>130</v>
      </c>
      <c r="F530" s="3" t="s">
        <v>179</v>
      </c>
      <c r="G530" s="9">
        <f t="shared" si="43"/>
        <v>141.70000000000002</v>
      </c>
      <c r="H530" s="8" t="s">
        <v>233</v>
      </c>
      <c r="I530" t="str">
        <f t="shared" si="42"/>
        <v>TE 152,ED1-TEL</v>
      </c>
      <c r="J530" s="27"/>
    </row>
    <row r="531" spans="1:10" x14ac:dyDescent="0.35">
      <c r="A531" s="11" t="s">
        <v>235</v>
      </c>
      <c r="B531" s="11" t="str">
        <v>INTRODUCTION TO PETROLEUM ENGINEERING</v>
      </c>
      <c r="C531" s="7" t="str">
        <v>Erzuah Samuel</v>
      </c>
      <c r="D531" s="33" t="s">
        <v>234</v>
      </c>
      <c r="E531" s="11">
        <v>130</v>
      </c>
      <c r="F531" s="3" t="s">
        <v>179</v>
      </c>
      <c r="G531" s="9">
        <f t="shared" si="43"/>
        <v>141.70000000000002</v>
      </c>
      <c r="H531" s="8" t="s">
        <v>233</v>
      </c>
      <c r="I531" t="str">
        <f t="shared" si="42"/>
        <v>PE 154,ED1-PE</v>
      </c>
      <c r="J531" s="27"/>
    </row>
    <row r="532" spans="1:10" x14ac:dyDescent="0.35">
      <c r="A532" s="11" t="s">
        <v>230</v>
      </c>
      <c r="B532" s="11" t="str">
        <v>NUMERICAL METHODS FOR ENGINEERS</v>
      </c>
      <c r="C532" s="7" t="str">
        <v>Nartey Martinson Addo</v>
      </c>
      <c r="D532" s="11" t="s">
        <v>137</v>
      </c>
      <c r="E532" s="11">
        <v>85</v>
      </c>
      <c r="F532" s="12" t="s">
        <v>232</v>
      </c>
      <c r="G532" s="9">
        <f t="shared" si="43"/>
        <v>92.65</v>
      </c>
      <c r="H532" s="8" t="s">
        <v>231</v>
      </c>
      <c r="I532" t="str">
        <f t="shared" si="42"/>
        <v>MSE 358,ED3-MSE</v>
      </c>
      <c r="J532" s="27"/>
    </row>
    <row r="533" spans="1:10" ht="16.5" customHeight="1" x14ac:dyDescent="0.35">
      <c r="A533" s="11" t="s">
        <v>230</v>
      </c>
      <c r="B533" s="11" t="str">
        <v>NUMERICAL METHODS FOR ENGINEERS</v>
      </c>
      <c r="C533" s="7" t="str">
        <v>Nartey Martinson Addo</v>
      </c>
      <c r="D533" s="11" t="s">
        <v>229</v>
      </c>
      <c r="E533" s="11">
        <v>87</v>
      </c>
      <c r="F533" s="12" t="s">
        <v>228</v>
      </c>
      <c r="G533" s="9">
        <f t="shared" si="43"/>
        <v>94.830000000000013</v>
      </c>
      <c r="H533" s="8" t="s">
        <v>227</v>
      </c>
      <c r="I533" t="str">
        <f t="shared" si="42"/>
        <v>MSE 358,ED3-METE</v>
      </c>
      <c r="J533" s="27"/>
    </row>
    <row r="534" spans="1:10" x14ac:dyDescent="0.35">
      <c r="D534" s="7" t="s">
        <v>226</v>
      </c>
      <c r="E534" s="6">
        <f>SUM(E520:E533)</f>
        <v>1464</v>
      </c>
      <c r="I534" t="str">
        <f t="shared" si="42"/>
        <v>,Total F1</v>
      </c>
      <c r="J534" s="27"/>
    </row>
    <row r="535" spans="1:10" x14ac:dyDescent="0.35">
      <c r="I535" t="str">
        <f t="shared" si="42"/>
        <v>,</v>
      </c>
      <c r="J535" s="27"/>
    </row>
    <row r="536" spans="1:10" x14ac:dyDescent="0.35">
      <c r="I536" t="str">
        <f t="shared" si="42"/>
        <v>,</v>
      </c>
      <c r="J536" s="27"/>
    </row>
    <row r="537" spans="1:10" x14ac:dyDescent="0.35">
      <c r="A537" s="82" t="s">
        <v>53</v>
      </c>
      <c r="B537" s="83"/>
      <c r="C537" s="83"/>
      <c r="D537" s="83"/>
      <c r="E537" s="83"/>
      <c r="F537" s="83"/>
      <c r="G537" s="84"/>
      <c r="H537" s="19"/>
      <c r="I537" t="str">
        <f t="shared" si="42"/>
        <v>Friday, 10 July 2026,</v>
      </c>
      <c r="J537" s="27"/>
    </row>
    <row r="538" spans="1:10" x14ac:dyDescent="0.35">
      <c r="A538" s="82" t="str">
        <f>[3]SESSIONS!$K$2</f>
        <v>Session, 2 (10:00 AM - 11:00 AM)</v>
      </c>
      <c r="B538" s="83"/>
      <c r="C538" s="83"/>
      <c r="D538" s="83"/>
      <c r="E538" s="83"/>
      <c r="F538" s="83"/>
      <c r="G538" s="84"/>
      <c r="H538" s="19"/>
      <c r="I538" t="str">
        <f t="shared" si="42"/>
        <v>Session, 2 (10:00 AM - 11:00 AM),</v>
      </c>
      <c r="J538" s="27"/>
    </row>
    <row r="539" spans="1:10" x14ac:dyDescent="0.35">
      <c r="A539" s="22" t="s">
        <v>52</v>
      </c>
      <c r="B539" s="22" t="s">
        <v>51</v>
      </c>
      <c r="C539" s="31" t="s">
        <v>50</v>
      </c>
      <c r="D539" s="22" t="s">
        <v>49</v>
      </c>
      <c r="E539" s="22" t="s">
        <v>48</v>
      </c>
      <c r="F539" s="39" t="s">
        <v>47</v>
      </c>
      <c r="G539" s="20" t="s">
        <v>46</v>
      </c>
      <c r="H539" s="19"/>
      <c r="I539" t="str">
        <f t="shared" si="42"/>
        <v>CODE ,CLASS</v>
      </c>
      <c r="J539" s="27"/>
    </row>
    <row r="540" spans="1:10" x14ac:dyDescent="0.35">
      <c r="A540" s="11" t="s">
        <v>218</v>
      </c>
      <c r="B540" s="11" t="str" cm="1">
        <f t="array" ref="B540:B566">IFERROR(VLOOKUP(I540:I566,[1]Lectures_1!A2:F535,2,FALSE),0)</f>
        <v>CALCULUS WITH SEVERAL VARIABLES</v>
      </c>
      <c r="C540" s="7" t="str" cm="1">
        <f t="array" ref="C540:C566">IFERROR(VLOOKUP(I540:I566,[1]Lectures_1!A2:F535,3,FALSE),0)</f>
        <v>Eghan Rhydal Esi</v>
      </c>
      <c r="D540" s="11" t="s">
        <v>90</v>
      </c>
      <c r="E540" s="11" cm="1">
        <f t="array" ref="E540:E566">IFERROR(VLOOKUP(I540:I566,[1]Lectures_1!A2:F535,4,FALSE),0)</f>
        <v>80</v>
      </c>
      <c r="F540" s="85" t="s">
        <v>225</v>
      </c>
      <c r="G540" s="9">
        <f t="shared" ref="G540:G566" si="44">E540*1.09</f>
        <v>87.2</v>
      </c>
      <c r="H540" s="8"/>
      <c r="I540" t="str">
        <f t="shared" si="42"/>
        <v>MATH 252,ED2-BME</v>
      </c>
      <c r="J540" s="27"/>
    </row>
    <row r="541" spans="1:10" x14ac:dyDescent="0.35">
      <c r="A541" s="11" t="s">
        <v>218</v>
      </c>
      <c r="B541" s="11" t="str">
        <v>CALCULUS WITH SEVERAL VARIABLES</v>
      </c>
      <c r="C541" s="7" t="str">
        <v>Eghan Rhydal Esi</v>
      </c>
      <c r="D541" s="11" t="s">
        <v>67</v>
      </c>
      <c r="E541" s="11">
        <v>82</v>
      </c>
      <c r="F541" s="86"/>
      <c r="G541" s="9">
        <f t="shared" si="44"/>
        <v>89.38000000000001</v>
      </c>
      <c r="H541" s="8"/>
      <c r="I541" t="str">
        <f t="shared" si="42"/>
        <v>MATH 252,ED2-AUTO</v>
      </c>
    </row>
    <row r="542" spans="1:10" x14ac:dyDescent="0.35">
      <c r="A542" s="11" t="s">
        <v>218</v>
      </c>
      <c r="B542" s="11" t="str">
        <v>CALCULUS OF SEVERAL VARIABLES</v>
      </c>
      <c r="C542" s="7" t="str">
        <v>Eghan Rhydal Esi</v>
      </c>
      <c r="D542" s="11" t="s">
        <v>36</v>
      </c>
      <c r="E542" s="11">
        <v>65</v>
      </c>
      <c r="F542" s="86"/>
      <c r="G542" s="9">
        <f t="shared" si="44"/>
        <v>70.850000000000009</v>
      </c>
      <c r="H542" s="8"/>
      <c r="I542" t="str">
        <f t="shared" si="42"/>
        <v>MATH 252,ED2-PCE</v>
      </c>
    </row>
    <row r="543" spans="1:10" x14ac:dyDescent="0.35">
      <c r="A543" s="11" t="s">
        <v>218</v>
      </c>
      <c r="B543" s="11" t="str">
        <v>CALCULUS OF SEVERAL VARIABLES</v>
      </c>
      <c r="C543" s="7" t="str">
        <v>Eghan Rhydal Esi</v>
      </c>
      <c r="D543" s="11" t="s">
        <v>224</v>
      </c>
      <c r="E543" s="11">
        <v>95</v>
      </c>
      <c r="F543" s="86"/>
      <c r="G543" s="9">
        <f t="shared" si="44"/>
        <v>103.55000000000001</v>
      </c>
      <c r="H543" s="8"/>
      <c r="I543" t="str">
        <f t="shared" si="42"/>
        <v>MATH 252,ED2-PE</v>
      </c>
      <c r="J543" s="27"/>
    </row>
    <row r="544" spans="1:10" x14ac:dyDescent="0.35">
      <c r="A544" s="11" t="s">
        <v>218</v>
      </c>
      <c r="B544" s="11" t="str">
        <v>CALCULUS WITH SEVERAL VARIABLES</v>
      </c>
      <c r="C544" s="7" t="str">
        <v>Asamoah Joshua Kiddy Kwasi</v>
      </c>
      <c r="D544" s="11" t="s">
        <v>223</v>
      </c>
      <c r="E544" s="11">
        <v>83</v>
      </c>
      <c r="F544" s="86"/>
      <c r="G544" s="9">
        <f t="shared" si="44"/>
        <v>90.470000000000013</v>
      </c>
      <c r="H544" s="8"/>
      <c r="I544" t="str">
        <f t="shared" si="42"/>
        <v>MATH 252,ED2-MSE</v>
      </c>
      <c r="J544" s="27"/>
    </row>
    <row r="545" spans="1:10" x14ac:dyDescent="0.35">
      <c r="A545" s="11" t="s">
        <v>218</v>
      </c>
      <c r="B545" s="11" t="str">
        <v>CALCULUS WITH SEVERAL VARIABLES</v>
      </c>
      <c r="C545" s="7" t="str">
        <v>Asamoah Joshua Kiddy Kwasi</v>
      </c>
      <c r="D545" s="11" t="s">
        <v>75</v>
      </c>
      <c r="E545" s="11">
        <v>57</v>
      </c>
      <c r="F545" s="86"/>
      <c r="G545" s="9">
        <f t="shared" si="44"/>
        <v>62.13</v>
      </c>
      <c r="H545" s="8"/>
      <c r="I545" t="str">
        <f t="shared" si="42"/>
        <v>MATH 252,ED2-METE</v>
      </c>
      <c r="J545" s="27"/>
    </row>
    <row r="546" spans="1:10" x14ac:dyDescent="0.35">
      <c r="A546" s="11" t="s">
        <v>218</v>
      </c>
      <c r="B546" s="11" t="str">
        <v>CALCULUS WITH SEVERAL VARIABLES</v>
      </c>
      <c r="C546" s="7" t="str">
        <v>Wireko Fredrick Asenso</v>
      </c>
      <c r="D546" s="11" t="s">
        <v>21</v>
      </c>
      <c r="E546" s="11">
        <v>75</v>
      </c>
      <c r="F546" s="86"/>
      <c r="G546" s="9">
        <f t="shared" si="44"/>
        <v>81.75</v>
      </c>
      <c r="H546" s="8"/>
      <c r="I546" t="str">
        <f t="shared" si="42"/>
        <v>MATH 252,ED2-AERO</v>
      </c>
      <c r="J546" s="27"/>
    </row>
    <row r="547" spans="1:10" x14ac:dyDescent="0.35">
      <c r="A547" s="11" t="s">
        <v>218</v>
      </c>
      <c r="B547" s="11" t="str">
        <v>CALCULUS WITH SEVERAL VARIABLES</v>
      </c>
      <c r="C547" s="7" t="str">
        <v>Wireko Fredrick Asenso</v>
      </c>
      <c r="D547" s="11" t="s">
        <v>27</v>
      </c>
      <c r="E547" s="11">
        <v>80</v>
      </c>
      <c r="F547" s="86"/>
      <c r="G547" s="9">
        <f t="shared" si="44"/>
        <v>87.2</v>
      </c>
      <c r="H547" s="8"/>
      <c r="I547" t="str">
        <f t="shared" si="42"/>
        <v>MATH 252,ED2-IND</v>
      </c>
      <c r="J547" s="44"/>
    </row>
    <row r="548" spans="1:10" x14ac:dyDescent="0.35">
      <c r="A548" s="11" t="s">
        <v>218</v>
      </c>
      <c r="B548" s="11" t="str">
        <v>CALCULUS WITH SEVERAL VARIABLES</v>
      </c>
      <c r="C548" s="7" t="str">
        <v>Wireko Fredrick Asenso</v>
      </c>
      <c r="D548" s="11" t="s">
        <v>109</v>
      </c>
      <c r="E548" s="11">
        <v>175</v>
      </c>
      <c r="F548" s="86"/>
      <c r="G548" s="9">
        <f t="shared" si="44"/>
        <v>190.75</v>
      </c>
      <c r="H548" s="8"/>
      <c r="I548" t="str">
        <f t="shared" ref="I548:I579" si="45">CONCATENATE(A548,",",D548)</f>
        <v>MATH 252,ED2-TEL</v>
      </c>
      <c r="J548" s="27"/>
    </row>
    <row r="549" spans="1:10" x14ac:dyDescent="0.35">
      <c r="A549" s="11" t="s">
        <v>218</v>
      </c>
      <c r="B549" s="11" t="str">
        <v>ANALYSIS IV</v>
      </c>
      <c r="C549" s="7" t="str">
        <v>Wireko Fredrick Asenso</v>
      </c>
      <c r="D549" s="11" t="s">
        <v>11</v>
      </c>
      <c r="E549" s="11">
        <v>150</v>
      </c>
      <c r="F549" s="86"/>
      <c r="G549" s="9">
        <f t="shared" si="44"/>
        <v>163.5</v>
      </c>
      <c r="H549" s="8"/>
      <c r="I549" t="str">
        <f t="shared" si="45"/>
        <v>MATH 252,ED2-GEOL</v>
      </c>
      <c r="J549" s="27"/>
    </row>
    <row r="550" spans="1:10" x14ac:dyDescent="0.35">
      <c r="A550" s="11" t="s">
        <v>218</v>
      </c>
      <c r="B550" s="11" t="str">
        <v>CALCULUS WITH SEVERAL VARIABLES</v>
      </c>
      <c r="C550" s="7" t="str">
        <v>Reindorf Nartey Borkor</v>
      </c>
      <c r="D550" s="11" t="s">
        <v>15</v>
      </c>
      <c r="E550" s="11">
        <v>250</v>
      </c>
      <c r="F550" s="86"/>
      <c r="G550" s="9">
        <f t="shared" si="44"/>
        <v>272.5</v>
      </c>
      <c r="H550" s="8"/>
      <c r="I550" t="str">
        <f t="shared" si="45"/>
        <v>MATH 252,ED2-CE</v>
      </c>
      <c r="J550" s="44"/>
    </row>
    <row r="551" spans="1:10" x14ac:dyDescent="0.35">
      <c r="A551" s="11" t="s">
        <v>218</v>
      </c>
      <c r="B551" s="11" t="str">
        <v>CALCULUS WITH SEVERAL VARIABLES</v>
      </c>
      <c r="C551" s="7" t="str">
        <v>Wireko Fredrick Asenso</v>
      </c>
      <c r="D551" s="11" t="s">
        <v>222</v>
      </c>
      <c r="E551" s="11">
        <v>155</v>
      </c>
      <c r="F551" s="86"/>
      <c r="G551" s="9">
        <f t="shared" si="44"/>
        <v>168.95000000000002</v>
      </c>
      <c r="H551" s="8"/>
      <c r="I551" t="str">
        <f t="shared" si="45"/>
        <v>MATH 252,ED2-AE</v>
      </c>
      <c r="J551" s="27"/>
    </row>
    <row r="552" spans="1:10" x14ac:dyDescent="0.35">
      <c r="A552" s="11" t="s">
        <v>218</v>
      </c>
      <c r="B552" s="11" t="str">
        <v>CALCULUS WITH SEVERAL VARIABLES</v>
      </c>
      <c r="C552" s="7" t="str">
        <v>Wireko Fredrick Asenso</v>
      </c>
      <c r="D552" s="11" t="s">
        <v>86</v>
      </c>
      <c r="E552" s="11">
        <v>255</v>
      </c>
      <c r="F552" s="86"/>
      <c r="G552" s="9">
        <f t="shared" si="44"/>
        <v>277.95000000000005</v>
      </c>
      <c r="H552" s="8"/>
      <c r="I552" t="str">
        <f t="shared" si="45"/>
        <v>MATH 252,ED2-COE</v>
      </c>
      <c r="J552" s="27"/>
    </row>
    <row r="553" spans="1:10" x14ac:dyDescent="0.35">
      <c r="A553" s="11" t="s">
        <v>218</v>
      </c>
      <c r="B553" s="11" t="str">
        <v>CALCULUS WITH SEVERAL VARIABLES</v>
      </c>
      <c r="C553" s="7" t="str">
        <v>Asamoah Joshua Kiddy Kwasi</v>
      </c>
      <c r="D553" s="11" t="s">
        <v>83</v>
      </c>
      <c r="E553" s="11">
        <v>132</v>
      </c>
      <c r="F553" s="12" t="s">
        <v>82</v>
      </c>
      <c r="G553" s="9">
        <f t="shared" si="44"/>
        <v>143.88000000000002</v>
      </c>
      <c r="H553" s="8" t="s">
        <v>221</v>
      </c>
      <c r="I553" t="str">
        <f t="shared" si="45"/>
        <v>MATH 252,ED2-GEOM</v>
      </c>
      <c r="J553" s="27"/>
    </row>
    <row r="554" spans="1:10" x14ac:dyDescent="0.35">
      <c r="A554" s="11" t="s">
        <v>218</v>
      </c>
      <c r="B554" s="11" t="str">
        <v>CALCULUS WITH SEVERAL VARIABLES</v>
      </c>
      <c r="C554" s="7" t="str">
        <v>Boateng Maxwell Akwasi</v>
      </c>
      <c r="D554" s="11" t="s">
        <v>220</v>
      </c>
      <c r="E554" s="11">
        <v>37</v>
      </c>
      <c r="F554" s="12" t="s">
        <v>192</v>
      </c>
      <c r="G554" s="9">
        <f t="shared" si="44"/>
        <v>40.330000000000005</v>
      </c>
      <c r="H554" s="8" t="s">
        <v>219</v>
      </c>
      <c r="I554" t="str">
        <f t="shared" si="45"/>
        <v>MATH 252,ED2-MARI</v>
      </c>
      <c r="J554" s="27"/>
    </row>
    <row r="555" spans="1:10" x14ac:dyDescent="0.35">
      <c r="A555" s="11" t="s">
        <v>218</v>
      </c>
      <c r="B555" s="11" t="str">
        <v>CALCULUS WITH SEVERAL VARIABLES</v>
      </c>
      <c r="C555" s="7" t="str">
        <v>Boateng Maxwell Akwasi</v>
      </c>
      <c r="D555" s="11" t="s">
        <v>25</v>
      </c>
      <c r="E555" s="11">
        <v>240</v>
      </c>
      <c r="F555" s="12" t="s">
        <v>163</v>
      </c>
      <c r="G555" s="9">
        <f t="shared" si="44"/>
        <v>261.60000000000002</v>
      </c>
      <c r="H555" s="8" t="s">
        <v>23</v>
      </c>
      <c r="I555" t="str">
        <f t="shared" si="45"/>
        <v>MATH 252,ED2-ME</v>
      </c>
      <c r="J555" s="27"/>
    </row>
    <row r="556" spans="1:10" x14ac:dyDescent="0.35">
      <c r="A556" s="11" t="s">
        <v>217</v>
      </c>
      <c r="B556" s="11" t="str">
        <v>AC MACHINES</v>
      </c>
      <c r="C556" s="7" t="str">
        <v>Asigri Peter</v>
      </c>
      <c r="D556" s="11" t="s">
        <v>102</v>
      </c>
      <c r="E556" s="11">
        <v>340</v>
      </c>
      <c r="F556" s="10" t="s">
        <v>216</v>
      </c>
      <c r="G556" s="9">
        <f t="shared" si="44"/>
        <v>370.6</v>
      </c>
      <c r="H556" s="8" t="s">
        <v>215</v>
      </c>
      <c r="I556" t="str">
        <f t="shared" si="45"/>
        <v>EE 262,ED2-EE</v>
      </c>
      <c r="J556" s="27"/>
    </row>
    <row r="557" spans="1:10" x14ac:dyDescent="0.35">
      <c r="A557" s="11" t="s">
        <v>214</v>
      </c>
      <c r="B557" s="11" t="str">
        <v>LAND VEHICLE STRUCTURES</v>
      </c>
      <c r="C557" s="7" t="str">
        <v>Ayetor Godwin Kafui Kwesi</v>
      </c>
      <c r="D557" s="11" t="s">
        <v>64</v>
      </c>
      <c r="E557" s="11">
        <v>40</v>
      </c>
      <c r="F557" s="40" t="s">
        <v>213</v>
      </c>
      <c r="G557" s="9">
        <f t="shared" si="44"/>
        <v>43.6</v>
      </c>
      <c r="H557" s="8" t="s">
        <v>212</v>
      </c>
      <c r="I557" t="str">
        <f t="shared" si="45"/>
        <v>AME 356,ED3-AUTO</v>
      </c>
      <c r="J557" s="27"/>
    </row>
    <row r="558" spans="1:10" x14ac:dyDescent="0.35">
      <c r="A558" s="11" t="s">
        <v>211</v>
      </c>
      <c r="B558" s="11" t="str">
        <v>DRILLING ENGINEERING II</v>
      </c>
      <c r="C558" s="7" t="str">
        <v>Erzuah Samuel</v>
      </c>
      <c r="D558" s="11" t="s">
        <v>57</v>
      </c>
      <c r="E558" s="11">
        <v>80</v>
      </c>
      <c r="F558" s="12" t="s">
        <v>26</v>
      </c>
      <c r="G558" s="9">
        <f t="shared" si="44"/>
        <v>87.2</v>
      </c>
      <c r="H558" s="8">
        <v>80</v>
      </c>
      <c r="I558" t="str">
        <f t="shared" si="45"/>
        <v>PE 354,ED3-PE</v>
      </c>
      <c r="J558" s="27"/>
    </row>
    <row r="559" spans="1:10" x14ac:dyDescent="0.35">
      <c r="A559" s="11" t="s">
        <v>210</v>
      </c>
      <c r="B559" s="11" t="str">
        <v>AIRCRAFT PERFORMANCE AND DESIGN</v>
      </c>
      <c r="C559" s="7" t="str">
        <v>Agyei Agyemang Anthony</v>
      </c>
      <c r="D559" s="11" t="s">
        <v>29</v>
      </c>
      <c r="E559" s="11">
        <v>76</v>
      </c>
      <c r="F559" s="10" t="s">
        <v>209</v>
      </c>
      <c r="G559" s="9">
        <f t="shared" si="44"/>
        <v>82.84</v>
      </c>
      <c r="H559" s="8" t="s">
        <v>208</v>
      </c>
      <c r="I559" t="str">
        <f t="shared" si="45"/>
        <v>AERO 374,ED3-AERO</v>
      </c>
    </row>
    <row r="560" spans="1:10" x14ac:dyDescent="0.35">
      <c r="A560" s="11" t="s">
        <v>207</v>
      </c>
      <c r="B560" s="11" t="str">
        <v>MODERN AUTOMOBILE TECHNOLOGY</v>
      </c>
      <c r="C560" s="7" t="str">
        <v>Ayetor Godwin Kafui Kwesi</v>
      </c>
      <c r="D560" s="33" t="s">
        <v>206</v>
      </c>
      <c r="E560" s="11">
        <v>32</v>
      </c>
      <c r="F560" s="12" t="s">
        <v>28</v>
      </c>
      <c r="G560" s="9">
        <f t="shared" si="44"/>
        <v>34.880000000000003</v>
      </c>
      <c r="H560" s="8" t="s">
        <v>205</v>
      </c>
      <c r="I560" t="str">
        <f t="shared" si="45"/>
        <v>AME 476,ED4-AUTO</v>
      </c>
      <c r="J560" s="27"/>
    </row>
    <row r="561" spans="1:10" x14ac:dyDescent="0.35">
      <c r="A561" s="11" t="s">
        <v>204</v>
      </c>
      <c r="B561" s="11" t="str">
        <v>SATELLITE COMMUNICATION AND NAVIGATION SYSTEMS</v>
      </c>
      <c r="C561" s="7" t="str">
        <v>Gadze James Dzisi</v>
      </c>
      <c r="D561" s="33" t="s">
        <v>203</v>
      </c>
      <c r="E561" s="11">
        <v>138</v>
      </c>
      <c r="F561" s="12" t="s">
        <v>28</v>
      </c>
      <c r="G561" s="9">
        <f t="shared" si="44"/>
        <v>150.42000000000002</v>
      </c>
      <c r="H561" s="8">
        <v>138</v>
      </c>
      <c r="I561" t="str">
        <f t="shared" si="45"/>
        <v>TE 456,ED4-TEL</v>
      </c>
      <c r="J561" s="27"/>
    </row>
    <row r="562" spans="1:10" x14ac:dyDescent="0.35">
      <c r="A562" s="11" t="s">
        <v>202</v>
      </c>
      <c r="B562" s="11" t="str">
        <v>CROP STORAGE AND STORAGE STRUCTURES</v>
      </c>
      <c r="C562" s="7" t="str">
        <v>Bart Plange Ato</v>
      </c>
      <c r="D562" s="11" t="s">
        <v>201</v>
      </c>
      <c r="E562" s="11">
        <v>103</v>
      </c>
      <c r="F562" s="18" t="s">
        <v>188</v>
      </c>
      <c r="G562" s="9">
        <f t="shared" si="44"/>
        <v>112.27000000000001</v>
      </c>
      <c r="H562" s="8" t="s">
        <v>187</v>
      </c>
      <c r="I562" t="str">
        <f t="shared" si="45"/>
        <v>AE 464,ED4-AE</v>
      </c>
      <c r="J562" s="27"/>
    </row>
    <row r="563" spans="1:10" x14ac:dyDescent="0.35">
      <c r="A563" s="11" t="s">
        <v>200</v>
      </c>
      <c r="B563" s="11" t="str">
        <v>ENGINEERING PROJECT DESIGN AND MANAGEMENT</v>
      </c>
      <c r="C563" s="7" t="str">
        <v>Agyekum Kwame Agyeman-Prempeh</v>
      </c>
      <c r="D563" s="11" t="s">
        <v>199</v>
      </c>
      <c r="E563" s="11">
        <v>140</v>
      </c>
      <c r="F563" s="12" t="s">
        <v>198</v>
      </c>
      <c r="G563" s="9">
        <f t="shared" si="44"/>
        <v>152.60000000000002</v>
      </c>
      <c r="H563" s="8" t="s">
        <v>197</v>
      </c>
      <c r="I563" t="str">
        <f t="shared" si="45"/>
        <v>TE 372,ED3-TEL</v>
      </c>
      <c r="J563" s="27"/>
    </row>
    <row r="564" spans="1:10" x14ac:dyDescent="0.35">
      <c r="A564" s="11" t="s">
        <v>196</v>
      </c>
      <c r="B564" s="11" t="str">
        <v>SHIP SAFETY, ENVIRONMENTAL PROTECTION AND SAFE WATCH KEEPING</v>
      </c>
      <c r="C564" s="7" t="str">
        <v>Larkai Francis Laako</v>
      </c>
      <c r="D564" s="11" t="s">
        <v>195</v>
      </c>
      <c r="E564" s="11">
        <v>23</v>
      </c>
      <c r="F564" s="10" t="s">
        <v>194</v>
      </c>
      <c r="G564" s="9">
        <f t="shared" si="44"/>
        <v>25.07</v>
      </c>
      <c r="H564" s="8">
        <v>23</v>
      </c>
      <c r="I564" t="str">
        <f t="shared" si="45"/>
        <v>MME 486,ED4-MARI</v>
      </c>
      <c r="J564" s="27"/>
    </row>
    <row r="565" spans="1:10" x14ac:dyDescent="0.35">
      <c r="A565" s="11" t="s">
        <v>193</v>
      </c>
      <c r="B565" s="11" t="str">
        <v>INTERNAL COMBUSTION ENGINES</v>
      </c>
      <c r="C565" s="7" t="str">
        <v>Forson Francis Kofi</v>
      </c>
      <c r="D565" s="11" t="s">
        <v>71</v>
      </c>
      <c r="E565" s="11">
        <v>5</v>
      </c>
      <c r="F565" s="12" t="s">
        <v>132</v>
      </c>
      <c r="G565" s="9">
        <f t="shared" si="44"/>
        <v>5.45</v>
      </c>
      <c r="H565" s="8">
        <v>5</v>
      </c>
      <c r="I565" t="str">
        <f t="shared" si="45"/>
        <v>ME 468,ED4-AERO</v>
      </c>
      <c r="J565" s="27"/>
    </row>
    <row r="566" spans="1:10" x14ac:dyDescent="0.35">
      <c r="A566" s="11" t="s">
        <v>193</v>
      </c>
      <c r="B566" s="11" t="str">
        <v>INTERNAL COMBUSTION ENGINES</v>
      </c>
      <c r="C566" s="7" t="str">
        <v>Forson Francis Kofi</v>
      </c>
      <c r="D566" s="11" t="s">
        <v>79</v>
      </c>
      <c r="E566" s="11">
        <v>40</v>
      </c>
      <c r="F566" s="12" t="s">
        <v>192</v>
      </c>
      <c r="G566" s="9">
        <f t="shared" si="44"/>
        <v>43.6</v>
      </c>
      <c r="H566" s="8">
        <v>40</v>
      </c>
      <c r="I566" t="str">
        <f t="shared" si="45"/>
        <v>ME 468,ED4-ME</v>
      </c>
      <c r="J566" s="27"/>
    </row>
    <row r="567" spans="1:10" x14ac:dyDescent="0.35">
      <c r="D567" s="7" t="s">
        <v>191</v>
      </c>
      <c r="E567" s="6">
        <f>SUM(E553:E566)</f>
        <v>1426</v>
      </c>
      <c r="I567" t="str">
        <f t="shared" si="45"/>
        <v>,Total F2</v>
      </c>
      <c r="J567" s="27"/>
    </row>
    <row r="568" spans="1:10" x14ac:dyDescent="0.35">
      <c r="I568" t="str">
        <f t="shared" si="45"/>
        <v>,</v>
      </c>
      <c r="J568" s="27"/>
    </row>
    <row r="569" spans="1:10" x14ac:dyDescent="0.35">
      <c r="I569" t="str">
        <f t="shared" si="45"/>
        <v>,</v>
      </c>
      <c r="J569" s="27"/>
    </row>
    <row r="570" spans="1:10" x14ac:dyDescent="0.35">
      <c r="A570" s="82" t="s">
        <v>53</v>
      </c>
      <c r="B570" s="83"/>
      <c r="C570" s="83"/>
      <c r="D570" s="83"/>
      <c r="E570" s="83"/>
      <c r="F570" s="83"/>
      <c r="G570" s="84"/>
      <c r="H570" s="19"/>
      <c r="I570" t="str">
        <f t="shared" si="45"/>
        <v>Friday, 10 July 2026,</v>
      </c>
      <c r="J570" s="27"/>
    </row>
    <row r="571" spans="1:10" x14ac:dyDescent="0.35">
      <c r="A571" s="82" t="str">
        <f>[3]SESSIONS!$K$3</f>
        <v>Session, 3 (11:45 AM - 12:45 PM)</v>
      </c>
      <c r="B571" s="83"/>
      <c r="C571" s="83"/>
      <c r="D571" s="83"/>
      <c r="E571" s="83"/>
      <c r="F571" s="83"/>
      <c r="G571" s="84"/>
      <c r="H571" s="19"/>
      <c r="I571" t="str">
        <f t="shared" si="45"/>
        <v>Session, 3 (11:45 AM - 12:45 PM),</v>
      </c>
      <c r="J571" s="27"/>
    </row>
    <row r="572" spans="1:10" x14ac:dyDescent="0.35">
      <c r="A572" s="22" t="s">
        <v>52</v>
      </c>
      <c r="B572" s="22" t="s">
        <v>51</v>
      </c>
      <c r="C572" s="23" t="s">
        <v>50</v>
      </c>
      <c r="D572" s="22" t="s">
        <v>49</v>
      </c>
      <c r="E572" s="22" t="s">
        <v>48</v>
      </c>
      <c r="F572" s="21" t="s">
        <v>47</v>
      </c>
      <c r="G572" s="20" t="s">
        <v>46</v>
      </c>
      <c r="H572" s="19"/>
      <c r="I572" t="str">
        <f t="shared" si="45"/>
        <v>CODE ,CLASS</v>
      </c>
      <c r="J572" s="27"/>
    </row>
    <row r="573" spans="1:10" x14ac:dyDescent="0.35">
      <c r="A573" s="11" t="s">
        <v>190</v>
      </c>
      <c r="B573" s="11" t="str" cm="1">
        <f t="array" ref="B573:B583">IFERROR(VLOOKUP(I573:I583,[1]Lectures_1!A2:F535,2,FALSE),0)</f>
        <v>RESEARCH METHODS FOR ENGINEERS</v>
      </c>
      <c r="C573" s="7" t="str" cm="1">
        <f t="array" ref="C573:C583">IFERROR(VLOOKUP(I573:I583,[1]Lectures_1!A2:F535,3,FALSE),0)</f>
        <v>Amponsah William</v>
      </c>
      <c r="D573" s="11" t="s">
        <v>189</v>
      </c>
      <c r="E573" s="11" cm="1">
        <f t="array" ref="E573:E583">IFERROR(VLOOKUP(I573:I583,[1]Lectures_1!A2:F535,4,FALSE),0)</f>
        <v>101</v>
      </c>
      <c r="F573" s="12" t="s">
        <v>188</v>
      </c>
      <c r="G573" s="9">
        <f t="shared" ref="G573:G583" si="46">E573*1.09</f>
        <v>110.09</v>
      </c>
      <c r="H573" s="8" t="s">
        <v>187</v>
      </c>
      <c r="I573" t="str">
        <f t="shared" si="45"/>
        <v>AE 362,ED3-AE</v>
      </c>
      <c r="J573" s="27"/>
    </row>
    <row r="574" spans="1:10" x14ac:dyDescent="0.35">
      <c r="A574" s="11" t="s">
        <v>186</v>
      </c>
      <c r="B574" s="11" t="str">
        <v>TRANSPORTATION ENGINEERING</v>
      </c>
      <c r="C574" s="7" t="str">
        <v>Tuffour Yaw Adubofour</v>
      </c>
      <c r="D574" s="11" t="s">
        <v>7</v>
      </c>
      <c r="E574" s="42">
        <v>150</v>
      </c>
      <c r="F574" s="43" t="s">
        <v>85</v>
      </c>
      <c r="G574" s="9">
        <f t="shared" si="46"/>
        <v>163.5</v>
      </c>
      <c r="H574" s="8" t="s">
        <v>185</v>
      </c>
      <c r="I574" t="str">
        <f t="shared" si="45"/>
        <v>CE 468,ED4-CE</v>
      </c>
      <c r="J574" s="27"/>
    </row>
    <row r="575" spans="1:10" x14ac:dyDescent="0.35">
      <c r="A575" s="11" t="s">
        <v>184</v>
      </c>
      <c r="B575" s="11" t="str">
        <v>PRINCIPLES OF VALUATION OF LAND AND BUILDING</v>
      </c>
      <c r="C575" s="7" t="str">
        <v>Ayitey Jonathan</v>
      </c>
      <c r="D575" s="11" t="s">
        <v>183</v>
      </c>
      <c r="E575" s="11">
        <v>93</v>
      </c>
      <c r="F575" s="12" t="s">
        <v>98</v>
      </c>
      <c r="G575" s="9">
        <f t="shared" si="46"/>
        <v>101.37</v>
      </c>
      <c r="H575" s="8" t="s">
        <v>182</v>
      </c>
      <c r="I575" t="str">
        <f t="shared" si="45"/>
        <v>GE 474,ED4-GEOM</v>
      </c>
      <c r="J575" s="27"/>
    </row>
    <row r="576" spans="1:10" x14ac:dyDescent="0.35">
      <c r="A576" s="11" t="s">
        <v>181</v>
      </c>
      <c r="B576" s="11" t="str">
        <v>BASIC AGRICULTURE</v>
      </c>
      <c r="C576" s="7" t="str">
        <v>Bessah Enoch</v>
      </c>
      <c r="D576" s="11" t="s">
        <v>180</v>
      </c>
      <c r="E576" s="11">
        <v>128</v>
      </c>
      <c r="F576" s="12" t="s">
        <v>179</v>
      </c>
      <c r="G576" s="9">
        <f t="shared" si="46"/>
        <v>139.52000000000001</v>
      </c>
      <c r="H576" s="8" t="s">
        <v>178</v>
      </c>
      <c r="I576" t="str">
        <f t="shared" si="45"/>
        <v>AE 162,ED1-AE</v>
      </c>
      <c r="J576" s="27"/>
    </row>
    <row r="577" spans="1:10" x14ac:dyDescent="0.35">
      <c r="A577" s="11" t="s">
        <v>177</v>
      </c>
      <c r="B577" s="11" t="str">
        <v>PETROLEUM PRODUCTION ENGINEERING</v>
      </c>
      <c r="C577" s="7" t="str">
        <v>Ankudey Emmanuel Godwin</v>
      </c>
      <c r="D577" s="11" t="s">
        <v>32</v>
      </c>
      <c r="E577" s="42">
        <v>53</v>
      </c>
      <c r="F577" s="41" t="s">
        <v>176</v>
      </c>
      <c r="G577" s="9">
        <f t="shared" si="46"/>
        <v>57.77</v>
      </c>
      <c r="H577" s="8">
        <v>53</v>
      </c>
      <c r="I577" t="str">
        <f t="shared" si="45"/>
        <v>PETE 354,ED3-PCE</v>
      </c>
      <c r="J577" s="27"/>
    </row>
    <row r="578" spans="1:10" x14ac:dyDescent="0.35">
      <c r="A578" s="11" t="s">
        <v>175</v>
      </c>
      <c r="B578" s="11" t="str">
        <v>BIOINSTRUMENTATION I</v>
      </c>
      <c r="C578" s="7" t="str">
        <v>Acquah Isaac</v>
      </c>
      <c r="D578" s="11" t="s">
        <v>174</v>
      </c>
      <c r="E578" s="11">
        <v>90</v>
      </c>
      <c r="F578" s="12" t="s">
        <v>173</v>
      </c>
      <c r="G578" s="9">
        <f t="shared" si="46"/>
        <v>98.100000000000009</v>
      </c>
      <c r="H578" s="8" t="s">
        <v>172</v>
      </c>
      <c r="I578" t="str">
        <f t="shared" si="45"/>
        <v>BME 372,ED3-BME</v>
      </c>
      <c r="J578" s="27"/>
    </row>
    <row r="579" spans="1:10" x14ac:dyDescent="0.35">
      <c r="A579" s="11" t="s">
        <v>171</v>
      </c>
      <c r="B579" s="11" t="str">
        <v>QUALITY ASSURANCE</v>
      </c>
      <c r="C579" s="7" t="str">
        <v>Sackey Samuel Mensah</v>
      </c>
      <c r="D579" s="11" t="s">
        <v>170</v>
      </c>
      <c r="E579" s="11">
        <v>70</v>
      </c>
      <c r="F579" s="10" t="s">
        <v>56</v>
      </c>
      <c r="G579" s="9">
        <f t="shared" si="46"/>
        <v>76.300000000000011</v>
      </c>
      <c r="H579" s="8" t="s">
        <v>169</v>
      </c>
      <c r="I579" t="str">
        <f t="shared" si="45"/>
        <v>IE 360,ED3-IND</v>
      </c>
    </row>
    <row r="580" spans="1:10" x14ac:dyDescent="0.35">
      <c r="A580" s="11" t="s">
        <v>168</v>
      </c>
      <c r="B580" s="11" t="str">
        <v>FOUNDATION ENGINEERING</v>
      </c>
      <c r="C580" s="7" t="str">
        <v>Acquaah Vincent Kofi Abaka</v>
      </c>
      <c r="D580" s="11" t="s">
        <v>167</v>
      </c>
      <c r="E580" s="11">
        <v>230</v>
      </c>
      <c r="F580" s="12" t="s">
        <v>163</v>
      </c>
      <c r="G580" s="9">
        <f t="shared" si="46"/>
        <v>250.70000000000002</v>
      </c>
      <c r="H580" s="8" t="s">
        <v>166</v>
      </c>
      <c r="I580" t="str">
        <f t="shared" ref="I580:I611" si="47">CONCATENATE(A580,",",D580)</f>
        <v>CE 360,ED3-CE</v>
      </c>
    </row>
    <row r="581" spans="1:10" x14ac:dyDescent="0.35">
      <c r="A581" s="5" t="s">
        <v>165</v>
      </c>
      <c r="B581" s="5" t="str">
        <v>MANUFACTURING TECHNOLOGY</v>
      </c>
      <c r="C581" s="4" t="str">
        <v>Francis Davis</v>
      </c>
      <c r="D581" s="28" t="s">
        <v>164</v>
      </c>
      <c r="E581" s="28">
        <v>222</v>
      </c>
      <c r="F581" s="10" t="s">
        <v>163</v>
      </c>
      <c r="G581" s="9">
        <f t="shared" si="46"/>
        <v>241.98000000000002</v>
      </c>
      <c r="H581" s="8" t="s">
        <v>162</v>
      </c>
      <c r="I581" t="str">
        <f t="shared" si="47"/>
        <v>ME 370,ED3-ME</v>
      </c>
      <c r="J581" s="27"/>
    </row>
    <row r="582" spans="1:10" x14ac:dyDescent="0.35">
      <c r="A582" s="11" t="s">
        <v>161</v>
      </c>
      <c r="B582" s="11" t="str">
        <v>DATABASE AND INFORMATION RETRIEVAL</v>
      </c>
      <c r="C582" s="7" t="str">
        <v>Keelson Eliel</v>
      </c>
      <c r="D582" s="11" t="s">
        <v>160</v>
      </c>
      <c r="E582" s="11">
        <v>265</v>
      </c>
      <c r="F582" s="40" t="s">
        <v>150</v>
      </c>
      <c r="G582" s="9">
        <f t="shared" si="46"/>
        <v>288.85000000000002</v>
      </c>
      <c r="H582" s="8" t="s">
        <v>159</v>
      </c>
      <c r="I582" t="str">
        <f t="shared" si="47"/>
        <v>COE 368,ED3-COE</v>
      </c>
      <c r="J582" s="27"/>
    </row>
    <row r="583" spans="1:10" x14ac:dyDescent="0.35">
      <c r="A583" s="11" t="s">
        <v>158</v>
      </c>
      <c r="B583" s="11" t="str">
        <v>PETROLEUM GEOLOGY</v>
      </c>
      <c r="C583" s="7" t="str">
        <v>Foli Gordon</v>
      </c>
      <c r="D583" s="33" t="s">
        <v>3</v>
      </c>
      <c r="E583" s="11">
        <v>35</v>
      </c>
      <c r="F583" s="12" t="s">
        <v>157</v>
      </c>
      <c r="G583" s="9">
        <f t="shared" si="46"/>
        <v>38.150000000000006</v>
      </c>
      <c r="H583" s="8" t="s">
        <v>156</v>
      </c>
      <c r="I583" t="str">
        <f t="shared" si="47"/>
        <v>GED 466,ED4-GEOL</v>
      </c>
      <c r="J583" s="27"/>
    </row>
    <row r="584" spans="1:10" x14ac:dyDescent="0.35">
      <c r="D584" s="7" t="s">
        <v>155</v>
      </c>
      <c r="E584" s="6">
        <f>SUM(E573:E583)</f>
        <v>1437</v>
      </c>
      <c r="I584" t="str">
        <f t="shared" si="47"/>
        <v>,Total F3</v>
      </c>
      <c r="J584" s="27"/>
    </row>
    <row r="585" spans="1:10" x14ac:dyDescent="0.35">
      <c r="I585" t="str">
        <f t="shared" si="47"/>
        <v>,</v>
      </c>
      <c r="J585" s="27"/>
    </row>
    <row r="586" spans="1:10" x14ac:dyDescent="0.35">
      <c r="I586" t="str">
        <f t="shared" si="47"/>
        <v>,</v>
      </c>
      <c r="J586" s="27"/>
    </row>
    <row r="587" spans="1:10" x14ac:dyDescent="0.35">
      <c r="A587" s="82" t="s">
        <v>53</v>
      </c>
      <c r="B587" s="83"/>
      <c r="C587" s="83"/>
      <c r="D587" s="83"/>
      <c r="E587" s="83"/>
      <c r="F587" s="83"/>
      <c r="G587" s="84"/>
      <c r="H587" s="19"/>
      <c r="I587" t="str">
        <f t="shared" si="47"/>
        <v>Friday, 10 July 2026,</v>
      </c>
      <c r="J587" s="27"/>
    </row>
    <row r="588" spans="1:10" x14ac:dyDescent="0.35">
      <c r="A588" s="82" t="str">
        <f>[3]SESSIONS!$K$4</f>
        <v>Session, 4 (1:30 PM - 2:30 PM)</v>
      </c>
      <c r="B588" s="83"/>
      <c r="C588" s="83"/>
      <c r="D588" s="83"/>
      <c r="E588" s="83"/>
      <c r="F588" s="83"/>
      <c r="G588" s="84"/>
      <c r="H588" s="19"/>
      <c r="I588" t="str">
        <f t="shared" si="47"/>
        <v>Session, 4 (1:30 PM - 2:30 PM),</v>
      </c>
      <c r="J588" s="27"/>
    </row>
    <row r="589" spans="1:10" x14ac:dyDescent="0.35">
      <c r="A589" s="22" t="s">
        <v>52</v>
      </c>
      <c r="B589" s="22" t="s">
        <v>51</v>
      </c>
      <c r="C589" s="23" t="s">
        <v>50</v>
      </c>
      <c r="D589" s="22" t="s">
        <v>49</v>
      </c>
      <c r="E589" s="22" t="s">
        <v>48</v>
      </c>
      <c r="F589" s="39" t="s">
        <v>47</v>
      </c>
      <c r="G589" s="20" t="s">
        <v>46</v>
      </c>
      <c r="H589" s="19"/>
      <c r="I589" t="str">
        <f t="shared" si="47"/>
        <v>CODE ,CLASS</v>
      </c>
      <c r="J589" s="27"/>
    </row>
    <row r="590" spans="1:10" x14ac:dyDescent="0.35">
      <c r="A590" s="11" t="s">
        <v>37</v>
      </c>
      <c r="B590" s="11" t="str" cm="1">
        <f t="array" ref="B590:B602">IFERROR(VLOOKUP(I590:I602,[1]Lectures_1!A2:F535,2,FALSE),0)</f>
        <v>CHEMICAL ENGINEERING THERMODYNAMICS II</v>
      </c>
      <c r="C590" s="7" t="str" cm="1">
        <f t="array" ref="C590:C602">IFERROR(VLOOKUP(I590:I602,[1]Lectures_1!A2:F535,3,FALSE),0)</f>
        <v>Bonsu Jude Kwaku</v>
      </c>
      <c r="D590" s="11" t="s">
        <v>154</v>
      </c>
      <c r="E590" s="11" cm="1">
        <f t="array" ref="E590:E602">IFERROR(VLOOKUP(I590:I602,[1]Lectures_1!A2:F535,4,FALSE),0)</f>
        <v>160</v>
      </c>
      <c r="F590" s="38" t="s">
        <v>85</v>
      </c>
      <c r="G590" s="9">
        <f t="shared" ref="G590:G602" si="48">E590*1.09</f>
        <v>174.4</v>
      </c>
      <c r="H590" s="8" t="s">
        <v>153</v>
      </c>
      <c r="I590" t="str">
        <f t="shared" si="47"/>
        <v>CHE 254,ED2-CHE</v>
      </c>
      <c r="J590" s="27"/>
    </row>
    <row r="591" spans="1:10" x14ac:dyDescent="0.35">
      <c r="A591" s="35" t="s">
        <v>152</v>
      </c>
      <c r="B591" s="11" t="str">
        <v>DIGITAL COMMUNICATION SYSTEMS</v>
      </c>
      <c r="C591" s="34" t="str">
        <v>Charles Mawutor Adrah</v>
      </c>
      <c r="D591" s="29" t="s">
        <v>151</v>
      </c>
      <c r="E591" s="29">
        <v>240</v>
      </c>
      <c r="F591" s="37" t="s">
        <v>150</v>
      </c>
      <c r="G591" s="9">
        <f t="shared" si="48"/>
        <v>261.60000000000002</v>
      </c>
      <c r="H591" s="8" t="s">
        <v>149</v>
      </c>
      <c r="I591" t="str">
        <f t="shared" si="47"/>
        <v>TE 386,ED3-EE</v>
      </c>
      <c r="J591" s="27"/>
    </row>
    <row r="592" spans="1:10" x14ac:dyDescent="0.35">
      <c r="A592" s="11" t="s">
        <v>148</v>
      </c>
      <c r="B592" s="11" t="str">
        <v>MARINE ELECTRICAL TECHNOLOGY AND ELECTRICAL MEASUREMENTS</v>
      </c>
      <c r="C592" s="7" t="str">
        <v>Frimpong Emmanuel Asuming</v>
      </c>
      <c r="D592" s="11" t="s">
        <v>147</v>
      </c>
      <c r="E592" s="11">
        <v>40</v>
      </c>
      <c r="F592" s="36" t="s">
        <v>146</v>
      </c>
      <c r="G592" s="9">
        <f t="shared" si="48"/>
        <v>43.6</v>
      </c>
      <c r="H592" s="8">
        <v>40</v>
      </c>
      <c r="I592" t="str">
        <f t="shared" si="47"/>
        <v>MME 386,ED3-MARI</v>
      </c>
      <c r="J592" s="27"/>
    </row>
    <row r="593" spans="1:10" x14ac:dyDescent="0.35">
      <c r="A593" s="11" t="s">
        <v>145</v>
      </c>
      <c r="B593" s="11" t="str">
        <v>BASIC THERMODYNAMICS</v>
      </c>
      <c r="C593" s="7" t="str">
        <v>Samuel Boahen</v>
      </c>
      <c r="D593" s="11" t="s">
        <v>144</v>
      </c>
      <c r="E593" s="11">
        <v>85</v>
      </c>
      <c r="F593" s="10" t="s">
        <v>143</v>
      </c>
      <c r="G593" s="9">
        <f t="shared" si="48"/>
        <v>92.65</v>
      </c>
      <c r="H593" s="8" t="s">
        <v>142</v>
      </c>
      <c r="I593" t="str">
        <f t="shared" si="47"/>
        <v>AME 156,ED1-AUTO</v>
      </c>
      <c r="J593" s="27"/>
    </row>
    <row r="594" spans="1:10" x14ac:dyDescent="0.35">
      <c r="A594" s="11" t="s">
        <v>141</v>
      </c>
      <c r="B594" s="11" t="str">
        <v>PRINCIPLES OF GEOPHYSICS</v>
      </c>
      <c r="C594" s="7" t="str">
        <v>Ali Bukari</v>
      </c>
      <c r="D594" s="11" t="s">
        <v>140</v>
      </c>
      <c r="E594" s="11">
        <v>154</v>
      </c>
      <c r="F594" s="12" t="s">
        <v>85</v>
      </c>
      <c r="G594" s="9">
        <f t="shared" si="48"/>
        <v>167.86</v>
      </c>
      <c r="H594" s="8" t="s">
        <v>139</v>
      </c>
      <c r="I594" t="str">
        <f t="shared" si="47"/>
        <v>GED 354,ED3-GEOL</v>
      </c>
      <c r="J594" s="27"/>
    </row>
    <row r="595" spans="1:10" x14ac:dyDescent="0.35">
      <c r="A595" s="11" t="s">
        <v>138</v>
      </c>
      <c r="B595" s="11" t="str">
        <v>ENGINEERING PROPERTIES OF POLYMERS</v>
      </c>
      <c r="C595" s="7" t="str">
        <v>Asare Eric Kwame Anokye</v>
      </c>
      <c r="D595" s="11" t="s">
        <v>137</v>
      </c>
      <c r="E595" s="11">
        <v>85</v>
      </c>
      <c r="F595" s="12" t="s">
        <v>136</v>
      </c>
      <c r="G595" s="9">
        <f t="shared" si="48"/>
        <v>92.65</v>
      </c>
      <c r="H595" s="8" t="s">
        <v>135</v>
      </c>
      <c r="I595" t="str">
        <f t="shared" si="47"/>
        <v>MSE 356,ED3-MSE</v>
      </c>
      <c r="J595" s="27"/>
    </row>
    <row r="596" spans="1:10" x14ac:dyDescent="0.35">
      <c r="A596" s="11" t="s">
        <v>134</v>
      </c>
      <c r="B596" s="11" t="str">
        <v>MOBILE AND SATELLITE COMMUNICATION SYSTEM</v>
      </c>
      <c r="C596" s="7" t="str">
        <v>Gadze James Dzisi</v>
      </c>
      <c r="D596" s="33" t="s">
        <v>133</v>
      </c>
      <c r="E596" s="11">
        <v>4</v>
      </c>
      <c r="F596" s="12" t="s">
        <v>132</v>
      </c>
      <c r="G596" s="9">
        <f t="shared" si="48"/>
        <v>4.3600000000000003</v>
      </c>
      <c r="H596" s="8">
        <v>4</v>
      </c>
      <c r="I596" t="str">
        <f t="shared" si="47"/>
        <v>TE 472,ED4-EE</v>
      </c>
      <c r="J596" s="27"/>
    </row>
    <row r="597" spans="1:10" x14ac:dyDescent="0.35">
      <c r="A597" s="35" t="s">
        <v>131</v>
      </c>
      <c r="B597" s="11" t="str">
        <v>CIRCUIT THEORY</v>
      </c>
      <c r="C597" s="34" t="str">
        <v>Twumasi Elvis</v>
      </c>
      <c r="D597" s="11" t="s">
        <v>130</v>
      </c>
      <c r="E597" s="11">
        <v>295</v>
      </c>
      <c r="F597" s="12" t="s">
        <v>129</v>
      </c>
      <c r="G597" s="9">
        <f t="shared" si="48"/>
        <v>321.55</v>
      </c>
      <c r="H597" s="8" t="s">
        <v>128</v>
      </c>
      <c r="I597" t="str">
        <f t="shared" si="47"/>
        <v>EE 166,ED1-EE</v>
      </c>
      <c r="J597" s="27"/>
    </row>
    <row r="598" spans="1:10" x14ac:dyDescent="0.35">
      <c r="A598" s="11" t="s">
        <v>127</v>
      </c>
      <c r="B598" s="11" t="str">
        <v>KINETICS OF CHEMICAL REACTIONS</v>
      </c>
      <c r="C598" s="7" t="str">
        <v>Patrick Aggrey</v>
      </c>
      <c r="D598" s="11" t="s">
        <v>126</v>
      </c>
      <c r="E598" s="11">
        <v>100</v>
      </c>
      <c r="F598" s="12" t="s">
        <v>108</v>
      </c>
      <c r="G598" s="9">
        <f t="shared" si="48"/>
        <v>109.00000000000001</v>
      </c>
      <c r="H598" s="8" t="s">
        <v>125</v>
      </c>
      <c r="I598" t="str">
        <f t="shared" si="47"/>
        <v>MSE 152,ED1-MSE</v>
      </c>
      <c r="J598" s="27"/>
    </row>
    <row r="599" spans="1:10" x14ac:dyDescent="0.35">
      <c r="A599" s="11" t="s">
        <v>124</v>
      </c>
      <c r="B599" s="11" t="str">
        <v>CHEMISTRY FOR METALLURGICAL ENGINEERS</v>
      </c>
      <c r="C599" s="7" t="str">
        <v>Patrick Aggrey</v>
      </c>
      <c r="D599" s="11" t="s">
        <v>123</v>
      </c>
      <c r="E599" s="11">
        <v>75</v>
      </c>
      <c r="F599" s="12" t="s">
        <v>56</v>
      </c>
      <c r="G599" s="9">
        <f t="shared" si="48"/>
        <v>81.75</v>
      </c>
      <c r="H599" s="8" t="s">
        <v>122</v>
      </c>
      <c r="I599" t="str">
        <f t="shared" si="47"/>
        <v>METE 152,ED1-METE</v>
      </c>
      <c r="J599" s="27"/>
    </row>
    <row r="600" spans="1:10" x14ac:dyDescent="0.35">
      <c r="A600" s="11" t="s">
        <v>121</v>
      </c>
      <c r="B600" s="11" t="str">
        <v>METALLURGICAL WASTE MANAGEMENT</v>
      </c>
      <c r="C600" s="7" t="str">
        <v>Koomson Bennetta</v>
      </c>
      <c r="D600" s="33" t="s">
        <v>120</v>
      </c>
      <c r="E600" s="11">
        <v>55</v>
      </c>
      <c r="F600" s="10" t="s">
        <v>119</v>
      </c>
      <c r="G600" s="9">
        <f t="shared" si="48"/>
        <v>59.95</v>
      </c>
      <c r="H600" s="8" t="s">
        <v>118</v>
      </c>
      <c r="I600" t="str">
        <f t="shared" si="47"/>
        <v>METE 454,ED4-METE</v>
      </c>
      <c r="J600" s="27"/>
    </row>
    <row r="601" spans="1:10" x14ac:dyDescent="0.35">
      <c r="A601" s="11" t="s">
        <v>117</v>
      </c>
      <c r="B601" s="11" t="str">
        <v>WASTE MANAGEMENT</v>
      </c>
      <c r="C601" s="7" t="str">
        <v>Koomson Bennetta</v>
      </c>
      <c r="D601" s="11" t="s">
        <v>116</v>
      </c>
      <c r="E601" s="11">
        <v>60</v>
      </c>
      <c r="F601" s="3" t="s">
        <v>115</v>
      </c>
      <c r="G601" s="9">
        <f t="shared" si="48"/>
        <v>65.400000000000006</v>
      </c>
      <c r="H601" s="8" t="s">
        <v>114</v>
      </c>
      <c r="I601" t="str">
        <f t="shared" si="47"/>
        <v>MSE 452,ED4-MSE</v>
      </c>
    </row>
    <row r="602" spans="1:10" x14ac:dyDescent="0.35">
      <c r="A602" s="11" t="s">
        <v>113</v>
      </c>
      <c r="B602" s="11" t="str">
        <v>WELL COMPLETION AND STIMULATION</v>
      </c>
      <c r="C602" s="7" t="str">
        <v>Erzuah Samuel</v>
      </c>
      <c r="D602" s="11" t="s">
        <v>112</v>
      </c>
      <c r="E602" s="11">
        <v>99</v>
      </c>
      <c r="F602" s="32" t="s">
        <v>98</v>
      </c>
      <c r="G602" s="9">
        <f t="shared" si="48"/>
        <v>107.91000000000001</v>
      </c>
      <c r="H602" s="8" t="s">
        <v>111</v>
      </c>
      <c r="I602" t="str">
        <f t="shared" si="47"/>
        <v>PE 456,ED4-PE</v>
      </c>
    </row>
    <row r="603" spans="1:10" x14ac:dyDescent="0.35">
      <c r="B603" s="11"/>
      <c r="D603" s="7" t="s">
        <v>110</v>
      </c>
      <c r="E603" s="6">
        <f>SUM(E590:E602)</f>
        <v>1452</v>
      </c>
      <c r="I603" t="str">
        <f t="shared" si="47"/>
        <v>,Total F4</v>
      </c>
      <c r="J603" s="27"/>
    </row>
    <row r="604" spans="1:10" x14ac:dyDescent="0.35">
      <c r="I604" t="str">
        <f t="shared" si="47"/>
        <v>,</v>
      </c>
      <c r="J604" s="27"/>
    </row>
    <row r="605" spans="1:10" x14ac:dyDescent="0.35">
      <c r="I605" t="str">
        <f t="shared" si="47"/>
        <v>,</v>
      </c>
      <c r="J605" s="27"/>
    </row>
    <row r="606" spans="1:10" x14ac:dyDescent="0.35">
      <c r="A606" s="82" t="s">
        <v>53</v>
      </c>
      <c r="B606" s="83"/>
      <c r="C606" s="83"/>
      <c r="D606" s="83"/>
      <c r="E606" s="83"/>
      <c r="F606" s="83"/>
      <c r="G606" s="84"/>
      <c r="H606" s="19"/>
      <c r="I606" t="str">
        <f t="shared" si="47"/>
        <v>Friday, 10 July 2026,</v>
      </c>
      <c r="J606" s="27"/>
    </row>
    <row r="607" spans="1:10" x14ac:dyDescent="0.35">
      <c r="A607" s="82" t="str">
        <f>[3]SESSIONS!$K$5</f>
        <v>Session, 5 (3:15 PM - 4:15 PM)</v>
      </c>
      <c r="B607" s="83"/>
      <c r="C607" s="83"/>
      <c r="D607" s="83"/>
      <c r="E607" s="83"/>
      <c r="F607" s="83"/>
      <c r="G607" s="84"/>
      <c r="H607" s="19"/>
      <c r="I607" t="str">
        <f t="shared" si="47"/>
        <v>Session, 5 (3:15 PM - 4:15 PM),</v>
      </c>
      <c r="J607" s="27"/>
    </row>
    <row r="608" spans="1:10" x14ac:dyDescent="0.35">
      <c r="A608" s="22" t="s">
        <v>52</v>
      </c>
      <c r="B608" s="22" t="s">
        <v>51</v>
      </c>
      <c r="C608" s="31" t="s">
        <v>50</v>
      </c>
      <c r="D608" s="22" t="s">
        <v>49</v>
      </c>
      <c r="E608" s="22" t="s">
        <v>48</v>
      </c>
      <c r="F608" s="21" t="s">
        <v>47</v>
      </c>
      <c r="G608" s="20" t="s">
        <v>46</v>
      </c>
      <c r="H608" s="19"/>
      <c r="I608" t="str">
        <f t="shared" si="47"/>
        <v>CODE ,CLASS</v>
      </c>
      <c r="J608" s="27"/>
    </row>
    <row r="609" spans="1:10" x14ac:dyDescent="0.35">
      <c r="A609" s="11" t="s">
        <v>87</v>
      </c>
      <c r="B609" s="11" t="str" cm="1">
        <f t="array" ref="B609:B627">IFERROR(VLOOKUP(I609:I627,[1]Lectures_1!A2:F535,2,FALSE),0)</f>
        <v>FRENCH FOR COMMUNICATION II</v>
      </c>
      <c r="C609" s="7" t="str" cm="1">
        <f t="array" ref="C609:C627">IFERROR(VLOOKUP(I609:I627,[1]Lectures_1!A2:F535,3,FALSE),0)</f>
        <v>Boakye-Agyeman Candy</v>
      </c>
      <c r="D609" s="11" t="s">
        <v>109</v>
      </c>
      <c r="E609" s="11" cm="1">
        <f t="array" ref="E609:E627">IFERROR(VLOOKUP(I609:I627,[1]Lectures_1!A2:F535,4,FALSE),0)</f>
        <v>103</v>
      </c>
      <c r="F609" s="3" t="s">
        <v>108</v>
      </c>
      <c r="G609" s="9">
        <f t="shared" ref="G609:G627" si="49">E609*1.09</f>
        <v>112.27000000000001</v>
      </c>
      <c r="H609" s="8" t="s">
        <v>42</v>
      </c>
      <c r="I609" t="str">
        <f t="shared" si="47"/>
        <v>FC 182,ED2-TEL</v>
      </c>
      <c r="J609" s="27"/>
    </row>
    <row r="610" spans="1:10" x14ac:dyDescent="0.35">
      <c r="A610" s="11" t="s">
        <v>87</v>
      </c>
      <c r="B610" s="11" t="str">
        <v>FRENCH FOR COMMUNICATION II</v>
      </c>
      <c r="C610" s="7" t="str">
        <v>Alexander Ocloo</v>
      </c>
      <c r="D610" s="11" t="s">
        <v>107</v>
      </c>
      <c r="E610" s="11">
        <v>55</v>
      </c>
      <c r="F610" s="24" t="s">
        <v>106</v>
      </c>
      <c r="G610" s="9">
        <f t="shared" si="49"/>
        <v>59.95</v>
      </c>
      <c r="H610" s="8" t="s">
        <v>105</v>
      </c>
      <c r="I610" t="str">
        <f t="shared" si="47"/>
        <v>FC 182,ED3-CHE</v>
      </c>
      <c r="J610" s="27"/>
    </row>
    <row r="611" spans="1:10" x14ac:dyDescent="0.35">
      <c r="A611" s="11" t="s">
        <v>87</v>
      </c>
      <c r="B611" s="11" t="str">
        <v>FRENCH FOR COMMUNICATION  II</v>
      </c>
      <c r="C611" s="7" t="str">
        <v>Pharis Jeel Darko</v>
      </c>
      <c r="D611" s="11" t="s">
        <v>104</v>
      </c>
      <c r="E611" s="11">
        <v>65</v>
      </c>
      <c r="F611" s="24" t="s">
        <v>56</v>
      </c>
      <c r="G611" s="9">
        <f t="shared" si="49"/>
        <v>70.850000000000009</v>
      </c>
      <c r="H611" s="8" t="s">
        <v>103</v>
      </c>
      <c r="I611" t="str">
        <f t="shared" si="47"/>
        <v>FC 182,ED3-GEOM</v>
      </c>
      <c r="J611" s="27"/>
    </row>
    <row r="612" spans="1:10" x14ac:dyDescent="0.35">
      <c r="A612" s="11" t="s">
        <v>87</v>
      </c>
      <c r="B612" s="11" t="str">
        <v>FRENCH FOR COMMUNICATION II</v>
      </c>
      <c r="C612" s="7" t="str">
        <v>Alexander Ocloo</v>
      </c>
      <c r="D612" s="11" t="s">
        <v>102</v>
      </c>
      <c r="E612" s="11">
        <v>170</v>
      </c>
      <c r="F612" s="30" t="s">
        <v>101</v>
      </c>
      <c r="G612" s="9">
        <f t="shared" si="49"/>
        <v>185.3</v>
      </c>
      <c r="H612" s="8" t="s">
        <v>100</v>
      </c>
      <c r="I612" t="str">
        <f t="shared" ref="I612:I647" si="50">CONCATENATE(A612,",",D612)</f>
        <v>FC 182,ED2-EE</v>
      </c>
      <c r="J612" s="27"/>
    </row>
    <row r="613" spans="1:10" x14ac:dyDescent="0.35">
      <c r="A613" s="11" t="s">
        <v>87</v>
      </c>
      <c r="B613" s="11" t="str">
        <v>FRENCH FOR COMMUNICATION II</v>
      </c>
      <c r="C613" s="7" t="str">
        <v>Boakye-Agyeman Candy</v>
      </c>
      <c r="D613" s="11" t="s">
        <v>99</v>
      </c>
      <c r="E613" s="11">
        <v>90</v>
      </c>
      <c r="F613" s="24" t="s">
        <v>98</v>
      </c>
      <c r="G613" s="9">
        <f t="shared" si="49"/>
        <v>98.100000000000009</v>
      </c>
      <c r="H613" s="8" t="s">
        <v>97</v>
      </c>
      <c r="I613" t="str">
        <f t="shared" si="50"/>
        <v>FC 182,ED1-GEOL</v>
      </c>
      <c r="J613" s="27"/>
    </row>
    <row r="614" spans="1:10" x14ac:dyDescent="0.35">
      <c r="A614" s="29" t="s">
        <v>87</v>
      </c>
      <c r="B614" s="11" t="str">
        <v>FRENCH FOR COMMUNICATION II</v>
      </c>
      <c r="C614" s="7" t="str">
        <v>Boakye-Agyeman Candy</v>
      </c>
      <c r="D614" s="29" t="s">
        <v>96</v>
      </c>
      <c r="E614" s="11">
        <v>160</v>
      </c>
      <c r="F614" s="24" t="s">
        <v>95</v>
      </c>
      <c r="G614" s="9">
        <f t="shared" si="49"/>
        <v>174.4</v>
      </c>
      <c r="H614" s="8" t="s">
        <v>94</v>
      </c>
      <c r="I614" t="str">
        <f t="shared" si="50"/>
        <v>FC 182,ED1-CE</v>
      </c>
      <c r="J614" s="27"/>
    </row>
    <row r="615" spans="1:10" x14ac:dyDescent="0.35">
      <c r="A615" s="11" t="s">
        <v>87</v>
      </c>
      <c r="B615" s="11" t="str">
        <v>FRENCH FOR COMMUNICATION II</v>
      </c>
      <c r="C615" s="7" t="str">
        <v>Boakye-Agyeman Candy</v>
      </c>
      <c r="D615" s="11" t="s">
        <v>93</v>
      </c>
      <c r="E615" s="11">
        <v>46</v>
      </c>
      <c r="F615" s="24" t="s">
        <v>92</v>
      </c>
      <c r="G615" s="9">
        <f t="shared" si="49"/>
        <v>50.14</v>
      </c>
      <c r="H615" s="8" t="s">
        <v>91</v>
      </c>
      <c r="I615" t="str">
        <f t="shared" si="50"/>
        <v>FC 182,ED1-MARI</v>
      </c>
      <c r="J615" s="27"/>
    </row>
    <row r="616" spans="1:10" x14ac:dyDescent="0.35">
      <c r="A616" s="11" t="s">
        <v>87</v>
      </c>
      <c r="B616" s="11" t="str">
        <v>FRENCH FOR COMMUNICATION II</v>
      </c>
      <c r="C616" s="7" t="str">
        <v>Pharis Jeel Darko</v>
      </c>
      <c r="D616" s="11" t="s">
        <v>90</v>
      </c>
      <c r="E616" s="11">
        <v>43</v>
      </c>
      <c r="F616" s="24" t="s">
        <v>89</v>
      </c>
      <c r="G616" s="9">
        <f t="shared" si="49"/>
        <v>46.870000000000005</v>
      </c>
      <c r="H616" s="8" t="s">
        <v>88</v>
      </c>
      <c r="I616" t="str">
        <f t="shared" si="50"/>
        <v>FC 182,ED2-BME</v>
      </c>
      <c r="J616" s="27"/>
    </row>
    <row r="617" spans="1:10" x14ac:dyDescent="0.35">
      <c r="A617" s="11" t="s">
        <v>87</v>
      </c>
      <c r="B617" s="11" t="str">
        <v>FRENCH FOR COMMUNICATION</v>
      </c>
      <c r="C617" s="7" t="str">
        <v>Pharis Jeel Darko</v>
      </c>
      <c r="D617" s="11" t="s">
        <v>86</v>
      </c>
      <c r="E617" s="11">
        <v>150</v>
      </c>
      <c r="F617" s="24" t="s">
        <v>85</v>
      </c>
      <c r="G617" s="9">
        <f t="shared" si="49"/>
        <v>163.5</v>
      </c>
      <c r="H617" s="8" t="s">
        <v>9</v>
      </c>
      <c r="I617" t="str">
        <f t="shared" si="50"/>
        <v>FC 182,ED2-COE</v>
      </c>
      <c r="J617" s="27"/>
    </row>
    <row r="618" spans="1:10" x14ac:dyDescent="0.35">
      <c r="A618" s="11" t="s">
        <v>84</v>
      </c>
      <c r="B618" s="11" t="str">
        <v>HYDROGRAPHIC SURVEYING AND MARINE SCIENCE</v>
      </c>
      <c r="C618" s="7" t="str">
        <v>Asante Cosmas Yaw</v>
      </c>
      <c r="D618" s="11" t="s">
        <v>83</v>
      </c>
      <c r="E618" s="11">
        <v>132</v>
      </c>
      <c r="F618" s="12" t="s">
        <v>82</v>
      </c>
      <c r="G618" s="9">
        <f t="shared" si="49"/>
        <v>143.88000000000002</v>
      </c>
      <c r="H618" s="8" t="s">
        <v>81</v>
      </c>
      <c r="I618" t="str">
        <f t="shared" si="50"/>
        <v>GE 284,ED2-GEOM</v>
      </c>
      <c r="J618" s="27"/>
    </row>
    <row r="619" spans="1:10" x14ac:dyDescent="0.35">
      <c r="A619" s="5" t="s">
        <v>80</v>
      </c>
      <c r="B619" s="11" t="str">
        <v>INSTRUMENTATION</v>
      </c>
      <c r="C619" s="4" t="str">
        <v>Adam Faisal Wahib</v>
      </c>
      <c r="D619" s="28" t="s">
        <v>79</v>
      </c>
      <c r="E619" s="11">
        <v>135</v>
      </c>
      <c r="F619" s="3" t="s">
        <v>78</v>
      </c>
      <c r="G619" s="9">
        <f t="shared" si="49"/>
        <v>147.15</v>
      </c>
      <c r="H619" s="8" t="s">
        <v>77</v>
      </c>
      <c r="I619" t="str">
        <f t="shared" si="50"/>
        <v>ME 464,ED4-ME</v>
      </c>
      <c r="J619" s="27"/>
    </row>
    <row r="620" spans="1:10" x14ac:dyDescent="0.35">
      <c r="A620" s="11" t="s">
        <v>76</v>
      </c>
      <c r="B620" s="11" t="str">
        <v>ORE BENEFICIATION</v>
      </c>
      <c r="C620" s="7" t="str">
        <v>Koomson Bennetta</v>
      </c>
      <c r="D620" s="11" t="s">
        <v>75</v>
      </c>
      <c r="E620" s="11">
        <v>57</v>
      </c>
      <c r="F620" s="10" t="s">
        <v>74</v>
      </c>
      <c r="G620" s="9">
        <f t="shared" si="49"/>
        <v>62.13</v>
      </c>
      <c r="H620" s="8" t="s">
        <v>73</v>
      </c>
      <c r="I620" t="str">
        <f t="shared" si="50"/>
        <v>METE 254,ED2-METE</v>
      </c>
    </row>
    <row r="621" spans="1:10" x14ac:dyDescent="0.35">
      <c r="A621" s="11" t="s">
        <v>72</v>
      </c>
      <c r="B621" s="11" t="str">
        <v>AEROSPACE SAFETY AND AIR SECURITY</v>
      </c>
      <c r="C621" s="7" t="str">
        <v xml:space="preserve">Peter Oppong Tawiah </v>
      </c>
      <c r="D621" s="11" t="s">
        <v>71</v>
      </c>
      <c r="E621" s="11">
        <v>61</v>
      </c>
      <c r="F621" s="26" t="s">
        <v>70</v>
      </c>
      <c r="G621" s="9">
        <f t="shared" si="49"/>
        <v>66.490000000000009</v>
      </c>
      <c r="H621" s="8" t="s">
        <v>69</v>
      </c>
      <c r="I621" t="str">
        <f t="shared" si="50"/>
        <v>AERO 492,ED4-AERO</v>
      </c>
    </row>
    <row r="622" spans="1:10" x14ac:dyDescent="0.35">
      <c r="A622" s="11" t="s">
        <v>68</v>
      </c>
      <c r="B622" s="11" t="str">
        <v>AUTOMOTIVE CHASSIS</v>
      </c>
      <c r="C622" s="7" t="str">
        <v>Ayetor Godwin Kafui Kwesi</v>
      </c>
      <c r="D622" s="11" t="s">
        <v>67</v>
      </c>
      <c r="E622" s="11">
        <v>82</v>
      </c>
      <c r="F622" s="25" t="s">
        <v>26</v>
      </c>
      <c r="G622" s="9">
        <f t="shared" si="49"/>
        <v>89.38000000000001</v>
      </c>
      <c r="H622" s="8" t="s">
        <v>66</v>
      </c>
      <c r="I622" t="str">
        <f t="shared" si="50"/>
        <v>AME 256,ED2-AUTO</v>
      </c>
    </row>
    <row r="623" spans="1:10" x14ac:dyDescent="0.35">
      <c r="A623" s="11" t="s">
        <v>65</v>
      </c>
      <c r="B623" s="11" t="str">
        <v>AUTOMOTIVE CHASSIS</v>
      </c>
      <c r="C623" s="7" t="str">
        <v>Ayetor Godwin Kafui Kwesi</v>
      </c>
      <c r="D623" s="11" t="s">
        <v>64</v>
      </c>
      <c r="E623" s="11">
        <v>40</v>
      </c>
      <c r="F623" s="25" t="s">
        <v>28</v>
      </c>
      <c r="G623" s="9">
        <f t="shared" si="49"/>
        <v>43.6</v>
      </c>
      <c r="H623" s="8" t="s">
        <v>63</v>
      </c>
      <c r="I623" t="str">
        <f t="shared" si="50"/>
        <v>AME 376,ED3-AUTO</v>
      </c>
    </row>
    <row r="624" spans="1:10" x14ac:dyDescent="0.35">
      <c r="A624" s="11" t="s">
        <v>62</v>
      </c>
      <c r="B624" s="11" t="str">
        <v>INTRODUCTION TO INFORMATION TECHNOLOGY</v>
      </c>
      <c r="C624" s="7" t="str">
        <v>Baidoo Martina Francisca</v>
      </c>
      <c r="D624" s="11" t="s">
        <v>61</v>
      </c>
      <c r="E624" s="11">
        <v>120</v>
      </c>
      <c r="F624" s="25" t="s">
        <v>28</v>
      </c>
      <c r="G624" s="9">
        <f t="shared" si="49"/>
        <v>130.80000000000001</v>
      </c>
      <c r="H624" s="8">
        <v>120</v>
      </c>
      <c r="I624" t="str">
        <f t="shared" si="50"/>
        <v>CHE 158,ED1-CHE</v>
      </c>
    </row>
    <row r="625" spans="1:9" x14ac:dyDescent="0.35">
      <c r="A625" s="11" t="s">
        <v>60</v>
      </c>
      <c r="B625" s="11" t="str">
        <v>INTRODUCTION TO INFORMATION TECHNOLOGY</v>
      </c>
      <c r="C625" s="7" t="str">
        <v>Baidoo Martina Francisca</v>
      </c>
      <c r="D625" s="11" t="s">
        <v>59</v>
      </c>
      <c r="E625" s="11">
        <v>56</v>
      </c>
      <c r="F625" s="25" t="s">
        <v>26</v>
      </c>
      <c r="G625" s="9">
        <f t="shared" si="49"/>
        <v>61.040000000000006</v>
      </c>
      <c r="H625" s="8">
        <v>56</v>
      </c>
      <c r="I625" t="str">
        <f t="shared" si="50"/>
        <v>PCE 158,ED1-PCE</v>
      </c>
    </row>
    <row r="626" spans="1:9" x14ac:dyDescent="0.35">
      <c r="A626" s="11" t="s">
        <v>30</v>
      </c>
      <c r="B626" s="11" t="str">
        <v>AIR VEHICLE STABILITY AND CONTROL</v>
      </c>
      <c r="C626" s="7" t="str">
        <v>Oppong David Kofi</v>
      </c>
      <c r="D626" s="11" t="s">
        <v>29</v>
      </c>
      <c r="E626" s="11">
        <v>76</v>
      </c>
      <c r="F626" s="25" t="s">
        <v>26</v>
      </c>
      <c r="G626" s="9">
        <f t="shared" si="49"/>
        <v>82.84</v>
      </c>
      <c r="H626" s="8">
        <v>76</v>
      </c>
      <c r="I626" t="str">
        <f t="shared" si="50"/>
        <v>AERO 362,ED3-AERO</v>
      </c>
    </row>
    <row r="627" spans="1:9" x14ac:dyDescent="0.35">
      <c r="A627" s="11" t="s">
        <v>58</v>
      </c>
      <c r="B627" s="11" t="str">
        <v>NUMERICAL METHODS FOR PETROLEUM ENGINEERS</v>
      </c>
      <c r="C627" s="7" t="str">
        <v>Sokama-Neuyam Yen Adams</v>
      </c>
      <c r="D627" s="11" t="s">
        <v>57</v>
      </c>
      <c r="E627" s="11">
        <v>80</v>
      </c>
      <c r="F627" s="24" t="s">
        <v>56</v>
      </c>
      <c r="G627" s="9">
        <f t="shared" si="49"/>
        <v>87.2</v>
      </c>
      <c r="H627" s="8" t="s">
        <v>55</v>
      </c>
      <c r="I627" t="str">
        <f t="shared" si="50"/>
        <v>PE 350,ED3-PE</v>
      </c>
    </row>
    <row r="628" spans="1:9" x14ac:dyDescent="0.35">
      <c r="D628" s="7" t="s">
        <v>54</v>
      </c>
      <c r="E628" s="6">
        <f>SUM(E609:E627)</f>
        <v>1721</v>
      </c>
      <c r="I628" t="str">
        <f t="shared" si="50"/>
        <v>,Total F5</v>
      </c>
    </row>
    <row r="629" spans="1:9" x14ac:dyDescent="0.35">
      <c r="I629" t="str">
        <f t="shared" si="50"/>
        <v>,</v>
      </c>
    </row>
    <row r="630" spans="1:9" ht="11.25" customHeight="1" x14ac:dyDescent="0.35">
      <c r="I630" t="str">
        <f t="shared" si="50"/>
        <v>,</v>
      </c>
    </row>
    <row r="631" spans="1:9" x14ac:dyDescent="0.35">
      <c r="A631" s="82" t="s">
        <v>53</v>
      </c>
      <c r="B631" s="83"/>
      <c r="C631" s="83"/>
      <c r="D631" s="83"/>
      <c r="E631" s="83"/>
      <c r="F631" s="83"/>
      <c r="G631" s="84"/>
      <c r="H631" s="19"/>
      <c r="I631" t="str">
        <f t="shared" si="50"/>
        <v>Friday, 10 July 2026,</v>
      </c>
    </row>
    <row r="632" spans="1:9" x14ac:dyDescent="0.35">
      <c r="A632" s="82" t="str">
        <f>[3]SESSIONS!$K$6</f>
        <v>Session, 6 (5:00 PM - 6:00 PM)</v>
      </c>
      <c r="B632" s="83"/>
      <c r="C632" s="83"/>
      <c r="D632" s="83"/>
      <c r="E632" s="83"/>
      <c r="F632" s="83"/>
      <c r="G632" s="84"/>
      <c r="H632" s="19"/>
      <c r="I632" t="str">
        <f t="shared" si="50"/>
        <v>Session, 6 (5:00 PM - 6:00 PM),</v>
      </c>
    </row>
    <row r="633" spans="1:9" x14ac:dyDescent="0.35">
      <c r="A633" s="22" t="s">
        <v>52</v>
      </c>
      <c r="B633" s="22" t="s">
        <v>51</v>
      </c>
      <c r="C633" s="23" t="s">
        <v>50</v>
      </c>
      <c r="D633" s="22" t="s">
        <v>49</v>
      </c>
      <c r="E633" s="22" t="s">
        <v>48</v>
      </c>
      <c r="F633" s="21" t="s">
        <v>47</v>
      </c>
      <c r="G633" s="20" t="s">
        <v>46</v>
      </c>
      <c r="H633" s="19"/>
      <c r="I633" t="str">
        <f t="shared" si="50"/>
        <v>CODE ,CLASS</v>
      </c>
    </row>
    <row r="634" spans="1:9" x14ac:dyDescent="0.35">
      <c r="A634" s="11" t="s">
        <v>45</v>
      </c>
      <c r="B634" s="11" t="str" cm="1">
        <f t="array" ref="B634:B646">IFERROR(VLOOKUP(I634:I646,[1]Lectures_1!A2:F535,2,FALSE),0)</f>
        <v>INTRODUCTION TO INFORMATION TECHNOLOGY</v>
      </c>
      <c r="C634" s="7" t="str" cm="1">
        <f t="array" ref="C634:C646">IFERROR(VLOOKUP(I634:I646,[1]Lectures_1!A2:F535,3,FALSE),0)</f>
        <v>Titus Tienaah</v>
      </c>
      <c r="D634" s="11" t="s">
        <v>44</v>
      </c>
      <c r="E634" s="11" cm="1">
        <f t="array" ref="E634:E646">IFERROR(VLOOKUP(I634:I646,[1]Lectures_1!A2:F535,4,FALSE),0)</f>
        <v>103</v>
      </c>
      <c r="F634" s="10" t="s">
        <v>43</v>
      </c>
      <c r="G634" s="9">
        <f t="shared" ref="G634:G646" si="51">E634*1.09</f>
        <v>112.27000000000001</v>
      </c>
      <c r="H634" s="8" t="s">
        <v>42</v>
      </c>
      <c r="I634" t="str">
        <f t="shared" si="50"/>
        <v>GE 158,ED1-GEOM</v>
      </c>
    </row>
    <row r="635" spans="1:9" x14ac:dyDescent="0.35">
      <c r="A635" s="11" t="s">
        <v>41</v>
      </c>
      <c r="B635" s="11" t="str">
        <v>INTRODUCTION TO INFORMATION TECHNOLOGY</v>
      </c>
      <c r="C635" s="7" t="str">
        <v>Addo Daniel Akwei</v>
      </c>
      <c r="D635" s="11" t="s">
        <v>40</v>
      </c>
      <c r="E635" s="11">
        <v>262</v>
      </c>
      <c r="F635" s="10" t="s">
        <v>39</v>
      </c>
      <c r="G635" s="9">
        <f t="shared" si="51"/>
        <v>285.58000000000004</v>
      </c>
      <c r="H635" s="8" t="s">
        <v>38</v>
      </c>
      <c r="I635" t="str">
        <f t="shared" si="50"/>
        <v>COE 158,ED1-COE</v>
      </c>
    </row>
    <row r="636" spans="1:9" x14ac:dyDescent="0.35">
      <c r="A636" s="11" t="s">
        <v>37</v>
      </c>
      <c r="B636" s="11" t="str">
        <v>CHEMICAL ENGINEERING THERMODYNAMICS II</v>
      </c>
      <c r="C636" s="7" t="str">
        <v>Eunice Sefakor Aku Dogbe</v>
      </c>
      <c r="D636" s="11" t="s">
        <v>36</v>
      </c>
      <c r="E636" s="11">
        <v>65</v>
      </c>
      <c r="F636" s="18" t="s">
        <v>35</v>
      </c>
      <c r="G636" s="9">
        <f t="shared" si="51"/>
        <v>70.850000000000009</v>
      </c>
      <c r="H636" s="8" t="s">
        <v>34</v>
      </c>
      <c r="I636" t="str">
        <f t="shared" si="50"/>
        <v>CHE 254,ED2-PCE</v>
      </c>
    </row>
    <row r="637" spans="1:9" x14ac:dyDescent="0.35">
      <c r="A637" s="11" t="s">
        <v>33</v>
      </c>
      <c r="B637" s="11" t="str">
        <v>NATURAL GAS ENGINEERING</v>
      </c>
      <c r="C637" s="7" t="str">
        <v>Ankudey Emmanuel Godwin</v>
      </c>
      <c r="D637" s="11" t="s">
        <v>32</v>
      </c>
      <c r="E637" s="11">
        <v>53</v>
      </c>
      <c r="F637" s="12" t="s">
        <v>31</v>
      </c>
      <c r="G637" s="9">
        <f t="shared" si="51"/>
        <v>57.77</v>
      </c>
      <c r="H637" s="8">
        <v>53</v>
      </c>
      <c r="I637" t="str">
        <f t="shared" si="50"/>
        <v>PETE 450,ED3-PCE</v>
      </c>
    </row>
    <row r="638" spans="1:9" x14ac:dyDescent="0.35">
      <c r="A638" s="17" t="s">
        <v>30</v>
      </c>
      <c r="B638" s="17" t="str">
        <v>AIR VEHICLE STABILITY AND CONTROL</v>
      </c>
      <c r="C638" s="16" t="str">
        <v>Oppong David Kofi</v>
      </c>
      <c r="D638" s="17" t="s">
        <v>29</v>
      </c>
      <c r="E638" s="17">
        <v>76</v>
      </c>
      <c r="F638" s="16" t="s">
        <v>28</v>
      </c>
      <c r="G638" s="15">
        <f t="shared" si="51"/>
        <v>82.84</v>
      </c>
      <c r="H638" s="14">
        <v>76</v>
      </c>
      <c r="I638" s="13" t="str">
        <f t="shared" si="50"/>
        <v>AERO 362,ED3-AERO</v>
      </c>
    </row>
    <row r="639" spans="1:9" x14ac:dyDescent="0.35">
      <c r="A639" s="11" t="s">
        <v>22</v>
      </c>
      <c r="B639" s="11" t="str">
        <v>THERMODYNAMICS I</v>
      </c>
      <c r="C639" s="7" t="str">
        <v>Amoabeng Kofi Owura</v>
      </c>
      <c r="D639" s="11" t="s">
        <v>27</v>
      </c>
      <c r="E639" s="11">
        <v>80</v>
      </c>
      <c r="F639" s="10" t="s">
        <v>26</v>
      </c>
      <c r="G639" s="9">
        <f t="shared" si="51"/>
        <v>87.2</v>
      </c>
      <c r="H639" s="8">
        <v>80</v>
      </c>
      <c r="I639" t="str">
        <f t="shared" si="50"/>
        <v>ME 266,ED2-IND</v>
      </c>
    </row>
    <row r="640" spans="1:9" x14ac:dyDescent="0.35">
      <c r="A640" s="11" t="s">
        <v>22</v>
      </c>
      <c r="B640" s="11" t="str">
        <v>THERMODYNAMICS I</v>
      </c>
      <c r="C640" s="7" t="str">
        <v>Amoabeng Kofi Owura</v>
      </c>
      <c r="D640" s="11" t="s">
        <v>25</v>
      </c>
      <c r="E640" s="11">
        <v>240</v>
      </c>
      <c r="F640" s="10" t="s">
        <v>24</v>
      </c>
      <c r="G640" s="9">
        <f t="shared" si="51"/>
        <v>261.60000000000002</v>
      </c>
      <c r="H640" s="8" t="s">
        <v>23</v>
      </c>
      <c r="I640" t="str">
        <f t="shared" si="50"/>
        <v>ME 266,ED2-ME</v>
      </c>
    </row>
    <row r="641" spans="1:9" x14ac:dyDescent="0.35">
      <c r="A641" s="11" t="s">
        <v>22</v>
      </c>
      <c r="B641" s="11" t="str">
        <v>THERMODYNAMICS I</v>
      </c>
      <c r="C641" s="7" t="str">
        <v>Boahen Samuel</v>
      </c>
      <c r="D641" s="11" t="s">
        <v>21</v>
      </c>
      <c r="E641" s="11">
        <v>75</v>
      </c>
      <c r="F641" s="10" t="s">
        <v>20</v>
      </c>
      <c r="G641" s="9">
        <f t="shared" si="51"/>
        <v>81.75</v>
      </c>
      <c r="H641" s="8">
        <v>75</v>
      </c>
      <c r="I641" t="str">
        <f t="shared" si="50"/>
        <v>ME 266,ED2-AERO</v>
      </c>
    </row>
    <row r="642" spans="1:9" x14ac:dyDescent="0.35">
      <c r="A642" s="11" t="s">
        <v>19</v>
      </c>
      <c r="B642" s="11" t="str">
        <v xml:space="preserve">APPLIED THERMODYNAMICS </v>
      </c>
      <c r="C642" s="7" t="str">
        <v>Amoabeng Kofi Owura</v>
      </c>
      <c r="D642" s="11" t="s">
        <v>18</v>
      </c>
      <c r="E642" s="11">
        <v>136</v>
      </c>
      <c r="F642" s="12" t="s">
        <v>17</v>
      </c>
      <c r="G642" s="9">
        <f t="shared" si="51"/>
        <v>148.24</v>
      </c>
      <c r="H642" s="8" t="s">
        <v>16</v>
      </c>
      <c r="I642" t="str">
        <f t="shared" si="50"/>
        <v>ME 166,ED1-BME</v>
      </c>
    </row>
    <row r="643" spans="1:9" x14ac:dyDescent="0.35">
      <c r="A643" s="11" t="s">
        <v>12</v>
      </c>
      <c r="B643" s="11" t="str">
        <v>LARGE SCALE SURVEYING</v>
      </c>
      <c r="C643" s="7" t="str">
        <v>Dadzie Isaac</v>
      </c>
      <c r="D643" s="11" t="s">
        <v>15</v>
      </c>
      <c r="E643" s="11">
        <v>250</v>
      </c>
      <c r="F643" s="10" t="s">
        <v>14</v>
      </c>
      <c r="G643" s="9">
        <f t="shared" si="51"/>
        <v>272.5</v>
      </c>
      <c r="H643" s="8" t="s">
        <v>13</v>
      </c>
      <c r="I643" t="str">
        <f t="shared" si="50"/>
        <v>GE 282,ED2-CE</v>
      </c>
    </row>
    <row r="644" spans="1:9" x14ac:dyDescent="0.35">
      <c r="A644" s="11" t="s">
        <v>12</v>
      </c>
      <c r="B644" s="11" t="str">
        <v>LARGE SCALE SURVEYING</v>
      </c>
      <c r="C644" s="7" t="str">
        <v>Dadzie Isaac</v>
      </c>
      <c r="D644" s="11" t="s">
        <v>11</v>
      </c>
      <c r="E644" s="11">
        <v>150</v>
      </c>
      <c r="F644" s="10" t="s">
        <v>10</v>
      </c>
      <c r="G644" s="9">
        <f t="shared" si="51"/>
        <v>163.5</v>
      </c>
      <c r="H644" s="8" t="s">
        <v>9</v>
      </c>
      <c r="I644" t="str">
        <f t="shared" si="50"/>
        <v>GE 282,ED2-GEOL</v>
      </c>
    </row>
    <row r="645" spans="1:9" x14ac:dyDescent="0.35">
      <c r="A645" s="11" t="s">
        <v>8</v>
      </c>
      <c r="B645" s="11" t="str">
        <v>SYSTEM ENGINEERING II</v>
      </c>
      <c r="C645" s="7" t="str">
        <v>Osei Jack Banahene</v>
      </c>
      <c r="D645" s="11" t="s">
        <v>7</v>
      </c>
      <c r="E645" s="11">
        <v>115</v>
      </c>
      <c r="F645" s="12" t="s">
        <v>6</v>
      </c>
      <c r="G645" s="9">
        <f t="shared" si="51"/>
        <v>125.35000000000001</v>
      </c>
      <c r="H645" s="8" t="s">
        <v>5</v>
      </c>
      <c r="I645" t="str">
        <f t="shared" si="50"/>
        <v>CE 476,ED4-CE</v>
      </c>
    </row>
    <row r="646" spans="1:9" x14ac:dyDescent="0.35">
      <c r="A646" s="11" t="s">
        <v>4</v>
      </c>
      <c r="B646" s="11" t="str">
        <v>ENGINEERING MANAGEMENT</v>
      </c>
      <c r="C646" s="7" t="str">
        <v>Takyi Gabriel</v>
      </c>
      <c r="D646" s="11" t="s">
        <v>3</v>
      </c>
      <c r="E646" s="11">
        <v>95</v>
      </c>
      <c r="F646" s="10" t="s">
        <v>2</v>
      </c>
      <c r="G646" s="9">
        <f t="shared" si="51"/>
        <v>103.55000000000001</v>
      </c>
      <c r="H646" s="8" t="s">
        <v>1</v>
      </c>
      <c r="I646" t="str">
        <f t="shared" si="50"/>
        <v>GED 464,ED4-GEOL</v>
      </c>
    </row>
    <row r="647" spans="1:9" x14ac:dyDescent="0.35">
      <c r="D647" s="7" t="s">
        <v>0</v>
      </c>
      <c r="E647" s="6">
        <f>SUM(E634:E646)</f>
        <v>1700</v>
      </c>
      <c r="I647" t="str">
        <f t="shared" si="50"/>
        <v>,Total F6</v>
      </c>
    </row>
    <row r="648" spans="1:9" x14ac:dyDescent="0.35">
      <c r="C648"/>
      <c r="F648" s="5"/>
    </row>
    <row r="649" spans="1:9" x14ac:dyDescent="0.35">
      <c r="C649"/>
      <c r="F649" s="5"/>
    </row>
    <row r="650" spans="1:9" x14ac:dyDescent="0.35">
      <c r="C650"/>
      <c r="F650" s="5"/>
    </row>
    <row r="651" spans="1:9" x14ac:dyDescent="0.35">
      <c r="C651"/>
      <c r="F651" s="5"/>
    </row>
    <row r="652" spans="1:9" x14ac:dyDescent="0.35">
      <c r="C652"/>
      <c r="F652" s="5"/>
    </row>
    <row r="653" spans="1:9" x14ac:dyDescent="0.35">
      <c r="C653"/>
      <c r="F653" s="5"/>
    </row>
    <row r="654" spans="1:9" x14ac:dyDescent="0.35">
      <c r="C654"/>
      <c r="F654" s="5"/>
    </row>
    <row r="655" spans="1:9" x14ac:dyDescent="0.35">
      <c r="C655"/>
      <c r="F655" s="5"/>
    </row>
  </sheetData>
  <mergeCells count="66">
    <mergeCell ref="A1:G1"/>
    <mergeCell ref="A2:G2"/>
    <mergeCell ref="F4:F10"/>
    <mergeCell ref="A28:G28"/>
    <mergeCell ref="A29:G29"/>
    <mergeCell ref="A100:G100"/>
    <mergeCell ref="A101:G101"/>
    <mergeCell ref="A121:G121"/>
    <mergeCell ref="A122:G122"/>
    <mergeCell ref="F31:F38"/>
    <mergeCell ref="A58:G58"/>
    <mergeCell ref="A59:G59"/>
    <mergeCell ref="F61:F63"/>
    <mergeCell ref="A79:G79"/>
    <mergeCell ref="A80:G80"/>
    <mergeCell ref="A143:G143"/>
    <mergeCell ref="A144:G144"/>
    <mergeCell ref="A280:G280"/>
    <mergeCell ref="A163:G163"/>
    <mergeCell ref="A181:G181"/>
    <mergeCell ref="A182:G182"/>
    <mergeCell ref="A199:G199"/>
    <mergeCell ref="A200:G200"/>
    <mergeCell ref="A216:G216"/>
    <mergeCell ref="A217:G217"/>
    <mergeCell ref="A162:G162"/>
    <mergeCell ref="A258:G258"/>
    <mergeCell ref="A259:G259"/>
    <mergeCell ref="F261:F262"/>
    <mergeCell ref="A279:G279"/>
    <mergeCell ref="A415:G415"/>
    <mergeCell ref="A298:G298"/>
    <mergeCell ref="A299:G299"/>
    <mergeCell ref="A321:G321"/>
    <mergeCell ref="A322:G322"/>
    <mergeCell ref="A342:G342"/>
    <mergeCell ref="A450:F450"/>
    <mergeCell ref="A474:G474"/>
    <mergeCell ref="A343:G343"/>
    <mergeCell ref="A365:G365"/>
    <mergeCell ref="A366:G366"/>
    <mergeCell ref="F368:F375"/>
    <mergeCell ref="A395:G395"/>
    <mergeCell ref="A396:G396"/>
    <mergeCell ref="A606:G606"/>
    <mergeCell ref="A607:G607"/>
    <mergeCell ref="A631:G631"/>
    <mergeCell ref="A632:G632"/>
    <mergeCell ref="A238:G238"/>
    <mergeCell ref="A239:G239"/>
    <mergeCell ref="A538:G538"/>
    <mergeCell ref="F540:F552"/>
    <mergeCell ref="A570:G570"/>
    <mergeCell ref="A571:G571"/>
    <mergeCell ref="A517:G517"/>
    <mergeCell ref="A537:G537"/>
    <mergeCell ref="A416:G416"/>
    <mergeCell ref="A433:F433"/>
    <mergeCell ref="A434:F434"/>
    <mergeCell ref="A449:F449"/>
    <mergeCell ref="A587:G587"/>
    <mergeCell ref="A588:G588"/>
    <mergeCell ref="A475:G475"/>
    <mergeCell ref="A494:G494"/>
    <mergeCell ref="A495:G495"/>
    <mergeCell ref="A516:G516"/>
  </mergeCells>
  <conditionalFormatting sqref="D519:D521 D523:D524">
    <cfRule type="duplicateValues" dxfId="21" priority="17"/>
  </conditionalFormatting>
  <conditionalFormatting sqref="D522">
    <cfRule type="duplicateValues" dxfId="20" priority="16"/>
  </conditionalFormatting>
  <conditionalFormatting sqref="D560">
    <cfRule type="duplicateValues" dxfId="19" priority="3"/>
  </conditionalFormatting>
  <conditionalFormatting sqref="D596 D561 D245">
    <cfRule type="duplicateValues" dxfId="18" priority="20"/>
  </conditionalFormatting>
  <conditionalFormatting sqref="I265">
    <cfRule type="duplicateValues" dxfId="17" priority="14"/>
    <cfRule type="duplicateValues" dxfId="16" priority="15"/>
  </conditionalFormatting>
  <conditionalFormatting sqref="I270">
    <cfRule type="duplicateValues" dxfId="15" priority="12"/>
    <cfRule type="duplicateValues" dxfId="14" priority="13"/>
  </conditionalFormatting>
  <conditionalFormatting sqref="I273">
    <cfRule type="duplicateValues" dxfId="13" priority="10"/>
    <cfRule type="duplicateValues" dxfId="12" priority="11"/>
  </conditionalFormatting>
  <conditionalFormatting sqref="I472">
    <cfRule type="duplicateValues" dxfId="11" priority="18"/>
    <cfRule type="duplicateValues" dxfId="10" priority="19"/>
  </conditionalFormatting>
  <conditionalFormatting sqref="I560">
    <cfRule type="duplicateValues" dxfId="9" priority="4"/>
    <cfRule type="duplicateValues" dxfId="8" priority="5"/>
  </conditionalFormatting>
  <conditionalFormatting sqref="I622">
    <cfRule type="duplicateValues" dxfId="7" priority="6"/>
    <cfRule type="duplicateValues" dxfId="6" priority="7"/>
  </conditionalFormatting>
  <conditionalFormatting sqref="I623">
    <cfRule type="duplicateValues" dxfId="5" priority="8"/>
    <cfRule type="duplicateValues" dxfId="4" priority="9"/>
  </conditionalFormatting>
  <conditionalFormatting sqref="I624:I637 I473:I559 I1:I264 I266:I269 I271:I272 I280:I471 I274:I278 I561:I621 I639:I1048576">
    <cfRule type="duplicateValues" dxfId="3" priority="21"/>
    <cfRule type="duplicateValues" dxfId="2" priority="22"/>
  </conditionalFormatting>
  <conditionalFormatting sqref="I638">
    <cfRule type="duplicateValues" dxfId="1" priority="1"/>
    <cfRule type="duplicateValues" dxfId="0" priority="2"/>
  </conditionalFormatting>
  <pageMargins left="0.23622047244094491" right="0.23622047244094491" top="0.74803149606299213" bottom="0.74803149606299213" header="0.31496062992125984" footer="0.31496062992125984"/>
  <pageSetup paperSize="9" scale="66" fitToHeight="0" orientation="landscape" r:id="rId1"/>
  <headerFooter>
    <oddHeader>&amp;C&amp;"Times New Roman,Bold"&amp;12COLLEGE OF ENGINEERING             
FINAL EXAMINATION TIMETABLE: SECOND SEMESTER MIDSEMESTER, 2025/2026 ACADEMIC YEAR
&amp;G</oddHeader>
    <oddFooter xml:space="preserve">&amp;C&amp;16&amp;KFF0000Kindly note; CE 164 will be written on Thursday, 2nd July 2026 for both Civil and Geological Engineering 1 students at  the Prempeh Library at 1pm.
</oddFooter>
  </headerFooter>
  <rowBreaks count="29" manualBreakCount="29">
    <brk id="27" max="6" man="1"/>
    <brk id="57" max="6" man="1"/>
    <brk id="78" max="6" man="1"/>
    <brk id="99" max="6" man="1"/>
    <brk id="120" max="6" man="1"/>
    <brk id="142" max="6" man="1"/>
    <brk id="161" max="6" man="1"/>
    <brk id="180" max="16383" man="1"/>
    <brk id="198" max="6" man="1"/>
    <brk id="215" max="6" man="1"/>
    <brk id="237" max="6" man="1"/>
    <brk id="257" max="6" man="1"/>
    <brk id="278" max="6" man="1"/>
    <brk id="297" max="6" man="1"/>
    <brk id="320" max="6" man="1"/>
    <brk id="341" max="6" man="1"/>
    <brk id="364" max="6" man="1"/>
    <brk id="394" max="6" man="1"/>
    <brk id="414" max="6" man="1"/>
    <brk id="432" max="16383" man="1"/>
    <brk id="448" max="6" man="1"/>
    <brk id="473" max="6" man="1"/>
    <brk id="493" max="6" man="1"/>
    <brk id="515" max="6" man="1"/>
    <brk id="536" max="6" man="1"/>
    <brk id="569" max="6" man="1"/>
    <brk id="586" max="16383" man="1"/>
    <brk id="605" max="6" man="1"/>
    <brk id="630" max="16383" man="1"/>
  </rowBreaks>
  <colBreaks count="1" manualBreakCount="1">
    <brk id="8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6A47-2D86-47C4-986A-A354ADA08403}">
  <dimension ref="A1:H647"/>
  <sheetViews>
    <sheetView tabSelected="1" topLeftCell="A579" workbookViewId="0">
      <selection activeCell="F540" sqref="F540:F552"/>
    </sheetView>
  </sheetViews>
  <sheetFormatPr defaultRowHeight="14.5" x14ac:dyDescent="0.35"/>
  <cols>
    <col min="1" max="1" width="28.36328125" bestFit="1" customWidth="1"/>
    <col min="2" max="2" width="61.81640625" bestFit="1" customWidth="1"/>
    <col min="3" max="3" width="40.453125" bestFit="1" customWidth="1"/>
    <col min="4" max="4" width="10.08984375" bestFit="1" customWidth="1"/>
    <col min="5" max="5" width="6.36328125" bestFit="1" customWidth="1"/>
    <col min="6" max="6" width="57.6328125" bestFit="1" customWidth="1"/>
    <col min="7" max="7" width="6.81640625" bestFit="1" customWidth="1"/>
    <col min="8" max="8" width="29.6328125" bestFit="1" customWidth="1"/>
  </cols>
  <sheetData>
    <row r="1" spans="1:8" x14ac:dyDescent="0.35">
      <c r="A1" t="s">
        <v>784</v>
      </c>
    </row>
    <row r="2" spans="1:8" x14ac:dyDescent="0.35">
      <c r="A2" t="s">
        <v>924</v>
      </c>
    </row>
    <row r="3" spans="1:8" x14ac:dyDescent="0.35">
      <c r="A3" t="s">
        <v>52</v>
      </c>
      <c r="B3" t="s">
        <v>51</v>
      </c>
      <c r="C3" t="s">
        <v>50</v>
      </c>
      <c r="D3" t="s">
        <v>49</v>
      </c>
      <c r="E3" t="s">
        <v>48</v>
      </c>
      <c r="G3" t="s">
        <v>46</v>
      </c>
    </row>
    <row r="4" spans="1:8" x14ac:dyDescent="0.35">
      <c r="A4" t="s">
        <v>865</v>
      </c>
      <c r="B4" t="s">
        <v>925</v>
      </c>
      <c r="C4" t="s">
        <v>926</v>
      </c>
      <c r="D4" t="s">
        <v>277</v>
      </c>
      <c r="E4">
        <v>70</v>
      </c>
      <c r="F4" t="s">
        <v>225</v>
      </c>
      <c r="G4">
        <v>76.300000000000011</v>
      </c>
    </row>
    <row r="5" spans="1:8" x14ac:dyDescent="0.35">
      <c r="A5" t="s">
        <v>865</v>
      </c>
      <c r="B5" t="s">
        <v>925</v>
      </c>
      <c r="C5" t="s">
        <v>926</v>
      </c>
      <c r="D5" t="s">
        <v>180</v>
      </c>
      <c r="E5">
        <v>128</v>
      </c>
      <c r="F5" t="s">
        <v>225</v>
      </c>
      <c r="G5">
        <v>139.52000000000001</v>
      </c>
    </row>
    <row r="6" spans="1:8" x14ac:dyDescent="0.35">
      <c r="A6" t="s">
        <v>865</v>
      </c>
      <c r="B6" t="s">
        <v>925</v>
      </c>
      <c r="C6" t="s">
        <v>926</v>
      </c>
      <c r="D6" t="s">
        <v>18</v>
      </c>
      <c r="E6">
        <v>136</v>
      </c>
      <c r="F6" t="s">
        <v>225</v>
      </c>
      <c r="G6">
        <v>148.24</v>
      </c>
    </row>
    <row r="7" spans="1:8" x14ac:dyDescent="0.35">
      <c r="A7" t="s">
        <v>865</v>
      </c>
      <c r="B7" t="s">
        <v>927</v>
      </c>
      <c r="C7" t="s">
        <v>926</v>
      </c>
      <c r="D7" t="s">
        <v>61</v>
      </c>
      <c r="E7">
        <v>120</v>
      </c>
      <c r="F7" t="s">
        <v>225</v>
      </c>
      <c r="G7">
        <v>130.80000000000001</v>
      </c>
    </row>
    <row r="8" spans="1:8" x14ac:dyDescent="0.35">
      <c r="A8" t="s">
        <v>865</v>
      </c>
      <c r="B8" t="s">
        <v>925</v>
      </c>
      <c r="C8" t="s">
        <v>928</v>
      </c>
      <c r="D8" t="s">
        <v>40</v>
      </c>
      <c r="E8">
        <v>262</v>
      </c>
      <c r="F8" t="s">
        <v>225</v>
      </c>
      <c r="G8">
        <v>285.58000000000004</v>
      </c>
    </row>
    <row r="9" spans="1:8" x14ac:dyDescent="0.35">
      <c r="A9" t="s">
        <v>865</v>
      </c>
      <c r="B9" t="s">
        <v>925</v>
      </c>
      <c r="C9" t="s">
        <v>926</v>
      </c>
      <c r="D9" t="s">
        <v>260</v>
      </c>
      <c r="E9">
        <v>83</v>
      </c>
      <c r="F9" t="s">
        <v>225</v>
      </c>
      <c r="G9">
        <v>90.470000000000013</v>
      </c>
    </row>
    <row r="10" spans="1:8" x14ac:dyDescent="0.35">
      <c r="A10" t="s">
        <v>865</v>
      </c>
      <c r="B10" t="s">
        <v>925</v>
      </c>
      <c r="C10" t="s">
        <v>929</v>
      </c>
      <c r="D10" t="s">
        <v>96</v>
      </c>
      <c r="E10">
        <v>245</v>
      </c>
      <c r="F10" t="s">
        <v>225</v>
      </c>
      <c r="G10">
        <v>267.05</v>
      </c>
    </row>
    <row r="11" spans="1:8" x14ac:dyDescent="0.35">
      <c r="A11" t="s">
        <v>923</v>
      </c>
      <c r="B11" t="s">
        <v>930</v>
      </c>
      <c r="C11" t="s">
        <v>931</v>
      </c>
      <c r="D11" t="s">
        <v>222</v>
      </c>
      <c r="E11">
        <v>155</v>
      </c>
      <c r="F11" t="s">
        <v>922</v>
      </c>
      <c r="G11">
        <v>168.95000000000002</v>
      </c>
      <c r="H11" t="s">
        <v>921</v>
      </c>
    </row>
    <row r="12" spans="1:8" x14ac:dyDescent="0.35">
      <c r="A12" t="s">
        <v>920</v>
      </c>
      <c r="B12" t="s">
        <v>932</v>
      </c>
      <c r="C12" t="s">
        <v>933</v>
      </c>
      <c r="D12" t="s">
        <v>224</v>
      </c>
      <c r="E12">
        <v>95</v>
      </c>
      <c r="F12" t="s">
        <v>98</v>
      </c>
      <c r="G12">
        <v>103.55000000000001</v>
      </c>
      <c r="H12" t="s">
        <v>645</v>
      </c>
    </row>
    <row r="13" spans="1:8" x14ac:dyDescent="0.35">
      <c r="A13" t="s">
        <v>919</v>
      </c>
      <c r="B13" t="s">
        <v>934</v>
      </c>
      <c r="C13" t="s">
        <v>935</v>
      </c>
      <c r="D13" t="s">
        <v>15</v>
      </c>
      <c r="E13">
        <v>250</v>
      </c>
      <c r="F13" t="s">
        <v>376</v>
      </c>
      <c r="G13">
        <v>272.5</v>
      </c>
      <c r="H13" t="s">
        <v>918</v>
      </c>
    </row>
    <row r="14" spans="1:8" x14ac:dyDescent="0.35">
      <c r="A14" t="s">
        <v>917</v>
      </c>
      <c r="B14" t="s">
        <v>936</v>
      </c>
      <c r="C14" t="s">
        <v>937</v>
      </c>
      <c r="D14" t="s">
        <v>7</v>
      </c>
      <c r="E14">
        <v>240</v>
      </c>
      <c r="F14" t="s">
        <v>838</v>
      </c>
      <c r="G14">
        <v>261.60000000000002</v>
      </c>
      <c r="H14" t="s">
        <v>916</v>
      </c>
    </row>
    <row r="15" spans="1:8" x14ac:dyDescent="0.35">
      <c r="A15" t="s">
        <v>915</v>
      </c>
      <c r="B15" t="s">
        <v>938</v>
      </c>
      <c r="C15" t="s">
        <v>939</v>
      </c>
      <c r="D15" t="s">
        <v>71</v>
      </c>
      <c r="E15">
        <v>61</v>
      </c>
      <c r="F15" t="s">
        <v>914</v>
      </c>
      <c r="G15">
        <v>66.490000000000009</v>
      </c>
      <c r="H15" t="s">
        <v>913</v>
      </c>
    </row>
    <row r="16" spans="1:8" x14ac:dyDescent="0.35">
      <c r="A16" t="s">
        <v>912</v>
      </c>
      <c r="B16" t="s">
        <v>940</v>
      </c>
      <c r="C16" t="s">
        <v>941</v>
      </c>
      <c r="D16" t="s">
        <v>64</v>
      </c>
      <c r="E16">
        <v>40</v>
      </c>
      <c r="F16" t="s">
        <v>822</v>
      </c>
      <c r="G16">
        <v>43.6</v>
      </c>
      <c r="H16" t="s">
        <v>911</v>
      </c>
    </row>
    <row r="17" spans="1:8" x14ac:dyDescent="0.35">
      <c r="A17" t="s">
        <v>910</v>
      </c>
      <c r="B17" t="s">
        <v>942</v>
      </c>
      <c r="C17" t="s">
        <v>943</v>
      </c>
      <c r="D17" t="s">
        <v>174</v>
      </c>
      <c r="E17">
        <v>90</v>
      </c>
      <c r="F17" t="s">
        <v>43</v>
      </c>
      <c r="G17">
        <v>98.100000000000009</v>
      </c>
      <c r="H17" t="s">
        <v>909</v>
      </c>
    </row>
    <row r="18" spans="1:8" x14ac:dyDescent="0.35">
      <c r="A18" t="s">
        <v>908</v>
      </c>
      <c r="B18" t="s">
        <v>944</v>
      </c>
      <c r="C18" t="s">
        <v>945</v>
      </c>
      <c r="D18" t="s">
        <v>160</v>
      </c>
      <c r="E18">
        <v>265</v>
      </c>
      <c r="F18" t="s">
        <v>376</v>
      </c>
      <c r="G18">
        <v>288.85000000000002</v>
      </c>
      <c r="H18" t="s">
        <v>676</v>
      </c>
    </row>
    <row r="19" spans="1:8" x14ac:dyDescent="0.35">
      <c r="A19" t="s">
        <v>907</v>
      </c>
      <c r="B19" t="s">
        <v>946</v>
      </c>
      <c r="C19" t="s">
        <v>945</v>
      </c>
      <c r="D19" t="s">
        <v>151</v>
      </c>
      <c r="E19">
        <v>29</v>
      </c>
      <c r="F19" t="s">
        <v>448</v>
      </c>
      <c r="G19">
        <v>31.610000000000003</v>
      </c>
      <c r="H19">
        <v>29</v>
      </c>
    </row>
    <row r="20" spans="1:8" x14ac:dyDescent="0.35">
      <c r="A20" t="s">
        <v>906</v>
      </c>
      <c r="B20" t="s">
        <v>947</v>
      </c>
      <c r="C20" t="s">
        <v>948</v>
      </c>
      <c r="D20" t="s">
        <v>133</v>
      </c>
      <c r="E20">
        <v>15</v>
      </c>
      <c r="F20" t="s">
        <v>467</v>
      </c>
      <c r="G20">
        <v>16.350000000000001</v>
      </c>
      <c r="H20">
        <v>15</v>
      </c>
    </row>
    <row r="21" spans="1:8" x14ac:dyDescent="0.35">
      <c r="A21" t="s">
        <v>906</v>
      </c>
      <c r="B21" t="s">
        <v>949</v>
      </c>
      <c r="C21" t="s">
        <v>948</v>
      </c>
      <c r="D21" t="s">
        <v>249</v>
      </c>
      <c r="E21">
        <v>20</v>
      </c>
      <c r="F21" t="s">
        <v>905</v>
      </c>
      <c r="G21">
        <v>21.8</v>
      </c>
      <c r="H21">
        <v>20</v>
      </c>
    </row>
    <row r="22" spans="1:8" x14ac:dyDescent="0.35">
      <c r="A22" t="s">
        <v>904</v>
      </c>
      <c r="B22" t="s">
        <v>950</v>
      </c>
      <c r="C22" t="s">
        <v>951</v>
      </c>
      <c r="D22" t="s">
        <v>83</v>
      </c>
      <c r="E22">
        <v>132</v>
      </c>
      <c r="F22" t="s">
        <v>903</v>
      </c>
      <c r="G22">
        <v>143.88000000000002</v>
      </c>
      <c r="H22" t="s">
        <v>902</v>
      </c>
    </row>
    <row r="23" spans="1:8" x14ac:dyDescent="0.35">
      <c r="A23" t="s">
        <v>901</v>
      </c>
      <c r="B23" t="s">
        <v>952</v>
      </c>
      <c r="C23" t="s">
        <v>953</v>
      </c>
      <c r="D23" t="s">
        <v>344</v>
      </c>
      <c r="E23">
        <v>71</v>
      </c>
      <c r="F23" t="s">
        <v>20</v>
      </c>
      <c r="G23">
        <v>77.39</v>
      </c>
      <c r="H23" t="s">
        <v>900</v>
      </c>
    </row>
    <row r="24" spans="1:8" x14ac:dyDescent="0.35">
      <c r="A24" t="s">
        <v>899</v>
      </c>
      <c r="B24" t="s">
        <v>954</v>
      </c>
      <c r="C24" t="s">
        <v>955</v>
      </c>
      <c r="D24" t="s">
        <v>199</v>
      </c>
      <c r="E24">
        <v>140</v>
      </c>
      <c r="F24" t="s">
        <v>898</v>
      </c>
      <c r="G24">
        <v>152.60000000000002</v>
      </c>
      <c r="H24" t="s">
        <v>897</v>
      </c>
    </row>
    <row r="25" spans="1:8" x14ac:dyDescent="0.35">
      <c r="D25" t="s">
        <v>896</v>
      </c>
      <c r="E25">
        <v>1603</v>
      </c>
    </row>
    <row r="28" spans="1:8" x14ac:dyDescent="0.35">
      <c r="A28" t="s">
        <v>784</v>
      </c>
    </row>
    <row r="29" spans="1:8" x14ac:dyDescent="0.35">
      <c r="A29" t="s">
        <v>956</v>
      </c>
    </row>
    <row r="30" spans="1:8" x14ac:dyDescent="0.35">
      <c r="A30" t="s">
        <v>52</v>
      </c>
      <c r="B30" t="s">
        <v>51</v>
      </c>
      <c r="C30" t="s">
        <v>50</v>
      </c>
      <c r="D30" t="s">
        <v>49</v>
      </c>
      <c r="E30" t="s">
        <v>48</v>
      </c>
      <c r="F30" t="s">
        <v>47</v>
      </c>
      <c r="G30" t="s">
        <v>46</v>
      </c>
    </row>
    <row r="31" spans="1:8" x14ac:dyDescent="0.35">
      <c r="A31" t="s">
        <v>865</v>
      </c>
      <c r="B31" t="s">
        <v>925</v>
      </c>
      <c r="C31" t="s">
        <v>926</v>
      </c>
      <c r="D31" t="s">
        <v>130</v>
      </c>
      <c r="E31">
        <v>295</v>
      </c>
      <c r="F31" t="s">
        <v>225</v>
      </c>
      <c r="G31">
        <v>321.55</v>
      </c>
    </row>
    <row r="32" spans="1:8" x14ac:dyDescent="0.35">
      <c r="A32" t="s">
        <v>865</v>
      </c>
      <c r="B32" t="s">
        <v>925</v>
      </c>
      <c r="C32" t="s">
        <v>957</v>
      </c>
      <c r="D32" t="s">
        <v>144</v>
      </c>
      <c r="E32">
        <v>85</v>
      </c>
      <c r="F32" t="s">
        <v>225</v>
      </c>
      <c r="G32">
        <v>92.65</v>
      </c>
    </row>
    <row r="33" spans="1:8" x14ac:dyDescent="0.35">
      <c r="A33" t="s">
        <v>865</v>
      </c>
      <c r="B33" t="s">
        <v>925</v>
      </c>
      <c r="C33" t="s">
        <v>926</v>
      </c>
      <c r="D33" t="s">
        <v>99</v>
      </c>
      <c r="E33">
        <v>125</v>
      </c>
      <c r="F33" t="s">
        <v>225</v>
      </c>
      <c r="G33">
        <v>136.25</v>
      </c>
    </row>
    <row r="34" spans="1:8" x14ac:dyDescent="0.35">
      <c r="A34" t="s">
        <v>865</v>
      </c>
      <c r="B34" t="s">
        <v>925</v>
      </c>
      <c r="C34" t="s">
        <v>926</v>
      </c>
      <c r="D34" t="s">
        <v>59</v>
      </c>
      <c r="E34">
        <v>56</v>
      </c>
      <c r="F34" t="s">
        <v>225</v>
      </c>
      <c r="G34">
        <v>61.040000000000006</v>
      </c>
    </row>
    <row r="35" spans="1:8" x14ac:dyDescent="0.35">
      <c r="A35" t="s">
        <v>865</v>
      </c>
      <c r="B35" t="s">
        <v>925</v>
      </c>
      <c r="C35" t="s">
        <v>926</v>
      </c>
      <c r="D35" t="s">
        <v>44</v>
      </c>
      <c r="E35">
        <v>103</v>
      </c>
      <c r="F35" t="s">
        <v>225</v>
      </c>
      <c r="G35">
        <v>112.27000000000001</v>
      </c>
    </row>
    <row r="36" spans="1:8" x14ac:dyDescent="0.35">
      <c r="A36" t="s">
        <v>865</v>
      </c>
      <c r="B36" t="s">
        <v>925</v>
      </c>
      <c r="C36" t="s">
        <v>958</v>
      </c>
      <c r="D36" t="s">
        <v>123</v>
      </c>
      <c r="E36">
        <v>75</v>
      </c>
      <c r="F36" t="s">
        <v>225</v>
      </c>
      <c r="G36">
        <v>81.75</v>
      </c>
    </row>
    <row r="37" spans="1:8" x14ac:dyDescent="0.35">
      <c r="A37" t="s">
        <v>865</v>
      </c>
      <c r="B37" t="s">
        <v>925</v>
      </c>
      <c r="C37" t="s">
        <v>958</v>
      </c>
      <c r="D37" t="s">
        <v>126</v>
      </c>
      <c r="E37">
        <v>100</v>
      </c>
      <c r="F37" t="s">
        <v>225</v>
      </c>
      <c r="G37">
        <v>109.00000000000001</v>
      </c>
    </row>
    <row r="38" spans="1:8" x14ac:dyDescent="0.35">
      <c r="A38" t="s">
        <v>865</v>
      </c>
      <c r="B38" t="s">
        <v>925</v>
      </c>
      <c r="C38" t="s">
        <v>926</v>
      </c>
      <c r="D38" t="s">
        <v>263</v>
      </c>
      <c r="E38">
        <v>225</v>
      </c>
      <c r="F38" t="s">
        <v>225</v>
      </c>
      <c r="G38">
        <v>245.25000000000003</v>
      </c>
    </row>
    <row r="39" spans="1:8" x14ac:dyDescent="0.35">
      <c r="A39" t="s">
        <v>895</v>
      </c>
      <c r="B39" t="s">
        <v>959</v>
      </c>
      <c r="C39" t="s">
        <v>960</v>
      </c>
      <c r="D39" t="s">
        <v>220</v>
      </c>
      <c r="E39">
        <v>37</v>
      </c>
      <c r="F39" t="s">
        <v>894</v>
      </c>
      <c r="G39">
        <v>40.330000000000005</v>
      </c>
      <c r="H39" t="s">
        <v>219</v>
      </c>
    </row>
    <row r="40" spans="1:8" x14ac:dyDescent="0.35">
      <c r="A40" t="s">
        <v>893</v>
      </c>
      <c r="B40" t="s">
        <v>961</v>
      </c>
      <c r="C40" t="s">
        <v>962</v>
      </c>
      <c r="D40" t="s">
        <v>140</v>
      </c>
      <c r="E40">
        <v>154</v>
      </c>
      <c r="F40" t="s">
        <v>892</v>
      </c>
      <c r="G40">
        <v>167.86</v>
      </c>
      <c r="H40" t="s">
        <v>891</v>
      </c>
    </row>
    <row r="41" spans="1:8" x14ac:dyDescent="0.35">
      <c r="A41" t="s">
        <v>890</v>
      </c>
      <c r="B41" t="s">
        <v>963</v>
      </c>
      <c r="C41" t="s">
        <v>964</v>
      </c>
      <c r="D41" t="s">
        <v>3</v>
      </c>
      <c r="E41">
        <v>95</v>
      </c>
      <c r="F41" t="s">
        <v>651</v>
      </c>
      <c r="G41">
        <v>103.55000000000001</v>
      </c>
      <c r="H41" t="s">
        <v>889</v>
      </c>
    </row>
    <row r="42" spans="1:8" x14ac:dyDescent="0.35">
      <c r="A42" t="s">
        <v>888</v>
      </c>
      <c r="B42" t="s">
        <v>965</v>
      </c>
      <c r="C42" t="s">
        <v>966</v>
      </c>
      <c r="D42" t="s">
        <v>280</v>
      </c>
      <c r="E42">
        <v>87</v>
      </c>
      <c r="F42" t="s">
        <v>887</v>
      </c>
      <c r="G42">
        <v>94.830000000000013</v>
      </c>
      <c r="H42" t="s">
        <v>279</v>
      </c>
    </row>
    <row r="43" spans="1:8" x14ac:dyDescent="0.35">
      <c r="A43" t="s">
        <v>884</v>
      </c>
      <c r="B43" t="s">
        <v>967</v>
      </c>
      <c r="C43" t="s">
        <v>968</v>
      </c>
      <c r="D43" t="s">
        <v>107</v>
      </c>
      <c r="E43">
        <v>105</v>
      </c>
      <c r="F43" t="s">
        <v>886</v>
      </c>
      <c r="G43">
        <v>114.45</v>
      </c>
      <c r="H43" t="s">
        <v>885</v>
      </c>
    </row>
    <row r="44" spans="1:8" x14ac:dyDescent="0.35">
      <c r="A44" t="s">
        <v>884</v>
      </c>
      <c r="B44" t="s">
        <v>967</v>
      </c>
      <c r="C44" t="s">
        <v>969</v>
      </c>
      <c r="D44" t="s">
        <v>32</v>
      </c>
      <c r="E44">
        <v>53</v>
      </c>
      <c r="F44" t="s">
        <v>176</v>
      </c>
      <c r="G44">
        <v>57.77</v>
      </c>
      <c r="H44">
        <v>53</v>
      </c>
    </row>
    <row r="45" spans="1:8" x14ac:dyDescent="0.35">
      <c r="A45" t="s">
        <v>883</v>
      </c>
      <c r="B45" t="s">
        <v>970</v>
      </c>
      <c r="C45" t="s">
        <v>971</v>
      </c>
      <c r="D45" t="s">
        <v>154</v>
      </c>
      <c r="E45">
        <v>160</v>
      </c>
      <c r="F45" t="s">
        <v>150</v>
      </c>
      <c r="G45">
        <v>174.4</v>
      </c>
      <c r="H45" t="s">
        <v>358</v>
      </c>
    </row>
    <row r="46" spans="1:8" x14ac:dyDescent="0.35">
      <c r="A46" t="s">
        <v>883</v>
      </c>
      <c r="B46" t="s">
        <v>970</v>
      </c>
      <c r="C46" t="s">
        <v>971</v>
      </c>
      <c r="D46" t="s">
        <v>36</v>
      </c>
      <c r="E46">
        <v>65</v>
      </c>
      <c r="F46" t="s">
        <v>349</v>
      </c>
      <c r="G46">
        <v>70.850000000000009</v>
      </c>
      <c r="H46" t="s">
        <v>103</v>
      </c>
    </row>
    <row r="47" spans="1:8" x14ac:dyDescent="0.35">
      <c r="A47" t="s">
        <v>882</v>
      </c>
      <c r="B47" t="s">
        <v>972</v>
      </c>
      <c r="C47" t="s">
        <v>973</v>
      </c>
      <c r="D47" t="s">
        <v>79</v>
      </c>
      <c r="E47">
        <v>40</v>
      </c>
      <c r="F47" t="s">
        <v>176</v>
      </c>
      <c r="G47">
        <v>43.6</v>
      </c>
      <c r="H47">
        <v>40</v>
      </c>
    </row>
    <row r="48" spans="1:8" x14ac:dyDescent="0.35">
      <c r="A48" t="s">
        <v>881</v>
      </c>
      <c r="B48" t="s">
        <v>974</v>
      </c>
      <c r="C48" t="s">
        <v>975</v>
      </c>
      <c r="D48" t="s">
        <v>189</v>
      </c>
      <c r="E48">
        <v>101</v>
      </c>
      <c r="F48" t="s">
        <v>789</v>
      </c>
      <c r="G48">
        <v>110.09</v>
      </c>
      <c r="H48" t="s">
        <v>880</v>
      </c>
    </row>
    <row r="49" spans="1:8" x14ac:dyDescent="0.35">
      <c r="A49" t="s">
        <v>879</v>
      </c>
      <c r="B49" t="s">
        <v>976</v>
      </c>
      <c r="C49" t="s">
        <v>977</v>
      </c>
      <c r="D49" t="s">
        <v>11</v>
      </c>
      <c r="E49">
        <v>150</v>
      </c>
      <c r="F49" t="s">
        <v>878</v>
      </c>
      <c r="G49">
        <v>163.5</v>
      </c>
      <c r="H49" t="s">
        <v>877</v>
      </c>
    </row>
    <row r="50" spans="1:8" x14ac:dyDescent="0.35">
      <c r="A50" t="s">
        <v>876</v>
      </c>
      <c r="B50" t="s">
        <v>978</v>
      </c>
      <c r="C50" t="s">
        <v>979</v>
      </c>
      <c r="D50" t="s">
        <v>147</v>
      </c>
      <c r="E50">
        <v>40</v>
      </c>
      <c r="F50" t="s">
        <v>322</v>
      </c>
      <c r="G50">
        <v>43.6</v>
      </c>
      <c r="H50">
        <v>40</v>
      </c>
    </row>
    <row r="51" spans="1:8" x14ac:dyDescent="0.35">
      <c r="A51" t="s">
        <v>875</v>
      </c>
      <c r="B51" t="s">
        <v>980</v>
      </c>
      <c r="C51" t="s">
        <v>981</v>
      </c>
      <c r="D51" t="s">
        <v>164</v>
      </c>
      <c r="E51">
        <v>222</v>
      </c>
      <c r="F51" t="s">
        <v>874</v>
      </c>
      <c r="G51">
        <v>241.98000000000002</v>
      </c>
      <c r="H51" t="s">
        <v>873</v>
      </c>
    </row>
    <row r="52" spans="1:8" x14ac:dyDescent="0.35">
      <c r="A52" t="s">
        <v>871</v>
      </c>
      <c r="B52" t="s">
        <v>982</v>
      </c>
      <c r="C52" t="s">
        <v>983</v>
      </c>
      <c r="D52" t="s">
        <v>116</v>
      </c>
      <c r="E52">
        <v>60</v>
      </c>
      <c r="F52" t="s">
        <v>872</v>
      </c>
      <c r="G52">
        <v>65.400000000000006</v>
      </c>
      <c r="H52" t="s">
        <v>516</v>
      </c>
    </row>
    <row r="53" spans="1:8" x14ac:dyDescent="0.35">
      <c r="A53" t="s">
        <v>871</v>
      </c>
      <c r="B53" t="s">
        <v>984</v>
      </c>
      <c r="C53" t="s">
        <v>983</v>
      </c>
      <c r="D53" t="s">
        <v>120</v>
      </c>
      <c r="E53">
        <v>55</v>
      </c>
      <c r="F53" t="s">
        <v>870</v>
      </c>
      <c r="G53">
        <v>59.95</v>
      </c>
      <c r="H53" t="s">
        <v>105</v>
      </c>
    </row>
    <row r="54" spans="1:8" x14ac:dyDescent="0.35">
      <c r="A54" t="s">
        <v>869</v>
      </c>
      <c r="B54" t="s">
        <v>985</v>
      </c>
      <c r="C54" t="s">
        <v>986</v>
      </c>
      <c r="D54" t="s">
        <v>112</v>
      </c>
      <c r="E54">
        <v>99</v>
      </c>
      <c r="F54" t="s">
        <v>868</v>
      </c>
      <c r="G54">
        <v>107.91000000000001</v>
      </c>
      <c r="H54" t="s">
        <v>867</v>
      </c>
    </row>
    <row r="55" spans="1:8" x14ac:dyDescent="0.35">
      <c r="D55" t="s">
        <v>866</v>
      </c>
      <c r="E55">
        <v>1523</v>
      </c>
    </row>
    <row r="58" spans="1:8" x14ac:dyDescent="0.35">
      <c r="A58" t="s">
        <v>784</v>
      </c>
    </row>
    <row r="59" spans="1:8" x14ac:dyDescent="0.35">
      <c r="A59" t="s">
        <v>987</v>
      </c>
    </row>
    <row r="60" spans="1:8" x14ac:dyDescent="0.35">
      <c r="A60" t="s">
        <v>52</v>
      </c>
      <c r="B60" t="s">
        <v>51</v>
      </c>
      <c r="C60" t="s">
        <v>50</v>
      </c>
      <c r="D60" t="s">
        <v>49</v>
      </c>
      <c r="E60" t="s">
        <v>48</v>
      </c>
      <c r="F60" t="s">
        <v>47</v>
      </c>
      <c r="G60" t="s">
        <v>46</v>
      </c>
    </row>
    <row r="61" spans="1:8" x14ac:dyDescent="0.35">
      <c r="A61" t="s">
        <v>865</v>
      </c>
      <c r="B61" t="s">
        <v>925</v>
      </c>
      <c r="C61" t="s">
        <v>926</v>
      </c>
      <c r="D61" t="s">
        <v>93</v>
      </c>
      <c r="E61">
        <v>46</v>
      </c>
      <c r="F61" t="s">
        <v>225</v>
      </c>
      <c r="G61">
        <v>50.14</v>
      </c>
    </row>
    <row r="62" spans="1:8" x14ac:dyDescent="0.35">
      <c r="A62" t="s">
        <v>865</v>
      </c>
      <c r="B62" t="s">
        <v>925</v>
      </c>
      <c r="C62" t="s">
        <v>958</v>
      </c>
      <c r="D62" t="s">
        <v>234</v>
      </c>
      <c r="E62">
        <v>130</v>
      </c>
      <c r="F62" t="s">
        <v>225</v>
      </c>
      <c r="G62">
        <v>141.70000000000002</v>
      </c>
    </row>
    <row r="63" spans="1:8" x14ac:dyDescent="0.35">
      <c r="A63" t="s">
        <v>865</v>
      </c>
      <c r="B63" t="s">
        <v>925</v>
      </c>
      <c r="C63" t="s">
        <v>958</v>
      </c>
      <c r="D63" t="s">
        <v>236</v>
      </c>
      <c r="E63">
        <v>130</v>
      </c>
      <c r="F63" t="s">
        <v>225</v>
      </c>
      <c r="G63">
        <v>141.70000000000002</v>
      </c>
    </row>
    <row r="64" spans="1:8" x14ac:dyDescent="0.35">
      <c r="A64" t="s">
        <v>864</v>
      </c>
      <c r="B64" t="s">
        <v>988</v>
      </c>
      <c r="C64" t="s">
        <v>951</v>
      </c>
      <c r="D64" t="s">
        <v>183</v>
      </c>
      <c r="E64">
        <v>93</v>
      </c>
      <c r="F64" t="s">
        <v>659</v>
      </c>
      <c r="G64">
        <v>101.37</v>
      </c>
      <c r="H64" t="s">
        <v>863</v>
      </c>
    </row>
    <row r="65" spans="1:8" x14ac:dyDescent="0.35">
      <c r="A65" t="s">
        <v>862</v>
      </c>
      <c r="B65" t="s">
        <v>989</v>
      </c>
      <c r="C65" t="s">
        <v>990</v>
      </c>
      <c r="D65" t="s">
        <v>229</v>
      </c>
      <c r="E65">
        <v>87</v>
      </c>
      <c r="F65" t="s">
        <v>108</v>
      </c>
      <c r="G65">
        <v>94.830000000000013</v>
      </c>
      <c r="H65" t="s">
        <v>861</v>
      </c>
    </row>
    <row r="66" spans="1:8" x14ac:dyDescent="0.35">
      <c r="A66" t="s">
        <v>860</v>
      </c>
      <c r="B66" t="s">
        <v>991</v>
      </c>
      <c r="C66" t="s">
        <v>992</v>
      </c>
      <c r="D66" t="s">
        <v>167</v>
      </c>
      <c r="E66">
        <v>230</v>
      </c>
      <c r="F66" t="s">
        <v>778</v>
      </c>
      <c r="G66">
        <v>250.70000000000002</v>
      </c>
      <c r="H66" t="s">
        <v>859</v>
      </c>
    </row>
    <row r="67" spans="1:8" x14ac:dyDescent="0.35">
      <c r="A67" t="s">
        <v>858</v>
      </c>
      <c r="B67" t="s">
        <v>993</v>
      </c>
      <c r="C67" t="s">
        <v>994</v>
      </c>
      <c r="D67" t="s">
        <v>195</v>
      </c>
      <c r="E67">
        <v>23</v>
      </c>
      <c r="F67" t="s">
        <v>132</v>
      </c>
      <c r="G67">
        <v>25.07</v>
      </c>
      <c r="H67">
        <v>23</v>
      </c>
    </row>
    <row r="68" spans="1:8" x14ac:dyDescent="0.35">
      <c r="A68" t="s">
        <v>856</v>
      </c>
      <c r="B68" t="s">
        <v>995</v>
      </c>
      <c r="C68" t="s">
        <v>996</v>
      </c>
      <c r="D68" t="s">
        <v>75</v>
      </c>
      <c r="E68">
        <v>57</v>
      </c>
      <c r="F68" t="s">
        <v>56</v>
      </c>
      <c r="G68">
        <v>62.13</v>
      </c>
      <c r="H68" t="s">
        <v>857</v>
      </c>
    </row>
    <row r="69" spans="1:8" x14ac:dyDescent="0.35">
      <c r="A69" t="s">
        <v>856</v>
      </c>
      <c r="B69" t="s">
        <v>995</v>
      </c>
      <c r="C69" t="s">
        <v>996</v>
      </c>
      <c r="D69" t="s">
        <v>223</v>
      </c>
      <c r="E69">
        <v>83</v>
      </c>
      <c r="F69" t="s">
        <v>855</v>
      </c>
      <c r="G69">
        <v>90.470000000000013</v>
      </c>
      <c r="H69" t="s">
        <v>854</v>
      </c>
    </row>
    <row r="70" spans="1:8" x14ac:dyDescent="0.35">
      <c r="A70" t="s">
        <v>853</v>
      </c>
      <c r="B70" t="s">
        <v>997</v>
      </c>
      <c r="C70" t="s">
        <v>998</v>
      </c>
      <c r="D70" t="s">
        <v>104</v>
      </c>
      <c r="E70">
        <v>122</v>
      </c>
      <c r="F70" t="s">
        <v>179</v>
      </c>
      <c r="G70">
        <v>132.98000000000002</v>
      </c>
      <c r="H70" t="s">
        <v>571</v>
      </c>
    </row>
    <row r="71" spans="1:8" x14ac:dyDescent="0.35">
      <c r="A71" t="s">
        <v>779</v>
      </c>
      <c r="B71" t="s">
        <v>999</v>
      </c>
      <c r="C71" t="s">
        <v>1000</v>
      </c>
      <c r="D71" t="s">
        <v>102</v>
      </c>
      <c r="E71">
        <v>340</v>
      </c>
      <c r="F71" t="s">
        <v>852</v>
      </c>
      <c r="G71">
        <v>370.6</v>
      </c>
      <c r="H71" t="s">
        <v>851</v>
      </c>
    </row>
    <row r="72" spans="1:8" x14ac:dyDescent="0.35">
      <c r="A72" t="s">
        <v>850</v>
      </c>
      <c r="B72" t="s">
        <v>1001</v>
      </c>
      <c r="C72" t="s">
        <v>1000</v>
      </c>
      <c r="D72" t="s">
        <v>109</v>
      </c>
      <c r="E72">
        <v>175</v>
      </c>
      <c r="F72" t="s">
        <v>849</v>
      </c>
      <c r="G72">
        <v>190.75</v>
      </c>
      <c r="H72" t="s">
        <v>848</v>
      </c>
    </row>
    <row r="73" spans="1:8" x14ac:dyDescent="0.35">
      <c r="A73" t="s">
        <v>847</v>
      </c>
      <c r="B73" t="s">
        <v>1002</v>
      </c>
      <c r="C73" t="s">
        <v>1003</v>
      </c>
      <c r="D73" t="s">
        <v>90</v>
      </c>
      <c r="E73">
        <v>80</v>
      </c>
      <c r="F73" t="s">
        <v>28</v>
      </c>
      <c r="G73">
        <v>87.2</v>
      </c>
      <c r="H73">
        <v>80</v>
      </c>
    </row>
    <row r="74" spans="1:8" x14ac:dyDescent="0.35">
      <c r="A74" t="s">
        <v>847</v>
      </c>
      <c r="B74" t="s">
        <v>1002</v>
      </c>
      <c r="C74" t="s">
        <v>1003</v>
      </c>
      <c r="D74" t="s">
        <v>86</v>
      </c>
      <c r="E74">
        <v>255</v>
      </c>
      <c r="F74" t="s">
        <v>424</v>
      </c>
      <c r="G74">
        <v>277.95000000000005</v>
      </c>
      <c r="H74" t="s">
        <v>846</v>
      </c>
    </row>
    <row r="75" spans="1:8" x14ac:dyDescent="0.35">
      <c r="A75" t="s">
        <v>845</v>
      </c>
      <c r="B75" t="s">
        <v>1004</v>
      </c>
      <c r="C75" t="s">
        <v>1005</v>
      </c>
      <c r="D75" t="s">
        <v>57</v>
      </c>
      <c r="E75">
        <v>80</v>
      </c>
      <c r="F75" t="s">
        <v>844</v>
      </c>
      <c r="G75">
        <v>87.2</v>
      </c>
      <c r="H75" t="s">
        <v>843</v>
      </c>
    </row>
    <row r="76" spans="1:8" x14ac:dyDescent="0.35">
      <c r="D76" t="s">
        <v>842</v>
      </c>
      <c r="E76">
        <v>1625</v>
      </c>
    </row>
    <row r="79" spans="1:8" x14ac:dyDescent="0.35">
      <c r="A79" t="s">
        <v>784</v>
      </c>
    </row>
    <row r="80" spans="1:8" x14ac:dyDescent="0.35">
      <c r="A80" t="s">
        <v>1006</v>
      </c>
    </row>
    <row r="81" spans="1:8" x14ac:dyDescent="0.35">
      <c r="A81" t="s">
        <v>52</v>
      </c>
      <c r="B81" t="s">
        <v>51</v>
      </c>
      <c r="C81" t="s">
        <v>50</v>
      </c>
      <c r="D81" t="s">
        <v>49</v>
      </c>
      <c r="E81" t="s">
        <v>48</v>
      </c>
      <c r="F81" t="s">
        <v>47</v>
      </c>
      <c r="G81" t="s">
        <v>46</v>
      </c>
    </row>
    <row r="82" spans="1:8" x14ac:dyDescent="0.35">
      <c r="A82" t="s">
        <v>841</v>
      </c>
      <c r="B82" t="s">
        <v>1007</v>
      </c>
      <c r="C82" t="s">
        <v>1008</v>
      </c>
      <c r="D82" t="s">
        <v>328</v>
      </c>
      <c r="E82">
        <v>69</v>
      </c>
      <c r="F82" t="s">
        <v>840</v>
      </c>
      <c r="G82">
        <v>75.210000000000008</v>
      </c>
      <c r="H82" t="s">
        <v>839</v>
      </c>
    </row>
    <row r="83" spans="1:8" x14ac:dyDescent="0.35">
      <c r="A83" t="s">
        <v>836</v>
      </c>
      <c r="B83" t="s">
        <v>1009</v>
      </c>
      <c r="C83" t="s">
        <v>1010</v>
      </c>
      <c r="D83" t="s">
        <v>15</v>
      </c>
      <c r="E83">
        <v>250</v>
      </c>
      <c r="F83" t="s">
        <v>838</v>
      </c>
      <c r="G83">
        <v>272.5</v>
      </c>
      <c r="H83" t="s">
        <v>837</v>
      </c>
    </row>
    <row r="84" spans="1:8" x14ac:dyDescent="0.35">
      <c r="A84" t="s">
        <v>836</v>
      </c>
      <c r="B84" t="s">
        <v>1009</v>
      </c>
      <c r="C84" t="s">
        <v>1011</v>
      </c>
      <c r="D84" t="s">
        <v>83</v>
      </c>
      <c r="E84">
        <v>132</v>
      </c>
      <c r="F84" t="s">
        <v>491</v>
      </c>
      <c r="G84">
        <v>143.88000000000002</v>
      </c>
      <c r="H84" t="s">
        <v>835</v>
      </c>
    </row>
    <row r="85" spans="1:8" x14ac:dyDescent="0.35">
      <c r="A85" t="s">
        <v>834</v>
      </c>
      <c r="B85" t="s">
        <v>1012</v>
      </c>
      <c r="C85" t="s">
        <v>1013</v>
      </c>
      <c r="D85" t="s">
        <v>137</v>
      </c>
      <c r="E85">
        <v>85</v>
      </c>
      <c r="F85" t="s">
        <v>833</v>
      </c>
      <c r="G85">
        <v>92.65</v>
      </c>
      <c r="H85" t="s">
        <v>614</v>
      </c>
    </row>
    <row r="86" spans="1:8" x14ac:dyDescent="0.35">
      <c r="A86" t="s">
        <v>595</v>
      </c>
      <c r="B86" t="s">
        <v>1014</v>
      </c>
      <c r="C86" t="s">
        <v>969</v>
      </c>
      <c r="D86" t="s">
        <v>61</v>
      </c>
      <c r="E86">
        <v>120</v>
      </c>
      <c r="F86" t="s">
        <v>463</v>
      </c>
      <c r="G86">
        <v>130.80000000000001</v>
      </c>
      <c r="H86" t="s">
        <v>832</v>
      </c>
    </row>
    <row r="87" spans="1:8" x14ac:dyDescent="0.35">
      <c r="A87" t="s">
        <v>831</v>
      </c>
      <c r="B87" t="s">
        <v>1015</v>
      </c>
      <c r="C87" t="s">
        <v>1016</v>
      </c>
      <c r="D87" t="s">
        <v>180</v>
      </c>
      <c r="E87">
        <v>128</v>
      </c>
      <c r="F87" t="s">
        <v>830</v>
      </c>
      <c r="G87">
        <v>139.52000000000001</v>
      </c>
      <c r="H87" t="s">
        <v>829</v>
      </c>
    </row>
    <row r="88" spans="1:8" x14ac:dyDescent="0.35">
      <c r="A88" t="s">
        <v>828</v>
      </c>
      <c r="B88" t="s">
        <v>1017</v>
      </c>
      <c r="C88" t="s">
        <v>943</v>
      </c>
      <c r="D88" t="s">
        <v>174</v>
      </c>
      <c r="E88">
        <v>90</v>
      </c>
      <c r="F88" t="s">
        <v>108</v>
      </c>
      <c r="G88">
        <v>98.100000000000009</v>
      </c>
      <c r="H88" t="s">
        <v>680</v>
      </c>
    </row>
    <row r="89" spans="1:8" x14ac:dyDescent="0.35">
      <c r="A89" t="s">
        <v>827</v>
      </c>
      <c r="B89" t="s">
        <v>1018</v>
      </c>
      <c r="C89" t="s">
        <v>1019</v>
      </c>
      <c r="D89" t="s">
        <v>344</v>
      </c>
      <c r="E89">
        <v>70</v>
      </c>
      <c r="F89" t="s">
        <v>56</v>
      </c>
      <c r="G89">
        <v>76.300000000000011</v>
      </c>
      <c r="H89" t="s">
        <v>169</v>
      </c>
    </row>
    <row r="90" spans="1:8" x14ac:dyDescent="0.35">
      <c r="A90" t="s">
        <v>826</v>
      </c>
      <c r="B90" t="s">
        <v>1020</v>
      </c>
      <c r="C90" t="s">
        <v>1021</v>
      </c>
      <c r="D90" t="s">
        <v>151</v>
      </c>
      <c r="E90">
        <v>10</v>
      </c>
      <c r="F90" t="s">
        <v>132</v>
      </c>
      <c r="G90">
        <v>10.9</v>
      </c>
      <c r="H90">
        <v>10</v>
      </c>
    </row>
    <row r="91" spans="1:8" x14ac:dyDescent="0.35">
      <c r="A91" t="s">
        <v>825</v>
      </c>
      <c r="B91" t="s">
        <v>1020</v>
      </c>
      <c r="C91" t="s">
        <v>1022</v>
      </c>
      <c r="D91" t="s">
        <v>199</v>
      </c>
      <c r="E91">
        <v>140</v>
      </c>
      <c r="F91" t="s">
        <v>662</v>
      </c>
      <c r="G91">
        <v>152.60000000000002</v>
      </c>
      <c r="H91" t="s">
        <v>824</v>
      </c>
    </row>
    <row r="92" spans="1:8" x14ac:dyDescent="0.35">
      <c r="A92" t="s">
        <v>823</v>
      </c>
      <c r="B92" t="s">
        <v>1023</v>
      </c>
      <c r="C92" t="s">
        <v>994</v>
      </c>
      <c r="D92" t="s">
        <v>64</v>
      </c>
      <c r="E92">
        <v>40</v>
      </c>
      <c r="F92" t="s">
        <v>822</v>
      </c>
      <c r="G92">
        <v>43.6</v>
      </c>
      <c r="H92" t="s">
        <v>212</v>
      </c>
    </row>
    <row r="93" spans="1:8" x14ac:dyDescent="0.35">
      <c r="A93" t="s">
        <v>821</v>
      </c>
      <c r="B93" t="s">
        <v>1024</v>
      </c>
      <c r="C93" t="s">
        <v>994</v>
      </c>
      <c r="D93" t="s">
        <v>21</v>
      </c>
      <c r="E93">
        <v>75</v>
      </c>
      <c r="F93" t="s">
        <v>28</v>
      </c>
      <c r="G93">
        <v>81.75</v>
      </c>
      <c r="H93">
        <v>75</v>
      </c>
    </row>
    <row r="94" spans="1:8" x14ac:dyDescent="0.35">
      <c r="A94" t="s">
        <v>820</v>
      </c>
      <c r="B94" t="s">
        <v>1025</v>
      </c>
      <c r="C94" t="s">
        <v>1026</v>
      </c>
      <c r="D94" t="s">
        <v>170</v>
      </c>
      <c r="E94">
        <v>70</v>
      </c>
      <c r="F94" t="s">
        <v>26</v>
      </c>
      <c r="G94">
        <v>76.300000000000011</v>
      </c>
      <c r="H94">
        <v>70</v>
      </c>
    </row>
    <row r="95" spans="1:8" x14ac:dyDescent="0.35">
      <c r="A95" t="s">
        <v>819</v>
      </c>
      <c r="B95" t="s">
        <v>1027</v>
      </c>
      <c r="C95" t="s">
        <v>1028</v>
      </c>
      <c r="D95" t="s">
        <v>201</v>
      </c>
      <c r="E95">
        <v>103</v>
      </c>
      <c r="F95" t="s">
        <v>818</v>
      </c>
      <c r="G95">
        <v>112.27000000000001</v>
      </c>
      <c r="H95" t="s">
        <v>817</v>
      </c>
    </row>
    <row r="96" spans="1:8" x14ac:dyDescent="0.35">
      <c r="A96" t="s">
        <v>816</v>
      </c>
      <c r="B96" t="s">
        <v>1029</v>
      </c>
      <c r="C96" t="s">
        <v>1030</v>
      </c>
      <c r="D96" t="s">
        <v>7</v>
      </c>
      <c r="E96">
        <v>240</v>
      </c>
      <c r="F96" t="s">
        <v>815</v>
      </c>
      <c r="G96">
        <v>261.60000000000002</v>
      </c>
      <c r="H96" t="s">
        <v>814</v>
      </c>
    </row>
    <row r="97" spans="1:8" x14ac:dyDescent="0.35">
      <c r="D97" t="s">
        <v>813</v>
      </c>
      <c r="E97">
        <v>1622</v>
      </c>
    </row>
    <row r="100" spans="1:8" x14ac:dyDescent="0.35">
      <c r="A100" t="s">
        <v>784</v>
      </c>
    </row>
    <row r="101" spans="1:8" x14ac:dyDescent="0.35">
      <c r="A101" t="s">
        <v>1031</v>
      </c>
    </row>
    <row r="102" spans="1:8" x14ac:dyDescent="0.35">
      <c r="A102" t="s">
        <v>52</v>
      </c>
      <c r="B102" t="s">
        <v>51</v>
      </c>
      <c r="C102" t="s">
        <v>50</v>
      </c>
      <c r="D102" t="s">
        <v>49</v>
      </c>
      <c r="E102" t="s">
        <v>48</v>
      </c>
      <c r="F102" t="s">
        <v>47</v>
      </c>
      <c r="G102" t="s">
        <v>46</v>
      </c>
    </row>
    <row r="103" spans="1:8" x14ac:dyDescent="0.35">
      <c r="A103" t="s">
        <v>812</v>
      </c>
      <c r="B103" t="s">
        <v>1032</v>
      </c>
      <c r="C103" t="s">
        <v>1033</v>
      </c>
      <c r="D103" t="s">
        <v>11</v>
      </c>
      <c r="E103">
        <v>150</v>
      </c>
      <c r="F103" t="s">
        <v>811</v>
      </c>
      <c r="G103">
        <v>163.5</v>
      </c>
      <c r="H103" t="s">
        <v>810</v>
      </c>
    </row>
    <row r="104" spans="1:8" x14ac:dyDescent="0.35">
      <c r="A104" t="s">
        <v>809</v>
      </c>
      <c r="B104" t="s">
        <v>1034</v>
      </c>
      <c r="C104" t="s">
        <v>1035</v>
      </c>
      <c r="D104" t="s">
        <v>99</v>
      </c>
      <c r="E104">
        <v>125</v>
      </c>
      <c r="F104" t="s">
        <v>808</v>
      </c>
      <c r="G104">
        <v>136.25</v>
      </c>
      <c r="H104" t="s">
        <v>807</v>
      </c>
    </row>
    <row r="105" spans="1:8" x14ac:dyDescent="0.35">
      <c r="A105" t="s">
        <v>806</v>
      </c>
      <c r="B105" t="s">
        <v>1036</v>
      </c>
      <c r="C105" t="s">
        <v>1037</v>
      </c>
      <c r="D105" t="s">
        <v>224</v>
      </c>
      <c r="E105">
        <v>95</v>
      </c>
      <c r="F105" t="s">
        <v>805</v>
      </c>
      <c r="G105">
        <v>103.55000000000001</v>
      </c>
      <c r="H105" t="s">
        <v>804</v>
      </c>
    </row>
    <row r="106" spans="1:8" x14ac:dyDescent="0.35">
      <c r="A106" t="s">
        <v>803</v>
      </c>
      <c r="B106" t="s">
        <v>1038</v>
      </c>
      <c r="C106" t="s">
        <v>1039</v>
      </c>
      <c r="D106" t="s">
        <v>96</v>
      </c>
      <c r="E106">
        <v>245</v>
      </c>
      <c r="F106" t="s">
        <v>802</v>
      </c>
      <c r="G106">
        <v>267.05</v>
      </c>
      <c r="H106" t="s">
        <v>801</v>
      </c>
    </row>
    <row r="107" spans="1:8" x14ac:dyDescent="0.35">
      <c r="A107" t="s">
        <v>800</v>
      </c>
      <c r="B107" t="s">
        <v>1040</v>
      </c>
      <c r="C107" t="s">
        <v>1033</v>
      </c>
      <c r="D107" t="s">
        <v>140</v>
      </c>
      <c r="E107">
        <v>154</v>
      </c>
      <c r="F107" t="s">
        <v>799</v>
      </c>
      <c r="G107">
        <v>167.86</v>
      </c>
      <c r="H107" t="s">
        <v>798</v>
      </c>
    </row>
    <row r="108" spans="1:8" x14ac:dyDescent="0.35">
      <c r="A108" t="s">
        <v>797</v>
      </c>
      <c r="B108" t="s">
        <v>1041</v>
      </c>
      <c r="C108" t="s">
        <v>1042</v>
      </c>
      <c r="D108" t="s">
        <v>249</v>
      </c>
      <c r="E108">
        <v>45</v>
      </c>
      <c r="F108" t="s">
        <v>176</v>
      </c>
      <c r="G108">
        <v>49.050000000000004</v>
      </c>
      <c r="H108">
        <v>45</v>
      </c>
    </row>
    <row r="109" spans="1:8" x14ac:dyDescent="0.35">
      <c r="A109" t="s">
        <v>796</v>
      </c>
      <c r="B109" t="s">
        <v>1043</v>
      </c>
      <c r="C109" t="s">
        <v>1044</v>
      </c>
      <c r="D109" t="s">
        <v>341</v>
      </c>
      <c r="E109">
        <v>40</v>
      </c>
      <c r="F109" t="s">
        <v>682</v>
      </c>
      <c r="G109">
        <v>43.6</v>
      </c>
      <c r="H109" t="s">
        <v>212</v>
      </c>
    </row>
    <row r="110" spans="1:8" x14ac:dyDescent="0.35">
      <c r="A110" t="s">
        <v>795</v>
      </c>
      <c r="B110" t="s">
        <v>1045</v>
      </c>
      <c r="C110" t="s">
        <v>1046</v>
      </c>
      <c r="D110" t="s">
        <v>107</v>
      </c>
      <c r="E110">
        <v>15</v>
      </c>
      <c r="F110" t="s">
        <v>245</v>
      </c>
      <c r="G110">
        <v>16.350000000000001</v>
      </c>
      <c r="H110">
        <v>15</v>
      </c>
    </row>
    <row r="111" spans="1:8" x14ac:dyDescent="0.35">
      <c r="A111" t="s">
        <v>792</v>
      </c>
      <c r="B111" t="s">
        <v>1047</v>
      </c>
      <c r="C111" t="s">
        <v>1048</v>
      </c>
      <c r="D111" t="s">
        <v>164</v>
      </c>
      <c r="E111">
        <v>222</v>
      </c>
      <c r="F111" t="s">
        <v>730</v>
      </c>
      <c r="G111">
        <v>241.98000000000002</v>
      </c>
      <c r="H111" t="s">
        <v>794</v>
      </c>
    </row>
    <row r="112" spans="1:8" x14ac:dyDescent="0.35">
      <c r="A112" t="s">
        <v>792</v>
      </c>
      <c r="B112" t="s">
        <v>1047</v>
      </c>
      <c r="C112" t="s">
        <v>1048</v>
      </c>
      <c r="D112" t="s">
        <v>29</v>
      </c>
      <c r="E112">
        <v>76</v>
      </c>
      <c r="F112" t="s">
        <v>28</v>
      </c>
      <c r="G112">
        <v>82.84</v>
      </c>
      <c r="H112">
        <v>76</v>
      </c>
    </row>
    <row r="113" spans="1:8" x14ac:dyDescent="0.35">
      <c r="A113" t="s">
        <v>792</v>
      </c>
      <c r="B113" t="s">
        <v>1047</v>
      </c>
      <c r="C113" t="s">
        <v>1048</v>
      </c>
      <c r="D113" t="s">
        <v>189</v>
      </c>
      <c r="E113">
        <v>101</v>
      </c>
      <c r="F113" t="s">
        <v>43</v>
      </c>
      <c r="G113">
        <v>110.09</v>
      </c>
      <c r="H113" t="s">
        <v>793</v>
      </c>
    </row>
    <row r="114" spans="1:8" x14ac:dyDescent="0.35">
      <c r="A114" t="s">
        <v>792</v>
      </c>
      <c r="B114" t="s">
        <v>1047</v>
      </c>
      <c r="C114" t="s">
        <v>1048</v>
      </c>
      <c r="D114" t="s">
        <v>147</v>
      </c>
      <c r="E114">
        <v>40</v>
      </c>
      <c r="F114" t="s">
        <v>322</v>
      </c>
      <c r="G114">
        <v>43.6</v>
      </c>
      <c r="H114">
        <v>40</v>
      </c>
    </row>
    <row r="115" spans="1:8" x14ac:dyDescent="0.35">
      <c r="A115" t="s">
        <v>770</v>
      </c>
      <c r="B115" t="s">
        <v>1049</v>
      </c>
      <c r="C115" t="s">
        <v>1050</v>
      </c>
      <c r="D115" t="s">
        <v>123</v>
      </c>
      <c r="E115">
        <v>75</v>
      </c>
      <c r="F115" t="s">
        <v>791</v>
      </c>
      <c r="G115">
        <v>81.75</v>
      </c>
      <c r="H115" t="s">
        <v>790</v>
      </c>
    </row>
    <row r="116" spans="1:8" x14ac:dyDescent="0.35">
      <c r="A116" t="s">
        <v>770</v>
      </c>
      <c r="B116" t="s">
        <v>1049</v>
      </c>
      <c r="C116" t="s">
        <v>1050</v>
      </c>
      <c r="D116" t="s">
        <v>126</v>
      </c>
      <c r="E116">
        <v>100</v>
      </c>
      <c r="F116" t="s">
        <v>789</v>
      </c>
      <c r="G116">
        <v>109.00000000000001</v>
      </c>
      <c r="H116" t="s">
        <v>788</v>
      </c>
    </row>
    <row r="117" spans="1:8" x14ac:dyDescent="0.35">
      <c r="A117" t="s">
        <v>787</v>
      </c>
      <c r="B117" t="s">
        <v>1051</v>
      </c>
      <c r="C117" t="s">
        <v>1052</v>
      </c>
      <c r="D117" t="s">
        <v>3</v>
      </c>
      <c r="E117">
        <v>95</v>
      </c>
      <c r="F117" t="s">
        <v>108</v>
      </c>
      <c r="G117">
        <v>103.55000000000001</v>
      </c>
      <c r="H117" t="s">
        <v>786</v>
      </c>
    </row>
    <row r="118" spans="1:8" x14ac:dyDescent="0.35">
      <c r="D118" t="s">
        <v>785</v>
      </c>
      <c r="E118">
        <v>1578</v>
      </c>
    </row>
    <row r="121" spans="1:8" x14ac:dyDescent="0.35">
      <c r="A121" t="s">
        <v>784</v>
      </c>
    </row>
    <row r="122" spans="1:8" x14ac:dyDescent="0.35">
      <c r="A122" t="s">
        <v>281</v>
      </c>
    </row>
    <row r="123" spans="1:8" x14ac:dyDescent="0.35">
      <c r="A123" t="s">
        <v>52</v>
      </c>
      <c r="B123" t="s">
        <v>51</v>
      </c>
      <c r="C123" t="s">
        <v>50</v>
      </c>
      <c r="D123" t="s">
        <v>49</v>
      </c>
      <c r="E123" t="s">
        <v>48</v>
      </c>
      <c r="F123" t="s">
        <v>47</v>
      </c>
      <c r="G123" t="s">
        <v>46</v>
      </c>
    </row>
    <row r="124" spans="1:8" x14ac:dyDescent="0.35">
      <c r="A124" t="s">
        <v>783</v>
      </c>
      <c r="B124" t="s">
        <v>1053</v>
      </c>
      <c r="C124" t="s">
        <v>1054</v>
      </c>
      <c r="D124" t="s">
        <v>206</v>
      </c>
      <c r="E124">
        <v>32</v>
      </c>
      <c r="F124" t="s">
        <v>225</v>
      </c>
      <c r="G124">
        <v>34.880000000000003</v>
      </c>
    </row>
    <row r="125" spans="1:8" x14ac:dyDescent="0.35">
      <c r="A125" t="s">
        <v>781</v>
      </c>
      <c r="B125" t="s">
        <v>1055</v>
      </c>
      <c r="C125" t="s">
        <v>1056</v>
      </c>
      <c r="D125" t="s">
        <v>27</v>
      </c>
      <c r="E125">
        <v>80</v>
      </c>
      <c r="F125" t="s">
        <v>20</v>
      </c>
      <c r="G125">
        <v>87.2</v>
      </c>
      <c r="H125" t="s">
        <v>373</v>
      </c>
    </row>
    <row r="126" spans="1:8" x14ac:dyDescent="0.35">
      <c r="A126" t="s">
        <v>781</v>
      </c>
      <c r="B126" t="s">
        <v>1055</v>
      </c>
      <c r="C126" t="s">
        <v>1056</v>
      </c>
      <c r="D126" t="s">
        <v>220</v>
      </c>
      <c r="E126">
        <v>37</v>
      </c>
      <c r="F126" t="s">
        <v>782</v>
      </c>
      <c r="G126">
        <v>40.330000000000005</v>
      </c>
      <c r="H126" t="s">
        <v>219</v>
      </c>
    </row>
    <row r="127" spans="1:8" x14ac:dyDescent="0.35">
      <c r="A127" t="s">
        <v>781</v>
      </c>
      <c r="B127" t="s">
        <v>1055</v>
      </c>
      <c r="C127" t="s">
        <v>1056</v>
      </c>
      <c r="D127" t="s">
        <v>25</v>
      </c>
      <c r="E127">
        <v>240</v>
      </c>
      <c r="F127" t="s">
        <v>730</v>
      </c>
      <c r="G127">
        <v>261.60000000000002</v>
      </c>
      <c r="H127" t="s">
        <v>729</v>
      </c>
    </row>
    <row r="128" spans="1:8" x14ac:dyDescent="0.35">
      <c r="A128" t="s">
        <v>781</v>
      </c>
      <c r="B128" t="s">
        <v>1055</v>
      </c>
      <c r="C128" t="s">
        <v>1056</v>
      </c>
      <c r="D128" t="s">
        <v>67</v>
      </c>
      <c r="E128">
        <v>82</v>
      </c>
      <c r="F128" t="s">
        <v>98</v>
      </c>
      <c r="G128">
        <v>89.38000000000001</v>
      </c>
      <c r="H128" t="s">
        <v>780</v>
      </c>
    </row>
    <row r="129" spans="1:8" x14ac:dyDescent="0.35">
      <c r="A129" t="s">
        <v>779</v>
      </c>
      <c r="B129" t="s">
        <v>999</v>
      </c>
      <c r="C129" t="s">
        <v>1057</v>
      </c>
      <c r="D129" t="s">
        <v>86</v>
      </c>
      <c r="E129">
        <v>255</v>
      </c>
      <c r="F129" t="s">
        <v>778</v>
      </c>
      <c r="G129">
        <v>277.95000000000005</v>
      </c>
      <c r="H129" t="s">
        <v>777</v>
      </c>
    </row>
    <row r="130" spans="1:8" x14ac:dyDescent="0.35">
      <c r="A130" t="s">
        <v>776</v>
      </c>
      <c r="B130" t="s">
        <v>1058</v>
      </c>
      <c r="C130" t="s">
        <v>1059</v>
      </c>
      <c r="D130" t="s">
        <v>75</v>
      </c>
      <c r="E130">
        <v>57</v>
      </c>
      <c r="F130" t="s">
        <v>775</v>
      </c>
      <c r="G130">
        <v>62.13</v>
      </c>
      <c r="H130" t="s">
        <v>697</v>
      </c>
    </row>
    <row r="131" spans="1:8" x14ac:dyDescent="0.35">
      <c r="A131" t="s">
        <v>774</v>
      </c>
      <c r="B131" t="s">
        <v>1060</v>
      </c>
      <c r="C131" t="s">
        <v>1061</v>
      </c>
      <c r="D131" t="s">
        <v>260</v>
      </c>
      <c r="E131">
        <v>83</v>
      </c>
      <c r="F131" t="s">
        <v>26</v>
      </c>
      <c r="G131">
        <v>90.470000000000013</v>
      </c>
      <c r="H131">
        <v>83</v>
      </c>
    </row>
    <row r="132" spans="1:8" x14ac:dyDescent="0.35">
      <c r="A132" t="s">
        <v>774</v>
      </c>
      <c r="B132" t="s">
        <v>1060</v>
      </c>
      <c r="C132" t="s">
        <v>1061</v>
      </c>
      <c r="D132" t="s">
        <v>93</v>
      </c>
      <c r="E132">
        <v>46</v>
      </c>
      <c r="F132" t="s">
        <v>192</v>
      </c>
      <c r="G132">
        <v>50.14</v>
      </c>
      <c r="H132">
        <v>46</v>
      </c>
    </row>
    <row r="133" spans="1:8" x14ac:dyDescent="0.35">
      <c r="A133" t="s">
        <v>774</v>
      </c>
      <c r="B133" t="s">
        <v>1060</v>
      </c>
      <c r="C133" t="s">
        <v>981</v>
      </c>
      <c r="D133" t="s">
        <v>277</v>
      </c>
      <c r="E133">
        <v>70</v>
      </c>
      <c r="F133" t="s">
        <v>688</v>
      </c>
      <c r="G133">
        <v>76.300000000000011</v>
      </c>
      <c r="H133" t="s">
        <v>535</v>
      </c>
    </row>
    <row r="134" spans="1:8" x14ac:dyDescent="0.35">
      <c r="A134" t="s">
        <v>774</v>
      </c>
      <c r="B134" t="s">
        <v>1060</v>
      </c>
      <c r="C134" t="s">
        <v>981</v>
      </c>
      <c r="D134" t="s">
        <v>263</v>
      </c>
      <c r="E134">
        <v>225</v>
      </c>
      <c r="F134" t="s">
        <v>742</v>
      </c>
      <c r="G134">
        <v>245.25000000000003</v>
      </c>
      <c r="H134" t="s">
        <v>741</v>
      </c>
    </row>
    <row r="135" spans="1:8" x14ac:dyDescent="0.35">
      <c r="A135" t="s">
        <v>773</v>
      </c>
      <c r="B135" t="s">
        <v>1062</v>
      </c>
      <c r="C135" t="s">
        <v>1063</v>
      </c>
      <c r="D135" t="s">
        <v>32</v>
      </c>
      <c r="E135">
        <v>53</v>
      </c>
      <c r="F135" t="s">
        <v>28</v>
      </c>
      <c r="G135">
        <v>57.77</v>
      </c>
      <c r="H135">
        <v>53</v>
      </c>
    </row>
    <row r="136" spans="1:8" x14ac:dyDescent="0.35">
      <c r="A136" t="s">
        <v>772</v>
      </c>
      <c r="B136" t="s">
        <v>1064</v>
      </c>
      <c r="C136" t="s">
        <v>1065</v>
      </c>
      <c r="D136" t="s">
        <v>57</v>
      </c>
      <c r="E136">
        <v>80</v>
      </c>
      <c r="F136" t="s">
        <v>26</v>
      </c>
      <c r="G136">
        <v>87.2</v>
      </c>
      <c r="H136">
        <v>80</v>
      </c>
    </row>
    <row r="137" spans="1:8" x14ac:dyDescent="0.35">
      <c r="A137" t="s">
        <v>771</v>
      </c>
      <c r="B137" t="s">
        <v>1066</v>
      </c>
      <c r="C137" t="s">
        <v>1065</v>
      </c>
      <c r="D137" t="s">
        <v>112</v>
      </c>
      <c r="E137">
        <v>99</v>
      </c>
      <c r="F137" t="s">
        <v>28</v>
      </c>
      <c r="G137">
        <v>107.91000000000001</v>
      </c>
      <c r="H137">
        <v>99</v>
      </c>
    </row>
    <row r="138" spans="1:8" x14ac:dyDescent="0.35">
      <c r="A138" t="s">
        <v>770</v>
      </c>
      <c r="B138" t="s">
        <v>1067</v>
      </c>
      <c r="C138" t="s">
        <v>990</v>
      </c>
      <c r="D138" t="s">
        <v>90</v>
      </c>
      <c r="E138">
        <v>80</v>
      </c>
      <c r="F138" t="s">
        <v>20</v>
      </c>
      <c r="G138">
        <v>87.2</v>
      </c>
      <c r="H138" t="s">
        <v>373</v>
      </c>
    </row>
    <row r="139" spans="1:8" x14ac:dyDescent="0.35">
      <c r="A139" t="s">
        <v>769</v>
      </c>
      <c r="B139" t="s">
        <v>1068</v>
      </c>
      <c r="C139" t="s">
        <v>990</v>
      </c>
      <c r="D139" t="s">
        <v>222</v>
      </c>
      <c r="E139">
        <v>155</v>
      </c>
      <c r="F139" t="s">
        <v>768</v>
      </c>
      <c r="G139">
        <v>168.95000000000002</v>
      </c>
      <c r="H139" t="s">
        <v>767</v>
      </c>
    </row>
    <row r="140" spans="1:8" x14ac:dyDescent="0.35">
      <c r="D140" t="s">
        <v>766</v>
      </c>
      <c r="E140">
        <v>1642</v>
      </c>
    </row>
    <row r="143" spans="1:8" x14ac:dyDescent="0.35">
      <c r="A143" t="s">
        <v>636</v>
      </c>
    </row>
    <row r="144" spans="1:8" x14ac:dyDescent="0.35">
      <c r="A144" t="s">
        <v>924</v>
      </c>
    </row>
    <row r="145" spans="1:8" x14ac:dyDescent="0.35">
      <c r="A145" t="s">
        <v>52</v>
      </c>
      <c r="B145" t="s">
        <v>51</v>
      </c>
      <c r="C145" t="s">
        <v>50</v>
      </c>
      <c r="D145" t="s">
        <v>49</v>
      </c>
      <c r="E145" t="s">
        <v>48</v>
      </c>
      <c r="F145" t="s">
        <v>47</v>
      </c>
      <c r="G145" t="s">
        <v>46</v>
      </c>
    </row>
    <row r="146" spans="1:8" x14ac:dyDescent="0.35">
      <c r="A146" t="s">
        <v>765</v>
      </c>
      <c r="B146" t="s">
        <v>1069</v>
      </c>
      <c r="C146" t="s">
        <v>1070</v>
      </c>
      <c r="D146" t="s">
        <v>224</v>
      </c>
      <c r="E146">
        <v>95</v>
      </c>
      <c r="F146" t="s">
        <v>28</v>
      </c>
      <c r="G146">
        <v>103.55000000000001</v>
      </c>
      <c r="H146">
        <v>95</v>
      </c>
    </row>
    <row r="147" spans="1:8" x14ac:dyDescent="0.35">
      <c r="A147" t="s">
        <v>737</v>
      </c>
      <c r="B147" t="s">
        <v>1071</v>
      </c>
      <c r="C147" t="s">
        <v>1072</v>
      </c>
      <c r="D147" t="s">
        <v>96</v>
      </c>
      <c r="E147">
        <v>245</v>
      </c>
      <c r="F147" t="s">
        <v>424</v>
      </c>
      <c r="G147">
        <v>267.05</v>
      </c>
      <c r="H147" t="s">
        <v>764</v>
      </c>
    </row>
    <row r="148" spans="1:8" x14ac:dyDescent="0.35">
      <c r="A148" t="s">
        <v>737</v>
      </c>
      <c r="B148" t="s">
        <v>1071</v>
      </c>
      <c r="C148" t="s">
        <v>1073</v>
      </c>
      <c r="D148" t="s">
        <v>61</v>
      </c>
      <c r="E148">
        <v>120</v>
      </c>
      <c r="F148" t="s">
        <v>763</v>
      </c>
      <c r="G148">
        <v>130.80000000000001</v>
      </c>
      <c r="H148" t="s">
        <v>762</v>
      </c>
    </row>
    <row r="149" spans="1:8" x14ac:dyDescent="0.35">
      <c r="A149" t="s">
        <v>737</v>
      </c>
      <c r="B149" t="s">
        <v>1071</v>
      </c>
      <c r="C149" t="s">
        <v>1074</v>
      </c>
      <c r="D149" t="s">
        <v>93</v>
      </c>
      <c r="E149">
        <v>46</v>
      </c>
      <c r="F149" t="s">
        <v>176</v>
      </c>
      <c r="G149">
        <v>50.14</v>
      </c>
      <c r="H149">
        <v>46</v>
      </c>
    </row>
    <row r="150" spans="1:8" x14ac:dyDescent="0.35">
      <c r="A150" t="s">
        <v>737</v>
      </c>
      <c r="B150" t="s">
        <v>1071</v>
      </c>
      <c r="C150" t="s">
        <v>1072</v>
      </c>
      <c r="D150" t="s">
        <v>144</v>
      </c>
      <c r="E150">
        <v>85</v>
      </c>
      <c r="F150" t="s">
        <v>761</v>
      </c>
      <c r="G150">
        <v>92.65</v>
      </c>
      <c r="H150" t="s">
        <v>760</v>
      </c>
    </row>
    <row r="151" spans="1:8" x14ac:dyDescent="0.35">
      <c r="A151" t="s">
        <v>737</v>
      </c>
      <c r="B151" t="s">
        <v>1071</v>
      </c>
      <c r="C151" t="s">
        <v>1075</v>
      </c>
      <c r="D151" t="s">
        <v>234</v>
      </c>
      <c r="E151">
        <v>130</v>
      </c>
      <c r="F151" t="s">
        <v>759</v>
      </c>
      <c r="G151">
        <v>141.70000000000002</v>
      </c>
      <c r="H151" t="s">
        <v>758</v>
      </c>
    </row>
    <row r="152" spans="1:8" x14ac:dyDescent="0.35">
      <c r="A152" t="s">
        <v>737</v>
      </c>
      <c r="B152" t="s">
        <v>1071</v>
      </c>
      <c r="C152" t="s">
        <v>1074</v>
      </c>
      <c r="D152" t="s">
        <v>277</v>
      </c>
      <c r="E152">
        <v>70</v>
      </c>
      <c r="F152" t="s">
        <v>757</v>
      </c>
      <c r="G152">
        <v>76.300000000000011</v>
      </c>
      <c r="H152" t="s">
        <v>756</v>
      </c>
    </row>
    <row r="153" spans="1:8" x14ac:dyDescent="0.35">
      <c r="A153" t="s">
        <v>737</v>
      </c>
      <c r="B153" t="s">
        <v>1071</v>
      </c>
      <c r="C153" t="s">
        <v>1075</v>
      </c>
      <c r="D153" t="s">
        <v>59</v>
      </c>
      <c r="E153">
        <v>56</v>
      </c>
      <c r="F153" t="s">
        <v>755</v>
      </c>
      <c r="G153">
        <v>61.040000000000006</v>
      </c>
      <c r="H153" t="s">
        <v>754</v>
      </c>
    </row>
    <row r="154" spans="1:8" x14ac:dyDescent="0.35">
      <c r="A154" t="s">
        <v>737</v>
      </c>
      <c r="B154" t="s">
        <v>1071</v>
      </c>
      <c r="C154" t="s">
        <v>1073</v>
      </c>
      <c r="D154" t="s">
        <v>130</v>
      </c>
      <c r="E154">
        <v>295</v>
      </c>
      <c r="F154" t="s">
        <v>753</v>
      </c>
      <c r="G154">
        <v>321.55</v>
      </c>
      <c r="H154" t="s">
        <v>752</v>
      </c>
    </row>
    <row r="155" spans="1:8" x14ac:dyDescent="0.35">
      <c r="A155" t="s">
        <v>737</v>
      </c>
      <c r="B155" t="s">
        <v>1071</v>
      </c>
      <c r="C155" t="s">
        <v>1076</v>
      </c>
      <c r="D155" t="s">
        <v>236</v>
      </c>
      <c r="E155">
        <v>130</v>
      </c>
      <c r="F155" t="s">
        <v>751</v>
      </c>
      <c r="G155">
        <v>141.70000000000002</v>
      </c>
      <c r="H155" t="s">
        <v>750</v>
      </c>
    </row>
    <row r="156" spans="1:8" x14ac:dyDescent="0.35">
      <c r="A156" t="s">
        <v>737</v>
      </c>
      <c r="B156" t="s">
        <v>1071</v>
      </c>
      <c r="C156" t="s">
        <v>1074</v>
      </c>
      <c r="D156" t="s">
        <v>180</v>
      </c>
      <c r="E156">
        <v>128</v>
      </c>
      <c r="F156" t="s">
        <v>596</v>
      </c>
      <c r="G156">
        <v>139.52000000000001</v>
      </c>
      <c r="H156" t="s">
        <v>749</v>
      </c>
    </row>
    <row r="157" spans="1:8" x14ac:dyDescent="0.35">
      <c r="A157" t="s">
        <v>737</v>
      </c>
      <c r="B157" t="s">
        <v>1071</v>
      </c>
      <c r="C157" t="s">
        <v>1073</v>
      </c>
      <c r="D157" t="s">
        <v>263</v>
      </c>
      <c r="E157">
        <v>225</v>
      </c>
      <c r="F157" t="s">
        <v>742</v>
      </c>
      <c r="G157">
        <v>245.25000000000003</v>
      </c>
      <c r="H157" t="s">
        <v>748</v>
      </c>
    </row>
    <row r="158" spans="1:8" x14ac:dyDescent="0.35">
      <c r="A158" t="s">
        <v>737</v>
      </c>
      <c r="B158" t="s">
        <v>1071</v>
      </c>
      <c r="C158" t="s">
        <v>1074</v>
      </c>
      <c r="D158" t="s">
        <v>260</v>
      </c>
      <c r="E158">
        <v>83</v>
      </c>
      <c r="F158" t="s">
        <v>20</v>
      </c>
      <c r="G158">
        <v>90.470000000000013</v>
      </c>
      <c r="H158" t="s">
        <v>747</v>
      </c>
    </row>
    <row r="159" spans="1:8" x14ac:dyDescent="0.35">
      <c r="D159" t="s">
        <v>746</v>
      </c>
      <c r="E159">
        <v>1708</v>
      </c>
    </row>
    <row r="162" spans="1:8" x14ac:dyDescent="0.35">
      <c r="A162" t="s">
        <v>636</v>
      </c>
    </row>
    <row r="163" spans="1:8" x14ac:dyDescent="0.35">
      <c r="A163" t="s">
        <v>956</v>
      </c>
    </row>
    <row r="164" spans="1:8" x14ac:dyDescent="0.35">
      <c r="A164" t="s">
        <v>52</v>
      </c>
      <c r="B164" t="s">
        <v>51</v>
      </c>
      <c r="C164" t="s">
        <v>50</v>
      </c>
      <c r="D164" t="s">
        <v>49</v>
      </c>
      <c r="E164" t="s">
        <v>48</v>
      </c>
      <c r="F164" t="s">
        <v>47</v>
      </c>
      <c r="G164" t="s">
        <v>46</v>
      </c>
    </row>
    <row r="165" spans="1:8" x14ac:dyDescent="0.35">
      <c r="A165" t="s">
        <v>743</v>
      </c>
      <c r="B165" t="s">
        <v>1077</v>
      </c>
      <c r="C165" t="s">
        <v>1073</v>
      </c>
      <c r="D165" t="s">
        <v>222</v>
      </c>
      <c r="E165">
        <v>155</v>
      </c>
      <c r="F165" t="s">
        <v>745</v>
      </c>
      <c r="G165">
        <v>168.95000000000002</v>
      </c>
      <c r="H165" t="s">
        <v>744</v>
      </c>
    </row>
    <row r="166" spans="1:8" x14ac:dyDescent="0.35">
      <c r="A166" t="s">
        <v>743</v>
      </c>
      <c r="B166" t="s">
        <v>1077</v>
      </c>
      <c r="C166" t="s">
        <v>1073</v>
      </c>
      <c r="D166" t="s">
        <v>164</v>
      </c>
      <c r="E166">
        <v>222</v>
      </c>
      <c r="F166" t="s">
        <v>742</v>
      </c>
      <c r="G166">
        <v>241.98000000000002</v>
      </c>
      <c r="H166" t="s">
        <v>741</v>
      </c>
    </row>
    <row r="167" spans="1:8" x14ac:dyDescent="0.35">
      <c r="A167" t="s">
        <v>740</v>
      </c>
      <c r="B167" t="s">
        <v>1078</v>
      </c>
      <c r="C167" t="s">
        <v>1079</v>
      </c>
      <c r="D167" t="s">
        <v>40</v>
      </c>
      <c r="E167">
        <v>262</v>
      </c>
      <c r="F167" t="s">
        <v>739</v>
      </c>
      <c r="G167">
        <v>285.58000000000004</v>
      </c>
      <c r="H167" t="s">
        <v>738</v>
      </c>
    </row>
    <row r="168" spans="1:8" x14ac:dyDescent="0.35">
      <c r="A168" t="s">
        <v>737</v>
      </c>
      <c r="B168" t="s">
        <v>1071</v>
      </c>
      <c r="C168" t="s">
        <v>1072</v>
      </c>
      <c r="D168" t="s">
        <v>99</v>
      </c>
      <c r="E168">
        <v>125</v>
      </c>
      <c r="F168" t="s">
        <v>28</v>
      </c>
      <c r="G168">
        <v>136.25</v>
      </c>
      <c r="H168">
        <v>125</v>
      </c>
    </row>
    <row r="169" spans="1:8" x14ac:dyDescent="0.35">
      <c r="A169" t="s">
        <v>737</v>
      </c>
      <c r="B169" t="s">
        <v>1071</v>
      </c>
      <c r="C169" t="s">
        <v>1072</v>
      </c>
      <c r="D169" t="s">
        <v>44</v>
      </c>
      <c r="E169">
        <v>103</v>
      </c>
      <c r="F169" t="s">
        <v>26</v>
      </c>
      <c r="G169">
        <v>112.27000000000001</v>
      </c>
      <c r="H169">
        <v>103</v>
      </c>
    </row>
    <row r="170" spans="1:8" x14ac:dyDescent="0.35">
      <c r="A170" t="s">
        <v>736</v>
      </c>
      <c r="B170" t="s">
        <v>1080</v>
      </c>
      <c r="C170" t="s">
        <v>1081</v>
      </c>
      <c r="D170" t="s">
        <v>104</v>
      </c>
      <c r="E170">
        <v>122</v>
      </c>
      <c r="F170" t="s">
        <v>596</v>
      </c>
      <c r="G170">
        <v>132.98000000000002</v>
      </c>
      <c r="H170" t="s">
        <v>735</v>
      </c>
    </row>
    <row r="171" spans="1:8" x14ac:dyDescent="0.35">
      <c r="A171" t="s">
        <v>734</v>
      </c>
      <c r="B171" t="s">
        <v>1082</v>
      </c>
      <c r="C171" t="s">
        <v>1083</v>
      </c>
      <c r="D171" t="s">
        <v>112</v>
      </c>
      <c r="E171">
        <v>99</v>
      </c>
      <c r="F171" t="s">
        <v>733</v>
      </c>
      <c r="G171">
        <v>107.91000000000001</v>
      </c>
      <c r="H171" t="s">
        <v>732</v>
      </c>
    </row>
    <row r="172" spans="1:8" x14ac:dyDescent="0.35">
      <c r="A172" t="s">
        <v>731</v>
      </c>
      <c r="B172" t="s">
        <v>1084</v>
      </c>
      <c r="C172" t="s">
        <v>1085</v>
      </c>
      <c r="D172" t="s">
        <v>220</v>
      </c>
      <c r="E172">
        <v>37</v>
      </c>
      <c r="F172" t="s">
        <v>322</v>
      </c>
      <c r="G172">
        <v>40.330000000000005</v>
      </c>
      <c r="H172">
        <v>37</v>
      </c>
    </row>
    <row r="173" spans="1:8" x14ac:dyDescent="0.35">
      <c r="A173" t="s">
        <v>727</v>
      </c>
      <c r="B173" t="s">
        <v>1086</v>
      </c>
      <c r="C173" t="s">
        <v>1085</v>
      </c>
      <c r="D173" t="s">
        <v>25</v>
      </c>
      <c r="E173">
        <v>240</v>
      </c>
      <c r="F173" t="s">
        <v>730</v>
      </c>
      <c r="G173">
        <v>261.60000000000002</v>
      </c>
      <c r="H173" t="s">
        <v>729</v>
      </c>
    </row>
    <row r="174" spans="1:8" x14ac:dyDescent="0.35">
      <c r="A174" t="s">
        <v>727</v>
      </c>
      <c r="B174" t="s">
        <v>1086</v>
      </c>
      <c r="C174" t="s">
        <v>1085</v>
      </c>
      <c r="D174" t="s">
        <v>21</v>
      </c>
      <c r="E174">
        <v>75</v>
      </c>
      <c r="F174" t="s">
        <v>728</v>
      </c>
      <c r="G174">
        <v>81.75</v>
      </c>
      <c r="H174" t="s">
        <v>605</v>
      </c>
    </row>
    <row r="175" spans="1:8" x14ac:dyDescent="0.35">
      <c r="A175" t="s">
        <v>727</v>
      </c>
      <c r="B175" t="s">
        <v>1086</v>
      </c>
      <c r="C175" t="s">
        <v>1085</v>
      </c>
      <c r="D175" t="s">
        <v>27</v>
      </c>
      <c r="E175">
        <v>80</v>
      </c>
      <c r="F175" t="s">
        <v>20</v>
      </c>
      <c r="G175">
        <v>87.2</v>
      </c>
      <c r="H175" t="s">
        <v>373</v>
      </c>
    </row>
    <row r="176" spans="1:8" x14ac:dyDescent="0.35">
      <c r="A176" t="s">
        <v>727</v>
      </c>
      <c r="B176" t="s">
        <v>1086</v>
      </c>
      <c r="C176" t="s">
        <v>1085</v>
      </c>
      <c r="D176" t="s">
        <v>67</v>
      </c>
      <c r="E176">
        <v>82</v>
      </c>
      <c r="F176" t="s">
        <v>726</v>
      </c>
      <c r="G176">
        <v>89.38000000000001</v>
      </c>
      <c r="H176" t="s">
        <v>725</v>
      </c>
    </row>
    <row r="177" spans="1:8" x14ac:dyDescent="0.35">
      <c r="A177" t="s">
        <v>724</v>
      </c>
      <c r="B177" t="s">
        <v>1087</v>
      </c>
      <c r="C177" t="s">
        <v>1088</v>
      </c>
      <c r="D177" t="s">
        <v>107</v>
      </c>
      <c r="E177">
        <v>105</v>
      </c>
      <c r="F177" t="s">
        <v>723</v>
      </c>
      <c r="G177">
        <v>114.45</v>
      </c>
      <c r="H177" t="s">
        <v>722</v>
      </c>
    </row>
    <row r="178" spans="1:8" x14ac:dyDescent="0.35">
      <c r="D178" t="s">
        <v>721</v>
      </c>
      <c r="E178">
        <v>1707</v>
      </c>
    </row>
    <row r="181" spans="1:8" x14ac:dyDescent="0.35">
      <c r="A181" t="s">
        <v>636</v>
      </c>
    </row>
    <row r="182" spans="1:8" x14ac:dyDescent="0.35">
      <c r="A182" t="s">
        <v>987</v>
      </c>
    </row>
    <row r="183" spans="1:8" x14ac:dyDescent="0.35">
      <c r="A183" t="s">
        <v>52</v>
      </c>
      <c r="B183" t="s">
        <v>51</v>
      </c>
      <c r="C183" t="s">
        <v>50</v>
      </c>
      <c r="D183" t="s">
        <v>49</v>
      </c>
      <c r="E183" t="s">
        <v>48</v>
      </c>
      <c r="F183" t="s">
        <v>47</v>
      </c>
      <c r="G183" t="s">
        <v>46</v>
      </c>
    </row>
    <row r="184" spans="1:8" x14ac:dyDescent="0.35">
      <c r="A184" t="s">
        <v>720</v>
      </c>
      <c r="B184" t="s">
        <v>1089</v>
      </c>
      <c r="C184" t="s">
        <v>1090</v>
      </c>
      <c r="D184" t="s">
        <v>133</v>
      </c>
      <c r="E184">
        <v>189</v>
      </c>
      <c r="F184" t="s">
        <v>719</v>
      </c>
      <c r="G184">
        <v>206.01000000000002</v>
      </c>
      <c r="H184" t="s">
        <v>718</v>
      </c>
    </row>
    <row r="185" spans="1:8" x14ac:dyDescent="0.35">
      <c r="A185" t="s">
        <v>717</v>
      </c>
      <c r="B185" t="s">
        <v>1091</v>
      </c>
      <c r="C185" t="s">
        <v>1092</v>
      </c>
      <c r="D185" t="s">
        <v>140</v>
      </c>
      <c r="E185">
        <v>154</v>
      </c>
      <c r="F185" t="s">
        <v>716</v>
      </c>
      <c r="G185">
        <v>167.86</v>
      </c>
      <c r="H185" t="s">
        <v>715</v>
      </c>
    </row>
    <row r="186" spans="1:8" x14ac:dyDescent="0.35">
      <c r="A186" t="s">
        <v>714</v>
      </c>
      <c r="B186" t="s">
        <v>1093</v>
      </c>
      <c r="C186" t="s">
        <v>1094</v>
      </c>
      <c r="D186" t="s">
        <v>201</v>
      </c>
      <c r="E186">
        <v>103</v>
      </c>
      <c r="F186" t="s">
        <v>392</v>
      </c>
      <c r="G186">
        <v>112.27000000000001</v>
      </c>
      <c r="H186" t="s">
        <v>415</v>
      </c>
    </row>
    <row r="187" spans="1:8" x14ac:dyDescent="0.35">
      <c r="A187" t="s">
        <v>713</v>
      </c>
      <c r="B187" t="s">
        <v>1095</v>
      </c>
      <c r="C187" t="s">
        <v>1096</v>
      </c>
      <c r="D187" t="s">
        <v>344</v>
      </c>
      <c r="E187">
        <v>54</v>
      </c>
      <c r="F187" t="s">
        <v>283</v>
      </c>
      <c r="G187">
        <v>58.860000000000007</v>
      </c>
      <c r="H187" t="s">
        <v>712</v>
      </c>
    </row>
    <row r="188" spans="1:8" x14ac:dyDescent="0.35">
      <c r="A188" t="s">
        <v>711</v>
      </c>
      <c r="B188" t="s">
        <v>1097</v>
      </c>
      <c r="C188" t="s">
        <v>1098</v>
      </c>
      <c r="D188" t="s">
        <v>7</v>
      </c>
      <c r="E188">
        <v>105</v>
      </c>
      <c r="F188" t="s">
        <v>108</v>
      </c>
      <c r="G188">
        <v>114.45</v>
      </c>
      <c r="H188" t="s">
        <v>710</v>
      </c>
    </row>
    <row r="189" spans="1:8" x14ac:dyDescent="0.35">
      <c r="A189" t="s">
        <v>709</v>
      </c>
      <c r="B189" t="s">
        <v>1099</v>
      </c>
      <c r="C189" t="s">
        <v>1008</v>
      </c>
      <c r="D189" t="s">
        <v>328</v>
      </c>
      <c r="E189">
        <v>69</v>
      </c>
      <c r="F189" t="s">
        <v>670</v>
      </c>
      <c r="G189">
        <v>75.210000000000008</v>
      </c>
      <c r="H189" t="s">
        <v>708</v>
      </c>
    </row>
    <row r="190" spans="1:8" x14ac:dyDescent="0.35">
      <c r="A190" t="s">
        <v>707</v>
      </c>
      <c r="B190" t="s">
        <v>1100</v>
      </c>
      <c r="C190" t="s">
        <v>1079</v>
      </c>
      <c r="D190" t="s">
        <v>151</v>
      </c>
      <c r="E190">
        <v>185</v>
      </c>
      <c r="F190" t="s">
        <v>706</v>
      </c>
      <c r="G190">
        <v>201.65</v>
      </c>
      <c r="H190" t="s">
        <v>705</v>
      </c>
    </row>
    <row r="191" spans="1:8" x14ac:dyDescent="0.35">
      <c r="A191" t="s">
        <v>704</v>
      </c>
      <c r="B191" t="s">
        <v>1101</v>
      </c>
      <c r="C191" t="s">
        <v>1090</v>
      </c>
      <c r="D191" t="s">
        <v>102</v>
      </c>
      <c r="E191">
        <v>340</v>
      </c>
      <c r="F191" t="s">
        <v>703</v>
      </c>
      <c r="G191">
        <v>370.6</v>
      </c>
      <c r="H191" t="s">
        <v>702</v>
      </c>
    </row>
    <row r="192" spans="1:8" x14ac:dyDescent="0.35">
      <c r="A192" t="s">
        <v>701</v>
      </c>
      <c r="B192" t="s">
        <v>1102</v>
      </c>
      <c r="C192" t="s">
        <v>1008</v>
      </c>
      <c r="D192" t="s">
        <v>79</v>
      </c>
      <c r="E192">
        <v>55</v>
      </c>
      <c r="F192" t="s">
        <v>570</v>
      </c>
      <c r="G192">
        <v>59.95</v>
      </c>
      <c r="H192" t="s">
        <v>700</v>
      </c>
    </row>
    <row r="193" spans="1:8" x14ac:dyDescent="0.35">
      <c r="A193" t="s">
        <v>699</v>
      </c>
      <c r="B193" t="s">
        <v>1103</v>
      </c>
      <c r="C193" t="s">
        <v>1104</v>
      </c>
      <c r="D193" t="s">
        <v>109</v>
      </c>
      <c r="E193">
        <v>175</v>
      </c>
      <c r="F193" t="s">
        <v>28</v>
      </c>
      <c r="G193">
        <v>190.75</v>
      </c>
      <c r="H193">
        <v>175</v>
      </c>
    </row>
    <row r="194" spans="1:8" x14ac:dyDescent="0.35">
      <c r="A194" t="s">
        <v>698</v>
      </c>
      <c r="B194" t="s">
        <v>1105</v>
      </c>
      <c r="C194" t="s">
        <v>1106</v>
      </c>
      <c r="D194" t="s">
        <v>223</v>
      </c>
      <c r="E194">
        <v>83</v>
      </c>
      <c r="F194" t="s">
        <v>26</v>
      </c>
      <c r="G194">
        <v>90.470000000000013</v>
      </c>
      <c r="H194" t="s">
        <v>572</v>
      </c>
    </row>
    <row r="195" spans="1:8" x14ac:dyDescent="0.35">
      <c r="A195" t="s">
        <v>698</v>
      </c>
      <c r="B195" t="s">
        <v>1105</v>
      </c>
      <c r="C195" t="s">
        <v>1106</v>
      </c>
      <c r="D195" t="s">
        <v>75</v>
      </c>
      <c r="E195">
        <v>57</v>
      </c>
      <c r="F195" t="s">
        <v>20</v>
      </c>
      <c r="G195">
        <v>62.13</v>
      </c>
      <c r="H195" t="s">
        <v>697</v>
      </c>
    </row>
    <row r="196" spans="1:8" x14ac:dyDescent="0.35">
      <c r="D196" t="s">
        <v>696</v>
      </c>
      <c r="E196">
        <v>1569</v>
      </c>
    </row>
    <row r="199" spans="1:8" x14ac:dyDescent="0.35">
      <c r="A199" t="s">
        <v>636</v>
      </c>
    </row>
    <row r="200" spans="1:8" x14ac:dyDescent="0.35">
      <c r="A200" t="s">
        <v>1006</v>
      </c>
    </row>
    <row r="201" spans="1:8" x14ac:dyDescent="0.35">
      <c r="A201" t="s">
        <v>52</v>
      </c>
      <c r="B201" t="s">
        <v>51</v>
      </c>
      <c r="C201" t="s">
        <v>50</v>
      </c>
      <c r="D201" t="s">
        <v>49</v>
      </c>
      <c r="E201" t="s">
        <v>48</v>
      </c>
      <c r="F201" t="s">
        <v>47</v>
      </c>
      <c r="G201" t="s">
        <v>46</v>
      </c>
    </row>
    <row r="202" spans="1:8" x14ac:dyDescent="0.35">
      <c r="A202" t="s">
        <v>695</v>
      </c>
      <c r="B202" t="s">
        <v>1107</v>
      </c>
      <c r="C202" t="s">
        <v>1108</v>
      </c>
      <c r="D202" t="s">
        <v>195</v>
      </c>
      <c r="E202">
        <v>23</v>
      </c>
      <c r="F202" t="s">
        <v>132</v>
      </c>
      <c r="G202">
        <v>25.07</v>
      </c>
      <c r="H202" t="s">
        <v>426</v>
      </c>
    </row>
    <row r="203" spans="1:8" x14ac:dyDescent="0.35">
      <c r="A203" t="s">
        <v>692</v>
      </c>
      <c r="B203" t="s">
        <v>1109</v>
      </c>
      <c r="C203" t="s">
        <v>1098</v>
      </c>
      <c r="D203" t="s">
        <v>15</v>
      </c>
      <c r="E203">
        <v>250</v>
      </c>
      <c r="F203" t="s">
        <v>694</v>
      </c>
      <c r="G203">
        <v>272.5</v>
      </c>
      <c r="H203" t="s">
        <v>693</v>
      </c>
    </row>
    <row r="204" spans="1:8" x14ac:dyDescent="0.35">
      <c r="A204" t="s">
        <v>692</v>
      </c>
      <c r="B204" t="s">
        <v>1109</v>
      </c>
      <c r="C204" t="s">
        <v>1098</v>
      </c>
      <c r="D204" t="s">
        <v>11</v>
      </c>
      <c r="E204">
        <v>150</v>
      </c>
      <c r="F204" t="s">
        <v>691</v>
      </c>
      <c r="G204">
        <v>163.5</v>
      </c>
      <c r="H204" t="s">
        <v>690</v>
      </c>
    </row>
    <row r="205" spans="1:8" x14ac:dyDescent="0.35">
      <c r="A205" t="s">
        <v>689</v>
      </c>
      <c r="B205" t="s">
        <v>1110</v>
      </c>
      <c r="C205" t="s">
        <v>1111</v>
      </c>
      <c r="D205" t="s">
        <v>29</v>
      </c>
      <c r="E205">
        <v>76</v>
      </c>
      <c r="F205" t="s">
        <v>688</v>
      </c>
      <c r="G205">
        <v>82.84</v>
      </c>
      <c r="H205" t="s">
        <v>208</v>
      </c>
    </row>
    <row r="206" spans="1:8" x14ac:dyDescent="0.35">
      <c r="A206" t="s">
        <v>687</v>
      </c>
      <c r="B206" t="s">
        <v>1110</v>
      </c>
      <c r="C206" t="s">
        <v>1111</v>
      </c>
      <c r="D206" t="s">
        <v>25</v>
      </c>
      <c r="E206">
        <v>240</v>
      </c>
      <c r="F206" t="s">
        <v>686</v>
      </c>
      <c r="G206">
        <v>261.60000000000002</v>
      </c>
      <c r="H206" t="s">
        <v>685</v>
      </c>
    </row>
    <row r="207" spans="1:8" x14ac:dyDescent="0.35">
      <c r="A207" t="s">
        <v>684</v>
      </c>
      <c r="B207" t="s">
        <v>1110</v>
      </c>
      <c r="C207" t="s">
        <v>1111</v>
      </c>
      <c r="D207" t="s">
        <v>64</v>
      </c>
      <c r="E207">
        <v>40</v>
      </c>
      <c r="F207" t="s">
        <v>192</v>
      </c>
      <c r="G207">
        <v>43.6</v>
      </c>
      <c r="H207" t="s">
        <v>63</v>
      </c>
    </row>
    <row r="208" spans="1:8" x14ac:dyDescent="0.35">
      <c r="A208" t="s">
        <v>683</v>
      </c>
      <c r="B208" t="s">
        <v>1112</v>
      </c>
      <c r="C208" t="s">
        <v>1111</v>
      </c>
      <c r="D208" t="s">
        <v>147</v>
      </c>
      <c r="E208">
        <v>40</v>
      </c>
      <c r="F208" t="s">
        <v>682</v>
      </c>
      <c r="G208">
        <v>43.6</v>
      </c>
      <c r="H208" t="s">
        <v>212</v>
      </c>
    </row>
    <row r="209" spans="1:8" x14ac:dyDescent="0.35">
      <c r="A209" t="s">
        <v>681</v>
      </c>
      <c r="B209" t="s">
        <v>1113</v>
      </c>
      <c r="C209" t="s">
        <v>1114</v>
      </c>
      <c r="D209" t="s">
        <v>174</v>
      </c>
      <c r="E209">
        <v>90</v>
      </c>
      <c r="F209" t="s">
        <v>108</v>
      </c>
      <c r="G209">
        <v>98.100000000000009</v>
      </c>
      <c r="H209" t="s">
        <v>680</v>
      </c>
    </row>
    <row r="210" spans="1:8" x14ac:dyDescent="0.35">
      <c r="A210" t="s">
        <v>370</v>
      </c>
      <c r="B210" t="s">
        <v>1115</v>
      </c>
      <c r="C210" t="s">
        <v>1046</v>
      </c>
      <c r="D210" t="s">
        <v>154</v>
      </c>
      <c r="E210">
        <v>160</v>
      </c>
      <c r="F210" t="s">
        <v>679</v>
      </c>
      <c r="G210">
        <v>174.4</v>
      </c>
      <c r="H210" t="s">
        <v>678</v>
      </c>
    </row>
    <row r="211" spans="1:8" x14ac:dyDescent="0.35">
      <c r="A211" t="s">
        <v>677</v>
      </c>
      <c r="B211" t="s">
        <v>1116</v>
      </c>
      <c r="C211" t="s">
        <v>1117</v>
      </c>
      <c r="D211" t="s">
        <v>160</v>
      </c>
      <c r="E211">
        <v>265</v>
      </c>
      <c r="F211" t="s">
        <v>376</v>
      </c>
      <c r="G211">
        <v>288.85000000000002</v>
      </c>
      <c r="H211" t="s">
        <v>676</v>
      </c>
    </row>
    <row r="212" spans="1:8" x14ac:dyDescent="0.35">
      <c r="A212" t="s">
        <v>675</v>
      </c>
      <c r="B212" t="s">
        <v>1118</v>
      </c>
      <c r="C212" t="s">
        <v>1119</v>
      </c>
      <c r="D212" t="s">
        <v>167</v>
      </c>
      <c r="E212">
        <v>230</v>
      </c>
      <c r="F212" t="s">
        <v>674</v>
      </c>
      <c r="G212">
        <v>250.70000000000002</v>
      </c>
      <c r="H212" t="s">
        <v>673</v>
      </c>
    </row>
    <row r="213" spans="1:8" x14ac:dyDescent="0.35">
      <c r="D213" t="s">
        <v>672</v>
      </c>
      <c r="E213">
        <v>1564</v>
      </c>
    </row>
    <row r="216" spans="1:8" x14ac:dyDescent="0.35">
      <c r="A216" t="s">
        <v>636</v>
      </c>
    </row>
    <row r="217" spans="1:8" x14ac:dyDescent="0.35">
      <c r="A217" t="s">
        <v>1031</v>
      </c>
    </row>
    <row r="218" spans="1:8" x14ac:dyDescent="0.35">
      <c r="A218" t="s">
        <v>52</v>
      </c>
      <c r="B218" t="s">
        <v>51</v>
      </c>
      <c r="C218" t="s">
        <v>50</v>
      </c>
      <c r="D218" t="s">
        <v>49</v>
      </c>
      <c r="E218" t="s">
        <v>48</v>
      </c>
      <c r="F218" t="s">
        <v>47</v>
      </c>
      <c r="G218" t="s">
        <v>46</v>
      </c>
    </row>
    <row r="219" spans="1:8" x14ac:dyDescent="0.35">
      <c r="A219" t="s">
        <v>671</v>
      </c>
      <c r="B219" t="s">
        <v>1120</v>
      </c>
      <c r="C219" t="s">
        <v>1121</v>
      </c>
      <c r="D219" t="s">
        <v>120</v>
      </c>
      <c r="E219">
        <v>55</v>
      </c>
      <c r="F219" t="s">
        <v>670</v>
      </c>
      <c r="G219">
        <v>59.95</v>
      </c>
      <c r="H219" t="s">
        <v>669</v>
      </c>
    </row>
    <row r="220" spans="1:8" x14ac:dyDescent="0.35">
      <c r="A220" t="s">
        <v>668</v>
      </c>
      <c r="B220" t="s">
        <v>1122</v>
      </c>
      <c r="C220" t="s">
        <v>1123</v>
      </c>
      <c r="D220" t="s">
        <v>104</v>
      </c>
      <c r="E220">
        <v>122</v>
      </c>
      <c r="F220" t="s">
        <v>596</v>
      </c>
      <c r="G220">
        <v>132.98000000000002</v>
      </c>
      <c r="H220" t="s">
        <v>667</v>
      </c>
    </row>
    <row r="221" spans="1:8" x14ac:dyDescent="0.35">
      <c r="A221" t="s">
        <v>666</v>
      </c>
      <c r="B221" t="s">
        <v>1124</v>
      </c>
      <c r="C221" t="s">
        <v>1125</v>
      </c>
      <c r="D221" t="s">
        <v>170</v>
      </c>
      <c r="E221">
        <v>70</v>
      </c>
      <c r="F221" t="s">
        <v>28</v>
      </c>
      <c r="H221" t="s">
        <v>665</v>
      </c>
    </row>
    <row r="222" spans="1:8" x14ac:dyDescent="0.35">
      <c r="A222" t="s">
        <v>663</v>
      </c>
      <c r="B222" t="s">
        <v>1126</v>
      </c>
      <c r="C222" t="s">
        <v>1127</v>
      </c>
      <c r="D222" t="s">
        <v>96</v>
      </c>
      <c r="E222">
        <v>245</v>
      </c>
      <c r="F222" t="s">
        <v>554</v>
      </c>
      <c r="G222">
        <v>267.05</v>
      </c>
      <c r="H222" t="s">
        <v>664</v>
      </c>
    </row>
    <row r="223" spans="1:8" x14ac:dyDescent="0.35">
      <c r="A223" t="s">
        <v>663</v>
      </c>
      <c r="B223" t="s">
        <v>1126</v>
      </c>
      <c r="C223" t="s">
        <v>1127</v>
      </c>
      <c r="D223" t="s">
        <v>99</v>
      </c>
      <c r="E223">
        <v>125</v>
      </c>
      <c r="F223" t="s">
        <v>662</v>
      </c>
      <c r="G223">
        <v>136.25</v>
      </c>
      <c r="H223" t="s">
        <v>661</v>
      </c>
    </row>
    <row r="224" spans="1:8" x14ac:dyDescent="0.35">
      <c r="A224" t="s">
        <v>660</v>
      </c>
      <c r="B224" t="s">
        <v>1128</v>
      </c>
      <c r="C224" t="s">
        <v>1129</v>
      </c>
      <c r="D224" t="s">
        <v>112</v>
      </c>
      <c r="E224">
        <v>99</v>
      </c>
      <c r="F224" t="s">
        <v>659</v>
      </c>
      <c r="H224" t="s">
        <v>658</v>
      </c>
    </row>
    <row r="225" spans="1:8" x14ac:dyDescent="0.35">
      <c r="A225" t="s">
        <v>654</v>
      </c>
      <c r="B225" t="s">
        <v>1130</v>
      </c>
      <c r="C225" t="s">
        <v>1131</v>
      </c>
      <c r="D225" t="s">
        <v>123</v>
      </c>
      <c r="E225">
        <v>75</v>
      </c>
      <c r="F225" t="s">
        <v>26</v>
      </c>
      <c r="G225">
        <v>81.75</v>
      </c>
      <c r="H225" t="s">
        <v>503</v>
      </c>
    </row>
    <row r="226" spans="1:8" x14ac:dyDescent="0.35">
      <c r="A226" t="s">
        <v>654</v>
      </c>
      <c r="B226" t="s">
        <v>1130</v>
      </c>
      <c r="C226" t="s">
        <v>1132</v>
      </c>
      <c r="D226" t="s">
        <v>59</v>
      </c>
      <c r="E226">
        <v>56</v>
      </c>
      <c r="F226" t="s">
        <v>657</v>
      </c>
      <c r="G226">
        <v>61.040000000000006</v>
      </c>
      <c r="H226" t="s">
        <v>656</v>
      </c>
    </row>
    <row r="227" spans="1:8" x14ac:dyDescent="0.35">
      <c r="A227" t="s">
        <v>654</v>
      </c>
      <c r="B227" t="s">
        <v>1130</v>
      </c>
      <c r="C227" t="s">
        <v>1133</v>
      </c>
      <c r="D227" t="s">
        <v>61</v>
      </c>
      <c r="E227">
        <v>120</v>
      </c>
      <c r="F227" t="s">
        <v>179</v>
      </c>
      <c r="G227">
        <v>130.80000000000001</v>
      </c>
      <c r="H227" t="s">
        <v>655</v>
      </c>
    </row>
    <row r="228" spans="1:8" x14ac:dyDescent="0.35">
      <c r="A228" t="s">
        <v>654</v>
      </c>
      <c r="B228" t="s">
        <v>1130</v>
      </c>
      <c r="C228" t="s">
        <v>1133</v>
      </c>
      <c r="D228" t="s">
        <v>180</v>
      </c>
      <c r="E228">
        <v>128</v>
      </c>
      <c r="F228" t="s">
        <v>653</v>
      </c>
      <c r="G228">
        <v>139.52000000000001</v>
      </c>
      <c r="H228" t="s">
        <v>652</v>
      </c>
    </row>
    <row r="229" spans="1:8" x14ac:dyDescent="0.35">
      <c r="A229" t="s">
        <v>439</v>
      </c>
      <c r="B229" t="s">
        <v>1134</v>
      </c>
      <c r="C229" t="s">
        <v>1133</v>
      </c>
      <c r="D229" t="s">
        <v>144</v>
      </c>
      <c r="E229">
        <v>85</v>
      </c>
      <c r="F229" t="s">
        <v>651</v>
      </c>
      <c r="G229">
        <v>92.65</v>
      </c>
      <c r="H229" t="s">
        <v>650</v>
      </c>
    </row>
    <row r="230" spans="1:8" x14ac:dyDescent="0.35">
      <c r="A230" t="s">
        <v>649</v>
      </c>
      <c r="B230" t="s">
        <v>1135</v>
      </c>
      <c r="C230" t="s">
        <v>1136</v>
      </c>
      <c r="D230" t="s">
        <v>249</v>
      </c>
      <c r="E230">
        <v>90</v>
      </c>
      <c r="F230" t="s">
        <v>524</v>
      </c>
      <c r="G230">
        <v>98.100000000000009</v>
      </c>
      <c r="H230" t="s">
        <v>648</v>
      </c>
    </row>
    <row r="231" spans="1:8" x14ac:dyDescent="0.35">
      <c r="A231" t="s">
        <v>647</v>
      </c>
      <c r="B231" t="s">
        <v>1137</v>
      </c>
      <c r="C231" t="s">
        <v>1138</v>
      </c>
      <c r="D231" t="s">
        <v>3</v>
      </c>
      <c r="E231">
        <v>95</v>
      </c>
      <c r="F231" t="s">
        <v>646</v>
      </c>
      <c r="G231">
        <v>103.55000000000001</v>
      </c>
      <c r="H231" t="s">
        <v>645</v>
      </c>
    </row>
    <row r="232" spans="1:8" x14ac:dyDescent="0.35">
      <c r="A232" t="s">
        <v>644</v>
      </c>
      <c r="B232" t="s">
        <v>1139</v>
      </c>
      <c r="C232" t="s">
        <v>1140</v>
      </c>
      <c r="D232" t="s">
        <v>18</v>
      </c>
      <c r="E232">
        <v>136</v>
      </c>
      <c r="F232" t="s">
        <v>643</v>
      </c>
      <c r="G232">
        <v>148.24</v>
      </c>
      <c r="H232" t="s">
        <v>642</v>
      </c>
    </row>
    <row r="233" spans="1:8" x14ac:dyDescent="0.35">
      <c r="A233" t="s">
        <v>641</v>
      </c>
      <c r="B233" t="s">
        <v>1141</v>
      </c>
      <c r="C233" t="s">
        <v>1142</v>
      </c>
      <c r="D233" t="s">
        <v>32</v>
      </c>
      <c r="E233">
        <v>53</v>
      </c>
      <c r="F233" t="s">
        <v>176</v>
      </c>
      <c r="G233">
        <v>57.77</v>
      </c>
      <c r="H233" t="s">
        <v>383</v>
      </c>
    </row>
    <row r="234" spans="1:8" x14ac:dyDescent="0.35">
      <c r="A234" t="s">
        <v>640</v>
      </c>
      <c r="B234" t="s">
        <v>1143</v>
      </c>
      <c r="C234" t="s">
        <v>1121</v>
      </c>
      <c r="D234" t="s">
        <v>229</v>
      </c>
      <c r="E234">
        <v>87</v>
      </c>
      <c r="F234" t="s">
        <v>639</v>
      </c>
      <c r="G234">
        <v>94.830000000000013</v>
      </c>
      <c r="H234" t="s">
        <v>638</v>
      </c>
    </row>
    <row r="235" spans="1:8" x14ac:dyDescent="0.35">
      <c r="D235" t="s">
        <v>637</v>
      </c>
      <c r="E235">
        <v>1641</v>
      </c>
    </row>
    <row r="238" spans="1:8" x14ac:dyDescent="0.35">
      <c r="A238" t="s">
        <v>636</v>
      </c>
    </row>
    <row r="239" spans="1:8" x14ac:dyDescent="0.35">
      <c r="A239" t="s">
        <v>281</v>
      </c>
    </row>
    <row r="240" spans="1:8" x14ac:dyDescent="0.35">
      <c r="A240" t="s">
        <v>52</v>
      </c>
      <c r="B240" t="s">
        <v>51</v>
      </c>
      <c r="C240" t="s">
        <v>50</v>
      </c>
      <c r="D240" t="s">
        <v>49</v>
      </c>
      <c r="E240" t="s">
        <v>48</v>
      </c>
      <c r="F240" t="s">
        <v>47</v>
      </c>
      <c r="G240" t="s">
        <v>46</v>
      </c>
    </row>
    <row r="241" spans="1:8" x14ac:dyDescent="0.35">
      <c r="A241" t="s">
        <v>439</v>
      </c>
      <c r="B241" t="s">
        <v>1144</v>
      </c>
      <c r="C241" t="s">
        <v>1145</v>
      </c>
      <c r="D241" t="s">
        <v>260</v>
      </c>
      <c r="E241">
        <v>83</v>
      </c>
      <c r="F241" t="s">
        <v>56</v>
      </c>
      <c r="G241">
        <v>90.470000000000013</v>
      </c>
      <c r="H241" t="s">
        <v>321</v>
      </c>
    </row>
    <row r="242" spans="1:8" x14ac:dyDescent="0.35">
      <c r="A242" t="s">
        <v>439</v>
      </c>
      <c r="B242" t="s">
        <v>1144</v>
      </c>
      <c r="C242" t="s">
        <v>1145</v>
      </c>
      <c r="D242" t="s">
        <v>93</v>
      </c>
      <c r="E242">
        <v>46</v>
      </c>
      <c r="F242" t="s">
        <v>401</v>
      </c>
      <c r="G242">
        <v>50.14</v>
      </c>
      <c r="H242" t="s">
        <v>635</v>
      </c>
    </row>
    <row r="243" spans="1:8" x14ac:dyDescent="0.35">
      <c r="A243" t="s">
        <v>633</v>
      </c>
      <c r="B243" t="s">
        <v>1146</v>
      </c>
      <c r="C243" t="s">
        <v>1147</v>
      </c>
      <c r="D243" t="s">
        <v>344</v>
      </c>
      <c r="E243">
        <v>114</v>
      </c>
      <c r="F243" t="s">
        <v>463</v>
      </c>
      <c r="G243">
        <v>124.26</v>
      </c>
      <c r="H243" t="s">
        <v>634</v>
      </c>
    </row>
    <row r="244" spans="1:8" x14ac:dyDescent="0.35">
      <c r="A244" t="s">
        <v>633</v>
      </c>
      <c r="B244" t="s">
        <v>1146</v>
      </c>
      <c r="C244" t="s">
        <v>1148</v>
      </c>
      <c r="D244" t="s">
        <v>341</v>
      </c>
      <c r="E244">
        <v>55</v>
      </c>
      <c r="F244" t="s">
        <v>283</v>
      </c>
      <c r="G244">
        <v>59.95</v>
      </c>
      <c r="H244" t="s">
        <v>105</v>
      </c>
    </row>
    <row r="245" spans="1:8" x14ac:dyDescent="0.35">
      <c r="A245" t="s">
        <v>632</v>
      </c>
      <c r="B245" t="s">
        <v>1149</v>
      </c>
      <c r="C245" t="s">
        <v>1063</v>
      </c>
      <c r="D245" t="s">
        <v>107</v>
      </c>
      <c r="E245">
        <v>105</v>
      </c>
      <c r="F245" t="s">
        <v>631</v>
      </c>
      <c r="G245">
        <v>114.45</v>
      </c>
      <c r="H245" t="s">
        <v>630</v>
      </c>
    </row>
    <row r="246" spans="1:8" x14ac:dyDescent="0.35">
      <c r="A246" t="s">
        <v>629</v>
      </c>
      <c r="B246" t="s">
        <v>1150</v>
      </c>
      <c r="C246" t="s">
        <v>1151</v>
      </c>
      <c r="D246" t="s">
        <v>90</v>
      </c>
      <c r="E246">
        <v>80</v>
      </c>
      <c r="F246" t="s">
        <v>56</v>
      </c>
      <c r="G246">
        <v>87.2</v>
      </c>
      <c r="H246" t="s">
        <v>628</v>
      </c>
    </row>
    <row r="247" spans="1:8" x14ac:dyDescent="0.35">
      <c r="A247" t="s">
        <v>627</v>
      </c>
      <c r="B247" t="s">
        <v>1152</v>
      </c>
      <c r="C247" t="s">
        <v>1153</v>
      </c>
      <c r="D247" t="s">
        <v>140</v>
      </c>
      <c r="E247">
        <v>154</v>
      </c>
      <c r="F247" t="s">
        <v>484</v>
      </c>
      <c r="G247">
        <v>167.86</v>
      </c>
      <c r="H247" t="s">
        <v>626</v>
      </c>
    </row>
    <row r="248" spans="1:8" x14ac:dyDescent="0.35">
      <c r="A248" t="s">
        <v>625</v>
      </c>
      <c r="B248" t="s">
        <v>1154</v>
      </c>
      <c r="C248" t="s">
        <v>1155</v>
      </c>
      <c r="D248" t="s">
        <v>7</v>
      </c>
      <c r="E248">
        <v>115</v>
      </c>
      <c r="F248" t="s">
        <v>624</v>
      </c>
      <c r="G248">
        <v>125.35000000000001</v>
      </c>
      <c r="H248" t="s">
        <v>623</v>
      </c>
    </row>
    <row r="249" spans="1:8" x14ac:dyDescent="0.35">
      <c r="A249" t="s">
        <v>622</v>
      </c>
      <c r="B249" t="s">
        <v>1156</v>
      </c>
      <c r="C249" t="s">
        <v>1157</v>
      </c>
      <c r="D249" t="s">
        <v>189</v>
      </c>
      <c r="E249">
        <v>101</v>
      </c>
      <c r="F249" t="s">
        <v>621</v>
      </c>
      <c r="G249">
        <v>110.09</v>
      </c>
      <c r="H249" t="s">
        <v>620</v>
      </c>
    </row>
    <row r="250" spans="1:8" x14ac:dyDescent="0.35">
      <c r="A250" t="s">
        <v>619</v>
      </c>
      <c r="B250" t="s">
        <v>1158</v>
      </c>
      <c r="C250" t="s">
        <v>994</v>
      </c>
      <c r="D250" t="s">
        <v>277</v>
      </c>
      <c r="E250">
        <v>70</v>
      </c>
      <c r="F250" t="s">
        <v>618</v>
      </c>
      <c r="G250">
        <v>76.300000000000011</v>
      </c>
      <c r="H250" t="s">
        <v>313</v>
      </c>
    </row>
    <row r="251" spans="1:8" x14ac:dyDescent="0.35">
      <c r="A251" t="s">
        <v>617</v>
      </c>
      <c r="B251" t="s">
        <v>1159</v>
      </c>
      <c r="C251" t="s">
        <v>1160</v>
      </c>
      <c r="D251" t="s">
        <v>236</v>
      </c>
      <c r="E251">
        <v>130</v>
      </c>
      <c r="F251" t="s">
        <v>179</v>
      </c>
      <c r="G251">
        <v>141.70000000000002</v>
      </c>
      <c r="H251" t="s">
        <v>233</v>
      </c>
    </row>
    <row r="252" spans="1:8" x14ac:dyDescent="0.35">
      <c r="A252" t="s">
        <v>616</v>
      </c>
      <c r="B252" t="s">
        <v>1161</v>
      </c>
      <c r="C252" t="s">
        <v>996</v>
      </c>
      <c r="D252" t="s">
        <v>137</v>
      </c>
      <c r="E252">
        <v>85</v>
      </c>
      <c r="F252" t="s">
        <v>615</v>
      </c>
      <c r="G252">
        <v>92.65</v>
      </c>
      <c r="H252" t="s">
        <v>614</v>
      </c>
    </row>
    <row r="253" spans="1:8" x14ac:dyDescent="0.35">
      <c r="A253" t="s">
        <v>613</v>
      </c>
      <c r="B253" t="s">
        <v>1162</v>
      </c>
      <c r="C253" t="s">
        <v>1163</v>
      </c>
      <c r="D253" t="s">
        <v>130</v>
      </c>
      <c r="E253">
        <v>340</v>
      </c>
      <c r="F253" t="s">
        <v>150</v>
      </c>
      <c r="G253">
        <v>370.6</v>
      </c>
      <c r="H253" t="s">
        <v>612</v>
      </c>
    </row>
    <row r="254" spans="1:8" x14ac:dyDescent="0.35">
      <c r="A254" t="s">
        <v>611</v>
      </c>
      <c r="B254" t="s">
        <v>1164</v>
      </c>
      <c r="C254" t="s">
        <v>1165</v>
      </c>
      <c r="D254" t="s">
        <v>203</v>
      </c>
      <c r="E254">
        <v>138</v>
      </c>
      <c r="F254" t="s">
        <v>610</v>
      </c>
      <c r="G254">
        <v>150.42000000000002</v>
      </c>
      <c r="H254" t="s">
        <v>609</v>
      </c>
    </row>
    <row r="255" spans="1:8" x14ac:dyDescent="0.35">
      <c r="D255" t="s">
        <v>608</v>
      </c>
      <c r="E255">
        <v>1616</v>
      </c>
    </row>
    <row r="258" spans="1:8" x14ac:dyDescent="0.35">
      <c r="A258" t="s">
        <v>457</v>
      </c>
    </row>
    <row r="259" spans="1:8" x14ac:dyDescent="0.35">
      <c r="A259" t="s">
        <v>924</v>
      </c>
    </row>
    <row r="260" spans="1:8" x14ac:dyDescent="0.35">
      <c r="A260" t="s">
        <v>52</v>
      </c>
      <c r="B260" t="s">
        <v>51</v>
      </c>
      <c r="C260" t="s">
        <v>50</v>
      </c>
      <c r="D260" t="s">
        <v>49</v>
      </c>
      <c r="E260" t="s">
        <v>48</v>
      </c>
      <c r="F260" t="s">
        <v>47</v>
      </c>
      <c r="G260" t="s">
        <v>46</v>
      </c>
    </row>
    <row r="261" spans="1:8" x14ac:dyDescent="0.35">
      <c r="A261" t="s">
        <v>385</v>
      </c>
      <c r="B261" t="s">
        <v>1166</v>
      </c>
      <c r="C261" t="s">
        <v>1167</v>
      </c>
      <c r="D261" t="s">
        <v>18</v>
      </c>
      <c r="E261">
        <v>136</v>
      </c>
      <c r="F261" t="s">
        <v>225</v>
      </c>
      <c r="G261">
        <v>148.24</v>
      </c>
    </row>
    <row r="262" spans="1:8" x14ac:dyDescent="0.35">
      <c r="A262" t="s">
        <v>385</v>
      </c>
      <c r="B262" t="s">
        <v>1166</v>
      </c>
      <c r="C262" t="s">
        <v>1167</v>
      </c>
      <c r="D262" t="s">
        <v>180</v>
      </c>
      <c r="E262">
        <v>128</v>
      </c>
      <c r="F262" t="s">
        <v>225</v>
      </c>
      <c r="G262">
        <v>139.52000000000001</v>
      </c>
    </row>
    <row r="263" spans="1:8" x14ac:dyDescent="0.35">
      <c r="A263" t="s">
        <v>607</v>
      </c>
      <c r="B263" t="s">
        <v>1168</v>
      </c>
      <c r="C263" t="s">
        <v>1092</v>
      </c>
      <c r="D263" t="s">
        <v>123</v>
      </c>
      <c r="E263">
        <v>75</v>
      </c>
      <c r="F263" t="s">
        <v>606</v>
      </c>
      <c r="G263">
        <v>81.75</v>
      </c>
      <c r="H263" t="s">
        <v>605</v>
      </c>
    </row>
    <row r="264" spans="1:8" x14ac:dyDescent="0.35">
      <c r="A264" t="s">
        <v>603</v>
      </c>
      <c r="B264" t="s">
        <v>1169</v>
      </c>
      <c r="C264" t="s">
        <v>1057</v>
      </c>
      <c r="D264" t="s">
        <v>86</v>
      </c>
      <c r="E264">
        <v>255</v>
      </c>
      <c r="F264" t="s">
        <v>376</v>
      </c>
      <c r="G264">
        <v>277.95000000000005</v>
      </c>
      <c r="H264" t="s">
        <v>604</v>
      </c>
    </row>
    <row r="265" spans="1:8" x14ac:dyDescent="0.35">
      <c r="A265" t="s">
        <v>603</v>
      </c>
      <c r="B265" t="s">
        <v>1169</v>
      </c>
      <c r="C265" t="s">
        <v>1057</v>
      </c>
      <c r="D265" t="s">
        <v>90</v>
      </c>
      <c r="E265">
        <v>80</v>
      </c>
      <c r="F265" t="s">
        <v>20</v>
      </c>
      <c r="G265">
        <v>87.2</v>
      </c>
      <c r="H265" t="s">
        <v>373</v>
      </c>
    </row>
    <row r="266" spans="1:8" x14ac:dyDescent="0.35">
      <c r="A266" t="s">
        <v>602</v>
      </c>
      <c r="B266" t="s">
        <v>1170</v>
      </c>
      <c r="C266" t="s">
        <v>1171</v>
      </c>
      <c r="D266" t="s">
        <v>102</v>
      </c>
      <c r="E266">
        <v>340</v>
      </c>
      <c r="F266" t="s">
        <v>601</v>
      </c>
      <c r="G266">
        <v>370.6</v>
      </c>
      <c r="H266" t="s">
        <v>215</v>
      </c>
    </row>
    <row r="267" spans="1:8" x14ac:dyDescent="0.35">
      <c r="A267" t="s">
        <v>600</v>
      </c>
      <c r="B267" t="s">
        <v>1172</v>
      </c>
      <c r="C267" t="s">
        <v>1030</v>
      </c>
      <c r="D267" t="s">
        <v>15</v>
      </c>
      <c r="E267">
        <v>250</v>
      </c>
      <c r="F267" t="s">
        <v>599</v>
      </c>
      <c r="G267">
        <v>272.5</v>
      </c>
      <c r="H267" t="s">
        <v>598</v>
      </c>
    </row>
    <row r="268" spans="1:8" x14ac:dyDescent="0.35">
      <c r="A268" t="s">
        <v>597</v>
      </c>
      <c r="B268" t="s">
        <v>1014</v>
      </c>
      <c r="C268" t="s">
        <v>1173</v>
      </c>
      <c r="D268" t="s">
        <v>234</v>
      </c>
      <c r="E268">
        <v>130</v>
      </c>
      <c r="F268" t="s">
        <v>596</v>
      </c>
      <c r="G268">
        <v>141.70000000000002</v>
      </c>
      <c r="H268" t="s">
        <v>233</v>
      </c>
    </row>
    <row r="269" spans="1:8" x14ac:dyDescent="0.35">
      <c r="A269" t="s">
        <v>595</v>
      </c>
      <c r="B269" t="s">
        <v>1014</v>
      </c>
      <c r="C269" t="s">
        <v>1173</v>
      </c>
      <c r="D269" t="s">
        <v>59</v>
      </c>
      <c r="E269">
        <v>56</v>
      </c>
      <c r="F269" t="s">
        <v>594</v>
      </c>
      <c r="G269">
        <v>61.040000000000006</v>
      </c>
      <c r="H269" t="s">
        <v>593</v>
      </c>
    </row>
    <row r="270" spans="1:8" x14ac:dyDescent="0.35">
      <c r="A270" t="s">
        <v>592</v>
      </c>
      <c r="B270" t="s">
        <v>1174</v>
      </c>
      <c r="C270" t="s">
        <v>1175</v>
      </c>
      <c r="D270" t="s">
        <v>203</v>
      </c>
      <c r="E270">
        <v>33</v>
      </c>
      <c r="F270" t="s">
        <v>192</v>
      </c>
      <c r="G270">
        <v>35.970000000000006</v>
      </c>
      <c r="H270" t="s">
        <v>591</v>
      </c>
    </row>
    <row r="271" spans="1:8" x14ac:dyDescent="0.35">
      <c r="A271" t="s">
        <v>590</v>
      </c>
      <c r="B271" t="s">
        <v>1176</v>
      </c>
      <c r="C271" t="s">
        <v>969</v>
      </c>
      <c r="D271" t="s">
        <v>107</v>
      </c>
      <c r="E271">
        <v>50</v>
      </c>
      <c r="F271" t="s">
        <v>589</v>
      </c>
      <c r="G271">
        <v>54.500000000000007</v>
      </c>
      <c r="H271" t="s">
        <v>588</v>
      </c>
    </row>
    <row r="272" spans="1:8" x14ac:dyDescent="0.35">
      <c r="A272" t="s">
        <v>587</v>
      </c>
      <c r="B272" t="s">
        <v>1177</v>
      </c>
      <c r="C272" t="s">
        <v>1142</v>
      </c>
      <c r="D272" t="s">
        <v>32</v>
      </c>
      <c r="E272">
        <v>53</v>
      </c>
      <c r="F272" t="s">
        <v>586</v>
      </c>
      <c r="G272">
        <v>57.77</v>
      </c>
      <c r="H272" t="s">
        <v>585</v>
      </c>
    </row>
    <row r="273" spans="1:8" x14ac:dyDescent="0.35">
      <c r="A273" t="s">
        <v>584</v>
      </c>
      <c r="B273" t="s">
        <v>1178</v>
      </c>
      <c r="C273" t="s">
        <v>1179</v>
      </c>
      <c r="D273" t="s">
        <v>67</v>
      </c>
      <c r="E273">
        <v>82</v>
      </c>
      <c r="F273" t="s">
        <v>28</v>
      </c>
      <c r="G273">
        <v>89.38000000000001</v>
      </c>
      <c r="H273" t="s">
        <v>66</v>
      </c>
    </row>
    <row r="274" spans="1:8" x14ac:dyDescent="0.35">
      <c r="A274" t="s">
        <v>583</v>
      </c>
      <c r="B274" t="s">
        <v>1180</v>
      </c>
      <c r="C274" t="s">
        <v>1104</v>
      </c>
      <c r="D274" t="s">
        <v>236</v>
      </c>
      <c r="E274">
        <v>130</v>
      </c>
      <c r="F274" t="s">
        <v>150</v>
      </c>
      <c r="G274">
        <v>141.70000000000002</v>
      </c>
      <c r="H274" t="s">
        <v>582</v>
      </c>
    </row>
    <row r="275" spans="1:8" x14ac:dyDescent="0.35">
      <c r="A275" t="s">
        <v>372</v>
      </c>
      <c r="B275" t="s">
        <v>1181</v>
      </c>
      <c r="C275" t="s">
        <v>1182</v>
      </c>
      <c r="D275" t="s">
        <v>189</v>
      </c>
      <c r="E275">
        <v>101</v>
      </c>
      <c r="F275" t="s">
        <v>26</v>
      </c>
      <c r="G275">
        <v>110.09</v>
      </c>
      <c r="H275" t="s">
        <v>581</v>
      </c>
    </row>
    <row r="276" spans="1:8" x14ac:dyDescent="0.35">
      <c r="D276" t="s">
        <v>580</v>
      </c>
      <c r="E276">
        <v>1635</v>
      </c>
    </row>
    <row r="279" spans="1:8" x14ac:dyDescent="0.35">
      <c r="A279" t="s">
        <v>457</v>
      </c>
    </row>
    <row r="280" spans="1:8" x14ac:dyDescent="0.35">
      <c r="A280" t="s">
        <v>956</v>
      </c>
    </row>
    <row r="281" spans="1:8" x14ac:dyDescent="0.35">
      <c r="A281" t="s">
        <v>52</v>
      </c>
      <c r="B281" t="s">
        <v>51</v>
      </c>
      <c r="C281" t="s">
        <v>50</v>
      </c>
      <c r="D281" t="s">
        <v>49</v>
      </c>
      <c r="E281" t="s">
        <v>48</v>
      </c>
      <c r="F281" t="s">
        <v>47</v>
      </c>
      <c r="G281" t="s">
        <v>46</v>
      </c>
    </row>
    <row r="282" spans="1:8" x14ac:dyDescent="0.35">
      <c r="A282" t="s">
        <v>574</v>
      </c>
      <c r="B282" t="s">
        <v>1183</v>
      </c>
      <c r="C282" t="s">
        <v>926</v>
      </c>
      <c r="D282" t="s">
        <v>222</v>
      </c>
      <c r="E282">
        <v>155</v>
      </c>
      <c r="F282" t="s">
        <v>579</v>
      </c>
      <c r="G282">
        <v>168.95000000000002</v>
      </c>
      <c r="H282" t="s">
        <v>578</v>
      </c>
    </row>
    <row r="283" spans="1:8" x14ac:dyDescent="0.35">
      <c r="A283" t="s">
        <v>574</v>
      </c>
      <c r="B283" t="s">
        <v>1183</v>
      </c>
      <c r="C283" t="s">
        <v>926</v>
      </c>
      <c r="D283" t="s">
        <v>21</v>
      </c>
      <c r="E283">
        <v>75</v>
      </c>
      <c r="F283" t="s">
        <v>577</v>
      </c>
      <c r="G283">
        <v>81.75</v>
      </c>
      <c r="H283" t="s">
        <v>576</v>
      </c>
    </row>
    <row r="284" spans="1:8" x14ac:dyDescent="0.35">
      <c r="A284" t="s">
        <v>574</v>
      </c>
      <c r="B284" t="s">
        <v>1183</v>
      </c>
      <c r="C284" t="s">
        <v>926</v>
      </c>
      <c r="D284" t="s">
        <v>83</v>
      </c>
      <c r="E284">
        <v>132</v>
      </c>
      <c r="F284" t="s">
        <v>424</v>
      </c>
      <c r="G284">
        <v>143.88000000000002</v>
      </c>
      <c r="H284" t="s">
        <v>575</v>
      </c>
    </row>
    <row r="285" spans="1:8" x14ac:dyDescent="0.35">
      <c r="A285" t="s">
        <v>574</v>
      </c>
      <c r="B285" t="s">
        <v>1183</v>
      </c>
      <c r="C285" t="s">
        <v>926</v>
      </c>
      <c r="D285" t="s">
        <v>27</v>
      </c>
      <c r="E285">
        <v>80</v>
      </c>
      <c r="F285" t="s">
        <v>56</v>
      </c>
      <c r="G285">
        <v>87.2</v>
      </c>
      <c r="H285" t="s">
        <v>55</v>
      </c>
    </row>
    <row r="286" spans="1:8" x14ac:dyDescent="0.35">
      <c r="A286" t="s">
        <v>573</v>
      </c>
      <c r="B286" t="s">
        <v>1184</v>
      </c>
      <c r="C286" t="s">
        <v>1013</v>
      </c>
      <c r="D286" t="s">
        <v>223</v>
      </c>
      <c r="E286">
        <v>83</v>
      </c>
      <c r="F286" t="s">
        <v>26</v>
      </c>
      <c r="G286">
        <v>90.470000000000013</v>
      </c>
      <c r="H286" t="s">
        <v>572</v>
      </c>
    </row>
    <row r="287" spans="1:8" x14ac:dyDescent="0.35">
      <c r="A287" t="s">
        <v>297</v>
      </c>
      <c r="B287" t="s">
        <v>1185</v>
      </c>
      <c r="C287" t="s">
        <v>1186</v>
      </c>
      <c r="D287" t="s">
        <v>104</v>
      </c>
      <c r="E287">
        <v>122</v>
      </c>
      <c r="F287" t="s">
        <v>179</v>
      </c>
      <c r="G287">
        <v>132.98000000000002</v>
      </c>
      <c r="H287" t="s">
        <v>571</v>
      </c>
    </row>
    <row r="288" spans="1:8" x14ac:dyDescent="0.35">
      <c r="A288" t="s">
        <v>568</v>
      </c>
      <c r="B288" t="s">
        <v>1187</v>
      </c>
      <c r="C288" t="s">
        <v>1188</v>
      </c>
      <c r="D288" t="s">
        <v>7</v>
      </c>
      <c r="E288">
        <v>60</v>
      </c>
      <c r="F288" t="s">
        <v>570</v>
      </c>
      <c r="G288">
        <v>65.400000000000006</v>
      </c>
      <c r="H288" t="s">
        <v>569</v>
      </c>
    </row>
    <row r="289" spans="1:8" x14ac:dyDescent="0.35">
      <c r="A289" t="s">
        <v>568</v>
      </c>
      <c r="B289" t="s">
        <v>1187</v>
      </c>
      <c r="C289" t="s">
        <v>1188</v>
      </c>
      <c r="D289" t="s">
        <v>3</v>
      </c>
      <c r="E289">
        <v>2</v>
      </c>
      <c r="F289" t="s">
        <v>467</v>
      </c>
      <c r="G289">
        <v>2.1800000000000002</v>
      </c>
      <c r="H289" t="s">
        <v>567</v>
      </c>
    </row>
    <row r="290" spans="1:8" x14ac:dyDescent="0.35">
      <c r="A290" t="s">
        <v>272</v>
      </c>
      <c r="B290" t="s">
        <v>1189</v>
      </c>
      <c r="C290" t="s">
        <v>1074</v>
      </c>
      <c r="D290" t="s">
        <v>130</v>
      </c>
      <c r="E290">
        <v>295</v>
      </c>
      <c r="F290" t="s">
        <v>566</v>
      </c>
      <c r="G290">
        <v>321.55</v>
      </c>
      <c r="H290" t="s">
        <v>565</v>
      </c>
    </row>
    <row r="291" spans="1:8" x14ac:dyDescent="0.35">
      <c r="A291" t="s">
        <v>562</v>
      </c>
      <c r="B291" t="s">
        <v>1190</v>
      </c>
      <c r="C291" t="s">
        <v>969</v>
      </c>
      <c r="D291" t="s">
        <v>154</v>
      </c>
      <c r="E291">
        <v>160</v>
      </c>
      <c r="F291" t="s">
        <v>564</v>
      </c>
      <c r="G291">
        <v>174.4</v>
      </c>
      <c r="H291" t="s">
        <v>563</v>
      </c>
    </row>
    <row r="292" spans="1:8" x14ac:dyDescent="0.35">
      <c r="A292" t="s">
        <v>562</v>
      </c>
      <c r="B292" t="s">
        <v>1190</v>
      </c>
      <c r="C292" t="s">
        <v>1148</v>
      </c>
      <c r="D292" t="s">
        <v>36</v>
      </c>
      <c r="E292">
        <v>65</v>
      </c>
      <c r="F292" t="s">
        <v>28</v>
      </c>
      <c r="G292">
        <v>70.850000000000009</v>
      </c>
      <c r="H292" t="s">
        <v>561</v>
      </c>
    </row>
    <row r="293" spans="1:8" x14ac:dyDescent="0.35">
      <c r="A293" t="s">
        <v>560</v>
      </c>
      <c r="B293" t="s">
        <v>1191</v>
      </c>
      <c r="C293" t="s">
        <v>962</v>
      </c>
      <c r="D293" t="s">
        <v>99</v>
      </c>
      <c r="E293">
        <v>125</v>
      </c>
      <c r="F293" t="s">
        <v>463</v>
      </c>
      <c r="G293">
        <v>136.25</v>
      </c>
      <c r="H293" t="s">
        <v>559</v>
      </c>
    </row>
    <row r="294" spans="1:8" x14ac:dyDescent="0.35">
      <c r="A294" t="s">
        <v>558</v>
      </c>
      <c r="B294" t="s">
        <v>1192</v>
      </c>
      <c r="C294" t="s">
        <v>1155</v>
      </c>
      <c r="D294" t="s">
        <v>167</v>
      </c>
      <c r="E294">
        <v>230</v>
      </c>
      <c r="F294" t="s">
        <v>24</v>
      </c>
      <c r="G294">
        <v>250.70000000000002</v>
      </c>
      <c r="H294" t="s">
        <v>557</v>
      </c>
    </row>
    <row r="295" spans="1:8" x14ac:dyDescent="0.35">
      <c r="D295" t="s">
        <v>556</v>
      </c>
      <c r="E295">
        <v>1584</v>
      </c>
    </row>
    <row r="298" spans="1:8" x14ac:dyDescent="0.35">
      <c r="A298" t="s">
        <v>457</v>
      </c>
    </row>
    <row r="299" spans="1:8" x14ac:dyDescent="0.35">
      <c r="A299" t="s">
        <v>987</v>
      </c>
    </row>
    <row r="300" spans="1:8" x14ac:dyDescent="0.35">
      <c r="A300" t="s">
        <v>52</v>
      </c>
      <c r="B300" t="s">
        <v>51</v>
      </c>
      <c r="C300" t="s">
        <v>50</v>
      </c>
      <c r="D300" t="s">
        <v>49</v>
      </c>
      <c r="E300" t="s">
        <v>48</v>
      </c>
      <c r="F300" t="s">
        <v>47</v>
      </c>
      <c r="G300" t="s">
        <v>46</v>
      </c>
    </row>
    <row r="301" spans="1:8" x14ac:dyDescent="0.35">
      <c r="A301" t="s">
        <v>552</v>
      </c>
      <c r="B301" t="s">
        <v>1193</v>
      </c>
      <c r="C301" t="s">
        <v>979</v>
      </c>
      <c r="D301" t="s">
        <v>29</v>
      </c>
      <c r="E301">
        <v>76</v>
      </c>
      <c r="F301" t="s">
        <v>555</v>
      </c>
      <c r="G301">
        <v>82.84</v>
      </c>
      <c r="H301" t="s">
        <v>208</v>
      </c>
    </row>
    <row r="302" spans="1:8" x14ac:dyDescent="0.35">
      <c r="A302" t="s">
        <v>552</v>
      </c>
      <c r="B302" t="s">
        <v>1193</v>
      </c>
      <c r="C302" t="s">
        <v>979</v>
      </c>
      <c r="D302" t="s">
        <v>164</v>
      </c>
      <c r="E302">
        <v>222</v>
      </c>
      <c r="F302" t="s">
        <v>554</v>
      </c>
      <c r="G302">
        <v>241.98000000000002</v>
      </c>
      <c r="H302" t="s">
        <v>553</v>
      </c>
    </row>
    <row r="303" spans="1:8" x14ac:dyDescent="0.35">
      <c r="A303" t="s">
        <v>552</v>
      </c>
      <c r="B303" t="s">
        <v>1193</v>
      </c>
      <c r="C303" t="s">
        <v>979</v>
      </c>
      <c r="D303" t="s">
        <v>147</v>
      </c>
      <c r="E303">
        <v>40</v>
      </c>
      <c r="F303" t="s">
        <v>146</v>
      </c>
      <c r="G303">
        <v>43.6</v>
      </c>
      <c r="H303" t="s">
        <v>63</v>
      </c>
    </row>
    <row r="304" spans="1:8" x14ac:dyDescent="0.35">
      <c r="A304" t="s">
        <v>551</v>
      </c>
      <c r="B304" t="s">
        <v>1194</v>
      </c>
      <c r="C304" t="s">
        <v>979</v>
      </c>
      <c r="D304" t="s">
        <v>64</v>
      </c>
      <c r="E304">
        <v>40</v>
      </c>
      <c r="F304" t="s">
        <v>311</v>
      </c>
      <c r="G304">
        <v>43.6</v>
      </c>
      <c r="H304" t="s">
        <v>63</v>
      </c>
    </row>
    <row r="305" spans="1:8" x14ac:dyDescent="0.35">
      <c r="A305" t="s">
        <v>548</v>
      </c>
      <c r="B305" t="s">
        <v>1195</v>
      </c>
      <c r="C305" t="s">
        <v>1108</v>
      </c>
      <c r="D305" t="s">
        <v>79</v>
      </c>
      <c r="E305">
        <v>135</v>
      </c>
      <c r="F305" t="s">
        <v>550</v>
      </c>
      <c r="G305">
        <v>147.15</v>
      </c>
      <c r="H305" t="s">
        <v>549</v>
      </c>
    </row>
    <row r="306" spans="1:8" x14ac:dyDescent="0.35">
      <c r="A306" t="s">
        <v>548</v>
      </c>
      <c r="B306" t="s">
        <v>1195</v>
      </c>
      <c r="C306" t="s">
        <v>1108</v>
      </c>
      <c r="D306" t="s">
        <v>328</v>
      </c>
      <c r="E306">
        <v>69</v>
      </c>
      <c r="F306" t="s">
        <v>547</v>
      </c>
      <c r="G306">
        <v>75.210000000000008</v>
      </c>
      <c r="H306" t="s">
        <v>546</v>
      </c>
    </row>
    <row r="307" spans="1:8" x14ac:dyDescent="0.35">
      <c r="A307" t="s">
        <v>545</v>
      </c>
      <c r="B307" t="s">
        <v>1196</v>
      </c>
      <c r="C307" t="s">
        <v>1197</v>
      </c>
      <c r="D307" t="s">
        <v>220</v>
      </c>
      <c r="E307">
        <v>37</v>
      </c>
      <c r="F307" t="s">
        <v>544</v>
      </c>
      <c r="G307">
        <v>40.330000000000005</v>
      </c>
      <c r="H307" t="s">
        <v>543</v>
      </c>
    </row>
    <row r="308" spans="1:8" x14ac:dyDescent="0.35">
      <c r="A308" t="s">
        <v>542</v>
      </c>
      <c r="B308" t="s">
        <v>1198</v>
      </c>
      <c r="C308" t="s">
        <v>1199</v>
      </c>
      <c r="D308" t="s">
        <v>137</v>
      </c>
      <c r="E308">
        <v>85</v>
      </c>
      <c r="F308" t="s">
        <v>28</v>
      </c>
      <c r="G308">
        <v>92.65</v>
      </c>
      <c r="H308" t="s">
        <v>541</v>
      </c>
    </row>
    <row r="309" spans="1:8" x14ac:dyDescent="0.35">
      <c r="A309" t="s">
        <v>540</v>
      </c>
      <c r="B309" t="s">
        <v>1198</v>
      </c>
      <c r="C309" t="s">
        <v>1199</v>
      </c>
      <c r="D309" t="s">
        <v>229</v>
      </c>
      <c r="E309">
        <v>87</v>
      </c>
      <c r="F309" t="s">
        <v>539</v>
      </c>
      <c r="G309">
        <v>94.830000000000013</v>
      </c>
      <c r="H309" t="s">
        <v>538</v>
      </c>
    </row>
    <row r="310" spans="1:8" x14ac:dyDescent="0.35">
      <c r="A310" t="s">
        <v>537</v>
      </c>
      <c r="B310" t="s">
        <v>1200</v>
      </c>
      <c r="C310" t="s">
        <v>1026</v>
      </c>
      <c r="D310" t="s">
        <v>170</v>
      </c>
      <c r="E310">
        <v>70</v>
      </c>
      <c r="F310" t="s">
        <v>536</v>
      </c>
      <c r="G310">
        <v>76.300000000000011</v>
      </c>
      <c r="H310" t="s">
        <v>535</v>
      </c>
    </row>
    <row r="311" spans="1:8" x14ac:dyDescent="0.35">
      <c r="A311" t="s">
        <v>534</v>
      </c>
      <c r="B311" t="s">
        <v>1201</v>
      </c>
      <c r="C311" t="s">
        <v>986</v>
      </c>
      <c r="D311" t="s">
        <v>57</v>
      </c>
      <c r="E311">
        <v>80</v>
      </c>
      <c r="F311" t="s">
        <v>26</v>
      </c>
      <c r="G311">
        <v>87.2</v>
      </c>
      <c r="H311" t="s">
        <v>366</v>
      </c>
    </row>
    <row r="312" spans="1:8" x14ac:dyDescent="0.35">
      <c r="A312" t="s">
        <v>533</v>
      </c>
      <c r="B312" t="s">
        <v>1202</v>
      </c>
      <c r="C312" t="s">
        <v>1203</v>
      </c>
      <c r="D312" t="s">
        <v>341</v>
      </c>
      <c r="E312">
        <v>55</v>
      </c>
      <c r="F312" t="s">
        <v>176</v>
      </c>
      <c r="G312">
        <v>59.95</v>
      </c>
      <c r="H312" t="s">
        <v>532</v>
      </c>
    </row>
    <row r="313" spans="1:8" x14ac:dyDescent="0.35">
      <c r="A313" t="s">
        <v>531</v>
      </c>
      <c r="B313" t="s">
        <v>1204</v>
      </c>
      <c r="C313" t="s">
        <v>1203</v>
      </c>
      <c r="D313" t="s">
        <v>344</v>
      </c>
      <c r="E313">
        <v>50</v>
      </c>
      <c r="F313" t="s">
        <v>530</v>
      </c>
      <c r="G313">
        <v>54.500000000000007</v>
      </c>
      <c r="H313" t="s">
        <v>529</v>
      </c>
    </row>
    <row r="314" spans="1:8" x14ac:dyDescent="0.35">
      <c r="A314" t="s">
        <v>528</v>
      </c>
      <c r="B314" t="s">
        <v>1205</v>
      </c>
      <c r="C314" t="s">
        <v>948</v>
      </c>
      <c r="D314" t="s">
        <v>249</v>
      </c>
      <c r="E314">
        <v>70</v>
      </c>
      <c r="F314" t="s">
        <v>43</v>
      </c>
      <c r="G314">
        <v>76.300000000000011</v>
      </c>
      <c r="H314" t="s">
        <v>527</v>
      </c>
    </row>
    <row r="315" spans="1:8" x14ac:dyDescent="0.35">
      <c r="A315" t="s">
        <v>525</v>
      </c>
      <c r="B315" t="s">
        <v>1206</v>
      </c>
      <c r="C315" t="s">
        <v>1117</v>
      </c>
      <c r="D315" t="s">
        <v>160</v>
      </c>
      <c r="E315">
        <v>265</v>
      </c>
      <c r="F315" t="s">
        <v>376</v>
      </c>
      <c r="G315">
        <v>288.85000000000002</v>
      </c>
      <c r="H315" t="s">
        <v>526</v>
      </c>
    </row>
    <row r="316" spans="1:8" x14ac:dyDescent="0.35">
      <c r="A316" t="s">
        <v>525</v>
      </c>
      <c r="B316" t="s">
        <v>1206</v>
      </c>
      <c r="C316" t="s">
        <v>1117</v>
      </c>
      <c r="D316" t="s">
        <v>174</v>
      </c>
      <c r="E316">
        <v>90</v>
      </c>
      <c r="F316" t="s">
        <v>524</v>
      </c>
      <c r="G316">
        <v>98.100000000000009</v>
      </c>
      <c r="H316" t="s">
        <v>523</v>
      </c>
    </row>
    <row r="317" spans="1:8" x14ac:dyDescent="0.35">
      <c r="A317" t="s">
        <v>522</v>
      </c>
      <c r="B317" t="s">
        <v>1207</v>
      </c>
      <c r="C317" t="s">
        <v>1037</v>
      </c>
      <c r="D317" t="s">
        <v>224</v>
      </c>
      <c r="E317">
        <v>95</v>
      </c>
      <c r="F317" t="s">
        <v>521</v>
      </c>
      <c r="G317">
        <v>103.55000000000001</v>
      </c>
      <c r="H317" t="s">
        <v>273</v>
      </c>
    </row>
    <row r="318" spans="1:8" x14ac:dyDescent="0.35">
      <c r="D318" t="s">
        <v>520</v>
      </c>
      <c r="E318">
        <v>1566</v>
      </c>
    </row>
    <row r="321" spans="1:8" x14ac:dyDescent="0.35">
      <c r="A321" t="s">
        <v>457</v>
      </c>
    </row>
    <row r="322" spans="1:8" x14ac:dyDescent="0.35">
      <c r="A322" t="s">
        <v>1006</v>
      </c>
    </row>
    <row r="323" spans="1:8" x14ac:dyDescent="0.35">
      <c r="A323" t="s">
        <v>52</v>
      </c>
      <c r="B323" t="s">
        <v>51</v>
      </c>
      <c r="C323" t="s">
        <v>50</v>
      </c>
      <c r="D323" t="s">
        <v>49</v>
      </c>
      <c r="E323" t="s">
        <v>48</v>
      </c>
      <c r="F323" t="s">
        <v>519</v>
      </c>
      <c r="G323" t="s">
        <v>46</v>
      </c>
    </row>
    <row r="324" spans="1:8" x14ac:dyDescent="0.35">
      <c r="A324" t="s">
        <v>518</v>
      </c>
      <c r="B324" t="s">
        <v>1208</v>
      </c>
      <c r="C324" t="s">
        <v>1013</v>
      </c>
      <c r="D324" t="s">
        <v>116</v>
      </c>
      <c r="E324">
        <v>60</v>
      </c>
      <c r="F324" t="s">
        <v>517</v>
      </c>
      <c r="G324">
        <v>65.400000000000006</v>
      </c>
      <c r="H324" t="s">
        <v>516</v>
      </c>
    </row>
    <row r="325" spans="1:8" x14ac:dyDescent="0.35">
      <c r="A325" t="s">
        <v>515</v>
      </c>
      <c r="B325" t="s">
        <v>1209</v>
      </c>
      <c r="C325" t="s">
        <v>1210</v>
      </c>
      <c r="D325" t="s">
        <v>280</v>
      </c>
      <c r="E325">
        <v>87</v>
      </c>
      <c r="F325" t="s">
        <v>56</v>
      </c>
      <c r="G325">
        <v>94.830000000000013</v>
      </c>
      <c r="H325" t="s">
        <v>514</v>
      </c>
    </row>
    <row r="326" spans="1:8" x14ac:dyDescent="0.35">
      <c r="A326" t="s">
        <v>513</v>
      </c>
      <c r="B326" t="s">
        <v>1211</v>
      </c>
      <c r="C326" t="s">
        <v>1212</v>
      </c>
      <c r="D326" t="s">
        <v>44</v>
      </c>
      <c r="E326">
        <v>103</v>
      </c>
      <c r="F326" t="s">
        <v>43</v>
      </c>
      <c r="G326">
        <v>112.27000000000001</v>
      </c>
      <c r="H326" t="s">
        <v>415</v>
      </c>
    </row>
    <row r="327" spans="1:8" x14ac:dyDescent="0.35">
      <c r="A327" t="s">
        <v>512</v>
      </c>
      <c r="B327" t="s">
        <v>1213</v>
      </c>
      <c r="C327" t="s">
        <v>1104</v>
      </c>
      <c r="D327" t="s">
        <v>236</v>
      </c>
      <c r="E327">
        <v>130</v>
      </c>
      <c r="F327" t="s">
        <v>28</v>
      </c>
      <c r="G327">
        <v>141.70000000000002</v>
      </c>
      <c r="H327" t="s">
        <v>511</v>
      </c>
    </row>
    <row r="328" spans="1:8" x14ac:dyDescent="0.35">
      <c r="A328" t="s">
        <v>510</v>
      </c>
      <c r="B328" t="s">
        <v>1214</v>
      </c>
      <c r="C328" t="s">
        <v>1215</v>
      </c>
      <c r="D328" t="s">
        <v>189</v>
      </c>
      <c r="E328">
        <v>101</v>
      </c>
      <c r="F328" t="s">
        <v>509</v>
      </c>
      <c r="G328">
        <v>110.09</v>
      </c>
      <c r="H328" t="s">
        <v>508</v>
      </c>
    </row>
    <row r="329" spans="1:8" x14ac:dyDescent="0.35">
      <c r="A329" t="s">
        <v>507</v>
      </c>
      <c r="B329" t="s">
        <v>1216</v>
      </c>
      <c r="C329" t="s">
        <v>1179</v>
      </c>
      <c r="D329" t="s">
        <v>206</v>
      </c>
      <c r="E329">
        <v>32</v>
      </c>
      <c r="F329" t="s">
        <v>506</v>
      </c>
      <c r="G329">
        <v>34.880000000000003</v>
      </c>
      <c r="H329" t="s">
        <v>505</v>
      </c>
    </row>
    <row r="330" spans="1:8" x14ac:dyDescent="0.35">
      <c r="A330" t="s">
        <v>504</v>
      </c>
      <c r="B330" t="s">
        <v>1217</v>
      </c>
      <c r="C330" t="s">
        <v>1090</v>
      </c>
      <c r="D330" t="s">
        <v>151</v>
      </c>
      <c r="E330">
        <v>240</v>
      </c>
      <c r="F330" t="s">
        <v>24</v>
      </c>
      <c r="G330">
        <v>261.60000000000002</v>
      </c>
      <c r="H330" t="s">
        <v>23</v>
      </c>
    </row>
    <row r="331" spans="1:8" x14ac:dyDescent="0.35">
      <c r="A331" t="s">
        <v>502</v>
      </c>
      <c r="B331" t="s">
        <v>1218</v>
      </c>
      <c r="C331" t="s">
        <v>1219</v>
      </c>
      <c r="D331" t="s">
        <v>123</v>
      </c>
      <c r="E331">
        <v>75</v>
      </c>
      <c r="F331" t="s">
        <v>26</v>
      </c>
      <c r="G331">
        <v>81.75</v>
      </c>
      <c r="H331" t="s">
        <v>503</v>
      </c>
    </row>
    <row r="332" spans="1:8" x14ac:dyDescent="0.35">
      <c r="A332" t="s">
        <v>502</v>
      </c>
      <c r="B332" t="s">
        <v>1218</v>
      </c>
      <c r="C332" t="s">
        <v>1219</v>
      </c>
      <c r="D332" t="s">
        <v>126</v>
      </c>
      <c r="E332">
        <v>100</v>
      </c>
      <c r="F332" t="s">
        <v>501</v>
      </c>
      <c r="G332">
        <v>109.00000000000001</v>
      </c>
      <c r="H332" t="s">
        <v>276</v>
      </c>
    </row>
    <row r="333" spans="1:8" x14ac:dyDescent="0.35">
      <c r="A333" t="s">
        <v>500</v>
      </c>
      <c r="B333" t="s">
        <v>1220</v>
      </c>
      <c r="C333" t="s">
        <v>1219</v>
      </c>
      <c r="D333" t="s">
        <v>75</v>
      </c>
      <c r="E333">
        <v>57</v>
      </c>
      <c r="F333" t="s">
        <v>499</v>
      </c>
      <c r="G333">
        <v>62.13</v>
      </c>
      <c r="H333" t="s">
        <v>73</v>
      </c>
    </row>
    <row r="334" spans="1:8" x14ac:dyDescent="0.35">
      <c r="A334" t="s">
        <v>498</v>
      </c>
      <c r="B334" t="s">
        <v>1221</v>
      </c>
      <c r="C334" t="s">
        <v>1222</v>
      </c>
      <c r="D334" t="s">
        <v>183</v>
      </c>
      <c r="E334">
        <v>93</v>
      </c>
      <c r="F334" t="s">
        <v>497</v>
      </c>
      <c r="G334">
        <v>101.37</v>
      </c>
      <c r="H334" t="s">
        <v>496</v>
      </c>
    </row>
    <row r="335" spans="1:8" x14ac:dyDescent="0.35">
      <c r="A335" t="s">
        <v>495</v>
      </c>
      <c r="B335" t="s">
        <v>1223</v>
      </c>
      <c r="C335" t="s">
        <v>1224</v>
      </c>
      <c r="D335" t="s">
        <v>133</v>
      </c>
      <c r="E335">
        <v>165</v>
      </c>
      <c r="F335" t="s">
        <v>494</v>
      </c>
      <c r="G335">
        <v>179.85000000000002</v>
      </c>
      <c r="H335" t="s">
        <v>493</v>
      </c>
    </row>
    <row r="336" spans="1:8" x14ac:dyDescent="0.35">
      <c r="A336" t="s">
        <v>492</v>
      </c>
      <c r="B336" t="s">
        <v>1225</v>
      </c>
      <c r="C336" t="s">
        <v>1076</v>
      </c>
      <c r="D336" t="s">
        <v>199</v>
      </c>
      <c r="E336">
        <v>140</v>
      </c>
      <c r="F336" t="s">
        <v>491</v>
      </c>
      <c r="G336">
        <v>152.60000000000002</v>
      </c>
      <c r="H336" t="s">
        <v>490</v>
      </c>
    </row>
    <row r="337" spans="1:8" x14ac:dyDescent="0.35">
      <c r="A337" t="s">
        <v>489</v>
      </c>
      <c r="B337" t="s">
        <v>1226</v>
      </c>
      <c r="C337" t="s">
        <v>1227</v>
      </c>
      <c r="D337" t="s">
        <v>201</v>
      </c>
      <c r="E337">
        <v>103</v>
      </c>
      <c r="F337" t="s">
        <v>108</v>
      </c>
      <c r="G337">
        <v>112.27000000000001</v>
      </c>
      <c r="H337" t="s">
        <v>42</v>
      </c>
    </row>
    <row r="338" spans="1:8" x14ac:dyDescent="0.35">
      <c r="A338" t="s">
        <v>488</v>
      </c>
      <c r="B338" t="s">
        <v>1228</v>
      </c>
      <c r="C338" t="s">
        <v>1052</v>
      </c>
      <c r="D338" t="s">
        <v>11</v>
      </c>
      <c r="E338">
        <v>150</v>
      </c>
      <c r="F338" t="s">
        <v>487</v>
      </c>
      <c r="G338">
        <v>163.5</v>
      </c>
      <c r="H338" t="s">
        <v>486</v>
      </c>
    </row>
    <row r="339" spans="1:8" x14ac:dyDescent="0.35">
      <c r="D339" t="s">
        <v>485</v>
      </c>
      <c r="E339">
        <v>1636</v>
      </c>
    </row>
    <row r="342" spans="1:8" x14ac:dyDescent="0.35">
      <c r="A342" t="s">
        <v>457</v>
      </c>
    </row>
    <row r="343" spans="1:8" x14ac:dyDescent="0.35">
      <c r="A343" t="s">
        <v>1031</v>
      </c>
    </row>
    <row r="344" spans="1:8" x14ac:dyDescent="0.35">
      <c r="A344" t="s">
        <v>52</v>
      </c>
      <c r="B344" t="s">
        <v>51</v>
      </c>
      <c r="C344" t="s">
        <v>50</v>
      </c>
      <c r="D344" t="s">
        <v>49</v>
      </c>
      <c r="E344" t="s">
        <v>48</v>
      </c>
      <c r="F344" t="s">
        <v>47</v>
      </c>
      <c r="G344" t="s">
        <v>46</v>
      </c>
    </row>
    <row r="345" spans="1:8" x14ac:dyDescent="0.35">
      <c r="A345" t="s">
        <v>478</v>
      </c>
      <c r="B345" t="s">
        <v>1229</v>
      </c>
      <c r="C345" t="s">
        <v>1230</v>
      </c>
      <c r="D345" t="s">
        <v>102</v>
      </c>
      <c r="E345">
        <v>150</v>
      </c>
      <c r="F345" t="s">
        <v>484</v>
      </c>
      <c r="G345">
        <v>163.5</v>
      </c>
      <c r="H345" t="s">
        <v>483</v>
      </c>
    </row>
    <row r="346" spans="1:8" x14ac:dyDescent="0.35">
      <c r="A346" t="s">
        <v>478</v>
      </c>
      <c r="B346" t="s">
        <v>1231</v>
      </c>
      <c r="C346" t="s">
        <v>1232</v>
      </c>
      <c r="D346" t="s">
        <v>104</v>
      </c>
      <c r="E346">
        <v>15</v>
      </c>
      <c r="F346" s="94">
        <v>206</v>
      </c>
      <c r="G346">
        <v>16.350000000000001</v>
      </c>
      <c r="H346" t="s">
        <v>482</v>
      </c>
    </row>
    <row r="347" spans="1:8" x14ac:dyDescent="0.35">
      <c r="A347" t="s">
        <v>478</v>
      </c>
      <c r="B347" t="s">
        <v>1233</v>
      </c>
      <c r="C347" t="s">
        <v>1230</v>
      </c>
      <c r="D347" t="s">
        <v>96</v>
      </c>
      <c r="E347">
        <v>32</v>
      </c>
      <c r="F347" t="s">
        <v>481</v>
      </c>
      <c r="G347">
        <v>34.880000000000003</v>
      </c>
      <c r="H347" t="s">
        <v>205</v>
      </c>
    </row>
    <row r="348" spans="1:8" x14ac:dyDescent="0.35">
      <c r="A348" t="s">
        <v>478</v>
      </c>
      <c r="B348" t="s">
        <v>1229</v>
      </c>
      <c r="C348" t="s">
        <v>1234</v>
      </c>
      <c r="D348" t="s">
        <v>99</v>
      </c>
      <c r="E348">
        <v>30</v>
      </c>
      <c r="F348" t="s">
        <v>300</v>
      </c>
      <c r="G348">
        <v>32.700000000000003</v>
      </c>
      <c r="H348" t="s">
        <v>447</v>
      </c>
    </row>
    <row r="349" spans="1:8" x14ac:dyDescent="0.35">
      <c r="A349" t="s">
        <v>478</v>
      </c>
      <c r="B349" t="s">
        <v>1231</v>
      </c>
      <c r="C349" t="s">
        <v>1235</v>
      </c>
      <c r="D349" t="s">
        <v>90</v>
      </c>
      <c r="E349">
        <v>20</v>
      </c>
      <c r="F349" t="s">
        <v>132</v>
      </c>
      <c r="G349">
        <v>21.8</v>
      </c>
      <c r="H349" t="s">
        <v>480</v>
      </c>
    </row>
    <row r="350" spans="1:8" x14ac:dyDescent="0.35">
      <c r="A350" t="s">
        <v>478</v>
      </c>
      <c r="B350" t="s">
        <v>1233</v>
      </c>
      <c r="C350" t="s">
        <v>1230</v>
      </c>
      <c r="D350" t="s">
        <v>86</v>
      </c>
      <c r="E350">
        <v>40</v>
      </c>
      <c r="F350" t="s">
        <v>479</v>
      </c>
      <c r="G350">
        <v>43.6</v>
      </c>
      <c r="H350" t="s">
        <v>212</v>
      </c>
    </row>
    <row r="351" spans="1:8" x14ac:dyDescent="0.35">
      <c r="A351" t="s">
        <v>478</v>
      </c>
      <c r="B351" t="s">
        <v>1229</v>
      </c>
      <c r="C351" t="s">
        <v>1230</v>
      </c>
      <c r="D351" t="s">
        <v>109</v>
      </c>
      <c r="E351">
        <v>30</v>
      </c>
      <c r="F351">
        <v>206</v>
      </c>
      <c r="G351">
        <v>32.700000000000003</v>
      </c>
      <c r="H351" t="s">
        <v>447</v>
      </c>
    </row>
    <row r="352" spans="1:8" x14ac:dyDescent="0.35">
      <c r="A352" t="s">
        <v>478</v>
      </c>
      <c r="B352" t="s">
        <v>1229</v>
      </c>
      <c r="C352" t="s">
        <v>1230</v>
      </c>
      <c r="D352" t="s">
        <v>107</v>
      </c>
      <c r="E352">
        <v>80</v>
      </c>
      <c r="F352" t="s">
        <v>20</v>
      </c>
      <c r="G352">
        <v>87.2</v>
      </c>
      <c r="H352" t="s">
        <v>373</v>
      </c>
    </row>
    <row r="353" spans="1:8" x14ac:dyDescent="0.35">
      <c r="A353" t="s">
        <v>477</v>
      </c>
      <c r="B353" t="s">
        <v>1236</v>
      </c>
      <c r="C353" t="s">
        <v>1237</v>
      </c>
      <c r="D353" t="s">
        <v>223</v>
      </c>
      <c r="E353">
        <v>83</v>
      </c>
      <c r="F353" t="s">
        <v>476</v>
      </c>
      <c r="G353">
        <v>90.470000000000013</v>
      </c>
      <c r="H353" t="s">
        <v>475</v>
      </c>
    </row>
    <row r="354" spans="1:8" x14ac:dyDescent="0.35">
      <c r="A354" t="s">
        <v>473</v>
      </c>
      <c r="B354" t="s">
        <v>1238</v>
      </c>
      <c r="C354" t="s">
        <v>1044</v>
      </c>
      <c r="D354" t="s">
        <v>36</v>
      </c>
      <c r="E354">
        <v>65</v>
      </c>
      <c r="F354" t="s">
        <v>20</v>
      </c>
      <c r="G354">
        <v>70.850000000000009</v>
      </c>
      <c r="H354" t="s">
        <v>474</v>
      </c>
    </row>
    <row r="355" spans="1:8" x14ac:dyDescent="0.35">
      <c r="A355" t="s">
        <v>473</v>
      </c>
      <c r="B355" t="s">
        <v>1238</v>
      </c>
      <c r="C355" t="s">
        <v>1019</v>
      </c>
      <c r="D355" t="s">
        <v>154</v>
      </c>
      <c r="E355">
        <v>160</v>
      </c>
      <c r="F355" t="s">
        <v>472</v>
      </c>
      <c r="G355">
        <v>174.4</v>
      </c>
      <c r="H355" t="s">
        <v>471</v>
      </c>
    </row>
    <row r="356" spans="1:8" x14ac:dyDescent="0.35">
      <c r="A356" t="s">
        <v>425</v>
      </c>
      <c r="B356" t="s">
        <v>1239</v>
      </c>
      <c r="C356" t="s">
        <v>1072</v>
      </c>
      <c r="D356" t="s">
        <v>130</v>
      </c>
      <c r="E356">
        <v>295</v>
      </c>
      <c r="F356" t="s">
        <v>150</v>
      </c>
      <c r="G356">
        <v>321.55</v>
      </c>
      <c r="H356" t="s">
        <v>470</v>
      </c>
    </row>
    <row r="357" spans="1:8" x14ac:dyDescent="0.35">
      <c r="A357" t="s">
        <v>469</v>
      </c>
      <c r="B357" t="s">
        <v>1240</v>
      </c>
      <c r="C357" t="s">
        <v>1241</v>
      </c>
      <c r="D357" t="s">
        <v>15</v>
      </c>
      <c r="E357">
        <v>250</v>
      </c>
      <c r="F357" t="s">
        <v>24</v>
      </c>
      <c r="G357">
        <v>272.5</v>
      </c>
      <c r="H357" t="s">
        <v>359</v>
      </c>
    </row>
    <row r="358" spans="1:8" x14ac:dyDescent="0.35">
      <c r="A358" t="s">
        <v>468</v>
      </c>
      <c r="B358" t="s">
        <v>1242</v>
      </c>
      <c r="C358" t="s">
        <v>1243</v>
      </c>
      <c r="D358" t="s">
        <v>7</v>
      </c>
      <c r="E358">
        <v>18</v>
      </c>
      <c r="F358" t="s">
        <v>467</v>
      </c>
      <c r="G358">
        <v>19.62</v>
      </c>
    </row>
    <row r="359" spans="1:8" x14ac:dyDescent="0.35">
      <c r="A359" t="s">
        <v>466</v>
      </c>
      <c r="B359" t="s">
        <v>1244</v>
      </c>
      <c r="C359" t="s">
        <v>955</v>
      </c>
      <c r="D359" t="s">
        <v>203</v>
      </c>
      <c r="E359">
        <v>138</v>
      </c>
      <c r="F359" t="s">
        <v>465</v>
      </c>
      <c r="G359">
        <v>150.42000000000002</v>
      </c>
    </row>
    <row r="360" spans="1:8" x14ac:dyDescent="0.35">
      <c r="A360" t="s">
        <v>464</v>
      </c>
      <c r="B360" t="s">
        <v>1245</v>
      </c>
      <c r="C360" t="s">
        <v>1246</v>
      </c>
      <c r="D360" t="s">
        <v>180</v>
      </c>
      <c r="E360">
        <v>128</v>
      </c>
      <c r="F360" t="s">
        <v>463</v>
      </c>
      <c r="G360">
        <v>139.52000000000001</v>
      </c>
      <c r="H360" t="s">
        <v>462</v>
      </c>
    </row>
    <row r="361" spans="1:8" x14ac:dyDescent="0.35">
      <c r="A361" t="s">
        <v>461</v>
      </c>
      <c r="B361" t="s">
        <v>1247</v>
      </c>
      <c r="C361" t="s">
        <v>1138</v>
      </c>
      <c r="D361" t="s">
        <v>140</v>
      </c>
      <c r="E361">
        <v>154</v>
      </c>
      <c r="F361" t="s">
        <v>460</v>
      </c>
      <c r="G361">
        <v>167.86</v>
      </c>
      <c r="H361" t="s">
        <v>459</v>
      </c>
    </row>
    <row r="362" spans="1:8" x14ac:dyDescent="0.35">
      <c r="D362" t="s">
        <v>458</v>
      </c>
      <c r="E362">
        <v>1688</v>
      </c>
    </row>
    <row r="365" spans="1:8" x14ac:dyDescent="0.35">
      <c r="A365" t="s">
        <v>457</v>
      </c>
    </row>
    <row r="366" spans="1:8" x14ac:dyDescent="0.35">
      <c r="A366" t="s">
        <v>281</v>
      </c>
    </row>
    <row r="367" spans="1:8" x14ac:dyDescent="0.35">
      <c r="A367" t="s">
        <v>52</v>
      </c>
      <c r="B367" t="s">
        <v>51</v>
      </c>
      <c r="C367" t="s">
        <v>50</v>
      </c>
      <c r="D367" t="s">
        <v>49</v>
      </c>
      <c r="E367" t="s">
        <v>48</v>
      </c>
      <c r="F367" t="s">
        <v>47</v>
      </c>
      <c r="G367" t="s">
        <v>46</v>
      </c>
    </row>
    <row r="368" spans="1:8" x14ac:dyDescent="0.35">
      <c r="A368" t="s">
        <v>456</v>
      </c>
      <c r="B368" t="s">
        <v>1248</v>
      </c>
      <c r="C368" t="s">
        <v>1249</v>
      </c>
      <c r="D368" t="s">
        <v>234</v>
      </c>
      <c r="E368">
        <v>130</v>
      </c>
      <c r="F368" t="s">
        <v>225</v>
      </c>
      <c r="G368">
        <v>141.70000000000002</v>
      </c>
    </row>
    <row r="369" spans="1:8" x14ac:dyDescent="0.35">
      <c r="A369" t="s">
        <v>456</v>
      </c>
      <c r="B369" t="s">
        <v>1248</v>
      </c>
      <c r="C369" t="s">
        <v>1249</v>
      </c>
      <c r="D369" t="s">
        <v>61</v>
      </c>
      <c r="E369">
        <v>120</v>
      </c>
      <c r="F369" t="s">
        <v>225</v>
      </c>
      <c r="G369">
        <v>130.80000000000001</v>
      </c>
    </row>
    <row r="370" spans="1:8" x14ac:dyDescent="0.35">
      <c r="A370" t="s">
        <v>456</v>
      </c>
      <c r="B370" t="s">
        <v>1248</v>
      </c>
      <c r="C370" t="s">
        <v>1250</v>
      </c>
      <c r="D370" t="s">
        <v>59</v>
      </c>
      <c r="E370">
        <v>56</v>
      </c>
      <c r="F370" t="s">
        <v>225</v>
      </c>
      <c r="G370">
        <v>61.040000000000006</v>
      </c>
    </row>
    <row r="371" spans="1:8" x14ac:dyDescent="0.35">
      <c r="A371" t="s">
        <v>455</v>
      </c>
      <c r="B371" t="s">
        <v>1251</v>
      </c>
      <c r="C371" t="s">
        <v>1054</v>
      </c>
      <c r="D371" t="s">
        <v>21</v>
      </c>
      <c r="E371">
        <v>75</v>
      </c>
      <c r="F371" t="s">
        <v>225</v>
      </c>
      <c r="G371">
        <v>81.75</v>
      </c>
    </row>
    <row r="372" spans="1:8" x14ac:dyDescent="0.35">
      <c r="A372" t="s">
        <v>454</v>
      </c>
      <c r="B372" t="s">
        <v>1252</v>
      </c>
      <c r="C372" t="s">
        <v>1054</v>
      </c>
      <c r="D372" t="s">
        <v>67</v>
      </c>
      <c r="E372">
        <v>82</v>
      </c>
      <c r="F372" t="s">
        <v>225</v>
      </c>
      <c r="G372">
        <v>89.38000000000001</v>
      </c>
    </row>
    <row r="373" spans="1:8" x14ac:dyDescent="0.35">
      <c r="A373" t="s">
        <v>453</v>
      </c>
      <c r="B373" t="s">
        <v>1253</v>
      </c>
      <c r="C373" t="s">
        <v>1054</v>
      </c>
      <c r="D373" t="s">
        <v>27</v>
      </c>
      <c r="E373">
        <v>80</v>
      </c>
      <c r="F373" t="s">
        <v>225</v>
      </c>
      <c r="G373">
        <v>87.2</v>
      </c>
    </row>
    <row r="374" spans="1:8" x14ac:dyDescent="0.35">
      <c r="A374" t="s">
        <v>452</v>
      </c>
      <c r="B374" t="s">
        <v>1254</v>
      </c>
      <c r="C374" t="s">
        <v>1054</v>
      </c>
      <c r="D374" t="s">
        <v>220</v>
      </c>
      <c r="E374">
        <v>37</v>
      </c>
      <c r="F374" t="s">
        <v>225</v>
      </c>
      <c r="G374">
        <v>40.330000000000005</v>
      </c>
    </row>
    <row r="375" spans="1:8" x14ac:dyDescent="0.35">
      <c r="A375" t="s">
        <v>451</v>
      </c>
      <c r="B375" t="s">
        <v>1255</v>
      </c>
      <c r="C375" t="s">
        <v>1054</v>
      </c>
      <c r="D375" t="s">
        <v>25</v>
      </c>
      <c r="E375">
        <v>240</v>
      </c>
      <c r="F375" t="s">
        <v>225</v>
      </c>
      <c r="G375">
        <v>261.60000000000002</v>
      </c>
    </row>
    <row r="376" spans="1:8" x14ac:dyDescent="0.35">
      <c r="A376" t="s">
        <v>450</v>
      </c>
      <c r="B376" t="s">
        <v>1256</v>
      </c>
      <c r="C376" t="s">
        <v>1125</v>
      </c>
      <c r="D376" t="s">
        <v>170</v>
      </c>
      <c r="E376">
        <v>70</v>
      </c>
      <c r="F376" t="s">
        <v>438</v>
      </c>
      <c r="G376">
        <v>76.300000000000011</v>
      </c>
      <c r="H376" t="s">
        <v>437</v>
      </c>
    </row>
    <row r="377" spans="1:8" x14ac:dyDescent="0.35">
      <c r="A377" t="s">
        <v>449</v>
      </c>
      <c r="B377" t="s">
        <v>1257</v>
      </c>
      <c r="C377" t="s">
        <v>1096</v>
      </c>
      <c r="D377" t="s">
        <v>32</v>
      </c>
      <c r="E377">
        <v>30</v>
      </c>
      <c r="F377" t="s">
        <v>448</v>
      </c>
      <c r="G377">
        <v>32.700000000000003</v>
      </c>
      <c r="H377" t="s">
        <v>447</v>
      </c>
    </row>
    <row r="378" spans="1:8" x14ac:dyDescent="0.35">
      <c r="A378" t="s">
        <v>444</v>
      </c>
      <c r="B378" t="s">
        <v>1258</v>
      </c>
      <c r="C378" t="s">
        <v>973</v>
      </c>
      <c r="D378" t="s">
        <v>79</v>
      </c>
      <c r="E378">
        <v>54</v>
      </c>
      <c r="F378" t="s">
        <v>446</v>
      </c>
      <c r="G378">
        <v>58.860000000000007</v>
      </c>
      <c r="H378" t="s">
        <v>445</v>
      </c>
    </row>
    <row r="379" spans="1:8" x14ac:dyDescent="0.35">
      <c r="A379" t="s">
        <v>444</v>
      </c>
      <c r="B379" t="s">
        <v>1258</v>
      </c>
      <c r="C379" t="s">
        <v>973</v>
      </c>
      <c r="D379" t="s">
        <v>71</v>
      </c>
      <c r="E379">
        <v>52</v>
      </c>
      <c r="F379" t="s">
        <v>443</v>
      </c>
      <c r="G379">
        <v>56.680000000000007</v>
      </c>
      <c r="H379" t="s">
        <v>442</v>
      </c>
    </row>
    <row r="380" spans="1:8" x14ac:dyDescent="0.35">
      <c r="A380" t="s">
        <v>439</v>
      </c>
      <c r="B380" t="s">
        <v>1259</v>
      </c>
      <c r="C380" t="s">
        <v>1061</v>
      </c>
      <c r="D380" t="s">
        <v>263</v>
      </c>
      <c r="E380">
        <v>225</v>
      </c>
      <c r="F380" t="s">
        <v>441</v>
      </c>
      <c r="G380">
        <v>245.25000000000003</v>
      </c>
      <c r="H380" t="s">
        <v>440</v>
      </c>
    </row>
    <row r="381" spans="1:8" x14ac:dyDescent="0.35">
      <c r="A381" t="s">
        <v>439</v>
      </c>
      <c r="B381" t="s">
        <v>1134</v>
      </c>
      <c r="C381" t="s">
        <v>1061</v>
      </c>
      <c r="D381" t="s">
        <v>277</v>
      </c>
      <c r="E381">
        <v>70</v>
      </c>
      <c r="F381" t="s">
        <v>438</v>
      </c>
      <c r="G381">
        <v>76.300000000000011</v>
      </c>
      <c r="H381" t="s">
        <v>437</v>
      </c>
    </row>
    <row r="382" spans="1:8" x14ac:dyDescent="0.35">
      <c r="A382" t="s">
        <v>436</v>
      </c>
      <c r="B382" t="s">
        <v>1260</v>
      </c>
      <c r="C382" t="s">
        <v>986</v>
      </c>
      <c r="D382" t="s">
        <v>112</v>
      </c>
      <c r="E382">
        <v>99</v>
      </c>
      <c r="F382" t="s">
        <v>43</v>
      </c>
      <c r="G382">
        <v>107.91000000000001</v>
      </c>
      <c r="H382" t="s">
        <v>435</v>
      </c>
    </row>
    <row r="383" spans="1:8" x14ac:dyDescent="0.35">
      <c r="A383" t="s">
        <v>432</v>
      </c>
      <c r="B383" t="s">
        <v>1261</v>
      </c>
      <c r="C383" t="s">
        <v>1199</v>
      </c>
      <c r="D383" t="s">
        <v>229</v>
      </c>
      <c r="E383">
        <v>87</v>
      </c>
      <c r="F383" t="s">
        <v>434</v>
      </c>
      <c r="G383">
        <v>94.830000000000013</v>
      </c>
      <c r="H383" t="s">
        <v>433</v>
      </c>
    </row>
    <row r="384" spans="1:8" x14ac:dyDescent="0.35">
      <c r="A384" t="s">
        <v>432</v>
      </c>
      <c r="B384" t="s">
        <v>1261</v>
      </c>
      <c r="C384" t="s">
        <v>1199</v>
      </c>
      <c r="D384" t="s">
        <v>137</v>
      </c>
      <c r="E384">
        <v>85</v>
      </c>
      <c r="F384" t="s">
        <v>56</v>
      </c>
      <c r="G384">
        <v>92.65</v>
      </c>
      <c r="H384" t="s">
        <v>135</v>
      </c>
    </row>
    <row r="385" spans="1:8" x14ac:dyDescent="0.35">
      <c r="A385" t="s">
        <v>431</v>
      </c>
      <c r="B385" t="s">
        <v>1262</v>
      </c>
      <c r="C385" t="s">
        <v>1083</v>
      </c>
      <c r="D385" t="s">
        <v>57</v>
      </c>
      <c r="E385">
        <v>80</v>
      </c>
      <c r="F385" t="s">
        <v>20</v>
      </c>
      <c r="G385">
        <v>87.2</v>
      </c>
      <c r="H385" t="s">
        <v>373</v>
      </c>
    </row>
    <row r="386" spans="1:8" x14ac:dyDescent="0.35">
      <c r="A386" t="s">
        <v>430</v>
      </c>
      <c r="B386" t="s">
        <v>1263</v>
      </c>
      <c r="C386" t="s">
        <v>1264</v>
      </c>
      <c r="D386" t="s">
        <v>3</v>
      </c>
      <c r="E386">
        <v>72</v>
      </c>
      <c r="F386" t="s">
        <v>429</v>
      </c>
      <c r="G386">
        <v>78.48</v>
      </c>
      <c r="H386" t="s">
        <v>428</v>
      </c>
    </row>
    <row r="387" spans="1:8" x14ac:dyDescent="0.35">
      <c r="A387" t="s">
        <v>427</v>
      </c>
      <c r="B387" t="s">
        <v>1265</v>
      </c>
      <c r="C387" t="s">
        <v>1266</v>
      </c>
      <c r="D387" t="s">
        <v>195</v>
      </c>
      <c r="E387">
        <v>23</v>
      </c>
      <c r="F387" t="s">
        <v>132</v>
      </c>
      <c r="G387">
        <v>25.07</v>
      </c>
      <c r="H387" t="s">
        <v>426</v>
      </c>
    </row>
    <row r="388" spans="1:8" x14ac:dyDescent="0.35">
      <c r="A388" t="s">
        <v>425</v>
      </c>
      <c r="B388" t="s">
        <v>1239</v>
      </c>
      <c r="C388" t="s">
        <v>1072</v>
      </c>
      <c r="D388" t="s">
        <v>40</v>
      </c>
      <c r="E388">
        <v>262</v>
      </c>
      <c r="F388" t="s">
        <v>424</v>
      </c>
      <c r="G388">
        <v>285.58000000000004</v>
      </c>
      <c r="H388" t="s">
        <v>423</v>
      </c>
    </row>
    <row r="389" spans="1:8" x14ac:dyDescent="0.35">
      <c r="A389" t="s">
        <v>422</v>
      </c>
      <c r="B389" t="s">
        <v>1115</v>
      </c>
      <c r="C389" t="s">
        <v>1065</v>
      </c>
      <c r="D389" t="s">
        <v>224</v>
      </c>
      <c r="E389">
        <v>95</v>
      </c>
      <c r="F389" t="s">
        <v>26</v>
      </c>
      <c r="G389">
        <v>103.55000000000001</v>
      </c>
      <c r="H389" t="s">
        <v>421</v>
      </c>
    </row>
    <row r="390" spans="1:8" x14ac:dyDescent="0.35">
      <c r="A390" t="s">
        <v>420</v>
      </c>
      <c r="B390" t="s">
        <v>1267</v>
      </c>
      <c r="C390" t="s">
        <v>1268</v>
      </c>
      <c r="D390" t="s">
        <v>167</v>
      </c>
      <c r="E390">
        <v>230</v>
      </c>
      <c r="F390" t="s">
        <v>419</v>
      </c>
      <c r="G390">
        <v>250.70000000000002</v>
      </c>
      <c r="H390" t="s">
        <v>166</v>
      </c>
    </row>
    <row r="391" spans="1:8" x14ac:dyDescent="0.35">
      <c r="A391" t="s">
        <v>418</v>
      </c>
      <c r="B391" t="s">
        <v>1269</v>
      </c>
      <c r="C391" t="s">
        <v>966</v>
      </c>
      <c r="D391" t="s">
        <v>174</v>
      </c>
      <c r="E391">
        <v>90</v>
      </c>
      <c r="F391" t="s">
        <v>98</v>
      </c>
      <c r="G391">
        <v>98.100000000000009</v>
      </c>
      <c r="H391" t="s">
        <v>417</v>
      </c>
    </row>
    <row r="392" spans="1:8" x14ac:dyDescent="0.35">
      <c r="D392" t="s">
        <v>416</v>
      </c>
      <c r="E392">
        <v>1624</v>
      </c>
    </row>
    <row r="395" spans="1:8" x14ac:dyDescent="0.35">
      <c r="A395" t="s">
        <v>282</v>
      </c>
    </row>
    <row r="396" spans="1:8" x14ac:dyDescent="0.35">
      <c r="A396" t="s">
        <v>924</v>
      </c>
    </row>
    <row r="397" spans="1:8" x14ac:dyDescent="0.35">
      <c r="A397" t="s">
        <v>52</v>
      </c>
      <c r="B397" t="s">
        <v>51</v>
      </c>
      <c r="C397" t="s">
        <v>50</v>
      </c>
      <c r="D397" t="s">
        <v>49</v>
      </c>
      <c r="E397" t="s">
        <v>48</v>
      </c>
      <c r="F397" t="s">
        <v>47</v>
      </c>
      <c r="G397" t="s">
        <v>46</v>
      </c>
    </row>
    <row r="398" spans="1:8" x14ac:dyDescent="0.35">
      <c r="A398" t="s">
        <v>385</v>
      </c>
      <c r="B398" t="s">
        <v>1166</v>
      </c>
      <c r="C398" t="s">
        <v>1270</v>
      </c>
      <c r="D398" t="s">
        <v>44</v>
      </c>
      <c r="E398">
        <v>103</v>
      </c>
      <c r="F398" t="s">
        <v>43</v>
      </c>
      <c r="G398">
        <v>112.27000000000001</v>
      </c>
      <c r="H398" t="s">
        <v>415</v>
      </c>
    </row>
    <row r="399" spans="1:8" x14ac:dyDescent="0.35">
      <c r="A399" t="s">
        <v>385</v>
      </c>
      <c r="B399" t="s">
        <v>1166</v>
      </c>
      <c r="C399" t="s">
        <v>1270</v>
      </c>
      <c r="D399" t="s">
        <v>144</v>
      </c>
      <c r="E399">
        <v>85</v>
      </c>
      <c r="F399" t="s">
        <v>414</v>
      </c>
      <c r="G399">
        <v>92.65</v>
      </c>
      <c r="H399" t="s">
        <v>413</v>
      </c>
    </row>
    <row r="400" spans="1:8" x14ac:dyDescent="0.35">
      <c r="A400" t="s">
        <v>385</v>
      </c>
      <c r="B400" t="s">
        <v>1166</v>
      </c>
      <c r="C400" t="s">
        <v>1270</v>
      </c>
      <c r="D400" t="s">
        <v>236</v>
      </c>
      <c r="E400">
        <v>130</v>
      </c>
      <c r="F400" t="s">
        <v>412</v>
      </c>
      <c r="G400">
        <v>141.70000000000002</v>
      </c>
      <c r="H400" t="s">
        <v>411</v>
      </c>
    </row>
    <row r="401" spans="1:8" x14ac:dyDescent="0.35">
      <c r="A401" t="s">
        <v>385</v>
      </c>
      <c r="B401" t="s">
        <v>1166</v>
      </c>
      <c r="C401" t="s">
        <v>1270</v>
      </c>
      <c r="D401" t="s">
        <v>263</v>
      </c>
      <c r="E401">
        <v>225</v>
      </c>
      <c r="F401" t="s">
        <v>410</v>
      </c>
      <c r="G401">
        <v>245.25000000000003</v>
      </c>
      <c r="H401" t="s">
        <v>261</v>
      </c>
    </row>
    <row r="402" spans="1:8" x14ac:dyDescent="0.35">
      <c r="A402" t="s">
        <v>385</v>
      </c>
      <c r="B402" t="s">
        <v>1166</v>
      </c>
      <c r="C402" t="s">
        <v>1271</v>
      </c>
      <c r="D402" t="s">
        <v>61</v>
      </c>
      <c r="E402">
        <v>120</v>
      </c>
      <c r="F402" t="s">
        <v>409</v>
      </c>
      <c r="G402">
        <v>130.80000000000001</v>
      </c>
      <c r="H402" t="s">
        <v>408</v>
      </c>
    </row>
    <row r="403" spans="1:8" x14ac:dyDescent="0.35">
      <c r="A403" t="s">
        <v>385</v>
      </c>
      <c r="B403" t="s">
        <v>1272</v>
      </c>
      <c r="C403" t="s">
        <v>1271</v>
      </c>
      <c r="D403" t="s">
        <v>59</v>
      </c>
      <c r="E403">
        <v>56</v>
      </c>
      <c r="F403" t="s">
        <v>407</v>
      </c>
      <c r="G403">
        <v>61.040000000000006</v>
      </c>
      <c r="H403" t="s">
        <v>406</v>
      </c>
    </row>
    <row r="404" spans="1:8" x14ac:dyDescent="0.35">
      <c r="A404" t="s">
        <v>385</v>
      </c>
      <c r="B404" t="s">
        <v>1166</v>
      </c>
      <c r="C404" t="s">
        <v>1273</v>
      </c>
      <c r="D404" t="s">
        <v>277</v>
      </c>
      <c r="E404">
        <v>70</v>
      </c>
      <c r="F404" t="s">
        <v>405</v>
      </c>
      <c r="G404">
        <v>76.300000000000011</v>
      </c>
      <c r="H404" t="s">
        <v>404</v>
      </c>
    </row>
    <row r="405" spans="1:8" x14ac:dyDescent="0.35">
      <c r="A405" t="s">
        <v>385</v>
      </c>
      <c r="B405" t="s">
        <v>1166</v>
      </c>
      <c r="C405" t="s">
        <v>1273</v>
      </c>
      <c r="D405" t="s">
        <v>260</v>
      </c>
      <c r="E405">
        <v>83</v>
      </c>
      <c r="F405" t="s">
        <v>403</v>
      </c>
      <c r="G405">
        <v>90.470000000000013</v>
      </c>
      <c r="H405" t="s">
        <v>402</v>
      </c>
    </row>
    <row r="406" spans="1:8" x14ac:dyDescent="0.35">
      <c r="A406" t="s">
        <v>385</v>
      </c>
      <c r="B406" t="s">
        <v>1166</v>
      </c>
      <c r="C406" t="s">
        <v>1273</v>
      </c>
      <c r="D406" t="s">
        <v>93</v>
      </c>
      <c r="E406">
        <v>46</v>
      </c>
      <c r="F406" t="s">
        <v>401</v>
      </c>
      <c r="G406">
        <v>50.14</v>
      </c>
      <c r="H406" t="s">
        <v>400</v>
      </c>
    </row>
    <row r="407" spans="1:8" x14ac:dyDescent="0.35">
      <c r="A407" t="s">
        <v>385</v>
      </c>
      <c r="B407" t="s">
        <v>1274</v>
      </c>
      <c r="C407" t="s">
        <v>1273</v>
      </c>
      <c r="D407" t="s">
        <v>96</v>
      </c>
      <c r="E407">
        <v>245</v>
      </c>
      <c r="F407" t="s">
        <v>14</v>
      </c>
      <c r="G407">
        <v>267.05</v>
      </c>
      <c r="H407" t="s">
        <v>399</v>
      </c>
    </row>
    <row r="408" spans="1:8" x14ac:dyDescent="0.35">
      <c r="A408" t="s">
        <v>385</v>
      </c>
      <c r="B408" t="s">
        <v>1166</v>
      </c>
      <c r="C408" t="s">
        <v>1273</v>
      </c>
      <c r="D408" t="s">
        <v>40</v>
      </c>
      <c r="E408">
        <v>262</v>
      </c>
      <c r="F408" t="s">
        <v>376</v>
      </c>
      <c r="G408">
        <v>285.58000000000004</v>
      </c>
      <c r="H408" t="s">
        <v>398</v>
      </c>
    </row>
    <row r="409" spans="1:8" x14ac:dyDescent="0.35">
      <c r="A409" t="s">
        <v>385</v>
      </c>
      <c r="B409" t="s">
        <v>1166</v>
      </c>
      <c r="C409" t="s">
        <v>1271</v>
      </c>
      <c r="D409" t="s">
        <v>123</v>
      </c>
      <c r="E409">
        <v>75</v>
      </c>
      <c r="F409" t="s">
        <v>397</v>
      </c>
      <c r="G409">
        <v>81.75</v>
      </c>
      <c r="H409" t="s">
        <v>396</v>
      </c>
    </row>
    <row r="410" spans="1:8" x14ac:dyDescent="0.35">
      <c r="A410" t="s">
        <v>385</v>
      </c>
      <c r="B410" t="s">
        <v>1166</v>
      </c>
      <c r="C410" t="s">
        <v>1271</v>
      </c>
      <c r="D410" t="s">
        <v>126</v>
      </c>
      <c r="E410">
        <v>100</v>
      </c>
      <c r="F410" t="s">
        <v>395</v>
      </c>
      <c r="G410">
        <v>109.00000000000001</v>
      </c>
      <c r="H410" t="s">
        <v>394</v>
      </c>
    </row>
    <row r="411" spans="1:8" x14ac:dyDescent="0.35">
      <c r="A411" t="s">
        <v>393</v>
      </c>
      <c r="B411" t="s">
        <v>1275</v>
      </c>
      <c r="C411" t="s">
        <v>1276</v>
      </c>
      <c r="D411" t="s">
        <v>189</v>
      </c>
      <c r="E411">
        <v>101</v>
      </c>
      <c r="F411" t="s">
        <v>392</v>
      </c>
      <c r="G411">
        <v>110.09</v>
      </c>
      <c r="H411" t="s">
        <v>391</v>
      </c>
    </row>
    <row r="412" spans="1:8" x14ac:dyDescent="0.35">
      <c r="D412" t="s">
        <v>390</v>
      </c>
      <c r="E412">
        <v>1701</v>
      </c>
    </row>
    <row r="415" spans="1:8" x14ac:dyDescent="0.35">
      <c r="A415" t="s">
        <v>282</v>
      </c>
    </row>
    <row r="416" spans="1:8" x14ac:dyDescent="0.35">
      <c r="A416" t="s">
        <v>956</v>
      </c>
    </row>
    <row r="417" spans="1:8" x14ac:dyDescent="0.35">
      <c r="A417" t="s">
        <v>52</v>
      </c>
      <c r="B417" t="s">
        <v>51</v>
      </c>
      <c r="C417" t="s">
        <v>50</v>
      </c>
      <c r="D417" t="s">
        <v>49</v>
      </c>
      <c r="E417" t="s">
        <v>48</v>
      </c>
      <c r="F417" t="s">
        <v>47</v>
      </c>
      <c r="G417" t="s">
        <v>46</v>
      </c>
    </row>
    <row r="418" spans="1:8" x14ac:dyDescent="0.35">
      <c r="A418" t="s">
        <v>385</v>
      </c>
      <c r="B418" t="s">
        <v>1166</v>
      </c>
      <c r="C418" t="s">
        <v>1277</v>
      </c>
      <c r="D418" t="s">
        <v>130</v>
      </c>
      <c r="E418">
        <v>295</v>
      </c>
      <c r="F418" t="s">
        <v>389</v>
      </c>
      <c r="G418">
        <v>321.55</v>
      </c>
      <c r="H418" t="s">
        <v>388</v>
      </c>
    </row>
    <row r="419" spans="1:8" x14ac:dyDescent="0.35">
      <c r="A419" t="s">
        <v>385</v>
      </c>
      <c r="B419" t="s">
        <v>1166</v>
      </c>
      <c r="C419" t="s">
        <v>1278</v>
      </c>
      <c r="D419" t="s">
        <v>234</v>
      </c>
      <c r="E419">
        <v>130</v>
      </c>
      <c r="F419" t="s">
        <v>387</v>
      </c>
      <c r="G419">
        <v>141.70000000000002</v>
      </c>
      <c r="H419" t="s">
        <v>386</v>
      </c>
    </row>
    <row r="420" spans="1:8" x14ac:dyDescent="0.35">
      <c r="A420" t="s">
        <v>385</v>
      </c>
      <c r="B420" t="s">
        <v>1274</v>
      </c>
      <c r="C420" t="s">
        <v>1278</v>
      </c>
      <c r="D420" t="s">
        <v>99</v>
      </c>
      <c r="E420">
        <v>125</v>
      </c>
      <c r="F420" t="s">
        <v>381</v>
      </c>
      <c r="G420">
        <v>136.25</v>
      </c>
      <c r="H420" t="s">
        <v>384</v>
      </c>
    </row>
    <row r="421" spans="1:8" x14ac:dyDescent="0.35">
      <c r="A421" t="s">
        <v>382</v>
      </c>
      <c r="B421" t="s">
        <v>1279</v>
      </c>
      <c r="C421" t="s">
        <v>1280</v>
      </c>
      <c r="D421" t="s">
        <v>32</v>
      </c>
      <c r="E421">
        <v>53</v>
      </c>
      <c r="F421" t="s">
        <v>176</v>
      </c>
      <c r="G421">
        <v>57.77</v>
      </c>
      <c r="H421" t="s">
        <v>383</v>
      </c>
    </row>
    <row r="422" spans="1:8" x14ac:dyDescent="0.35">
      <c r="A422" t="s">
        <v>382</v>
      </c>
      <c r="B422" t="s">
        <v>1279</v>
      </c>
      <c r="C422" t="s">
        <v>1280</v>
      </c>
      <c r="D422" t="s">
        <v>107</v>
      </c>
      <c r="E422">
        <v>105</v>
      </c>
      <c r="F422" t="s">
        <v>381</v>
      </c>
      <c r="G422">
        <v>114.45</v>
      </c>
      <c r="H422" t="s">
        <v>380</v>
      </c>
    </row>
    <row r="423" spans="1:8" x14ac:dyDescent="0.35">
      <c r="A423" t="s">
        <v>379</v>
      </c>
      <c r="B423" t="s">
        <v>1281</v>
      </c>
      <c r="C423" t="s">
        <v>1282</v>
      </c>
      <c r="D423" t="s">
        <v>224</v>
      </c>
      <c r="E423">
        <v>95</v>
      </c>
      <c r="F423" t="s">
        <v>378</v>
      </c>
      <c r="G423">
        <v>103.55000000000001</v>
      </c>
      <c r="H423" t="s">
        <v>377</v>
      </c>
    </row>
    <row r="424" spans="1:8" x14ac:dyDescent="0.35">
      <c r="A424" t="s">
        <v>374</v>
      </c>
      <c r="B424" t="s">
        <v>1283</v>
      </c>
      <c r="C424" t="s">
        <v>1284</v>
      </c>
      <c r="D424" t="s">
        <v>86</v>
      </c>
      <c r="E424">
        <v>255</v>
      </c>
      <c r="F424" t="s">
        <v>376</v>
      </c>
      <c r="G424">
        <v>277.95000000000005</v>
      </c>
      <c r="H424" t="s">
        <v>375</v>
      </c>
    </row>
    <row r="425" spans="1:8" x14ac:dyDescent="0.35">
      <c r="A425" t="s">
        <v>374</v>
      </c>
      <c r="B425" t="s">
        <v>1283</v>
      </c>
      <c r="C425" t="s">
        <v>1284</v>
      </c>
      <c r="D425" t="s">
        <v>90</v>
      </c>
      <c r="E425">
        <v>80</v>
      </c>
      <c r="F425" t="s">
        <v>20</v>
      </c>
      <c r="G425">
        <v>87.2</v>
      </c>
      <c r="H425" t="s">
        <v>373</v>
      </c>
    </row>
    <row r="426" spans="1:8" x14ac:dyDescent="0.35">
      <c r="A426" t="s">
        <v>372</v>
      </c>
      <c r="B426" t="s">
        <v>1285</v>
      </c>
      <c r="C426" t="s">
        <v>1054</v>
      </c>
      <c r="D426" t="s">
        <v>164</v>
      </c>
      <c r="E426">
        <v>222</v>
      </c>
      <c r="F426" t="s">
        <v>150</v>
      </c>
      <c r="G426">
        <v>241.98000000000002</v>
      </c>
      <c r="H426" t="s">
        <v>371</v>
      </c>
    </row>
    <row r="427" spans="1:8" x14ac:dyDescent="0.35">
      <c r="A427" t="s">
        <v>370</v>
      </c>
      <c r="B427" t="s">
        <v>1115</v>
      </c>
      <c r="C427" t="s">
        <v>1044</v>
      </c>
      <c r="D427" t="s">
        <v>36</v>
      </c>
      <c r="E427">
        <v>65</v>
      </c>
      <c r="F427" t="s">
        <v>369</v>
      </c>
      <c r="G427">
        <v>70.850000000000009</v>
      </c>
      <c r="H427" t="s">
        <v>368</v>
      </c>
    </row>
    <row r="428" spans="1:8" x14ac:dyDescent="0.35">
      <c r="A428" t="s">
        <v>367</v>
      </c>
      <c r="B428" t="s">
        <v>1263</v>
      </c>
      <c r="C428" t="s">
        <v>1286</v>
      </c>
      <c r="D428" t="s">
        <v>57</v>
      </c>
      <c r="E428">
        <v>80</v>
      </c>
      <c r="F428" t="s">
        <v>26</v>
      </c>
      <c r="G428">
        <v>87.2</v>
      </c>
      <c r="H428" t="s">
        <v>366</v>
      </c>
    </row>
    <row r="429" spans="1:8" x14ac:dyDescent="0.35">
      <c r="A429" t="s">
        <v>365</v>
      </c>
      <c r="B429" t="s">
        <v>1287</v>
      </c>
      <c r="C429" t="s">
        <v>1083</v>
      </c>
      <c r="D429" t="s">
        <v>112</v>
      </c>
      <c r="E429">
        <v>99</v>
      </c>
      <c r="F429" t="s">
        <v>364</v>
      </c>
      <c r="G429">
        <v>107.91000000000001</v>
      </c>
      <c r="H429" t="s">
        <v>363</v>
      </c>
    </row>
    <row r="430" spans="1:8" x14ac:dyDescent="0.35">
      <c r="D430" t="s">
        <v>362</v>
      </c>
      <c r="E430">
        <v>1604</v>
      </c>
    </row>
    <row r="433" spans="1:8" x14ac:dyDescent="0.35">
      <c r="A433" t="s">
        <v>282</v>
      </c>
    </row>
    <row r="434" spans="1:8" x14ac:dyDescent="0.35">
      <c r="A434" t="s">
        <v>987</v>
      </c>
    </row>
    <row r="435" spans="1:8" x14ac:dyDescent="0.35">
      <c r="A435" t="s">
        <v>52</v>
      </c>
      <c r="B435" t="s">
        <v>51</v>
      </c>
      <c r="C435" t="s">
        <v>50</v>
      </c>
      <c r="D435" t="s">
        <v>49</v>
      </c>
      <c r="E435" t="s">
        <v>48</v>
      </c>
      <c r="F435" t="s">
        <v>47</v>
      </c>
      <c r="G435" t="s">
        <v>46</v>
      </c>
    </row>
    <row r="436" spans="1:8" x14ac:dyDescent="0.35">
      <c r="A436" t="s">
        <v>361</v>
      </c>
      <c r="B436" t="s">
        <v>1288</v>
      </c>
      <c r="C436" t="s">
        <v>1039</v>
      </c>
      <c r="D436" t="s">
        <v>15</v>
      </c>
      <c r="E436">
        <v>250</v>
      </c>
      <c r="F436" t="s">
        <v>360</v>
      </c>
      <c r="G436">
        <v>272.5</v>
      </c>
      <c r="H436" t="s">
        <v>359</v>
      </c>
    </row>
    <row r="437" spans="1:8" x14ac:dyDescent="0.35">
      <c r="A437" t="s">
        <v>218</v>
      </c>
      <c r="B437" t="s">
        <v>1272</v>
      </c>
      <c r="C437" t="s">
        <v>1289</v>
      </c>
      <c r="D437" t="s">
        <v>154</v>
      </c>
      <c r="E437">
        <v>160</v>
      </c>
      <c r="F437" t="s">
        <v>150</v>
      </c>
      <c r="G437">
        <v>174.4</v>
      </c>
      <c r="H437" t="s">
        <v>358</v>
      </c>
    </row>
    <row r="438" spans="1:8" x14ac:dyDescent="0.35">
      <c r="A438" t="s">
        <v>218</v>
      </c>
      <c r="B438" t="s">
        <v>1274</v>
      </c>
      <c r="C438" t="s">
        <v>1290</v>
      </c>
      <c r="D438" t="s">
        <v>102</v>
      </c>
      <c r="E438">
        <v>340</v>
      </c>
      <c r="F438" t="s">
        <v>216</v>
      </c>
      <c r="G438">
        <v>370.6</v>
      </c>
      <c r="H438" t="s">
        <v>215</v>
      </c>
    </row>
    <row r="439" spans="1:8" x14ac:dyDescent="0.35">
      <c r="A439" t="s">
        <v>357</v>
      </c>
      <c r="B439" t="s">
        <v>1291</v>
      </c>
      <c r="C439" t="s">
        <v>1175</v>
      </c>
      <c r="D439" t="s">
        <v>109</v>
      </c>
      <c r="E439">
        <v>175</v>
      </c>
      <c r="F439" t="s">
        <v>356</v>
      </c>
      <c r="G439">
        <v>190.75</v>
      </c>
      <c r="H439" t="s">
        <v>355</v>
      </c>
    </row>
    <row r="440" spans="1:8" x14ac:dyDescent="0.35">
      <c r="A440" t="s">
        <v>354</v>
      </c>
      <c r="B440" t="s">
        <v>1292</v>
      </c>
      <c r="C440" t="s">
        <v>1224</v>
      </c>
      <c r="D440" t="s">
        <v>151</v>
      </c>
      <c r="E440">
        <v>240</v>
      </c>
      <c r="F440" t="s">
        <v>14</v>
      </c>
      <c r="G440">
        <v>261.60000000000002</v>
      </c>
      <c r="H440" t="s">
        <v>353</v>
      </c>
    </row>
    <row r="441" spans="1:8" x14ac:dyDescent="0.35">
      <c r="A441" t="s">
        <v>352</v>
      </c>
      <c r="B441" t="s">
        <v>1293</v>
      </c>
      <c r="C441" t="s">
        <v>1294</v>
      </c>
      <c r="D441" t="s">
        <v>21</v>
      </c>
      <c r="E441">
        <v>75</v>
      </c>
      <c r="F441" t="s">
        <v>56</v>
      </c>
      <c r="G441">
        <v>81.75</v>
      </c>
      <c r="H441" t="s">
        <v>351</v>
      </c>
    </row>
    <row r="442" spans="1:8" x14ac:dyDescent="0.35">
      <c r="A442" t="s">
        <v>350</v>
      </c>
      <c r="B442" t="s">
        <v>1295</v>
      </c>
      <c r="C442" t="s">
        <v>979</v>
      </c>
      <c r="D442" t="s">
        <v>222</v>
      </c>
      <c r="E442">
        <v>155</v>
      </c>
      <c r="F442" t="s">
        <v>85</v>
      </c>
      <c r="G442">
        <v>168.95000000000002</v>
      </c>
      <c r="H442" t="s">
        <v>238</v>
      </c>
    </row>
    <row r="443" spans="1:8" x14ac:dyDescent="0.35">
      <c r="A443" t="s">
        <v>348</v>
      </c>
      <c r="B443" t="s">
        <v>1296</v>
      </c>
      <c r="C443" t="s">
        <v>1297</v>
      </c>
      <c r="D443" t="s">
        <v>116</v>
      </c>
      <c r="E443">
        <v>60</v>
      </c>
      <c r="F443" t="s">
        <v>349</v>
      </c>
      <c r="G443">
        <v>65.400000000000006</v>
      </c>
      <c r="H443" t="s">
        <v>114</v>
      </c>
    </row>
    <row r="444" spans="1:8" x14ac:dyDescent="0.35">
      <c r="A444" t="s">
        <v>348</v>
      </c>
      <c r="B444" t="s">
        <v>1296</v>
      </c>
      <c r="C444" t="s">
        <v>1297</v>
      </c>
      <c r="D444" t="s">
        <v>120</v>
      </c>
      <c r="E444">
        <v>55</v>
      </c>
      <c r="F444" t="s">
        <v>92</v>
      </c>
      <c r="G444">
        <v>59.95</v>
      </c>
      <c r="H444" t="s">
        <v>105</v>
      </c>
    </row>
    <row r="445" spans="1:8" x14ac:dyDescent="0.35">
      <c r="A445" t="s">
        <v>347</v>
      </c>
      <c r="B445" t="s">
        <v>1298</v>
      </c>
      <c r="C445" t="s">
        <v>1299</v>
      </c>
      <c r="D445" t="s">
        <v>3</v>
      </c>
      <c r="E445">
        <v>95</v>
      </c>
      <c r="F445" t="s">
        <v>98</v>
      </c>
      <c r="G445">
        <v>103.55000000000001</v>
      </c>
      <c r="H445" t="s">
        <v>346</v>
      </c>
    </row>
    <row r="446" spans="1:8" x14ac:dyDescent="0.35">
      <c r="D446" t="s">
        <v>345</v>
      </c>
      <c r="E446">
        <v>1605</v>
      </c>
    </row>
    <row r="449" spans="1:8" x14ac:dyDescent="0.35">
      <c r="A449" t="s">
        <v>282</v>
      </c>
    </row>
    <row r="450" spans="1:8" x14ac:dyDescent="0.35">
      <c r="A450" t="s">
        <v>1006</v>
      </c>
    </row>
    <row r="451" spans="1:8" x14ac:dyDescent="0.35">
      <c r="A451" t="s">
        <v>52</v>
      </c>
      <c r="B451" t="s">
        <v>51</v>
      </c>
      <c r="C451" t="s">
        <v>50</v>
      </c>
      <c r="D451" t="s">
        <v>49</v>
      </c>
      <c r="E451" t="s">
        <v>48</v>
      </c>
      <c r="F451" t="s">
        <v>47</v>
      </c>
      <c r="G451" t="s">
        <v>46</v>
      </c>
    </row>
    <row r="452" spans="1:8" x14ac:dyDescent="0.35">
      <c r="A452" t="s">
        <v>342</v>
      </c>
      <c r="B452" t="s">
        <v>1300</v>
      </c>
      <c r="C452" t="s">
        <v>1301</v>
      </c>
      <c r="D452" t="s">
        <v>344</v>
      </c>
      <c r="E452">
        <v>114</v>
      </c>
      <c r="F452" t="s">
        <v>179</v>
      </c>
      <c r="G452">
        <v>124.26</v>
      </c>
      <c r="H452" t="s">
        <v>343</v>
      </c>
    </row>
    <row r="453" spans="1:8" x14ac:dyDescent="0.35">
      <c r="A453" t="s">
        <v>342</v>
      </c>
      <c r="B453" t="s">
        <v>1300</v>
      </c>
      <c r="C453" t="s">
        <v>1301</v>
      </c>
      <c r="D453" t="s">
        <v>341</v>
      </c>
      <c r="E453">
        <v>55</v>
      </c>
      <c r="F453" t="s">
        <v>340</v>
      </c>
      <c r="G453">
        <v>59.95</v>
      </c>
      <c r="H453" t="s">
        <v>339</v>
      </c>
    </row>
    <row r="454" spans="1:8" x14ac:dyDescent="0.35">
      <c r="A454" t="s">
        <v>338</v>
      </c>
      <c r="B454" t="s">
        <v>1302</v>
      </c>
      <c r="C454" t="s">
        <v>1303</v>
      </c>
      <c r="D454" t="s">
        <v>201</v>
      </c>
      <c r="E454">
        <v>103</v>
      </c>
      <c r="F454" t="s">
        <v>188</v>
      </c>
      <c r="G454">
        <v>112.27000000000001</v>
      </c>
      <c r="H454" t="s">
        <v>337</v>
      </c>
    </row>
    <row r="455" spans="1:8" x14ac:dyDescent="0.35">
      <c r="A455" t="s">
        <v>336</v>
      </c>
      <c r="B455" t="s">
        <v>1304</v>
      </c>
      <c r="C455" t="s">
        <v>1305</v>
      </c>
      <c r="D455" t="s">
        <v>199</v>
      </c>
      <c r="E455">
        <v>140</v>
      </c>
      <c r="F455" t="s">
        <v>150</v>
      </c>
      <c r="G455">
        <v>152.60000000000002</v>
      </c>
      <c r="H455" t="s">
        <v>335</v>
      </c>
    </row>
    <row r="456" spans="1:8" x14ac:dyDescent="0.35">
      <c r="A456" t="s">
        <v>334</v>
      </c>
      <c r="B456" t="s">
        <v>1306</v>
      </c>
      <c r="C456" t="s">
        <v>1307</v>
      </c>
      <c r="D456" t="s">
        <v>104</v>
      </c>
      <c r="E456">
        <v>122</v>
      </c>
      <c r="F456" t="s">
        <v>179</v>
      </c>
      <c r="G456">
        <v>132.98000000000002</v>
      </c>
      <c r="H456" t="s">
        <v>333</v>
      </c>
    </row>
    <row r="457" spans="1:8" x14ac:dyDescent="0.35">
      <c r="A457" t="s">
        <v>332</v>
      </c>
      <c r="B457" t="s">
        <v>1308</v>
      </c>
      <c r="C457" t="s">
        <v>992</v>
      </c>
      <c r="D457" t="s">
        <v>7</v>
      </c>
      <c r="E457">
        <v>95</v>
      </c>
      <c r="F457" t="s">
        <v>331</v>
      </c>
      <c r="G457">
        <v>103.55000000000001</v>
      </c>
      <c r="H457" t="s">
        <v>330</v>
      </c>
    </row>
    <row r="458" spans="1:8" x14ac:dyDescent="0.35">
      <c r="A458" t="s">
        <v>329</v>
      </c>
      <c r="B458" t="s">
        <v>1309</v>
      </c>
      <c r="C458" t="s">
        <v>1061</v>
      </c>
      <c r="D458" t="s">
        <v>328</v>
      </c>
      <c r="E458">
        <v>69</v>
      </c>
      <c r="F458" t="s">
        <v>327</v>
      </c>
      <c r="G458">
        <v>75.210000000000008</v>
      </c>
      <c r="H458" t="s">
        <v>326</v>
      </c>
    </row>
    <row r="459" spans="1:8" x14ac:dyDescent="0.35">
      <c r="A459" t="s">
        <v>325</v>
      </c>
      <c r="B459" t="s">
        <v>1310</v>
      </c>
      <c r="C459" t="s">
        <v>941</v>
      </c>
      <c r="D459" t="s">
        <v>64</v>
      </c>
      <c r="E459">
        <v>40</v>
      </c>
      <c r="F459" t="s">
        <v>324</v>
      </c>
      <c r="G459">
        <v>43.6</v>
      </c>
      <c r="H459" t="s">
        <v>212</v>
      </c>
    </row>
    <row r="460" spans="1:8" x14ac:dyDescent="0.35">
      <c r="A460" t="s">
        <v>323</v>
      </c>
      <c r="B460" t="s">
        <v>1311</v>
      </c>
      <c r="C460" t="s">
        <v>1132</v>
      </c>
      <c r="D460" t="s">
        <v>27</v>
      </c>
      <c r="E460">
        <v>80</v>
      </c>
      <c r="F460" t="s">
        <v>28</v>
      </c>
      <c r="G460">
        <v>87.2</v>
      </c>
      <c r="H460">
        <v>80</v>
      </c>
    </row>
    <row r="461" spans="1:8" x14ac:dyDescent="0.35">
      <c r="A461" t="s">
        <v>323</v>
      </c>
      <c r="B461" t="s">
        <v>1311</v>
      </c>
      <c r="C461" t="s">
        <v>1132</v>
      </c>
      <c r="D461" t="s">
        <v>67</v>
      </c>
      <c r="E461">
        <v>82</v>
      </c>
      <c r="F461" t="s">
        <v>26</v>
      </c>
      <c r="G461">
        <v>89.38000000000001</v>
      </c>
      <c r="H461">
        <v>82</v>
      </c>
    </row>
    <row r="462" spans="1:8" x14ac:dyDescent="0.35">
      <c r="A462" t="s">
        <v>323</v>
      </c>
      <c r="B462" t="s">
        <v>1311</v>
      </c>
      <c r="C462" t="s">
        <v>1132</v>
      </c>
      <c r="D462" t="s">
        <v>220</v>
      </c>
      <c r="E462">
        <v>37</v>
      </c>
      <c r="F462" t="s">
        <v>322</v>
      </c>
      <c r="G462">
        <v>40.330000000000005</v>
      </c>
      <c r="H462">
        <v>37</v>
      </c>
    </row>
    <row r="463" spans="1:8" x14ac:dyDescent="0.35">
      <c r="A463" t="s">
        <v>320</v>
      </c>
      <c r="B463" t="s">
        <v>1312</v>
      </c>
      <c r="C463" t="s">
        <v>990</v>
      </c>
      <c r="D463" t="s">
        <v>223</v>
      </c>
      <c r="E463">
        <v>83</v>
      </c>
      <c r="F463" t="s">
        <v>56</v>
      </c>
      <c r="G463">
        <v>90.470000000000013</v>
      </c>
      <c r="H463" t="s">
        <v>321</v>
      </c>
    </row>
    <row r="464" spans="1:8" x14ac:dyDescent="0.35">
      <c r="A464" t="s">
        <v>320</v>
      </c>
      <c r="B464" t="s">
        <v>1312</v>
      </c>
      <c r="C464" t="s">
        <v>990</v>
      </c>
      <c r="D464" t="s">
        <v>75</v>
      </c>
      <c r="E464">
        <v>57</v>
      </c>
      <c r="F464" t="s">
        <v>319</v>
      </c>
      <c r="G464">
        <v>62.13</v>
      </c>
      <c r="H464" t="s">
        <v>318</v>
      </c>
    </row>
    <row r="465" spans="1:8" x14ac:dyDescent="0.35">
      <c r="A465" t="s">
        <v>317</v>
      </c>
      <c r="B465" t="s">
        <v>1313</v>
      </c>
      <c r="C465" t="s">
        <v>1131</v>
      </c>
      <c r="D465" t="s">
        <v>79</v>
      </c>
      <c r="E465">
        <v>80</v>
      </c>
      <c r="F465" t="s">
        <v>56</v>
      </c>
      <c r="G465">
        <v>87.2</v>
      </c>
      <c r="H465" t="s">
        <v>55</v>
      </c>
    </row>
    <row r="466" spans="1:8" x14ac:dyDescent="0.35">
      <c r="A466" t="s">
        <v>316</v>
      </c>
      <c r="B466" t="s">
        <v>1314</v>
      </c>
      <c r="C466" t="s">
        <v>1182</v>
      </c>
      <c r="D466" t="s">
        <v>189</v>
      </c>
      <c r="E466">
        <v>101</v>
      </c>
      <c r="F466" t="s">
        <v>265</v>
      </c>
      <c r="G466">
        <v>110.09</v>
      </c>
      <c r="H466" t="s">
        <v>315</v>
      </c>
    </row>
    <row r="467" spans="1:8" x14ac:dyDescent="0.35">
      <c r="A467" t="s">
        <v>314</v>
      </c>
      <c r="B467" t="s">
        <v>1315</v>
      </c>
      <c r="C467" t="s">
        <v>1182</v>
      </c>
      <c r="D467" t="s">
        <v>170</v>
      </c>
      <c r="E467">
        <v>70</v>
      </c>
      <c r="F467" t="s">
        <v>119</v>
      </c>
      <c r="G467">
        <v>76.300000000000011</v>
      </c>
      <c r="H467" t="s">
        <v>313</v>
      </c>
    </row>
    <row r="468" spans="1:8" x14ac:dyDescent="0.35">
      <c r="A468" t="s">
        <v>312</v>
      </c>
      <c r="B468" t="s">
        <v>1316</v>
      </c>
      <c r="C468" t="s">
        <v>941</v>
      </c>
      <c r="D468" t="s">
        <v>206</v>
      </c>
      <c r="E468">
        <v>32</v>
      </c>
      <c r="F468" t="s">
        <v>311</v>
      </c>
      <c r="G468">
        <v>34.880000000000003</v>
      </c>
      <c r="H468">
        <v>32</v>
      </c>
    </row>
    <row r="469" spans="1:8" x14ac:dyDescent="0.35">
      <c r="A469" t="s">
        <v>310</v>
      </c>
      <c r="B469" t="s">
        <v>1317</v>
      </c>
      <c r="C469" t="s">
        <v>1318</v>
      </c>
      <c r="D469" t="s">
        <v>71</v>
      </c>
      <c r="E469">
        <v>61</v>
      </c>
      <c r="F469" t="s">
        <v>115</v>
      </c>
      <c r="G469">
        <v>66.490000000000009</v>
      </c>
      <c r="H469" t="s">
        <v>309</v>
      </c>
    </row>
    <row r="470" spans="1:8" x14ac:dyDescent="0.35">
      <c r="A470" t="s">
        <v>308</v>
      </c>
      <c r="B470" t="s">
        <v>1319</v>
      </c>
      <c r="C470" t="s">
        <v>1320</v>
      </c>
      <c r="D470" t="s">
        <v>83</v>
      </c>
      <c r="E470">
        <v>132</v>
      </c>
      <c r="F470" t="s">
        <v>82</v>
      </c>
      <c r="G470">
        <v>143.88000000000002</v>
      </c>
      <c r="H470" t="s">
        <v>307</v>
      </c>
    </row>
    <row r="471" spans="1:8" x14ac:dyDescent="0.35">
      <c r="D471" t="s">
        <v>306</v>
      </c>
      <c r="E471">
        <v>1553</v>
      </c>
    </row>
    <row r="474" spans="1:8" x14ac:dyDescent="0.35">
      <c r="A474" t="s">
        <v>282</v>
      </c>
    </row>
    <row r="475" spans="1:8" x14ac:dyDescent="0.35">
      <c r="A475" t="s">
        <v>1031</v>
      </c>
    </row>
    <row r="476" spans="1:8" x14ac:dyDescent="0.35">
      <c r="A476" t="s">
        <v>52</v>
      </c>
      <c r="B476" t="s">
        <v>51</v>
      </c>
      <c r="C476" t="s">
        <v>50</v>
      </c>
      <c r="D476" t="s">
        <v>49</v>
      </c>
      <c r="E476" t="s">
        <v>48</v>
      </c>
      <c r="F476" t="s">
        <v>47</v>
      </c>
      <c r="G476" t="s">
        <v>46</v>
      </c>
    </row>
    <row r="477" spans="1:8" x14ac:dyDescent="0.35">
      <c r="A477" t="s">
        <v>305</v>
      </c>
      <c r="B477" t="s">
        <v>1321</v>
      </c>
      <c r="C477" t="s">
        <v>1322</v>
      </c>
      <c r="D477" t="s">
        <v>183</v>
      </c>
      <c r="E477">
        <v>93</v>
      </c>
      <c r="F477" t="s">
        <v>98</v>
      </c>
      <c r="G477">
        <v>101.37</v>
      </c>
      <c r="H477" t="s">
        <v>182</v>
      </c>
    </row>
    <row r="478" spans="1:8" x14ac:dyDescent="0.35">
      <c r="A478" t="s">
        <v>304</v>
      </c>
      <c r="B478" t="s">
        <v>1323</v>
      </c>
      <c r="C478" t="s">
        <v>1324</v>
      </c>
      <c r="D478" t="s">
        <v>203</v>
      </c>
      <c r="E478">
        <v>138</v>
      </c>
      <c r="F478" t="s">
        <v>82</v>
      </c>
      <c r="G478">
        <v>150.42000000000002</v>
      </c>
      <c r="H478" t="s">
        <v>303</v>
      </c>
    </row>
    <row r="479" spans="1:8" x14ac:dyDescent="0.35">
      <c r="A479" t="s">
        <v>302</v>
      </c>
      <c r="B479" t="s">
        <v>1323</v>
      </c>
      <c r="C479" t="s">
        <v>1324</v>
      </c>
      <c r="D479" t="s">
        <v>133</v>
      </c>
      <c r="E479">
        <v>12</v>
      </c>
      <c r="F479" t="s">
        <v>245</v>
      </c>
      <c r="G479">
        <v>13.080000000000002</v>
      </c>
      <c r="H479">
        <v>12</v>
      </c>
    </row>
    <row r="480" spans="1:8" x14ac:dyDescent="0.35">
      <c r="A480" t="s">
        <v>301</v>
      </c>
      <c r="B480" t="s">
        <v>1325</v>
      </c>
      <c r="C480" t="s">
        <v>1147</v>
      </c>
      <c r="D480" t="s">
        <v>32</v>
      </c>
      <c r="E480">
        <v>20</v>
      </c>
      <c r="F480" t="s">
        <v>300</v>
      </c>
      <c r="G480">
        <v>21.8</v>
      </c>
      <c r="H480">
        <v>20</v>
      </c>
    </row>
    <row r="481" spans="1:8" x14ac:dyDescent="0.35">
      <c r="A481" t="s">
        <v>299</v>
      </c>
      <c r="B481" t="s">
        <v>1326</v>
      </c>
      <c r="C481" t="s">
        <v>1153</v>
      </c>
      <c r="D481" t="s">
        <v>11</v>
      </c>
      <c r="E481">
        <v>150</v>
      </c>
      <c r="F481" t="s">
        <v>85</v>
      </c>
      <c r="G481">
        <v>163.5</v>
      </c>
      <c r="H481" t="s">
        <v>298</v>
      </c>
    </row>
    <row r="482" spans="1:8" x14ac:dyDescent="0.35">
      <c r="A482" t="s">
        <v>297</v>
      </c>
      <c r="B482" t="s">
        <v>1327</v>
      </c>
      <c r="C482" t="s">
        <v>1328</v>
      </c>
      <c r="D482" t="s">
        <v>167</v>
      </c>
      <c r="E482">
        <v>230</v>
      </c>
      <c r="F482" t="s">
        <v>262</v>
      </c>
      <c r="G482">
        <v>250.70000000000002</v>
      </c>
      <c r="H482" t="s">
        <v>166</v>
      </c>
    </row>
    <row r="483" spans="1:8" x14ac:dyDescent="0.35">
      <c r="A483" t="s">
        <v>296</v>
      </c>
      <c r="B483" t="s">
        <v>1329</v>
      </c>
      <c r="C483" t="s">
        <v>1330</v>
      </c>
      <c r="D483" t="s">
        <v>18</v>
      </c>
      <c r="E483">
        <v>136</v>
      </c>
      <c r="F483" t="s">
        <v>295</v>
      </c>
      <c r="G483">
        <v>148.24</v>
      </c>
      <c r="H483" t="s">
        <v>294</v>
      </c>
    </row>
    <row r="484" spans="1:8" x14ac:dyDescent="0.35">
      <c r="A484" t="s">
        <v>293</v>
      </c>
      <c r="B484" t="s">
        <v>1331</v>
      </c>
      <c r="C484" t="s">
        <v>1003</v>
      </c>
      <c r="D484" t="s">
        <v>160</v>
      </c>
      <c r="E484">
        <v>265</v>
      </c>
      <c r="F484" t="s">
        <v>150</v>
      </c>
      <c r="G484">
        <v>288.85000000000002</v>
      </c>
      <c r="H484" t="s">
        <v>292</v>
      </c>
    </row>
    <row r="485" spans="1:8" x14ac:dyDescent="0.35">
      <c r="A485" t="s">
        <v>291</v>
      </c>
      <c r="B485" t="s">
        <v>1332</v>
      </c>
      <c r="C485" t="s">
        <v>1070</v>
      </c>
      <c r="D485" t="s">
        <v>57</v>
      </c>
      <c r="E485">
        <v>80</v>
      </c>
      <c r="F485" t="s">
        <v>26</v>
      </c>
      <c r="G485">
        <v>87.2</v>
      </c>
      <c r="H485">
        <v>80</v>
      </c>
    </row>
    <row r="486" spans="1:8" x14ac:dyDescent="0.35">
      <c r="A486" t="s">
        <v>290</v>
      </c>
      <c r="B486" t="s">
        <v>1333</v>
      </c>
      <c r="C486" t="s">
        <v>939</v>
      </c>
      <c r="D486" t="s">
        <v>29</v>
      </c>
      <c r="E486">
        <v>76</v>
      </c>
      <c r="F486" t="s">
        <v>56</v>
      </c>
      <c r="G486">
        <v>82.84</v>
      </c>
      <c r="H486" t="s">
        <v>289</v>
      </c>
    </row>
    <row r="487" spans="1:8" x14ac:dyDescent="0.35">
      <c r="A487" t="s">
        <v>288</v>
      </c>
      <c r="B487" t="s">
        <v>1334</v>
      </c>
      <c r="C487" t="s">
        <v>1335</v>
      </c>
      <c r="D487" t="s">
        <v>229</v>
      </c>
      <c r="E487">
        <v>87</v>
      </c>
      <c r="F487" t="s">
        <v>287</v>
      </c>
      <c r="G487">
        <v>94.830000000000013</v>
      </c>
      <c r="H487" t="s">
        <v>286</v>
      </c>
    </row>
    <row r="488" spans="1:8" x14ac:dyDescent="0.35">
      <c r="A488" t="s">
        <v>285</v>
      </c>
      <c r="B488" t="s">
        <v>1334</v>
      </c>
      <c r="C488" t="s">
        <v>1335</v>
      </c>
      <c r="D488" t="s">
        <v>137</v>
      </c>
      <c r="E488">
        <v>85</v>
      </c>
      <c r="F488" t="s">
        <v>56</v>
      </c>
      <c r="G488">
        <v>92.65</v>
      </c>
      <c r="H488" t="s">
        <v>135</v>
      </c>
    </row>
    <row r="489" spans="1:8" x14ac:dyDescent="0.35">
      <c r="A489" t="s">
        <v>284</v>
      </c>
      <c r="B489" t="s">
        <v>1336</v>
      </c>
      <c r="C489" t="s">
        <v>1337</v>
      </c>
      <c r="D489" t="s">
        <v>164</v>
      </c>
      <c r="E489">
        <v>222</v>
      </c>
      <c r="F489" t="s">
        <v>262</v>
      </c>
      <c r="G489">
        <v>241.98000000000002</v>
      </c>
      <c r="H489" t="s">
        <v>162</v>
      </c>
    </row>
    <row r="490" spans="1:8" x14ac:dyDescent="0.35">
      <c r="A490" t="s">
        <v>284</v>
      </c>
      <c r="B490" t="s">
        <v>1338</v>
      </c>
      <c r="C490" t="s">
        <v>981</v>
      </c>
      <c r="D490" t="s">
        <v>147</v>
      </c>
      <c r="E490">
        <v>40</v>
      </c>
      <c r="F490" t="s">
        <v>283</v>
      </c>
      <c r="G490">
        <v>43.6</v>
      </c>
      <c r="H490" t="s">
        <v>212</v>
      </c>
    </row>
    <row r="491" spans="1:8" x14ac:dyDescent="0.35">
      <c r="D491" t="s">
        <v>251</v>
      </c>
      <c r="E491">
        <v>1634</v>
      </c>
    </row>
    <row r="494" spans="1:8" x14ac:dyDescent="0.35">
      <c r="A494" t="s">
        <v>282</v>
      </c>
    </row>
    <row r="495" spans="1:8" x14ac:dyDescent="0.35">
      <c r="A495" t="s">
        <v>281</v>
      </c>
    </row>
    <row r="496" spans="1:8" x14ac:dyDescent="0.35">
      <c r="A496" t="s">
        <v>52</v>
      </c>
      <c r="B496" t="s">
        <v>51</v>
      </c>
      <c r="C496" t="s">
        <v>50</v>
      </c>
      <c r="D496" t="s">
        <v>49</v>
      </c>
      <c r="E496" t="s">
        <v>48</v>
      </c>
      <c r="F496" t="s">
        <v>47</v>
      </c>
      <c r="G496" t="s">
        <v>46</v>
      </c>
    </row>
    <row r="497" spans="1:8" x14ac:dyDescent="0.35">
      <c r="A497" t="s">
        <v>250</v>
      </c>
      <c r="B497" t="s">
        <v>1323</v>
      </c>
      <c r="C497" t="s">
        <v>1114</v>
      </c>
      <c r="D497" t="s">
        <v>280</v>
      </c>
      <c r="E497">
        <v>87</v>
      </c>
      <c r="F497" t="s">
        <v>98</v>
      </c>
      <c r="G497">
        <v>94.830000000000013</v>
      </c>
      <c r="H497" t="s">
        <v>279</v>
      </c>
    </row>
    <row r="498" spans="1:8" x14ac:dyDescent="0.35">
      <c r="A498" t="s">
        <v>278</v>
      </c>
      <c r="B498" t="s">
        <v>1339</v>
      </c>
      <c r="C498" t="s">
        <v>1182</v>
      </c>
      <c r="D498" t="s">
        <v>277</v>
      </c>
      <c r="E498">
        <v>70</v>
      </c>
      <c r="F498" t="s">
        <v>257</v>
      </c>
      <c r="G498">
        <v>76.300000000000011</v>
      </c>
      <c r="H498" t="s">
        <v>276</v>
      </c>
    </row>
    <row r="499" spans="1:8" x14ac:dyDescent="0.35">
      <c r="A499" t="s">
        <v>275</v>
      </c>
      <c r="B499" t="s">
        <v>1340</v>
      </c>
      <c r="C499" t="s">
        <v>1341</v>
      </c>
      <c r="D499" t="s">
        <v>96</v>
      </c>
      <c r="E499">
        <v>55</v>
      </c>
      <c r="F499" t="s">
        <v>92</v>
      </c>
      <c r="G499">
        <v>59.95</v>
      </c>
      <c r="H499" t="s">
        <v>105</v>
      </c>
    </row>
    <row r="500" spans="1:8" x14ac:dyDescent="0.35">
      <c r="A500" t="s">
        <v>274</v>
      </c>
      <c r="B500" t="s">
        <v>970</v>
      </c>
      <c r="C500" t="s">
        <v>1342</v>
      </c>
      <c r="D500" t="s">
        <v>224</v>
      </c>
      <c r="E500">
        <v>95</v>
      </c>
      <c r="F500" t="s">
        <v>108</v>
      </c>
      <c r="G500">
        <v>103.55000000000001</v>
      </c>
      <c r="H500" t="s">
        <v>273</v>
      </c>
    </row>
    <row r="501" spans="1:8" x14ac:dyDescent="0.35">
      <c r="A501" t="s">
        <v>272</v>
      </c>
      <c r="B501" t="s">
        <v>1343</v>
      </c>
      <c r="C501" t="s">
        <v>1344</v>
      </c>
      <c r="D501" t="s">
        <v>236</v>
      </c>
      <c r="E501">
        <v>130</v>
      </c>
      <c r="F501" t="s">
        <v>82</v>
      </c>
      <c r="G501">
        <v>141.70000000000002</v>
      </c>
      <c r="H501" t="s">
        <v>271</v>
      </c>
    </row>
    <row r="502" spans="1:8" x14ac:dyDescent="0.35">
      <c r="A502" t="s">
        <v>270</v>
      </c>
      <c r="B502" t="s">
        <v>1343</v>
      </c>
      <c r="C502" t="s">
        <v>1042</v>
      </c>
      <c r="D502" t="s">
        <v>86</v>
      </c>
      <c r="E502">
        <v>255</v>
      </c>
      <c r="F502" t="s">
        <v>14</v>
      </c>
      <c r="G502">
        <v>277.95000000000005</v>
      </c>
      <c r="H502" t="s">
        <v>269</v>
      </c>
    </row>
    <row r="503" spans="1:8" x14ac:dyDescent="0.35">
      <c r="A503" t="s">
        <v>268</v>
      </c>
      <c r="B503" t="s">
        <v>1345</v>
      </c>
      <c r="C503" t="s">
        <v>1147</v>
      </c>
      <c r="D503" t="s">
        <v>107</v>
      </c>
      <c r="E503">
        <v>45</v>
      </c>
      <c r="F503" t="s">
        <v>267</v>
      </c>
      <c r="G503">
        <v>49.050000000000004</v>
      </c>
      <c r="H503" t="s">
        <v>266</v>
      </c>
    </row>
    <row r="504" spans="1:8" x14ac:dyDescent="0.35">
      <c r="A504" t="s">
        <v>258</v>
      </c>
      <c r="B504" t="s">
        <v>1346</v>
      </c>
      <c r="C504" t="s">
        <v>1347</v>
      </c>
      <c r="D504" t="s">
        <v>126</v>
      </c>
      <c r="E504">
        <v>100</v>
      </c>
      <c r="F504" t="s">
        <v>265</v>
      </c>
      <c r="G504">
        <v>109.00000000000001</v>
      </c>
      <c r="H504" t="s">
        <v>264</v>
      </c>
    </row>
    <row r="505" spans="1:8" x14ac:dyDescent="0.35">
      <c r="A505" t="s">
        <v>258</v>
      </c>
      <c r="B505" t="s">
        <v>1346</v>
      </c>
      <c r="C505" t="s">
        <v>1337</v>
      </c>
      <c r="D505" t="s">
        <v>263</v>
      </c>
      <c r="E505">
        <v>225</v>
      </c>
      <c r="F505" t="s">
        <v>262</v>
      </c>
      <c r="G505">
        <v>245.25000000000003</v>
      </c>
      <c r="H505" t="s">
        <v>261</v>
      </c>
    </row>
    <row r="506" spans="1:8" x14ac:dyDescent="0.35">
      <c r="A506" t="s">
        <v>258</v>
      </c>
      <c r="B506" t="s">
        <v>1346</v>
      </c>
      <c r="C506" t="s">
        <v>1348</v>
      </c>
      <c r="D506" t="s">
        <v>144</v>
      </c>
      <c r="E506">
        <v>85</v>
      </c>
      <c r="F506" t="s">
        <v>28</v>
      </c>
      <c r="G506">
        <v>92.65</v>
      </c>
      <c r="H506">
        <v>85</v>
      </c>
    </row>
    <row r="507" spans="1:8" x14ac:dyDescent="0.35">
      <c r="A507" t="s">
        <v>258</v>
      </c>
      <c r="B507" t="s">
        <v>1346</v>
      </c>
      <c r="C507" t="s">
        <v>1348</v>
      </c>
      <c r="D507" t="s">
        <v>93</v>
      </c>
      <c r="E507">
        <v>46</v>
      </c>
      <c r="F507" t="s">
        <v>176</v>
      </c>
      <c r="G507">
        <v>50.14</v>
      </c>
      <c r="H507">
        <v>46</v>
      </c>
    </row>
    <row r="508" spans="1:8" x14ac:dyDescent="0.35">
      <c r="A508" t="s">
        <v>258</v>
      </c>
      <c r="B508" t="s">
        <v>1346</v>
      </c>
      <c r="C508" t="s">
        <v>1348</v>
      </c>
      <c r="D508" t="s">
        <v>260</v>
      </c>
      <c r="E508">
        <v>83</v>
      </c>
      <c r="F508" t="s">
        <v>26</v>
      </c>
      <c r="G508">
        <v>90.470000000000013</v>
      </c>
      <c r="H508">
        <v>83</v>
      </c>
    </row>
    <row r="509" spans="1:8" x14ac:dyDescent="0.35">
      <c r="A509" t="s">
        <v>258</v>
      </c>
      <c r="B509" t="s">
        <v>1346</v>
      </c>
      <c r="C509" t="s">
        <v>1028</v>
      </c>
      <c r="D509" t="s">
        <v>180</v>
      </c>
      <c r="E509">
        <v>128</v>
      </c>
      <c r="F509" t="s">
        <v>82</v>
      </c>
      <c r="G509">
        <v>139.52000000000001</v>
      </c>
      <c r="H509" t="s">
        <v>259</v>
      </c>
    </row>
    <row r="510" spans="1:8" x14ac:dyDescent="0.35">
      <c r="A510" t="s">
        <v>258</v>
      </c>
      <c r="B510" t="s">
        <v>1346</v>
      </c>
      <c r="C510" t="s">
        <v>1028</v>
      </c>
      <c r="D510" t="s">
        <v>123</v>
      </c>
      <c r="E510">
        <v>75</v>
      </c>
      <c r="F510" t="s">
        <v>257</v>
      </c>
      <c r="G510">
        <v>81.75</v>
      </c>
      <c r="H510" t="s">
        <v>256</v>
      </c>
    </row>
    <row r="511" spans="1:8" x14ac:dyDescent="0.35">
      <c r="A511" t="s">
        <v>255</v>
      </c>
      <c r="B511" t="s">
        <v>1349</v>
      </c>
      <c r="C511" t="s">
        <v>1222</v>
      </c>
      <c r="D511" t="s">
        <v>44</v>
      </c>
      <c r="E511">
        <v>103</v>
      </c>
      <c r="F511" t="s">
        <v>254</v>
      </c>
      <c r="G511">
        <v>112.27000000000001</v>
      </c>
      <c r="H511" t="s">
        <v>253</v>
      </c>
    </row>
    <row r="512" spans="1:8" x14ac:dyDescent="0.35">
      <c r="A512" t="s">
        <v>252</v>
      </c>
      <c r="B512" t="s">
        <v>1350</v>
      </c>
      <c r="C512" t="s">
        <v>1037</v>
      </c>
      <c r="D512" t="s">
        <v>112</v>
      </c>
      <c r="E512">
        <v>22</v>
      </c>
      <c r="F512" t="s">
        <v>245</v>
      </c>
      <c r="G512">
        <v>23.98</v>
      </c>
      <c r="H512">
        <v>22</v>
      </c>
    </row>
    <row r="513" spans="1:8" x14ac:dyDescent="0.35">
      <c r="D513" t="s">
        <v>251</v>
      </c>
      <c r="E513">
        <v>1604</v>
      </c>
    </row>
    <row r="516" spans="1:8" x14ac:dyDescent="0.35">
      <c r="A516" t="s">
        <v>53</v>
      </c>
    </row>
    <row r="517" spans="1:8" x14ac:dyDescent="0.35">
      <c r="A517" t="s">
        <v>924</v>
      </c>
    </row>
    <row r="518" spans="1:8" x14ac:dyDescent="0.35">
      <c r="A518" t="s">
        <v>52</v>
      </c>
      <c r="B518" t="s">
        <v>51</v>
      </c>
      <c r="C518" t="s">
        <v>50</v>
      </c>
      <c r="D518" t="s">
        <v>49</v>
      </c>
      <c r="E518" t="s">
        <v>48</v>
      </c>
      <c r="F518" t="s">
        <v>47</v>
      </c>
      <c r="G518" t="s">
        <v>46</v>
      </c>
    </row>
    <row r="519" spans="1:8" x14ac:dyDescent="0.35">
      <c r="A519" t="s">
        <v>250</v>
      </c>
      <c r="B519" t="s">
        <v>1323</v>
      </c>
      <c r="C519" t="s">
        <v>1351</v>
      </c>
      <c r="D519" t="s">
        <v>249</v>
      </c>
      <c r="E519">
        <v>160</v>
      </c>
      <c r="F519" t="s">
        <v>225</v>
      </c>
      <c r="G519">
        <v>174.4</v>
      </c>
    </row>
    <row r="520" spans="1:8" x14ac:dyDescent="0.35">
      <c r="A520" t="s">
        <v>248</v>
      </c>
      <c r="B520" t="s">
        <v>1352</v>
      </c>
      <c r="C520" t="s">
        <v>1353</v>
      </c>
      <c r="D520" t="s">
        <v>86</v>
      </c>
      <c r="E520">
        <v>65</v>
      </c>
      <c r="F520" t="s">
        <v>26</v>
      </c>
      <c r="G520">
        <v>70.850000000000009</v>
      </c>
      <c r="H520">
        <v>65</v>
      </c>
    </row>
    <row r="521" spans="1:8" x14ac:dyDescent="0.35">
      <c r="A521" t="s">
        <v>248</v>
      </c>
      <c r="B521" t="s">
        <v>1352</v>
      </c>
      <c r="C521" t="s">
        <v>1353</v>
      </c>
      <c r="D521" t="s">
        <v>109</v>
      </c>
      <c r="E521">
        <v>40</v>
      </c>
      <c r="F521" t="s">
        <v>176</v>
      </c>
      <c r="G521">
        <v>43.6</v>
      </c>
      <c r="H521">
        <v>40</v>
      </c>
    </row>
    <row r="522" spans="1:8" x14ac:dyDescent="0.35">
      <c r="A522" t="s">
        <v>246</v>
      </c>
      <c r="B522" t="s">
        <v>1352</v>
      </c>
      <c r="C522" t="s">
        <v>1353</v>
      </c>
      <c r="D522" t="s">
        <v>90</v>
      </c>
      <c r="E522">
        <v>18</v>
      </c>
      <c r="F522" s="94">
        <v>304</v>
      </c>
      <c r="G522">
        <v>19.62</v>
      </c>
      <c r="H522">
        <v>18</v>
      </c>
    </row>
    <row r="523" spans="1:8" x14ac:dyDescent="0.35">
      <c r="A523" t="s">
        <v>246</v>
      </c>
      <c r="B523" t="s">
        <v>1354</v>
      </c>
      <c r="C523" t="s">
        <v>1234</v>
      </c>
      <c r="D523" t="s">
        <v>104</v>
      </c>
      <c r="E523">
        <v>35</v>
      </c>
      <c r="F523" t="s">
        <v>247</v>
      </c>
      <c r="G523">
        <v>38.150000000000006</v>
      </c>
      <c r="H523">
        <v>35</v>
      </c>
    </row>
    <row r="524" spans="1:8" x14ac:dyDescent="0.35">
      <c r="A524" t="s">
        <v>246</v>
      </c>
      <c r="B524" t="s">
        <v>1355</v>
      </c>
      <c r="C524" t="s">
        <v>1356</v>
      </c>
      <c r="D524" t="s">
        <v>99</v>
      </c>
      <c r="E524">
        <v>5</v>
      </c>
      <c r="F524" t="s">
        <v>245</v>
      </c>
      <c r="G524">
        <v>5.45</v>
      </c>
      <c r="H524">
        <v>5</v>
      </c>
    </row>
    <row r="525" spans="1:8" x14ac:dyDescent="0.35">
      <c r="A525" t="s">
        <v>244</v>
      </c>
      <c r="B525" t="s">
        <v>1357</v>
      </c>
      <c r="C525" t="s">
        <v>1070</v>
      </c>
      <c r="D525" t="s">
        <v>112</v>
      </c>
      <c r="E525">
        <v>77</v>
      </c>
      <c r="F525" t="s">
        <v>28</v>
      </c>
      <c r="G525">
        <v>83.93</v>
      </c>
      <c r="H525">
        <v>77</v>
      </c>
    </row>
    <row r="526" spans="1:8" x14ac:dyDescent="0.35">
      <c r="A526" t="s">
        <v>242</v>
      </c>
      <c r="B526" t="s">
        <v>1071</v>
      </c>
      <c r="C526" t="s">
        <v>1358</v>
      </c>
      <c r="D526" t="s">
        <v>18</v>
      </c>
      <c r="E526">
        <v>136</v>
      </c>
      <c r="F526" t="s">
        <v>198</v>
      </c>
      <c r="G526">
        <v>148.24</v>
      </c>
      <c r="H526" t="s">
        <v>243</v>
      </c>
    </row>
    <row r="527" spans="1:8" x14ac:dyDescent="0.35">
      <c r="A527" t="s">
        <v>242</v>
      </c>
      <c r="B527" t="s">
        <v>1071</v>
      </c>
      <c r="C527" t="s">
        <v>1042</v>
      </c>
      <c r="D527" t="s">
        <v>40</v>
      </c>
      <c r="E527">
        <v>262</v>
      </c>
      <c r="F527" t="s">
        <v>241</v>
      </c>
      <c r="G527">
        <v>285.58000000000004</v>
      </c>
      <c r="H527" t="s">
        <v>38</v>
      </c>
    </row>
    <row r="528" spans="1:8" x14ac:dyDescent="0.35">
      <c r="A528" t="s">
        <v>240</v>
      </c>
      <c r="B528" t="s">
        <v>1359</v>
      </c>
      <c r="C528" t="s">
        <v>1075</v>
      </c>
      <c r="D528" t="s">
        <v>151</v>
      </c>
      <c r="E528">
        <v>240</v>
      </c>
      <c r="F528" t="s">
        <v>163</v>
      </c>
      <c r="G528">
        <v>261.60000000000002</v>
      </c>
      <c r="H528" t="s">
        <v>23</v>
      </c>
    </row>
    <row r="529" spans="1:8" x14ac:dyDescent="0.35">
      <c r="A529" t="s">
        <v>239</v>
      </c>
      <c r="B529" t="s">
        <v>1360</v>
      </c>
      <c r="C529" t="s">
        <v>1361</v>
      </c>
      <c r="D529" t="s">
        <v>140</v>
      </c>
      <c r="E529">
        <v>154</v>
      </c>
      <c r="F529" t="s">
        <v>85</v>
      </c>
      <c r="G529">
        <v>167.86</v>
      </c>
      <c r="H529" t="s">
        <v>238</v>
      </c>
    </row>
    <row r="530" spans="1:8" x14ac:dyDescent="0.35">
      <c r="A530" t="s">
        <v>237</v>
      </c>
      <c r="B530" t="s">
        <v>1362</v>
      </c>
      <c r="C530" t="s">
        <v>1344</v>
      </c>
      <c r="D530" t="s">
        <v>236</v>
      </c>
      <c r="E530">
        <v>130</v>
      </c>
      <c r="F530" t="s">
        <v>179</v>
      </c>
      <c r="G530">
        <v>141.70000000000002</v>
      </c>
      <c r="H530" t="s">
        <v>233</v>
      </c>
    </row>
    <row r="531" spans="1:8" x14ac:dyDescent="0.35">
      <c r="A531" t="s">
        <v>235</v>
      </c>
      <c r="B531" t="s">
        <v>1363</v>
      </c>
      <c r="C531" t="s">
        <v>1364</v>
      </c>
      <c r="D531" t="s">
        <v>234</v>
      </c>
      <c r="E531">
        <v>130</v>
      </c>
      <c r="F531" t="s">
        <v>179</v>
      </c>
      <c r="G531">
        <v>141.70000000000002</v>
      </c>
      <c r="H531" t="s">
        <v>233</v>
      </c>
    </row>
    <row r="532" spans="1:8" x14ac:dyDescent="0.35">
      <c r="A532" t="s">
        <v>230</v>
      </c>
      <c r="B532" t="s">
        <v>1365</v>
      </c>
      <c r="C532" t="s">
        <v>1050</v>
      </c>
      <c r="D532" t="s">
        <v>137</v>
      </c>
      <c r="E532">
        <v>85</v>
      </c>
      <c r="F532" t="s">
        <v>232</v>
      </c>
      <c r="G532">
        <v>92.65</v>
      </c>
      <c r="H532" t="s">
        <v>231</v>
      </c>
    </row>
    <row r="533" spans="1:8" x14ac:dyDescent="0.35">
      <c r="A533" t="s">
        <v>230</v>
      </c>
      <c r="B533" t="s">
        <v>1365</v>
      </c>
      <c r="C533" t="s">
        <v>1050</v>
      </c>
      <c r="D533" t="s">
        <v>229</v>
      </c>
      <c r="E533">
        <v>87</v>
      </c>
      <c r="F533" t="s">
        <v>228</v>
      </c>
      <c r="G533">
        <v>94.830000000000013</v>
      </c>
      <c r="H533" t="s">
        <v>227</v>
      </c>
    </row>
    <row r="534" spans="1:8" x14ac:dyDescent="0.35">
      <c r="D534" t="s">
        <v>226</v>
      </c>
      <c r="E534">
        <v>1464</v>
      </c>
    </row>
    <row r="537" spans="1:8" x14ac:dyDescent="0.35">
      <c r="A537" t="s">
        <v>53</v>
      </c>
    </row>
    <row r="538" spans="1:8" x14ac:dyDescent="0.35">
      <c r="A538" t="s">
        <v>956</v>
      </c>
    </row>
    <row r="539" spans="1:8" x14ac:dyDescent="0.35">
      <c r="A539" t="s">
        <v>52</v>
      </c>
      <c r="B539" t="s">
        <v>51</v>
      </c>
      <c r="C539" t="s">
        <v>50</v>
      </c>
      <c r="D539" t="s">
        <v>49</v>
      </c>
      <c r="E539" t="s">
        <v>48</v>
      </c>
      <c r="F539" t="s">
        <v>47</v>
      </c>
      <c r="G539" t="s">
        <v>46</v>
      </c>
    </row>
    <row r="540" spans="1:8" x14ac:dyDescent="0.35">
      <c r="A540" t="s">
        <v>218</v>
      </c>
      <c r="B540" t="s">
        <v>1274</v>
      </c>
      <c r="C540" t="s">
        <v>1366</v>
      </c>
      <c r="D540" t="s">
        <v>90</v>
      </c>
      <c r="E540">
        <v>80</v>
      </c>
      <c r="F540" t="s">
        <v>225</v>
      </c>
      <c r="G540">
        <v>87.2</v>
      </c>
    </row>
    <row r="541" spans="1:8" x14ac:dyDescent="0.35">
      <c r="A541" t="s">
        <v>218</v>
      </c>
      <c r="B541" t="s">
        <v>1274</v>
      </c>
      <c r="C541" t="s">
        <v>1366</v>
      </c>
      <c r="D541" t="s">
        <v>67</v>
      </c>
      <c r="E541">
        <v>82</v>
      </c>
      <c r="F541" t="s">
        <v>225</v>
      </c>
      <c r="G541">
        <v>89.38000000000001</v>
      </c>
    </row>
    <row r="542" spans="1:8" x14ac:dyDescent="0.35">
      <c r="A542" t="s">
        <v>218</v>
      </c>
      <c r="B542" t="s">
        <v>1272</v>
      </c>
      <c r="C542" t="s">
        <v>1366</v>
      </c>
      <c r="D542" t="s">
        <v>36</v>
      </c>
      <c r="E542">
        <v>65</v>
      </c>
      <c r="F542" t="s">
        <v>225</v>
      </c>
      <c r="G542">
        <v>70.850000000000009</v>
      </c>
    </row>
    <row r="543" spans="1:8" x14ac:dyDescent="0.35">
      <c r="A543" t="s">
        <v>218</v>
      </c>
      <c r="B543" t="s">
        <v>1272</v>
      </c>
      <c r="C543" t="s">
        <v>1366</v>
      </c>
      <c r="D543" t="s">
        <v>224</v>
      </c>
      <c r="E543">
        <v>95</v>
      </c>
      <c r="F543" t="s">
        <v>225</v>
      </c>
      <c r="G543">
        <v>103.55000000000001</v>
      </c>
    </row>
    <row r="544" spans="1:8" x14ac:dyDescent="0.35">
      <c r="A544" t="s">
        <v>218</v>
      </c>
      <c r="B544" t="s">
        <v>1274</v>
      </c>
      <c r="C544" t="s">
        <v>1167</v>
      </c>
      <c r="D544" t="s">
        <v>223</v>
      </c>
      <c r="E544">
        <v>83</v>
      </c>
      <c r="F544" t="s">
        <v>225</v>
      </c>
      <c r="G544">
        <v>90.470000000000013</v>
      </c>
    </row>
    <row r="545" spans="1:8" x14ac:dyDescent="0.35">
      <c r="A545" t="s">
        <v>218</v>
      </c>
      <c r="B545" t="s">
        <v>1274</v>
      </c>
      <c r="C545" t="s">
        <v>1167</v>
      </c>
      <c r="D545" t="s">
        <v>75</v>
      </c>
      <c r="E545">
        <v>57</v>
      </c>
      <c r="F545" t="s">
        <v>225</v>
      </c>
      <c r="G545">
        <v>62.13</v>
      </c>
    </row>
    <row r="546" spans="1:8" x14ac:dyDescent="0.35">
      <c r="A546" t="s">
        <v>218</v>
      </c>
      <c r="B546" t="s">
        <v>1274</v>
      </c>
      <c r="C546" t="s">
        <v>1367</v>
      </c>
      <c r="D546" t="s">
        <v>21</v>
      </c>
      <c r="E546">
        <v>75</v>
      </c>
      <c r="F546" t="s">
        <v>225</v>
      </c>
      <c r="G546">
        <v>81.75</v>
      </c>
    </row>
    <row r="547" spans="1:8" x14ac:dyDescent="0.35">
      <c r="A547" t="s">
        <v>218</v>
      </c>
      <c r="B547" t="s">
        <v>1274</v>
      </c>
      <c r="C547" t="s">
        <v>1367</v>
      </c>
      <c r="D547" t="s">
        <v>27</v>
      </c>
      <c r="E547">
        <v>80</v>
      </c>
      <c r="F547" t="s">
        <v>225</v>
      </c>
      <c r="G547">
        <v>87.2</v>
      </c>
    </row>
    <row r="548" spans="1:8" x14ac:dyDescent="0.35">
      <c r="A548" t="s">
        <v>218</v>
      </c>
      <c r="B548" t="s">
        <v>1274</v>
      </c>
      <c r="C548" t="s">
        <v>1367</v>
      </c>
      <c r="D548" t="s">
        <v>109</v>
      </c>
      <c r="E548">
        <v>175</v>
      </c>
      <c r="F548" t="s">
        <v>225</v>
      </c>
      <c r="G548">
        <v>190.75</v>
      </c>
    </row>
    <row r="549" spans="1:8" x14ac:dyDescent="0.35">
      <c r="A549" t="s">
        <v>218</v>
      </c>
      <c r="B549" t="s">
        <v>1368</v>
      </c>
      <c r="C549" t="s">
        <v>1367</v>
      </c>
      <c r="D549" t="s">
        <v>11</v>
      </c>
      <c r="E549">
        <v>150</v>
      </c>
      <c r="F549" t="s">
        <v>225</v>
      </c>
      <c r="G549">
        <v>163.5</v>
      </c>
    </row>
    <row r="550" spans="1:8" x14ac:dyDescent="0.35">
      <c r="A550" t="s">
        <v>218</v>
      </c>
      <c r="B550" t="s">
        <v>1274</v>
      </c>
      <c r="C550" t="s">
        <v>1369</v>
      </c>
      <c r="D550" t="s">
        <v>15</v>
      </c>
      <c r="E550">
        <v>250</v>
      </c>
      <c r="F550" t="s">
        <v>225</v>
      </c>
      <c r="G550">
        <v>272.5</v>
      </c>
    </row>
    <row r="551" spans="1:8" x14ac:dyDescent="0.35">
      <c r="A551" t="s">
        <v>218</v>
      </c>
      <c r="B551" t="s">
        <v>1274</v>
      </c>
      <c r="C551" t="s">
        <v>1367</v>
      </c>
      <c r="D551" t="s">
        <v>222</v>
      </c>
      <c r="E551">
        <v>155</v>
      </c>
      <c r="F551" t="s">
        <v>225</v>
      </c>
      <c r="G551">
        <v>168.95000000000002</v>
      </c>
    </row>
    <row r="552" spans="1:8" x14ac:dyDescent="0.35">
      <c r="A552" t="s">
        <v>218</v>
      </c>
      <c r="B552" t="s">
        <v>1274</v>
      </c>
      <c r="C552" t="s">
        <v>1367</v>
      </c>
      <c r="D552" t="s">
        <v>86</v>
      </c>
      <c r="E552">
        <v>255</v>
      </c>
      <c r="F552" t="s">
        <v>225</v>
      </c>
      <c r="G552">
        <v>277.95000000000005</v>
      </c>
    </row>
    <row r="553" spans="1:8" x14ac:dyDescent="0.35">
      <c r="A553" t="s">
        <v>218</v>
      </c>
      <c r="B553" t="s">
        <v>1274</v>
      </c>
      <c r="C553" t="s">
        <v>1167</v>
      </c>
      <c r="D553" t="s">
        <v>83</v>
      </c>
      <c r="E553">
        <v>132</v>
      </c>
      <c r="F553" t="s">
        <v>82</v>
      </c>
      <c r="G553">
        <v>143.88000000000002</v>
      </c>
      <c r="H553" t="s">
        <v>221</v>
      </c>
    </row>
    <row r="554" spans="1:8" x14ac:dyDescent="0.35">
      <c r="A554" t="s">
        <v>218</v>
      </c>
      <c r="B554" t="s">
        <v>1274</v>
      </c>
      <c r="C554" t="s">
        <v>1370</v>
      </c>
      <c r="D554" t="s">
        <v>220</v>
      </c>
      <c r="E554">
        <v>37</v>
      </c>
      <c r="F554" t="s">
        <v>192</v>
      </c>
      <c r="G554">
        <v>40.330000000000005</v>
      </c>
      <c r="H554" t="s">
        <v>219</v>
      </c>
    </row>
    <row r="555" spans="1:8" x14ac:dyDescent="0.35">
      <c r="A555" t="s">
        <v>218</v>
      </c>
      <c r="B555" t="s">
        <v>1274</v>
      </c>
      <c r="C555" t="s">
        <v>1370</v>
      </c>
      <c r="D555" t="s">
        <v>25</v>
      </c>
      <c r="E555">
        <v>240</v>
      </c>
      <c r="F555" t="s">
        <v>163</v>
      </c>
      <c r="G555">
        <v>261.60000000000002</v>
      </c>
      <c r="H555" t="s">
        <v>23</v>
      </c>
    </row>
    <row r="556" spans="1:8" x14ac:dyDescent="0.35">
      <c r="A556" t="s">
        <v>217</v>
      </c>
      <c r="B556" t="s">
        <v>1371</v>
      </c>
      <c r="C556" t="s">
        <v>1079</v>
      </c>
      <c r="D556" t="s">
        <v>102</v>
      </c>
      <c r="E556">
        <v>340</v>
      </c>
      <c r="F556" t="s">
        <v>216</v>
      </c>
      <c r="G556">
        <v>370.6</v>
      </c>
      <c r="H556" t="s">
        <v>215</v>
      </c>
    </row>
    <row r="557" spans="1:8" x14ac:dyDescent="0.35">
      <c r="A557" t="s">
        <v>214</v>
      </c>
      <c r="B557" t="s">
        <v>1372</v>
      </c>
      <c r="C557" t="s">
        <v>1179</v>
      </c>
      <c r="D557" t="s">
        <v>64</v>
      </c>
      <c r="E557">
        <v>40</v>
      </c>
      <c r="F557" t="s">
        <v>213</v>
      </c>
      <c r="G557">
        <v>43.6</v>
      </c>
      <c r="H557" t="s">
        <v>212</v>
      </c>
    </row>
    <row r="558" spans="1:8" x14ac:dyDescent="0.35">
      <c r="A558" t="s">
        <v>211</v>
      </c>
      <c r="B558" t="s">
        <v>1373</v>
      </c>
      <c r="C558" t="s">
        <v>1364</v>
      </c>
      <c r="D558" t="s">
        <v>57</v>
      </c>
      <c r="E558">
        <v>80</v>
      </c>
      <c r="F558" t="s">
        <v>26</v>
      </c>
      <c r="G558">
        <v>87.2</v>
      </c>
      <c r="H558">
        <v>80</v>
      </c>
    </row>
    <row r="559" spans="1:8" x14ac:dyDescent="0.35">
      <c r="A559" t="s">
        <v>210</v>
      </c>
      <c r="B559" t="s">
        <v>1374</v>
      </c>
      <c r="C559" t="s">
        <v>1294</v>
      </c>
      <c r="D559" t="s">
        <v>29</v>
      </c>
      <c r="E559">
        <v>76</v>
      </c>
      <c r="F559" t="s">
        <v>209</v>
      </c>
      <c r="G559">
        <v>82.84</v>
      </c>
      <c r="H559" t="s">
        <v>208</v>
      </c>
    </row>
    <row r="560" spans="1:8" x14ac:dyDescent="0.35">
      <c r="A560" t="s">
        <v>207</v>
      </c>
      <c r="B560" t="s">
        <v>1375</v>
      </c>
      <c r="C560" t="s">
        <v>1179</v>
      </c>
      <c r="D560" t="s">
        <v>206</v>
      </c>
      <c r="E560">
        <v>32</v>
      </c>
      <c r="F560" t="s">
        <v>28</v>
      </c>
      <c r="G560">
        <v>34.880000000000003</v>
      </c>
      <c r="H560" t="s">
        <v>205</v>
      </c>
    </row>
    <row r="561" spans="1:8" x14ac:dyDescent="0.35">
      <c r="A561" t="s">
        <v>204</v>
      </c>
      <c r="B561" t="s">
        <v>1376</v>
      </c>
      <c r="C561" t="s">
        <v>1305</v>
      </c>
      <c r="D561" t="s">
        <v>203</v>
      </c>
      <c r="E561">
        <v>138</v>
      </c>
      <c r="F561" t="s">
        <v>28</v>
      </c>
      <c r="G561">
        <v>150.42000000000002</v>
      </c>
      <c r="H561">
        <v>138</v>
      </c>
    </row>
    <row r="562" spans="1:8" x14ac:dyDescent="0.35">
      <c r="A562" t="s">
        <v>202</v>
      </c>
      <c r="B562" t="s">
        <v>1377</v>
      </c>
      <c r="C562" t="s">
        <v>1378</v>
      </c>
      <c r="D562" t="s">
        <v>201</v>
      </c>
      <c r="E562">
        <v>103</v>
      </c>
      <c r="F562" t="s">
        <v>188</v>
      </c>
      <c r="G562">
        <v>112.27000000000001</v>
      </c>
      <c r="H562" t="s">
        <v>187</v>
      </c>
    </row>
    <row r="563" spans="1:8" x14ac:dyDescent="0.35">
      <c r="A563" t="s">
        <v>200</v>
      </c>
      <c r="B563" t="s">
        <v>1379</v>
      </c>
      <c r="C563" t="s">
        <v>1022</v>
      </c>
      <c r="D563" t="s">
        <v>199</v>
      </c>
      <c r="E563">
        <v>140</v>
      </c>
      <c r="F563" t="s">
        <v>198</v>
      </c>
      <c r="G563">
        <v>152.60000000000002</v>
      </c>
      <c r="H563" t="s">
        <v>197</v>
      </c>
    </row>
    <row r="564" spans="1:8" x14ac:dyDescent="0.35">
      <c r="A564" t="s">
        <v>196</v>
      </c>
      <c r="B564" t="s">
        <v>1380</v>
      </c>
      <c r="C564" t="s">
        <v>960</v>
      </c>
      <c r="D564" t="s">
        <v>195</v>
      </c>
      <c r="E564">
        <v>23</v>
      </c>
      <c r="F564" t="s">
        <v>194</v>
      </c>
      <c r="G564">
        <v>25.07</v>
      </c>
      <c r="H564">
        <v>23</v>
      </c>
    </row>
    <row r="565" spans="1:8" x14ac:dyDescent="0.35">
      <c r="A565" t="s">
        <v>193</v>
      </c>
      <c r="B565" t="s">
        <v>1381</v>
      </c>
      <c r="C565" t="s">
        <v>1048</v>
      </c>
      <c r="D565" t="s">
        <v>71</v>
      </c>
      <c r="E565">
        <v>5</v>
      </c>
      <c r="F565" t="s">
        <v>132</v>
      </c>
      <c r="G565">
        <v>5.45</v>
      </c>
      <c r="H565">
        <v>5</v>
      </c>
    </row>
    <row r="566" spans="1:8" x14ac:dyDescent="0.35">
      <c r="A566" t="s">
        <v>193</v>
      </c>
      <c r="B566" t="s">
        <v>1381</v>
      </c>
      <c r="C566" t="s">
        <v>1048</v>
      </c>
      <c r="D566" t="s">
        <v>79</v>
      </c>
      <c r="E566">
        <v>40</v>
      </c>
      <c r="F566" t="s">
        <v>192</v>
      </c>
      <c r="G566">
        <v>43.6</v>
      </c>
      <c r="H566">
        <v>40</v>
      </c>
    </row>
    <row r="567" spans="1:8" x14ac:dyDescent="0.35">
      <c r="D567" t="s">
        <v>191</v>
      </c>
      <c r="E567">
        <v>1426</v>
      </c>
    </row>
    <row r="570" spans="1:8" x14ac:dyDescent="0.35">
      <c r="A570" t="s">
        <v>53</v>
      </c>
    </row>
    <row r="571" spans="1:8" x14ac:dyDescent="0.35">
      <c r="A571" t="s">
        <v>987</v>
      </c>
    </row>
    <row r="572" spans="1:8" x14ac:dyDescent="0.35">
      <c r="A572" t="s">
        <v>52</v>
      </c>
      <c r="B572" t="s">
        <v>51</v>
      </c>
      <c r="C572" t="s">
        <v>50</v>
      </c>
      <c r="D572" t="s">
        <v>49</v>
      </c>
      <c r="E572" t="s">
        <v>48</v>
      </c>
      <c r="F572" t="s">
        <v>47</v>
      </c>
      <c r="G572" t="s">
        <v>46</v>
      </c>
    </row>
    <row r="573" spans="1:8" x14ac:dyDescent="0.35">
      <c r="A573" t="s">
        <v>190</v>
      </c>
      <c r="B573" t="s">
        <v>1382</v>
      </c>
      <c r="C573" t="s">
        <v>1383</v>
      </c>
      <c r="D573" t="s">
        <v>189</v>
      </c>
      <c r="E573">
        <v>101</v>
      </c>
      <c r="F573" t="s">
        <v>188</v>
      </c>
      <c r="G573">
        <v>110.09</v>
      </c>
      <c r="H573" t="s">
        <v>187</v>
      </c>
    </row>
    <row r="574" spans="1:8" x14ac:dyDescent="0.35">
      <c r="A574" t="s">
        <v>186</v>
      </c>
      <c r="B574" t="s">
        <v>1384</v>
      </c>
      <c r="C574" t="s">
        <v>1385</v>
      </c>
      <c r="D574" t="s">
        <v>7</v>
      </c>
      <c r="E574">
        <v>150</v>
      </c>
      <c r="F574" t="s">
        <v>85</v>
      </c>
      <c r="G574">
        <v>163.5</v>
      </c>
      <c r="H574" t="s">
        <v>185</v>
      </c>
    </row>
    <row r="575" spans="1:8" x14ac:dyDescent="0.35">
      <c r="A575" t="s">
        <v>184</v>
      </c>
      <c r="B575" t="s">
        <v>1386</v>
      </c>
      <c r="C575" t="s">
        <v>1387</v>
      </c>
      <c r="D575" t="s">
        <v>183</v>
      </c>
      <c r="E575">
        <v>93</v>
      </c>
      <c r="F575" t="s">
        <v>98</v>
      </c>
      <c r="G575">
        <v>101.37</v>
      </c>
      <c r="H575" t="s">
        <v>182</v>
      </c>
    </row>
    <row r="576" spans="1:8" x14ac:dyDescent="0.35">
      <c r="A576" t="s">
        <v>181</v>
      </c>
      <c r="B576" t="s">
        <v>1388</v>
      </c>
      <c r="C576" t="s">
        <v>1246</v>
      </c>
      <c r="D576" t="s">
        <v>180</v>
      </c>
      <c r="E576">
        <v>128</v>
      </c>
      <c r="F576" t="s">
        <v>179</v>
      </c>
      <c r="G576">
        <v>139.52000000000001</v>
      </c>
      <c r="H576" t="s">
        <v>178</v>
      </c>
    </row>
    <row r="577" spans="1:8" x14ac:dyDescent="0.35">
      <c r="A577" t="s">
        <v>177</v>
      </c>
      <c r="B577" t="s">
        <v>1389</v>
      </c>
      <c r="C577" t="s">
        <v>1390</v>
      </c>
      <c r="D577" t="s">
        <v>32</v>
      </c>
      <c r="E577">
        <v>53</v>
      </c>
      <c r="F577" t="s">
        <v>176</v>
      </c>
      <c r="G577">
        <v>57.77</v>
      </c>
      <c r="H577">
        <v>53</v>
      </c>
    </row>
    <row r="578" spans="1:8" x14ac:dyDescent="0.35">
      <c r="A578" t="s">
        <v>175</v>
      </c>
      <c r="B578" t="s">
        <v>1391</v>
      </c>
      <c r="C578" t="s">
        <v>1210</v>
      </c>
      <c r="D578" t="s">
        <v>174</v>
      </c>
      <c r="E578">
        <v>90</v>
      </c>
      <c r="F578" t="s">
        <v>173</v>
      </c>
      <c r="G578">
        <v>98.100000000000009</v>
      </c>
      <c r="H578" t="s">
        <v>172</v>
      </c>
    </row>
    <row r="579" spans="1:8" x14ac:dyDescent="0.35">
      <c r="A579" t="s">
        <v>171</v>
      </c>
      <c r="B579" t="s">
        <v>1392</v>
      </c>
      <c r="C579" t="s">
        <v>1008</v>
      </c>
      <c r="D579" t="s">
        <v>170</v>
      </c>
      <c r="E579">
        <v>70</v>
      </c>
      <c r="F579" t="s">
        <v>56</v>
      </c>
      <c r="G579">
        <v>76.300000000000011</v>
      </c>
      <c r="H579" t="s">
        <v>169</v>
      </c>
    </row>
    <row r="580" spans="1:8" x14ac:dyDescent="0.35">
      <c r="A580" t="s">
        <v>168</v>
      </c>
      <c r="B580" t="s">
        <v>1040</v>
      </c>
      <c r="C580" t="s">
        <v>1393</v>
      </c>
      <c r="D580" t="s">
        <v>167</v>
      </c>
      <c r="E580">
        <v>230</v>
      </c>
      <c r="F580" t="s">
        <v>163</v>
      </c>
      <c r="G580">
        <v>250.70000000000002</v>
      </c>
      <c r="H580" t="s">
        <v>166</v>
      </c>
    </row>
    <row r="581" spans="1:8" x14ac:dyDescent="0.35">
      <c r="A581" t="s">
        <v>165</v>
      </c>
      <c r="B581" t="s">
        <v>1311</v>
      </c>
      <c r="C581" t="s">
        <v>1394</v>
      </c>
      <c r="D581" t="s">
        <v>164</v>
      </c>
      <c r="E581">
        <v>222</v>
      </c>
      <c r="F581" t="s">
        <v>163</v>
      </c>
      <c r="G581">
        <v>241.98000000000002</v>
      </c>
      <c r="H581" t="s">
        <v>162</v>
      </c>
    </row>
    <row r="582" spans="1:8" x14ac:dyDescent="0.35">
      <c r="A582" t="s">
        <v>161</v>
      </c>
      <c r="B582" t="s">
        <v>1395</v>
      </c>
      <c r="C582" t="s">
        <v>1396</v>
      </c>
      <c r="D582" t="s">
        <v>160</v>
      </c>
      <c r="E582">
        <v>265</v>
      </c>
      <c r="F582" t="s">
        <v>150</v>
      </c>
      <c r="G582">
        <v>288.85000000000002</v>
      </c>
      <c r="H582" t="s">
        <v>159</v>
      </c>
    </row>
    <row r="583" spans="1:8" x14ac:dyDescent="0.35">
      <c r="A583" t="s">
        <v>158</v>
      </c>
      <c r="B583" t="s">
        <v>1004</v>
      </c>
      <c r="C583" t="s">
        <v>1138</v>
      </c>
      <c r="D583" t="s">
        <v>3</v>
      </c>
      <c r="E583">
        <v>35</v>
      </c>
      <c r="F583" t="s">
        <v>157</v>
      </c>
      <c r="G583">
        <v>38.150000000000006</v>
      </c>
      <c r="H583" t="s">
        <v>156</v>
      </c>
    </row>
    <row r="584" spans="1:8" x14ac:dyDescent="0.35">
      <c r="D584" t="s">
        <v>155</v>
      </c>
      <c r="E584">
        <v>1437</v>
      </c>
    </row>
    <row r="587" spans="1:8" x14ac:dyDescent="0.35">
      <c r="A587" t="s">
        <v>53</v>
      </c>
    </row>
    <row r="588" spans="1:8" x14ac:dyDescent="0.35">
      <c r="A588" t="s">
        <v>1006</v>
      </c>
    </row>
    <row r="589" spans="1:8" x14ac:dyDescent="0.35">
      <c r="A589" t="s">
        <v>52</v>
      </c>
      <c r="B589" t="s">
        <v>51</v>
      </c>
      <c r="C589" t="s">
        <v>50</v>
      </c>
      <c r="D589" t="s">
        <v>49</v>
      </c>
      <c r="E589" t="s">
        <v>48</v>
      </c>
      <c r="F589" t="s">
        <v>47</v>
      </c>
      <c r="G589" t="s">
        <v>46</v>
      </c>
    </row>
    <row r="590" spans="1:8" x14ac:dyDescent="0.35">
      <c r="A590" t="s">
        <v>37</v>
      </c>
      <c r="B590" t="s">
        <v>1397</v>
      </c>
      <c r="C590" t="s">
        <v>1063</v>
      </c>
      <c r="D590" t="s">
        <v>154</v>
      </c>
      <c r="E590">
        <v>160</v>
      </c>
      <c r="F590" t="s">
        <v>85</v>
      </c>
      <c r="G590">
        <v>174.4</v>
      </c>
      <c r="H590" t="s">
        <v>153</v>
      </c>
    </row>
    <row r="591" spans="1:8" x14ac:dyDescent="0.35">
      <c r="A591" t="s">
        <v>152</v>
      </c>
      <c r="B591" t="s">
        <v>1225</v>
      </c>
      <c r="C591" t="s">
        <v>1163</v>
      </c>
      <c r="D591" t="s">
        <v>151</v>
      </c>
      <c r="E591">
        <v>240</v>
      </c>
      <c r="F591" t="s">
        <v>150</v>
      </c>
      <c r="G591">
        <v>261.60000000000002</v>
      </c>
      <c r="H591" t="s">
        <v>149</v>
      </c>
    </row>
    <row r="592" spans="1:8" x14ac:dyDescent="0.35">
      <c r="A592" t="s">
        <v>148</v>
      </c>
      <c r="B592" t="s">
        <v>1398</v>
      </c>
      <c r="C592" t="s">
        <v>1399</v>
      </c>
      <c r="D592" t="s">
        <v>147</v>
      </c>
      <c r="E592">
        <v>40</v>
      </c>
      <c r="F592" t="s">
        <v>146</v>
      </c>
      <c r="G592">
        <v>43.6</v>
      </c>
      <c r="H592">
        <v>40</v>
      </c>
    </row>
    <row r="593" spans="1:8" x14ac:dyDescent="0.35">
      <c r="A593" t="s">
        <v>145</v>
      </c>
      <c r="B593" t="s">
        <v>1400</v>
      </c>
      <c r="C593" t="s">
        <v>1401</v>
      </c>
      <c r="D593" t="s">
        <v>144</v>
      </c>
      <c r="E593">
        <v>85</v>
      </c>
      <c r="F593" t="s">
        <v>143</v>
      </c>
      <c r="G593">
        <v>92.65</v>
      </c>
      <c r="H593" t="s">
        <v>142</v>
      </c>
    </row>
    <row r="594" spans="1:8" x14ac:dyDescent="0.35">
      <c r="A594" t="s">
        <v>141</v>
      </c>
      <c r="B594" t="s">
        <v>1402</v>
      </c>
      <c r="C594" t="s">
        <v>964</v>
      </c>
      <c r="D594" t="s">
        <v>140</v>
      </c>
      <c r="E594">
        <v>154</v>
      </c>
      <c r="F594" t="s">
        <v>85</v>
      </c>
      <c r="G594">
        <v>167.86</v>
      </c>
      <c r="H594" t="s">
        <v>139</v>
      </c>
    </row>
    <row r="595" spans="1:8" x14ac:dyDescent="0.35">
      <c r="A595" t="s">
        <v>138</v>
      </c>
      <c r="B595" t="s">
        <v>1403</v>
      </c>
      <c r="C595" t="s">
        <v>1237</v>
      </c>
      <c r="D595" t="s">
        <v>137</v>
      </c>
      <c r="E595">
        <v>85</v>
      </c>
      <c r="F595" t="s">
        <v>136</v>
      </c>
      <c r="G595">
        <v>92.65</v>
      </c>
      <c r="H595" t="s">
        <v>135</v>
      </c>
    </row>
    <row r="596" spans="1:8" x14ac:dyDescent="0.35">
      <c r="A596" t="s">
        <v>134</v>
      </c>
      <c r="B596" t="s">
        <v>1404</v>
      </c>
      <c r="C596" t="s">
        <v>1305</v>
      </c>
      <c r="D596" t="s">
        <v>133</v>
      </c>
      <c r="E596">
        <v>4</v>
      </c>
      <c r="F596" t="s">
        <v>132</v>
      </c>
      <c r="G596">
        <v>4.3600000000000003</v>
      </c>
      <c r="H596">
        <v>4</v>
      </c>
    </row>
    <row r="597" spans="1:8" x14ac:dyDescent="0.35">
      <c r="A597" t="s">
        <v>131</v>
      </c>
      <c r="B597" t="s">
        <v>1169</v>
      </c>
      <c r="C597" t="s">
        <v>1075</v>
      </c>
      <c r="D597" t="s">
        <v>130</v>
      </c>
      <c r="E597">
        <v>295</v>
      </c>
      <c r="F597" t="s">
        <v>129</v>
      </c>
      <c r="G597">
        <v>321.55</v>
      </c>
      <c r="H597" t="s">
        <v>128</v>
      </c>
    </row>
    <row r="598" spans="1:8" x14ac:dyDescent="0.35">
      <c r="A598" t="s">
        <v>127</v>
      </c>
      <c r="B598" t="s">
        <v>1405</v>
      </c>
      <c r="C598" t="s">
        <v>1059</v>
      </c>
      <c r="D598" t="s">
        <v>126</v>
      </c>
      <c r="E598">
        <v>100</v>
      </c>
      <c r="F598" t="s">
        <v>108</v>
      </c>
      <c r="G598">
        <v>109.00000000000001</v>
      </c>
      <c r="H598" t="s">
        <v>125</v>
      </c>
    </row>
    <row r="599" spans="1:8" x14ac:dyDescent="0.35">
      <c r="A599" t="s">
        <v>124</v>
      </c>
      <c r="B599" t="s">
        <v>1406</v>
      </c>
      <c r="C599" t="s">
        <v>1059</v>
      </c>
      <c r="D599" t="s">
        <v>123</v>
      </c>
      <c r="E599">
        <v>75</v>
      </c>
      <c r="F599" t="s">
        <v>56</v>
      </c>
      <c r="G599">
        <v>81.75</v>
      </c>
      <c r="H599" t="s">
        <v>122</v>
      </c>
    </row>
    <row r="600" spans="1:8" x14ac:dyDescent="0.35">
      <c r="A600" t="s">
        <v>121</v>
      </c>
      <c r="B600" t="s">
        <v>1407</v>
      </c>
      <c r="C600" t="s">
        <v>1219</v>
      </c>
      <c r="D600" t="s">
        <v>120</v>
      </c>
      <c r="E600">
        <v>55</v>
      </c>
      <c r="F600" t="s">
        <v>119</v>
      </c>
      <c r="G600">
        <v>59.95</v>
      </c>
      <c r="H600" t="s">
        <v>118</v>
      </c>
    </row>
    <row r="601" spans="1:8" x14ac:dyDescent="0.35">
      <c r="A601" t="s">
        <v>117</v>
      </c>
      <c r="B601" t="s">
        <v>1408</v>
      </c>
      <c r="C601" t="s">
        <v>1219</v>
      </c>
      <c r="D601" t="s">
        <v>116</v>
      </c>
      <c r="E601">
        <v>60</v>
      </c>
      <c r="F601" t="s">
        <v>115</v>
      </c>
      <c r="G601">
        <v>65.400000000000006</v>
      </c>
      <c r="H601" t="s">
        <v>114</v>
      </c>
    </row>
    <row r="602" spans="1:8" x14ac:dyDescent="0.35">
      <c r="A602" t="s">
        <v>113</v>
      </c>
      <c r="B602" t="s">
        <v>1409</v>
      </c>
      <c r="C602" t="s">
        <v>1364</v>
      </c>
      <c r="D602" t="s">
        <v>112</v>
      </c>
      <c r="E602">
        <v>99</v>
      </c>
      <c r="F602" t="s">
        <v>98</v>
      </c>
      <c r="G602">
        <v>107.91000000000001</v>
      </c>
      <c r="H602" t="s">
        <v>111</v>
      </c>
    </row>
    <row r="603" spans="1:8" x14ac:dyDescent="0.35">
      <c r="D603" t="s">
        <v>110</v>
      </c>
      <c r="E603">
        <v>1452</v>
      </c>
    </row>
    <row r="606" spans="1:8" x14ac:dyDescent="0.35">
      <c r="A606" t="s">
        <v>53</v>
      </c>
    </row>
    <row r="607" spans="1:8" x14ac:dyDescent="0.35">
      <c r="A607" t="s">
        <v>1031</v>
      </c>
    </row>
    <row r="608" spans="1:8" x14ac:dyDescent="0.35">
      <c r="A608" t="s">
        <v>52</v>
      </c>
      <c r="B608" t="s">
        <v>51</v>
      </c>
      <c r="C608" t="s">
        <v>50</v>
      </c>
      <c r="D608" t="s">
        <v>49</v>
      </c>
      <c r="E608" t="s">
        <v>48</v>
      </c>
      <c r="F608" t="s">
        <v>47</v>
      </c>
      <c r="G608" t="s">
        <v>46</v>
      </c>
    </row>
    <row r="609" spans="1:8" x14ac:dyDescent="0.35">
      <c r="A609" t="s">
        <v>87</v>
      </c>
      <c r="B609" t="s">
        <v>1410</v>
      </c>
      <c r="C609" t="s">
        <v>1411</v>
      </c>
      <c r="D609" t="s">
        <v>109</v>
      </c>
      <c r="E609">
        <v>103</v>
      </c>
      <c r="F609" t="s">
        <v>108</v>
      </c>
      <c r="G609">
        <v>112.27000000000001</v>
      </c>
      <c r="H609" t="s">
        <v>42</v>
      </c>
    </row>
    <row r="610" spans="1:8" x14ac:dyDescent="0.35">
      <c r="A610" t="s">
        <v>87</v>
      </c>
      <c r="B610" t="s">
        <v>1410</v>
      </c>
      <c r="C610" t="s">
        <v>1412</v>
      </c>
      <c r="D610" t="s">
        <v>107</v>
      </c>
      <c r="E610">
        <v>55</v>
      </c>
      <c r="F610" t="s">
        <v>106</v>
      </c>
      <c r="G610">
        <v>59.95</v>
      </c>
      <c r="H610" t="s">
        <v>105</v>
      </c>
    </row>
    <row r="611" spans="1:8" x14ac:dyDescent="0.35">
      <c r="A611" t="s">
        <v>87</v>
      </c>
      <c r="B611" t="s">
        <v>1413</v>
      </c>
      <c r="C611" t="s">
        <v>1414</v>
      </c>
      <c r="D611" t="s">
        <v>104</v>
      </c>
      <c r="E611">
        <v>65</v>
      </c>
      <c r="F611" t="s">
        <v>56</v>
      </c>
      <c r="G611">
        <v>70.850000000000009</v>
      </c>
      <c r="H611" t="s">
        <v>103</v>
      </c>
    </row>
    <row r="612" spans="1:8" x14ac:dyDescent="0.35">
      <c r="A612" t="s">
        <v>87</v>
      </c>
      <c r="B612" t="s">
        <v>1410</v>
      </c>
      <c r="C612" t="s">
        <v>1412</v>
      </c>
      <c r="D612" t="s">
        <v>102</v>
      </c>
      <c r="E612">
        <v>170</v>
      </c>
      <c r="F612" t="s">
        <v>101</v>
      </c>
      <c r="G612">
        <v>185.3</v>
      </c>
      <c r="H612" t="s">
        <v>100</v>
      </c>
    </row>
    <row r="613" spans="1:8" x14ac:dyDescent="0.35">
      <c r="A613" t="s">
        <v>87</v>
      </c>
      <c r="B613" t="s">
        <v>1410</v>
      </c>
      <c r="C613" t="s">
        <v>1411</v>
      </c>
      <c r="D613" t="s">
        <v>99</v>
      </c>
      <c r="E613">
        <v>90</v>
      </c>
      <c r="F613" t="s">
        <v>98</v>
      </c>
      <c r="G613">
        <v>98.100000000000009</v>
      </c>
      <c r="H613" t="s">
        <v>97</v>
      </c>
    </row>
    <row r="614" spans="1:8" x14ac:dyDescent="0.35">
      <c r="A614" t="s">
        <v>87</v>
      </c>
      <c r="B614" t="s">
        <v>1410</v>
      </c>
      <c r="C614" t="s">
        <v>1411</v>
      </c>
      <c r="D614" t="s">
        <v>96</v>
      </c>
      <c r="E614">
        <v>160</v>
      </c>
      <c r="F614" t="s">
        <v>95</v>
      </c>
      <c r="G614">
        <v>174.4</v>
      </c>
      <c r="H614" t="s">
        <v>94</v>
      </c>
    </row>
    <row r="615" spans="1:8" x14ac:dyDescent="0.35">
      <c r="A615" t="s">
        <v>87</v>
      </c>
      <c r="B615" t="s">
        <v>1410</v>
      </c>
      <c r="C615" t="s">
        <v>1411</v>
      </c>
      <c r="D615" t="s">
        <v>93</v>
      </c>
      <c r="E615">
        <v>46</v>
      </c>
      <c r="F615" t="s">
        <v>92</v>
      </c>
      <c r="G615">
        <v>50.14</v>
      </c>
      <c r="H615" t="s">
        <v>91</v>
      </c>
    </row>
    <row r="616" spans="1:8" x14ac:dyDescent="0.35">
      <c r="A616" t="s">
        <v>87</v>
      </c>
      <c r="B616" t="s">
        <v>1410</v>
      </c>
      <c r="C616" t="s">
        <v>1414</v>
      </c>
      <c r="D616" t="s">
        <v>90</v>
      </c>
      <c r="E616">
        <v>43</v>
      </c>
      <c r="F616" t="s">
        <v>89</v>
      </c>
      <c r="G616">
        <v>46.870000000000005</v>
      </c>
      <c r="H616" t="s">
        <v>88</v>
      </c>
    </row>
    <row r="617" spans="1:8" x14ac:dyDescent="0.35">
      <c r="A617" t="s">
        <v>87</v>
      </c>
      <c r="B617" t="s">
        <v>1415</v>
      </c>
      <c r="C617" t="s">
        <v>1414</v>
      </c>
      <c r="D617" t="s">
        <v>86</v>
      </c>
      <c r="E617">
        <v>150</v>
      </c>
      <c r="F617" t="s">
        <v>85</v>
      </c>
      <c r="G617">
        <v>163.5</v>
      </c>
      <c r="H617" t="s">
        <v>9</v>
      </c>
    </row>
    <row r="618" spans="1:8" x14ac:dyDescent="0.35">
      <c r="A618" t="s">
        <v>84</v>
      </c>
      <c r="B618" t="s">
        <v>1416</v>
      </c>
      <c r="C618" t="s">
        <v>933</v>
      </c>
      <c r="D618" t="s">
        <v>83</v>
      </c>
      <c r="E618">
        <v>132</v>
      </c>
      <c r="F618" t="s">
        <v>82</v>
      </c>
      <c r="G618">
        <v>143.88000000000002</v>
      </c>
      <c r="H618" t="s">
        <v>81</v>
      </c>
    </row>
    <row r="619" spans="1:8" x14ac:dyDescent="0.35">
      <c r="A619" t="s">
        <v>80</v>
      </c>
      <c r="B619" t="s">
        <v>1417</v>
      </c>
      <c r="C619" t="s">
        <v>979</v>
      </c>
      <c r="D619" t="s">
        <v>79</v>
      </c>
      <c r="E619">
        <v>135</v>
      </c>
      <c r="F619" t="s">
        <v>78</v>
      </c>
      <c r="G619">
        <v>147.15</v>
      </c>
      <c r="H619" t="s">
        <v>77</v>
      </c>
    </row>
    <row r="620" spans="1:8" x14ac:dyDescent="0.35">
      <c r="A620" t="s">
        <v>76</v>
      </c>
      <c r="B620" t="s">
        <v>1418</v>
      </c>
      <c r="C620" t="s">
        <v>1219</v>
      </c>
      <c r="D620" t="s">
        <v>75</v>
      </c>
      <c r="E620">
        <v>57</v>
      </c>
      <c r="F620" t="s">
        <v>74</v>
      </c>
      <c r="G620">
        <v>62.13</v>
      </c>
      <c r="H620" t="s">
        <v>73</v>
      </c>
    </row>
    <row r="621" spans="1:8" x14ac:dyDescent="0.35">
      <c r="A621" t="s">
        <v>72</v>
      </c>
      <c r="B621" t="s">
        <v>1419</v>
      </c>
      <c r="C621" t="s">
        <v>1108</v>
      </c>
      <c r="D621" t="s">
        <v>71</v>
      </c>
      <c r="E621">
        <v>61</v>
      </c>
      <c r="F621" t="s">
        <v>70</v>
      </c>
      <c r="G621">
        <v>66.490000000000009</v>
      </c>
      <c r="H621" t="s">
        <v>69</v>
      </c>
    </row>
    <row r="622" spans="1:8" x14ac:dyDescent="0.35">
      <c r="A622" t="s">
        <v>68</v>
      </c>
      <c r="B622" t="s">
        <v>1420</v>
      </c>
      <c r="C622" t="s">
        <v>1179</v>
      </c>
      <c r="D622" t="s">
        <v>67</v>
      </c>
      <c r="E622">
        <v>82</v>
      </c>
      <c r="F622" t="s">
        <v>26</v>
      </c>
      <c r="G622">
        <v>89.38000000000001</v>
      </c>
      <c r="H622" t="s">
        <v>66</v>
      </c>
    </row>
    <row r="623" spans="1:8" x14ac:dyDescent="0.35">
      <c r="A623" t="s">
        <v>65</v>
      </c>
      <c r="B623" t="s">
        <v>1420</v>
      </c>
      <c r="C623" t="s">
        <v>1179</v>
      </c>
      <c r="D623" t="s">
        <v>64</v>
      </c>
      <c r="E623">
        <v>40</v>
      </c>
      <c r="F623" t="s">
        <v>28</v>
      </c>
      <c r="G623">
        <v>43.6</v>
      </c>
      <c r="H623" t="s">
        <v>63</v>
      </c>
    </row>
    <row r="624" spans="1:8" x14ac:dyDescent="0.35">
      <c r="A624" t="s">
        <v>62</v>
      </c>
      <c r="B624" t="s">
        <v>1245</v>
      </c>
      <c r="C624" t="s">
        <v>1148</v>
      </c>
      <c r="D624" t="s">
        <v>61</v>
      </c>
      <c r="E624">
        <v>120</v>
      </c>
      <c r="F624" t="s">
        <v>28</v>
      </c>
      <c r="G624">
        <v>130.80000000000001</v>
      </c>
      <c r="H624">
        <v>120</v>
      </c>
    </row>
    <row r="625" spans="1:8" x14ac:dyDescent="0.35">
      <c r="A625" t="s">
        <v>60</v>
      </c>
      <c r="B625" t="s">
        <v>1245</v>
      </c>
      <c r="C625" t="s">
        <v>1148</v>
      </c>
      <c r="D625" t="s">
        <v>59</v>
      </c>
      <c r="E625">
        <v>56</v>
      </c>
      <c r="F625" t="s">
        <v>26</v>
      </c>
      <c r="G625">
        <v>61.040000000000006</v>
      </c>
      <c r="H625">
        <v>56</v>
      </c>
    </row>
    <row r="626" spans="1:8" x14ac:dyDescent="0.35">
      <c r="A626" t="s">
        <v>30</v>
      </c>
      <c r="B626" t="s">
        <v>1421</v>
      </c>
      <c r="C626" t="s">
        <v>1133</v>
      </c>
      <c r="D626" t="s">
        <v>29</v>
      </c>
      <c r="E626">
        <v>76</v>
      </c>
      <c r="F626" t="s">
        <v>26</v>
      </c>
      <c r="G626">
        <v>82.84</v>
      </c>
      <c r="H626">
        <v>76</v>
      </c>
    </row>
    <row r="627" spans="1:8" x14ac:dyDescent="0.35">
      <c r="A627" t="s">
        <v>58</v>
      </c>
      <c r="B627" t="s">
        <v>1422</v>
      </c>
      <c r="C627" t="s">
        <v>1037</v>
      </c>
      <c r="D627" t="s">
        <v>57</v>
      </c>
      <c r="E627">
        <v>80</v>
      </c>
      <c r="F627" t="s">
        <v>56</v>
      </c>
      <c r="G627">
        <v>87.2</v>
      </c>
      <c r="H627" t="s">
        <v>55</v>
      </c>
    </row>
    <row r="628" spans="1:8" x14ac:dyDescent="0.35">
      <c r="D628" t="s">
        <v>54</v>
      </c>
      <c r="E628">
        <v>1721</v>
      </c>
    </row>
    <row r="631" spans="1:8" x14ac:dyDescent="0.35">
      <c r="A631" t="s">
        <v>53</v>
      </c>
    </row>
    <row r="632" spans="1:8" x14ac:dyDescent="0.35">
      <c r="A632" t="s">
        <v>281</v>
      </c>
    </row>
    <row r="633" spans="1:8" x14ac:dyDescent="0.35">
      <c r="A633" t="s">
        <v>52</v>
      </c>
      <c r="B633" t="s">
        <v>51</v>
      </c>
      <c r="C633" t="s">
        <v>50</v>
      </c>
      <c r="D633" t="s">
        <v>49</v>
      </c>
      <c r="E633" t="s">
        <v>48</v>
      </c>
      <c r="F633" t="s">
        <v>47</v>
      </c>
      <c r="G633" t="s">
        <v>46</v>
      </c>
    </row>
    <row r="634" spans="1:8" x14ac:dyDescent="0.35">
      <c r="A634" t="s">
        <v>45</v>
      </c>
      <c r="B634" t="s">
        <v>1245</v>
      </c>
      <c r="C634" t="s">
        <v>1423</v>
      </c>
      <c r="D634" t="s">
        <v>44</v>
      </c>
      <c r="E634">
        <v>103</v>
      </c>
      <c r="F634" t="s">
        <v>43</v>
      </c>
      <c r="G634">
        <v>112.27000000000001</v>
      </c>
      <c r="H634" t="s">
        <v>42</v>
      </c>
    </row>
    <row r="635" spans="1:8" x14ac:dyDescent="0.35">
      <c r="A635" t="s">
        <v>41</v>
      </c>
      <c r="B635" t="s">
        <v>1245</v>
      </c>
      <c r="C635" t="s">
        <v>1358</v>
      </c>
      <c r="D635" t="s">
        <v>40</v>
      </c>
      <c r="E635">
        <v>262</v>
      </c>
      <c r="F635" t="s">
        <v>39</v>
      </c>
      <c r="G635">
        <v>285.58000000000004</v>
      </c>
      <c r="H635" t="s">
        <v>38</v>
      </c>
    </row>
    <row r="636" spans="1:8" x14ac:dyDescent="0.35">
      <c r="A636" t="s">
        <v>37</v>
      </c>
      <c r="B636" t="s">
        <v>1397</v>
      </c>
      <c r="C636" t="s">
        <v>1424</v>
      </c>
      <c r="D636" t="s">
        <v>36</v>
      </c>
      <c r="E636">
        <v>65</v>
      </c>
      <c r="F636" t="s">
        <v>35</v>
      </c>
      <c r="G636">
        <v>70.850000000000009</v>
      </c>
      <c r="H636" t="s">
        <v>34</v>
      </c>
    </row>
    <row r="637" spans="1:8" x14ac:dyDescent="0.35">
      <c r="A637" t="s">
        <v>33</v>
      </c>
      <c r="B637" t="s">
        <v>1425</v>
      </c>
      <c r="C637" t="s">
        <v>1390</v>
      </c>
      <c r="D637" t="s">
        <v>32</v>
      </c>
      <c r="E637">
        <v>53</v>
      </c>
      <c r="F637" t="s">
        <v>31</v>
      </c>
      <c r="G637">
        <v>57.77</v>
      </c>
      <c r="H637">
        <v>53</v>
      </c>
    </row>
    <row r="638" spans="1:8" x14ac:dyDescent="0.35">
      <c r="A638" t="s">
        <v>30</v>
      </c>
      <c r="B638" t="s">
        <v>1421</v>
      </c>
      <c r="C638" t="s">
        <v>1133</v>
      </c>
      <c r="D638" t="s">
        <v>29</v>
      </c>
      <c r="E638">
        <v>76</v>
      </c>
      <c r="F638" t="s">
        <v>28</v>
      </c>
      <c r="G638">
        <v>82.84</v>
      </c>
      <c r="H638">
        <v>76</v>
      </c>
    </row>
    <row r="639" spans="1:8" x14ac:dyDescent="0.35">
      <c r="A639" t="s">
        <v>22</v>
      </c>
      <c r="B639" t="s">
        <v>1426</v>
      </c>
      <c r="C639" t="s">
        <v>1145</v>
      </c>
      <c r="D639" t="s">
        <v>27</v>
      </c>
      <c r="E639">
        <v>80</v>
      </c>
      <c r="F639" t="s">
        <v>26</v>
      </c>
      <c r="G639">
        <v>87.2</v>
      </c>
      <c r="H639">
        <v>80</v>
      </c>
    </row>
    <row r="640" spans="1:8" x14ac:dyDescent="0.35">
      <c r="A640" t="s">
        <v>22</v>
      </c>
      <c r="B640" t="s">
        <v>1426</v>
      </c>
      <c r="C640" t="s">
        <v>1145</v>
      </c>
      <c r="D640" t="s">
        <v>25</v>
      </c>
      <c r="E640">
        <v>240</v>
      </c>
      <c r="F640" t="s">
        <v>24</v>
      </c>
      <c r="G640">
        <v>261.60000000000002</v>
      </c>
      <c r="H640" t="s">
        <v>23</v>
      </c>
    </row>
    <row r="641" spans="1:8" x14ac:dyDescent="0.35">
      <c r="A641" t="s">
        <v>22</v>
      </c>
      <c r="B641" t="s">
        <v>1426</v>
      </c>
      <c r="C641" t="s">
        <v>1132</v>
      </c>
      <c r="D641" t="s">
        <v>21</v>
      </c>
      <c r="E641">
        <v>75</v>
      </c>
      <c r="F641" t="s">
        <v>20</v>
      </c>
      <c r="G641">
        <v>81.75</v>
      </c>
      <c r="H641">
        <v>75</v>
      </c>
    </row>
    <row r="642" spans="1:8" x14ac:dyDescent="0.35">
      <c r="A642" t="s">
        <v>19</v>
      </c>
      <c r="B642" t="s">
        <v>1427</v>
      </c>
      <c r="C642" t="s">
        <v>1145</v>
      </c>
      <c r="D642" t="s">
        <v>18</v>
      </c>
      <c r="E642">
        <v>136</v>
      </c>
      <c r="F642" t="s">
        <v>17</v>
      </c>
      <c r="G642">
        <v>148.24</v>
      </c>
      <c r="H642" t="s">
        <v>16</v>
      </c>
    </row>
    <row r="643" spans="1:8" x14ac:dyDescent="0.35">
      <c r="A643" t="s">
        <v>12</v>
      </c>
      <c r="B643" t="s">
        <v>1349</v>
      </c>
      <c r="C643" t="s">
        <v>1428</v>
      </c>
      <c r="D643" t="s">
        <v>15</v>
      </c>
      <c r="E643">
        <v>250</v>
      </c>
      <c r="F643" t="s">
        <v>14</v>
      </c>
      <c r="G643">
        <v>272.5</v>
      </c>
      <c r="H643" t="s">
        <v>13</v>
      </c>
    </row>
    <row r="644" spans="1:8" x14ac:dyDescent="0.35">
      <c r="A644" t="s">
        <v>12</v>
      </c>
      <c r="B644" t="s">
        <v>1349</v>
      </c>
      <c r="C644" t="s">
        <v>1428</v>
      </c>
      <c r="D644" t="s">
        <v>11</v>
      </c>
      <c r="E644">
        <v>150</v>
      </c>
      <c r="F644" t="s">
        <v>10</v>
      </c>
      <c r="G644">
        <v>163.5</v>
      </c>
      <c r="H644" t="s">
        <v>9</v>
      </c>
    </row>
    <row r="645" spans="1:8" x14ac:dyDescent="0.35">
      <c r="A645" t="s">
        <v>8</v>
      </c>
      <c r="B645" t="s">
        <v>1429</v>
      </c>
      <c r="C645" t="s">
        <v>1268</v>
      </c>
      <c r="D645" t="s">
        <v>7</v>
      </c>
      <c r="E645">
        <v>115</v>
      </c>
      <c r="F645" t="s">
        <v>6</v>
      </c>
      <c r="G645">
        <v>125.35000000000001</v>
      </c>
      <c r="H645" t="s">
        <v>5</v>
      </c>
    </row>
    <row r="646" spans="1:8" x14ac:dyDescent="0.35">
      <c r="A646" t="s">
        <v>4</v>
      </c>
      <c r="B646" t="s">
        <v>1430</v>
      </c>
      <c r="C646" t="s">
        <v>1026</v>
      </c>
      <c r="D646" t="s">
        <v>3</v>
      </c>
      <c r="E646">
        <v>95</v>
      </c>
      <c r="F646" t="s">
        <v>2</v>
      </c>
      <c r="G646">
        <v>103.55000000000001</v>
      </c>
      <c r="H646" t="s">
        <v>1</v>
      </c>
    </row>
    <row r="647" spans="1:8" x14ac:dyDescent="0.35">
      <c r="D647" t="s">
        <v>0</v>
      </c>
      <c r="E647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33</vt:i4>
      </vt:variant>
    </vt:vector>
  </HeadingPairs>
  <TitlesOfParts>
    <vt:vector size="35" baseType="lpstr">
      <vt:lpstr>TTFINAL</vt:lpstr>
      <vt:lpstr>Sheet1</vt:lpstr>
      <vt:lpstr>TTFINAL!CLASS</vt:lpstr>
      <vt:lpstr>TTFINAL!ED3_PCE</vt:lpstr>
      <vt:lpstr>TTFINAL!Print_Area</vt:lpstr>
      <vt:lpstr>TTFINAL!Total_F1</vt:lpstr>
      <vt:lpstr>TTFINAL!Total_F2</vt:lpstr>
      <vt:lpstr>TTFINAL!Total_F3</vt:lpstr>
      <vt:lpstr>TTFINAL!Total_F4</vt:lpstr>
      <vt:lpstr>TTFINAL!Total_F5</vt:lpstr>
      <vt:lpstr>TTFINAL!Total_F6</vt:lpstr>
      <vt:lpstr>TTFINAL!Total_F7</vt:lpstr>
      <vt:lpstr>TTFINAL!Total_H1</vt:lpstr>
      <vt:lpstr>TTFINAL!Total_H2</vt:lpstr>
      <vt:lpstr>TTFINAL!Total_H3</vt:lpstr>
      <vt:lpstr>TTFINAL!Total_H4</vt:lpstr>
      <vt:lpstr>TTFINAL!Total_H5</vt:lpstr>
      <vt:lpstr>TTFINAL!Total_M2</vt:lpstr>
      <vt:lpstr>TTFINAL!Total_M3</vt:lpstr>
      <vt:lpstr>TTFINAL!Total_M4</vt:lpstr>
      <vt:lpstr>TTFINAL!Total_M5</vt:lpstr>
      <vt:lpstr>TTFINAL!Total_M6</vt:lpstr>
      <vt:lpstr>TTFINAL!Total_M7</vt:lpstr>
      <vt:lpstr>TTFINAL!Total_T1</vt:lpstr>
      <vt:lpstr>TTFINAL!Total_T2</vt:lpstr>
      <vt:lpstr>TTFINAL!Total_T3</vt:lpstr>
      <vt:lpstr>TTFINAL!Total_T4</vt:lpstr>
      <vt:lpstr>TTFINAL!Total_T5</vt:lpstr>
      <vt:lpstr>TTFINAL!Total_T6</vt:lpstr>
      <vt:lpstr>TTFINAL!Total_W1</vt:lpstr>
      <vt:lpstr>TTFINAL!Total_W2</vt:lpstr>
      <vt:lpstr>TTFINAL!Total_W3</vt:lpstr>
      <vt:lpstr>TTFINAL!Total_W4</vt:lpstr>
      <vt:lpstr>TTFINAL!Total_W5</vt:lpstr>
      <vt:lpstr>TTFINAL!Total_W6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EXAMINATIONS OFFICE</dc:creator>
  <cp:lastModifiedBy>Mr Man</cp:lastModifiedBy>
  <dcterms:created xsi:type="dcterms:W3CDTF">2026-07-02T09:21:12Z</dcterms:created>
  <dcterms:modified xsi:type="dcterms:W3CDTF">2026-07-02T09:57:11Z</dcterms:modified>
</cp:coreProperties>
</file>